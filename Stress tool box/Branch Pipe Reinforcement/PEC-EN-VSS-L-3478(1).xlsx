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705" windowWidth="9120" windowHeight="8940" tabRatio="625" firstSheet="1" activeTab="2"/>
  </bookViews>
  <sheets>
    <sheet name="XXXXXXX" sheetId="1" state="veryHidden" r:id="rId1"/>
    <sheet name="Data Sheet" sheetId="26" r:id="rId2"/>
    <sheet name="Appendix 1. Calculation" sheetId="2" r:id="rId3"/>
    <sheet name="Appendix 2. Thickness" sheetId="21" r:id="rId4"/>
  </sheets>
  <definedNames>
    <definedName name="_Toc238552941" localSheetId="1">'Data Sheet'!$C$49</definedName>
    <definedName name="_Toc238552942" localSheetId="1">'Data Sheet'!$C$50</definedName>
    <definedName name="Legend">#REF!</definedName>
    <definedName name="NPS">'Appendix 2. Thickness'!$A$4:$A$41</definedName>
    <definedName name="_xlnm.Print_Area" localSheetId="2">'Appendix 1. Calculation'!$A$1:$R$68</definedName>
    <definedName name="_xlnm.Print_Area" localSheetId="3">'Appendix 2. Thickness'!$A$1:$T$41</definedName>
    <definedName name="_xlnm.Print_Area" localSheetId="1">'Data Sheet'!$A$1:$H$141</definedName>
    <definedName name="_xlnm.Print_Titles" localSheetId="1">'Data Sheet'!$1:$4</definedName>
    <definedName name="SCH">'Appendix 2. Thickness'!$A$44:$A$162</definedName>
    <definedName name="sencount" hidden="1">1</definedName>
    <definedName name="wrn.Calulation._.Sheets." hidden="1">{#N/A,#N/A,FALSE,"cover";#N/A,#N/A,FALSE,"page_1";#N/A,#N/A,FALSE,"page_2";#N/A,#N/A,FALSE,"page_3";#N/A,#N/A,FALSE,"page_4"}</definedName>
    <definedName name="wrn.Design._.Calculation." hidden="1">{#N/A,#N/A,FALSE,"Intro";#N/A,#N/A,FALSE,"Calcs"}</definedName>
  </definedNames>
  <calcPr calcId="125725"/>
</workbook>
</file>

<file path=xl/calcChain.xml><?xml version="1.0" encoding="utf-8"?>
<calcChain xmlns="http://schemas.openxmlformats.org/spreadsheetml/2006/main">
  <c r="I15" i="2"/>
  <c r="C35"/>
  <c r="X59"/>
  <c r="X58"/>
  <c r="X57"/>
  <c r="X56"/>
  <c r="X55"/>
  <c r="X54"/>
  <c r="X53"/>
  <c r="X52"/>
  <c r="X51"/>
  <c r="X50"/>
  <c r="X49"/>
  <c r="X48"/>
  <c r="X47"/>
  <c r="X46"/>
  <c r="X44"/>
  <c r="X43"/>
  <c r="X42"/>
  <c r="X41"/>
  <c r="X40"/>
  <c r="X39"/>
  <c r="X38"/>
  <c r="X37"/>
  <c r="X36"/>
  <c r="X35"/>
  <c r="X45"/>
  <c r="I48"/>
  <c r="E48"/>
  <c r="V48"/>
  <c r="G48"/>
  <c r="C48"/>
  <c r="AE48"/>
  <c r="G29"/>
  <c r="L29"/>
  <c r="I59"/>
  <c r="E59"/>
  <c r="V59" s="1"/>
  <c r="I58"/>
  <c r="W58" s="1"/>
  <c r="E58"/>
  <c r="V58" s="1"/>
  <c r="I57"/>
  <c r="E57"/>
  <c r="V57" s="1"/>
  <c r="I56"/>
  <c r="W56" s="1"/>
  <c r="E56"/>
  <c r="V56" s="1"/>
  <c r="I55"/>
  <c r="E55"/>
  <c r="V55" s="1"/>
  <c r="I54"/>
  <c r="E54"/>
  <c r="V54" s="1"/>
  <c r="I53"/>
  <c r="W53" s="1"/>
  <c r="E53"/>
  <c r="V53" s="1"/>
  <c r="I52"/>
  <c r="E52"/>
  <c r="V52"/>
  <c r="I51"/>
  <c r="W51" s="1"/>
  <c r="E51"/>
  <c r="V51" s="1"/>
  <c r="I50"/>
  <c r="W50" s="1"/>
  <c r="E50"/>
  <c r="V50" s="1"/>
  <c r="I49"/>
  <c r="W49"/>
  <c r="E49"/>
  <c r="V49" s="1"/>
  <c r="I47"/>
  <c r="W47" s="1"/>
  <c r="E47"/>
  <c r="V47" s="1"/>
  <c r="I46"/>
  <c r="W46" s="1"/>
  <c r="E46"/>
  <c r="V46" s="1"/>
  <c r="I45"/>
  <c r="W45" s="1"/>
  <c r="E45"/>
  <c r="V45" s="1"/>
  <c r="I44"/>
  <c r="W44" s="1"/>
  <c r="E44"/>
  <c r="V44" s="1"/>
  <c r="I43"/>
  <c r="W43" s="1"/>
  <c r="E43"/>
  <c r="V43" s="1"/>
  <c r="I42"/>
  <c r="W42" s="1"/>
  <c r="E42"/>
  <c r="V42" s="1"/>
  <c r="I41"/>
  <c r="W41" s="1"/>
  <c r="E41"/>
  <c r="V41" s="1"/>
  <c r="I40"/>
  <c r="W40" s="1"/>
  <c r="E40"/>
  <c r="V40" s="1"/>
  <c r="I39"/>
  <c r="W39" s="1"/>
  <c r="E39"/>
  <c r="V39" s="1"/>
  <c r="I38"/>
  <c r="W38" s="1"/>
  <c r="E38"/>
  <c r="V38" s="1"/>
  <c r="I37"/>
  <c r="W37"/>
  <c r="E37"/>
  <c r="V37" s="1"/>
  <c r="I36"/>
  <c r="W36" s="1"/>
  <c r="E36"/>
  <c r="V36" s="1"/>
  <c r="I35"/>
  <c r="W35" s="1"/>
  <c r="E35"/>
  <c r="V35" s="1"/>
  <c r="G45"/>
  <c r="U45" s="1"/>
  <c r="C45"/>
  <c r="AE45"/>
  <c r="AI45" s="1"/>
  <c r="G44"/>
  <c r="C44"/>
  <c r="AE44"/>
  <c r="AI44" s="1"/>
  <c r="G43"/>
  <c r="C43"/>
  <c r="I19"/>
  <c r="T48" s="1"/>
  <c r="M19"/>
  <c r="U48" s="1"/>
  <c r="AE43"/>
  <c r="AI43" s="1"/>
  <c r="G38"/>
  <c r="U38" s="1"/>
  <c r="C38"/>
  <c r="G59"/>
  <c r="AE59"/>
  <c r="AI59"/>
  <c r="G58"/>
  <c r="U58" s="1"/>
  <c r="AE58"/>
  <c r="AI58" s="1"/>
  <c r="G57"/>
  <c r="U57" s="1"/>
  <c r="AE57"/>
  <c r="AI57" s="1"/>
  <c r="G56"/>
  <c r="Z56" s="1"/>
  <c r="AE56"/>
  <c r="AI56" s="1"/>
  <c r="G55"/>
  <c r="AE55"/>
  <c r="AI55"/>
  <c r="G54"/>
  <c r="U54" s="1"/>
  <c r="AE54"/>
  <c r="AI54"/>
  <c r="G53"/>
  <c r="U53" s="1"/>
  <c r="AE53"/>
  <c r="AI53" s="1"/>
  <c r="G52"/>
  <c r="U52" s="1"/>
  <c r="AE52"/>
  <c r="AI52" s="1"/>
  <c r="G51"/>
  <c r="AE51"/>
  <c r="AI51" s="1"/>
  <c r="G50"/>
  <c r="AE50"/>
  <c r="AI50"/>
  <c r="G49"/>
  <c r="Z49" s="1"/>
  <c r="AE49"/>
  <c r="AI49" s="1"/>
  <c r="G47"/>
  <c r="C47"/>
  <c r="T47" s="1"/>
  <c r="AE47"/>
  <c r="AI47" s="1"/>
  <c r="G46"/>
  <c r="C46"/>
  <c r="T46" s="1"/>
  <c r="AE46"/>
  <c r="AI46" s="1"/>
  <c r="AE35"/>
  <c r="AI35" s="1"/>
  <c r="G35"/>
  <c r="AE42"/>
  <c r="AI42" s="1"/>
  <c r="G42"/>
  <c r="C42"/>
  <c r="T42" s="1"/>
  <c r="AE41"/>
  <c r="AI41" s="1"/>
  <c r="G41"/>
  <c r="U41" s="1"/>
  <c r="C41"/>
  <c r="T41" s="1"/>
  <c r="AE40"/>
  <c r="AI40" s="1"/>
  <c r="G40"/>
  <c r="U40" s="1"/>
  <c r="C40"/>
  <c r="T40" s="1"/>
  <c r="AE39"/>
  <c r="G39"/>
  <c r="C39"/>
  <c r="T39" s="1"/>
  <c r="AE38"/>
  <c r="AI38" s="1"/>
  <c r="G37"/>
  <c r="Z37" s="1"/>
  <c r="C37"/>
  <c r="T37" s="1"/>
  <c r="AE37"/>
  <c r="AI37" s="1"/>
  <c r="AE36"/>
  <c r="AI36"/>
  <c r="G36"/>
  <c r="U36" s="1"/>
  <c r="C36"/>
  <c r="T36" s="1"/>
  <c r="C59"/>
  <c r="T59" s="1"/>
  <c r="C58"/>
  <c r="C57"/>
  <c r="C56"/>
  <c r="T56" s="1"/>
  <c r="C55"/>
  <c r="T55" s="1"/>
  <c r="C54"/>
  <c r="C53"/>
  <c r="C52"/>
  <c r="T52" s="1"/>
  <c r="C51"/>
  <c r="C50"/>
  <c r="C49"/>
  <c r="AD51"/>
  <c r="AG51" s="1"/>
  <c r="AD49"/>
  <c r="AG49" s="1"/>
  <c r="AD47"/>
  <c r="AG47" s="1"/>
  <c r="AD38"/>
  <c r="AG38" s="1"/>
  <c r="AD42"/>
  <c r="AG42" s="1"/>
  <c r="AD45"/>
  <c r="AG45"/>
  <c r="AD43"/>
  <c r="AG43" s="1"/>
  <c r="U51"/>
  <c r="AD41"/>
  <c r="AG41" s="1"/>
  <c r="AD44"/>
  <c r="AG44" s="1"/>
  <c r="T38"/>
  <c r="U56"/>
  <c r="U49"/>
  <c r="AD37"/>
  <c r="AG37" s="1"/>
  <c r="AD39"/>
  <c r="AG39" s="1"/>
  <c r="AD40"/>
  <c r="AD36"/>
  <c r="AG36" s="1"/>
  <c r="M57"/>
  <c r="M51"/>
  <c r="M50"/>
  <c r="U42"/>
  <c r="U59"/>
  <c r="AD56"/>
  <c r="AG56" s="1"/>
  <c r="M44"/>
  <c r="M40"/>
  <c r="M39"/>
  <c r="M36"/>
  <c r="M59"/>
  <c r="M47"/>
  <c r="M42"/>
  <c r="M56"/>
  <c r="M52"/>
  <c r="M53"/>
  <c r="M49"/>
  <c r="N51"/>
  <c r="O51"/>
  <c r="M48"/>
  <c r="M45"/>
  <c r="M58"/>
  <c r="M46"/>
  <c r="M41"/>
  <c r="M37"/>
  <c r="M38"/>
  <c r="M55"/>
  <c r="M43"/>
  <c r="M54"/>
  <c r="N52"/>
  <c r="N58"/>
  <c r="N42"/>
  <c r="N45"/>
  <c r="N37"/>
  <c r="O37"/>
  <c r="N41"/>
  <c r="N49"/>
  <c r="O49"/>
  <c r="O41"/>
  <c r="O58"/>
  <c r="O45"/>
  <c r="N40"/>
  <c r="N53"/>
  <c r="O53"/>
  <c r="O52"/>
  <c r="O42"/>
  <c r="O40"/>
  <c r="N54"/>
  <c r="O54"/>
  <c r="N57"/>
  <c r="O57"/>
  <c r="N55"/>
  <c r="O55"/>
  <c r="N47"/>
  <c r="O47"/>
  <c r="N48"/>
  <c r="O48"/>
  <c r="N36"/>
  <c r="O36"/>
  <c r="N44"/>
  <c r="O44"/>
  <c r="N46"/>
  <c r="O46"/>
  <c r="N56"/>
  <c r="O56"/>
  <c r="N38"/>
  <c r="O38"/>
  <c r="N59"/>
  <c r="O59"/>
  <c r="N50"/>
  <c r="O50"/>
  <c r="N43"/>
  <c r="O43"/>
  <c r="N39"/>
  <c r="O39"/>
  <c r="AI48"/>
  <c r="W48"/>
  <c r="Y48" s="1"/>
  <c r="AD48"/>
  <c r="AG48" s="1"/>
  <c r="AI39"/>
  <c r="U50"/>
  <c r="T43"/>
  <c r="T49"/>
  <c r="T57"/>
  <c r="W52"/>
  <c r="Z52" s="1"/>
  <c r="AD52"/>
  <c r="AG52" s="1"/>
  <c r="AD53"/>
  <c r="AG53" s="1"/>
  <c r="W54"/>
  <c r="Z54" s="1"/>
  <c r="AD54"/>
  <c r="AG54" s="1"/>
  <c r="W55"/>
  <c r="AD55"/>
  <c r="AG55" s="1"/>
  <c r="W57"/>
  <c r="AD57"/>
  <c r="AG57" s="1"/>
  <c r="AD58"/>
  <c r="AG58" s="1"/>
  <c r="W59"/>
  <c r="Z59" s="1"/>
  <c r="AD59"/>
  <c r="AG59" s="1"/>
  <c r="Y42" l="1"/>
  <c r="Y44"/>
  <c r="Z53"/>
  <c r="Y47"/>
  <c r="Y58"/>
  <c r="Y45"/>
  <c r="Y49"/>
  <c r="AA49"/>
  <c r="AK49"/>
  <c r="AO49" s="1"/>
  <c r="AK59"/>
  <c r="AO59" s="1"/>
  <c r="Z57"/>
  <c r="T51"/>
  <c r="T58"/>
  <c r="T53"/>
  <c r="T44"/>
  <c r="U46"/>
  <c r="U55"/>
  <c r="U44"/>
  <c r="T54"/>
  <c r="Z55"/>
  <c r="T45"/>
  <c r="Z45"/>
  <c r="AA45" s="1"/>
  <c r="AD46"/>
  <c r="AG46" s="1"/>
  <c r="U47"/>
  <c r="AD50"/>
  <c r="AG50" s="1"/>
  <c r="T50"/>
  <c r="U39"/>
  <c r="Z41"/>
  <c r="AK41" s="1"/>
  <c r="AO41" s="1"/>
  <c r="Z51"/>
  <c r="Y36"/>
  <c r="Y43"/>
  <c r="Y46"/>
  <c r="Y50"/>
  <c r="U43"/>
  <c r="T35"/>
  <c r="Z48"/>
  <c r="AA48" s="1"/>
  <c r="AL48" s="1"/>
  <c r="AA54"/>
  <c r="AL54" s="1"/>
  <c r="AH48"/>
  <c r="AC48"/>
  <c r="AM48"/>
  <c r="Y54"/>
  <c r="AC54" s="1"/>
  <c r="Z58"/>
  <c r="AA58" s="1"/>
  <c r="AD35"/>
  <c r="AG35" s="1"/>
  <c r="Z35"/>
  <c r="U35"/>
  <c r="Y35"/>
  <c r="AB48"/>
  <c r="AJ45"/>
  <c r="AB45"/>
  <c r="AH54"/>
  <c r="Y59"/>
  <c r="AK54"/>
  <c r="AO54" s="1"/>
  <c r="AA59"/>
  <c r="AJ59" s="1"/>
  <c r="AK55"/>
  <c r="AO55" s="1"/>
  <c r="AJ54"/>
  <c r="AK48"/>
  <c r="AO48" s="1"/>
  <c r="AL45"/>
  <c r="AK57"/>
  <c r="AO57" s="1"/>
  <c r="AK53"/>
  <c r="AO53" s="1"/>
  <c r="AK51"/>
  <c r="AO51" s="1"/>
  <c r="AK56"/>
  <c r="AO56" s="1"/>
  <c r="AK52"/>
  <c r="AO52" s="1"/>
  <c r="AA52"/>
  <c r="AM58"/>
  <c r="AC58"/>
  <c r="Z36"/>
  <c r="AK36" s="1"/>
  <c r="AO36" s="1"/>
  <c r="Y41"/>
  <c r="AA41"/>
  <c r="Z42"/>
  <c r="AA42" s="1"/>
  <c r="Z43"/>
  <c r="AA43" s="1"/>
  <c r="Z44"/>
  <c r="AK44" s="1"/>
  <c r="AO44" s="1"/>
  <c r="Z46"/>
  <c r="AK46" s="1"/>
  <c r="AO46" s="1"/>
  <c r="Z47"/>
  <c r="AK47" s="1"/>
  <c r="AO47" s="1"/>
  <c r="Z50"/>
  <c r="AA50" s="1"/>
  <c r="Y55"/>
  <c r="AA55"/>
  <c r="Y57"/>
  <c r="AA57"/>
  <c r="AK37"/>
  <c r="AO37" s="1"/>
  <c r="Y38"/>
  <c r="Y39"/>
  <c r="Y40"/>
  <c r="AH40" s="1"/>
  <c r="Y56"/>
  <c r="AL58"/>
  <c r="AJ58"/>
  <c r="AB58"/>
  <c r="AC36"/>
  <c r="AM36"/>
  <c r="AH36"/>
  <c r="AA37"/>
  <c r="Y37"/>
  <c r="Z38"/>
  <c r="AK38" s="1"/>
  <c r="AO38" s="1"/>
  <c r="Z39"/>
  <c r="AK39" s="1"/>
  <c r="AO39" s="1"/>
  <c r="Z40"/>
  <c r="AK40" s="1"/>
  <c r="AO40" s="1"/>
  <c r="AM42"/>
  <c r="AC42"/>
  <c r="AH42"/>
  <c r="AM43"/>
  <c r="AH43"/>
  <c r="AC43"/>
  <c r="AC44"/>
  <c r="AH44"/>
  <c r="AM44"/>
  <c r="AC45"/>
  <c r="AF45" s="1"/>
  <c r="AM45"/>
  <c r="AH45"/>
  <c r="AC46"/>
  <c r="AH46"/>
  <c r="AM46"/>
  <c r="AH47"/>
  <c r="AC47"/>
  <c r="AM47"/>
  <c r="AC49"/>
  <c r="AH49"/>
  <c r="AM49"/>
  <c r="AC50"/>
  <c r="AM50"/>
  <c r="AH50"/>
  <c r="AA51"/>
  <c r="Y51"/>
  <c r="AA53"/>
  <c r="Y53"/>
  <c r="AM59"/>
  <c r="AC59"/>
  <c r="AH59"/>
  <c r="AH53"/>
  <c r="AA56"/>
  <c r="AL49"/>
  <c r="AH56"/>
  <c r="AM54"/>
  <c r="AJ48"/>
  <c r="AB54"/>
  <c r="AF54" s="1"/>
  <c r="Y52"/>
  <c r="AH58"/>
  <c r="AG40"/>
  <c r="U37"/>
  <c r="AB59" l="1"/>
  <c r="AF59" s="1"/>
  <c r="AN59" s="1"/>
  <c r="AK58"/>
  <c r="AO58" s="1"/>
  <c r="AB49"/>
  <c r="AF49" s="1"/>
  <c r="AJ49"/>
  <c r="AK45"/>
  <c r="AO45" s="1"/>
  <c r="AK35"/>
  <c r="AO35" s="1"/>
  <c r="AM35"/>
  <c r="AF48"/>
  <c r="AN48" s="1"/>
  <c r="AP48" s="1"/>
  <c r="AL59"/>
  <c r="AH35"/>
  <c r="AA35"/>
  <c r="AC35"/>
  <c r="M35"/>
  <c r="AN54"/>
  <c r="AP54" s="1"/>
  <c r="AK50"/>
  <c r="AO50" s="1"/>
  <c r="AA39"/>
  <c r="AA38"/>
  <c r="AK43"/>
  <c r="AO43" s="1"/>
  <c r="AA47"/>
  <c r="AA46"/>
  <c r="AA44"/>
  <c r="AA36"/>
  <c r="AL42"/>
  <c r="AB42"/>
  <c r="AJ42"/>
  <c r="AJ50"/>
  <c r="AB50"/>
  <c r="AL50"/>
  <c r="AB53"/>
  <c r="AJ53"/>
  <c r="AL53"/>
  <c r="AB51"/>
  <c r="AJ51"/>
  <c r="AL51"/>
  <c r="AB37"/>
  <c r="AJ37"/>
  <c r="AL37"/>
  <c r="AC40"/>
  <c r="AM40"/>
  <c r="AH38"/>
  <c r="AC38"/>
  <c r="AM38"/>
  <c r="AM57"/>
  <c r="AH57"/>
  <c r="AC57"/>
  <c r="AC55"/>
  <c r="AH55"/>
  <c r="AM55"/>
  <c r="AM41"/>
  <c r="AC41"/>
  <c r="AH41"/>
  <c r="AA40"/>
  <c r="AK42"/>
  <c r="AO42" s="1"/>
  <c r="AF58"/>
  <c r="AN58" s="1"/>
  <c r="AP58" s="1"/>
  <c r="AC52"/>
  <c r="AH52"/>
  <c r="AM52"/>
  <c r="AL56"/>
  <c r="AB56"/>
  <c r="AJ56"/>
  <c r="AM53"/>
  <c r="AC53"/>
  <c r="AF53" s="1"/>
  <c r="AM51"/>
  <c r="AH51"/>
  <c r="AC51"/>
  <c r="AF51" s="1"/>
  <c r="AL39"/>
  <c r="AJ39"/>
  <c r="AB39"/>
  <c r="AB38"/>
  <c r="AL38"/>
  <c r="AJ38"/>
  <c r="AM37"/>
  <c r="AC37"/>
  <c r="AF37" s="1"/>
  <c r="AH37"/>
  <c r="AM56"/>
  <c r="AC56"/>
  <c r="AM39"/>
  <c r="AC39"/>
  <c r="AF39" s="1"/>
  <c r="AH39"/>
  <c r="AL35"/>
  <c r="AJ35"/>
  <c r="AB35"/>
  <c r="AB57"/>
  <c r="AJ57"/>
  <c r="AL57"/>
  <c r="AB55"/>
  <c r="AL55"/>
  <c r="AJ55"/>
  <c r="AL47"/>
  <c r="AB47"/>
  <c r="AF47" s="1"/>
  <c r="AJ47"/>
  <c r="AB46"/>
  <c r="AF46" s="1"/>
  <c r="AL46"/>
  <c r="AJ46"/>
  <c r="AB44"/>
  <c r="AF44" s="1"/>
  <c r="AJ44"/>
  <c r="AL44"/>
  <c r="AL43"/>
  <c r="AB43"/>
  <c r="AJ43"/>
  <c r="AL41"/>
  <c r="AJ41"/>
  <c r="AB41"/>
  <c r="AJ36"/>
  <c r="AB36"/>
  <c r="AF36" s="1"/>
  <c r="AL36"/>
  <c r="AJ52"/>
  <c r="AB52"/>
  <c r="AL52"/>
  <c r="AF50"/>
  <c r="AN50" s="1"/>
  <c r="AN45"/>
  <c r="AP45" s="1"/>
  <c r="AF43"/>
  <c r="AF42"/>
  <c r="AN42" s="1"/>
  <c r="AF35"/>
  <c r="AN49" l="1"/>
  <c r="AP49" s="1"/>
  <c r="AP59"/>
  <c r="AN53"/>
  <c r="AN44"/>
  <c r="AP44" s="1"/>
  <c r="AN35"/>
  <c r="N35" s="1"/>
  <c r="O35" s="1"/>
  <c r="AN46"/>
  <c r="AP46" s="1"/>
  <c r="AN47"/>
  <c r="AP47" s="1"/>
  <c r="AN39"/>
  <c r="AP39" s="1"/>
  <c r="AF56"/>
  <c r="AN56" s="1"/>
  <c r="AP56" s="1"/>
  <c r="AF41"/>
  <c r="AN41" s="1"/>
  <c r="AP41" s="1"/>
  <c r="AP42"/>
  <c r="AB40"/>
  <c r="AF40" s="1"/>
  <c r="AJ40"/>
  <c r="AL40"/>
  <c r="AF55"/>
  <c r="AN55" s="1"/>
  <c r="AP55" s="1"/>
  <c r="AN36"/>
  <c r="AP36" s="1"/>
  <c r="AN43"/>
  <c r="AP43" s="1"/>
  <c r="AN37"/>
  <c r="AP37" s="1"/>
  <c r="AN51"/>
  <c r="AP51" s="1"/>
  <c r="AF52"/>
  <c r="AN52" s="1"/>
  <c r="AP52" s="1"/>
  <c r="AF57"/>
  <c r="AN57" s="1"/>
  <c r="AP57" s="1"/>
  <c r="AF38"/>
  <c r="AN38" s="1"/>
  <c r="AP38" s="1"/>
  <c r="AP53"/>
  <c r="AP50"/>
  <c r="AP35" l="1"/>
  <c r="AN40"/>
  <c r="AP40" s="1"/>
</calcChain>
</file>

<file path=xl/comments1.xml><?xml version="1.0" encoding="utf-8"?>
<comments xmlns="http://schemas.openxmlformats.org/spreadsheetml/2006/main">
  <authors>
    <author>ajay.madan</author>
  </authors>
  <commentList>
    <comment ref="Q7" authorId="0">
      <text>
        <r>
          <rPr>
            <b/>
            <sz val="8"/>
            <color indexed="81"/>
            <rFont val="Tahoma"/>
            <family val="2"/>
          </rPr>
          <t>Enter pipe classes or line numbers for which this spreadsheet is applicable.</t>
        </r>
        <r>
          <rPr>
            <sz val="8"/>
            <color indexed="81"/>
            <rFont val="Tahoma"/>
            <family val="2"/>
          </rPr>
          <t xml:space="preserve">
</t>
        </r>
      </text>
    </comment>
    <comment ref="G28" authorId="0">
      <text>
        <r>
          <rPr>
            <b/>
            <sz val="8"/>
            <color indexed="81"/>
            <rFont val="Tahoma"/>
            <family val="2"/>
          </rPr>
          <t>Fill in value for either c2h or c3h only</t>
        </r>
      </text>
    </comment>
    <comment ref="K28" authorId="0">
      <text>
        <r>
          <rPr>
            <b/>
            <sz val="8"/>
            <color indexed="81"/>
            <rFont val="Tahoma"/>
            <family val="2"/>
          </rPr>
          <t>Fill in value for either c2b or c3b only</t>
        </r>
        <r>
          <rPr>
            <sz val="8"/>
            <color indexed="81"/>
            <rFont val="Tahoma"/>
            <family val="2"/>
          </rPr>
          <t xml:space="preserve">
</t>
        </r>
      </text>
    </comment>
  </commentList>
</comments>
</file>

<file path=xl/sharedStrings.xml><?xml version="1.0" encoding="utf-8"?>
<sst xmlns="http://schemas.openxmlformats.org/spreadsheetml/2006/main" count="713" uniqueCount="258">
  <si>
    <t>%</t>
  </si>
  <si>
    <t>NPS</t>
  </si>
  <si>
    <t>inch</t>
  </si>
  <si>
    <t>NOTES:</t>
  </si>
  <si>
    <t>mm</t>
  </si>
  <si>
    <t>bar g</t>
  </si>
  <si>
    <t>MPa</t>
  </si>
  <si>
    <t>STD</t>
  </si>
  <si>
    <t>XS</t>
  </si>
  <si>
    <t>XXS</t>
  </si>
  <si>
    <t>DATA:</t>
  </si>
  <si>
    <t>Remarks</t>
  </si>
  <si>
    <t>Process parameters</t>
  </si>
  <si>
    <t>Material data</t>
  </si>
  <si>
    <t>Allowances</t>
  </si>
  <si>
    <t>Project:</t>
  </si>
  <si>
    <t>Client:</t>
  </si>
  <si>
    <t>Doc No:</t>
  </si>
  <si>
    <t>Job No:</t>
  </si>
  <si>
    <t>Rev:</t>
  </si>
  <si>
    <t>Date:</t>
  </si>
  <si>
    <t>Prep by:</t>
  </si>
  <si>
    <t>NA = Not applicable</t>
  </si>
  <si>
    <t>1.</t>
  </si>
  <si>
    <t>2.</t>
  </si>
  <si>
    <t>Revision</t>
  </si>
  <si>
    <t>Date</t>
  </si>
  <si>
    <t>Rev</t>
  </si>
  <si>
    <t>Description of Change</t>
  </si>
  <si>
    <t>Reviewer</t>
  </si>
  <si>
    <t>Approver</t>
  </si>
  <si>
    <t>Records of approval are retained in the BMS/Quality Department</t>
  </si>
  <si>
    <t>B P Gupta</t>
  </si>
  <si>
    <t>A M Madan</t>
  </si>
  <si>
    <t>CONTENTS</t>
  </si>
  <si>
    <t>The spreadsheet calculates the values of cells highlighted green.</t>
  </si>
  <si>
    <r>
      <t>o</t>
    </r>
    <r>
      <rPr>
        <sz val="9"/>
        <rFont val="Trebuchet MS"/>
        <family val="2"/>
      </rPr>
      <t>C</t>
    </r>
  </si>
  <si>
    <t>Chkd by:</t>
  </si>
  <si>
    <t>PROCESS PIPING</t>
  </si>
  <si>
    <t>WELDED AND SEAMLESS WROUGHT STEEL PIPE</t>
  </si>
  <si>
    <t>STAINLESS STEEL PIPE</t>
  </si>
  <si>
    <r>
      <t>o</t>
    </r>
    <r>
      <rPr>
        <sz val="9"/>
        <rFont val="Trebuchet MS"/>
        <family val="2"/>
      </rPr>
      <t>F</t>
    </r>
  </si>
  <si>
    <t>ksi</t>
  </si>
  <si>
    <t>(Ref. Table A-1, ASME B31.3)</t>
  </si>
  <si>
    <t>(Ref. Table A-1B, ASME B31.3)</t>
  </si>
  <si>
    <t>(Ref. Table 304.1.1, ASME B31.3)</t>
  </si>
  <si>
    <t>(Ref. Para 302.3.5(e), ASME B31.3)</t>
  </si>
  <si>
    <t>(Refer relevant ASTM standard)</t>
  </si>
  <si>
    <t>Standard/grade:</t>
  </si>
  <si>
    <t>The validation has been performed by the following persons:</t>
  </si>
  <si>
    <t>Discipline Engineer:</t>
  </si>
  <si>
    <t>Discipline Checker:</t>
  </si>
  <si>
    <t>Independent Tester:</t>
  </si>
  <si>
    <t>ASME B36.19M-2004</t>
  </si>
  <si>
    <t>ASME B36.10M-2004</t>
  </si>
  <si>
    <t>Header</t>
  </si>
  <si>
    <t>Branch</t>
  </si>
  <si>
    <t>deg</t>
  </si>
  <si>
    <t>HEADER PIPE</t>
  </si>
  <si>
    <t>BRANCH PIPE</t>
  </si>
  <si>
    <t>b</t>
  </si>
  <si>
    <t>Stress value</t>
  </si>
  <si>
    <t>Quality factor</t>
  </si>
  <si>
    <t>Coefficient</t>
  </si>
  <si>
    <t>Corrosion allowance</t>
  </si>
  <si>
    <t>Mill undertolerance on thickness</t>
  </si>
  <si>
    <r>
      <t>Design pressure (internal)</t>
    </r>
    <r>
      <rPr>
        <i/>
        <sz val="9"/>
        <rFont val="Times New Roman"/>
        <family val="1"/>
      </rPr>
      <t/>
    </r>
  </si>
  <si>
    <t>=</t>
  </si>
  <si>
    <t>Design temperature</t>
  </si>
  <si>
    <t>Effective branch weld area within reinf zone</t>
  </si>
  <si>
    <t>OD</t>
  </si>
  <si>
    <t>Effective Rpad weld area within reinf zone</t>
  </si>
  <si>
    <t>Sch5S</t>
  </si>
  <si>
    <t>Sch10</t>
  </si>
  <si>
    <t>Sch10S</t>
  </si>
  <si>
    <t>Sch20</t>
  </si>
  <si>
    <t>Sch30</t>
  </si>
  <si>
    <t>Sch40</t>
  </si>
  <si>
    <t>Sch40S</t>
  </si>
  <si>
    <t>Sch60</t>
  </si>
  <si>
    <t>Sch80</t>
  </si>
  <si>
    <t>Sch80S</t>
  </si>
  <si>
    <t>Sch100</t>
  </si>
  <si>
    <t>Sch120</t>
  </si>
  <si>
    <t>Sch140</t>
  </si>
  <si>
    <t>Sch160</t>
  </si>
  <si>
    <r>
      <t>mm</t>
    </r>
    <r>
      <rPr>
        <vertAlign val="superscript"/>
        <sz val="9"/>
        <rFont val="Trebuchet MS"/>
        <family val="2"/>
      </rPr>
      <t>2</t>
    </r>
  </si>
  <si>
    <t>Pipe Size</t>
  </si>
  <si>
    <t>Wall thickness</t>
  </si>
  <si>
    <t>Angle</t>
  </si>
  <si>
    <t>REINFORCE-MENT PAD</t>
  </si>
  <si>
    <t>Dia</t>
  </si>
  <si>
    <t>Thk</t>
  </si>
  <si>
    <t>Sch/mm</t>
  </si>
  <si>
    <t>Reinforcement required</t>
  </si>
  <si>
    <t>Reinforcement available</t>
  </si>
  <si>
    <t>LIST OF PIPE WALL THICKNESSES</t>
  </si>
  <si>
    <t>BRANCH PIPE CONNECTION REINFORCEMENT
CALCULATION SHEET
(ASME B31.3)</t>
  </si>
  <si>
    <t>A</t>
  </si>
  <si>
    <t>Stress value for the reinforcement pad material is assumed to be same as that of the header pipe.</t>
  </si>
  <si>
    <t>The mill undertolerance on the thickness of the reinforcement pad material is assumed to be same as that of the header pipe.</t>
  </si>
  <si>
    <t>Welds are assumed to be 45 degree fillets.</t>
  </si>
  <si>
    <t>The calculations on this sheet are applicable for the following:</t>
  </si>
  <si>
    <t>Weld joint strength reduction factor</t>
  </si>
  <si>
    <t>REINFORCEMENT REQUIRED</t>
  </si>
  <si>
    <t>REINFORCEMENT AVAILABLE</t>
  </si>
  <si>
    <t>Is the reinforce-ment available adequate?</t>
  </si>
  <si>
    <r>
      <t>PD</t>
    </r>
    <r>
      <rPr>
        <i/>
        <vertAlign val="subscript"/>
        <sz val="9"/>
        <rFont val="Times New Roman"/>
        <family val="1"/>
      </rPr>
      <t>h</t>
    </r>
    <r>
      <rPr>
        <i/>
        <sz val="9"/>
        <rFont val="Times New Roman"/>
        <family val="1"/>
      </rPr>
      <t>/</t>
    </r>
    <r>
      <rPr>
        <sz val="9"/>
        <rFont val="Times New Roman"/>
        <family val="1"/>
      </rPr>
      <t>2</t>
    </r>
    <r>
      <rPr>
        <i/>
        <sz val="9"/>
        <rFont val="Times New Roman"/>
        <family val="1"/>
      </rPr>
      <t>(S</t>
    </r>
    <r>
      <rPr>
        <i/>
        <vertAlign val="subscript"/>
        <sz val="9"/>
        <rFont val="Times New Roman"/>
        <family val="1"/>
      </rPr>
      <t>h</t>
    </r>
    <r>
      <rPr>
        <i/>
        <sz val="9"/>
        <rFont val="Times New Roman"/>
        <family val="1"/>
      </rPr>
      <t>E</t>
    </r>
    <r>
      <rPr>
        <i/>
        <vertAlign val="subscript"/>
        <sz val="9"/>
        <rFont val="Times New Roman"/>
        <family val="1"/>
      </rPr>
      <t>h</t>
    </r>
    <r>
      <rPr>
        <i/>
        <sz val="9"/>
        <rFont val="Times New Roman"/>
        <family val="1"/>
      </rPr>
      <t>W</t>
    </r>
    <r>
      <rPr>
        <i/>
        <vertAlign val="subscript"/>
        <sz val="9"/>
        <rFont val="Times New Roman"/>
        <family val="1"/>
      </rPr>
      <t>h</t>
    </r>
    <r>
      <rPr>
        <i/>
        <sz val="9"/>
        <rFont val="Times New Roman"/>
        <family val="1"/>
      </rPr>
      <t xml:space="preserve"> + PY</t>
    </r>
    <r>
      <rPr>
        <i/>
        <vertAlign val="subscript"/>
        <sz val="9"/>
        <rFont val="Times New Roman"/>
        <family val="1"/>
      </rPr>
      <t>h</t>
    </r>
    <r>
      <rPr>
        <i/>
        <sz val="9"/>
        <rFont val="Times New Roman"/>
        <family val="1"/>
      </rPr>
      <t>)</t>
    </r>
  </si>
  <si>
    <r>
      <t>PD</t>
    </r>
    <r>
      <rPr>
        <i/>
        <vertAlign val="subscript"/>
        <sz val="9"/>
        <rFont val="Times New Roman"/>
        <family val="1"/>
      </rPr>
      <t>b</t>
    </r>
    <r>
      <rPr>
        <i/>
        <sz val="9"/>
        <rFont val="Times New Roman"/>
        <family val="1"/>
      </rPr>
      <t>/</t>
    </r>
    <r>
      <rPr>
        <sz val="9"/>
        <rFont val="Times New Roman"/>
        <family val="1"/>
      </rPr>
      <t>2</t>
    </r>
    <r>
      <rPr>
        <i/>
        <sz val="9"/>
        <rFont val="Times New Roman"/>
        <family val="1"/>
      </rPr>
      <t>(S</t>
    </r>
    <r>
      <rPr>
        <i/>
        <vertAlign val="subscript"/>
        <sz val="9"/>
        <rFont val="Times New Roman"/>
        <family val="1"/>
      </rPr>
      <t>b</t>
    </r>
    <r>
      <rPr>
        <i/>
        <sz val="9"/>
        <rFont val="Times New Roman"/>
        <family val="1"/>
      </rPr>
      <t>E</t>
    </r>
    <r>
      <rPr>
        <i/>
        <vertAlign val="subscript"/>
        <sz val="9"/>
        <rFont val="Times New Roman"/>
        <family val="1"/>
      </rPr>
      <t>b</t>
    </r>
    <r>
      <rPr>
        <i/>
        <sz val="9"/>
        <rFont val="Times New Roman"/>
        <family val="1"/>
      </rPr>
      <t>W</t>
    </r>
    <r>
      <rPr>
        <i/>
        <vertAlign val="subscript"/>
        <sz val="9"/>
        <rFont val="Times New Roman"/>
        <family val="1"/>
      </rPr>
      <t>b</t>
    </r>
    <r>
      <rPr>
        <i/>
        <sz val="9"/>
        <rFont val="Times New Roman"/>
        <family val="1"/>
      </rPr>
      <t xml:space="preserve"> + PY</t>
    </r>
    <r>
      <rPr>
        <i/>
        <vertAlign val="subscript"/>
        <sz val="9"/>
        <rFont val="Times New Roman"/>
        <family val="1"/>
      </rPr>
      <t>b</t>
    </r>
    <r>
      <rPr>
        <i/>
        <sz val="9"/>
        <rFont val="Times New Roman"/>
        <family val="1"/>
      </rPr>
      <t>)</t>
    </r>
  </si>
  <si>
    <r>
      <t>D</t>
    </r>
    <r>
      <rPr>
        <i/>
        <vertAlign val="subscript"/>
        <sz val="9"/>
        <rFont val="Times New Roman"/>
        <family val="1"/>
      </rPr>
      <t>r</t>
    </r>
    <r>
      <rPr>
        <i/>
        <sz val="9"/>
        <rFont val="Times New Roman"/>
        <family val="1"/>
      </rPr>
      <t xml:space="preserve"> </t>
    </r>
    <r>
      <rPr>
        <sz val="9"/>
        <rFont val="Trebuchet MS"/>
        <family val="2"/>
      </rPr>
      <t xml:space="preserve">or </t>
    </r>
    <r>
      <rPr>
        <sz val="9"/>
        <rFont val="Times New Roman"/>
        <family val="1"/>
      </rPr>
      <t>2</t>
    </r>
    <r>
      <rPr>
        <i/>
        <sz val="9"/>
        <rFont val="Times New Roman"/>
        <family val="1"/>
      </rPr>
      <t>d</t>
    </r>
    <r>
      <rPr>
        <vertAlign val="subscript"/>
        <sz val="9"/>
        <rFont val="Times New Roman"/>
        <family val="1"/>
      </rPr>
      <t>2</t>
    </r>
    <r>
      <rPr>
        <sz val="9"/>
        <rFont val="Trebuchet MS"/>
        <family val="2"/>
      </rPr>
      <t>, whichever is less</t>
    </r>
  </si>
  <si>
    <r>
      <t>T</t>
    </r>
    <r>
      <rPr>
        <i/>
        <vertAlign val="subscript"/>
        <sz val="9"/>
        <rFont val="Terminal"/>
        <family val="3"/>
        <charset val="255"/>
      </rPr>
      <t>r</t>
    </r>
    <r>
      <rPr>
        <vertAlign val="subscript"/>
        <sz val="9"/>
        <rFont val="Terminal"/>
        <family val="3"/>
        <charset val="255"/>
      </rPr>
      <t xml:space="preserve"> </t>
    </r>
    <r>
      <rPr>
        <sz val="9"/>
        <rFont val="Trebuchet MS"/>
        <family val="2"/>
      </rPr>
      <t xml:space="preserve">or </t>
    </r>
    <r>
      <rPr>
        <i/>
        <sz val="9"/>
        <rFont val="Times New Roman"/>
        <family val="1"/>
      </rPr>
      <t>L</t>
    </r>
    <r>
      <rPr>
        <vertAlign val="subscript"/>
        <sz val="9"/>
        <rFont val="Times New Roman"/>
        <family val="1"/>
      </rPr>
      <t>4</t>
    </r>
    <r>
      <rPr>
        <sz val="9"/>
        <rFont val="Trebuchet MS"/>
        <family val="2"/>
      </rPr>
      <t>, whichever is less</t>
    </r>
  </si>
  <si>
    <r>
      <t>0.5</t>
    </r>
    <r>
      <rPr>
        <i/>
        <sz val="9"/>
        <rFont val="Times New Roman"/>
        <family val="1"/>
      </rPr>
      <t>T'</t>
    </r>
    <r>
      <rPr>
        <vertAlign val="subscript"/>
        <sz val="9"/>
        <rFont val="Times New Roman"/>
        <family val="1"/>
      </rPr>
      <t>r</t>
    </r>
  </si>
  <si>
    <r>
      <t xml:space="preserve">2 </t>
    </r>
    <r>
      <rPr>
        <sz val="9"/>
        <rFont val="Trebuchet MS"/>
        <family val="2"/>
      </rPr>
      <t>x</t>
    </r>
    <r>
      <rPr>
        <i/>
        <sz val="9"/>
        <rFont val="Trebuchet MS"/>
        <family val="2"/>
      </rPr>
      <t xml:space="preserve"> </t>
    </r>
    <r>
      <rPr>
        <i/>
        <sz val="9"/>
        <rFont val="Times New Roman"/>
        <family val="1"/>
      </rPr>
      <t>½</t>
    </r>
    <r>
      <rPr>
        <sz val="9"/>
        <rFont val="Times New Roman"/>
        <family val="1"/>
      </rPr>
      <t>(</t>
    </r>
    <r>
      <rPr>
        <i/>
        <sz val="9"/>
        <rFont val="Times New Roman"/>
        <family val="1"/>
      </rPr>
      <t>t</t>
    </r>
    <r>
      <rPr>
        <i/>
        <vertAlign val="subscript"/>
        <sz val="9"/>
        <rFont val="Times New Roman"/>
        <family val="1"/>
      </rPr>
      <t>c</t>
    </r>
    <r>
      <rPr>
        <sz val="9"/>
        <rFont val="Times New Roman"/>
        <family val="1"/>
      </rPr>
      <t>/0.707)</t>
    </r>
    <r>
      <rPr>
        <vertAlign val="superscript"/>
        <sz val="9"/>
        <rFont val="Times New Roman"/>
        <family val="1"/>
      </rPr>
      <t>2</t>
    </r>
    <r>
      <rPr>
        <vertAlign val="superscript"/>
        <sz val="9"/>
        <rFont val="Trebuchet MS"/>
        <family val="2"/>
      </rPr>
      <t xml:space="preserve">
</t>
    </r>
    <r>
      <rPr>
        <sz val="9"/>
        <rFont val="Trebuchet MS"/>
        <family val="2"/>
      </rPr>
      <t>[branch weld area]</t>
    </r>
  </si>
  <si>
    <r>
      <t>2</t>
    </r>
    <r>
      <rPr>
        <sz val="9"/>
        <rFont val="Trebuchet MS"/>
        <family val="2"/>
      </rPr>
      <t xml:space="preserve"> x</t>
    </r>
    <r>
      <rPr>
        <i/>
        <sz val="9"/>
        <rFont val="Trebuchet MS"/>
        <family val="2"/>
      </rPr>
      <t xml:space="preserve"> </t>
    </r>
    <r>
      <rPr>
        <vertAlign val="superscript"/>
        <sz val="9"/>
        <rFont val="Times New Roman"/>
        <family val="1"/>
      </rPr>
      <t xml:space="preserve"> </t>
    </r>
    <r>
      <rPr>
        <sz val="9"/>
        <rFont val="Times New Roman"/>
        <family val="1"/>
      </rPr>
      <t>½(</t>
    </r>
    <r>
      <rPr>
        <i/>
        <sz val="9"/>
        <rFont val="Times New Roman"/>
        <family val="1"/>
      </rPr>
      <t>t</t>
    </r>
    <r>
      <rPr>
        <i/>
        <vertAlign val="subscript"/>
        <sz val="9"/>
        <rFont val="Times New Roman"/>
        <family val="1"/>
      </rPr>
      <t>r</t>
    </r>
    <r>
      <rPr>
        <sz val="9"/>
        <rFont val="Times New Roman"/>
        <family val="1"/>
      </rPr>
      <t>/0.707)</t>
    </r>
    <r>
      <rPr>
        <vertAlign val="superscript"/>
        <sz val="9"/>
        <rFont val="Times New Roman"/>
        <family val="1"/>
      </rPr>
      <t>2</t>
    </r>
    <r>
      <rPr>
        <vertAlign val="superscript"/>
        <sz val="9"/>
        <rFont val="Trebuchet MS"/>
        <family val="2"/>
      </rPr>
      <t xml:space="preserve">
</t>
    </r>
    <r>
      <rPr>
        <sz val="9"/>
        <rFont val="Trebuchet MS"/>
        <family val="2"/>
      </rPr>
      <t>[Rpad weld area]</t>
    </r>
  </si>
  <si>
    <r>
      <t>X</t>
    </r>
    <r>
      <rPr>
        <vertAlign val="subscript"/>
        <sz val="9"/>
        <rFont val="Times New Roman"/>
        <family val="1"/>
      </rPr>
      <t>1</t>
    </r>
    <r>
      <rPr>
        <i/>
        <sz val="9"/>
        <rFont val="Times New Roman"/>
        <family val="1"/>
      </rPr>
      <t>+ X</t>
    </r>
    <r>
      <rPr>
        <vertAlign val="subscript"/>
        <sz val="9"/>
        <rFont val="Times New Roman"/>
        <family val="1"/>
      </rPr>
      <t>2</t>
    </r>
    <r>
      <rPr>
        <sz val="9"/>
        <rFont val="Times New Roman"/>
        <family val="1"/>
      </rPr>
      <t>+ X</t>
    </r>
    <r>
      <rPr>
        <vertAlign val="subscript"/>
        <sz val="9"/>
        <rFont val="Times New Roman"/>
        <family val="1"/>
      </rPr>
      <t>3</t>
    </r>
  </si>
  <si>
    <r>
      <t>t</t>
    </r>
    <r>
      <rPr>
        <i/>
        <vertAlign val="subscript"/>
        <sz val="10"/>
        <rFont val="Times New Roman"/>
        <family val="1"/>
      </rPr>
      <t>h</t>
    </r>
    <r>
      <rPr>
        <i/>
        <sz val="10"/>
        <rFont val="Times New Roman"/>
        <family val="1"/>
      </rPr>
      <t>=</t>
    </r>
  </si>
  <si>
    <r>
      <t>t</t>
    </r>
    <r>
      <rPr>
        <i/>
        <vertAlign val="subscript"/>
        <sz val="10"/>
        <rFont val="Times New Roman"/>
        <family val="1"/>
      </rPr>
      <t>b</t>
    </r>
    <r>
      <rPr>
        <i/>
        <sz val="10"/>
        <rFont val="Times New Roman"/>
        <family val="1"/>
      </rPr>
      <t>=</t>
    </r>
  </si>
  <si>
    <r>
      <t>T</t>
    </r>
    <r>
      <rPr>
        <i/>
        <vertAlign val="subscript"/>
        <sz val="10"/>
        <rFont val="Times New Roman"/>
        <family val="1"/>
      </rPr>
      <t>h</t>
    </r>
    <r>
      <rPr>
        <i/>
        <sz val="10"/>
        <rFont val="Times New Roman"/>
        <family val="1"/>
      </rPr>
      <t>=</t>
    </r>
  </si>
  <si>
    <r>
      <t>T</t>
    </r>
    <r>
      <rPr>
        <i/>
        <vertAlign val="subscript"/>
        <sz val="10"/>
        <rFont val="Times New Roman"/>
        <family val="1"/>
      </rPr>
      <t>b</t>
    </r>
    <r>
      <rPr>
        <i/>
        <sz val="10"/>
        <rFont val="Times New Roman"/>
        <family val="1"/>
      </rPr>
      <t>=</t>
    </r>
  </si>
  <si>
    <r>
      <t>T</t>
    </r>
    <r>
      <rPr>
        <i/>
        <vertAlign val="subscript"/>
        <sz val="10"/>
        <rFont val="Times New Roman"/>
        <family val="1"/>
      </rPr>
      <t>r</t>
    </r>
    <r>
      <rPr>
        <i/>
        <sz val="10"/>
        <rFont val="Times New Roman"/>
        <family val="1"/>
      </rPr>
      <t>=</t>
    </r>
  </si>
  <si>
    <r>
      <t>L</t>
    </r>
    <r>
      <rPr>
        <vertAlign val="subscript"/>
        <sz val="10"/>
        <rFont val="Times New Roman"/>
        <family val="1"/>
      </rPr>
      <t>4</t>
    </r>
    <r>
      <rPr>
        <i/>
        <sz val="10"/>
        <rFont val="Times New Roman"/>
        <family val="1"/>
      </rPr>
      <t>=</t>
    </r>
  </si>
  <si>
    <r>
      <t>d</t>
    </r>
    <r>
      <rPr>
        <vertAlign val="subscript"/>
        <sz val="10"/>
        <rFont val="Times New Roman"/>
        <family val="1"/>
      </rPr>
      <t>1</t>
    </r>
    <r>
      <rPr>
        <i/>
        <sz val="10"/>
        <rFont val="Times New Roman"/>
        <family val="1"/>
      </rPr>
      <t>=</t>
    </r>
  </si>
  <si>
    <r>
      <t>d</t>
    </r>
    <r>
      <rPr>
        <i/>
        <vertAlign val="subscript"/>
        <sz val="10"/>
        <rFont val="Times New Roman"/>
        <family val="1"/>
      </rPr>
      <t>2</t>
    </r>
    <r>
      <rPr>
        <i/>
        <sz val="10"/>
        <rFont val="Times New Roman"/>
        <family val="1"/>
      </rPr>
      <t>=</t>
    </r>
  </si>
  <si>
    <r>
      <t>D</t>
    </r>
    <r>
      <rPr>
        <i/>
        <vertAlign val="subscript"/>
        <sz val="10"/>
        <rFont val="Times New Roman"/>
        <family val="1"/>
      </rPr>
      <t>reff</t>
    </r>
    <r>
      <rPr>
        <i/>
        <sz val="10"/>
        <rFont val="Times New Roman"/>
        <family val="1"/>
      </rPr>
      <t>=</t>
    </r>
  </si>
  <si>
    <r>
      <t>T</t>
    </r>
    <r>
      <rPr>
        <i/>
        <vertAlign val="subscript"/>
        <sz val="10"/>
        <rFont val="Times New Roman"/>
        <family val="1"/>
      </rPr>
      <t>reff</t>
    </r>
    <r>
      <rPr>
        <i/>
        <sz val="10"/>
        <rFont val="Times New Roman"/>
        <family val="1"/>
      </rPr>
      <t>=</t>
    </r>
  </si>
  <si>
    <r>
      <t>t</t>
    </r>
    <r>
      <rPr>
        <i/>
        <vertAlign val="subscript"/>
        <sz val="10"/>
        <rFont val="Times New Roman"/>
        <family val="1"/>
      </rPr>
      <t>c</t>
    </r>
    <r>
      <rPr>
        <i/>
        <sz val="10"/>
        <rFont val="Times New Roman"/>
        <family val="1"/>
      </rPr>
      <t>=</t>
    </r>
  </si>
  <si>
    <r>
      <t>t</t>
    </r>
    <r>
      <rPr>
        <i/>
        <vertAlign val="subscript"/>
        <sz val="10"/>
        <rFont val="Times New Roman"/>
        <family val="1"/>
      </rPr>
      <t>r</t>
    </r>
    <r>
      <rPr>
        <i/>
        <sz val="10"/>
        <rFont val="Times New Roman"/>
        <family val="1"/>
      </rPr>
      <t>=</t>
    </r>
  </si>
  <si>
    <r>
      <t>X</t>
    </r>
    <r>
      <rPr>
        <vertAlign val="subscript"/>
        <sz val="10"/>
        <rFont val="Times New Roman"/>
        <family val="1"/>
      </rPr>
      <t>1</t>
    </r>
    <r>
      <rPr>
        <i/>
        <sz val="10"/>
        <rFont val="Times New Roman"/>
        <family val="1"/>
      </rPr>
      <t>=</t>
    </r>
  </si>
  <si>
    <r>
      <t>X'</t>
    </r>
    <r>
      <rPr>
        <vertAlign val="subscript"/>
        <sz val="10"/>
        <rFont val="Times New Roman"/>
        <family val="1"/>
      </rPr>
      <t>2</t>
    </r>
    <r>
      <rPr>
        <i/>
        <sz val="10"/>
        <rFont val="Times New Roman"/>
        <family val="1"/>
      </rPr>
      <t>=</t>
    </r>
  </si>
  <si>
    <r>
      <t>X</t>
    </r>
    <r>
      <rPr>
        <vertAlign val="subscript"/>
        <sz val="10"/>
        <rFont val="Times New Roman"/>
        <family val="1"/>
      </rPr>
      <t>2</t>
    </r>
    <r>
      <rPr>
        <i/>
        <sz val="10"/>
        <rFont val="Times New Roman"/>
        <family val="1"/>
      </rPr>
      <t>=</t>
    </r>
  </si>
  <si>
    <r>
      <t>X'</t>
    </r>
    <r>
      <rPr>
        <vertAlign val="subscript"/>
        <sz val="10"/>
        <rFont val="Times New Roman"/>
        <family val="1"/>
      </rPr>
      <t>3</t>
    </r>
    <r>
      <rPr>
        <i/>
        <sz val="10"/>
        <rFont val="Times New Roman"/>
        <family val="1"/>
      </rPr>
      <t>=</t>
    </r>
  </si>
  <si>
    <r>
      <t>X</t>
    </r>
    <r>
      <rPr>
        <vertAlign val="subscript"/>
        <sz val="10"/>
        <rFont val="Times New Roman"/>
        <family val="1"/>
      </rPr>
      <t>3</t>
    </r>
    <r>
      <rPr>
        <i/>
        <sz val="10"/>
        <rFont val="Times New Roman"/>
        <family val="1"/>
      </rPr>
      <t>=</t>
    </r>
  </si>
  <si>
    <r>
      <t>A</t>
    </r>
    <r>
      <rPr>
        <vertAlign val="subscript"/>
        <sz val="10"/>
        <rFont val="Times New Roman"/>
        <family val="1"/>
      </rPr>
      <t>1</t>
    </r>
    <r>
      <rPr>
        <i/>
        <sz val="10"/>
        <rFont val="Times New Roman"/>
        <family val="1"/>
      </rPr>
      <t>=</t>
    </r>
  </si>
  <si>
    <r>
      <t>A</t>
    </r>
    <r>
      <rPr>
        <vertAlign val="subscript"/>
        <sz val="10"/>
        <rFont val="Times New Roman"/>
        <family val="1"/>
      </rPr>
      <t>2</t>
    </r>
    <r>
      <rPr>
        <i/>
        <sz val="10"/>
        <rFont val="Times New Roman"/>
        <family val="1"/>
      </rPr>
      <t>=</t>
    </r>
  </si>
  <si>
    <r>
      <t>A</t>
    </r>
    <r>
      <rPr>
        <vertAlign val="subscript"/>
        <sz val="10"/>
        <rFont val="Times New Roman"/>
        <family val="1"/>
      </rPr>
      <t>3</t>
    </r>
    <r>
      <rPr>
        <i/>
        <sz val="10"/>
        <rFont val="Times New Roman"/>
        <family val="1"/>
      </rPr>
      <t>=</t>
    </r>
  </si>
  <si>
    <r>
      <t>A</t>
    </r>
    <r>
      <rPr>
        <vertAlign val="subscript"/>
        <sz val="10"/>
        <rFont val="Times New Roman"/>
        <family val="1"/>
      </rPr>
      <t>4</t>
    </r>
    <r>
      <rPr>
        <i/>
        <sz val="10"/>
        <rFont val="Times New Roman"/>
        <family val="1"/>
      </rPr>
      <t>=</t>
    </r>
  </si>
  <si>
    <r>
      <t>A</t>
    </r>
    <r>
      <rPr>
        <vertAlign val="subscript"/>
        <sz val="10"/>
        <rFont val="Times New Roman"/>
        <family val="1"/>
      </rPr>
      <t>1</t>
    </r>
  </si>
  <si>
    <r>
      <t>[</t>
    </r>
    <r>
      <rPr>
        <i/>
        <sz val="9"/>
        <rFont val="Times New Roman"/>
        <family val="1"/>
      </rPr>
      <t>D</t>
    </r>
    <r>
      <rPr>
        <i/>
        <vertAlign val="subscript"/>
        <sz val="9"/>
        <rFont val="Times New Roman"/>
        <family val="1"/>
      </rPr>
      <t>b</t>
    </r>
    <r>
      <rPr>
        <i/>
        <sz val="9"/>
        <rFont val="Times New Roman"/>
        <family val="1"/>
      </rPr>
      <t xml:space="preserve"> -</t>
    </r>
    <r>
      <rPr>
        <sz val="9"/>
        <rFont val="Times New Roman"/>
        <family val="1"/>
      </rPr>
      <t xml:space="preserve"> 2(</t>
    </r>
    <r>
      <rPr>
        <i/>
        <sz val="9"/>
        <rFont val="Times New Roman"/>
        <family val="1"/>
      </rPr>
      <t>T</t>
    </r>
    <r>
      <rPr>
        <i/>
        <vertAlign val="subscript"/>
        <sz val="9"/>
        <rFont val="Times New Roman"/>
        <family val="1"/>
      </rPr>
      <t>b</t>
    </r>
    <r>
      <rPr>
        <i/>
        <sz val="9"/>
        <rFont val="Times New Roman"/>
        <family val="1"/>
      </rPr>
      <t xml:space="preserve"> - c</t>
    </r>
    <r>
      <rPr>
        <i/>
        <vertAlign val="subscript"/>
        <sz val="9"/>
        <rFont val="Times New Roman"/>
        <family val="1"/>
      </rPr>
      <t>1b</t>
    </r>
    <r>
      <rPr>
        <sz val="9"/>
        <rFont val="Times New Roman"/>
        <family val="1"/>
      </rPr>
      <t>)]/sin</t>
    </r>
    <r>
      <rPr>
        <sz val="9"/>
        <rFont val="Symbol"/>
        <family val="1"/>
        <charset val="2"/>
      </rPr>
      <t>b</t>
    </r>
  </si>
  <si>
    <r>
      <t>d</t>
    </r>
    <r>
      <rPr>
        <vertAlign val="subscript"/>
        <sz val="9"/>
        <rFont val="Times New Roman"/>
        <family val="1"/>
      </rPr>
      <t>1</t>
    </r>
    <r>
      <rPr>
        <i/>
        <sz val="9"/>
        <rFont val="Times New Roman"/>
        <family val="1"/>
      </rPr>
      <t xml:space="preserve"> </t>
    </r>
    <r>
      <rPr>
        <sz val="9"/>
        <rFont val="Trebuchet MS"/>
        <family val="2"/>
      </rPr>
      <t xml:space="preserve">or </t>
    </r>
    <r>
      <rPr>
        <sz val="9"/>
        <rFont val="Times New Roman"/>
        <family val="1"/>
      </rPr>
      <t>(</t>
    </r>
    <r>
      <rPr>
        <i/>
        <sz val="9"/>
        <rFont val="Times New Roman"/>
        <family val="1"/>
      </rPr>
      <t>T</t>
    </r>
    <r>
      <rPr>
        <i/>
        <vertAlign val="subscript"/>
        <sz val="9"/>
        <rFont val="Times New Roman"/>
        <family val="1"/>
      </rPr>
      <t>b</t>
    </r>
    <r>
      <rPr>
        <i/>
        <sz val="9"/>
        <rFont val="Times New Roman"/>
        <family val="1"/>
      </rPr>
      <t xml:space="preserve"> - c</t>
    </r>
    <r>
      <rPr>
        <i/>
        <vertAlign val="subscript"/>
        <sz val="9"/>
        <rFont val="Times New Roman"/>
        <family val="1"/>
      </rPr>
      <t>1b</t>
    </r>
    <r>
      <rPr>
        <sz val="9"/>
        <rFont val="Times New Roman"/>
        <family val="1"/>
      </rPr>
      <t>)</t>
    </r>
    <r>
      <rPr>
        <i/>
        <sz val="9"/>
        <rFont val="Times New Roman"/>
        <family val="1"/>
      </rPr>
      <t xml:space="preserve"> + </t>
    </r>
    <r>
      <rPr>
        <sz val="9"/>
        <rFont val="Times New Roman"/>
        <family val="1"/>
      </rPr>
      <t>(</t>
    </r>
    <r>
      <rPr>
        <i/>
        <sz val="9"/>
        <rFont val="Times New Roman"/>
        <family val="1"/>
      </rPr>
      <t>T</t>
    </r>
    <r>
      <rPr>
        <i/>
        <vertAlign val="subscript"/>
        <sz val="9"/>
        <rFont val="Times New Roman"/>
        <family val="1"/>
      </rPr>
      <t>h</t>
    </r>
    <r>
      <rPr>
        <i/>
        <sz val="9"/>
        <rFont val="Times New Roman"/>
        <family val="1"/>
      </rPr>
      <t xml:space="preserve"> - c</t>
    </r>
    <r>
      <rPr>
        <i/>
        <vertAlign val="subscript"/>
        <sz val="9"/>
        <rFont val="Times New Roman"/>
        <family val="1"/>
      </rPr>
      <t>1h</t>
    </r>
    <r>
      <rPr>
        <sz val="9"/>
        <rFont val="Times New Roman"/>
        <family val="1"/>
      </rPr>
      <t>)</t>
    </r>
    <r>
      <rPr>
        <i/>
        <sz val="9"/>
        <rFont val="Times New Roman"/>
        <family val="1"/>
      </rPr>
      <t xml:space="preserve"> + d</t>
    </r>
    <r>
      <rPr>
        <vertAlign val="subscript"/>
        <sz val="9"/>
        <rFont val="Times New Roman"/>
        <family val="1"/>
      </rPr>
      <t>1</t>
    </r>
    <r>
      <rPr>
        <sz val="9"/>
        <rFont val="Times New Roman"/>
        <family val="1"/>
      </rPr>
      <t>/2</t>
    </r>
    <r>
      <rPr>
        <i/>
        <sz val="9"/>
        <rFont val="Trebuchet MS"/>
        <family val="2"/>
      </rPr>
      <t xml:space="preserve">, </t>
    </r>
    <r>
      <rPr>
        <sz val="9"/>
        <rFont val="Trebuchet MS"/>
        <family val="2"/>
      </rPr>
      <t xml:space="preserve">whichever is greater, but not more than </t>
    </r>
    <r>
      <rPr>
        <i/>
        <sz val="9"/>
        <rFont val="Times New Roman"/>
        <family val="1"/>
      </rPr>
      <t>D</t>
    </r>
    <r>
      <rPr>
        <i/>
        <vertAlign val="subscript"/>
        <sz val="9"/>
        <rFont val="Times New Roman"/>
        <family val="1"/>
      </rPr>
      <t>h</t>
    </r>
  </si>
  <si>
    <r>
      <t>0.7</t>
    </r>
    <r>
      <rPr>
        <i/>
        <sz val="9"/>
        <rFont val="Times New Roman"/>
        <family val="1"/>
      </rPr>
      <t>T'</t>
    </r>
    <r>
      <rPr>
        <i/>
        <vertAlign val="subscript"/>
        <sz val="9"/>
        <rFont val="Times New Roman"/>
        <family val="1"/>
      </rPr>
      <t>b</t>
    </r>
    <r>
      <rPr>
        <i/>
        <sz val="9"/>
        <rFont val="Trebuchet MS"/>
        <family val="2"/>
      </rPr>
      <t xml:space="preserve"> </t>
    </r>
    <r>
      <rPr>
        <sz val="9"/>
        <rFont val="Trebuchet MS"/>
        <family val="2"/>
      </rPr>
      <t>or 6mm,
whichever is less</t>
    </r>
  </si>
  <si>
    <r>
      <t>T</t>
    </r>
    <r>
      <rPr>
        <i/>
        <vertAlign val="subscript"/>
        <sz val="9"/>
        <rFont val="Trebuchet MS"/>
        <family val="2"/>
      </rPr>
      <t>reff</t>
    </r>
    <r>
      <rPr>
        <sz val="9"/>
        <rFont val="Trebuchet MS"/>
        <family val="2"/>
      </rPr>
      <t>(</t>
    </r>
    <r>
      <rPr>
        <i/>
        <sz val="9"/>
        <rFont val="Trebuchet MS"/>
        <family val="2"/>
      </rPr>
      <t>D</t>
    </r>
    <r>
      <rPr>
        <i/>
        <vertAlign val="subscript"/>
        <sz val="9"/>
        <rFont val="Trebuchet MS"/>
        <family val="2"/>
      </rPr>
      <t>reff</t>
    </r>
    <r>
      <rPr>
        <i/>
        <sz val="9"/>
        <rFont val="Trebuchet MS"/>
        <family val="2"/>
      </rPr>
      <t xml:space="preserve"> - D</t>
    </r>
    <r>
      <rPr>
        <i/>
        <vertAlign val="subscript"/>
        <sz val="9"/>
        <rFont val="Trebuchet MS"/>
        <family val="2"/>
      </rPr>
      <t>b</t>
    </r>
    <r>
      <rPr>
        <sz val="9"/>
        <rFont val="Trebuchet MS"/>
        <family val="2"/>
      </rPr>
      <t>/sin</t>
    </r>
    <r>
      <rPr>
        <sz val="9"/>
        <rFont val="Symbol"/>
        <family val="1"/>
        <charset val="2"/>
      </rPr>
      <t>b</t>
    </r>
    <r>
      <rPr>
        <sz val="9"/>
        <rFont val="Trebuchet MS"/>
        <family val="2"/>
      </rPr>
      <t>) [effective Rpad area]</t>
    </r>
  </si>
  <si>
    <r>
      <t>t</t>
    </r>
    <r>
      <rPr>
        <i/>
        <vertAlign val="subscript"/>
        <sz val="9"/>
        <rFont val="Times New Roman"/>
        <family val="1"/>
      </rPr>
      <t>h</t>
    </r>
    <r>
      <rPr>
        <i/>
        <sz val="9"/>
        <rFont val="Times New Roman"/>
        <family val="1"/>
      </rPr>
      <t>d</t>
    </r>
    <r>
      <rPr>
        <vertAlign val="subscript"/>
        <sz val="9"/>
        <rFont val="Times New Roman"/>
        <family val="1"/>
      </rPr>
      <t>1</t>
    </r>
    <r>
      <rPr>
        <sz val="9"/>
        <rFont val="Times New Roman"/>
        <family val="1"/>
      </rPr>
      <t>(2-sin</t>
    </r>
    <r>
      <rPr>
        <sz val="9"/>
        <rFont val="Symbol"/>
        <family val="1"/>
        <charset val="2"/>
      </rPr>
      <t>b</t>
    </r>
    <r>
      <rPr>
        <sz val="9"/>
        <rFont val="Times New Roman"/>
        <family val="1"/>
      </rPr>
      <t>)</t>
    </r>
  </si>
  <si>
    <r>
      <t>2</t>
    </r>
    <r>
      <rPr>
        <i/>
        <sz val="9"/>
        <rFont val="Times New Roman"/>
        <family val="1"/>
      </rPr>
      <t>L</t>
    </r>
    <r>
      <rPr>
        <vertAlign val="subscript"/>
        <sz val="9"/>
        <rFont val="Times New Roman"/>
        <family val="1"/>
      </rPr>
      <t>4</t>
    </r>
    <r>
      <rPr>
        <sz val="9"/>
        <rFont val="Times New Roman"/>
        <family val="1"/>
      </rPr>
      <t>(</t>
    </r>
    <r>
      <rPr>
        <i/>
        <sz val="9"/>
        <rFont val="Times New Roman"/>
        <family val="1"/>
      </rPr>
      <t>T</t>
    </r>
    <r>
      <rPr>
        <i/>
        <vertAlign val="subscript"/>
        <sz val="9"/>
        <rFont val="Times New Roman"/>
        <family val="1"/>
      </rPr>
      <t>b</t>
    </r>
    <r>
      <rPr>
        <i/>
        <sz val="9"/>
        <rFont val="Times New Roman"/>
        <family val="1"/>
      </rPr>
      <t xml:space="preserve"> - t</t>
    </r>
    <r>
      <rPr>
        <i/>
        <vertAlign val="subscript"/>
        <sz val="9"/>
        <rFont val="Times New Roman"/>
        <family val="1"/>
      </rPr>
      <t>b</t>
    </r>
    <r>
      <rPr>
        <i/>
        <sz val="9"/>
        <rFont val="Times New Roman"/>
        <family val="1"/>
      </rPr>
      <t xml:space="preserve"> - c</t>
    </r>
    <r>
      <rPr>
        <i/>
        <vertAlign val="subscript"/>
        <sz val="9"/>
        <rFont val="Times New Roman"/>
        <family val="1"/>
      </rPr>
      <t>1b</t>
    </r>
    <r>
      <rPr>
        <sz val="9"/>
        <rFont val="Times New Roman"/>
        <family val="1"/>
      </rPr>
      <t>)/sin</t>
    </r>
    <r>
      <rPr>
        <sz val="9"/>
        <rFont val="Symbol"/>
        <family val="1"/>
        <charset val="2"/>
      </rPr>
      <t>b</t>
    </r>
  </si>
  <si>
    <r>
      <t>A</t>
    </r>
    <r>
      <rPr>
        <i/>
        <vertAlign val="subscript"/>
        <sz val="10"/>
        <rFont val="Times New Roman"/>
        <family val="1"/>
      </rPr>
      <t>2</t>
    </r>
    <r>
      <rPr>
        <i/>
        <sz val="10"/>
        <rFont val="Times New Roman"/>
        <family val="1"/>
      </rPr>
      <t>+A</t>
    </r>
    <r>
      <rPr>
        <i/>
        <vertAlign val="subscript"/>
        <sz val="10"/>
        <rFont val="Times New Roman"/>
        <family val="1"/>
      </rPr>
      <t xml:space="preserve">3 </t>
    </r>
    <r>
      <rPr>
        <i/>
        <sz val="10"/>
        <rFont val="Times New Roman"/>
        <family val="1"/>
      </rPr>
      <t>+A</t>
    </r>
    <r>
      <rPr>
        <i/>
        <vertAlign val="subscript"/>
        <sz val="10"/>
        <rFont val="Times New Roman"/>
        <family val="1"/>
      </rPr>
      <t>4</t>
    </r>
  </si>
  <si>
    <r>
      <t>D</t>
    </r>
    <r>
      <rPr>
        <i/>
        <vertAlign val="subscript"/>
        <sz val="9"/>
        <rFont val="Times New Roman"/>
        <family val="1"/>
      </rPr>
      <t>h</t>
    </r>
  </si>
  <si>
    <r>
      <t>T'</t>
    </r>
    <r>
      <rPr>
        <i/>
        <vertAlign val="subscript"/>
        <sz val="9"/>
        <rFont val="Times New Roman"/>
        <family val="1"/>
      </rPr>
      <t>h</t>
    </r>
  </si>
  <si>
    <r>
      <t>D</t>
    </r>
    <r>
      <rPr>
        <i/>
        <vertAlign val="subscript"/>
        <sz val="9"/>
        <rFont val="Times New Roman"/>
        <family val="1"/>
      </rPr>
      <t>b</t>
    </r>
  </si>
  <si>
    <r>
      <t>T'</t>
    </r>
    <r>
      <rPr>
        <i/>
        <vertAlign val="subscript"/>
        <sz val="9"/>
        <rFont val="Times New Roman"/>
        <family val="1"/>
      </rPr>
      <t>b</t>
    </r>
  </si>
  <si>
    <r>
      <t>D</t>
    </r>
    <r>
      <rPr>
        <i/>
        <vertAlign val="subscript"/>
        <sz val="9"/>
        <rFont val="Times New Roman"/>
        <family val="1"/>
      </rPr>
      <t>r</t>
    </r>
  </si>
  <si>
    <r>
      <t>T'</t>
    </r>
    <r>
      <rPr>
        <i/>
        <vertAlign val="subscript"/>
        <sz val="9"/>
        <rFont val="Times New Roman"/>
        <family val="1"/>
      </rPr>
      <t>r</t>
    </r>
  </si>
  <si>
    <t>Weld sizes are assumed to be the minimum specified in ASME B31.3 para 328.5.4.</t>
  </si>
  <si>
    <r>
      <t>S</t>
    </r>
    <r>
      <rPr>
        <i/>
        <vertAlign val="subscript"/>
        <sz val="9"/>
        <rFont val="Times New Roman"/>
        <family val="1"/>
      </rPr>
      <t>h</t>
    </r>
    <r>
      <rPr>
        <sz val="9"/>
        <rFont val="Times New Roman"/>
        <family val="1"/>
      </rPr>
      <t xml:space="preserve"> =</t>
    </r>
  </si>
  <si>
    <r>
      <t>E</t>
    </r>
    <r>
      <rPr>
        <i/>
        <vertAlign val="subscript"/>
        <sz val="9"/>
        <rFont val="Times New Roman"/>
        <family val="1"/>
      </rPr>
      <t>h</t>
    </r>
    <r>
      <rPr>
        <sz val="9"/>
        <rFont val="Times New Roman"/>
        <family val="1"/>
      </rPr>
      <t xml:space="preserve"> =</t>
    </r>
  </si>
  <si>
    <r>
      <t>W</t>
    </r>
    <r>
      <rPr>
        <i/>
        <vertAlign val="subscript"/>
        <sz val="9"/>
        <rFont val="Times New Roman"/>
        <family val="1"/>
      </rPr>
      <t>h</t>
    </r>
    <r>
      <rPr>
        <vertAlign val="subscript"/>
        <sz val="9"/>
        <rFont val="Times New Roman"/>
        <family val="1"/>
      </rPr>
      <t xml:space="preserve"> </t>
    </r>
    <r>
      <rPr>
        <sz val="9"/>
        <rFont val="Times New Roman"/>
        <family val="1"/>
      </rPr>
      <t>=</t>
    </r>
  </si>
  <si>
    <r>
      <t>Y</t>
    </r>
    <r>
      <rPr>
        <i/>
        <vertAlign val="subscript"/>
        <sz val="9"/>
        <rFont val="Times New Roman"/>
        <family val="1"/>
      </rPr>
      <t xml:space="preserve">h </t>
    </r>
    <r>
      <rPr>
        <vertAlign val="subscript"/>
        <sz val="9"/>
        <rFont val="Times New Roman"/>
        <family val="1"/>
      </rPr>
      <t xml:space="preserve"> </t>
    </r>
    <r>
      <rPr>
        <sz val="9"/>
        <rFont val="Times New Roman"/>
        <family val="1"/>
      </rPr>
      <t>=</t>
    </r>
  </si>
  <si>
    <r>
      <t xml:space="preserve"> c</t>
    </r>
    <r>
      <rPr>
        <i/>
        <vertAlign val="subscript"/>
        <sz val="9"/>
        <rFont val="Times New Roman"/>
        <family val="1"/>
      </rPr>
      <t>1h</t>
    </r>
    <r>
      <rPr>
        <sz val="9"/>
        <rFont val="Times New Roman"/>
        <family val="1"/>
      </rPr>
      <t xml:space="preserve"> =</t>
    </r>
  </si>
  <si>
    <r>
      <t xml:space="preserve"> c</t>
    </r>
    <r>
      <rPr>
        <i/>
        <vertAlign val="subscript"/>
        <sz val="9"/>
        <rFont val="Times New Roman"/>
        <family val="1"/>
      </rPr>
      <t>2h</t>
    </r>
    <r>
      <rPr>
        <sz val="9"/>
        <rFont val="Times New Roman"/>
        <family val="1"/>
      </rPr>
      <t xml:space="preserve"> =</t>
    </r>
  </si>
  <si>
    <r>
      <t>S</t>
    </r>
    <r>
      <rPr>
        <i/>
        <vertAlign val="subscript"/>
        <sz val="9"/>
        <rFont val="Times New Roman"/>
        <family val="1"/>
      </rPr>
      <t>b</t>
    </r>
    <r>
      <rPr>
        <sz val="9"/>
        <rFont val="Times New Roman"/>
        <family val="1"/>
      </rPr>
      <t xml:space="preserve"> =</t>
    </r>
  </si>
  <si>
    <r>
      <t>E</t>
    </r>
    <r>
      <rPr>
        <i/>
        <vertAlign val="subscript"/>
        <sz val="9"/>
        <rFont val="Times New Roman"/>
        <family val="1"/>
      </rPr>
      <t>b</t>
    </r>
    <r>
      <rPr>
        <sz val="9"/>
        <rFont val="Times New Roman"/>
        <family val="1"/>
      </rPr>
      <t xml:space="preserve"> =</t>
    </r>
  </si>
  <si>
    <r>
      <t>W</t>
    </r>
    <r>
      <rPr>
        <i/>
        <vertAlign val="subscript"/>
        <sz val="9"/>
        <rFont val="Times New Roman"/>
        <family val="1"/>
      </rPr>
      <t>b</t>
    </r>
    <r>
      <rPr>
        <vertAlign val="subscript"/>
        <sz val="9"/>
        <rFont val="Times New Roman"/>
        <family val="1"/>
      </rPr>
      <t xml:space="preserve"> </t>
    </r>
    <r>
      <rPr>
        <sz val="9"/>
        <rFont val="Times New Roman"/>
        <family val="1"/>
      </rPr>
      <t>=</t>
    </r>
  </si>
  <si>
    <r>
      <t>Y</t>
    </r>
    <r>
      <rPr>
        <i/>
        <vertAlign val="subscript"/>
        <sz val="9"/>
        <rFont val="Times New Roman"/>
        <family val="1"/>
      </rPr>
      <t xml:space="preserve">b </t>
    </r>
    <r>
      <rPr>
        <vertAlign val="subscript"/>
        <sz val="9"/>
        <rFont val="Times New Roman"/>
        <family val="1"/>
      </rPr>
      <t xml:space="preserve"> </t>
    </r>
    <r>
      <rPr>
        <sz val="9"/>
        <rFont val="Times New Roman"/>
        <family val="1"/>
      </rPr>
      <t>=</t>
    </r>
  </si>
  <si>
    <r>
      <t xml:space="preserve"> c</t>
    </r>
    <r>
      <rPr>
        <i/>
        <vertAlign val="subscript"/>
        <sz val="9"/>
        <rFont val="Times New Roman"/>
        <family val="1"/>
      </rPr>
      <t>1b</t>
    </r>
    <r>
      <rPr>
        <sz val="9"/>
        <rFont val="Times New Roman"/>
        <family val="1"/>
      </rPr>
      <t xml:space="preserve"> =</t>
    </r>
  </si>
  <si>
    <r>
      <t xml:space="preserve"> c</t>
    </r>
    <r>
      <rPr>
        <i/>
        <vertAlign val="subscript"/>
        <sz val="9"/>
        <rFont val="Times New Roman"/>
        <family val="1"/>
      </rPr>
      <t>2b</t>
    </r>
    <r>
      <rPr>
        <sz val="9"/>
        <rFont val="Times New Roman"/>
        <family val="1"/>
      </rPr>
      <t xml:space="preserve"> =</t>
    </r>
  </si>
  <si>
    <r>
      <t>P</t>
    </r>
    <r>
      <rPr>
        <sz val="9"/>
        <rFont val="Times New Roman"/>
        <family val="1"/>
      </rPr>
      <t xml:space="preserve"> =</t>
    </r>
  </si>
  <si>
    <r>
      <t>T</t>
    </r>
    <r>
      <rPr>
        <sz val="9"/>
        <rFont val="Times New Roman"/>
        <family val="1"/>
      </rPr>
      <t xml:space="preserve"> =</t>
    </r>
  </si>
  <si>
    <t>Sch5</t>
  </si>
  <si>
    <t>NA</t>
  </si>
  <si>
    <t>Draft in development</t>
  </si>
  <si>
    <t>STANDARD PIPE WALL THICKNESSES AS PER ASME B36.10M AND B36.19M</t>
  </si>
  <si>
    <r>
      <t xml:space="preserve"> c</t>
    </r>
    <r>
      <rPr>
        <i/>
        <vertAlign val="subscript"/>
        <sz val="9"/>
        <rFont val="Times New Roman"/>
        <family val="1"/>
      </rPr>
      <t>3h</t>
    </r>
    <r>
      <rPr>
        <sz val="9"/>
        <rFont val="Times New Roman"/>
        <family val="1"/>
      </rPr>
      <t xml:space="preserve"> =</t>
    </r>
  </si>
  <si>
    <r>
      <t xml:space="preserve"> c</t>
    </r>
    <r>
      <rPr>
        <i/>
        <vertAlign val="subscript"/>
        <sz val="9"/>
        <rFont val="Times New Roman"/>
        <family val="1"/>
      </rPr>
      <t>3b</t>
    </r>
    <r>
      <rPr>
        <sz val="9"/>
        <rFont val="Times New Roman"/>
        <family val="1"/>
      </rPr>
      <t xml:space="preserve"> =</t>
    </r>
  </si>
  <si>
    <r>
      <t>T'</t>
    </r>
    <r>
      <rPr>
        <i/>
        <vertAlign val="subscript"/>
        <sz val="9"/>
        <rFont val="Times New Roman"/>
        <family val="1"/>
      </rPr>
      <t>h</t>
    </r>
    <r>
      <rPr>
        <sz val="9"/>
        <rFont val="Times New Roman"/>
        <family val="1"/>
      </rPr>
      <t xml:space="preserve">(1 - </t>
    </r>
    <r>
      <rPr>
        <i/>
        <sz val="9"/>
        <rFont val="Times New Roman"/>
        <family val="1"/>
      </rPr>
      <t>c</t>
    </r>
    <r>
      <rPr>
        <i/>
        <vertAlign val="subscript"/>
        <sz val="9"/>
        <rFont val="Times New Roman"/>
        <family val="1"/>
      </rPr>
      <t>2h</t>
    </r>
    <r>
      <rPr>
        <sz val="9"/>
        <rFont val="Times New Roman"/>
        <family val="1"/>
      </rPr>
      <t xml:space="preserve">)  </t>
    </r>
    <r>
      <rPr>
        <u/>
        <sz val="9"/>
        <rFont val="Trebuchet MS"/>
        <family val="2"/>
      </rPr>
      <t>or</t>
    </r>
    <r>
      <rPr>
        <sz val="9"/>
        <rFont val="Times New Roman"/>
        <family val="1"/>
      </rPr>
      <t xml:space="preserve">  (</t>
    </r>
    <r>
      <rPr>
        <i/>
        <sz val="9"/>
        <rFont val="Times New Roman"/>
        <family val="1"/>
      </rPr>
      <t>T'</t>
    </r>
    <r>
      <rPr>
        <i/>
        <vertAlign val="subscript"/>
        <sz val="9"/>
        <rFont val="Times New Roman"/>
        <family val="1"/>
      </rPr>
      <t>h</t>
    </r>
    <r>
      <rPr>
        <sz val="9"/>
        <rFont val="Times New Roman"/>
        <family val="1"/>
      </rPr>
      <t xml:space="preserve"> - </t>
    </r>
    <r>
      <rPr>
        <i/>
        <sz val="9"/>
        <rFont val="Times New Roman"/>
        <family val="1"/>
      </rPr>
      <t>c</t>
    </r>
    <r>
      <rPr>
        <vertAlign val="subscript"/>
        <sz val="9"/>
        <rFont val="Times New Roman"/>
        <family val="1"/>
      </rPr>
      <t>3</t>
    </r>
    <r>
      <rPr>
        <i/>
        <vertAlign val="subscript"/>
        <sz val="9"/>
        <rFont val="Times New Roman"/>
        <family val="1"/>
      </rPr>
      <t>h</t>
    </r>
    <r>
      <rPr>
        <sz val="9"/>
        <rFont val="Times New Roman"/>
        <family val="1"/>
      </rPr>
      <t>)</t>
    </r>
  </si>
  <si>
    <r>
      <t>T'</t>
    </r>
    <r>
      <rPr>
        <i/>
        <vertAlign val="subscript"/>
        <sz val="9"/>
        <rFont val="Times New Roman"/>
        <family val="1"/>
      </rPr>
      <t>b</t>
    </r>
    <r>
      <rPr>
        <sz val="9"/>
        <rFont val="Times New Roman"/>
        <family val="1"/>
      </rPr>
      <t xml:space="preserve">(1 - </t>
    </r>
    <r>
      <rPr>
        <i/>
        <sz val="9"/>
        <rFont val="Times New Roman"/>
        <family val="1"/>
      </rPr>
      <t>c</t>
    </r>
    <r>
      <rPr>
        <i/>
        <vertAlign val="subscript"/>
        <sz val="9"/>
        <rFont val="Times New Roman"/>
        <family val="1"/>
      </rPr>
      <t>2b</t>
    </r>
    <r>
      <rPr>
        <sz val="9"/>
        <rFont val="Times New Roman"/>
        <family val="1"/>
      </rPr>
      <t xml:space="preserve">)  </t>
    </r>
    <r>
      <rPr>
        <u/>
        <sz val="9"/>
        <rFont val="Trebuchet MS"/>
        <family val="2"/>
      </rPr>
      <t>or</t>
    </r>
    <r>
      <rPr>
        <sz val="9"/>
        <rFont val="Times New Roman"/>
        <family val="1"/>
      </rPr>
      <t xml:space="preserve">  (</t>
    </r>
    <r>
      <rPr>
        <i/>
        <sz val="9"/>
        <rFont val="Times New Roman"/>
        <family val="1"/>
      </rPr>
      <t>T'</t>
    </r>
    <r>
      <rPr>
        <i/>
        <vertAlign val="subscript"/>
        <sz val="9"/>
        <rFont val="Times New Roman"/>
        <family val="1"/>
      </rPr>
      <t>b</t>
    </r>
    <r>
      <rPr>
        <sz val="9"/>
        <rFont val="Times New Roman"/>
        <family val="1"/>
      </rPr>
      <t xml:space="preserve"> - </t>
    </r>
    <r>
      <rPr>
        <i/>
        <sz val="9"/>
        <rFont val="Times New Roman"/>
        <family val="1"/>
      </rPr>
      <t>c</t>
    </r>
    <r>
      <rPr>
        <vertAlign val="subscript"/>
        <sz val="9"/>
        <rFont val="Times New Roman"/>
        <family val="1"/>
      </rPr>
      <t>3</t>
    </r>
    <r>
      <rPr>
        <i/>
        <vertAlign val="subscript"/>
        <sz val="9"/>
        <rFont val="Times New Roman"/>
        <family val="1"/>
      </rPr>
      <t>b</t>
    </r>
    <r>
      <rPr>
        <sz val="9"/>
        <rFont val="Times New Roman"/>
        <family val="1"/>
      </rPr>
      <t>)</t>
    </r>
  </si>
  <si>
    <r>
      <t>T'</t>
    </r>
    <r>
      <rPr>
        <i/>
        <vertAlign val="subscript"/>
        <sz val="9"/>
        <rFont val="Times New Roman"/>
        <family val="1"/>
      </rPr>
      <t>r</t>
    </r>
    <r>
      <rPr>
        <sz val="9"/>
        <rFont val="Times New Roman"/>
        <family val="1"/>
      </rPr>
      <t xml:space="preserve">(1 - </t>
    </r>
    <r>
      <rPr>
        <i/>
        <sz val="9"/>
        <rFont val="Times New Roman"/>
        <family val="1"/>
      </rPr>
      <t>c</t>
    </r>
    <r>
      <rPr>
        <i/>
        <vertAlign val="subscript"/>
        <sz val="9"/>
        <rFont val="Times New Roman"/>
        <family val="1"/>
      </rPr>
      <t>2h</t>
    </r>
    <r>
      <rPr>
        <sz val="9"/>
        <rFont val="Times New Roman"/>
        <family val="1"/>
      </rPr>
      <t xml:space="preserve">)  </t>
    </r>
    <r>
      <rPr>
        <u/>
        <sz val="9"/>
        <rFont val="Trebuchet MS"/>
        <family val="2"/>
      </rPr>
      <t>or</t>
    </r>
    <r>
      <rPr>
        <sz val="9"/>
        <rFont val="Times New Roman"/>
        <family val="1"/>
      </rPr>
      <t xml:space="preserve">  (</t>
    </r>
    <r>
      <rPr>
        <i/>
        <sz val="9"/>
        <rFont val="Times New Roman"/>
        <family val="1"/>
      </rPr>
      <t>T'</t>
    </r>
    <r>
      <rPr>
        <i/>
        <vertAlign val="subscript"/>
        <sz val="9"/>
        <rFont val="Times New Roman"/>
        <family val="1"/>
      </rPr>
      <t>r</t>
    </r>
    <r>
      <rPr>
        <sz val="9"/>
        <rFont val="Times New Roman"/>
        <family val="1"/>
      </rPr>
      <t xml:space="preserve"> - </t>
    </r>
    <r>
      <rPr>
        <i/>
        <sz val="9"/>
        <rFont val="Times New Roman"/>
        <family val="1"/>
      </rPr>
      <t>c</t>
    </r>
    <r>
      <rPr>
        <vertAlign val="subscript"/>
        <sz val="9"/>
        <rFont val="Times New Roman"/>
        <family val="1"/>
      </rPr>
      <t>3</t>
    </r>
    <r>
      <rPr>
        <i/>
        <vertAlign val="subscript"/>
        <sz val="9"/>
        <rFont val="Times New Roman"/>
        <family val="1"/>
      </rPr>
      <t>h</t>
    </r>
    <r>
      <rPr>
        <sz val="9"/>
        <rFont val="Times New Roman"/>
        <family val="1"/>
      </rPr>
      <t>)</t>
    </r>
  </si>
  <si>
    <t>or</t>
  </si>
  <si>
    <t>Document Number</t>
  </si>
  <si>
    <t>Applicability</t>
  </si>
  <si>
    <t>Document Type</t>
  </si>
  <si>
    <t>REVISION / APPROVAL HISTORY</t>
  </si>
  <si>
    <t>Originator</t>
  </si>
  <si>
    <t>PURPOSE</t>
  </si>
  <si>
    <t>SCOPE</t>
  </si>
  <si>
    <t>DEFINITIONS AND ACRONYMS</t>
  </si>
  <si>
    <t>Definitions</t>
  </si>
  <si>
    <t>Acronyms</t>
  </si>
  <si>
    <t xml:space="preserve">REFERENCES </t>
  </si>
  <si>
    <t xml:space="preserve">RESPONSIBILITY &amp; AUTHORITY </t>
  </si>
  <si>
    <t>DESCRIPTION OF ACTIVITIES</t>
  </si>
  <si>
    <t>RECORDS</t>
  </si>
  <si>
    <t>APPENDICES</t>
  </si>
  <si>
    <t>1.0    PURPOSE</t>
  </si>
  <si>
    <t>2.0    SCOPE</t>
  </si>
  <si>
    <t>3.0     DEFINITIONS AND ACRONYMS</t>
  </si>
  <si>
    <t>3.1    Definitions</t>
  </si>
  <si>
    <t>3.2    Acronyms</t>
  </si>
  <si>
    <t xml:space="preserve">4.0    REFERENCES </t>
  </si>
  <si>
    <t xml:space="preserve">5.0    RESPONSIBILITY &amp; AUTHORITY </t>
  </si>
  <si>
    <t>6.0    DESCRIPTION OF ACTIVITIES</t>
  </si>
  <si>
    <t>7.0    RECORDS</t>
  </si>
  <si>
    <t>8.0    APPENDICES</t>
  </si>
  <si>
    <t>Branch Pipe Connection Reinforcement Calculation as per ASME B31.3</t>
  </si>
  <si>
    <t>A Vaidya</t>
  </si>
  <si>
    <t>Approved</t>
  </si>
  <si>
    <t>ASME B31.3-2008</t>
  </si>
  <si>
    <t>This calculation is applicable for internal pressure calculations only.</t>
  </si>
  <si>
    <t>6.1</t>
  </si>
  <si>
    <t>6.2</t>
  </si>
  <si>
    <t>6.3</t>
  </si>
  <si>
    <t>6.4</t>
  </si>
  <si>
    <t>6.5</t>
  </si>
  <si>
    <t>6.6</t>
  </si>
  <si>
    <t>6.7</t>
  </si>
  <si>
    <t>6.8</t>
  </si>
  <si>
    <t>6.9</t>
  </si>
  <si>
    <t>6.10</t>
  </si>
  <si>
    <t>6.11</t>
  </si>
  <si>
    <t>ASME    -    American Society of Mechanical Engineers</t>
  </si>
  <si>
    <t>The Material Engineer on the Project shall perform the calculations. These calculations shall be checked by the Lead Material Engineer and shall be reviewed by the Piping Lead Engineer of the Project.</t>
  </si>
  <si>
    <t>7.1</t>
  </si>
  <si>
    <t>7.2</t>
  </si>
  <si>
    <t>7.3</t>
  </si>
  <si>
    <t>7.4</t>
  </si>
  <si>
    <t>7.5</t>
  </si>
  <si>
    <t>A. M. Madan</t>
  </si>
  <si>
    <t>Ramesh K. V.</t>
  </si>
  <si>
    <t>Shivanand Ganigi/ Sachin Kavi</t>
  </si>
  <si>
    <r>
      <t xml:space="preserve">The user shall </t>
    </r>
    <r>
      <rPr>
        <u/>
        <sz val="11"/>
        <rFont val="Trebuchet MS"/>
        <family val="2"/>
      </rPr>
      <t>fill data in the cells highlighted yellow only</t>
    </r>
    <r>
      <rPr>
        <sz val="11"/>
        <rFont val="Trebuchet MS"/>
        <family val="2"/>
      </rPr>
      <t>.</t>
    </r>
  </si>
  <si>
    <r>
      <t>This spreadsheet is valid for branch connections in which the run pipe diameter-to-thickness ratio (</t>
    </r>
    <r>
      <rPr>
        <i/>
        <sz val="11"/>
        <rFont val="Times New Roman"/>
        <family val="1"/>
      </rPr>
      <t>D</t>
    </r>
    <r>
      <rPr>
        <i/>
        <vertAlign val="subscript"/>
        <sz val="11"/>
        <rFont val="Times New Roman"/>
        <family val="1"/>
      </rPr>
      <t>h</t>
    </r>
    <r>
      <rPr>
        <i/>
        <sz val="11"/>
        <rFont val="Times New Roman"/>
        <family val="1"/>
      </rPr>
      <t>/T</t>
    </r>
    <r>
      <rPr>
        <i/>
        <vertAlign val="subscript"/>
        <sz val="11"/>
        <rFont val="Times New Roman"/>
        <family val="1"/>
      </rPr>
      <t>h</t>
    </r>
    <r>
      <rPr>
        <sz val="11"/>
        <rFont val="Trebuchet MS"/>
        <family val="2"/>
      </rPr>
      <t>) is less than 100 and the branch-to-run diameter ratio (</t>
    </r>
    <r>
      <rPr>
        <i/>
        <sz val="11"/>
        <rFont val="Times New Roman"/>
        <family val="1"/>
      </rPr>
      <t>D</t>
    </r>
    <r>
      <rPr>
        <i/>
        <vertAlign val="subscript"/>
        <sz val="11"/>
        <rFont val="Times New Roman"/>
        <family val="1"/>
      </rPr>
      <t>b</t>
    </r>
    <r>
      <rPr>
        <i/>
        <sz val="11"/>
        <rFont val="Times New Roman"/>
        <family val="1"/>
      </rPr>
      <t>/D</t>
    </r>
    <r>
      <rPr>
        <i/>
        <vertAlign val="subscript"/>
        <sz val="11"/>
        <rFont val="Times New Roman"/>
        <family val="1"/>
      </rPr>
      <t>h</t>
    </r>
    <r>
      <rPr>
        <sz val="11"/>
        <rFont val="Trebuchet MS"/>
        <family val="2"/>
      </rPr>
      <t>) is not greater than 1.0.</t>
    </r>
  </si>
  <si>
    <r>
      <t xml:space="preserve">This spreadsheet is valid for branch connections in which for run pipe with </t>
    </r>
    <r>
      <rPr>
        <i/>
        <sz val="11"/>
        <rFont val="Times New Roman"/>
        <family val="1"/>
      </rPr>
      <t>D</t>
    </r>
    <r>
      <rPr>
        <i/>
        <vertAlign val="subscript"/>
        <sz val="11"/>
        <rFont val="Times New Roman"/>
        <family val="1"/>
      </rPr>
      <t>h</t>
    </r>
    <r>
      <rPr>
        <i/>
        <sz val="11"/>
        <rFont val="Times New Roman"/>
        <family val="1"/>
      </rPr>
      <t>/T</t>
    </r>
    <r>
      <rPr>
        <i/>
        <vertAlign val="subscript"/>
        <sz val="11"/>
        <rFont val="Times New Roman"/>
        <family val="1"/>
      </rPr>
      <t>h</t>
    </r>
    <r>
      <rPr>
        <sz val="11"/>
        <rFont val="Trebuchet MS"/>
        <family val="2"/>
      </rPr>
      <t xml:space="preserve"> </t>
    </r>
    <r>
      <rPr>
        <sz val="11"/>
        <rFont val="Symbol"/>
        <family val="1"/>
        <charset val="2"/>
      </rPr>
      <t>³</t>
    </r>
    <r>
      <rPr>
        <sz val="11"/>
        <rFont val="Trebuchet MS"/>
        <family val="2"/>
      </rPr>
      <t xml:space="preserve"> 100, the branch diameter, </t>
    </r>
    <r>
      <rPr>
        <i/>
        <sz val="11"/>
        <rFont val="Times New Roman"/>
        <family val="1"/>
      </rPr>
      <t>D</t>
    </r>
    <r>
      <rPr>
        <i/>
        <vertAlign val="subscript"/>
        <sz val="11"/>
        <rFont val="Times New Roman"/>
        <family val="1"/>
      </rPr>
      <t>b</t>
    </r>
    <r>
      <rPr>
        <sz val="11"/>
        <rFont val="Trebuchet MS"/>
        <family val="2"/>
      </rPr>
      <t xml:space="preserve">, is less than one-half the run diameter, </t>
    </r>
    <r>
      <rPr>
        <i/>
        <sz val="11"/>
        <rFont val="Times New Roman"/>
        <family val="1"/>
      </rPr>
      <t>D</t>
    </r>
    <r>
      <rPr>
        <i/>
        <vertAlign val="subscript"/>
        <sz val="11"/>
        <rFont val="Times New Roman"/>
        <family val="1"/>
      </rPr>
      <t>h</t>
    </r>
    <r>
      <rPr>
        <sz val="11"/>
        <rFont val="Trebuchet MS"/>
        <family val="2"/>
      </rPr>
      <t>.</t>
    </r>
  </si>
  <si>
    <r>
      <t xml:space="preserve">This spreadsheet is valid for branch connections in which the angle between the axes of branch and run, </t>
    </r>
    <r>
      <rPr>
        <sz val="11"/>
        <rFont val="Symbol"/>
        <family val="1"/>
        <charset val="2"/>
      </rPr>
      <t>b</t>
    </r>
    <r>
      <rPr>
        <sz val="11"/>
        <rFont val="Trebuchet MS"/>
        <family val="2"/>
      </rPr>
      <t>, is between 45 and 90 degrees (both inclusive).</t>
    </r>
  </si>
  <si>
    <r>
      <t>2.5(</t>
    </r>
    <r>
      <rPr>
        <i/>
        <sz val="9"/>
        <rFont val="Times New Roman"/>
        <family val="1"/>
      </rPr>
      <t>T</t>
    </r>
    <r>
      <rPr>
        <i/>
        <vertAlign val="subscript"/>
        <sz val="9"/>
        <rFont val="Times New Roman"/>
        <family val="1"/>
      </rPr>
      <t>h</t>
    </r>
    <r>
      <rPr>
        <i/>
        <sz val="9"/>
        <rFont val="Times New Roman"/>
        <family val="1"/>
      </rPr>
      <t xml:space="preserve"> - c</t>
    </r>
    <r>
      <rPr>
        <i/>
        <vertAlign val="subscript"/>
        <sz val="9"/>
        <rFont val="Times New Roman"/>
        <family val="1"/>
      </rPr>
      <t>1h</t>
    </r>
    <r>
      <rPr>
        <sz val="9"/>
        <rFont val="Times New Roman"/>
        <family val="1"/>
      </rPr>
      <t>)</t>
    </r>
    <r>
      <rPr>
        <i/>
        <sz val="9"/>
        <rFont val="Times New Roman"/>
        <family val="1"/>
      </rPr>
      <t xml:space="preserve"> </t>
    </r>
    <r>
      <rPr>
        <sz val="9"/>
        <rFont val="Times New Roman"/>
        <family val="1"/>
      </rPr>
      <t>or</t>
    </r>
    <r>
      <rPr>
        <i/>
        <sz val="9"/>
        <rFont val="Times New Roman"/>
        <family val="1"/>
      </rPr>
      <t xml:space="preserve"> </t>
    </r>
    <r>
      <rPr>
        <sz val="9"/>
        <rFont val="Times New Roman"/>
        <family val="1"/>
      </rPr>
      <t>2.5(</t>
    </r>
    <r>
      <rPr>
        <i/>
        <sz val="9"/>
        <rFont val="Times New Roman"/>
        <family val="1"/>
      </rPr>
      <t>T</t>
    </r>
    <r>
      <rPr>
        <i/>
        <vertAlign val="subscript"/>
        <sz val="9"/>
        <rFont val="Times New Roman"/>
        <family val="1"/>
      </rPr>
      <t>b</t>
    </r>
    <r>
      <rPr>
        <i/>
        <sz val="9"/>
        <rFont val="Times New Roman"/>
        <family val="1"/>
      </rPr>
      <t xml:space="preserve"> - c</t>
    </r>
    <r>
      <rPr>
        <i/>
        <vertAlign val="subscript"/>
        <sz val="9"/>
        <rFont val="Times New Roman"/>
        <family val="1"/>
      </rPr>
      <t>1b</t>
    </r>
    <r>
      <rPr>
        <sz val="9"/>
        <rFont val="Times New Roman"/>
        <family val="1"/>
      </rPr>
      <t>)</t>
    </r>
    <r>
      <rPr>
        <i/>
        <sz val="9"/>
        <rFont val="Times New Roman"/>
        <family val="1"/>
      </rPr>
      <t xml:space="preserve"> + T</t>
    </r>
    <r>
      <rPr>
        <i/>
        <vertAlign val="subscript"/>
        <sz val="9"/>
        <rFont val="Times New Roman"/>
        <family val="1"/>
      </rPr>
      <t>r</t>
    </r>
    <r>
      <rPr>
        <i/>
        <sz val="9"/>
        <rFont val="Trebuchet MS"/>
        <family val="2"/>
      </rPr>
      <t xml:space="preserve">, </t>
    </r>
    <r>
      <rPr>
        <sz val="9"/>
        <rFont val="Trebuchet MS"/>
        <family val="2"/>
      </rPr>
      <t>whichever is less</t>
    </r>
  </si>
  <si>
    <r>
      <t>(2</t>
    </r>
    <r>
      <rPr>
        <i/>
        <sz val="9"/>
        <rFont val="Times New Roman"/>
        <family val="1"/>
      </rPr>
      <t>d</t>
    </r>
    <r>
      <rPr>
        <vertAlign val="subscript"/>
        <sz val="9"/>
        <rFont val="Times New Roman"/>
        <family val="1"/>
      </rPr>
      <t>2</t>
    </r>
    <r>
      <rPr>
        <i/>
        <sz val="9"/>
        <rFont val="Times New Roman"/>
        <family val="1"/>
      </rPr>
      <t xml:space="preserve"> - d</t>
    </r>
    <r>
      <rPr>
        <vertAlign val="subscript"/>
        <sz val="9"/>
        <rFont val="Times New Roman"/>
        <family val="1"/>
      </rPr>
      <t>1</t>
    </r>
    <r>
      <rPr>
        <sz val="9"/>
        <rFont val="Times New Roman"/>
        <family val="1"/>
      </rPr>
      <t>)(</t>
    </r>
    <r>
      <rPr>
        <i/>
        <sz val="9"/>
        <rFont val="Times New Roman"/>
        <family val="1"/>
      </rPr>
      <t>T</t>
    </r>
    <r>
      <rPr>
        <i/>
        <vertAlign val="subscript"/>
        <sz val="9"/>
        <rFont val="Times New Roman"/>
        <family val="1"/>
      </rPr>
      <t>h</t>
    </r>
    <r>
      <rPr>
        <i/>
        <sz val="9"/>
        <rFont val="Times New Roman"/>
        <family val="1"/>
      </rPr>
      <t xml:space="preserve"> - t</t>
    </r>
    <r>
      <rPr>
        <i/>
        <vertAlign val="subscript"/>
        <sz val="9"/>
        <rFont val="Times New Roman"/>
        <family val="1"/>
      </rPr>
      <t>h</t>
    </r>
    <r>
      <rPr>
        <i/>
        <sz val="9"/>
        <rFont val="Times New Roman"/>
        <family val="1"/>
      </rPr>
      <t xml:space="preserve"> - c</t>
    </r>
    <r>
      <rPr>
        <i/>
        <vertAlign val="subscript"/>
        <sz val="9"/>
        <rFont val="Times New Roman"/>
        <family val="1"/>
      </rPr>
      <t>1h</t>
    </r>
    <r>
      <rPr>
        <sz val="9"/>
        <rFont val="Times New Roman"/>
        <family val="1"/>
      </rPr>
      <t>)</t>
    </r>
  </si>
  <si>
    <t>Spreadsheet</t>
  </si>
  <si>
    <t>This spreadsheet calculates the required and available reinforcements in a welded branch pipe connection with or without additional reinforcement pad. The calculations are done in accordance with ASME B31.3 para 304.3.3.</t>
  </si>
  <si>
    <t>The purpose of the spreadsheet is to check adequacy of the reinforcement in a welded branch pipe connection with or without additional reinforcement pad.</t>
  </si>
  <si>
    <t>Welded branch pipe connection is a connection made by welding the branch pipe directly to the run pipe with or without added reinforcement.</t>
  </si>
  <si>
    <t>ASTM    -    American Society for Testing and Materials</t>
  </si>
  <si>
    <t>Appendix 1: Calculation Sheet</t>
  </si>
  <si>
    <t>Appendix 2: Thickness Table</t>
  </si>
  <si>
    <t>Sheet "Appendix 2. Thickness" contains a table of standard pipe wall thicknesses extracted from the standards ASME B36.10M and B36.19M.  These tables are automatically read by the spreadsheet and hence need not be referred to by the user.</t>
  </si>
  <si>
    <t>If the calculations have to be submitted as an independent document or as part of any other document, then only sheet "Appendix 1. Calculation" shall be submitted.</t>
  </si>
  <si>
    <t>Sheet "Appendix 1. Calculation" shall be printed to "Adobe PDF" before submitting.  It shall not be submitted in Excel format.</t>
  </si>
  <si>
    <t xml:space="preserve"> </t>
  </si>
  <si>
    <t>Sharjah, Mumbai, Chennai, Jakarta</t>
  </si>
  <si>
    <t xml:space="preserve">K V Ramesh
Govindraj
E. Lakshmanan
K.S. Venkatesan
</t>
  </si>
  <si>
    <t>Branch Pipe Connection Reinforcement Calculation as per ASME (Validation Record)</t>
  </si>
  <si>
    <t>PEC-EN-VSS-L-3478</t>
  </si>
  <si>
    <t>PEC-EN-VSS-L-6490</t>
  </si>
  <si>
    <t>This spreadsheet has been validated in accordance with doc. no. PEC-EN-PRO-X-0032, Software &amp; Spreadsheet Validation.</t>
  </si>
  <si>
    <t>The validation is documented in Validation Checklist no. EPI-SPR-009.  This checklist conforms to doc. no. PEC-EN-FRM-X-0206, Validation Checklist.</t>
  </si>
  <si>
    <t>This sheet is part of the Validated Spreadsheet, document no. PEC-EN-VSS-L-3478 Rev 0.</t>
  </si>
  <si>
    <t>A312 Gr316</t>
  </si>
  <si>
    <t>STELLA</t>
  </si>
  <si>
    <t>ITHACA</t>
  </si>
  <si>
    <t>JU-11805D</t>
  </si>
  <si>
    <t>KK</t>
  </si>
  <si>
    <t>SB</t>
  </si>
  <si>
    <t>DC-28014;S1A</t>
  </si>
</sst>
</file>

<file path=xl/styles.xml><?xml version="1.0" encoding="utf-8"?>
<styleSheet xmlns="http://schemas.openxmlformats.org/spreadsheetml/2006/main">
  <numFmts count="15">
    <numFmt numFmtId="6" formatCode="&quot;£&quot;#,##0;[Red]\-&quot;£&quot;#,##0"/>
    <numFmt numFmtId="8" formatCode="&quot;£&quot;#,##0.00;[Red]\-&quot;£&quot;#,##0.00"/>
    <numFmt numFmtId="41" formatCode="_-* #,##0_-;\-* #,##0_-;_-* &quot;-&quot;_-;_-@_-"/>
    <numFmt numFmtId="43" formatCode="_-* #,##0.00_-;\-* #,##0.00_-;_-* &quot;-&quot;??_-;_-@_-"/>
    <numFmt numFmtId="164" formatCode="0.0"/>
    <numFmt numFmtId="165" formatCode="0.00_)"/>
    <numFmt numFmtId="166" formatCode="&quot;$&quot;#,##0;\-&quot;$&quot;#,##0"/>
    <numFmt numFmtId="167" formatCode="#,##0.0_);\(#,##0.0\)"/>
    <numFmt numFmtId="168" formatCode="mm/dd/yy"/>
    <numFmt numFmtId="169" formatCode="&quot;$&quot;#,##0.0000_);\(&quot;$&quot;#,##0.0000\)"/>
    <numFmt numFmtId="170" formatCode="_-* #,##0\ &quot;F&quot;_-;\-* #,##0\ &quot;F&quot;_-;_-* &quot;-&quot;\ &quot;F&quot;_-;_-@_-"/>
    <numFmt numFmtId="171" formatCode="_-* #,##0\ _F_-;\-* #,##0\ _F_-;_-* &quot;-&quot;\ _F_-;_-@_-"/>
    <numFmt numFmtId="172" formatCode="_-* #,##0.00\ &quot;F&quot;_-;\-* #,##0.00\ &quot;F&quot;_-;_-* &quot;-&quot;??\ &quot;F&quot;_-;_-@_-"/>
    <numFmt numFmtId="173" formatCode="_-* #,##0.00\ _F_-;\-* #,##0.00\ _F_-;_-* &quot;-&quot;??\ _F_-;_-@_-"/>
    <numFmt numFmtId="174" formatCode=";;;"/>
  </numFmts>
  <fonts count="61">
    <font>
      <sz val="10"/>
      <name val="Arial"/>
    </font>
    <font>
      <sz val="10"/>
      <name val="Arial"/>
      <family val="2"/>
    </font>
    <font>
      <b/>
      <sz val="12"/>
      <name val="Arial"/>
      <family val="2"/>
    </font>
    <font>
      <sz val="10"/>
      <name val="MS Sans Serif"/>
      <family val="2"/>
    </font>
    <font>
      <sz val="8"/>
      <name val="Times New Roman"/>
      <family val="1"/>
    </font>
    <font>
      <sz val="8"/>
      <name val="Arial"/>
      <family val="2"/>
    </font>
    <font>
      <sz val="10"/>
      <name val="MS Serif"/>
      <family val="1"/>
    </font>
    <font>
      <sz val="10"/>
      <name val="Courier"/>
      <family val="3"/>
    </font>
    <font>
      <sz val="10"/>
      <color indexed="16"/>
      <name val="MS Serif"/>
      <family val="1"/>
    </font>
    <font>
      <sz val="8"/>
      <name val="Arial"/>
      <family val="2"/>
    </font>
    <font>
      <sz val="12"/>
      <name val="Helv"/>
    </font>
    <font>
      <sz val="12"/>
      <color indexed="9"/>
      <name val="Helv"/>
    </font>
    <font>
      <b/>
      <i/>
      <sz val="16"/>
      <name val="Helv"/>
    </font>
    <font>
      <sz val="8"/>
      <name val="Helv"/>
    </font>
    <font>
      <sz val="10"/>
      <name val="Tms Rmn"/>
    </font>
    <font>
      <b/>
      <sz val="8"/>
      <color indexed="8"/>
      <name val="Helv"/>
    </font>
    <font>
      <u/>
      <sz val="10"/>
      <color indexed="12"/>
      <name val="Arial"/>
      <family val="2"/>
    </font>
    <font>
      <i/>
      <sz val="9"/>
      <name val="Times New Roman"/>
      <family val="1"/>
    </font>
    <font>
      <sz val="8"/>
      <color indexed="81"/>
      <name val="Tahoma"/>
      <family val="2"/>
    </font>
    <font>
      <b/>
      <sz val="8"/>
      <color indexed="81"/>
      <name val="Tahoma"/>
      <family val="2"/>
    </font>
    <font>
      <sz val="10"/>
      <name val="Trebuchet MS"/>
      <family val="2"/>
    </font>
    <font>
      <sz val="9"/>
      <name val="Trebuchet MS"/>
      <family val="2"/>
    </font>
    <font>
      <b/>
      <sz val="16"/>
      <name val="Trebuchet MS"/>
      <family val="2"/>
    </font>
    <font>
      <b/>
      <sz val="11"/>
      <name val="Trebuchet MS"/>
      <family val="2"/>
    </font>
    <font>
      <b/>
      <sz val="9"/>
      <name val="Trebuchet MS"/>
      <family val="2"/>
    </font>
    <font>
      <sz val="11"/>
      <name val="Trebuchet MS"/>
      <family val="2"/>
    </font>
    <font>
      <i/>
      <sz val="11"/>
      <name val="Trebuchet MS"/>
      <family val="2"/>
    </font>
    <font>
      <vertAlign val="superscript"/>
      <sz val="9"/>
      <name val="Trebuchet MS"/>
      <family val="2"/>
    </font>
    <font>
      <u/>
      <sz val="9"/>
      <name val="Trebuchet MS"/>
      <family val="2"/>
    </font>
    <font>
      <b/>
      <u/>
      <sz val="10"/>
      <name val="Trebuchet MS"/>
      <family val="2"/>
    </font>
    <font>
      <b/>
      <sz val="10"/>
      <name val="Trebuchet MS"/>
      <family val="2"/>
    </font>
    <font>
      <i/>
      <sz val="9"/>
      <name val="Trebuchet MS"/>
      <family val="2"/>
    </font>
    <font>
      <b/>
      <u/>
      <sz val="9"/>
      <name val="Trebuchet MS"/>
      <family val="2"/>
    </font>
    <font>
      <i/>
      <vertAlign val="subscript"/>
      <sz val="9"/>
      <name val="Trebuchet MS"/>
      <family val="2"/>
    </font>
    <font>
      <sz val="9"/>
      <name val="Arial"/>
      <family val="2"/>
    </font>
    <font>
      <sz val="9"/>
      <name val="Symbol"/>
      <family val="1"/>
      <charset val="2"/>
    </font>
    <font>
      <sz val="9"/>
      <name val="Arial"/>
      <family val="2"/>
    </font>
    <font>
      <i/>
      <vertAlign val="subscript"/>
      <sz val="9"/>
      <name val="Times New Roman"/>
      <family val="1"/>
    </font>
    <font>
      <sz val="9"/>
      <name val="Times New Roman"/>
      <family val="1"/>
    </font>
    <font>
      <vertAlign val="subscript"/>
      <sz val="9"/>
      <name val="Times New Roman"/>
      <family val="1"/>
    </font>
    <font>
      <i/>
      <sz val="9"/>
      <name val="Terminal"/>
      <family val="3"/>
      <charset val="255"/>
    </font>
    <font>
      <i/>
      <vertAlign val="subscript"/>
      <sz val="9"/>
      <name val="Terminal"/>
      <family val="3"/>
      <charset val="255"/>
    </font>
    <font>
      <vertAlign val="subscript"/>
      <sz val="9"/>
      <name val="Terminal"/>
      <family val="3"/>
      <charset val="255"/>
    </font>
    <font>
      <vertAlign val="superscript"/>
      <sz val="9"/>
      <name val="Times New Roman"/>
      <family val="1"/>
    </font>
    <font>
      <i/>
      <sz val="10"/>
      <name val="Times New Roman"/>
      <family val="1"/>
    </font>
    <font>
      <i/>
      <vertAlign val="subscript"/>
      <sz val="10"/>
      <name val="Times New Roman"/>
      <family val="1"/>
    </font>
    <font>
      <vertAlign val="subscript"/>
      <sz val="10"/>
      <name val="Times New Roman"/>
      <family val="1"/>
    </font>
    <font>
      <sz val="8"/>
      <color indexed="10"/>
      <name val="Trebuchet MS"/>
      <family val="2"/>
    </font>
    <font>
      <b/>
      <sz val="24"/>
      <name val="Trebuchet MS"/>
      <family val="2"/>
    </font>
    <font>
      <b/>
      <sz val="12"/>
      <name val="Trebuchet MS"/>
      <family val="2"/>
    </font>
    <font>
      <sz val="10"/>
      <name val="Arial"/>
      <family val="2"/>
    </font>
    <font>
      <sz val="10"/>
      <name val="Times New Roman"/>
      <family val="1"/>
    </font>
    <font>
      <sz val="10"/>
      <color indexed="12"/>
      <name val="Arial"/>
      <family val="2"/>
    </font>
    <font>
      <sz val="8"/>
      <name val="Arial MT"/>
    </font>
    <font>
      <i/>
      <sz val="10"/>
      <color indexed="39"/>
      <name val="Times New Roman"/>
      <family val="1"/>
    </font>
    <font>
      <sz val="11"/>
      <name val="Arial"/>
      <family val="2"/>
    </font>
    <font>
      <u/>
      <sz val="11"/>
      <name val="Trebuchet MS"/>
      <family val="2"/>
    </font>
    <font>
      <i/>
      <sz val="11"/>
      <name val="Times New Roman"/>
      <family val="1"/>
    </font>
    <font>
      <i/>
      <vertAlign val="subscript"/>
      <sz val="11"/>
      <name val="Times New Roman"/>
      <family val="1"/>
    </font>
    <font>
      <sz val="11"/>
      <name val="Symbol"/>
      <family val="1"/>
      <charset val="2"/>
    </font>
    <font>
      <u/>
      <sz val="11"/>
      <color indexed="12"/>
      <name val="Trebuchet MS"/>
      <family val="2"/>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s>
  <borders count="76">
    <border>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s>
  <cellStyleXfs count="46">
    <xf numFmtId="0" fontId="0" fillId="0" borderId="0"/>
    <xf numFmtId="0" fontId="4" fillId="0" borderId="0">
      <alignment horizontal="center" wrapText="1"/>
      <protection locked="0"/>
    </xf>
    <xf numFmtId="0" fontId="50" fillId="0" borderId="0" applyFill="0" applyBorder="0">
      <alignment vertical="center"/>
    </xf>
    <xf numFmtId="0" fontId="1" fillId="0" borderId="0" applyFill="0" applyBorder="0">
      <alignment vertical="center"/>
    </xf>
    <xf numFmtId="169" fontId="1" fillId="0" borderId="0" applyFill="0" applyBorder="0" applyAlignment="0"/>
    <xf numFmtId="0" fontId="6" fillId="0" borderId="0" applyNumberFormat="0" applyAlignment="0">
      <alignment horizontal="left"/>
    </xf>
    <xf numFmtId="0" fontId="7" fillId="0" borderId="0" applyNumberFormat="0" applyAlignment="0"/>
    <xf numFmtId="8" fontId="50" fillId="0" borderId="0" applyFill="0" applyBorder="0" applyAlignment="0" applyProtection="0"/>
    <xf numFmtId="8" fontId="1" fillId="0" borderId="0" applyFill="0" applyBorder="0" applyAlignment="0" applyProtection="0"/>
    <xf numFmtId="6" fontId="50" fillId="0" borderId="0" applyFill="0" applyBorder="0" applyAlignment="0" applyProtection="0"/>
    <xf numFmtId="6" fontId="1" fillId="0" borderId="0" applyFill="0" applyBorder="0" applyAlignment="0" applyProtection="0"/>
    <xf numFmtId="0" fontId="8" fillId="0" borderId="0" applyNumberFormat="0" applyAlignment="0">
      <alignment horizontal="left"/>
    </xf>
    <xf numFmtId="0" fontId="51" fillId="0" borderId="1" applyNumberFormat="0" applyFill="0" applyBorder="0" applyAlignment="0" applyProtection="0">
      <protection locked="0"/>
    </xf>
    <xf numFmtId="38" fontId="9" fillId="2" borderId="0" applyNumberFormat="0" applyBorder="0" applyAlignment="0" applyProtection="0"/>
    <xf numFmtId="38" fontId="5" fillId="2" borderId="0" applyNumberFormat="0" applyBorder="0" applyAlignment="0" applyProtection="0"/>
    <xf numFmtId="0" fontId="2" fillId="0" borderId="2" applyNumberFormat="0" applyAlignment="0" applyProtection="0">
      <alignment horizontal="left" vertical="center"/>
    </xf>
    <xf numFmtId="0" fontId="2" fillId="0" borderId="3">
      <alignment horizontal="left" vertical="center"/>
    </xf>
    <xf numFmtId="0" fontId="2" fillId="0" borderId="0"/>
    <xf numFmtId="0" fontId="16" fillId="0" borderId="0" applyNumberFormat="0" applyFill="0" applyBorder="0" applyAlignment="0" applyProtection="0">
      <alignment vertical="top"/>
      <protection locked="0"/>
    </xf>
    <xf numFmtId="10" fontId="9" fillId="3" borderId="4" applyNumberFormat="0" applyBorder="0" applyAlignment="0" applyProtection="0"/>
    <xf numFmtId="10" fontId="5" fillId="3" borderId="4" applyNumberFormat="0" applyBorder="0" applyAlignment="0" applyProtection="0"/>
    <xf numFmtId="0" fontId="52" fillId="0" borderId="0">
      <alignment horizontal="center"/>
    </xf>
    <xf numFmtId="167" fontId="10" fillId="4" borderId="0"/>
    <xf numFmtId="167" fontId="11" fillId="5" borderId="0"/>
    <xf numFmtId="171" fontId="1" fillId="0" borderId="0" applyFont="0" applyFill="0" applyBorder="0" applyAlignment="0" applyProtection="0"/>
    <xf numFmtId="173" fontId="1" fillId="0" borderId="0" applyFont="0" applyFill="0" applyBorder="0" applyAlignment="0" applyProtection="0"/>
    <xf numFmtId="170" fontId="1" fillId="0" borderId="0" applyFont="0" applyFill="0" applyBorder="0" applyAlignment="0" applyProtection="0"/>
    <xf numFmtId="172" fontId="1" fillId="0" borderId="0" applyFont="0" applyFill="0" applyBorder="0" applyAlignment="0" applyProtection="0"/>
    <xf numFmtId="165" fontId="12" fillId="0" borderId="0"/>
    <xf numFmtId="0" fontId="50" fillId="0" borderId="0"/>
    <xf numFmtId="0" fontId="1" fillId="0" borderId="0"/>
    <xf numFmtId="0" fontId="1" fillId="0" borderId="0"/>
    <xf numFmtId="164" fontId="52" fillId="0" borderId="0">
      <alignment horizontal="center"/>
    </xf>
    <xf numFmtId="0" fontId="1" fillId="0" borderId="0"/>
    <xf numFmtId="43" fontId="1" fillId="0" borderId="0" applyFont="0" applyFill="0" applyBorder="0" applyAlignment="0" applyProtection="0"/>
    <xf numFmtId="41" fontId="1" fillId="0" borderId="0" applyFont="0" applyFill="0" applyBorder="0" applyAlignment="0" applyProtection="0"/>
    <xf numFmtId="14" fontId="4" fillId="0" borderId="0">
      <alignment horizontal="center" wrapText="1"/>
      <protection locked="0"/>
    </xf>
    <xf numFmtId="10" fontId="1" fillId="0" borderId="0" applyFont="0" applyFill="0" applyBorder="0" applyAlignment="0" applyProtection="0"/>
    <xf numFmtId="9" fontId="50" fillId="0" borderId="0" applyFont="0" applyFill="0" applyBorder="0" applyAlignment="0" applyProtection="0"/>
    <xf numFmtId="9" fontId="1" fillId="0" borderId="0" applyFont="0" applyFill="0" applyBorder="0" applyAlignment="0" applyProtection="0"/>
    <xf numFmtId="166" fontId="14" fillId="0" borderId="0"/>
    <xf numFmtId="0" fontId="3" fillId="0" borderId="0" applyNumberFormat="0" applyFont="0" applyFill="0" applyBorder="0" applyAlignment="0" applyProtection="0">
      <alignment horizontal="left"/>
    </xf>
    <xf numFmtId="168" fontId="13" fillId="0" borderId="0" applyNumberFormat="0" applyFill="0" applyBorder="0" applyAlignment="0" applyProtection="0">
      <alignment horizontal="left"/>
    </xf>
    <xf numFmtId="0" fontId="53" fillId="0" borderId="5" applyAlignment="0">
      <alignment horizontal="left"/>
    </xf>
    <xf numFmtId="40" fontId="15" fillId="0" borderId="0" applyBorder="0">
      <alignment horizontal="right"/>
    </xf>
    <xf numFmtId="164" fontId="54" fillId="0" borderId="0" applyNumberFormat="0" applyFont="0" applyFill="0" applyAlignment="0">
      <protection locked="0"/>
    </xf>
  </cellStyleXfs>
  <cellXfs count="364">
    <xf numFmtId="0" fontId="0" fillId="0" borderId="0" xfId="0"/>
    <xf numFmtId="0" fontId="20" fillId="0" borderId="6" xfId="0" applyFont="1" applyBorder="1"/>
    <xf numFmtId="0" fontId="20" fillId="0" borderId="0" xfId="0" applyFont="1"/>
    <xf numFmtId="0" fontId="20" fillId="0" borderId="0" xfId="0" applyFont="1" applyBorder="1"/>
    <xf numFmtId="0" fontId="21" fillId="6" borderId="7" xfId="0" applyFont="1" applyFill="1" applyBorder="1" applyAlignment="1" applyProtection="1">
      <alignment vertical="center"/>
      <protection locked="0"/>
    </xf>
    <xf numFmtId="0" fontId="21" fillId="6" borderId="8" xfId="0" applyFont="1" applyFill="1" applyBorder="1" applyAlignment="1" applyProtection="1">
      <alignment vertical="center"/>
      <protection locked="0"/>
    </xf>
    <xf numFmtId="0" fontId="21" fillId="6" borderId="0" xfId="0" applyFont="1" applyFill="1" applyBorder="1" applyAlignment="1" applyProtection="1">
      <alignment vertical="center"/>
      <protection locked="0"/>
    </xf>
    <xf numFmtId="0" fontId="21" fillId="6" borderId="1" xfId="0" applyFont="1" applyFill="1" applyBorder="1" applyAlignment="1" applyProtection="1">
      <alignment vertical="center"/>
      <protection locked="0"/>
    </xf>
    <xf numFmtId="0" fontId="21" fillId="6" borderId="9" xfId="0" applyFont="1" applyFill="1" applyBorder="1" applyAlignment="1" applyProtection="1">
      <alignment horizontal="center" vertical="center"/>
      <protection locked="0"/>
    </xf>
    <xf numFmtId="0" fontId="21" fillId="6" borderId="10" xfId="0" applyFont="1" applyFill="1" applyBorder="1" applyAlignment="1" applyProtection="1">
      <alignment horizontal="center" vertical="center"/>
      <protection locked="0"/>
    </xf>
    <xf numFmtId="0" fontId="21" fillId="6" borderId="0" xfId="0" applyFont="1" applyFill="1" applyBorder="1" applyAlignment="1" applyProtection="1">
      <alignment horizontal="left" vertical="center"/>
      <protection locked="0"/>
    </xf>
    <xf numFmtId="0" fontId="21" fillId="6" borderId="11" xfId="0" applyFont="1" applyFill="1" applyBorder="1" applyAlignment="1" applyProtection="1">
      <alignment vertical="center"/>
      <protection locked="0"/>
    </xf>
    <xf numFmtId="2" fontId="21" fillId="6" borderId="11" xfId="0" applyNumberFormat="1" applyFont="1" applyFill="1" applyBorder="1" applyAlignment="1" applyProtection="1">
      <alignment vertical="center"/>
      <protection locked="0"/>
    </xf>
    <xf numFmtId="164" fontId="21" fillId="6" borderId="11" xfId="0" applyNumberFormat="1" applyFont="1" applyFill="1" applyBorder="1" applyAlignment="1" applyProtection="1">
      <alignment vertical="center"/>
      <protection locked="0"/>
    </xf>
    <xf numFmtId="49" fontId="21" fillId="6" borderId="0" xfId="0" applyNumberFormat="1" applyFont="1" applyFill="1" applyBorder="1" applyAlignment="1" applyProtection="1">
      <alignment horizontal="center" vertical="center"/>
      <protection locked="0"/>
    </xf>
    <xf numFmtId="0" fontId="20" fillId="0" borderId="0" xfId="0" applyFont="1" applyAlignment="1">
      <alignment horizontal="left" vertical="top" wrapText="1"/>
    </xf>
    <xf numFmtId="0" fontId="31" fillId="0" borderId="12" xfId="0" applyFont="1" applyBorder="1" applyAlignment="1" applyProtection="1">
      <alignment vertical="center"/>
    </xf>
    <xf numFmtId="0" fontId="21" fillId="0" borderId="7" xfId="0" applyFont="1" applyFill="1" applyBorder="1" applyAlignment="1" applyProtection="1">
      <alignment vertical="center"/>
    </xf>
    <xf numFmtId="0" fontId="21" fillId="0" borderId="12" xfId="0" applyFont="1" applyFill="1" applyBorder="1" applyAlignment="1" applyProtection="1">
      <alignment horizontal="left" vertical="center"/>
    </xf>
    <xf numFmtId="0" fontId="21" fillId="0" borderId="8" xfId="0" applyFont="1" applyFill="1" applyBorder="1" applyAlignment="1" applyProtection="1">
      <alignment horizontal="left" vertical="center"/>
    </xf>
    <xf numFmtId="0" fontId="21" fillId="0" borderId="0" xfId="0" applyFont="1" applyFill="1" applyBorder="1" applyAlignment="1" applyProtection="1">
      <alignment horizontal="left" vertical="center"/>
    </xf>
    <xf numFmtId="0" fontId="21" fillId="0" borderId="0" xfId="0" applyFont="1" applyAlignment="1" applyProtection="1">
      <alignment vertical="center"/>
    </xf>
    <xf numFmtId="0" fontId="31" fillId="0" borderId="13" xfId="0" applyFont="1" applyBorder="1" applyAlignment="1" applyProtection="1">
      <alignment vertical="center"/>
    </xf>
    <xf numFmtId="14" fontId="21" fillId="0" borderId="0" xfId="0" applyNumberFormat="1" applyFont="1" applyFill="1" applyBorder="1" applyAlignment="1" applyProtection="1">
      <alignment horizontal="left" vertical="center"/>
    </xf>
    <xf numFmtId="14" fontId="21" fillId="0" borderId="13" xfId="0" applyNumberFormat="1" applyFont="1" applyFill="1" applyBorder="1" applyAlignment="1" applyProtection="1">
      <alignment horizontal="left" vertical="center"/>
    </xf>
    <xf numFmtId="0" fontId="21" fillId="0" borderId="1" xfId="0" applyFont="1" applyFill="1" applyBorder="1" applyAlignment="1" applyProtection="1">
      <alignment horizontal="left" vertical="center"/>
    </xf>
    <xf numFmtId="0" fontId="21" fillId="0" borderId="0" xfId="0" applyFont="1" applyFill="1" applyBorder="1" applyAlignment="1" applyProtection="1">
      <alignment vertical="center"/>
    </xf>
    <xf numFmtId="0" fontId="21" fillId="0" borderId="13" xfId="0" applyFont="1" applyFill="1" applyBorder="1" applyAlignment="1" applyProtection="1">
      <alignment horizontal="left" vertical="center"/>
    </xf>
    <xf numFmtId="0" fontId="31" fillId="0" borderId="14" xfId="0" applyFont="1" applyBorder="1" applyAlignment="1" applyProtection="1">
      <alignment vertical="center"/>
    </xf>
    <xf numFmtId="0" fontId="21" fillId="0" borderId="9" xfId="0" applyFont="1" applyFill="1" applyBorder="1" applyAlignment="1" applyProtection="1">
      <alignment horizontal="left" vertical="center"/>
    </xf>
    <xf numFmtId="0" fontId="21" fillId="0" borderId="14" xfId="0" applyFont="1" applyFill="1" applyBorder="1" applyAlignment="1" applyProtection="1">
      <alignment horizontal="left" vertical="center"/>
    </xf>
    <xf numFmtId="0" fontId="21" fillId="0" borderId="10" xfId="0" applyFont="1" applyFill="1" applyBorder="1" applyAlignment="1" applyProtection="1">
      <alignment horizontal="left" vertical="center"/>
    </xf>
    <xf numFmtId="0" fontId="21" fillId="0" borderId="13" xfId="0" applyFont="1" applyBorder="1" applyAlignment="1" applyProtection="1">
      <alignment vertical="center"/>
    </xf>
    <xf numFmtId="0" fontId="21" fillId="0" borderId="0" xfId="0" applyFont="1" applyBorder="1" applyAlignment="1" applyProtection="1">
      <alignment vertical="center"/>
    </xf>
    <xf numFmtId="0" fontId="21" fillId="0" borderId="1" xfId="0" applyFont="1" applyBorder="1" applyAlignment="1" applyProtection="1">
      <alignment vertical="center"/>
    </xf>
    <xf numFmtId="0" fontId="24" fillId="0" borderId="0" xfId="0" applyFont="1" applyBorder="1" applyAlignment="1" applyProtection="1">
      <alignment vertical="center"/>
    </xf>
    <xf numFmtId="0" fontId="21" fillId="0" borderId="15" xfId="0" applyFont="1" applyBorder="1" applyAlignment="1" applyProtection="1">
      <alignment vertical="center"/>
    </xf>
    <xf numFmtId="0" fontId="21" fillId="0" borderId="16" xfId="0" applyFont="1" applyBorder="1" applyAlignment="1" applyProtection="1">
      <alignment vertical="center"/>
    </xf>
    <xf numFmtId="0" fontId="21" fillId="0" borderId="17" xfId="0" applyFont="1" applyBorder="1" applyAlignment="1" applyProtection="1">
      <alignment vertical="center"/>
    </xf>
    <xf numFmtId="0" fontId="21" fillId="0" borderId="18" xfId="0" applyFont="1" applyBorder="1" applyAlignment="1" applyProtection="1">
      <alignment vertical="center"/>
    </xf>
    <xf numFmtId="0" fontId="21" fillId="0" borderId="6" xfId="0" applyFont="1" applyBorder="1" applyAlignment="1" applyProtection="1">
      <alignment vertical="center"/>
    </xf>
    <xf numFmtId="0" fontId="21" fillId="0" borderId="19" xfId="0" applyFont="1" applyBorder="1" applyAlignment="1" applyProtection="1">
      <alignment vertical="center"/>
    </xf>
    <xf numFmtId="0" fontId="32" fillId="0" borderId="0" xfId="0" applyFont="1" applyBorder="1" applyAlignment="1" applyProtection="1">
      <alignment vertical="center"/>
    </xf>
    <xf numFmtId="0" fontId="28" fillId="0" borderId="0" xfId="0" applyFont="1" applyBorder="1" applyAlignment="1" applyProtection="1">
      <alignment horizontal="left" vertical="center"/>
    </xf>
    <xf numFmtId="0" fontId="21" fillId="0" borderId="0" xfId="0" applyFont="1" applyBorder="1" applyAlignment="1" applyProtection="1">
      <alignment horizontal="right" vertical="center"/>
    </xf>
    <xf numFmtId="164" fontId="21" fillId="0" borderId="0" xfId="0" applyNumberFormat="1" applyFont="1" applyBorder="1" applyAlignment="1" applyProtection="1">
      <alignment horizontal="center" vertical="center"/>
    </xf>
    <xf numFmtId="0" fontId="17" fillId="0" borderId="0" xfId="0" applyFont="1" applyBorder="1" applyAlignment="1" applyProtection="1">
      <alignment horizontal="right" vertical="center"/>
    </xf>
    <xf numFmtId="0" fontId="21" fillId="0" borderId="0" xfId="0" applyFont="1" applyBorder="1" applyProtection="1"/>
    <xf numFmtId="0" fontId="27" fillId="0" borderId="0" xfId="0" applyFont="1" applyBorder="1" applyAlignment="1" applyProtection="1">
      <alignment vertical="center"/>
    </xf>
    <xf numFmtId="0" fontId="38" fillId="0" borderId="0" xfId="0" quotePrefix="1" applyFont="1" applyBorder="1" applyAlignment="1" applyProtection="1">
      <alignment horizontal="right" vertical="center"/>
    </xf>
    <xf numFmtId="1" fontId="21" fillId="7" borderId="11" xfId="0" applyNumberFormat="1" applyFont="1" applyFill="1" applyBorder="1" applyAlignment="1" applyProtection="1">
      <alignment vertical="center"/>
    </xf>
    <xf numFmtId="1" fontId="21" fillId="0" borderId="0" xfId="0" applyNumberFormat="1" applyFont="1" applyFill="1" applyBorder="1" applyAlignment="1" applyProtection="1">
      <alignment vertical="center"/>
    </xf>
    <xf numFmtId="0" fontId="28" fillId="0" borderId="0" xfId="0" applyFont="1" applyBorder="1" applyAlignment="1" applyProtection="1">
      <alignment horizontal="center" vertical="center"/>
    </xf>
    <xf numFmtId="0" fontId="21" fillId="0" borderId="0" xfId="0" applyFont="1" applyBorder="1" applyAlignment="1" applyProtection="1">
      <alignment horizontal="center" vertical="center"/>
    </xf>
    <xf numFmtId="164" fontId="21" fillId="7" borderId="11" xfId="0" applyNumberFormat="1" applyFont="1" applyFill="1" applyBorder="1" applyAlignment="1" applyProtection="1">
      <alignment vertical="center"/>
    </xf>
    <xf numFmtId="0" fontId="21" fillId="0" borderId="13" xfId="0" applyFont="1" applyBorder="1" applyProtection="1"/>
    <xf numFmtId="0" fontId="38" fillId="0" borderId="0" xfId="0" applyFont="1" applyBorder="1" applyProtection="1"/>
    <xf numFmtId="0" fontId="38" fillId="0" borderId="0" xfId="0" applyFont="1" applyBorder="1" applyAlignment="1" applyProtection="1">
      <alignment horizontal="right"/>
    </xf>
    <xf numFmtId="0" fontId="21" fillId="0" borderId="1" xfId="0" applyFont="1" applyBorder="1" applyProtection="1"/>
    <xf numFmtId="0" fontId="20" fillId="0" borderId="0" xfId="0" applyFont="1" applyProtection="1"/>
    <xf numFmtId="0" fontId="38" fillId="0" borderId="0" xfId="0" applyFont="1" applyBorder="1" applyAlignment="1" applyProtection="1">
      <alignment vertical="center"/>
    </xf>
    <xf numFmtId="0" fontId="38" fillId="0" borderId="0" xfId="0" applyFont="1" applyBorder="1" applyAlignment="1" applyProtection="1">
      <alignment horizontal="right" vertical="center"/>
    </xf>
    <xf numFmtId="174" fontId="21" fillId="0" borderId="1" xfId="0" applyNumberFormat="1" applyFont="1" applyBorder="1" applyAlignment="1" applyProtection="1">
      <alignment vertical="center"/>
    </xf>
    <xf numFmtId="174" fontId="21" fillId="0" borderId="0" xfId="0" applyNumberFormat="1" applyFont="1" applyBorder="1" applyAlignment="1" applyProtection="1">
      <alignment vertical="center"/>
    </xf>
    <xf numFmtId="0" fontId="21" fillId="0" borderId="20" xfId="0" applyFont="1" applyBorder="1" applyAlignment="1" applyProtection="1">
      <alignment horizontal="center" vertical="center" wrapText="1"/>
    </xf>
    <xf numFmtId="0" fontId="21" fillId="0" borderId="21" xfId="0" applyFont="1" applyBorder="1" applyAlignment="1" applyProtection="1">
      <alignment horizontal="center" vertical="center"/>
    </xf>
    <xf numFmtId="0" fontId="21" fillId="0" borderId="20" xfId="0" applyFont="1" applyBorder="1" applyAlignment="1" applyProtection="1">
      <alignment horizontal="center" vertical="center"/>
    </xf>
    <xf numFmtId="0" fontId="17" fillId="0" borderId="11" xfId="0" applyFont="1" applyBorder="1" applyAlignment="1" applyProtection="1">
      <alignment horizontal="center" vertical="center"/>
    </xf>
    <xf numFmtId="0" fontId="21" fillId="0" borderId="22" xfId="0" applyFont="1" applyBorder="1" applyAlignment="1" applyProtection="1">
      <alignment horizontal="center" vertical="center"/>
    </xf>
    <xf numFmtId="0" fontId="17" fillId="0" borderId="20" xfId="0" applyFont="1" applyBorder="1" applyAlignment="1" applyProtection="1">
      <alignment horizontal="center" vertical="center"/>
    </xf>
    <xf numFmtId="0" fontId="35" fillId="0" borderId="20" xfId="0" applyFont="1" applyBorder="1" applyAlignment="1" applyProtection="1">
      <alignment horizontal="center" vertical="center"/>
    </xf>
    <xf numFmtId="0" fontId="17" fillId="0" borderId="21" xfId="0" applyFont="1" applyBorder="1" applyAlignment="1" applyProtection="1">
      <alignment horizontal="center" vertical="center"/>
    </xf>
    <xf numFmtId="0" fontId="21" fillId="0" borderId="23" xfId="0" applyFont="1" applyBorder="1" applyAlignment="1" applyProtection="1">
      <alignment horizontal="center" vertical="center"/>
    </xf>
    <xf numFmtId="0" fontId="21" fillId="0" borderId="24" xfId="0" applyFont="1" applyBorder="1" applyAlignment="1" applyProtection="1">
      <alignment horizontal="center" vertical="center"/>
    </xf>
    <xf numFmtId="0" fontId="21" fillId="0" borderId="25" xfId="0" applyFont="1" applyBorder="1" applyAlignment="1" applyProtection="1">
      <alignment horizontal="center" vertical="center"/>
    </xf>
    <xf numFmtId="0" fontId="21" fillId="0" borderId="26" xfId="0" applyFont="1" applyBorder="1" applyAlignment="1" applyProtection="1">
      <alignment horizontal="center" vertical="center"/>
    </xf>
    <xf numFmtId="0" fontId="21" fillId="0" borderId="23" xfId="0" applyFont="1" applyBorder="1" applyAlignment="1" applyProtection="1">
      <alignment horizontal="center"/>
    </xf>
    <xf numFmtId="0" fontId="21" fillId="0" borderId="24" xfId="0" applyFont="1" applyBorder="1" applyAlignment="1" applyProtection="1">
      <alignment horizontal="center"/>
    </xf>
    <xf numFmtId="0" fontId="21" fillId="0" borderId="26" xfId="0" applyFont="1" applyBorder="1" applyAlignment="1" applyProtection="1">
      <alignment horizontal="center"/>
    </xf>
    <xf numFmtId="164" fontId="21" fillId="7" borderId="11" xfId="0" applyNumberFormat="1" applyFont="1" applyFill="1" applyBorder="1" applyProtection="1"/>
    <xf numFmtId="1" fontId="21" fillId="7" borderId="21" xfId="0" applyNumberFormat="1" applyFont="1" applyFill="1" applyBorder="1" applyProtection="1"/>
    <xf numFmtId="1" fontId="21" fillId="7" borderId="11" xfId="0" applyNumberFormat="1" applyFont="1" applyFill="1" applyBorder="1" applyProtection="1"/>
    <xf numFmtId="2" fontId="21" fillId="8" borderId="27" xfId="0" applyNumberFormat="1" applyFont="1" applyFill="1" applyBorder="1" applyProtection="1"/>
    <xf numFmtId="2" fontId="21" fillId="8" borderId="28" xfId="0" applyNumberFormat="1" applyFont="1" applyFill="1" applyBorder="1" applyProtection="1"/>
    <xf numFmtId="2" fontId="21" fillId="0" borderId="28" xfId="0" applyNumberFormat="1" applyFont="1" applyBorder="1" applyProtection="1"/>
    <xf numFmtId="164" fontId="21" fillId="0" borderId="28" xfId="0" applyNumberFormat="1" applyFont="1" applyBorder="1" applyProtection="1"/>
    <xf numFmtId="1" fontId="21" fillId="0" borderId="28" xfId="0" applyNumberFormat="1" applyFont="1" applyBorder="1" applyProtection="1"/>
    <xf numFmtId="1" fontId="21" fillId="0" borderId="29" xfId="0" applyNumberFormat="1" applyFont="1" applyBorder="1" applyProtection="1"/>
    <xf numFmtId="2" fontId="21" fillId="8" borderId="21" xfId="0" applyNumberFormat="1" applyFont="1" applyFill="1" applyBorder="1" applyProtection="1"/>
    <xf numFmtId="2" fontId="21" fillId="8" borderId="11" xfId="0" applyNumberFormat="1" applyFont="1" applyFill="1" applyBorder="1" applyProtection="1"/>
    <xf numFmtId="2" fontId="21" fillId="0" borderId="11" xfId="0" applyNumberFormat="1" applyFont="1" applyBorder="1" applyProtection="1"/>
    <xf numFmtId="164" fontId="21" fillId="0" borderId="11" xfId="0" applyNumberFormat="1" applyFont="1" applyBorder="1" applyProtection="1"/>
    <xf numFmtId="1" fontId="21" fillId="0" borderId="11" xfId="0" applyNumberFormat="1" applyFont="1" applyBorder="1" applyProtection="1"/>
    <xf numFmtId="1" fontId="21" fillId="0" borderId="20" xfId="0" applyNumberFormat="1" applyFont="1" applyBorder="1" applyProtection="1"/>
    <xf numFmtId="164" fontId="21" fillId="7" borderId="24" xfId="0" applyNumberFormat="1" applyFont="1" applyFill="1" applyBorder="1" applyProtection="1"/>
    <xf numFmtId="1" fontId="21" fillId="7" borderId="23" xfId="0" applyNumberFormat="1" applyFont="1" applyFill="1" applyBorder="1" applyProtection="1"/>
    <xf numFmtId="1" fontId="21" fillId="7" borderId="24" xfId="0" applyNumberFormat="1" applyFont="1" applyFill="1" applyBorder="1" applyProtection="1"/>
    <xf numFmtId="2" fontId="21" fillId="8" borderId="23" xfId="0" applyNumberFormat="1" applyFont="1" applyFill="1" applyBorder="1" applyProtection="1"/>
    <xf numFmtId="2" fontId="21" fillId="8" borderId="24" xfId="0" applyNumberFormat="1" applyFont="1" applyFill="1" applyBorder="1" applyProtection="1"/>
    <xf numFmtId="2" fontId="21" fillId="0" borderId="24" xfId="0" applyNumberFormat="1" applyFont="1" applyBorder="1" applyProtection="1"/>
    <xf numFmtId="164" fontId="21" fillId="0" borderId="24" xfId="0" applyNumberFormat="1" applyFont="1" applyBorder="1" applyProtection="1"/>
    <xf numFmtId="1" fontId="21" fillId="0" borderId="24" xfId="0" applyNumberFormat="1" applyFont="1" applyBorder="1" applyProtection="1"/>
    <xf numFmtId="1" fontId="21" fillId="0" borderId="26" xfId="0" applyNumberFormat="1" applyFont="1" applyBorder="1" applyProtection="1"/>
    <xf numFmtId="49" fontId="21" fillId="0" borderId="0" xfId="0" applyNumberFormat="1" applyFont="1" applyFill="1" applyBorder="1" applyAlignment="1" applyProtection="1">
      <alignment horizontal="center" vertical="center"/>
    </xf>
    <xf numFmtId="0" fontId="21" fillId="0" borderId="13" xfId="0" quotePrefix="1" applyFont="1" applyBorder="1" applyAlignment="1" applyProtection="1">
      <alignment horizontal="left" vertical="center"/>
    </xf>
    <xf numFmtId="0" fontId="21" fillId="0" borderId="14" xfId="0" applyFont="1" applyBorder="1" applyAlignment="1" applyProtection="1">
      <alignment vertical="center"/>
    </xf>
    <xf numFmtId="0" fontId="21" fillId="0" borderId="9" xfId="0" applyFont="1" applyBorder="1" applyAlignment="1" applyProtection="1">
      <alignment vertical="center"/>
    </xf>
    <xf numFmtId="0" fontId="21" fillId="0" borderId="10" xfId="0" applyFont="1" applyBorder="1" applyAlignment="1" applyProtection="1">
      <alignment vertical="center"/>
    </xf>
    <xf numFmtId="12" fontId="21" fillId="6" borderId="21" xfId="0" applyNumberFormat="1" applyFont="1" applyFill="1" applyBorder="1" applyAlignment="1" applyProtection="1">
      <alignment vertical="center"/>
      <protection locked="0"/>
    </xf>
    <xf numFmtId="2" fontId="21" fillId="6" borderId="11" xfId="0" applyNumberFormat="1" applyFont="1" applyFill="1" applyBorder="1" applyAlignment="1" applyProtection="1">
      <alignment horizontal="right"/>
      <protection locked="0"/>
    </xf>
    <xf numFmtId="1" fontId="21" fillId="6" borderId="20" xfId="0" applyNumberFormat="1" applyFont="1" applyFill="1" applyBorder="1" applyProtection="1">
      <protection locked="0"/>
    </xf>
    <xf numFmtId="1" fontId="21" fillId="6" borderId="21" xfId="0" applyNumberFormat="1" applyFont="1" applyFill="1" applyBorder="1" applyProtection="1">
      <protection locked="0"/>
    </xf>
    <xf numFmtId="2" fontId="21" fillId="6" borderId="20" xfId="0" applyNumberFormat="1" applyFont="1" applyFill="1" applyBorder="1" applyProtection="1">
      <protection locked="0"/>
    </xf>
    <xf numFmtId="0" fontId="21" fillId="6" borderId="30" xfId="0" applyFont="1" applyFill="1" applyBorder="1" applyAlignment="1" applyProtection="1">
      <protection locked="0"/>
    </xf>
    <xf numFmtId="0" fontId="21" fillId="6" borderId="31" xfId="0" applyFont="1" applyFill="1" applyBorder="1" applyAlignment="1" applyProtection="1">
      <protection locked="0"/>
    </xf>
    <xf numFmtId="0" fontId="21" fillId="6" borderId="9" xfId="0" applyFont="1" applyFill="1" applyBorder="1" applyAlignment="1" applyProtection="1">
      <alignment vertical="center"/>
      <protection locked="0"/>
    </xf>
    <xf numFmtId="2" fontId="21" fillId="7" borderId="20" xfId="0" applyNumberFormat="1" applyFont="1" applyFill="1" applyBorder="1" applyAlignment="1" applyProtection="1">
      <alignment horizontal="right"/>
    </xf>
    <xf numFmtId="2" fontId="21" fillId="7" borderId="26" xfId="0" applyNumberFormat="1" applyFont="1" applyFill="1" applyBorder="1" applyAlignment="1" applyProtection="1">
      <alignment horizontal="right"/>
    </xf>
    <xf numFmtId="2" fontId="21" fillId="7" borderId="11" xfId="0" applyNumberFormat="1" applyFont="1" applyFill="1" applyBorder="1" applyAlignment="1" applyProtection="1">
      <alignment horizontal="right"/>
    </xf>
    <xf numFmtId="2" fontId="21" fillId="7" borderId="24" xfId="0" applyNumberFormat="1" applyFont="1" applyFill="1" applyBorder="1" applyAlignment="1" applyProtection="1">
      <alignment horizontal="right"/>
    </xf>
    <xf numFmtId="0" fontId="21" fillId="0" borderId="0" xfId="0" applyFont="1" applyProtection="1"/>
    <xf numFmtId="0" fontId="28" fillId="0" borderId="0" xfId="0" applyFont="1" applyProtection="1"/>
    <xf numFmtId="0" fontId="32" fillId="0" borderId="0" xfId="0" applyFont="1" applyAlignment="1" applyProtection="1">
      <alignment horizontal="center"/>
    </xf>
    <xf numFmtId="0" fontId="24" fillId="0" borderId="32" xfId="0" applyFont="1" applyBorder="1" applyAlignment="1" applyProtection="1">
      <alignment horizontal="center"/>
    </xf>
    <xf numFmtId="0" fontId="24" fillId="0" borderId="33" xfId="0" applyFont="1" applyBorder="1" applyAlignment="1" applyProtection="1">
      <alignment horizontal="center"/>
    </xf>
    <xf numFmtId="0" fontId="21" fillId="0" borderId="34" xfId="0" applyFont="1" applyBorder="1" applyAlignment="1" applyProtection="1">
      <alignment horizontal="center"/>
    </xf>
    <xf numFmtId="0" fontId="21" fillId="0" borderId="35" xfId="0" applyFont="1" applyBorder="1" applyAlignment="1" applyProtection="1">
      <alignment horizontal="center"/>
    </xf>
    <xf numFmtId="0" fontId="21" fillId="0" borderId="36" xfId="0" applyFont="1" applyBorder="1" applyAlignment="1" applyProtection="1">
      <alignment horizontal="center"/>
    </xf>
    <xf numFmtId="12" fontId="21" fillId="0" borderId="37" xfId="0" applyNumberFormat="1" applyFont="1" applyBorder="1" applyProtection="1"/>
    <xf numFmtId="164" fontId="21" fillId="0" borderId="29" xfId="0" applyNumberFormat="1" applyFont="1" applyBorder="1" applyProtection="1"/>
    <xf numFmtId="2" fontId="34" fillId="0" borderId="27" xfId="33" applyNumberFormat="1" applyFont="1" applyBorder="1" applyProtection="1"/>
    <xf numFmtId="2" fontId="34" fillId="0" borderId="28" xfId="33" applyNumberFormat="1" applyFont="1" applyBorder="1" applyProtection="1"/>
    <xf numFmtId="2" fontId="34" fillId="0" borderId="28" xfId="33" applyNumberFormat="1" applyFont="1" applyFill="1" applyBorder="1" applyProtection="1"/>
    <xf numFmtId="2" fontId="34" fillId="2" borderId="28" xfId="33" applyNumberFormat="1" applyFont="1" applyFill="1" applyBorder="1" applyAlignment="1" applyProtection="1">
      <alignment horizontal="center"/>
    </xf>
    <xf numFmtId="2" fontId="34" fillId="0" borderId="38" xfId="33" applyNumberFormat="1" applyFont="1" applyBorder="1" applyProtection="1"/>
    <xf numFmtId="12" fontId="21" fillId="0" borderId="39" xfId="0" applyNumberFormat="1" applyFont="1" applyBorder="1" applyProtection="1"/>
    <xf numFmtId="164" fontId="21" fillId="0" borderId="20" xfId="0" applyNumberFormat="1" applyFont="1" applyBorder="1" applyProtection="1"/>
    <xf numFmtId="2" fontId="34" fillId="0" borderId="21" xfId="33" applyNumberFormat="1" applyFont="1" applyBorder="1" applyProtection="1"/>
    <xf numFmtId="2" fontId="34" fillId="0" borderId="11" xfId="33" applyNumberFormat="1" applyFont="1" applyBorder="1" applyProtection="1"/>
    <xf numFmtId="2" fontId="34" fillId="0" borderId="11" xfId="33" applyNumberFormat="1" applyFont="1" applyFill="1" applyBorder="1" applyProtection="1"/>
    <xf numFmtId="2" fontId="34" fillId="2" borderId="11" xfId="33" applyNumberFormat="1" applyFont="1" applyFill="1" applyBorder="1" applyAlignment="1" applyProtection="1">
      <alignment horizontal="center"/>
    </xf>
    <xf numFmtId="2" fontId="34" fillId="0" borderId="40" xfId="33" applyNumberFormat="1" applyFont="1" applyBorder="1" applyProtection="1"/>
    <xf numFmtId="2" fontId="34" fillId="2" borderId="40" xfId="33" applyNumberFormat="1" applyFont="1" applyFill="1" applyBorder="1" applyAlignment="1" applyProtection="1">
      <alignment horizontal="center"/>
    </xf>
    <xf numFmtId="12" fontId="21" fillId="0" borderId="41" xfId="0" applyNumberFormat="1" applyFont="1" applyBorder="1" applyProtection="1"/>
    <xf numFmtId="164" fontId="21" fillId="0" borderId="42" xfId="0" applyNumberFormat="1" applyFont="1" applyBorder="1" applyProtection="1"/>
    <xf numFmtId="2" fontId="21" fillId="2" borderId="43" xfId="0" applyNumberFormat="1" applyFont="1" applyFill="1" applyBorder="1" applyAlignment="1" applyProtection="1">
      <alignment horizontal="center"/>
    </xf>
    <xf numFmtId="2" fontId="21" fillId="2" borderId="44" xfId="0" applyNumberFormat="1" applyFont="1" applyFill="1" applyBorder="1" applyAlignment="1" applyProtection="1">
      <alignment horizontal="center"/>
    </xf>
    <xf numFmtId="2" fontId="21" fillId="2" borderId="45" xfId="0" applyNumberFormat="1" applyFont="1" applyFill="1" applyBorder="1" applyAlignment="1" applyProtection="1">
      <alignment horizontal="center"/>
    </xf>
    <xf numFmtId="0" fontId="24" fillId="0" borderId="0" xfId="0" applyFont="1" applyProtection="1"/>
    <xf numFmtId="0" fontId="36" fillId="0" borderId="0" xfId="0" applyFont="1" applyBorder="1" applyProtection="1"/>
    <xf numFmtId="0" fontId="36" fillId="0" borderId="0" xfId="0" applyFont="1" applyProtection="1"/>
    <xf numFmtId="2" fontId="21" fillId="0" borderId="0" xfId="0" applyNumberFormat="1" applyFont="1" applyBorder="1" applyProtection="1"/>
    <xf numFmtId="2" fontId="21" fillId="2" borderId="0" xfId="0" applyNumberFormat="1" applyFont="1" applyFill="1" applyBorder="1" applyProtection="1"/>
    <xf numFmtId="0" fontId="28" fillId="0" borderId="0" xfId="0" applyFont="1" applyBorder="1" applyAlignment="1" applyProtection="1">
      <alignment horizontal="right" vertical="center"/>
    </xf>
    <xf numFmtId="0" fontId="47" fillId="0" borderId="0" xfId="0" applyFont="1" applyAlignment="1">
      <alignment vertical="center"/>
    </xf>
    <xf numFmtId="0" fontId="48" fillId="0" borderId="0" xfId="0" applyFont="1" applyFill="1" applyBorder="1" applyAlignment="1">
      <alignment vertical="center" wrapText="1"/>
    </xf>
    <xf numFmtId="0" fontId="30" fillId="0" borderId="46" xfId="0" applyFont="1" applyFill="1" applyBorder="1" applyAlignment="1">
      <alignment horizontal="left"/>
    </xf>
    <xf numFmtId="0" fontId="30" fillId="0" borderId="0" xfId="0" applyFont="1" applyFill="1" applyBorder="1" applyAlignment="1">
      <alignment horizontal="left"/>
    </xf>
    <xf numFmtId="0" fontId="48" fillId="0" borderId="0" xfId="0" applyFont="1" applyFill="1" applyBorder="1" applyAlignment="1">
      <alignment horizontal="center" vertical="center" wrapText="1"/>
    </xf>
    <xf numFmtId="0" fontId="48" fillId="0" borderId="47" xfId="0" applyFont="1" applyFill="1" applyBorder="1" applyAlignment="1">
      <alignment horizontal="center" vertical="center" wrapText="1"/>
    </xf>
    <xf numFmtId="0" fontId="20" fillId="0" borderId="0" xfId="0" applyFont="1" applyBorder="1" applyAlignment="1">
      <alignment horizontal="center"/>
    </xf>
    <xf numFmtId="0" fontId="20" fillId="0" borderId="46" xfId="0" applyFont="1" applyBorder="1" applyAlignment="1">
      <alignment horizontal="center"/>
    </xf>
    <xf numFmtId="0" fontId="0" fillId="0" borderId="0" xfId="0" applyBorder="1"/>
    <xf numFmtId="0" fontId="20" fillId="0" borderId="0" xfId="0" applyFont="1" applyFill="1" applyBorder="1" applyAlignment="1">
      <alignment horizontal="left"/>
    </xf>
    <xf numFmtId="0" fontId="20" fillId="0" borderId="47" xfId="0" applyFont="1" applyFill="1" applyBorder="1" applyAlignment="1">
      <alignment horizontal="left"/>
    </xf>
    <xf numFmtId="0" fontId="22" fillId="0" borderId="46" xfId="0" applyFont="1" applyBorder="1" applyAlignment="1">
      <alignment horizontal="center"/>
    </xf>
    <xf numFmtId="0" fontId="20" fillId="0" borderId="0" xfId="0" applyFont="1" applyBorder="1" applyAlignment="1"/>
    <xf numFmtId="0" fontId="20" fillId="0" borderId="47" xfId="0" applyFont="1" applyBorder="1" applyAlignment="1"/>
    <xf numFmtId="0" fontId="23" fillId="0" borderId="48" xfId="0" applyFont="1" applyBorder="1" applyAlignment="1">
      <alignment horizontal="center" vertical="top" wrapText="1"/>
    </xf>
    <xf numFmtId="0" fontId="23" fillId="0" borderId="10" xfId="0" applyFont="1" applyBorder="1" applyAlignment="1">
      <alignment horizontal="center" vertical="top" wrapText="1"/>
    </xf>
    <xf numFmtId="0" fontId="23" fillId="0" borderId="49" xfId="0" applyFont="1" applyBorder="1" applyAlignment="1">
      <alignment horizontal="center" vertical="top" wrapText="1"/>
    </xf>
    <xf numFmtId="0" fontId="25" fillId="0" borderId="48" xfId="0" applyFont="1" applyBorder="1" applyAlignment="1">
      <alignment horizontal="center" vertical="top" wrapText="1"/>
    </xf>
    <xf numFmtId="0" fontId="25" fillId="0" borderId="10" xfId="0" applyFont="1" applyBorder="1" applyAlignment="1">
      <alignment horizontal="center" vertical="top" wrapText="1"/>
    </xf>
    <xf numFmtId="0" fontId="25" fillId="0" borderId="10" xfId="0" applyFont="1" applyBorder="1" applyAlignment="1">
      <alignment horizontal="left" vertical="top" wrapText="1"/>
    </xf>
    <xf numFmtId="0" fontId="25" fillId="0" borderId="49" xfId="0" applyFont="1" applyBorder="1" applyAlignment="1">
      <alignment horizontal="left" vertical="top" wrapText="1"/>
    </xf>
    <xf numFmtId="0" fontId="25" fillId="0" borderId="49" xfId="0" applyFont="1" applyBorder="1" applyAlignment="1">
      <alignment horizontal="center" vertical="top" wrapText="1"/>
    </xf>
    <xf numFmtId="0" fontId="20" fillId="0" borderId="46" xfId="0" applyFont="1" applyBorder="1"/>
    <xf numFmtId="0" fontId="20" fillId="0" borderId="47" xfId="0" applyFont="1" applyBorder="1"/>
    <xf numFmtId="0" fontId="23" fillId="0" borderId="0" xfId="0" applyFont="1" applyBorder="1" applyAlignment="1">
      <alignment horizontal="center"/>
    </xf>
    <xf numFmtId="0" fontId="23" fillId="0" borderId="47" xfId="0" applyFont="1" applyBorder="1" applyAlignment="1">
      <alignment horizontal="center"/>
    </xf>
    <xf numFmtId="0" fontId="25" fillId="0" borderId="0" xfId="0" applyFont="1"/>
    <xf numFmtId="0" fontId="23" fillId="0" borderId="46" xfId="0" applyFont="1" applyBorder="1" applyAlignment="1">
      <alignment horizontal="center"/>
    </xf>
    <xf numFmtId="0" fontId="23" fillId="0" borderId="47" xfId="0" applyFont="1" applyBorder="1"/>
    <xf numFmtId="0" fontId="21" fillId="0" borderId="46" xfId="0" applyFont="1" applyBorder="1" applyAlignment="1">
      <alignment horizontal="center"/>
    </xf>
    <xf numFmtId="0" fontId="21" fillId="0" borderId="47" xfId="0" applyFont="1" applyBorder="1"/>
    <xf numFmtId="0" fontId="20" fillId="0" borderId="50" xfId="0" applyFont="1" applyBorder="1"/>
    <xf numFmtId="0" fontId="20" fillId="0" borderId="51" xfId="0" applyFont="1" applyBorder="1"/>
    <xf numFmtId="0" fontId="23" fillId="0" borderId="0" xfId="0" applyFont="1" applyBorder="1" applyAlignment="1">
      <alignment vertical="top"/>
    </xf>
    <xf numFmtId="0" fontId="49" fillId="0" borderId="0" xfId="0" applyFont="1" applyAlignment="1">
      <alignment vertical="top"/>
    </xf>
    <xf numFmtId="0" fontId="26" fillId="0" borderId="46" xfId="0" applyFont="1" applyBorder="1" applyAlignment="1">
      <alignment horizontal="left"/>
    </xf>
    <xf numFmtId="0" fontId="26" fillId="0" borderId="0" xfId="0" applyFont="1" applyBorder="1" applyAlignment="1">
      <alignment horizontal="left"/>
    </xf>
    <xf numFmtId="0" fontId="26" fillId="0" borderId="47" xfId="0" applyFont="1" applyBorder="1" applyAlignment="1">
      <alignment horizontal="left"/>
    </xf>
    <xf numFmtId="0" fontId="26" fillId="0" borderId="0" xfId="0" applyFont="1" applyBorder="1" applyAlignment="1"/>
    <xf numFmtId="0" fontId="26" fillId="0" borderId="0" xfId="0" applyFont="1" applyAlignment="1">
      <alignment vertical="top" wrapText="1"/>
    </xf>
    <xf numFmtId="0" fontId="25" fillId="0" borderId="46" xfId="0" applyFont="1" applyBorder="1"/>
    <xf numFmtId="0" fontId="25" fillId="0" borderId="0" xfId="0" applyFont="1" applyBorder="1"/>
    <xf numFmtId="0" fontId="25" fillId="0" borderId="47" xfId="0" applyFont="1" applyBorder="1"/>
    <xf numFmtId="0" fontId="26" fillId="0" borderId="46" xfId="0" applyFont="1" applyBorder="1" applyAlignment="1">
      <alignment horizontal="left" vertical="top" wrapText="1"/>
    </xf>
    <xf numFmtId="0" fontId="26" fillId="0" borderId="0" xfId="0" applyFont="1" applyBorder="1" applyAlignment="1">
      <alignment horizontal="left" vertical="top" wrapText="1"/>
    </xf>
    <xf numFmtId="0" fontId="26" fillId="0" borderId="47" xfId="0" applyFont="1" applyBorder="1" applyAlignment="1">
      <alignment horizontal="left" vertical="top" wrapText="1"/>
    </xf>
    <xf numFmtId="0" fontId="26" fillId="0" borderId="0" xfId="0" applyFont="1" applyBorder="1" applyAlignment="1">
      <alignment vertical="top" wrapText="1"/>
    </xf>
    <xf numFmtId="0" fontId="25" fillId="0" borderId="0" xfId="0" applyFont="1" applyBorder="1" applyAlignment="1">
      <alignment vertical="top"/>
    </xf>
    <xf numFmtId="0" fontId="25" fillId="0" borderId="0" xfId="0" applyFont="1" applyAlignment="1">
      <alignment vertical="top"/>
    </xf>
    <xf numFmtId="0" fontId="26" fillId="0" borderId="0" xfId="0" applyFont="1" applyAlignment="1">
      <alignment vertical="top"/>
    </xf>
    <xf numFmtId="0" fontId="26" fillId="0" borderId="46" xfId="0" applyFont="1" applyBorder="1"/>
    <xf numFmtId="0" fontId="20" fillId="0" borderId="0" xfId="0" applyFont="1" applyBorder="1" applyAlignment="1">
      <alignment wrapText="1"/>
    </xf>
    <xf numFmtId="0" fontId="20" fillId="0" borderId="0" xfId="0" applyFont="1" applyBorder="1" applyAlignment="1">
      <alignment horizontal="left" wrapText="1"/>
    </xf>
    <xf numFmtId="0" fontId="23" fillId="0" borderId="0" xfId="0" applyFont="1" applyFill="1" applyBorder="1" applyAlignment="1">
      <alignment wrapText="1"/>
    </xf>
    <xf numFmtId="0" fontId="20" fillId="0" borderId="0" xfId="0" applyFont="1" applyFill="1" applyBorder="1" applyAlignment="1"/>
    <xf numFmtId="15" fontId="25" fillId="0" borderId="10" xfId="0" applyNumberFormat="1" applyFont="1" applyBorder="1" applyAlignment="1">
      <alignment horizontal="center" vertical="top" wrapText="1"/>
    </xf>
    <xf numFmtId="0" fontId="20" fillId="0" borderId="0" xfId="0" applyFont="1" applyAlignment="1">
      <alignment horizontal="justify"/>
    </xf>
    <xf numFmtId="0" fontId="25" fillId="0" borderId="0" xfId="0" applyFont="1" applyBorder="1" applyAlignment="1">
      <alignment horizontal="left" vertical="top" wrapText="1"/>
    </xf>
    <xf numFmtId="0" fontId="25" fillId="0" borderId="47" xfId="0" applyFont="1" applyBorder="1" applyAlignment="1">
      <alignment horizontal="left" vertical="top" wrapText="1"/>
    </xf>
    <xf numFmtId="0" fontId="25" fillId="0" borderId="0" xfId="0" applyFont="1" applyBorder="1" applyAlignment="1">
      <alignment vertical="top" wrapText="1"/>
    </xf>
    <xf numFmtId="0" fontId="20" fillId="0" borderId="0" xfId="0" applyFont="1" applyBorder="1" applyAlignment="1">
      <alignment horizontal="justify" vertical="center" wrapText="1"/>
    </xf>
    <xf numFmtId="0" fontId="20" fillId="0" borderId="47" xfId="0" applyFont="1" applyBorder="1" applyAlignment="1">
      <alignment horizontal="justify" vertical="center" wrapText="1"/>
    </xf>
    <xf numFmtId="49" fontId="25" fillId="0" borderId="46" xfId="0" applyNumberFormat="1" applyFont="1" applyBorder="1" applyAlignment="1">
      <alignment horizontal="left" vertical="top"/>
    </xf>
    <xf numFmtId="0" fontId="25" fillId="6" borderId="11" xfId="0" applyFont="1" applyFill="1" applyBorder="1" applyAlignment="1">
      <alignment horizontal="left" vertical="top" wrapText="1"/>
    </xf>
    <xf numFmtId="0" fontId="25" fillId="7" borderId="11" xfId="0" applyFont="1" applyFill="1" applyBorder="1" applyAlignment="1">
      <alignment horizontal="left" vertical="top" wrapText="1"/>
    </xf>
    <xf numFmtId="0" fontId="25" fillId="0" borderId="0" xfId="0" applyFont="1" applyAlignment="1">
      <alignment horizontal="left" vertical="top" wrapText="1"/>
    </xf>
    <xf numFmtId="0" fontId="25" fillId="0" borderId="0" xfId="0" applyFont="1" applyBorder="1" applyAlignment="1">
      <alignment wrapText="1"/>
    </xf>
    <xf numFmtId="0" fontId="25" fillId="0" borderId="46" xfId="0" applyFont="1" applyBorder="1" applyAlignment="1">
      <alignment horizontal="left"/>
    </xf>
    <xf numFmtId="0" fontId="25" fillId="0" borderId="0" xfId="0" applyFont="1" applyBorder="1" applyAlignment="1">
      <alignment horizontal="left"/>
    </xf>
    <xf numFmtId="0" fontId="25" fillId="0" borderId="47" xfId="0" applyFont="1" applyBorder="1" applyAlignment="1">
      <alignment horizontal="left"/>
    </xf>
    <xf numFmtId="0" fontId="26" fillId="0" borderId="52" xfId="0" applyFont="1" applyBorder="1" applyAlignment="1">
      <alignment horizontal="left"/>
    </xf>
    <xf numFmtId="0" fontId="26" fillId="0" borderId="16" xfId="0" applyFont="1" applyBorder="1" applyAlignment="1">
      <alignment horizontal="left"/>
    </xf>
    <xf numFmtId="0" fontId="26" fillId="0" borderId="53" xfId="0" applyFont="1" applyBorder="1" applyAlignment="1">
      <alignment horizontal="left"/>
    </xf>
    <xf numFmtId="0" fontId="20" fillId="0" borderId="52" xfId="0" applyFont="1" applyBorder="1"/>
    <xf numFmtId="0" fontId="20" fillId="0" borderId="16" xfId="0" applyFont="1" applyBorder="1"/>
    <xf numFmtId="0" fontId="20" fillId="0" borderId="53" xfId="0" applyFont="1" applyBorder="1"/>
    <xf numFmtId="0" fontId="26" fillId="0" borderId="52" xfId="0" applyFont="1" applyBorder="1"/>
    <xf numFmtId="0" fontId="25" fillId="0" borderId="16" xfId="0" applyFont="1" applyBorder="1"/>
    <xf numFmtId="0" fontId="25" fillId="0" borderId="53" xfId="0" applyFont="1" applyBorder="1"/>
    <xf numFmtId="12" fontId="21" fillId="6" borderId="23" xfId="0" applyNumberFormat="1" applyFont="1" applyFill="1" applyBorder="1" applyAlignment="1" applyProtection="1">
      <alignment vertical="center"/>
      <protection locked="0"/>
    </xf>
    <xf numFmtId="2" fontId="21" fillId="6" borderId="24" xfId="0" applyNumberFormat="1" applyFont="1" applyFill="1" applyBorder="1" applyAlignment="1" applyProtection="1">
      <alignment horizontal="right"/>
      <protection locked="0"/>
    </xf>
    <xf numFmtId="1" fontId="21" fillId="6" borderId="26" xfId="0" applyNumberFormat="1" applyFont="1" applyFill="1" applyBorder="1" applyProtection="1">
      <protection locked="0"/>
    </xf>
    <xf numFmtId="1" fontId="21" fillId="6" borderId="23" xfId="0" applyNumberFormat="1" applyFont="1" applyFill="1" applyBorder="1" applyProtection="1">
      <protection locked="0"/>
    </xf>
    <xf numFmtId="2" fontId="21" fillId="6" borderId="26" xfId="0" applyNumberFormat="1" applyFont="1" applyFill="1" applyBorder="1" applyProtection="1">
      <protection locked="0"/>
    </xf>
    <xf numFmtId="0" fontId="25" fillId="0" borderId="0" xfId="0" applyFont="1" applyBorder="1" applyAlignment="1">
      <alignment horizontal="left" vertical="top" wrapText="1"/>
    </xf>
    <xf numFmtId="0" fontId="25" fillId="0" borderId="47" xfId="0" applyFont="1" applyBorder="1" applyAlignment="1">
      <alignment horizontal="left" vertical="top" wrapText="1"/>
    </xf>
    <xf numFmtId="0" fontId="25" fillId="0" borderId="46" xfId="0" applyFont="1" applyBorder="1" applyAlignment="1">
      <alignment horizontal="left" vertical="top" wrapText="1"/>
    </xf>
    <xf numFmtId="0" fontId="25" fillId="0" borderId="54" xfId="0" applyFont="1" applyBorder="1" applyAlignment="1">
      <alignment horizontal="left" vertical="top" wrapText="1"/>
    </xf>
    <xf numFmtId="0" fontId="26" fillId="0" borderId="46" xfId="0" applyFont="1" applyBorder="1" applyAlignment="1">
      <alignment horizontal="justify" vertical="center" wrapText="1"/>
    </xf>
    <xf numFmtId="0" fontId="0" fillId="0" borderId="0" xfId="0" applyAlignment="1">
      <alignment horizontal="justify" vertical="center" wrapText="1"/>
    </xf>
    <xf numFmtId="0" fontId="25" fillId="0" borderId="0" xfId="0" applyFont="1" applyBorder="1" applyAlignment="1">
      <alignment horizontal="justify" vertical="center" wrapText="1"/>
    </xf>
    <xf numFmtId="0" fontId="20" fillId="0" borderId="0" xfId="0" applyFont="1"/>
    <xf numFmtId="0" fontId="23" fillId="0" borderId="46" xfId="0" applyFont="1" applyBorder="1" applyAlignment="1">
      <alignment horizontal="left" vertical="top"/>
    </xf>
    <xf numFmtId="0" fontId="23" fillId="0" borderId="0" xfId="0" applyFont="1" applyBorder="1" applyAlignment="1">
      <alignment horizontal="left" vertical="top"/>
    </xf>
    <xf numFmtId="0" fontId="23" fillId="0" borderId="47" xfId="0" applyFont="1" applyBorder="1" applyAlignment="1">
      <alignment horizontal="left" vertical="top"/>
    </xf>
    <xf numFmtId="0" fontId="25" fillId="0" borderId="0" xfId="0" applyFont="1" applyAlignment="1">
      <alignment horizontal="left" vertical="top" wrapText="1"/>
    </xf>
    <xf numFmtId="0" fontId="20" fillId="0" borderId="0" xfId="0" applyFont="1" applyAlignment="1">
      <alignment horizontal="left" vertical="top" wrapText="1"/>
    </xf>
    <xf numFmtId="49" fontId="25" fillId="0" borderId="46" xfId="0" applyNumberFormat="1" applyFont="1" applyBorder="1" applyAlignment="1">
      <alignment horizontal="justify" vertical="top" wrapText="1"/>
    </xf>
    <xf numFmtId="0" fontId="55" fillId="0" borderId="0" xfId="0" applyFont="1" applyAlignment="1">
      <alignment horizontal="justify" vertical="top" wrapText="1"/>
    </xf>
    <xf numFmtId="0" fontId="55" fillId="0" borderId="47" xfId="0" applyFont="1" applyBorder="1" applyAlignment="1">
      <alignment horizontal="justify" vertical="top" wrapText="1"/>
    </xf>
    <xf numFmtId="0" fontId="25" fillId="0" borderId="46" xfId="0" applyFont="1" applyBorder="1" applyAlignment="1">
      <alignment horizontal="justify" vertical="center" wrapText="1"/>
    </xf>
    <xf numFmtId="0" fontId="55" fillId="0" borderId="0" xfId="0" applyFont="1" applyAlignment="1">
      <alignment horizontal="justify" vertical="center" wrapText="1"/>
    </xf>
    <xf numFmtId="0" fontId="25" fillId="0" borderId="46" xfId="0" applyFont="1" applyBorder="1" applyAlignment="1">
      <alignment horizontal="left" vertical="top"/>
    </xf>
    <xf numFmtId="0" fontId="25" fillId="0" borderId="0" xfId="0" applyFont="1" applyBorder="1" applyAlignment="1">
      <alignment horizontal="left" vertical="top"/>
    </xf>
    <xf numFmtId="0" fontId="25" fillId="0" borderId="47" xfId="0" applyFont="1" applyBorder="1" applyAlignment="1">
      <alignment horizontal="left" vertical="top"/>
    </xf>
    <xf numFmtId="0" fontId="25" fillId="0" borderId="0" xfId="0" applyFont="1" applyBorder="1" applyAlignment="1">
      <alignment horizontal="left" vertical="center" wrapText="1"/>
    </xf>
    <xf numFmtId="0" fontId="25" fillId="0" borderId="47" xfId="0" applyFont="1" applyBorder="1" applyAlignment="1">
      <alignment horizontal="left" vertical="center" wrapText="1"/>
    </xf>
    <xf numFmtId="0" fontId="60" fillId="0" borderId="46" xfId="18" applyFont="1" applyBorder="1" applyAlignment="1" applyProtection="1">
      <alignment horizontal="left" vertical="center"/>
    </xf>
    <xf numFmtId="0" fontId="60" fillId="0" borderId="0" xfId="18" applyFont="1" applyBorder="1" applyAlignment="1" applyProtection="1">
      <alignment horizontal="left" vertical="center"/>
    </xf>
    <xf numFmtId="0" fontId="25" fillId="0" borderId="46" xfId="0" applyFont="1" applyBorder="1" applyAlignment="1">
      <alignment horizontal="left"/>
    </xf>
    <xf numFmtId="0" fontId="25" fillId="0" borderId="0" xfId="0" applyFont="1" applyBorder="1" applyAlignment="1">
      <alignment horizontal="left"/>
    </xf>
    <xf numFmtId="0" fontId="25" fillId="0" borderId="47" xfId="0" applyFont="1" applyBorder="1" applyAlignment="1">
      <alignment horizontal="left"/>
    </xf>
    <xf numFmtId="0" fontId="25" fillId="0" borderId="46" xfId="0" applyFont="1" applyBorder="1" applyAlignment="1">
      <alignment horizontal="justify" wrapText="1"/>
    </xf>
    <xf numFmtId="0" fontId="25" fillId="0" borderId="0" xfId="0" applyFont="1" applyBorder="1" applyAlignment="1">
      <alignment horizontal="justify" wrapText="1"/>
    </xf>
    <xf numFmtId="0" fontId="25" fillId="0" borderId="47" xfId="0" applyFont="1" applyBorder="1" applyAlignment="1">
      <alignment horizontal="justify" wrapText="1"/>
    </xf>
    <xf numFmtId="0" fontId="23" fillId="0" borderId="0" xfId="0" applyFont="1" applyBorder="1" applyAlignment="1">
      <alignment horizontal="left"/>
    </xf>
    <xf numFmtId="0" fontId="21" fillId="0" borderId="0" xfId="0" applyFont="1" applyBorder="1" applyAlignment="1">
      <alignment horizontal="left"/>
    </xf>
    <xf numFmtId="0" fontId="20" fillId="0" borderId="46" xfId="0" applyFont="1" applyBorder="1" applyAlignment="1">
      <alignment horizontal="left" vertical="top" wrapText="1"/>
    </xf>
    <xf numFmtId="0" fontId="0" fillId="0" borderId="0" xfId="0"/>
    <xf numFmtId="0" fontId="50" fillId="0" borderId="0" xfId="0" applyFont="1" applyBorder="1" applyAlignment="1">
      <alignment horizontal="justify" wrapText="1"/>
    </xf>
    <xf numFmtId="0" fontId="50" fillId="0" borderId="47" xfId="0" applyFont="1" applyBorder="1" applyAlignment="1">
      <alignment horizontal="justify" wrapText="1"/>
    </xf>
    <xf numFmtId="0" fontId="30" fillId="0" borderId="4" xfId="0" applyFont="1" applyFill="1" applyBorder="1" applyAlignment="1">
      <alignment horizontal="left"/>
    </xf>
    <xf numFmtId="0" fontId="22" fillId="0" borderId="46" xfId="0" applyFont="1" applyBorder="1" applyAlignment="1">
      <alignment horizontal="center"/>
    </xf>
    <xf numFmtId="0" fontId="20" fillId="0" borderId="0" xfId="0" applyFont="1" applyBorder="1" applyAlignment="1"/>
    <xf numFmtId="0" fontId="20" fillId="0" borderId="47" xfId="0" applyFont="1" applyBorder="1" applyAlignment="1"/>
    <xf numFmtId="0" fontId="20" fillId="0" borderId="46" xfId="0" applyFont="1" applyBorder="1" applyAlignment="1"/>
    <xf numFmtId="0" fontId="23" fillId="0" borderId="55" xfId="0" applyFont="1" applyBorder="1" applyAlignment="1">
      <alignment horizontal="justify" vertical="top" wrapText="1"/>
    </xf>
    <xf numFmtId="0" fontId="23" fillId="0" borderId="2" xfId="0" applyFont="1" applyBorder="1" applyAlignment="1">
      <alignment horizontal="justify" vertical="top" wrapText="1"/>
    </xf>
    <xf numFmtId="0" fontId="23" fillId="0" borderId="56" xfId="0" applyFont="1" applyBorder="1" applyAlignment="1">
      <alignment horizontal="justify" vertical="top" wrapText="1"/>
    </xf>
    <xf numFmtId="0" fontId="26" fillId="0" borderId="55" xfId="0" applyFont="1" applyBorder="1" applyAlignment="1">
      <alignment horizontal="center" vertical="top" wrapText="1"/>
    </xf>
    <xf numFmtId="0" fontId="26" fillId="0" borderId="2" xfId="0" applyFont="1" applyBorder="1" applyAlignment="1">
      <alignment horizontal="center" vertical="top" wrapText="1"/>
    </xf>
    <xf numFmtId="0" fontId="26" fillId="0" borderId="56" xfId="0" applyFont="1" applyBorder="1" applyAlignment="1">
      <alignment horizontal="center" vertical="top" wrapText="1"/>
    </xf>
    <xf numFmtId="0" fontId="49" fillId="0" borderId="46" xfId="0" applyFont="1" applyBorder="1" applyAlignment="1">
      <alignment horizontal="center"/>
    </xf>
    <xf numFmtId="0" fontId="49" fillId="0" borderId="0" xfId="0" applyFont="1" applyBorder="1" applyAlignment="1">
      <alignment horizontal="center"/>
    </xf>
    <xf numFmtId="0" fontId="49" fillId="0" borderId="47" xfId="0" applyFont="1" applyBorder="1" applyAlignment="1">
      <alignment horizontal="center"/>
    </xf>
    <xf numFmtId="0" fontId="48" fillId="0" borderId="4" xfId="0" applyFont="1" applyFill="1" applyBorder="1" applyAlignment="1">
      <alignment horizontal="center" vertical="center" wrapText="1"/>
    </xf>
    <xf numFmtId="0" fontId="44" fillId="0" borderId="28" xfId="0" applyFont="1" applyBorder="1" applyAlignment="1" applyProtection="1">
      <alignment horizontal="center" textRotation="90"/>
    </xf>
    <xf numFmtId="0" fontId="44" fillId="0" borderId="11" xfId="0" applyFont="1" applyBorder="1" applyAlignment="1" applyProtection="1">
      <alignment horizontal="center" textRotation="90"/>
    </xf>
    <xf numFmtId="0" fontId="20" fillId="0" borderId="57" xfId="0" applyFont="1" applyBorder="1" applyAlignment="1" applyProtection="1">
      <alignment horizontal="center" textRotation="90" wrapText="1"/>
    </xf>
    <xf numFmtId="0" fontId="20" fillId="0" borderId="11" xfId="0" applyFont="1" applyBorder="1" applyAlignment="1" applyProtection="1">
      <alignment horizontal="center" textRotation="90" wrapText="1"/>
    </xf>
    <xf numFmtId="0" fontId="20" fillId="0" borderId="58" xfId="0" applyFont="1" applyBorder="1" applyAlignment="1" applyProtection="1">
      <alignment horizontal="center" textRotation="90" wrapText="1"/>
    </xf>
    <xf numFmtId="0" fontId="20" fillId="0" borderId="20" xfId="0" applyFont="1" applyBorder="1" applyAlignment="1" applyProtection="1">
      <alignment horizontal="center" textRotation="90" wrapText="1"/>
    </xf>
    <xf numFmtId="0" fontId="44" fillId="0" borderId="11" xfId="0" applyFont="1" applyBorder="1" applyAlignment="1" applyProtection="1">
      <alignment horizontal="center"/>
    </xf>
    <xf numFmtId="0" fontId="44" fillId="0" borderId="59" xfId="0" applyFont="1" applyBorder="1" applyAlignment="1" applyProtection="1">
      <alignment horizontal="center" wrapText="1"/>
    </xf>
    <xf numFmtId="0" fontId="44" fillId="0" borderId="29" xfId="0" applyFont="1" applyBorder="1" applyAlignment="1" applyProtection="1">
      <alignment horizontal="center" wrapText="1"/>
    </xf>
    <xf numFmtId="0" fontId="38" fillId="0" borderId="57" xfId="0" applyFont="1" applyBorder="1" applyAlignment="1" applyProtection="1">
      <alignment horizontal="center" textRotation="90" wrapText="1"/>
    </xf>
    <xf numFmtId="0" fontId="38" fillId="0" borderId="11" xfId="0" applyFont="1" applyBorder="1" applyAlignment="1" applyProtection="1">
      <alignment horizontal="center" textRotation="90" wrapText="1"/>
    </xf>
    <xf numFmtId="0" fontId="38" fillId="0" borderId="22" xfId="0" applyFont="1" applyBorder="1" applyAlignment="1" applyProtection="1">
      <alignment horizontal="center" textRotation="90" wrapText="1"/>
    </xf>
    <xf numFmtId="0" fontId="24" fillId="7" borderId="11" xfId="0" applyFont="1" applyFill="1" applyBorder="1" applyAlignment="1" applyProtection="1">
      <alignment horizontal="center"/>
    </xf>
    <xf numFmtId="0" fontId="24" fillId="7" borderId="20" xfId="0" applyFont="1" applyFill="1" applyBorder="1" applyAlignment="1" applyProtection="1">
      <alignment horizontal="center"/>
    </xf>
    <xf numFmtId="0" fontId="24" fillId="7" borderId="24" xfId="0" applyFont="1" applyFill="1" applyBorder="1" applyAlignment="1" applyProtection="1">
      <alignment horizontal="center"/>
    </xf>
    <xf numFmtId="0" fontId="24" fillId="7" borderId="26" xfId="0" applyFont="1" applyFill="1" applyBorder="1" applyAlignment="1" applyProtection="1">
      <alignment horizontal="center"/>
    </xf>
    <xf numFmtId="0" fontId="21" fillId="0" borderId="60" xfId="0" applyFont="1" applyBorder="1" applyAlignment="1" applyProtection="1">
      <alignment horizontal="center" vertical="center"/>
    </xf>
    <xf numFmtId="0" fontId="21" fillId="0" borderId="61" xfId="0" applyFont="1" applyBorder="1" applyAlignment="1" applyProtection="1">
      <alignment horizontal="center" vertical="center"/>
    </xf>
    <xf numFmtId="0" fontId="21" fillId="0" borderId="62" xfId="0" applyFont="1" applyBorder="1" applyAlignment="1" applyProtection="1">
      <alignment horizontal="center" vertical="center"/>
    </xf>
    <xf numFmtId="0" fontId="21" fillId="0" borderId="63" xfId="0" applyFont="1" applyBorder="1" applyAlignment="1" applyProtection="1">
      <alignment horizontal="center" vertical="center"/>
    </xf>
    <xf numFmtId="0" fontId="21" fillId="0" borderId="11" xfId="0" applyFont="1" applyBorder="1" applyAlignment="1" applyProtection="1">
      <alignment horizontal="center" vertical="center"/>
    </xf>
    <xf numFmtId="0" fontId="21" fillId="0" borderId="64" xfId="0" applyFont="1" applyBorder="1" applyAlignment="1" applyProtection="1">
      <alignment horizontal="center" textRotation="90" wrapText="1"/>
    </xf>
    <xf numFmtId="0" fontId="21" fillId="0" borderId="21" xfId="0" applyFont="1" applyBorder="1" applyAlignment="1" applyProtection="1">
      <alignment horizontal="center" textRotation="90" wrapText="1"/>
    </xf>
    <xf numFmtId="0" fontId="21" fillId="0" borderId="65" xfId="0" applyFont="1" applyBorder="1" applyAlignment="1" applyProtection="1">
      <alignment horizontal="center" vertical="center" wrapText="1"/>
    </xf>
    <xf numFmtId="0" fontId="21" fillId="0" borderId="66" xfId="0" applyFont="1" applyBorder="1" applyAlignment="1" applyProtection="1">
      <alignment horizontal="center" vertical="center" wrapText="1"/>
    </xf>
    <xf numFmtId="0" fontId="21" fillId="0" borderId="67" xfId="0" applyFont="1" applyBorder="1" applyAlignment="1" applyProtection="1">
      <alignment horizontal="center" vertical="center" wrapText="1"/>
    </xf>
    <xf numFmtId="0" fontId="44" fillId="0" borderId="27" xfId="0" applyFont="1" applyBorder="1" applyAlignment="1" applyProtection="1">
      <alignment horizontal="center" textRotation="90"/>
    </xf>
    <xf numFmtId="0" fontId="44" fillId="0" borderId="21" xfId="0" applyFont="1" applyBorder="1" applyAlignment="1" applyProtection="1">
      <alignment horizontal="center" textRotation="90"/>
    </xf>
    <xf numFmtId="0" fontId="21" fillId="6" borderId="62" xfId="0" applyFont="1" applyFill="1" applyBorder="1" applyAlignment="1" applyProtection="1">
      <alignment horizontal="center" vertical="center"/>
      <protection locked="0"/>
    </xf>
    <xf numFmtId="0" fontId="21" fillId="6" borderId="5" xfId="0" applyFont="1" applyFill="1" applyBorder="1" applyAlignment="1" applyProtection="1">
      <alignment horizontal="center" vertical="center"/>
      <protection locked="0"/>
    </xf>
    <xf numFmtId="0" fontId="21" fillId="6" borderId="61" xfId="0" applyFont="1" applyFill="1" applyBorder="1" applyAlignment="1" applyProtection="1">
      <alignment horizontal="center" vertical="center"/>
      <protection locked="0"/>
    </xf>
    <xf numFmtId="0" fontId="17" fillId="0" borderId="57" xfId="0" applyFont="1" applyBorder="1" applyAlignment="1" applyProtection="1">
      <alignment horizontal="center" textRotation="90"/>
    </xf>
    <xf numFmtId="0" fontId="17" fillId="0" borderId="11" xfId="0" applyFont="1" applyBorder="1" applyAlignment="1" applyProtection="1">
      <alignment horizontal="center" textRotation="90"/>
    </xf>
    <xf numFmtId="0" fontId="17" fillId="0" borderId="22" xfId="0" applyFont="1" applyBorder="1" applyAlignment="1" applyProtection="1">
      <alignment horizontal="center" textRotation="90"/>
    </xf>
    <xf numFmtId="0" fontId="17" fillId="0" borderId="64" xfId="0" applyFont="1" applyBorder="1" applyAlignment="1" applyProtection="1">
      <alignment horizontal="center" textRotation="90"/>
    </xf>
    <xf numFmtId="0" fontId="17" fillId="0" borderId="21" xfId="0" applyFont="1" applyBorder="1" applyAlignment="1" applyProtection="1">
      <alignment horizontal="center" textRotation="90"/>
    </xf>
    <xf numFmtId="0" fontId="17" fillId="0" borderId="68" xfId="0" applyFont="1" applyBorder="1" applyAlignment="1" applyProtection="1">
      <alignment horizontal="center" textRotation="90"/>
    </xf>
    <xf numFmtId="0" fontId="21" fillId="0" borderId="57" xfId="0" applyFont="1" applyBorder="1" applyAlignment="1" applyProtection="1">
      <alignment horizontal="center" textRotation="90" wrapText="1"/>
    </xf>
    <xf numFmtId="0" fontId="21" fillId="0" borderId="11" xfId="0" applyFont="1" applyBorder="1" applyAlignment="1" applyProtection="1">
      <alignment horizontal="center" textRotation="90" wrapText="1"/>
    </xf>
    <xf numFmtId="0" fontId="21" fillId="0" borderId="69" xfId="0" applyFont="1" applyBorder="1" applyAlignment="1" applyProtection="1">
      <alignment horizontal="center" vertical="center"/>
    </xf>
    <xf numFmtId="0" fontId="21" fillId="0" borderId="70" xfId="0" applyFont="1" applyBorder="1" applyAlignment="1" applyProtection="1">
      <alignment horizontal="center" vertical="center"/>
    </xf>
    <xf numFmtId="0" fontId="21" fillId="0" borderId="71" xfId="0" applyFont="1" applyBorder="1" applyAlignment="1" applyProtection="1">
      <alignment horizontal="center" vertical="center"/>
    </xf>
    <xf numFmtId="0" fontId="21" fillId="0" borderId="72" xfId="0" applyFont="1" applyBorder="1" applyAlignment="1" applyProtection="1">
      <alignment horizontal="center" vertical="center"/>
    </xf>
    <xf numFmtId="0" fontId="21" fillId="0" borderId="72" xfId="0" applyFont="1" applyBorder="1" applyAlignment="1" applyProtection="1">
      <alignment horizontal="center" vertical="center" wrapText="1"/>
    </xf>
    <xf numFmtId="0" fontId="29" fillId="0" borderId="12" xfId="0" applyFont="1" applyBorder="1" applyAlignment="1" applyProtection="1">
      <alignment horizontal="center" vertical="center" wrapText="1"/>
    </xf>
    <xf numFmtId="0" fontId="29" fillId="0" borderId="7" xfId="0" applyFont="1" applyBorder="1" applyAlignment="1" applyProtection="1">
      <alignment horizontal="center" vertical="center" wrapText="1"/>
    </xf>
    <xf numFmtId="0" fontId="29" fillId="0" borderId="8" xfId="0" applyFont="1" applyBorder="1" applyAlignment="1" applyProtection="1">
      <alignment horizontal="center" vertical="center" wrapText="1"/>
    </xf>
    <xf numFmtId="0" fontId="29" fillId="0" borderId="13" xfId="0" applyFont="1" applyBorder="1" applyAlignment="1" applyProtection="1">
      <alignment horizontal="center" vertical="center" wrapText="1"/>
    </xf>
    <xf numFmtId="0" fontId="29" fillId="0" borderId="0" xfId="0" applyFont="1" applyBorder="1" applyAlignment="1" applyProtection="1">
      <alignment horizontal="center" vertical="center" wrapText="1"/>
    </xf>
    <xf numFmtId="0" fontId="29" fillId="0" borderId="1" xfId="0" applyFont="1" applyBorder="1" applyAlignment="1" applyProtection="1">
      <alignment horizontal="center" vertical="center" wrapText="1"/>
    </xf>
    <xf numFmtId="0" fontId="29" fillId="0" borderId="14" xfId="0" applyFont="1" applyBorder="1" applyAlignment="1" applyProtection="1">
      <alignment horizontal="center" vertical="center" wrapText="1"/>
    </xf>
    <xf numFmtId="0" fontId="29" fillId="0" borderId="9" xfId="0" applyFont="1" applyBorder="1" applyAlignment="1" applyProtection="1">
      <alignment horizontal="center" vertical="center" wrapText="1"/>
    </xf>
    <xf numFmtId="0" fontId="29" fillId="0" borderId="10" xfId="0" applyFont="1" applyBorder="1" applyAlignment="1" applyProtection="1">
      <alignment horizontal="center" vertical="center" wrapText="1"/>
    </xf>
    <xf numFmtId="0" fontId="21" fillId="6" borderId="7" xfId="0" applyFont="1" applyFill="1" applyBorder="1" applyAlignment="1" applyProtection="1">
      <alignment horizontal="left" vertical="center"/>
      <protection locked="0"/>
    </xf>
    <xf numFmtId="0" fontId="21" fillId="6" borderId="8" xfId="0" applyFont="1" applyFill="1" applyBorder="1" applyAlignment="1" applyProtection="1">
      <alignment horizontal="left" vertical="center"/>
      <protection locked="0"/>
    </xf>
    <xf numFmtId="14" fontId="21" fillId="6" borderId="0" xfId="0" applyNumberFormat="1" applyFont="1" applyFill="1" applyBorder="1" applyAlignment="1" applyProtection="1">
      <alignment horizontal="left" vertical="center"/>
      <protection locked="0"/>
    </xf>
    <xf numFmtId="14" fontId="21" fillId="6" borderId="1" xfId="0" applyNumberFormat="1" applyFont="1" applyFill="1" applyBorder="1" applyAlignment="1" applyProtection="1">
      <alignment horizontal="left" vertical="center"/>
      <protection locked="0"/>
    </xf>
    <xf numFmtId="0" fontId="21" fillId="6" borderId="0" xfId="0" applyFont="1" applyFill="1" applyBorder="1" applyAlignment="1" applyProtection="1">
      <alignment horizontal="left" vertical="center"/>
      <protection locked="0"/>
    </xf>
    <xf numFmtId="0" fontId="21" fillId="6" borderId="1" xfId="0" applyFont="1" applyFill="1" applyBorder="1" applyAlignment="1" applyProtection="1">
      <alignment horizontal="left" vertical="center"/>
      <protection locked="0"/>
    </xf>
    <xf numFmtId="0" fontId="21" fillId="6" borderId="9" xfId="0" applyFont="1" applyFill="1" applyBorder="1" applyAlignment="1" applyProtection="1">
      <alignment horizontal="left" vertical="center"/>
      <protection locked="0"/>
    </xf>
    <xf numFmtId="0" fontId="21" fillId="6" borderId="10" xfId="0" applyFont="1" applyFill="1" applyBorder="1" applyAlignment="1" applyProtection="1">
      <alignment horizontal="left" vertical="center"/>
      <protection locked="0"/>
    </xf>
    <xf numFmtId="0" fontId="24" fillId="0" borderId="73" xfId="0" applyFont="1" applyBorder="1" applyAlignment="1" applyProtection="1">
      <alignment horizontal="center" vertical="center" wrapText="1"/>
    </xf>
    <xf numFmtId="0" fontId="24" fillId="0" borderId="51" xfId="0" applyFont="1" applyBorder="1" applyAlignment="1" applyProtection="1">
      <alignment horizontal="center" vertical="center" wrapText="1"/>
    </xf>
    <xf numFmtId="0" fontId="24" fillId="0" borderId="74" xfId="0" applyFont="1" applyBorder="1" applyAlignment="1" applyProtection="1">
      <alignment horizontal="center" vertical="center" wrapText="1"/>
    </xf>
    <xf numFmtId="0" fontId="24" fillId="0" borderId="47" xfId="0" applyFont="1" applyBorder="1" applyAlignment="1" applyProtection="1">
      <alignment horizontal="center" vertical="center" wrapText="1"/>
    </xf>
    <xf numFmtId="0" fontId="24" fillId="0" borderId="75" xfId="0" applyFont="1" applyBorder="1" applyAlignment="1" applyProtection="1">
      <alignment horizontal="center" vertical="center" wrapText="1"/>
    </xf>
    <xf numFmtId="0" fontId="24" fillId="0" borderId="53" xfId="0" applyFont="1" applyBorder="1" applyAlignment="1" applyProtection="1">
      <alignment horizontal="center" vertical="center" wrapText="1"/>
    </xf>
    <xf numFmtId="0" fontId="21" fillId="0" borderId="22" xfId="0" applyFont="1" applyBorder="1" applyAlignment="1" applyProtection="1">
      <alignment horizontal="center" textRotation="90" wrapText="1"/>
    </xf>
    <xf numFmtId="0" fontId="38" fillId="0" borderId="57" xfId="0" applyFont="1" applyBorder="1" applyAlignment="1" applyProtection="1">
      <alignment horizontal="center" textRotation="90"/>
    </xf>
    <xf numFmtId="0" fontId="38" fillId="0" borderId="11" xfId="0" applyFont="1" applyBorder="1" applyAlignment="1" applyProtection="1">
      <alignment horizontal="center" textRotation="90"/>
    </xf>
    <xf numFmtId="0" fontId="38" fillId="0" borderId="22" xfId="0" applyFont="1" applyBorder="1" applyAlignment="1" applyProtection="1">
      <alignment horizontal="center" textRotation="90"/>
    </xf>
    <xf numFmtId="0" fontId="40" fillId="0" borderId="57" xfId="0" applyFont="1" applyBorder="1" applyAlignment="1" applyProtection="1">
      <alignment horizontal="center" textRotation="90" wrapText="1"/>
    </xf>
    <xf numFmtId="0" fontId="17" fillId="0" borderId="57" xfId="0" applyFont="1" applyBorder="1" applyAlignment="1" applyProtection="1">
      <alignment horizontal="center" textRotation="90" wrapText="1"/>
    </xf>
    <xf numFmtId="0" fontId="24" fillId="0" borderId="0" xfId="0" applyFont="1" applyAlignment="1" applyProtection="1">
      <alignment horizontal="center"/>
    </xf>
  </cellXfs>
  <cellStyles count="46">
    <cellStyle name="args.style" xfId="1"/>
    <cellStyle name="Arial10" xfId="2"/>
    <cellStyle name="Arial10 2" xfId="3"/>
    <cellStyle name="Calc Currency (0)" xfId="4"/>
    <cellStyle name="Copied" xfId="5"/>
    <cellStyle name="COST1" xfId="6"/>
    <cellStyle name="Dollars" xfId="7"/>
    <cellStyle name="Dollars 2" xfId="8"/>
    <cellStyle name="Dollars(0)" xfId="9"/>
    <cellStyle name="Dollars(0) 2" xfId="10"/>
    <cellStyle name="Entered" xfId="11"/>
    <cellStyle name="FORM" xfId="12"/>
    <cellStyle name="Grey" xfId="13"/>
    <cellStyle name="Grey 2" xfId="14"/>
    <cellStyle name="Header1" xfId="15"/>
    <cellStyle name="Header2" xfId="16"/>
    <cellStyle name="header3" xfId="17"/>
    <cellStyle name="Hyperlink" xfId="18" builtinId="8"/>
    <cellStyle name="Input [yellow]" xfId="19"/>
    <cellStyle name="Input [yellow] 2" xfId="20"/>
    <cellStyle name="Input Cell" xfId="21"/>
    <cellStyle name="Input Cells" xfId="22"/>
    <cellStyle name="Linked Cells" xfId="23"/>
    <cellStyle name="Milliers [0]_!!!GO" xfId="24"/>
    <cellStyle name="Milliers_!!!GO" xfId="25"/>
    <cellStyle name="Monétaire [0]_!!!GO" xfId="26"/>
    <cellStyle name="Monétaire_!!!GO" xfId="27"/>
    <cellStyle name="Normal" xfId="0" builtinId="0"/>
    <cellStyle name="Normal - Style1" xfId="28"/>
    <cellStyle name="Normal 2" xfId="29"/>
    <cellStyle name="Normal 2 2" xfId="30"/>
    <cellStyle name="Normal 3" xfId="31"/>
    <cellStyle name="Normal Input" xfId="32"/>
    <cellStyle name="Normal_flange check-B16.5-B16.47" xfId="33"/>
    <cellStyle name="Œ…‹æØ‚è [0.00]_Region Orders (2)" xfId="34"/>
    <cellStyle name="Œ…‹æØ‚è_Region Orders (2)" xfId="35"/>
    <cellStyle name="per.style" xfId="36"/>
    <cellStyle name="Percent [2]" xfId="37"/>
    <cellStyle name="Percent 2" xfId="38"/>
    <cellStyle name="Percent 2 2" xfId="39"/>
    <cellStyle name="pricing" xfId="40"/>
    <cellStyle name="PSChar" xfId="41"/>
    <cellStyle name="RevList" xfId="42"/>
    <cellStyle name="STANDARD" xfId="43"/>
    <cellStyle name="Subtotal" xfId="44"/>
    <cellStyle name="Unprotected" xfId="4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85725</xdr:colOff>
      <xdr:row>0</xdr:row>
      <xdr:rowOff>104775</xdr:rowOff>
    </xdr:from>
    <xdr:to>
      <xdr:col>6</xdr:col>
      <xdr:colOff>771525</xdr:colOff>
      <xdr:row>3</xdr:row>
      <xdr:rowOff>57150</xdr:rowOff>
    </xdr:to>
    <xdr:pic>
      <xdr:nvPicPr>
        <xdr:cNvPr id="1747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5400675" y="104775"/>
          <a:ext cx="1828800" cy="6000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28575</xdr:colOff>
      <xdr:row>0</xdr:row>
      <xdr:rowOff>142875</xdr:rowOff>
    </xdr:from>
    <xdr:to>
      <xdr:col>38</xdr:col>
      <xdr:colOff>257175</xdr:colOff>
      <xdr:row>21</xdr:row>
      <xdr:rowOff>38100</xdr:rowOff>
    </xdr:to>
    <xdr:pic>
      <xdr:nvPicPr>
        <xdr:cNvPr id="1239" name="Picture 52" descr="Diagram"/>
        <xdr:cNvPicPr>
          <a:picLocks noChangeAspect="1" noChangeArrowheads="1"/>
        </xdr:cNvPicPr>
      </xdr:nvPicPr>
      <xdr:blipFill>
        <a:blip xmlns:r="http://schemas.openxmlformats.org/officeDocument/2006/relationships" r:embed="rId1" cstate="print"/>
        <a:srcRect/>
        <a:stretch>
          <a:fillRect/>
        </a:stretch>
      </xdr:blipFill>
      <xdr:spPr bwMode="auto">
        <a:xfrm>
          <a:off x="8620125" y="142875"/>
          <a:ext cx="7753350" cy="3895725"/>
        </a:xfrm>
        <a:prstGeom prst="rect">
          <a:avLst/>
        </a:prstGeom>
        <a:noFill/>
        <a:ln w="9525">
          <a:noFill/>
          <a:miter lim="800000"/>
          <a:headEnd/>
          <a:tailEnd/>
        </a:ln>
      </xdr:spPr>
    </xdr:pic>
    <xdr:clientData/>
  </xdr:twoCellAnchor>
  <xdr:twoCellAnchor editAs="oneCell">
    <xdr:from>
      <xdr:col>16</xdr:col>
      <xdr:colOff>66675</xdr:colOff>
      <xdr:row>0</xdr:row>
      <xdr:rowOff>95250</xdr:rowOff>
    </xdr:from>
    <xdr:to>
      <xdr:col>17</xdr:col>
      <xdr:colOff>1009650</xdr:colOff>
      <xdr:row>3</xdr:row>
      <xdr:rowOff>123825</xdr:rowOff>
    </xdr:to>
    <xdr:pic>
      <xdr:nvPicPr>
        <xdr:cNvPr id="1240"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6486525" y="95250"/>
          <a:ext cx="1828800" cy="600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apb017aaashjuae:8004/2009/ControlDocument/PEC-EN-VSS-L-6490.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5" type="noConversion"/>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dimension ref="A1:P151"/>
  <sheetViews>
    <sheetView view="pageBreakPreview" topLeftCell="A13" zoomScaleNormal="100" zoomScaleSheetLayoutView="100" workbookViewId="0">
      <selection activeCell="F20" sqref="F20"/>
    </sheetView>
  </sheetViews>
  <sheetFormatPr defaultRowHeight="15"/>
  <cols>
    <col min="1" max="1" width="5.28515625" style="2" customWidth="1"/>
    <col min="2" max="2" width="9.5703125" style="2" customWidth="1"/>
    <col min="3" max="3" width="21.85546875" style="2" customWidth="1"/>
    <col min="4" max="4" width="29.5703125" style="2" customWidth="1"/>
    <col min="5" max="5" width="13.42578125" style="2" customWidth="1"/>
    <col min="6" max="6" width="17.140625" style="2" customWidth="1"/>
    <col min="7" max="7" width="16.85546875" style="2" customWidth="1"/>
    <col min="8" max="8" width="1.5703125" style="2" customWidth="1"/>
    <col min="9" max="16384" width="9.140625" style="2"/>
  </cols>
  <sheetData>
    <row r="1" spans="1:8" ht="18.75" customHeight="1">
      <c r="B1" s="275" t="s">
        <v>175</v>
      </c>
      <c r="C1" s="275"/>
      <c r="D1" s="275" t="s">
        <v>246</v>
      </c>
      <c r="E1" s="275"/>
      <c r="F1" s="289"/>
      <c r="G1" s="289"/>
      <c r="H1" s="155"/>
    </row>
    <row r="2" spans="1:8" ht="15.75" customHeight="1">
      <c r="B2" s="275" t="s">
        <v>25</v>
      </c>
      <c r="C2" s="275"/>
      <c r="D2" s="275">
        <v>0</v>
      </c>
      <c r="E2" s="275"/>
      <c r="F2" s="289"/>
      <c r="G2" s="289"/>
      <c r="H2" s="155"/>
    </row>
    <row r="3" spans="1:8" ht="16.5" customHeight="1">
      <c r="B3" s="275" t="s">
        <v>176</v>
      </c>
      <c r="C3" s="275"/>
      <c r="D3" s="275" t="s">
        <v>243</v>
      </c>
      <c r="E3" s="275"/>
      <c r="F3" s="289"/>
      <c r="G3" s="289"/>
      <c r="H3" s="155"/>
    </row>
    <row r="4" spans="1:8" ht="15" customHeight="1">
      <c r="B4" s="275" t="s">
        <v>177</v>
      </c>
      <c r="C4" s="275"/>
      <c r="D4" s="275" t="s">
        <v>232</v>
      </c>
      <c r="E4" s="275"/>
      <c r="F4" s="289"/>
      <c r="G4" s="289"/>
      <c r="H4" s="155"/>
    </row>
    <row r="5" spans="1:8" ht="15" customHeight="1">
      <c r="B5" s="156"/>
      <c r="C5" s="157"/>
      <c r="D5" s="157"/>
      <c r="E5" s="157"/>
      <c r="F5" s="158"/>
      <c r="G5" s="159"/>
      <c r="H5" s="155"/>
    </row>
    <row r="6" spans="1:8" ht="15" customHeight="1">
      <c r="B6" s="156"/>
      <c r="C6" s="157"/>
      <c r="D6" s="157"/>
      <c r="E6" s="157"/>
      <c r="F6" s="158"/>
      <c r="G6" s="159"/>
      <c r="H6" s="155"/>
    </row>
    <row r="7" spans="1:8" ht="30" customHeight="1">
      <c r="A7" s="160"/>
      <c r="B7" s="161"/>
      <c r="C7" s="162"/>
      <c r="D7" s="163"/>
      <c r="E7" s="163"/>
      <c r="F7" s="163"/>
      <c r="G7" s="164"/>
    </row>
    <row r="8" spans="1:8" ht="30.75" customHeight="1">
      <c r="B8" s="276" t="s">
        <v>200</v>
      </c>
      <c r="C8" s="277"/>
      <c r="D8" s="277"/>
      <c r="E8" s="277"/>
      <c r="F8" s="277"/>
      <c r="G8" s="278"/>
    </row>
    <row r="9" spans="1:8" ht="30.75" customHeight="1">
      <c r="B9" s="165"/>
      <c r="C9" s="166"/>
      <c r="D9" s="166"/>
      <c r="E9" s="166"/>
      <c r="F9" s="166"/>
      <c r="G9" s="167"/>
    </row>
    <row r="10" spans="1:8" ht="30.75" customHeight="1">
      <c r="B10" s="165"/>
      <c r="C10" s="166"/>
      <c r="D10" s="166"/>
      <c r="E10" s="166"/>
      <c r="F10" s="166"/>
      <c r="G10" s="167"/>
    </row>
    <row r="11" spans="1:8" ht="30.75" customHeight="1">
      <c r="B11" s="165"/>
      <c r="C11" s="166"/>
      <c r="D11" s="166"/>
      <c r="E11" s="166"/>
      <c r="F11" s="166"/>
      <c r="G11" s="167"/>
    </row>
    <row r="12" spans="1:8">
      <c r="B12" s="276"/>
      <c r="C12" s="277"/>
      <c r="D12" s="277"/>
      <c r="E12" s="277"/>
      <c r="F12" s="277"/>
      <c r="G12" s="278"/>
    </row>
    <row r="13" spans="1:8" ht="15.75" thickBot="1">
      <c r="B13" s="279"/>
      <c r="C13" s="277"/>
      <c r="D13" s="277"/>
      <c r="E13" s="277"/>
      <c r="F13" s="277"/>
      <c r="G13" s="278"/>
    </row>
    <row r="14" spans="1:8" ht="30.75" customHeight="1" thickBot="1">
      <c r="B14" s="280" t="s">
        <v>178</v>
      </c>
      <c r="C14" s="281"/>
      <c r="D14" s="281"/>
      <c r="E14" s="281"/>
      <c r="F14" s="281"/>
      <c r="G14" s="282"/>
    </row>
    <row r="15" spans="1:8" ht="30.75" customHeight="1" thickBot="1">
      <c r="B15" s="168"/>
      <c r="C15" s="169"/>
      <c r="D15" s="169"/>
      <c r="E15" s="169"/>
      <c r="F15" s="169"/>
      <c r="G15" s="170"/>
    </row>
    <row r="16" spans="1:8" ht="30.75" customHeight="1" thickBot="1">
      <c r="B16" s="171"/>
      <c r="C16" s="172"/>
      <c r="D16" s="173"/>
      <c r="E16" s="173"/>
      <c r="F16" s="173"/>
      <c r="G16" s="174"/>
    </row>
    <row r="17" spans="2:7" ht="30.75" customHeight="1" thickBot="1">
      <c r="B17" s="171"/>
      <c r="C17" s="172"/>
      <c r="D17" s="173"/>
      <c r="E17" s="173"/>
      <c r="F17" s="173"/>
      <c r="G17" s="174"/>
    </row>
    <row r="18" spans="2:7" ht="30.75" customHeight="1" thickBot="1">
      <c r="B18" s="171"/>
      <c r="C18" s="172"/>
      <c r="D18" s="173"/>
      <c r="E18" s="173"/>
      <c r="F18" s="173"/>
      <c r="G18" s="174"/>
    </row>
    <row r="19" spans="2:7" ht="30.75" customHeight="1" thickBot="1">
      <c r="B19" s="171"/>
      <c r="C19" s="172"/>
      <c r="D19" s="173"/>
      <c r="E19" s="173"/>
      <c r="F19" s="173"/>
      <c r="G19" s="174"/>
    </row>
    <row r="20" spans="2:7" ht="69" customHeight="1" thickBot="1">
      <c r="B20" s="171">
        <v>0</v>
      </c>
      <c r="C20" s="209">
        <v>40283</v>
      </c>
      <c r="D20" s="172" t="s">
        <v>202</v>
      </c>
      <c r="E20" s="172" t="s">
        <v>33</v>
      </c>
      <c r="F20" s="172" t="s">
        <v>244</v>
      </c>
      <c r="G20" s="175" t="s">
        <v>201</v>
      </c>
    </row>
    <row r="21" spans="2:7" ht="30.75" customHeight="1" thickBot="1">
      <c r="B21" s="171" t="s">
        <v>98</v>
      </c>
      <c r="C21" s="209">
        <v>39799</v>
      </c>
      <c r="D21" s="172" t="s">
        <v>167</v>
      </c>
      <c r="E21" s="172" t="s">
        <v>33</v>
      </c>
      <c r="F21" s="172" t="s">
        <v>201</v>
      </c>
      <c r="G21" s="175" t="s">
        <v>32</v>
      </c>
    </row>
    <row r="22" spans="2:7" ht="30.75" customHeight="1" thickBot="1">
      <c r="B22" s="168" t="s">
        <v>27</v>
      </c>
      <c r="C22" s="169" t="s">
        <v>26</v>
      </c>
      <c r="D22" s="169" t="s">
        <v>28</v>
      </c>
      <c r="E22" s="169" t="s">
        <v>179</v>
      </c>
      <c r="F22" s="169" t="s">
        <v>29</v>
      </c>
      <c r="G22" s="170" t="s">
        <v>30</v>
      </c>
    </row>
    <row r="23" spans="2:7" ht="30.75" customHeight="1" thickBot="1">
      <c r="B23" s="283" t="s">
        <v>31</v>
      </c>
      <c r="C23" s="284"/>
      <c r="D23" s="284"/>
      <c r="E23" s="284"/>
      <c r="F23" s="284"/>
      <c r="G23" s="285"/>
    </row>
    <row r="24" spans="2:7">
      <c r="B24" s="176"/>
      <c r="C24" s="3"/>
      <c r="D24" s="3"/>
      <c r="E24" s="3"/>
      <c r="F24" s="3"/>
      <c r="G24" s="177"/>
    </row>
    <row r="25" spans="2:7">
      <c r="B25" s="176"/>
      <c r="C25" s="3"/>
      <c r="D25" s="3"/>
      <c r="E25" s="3"/>
      <c r="F25" s="3"/>
      <c r="G25" s="177"/>
    </row>
    <row r="26" spans="2:7">
      <c r="B26" s="176"/>
      <c r="C26" s="3"/>
      <c r="D26" s="3"/>
      <c r="E26" s="3"/>
      <c r="F26" s="3"/>
      <c r="G26" s="177"/>
    </row>
    <row r="27" spans="2:7">
      <c r="B27" s="176"/>
      <c r="C27" s="3"/>
      <c r="D27" s="3"/>
      <c r="E27" s="3"/>
      <c r="F27" s="3"/>
      <c r="G27" s="177"/>
    </row>
    <row r="28" spans="2:7">
      <c r="B28" s="176"/>
      <c r="C28" s="3"/>
      <c r="D28" s="3"/>
      <c r="E28" s="3"/>
      <c r="F28" s="3"/>
      <c r="G28" s="177"/>
    </row>
    <row r="29" spans="2:7">
      <c r="B29" s="176"/>
      <c r="C29" s="3"/>
      <c r="D29" s="3"/>
      <c r="E29" s="3"/>
      <c r="F29" s="3"/>
      <c r="G29" s="177"/>
    </row>
    <row r="30" spans="2:7">
      <c r="B30" s="176"/>
      <c r="C30" s="3"/>
      <c r="D30" s="3"/>
      <c r="E30" s="3"/>
      <c r="F30" s="3"/>
      <c r="G30" s="177"/>
    </row>
    <row r="31" spans="2:7">
      <c r="B31" s="176"/>
      <c r="C31" s="3"/>
      <c r="D31" s="3"/>
      <c r="E31" s="3"/>
      <c r="F31" s="3"/>
      <c r="G31" s="177"/>
    </row>
    <row r="32" spans="2:7">
      <c r="B32" s="176"/>
      <c r="C32" s="3"/>
      <c r="D32" s="3"/>
      <c r="E32" s="3"/>
      <c r="F32" s="3"/>
      <c r="G32" s="177"/>
    </row>
    <row r="33" spans="1:8">
      <c r="B33" s="176"/>
      <c r="C33" s="3"/>
      <c r="D33" s="3"/>
      <c r="E33" s="3"/>
      <c r="F33" s="3"/>
      <c r="G33" s="177"/>
    </row>
    <row r="34" spans="1:8">
      <c r="B34" s="176"/>
      <c r="C34" s="3"/>
      <c r="D34" s="3"/>
      <c r="E34" s="3"/>
      <c r="F34" s="3"/>
      <c r="G34" s="177"/>
    </row>
    <row r="35" spans="1:8">
      <c r="B35" s="176"/>
      <c r="C35" s="3"/>
      <c r="D35" s="3"/>
      <c r="E35" s="3"/>
      <c r="F35" s="3"/>
      <c r="G35" s="177"/>
    </row>
    <row r="36" spans="1:8">
      <c r="B36" s="176"/>
      <c r="C36" s="3"/>
      <c r="D36" s="3"/>
      <c r="E36" s="3"/>
      <c r="F36" s="3"/>
      <c r="G36" s="177"/>
    </row>
    <row r="37" spans="1:8">
      <c r="B37" s="176"/>
      <c r="C37" s="3"/>
      <c r="D37" s="3"/>
      <c r="E37" s="3"/>
      <c r="F37" s="3"/>
      <c r="G37" s="177"/>
    </row>
    <row r="38" spans="1:8">
      <c r="B38" s="176"/>
      <c r="C38" s="3"/>
      <c r="D38" s="3"/>
      <c r="E38" s="3"/>
      <c r="F38" s="3"/>
      <c r="G38" s="177"/>
    </row>
    <row r="39" spans="1:8">
      <c r="B39" s="176"/>
      <c r="C39" s="3"/>
      <c r="D39" s="3"/>
      <c r="E39" s="3"/>
      <c r="F39" s="3"/>
      <c r="G39" s="177"/>
    </row>
    <row r="40" spans="1:8">
      <c r="B40" s="176"/>
      <c r="C40" s="3"/>
      <c r="D40" s="3"/>
      <c r="E40" s="3"/>
      <c r="F40" s="3"/>
      <c r="G40" s="177"/>
    </row>
    <row r="41" spans="1:8">
      <c r="B41" s="227"/>
      <c r="C41" s="228"/>
      <c r="D41" s="228"/>
      <c r="E41" s="228"/>
      <c r="F41" s="228"/>
      <c r="G41" s="229"/>
    </row>
    <row r="42" spans="1:8" ht="30" customHeight="1">
      <c r="B42" s="286" t="s">
        <v>34</v>
      </c>
      <c r="C42" s="287"/>
      <c r="D42" s="287"/>
      <c r="E42" s="287"/>
      <c r="F42" s="287"/>
      <c r="G42" s="288"/>
    </row>
    <row r="43" spans="1:8" ht="21" customHeight="1">
      <c r="B43" s="176"/>
      <c r="C43" s="3"/>
      <c r="D43" s="178"/>
      <c r="E43" s="178"/>
      <c r="F43" s="178"/>
      <c r="G43" s="179"/>
    </row>
    <row r="44" spans="1:8" ht="26.25" customHeight="1">
      <c r="A44" s="180"/>
      <c r="B44" s="181">
        <v>1</v>
      </c>
      <c r="C44" s="269" t="s">
        <v>180</v>
      </c>
      <c r="D44" s="269"/>
      <c r="E44" s="269"/>
      <c r="F44" s="269"/>
      <c r="G44" s="182">
        <v>3</v>
      </c>
      <c r="H44" s="180"/>
    </row>
    <row r="45" spans="1:8" ht="26.25" customHeight="1">
      <c r="A45" s="180"/>
      <c r="B45" s="181">
        <v>2</v>
      </c>
      <c r="C45" s="269" t="s">
        <v>181</v>
      </c>
      <c r="D45" s="269"/>
      <c r="E45" s="269"/>
      <c r="F45" s="269"/>
      <c r="G45" s="182">
        <v>3</v>
      </c>
      <c r="H45" s="180"/>
    </row>
    <row r="46" spans="1:8" ht="26.25" customHeight="1">
      <c r="A46" s="180"/>
      <c r="B46" s="181">
        <v>3</v>
      </c>
      <c r="C46" s="269" t="s">
        <v>182</v>
      </c>
      <c r="D46" s="269"/>
      <c r="E46" s="269"/>
      <c r="F46" s="269"/>
      <c r="G46" s="182">
        <v>3</v>
      </c>
      <c r="H46" s="180"/>
    </row>
    <row r="47" spans="1:8" ht="26.25" customHeight="1">
      <c r="A47" s="180"/>
      <c r="B47" s="183">
        <v>3.1</v>
      </c>
      <c r="C47" s="270" t="s">
        <v>183</v>
      </c>
      <c r="D47" s="270"/>
      <c r="E47" s="270"/>
      <c r="F47" s="270"/>
      <c r="G47" s="184">
        <v>3</v>
      </c>
      <c r="H47" s="180"/>
    </row>
    <row r="48" spans="1:8" ht="26.25" customHeight="1">
      <c r="A48" s="180"/>
      <c r="B48" s="183">
        <v>3.2</v>
      </c>
      <c r="C48" s="270" t="s">
        <v>184</v>
      </c>
      <c r="D48" s="270"/>
      <c r="E48" s="270"/>
      <c r="F48" s="270"/>
      <c r="G48" s="184">
        <v>3</v>
      </c>
      <c r="H48" s="180"/>
    </row>
    <row r="49" spans="1:8" ht="26.25" customHeight="1">
      <c r="A49" s="180"/>
      <c r="B49" s="181">
        <v>4</v>
      </c>
      <c r="C49" s="269" t="s">
        <v>185</v>
      </c>
      <c r="D49" s="269"/>
      <c r="E49" s="269"/>
      <c r="F49" s="269"/>
      <c r="G49" s="182">
        <v>3</v>
      </c>
      <c r="H49" s="180"/>
    </row>
    <row r="50" spans="1:8" ht="26.25" customHeight="1">
      <c r="A50" s="180"/>
      <c r="B50" s="181">
        <v>5</v>
      </c>
      <c r="C50" s="269" t="s">
        <v>186</v>
      </c>
      <c r="D50" s="269"/>
      <c r="E50" s="269"/>
      <c r="F50" s="269"/>
      <c r="G50" s="182">
        <v>3</v>
      </c>
      <c r="H50" s="180"/>
    </row>
    <row r="51" spans="1:8" ht="26.25" customHeight="1">
      <c r="A51" s="180"/>
      <c r="B51" s="181">
        <v>6</v>
      </c>
      <c r="C51" s="269" t="s">
        <v>187</v>
      </c>
      <c r="D51" s="269"/>
      <c r="E51" s="269"/>
      <c r="F51" s="269"/>
      <c r="G51" s="182">
        <v>3</v>
      </c>
      <c r="H51" s="180"/>
    </row>
    <row r="52" spans="1:8" ht="26.25" customHeight="1">
      <c r="A52" s="180"/>
      <c r="B52" s="181">
        <v>7</v>
      </c>
      <c r="C52" s="269" t="s">
        <v>188</v>
      </c>
      <c r="D52" s="269"/>
      <c r="E52" s="269"/>
      <c r="F52" s="269"/>
      <c r="G52" s="182">
        <v>3</v>
      </c>
      <c r="H52" s="180"/>
    </row>
    <row r="53" spans="1:8" ht="26.25" customHeight="1">
      <c r="A53" s="180"/>
      <c r="B53" s="181">
        <v>8</v>
      </c>
      <c r="C53" s="269" t="s">
        <v>189</v>
      </c>
      <c r="D53" s="269"/>
      <c r="E53" s="269"/>
      <c r="F53" s="269"/>
      <c r="G53" s="182">
        <v>4</v>
      </c>
      <c r="H53" s="180"/>
    </row>
    <row r="54" spans="1:8">
      <c r="B54" s="176"/>
      <c r="C54" s="3"/>
      <c r="D54" s="3"/>
      <c r="E54" s="3"/>
      <c r="F54" s="3"/>
      <c r="G54" s="177"/>
    </row>
    <row r="55" spans="1:8">
      <c r="B55" s="176"/>
      <c r="C55" s="3"/>
      <c r="D55" s="3"/>
      <c r="E55" s="3"/>
      <c r="F55" s="3"/>
      <c r="G55" s="177"/>
    </row>
    <row r="56" spans="1:8">
      <c r="B56" s="176"/>
      <c r="C56" s="3"/>
      <c r="D56" s="3"/>
      <c r="E56" s="3"/>
      <c r="F56" s="3"/>
      <c r="G56" s="177"/>
    </row>
    <row r="57" spans="1:8">
      <c r="B57" s="176"/>
      <c r="C57" s="3"/>
      <c r="D57" s="3"/>
      <c r="E57" s="3"/>
      <c r="F57" s="3"/>
      <c r="G57" s="177"/>
    </row>
    <row r="58" spans="1:8">
      <c r="B58" s="176"/>
      <c r="C58" s="3"/>
      <c r="D58" s="3"/>
      <c r="E58" s="3"/>
      <c r="F58" s="3"/>
      <c r="G58" s="177"/>
    </row>
    <row r="59" spans="1:8">
      <c r="B59" s="176"/>
      <c r="C59" s="3"/>
      <c r="D59" s="3"/>
      <c r="E59" s="3"/>
      <c r="F59" s="3"/>
      <c r="G59" s="177"/>
    </row>
    <row r="60" spans="1:8">
      <c r="B60" s="176"/>
      <c r="C60" s="3"/>
      <c r="D60" s="3"/>
      <c r="E60" s="3"/>
      <c r="F60" s="3"/>
      <c r="G60" s="177"/>
    </row>
    <row r="61" spans="1:8">
      <c r="B61" s="176"/>
      <c r="C61" s="3"/>
      <c r="D61" s="3"/>
      <c r="E61" s="3"/>
      <c r="F61" s="3"/>
      <c r="G61" s="177"/>
    </row>
    <row r="62" spans="1:8">
      <c r="B62" s="176"/>
      <c r="C62" s="3"/>
      <c r="D62" s="3"/>
      <c r="E62" s="3"/>
      <c r="F62" s="3"/>
      <c r="G62" s="177"/>
    </row>
    <row r="63" spans="1:8">
      <c r="B63" s="176"/>
      <c r="C63" s="3"/>
      <c r="D63" s="3"/>
      <c r="E63" s="3"/>
      <c r="F63" s="3"/>
      <c r="G63" s="177"/>
    </row>
    <row r="64" spans="1:8">
      <c r="B64" s="176"/>
      <c r="C64" s="3"/>
      <c r="D64" s="3"/>
      <c r="E64" s="3"/>
      <c r="F64" s="3"/>
      <c r="G64" s="177"/>
    </row>
    <row r="65" spans="2:7">
      <c r="B65" s="176"/>
      <c r="C65" s="3"/>
      <c r="D65" s="3"/>
      <c r="E65" s="3"/>
      <c r="F65" s="3"/>
      <c r="G65" s="177"/>
    </row>
    <row r="66" spans="2:7">
      <c r="B66" s="176"/>
      <c r="C66" s="3"/>
      <c r="D66" s="3"/>
      <c r="E66" s="3"/>
      <c r="F66" s="3"/>
      <c r="G66" s="177"/>
    </row>
    <row r="67" spans="2:7">
      <c r="B67" s="176"/>
      <c r="C67" s="3"/>
      <c r="D67" s="3"/>
      <c r="E67" s="3"/>
      <c r="F67" s="3"/>
      <c r="G67" s="177"/>
    </row>
    <row r="68" spans="2:7">
      <c r="B68" s="176"/>
      <c r="C68" s="3"/>
      <c r="D68" s="3"/>
      <c r="E68" s="3"/>
      <c r="F68" s="3"/>
      <c r="G68" s="177"/>
    </row>
    <row r="69" spans="2:7">
      <c r="B69" s="176"/>
      <c r="C69" s="3"/>
      <c r="D69" s="3"/>
      <c r="E69" s="3"/>
      <c r="F69" s="3"/>
      <c r="G69" s="177"/>
    </row>
    <row r="70" spans="2:7">
      <c r="B70" s="176"/>
      <c r="C70" s="3"/>
      <c r="D70" s="3"/>
      <c r="E70" s="3"/>
      <c r="F70" s="3"/>
      <c r="G70" s="177"/>
    </row>
    <row r="71" spans="2:7">
      <c r="B71" s="176"/>
      <c r="C71" s="3"/>
      <c r="D71" s="3"/>
      <c r="E71" s="3"/>
      <c r="F71" s="3"/>
      <c r="G71" s="177"/>
    </row>
    <row r="72" spans="2:7">
      <c r="B72" s="176"/>
      <c r="C72" s="3"/>
      <c r="D72" s="3"/>
      <c r="E72" s="3"/>
      <c r="F72" s="3"/>
      <c r="G72" s="177"/>
    </row>
    <row r="73" spans="2:7">
      <c r="B73" s="176"/>
      <c r="C73" s="3"/>
      <c r="D73" s="3"/>
      <c r="E73" s="3"/>
      <c r="F73" s="3"/>
      <c r="G73" s="177"/>
    </row>
    <row r="74" spans="2:7">
      <c r="B74" s="176"/>
      <c r="C74" s="3"/>
      <c r="D74" s="3"/>
      <c r="E74" s="3"/>
      <c r="F74" s="3"/>
      <c r="G74" s="177"/>
    </row>
    <row r="75" spans="2:7">
      <c r="B75" s="176"/>
      <c r="C75" s="3"/>
      <c r="D75" s="3"/>
      <c r="E75" s="3"/>
      <c r="F75" s="3"/>
      <c r="G75" s="177"/>
    </row>
    <row r="76" spans="2:7">
      <c r="B76" s="176"/>
      <c r="C76" s="3"/>
      <c r="D76" s="3"/>
      <c r="E76" s="3"/>
      <c r="F76" s="3"/>
      <c r="G76" s="177"/>
    </row>
    <row r="77" spans="2:7">
      <c r="B77" s="176"/>
      <c r="C77" s="3"/>
      <c r="D77" s="3"/>
      <c r="E77" s="3"/>
      <c r="F77" s="3"/>
      <c r="G77" s="177"/>
    </row>
    <row r="78" spans="2:7">
      <c r="B78" s="176"/>
      <c r="C78" s="3"/>
      <c r="D78" s="3"/>
      <c r="E78" s="3"/>
      <c r="F78" s="3"/>
      <c r="G78" s="177"/>
    </row>
    <row r="79" spans="2:7">
      <c r="B79" s="176"/>
      <c r="C79" s="3"/>
      <c r="D79" s="3"/>
      <c r="E79" s="3"/>
      <c r="F79" s="3"/>
      <c r="G79" s="177"/>
    </row>
    <row r="80" spans="2:7">
      <c r="B80" s="176"/>
      <c r="C80" s="3"/>
      <c r="D80" s="3"/>
      <c r="E80" s="3"/>
      <c r="F80" s="3"/>
      <c r="G80" s="177"/>
    </row>
    <row r="81" spans="2:13">
      <c r="B81" s="176"/>
      <c r="C81" s="3"/>
      <c r="D81" s="3"/>
      <c r="E81" s="3"/>
      <c r="F81" s="3"/>
      <c r="G81" s="177"/>
    </row>
    <row r="82" spans="2:13">
      <c r="B82" s="176"/>
      <c r="C82" s="3"/>
      <c r="D82" s="3"/>
      <c r="E82" s="3"/>
      <c r="F82" s="3"/>
      <c r="G82" s="177"/>
    </row>
    <row r="83" spans="2:13">
      <c r="B83" s="176"/>
      <c r="C83" s="3"/>
      <c r="D83" s="3"/>
      <c r="E83" s="3"/>
      <c r="F83" s="3"/>
      <c r="G83" s="177"/>
    </row>
    <row r="84" spans="2:13">
      <c r="B84" s="176"/>
      <c r="C84" s="3"/>
      <c r="D84" s="3"/>
      <c r="E84" s="3"/>
      <c r="F84" s="3"/>
      <c r="G84" s="177"/>
    </row>
    <row r="85" spans="2:13">
      <c r="B85" s="176"/>
      <c r="C85" s="3"/>
      <c r="D85" s="3"/>
      <c r="E85" s="3"/>
      <c r="F85" s="3"/>
      <c r="G85" s="177"/>
    </row>
    <row r="86" spans="2:13">
      <c r="B86" s="227"/>
      <c r="C86" s="228"/>
      <c r="D86" s="228"/>
      <c r="E86" s="228"/>
      <c r="F86" s="228"/>
      <c r="G86" s="229"/>
    </row>
    <row r="87" spans="2:13">
      <c r="B87" s="185"/>
      <c r="C87" s="1"/>
      <c r="D87" s="1"/>
      <c r="E87" s="1"/>
      <c r="F87" s="1"/>
      <c r="G87" s="186"/>
      <c r="H87" s="3"/>
    </row>
    <row r="88" spans="2:13" ht="18">
      <c r="B88" s="246" t="s">
        <v>190</v>
      </c>
      <c r="C88" s="247"/>
      <c r="D88" s="247"/>
      <c r="E88" s="247"/>
      <c r="F88" s="247"/>
      <c r="G88" s="248"/>
      <c r="H88" s="187"/>
      <c r="I88" s="188"/>
      <c r="J88" s="188"/>
      <c r="K88" s="188"/>
    </row>
    <row r="89" spans="2:13" ht="33" customHeight="1">
      <c r="B89" s="266" t="s">
        <v>234</v>
      </c>
      <c r="C89" s="273"/>
      <c r="D89" s="273"/>
      <c r="E89" s="273"/>
      <c r="F89" s="273"/>
      <c r="G89" s="274"/>
      <c r="H89" s="192"/>
      <c r="I89" s="193"/>
      <c r="J89" s="193"/>
      <c r="K89" s="193"/>
    </row>
    <row r="90" spans="2:13" ht="16.5">
      <c r="B90" s="271"/>
      <c r="C90" s="272"/>
      <c r="D90" s="272"/>
      <c r="E90" s="272"/>
      <c r="F90" s="272"/>
      <c r="G90" s="196"/>
      <c r="H90" s="195"/>
    </row>
    <row r="91" spans="2:13" ht="18" customHeight="1">
      <c r="B91" s="246" t="s">
        <v>191</v>
      </c>
      <c r="C91" s="247"/>
      <c r="D91" s="247"/>
      <c r="E91" s="247"/>
      <c r="F91" s="247"/>
      <c r="G91" s="248"/>
      <c r="H91" s="187"/>
      <c r="I91" s="188"/>
      <c r="J91" s="188"/>
      <c r="K91" s="188"/>
    </row>
    <row r="92" spans="2:13" s="210" customFormat="1" ht="49.5" customHeight="1">
      <c r="B92" s="251" t="s">
        <v>233</v>
      </c>
      <c r="C92" s="252"/>
      <c r="D92" s="252"/>
      <c r="E92" s="252"/>
      <c r="F92" s="252"/>
      <c r="G92" s="253"/>
    </row>
    <row r="93" spans="2:13" ht="16.5" customHeight="1">
      <c r="B93" s="194"/>
      <c r="C93" s="195"/>
      <c r="D93" s="195"/>
      <c r="E93" s="195"/>
      <c r="F93" s="195"/>
      <c r="G93" s="196"/>
      <c r="H93" s="195"/>
    </row>
    <row r="94" spans="2:13" ht="18" customHeight="1">
      <c r="B94" s="246" t="s">
        <v>192</v>
      </c>
      <c r="C94" s="247"/>
      <c r="D94" s="247"/>
      <c r="E94" s="247"/>
      <c r="F94" s="247"/>
      <c r="G94" s="248"/>
      <c r="H94" s="187"/>
      <c r="I94" s="188"/>
      <c r="J94" s="188"/>
      <c r="K94" s="188"/>
    </row>
    <row r="95" spans="2:13" ht="16.5" customHeight="1">
      <c r="B95" s="194"/>
      <c r="C95" s="195"/>
      <c r="D95" s="195"/>
      <c r="E95" s="195"/>
      <c r="F95" s="195"/>
      <c r="G95" s="196"/>
      <c r="H95" s="195"/>
    </row>
    <row r="96" spans="2:13" ht="18" customHeight="1">
      <c r="B96" s="246" t="s">
        <v>193</v>
      </c>
      <c r="C96" s="247"/>
      <c r="D96" s="247"/>
      <c r="E96" s="247"/>
      <c r="F96" s="247"/>
      <c r="G96" s="248"/>
      <c r="H96" s="187"/>
      <c r="I96" s="188"/>
      <c r="J96" s="188"/>
      <c r="K96" s="188"/>
      <c r="L96" s="188"/>
      <c r="M96" s="188"/>
    </row>
    <row r="97" spans="2:15" s="210" customFormat="1" ht="33" customHeight="1">
      <c r="B97" s="251" t="s">
        <v>235</v>
      </c>
      <c r="C97" s="252"/>
      <c r="D97" s="252"/>
      <c r="E97" s="252"/>
      <c r="F97" s="252"/>
      <c r="G97" s="253"/>
    </row>
    <row r="98" spans="2:15" ht="16.5" customHeight="1">
      <c r="B98" s="256"/>
      <c r="C98" s="257"/>
      <c r="D98" s="257"/>
      <c r="E98" s="257"/>
      <c r="F98" s="257"/>
      <c r="G98" s="258"/>
      <c r="H98" s="201"/>
      <c r="I98" s="202"/>
      <c r="J98" s="202"/>
      <c r="K98" s="202"/>
    </row>
    <row r="99" spans="2:15" ht="18" customHeight="1">
      <c r="B99" s="246" t="s">
        <v>194</v>
      </c>
      <c r="C99" s="247"/>
      <c r="D99" s="247"/>
      <c r="E99" s="247"/>
      <c r="F99" s="247"/>
      <c r="G99" s="248"/>
      <c r="H99" s="187"/>
      <c r="I99" s="188"/>
      <c r="J99" s="188"/>
      <c r="K99" s="188"/>
      <c r="L99" s="188"/>
      <c r="M99" s="188"/>
    </row>
    <row r="100" spans="2:15" ht="16.5" customHeight="1">
      <c r="B100" s="240" t="s">
        <v>216</v>
      </c>
      <c r="C100" s="238"/>
      <c r="D100" s="238"/>
      <c r="E100" s="238"/>
      <c r="F100" s="238"/>
      <c r="G100" s="239"/>
      <c r="H100" s="213"/>
      <c r="I100" s="202"/>
      <c r="J100" s="202"/>
      <c r="K100" s="202"/>
    </row>
    <row r="101" spans="2:15" ht="16.5" customHeight="1">
      <c r="B101" s="240" t="s">
        <v>236</v>
      </c>
      <c r="C101" s="238"/>
      <c r="D101" s="238"/>
      <c r="E101" s="238"/>
      <c r="F101" s="238"/>
      <c r="G101" s="239"/>
      <c r="H101" s="213"/>
      <c r="I101" s="202"/>
      <c r="J101" s="202"/>
      <c r="K101" s="202"/>
    </row>
    <row r="102" spans="2:15" ht="16.5" customHeight="1">
      <c r="B102" s="197"/>
      <c r="C102" s="198"/>
      <c r="D102" s="198"/>
      <c r="E102" s="198"/>
      <c r="F102" s="198"/>
      <c r="G102" s="199"/>
      <c r="H102" s="198"/>
      <c r="I102" s="203"/>
      <c r="J102" s="203"/>
    </row>
    <row r="103" spans="2:15" ht="18" customHeight="1">
      <c r="B103" s="246" t="s">
        <v>195</v>
      </c>
      <c r="C103" s="247"/>
      <c r="D103" s="247"/>
      <c r="E103" s="247"/>
      <c r="F103" s="247"/>
      <c r="G103" s="248"/>
      <c r="H103" s="187"/>
      <c r="I103" s="188"/>
      <c r="J103" s="188"/>
    </row>
    <row r="104" spans="2:15" ht="16.5" customHeight="1">
      <c r="B104" s="261" t="s">
        <v>247</v>
      </c>
      <c r="C104" s="262"/>
      <c r="D104" s="259" t="s">
        <v>245</v>
      </c>
      <c r="E104" s="259"/>
      <c r="F104" s="259"/>
      <c r="G104" s="260"/>
      <c r="H104" s="187"/>
      <c r="I104" s="188"/>
      <c r="J104" s="188"/>
    </row>
    <row r="105" spans="2:15" ht="16.5" customHeight="1">
      <c r="B105" s="254" t="s">
        <v>203</v>
      </c>
      <c r="C105" s="255"/>
      <c r="D105" s="244" t="s">
        <v>38</v>
      </c>
      <c r="E105" s="244"/>
      <c r="F105" s="214"/>
      <c r="G105" s="215"/>
      <c r="H105" s="187"/>
      <c r="I105" s="188"/>
      <c r="J105" s="188"/>
      <c r="K105" s="15"/>
      <c r="L105" s="15"/>
      <c r="M105" s="15"/>
      <c r="N105" s="15"/>
      <c r="O105" s="15"/>
    </row>
    <row r="106" spans="2:15" ht="16.5" customHeight="1">
      <c r="B106" s="254" t="s">
        <v>54</v>
      </c>
      <c r="C106" s="255"/>
      <c r="D106" s="244" t="s">
        <v>39</v>
      </c>
      <c r="E106" s="244"/>
      <c r="F106" s="214"/>
      <c r="G106" s="215"/>
      <c r="H106" s="187"/>
      <c r="I106" s="188"/>
      <c r="J106" s="188"/>
      <c r="K106" s="15"/>
      <c r="L106" s="15"/>
      <c r="M106" s="15"/>
      <c r="N106" s="15"/>
      <c r="O106" s="15"/>
    </row>
    <row r="107" spans="2:15" ht="16.5" customHeight="1">
      <c r="B107" s="254" t="s">
        <v>53</v>
      </c>
      <c r="C107" s="255"/>
      <c r="D107" s="244" t="s">
        <v>40</v>
      </c>
      <c r="E107" s="244"/>
      <c r="F107" s="214"/>
      <c r="G107" s="215"/>
      <c r="H107" s="187"/>
      <c r="I107" s="188"/>
      <c r="J107" s="188"/>
      <c r="K107" s="15"/>
      <c r="L107" s="15"/>
      <c r="M107" s="15"/>
      <c r="N107" s="15"/>
      <c r="O107" s="15"/>
    </row>
    <row r="108" spans="2:15" ht="16.5" customHeight="1">
      <c r="B108" s="242"/>
      <c r="C108" s="243"/>
      <c r="D108" s="195"/>
      <c r="E108" s="195"/>
      <c r="F108" s="195"/>
      <c r="G108" s="196"/>
      <c r="H108" s="195"/>
    </row>
    <row r="109" spans="2:15" ht="18" customHeight="1">
      <c r="B109" s="246" t="s">
        <v>196</v>
      </c>
      <c r="C109" s="247"/>
      <c r="D109" s="247"/>
      <c r="E109" s="247"/>
      <c r="F109" s="247"/>
      <c r="G109" s="248"/>
      <c r="H109" s="187"/>
      <c r="I109" s="188"/>
      <c r="J109" s="188"/>
      <c r="K109" s="188"/>
    </row>
    <row r="110" spans="2:15" ht="33" customHeight="1">
      <c r="B110" s="266" t="s">
        <v>217</v>
      </c>
      <c r="C110" s="267"/>
      <c r="D110" s="267"/>
      <c r="E110" s="267"/>
      <c r="F110" s="267"/>
      <c r="G110" s="268"/>
      <c r="H110" s="195"/>
    </row>
    <row r="111" spans="2:15" ht="16.5">
      <c r="B111" s="204"/>
      <c r="C111" s="195"/>
      <c r="D111" s="195"/>
      <c r="E111" s="195"/>
      <c r="F111" s="195"/>
      <c r="G111" s="196"/>
      <c r="H111" s="195"/>
    </row>
    <row r="112" spans="2:15" ht="18" customHeight="1">
      <c r="B112" s="246" t="s">
        <v>197</v>
      </c>
      <c r="C112" s="247"/>
      <c r="D112" s="247"/>
      <c r="E112" s="247"/>
      <c r="F112" s="247"/>
      <c r="G112" s="248"/>
      <c r="H112" s="187"/>
      <c r="I112" s="188"/>
      <c r="J112" s="188"/>
      <c r="K112" s="188"/>
    </row>
    <row r="113" spans="2:16" s="180" customFormat="1" ht="16.5" customHeight="1">
      <c r="B113" s="216" t="s">
        <v>205</v>
      </c>
      <c r="C113" s="238" t="s">
        <v>226</v>
      </c>
      <c r="D113" s="238"/>
      <c r="E113" s="241"/>
      <c r="F113" s="217"/>
      <c r="G113" s="196"/>
      <c r="H113" s="200"/>
    </row>
    <row r="114" spans="2:16" s="180" customFormat="1" ht="16.5" customHeight="1">
      <c r="B114" s="216" t="s">
        <v>206</v>
      </c>
      <c r="C114" s="238" t="s">
        <v>35</v>
      </c>
      <c r="D114" s="238"/>
      <c r="E114" s="241"/>
      <c r="F114" s="218"/>
      <c r="G114" s="196"/>
      <c r="H114" s="200"/>
    </row>
    <row r="115" spans="2:16" s="180" customFormat="1" ht="33" customHeight="1">
      <c r="B115" s="216" t="s">
        <v>207</v>
      </c>
      <c r="C115" s="238" t="s">
        <v>227</v>
      </c>
      <c r="D115" s="238"/>
      <c r="E115" s="238"/>
      <c r="F115" s="238"/>
      <c r="G115" s="239"/>
      <c r="H115" s="200"/>
    </row>
    <row r="116" spans="2:16" s="180" customFormat="1" ht="33" customHeight="1">
      <c r="B116" s="216" t="s">
        <v>208</v>
      </c>
      <c r="C116" s="238" t="s">
        <v>228</v>
      </c>
      <c r="D116" s="238"/>
      <c r="E116" s="238"/>
      <c r="F116" s="238"/>
      <c r="G116" s="239"/>
      <c r="H116" s="200"/>
    </row>
    <row r="117" spans="2:16" s="180" customFormat="1" ht="33" customHeight="1">
      <c r="B117" s="216" t="s">
        <v>209</v>
      </c>
      <c r="C117" s="238" t="s">
        <v>229</v>
      </c>
      <c r="D117" s="238"/>
      <c r="E117" s="238"/>
      <c r="F117" s="238"/>
      <c r="G117" s="239"/>
      <c r="H117" s="200"/>
    </row>
    <row r="118" spans="2:16" s="180" customFormat="1" ht="16.5" customHeight="1">
      <c r="B118" s="216" t="s">
        <v>210</v>
      </c>
      <c r="C118" s="238" t="s">
        <v>99</v>
      </c>
      <c r="D118" s="238"/>
      <c r="E118" s="238"/>
      <c r="F118" s="238"/>
      <c r="G118" s="239"/>
      <c r="H118" s="200"/>
    </row>
    <row r="119" spans="2:16" s="180" customFormat="1" ht="33" customHeight="1">
      <c r="B119" s="216" t="s">
        <v>211</v>
      </c>
      <c r="C119" s="238" t="s">
        <v>100</v>
      </c>
      <c r="D119" s="238"/>
      <c r="E119" s="238"/>
      <c r="F119" s="238"/>
      <c r="G119" s="239"/>
      <c r="H119" s="200"/>
    </row>
    <row r="120" spans="2:16" s="180" customFormat="1" ht="16.5" customHeight="1">
      <c r="B120" s="216" t="s">
        <v>212</v>
      </c>
      <c r="C120" s="238" t="s">
        <v>101</v>
      </c>
      <c r="D120" s="238"/>
      <c r="E120" s="238"/>
      <c r="F120" s="238"/>
      <c r="G120" s="239"/>
      <c r="H120" s="200"/>
    </row>
    <row r="121" spans="2:16" s="180" customFormat="1" ht="16.5" customHeight="1">
      <c r="B121" s="216" t="s">
        <v>213</v>
      </c>
      <c r="C121" s="238" t="s">
        <v>150</v>
      </c>
      <c r="D121" s="238"/>
      <c r="E121" s="238"/>
      <c r="F121" s="238"/>
      <c r="G121" s="239"/>
      <c r="H121" s="200"/>
    </row>
    <row r="122" spans="2:16" s="180" customFormat="1" ht="49.5" customHeight="1">
      <c r="B122" s="216" t="s">
        <v>214</v>
      </c>
      <c r="C122" s="238" t="s">
        <v>239</v>
      </c>
      <c r="D122" s="238"/>
      <c r="E122" s="238"/>
      <c r="F122" s="238"/>
      <c r="G122" s="239"/>
      <c r="H122" s="200"/>
    </row>
    <row r="123" spans="2:16" s="180" customFormat="1" ht="16.5" customHeight="1">
      <c r="B123" s="216" t="s">
        <v>215</v>
      </c>
      <c r="C123" s="238" t="s">
        <v>204</v>
      </c>
      <c r="D123" s="238"/>
      <c r="E123" s="238"/>
      <c r="F123" s="238"/>
      <c r="G123" s="239"/>
      <c r="H123" s="200"/>
      <c r="L123" s="249"/>
      <c r="M123" s="249"/>
      <c r="N123" s="249"/>
      <c r="O123" s="249"/>
      <c r="P123" s="249"/>
    </row>
    <row r="124" spans="2:16" s="180" customFormat="1" ht="16.5" customHeight="1">
      <c r="B124" s="216"/>
      <c r="C124" s="211"/>
      <c r="D124" s="211"/>
      <c r="E124" s="211"/>
      <c r="F124" s="211"/>
      <c r="G124" s="212"/>
      <c r="H124" s="200"/>
      <c r="L124" s="219"/>
      <c r="M124" s="219"/>
      <c r="N124" s="219"/>
      <c r="O124" s="219"/>
      <c r="P124" s="219"/>
    </row>
    <row r="125" spans="2:16" ht="16.5">
      <c r="B125" s="230"/>
      <c r="C125" s="231"/>
      <c r="D125" s="231"/>
      <c r="E125" s="231"/>
      <c r="F125" s="231"/>
      <c r="G125" s="232"/>
      <c r="H125" s="195"/>
      <c r="L125" s="250"/>
      <c r="M125" s="250"/>
      <c r="N125" s="250"/>
      <c r="O125" s="250"/>
      <c r="P125" s="250"/>
    </row>
    <row r="126" spans="2:16" ht="18" customHeight="1">
      <c r="B126" s="246" t="s">
        <v>198</v>
      </c>
      <c r="C126" s="247"/>
      <c r="D126" s="247"/>
      <c r="E126" s="247"/>
      <c r="F126" s="247"/>
      <c r="G126" s="248"/>
      <c r="H126" s="187"/>
      <c r="L126" s="245"/>
      <c r="M126" s="245"/>
      <c r="N126" s="245"/>
      <c r="O126" s="245"/>
      <c r="P126" s="245"/>
    </row>
    <row r="127" spans="2:16" s="180" customFormat="1" ht="33" customHeight="1">
      <c r="B127" s="216" t="s">
        <v>218</v>
      </c>
      <c r="C127" s="238" t="s">
        <v>240</v>
      </c>
      <c r="D127" s="238"/>
      <c r="E127" s="238"/>
      <c r="F127" s="238"/>
      <c r="G127" s="239"/>
      <c r="H127" s="200"/>
      <c r="L127" s="219"/>
      <c r="M127" s="219"/>
      <c r="N127" s="219"/>
      <c r="O127" s="219"/>
      <c r="P127" s="219"/>
    </row>
    <row r="128" spans="2:16" s="180" customFormat="1" ht="33" customHeight="1">
      <c r="B128" s="216" t="s">
        <v>219</v>
      </c>
      <c r="C128" s="238" t="s">
        <v>241</v>
      </c>
      <c r="D128" s="238"/>
      <c r="E128" s="238"/>
      <c r="F128" s="238"/>
      <c r="G128" s="239"/>
      <c r="H128" s="200"/>
      <c r="L128" s="219"/>
      <c r="M128" s="219"/>
      <c r="N128" s="219"/>
      <c r="O128" s="219"/>
      <c r="P128" s="219"/>
    </row>
    <row r="129" spans="2:16" s="180" customFormat="1" ht="33" customHeight="1">
      <c r="B129" s="216" t="s">
        <v>220</v>
      </c>
      <c r="C129" s="238" t="s">
        <v>248</v>
      </c>
      <c r="D129" s="238"/>
      <c r="E129" s="238"/>
      <c r="F129" s="238"/>
      <c r="G129" s="239"/>
      <c r="H129" s="200"/>
      <c r="L129" s="219"/>
      <c r="M129" s="219"/>
      <c r="N129" s="219"/>
      <c r="O129" s="219"/>
      <c r="P129" s="219"/>
    </row>
    <row r="130" spans="2:16" s="180" customFormat="1" ht="33" customHeight="1">
      <c r="B130" s="216" t="s">
        <v>221</v>
      </c>
      <c r="C130" s="238" t="s">
        <v>249</v>
      </c>
      <c r="D130" s="238"/>
      <c r="E130" s="238"/>
      <c r="F130" s="238"/>
      <c r="G130" s="239"/>
      <c r="H130" s="200"/>
      <c r="L130" s="219"/>
      <c r="M130" s="219"/>
      <c r="N130" s="219"/>
      <c r="O130" s="219"/>
      <c r="P130" s="219"/>
    </row>
    <row r="131" spans="2:16" s="180" customFormat="1" ht="16.5" customHeight="1">
      <c r="B131" s="216" t="s">
        <v>222</v>
      </c>
      <c r="C131" s="238" t="s">
        <v>49</v>
      </c>
      <c r="D131" s="238"/>
      <c r="E131" s="238"/>
      <c r="F131" s="238"/>
      <c r="G131" s="239"/>
      <c r="H131" s="200"/>
      <c r="L131" s="219"/>
      <c r="M131" s="219"/>
      <c r="N131" s="219"/>
      <c r="O131" s="219"/>
      <c r="P131" s="219"/>
    </row>
    <row r="132" spans="2:16" s="180" customFormat="1" ht="16.5" customHeight="1">
      <c r="B132" s="216"/>
      <c r="C132" s="219" t="s">
        <v>50</v>
      </c>
      <c r="D132" s="211" t="s">
        <v>223</v>
      </c>
      <c r="E132" s="211"/>
      <c r="F132" s="211"/>
      <c r="G132" s="212"/>
      <c r="H132" s="200"/>
      <c r="L132" s="219"/>
      <c r="M132" s="219"/>
      <c r="N132" s="219"/>
      <c r="O132" s="219"/>
      <c r="P132" s="219"/>
    </row>
    <row r="133" spans="2:16" s="180" customFormat="1" ht="16.5" customHeight="1">
      <c r="B133" s="216"/>
      <c r="C133" s="219" t="s">
        <v>51</v>
      </c>
      <c r="D133" s="211" t="s">
        <v>224</v>
      </c>
      <c r="E133" s="211"/>
      <c r="F133" s="211"/>
      <c r="G133" s="212"/>
      <c r="H133" s="200"/>
      <c r="L133" s="219"/>
      <c r="M133" s="219"/>
      <c r="N133" s="219"/>
      <c r="O133" s="219"/>
      <c r="P133" s="219"/>
    </row>
    <row r="134" spans="2:16" s="180" customFormat="1" ht="16.5" customHeight="1">
      <c r="B134" s="216"/>
      <c r="C134" s="219" t="s">
        <v>52</v>
      </c>
      <c r="D134" s="211" t="s">
        <v>225</v>
      </c>
      <c r="E134" s="211"/>
      <c r="F134" s="211"/>
      <c r="G134" s="212"/>
      <c r="H134" s="200"/>
      <c r="L134" s="219"/>
      <c r="M134" s="219"/>
      <c r="N134" s="219"/>
      <c r="O134" s="219"/>
      <c r="P134" s="219"/>
    </row>
    <row r="135" spans="2:16" ht="16.5">
      <c r="B135" s="204"/>
      <c r="C135" s="195"/>
      <c r="D135" s="195"/>
      <c r="E135" s="195"/>
      <c r="F135" s="195"/>
      <c r="G135" s="196"/>
      <c r="H135" s="195"/>
    </row>
    <row r="136" spans="2:16" ht="18" customHeight="1">
      <c r="B136" s="246" t="s">
        <v>199</v>
      </c>
      <c r="C136" s="247"/>
      <c r="D136" s="247"/>
      <c r="E136" s="247"/>
      <c r="F136" s="247"/>
      <c r="G136" s="248"/>
      <c r="H136" s="187"/>
    </row>
    <row r="137" spans="2:16" s="180" customFormat="1" ht="16.5" customHeight="1">
      <c r="B137" s="263" t="s">
        <v>237</v>
      </c>
      <c r="C137" s="264"/>
      <c r="D137" s="264"/>
      <c r="E137" s="264"/>
      <c r="F137" s="264"/>
      <c r="G137" s="265"/>
      <c r="H137" s="195"/>
      <c r="I137" s="220"/>
      <c r="J137" s="220"/>
      <c r="K137" s="220"/>
      <c r="L137" s="220"/>
      <c r="M137" s="220"/>
    </row>
    <row r="138" spans="2:16" s="180" customFormat="1" ht="16.5" customHeight="1">
      <c r="B138" s="221" t="s">
        <v>238</v>
      </c>
      <c r="C138" s="222"/>
      <c r="D138" s="222"/>
      <c r="E138" s="222"/>
      <c r="F138" s="222"/>
      <c r="G138" s="223"/>
      <c r="H138" s="195"/>
      <c r="I138" s="220"/>
      <c r="J138" s="220"/>
      <c r="K138" s="220"/>
      <c r="L138" s="220"/>
      <c r="M138" s="220"/>
    </row>
    <row r="139" spans="2:16" ht="21" customHeight="1">
      <c r="B139" s="189"/>
      <c r="C139" s="190"/>
      <c r="D139" s="190"/>
      <c r="E139" s="190"/>
      <c r="F139" s="190"/>
      <c r="G139" s="191"/>
      <c r="H139" s="195"/>
      <c r="I139" s="205"/>
      <c r="J139" s="205"/>
      <c r="K139" s="205"/>
      <c r="L139" s="205"/>
      <c r="M139" s="205"/>
    </row>
    <row r="140" spans="2:16" ht="21" customHeight="1">
      <c r="B140" s="224"/>
      <c r="C140" s="225"/>
      <c r="D140" s="225"/>
      <c r="E140" s="225"/>
      <c r="F140" s="225"/>
      <c r="G140" s="226"/>
      <c r="H140" s="195"/>
      <c r="I140" s="205"/>
      <c r="J140" s="205"/>
      <c r="K140" s="205"/>
      <c r="L140" s="205"/>
      <c r="M140" s="205"/>
    </row>
    <row r="141" spans="2:16" ht="17.25" customHeight="1">
      <c r="B141" s="206"/>
      <c r="C141" s="206"/>
      <c r="D141" s="206"/>
      <c r="E141" s="206"/>
      <c r="F141" s="206"/>
      <c r="G141" s="206"/>
      <c r="H141" s="206"/>
      <c r="I141" s="206"/>
      <c r="J141" s="206"/>
      <c r="K141" s="206"/>
      <c r="L141" s="206"/>
      <c r="M141" s="206"/>
    </row>
    <row r="142" spans="2:16" ht="18">
      <c r="I142" s="188"/>
      <c r="J142" s="188"/>
      <c r="K142" s="188"/>
    </row>
    <row r="143" spans="2:16" ht="16.5">
      <c r="I143" s="193"/>
      <c r="J143" s="193"/>
      <c r="K143" s="193"/>
    </row>
    <row r="145" spans="9:12" ht="18">
      <c r="I145" s="188"/>
      <c r="J145" s="188"/>
      <c r="K145" s="188"/>
      <c r="L145" s="188"/>
    </row>
    <row r="146" spans="9:12" ht="16.5">
      <c r="I146" s="193"/>
      <c r="J146" s="193"/>
      <c r="K146" s="193"/>
    </row>
    <row r="148" spans="9:12" ht="16.5">
      <c r="J148" s="207"/>
    </row>
    <row r="149" spans="9:12" ht="16.5">
      <c r="J149" s="207"/>
    </row>
    <row r="150" spans="9:12">
      <c r="J150" s="208"/>
    </row>
    <row r="151" spans="9:12">
      <c r="J151" s="208"/>
    </row>
  </sheetData>
  <sheetProtection password="C57E" sheet="1"/>
  <mergeCells count="71">
    <mergeCell ref="B1:C1"/>
    <mergeCell ref="D1:E1"/>
    <mergeCell ref="F1:G4"/>
    <mergeCell ref="B2:C2"/>
    <mergeCell ref="D2:E2"/>
    <mergeCell ref="B3:C3"/>
    <mergeCell ref="D3:E3"/>
    <mergeCell ref="B4:C4"/>
    <mergeCell ref="D4:E4"/>
    <mergeCell ref="C50:F50"/>
    <mergeCell ref="B8:G8"/>
    <mergeCell ref="B12:G13"/>
    <mergeCell ref="B14:G14"/>
    <mergeCell ref="B23:G23"/>
    <mergeCell ref="B42:G42"/>
    <mergeCell ref="C44:F44"/>
    <mergeCell ref="B91:G91"/>
    <mergeCell ref="C45:F45"/>
    <mergeCell ref="C46:F46"/>
    <mergeCell ref="C47:F47"/>
    <mergeCell ref="C48:F48"/>
    <mergeCell ref="C49:F49"/>
    <mergeCell ref="B90:F90"/>
    <mergeCell ref="B89:G89"/>
    <mergeCell ref="C51:F51"/>
    <mergeCell ref="C52:F52"/>
    <mergeCell ref="C53:F53"/>
    <mergeCell ref="B88:G88"/>
    <mergeCell ref="B136:G136"/>
    <mergeCell ref="B137:G137"/>
    <mergeCell ref="B110:G110"/>
    <mergeCell ref="B112:G112"/>
    <mergeCell ref="C117:G117"/>
    <mergeCell ref="C118:G118"/>
    <mergeCell ref="C130:G130"/>
    <mergeCell ref="C131:G131"/>
    <mergeCell ref="C116:G116"/>
    <mergeCell ref="C119:G119"/>
    <mergeCell ref="B92:G92"/>
    <mergeCell ref="B101:G101"/>
    <mergeCell ref="B105:C105"/>
    <mergeCell ref="B106:C106"/>
    <mergeCell ref="B97:G97"/>
    <mergeCell ref="B103:G103"/>
    <mergeCell ref="B94:G94"/>
    <mergeCell ref="B96:G96"/>
    <mergeCell ref="B98:G98"/>
    <mergeCell ref="B99:G99"/>
    <mergeCell ref="D104:G104"/>
    <mergeCell ref="B104:C104"/>
    <mergeCell ref="L126:P126"/>
    <mergeCell ref="C121:G121"/>
    <mergeCell ref="C127:G127"/>
    <mergeCell ref="C128:G128"/>
    <mergeCell ref="C122:G122"/>
    <mergeCell ref="B126:G126"/>
    <mergeCell ref="C123:G123"/>
    <mergeCell ref="L123:P123"/>
    <mergeCell ref="L125:P125"/>
    <mergeCell ref="C129:G129"/>
    <mergeCell ref="C120:G120"/>
    <mergeCell ref="B100:G100"/>
    <mergeCell ref="C113:E113"/>
    <mergeCell ref="C114:E114"/>
    <mergeCell ref="C115:G115"/>
    <mergeCell ref="B108:C108"/>
    <mergeCell ref="D105:E105"/>
    <mergeCell ref="D106:E106"/>
    <mergeCell ref="D107:E107"/>
    <mergeCell ref="B107:C107"/>
    <mergeCell ref="B109:G109"/>
  </mergeCells>
  <phoneticPr fontId="0" type="noConversion"/>
  <hyperlinks>
    <hyperlink ref="B104" r:id="rId1" display="http://apb017aaashjuae:8004/2009/ControlDocument/PEC-EN-VSS-L-6490.pdf"/>
  </hyperlinks>
  <pageMargins left="0.55118110236220474" right="0.55118110236220474" top="0.98425196850393704" bottom="0.98425196850393704" header="0.51181102362204722" footer="0.51181102362204722"/>
  <pageSetup paperSize="9" scale="80" orientation="portrait" r:id="rId2"/>
  <headerFooter alignWithMargins="0">
    <oddFooter>&amp;CPage &amp;P of &amp;N</oddFooter>
  </headerFooter>
  <rowBreaks count="3" manualBreakCount="3">
    <brk id="41" max="16383" man="1"/>
    <brk id="86" max="7" man="1"/>
    <brk id="125" max="7" man="1"/>
  </rowBreaks>
  <drawing r:id="rId3"/>
</worksheet>
</file>

<file path=xl/worksheets/sheet3.xml><?xml version="1.0" encoding="utf-8"?>
<worksheet xmlns="http://schemas.openxmlformats.org/spreadsheetml/2006/main" xmlns:r="http://schemas.openxmlformats.org/officeDocument/2006/relationships">
  <sheetPr codeName="Sheet1">
    <pageSetUpPr fitToPage="1"/>
  </sheetPr>
  <dimension ref="A1:AP68"/>
  <sheetViews>
    <sheetView tabSelected="1" zoomScale="130" zoomScaleNormal="130" zoomScaleSheetLayoutView="85" workbookViewId="0">
      <selection activeCell="B8" sqref="B8"/>
    </sheetView>
  </sheetViews>
  <sheetFormatPr defaultRowHeight="15"/>
  <cols>
    <col min="1" max="1" width="7.28515625" style="21" customWidth="1"/>
    <col min="2" max="2" width="5.7109375" style="21" customWidth="1"/>
    <col min="3" max="3" width="6.7109375" style="21" customWidth="1"/>
    <col min="4" max="4" width="7.28515625" style="21" bestFit="1" customWidth="1"/>
    <col min="5" max="7" width="5.7109375" style="21" customWidth="1"/>
    <col min="8" max="8" width="7.42578125" style="21" bestFit="1" customWidth="1"/>
    <col min="9" max="13" width="5.7109375" style="21" customWidth="1"/>
    <col min="14" max="14" width="6.28515625" style="21" customWidth="1"/>
    <col min="15" max="15" width="4.7109375" style="21" customWidth="1"/>
    <col min="16" max="16" width="5.140625" style="21" customWidth="1"/>
    <col min="17" max="17" width="13.28515625" style="21" customWidth="1"/>
    <col min="18" max="18" width="16.140625" style="21" customWidth="1"/>
    <col min="19" max="19" width="3.140625" style="21" customWidth="1"/>
    <col min="20" max="26" width="5.7109375" style="21" customWidth="1"/>
    <col min="27" max="27" width="8.28515625" style="21" customWidth="1"/>
    <col min="28" max="31" width="5.7109375" style="21" customWidth="1"/>
    <col min="32" max="32" width="6.28515625" style="21" customWidth="1"/>
    <col min="33" max="36" width="5.7109375" style="21" customWidth="1"/>
    <col min="37" max="41" width="6.28515625" style="21" customWidth="1"/>
    <col min="42" max="42" width="7.28515625" style="21" customWidth="1"/>
    <col min="43" max="16384" width="9.140625" style="21"/>
  </cols>
  <sheetData>
    <row r="1" spans="1:19" ht="15" customHeight="1">
      <c r="A1" s="16" t="s">
        <v>15</v>
      </c>
      <c r="B1" s="4" t="s">
        <v>252</v>
      </c>
      <c r="C1" s="4"/>
      <c r="D1" s="4"/>
      <c r="E1" s="5"/>
      <c r="F1" s="334" t="s">
        <v>97</v>
      </c>
      <c r="G1" s="335"/>
      <c r="H1" s="335"/>
      <c r="I1" s="335"/>
      <c r="J1" s="335"/>
      <c r="K1" s="335"/>
      <c r="L1" s="336"/>
      <c r="M1" s="16" t="s">
        <v>19</v>
      </c>
      <c r="N1" s="17"/>
      <c r="O1" s="343">
        <v>0</v>
      </c>
      <c r="P1" s="344"/>
      <c r="Q1" s="18"/>
      <c r="R1" s="19"/>
      <c r="S1" s="20"/>
    </row>
    <row r="2" spans="1:19" ht="15" customHeight="1">
      <c r="A2" s="22" t="s">
        <v>16</v>
      </c>
      <c r="B2" s="6" t="s">
        <v>253</v>
      </c>
      <c r="C2" s="6"/>
      <c r="D2" s="6"/>
      <c r="E2" s="7"/>
      <c r="F2" s="337"/>
      <c r="G2" s="338"/>
      <c r="H2" s="338"/>
      <c r="I2" s="338"/>
      <c r="J2" s="338"/>
      <c r="K2" s="338"/>
      <c r="L2" s="339"/>
      <c r="M2" s="22" t="s">
        <v>20</v>
      </c>
      <c r="N2" s="23"/>
      <c r="O2" s="345">
        <v>41615</v>
      </c>
      <c r="P2" s="346"/>
      <c r="Q2" s="24"/>
      <c r="R2" s="25"/>
      <c r="S2" s="20"/>
    </row>
    <row r="3" spans="1:19" ht="15" customHeight="1">
      <c r="A3" s="22" t="s">
        <v>18</v>
      </c>
      <c r="B3" s="6" t="s">
        <v>254</v>
      </c>
      <c r="C3" s="6"/>
      <c r="D3" s="6"/>
      <c r="E3" s="7"/>
      <c r="F3" s="337"/>
      <c r="G3" s="338"/>
      <c r="H3" s="338"/>
      <c r="I3" s="338"/>
      <c r="J3" s="338"/>
      <c r="K3" s="338"/>
      <c r="L3" s="339"/>
      <c r="M3" s="22" t="s">
        <v>21</v>
      </c>
      <c r="N3" s="26"/>
      <c r="O3" s="347" t="s">
        <v>255</v>
      </c>
      <c r="P3" s="348"/>
      <c r="Q3" s="27"/>
      <c r="R3" s="25"/>
      <c r="S3" s="20"/>
    </row>
    <row r="4" spans="1:19" ht="15" customHeight="1" thickBot="1">
      <c r="A4" s="28" t="s">
        <v>17</v>
      </c>
      <c r="B4" s="115"/>
      <c r="C4" s="8"/>
      <c r="D4" s="8"/>
      <c r="E4" s="9"/>
      <c r="F4" s="340"/>
      <c r="G4" s="341"/>
      <c r="H4" s="341"/>
      <c r="I4" s="341"/>
      <c r="J4" s="341"/>
      <c r="K4" s="341"/>
      <c r="L4" s="342"/>
      <c r="M4" s="28" t="s">
        <v>37</v>
      </c>
      <c r="N4" s="29"/>
      <c r="O4" s="349" t="s">
        <v>256</v>
      </c>
      <c r="P4" s="350"/>
      <c r="Q4" s="30"/>
      <c r="R4" s="31"/>
      <c r="S4" s="20"/>
    </row>
    <row r="5" spans="1:19" ht="15" customHeight="1">
      <c r="A5" s="32"/>
      <c r="B5" s="33"/>
      <c r="C5" s="33"/>
      <c r="D5" s="33"/>
      <c r="E5" s="33"/>
      <c r="F5" s="33"/>
      <c r="G5" s="33"/>
      <c r="H5" s="33"/>
      <c r="I5" s="33"/>
      <c r="J5" s="33"/>
      <c r="K5" s="33"/>
      <c r="L5" s="33"/>
      <c r="M5" s="33"/>
      <c r="N5" s="33"/>
      <c r="O5" s="33"/>
      <c r="P5" s="33"/>
      <c r="Q5" s="33"/>
      <c r="R5" s="34"/>
      <c r="S5" s="33"/>
    </row>
    <row r="6" spans="1:19" ht="15" customHeight="1">
      <c r="A6" s="32"/>
      <c r="B6" s="35" t="s">
        <v>102</v>
      </c>
      <c r="C6" s="33"/>
      <c r="D6" s="33"/>
      <c r="E6" s="33"/>
      <c r="F6" s="33"/>
      <c r="G6" s="33"/>
      <c r="H6" s="33"/>
      <c r="I6" s="33"/>
      <c r="J6" s="33"/>
      <c r="K6" s="33"/>
      <c r="L6" s="33"/>
      <c r="M6" s="33"/>
      <c r="N6" s="33"/>
      <c r="O6" s="33"/>
      <c r="P6" s="33"/>
      <c r="Q6" s="33"/>
      <c r="R6" s="34"/>
      <c r="S6" s="33"/>
    </row>
    <row r="7" spans="1:19" ht="15" customHeight="1">
      <c r="A7" s="32"/>
      <c r="B7" s="10" t="s">
        <v>257</v>
      </c>
      <c r="C7" s="6"/>
      <c r="D7" s="6"/>
      <c r="E7" s="6"/>
      <c r="F7" s="6"/>
      <c r="G7" s="6"/>
      <c r="H7" s="6"/>
      <c r="I7" s="6"/>
      <c r="J7" s="6"/>
      <c r="K7" s="6"/>
      <c r="L7" s="6"/>
      <c r="M7" s="6"/>
      <c r="N7" s="6"/>
      <c r="O7" s="6"/>
      <c r="P7" s="6"/>
      <c r="Q7" s="6"/>
      <c r="R7" s="34"/>
      <c r="S7" s="33"/>
    </row>
    <row r="8" spans="1:19" ht="15" customHeight="1">
      <c r="A8" s="32"/>
      <c r="B8" s="10"/>
      <c r="C8" s="6"/>
      <c r="D8" s="6"/>
      <c r="E8" s="6"/>
      <c r="F8" s="6"/>
      <c r="G8" s="6"/>
      <c r="H8" s="6"/>
      <c r="I8" s="6"/>
      <c r="J8" s="6"/>
      <c r="K8" s="6"/>
      <c r="L8" s="6"/>
      <c r="M8" s="6"/>
      <c r="N8" s="6"/>
      <c r="O8" s="6"/>
      <c r="P8" s="6"/>
      <c r="Q8" s="6"/>
      <c r="R8" s="34"/>
      <c r="S8" s="33"/>
    </row>
    <row r="9" spans="1:19" ht="15" customHeight="1">
      <c r="A9" s="36"/>
      <c r="B9" s="37"/>
      <c r="C9" s="37"/>
      <c r="D9" s="37"/>
      <c r="E9" s="37"/>
      <c r="F9" s="37"/>
      <c r="G9" s="37"/>
      <c r="H9" s="37"/>
      <c r="I9" s="37"/>
      <c r="J9" s="37"/>
      <c r="K9" s="37"/>
      <c r="L9" s="37"/>
      <c r="M9" s="37"/>
      <c r="N9" s="37"/>
      <c r="O9" s="37"/>
      <c r="P9" s="37"/>
      <c r="Q9" s="37"/>
      <c r="R9" s="38"/>
      <c r="S9" s="33"/>
    </row>
    <row r="10" spans="1:19" ht="15" customHeight="1">
      <c r="A10" s="39"/>
      <c r="B10" s="40"/>
      <c r="C10" s="40"/>
      <c r="D10" s="40"/>
      <c r="E10" s="40"/>
      <c r="F10" s="40"/>
      <c r="G10" s="40"/>
      <c r="H10" s="40"/>
      <c r="I10" s="40"/>
      <c r="J10" s="40"/>
      <c r="K10" s="40"/>
      <c r="L10" s="40"/>
      <c r="M10" s="40"/>
      <c r="N10" s="40"/>
      <c r="O10" s="40"/>
      <c r="P10" s="40"/>
      <c r="Q10" s="40"/>
      <c r="R10" s="41"/>
      <c r="S10" s="33"/>
    </row>
    <row r="11" spans="1:19" ht="15" customHeight="1">
      <c r="A11" s="32"/>
      <c r="B11" s="42" t="s">
        <v>10</v>
      </c>
      <c r="C11" s="33"/>
      <c r="D11" s="33"/>
      <c r="E11" s="33"/>
      <c r="F11" s="33"/>
      <c r="G11" s="33"/>
      <c r="H11" s="33"/>
      <c r="I11" s="33"/>
      <c r="J11" s="33"/>
      <c r="K11" s="33"/>
      <c r="L11" s="33"/>
      <c r="M11" s="33"/>
      <c r="N11" s="33"/>
      <c r="O11" s="33"/>
      <c r="P11" s="33"/>
      <c r="Q11" s="33"/>
      <c r="R11" s="34"/>
      <c r="S11" s="33"/>
    </row>
    <row r="12" spans="1:19" ht="15" customHeight="1">
      <c r="A12" s="32"/>
      <c r="B12" s="43" t="s">
        <v>12</v>
      </c>
      <c r="C12" s="33"/>
      <c r="D12" s="33"/>
      <c r="E12" s="33"/>
      <c r="F12" s="33"/>
      <c r="G12" s="33"/>
      <c r="H12" s="33"/>
      <c r="I12" s="33"/>
      <c r="J12" s="44"/>
      <c r="K12" s="44"/>
      <c r="L12" s="44"/>
      <c r="M12" s="45"/>
      <c r="N12" s="33"/>
      <c r="O12" s="33"/>
      <c r="P12" s="33"/>
      <c r="Q12" s="33"/>
      <c r="R12" s="34"/>
      <c r="S12" s="33"/>
    </row>
    <row r="13" spans="1:19" ht="15" customHeight="1">
      <c r="A13" s="32"/>
      <c r="B13" s="33"/>
      <c r="C13" s="33" t="s">
        <v>66</v>
      </c>
      <c r="D13" s="33"/>
      <c r="E13" s="33"/>
      <c r="F13" s="33"/>
      <c r="G13" s="33"/>
      <c r="H13" s="46" t="s">
        <v>163</v>
      </c>
      <c r="I13" s="13">
        <v>3.5</v>
      </c>
      <c r="J13" s="33" t="s">
        <v>5</v>
      </c>
      <c r="K13" s="47"/>
      <c r="L13" s="47"/>
      <c r="M13" s="47"/>
      <c r="N13" s="33"/>
      <c r="O13" s="33"/>
      <c r="P13" s="33"/>
      <c r="Q13" s="33"/>
      <c r="R13" s="34"/>
      <c r="S13" s="33"/>
    </row>
    <row r="14" spans="1:19" ht="15" customHeight="1">
      <c r="A14" s="32"/>
      <c r="B14" s="33"/>
      <c r="C14" s="33" t="s">
        <v>68</v>
      </c>
      <c r="D14" s="33"/>
      <c r="E14" s="33"/>
      <c r="F14" s="33"/>
      <c r="G14" s="33"/>
      <c r="H14" s="46" t="s">
        <v>164</v>
      </c>
      <c r="I14" s="11">
        <v>115</v>
      </c>
      <c r="J14" s="48" t="s">
        <v>36</v>
      </c>
      <c r="K14" s="47"/>
      <c r="L14" s="47"/>
      <c r="M14" s="47"/>
      <c r="N14" s="33"/>
      <c r="O14" s="33"/>
      <c r="P14" s="33"/>
      <c r="Q14" s="33"/>
      <c r="R14" s="34"/>
      <c r="S14" s="33"/>
    </row>
    <row r="15" spans="1:19" ht="15" customHeight="1">
      <c r="A15" s="32"/>
      <c r="B15" s="33"/>
      <c r="C15" s="33"/>
      <c r="D15" s="33"/>
      <c r="E15" s="33"/>
      <c r="F15" s="33"/>
      <c r="G15" s="33"/>
      <c r="H15" s="49" t="s">
        <v>67</v>
      </c>
      <c r="I15" s="50">
        <f>IF(I14="","",I14*1.8+32)</f>
        <v>239</v>
      </c>
      <c r="J15" s="48" t="s">
        <v>41</v>
      </c>
      <c r="K15" s="47"/>
      <c r="L15" s="47"/>
      <c r="M15" s="47"/>
      <c r="N15" s="33"/>
      <c r="O15" s="33"/>
      <c r="P15" s="33"/>
      <c r="Q15" s="33"/>
      <c r="R15" s="34"/>
      <c r="S15" s="33"/>
    </row>
    <row r="16" spans="1:19" ht="15" customHeight="1">
      <c r="A16" s="32"/>
      <c r="B16" s="33"/>
      <c r="C16" s="33"/>
      <c r="D16" s="33"/>
      <c r="E16" s="33"/>
      <c r="F16" s="33"/>
      <c r="G16" s="33"/>
      <c r="H16" s="33"/>
      <c r="I16" s="51"/>
      <c r="J16" s="51"/>
      <c r="K16" s="51"/>
      <c r="L16" s="51"/>
      <c r="M16" s="51"/>
      <c r="N16" s="48"/>
      <c r="O16" s="33"/>
      <c r="P16" s="33"/>
      <c r="Q16" s="33"/>
      <c r="R16" s="34"/>
      <c r="S16" s="33"/>
    </row>
    <row r="17" spans="1:42" ht="15" customHeight="1">
      <c r="A17" s="32"/>
      <c r="B17" s="43" t="s">
        <v>13</v>
      </c>
      <c r="C17" s="33"/>
      <c r="D17" s="33"/>
      <c r="E17" s="33"/>
      <c r="F17" s="33"/>
      <c r="G17" s="33"/>
      <c r="H17" s="33"/>
      <c r="I17" s="52" t="s">
        <v>55</v>
      </c>
      <c r="J17" s="33"/>
      <c r="K17" s="33"/>
      <c r="L17" s="33"/>
      <c r="M17" s="52" t="s">
        <v>56</v>
      </c>
      <c r="N17" s="53"/>
      <c r="O17" s="33"/>
      <c r="P17" s="33"/>
      <c r="Q17" s="33"/>
      <c r="R17" s="34"/>
      <c r="S17" s="33"/>
    </row>
    <row r="18" spans="1:42" ht="15" customHeight="1">
      <c r="A18" s="32"/>
      <c r="B18" s="33"/>
      <c r="C18" s="33" t="s">
        <v>48</v>
      </c>
      <c r="D18" s="33"/>
      <c r="E18" s="33"/>
      <c r="F18" s="33"/>
      <c r="G18" s="33"/>
      <c r="H18" s="318" t="s">
        <v>251</v>
      </c>
      <c r="I18" s="319"/>
      <c r="J18" s="320"/>
      <c r="K18" s="33"/>
      <c r="L18" s="318" t="s">
        <v>251</v>
      </c>
      <c r="M18" s="319"/>
      <c r="N18" s="320"/>
      <c r="O18" s="33"/>
      <c r="P18" s="33"/>
      <c r="Q18" s="33"/>
      <c r="R18" s="34"/>
      <c r="S18" s="33"/>
    </row>
    <row r="19" spans="1:42" ht="15" customHeight="1">
      <c r="A19" s="32"/>
      <c r="B19" s="33"/>
      <c r="C19" s="33" t="s">
        <v>61</v>
      </c>
      <c r="D19" s="33"/>
      <c r="E19" s="33"/>
      <c r="F19" s="33"/>
      <c r="G19" s="33"/>
      <c r="H19" s="46" t="s">
        <v>151</v>
      </c>
      <c r="I19" s="54">
        <f>IF(I20="","",I20/145*1000)</f>
        <v>136.55172413793105</v>
      </c>
      <c r="J19" s="33" t="s">
        <v>6</v>
      </c>
      <c r="K19" s="47"/>
      <c r="L19" s="46" t="s">
        <v>157</v>
      </c>
      <c r="M19" s="54">
        <f>IF(M20="","",M20/145*1000)</f>
        <v>136.55172413793105</v>
      </c>
      <c r="N19" s="33" t="s">
        <v>6</v>
      </c>
      <c r="O19" s="47"/>
      <c r="P19" s="33"/>
      <c r="Q19" s="33"/>
      <c r="R19" s="34"/>
      <c r="S19" s="33"/>
    </row>
    <row r="20" spans="1:42" ht="15" customHeight="1">
      <c r="A20" s="32"/>
      <c r="B20" s="33"/>
      <c r="C20" s="33"/>
      <c r="D20" s="33"/>
      <c r="E20" s="33"/>
      <c r="F20" s="33"/>
      <c r="G20" s="33"/>
      <c r="H20" s="49" t="s">
        <v>67</v>
      </c>
      <c r="I20" s="11">
        <v>19.8</v>
      </c>
      <c r="J20" s="33" t="s">
        <v>42</v>
      </c>
      <c r="K20" s="47"/>
      <c r="L20" s="49" t="s">
        <v>67</v>
      </c>
      <c r="M20" s="11">
        <v>19.8</v>
      </c>
      <c r="N20" s="33" t="s">
        <v>42</v>
      </c>
      <c r="O20" s="33" t="s">
        <v>43</v>
      </c>
      <c r="P20" s="33"/>
      <c r="Q20" s="33"/>
      <c r="R20" s="34"/>
      <c r="S20" s="33"/>
    </row>
    <row r="21" spans="1:42" ht="15" customHeight="1">
      <c r="A21" s="32"/>
      <c r="B21" s="33"/>
      <c r="C21" s="33" t="s">
        <v>62</v>
      </c>
      <c r="D21" s="33"/>
      <c r="E21" s="33"/>
      <c r="F21" s="33"/>
      <c r="G21" s="33"/>
      <c r="H21" s="46" t="s">
        <v>152</v>
      </c>
      <c r="I21" s="12">
        <v>1</v>
      </c>
      <c r="J21" s="33"/>
      <c r="K21" s="33"/>
      <c r="L21" s="46" t="s">
        <v>158</v>
      </c>
      <c r="M21" s="12">
        <v>1</v>
      </c>
      <c r="N21" s="33"/>
      <c r="O21" s="33" t="s">
        <v>44</v>
      </c>
      <c r="P21" s="33"/>
      <c r="Q21" s="33"/>
      <c r="R21" s="34"/>
      <c r="S21" s="33"/>
    </row>
    <row r="22" spans="1:42" ht="15" customHeight="1">
      <c r="A22" s="32"/>
      <c r="B22" s="33"/>
      <c r="C22" s="33" t="s">
        <v>103</v>
      </c>
      <c r="D22" s="33"/>
      <c r="E22" s="33"/>
      <c r="F22" s="33"/>
      <c r="G22" s="33"/>
      <c r="H22" s="46" t="s">
        <v>153</v>
      </c>
      <c r="I22" s="13">
        <v>1</v>
      </c>
      <c r="J22" s="33"/>
      <c r="K22" s="33"/>
      <c r="L22" s="46" t="s">
        <v>159</v>
      </c>
      <c r="M22" s="13">
        <v>1</v>
      </c>
      <c r="N22" s="33"/>
      <c r="O22" s="33" t="s">
        <v>46</v>
      </c>
      <c r="P22" s="33"/>
      <c r="Q22" s="33"/>
      <c r="R22" s="34"/>
      <c r="S22" s="33"/>
    </row>
    <row r="23" spans="1:42" ht="15" customHeight="1">
      <c r="A23" s="32"/>
      <c r="B23" s="33"/>
      <c r="C23" s="33" t="s">
        <v>63</v>
      </c>
      <c r="D23" s="33"/>
      <c r="E23" s="33"/>
      <c r="F23" s="33"/>
      <c r="G23" s="33"/>
      <c r="H23" s="46" t="s">
        <v>154</v>
      </c>
      <c r="I23" s="11">
        <v>0.4</v>
      </c>
      <c r="J23" s="33"/>
      <c r="K23" s="33"/>
      <c r="L23" s="46" t="s">
        <v>160</v>
      </c>
      <c r="M23" s="11">
        <v>0.4</v>
      </c>
      <c r="N23" s="33"/>
      <c r="O23" s="33" t="s">
        <v>45</v>
      </c>
      <c r="P23" s="33"/>
      <c r="Q23" s="33"/>
      <c r="R23" s="34"/>
      <c r="S23" s="33"/>
    </row>
    <row r="24" spans="1:42" ht="15" customHeight="1">
      <c r="A24" s="55"/>
      <c r="B24" s="47"/>
      <c r="C24" s="47"/>
      <c r="D24" s="47"/>
      <c r="E24" s="47"/>
      <c r="F24" s="47"/>
      <c r="G24" s="47"/>
      <c r="H24" s="56"/>
      <c r="I24" s="47"/>
      <c r="J24" s="47"/>
      <c r="K24" s="47"/>
      <c r="L24" s="57"/>
      <c r="M24" s="47"/>
      <c r="N24" s="47"/>
      <c r="O24" s="47"/>
      <c r="P24" s="47"/>
      <c r="Q24" s="47"/>
      <c r="R24" s="58"/>
      <c r="S24" s="59"/>
      <c r="T24" s="324" t="s">
        <v>107</v>
      </c>
      <c r="U24" s="321" t="s">
        <v>108</v>
      </c>
      <c r="V24" s="321" t="s">
        <v>171</v>
      </c>
      <c r="W24" s="321" t="s">
        <v>172</v>
      </c>
      <c r="X24" s="321" t="s">
        <v>173</v>
      </c>
      <c r="Y24" s="299" t="s">
        <v>230</v>
      </c>
      <c r="Z24" s="358" t="s">
        <v>137</v>
      </c>
      <c r="AA24" s="299" t="s">
        <v>138</v>
      </c>
      <c r="AB24" s="362" t="s">
        <v>109</v>
      </c>
      <c r="AC24" s="361" t="s">
        <v>110</v>
      </c>
      <c r="AD24" s="299" t="s">
        <v>139</v>
      </c>
      <c r="AE24" s="327" t="s">
        <v>111</v>
      </c>
      <c r="AF24" s="327" t="s">
        <v>140</v>
      </c>
      <c r="AG24" s="299" t="s">
        <v>112</v>
      </c>
      <c r="AH24" s="327" t="s">
        <v>69</v>
      </c>
      <c r="AI24" s="299" t="s">
        <v>113</v>
      </c>
      <c r="AJ24" s="327" t="s">
        <v>71</v>
      </c>
      <c r="AK24" s="299" t="s">
        <v>141</v>
      </c>
      <c r="AL24" s="299" t="s">
        <v>231</v>
      </c>
      <c r="AM24" s="299" t="s">
        <v>142</v>
      </c>
      <c r="AN24" s="299" t="s">
        <v>114</v>
      </c>
      <c r="AO24" s="292" t="s">
        <v>104</v>
      </c>
      <c r="AP24" s="294" t="s">
        <v>105</v>
      </c>
    </row>
    <row r="25" spans="1:42" ht="15" customHeight="1">
      <c r="A25" s="32"/>
      <c r="B25" s="43" t="s">
        <v>14</v>
      </c>
      <c r="C25" s="33"/>
      <c r="D25" s="33"/>
      <c r="E25" s="33"/>
      <c r="F25" s="33"/>
      <c r="G25" s="33"/>
      <c r="H25" s="60"/>
      <c r="I25" s="33"/>
      <c r="J25" s="33"/>
      <c r="K25" s="44"/>
      <c r="L25" s="61"/>
      <c r="M25" s="44"/>
      <c r="N25" s="45"/>
      <c r="O25" s="33"/>
      <c r="P25" s="33"/>
      <c r="Q25" s="33"/>
      <c r="R25" s="34"/>
      <c r="S25" s="33"/>
      <c r="T25" s="325"/>
      <c r="U25" s="322"/>
      <c r="V25" s="322"/>
      <c r="W25" s="322"/>
      <c r="X25" s="322"/>
      <c r="Y25" s="328"/>
      <c r="Z25" s="359"/>
      <c r="AA25" s="328"/>
      <c r="AB25" s="328"/>
      <c r="AC25" s="328"/>
      <c r="AD25" s="328"/>
      <c r="AE25" s="328"/>
      <c r="AF25" s="328"/>
      <c r="AG25" s="328"/>
      <c r="AH25" s="328"/>
      <c r="AI25" s="328"/>
      <c r="AJ25" s="328"/>
      <c r="AK25" s="300"/>
      <c r="AL25" s="300"/>
      <c r="AM25" s="300"/>
      <c r="AN25" s="300"/>
      <c r="AO25" s="293"/>
      <c r="AP25" s="295"/>
    </row>
    <row r="26" spans="1:42" ht="15" customHeight="1">
      <c r="A26" s="32"/>
      <c r="B26" s="33"/>
      <c r="C26" s="33" t="s">
        <v>64</v>
      </c>
      <c r="D26" s="33"/>
      <c r="E26" s="33"/>
      <c r="F26" s="33"/>
      <c r="G26" s="33"/>
      <c r="H26" s="46" t="s">
        <v>155</v>
      </c>
      <c r="I26" s="13">
        <v>0</v>
      </c>
      <c r="J26" s="33" t="s">
        <v>4</v>
      </c>
      <c r="K26" s="33"/>
      <c r="L26" s="46" t="s">
        <v>161</v>
      </c>
      <c r="M26" s="13">
        <v>0</v>
      </c>
      <c r="N26" s="33" t="s">
        <v>4</v>
      </c>
      <c r="O26" s="33"/>
      <c r="P26" s="33"/>
      <c r="Q26" s="33"/>
      <c r="R26" s="34"/>
      <c r="S26" s="33"/>
      <c r="T26" s="325"/>
      <c r="U26" s="322"/>
      <c r="V26" s="322"/>
      <c r="W26" s="322"/>
      <c r="X26" s="322"/>
      <c r="Y26" s="328"/>
      <c r="Z26" s="359"/>
      <c r="AA26" s="328"/>
      <c r="AB26" s="328"/>
      <c r="AC26" s="328"/>
      <c r="AD26" s="328"/>
      <c r="AE26" s="328"/>
      <c r="AF26" s="328"/>
      <c r="AG26" s="328"/>
      <c r="AH26" s="328"/>
      <c r="AI26" s="328"/>
      <c r="AJ26" s="328"/>
      <c r="AK26" s="300"/>
      <c r="AL26" s="300"/>
      <c r="AM26" s="300"/>
      <c r="AN26" s="300"/>
      <c r="AO26" s="293"/>
      <c r="AP26" s="295"/>
    </row>
    <row r="27" spans="1:42" ht="15" customHeight="1">
      <c r="A27" s="32"/>
      <c r="B27" s="33"/>
      <c r="C27" s="33" t="s">
        <v>65</v>
      </c>
      <c r="D27" s="33"/>
      <c r="E27" s="33"/>
      <c r="F27" s="33"/>
      <c r="G27" s="33"/>
      <c r="H27" s="46" t="s">
        <v>156</v>
      </c>
      <c r="I27" s="11">
        <v>12.5</v>
      </c>
      <c r="J27" s="33" t="s">
        <v>0</v>
      </c>
      <c r="K27" s="47"/>
      <c r="L27" s="46" t="s">
        <v>162</v>
      </c>
      <c r="M27" s="11">
        <v>12.5</v>
      </c>
      <c r="N27" s="33" t="s">
        <v>0</v>
      </c>
      <c r="O27" s="33" t="s">
        <v>47</v>
      </c>
      <c r="P27" s="33"/>
      <c r="Q27" s="33"/>
      <c r="R27" s="34"/>
      <c r="S27" s="33"/>
      <c r="T27" s="325"/>
      <c r="U27" s="322"/>
      <c r="V27" s="322"/>
      <c r="W27" s="322"/>
      <c r="X27" s="322"/>
      <c r="Y27" s="328"/>
      <c r="Z27" s="359"/>
      <c r="AA27" s="328"/>
      <c r="AB27" s="328"/>
      <c r="AC27" s="328"/>
      <c r="AD27" s="328"/>
      <c r="AE27" s="328"/>
      <c r="AF27" s="328"/>
      <c r="AG27" s="328"/>
      <c r="AH27" s="328"/>
      <c r="AI27" s="328"/>
      <c r="AJ27" s="328"/>
      <c r="AK27" s="300"/>
      <c r="AL27" s="300"/>
      <c r="AM27" s="300"/>
      <c r="AN27" s="300"/>
      <c r="AO27" s="293"/>
      <c r="AP27" s="295"/>
    </row>
    <row r="28" spans="1:42" ht="15" customHeight="1">
      <c r="A28" s="32"/>
      <c r="B28" s="33"/>
      <c r="C28" s="33"/>
      <c r="D28" s="33"/>
      <c r="E28" s="33"/>
      <c r="F28" s="33"/>
      <c r="G28" s="153" t="s">
        <v>174</v>
      </c>
      <c r="H28" s="46" t="s">
        <v>169</v>
      </c>
      <c r="I28" s="11"/>
      <c r="J28" s="33" t="s">
        <v>4</v>
      </c>
      <c r="K28" s="153" t="s">
        <v>174</v>
      </c>
      <c r="L28" s="46" t="s">
        <v>170</v>
      </c>
      <c r="M28" s="11"/>
      <c r="N28" s="33" t="s">
        <v>4</v>
      </c>
      <c r="O28" s="33" t="s">
        <v>47</v>
      </c>
      <c r="P28" s="33"/>
      <c r="Q28" s="33"/>
      <c r="R28" s="34"/>
      <c r="S28" s="33"/>
      <c r="T28" s="325"/>
      <c r="U28" s="322"/>
      <c r="V28" s="322"/>
      <c r="W28" s="322"/>
      <c r="X28" s="322"/>
      <c r="Y28" s="328"/>
      <c r="Z28" s="359"/>
      <c r="AA28" s="328"/>
      <c r="AB28" s="328"/>
      <c r="AC28" s="328"/>
      <c r="AD28" s="328"/>
      <c r="AE28" s="328"/>
      <c r="AF28" s="328"/>
      <c r="AG28" s="328"/>
      <c r="AH28" s="328"/>
      <c r="AI28" s="328"/>
      <c r="AJ28" s="328"/>
      <c r="AK28" s="300"/>
      <c r="AL28" s="300"/>
      <c r="AM28" s="300"/>
      <c r="AN28" s="300"/>
      <c r="AO28" s="293"/>
      <c r="AP28" s="295"/>
    </row>
    <row r="29" spans="1:42" ht="15" customHeight="1">
      <c r="A29" s="36"/>
      <c r="B29" s="37"/>
      <c r="C29" s="37"/>
      <c r="D29" s="37"/>
      <c r="E29" s="37"/>
      <c r="F29" s="37"/>
      <c r="G29" s="154" t="str">
        <f>IF(I27&gt;0,IF(I28&gt;0,"Do not enter values for both c2h and c3h!",""),"")</f>
        <v/>
      </c>
      <c r="H29" s="154"/>
      <c r="I29" s="37"/>
      <c r="J29" s="37"/>
      <c r="K29" s="37"/>
      <c r="L29" s="154" t="str">
        <f>IF(M27&gt;0,IF(M28&gt;0,"Do not enter values for both c2b and c3b!",""),"")</f>
        <v/>
      </c>
      <c r="M29" s="37"/>
      <c r="N29" s="37"/>
      <c r="O29" s="37"/>
      <c r="P29" s="37"/>
      <c r="Q29" s="37"/>
      <c r="R29" s="38"/>
      <c r="S29" s="33"/>
      <c r="T29" s="325"/>
      <c r="U29" s="322"/>
      <c r="V29" s="322"/>
      <c r="W29" s="322"/>
      <c r="X29" s="322"/>
      <c r="Y29" s="328"/>
      <c r="Z29" s="359"/>
      <c r="AA29" s="328"/>
      <c r="AB29" s="328"/>
      <c r="AC29" s="328"/>
      <c r="AD29" s="328"/>
      <c r="AE29" s="328"/>
      <c r="AF29" s="328"/>
      <c r="AG29" s="328"/>
      <c r="AH29" s="328"/>
      <c r="AI29" s="328"/>
      <c r="AJ29" s="328"/>
      <c r="AK29" s="300"/>
      <c r="AL29" s="300"/>
      <c r="AM29" s="300"/>
      <c r="AN29" s="300"/>
      <c r="AO29" s="293"/>
      <c r="AP29" s="295"/>
    </row>
    <row r="30" spans="1:42" ht="15" customHeight="1">
      <c r="A30" s="39"/>
      <c r="B30" s="40"/>
      <c r="C30" s="40"/>
      <c r="D30" s="40"/>
      <c r="E30" s="40"/>
      <c r="F30" s="40"/>
      <c r="G30" s="40"/>
      <c r="H30" s="40"/>
      <c r="I30" s="40"/>
      <c r="J30" s="40"/>
      <c r="K30" s="40"/>
      <c r="L30" s="40"/>
      <c r="M30" s="40"/>
      <c r="N30" s="40"/>
      <c r="O30" s="40"/>
      <c r="P30" s="40"/>
      <c r="Q30" s="40"/>
      <c r="R30" s="41"/>
      <c r="S30" s="33"/>
      <c r="T30" s="325"/>
      <c r="U30" s="322"/>
      <c r="V30" s="322"/>
      <c r="W30" s="322"/>
      <c r="X30" s="322"/>
      <c r="Y30" s="328"/>
      <c r="Z30" s="359"/>
      <c r="AA30" s="328"/>
      <c r="AB30" s="328"/>
      <c r="AC30" s="328"/>
      <c r="AD30" s="328"/>
      <c r="AE30" s="328"/>
      <c r="AF30" s="328"/>
      <c r="AG30" s="328"/>
      <c r="AH30" s="328"/>
      <c r="AI30" s="328"/>
      <c r="AJ30" s="328"/>
      <c r="AK30" s="300"/>
      <c r="AL30" s="300"/>
      <c r="AM30" s="300"/>
      <c r="AN30" s="300"/>
      <c r="AO30" s="293"/>
      <c r="AP30" s="295"/>
    </row>
    <row r="31" spans="1:42" ht="35.1" customHeight="1">
      <c r="A31" s="32"/>
      <c r="B31" s="329" t="s">
        <v>58</v>
      </c>
      <c r="C31" s="330"/>
      <c r="D31" s="330"/>
      <c r="E31" s="331"/>
      <c r="F31" s="332" t="s">
        <v>59</v>
      </c>
      <c r="G31" s="332"/>
      <c r="H31" s="332"/>
      <c r="I31" s="332"/>
      <c r="J31" s="332"/>
      <c r="K31" s="333" t="s">
        <v>90</v>
      </c>
      <c r="L31" s="333"/>
      <c r="M31" s="311" t="s">
        <v>94</v>
      </c>
      <c r="N31" s="327" t="s">
        <v>95</v>
      </c>
      <c r="O31" s="351" t="s">
        <v>106</v>
      </c>
      <c r="P31" s="352"/>
      <c r="Q31" s="313" t="s">
        <v>11</v>
      </c>
      <c r="R31" s="62"/>
      <c r="S31" s="63"/>
      <c r="T31" s="326"/>
      <c r="U31" s="323"/>
      <c r="V31" s="323"/>
      <c r="W31" s="323"/>
      <c r="X31" s="323"/>
      <c r="Y31" s="357"/>
      <c r="Z31" s="360"/>
      <c r="AA31" s="357"/>
      <c r="AB31" s="357"/>
      <c r="AC31" s="357"/>
      <c r="AD31" s="357"/>
      <c r="AE31" s="357"/>
      <c r="AF31" s="357"/>
      <c r="AG31" s="357"/>
      <c r="AH31" s="357"/>
      <c r="AI31" s="357"/>
      <c r="AJ31" s="357"/>
      <c r="AK31" s="301"/>
      <c r="AL31" s="301"/>
      <c r="AM31" s="301"/>
      <c r="AN31" s="301"/>
      <c r="AO31" s="293"/>
      <c r="AP31" s="295"/>
    </row>
    <row r="32" spans="1:42" ht="20.100000000000001" customHeight="1">
      <c r="A32" s="32"/>
      <c r="B32" s="306" t="s">
        <v>87</v>
      </c>
      <c r="C32" s="307"/>
      <c r="D32" s="308" t="s">
        <v>88</v>
      </c>
      <c r="E32" s="309"/>
      <c r="F32" s="306" t="s">
        <v>87</v>
      </c>
      <c r="G32" s="307"/>
      <c r="H32" s="310" t="s">
        <v>88</v>
      </c>
      <c r="I32" s="310"/>
      <c r="J32" s="64" t="s">
        <v>89</v>
      </c>
      <c r="K32" s="65" t="s">
        <v>91</v>
      </c>
      <c r="L32" s="66" t="s">
        <v>92</v>
      </c>
      <c r="M32" s="312"/>
      <c r="N32" s="328"/>
      <c r="O32" s="353"/>
      <c r="P32" s="354"/>
      <c r="Q32" s="314"/>
      <c r="R32" s="34"/>
      <c r="S32" s="33"/>
      <c r="T32" s="316" t="s">
        <v>115</v>
      </c>
      <c r="U32" s="290" t="s">
        <v>116</v>
      </c>
      <c r="V32" s="290" t="s">
        <v>117</v>
      </c>
      <c r="W32" s="290" t="s">
        <v>118</v>
      </c>
      <c r="X32" s="290" t="s">
        <v>119</v>
      </c>
      <c r="Y32" s="290" t="s">
        <v>120</v>
      </c>
      <c r="Z32" s="290" t="s">
        <v>121</v>
      </c>
      <c r="AA32" s="290" t="s">
        <v>122</v>
      </c>
      <c r="AB32" s="290" t="s">
        <v>123</v>
      </c>
      <c r="AC32" s="290" t="s">
        <v>124</v>
      </c>
      <c r="AD32" s="290" t="s">
        <v>125</v>
      </c>
      <c r="AE32" s="290" t="s">
        <v>126</v>
      </c>
      <c r="AF32" s="290" t="s">
        <v>127</v>
      </c>
      <c r="AG32" s="290" t="s">
        <v>128</v>
      </c>
      <c r="AH32" s="290" t="s">
        <v>129</v>
      </c>
      <c r="AI32" s="290" t="s">
        <v>130</v>
      </c>
      <c r="AJ32" s="290" t="s">
        <v>131</v>
      </c>
      <c r="AK32" s="290" t="s">
        <v>132</v>
      </c>
      <c r="AL32" s="290" t="s">
        <v>133</v>
      </c>
      <c r="AM32" s="290" t="s">
        <v>134</v>
      </c>
      <c r="AN32" s="290" t="s">
        <v>135</v>
      </c>
      <c r="AO32" s="296" t="s">
        <v>136</v>
      </c>
      <c r="AP32" s="297" t="s">
        <v>143</v>
      </c>
    </row>
    <row r="33" spans="1:42" ht="15" customHeight="1">
      <c r="A33" s="32"/>
      <c r="B33" s="65" t="s">
        <v>1</v>
      </c>
      <c r="C33" s="67" t="s">
        <v>144</v>
      </c>
      <c r="D33" s="68"/>
      <c r="E33" s="69" t="s">
        <v>145</v>
      </c>
      <c r="F33" s="65" t="s">
        <v>1</v>
      </c>
      <c r="G33" s="67" t="s">
        <v>146</v>
      </c>
      <c r="H33" s="68"/>
      <c r="I33" s="67" t="s">
        <v>147</v>
      </c>
      <c r="J33" s="70" t="s">
        <v>60</v>
      </c>
      <c r="K33" s="71" t="s">
        <v>148</v>
      </c>
      <c r="L33" s="69" t="s">
        <v>149</v>
      </c>
      <c r="M33" s="312"/>
      <c r="N33" s="328"/>
      <c r="O33" s="353"/>
      <c r="P33" s="354"/>
      <c r="Q33" s="314"/>
      <c r="R33" s="34"/>
      <c r="S33" s="33"/>
      <c r="T33" s="317"/>
      <c r="U33" s="291" t="s">
        <v>116</v>
      </c>
      <c r="V33" s="291" t="s">
        <v>117</v>
      </c>
      <c r="W33" s="291" t="s">
        <v>118</v>
      </c>
      <c r="X33" s="291" t="s">
        <v>119</v>
      </c>
      <c r="Y33" s="291" t="s">
        <v>120</v>
      </c>
      <c r="Z33" s="291" t="s">
        <v>121</v>
      </c>
      <c r="AA33" s="291" t="s">
        <v>122</v>
      </c>
      <c r="AB33" s="291" t="s">
        <v>123</v>
      </c>
      <c r="AC33" s="291" t="s">
        <v>124</v>
      </c>
      <c r="AD33" s="291" t="s">
        <v>125</v>
      </c>
      <c r="AE33" s="291" t="s">
        <v>126</v>
      </c>
      <c r="AF33" s="291" t="s">
        <v>127</v>
      </c>
      <c r="AG33" s="291" t="s">
        <v>128</v>
      </c>
      <c r="AH33" s="291" t="s">
        <v>129</v>
      </c>
      <c r="AI33" s="291" t="s">
        <v>130</v>
      </c>
      <c r="AJ33" s="291" t="s">
        <v>131</v>
      </c>
      <c r="AK33" s="291" t="s">
        <v>132</v>
      </c>
      <c r="AL33" s="291" t="s">
        <v>133</v>
      </c>
      <c r="AM33" s="291" t="s">
        <v>134</v>
      </c>
      <c r="AN33" s="291" t="s">
        <v>135</v>
      </c>
      <c r="AO33" s="296" t="s">
        <v>132</v>
      </c>
      <c r="AP33" s="298"/>
    </row>
    <row r="34" spans="1:42" ht="15" customHeight="1">
      <c r="A34" s="32"/>
      <c r="B34" s="72" t="s">
        <v>2</v>
      </c>
      <c r="C34" s="73" t="s">
        <v>4</v>
      </c>
      <c r="D34" s="74" t="s">
        <v>93</v>
      </c>
      <c r="E34" s="75" t="s">
        <v>4</v>
      </c>
      <c r="F34" s="72" t="s">
        <v>2</v>
      </c>
      <c r="G34" s="73" t="s">
        <v>4</v>
      </c>
      <c r="H34" s="74" t="s">
        <v>93</v>
      </c>
      <c r="I34" s="73" t="s">
        <v>4</v>
      </c>
      <c r="J34" s="75" t="s">
        <v>57</v>
      </c>
      <c r="K34" s="72" t="s">
        <v>4</v>
      </c>
      <c r="L34" s="75" t="s">
        <v>4</v>
      </c>
      <c r="M34" s="72" t="s">
        <v>86</v>
      </c>
      <c r="N34" s="73" t="s">
        <v>86</v>
      </c>
      <c r="O34" s="355"/>
      <c r="P34" s="356"/>
      <c r="Q34" s="315"/>
      <c r="R34" s="34"/>
      <c r="S34" s="33"/>
      <c r="T34" s="76" t="s">
        <v>4</v>
      </c>
      <c r="U34" s="77" t="s">
        <v>4</v>
      </c>
      <c r="V34" s="77" t="s">
        <v>4</v>
      </c>
      <c r="W34" s="77" t="s">
        <v>4</v>
      </c>
      <c r="X34" s="77" t="s">
        <v>4</v>
      </c>
      <c r="Y34" s="77" t="s">
        <v>4</v>
      </c>
      <c r="Z34" s="77" t="s">
        <v>4</v>
      </c>
      <c r="AA34" s="77" t="s">
        <v>4</v>
      </c>
      <c r="AB34" s="77" t="s">
        <v>4</v>
      </c>
      <c r="AC34" s="77" t="s">
        <v>4</v>
      </c>
      <c r="AD34" s="77" t="s">
        <v>4</v>
      </c>
      <c r="AE34" s="77" t="s">
        <v>4</v>
      </c>
      <c r="AF34" s="77" t="s">
        <v>86</v>
      </c>
      <c r="AG34" s="77" t="s">
        <v>86</v>
      </c>
      <c r="AH34" s="77" t="s">
        <v>86</v>
      </c>
      <c r="AI34" s="77" t="s">
        <v>86</v>
      </c>
      <c r="AJ34" s="77" t="s">
        <v>86</v>
      </c>
      <c r="AK34" s="77" t="s">
        <v>86</v>
      </c>
      <c r="AL34" s="77" t="s">
        <v>86</v>
      </c>
      <c r="AM34" s="77" t="s">
        <v>86</v>
      </c>
      <c r="AN34" s="77" t="s">
        <v>86</v>
      </c>
      <c r="AO34" s="77" t="s">
        <v>86</v>
      </c>
      <c r="AP34" s="78" t="s">
        <v>86</v>
      </c>
    </row>
    <row r="35" spans="1:42" ht="15" customHeight="1">
      <c r="A35" s="32"/>
      <c r="B35" s="108">
        <v>6</v>
      </c>
      <c r="C35" s="79">
        <f>IF(B35&gt;0,VLOOKUP(B35,'Appendix 2. Thickness'!$A$3:$B$41,2,FALSE),"")</f>
        <v>168.3</v>
      </c>
      <c r="D35" s="109" t="s">
        <v>73</v>
      </c>
      <c r="E35" s="116">
        <f>IF(D35&gt;0,IF(ISNUMBER(D35),D35,VLOOKUP(B35,'Appendix 2. Thickness'!$A$4:$T$41,(MATCH(D35,'Appendix 2. Thickness'!$C$3:$T$3,0)+2),FALSE)),"")</f>
        <v>3.4</v>
      </c>
      <c r="F35" s="108">
        <v>4</v>
      </c>
      <c r="G35" s="79">
        <f>IF(F35&gt;0,VLOOKUP(F35,'Appendix 2. Thickness'!$A$3:$B$41,2,FALSE),"")</f>
        <v>114.3</v>
      </c>
      <c r="H35" s="109" t="s">
        <v>73</v>
      </c>
      <c r="I35" s="118">
        <f>IF(H35&gt;0,IF(ISNUMBER(H35),H35,VLOOKUP(F35,'Appendix 2. Thickness'!$A$4:$T$41,(MATCH(H35,'Appendix 2. Thickness'!$C$3:$T$3,0)+2),FALSE)),"")</f>
        <v>3.05</v>
      </c>
      <c r="J35" s="110">
        <v>45</v>
      </c>
      <c r="K35" s="111">
        <v>228</v>
      </c>
      <c r="L35" s="112">
        <v>3.4</v>
      </c>
      <c r="M35" s="80">
        <f t="shared" ref="M35:M58" si="0">IF(B35&gt;0,AK35,"")</f>
        <v>42.927407160663542</v>
      </c>
      <c r="N35" s="81">
        <f t="shared" ref="N35:N58" si="1">IF(B35&gt;0,(AL35+AM35+AN35),"")</f>
        <v>690.60011356936752</v>
      </c>
      <c r="O35" s="302" t="str">
        <f t="shared" ref="O35:O58" si="2">IF(B35&gt;0,(IF(M35&lt;=N35,"YES","NO")),"")</f>
        <v>YES</v>
      </c>
      <c r="P35" s="303"/>
      <c r="Q35" s="113"/>
      <c r="R35" s="34"/>
      <c r="S35" s="33"/>
      <c r="T35" s="82">
        <f t="shared" ref="T35:T43" si="3">($I$13/10)*C35/(2*($I$19*$I$21*$I$22+($I$13/10)*$I$23))</f>
        <v>0.21546659233210397</v>
      </c>
      <c r="U35" s="83">
        <f t="shared" ref="U35:U43" si="4">($I$13/10)*G35/(2*($M$19*$M$21*$M$22+($I$13/10)*$M$23))</f>
        <v>0.14633292634319359</v>
      </c>
      <c r="V35" s="83">
        <f>E35*(1-$I$27/100)-$I$28</f>
        <v>2.9750000000000001</v>
      </c>
      <c r="W35" s="83">
        <f>I35*(1-$M$27/100)-$M$28</f>
        <v>2.6687499999999997</v>
      </c>
      <c r="X35" s="83">
        <f t="shared" ref="X35:X45" si="5">IF(L35&gt;0,(L35*(1-$I$27/100)-$I$28),0)</f>
        <v>2.9750000000000001</v>
      </c>
      <c r="Y35" s="84">
        <f t="shared" ref="Y35:Y43" si="6">MIN(2.5*(V35-$I$26),2.5*(W35-$M$26)+X35)</f>
        <v>7.4375</v>
      </c>
      <c r="Z35" s="85">
        <f t="shared" ref="Z35:Z43" si="7">(G35-2*(W35-$M$26))/SIN(J35*PI()/180)</f>
        <v>154.09624529007837</v>
      </c>
      <c r="AA35" s="85">
        <f t="shared" ref="AA35:AA43" si="8">MIN(MAX(Z35,(W35-$M$26)+(V35-$I$26)+Z35/2),C35)</f>
        <v>154.09624529007837</v>
      </c>
      <c r="AB35" s="85">
        <f t="shared" ref="AB35:AB43" si="9">MIN(K35,2*AA35)</f>
        <v>228</v>
      </c>
      <c r="AC35" s="84">
        <f t="shared" ref="AC35:AC43" si="10">MIN(X35,Y35)</f>
        <v>2.9750000000000001</v>
      </c>
      <c r="AD35" s="84">
        <f>MIN(0.7*I35,6)</f>
        <v>2.1349999999999998</v>
      </c>
      <c r="AE35" s="84">
        <f t="shared" ref="AE35:AE43" si="11">0.5*L35</f>
        <v>1.7</v>
      </c>
      <c r="AF35" s="86">
        <f t="shared" ref="AF35:AF43" si="12">AC35*(AB35-G35/SIN(J35*PI()/180))</f>
        <v>197.4072847167468</v>
      </c>
      <c r="AG35" s="86">
        <f t="shared" ref="AG35:AG43" si="13">2*AD35^2</f>
        <v>9.1164499999999986</v>
      </c>
      <c r="AH35" s="86">
        <f>IF((X35+AD35*SQRT(2))&gt;Y35,IF(X35&lt;Y35,(AG35-((X35+AD35*SQRT(2))-Y35)^2),0),AG35)</f>
        <v>9.1164499999999986</v>
      </c>
      <c r="AI35" s="86">
        <f>2*AE35^2</f>
        <v>5.7799999999999994</v>
      </c>
      <c r="AJ35" s="86">
        <f>IF((K35/2+AE35*SQRT(2))&gt;AA35,IF(K35/2&lt;AA35,(AI35-((K35/2+AE35*SQRT(2))-AA35)^2),0),AI35)</f>
        <v>5.7799999999999994</v>
      </c>
      <c r="AK35" s="86">
        <f t="shared" ref="AK35:AK43" si="14">T35*Z35*(2-SIN(J35*PI()/180))</f>
        <v>42.927407160663542</v>
      </c>
      <c r="AL35" s="86">
        <f t="shared" ref="AL35:AL43" si="15">(2*AA35-Z35)*(V35-T35-$I$26)</f>
        <v>425.23373687415796</v>
      </c>
      <c r="AM35" s="86">
        <f t="shared" ref="AM35:AM43" si="16">MIN(2*Y35*(W35-U35-$M$26)/SIN(J35*PI()/180),2*Y35*(W35-U35-$M$26)/SIN(J35*PI()/180)*($M$19/$I$19))</f>
        <v>53.062641978462793</v>
      </c>
      <c r="AN35" s="86">
        <f t="shared" ref="AN35:AN43" si="17">AF35+AH35+AJ35</f>
        <v>212.30373471674679</v>
      </c>
      <c r="AO35" s="86">
        <f t="shared" ref="AO35:AO43" si="18">AK35</f>
        <v>42.927407160663542</v>
      </c>
      <c r="AP35" s="87">
        <f t="shared" ref="AP35:AP43" si="19">AL35+AM35+AN35</f>
        <v>690.60011356936752</v>
      </c>
    </row>
    <row r="36" spans="1:42" ht="15" customHeight="1">
      <c r="A36" s="32"/>
      <c r="B36" s="108"/>
      <c r="C36" s="79" t="str">
        <f>IF(B36&gt;0,VLOOKUP(B36,'Appendix 2. Thickness'!$A$3:$B$41,2,FALSE),"")</f>
        <v/>
      </c>
      <c r="D36" s="109"/>
      <c r="E36" s="116" t="str">
        <f>IF(D36&gt;0,IF(ISNUMBER(D36),D36,VLOOKUP(B36,'Appendix 2. Thickness'!$A$4:$T$41,(MATCH(D36,'Appendix 2. Thickness'!$C$3:$T$3,0)+2),FALSE)),"")</f>
        <v/>
      </c>
      <c r="F36" s="108"/>
      <c r="G36" s="79" t="str">
        <f>IF(F36&gt;0,VLOOKUP(F36,'Appendix 2. Thickness'!$A$3:$B$41,2,FALSE),"")</f>
        <v/>
      </c>
      <c r="H36" s="109"/>
      <c r="I36" s="118" t="str">
        <f>IF(H36&gt;0,IF(ISNUMBER(H36),H36,VLOOKUP(F36,'Appendix 2. Thickness'!$A$4:$T$41,(MATCH(H36,'Appendix 2. Thickness'!$C$3:$T$3,0)+2),FALSE)),"")</f>
        <v/>
      </c>
      <c r="J36" s="110"/>
      <c r="K36" s="111"/>
      <c r="L36" s="112"/>
      <c r="M36" s="80" t="str">
        <f t="shared" si="0"/>
        <v/>
      </c>
      <c r="N36" s="81" t="str">
        <f t="shared" si="1"/>
        <v/>
      </c>
      <c r="O36" s="302" t="str">
        <f t="shared" si="2"/>
        <v/>
      </c>
      <c r="P36" s="303"/>
      <c r="Q36" s="113"/>
      <c r="R36" s="34"/>
      <c r="S36" s="33"/>
      <c r="T36" s="88" t="e">
        <f t="shared" si="3"/>
        <v>#VALUE!</v>
      </c>
      <c r="U36" s="89" t="e">
        <f t="shared" si="4"/>
        <v>#VALUE!</v>
      </c>
      <c r="V36" s="89" t="e">
        <f>E36*(1-$I$27/100)-$I$28</f>
        <v>#VALUE!</v>
      </c>
      <c r="W36" s="89" t="e">
        <f>I36*(1-$M$27/100)-$M$28</f>
        <v>#VALUE!</v>
      </c>
      <c r="X36" s="89">
        <f t="shared" si="5"/>
        <v>0</v>
      </c>
      <c r="Y36" s="90" t="e">
        <f t="shared" si="6"/>
        <v>#VALUE!</v>
      </c>
      <c r="Z36" s="91" t="e">
        <f t="shared" si="7"/>
        <v>#VALUE!</v>
      </c>
      <c r="AA36" s="91" t="e">
        <f t="shared" si="8"/>
        <v>#VALUE!</v>
      </c>
      <c r="AB36" s="91" t="e">
        <f t="shared" si="9"/>
        <v>#VALUE!</v>
      </c>
      <c r="AC36" s="90" t="e">
        <f t="shared" si="10"/>
        <v>#VALUE!</v>
      </c>
      <c r="AD36" s="90" t="e">
        <f>MIN(0.7*I36,6)</f>
        <v>#VALUE!</v>
      </c>
      <c r="AE36" s="90">
        <f t="shared" si="11"/>
        <v>0</v>
      </c>
      <c r="AF36" s="92" t="e">
        <f t="shared" si="12"/>
        <v>#VALUE!</v>
      </c>
      <c r="AG36" s="92" t="e">
        <f t="shared" si="13"/>
        <v>#VALUE!</v>
      </c>
      <c r="AH36" s="92" t="e">
        <f t="shared" ref="AH36:AH42" si="20">IF((X36+AD36*SQRT(2))&gt;Y36,IF(X36&lt;Y36,(AG36-((X36+AD36*SQRT(2))-Y36)^2),0),AG36)</f>
        <v>#VALUE!</v>
      </c>
      <c r="AI36" s="92">
        <f t="shared" ref="AI36:AI42" si="21">2*AE36^2</f>
        <v>0</v>
      </c>
      <c r="AJ36" s="92" t="e">
        <f t="shared" ref="AJ36:AJ42" si="22">IF((K36/2+AE36*SQRT(2))&gt;AA36,IF(K36/2&lt;AA36,(AI36-((K36/2+AE36*SQRT(2))-AA36)^2),0),AI36)</f>
        <v>#VALUE!</v>
      </c>
      <c r="AK36" s="92" t="e">
        <f t="shared" si="14"/>
        <v>#VALUE!</v>
      </c>
      <c r="AL36" s="92" t="e">
        <f t="shared" si="15"/>
        <v>#VALUE!</v>
      </c>
      <c r="AM36" s="92" t="e">
        <f t="shared" si="16"/>
        <v>#VALUE!</v>
      </c>
      <c r="AN36" s="92" t="e">
        <f t="shared" si="17"/>
        <v>#VALUE!</v>
      </c>
      <c r="AO36" s="92" t="e">
        <f t="shared" si="18"/>
        <v>#VALUE!</v>
      </c>
      <c r="AP36" s="93" t="e">
        <f t="shared" si="19"/>
        <v>#VALUE!</v>
      </c>
    </row>
    <row r="37" spans="1:42" ht="15" customHeight="1">
      <c r="A37" s="32"/>
      <c r="B37" s="108"/>
      <c r="C37" s="79" t="str">
        <f>IF(B37&gt;0,VLOOKUP(B37,'Appendix 2. Thickness'!$A$3:$B$41,2,FALSE),"")</f>
        <v/>
      </c>
      <c r="D37" s="109"/>
      <c r="E37" s="116" t="str">
        <f>IF(D37&gt;0,IF(ISNUMBER(D37),D37,VLOOKUP(B37,'Appendix 2. Thickness'!$A$4:$T$41,(MATCH(D37,'Appendix 2. Thickness'!$C$3:$T$3,0)+2),FALSE)),"")</f>
        <v/>
      </c>
      <c r="F37" s="108"/>
      <c r="G37" s="79" t="str">
        <f>IF(F37&gt;0,VLOOKUP(F37,'Appendix 2. Thickness'!$A$3:$B$41,2,FALSE),"")</f>
        <v/>
      </c>
      <c r="H37" s="109"/>
      <c r="I37" s="118" t="str">
        <f>IF(H37&gt;0,IF(ISNUMBER(H37),H37,VLOOKUP(F37,'Appendix 2. Thickness'!$A$4:$T$41,(MATCH(H37,'Appendix 2. Thickness'!$C$3:$T$3,0)+2),FALSE)),"")</f>
        <v/>
      </c>
      <c r="J37" s="110"/>
      <c r="K37" s="111"/>
      <c r="L37" s="112"/>
      <c r="M37" s="80" t="str">
        <f t="shared" si="0"/>
        <v/>
      </c>
      <c r="N37" s="81" t="str">
        <f t="shared" si="1"/>
        <v/>
      </c>
      <c r="O37" s="302" t="str">
        <f t="shared" si="2"/>
        <v/>
      </c>
      <c r="P37" s="303"/>
      <c r="Q37" s="113"/>
      <c r="R37" s="34"/>
      <c r="S37" s="33"/>
      <c r="T37" s="88" t="e">
        <f t="shared" si="3"/>
        <v>#VALUE!</v>
      </c>
      <c r="U37" s="89" t="e">
        <f t="shared" si="4"/>
        <v>#VALUE!</v>
      </c>
      <c r="V37" s="89" t="e">
        <f t="shared" ref="V37:V58" si="23">E37*(1-$I$27/100)-$I$28</f>
        <v>#VALUE!</v>
      </c>
      <c r="W37" s="89" t="e">
        <f t="shared" ref="W37:W58" si="24">I37*(1-$M$27/100)-$M$28</f>
        <v>#VALUE!</v>
      </c>
      <c r="X37" s="89">
        <f t="shared" si="5"/>
        <v>0</v>
      </c>
      <c r="Y37" s="90" t="e">
        <f t="shared" si="6"/>
        <v>#VALUE!</v>
      </c>
      <c r="Z37" s="91" t="e">
        <f t="shared" si="7"/>
        <v>#VALUE!</v>
      </c>
      <c r="AA37" s="91" t="e">
        <f t="shared" si="8"/>
        <v>#VALUE!</v>
      </c>
      <c r="AB37" s="91" t="e">
        <f t="shared" si="9"/>
        <v>#VALUE!</v>
      </c>
      <c r="AC37" s="90" t="e">
        <f t="shared" si="10"/>
        <v>#VALUE!</v>
      </c>
      <c r="AD37" s="90" t="e">
        <f t="shared" ref="AD37:AD58" si="25">MIN(0.7*I37,6)</f>
        <v>#VALUE!</v>
      </c>
      <c r="AE37" s="90">
        <f t="shared" si="11"/>
        <v>0</v>
      </c>
      <c r="AF37" s="92" t="e">
        <f t="shared" si="12"/>
        <v>#VALUE!</v>
      </c>
      <c r="AG37" s="92" t="e">
        <f t="shared" si="13"/>
        <v>#VALUE!</v>
      </c>
      <c r="AH37" s="92" t="e">
        <f t="shared" si="20"/>
        <v>#VALUE!</v>
      </c>
      <c r="AI37" s="92">
        <f t="shared" si="21"/>
        <v>0</v>
      </c>
      <c r="AJ37" s="92" t="e">
        <f t="shared" si="22"/>
        <v>#VALUE!</v>
      </c>
      <c r="AK37" s="92" t="e">
        <f t="shared" si="14"/>
        <v>#VALUE!</v>
      </c>
      <c r="AL37" s="92" t="e">
        <f t="shared" si="15"/>
        <v>#VALUE!</v>
      </c>
      <c r="AM37" s="92" t="e">
        <f t="shared" si="16"/>
        <v>#VALUE!</v>
      </c>
      <c r="AN37" s="92" t="e">
        <f t="shared" si="17"/>
        <v>#VALUE!</v>
      </c>
      <c r="AO37" s="92" t="e">
        <f t="shared" si="18"/>
        <v>#VALUE!</v>
      </c>
      <c r="AP37" s="93" t="e">
        <f t="shared" si="19"/>
        <v>#VALUE!</v>
      </c>
    </row>
    <row r="38" spans="1:42" ht="15" customHeight="1">
      <c r="A38" s="32"/>
      <c r="B38" s="108"/>
      <c r="C38" s="79" t="str">
        <f>IF(B38&gt;0,VLOOKUP(B38,'Appendix 2. Thickness'!$A$3:$B$41,2,FALSE),"")</f>
        <v/>
      </c>
      <c r="D38" s="109"/>
      <c r="E38" s="116" t="str">
        <f>IF(D38&gt;0,IF(ISNUMBER(D38),D38,VLOOKUP(B38,'Appendix 2. Thickness'!$A$4:$T$41,(MATCH(D38,'Appendix 2. Thickness'!$C$3:$T$3,0)+2),FALSE)),"")</f>
        <v/>
      </c>
      <c r="F38" s="108"/>
      <c r="G38" s="79" t="str">
        <f>IF(F38&gt;0,VLOOKUP(F38,'Appendix 2. Thickness'!$A$3:$B$41,2,FALSE),"")</f>
        <v/>
      </c>
      <c r="H38" s="109"/>
      <c r="I38" s="118" t="str">
        <f>IF(H38&gt;0,IF(ISNUMBER(H38),H38,VLOOKUP(F38,'Appendix 2. Thickness'!$A$4:$T$41,(MATCH(H38,'Appendix 2. Thickness'!$C$3:$T$3,0)+2),FALSE)),"")</f>
        <v/>
      </c>
      <c r="J38" s="110"/>
      <c r="K38" s="111"/>
      <c r="L38" s="112"/>
      <c r="M38" s="80" t="str">
        <f t="shared" ref="M38:M44" si="26">IF(B38&gt;0,AK38,"")</f>
        <v/>
      </c>
      <c r="N38" s="81" t="str">
        <f t="shared" ref="N38:N44" si="27">IF(B38&gt;0,(AL38+AM38+AN38),"")</f>
        <v/>
      </c>
      <c r="O38" s="302" t="str">
        <f t="shared" ref="O38:O44" si="28">IF(B38&gt;0,(IF(M38&lt;=N38,"YES","NO")),"")</f>
        <v/>
      </c>
      <c r="P38" s="303"/>
      <c r="Q38" s="113"/>
      <c r="R38" s="34"/>
      <c r="S38" s="33"/>
      <c r="T38" s="88" t="e">
        <f t="shared" si="3"/>
        <v>#VALUE!</v>
      </c>
      <c r="U38" s="89" t="e">
        <f t="shared" si="4"/>
        <v>#VALUE!</v>
      </c>
      <c r="V38" s="89" t="e">
        <f t="shared" si="23"/>
        <v>#VALUE!</v>
      </c>
      <c r="W38" s="89" t="e">
        <f t="shared" si="24"/>
        <v>#VALUE!</v>
      </c>
      <c r="X38" s="89">
        <f t="shared" si="5"/>
        <v>0</v>
      </c>
      <c r="Y38" s="90" t="e">
        <f t="shared" si="6"/>
        <v>#VALUE!</v>
      </c>
      <c r="Z38" s="91" t="e">
        <f t="shared" si="7"/>
        <v>#VALUE!</v>
      </c>
      <c r="AA38" s="91" t="e">
        <f t="shared" si="8"/>
        <v>#VALUE!</v>
      </c>
      <c r="AB38" s="91" t="e">
        <f t="shared" si="9"/>
        <v>#VALUE!</v>
      </c>
      <c r="AC38" s="90" t="e">
        <f t="shared" si="10"/>
        <v>#VALUE!</v>
      </c>
      <c r="AD38" s="90" t="e">
        <f t="shared" si="25"/>
        <v>#VALUE!</v>
      </c>
      <c r="AE38" s="90">
        <f t="shared" si="11"/>
        <v>0</v>
      </c>
      <c r="AF38" s="92" t="e">
        <f t="shared" si="12"/>
        <v>#VALUE!</v>
      </c>
      <c r="AG38" s="92" t="e">
        <f t="shared" si="13"/>
        <v>#VALUE!</v>
      </c>
      <c r="AH38" s="92" t="e">
        <f t="shared" si="20"/>
        <v>#VALUE!</v>
      </c>
      <c r="AI38" s="92">
        <f t="shared" si="21"/>
        <v>0</v>
      </c>
      <c r="AJ38" s="92" t="e">
        <f t="shared" si="22"/>
        <v>#VALUE!</v>
      </c>
      <c r="AK38" s="92" t="e">
        <f t="shared" si="14"/>
        <v>#VALUE!</v>
      </c>
      <c r="AL38" s="92" t="e">
        <f t="shared" si="15"/>
        <v>#VALUE!</v>
      </c>
      <c r="AM38" s="92" t="e">
        <f t="shared" si="16"/>
        <v>#VALUE!</v>
      </c>
      <c r="AN38" s="92" t="e">
        <f t="shared" si="17"/>
        <v>#VALUE!</v>
      </c>
      <c r="AO38" s="92" t="e">
        <f t="shared" si="18"/>
        <v>#VALUE!</v>
      </c>
      <c r="AP38" s="93" t="e">
        <f t="shared" si="19"/>
        <v>#VALUE!</v>
      </c>
    </row>
    <row r="39" spans="1:42" ht="15" customHeight="1">
      <c r="A39" s="32"/>
      <c r="B39" s="108"/>
      <c r="C39" s="79" t="str">
        <f>IF(B39&gt;0,VLOOKUP(B39,'Appendix 2. Thickness'!$A$3:$B$41,2,FALSE),"")</f>
        <v/>
      </c>
      <c r="D39" s="109"/>
      <c r="E39" s="116" t="str">
        <f>IF(D39&gt;0,IF(ISNUMBER(D39),D39,VLOOKUP(B39,'Appendix 2. Thickness'!$A$4:$T$41,(MATCH(D39,'Appendix 2. Thickness'!$C$3:$T$3,0)+2),FALSE)),"")</f>
        <v/>
      </c>
      <c r="F39" s="108"/>
      <c r="G39" s="79" t="str">
        <f>IF(F39&gt;0,VLOOKUP(F39,'Appendix 2. Thickness'!$A$3:$B$41,2,FALSE),"")</f>
        <v/>
      </c>
      <c r="H39" s="109"/>
      <c r="I39" s="118" t="str">
        <f>IF(H39&gt;0,IF(ISNUMBER(H39),H39,VLOOKUP(F39,'Appendix 2. Thickness'!$A$4:$T$41,(MATCH(H39,'Appendix 2. Thickness'!$C$3:$T$3,0)+2),FALSE)),"")</f>
        <v/>
      </c>
      <c r="J39" s="110"/>
      <c r="K39" s="111"/>
      <c r="L39" s="112"/>
      <c r="M39" s="80" t="str">
        <f t="shared" si="26"/>
        <v/>
      </c>
      <c r="N39" s="81" t="str">
        <f t="shared" si="27"/>
        <v/>
      </c>
      <c r="O39" s="302" t="str">
        <f t="shared" si="28"/>
        <v/>
      </c>
      <c r="P39" s="303"/>
      <c r="Q39" s="113"/>
      <c r="R39" s="34"/>
      <c r="S39" s="33"/>
      <c r="T39" s="88" t="e">
        <f t="shared" si="3"/>
        <v>#VALUE!</v>
      </c>
      <c r="U39" s="89" t="e">
        <f t="shared" si="4"/>
        <v>#VALUE!</v>
      </c>
      <c r="V39" s="89" t="e">
        <f t="shared" si="23"/>
        <v>#VALUE!</v>
      </c>
      <c r="W39" s="89" t="e">
        <f t="shared" si="24"/>
        <v>#VALUE!</v>
      </c>
      <c r="X39" s="89">
        <f t="shared" si="5"/>
        <v>0</v>
      </c>
      <c r="Y39" s="90" t="e">
        <f t="shared" si="6"/>
        <v>#VALUE!</v>
      </c>
      <c r="Z39" s="91" t="e">
        <f t="shared" si="7"/>
        <v>#VALUE!</v>
      </c>
      <c r="AA39" s="91" t="e">
        <f t="shared" si="8"/>
        <v>#VALUE!</v>
      </c>
      <c r="AB39" s="91" t="e">
        <f t="shared" si="9"/>
        <v>#VALUE!</v>
      </c>
      <c r="AC39" s="90" t="e">
        <f t="shared" si="10"/>
        <v>#VALUE!</v>
      </c>
      <c r="AD39" s="90" t="e">
        <f t="shared" si="25"/>
        <v>#VALUE!</v>
      </c>
      <c r="AE39" s="90">
        <f t="shared" si="11"/>
        <v>0</v>
      </c>
      <c r="AF39" s="92" t="e">
        <f t="shared" si="12"/>
        <v>#VALUE!</v>
      </c>
      <c r="AG39" s="92" t="e">
        <f t="shared" si="13"/>
        <v>#VALUE!</v>
      </c>
      <c r="AH39" s="92" t="e">
        <f t="shared" si="20"/>
        <v>#VALUE!</v>
      </c>
      <c r="AI39" s="92">
        <f t="shared" si="21"/>
        <v>0</v>
      </c>
      <c r="AJ39" s="92" t="e">
        <f t="shared" si="22"/>
        <v>#VALUE!</v>
      </c>
      <c r="AK39" s="92" t="e">
        <f t="shared" si="14"/>
        <v>#VALUE!</v>
      </c>
      <c r="AL39" s="92" t="e">
        <f t="shared" si="15"/>
        <v>#VALUE!</v>
      </c>
      <c r="AM39" s="92" t="e">
        <f t="shared" si="16"/>
        <v>#VALUE!</v>
      </c>
      <c r="AN39" s="92" t="e">
        <f t="shared" si="17"/>
        <v>#VALUE!</v>
      </c>
      <c r="AO39" s="92" t="e">
        <f t="shared" si="18"/>
        <v>#VALUE!</v>
      </c>
      <c r="AP39" s="93" t="e">
        <f t="shared" si="19"/>
        <v>#VALUE!</v>
      </c>
    </row>
    <row r="40" spans="1:42" ht="15" customHeight="1">
      <c r="A40" s="32"/>
      <c r="B40" s="108"/>
      <c r="C40" s="79" t="str">
        <f>IF(B40&gt;0,VLOOKUP(B40,'Appendix 2. Thickness'!$A$3:$B$41,2,FALSE),"")</f>
        <v/>
      </c>
      <c r="D40" s="109"/>
      <c r="E40" s="116" t="str">
        <f>IF(D40&gt;0,IF(ISNUMBER(D40),D40,VLOOKUP(B40,'Appendix 2. Thickness'!$A$4:$T$41,(MATCH(D40,'Appendix 2. Thickness'!$C$3:$T$3,0)+2),FALSE)),"")</f>
        <v/>
      </c>
      <c r="F40" s="108"/>
      <c r="G40" s="79" t="str">
        <f>IF(F40&gt;0,VLOOKUP(F40,'Appendix 2. Thickness'!$A$3:$B$41,2,FALSE),"")</f>
        <v/>
      </c>
      <c r="H40" s="109"/>
      <c r="I40" s="118" t="str">
        <f>IF(H40&gt;0,IF(ISNUMBER(H40),H40,VLOOKUP(F40,'Appendix 2. Thickness'!$A$4:$T$41,(MATCH(H40,'Appendix 2. Thickness'!$C$3:$T$3,0)+2),FALSE)),"")</f>
        <v/>
      </c>
      <c r="J40" s="110"/>
      <c r="K40" s="111"/>
      <c r="L40" s="112"/>
      <c r="M40" s="80" t="str">
        <f t="shared" si="26"/>
        <v/>
      </c>
      <c r="N40" s="81" t="str">
        <f t="shared" si="27"/>
        <v/>
      </c>
      <c r="O40" s="302" t="str">
        <f t="shared" si="28"/>
        <v/>
      </c>
      <c r="P40" s="303"/>
      <c r="Q40" s="113"/>
      <c r="R40" s="34"/>
      <c r="S40" s="33"/>
      <c r="T40" s="88" t="e">
        <f t="shared" si="3"/>
        <v>#VALUE!</v>
      </c>
      <c r="U40" s="89" t="e">
        <f t="shared" si="4"/>
        <v>#VALUE!</v>
      </c>
      <c r="V40" s="89" t="e">
        <f t="shared" si="23"/>
        <v>#VALUE!</v>
      </c>
      <c r="W40" s="89" t="e">
        <f t="shared" si="24"/>
        <v>#VALUE!</v>
      </c>
      <c r="X40" s="89">
        <f t="shared" si="5"/>
        <v>0</v>
      </c>
      <c r="Y40" s="90" t="e">
        <f t="shared" si="6"/>
        <v>#VALUE!</v>
      </c>
      <c r="Z40" s="91" t="e">
        <f t="shared" si="7"/>
        <v>#VALUE!</v>
      </c>
      <c r="AA40" s="91" t="e">
        <f t="shared" si="8"/>
        <v>#VALUE!</v>
      </c>
      <c r="AB40" s="91" t="e">
        <f t="shared" si="9"/>
        <v>#VALUE!</v>
      </c>
      <c r="AC40" s="90" t="e">
        <f t="shared" si="10"/>
        <v>#VALUE!</v>
      </c>
      <c r="AD40" s="90" t="e">
        <f t="shared" si="25"/>
        <v>#VALUE!</v>
      </c>
      <c r="AE40" s="90">
        <f t="shared" si="11"/>
        <v>0</v>
      </c>
      <c r="AF40" s="92" t="e">
        <f t="shared" si="12"/>
        <v>#VALUE!</v>
      </c>
      <c r="AG40" s="92" t="e">
        <f t="shared" si="13"/>
        <v>#VALUE!</v>
      </c>
      <c r="AH40" s="92" t="e">
        <f t="shared" si="20"/>
        <v>#VALUE!</v>
      </c>
      <c r="AI40" s="92">
        <f t="shared" si="21"/>
        <v>0</v>
      </c>
      <c r="AJ40" s="92" t="e">
        <f t="shared" si="22"/>
        <v>#VALUE!</v>
      </c>
      <c r="AK40" s="92" t="e">
        <f t="shared" si="14"/>
        <v>#VALUE!</v>
      </c>
      <c r="AL40" s="92" t="e">
        <f t="shared" si="15"/>
        <v>#VALUE!</v>
      </c>
      <c r="AM40" s="92" t="e">
        <f t="shared" si="16"/>
        <v>#VALUE!</v>
      </c>
      <c r="AN40" s="92" t="e">
        <f t="shared" si="17"/>
        <v>#VALUE!</v>
      </c>
      <c r="AO40" s="92" t="e">
        <f t="shared" si="18"/>
        <v>#VALUE!</v>
      </c>
      <c r="AP40" s="93" t="e">
        <f t="shared" si="19"/>
        <v>#VALUE!</v>
      </c>
    </row>
    <row r="41" spans="1:42" ht="15" customHeight="1">
      <c r="A41" s="32"/>
      <c r="B41" s="108"/>
      <c r="C41" s="79" t="str">
        <f>IF(B41&gt;0,VLOOKUP(B41,'Appendix 2. Thickness'!$A$3:$B$41,2,FALSE),"")</f>
        <v/>
      </c>
      <c r="D41" s="109"/>
      <c r="E41" s="116" t="str">
        <f>IF(D41&gt;0,IF(ISNUMBER(D41),D41,VLOOKUP(B41,'Appendix 2. Thickness'!$A$4:$T$41,(MATCH(D41,'Appendix 2. Thickness'!$C$3:$T$3,0)+2),FALSE)),"")</f>
        <v/>
      </c>
      <c r="F41" s="108"/>
      <c r="G41" s="79" t="str">
        <f>IF(F41&gt;0,VLOOKUP(F41,'Appendix 2. Thickness'!$A$3:$B$41,2,FALSE),"")</f>
        <v/>
      </c>
      <c r="H41" s="109"/>
      <c r="I41" s="118" t="str">
        <f>IF(H41&gt;0,IF(ISNUMBER(H41),H41,VLOOKUP(F41,'Appendix 2. Thickness'!$A$4:$T$41,(MATCH(H41,'Appendix 2. Thickness'!$C$3:$T$3,0)+2),FALSE)),"")</f>
        <v/>
      </c>
      <c r="J41" s="110"/>
      <c r="K41" s="111"/>
      <c r="L41" s="112"/>
      <c r="M41" s="80" t="str">
        <f t="shared" si="26"/>
        <v/>
      </c>
      <c r="N41" s="81" t="str">
        <f t="shared" si="27"/>
        <v/>
      </c>
      <c r="O41" s="302" t="str">
        <f t="shared" si="28"/>
        <v/>
      </c>
      <c r="P41" s="303"/>
      <c r="Q41" s="113"/>
      <c r="R41" s="34"/>
      <c r="S41" s="33"/>
      <c r="T41" s="88" t="e">
        <f t="shared" si="3"/>
        <v>#VALUE!</v>
      </c>
      <c r="U41" s="89" t="e">
        <f t="shared" si="4"/>
        <v>#VALUE!</v>
      </c>
      <c r="V41" s="89" t="e">
        <f t="shared" si="23"/>
        <v>#VALUE!</v>
      </c>
      <c r="W41" s="89" t="e">
        <f t="shared" si="24"/>
        <v>#VALUE!</v>
      </c>
      <c r="X41" s="89">
        <f t="shared" si="5"/>
        <v>0</v>
      </c>
      <c r="Y41" s="90" t="e">
        <f t="shared" si="6"/>
        <v>#VALUE!</v>
      </c>
      <c r="Z41" s="91" t="e">
        <f t="shared" si="7"/>
        <v>#VALUE!</v>
      </c>
      <c r="AA41" s="91" t="e">
        <f t="shared" si="8"/>
        <v>#VALUE!</v>
      </c>
      <c r="AB41" s="91" t="e">
        <f t="shared" si="9"/>
        <v>#VALUE!</v>
      </c>
      <c r="AC41" s="90" t="e">
        <f t="shared" si="10"/>
        <v>#VALUE!</v>
      </c>
      <c r="AD41" s="90" t="e">
        <f t="shared" si="25"/>
        <v>#VALUE!</v>
      </c>
      <c r="AE41" s="90">
        <f t="shared" si="11"/>
        <v>0</v>
      </c>
      <c r="AF41" s="92" t="e">
        <f t="shared" si="12"/>
        <v>#VALUE!</v>
      </c>
      <c r="AG41" s="92" t="e">
        <f t="shared" si="13"/>
        <v>#VALUE!</v>
      </c>
      <c r="AH41" s="92" t="e">
        <f t="shared" si="20"/>
        <v>#VALUE!</v>
      </c>
      <c r="AI41" s="92">
        <f t="shared" si="21"/>
        <v>0</v>
      </c>
      <c r="AJ41" s="92" t="e">
        <f t="shared" si="22"/>
        <v>#VALUE!</v>
      </c>
      <c r="AK41" s="92" t="e">
        <f t="shared" si="14"/>
        <v>#VALUE!</v>
      </c>
      <c r="AL41" s="92" t="e">
        <f t="shared" si="15"/>
        <v>#VALUE!</v>
      </c>
      <c r="AM41" s="92" t="e">
        <f t="shared" si="16"/>
        <v>#VALUE!</v>
      </c>
      <c r="AN41" s="92" t="e">
        <f t="shared" si="17"/>
        <v>#VALUE!</v>
      </c>
      <c r="AO41" s="92" t="e">
        <f t="shared" si="18"/>
        <v>#VALUE!</v>
      </c>
      <c r="AP41" s="93" t="e">
        <f t="shared" si="19"/>
        <v>#VALUE!</v>
      </c>
    </row>
    <row r="42" spans="1:42" ht="15" customHeight="1">
      <c r="A42" s="32"/>
      <c r="B42" s="108"/>
      <c r="C42" s="79" t="str">
        <f>IF(B42&gt;0,VLOOKUP(B42,'Appendix 2. Thickness'!$A$3:$B$41,2,FALSE),"")</f>
        <v/>
      </c>
      <c r="D42" s="109"/>
      <c r="E42" s="116" t="str">
        <f>IF(D42&gt;0,IF(ISNUMBER(D42),D42,VLOOKUP(B42,'Appendix 2. Thickness'!$A$4:$T$41,(MATCH(D42,'Appendix 2. Thickness'!$C$3:$T$3,0)+2),FALSE)),"")</f>
        <v/>
      </c>
      <c r="F42" s="108"/>
      <c r="G42" s="79" t="str">
        <f>IF(F42&gt;0,VLOOKUP(F42,'Appendix 2. Thickness'!$A$3:$B$41,2,FALSE),"")</f>
        <v/>
      </c>
      <c r="H42" s="109"/>
      <c r="I42" s="118" t="str">
        <f>IF(H42&gt;0,IF(ISNUMBER(H42),H42,VLOOKUP(F42,'Appendix 2. Thickness'!$A$4:$T$41,(MATCH(H42,'Appendix 2. Thickness'!$C$3:$T$3,0)+2),FALSE)),"")</f>
        <v/>
      </c>
      <c r="J42" s="110"/>
      <c r="K42" s="111"/>
      <c r="L42" s="112"/>
      <c r="M42" s="80" t="str">
        <f t="shared" si="26"/>
        <v/>
      </c>
      <c r="N42" s="81" t="str">
        <f t="shared" si="27"/>
        <v/>
      </c>
      <c r="O42" s="302" t="str">
        <f t="shared" si="28"/>
        <v/>
      </c>
      <c r="P42" s="303"/>
      <c r="Q42" s="113"/>
      <c r="R42" s="34"/>
      <c r="S42" s="33"/>
      <c r="T42" s="88" t="e">
        <f t="shared" si="3"/>
        <v>#VALUE!</v>
      </c>
      <c r="U42" s="89" t="e">
        <f t="shared" si="4"/>
        <v>#VALUE!</v>
      </c>
      <c r="V42" s="89" t="e">
        <f t="shared" si="23"/>
        <v>#VALUE!</v>
      </c>
      <c r="W42" s="89" t="e">
        <f t="shared" si="24"/>
        <v>#VALUE!</v>
      </c>
      <c r="X42" s="89">
        <f t="shared" si="5"/>
        <v>0</v>
      </c>
      <c r="Y42" s="90" t="e">
        <f t="shared" si="6"/>
        <v>#VALUE!</v>
      </c>
      <c r="Z42" s="91" t="e">
        <f t="shared" si="7"/>
        <v>#VALUE!</v>
      </c>
      <c r="AA42" s="91" t="e">
        <f t="shared" si="8"/>
        <v>#VALUE!</v>
      </c>
      <c r="AB42" s="91" t="e">
        <f t="shared" si="9"/>
        <v>#VALUE!</v>
      </c>
      <c r="AC42" s="90" t="e">
        <f t="shared" si="10"/>
        <v>#VALUE!</v>
      </c>
      <c r="AD42" s="90" t="e">
        <f t="shared" si="25"/>
        <v>#VALUE!</v>
      </c>
      <c r="AE42" s="90">
        <f t="shared" si="11"/>
        <v>0</v>
      </c>
      <c r="AF42" s="92" t="e">
        <f t="shared" si="12"/>
        <v>#VALUE!</v>
      </c>
      <c r="AG42" s="92" t="e">
        <f t="shared" si="13"/>
        <v>#VALUE!</v>
      </c>
      <c r="AH42" s="92" t="e">
        <f t="shared" si="20"/>
        <v>#VALUE!</v>
      </c>
      <c r="AI42" s="92">
        <f t="shared" si="21"/>
        <v>0</v>
      </c>
      <c r="AJ42" s="92" t="e">
        <f t="shared" si="22"/>
        <v>#VALUE!</v>
      </c>
      <c r="AK42" s="92" t="e">
        <f t="shared" si="14"/>
        <v>#VALUE!</v>
      </c>
      <c r="AL42" s="92" t="e">
        <f t="shared" si="15"/>
        <v>#VALUE!</v>
      </c>
      <c r="AM42" s="92" t="e">
        <f t="shared" si="16"/>
        <v>#VALUE!</v>
      </c>
      <c r="AN42" s="92" t="e">
        <f t="shared" si="17"/>
        <v>#VALUE!</v>
      </c>
      <c r="AO42" s="92" t="e">
        <f t="shared" si="18"/>
        <v>#VALUE!</v>
      </c>
      <c r="AP42" s="93" t="e">
        <f t="shared" si="19"/>
        <v>#VALUE!</v>
      </c>
    </row>
    <row r="43" spans="1:42" ht="15" customHeight="1">
      <c r="A43" s="32"/>
      <c r="B43" s="108"/>
      <c r="C43" s="79" t="str">
        <f>IF(B43&gt;0,VLOOKUP(B43,'Appendix 2. Thickness'!$A$3:$B$41,2,FALSE),"")</f>
        <v/>
      </c>
      <c r="D43" s="109"/>
      <c r="E43" s="116" t="str">
        <f>IF(D43&gt;0,IF(ISNUMBER(D43),D43,VLOOKUP(B43,'Appendix 2. Thickness'!$A$4:$T$41,(MATCH(D43,'Appendix 2. Thickness'!$C$3:$T$3,0)+2),FALSE)),"")</f>
        <v/>
      </c>
      <c r="F43" s="108"/>
      <c r="G43" s="79" t="str">
        <f>IF(F43&gt;0,VLOOKUP(F43,'Appendix 2. Thickness'!$A$3:$B$41,2,FALSE),"")</f>
        <v/>
      </c>
      <c r="H43" s="109"/>
      <c r="I43" s="118" t="str">
        <f>IF(H43&gt;0,IF(ISNUMBER(H43),H43,VLOOKUP(F43,'Appendix 2. Thickness'!$A$4:$T$41,(MATCH(H43,'Appendix 2. Thickness'!$C$3:$T$3,0)+2),FALSE)),"")</f>
        <v/>
      </c>
      <c r="J43" s="110"/>
      <c r="K43" s="111"/>
      <c r="L43" s="112"/>
      <c r="M43" s="80" t="str">
        <f t="shared" si="26"/>
        <v/>
      </c>
      <c r="N43" s="81" t="str">
        <f t="shared" si="27"/>
        <v/>
      </c>
      <c r="O43" s="302" t="str">
        <f t="shared" si="28"/>
        <v/>
      </c>
      <c r="P43" s="303"/>
      <c r="Q43" s="113"/>
      <c r="R43" s="34"/>
      <c r="S43" s="33"/>
      <c r="T43" s="88" t="e">
        <f t="shared" si="3"/>
        <v>#VALUE!</v>
      </c>
      <c r="U43" s="89" t="e">
        <f t="shared" si="4"/>
        <v>#VALUE!</v>
      </c>
      <c r="V43" s="89" t="e">
        <f t="shared" si="23"/>
        <v>#VALUE!</v>
      </c>
      <c r="W43" s="89" t="e">
        <f t="shared" si="24"/>
        <v>#VALUE!</v>
      </c>
      <c r="X43" s="89">
        <f t="shared" si="5"/>
        <v>0</v>
      </c>
      <c r="Y43" s="90" t="e">
        <f t="shared" si="6"/>
        <v>#VALUE!</v>
      </c>
      <c r="Z43" s="91" t="e">
        <f t="shared" si="7"/>
        <v>#VALUE!</v>
      </c>
      <c r="AA43" s="91" t="e">
        <f t="shared" si="8"/>
        <v>#VALUE!</v>
      </c>
      <c r="AB43" s="91" t="e">
        <f t="shared" si="9"/>
        <v>#VALUE!</v>
      </c>
      <c r="AC43" s="90" t="e">
        <f t="shared" si="10"/>
        <v>#VALUE!</v>
      </c>
      <c r="AD43" s="90" t="e">
        <f t="shared" si="25"/>
        <v>#VALUE!</v>
      </c>
      <c r="AE43" s="90">
        <f t="shared" si="11"/>
        <v>0</v>
      </c>
      <c r="AF43" s="92" t="e">
        <f t="shared" si="12"/>
        <v>#VALUE!</v>
      </c>
      <c r="AG43" s="92" t="e">
        <f t="shared" si="13"/>
        <v>#VALUE!</v>
      </c>
      <c r="AH43" s="92" t="e">
        <f>IF((X43+AD43*SQRT(2))&gt;Y43,IF(X43&lt;Y43,(AG43-((X43+AD43*SQRT(2))-Y43)^2),0),AG43)</f>
        <v>#VALUE!</v>
      </c>
      <c r="AI43" s="92">
        <f>2*AE43^2</f>
        <v>0</v>
      </c>
      <c r="AJ43" s="92" t="e">
        <f>IF((K43/2+AE43*SQRT(2))&gt;AA43,IF(K43/2&lt;AA43,(AI43-((K43/2+AE43*SQRT(2))-AA43)^2),0),AI43)</f>
        <v>#VALUE!</v>
      </c>
      <c r="AK43" s="92" t="e">
        <f t="shared" si="14"/>
        <v>#VALUE!</v>
      </c>
      <c r="AL43" s="92" t="e">
        <f t="shared" si="15"/>
        <v>#VALUE!</v>
      </c>
      <c r="AM43" s="92" t="e">
        <f t="shared" si="16"/>
        <v>#VALUE!</v>
      </c>
      <c r="AN43" s="92" t="e">
        <f t="shared" si="17"/>
        <v>#VALUE!</v>
      </c>
      <c r="AO43" s="92" t="e">
        <f t="shared" si="18"/>
        <v>#VALUE!</v>
      </c>
      <c r="AP43" s="93" t="e">
        <f t="shared" si="19"/>
        <v>#VALUE!</v>
      </c>
    </row>
    <row r="44" spans="1:42" ht="15" customHeight="1">
      <c r="A44" s="32"/>
      <c r="B44" s="108"/>
      <c r="C44" s="79" t="str">
        <f>IF(B44&gt;0,VLOOKUP(B44,'Appendix 2. Thickness'!$A$3:$B$41,2,FALSE),"")</f>
        <v/>
      </c>
      <c r="D44" s="109"/>
      <c r="E44" s="116" t="str">
        <f>IF(D44&gt;0,IF(ISNUMBER(D44),D44,VLOOKUP(B44,'Appendix 2. Thickness'!$A$4:$T$41,(MATCH(D44,'Appendix 2. Thickness'!$C$3:$T$3,0)+2),FALSE)),"")</f>
        <v/>
      </c>
      <c r="F44" s="108"/>
      <c r="G44" s="79" t="str">
        <f>IF(F44&gt;0,VLOOKUP(F44,'Appendix 2. Thickness'!$A$3:$B$41,2,FALSE),"")</f>
        <v/>
      </c>
      <c r="H44" s="109"/>
      <c r="I44" s="118" t="str">
        <f>IF(H44&gt;0,IF(ISNUMBER(H44),H44,VLOOKUP(F44,'Appendix 2. Thickness'!$A$4:$T$41,(MATCH(H44,'Appendix 2. Thickness'!$C$3:$T$3,0)+2),FALSE)),"")</f>
        <v/>
      </c>
      <c r="J44" s="110"/>
      <c r="K44" s="111"/>
      <c r="L44" s="112"/>
      <c r="M44" s="80" t="str">
        <f t="shared" si="26"/>
        <v/>
      </c>
      <c r="N44" s="81" t="str">
        <f t="shared" si="27"/>
        <v/>
      </c>
      <c r="O44" s="302" t="str">
        <f t="shared" si="28"/>
        <v/>
      </c>
      <c r="P44" s="303"/>
      <c r="Q44" s="113"/>
      <c r="R44" s="34"/>
      <c r="S44" s="33"/>
      <c r="T44" s="82" t="e">
        <f>($I$13/10)*C44/(2*($I$19*$I$21*$I$22+($I$13/10)*$I$23))</f>
        <v>#VALUE!</v>
      </c>
      <c r="U44" s="83" t="e">
        <f>($I$13/10)*G44/(2*($M$19*$M$21*$M$22+($I$13/10)*$M$23))</f>
        <v>#VALUE!</v>
      </c>
      <c r="V44" s="89" t="e">
        <f t="shared" si="23"/>
        <v>#VALUE!</v>
      </c>
      <c r="W44" s="89" t="e">
        <f t="shared" si="24"/>
        <v>#VALUE!</v>
      </c>
      <c r="X44" s="89">
        <f t="shared" si="5"/>
        <v>0</v>
      </c>
      <c r="Y44" s="84" t="e">
        <f>MIN(2.5*(V44-$I$26),2.5*(W44-$M$26)+X44)</f>
        <v>#VALUE!</v>
      </c>
      <c r="Z44" s="85" t="e">
        <f>(G44-2*(W44-$M$26))/SIN(J44*PI()/180)</f>
        <v>#VALUE!</v>
      </c>
      <c r="AA44" s="85" t="e">
        <f>MIN(MAX(Z44,(W44-$M$26)+(V44-$I$26)+Z44/2),C44)</f>
        <v>#VALUE!</v>
      </c>
      <c r="AB44" s="85" t="e">
        <f>MIN(K44,2*AA44)</f>
        <v>#VALUE!</v>
      </c>
      <c r="AC44" s="84" t="e">
        <f>MIN(X44,Y44)</f>
        <v>#VALUE!</v>
      </c>
      <c r="AD44" s="90" t="e">
        <f t="shared" si="25"/>
        <v>#VALUE!</v>
      </c>
      <c r="AE44" s="84">
        <f>0.5*L44</f>
        <v>0</v>
      </c>
      <c r="AF44" s="86" t="e">
        <f>AC44*(AB44-G44/SIN(J44*PI()/180))</f>
        <v>#VALUE!</v>
      </c>
      <c r="AG44" s="86" t="e">
        <f>2*AD44^2</f>
        <v>#VALUE!</v>
      </c>
      <c r="AH44" s="86" t="e">
        <f>IF((X44+AD44*SQRT(2))&gt;Y44,IF(X44&lt;Y44,(AG44-((X44+AD44*SQRT(2))-Y44)^2),0),AG44)</f>
        <v>#VALUE!</v>
      </c>
      <c r="AI44" s="86">
        <f>2*AE44^2</f>
        <v>0</v>
      </c>
      <c r="AJ44" s="86" t="e">
        <f>IF((K44/2+AE44*SQRT(2))&gt;AA44,IF(K44/2&lt;AA44,(AI44-((K44/2+AE44*SQRT(2))-AA44)^2),0),AI44)</f>
        <v>#VALUE!</v>
      </c>
      <c r="AK44" s="86" t="e">
        <f>T44*Z44*(2-SIN(J44*PI()/180))</f>
        <v>#VALUE!</v>
      </c>
      <c r="AL44" s="86" t="e">
        <f>(2*AA44-Z44)*(V44-T44-$I$26)</f>
        <v>#VALUE!</v>
      </c>
      <c r="AM44" s="86" t="e">
        <f>MIN(2*Y44*(W44-U44-$M$26)/SIN(J44*PI()/180),2*Y44*(W44-U44-$M$26)/SIN(J44*PI()/180)*($M$19/$I$19))</f>
        <v>#VALUE!</v>
      </c>
      <c r="AN44" s="86" t="e">
        <f>AF44+AH44+AJ44</f>
        <v>#VALUE!</v>
      </c>
      <c r="AO44" s="86" t="e">
        <f>AK44</f>
        <v>#VALUE!</v>
      </c>
      <c r="AP44" s="87" t="e">
        <f>AL44+AM44+AN44</f>
        <v>#VALUE!</v>
      </c>
    </row>
    <row r="45" spans="1:42" ht="15" customHeight="1">
      <c r="A45" s="32"/>
      <c r="B45" s="108"/>
      <c r="C45" s="79" t="str">
        <f>IF(B45&gt;0,VLOOKUP(B45,'Appendix 2. Thickness'!$A$3:$B$41,2,FALSE),"")</f>
        <v/>
      </c>
      <c r="D45" s="109"/>
      <c r="E45" s="116" t="str">
        <f>IF(D45&gt;0,IF(ISNUMBER(D45),D45,VLOOKUP(B45,'Appendix 2. Thickness'!$A$4:$T$41,(MATCH(D45,'Appendix 2. Thickness'!$C$3:$T$3,0)+2),FALSE)),"")</f>
        <v/>
      </c>
      <c r="F45" s="108"/>
      <c r="G45" s="79" t="str">
        <f>IF(F45&gt;0,VLOOKUP(F45,'Appendix 2. Thickness'!$A$3:$B$41,2,FALSE),"")</f>
        <v/>
      </c>
      <c r="H45" s="109"/>
      <c r="I45" s="118" t="str">
        <f>IF(H45&gt;0,IF(ISNUMBER(H45),H45,VLOOKUP(F45,'Appendix 2. Thickness'!$A$4:$T$41,(MATCH(H45,'Appendix 2. Thickness'!$C$3:$T$3,0)+2),FALSE)),"")</f>
        <v/>
      </c>
      <c r="J45" s="110"/>
      <c r="K45" s="111"/>
      <c r="L45" s="112"/>
      <c r="M45" s="80" t="str">
        <f>IF(B45&gt;0,AK45,"")</f>
        <v/>
      </c>
      <c r="N45" s="81" t="str">
        <f>IF(B45&gt;0,(AL45+AM45+AN45),"")</f>
        <v/>
      </c>
      <c r="O45" s="302" t="str">
        <f>IF(B45&gt;0,(IF(M45&lt;=N45,"YES","NO")),"")</f>
        <v/>
      </c>
      <c r="P45" s="303"/>
      <c r="Q45" s="113"/>
      <c r="R45" s="34"/>
      <c r="S45" s="33"/>
      <c r="T45" s="82" t="e">
        <f>($I$13/10)*C45/(2*($I$19*$I$21*$I$22+($I$13/10)*$I$23))</f>
        <v>#VALUE!</v>
      </c>
      <c r="U45" s="83" t="e">
        <f>($I$13/10)*G45/(2*($M$19*$M$21*$M$22+($I$13/10)*$M$23))</f>
        <v>#VALUE!</v>
      </c>
      <c r="V45" s="89" t="e">
        <f t="shared" si="23"/>
        <v>#VALUE!</v>
      </c>
      <c r="W45" s="89" t="e">
        <f t="shared" si="24"/>
        <v>#VALUE!</v>
      </c>
      <c r="X45" s="89">
        <f t="shared" si="5"/>
        <v>0</v>
      </c>
      <c r="Y45" s="84" t="e">
        <f>MIN(2.5*(V45-$I$26),2.5*(W45-$M$26)+X45)</f>
        <v>#VALUE!</v>
      </c>
      <c r="Z45" s="85" t="e">
        <f>(G45-2*(W45-$M$26))/SIN(J45*PI()/180)</f>
        <v>#VALUE!</v>
      </c>
      <c r="AA45" s="85" t="e">
        <f>MIN(MAX(Z45,(W45-$M$26)+(V45-$I$26)+Z45/2),C45)</f>
        <v>#VALUE!</v>
      </c>
      <c r="AB45" s="85" t="e">
        <f>MIN(K45,2*AA45)</f>
        <v>#VALUE!</v>
      </c>
      <c r="AC45" s="84" t="e">
        <f>MIN(X45,Y45)</f>
        <v>#VALUE!</v>
      </c>
      <c r="AD45" s="90" t="e">
        <f t="shared" si="25"/>
        <v>#VALUE!</v>
      </c>
      <c r="AE45" s="84">
        <f>0.5*L45</f>
        <v>0</v>
      </c>
      <c r="AF45" s="86" t="e">
        <f>AC45*(AB45-G45/SIN(J45*PI()/180))</f>
        <v>#VALUE!</v>
      </c>
      <c r="AG45" s="86" t="e">
        <f>2*AD45^2</f>
        <v>#VALUE!</v>
      </c>
      <c r="AH45" s="86" t="e">
        <f>IF((X45+AD45*SQRT(2))&gt;Y45,IF(X45&lt;Y45,(AG45-((X45+AD45*SQRT(2))-Y45)^2),0),AG45)</f>
        <v>#VALUE!</v>
      </c>
      <c r="AI45" s="86">
        <f>2*AE45^2</f>
        <v>0</v>
      </c>
      <c r="AJ45" s="86" t="e">
        <f>IF((K45/2+AE45*SQRT(2))&gt;AA45,IF(K45/2&lt;AA45,(AI45-((K45/2+AE45*SQRT(2))-AA45)^2),0),AI45)</f>
        <v>#VALUE!</v>
      </c>
      <c r="AK45" s="86" t="e">
        <f>T45*Z45*(2-SIN(J45*PI()/180))</f>
        <v>#VALUE!</v>
      </c>
      <c r="AL45" s="86" t="e">
        <f>(2*AA45-Z45)*(V45-T45-$I$26)</f>
        <v>#VALUE!</v>
      </c>
      <c r="AM45" s="86" t="e">
        <f>MIN(2*Y45*(W45-U45-$M$26)/SIN(J45*PI()/180),2*Y45*(W45-U45-$M$26)/SIN(J45*PI()/180)*($M$19/$I$19))</f>
        <v>#VALUE!</v>
      </c>
      <c r="AN45" s="86" t="e">
        <f>AF45+AH45+AJ45</f>
        <v>#VALUE!</v>
      </c>
      <c r="AO45" s="86" t="e">
        <f>AK45</f>
        <v>#VALUE!</v>
      </c>
      <c r="AP45" s="87" t="e">
        <f>AL45+AM45+AN45</f>
        <v>#VALUE!</v>
      </c>
    </row>
    <row r="46" spans="1:42" ht="15" customHeight="1">
      <c r="A46" s="32"/>
      <c r="B46" s="108"/>
      <c r="C46" s="79" t="str">
        <f>IF(B46&gt;0,VLOOKUP(B46,'Appendix 2. Thickness'!$A$3:$B$41,2,FALSE),"")</f>
        <v/>
      </c>
      <c r="D46" s="109"/>
      <c r="E46" s="116" t="str">
        <f>IF(D46&gt;0,IF(ISNUMBER(D46),D46,VLOOKUP(B46,'Appendix 2. Thickness'!$A$4:$T$41,(MATCH(D46,'Appendix 2. Thickness'!$C$3:$T$3,0)+2),FALSE)),"")</f>
        <v/>
      </c>
      <c r="F46" s="108"/>
      <c r="G46" s="79" t="str">
        <f>IF(F46&gt;0,VLOOKUP(F46,'Appendix 2. Thickness'!$A$3:$B$41,2,FALSE),"")</f>
        <v/>
      </c>
      <c r="H46" s="109"/>
      <c r="I46" s="118" t="str">
        <f>IF(H46&gt;0,IF(ISNUMBER(H46),H46,VLOOKUP(F46,'Appendix 2. Thickness'!$A$4:$T$41,(MATCH(H46,'Appendix 2. Thickness'!$C$3:$T$3,0)+2),FALSE)),"")</f>
        <v/>
      </c>
      <c r="J46" s="110"/>
      <c r="K46" s="111"/>
      <c r="L46" s="112"/>
      <c r="M46" s="80" t="str">
        <f t="shared" si="0"/>
        <v/>
      </c>
      <c r="N46" s="81" t="str">
        <f t="shared" si="1"/>
        <v/>
      </c>
      <c r="O46" s="302" t="str">
        <f t="shared" si="2"/>
        <v/>
      </c>
      <c r="P46" s="303"/>
      <c r="Q46" s="113"/>
      <c r="R46" s="34"/>
      <c r="S46" s="33"/>
      <c r="T46" s="88" t="e">
        <f t="shared" ref="T46:T59" si="29">($I$13/10)*C46/(2*($I$19*$I$21*$I$22+($I$13/10)*$I$23))</f>
        <v>#VALUE!</v>
      </c>
      <c r="U46" s="89" t="e">
        <f t="shared" ref="U46:U59" si="30">($I$13/10)*G46/(2*($M$19*$M$21*$M$22+($I$13/10)*$M$23))</f>
        <v>#VALUE!</v>
      </c>
      <c r="V46" s="89" t="e">
        <f t="shared" si="23"/>
        <v>#VALUE!</v>
      </c>
      <c r="W46" s="89" t="e">
        <f t="shared" si="24"/>
        <v>#VALUE!</v>
      </c>
      <c r="X46" s="89">
        <f t="shared" ref="X46:X58" si="31">IF(L46&gt;0,(L46*(1-$I$27/100)-$I$28),0)</f>
        <v>0</v>
      </c>
      <c r="Y46" s="90" t="e">
        <f t="shared" ref="Y46:Y59" si="32">MIN(2.5*(V46-$I$26),2.5*(W46-$M$26)+X46)</f>
        <v>#VALUE!</v>
      </c>
      <c r="Z46" s="91" t="e">
        <f t="shared" ref="Z46:Z59" si="33">(G46-2*(W46-$M$26))/SIN(J46*PI()/180)</f>
        <v>#VALUE!</v>
      </c>
      <c r="AA46" s="91" t="e">
        <f t="shared" ref="AA46:AA59" si="34">MIN(MAX(Z46,(W46-$M$26)+(V46-$I$26)+Z46/2),C46)</f>
        <v>#VALUE!</v>
      </c>
      <c r="AB46" s="91" t="e">
        <f t="shared" ref="AB46:AB59" si="35">MIN(K46,2*AA46)</f>
        <v>#VALUE!</v>
      </c>
      <c r="AC46" s="90" t="e">
        <f t="shared" ref="AC46:AC59" si="36">MIN(X46,Y46)</f>
        <v>#VALUE!</v>
      </c>
      <c r="AD46" s="90" t="e">
        <f t="shared" si="25"/>
        <v>#VALUE!</v>
      </c>
      <c r="AE46" s="90">
        <f t="shared" ref="AE46:AE59" si="37">0.5*L46</f>
        <v>0</v>
      </c>
      <c r="AF46" s="92" t="e">
        <f t="shared" ref="AF46:AF59" si="38">AC46*(AB46-G46/SIN(J46*PI()/180))</f>
        <v>#VALUE!</v>
      </c>
      <c r="AG46" s="92" t="e">
        <f t="shared" ref="AG46:AG59" si="39">2*AD46^2</f>
        <v>#VALUE!</v>
      </c>
      <c r="AH46" s="92" t="e">
        <f t="shared" ref="AH46:AH59" si="40">IF((X46+AD46*SQRT(2))&gt;Y46,IF(X46&lt;Y46,(AG46-((X46+AD46*SQRT(2))-Y46)^2),0),AG46)</f>
        <v>#VALUE!</v>
      </c>
      <c r="AI46" s="92">
        <f t="shared" ref="AI46:AI59" si="41">2*AE46^2</f>
        <v>0</v>
      </c>
      <c r="AJ46" s="92" t="e">
        <f t="shared" ref="AJ46:AJ59" si="42">IF((K46/2+AE46*SQRT(2))&gt;AA46,IF(K46/2&lt;AA46,(AI46-((K46/2+AE46*SQRT(2))-AA46)^2),0),AI46)</f>
        <v>#VALUE!</v>
      </c>
      <c r="AK46" s="92" t="e">
        <f t="shared" ref="AK46:AK59" si="43">T46*Z46*(2-SIN(J46*PI()/180))</f>
        <v>#VALUE!</v>
      </c>
      <c r="AL46" s="92" t="e">
        <f t="shared" ref="AL46:AL59" si="44">(2*AA46-Z46)*(V46-T46-$I$26)</f>
        <v>#VALUE!</v>
      </c>
      <c r="AM46" s="92" t="e">
        <f t="shared" ref="AM46:AM59" si="45">MIN(2*Y46*(W46-U46-$M$26)/SIN(J46*PI()/180),2*Y46*(W46-U46-$M$26)/SIN(J46*PI()/180)*($M$19/$I$19))</f>
        <v>#VALUE!</v>
      </c>
      <c r="AN46" s="92" t="e">
        <f t="shared" ref="AN46:AN59" si="46">AF46+AH46+AJ46</f>
        <v>#VALUE!</v>
      </c>
      <c r="AO46" s="92" t="e">
        <f t="shared" ref="AO46:AO59" si="47">AK46</f>
        <v>#VALUE!</v>
      </c>
      <c r="AP46" s="93" t="e">
        <f t="shared" ref="AP46:AP59" si="48">AL46+AM46+AN46</f>
        <v>#VALUE!</v>
      </c>
    </row>
    <row r="47" spans="1:42" ht="15" customHeight="1">
      <c r="A47" s="32"/>
      <c r="B47" s="108"/>
      <c r="C47" s="79" t="str">
        <f>IF(B47&gt;0,VLOOKUP(B47,'Appendix 2. Thickness'!$A$3:$B$41,2,FALSE),"")</f>
        <v/>
      </c>
      <c r="D47" s="109"/>
      <c r="E47" s="116" t="str">
        <f>IF(D47&gt;0,IF(ISNUMBER(D47),D47,VLOOKUP(B47,'Appendix 2. Thickness'!$A$4:$T$41,(MATCH(D47,'Appendix 2. Thickness'!$C$3:$T$3,0)+2),FALSE)),"")</f>
        <v/>
      </c>
      <c r="F47" s="108"/>
      <c r="G47" s="79" t="str">
        <f>IF(F47&gt;0,VLOOKUP(F47,'Appendix 2. Thickness'!$A$3:$B$41,2,FALSE),"")</f>
        <v/>
      </c>
      <c r="H47" s="109"/>
      <c r="I47" s="118" t="str">
        <f>IF(H47&gt;0,IF(ISNUMBER(H47),H47,VLOOKUP(F47,'Appendix 2. Thickness'!$A$4:$T$41,(MATCH(H47,'Appendix 2. Thickness'!$C$3:$T$3,0)+2),FALSE)),"")</f>
        <v/>
      </c>
      <c r="J47" s="110"/>
      <c r="K47" s="111"/>
      <c r="L47" s="112"/>
      <c r="M47" s="80" t="str">
        <f t="shared" si="0"/>
        <v/>
      </c>
      <c r="N47" s="81" t="str">
        <f t="shared" si="1"/>
        <v/>
      </c>
      <c r="O47" s="302" t="str">
        <f t="shared" si="2"/>
        <v/>
      </c>
      <c r="P47" s="303"/>
      <c r="Q47" s="113"/>
      <c r="R47" s="34"/>
      <c r="S47" s="33"/>
      <c r="T47" s="88" t="e">
        <f t="shared" si="29"/>
        <v>#VALUE!</v>
      </c>
      <c r="U47" s="89" t="e">
        <f t="shared" si="30"/>
        <v>#VALUE!</v>
      </c>
      <c r="V47" s="89" t="e">
        <f t="shared" si="23"/>
        <v>#VALUE!</v>
      </c>
      <c r="W47" s="89" t="e">
        <f t="shared" si="24"/>
        <v>#VALUE!</v>
      </c>
      <c r="X47" s="89">
        <f t="shared" si="31"/>
        <v>0</v>
      </c>
      <c r="Y47" s="90" t="e">
        <f t="shared" si="32"/>
        <v>#VALUE!</v>
      </c>
      <c r="Z47" s="91" t="e">
        <f t="shared" si="33"/>
        <v>#VALUE!</v>
      </c>
      <c r="AA47" s="91" t="e">
        <f t="shared" si="34"/>
        <v>#VALUE!</v>
      </c>
      <c r="AB47" s="91" t="e">
        <f t="shared" si="35"/>
        <v>#VALUE!</v>
      </c>
      <c r="AC47" s="90" t="e">
        <f t="shared" si="36"/>
        <v>#VALUE!</v>
      </c>
      <c r="AD47" s="90" t="e">
        <f t="shared" si="25"/>
        <v>#VALUE!</v>
      </c>
      <c r="AE47" s="90">
        <f t="shared" si="37"/>
        <v>0</v>
      </c>
      <c r="AF47" s="92" t="e">
        <f t="shared" si="38"/>
        <v>#VALUE!</v>
      </c>
      <c r="AG47" s="92" t="e">
        <f t="shared" si="39"/>
        <v>#VALUE!</v>
      </c>
      <c r="AH47" s="92" t="e">
        <f t="shared" si="40"/>
        <v>#VALUE!</v>
      </c>
      <c r="AI47" s="92">
        <f t="shared" si="41"/>
        <v>0</v>
      </c>
      <c r="AJ47" s="92" t="e">
        <f t="shared" si="42"/>
        <v>#VALUE!</v>
      </c>
      <c r="AK47" s="92" t="e">
        <f t="shared" si="43"/>
        <v>#VALUE!</v>
      </c>
      <c r="AL47" s="92" t="e">
        <f t="shared" si="44"/>
        <v>#VALUE!</v>
      </c>
      <c r="AM47" s="92" t="e">
        <f t="shared" si="45"/>
        <v>#VALUE!</v>
      </c>
      <c r="AN47" s="92" t="e">
        <f t="shared" si="46"/>
        <v>#VALUE!</v>
      </c>
      <c r="AO47" s="92" t="e">
        <f t="shared" si="47"/>
        <v>#VALUE!</v>
      </c>
      <c r="AP47" s="93" t="e">
        <f t="shared" si="48"/>
        <v>#VALUE!</v>
      </c>
    </row>
    <row r="48" spans="1:42" ht="15" customHeight="1">
      <c r="A48" s="32"/>
      <c r="B48" s="108"/>
      <c r="C48" s="79" t="str">
        <f>IF(B48&gt;0,VLOOKUP(B48,'Appendix 2. Thickness'!$A$3:$B$41,2,FALSE),"")</f>
        <v/>
      </c>
      <c r="D48" s="109"/>
      <c r="E48" s="116" t="str">
        <f>IF(D48&gt;0,IF(ISNUMBER(D48),D48,VLOOKUP(B48,'Appendix 2. Thickness'!$A$4:$T$41,(MATCH(D48,'Appendix 2. Thickness'!$C$3:$T$3,0)+2),FALSE)),"")</f>
        <v/>
      </c>
      <c r="F48" s="108"/>
      <c r="G48" s="79" t="str">
        <f>IF(F48&gt;0,VLOOKUP(F48,'Appendix 2. Thickness'!$A$3:$B$41,2,FALSE),"")</f>
        <v/>
      </c>
      <c r="H48" s="109"/>
      <c r="I48" s="118" t="str">
        <f>IF(H48&gt;0,IF(ISNUMBER(H48),H48,VLOOKUP(F48,'Appendix 2. Thickness'!$A$4:$T$41,(MATCH(H48,'Appendix 2. Thickness'!$C$3:$T$3,0)+2),FALSE)),"")</f>
        <v/>
      </c>
      <c r="J48" s="110"/>
      <c r="K48" s="111"/>
      <c r="L48" s="112"/>
      <c r="M48" s="80" t="str">
        <f>IF(B48&gt;0,AK48,"")</f>
        <v/>
      </c>
      <c r="N48" s="81" t="str">
        <f>IF(B48&gt;0,(AL48+AM48+AN48),"")</f>
        <v/>
      </c>
      <c r="O48" s="302" t="str">
        <f>IF(B48&gt;0,(IF(M48&lt;=N48,"YES","NO")),"")</f>
        <v/>
      </c>
      <c r="P48" s="303"/>
      <c r="Q48" s="113"/>
      <c r="R48" s="34"/>
      <c r="S48" s="33"/>
      <c r="T48" s="82" t="e">
        <f>($I$13/10)*C48/(2*($I$19*$I$21*$I$22+($I$13/10)*$I$23))</f>
        <v>#VALUE!</v>
      </c>
      <c r="U48" s="83" t="e">
        <f>($I$13/10)*G48/(2*($M$19*$M$21*$M$22+($I$13/10)*$M$23))</f>
        <v>#VALUE!</v>
      </c>
      <c r="V48" s="89" t="e">
        <f>E48*(1-$I$27/100)-$I$28</f>
        <v>#VALUE!</v>
      </c>
      <c r="W48" s="89" t="e">
        <f>I48*(1-$M$27/100)-$M$28</f>
        <v>#VALUE!</v>
      </c>
      <c r="X48" s="89">
        <f t="shared" si="31"/>
        <v>0</v>
      </c>
      <c r="Y48" s="84" t="e">
        <f>MIN(2.5*(V48-$I$26),2.5*(W48-$M$26)+X48)</f>
        <v>#VALUE!</v>
      </c>
      <c r="Z48" s="85" t="e">
        <f>(G48-2*(W48-$M$26))/SIN(J48*PI()/180)</f>
        <v>#VALUE!</v>
      </c>
      <c r="AA48" s="85" t="e">
        <f>MIN(MAX(Z48,(W48-$M$26)+(V48-$I$26)+Z48/2),C48)</f>
        <v>#VALUE!</v>
      </c>
      <c r="AB48" s="85" t="e">
        <f>MIN(K48,2*AA48)</f>
        <v>#VALUE!</v>
      </c>
      <c r="AC48" s="84" t="e">
        <f>MIN(X48,Y48)</f>
        <v>#VALUE!</v>
      </c>
      <c r="AD48" s="90" t="e">
        <f>MIN(0.7*I48,6)</f>
        <v>#VALUE!</v>
      </c>
      <c r="AE48" s="84">
        <f>0.5*L48</f>
        <v>0</v>
      </c>
      <c r="AF48" s="86" t="e">
        <f>AC48*(AB48-G48/SIN(J48*PI()/180))</f>
        <v>#VALUE!</v>
      </c>
      <c r="AG48" s="86" t="e">
        <f>2*AD48^2</f>
        <v>#VALUE!</v>
      </c>
      <c r="AH48" s="86" t="e">
        <f>IF((X48+AD48*SQRT(2))&gt;Y48,IF(X48&lt;Y48,(AG48-((X48+AD48*SQRT(2))-Y48)^2),0),AG48)</f>
        <v>#VALUE!</v>
      </c>
      <c r="AI48" s="86">
        <f>2*AE48^2</f>
        <v>0</v>
      </c>
      <c r="AJ48" s="86" t="e">
        <f>IF((K48/2+AE48*SQRT(2))&gt;AA48,IF(K48/2&lt;AA48,(AI48-((K48/2+AE48*SQRT(2))-AA48)^2),0),AI48)</f>
        <v>#VALUE!</v>
      </c>
      <c r="AK48" s="86" t="e">
        <f>T48*Z48*(2-SIN(J48*PI()/180))</f>
        <v>#VALUE!</v>
      </c>
      <c r="AL48" s="86" t="e">
        <f>(2*AA48-Z48)*(V48-T48-$I$26)</f>
        <v>#VALUE!</v>
      </c>
      <c r="AM48" s="86" t="e">
        <f>MIN(2*Y48*(W48-U48-$M$26)/SIN(J48*PI()/180),2*Y48*(W48-U48-$M$26)/SIN(J48*PI()/180)*($M$19/$I$19))</f>
        <v>#VALUE!</v>
      </c>
      <c r="AN48" s="86" t="e">
        <f>AF48+AH48+AJ48</f>
        <v>#VALUE!</v>
      </c>
      <c r="AO48" s="86" t="e">
        <f>AK48</f>
        <v>#VALUE!</v>
      </c>
      <c r="AP48" s="87" t="e">
        <f>AL48+AM48+AN48</f>
        <v>#VALUE!</v>
      </c>
    </row>
    <row r="49" spans="1:42" ht="15" customHeight="1">
      <c r="A49" s="32"/>
      <c r="B49" s="108"/>
      <c r="C49" s="79" t="str">
        <f>IF(B49&gt;0,VLOOKUP(B49,'Appendix 2. Thickness'!$A$3:$B$41,2,FALSE),"")</f>
        <v/>
      </c>
      <c r="D49" s="109"/>
      <c r="E49" s="116" t="str">
        <f>IF(D49&gt;0,IF(ISNUMBER(D49),D49,VLOOKUP(B49,'Appendix 2. Thickness'!$A$4:$T$41,(MATCH(D49,'Appendix 2. Thickness'!$C$3:$T$3,0)+2),FALSE)),"")</f>
        <v/>
      </c>
      <c r="F49" s="108"/>
      <c r="G49" s="79" t="str">
        <f>IF(F49&gt;0,VLOOKUP(F49,'Appendix 2. Thickness'!$A$3:$B$41,2,FALSE),"")</f>
        <v/>
      </c>
      <c r="H49" s="109"/>
      <c r="I49" s="118" t="str">
        <f>IF(H49&gt;0,IF(ISNUMBER(H49),H49,VLOOKUP(F49,'Appendix 2. Thickness'!$A$4:$T$41,(MATCH(H49,'Appendix 2. Thickness'!$C$3:$T$3,0)+2),FALSE)),"")</f>
        <v/>
      </c>
      <c r="J49" s="110"/>
      <c r="K49" s="111"/>
      <c r="L49" s="112"/>
      <c r="M49" s="80" t="str">
        <f t="shared" si="0"/>
        <v/>
      </c>
      <c r="N49" s="81" t="str">
        <f t="shared" si="1"/>
        <v/>
      </c>
      <c r="O49" s="302" t="str">
        <f t="shared" si="2"/>
        <v/>
      </c>
      <c r="P49" s="303"/>
      <c r="Q49" s="113"/>
      <c r="R49" s="34"/>
      <c r="S49" s="33"/>
      <c r="T49" s="88" t="e">
        <f t="shared" si="29"/>
        <v>#VALUE!</v>
      </c>
      <c r="U49" s="89" t="e">
        <f t="shared" si="30"/>
        <v>#VALUE!</v>
      </c>
      <c r="V49" s="89" t="e">
        <f t="shared" si="23"/>
        <v>#VALUE!</v>
      </c>
      <c r="W49" s="89" t="e">
        <f t="shared" si="24"/>
        <v>#VALUE!</v>
      </c>
      <c r="X49" s="89">
        <f t="shared" si="31"/>
        <v>0</v>
      </c>
      <c r="Y49" s="90" t="e">
        <f t="shared" si="32"/>
        <v>#VALUE!</v>
      </c>
      <c r="Z49" s="91" t="e">
        <f t="shared" si="33"/>
        <v>#VALUE!</v>
      </c>
      <c r="AA49" s="91" t="e">
        <f t="shared" si="34"/>
        <v>#VALUE!</v>
      </c>
      <c r="AB49" s="91" t="e">
        <f t="shared" si="35"/>
        <v>#VALUE!</v>
      </c>
      <c r="AC49" s="90" t="e">
        <f t="shared" si="36"/>
        <v>#VALUE!</v>
      </c>
      <c r="AD49" s="90" t="e">
        <f t="shared" si="25"/>
        <v>#VALUE!</v>
      </c>
      <c r="AE49" s="90">
        <f t="shared" si="37"/>
        <v>0</v>
      </c>
      <c r="AF49" s="92" t="e">
        <f t="shared" si="38"/>
        <v>#VALUE!</v>
      </c>
      <c r="AG49" s="92" t="e">
        <f t="shared" si="39"/>
        <v>#VALUE!</v>
      </c>
      <c r="AH49" s="92" t="e">
        <f t="shared" si="40"/>
        <v>#VALUE!</v>
      </c>
      <c r="AI49" s="92">
        <f t="shared" si="41"/>
        <v>0</v>
      </c>
      <c r="AJ49" s="92" t="e">
        <f t="shared" si="42"/>
        <v>#VALUE!</v>
      </c>
      <c r="AK49" s="92" t="e">
        <f t="shared" si="43"/>
        <v>#VALUE!</v>
      </c>
      <c r="AL49" s="92" t="e">
        <f t="shared" si="44"/>
        <v>#VALUE!</v>
      </c>
      <c r="AM49" s="92" t="e">
        <f t="shared" si="45"/>
        <v>#VALUE!</v>
      </c>
      <c r="AN49" s="92" t="e">
        <f t="shared" si="46"/>
        <v>#VALUE!</v>
      </c>
      <c r="AO49" s="92" t="e">
        <f t="shared" si="47"/>
        <v>#VALUE!</v>
      </c>
      <c r="AP49" s="93" t="e">
        <f t="shared" si="48"/>
        <v>#VALUE!</v>
      </c>
    </row>
    <row r="50" spans="1:42" ht="15" customHeight="1">
      <c r="A50" s="32"/>
      <c r="B50" s="108"/>
      <c r="C50" s="79" t="str">
        <f>IF(B50&gt;0,VLOOKUP(B50,'Appendix 2. Thickness'!$A$3:$B$41,2,FALSE),"")</f>
        <v/>
      </c>
      <c r="D50" s="109"/>
      <c r="E50" s="116" t="str">
        <f>IF(D50&gt;0,IF(ISNUMBER(D50),D50,VLOOKUP(B50,'Appendix 2. Thickness'!$A$4:$T$41,(MATCH(D50,'Appendix 2. Thickness'!$C$3:$T$3,0)+2),FALSE)),"")</f>
        <v/>
      </c>
      <c r="F50" s="108"/>
      <c r="G50" s="79" t="str">
        <f>IF(F50&gt;0,VLOOKUP(F50,'Appendix 2. Thickness'!$A$3:$B$41,2,FALSE),"")</f>
        <v/>
      </c>
      <c r="H50" s="109"/>
      <c r="I50" s="118" t="str">
        <f>IF(H50&gt;0,IF(ISNUMBER(H50),H50,VLOOKUP(F50,'Appendix 2. Thickness'!$A$4:$T$41,(MATCH(H50,'Appendix 2. Thickness'!$C$3:$T$3,0)+2),FALSE)),"")</f>
        <v/>
      </c>
      <c r="J50" s="110"/>
      <c r="K50" s="111"/>
      <c r="L50" s="112"/>
      <c r="M50" s="80" t="str">
        <f t="shared" si="0"/>
        <v/>
      </c>
      <c r="N50" s="81" t="str">
        <f t="shared" si="1"/>
        <v/>
      </c>
      <c r="O50" s="302" t="str">
        <f t="shared" si="2"/>
        <v/>
      </c>
      <c r="P50" s="303"/>
      <c r="Q50" s="113"/>
      <c r="R50" s="34"/>
      <c r="S50" s="33"/>
      <c r="T50" s="88" t="e">
        <f t="shared" si="29"/>
        <v>#VALUE!</v>
      </c>
      <c r="U50" s="89" t="e">
        <f t="shared" si="30"/>
        <v>#VALUE!</v>
      </c>
      <c r="V50" s="89" t="e">
        <f t="shared" si="23"/>
        <v>#VALUE!</v>
      </c>
      <c r="W50" s="89" t="e">
        <f t="shared" si="24"/>
        <v>#VALUE!</v>
      </c>
      <c r="X50" s="89">
        <f t="shared" si="31"/>
        <v>0</v>
      </c>
      <c r="Y50" s="90" t="e">
        <f t="shared" si="32"/>
        <v>#VALUE!</v>
      </c>
      <c r="Z50" s="91" t="e">
        <f t="shared" si="33"/>
        <v>#VALUE!</v>
      </c>
      <c r="AA50" s="91" t="e">
        <f t="shared" si="34"/>
        <v>#VALUE!</v>
      </c>
      <c r="AB50" s="91" t="e">
        <f t="shared" si="35"/>
        <v>#VALUE!</v>
      </c>
      <c r="AC50" s="90" t="e">
        <f t="shared" si="36"/>
        <v>#VALUE!</v>
      </c>
      <c r="AD50" s="90" t="e">
        <f t="shared" si="25"/>
        <v>#VALUE!</v>
      </c>
      <c r="AE50" s="90">
        <f t="shared" si="37"/>
        <v>0</v>
      </c>
      <c r="AF50" s="92" t="e">
        <f t="shared" si="38"/>
        <v>#VALUE!</v>
      </c>
      <c r="AG50" s="92" t="e">
        <f t="shared" si="39"/>
        <v>#VALUE!</v>
      </c>
      <c r="AH50" s="92" t="e">
        <f t="shared" si="40"/>
        <v>#VALUE!</v>
      </c>
      <c r="AI50" s="92">
        <f t="shared" si="41"/>
        <v>0</v>
      </c>
      <c r="AJ50" s="92" t="e">
        <f t="shared" si="42"/>
        <v>#VALUE!</v>
      </c>
      <c r="AK50" s="92" t="e">
        <f t="shared" si="43"/>
        <v>#VALUE!</v>
      </c>
      <c r="AL50" s="92" t="e">
        <f t="shared" si="44"/>
        <v>#VALUE!</v>
      </c>
      <c r="AM50" s="92" t="e">
        <f t="shared" si="45"/>
        <v>#VALUE!</v>
      </c>
      <c r="AN50" s="92" t="e">
        <f t="shared" si="46"/>
        <v>#VALUE!</v>
      </c>
      <c r="AO50" s="92" t="e">
        <f t="shared" si="47"/>
        <v>#VALUE!</v>
      </c>
      <c r="AP50" s="93" t="e">
        <f t="shared" si="48"/>
        <v>#VALUE!</v>
      </c>
    </row>
    <row r="51" spans="1:42" ht="15" customHeight="1">
      <c r="A51" s="32"/>
      <c r="B51" s="108"/>
      <c r="C51" s="79" t="str">
        <f>IF(B51&gt;0,VLOOKUP(B51,'Appendix 2. Thickness'!$A$3:$B$41,2,FALSE),"")</f>
        <v/>
      </c>
      <c r="D51" s="109"/>
      <c r="E51" s="116" t="str">
        <f>IF(D51&gt;0,IF(ISNUMBER(D51),D51,VLOOKUP(B51,'Appendix 2. Thickness'!$A$4:$T$41,(MATCH(D51,'Appendix 2. Thickness'!$C$3:$T$3,0)+2),FALSE)),"")</f>
        <v/>
      </c>
      <c r="F51" s="108"/>
      <c r="G51" s="79" t="str">
        <f>IF(F51&gt;0,VLOOKUP(F51,'Appendix 2. Thickness'!$A$3:$B$41,2,FALSE),"")</f>
        <v/>
      </c>
      <c r="H51" s="109"/>
      <c r="I51" s="118" t="str">
        <f>IF(H51&gt;0,IF(ISNUMBER(H51),H51,VLOOKUP(F51,'Appendix 2. Thickness'!$A$4:$T$41,(MATCH(H51,'Appendix 2. Thickness'!$C$3:$T$3,0)+2),FALSE)),"")</f>
        <v/>
      </c>
      <c r="J51" s="110"/>
      <c r="K51" s="111"/>
      <c r="L51" s="112"/>
      <c r="M51" s="80" t="str">
        <f t="shared" si="0"/>
        <v/>
      </c>
      <c r="N51" s="81" t="str">
        <f t="shared" si="1"/>
        <v/>
      </c>
      <c r="O51" s="302" t="str">
        <f t="shared" si="2"/>
        <v/>
      </c>
      <c r="P51" s="303"/>
      <c r="Q51" s="113" t="s">
        <v>242</v>
      </c>
      <c r="R51" s="34"/>
      <c r="S51" s="33"/>
      <c r="T51" s="88" t="e">
        <f t="shared" si="29"/>
        <v>#VALUE!</v>
      </c>
      <c r="U51" s="89" t="e">
        <f t="shared" si="30"/>
        <v>#VALUE!</v>
      </c>
      <c r="V51" s="89" t="e">
        <f t="shared" si="23"/>
        <v>#VALUE!</v>
      </c>
      <c r="W51" s="89" t="e">
        <f t="shared" si="24"/>
        <v>#VALUE!</v>
      </c>
      <c r="X51" s="89">
        <f t="shared" si="31"/>
        <v>0</v>
      </c>
      <c r="Y51" s="90" t="e">
        <f t="shared" si="32"/>
        <v>#VALUE!</v>
      </c>
      <c r="Z51" s="91" t="e">
        <f t="shared" si="33"/>
        <v>#VALUE!</v>
      </c>
      <c r="AA51" s="91" t="e">
        <f t="shared" si="34"/>
        <v>#VALUE!</v>
      </c>
      <c r="AB51" s="91" t="e">
        <f t="shared" si="35"/>
        <v>#VALUE!</v>
      </c>
      <c r="AC51" s="90" t="e">
        <f t="shared" si="36"/>
        <v>#VALUE!</v>
      </c>
      <c r="AD51" s="90" t="e">
        <f t="shared" si="25"/>
        <v>#VALUE!</v>
      </c>
      <c r="AE51" s="90">
        <f t="shared" si="37"/>
        <v>0</v>
      </c>
      <c r="AF51" s="92" t="e">
        <f t="shared" si="38"/>
        <v>#VALUE!</v>
      </c>
      <c r="AG51" s="92" t="e">
        <f t="shared" si="39"/>
        <v>#VALUE!</v>
      </c>
      <c r="AH51" s="92" t="e">
        <f t="shared" si="40"/>
        <v>#VALUE!</v>
      </c>
      <c r="AI51" s="92">
        <f t="shared" si="41"/>
        <v>0</v>
      </c>
      <c r="AJ51" s="92" t="e">
        <f t="shared" si="42"/>
        <v>#VALUE!</v>
      </c>
      <c r="AK51" s="92" t="e">
        <f t="shared" si="43"/>
        <v>#VALUE!</v>
      </c>
      <c r="AL51" s="92" t="e">
        <f t="shared" si="44"/>
        <v>#VALUE!</v>
      </c>
      <c r="AM51" s="92" t="e">
        <f t="shared" si="45"/>
        <v>#VALUE!</v>
      </c>
      <c r="AN51" s="92" t="e">
        <f t="shared" si="46"/>
        <v>#VALUE!</v>
      </c>
      <c r="AO51" s="92" t="e">
        <f t="shared" si="47"/>
        <v>#VALUE!</v>
      </c>
      <c r="AP51" s="93" t="e">
        <f t="shared" si="48"/>
        <v>#VALUE!</v>
      </c>
    </row>
    <row r="52" spans="1:42" ht="15" customHeight="1">
      <c r="A52" s="32"/>
      <c r="B52" s="108"/>
      <c r="C52" s="79" t="str">
        <f>IF(B52&gt;0,VLOOKUP(B52,'Appendix 2. Thickness'!$A$3:$B$41,2,FALSE),"")</f>
        <v/>
      </c>
      <c r="D52" s="109"/>
      <c r="E52" s="116" t="str">
        <f>IF(D52&gt;0,IF(ISNUMBER(D52),D52,VLOOKUP(B52,'Appendix 2. Thickness'!$A$4:$T$41,(MATCH(D52,'Appendix 2. Thickness'!$C$3:$T$3,0)+2),FALSE)),"")</f>
        <v/>
      </c>
      <c r="F52" s="108"/>
      <c r="G52" s="79" t="str">
        <f>IF(F52&gt;0,VLOOKUP(F52,'Appendix 2. Thickness'!$A$3:$B$41,2,FALSE),"")</f>
        <v/>
      </c>
      <c r="H52" s="109"/>
      <c r="I52" s="118" t="str">
        <f>IF(H52&gt;0,IF(ISNUMBER(H52),H52,VLOOKUP(F52,'Appendix 2. Thickness'!$A$4:$T$41,(MATCH(H52,'Appendix 2. Thickness'!$C$3:$T$3,0)+2),FALSE)),"")</f>
        <v/>
      </c>
      <c r="J52" s="110"/>
      <c r="K52" s="111"/>
      <c r="L52" s="112"/>
      <c r="M52" s="80" t="str">
        <f t="shared" si="0"/>
        <v/>
      </c>
      <c r="N52" s="81" t="str">
        <f t="shared" si="1"/>
        <v/>
      </c>
      <c r="O52" s="302" t="str">
        <f t="shared" si="2"/>
        <v/>
      </c>
      <c r="P52" s="303"/>
      <c r="Q52" s="113"/>
      <c r="R52" s="34"/>
      <c r="S52" s="33"/>
      <c r="T52" s="88" t="e">
        <f t="shared" si="29"/>
        <v>#VALUE!</v>
      </c>
      <c r="U52" s="89" t="e">
        <f t="shared" si="30"/>
        <v>#VALUE!</v>
      </c>
      <c r="V52" s="89" t="e">
        <f t="shared" si="23"/>
        <v>#VALUE!</v>
      </c>
      <c r="W52" s="89" t="e">
        <f t="shared" si="24"/>
        <v>#VALUE!</v>
      </c>
      <c r="X52" s="89">
        <f t="shared" si="31"/>
        <v>0</v>
      </c>
      <c r="Y52" s="90" t="e">
        <f t="shared" si="32"/>
        <v>#VALUE!</v>
      </c>
      <c r="Z52" s="91" t="e">
        <f t="shared" si="33"/>
        <v>#VALUE!</v>
      </c>
      <c r="AA52" s="91" t="e">
        <f t="shared" si="34"/>
        <v>#VALUE!</v>
      </c>
      <c r="AB52" s="91" t="e">
        <f t="shared" si="35"/>
        <v>#VALUE!</v>
      </c>
      <c r="AC52" s="90" t="e">
        <f t="shared" si="36"/>
        <v>#VALUE!</v>
      </c>
      <c r="AD52" s="90" t="e">
        <f t="shared" si="25"/>
        <v>#VALUE!</v>
      </c>
      <c r="AE52" s="90">
        <f t="shared" si="37"/>
        <v>0</v>
      </c>
      <c r="AF52" s="92" t="e">
        <f t="shared" si="38"/>
        <v>#VALUE!</v>
      </c>
      <c r="AG52" s="92" t="e">
        <f t="shared" si="39"/>
        <v>#VALUE!</v>
      </c>
      <c r="AH52" s="92" t="e">
        <f t="shared" si="40"/>
        <v>#VALUE!</v>
      </c>
      <c r="AI52" s="92">
        <f t="shared" si="41"/>
        <v>0</v>
      </c>
      <c r="AJ52" s="92" t="e">
        <f t="shared" si="42"/>
        <v>#VALUE!</v>
      </c>
      <c r="AK52" s="92" t="e">
        <f t="shared" si="43"/>
        <v>#VALUE!</v>
      </c>
      <c r="AL52" s="92" t="e">
        <f t="shared" si="44"/>
        <v>#VALUE!</v>
      </c>
      <c r="AM52" s="92" t="e">
        <f t="shared" si="45"/>
        <v>#VALUE!</v>
      </c>
      <c r="AN52" s="92" t="e">
        <f t="shared" si="46"/>
        <v>#VALUE!</v>
      </c>
      <c r="AO52" s="92" t="e">
        <f t="shared" si="47"/>
        <v>#VALUE!</v>
      </c>
      <c r="AP52" s="93" t="e">
        <f t="shared" si="48"/>
        <v>#VALUE!</v>
      </c>
    </row>
    <row r="53" spans="1:42" ht="15" customHeight="1">
      <c r="A53" s="32"/>
      <c r="B53" s="108"/>
      <c r="C53" s="79" t="str">
        <f>IF(B53&gt;0,VLOOKUP(B53,'Appendix 2. Thickness'!$A$3:$B$41,2,FALSE),"")</f>
        <v/>
      </c>
      <c r="D53" s="109"/>
      <c r="E53" s="116" t="str">
        <f>IF(D53&gt;0,IF(ISNUMBER(D53),D53,VLOOKUP(B53,'Appendix 2. Thickness'!$A$4:$T$41,(MATCH(D53,'Appendix 2. Thickness'!$C$3:$T$3,0)+2),FALSE)),"")</f>
        <v/>
      </c>
      <c r="F53" s="108"/>
      <c r="G53" s="79" t="str">
        <f>IF(F53&gt;0,VLOOKUP(F53,'Appendix 2. Thickness'!$A$3:$B$41,2,FALSE),"")</f>
        <v/>
      </c>
      <c r="H53" s="109"/>
      <c r="I53" s="118" t="str">
        <f>IF(H53&gt;0,IF(ISNUMBER(H53),H53,VLOOKUP(F53,'Appendix 2. Thickness'!$A$4:$T$41,(MATCH(H53,'Appendix 2. Thickness'!$C$3:$T$3,0)+2),FALSE)),"")</f>
        <v/>
      </c>
      <c r="J53" s="110"/>
      <c r="K53" s="111"/>
      <c r="L53" s="112"/>
      <c r="M53" s="80" t="str">
        <f t="shared" si="0"/>
        <v/>
      </c>
      <c r="N53" s="81" t="str">
        <f t="shared" si="1"/>
        <v/>
      </c>
      <c r="O53" s="302" t="str">
        <f t="shared" si="2"/>
        <v/>
      </c>
      <c r="P53" s="303"/>
      <c r="Q53" s="113"/>
      <c r="R53" s="34"/>
      <c r="S53" s="33"/>
      <c r="T53" s="88" t="e">
        <f t="shared" si="29"/>
        <v>#VALUE!</v>
      </c>
      <c r="U53" s="89" t="e">
        <f t="shared" si="30"/>
        <v>#VALUE!</v>
      </c>
      <c r="V53" s="89" t="e">
        <f t="shared" si="23"/>
        <v>#VALUE!</v>
      </c>
      <c r="W53" s="89" t="e">
        <f t="shared" si="24"/>
        <v>#VALUE!</v>
      </c>
      <c r="X53" s="89">
        <f t="shared" si="31"/>
        <v>0</v>
      </c>
      <c r="Y53" s="90" t="e">
        <f t="shared" si="32"/>
        <v>#VALUE!</v>
      </c>
      <c r="Z53" s="91" t="e">
        <f t="shared" si="33"/>
        <v>#VALUE!</v>
      </c>
      <c r="AA53" s="91" t="e">
        <f t="shared" si="34"/>
        <v>#VALUE!</v>
      </c>
      <c r="AB53" s="91" t="e">
        <f t="shared" si="35"/>
        <v>#VALUE!</v>
      </c>
      <c r="AC53" s="90" t="e">
        <f t="shared" si="36"/>
        <v>#VALUE!</v>
      </c>
      <c r="AD53" s="90" t="e">
        <f t="shared" si="25"/>
        <v>#VALUE!</v>
      </c>
      <c r="AE53" s="90">
        <f t="shared" si="37"/>
        <v>0</v>
      </c>
      <c r="AF53" s="92" t="e">
        <f t="shared" si="38"/>
        <v>#VALUE!</v>
      </c>
      <c r="AG53" s="92" t="e">
        <f t="shared" si="39"/>
        <v>#VALUE!</v>
      </c>
      <c r="AH53" s="92" t="e">
        <f t="shared" si="40"/>
        <v>#VALUE!</v>
      </c>
      <c r="AI53" s="92">
        <f t="shared" si="41"/>
        <v>0</v>
      </c>
      <c r="AJ53" s="92" t="e">
        <f t="shared" si="42"/>
        <v>#VALUE!</v>
      </c>
      <c r="AK53" s="92" t="e">
        <f t="shared" si="43"/>
        <v>#VALUE!</v>
      </c>
      <c r="AL53" s="92" t="e">
        <f t="shared" si="44"/>
        <v>#VALUE!</v>
      </c>
      <c r="AM53" s="92" t="e">
        <f t="shared" si="45"/>
        <v>#VALUE!</v>
      </c>
      <c r="AN53" s="92" t="e">
        <f t="shared" si="46"/>
        <v>#VALUE!</v>
      </c>
      <c r="AO53" s="92" t="e">
        <f t="shared" si="47"/>
        <v>#VALUE!</v>
      </c>
      <c r="AP53" s="93" t="e">
        <f t="shared" si="48"/>
        <v>#VALUE!</v>
      </c>
    </row>
    <row r="54" spans="1:42" ht="15" customHeight="1">
      <c r="A54" s="32"/>
      <c r="B54" s="108"/>
      <c r="C54" s="79" t="str">
        <f>IF(B54&gt;0,VLOOKUP(B54,'Appendix 2. Thickness'!$A$3:$B$41,2,FALSE),"")</f>
        <v/>
      </c>
      <c r="D54" s="109"/>
      <c r="E54" s="116" t="str">
        <f>IF(D54&gt;0,IF(ISNUMBER(D54),D54,VLOOKUP(B54,'Appendix 2. Thickness'!$A$4:$T$41,(MATCH(D54,'Appendix 2. Thickness'!$C$3:$T$3,0)+2),FALSE)),"")</f>
        <v/>
      </c>
      <c r="F54" s="108"/>
      <c r="G54" s="79" t="str">
        <f>IF(F54&gt;0,VLOOKUP(F54,'Appendix 2. Thickness'!$A$3:$B$41,2,FALSE),"")</f>
        <v/>
      </c>
      <c r="H54" s="109"/>
      <c r="I54" s="118" t="str">
        <f>IF(H54&gt;0,IF(ISNUMBER(H54),H54,VLOOKUP(F54,'Appendix 2. Thickness'!$A$4:$T$41,(MATCH(H54,'Appendix 2. Thickness'!$C$3:$T$3,0)+2),FALSE)),"")</f>
        <v/>
      </c>
      <c r="J54" s="110"/>
      <c r="K54" s="111"/>
      <c r="L54" s="112"/>
      <c r="M54" s="80" t="str">
        <f t="shared" si="0"/>
        <v/>
      </c>
      <c r="N54" s="81" t="str">
        <f t="shared" si="1"/>
        <v/>
      </c>
      <c r="O54" s="302" t="str">
        <f t="shared" si="2"/>
        <v/>
      </c>
      <c r="P54" s="303"/>
      <c r="Q54" s="113"/>
      <c r="R54" s="34"/>
      <c r="S54" s="33"/>
      <c r="T54" s="88" t="e">
        <f t="shared" si="29"/>
        <v>#VALUE!</v>
      </c>
      <c r="U54" s="89" t="e">
        <f t="shared" si="30"/>
        <v>#VALUE!</v>
      </c>
      <c r="V54" s="89" t="e">
        <f t="shared" si="23"/>
        <v>#VALUE!</v>
      </c>
      <c r="W54" s="89" t="e">
        <f t="shared" si="24"/>
        <v>#VALUE!</v>
      </c>
      <c r="X54" s="89">
        <f t="shared" si="31"/>
        <v>0</v>
      </c>
      <c r="Y54" s="90" t="e">
        <f t="shared" si="32"/>
        <v>#VALUE!</v>
      </c>
      <c r="Z54" s="91" t="e">
        <f t="shared" si="33"/>
        <v>#VALUE!</v>
      </c>
      <c r="AA54" s="91" t="e">
        <f t="shared" si="34"/>
        <v>#VALUE!</v>
      </c>
      <c r="AB54" s="91" t="e">
        <f t="shared" si="35"/>
        <v>#VALUE!</v>
      </c>
      <c r="AC54" s="90" t="e">
        <f t="shared" si="36"/>
        <v>#VALUE!</v>
      </c>
      <c r="AD54" s="90" t="e">
        <f t="shared" si="25"/>
        <v>#VALUE!</v>
      </c>
      <c r="AE54" s="90">
        <f t="shared" si="37"/>
        <v>0</v>
      </c>
      <c r="AF54" s="92" t="e">
        <f t="shared" si="38"/>
        <v>#VALUE!</v>
      </c>
      <c r="AG54" s="92" t="e">
        <f t="shared" si="39"/>
        <v>#VALUE!</v>
      </c>
      <c r="AH54" s="92" t="e">
        <f t="shared" si="40"/>
        <v>#VALUE!</v>
      </c>
      <c r="AI54" s="92">
        <f t="shared" si="41"/>
        <v>0</v>
      </c>
      <c r="AJ54" s="92" t="e">
        <f t="shared" si="42"/>
        <v>#VALUE!</v>
      </c>
      <c r="AK54" s="92" t="e">
        <f t="shared" si="43"/>
        <v>#VALUE!</v>
      </c>
      <c r="AL54" s="92" t="e">
        <f t="shared" si="44"/>
        <v>#VALUE!</v>
      </c>
      <c r="AM54" s="92" t="e">
        <f t="shared" si="45"/>
        <v>#VALUE!</v>
      </c>
      <c r="AN54" s="92" t="e">
        <f t="shared" si="46"/>
        <v>#VALUE!</v>
      </c>
      <c r="AO54" s="92" t="e">
        <f t="shared" si="47"/>
        <v>#VALUE!</v>
      </c>
      <c r="AP54" s="93" t="e">
        <f t="shared" si="48"/>
        <v>#VALUE!</v>
      </c>
    </row>
    <row r="55" spans="1:42" ht="15" customHeight="1">
      <c r="A55" s="32"/>
      <c r="B55" s="108"/>
      <c r="C55" s="79" t="str">
        <f>IF(B55&gt;0,VLOOKUP(B55,'Appendix 2. Thickness'!$A$3:$B$41,2,FALSE),"")</f>
        <v/>
      </c>
      <c r="D55" s="109"/>
      <c r="E55" s="116" t="str">
        <f>IF(D55&gt;0,IF(ISNUMBER(D55),D55,VLOOKUP(B55,'Appendix 2. Thickness'!$A$4:$T$41,(MATCH(D55,'Appendix 2. Thickness'!$C$3:$T$3,0)+2),FALSE)),"")</f>
        <v/>
      </c>
      <c r="F55" s="108"/>
      <c r="G55" s="79" t="str">
        <f>IF(F55&gt;0,VLOOKUP(F55,'Appendix 2. Thickness'!$A$3:$B$41,2,FALSE),"")</f>
        <v/>
      </c>
      <c r="H55" s="109"/>
      <c r="I55" s="118" t="str">
        <f>IF(H55&gt;0,IF(ISNUMBER(H55),H55,VLOOKUP(F55,'Appendix 2. Thickness'!$A$4:$T$41,(MATCH(H55,'Appendix 2. Thickness'!$C$3:$T$3,0)+2),FALSE)),"")</f>
        <v/>
      </c>
      <c r="J55" s="110"/>
      <c r="K55" s="111"/>
      <c r="L55" s="112"/>
      <c r="M55" s="80" t="str">
        <f t="shared" si="0"/>
        <v/>
      </c>
      <c r="N55" s="81" t="str">
        <f t="shared" si="1"/>
        <v/>
      </c>
      <c r="O55" s="302" t="str">
        <f t="shared" si="2"/>
        <v/>
      </c>
      <c r="P55" s="303"/>
      <c r="Q55" s="113"/>
      <c r="R55" s="34"/>
      <c r="S55" s="33"/>
      <c r="T55" s="88" t="e">
        <f t="shared" si="29"/>
        <v>#VALUE!</v>
      </c>
      <c r="U55" s="89" t="e">
        <f t="shared" si="30"/>
        <v>#VALUE!</v>
      </c>
      <c r="V55" s="89" t="e">
        <f t="shared" si="23"/>
        <v>#VALUE!</v>
      </c>
      <c r="W55" s="89" t="e">
        <f t="shared" si="24"/>
        <v>#VALUE!</v>
      </c>
      <c r="X55" s="89">
        <f t="shared" si="31"/>
        <v>0</v>
      </c>
      <c r="Y55" s="90" t="e">
        <f t="shared" si="32"/>
        <v>#VALUE!</v>
      </c>
      <c r="Z55" s="91" t="e">
        <f t="shared" si="33"/>
        <v>#VALUE!</v>
      </c>
      <c r="AA55" s="91" t="e">
        <f t="shared" si="34"/>
        <v>#VALUE!</v>
      </c>
      <c r="AB55" s="91" t="e">
        <f t="shared" si="35"/>
        <v>#VALUE!</v>
      </c>
      <c r="AC55" s="90" t="e">
        <f t="shared" si="36"/>
        <v>#VALUE!</v>
      </c>
      <c r="AD55" s="90" t="e">
        <f t="shared" si="25"/>
        <v>#VALUE!</v>
      </c>
      <c r="AE55" s="90">
        <f t="shared" si="37"/>
        <v>0</v>
      </c>
      <c r="AF55" s="92" t="e">
        <f t="shared" si="38"/>
        <v>#VALUE!</v>
      </c>
      <c r="AG55" s="92" t="e">
        <f t="shared" si="39"/>
        <v>#VALUE!</v>
      </c>
      <c r="AH55" s="92" t="e">
        <f t="shared" si="40"/>
        <v>#VALUE!</v>
      </c>
      <c r="AI55" s="92">
        <f t="shared" si="41"/>
        <v>0</v>
      </c>
      <c r="AJ55" s="92" t="e">
        <f t="shared" si="42"/>
        <v>#VALUE!</v>
      </c>
      <c r="AK55" s="92" t="e">
        <f t="shared" si="43"/>
        <v>#VALUE!</v>
      </c>
      <c r="AL55" s="92" t="e">
        <f t="shared" si="44"/>
        <v>#VALUE!</v>
      </c>
      <c r="AM55" s="92" t="e">
        <f t="shared" si="45"/>
        <v>#VALUE!</v>
      </c>
      <c r="AN55" s="92" t="e">
        <f t="shared" si="46"/>
        <v>#VALUE!</v>
      </c>
      <c r="AO55" s="92" t="e">
        <f t="shared" si="47"/>
        <v>#VALUE!</v>
      </c>
      <c r="AP55" s="93" t="e">
        <f t="shared" si="48"/>
        <v>#VALUE!</v>
      </c>
    </row>
    <row r="56" spans="1:42" ht="15" customHeight="1">
      <c r="A56" s="32"/>
      <c r="B56" s="108"/>
      <c r="C56" s="79" t="str">
        <f>IF(B56&gt;0,VLOOKUP(B56,'Appendix 2. Thickness'!$A$3:$B$41,2,FALSE),"")</f>
        <v/>
      </c>
      <c r="D56" s="109"/>
      <c r="E56" s="116" t="str">
        <f>IF(D56&gt;0,IF(ISNUMBER(D56),D56,VLOOKUP(B56,'Appendix 2. Thickness'!$A$4:$T$41,(MATCH(D56,'Appendix 2. Thickness'!$C$3:$T$3,0)+2),FALSE)),"")</f>
        <v/>
      </c>
      <c r="F56" s="108"/>
      <c r="G56" s="79" t="str">
        <f>IF(F56&gt;0,VLOOKUP(F56,'Appendix 2. Thickness'!$A$3:$B$41,2,FALSE),"")</f>
        <v/>
      </c>
      <c r="H56" s="109"/>
      <c r="I56" s="118" t="str">
        <f>IF(H56&gt;0,IF(ISNUMBER(H56),H56,VLOOKUP(F56,'Appendix 2. Thickness'!$A$4:$T$41,(MATCH(H56,'Appendix 2. Thickness'!$C$3:$T$3,0)+2),FALSE)),"")</f>
        <v/>
      </c>
      <c r="J56" s="110"/>
      <c r="K56" s="111"/>
      <c r="L56" s="112"/>
      <c r="M56" s="80" t="str">
        <f t="shared" si="0"/>
        <v/>
      </c>
      <c r="N56" s="81" t="str">
        <f t="shared" si="1"/>
        <v/>
      </c>
      <c r="O56" s="302" t="str">
        <f t="shared" si="2"/>
        <v/>
      </c>
      <c r="P56" s="303"/>
      <c r="Q56" s="113"/>
      <c r="R56" s="34"/>
      <c r="S56" s="33"/>
      <c r="T56" s="88" t="e">
        <f t="shared" si="29"/>
        <v>#VALUE!</v>
      </c>
      <c r="U56" s="89" t="e">
        <f t="shared" si="30"/>
        <v>#VALUE!</v>
      </c>
      <c r="V56" s="89" t="e">
        <f t="shared" si="23"/>
        <v>#VALUE!</v>
      </c>
      <c r="W56" s="89" t="e">
        <f t="shared" si="24"/>
        <v>#VALUE!</v>
      </c>
      <c r="X56" s="89">
        <f t="shared" si="31"/>
        <v>0</v>
      </c>
      <c r="Y56" s="90" t="e">
        <f t="shared" si="32"/>
        <v>#VALUE!</v>
      </c>
      <c r="Z56" s="91" t="e">
        <f t="shared" si="33"/>
        <v>#VALUE!</v>
      </c>
      <c r="AA56" s="91" t="e">
        <f t="shared" si="34"/>
        <v>#VALUE!</v>
      </c>
      <c r="AB56" s="91" t="e">
        <f t="shared" si="35"/>
        <v>#VALUE!</v>
      </c>
      <c r="AC56" s="90" t="e">
        <f t="shared" si="36"/>
        <v>#VALUE!</v>
      </c>
      <c r="AD56" s="90" t="e">
        <f t="shared" si="25"/>
        <v>#VALUE!</v>
      </c>
      <c r="AE56" s="90">
        <f t="shared" si="37"/>
        <v>0</v>
      </c>
      <c r="AF56" s="92" t="e">
        <f t="shared" si="38"/>
        <v>#VALUE!</v>
      </c>
      <c r="AG56" s="92" t="e">
        <f t="shared" si="39"/>
        <v>#VALUE!</v>
      </c>
      <c r="AH56" s="92" t="e">
        <f t="shared" si="40"/>
        <v>#VALUE!</v>
      </c>
      <c r="AI56" s="92">
        <f t="shared" si="41"/>
        <v>0</v>
      </c>
      <c r="AJ56" s="92" t="e">
        <f t="shared" si="42"/>
        <v>#VALUE!</v>
      </c>
      <c r="AK56" s="92" t="e">
        <f t="shared" si="43"/>
        <v>#VALUE!</v>
      </c>
      <c r="AL56" s="92" t="e">
        <f t="shared" si="44"/>
        <v>#VALUE!</v>
      </c>
      <c r="AM56" s="92" t="e">
        <f t="shared" si="45"/>
        <v>#VALUE!</v>
      </c>
      <c r="AN56" s="92" t="e">
        <f t="shared" si="46"/>
        <v>#VALUE!</v>
      </c>
      <c r="AO56" s="92" t="e">
        <f t="shared" si="47"/>
        <v>#VALUE!</v>
      </c>
      <c r="AP56" s="93" t="e">
        <f t="shared" si="48"/>
        <v>#VALUE!</v>
      </c>
    </row>
    <row r="57" spans="1:42" ht="15" customHeight="1">
      <c r="A57" s="32"/>
      <c r="B57" s="108"/>
      <c r="C57" s="79" t="str">
        <f>IF(B57&gt;0,VLOOKUP(B57,'Appendix 2. Thickness'!$A$3:$B$41,2,FALSE),"")</f>
        <v/>
      </c>
      <c r="D57" s="109"/>
      <c r="E57" s="116" t="str">
        <f>IF(D57&gt;0,IF(ISNUMBER(D57),D57,VLOOKUP(B57,'Appendix 2. Thickness'!$A$4:$T$41,(MATCH(D57,'Appendix 2. Thickness'!$C$3:$T$3,0)+2),FALSE)),"")</f>
        <v/>
      </c>
      <c r="F57" s="108"/>
      <c r="G57" s="79" t="str">
        <f>IF(F57&gt;0,VLOOKUP(F57,'Appendix 2. Thickness'!$A$3:$B$41,2,FALSE),"")</f>
        <v/>
      </c>
      <c r="H57" s="109"/>
      <c r="I57" s="118" t="str">
        <f>IF(H57&gt;0,IF(ISNUMBER(H57),H57,VLOOKUP(F57,'Appendix 2. Thickness'!$A$4:$T$41,(MATCH(H57,'Appendix 2. Thickness'!$C$3:$T$3,0)+2),FALSE)),"")</f>
        <v/>
      </c>
      <c r="J57" s="110"/>
      <c r="K57" s="111"/>
      <c r="L57" s="112"/>
      <c r="M57" s="80" t="str">
        <f t="shared" si="0"/>
        <v/>
      </c>
      <c r="N57" s="81" t="str">
        <f t="shared" si="1"/>
        <v/>
      </c>
      <c r="O57" s="302" t="str">
        <f t="shared" si="2"/>
        <v/>
      </c>
      <c r="P57" s="303"/>
      <c r="Q57" s="113"/>
      <c r="R57" s="34"/>
      <c r="S57" s="33"/>
      <c r="T57" s="88" t="e">
        <f t="shared" si="29"/>
        <v>#VALUE!</v>
      </c>
      <c r="U57" s="89" t="e">
        <f t="shared" si="30"/>
        <v>#VALUE!</v>
      </c>
      <c r="V57" s="89" t="e">
        <f t="shared" si="23"/>
        <v>#VALUE!</v>
      </c>
      <c r="W57" s="89" t="e">
        <f t="shared" si="24"/>
        <v>#VALUE!</v>
      </c>
      <c r="X57" s="89">
        <f t="shared" si="31"/>
        <v>0</v>
      </c>
      <c r="Y57" s="90" t="e">
        <f t="shared" si="32"/>
        <v>#VALUE!</v>
      </c>
      <c r="Z57" s="91" t="e">
        <f t="shared" si="33"/>
        <v>#VALUE!</v>
      </c>
      <c r="AA57" s="91" t="e">
        <f t="shared" si="34"/>
        <v>#VALUE!</v>
      </c>
      <c r="AB57" s="91" t="e">
        <f t="shared" si="35"/>
        <v>#VALUE!</v>
      </c>
      <c r="AC57" s="90" t="e">
        <f t="shared" si="36"/>
        <v>#VALUE!</v>
      </c>
      <c r="AD57" s="90" t="e">
        <f t="shared" si="25"/>
        <v>#VALUE!</v>
      </c>
      <c r="AE57" s="90">
        <f t="shared" si="37"/>
        <v>0</v>
      </c>
      <c r="AF57" s="92" t="e">
        <f t="shared" si="38"/>
        <v>#VALUE!</v>
      </c>
      <c r="AG57" s="92" t="e">
        <f t="shared" si="39"/>
        <v>#VALUE!</v>
      </c>
      <c r="AH57" s="92" t="e">
        <f t="shared" si="40"/>
        <v>#VALUE!</v>
      </c>
      <c r="AI57" s="92">
        <f t="shared" si="41"/>
        <v>0</v>
      </c>
      <c r="AJ57" s="92" t="e">
        <f t="shared" si="42"/>
        <v>#VALUE!</v>
      </c>
      <c r="AK57" s="92" t="e">
        <f t="shared" si="43"/>
        <v>#VALUE!</v>
      </c>
      <c r="AL57" s="92" t="e">
        <f t="shared" si="44"/>
        <v>#VALUE!</v>
      </c>
      <c r="AM57" s="92" t="e">
        <f t="shared" si="45"/>
        <v>#VALUE!</v>
      </c>
      <c r="AN57" s="92" t="e">
        <f t="shared" si="46"/>
        <v>#VALUE!</v>
      </c>
      <c r="AO57" s="92" t="e">
        <f t="shared" si="47"/>
        <v>#VALUE!</v>
      </c>
      <c r="AP57" s="93" t="e">
        <f t="shared" si="48"/>
        <v>#VALUE!</v>
      </c>
    </row>
    <row r="58" spans="1:42" ht="15" customHeight="1">
      <c r="A58" s="32"/>
      <c r="B58" s="108"/>
      <c r="C58" s="79" t="str">
        <f>IF(B58&gt;0,VLOOKUP(B58,'Appendix 2. Thickness'!$A$3:$B$41,2,FALSE),"")</f>
        <v/>
      </c>
      <c r="D58" s="109"/>
      <c r="E58" s="116" t="str">
        <f>IF(D58&gt;0,IF(ISNUMBER(D58),D58,VLOOKUP(B58,'Appendix 2. Thickness'!$A$4:$T$41,(MATCH(D58,'Appendix 2. Thickness'!$C$3:$T$3,0)+2),FALSE)),"")</f>
        <v/>
      </c>
      <c r="F58" s="108"/>
      <c r="G58" s="79" t="str">
        <f>IF(F58&gt;0,VLOOKUP(F58,'Appendix 2. Thickness'!$A$3:$B$41,2,FALSE),"")</f>
        <v/>
      </c>
      <c r="H58" s="109"/>
      <c r="I58" s="118" t="str">
        <f>IF(H58&gt;0,IF(ISNUMBER(H58),H58,VLOOKUP(F58,'Appendix 2. Thickness'!$A$4:$T$41,(MATCH(H58,'Appendix 2. Thickness'!$C$3:$T$3,0)+2),FALSE)),"")</f>
        <v/>
      </c>
      <c r="J58" s="110"/>
      <c r="K58" s="111"/>
      <c r="L58" s="112"/>
      <c r="M58" s="80" t="str">
        <f t="shared" si="0"/>
        <v/>
      </c>
      <c r="N58" s="81" t="str">
        <f t="shared" si="1"/>
        <v/>
      </c>
      <c r="O58" s="302" t="str">
        <f t="shared" si="2"/>
        <v/>
      </c>
      <c r="P58" s="303"/>
      <c r="Q58" s="113"/>
      <c r="R58" s="34"/>
      <c r="S58" s="33"/>
      <c r="T58" s="88" t="e">
        <f t="shared" si="29"/>
        <v>#VALUE!</v>
      </c>
      <c r="U58" s="89" t="e">
        <f t="shared" si="30"/>
        <v>#VALUE!</v>
      </c>
      <c r="V58" s="89" t="e">
        <f t="shared" si="23"/>
        <v>#VALUE!</v>
      </c>
      <c r="W58" s="89" t="e">
        <f t="shared" si="24"/>
        <v>#VALUE!</v>
      </c>
      <c r="X58" s="89">
        <f t="shared" si="31"/>
        <v>0</v>
      </c>
      <c r="Y58" s="90" t="e">
        <f t="shared" si="32"/>
        <v>#VALUE!</v>
      </c>
      <c r="Z58" s="91" t="e">
        <f t="shared" si="33"/>
        <v>#VALUE!</v>
      </c>
      <c r="AA58" s="91" t="e">
        <f t="shared" si="34"/>
        <v>#VALUE!</v>
      </c>
      <c r="AB58" s="91" t="e">
        <f t="shared" si="35"/>
        <v>#VALUE!</v>
      </c>
      <c r="AC58" s="90" t="e">
        <f t="shared" si="36"/>
        <v>#VALUE!</v>
      </c>
      <c r="AD58" s="90" t="e">
        <f t="shared" si="25"/>
        <v>#VALUE!</v>
      </c>
      <c r="AE58" s="90">
        <f t="shared" si="37"/>
        <v>0</v>
      </c>
      <c r="AF58" s="92" t="e">
        <f t="shared" si="38"/>
        <v>#VALUE!</v>
      </c>
      <c r="AG58" s="92" t="e">
        <f t="shared" si="39"/>
        <v>#VALUE!</v>
      </c>
      <c r="AH58" s="92" t="e">
        <f t="shared" si="40"/>
        <v>#VALUE!</v>
      </c>
      <c r="AI58" s="92">
        <f t="shared" si="41"/>
        <v>0</v>
      </c>
      <c r="AJ58" s="92" t="e">
        <f t="shared" si="42"/>
        <v>#VALUE!</v>
      </c>
      <c r="AK58" s="92" t="e">
        <f t="shared" si="43"/>
        <v>#VALUE!</v>
      </c>
      <c r="AL58" s="92" t="e">
        <f t="shared" si="44"/>
        <v>#VALUE!</v>
      </c>
      <c r="AM58" s="92" t="e">
        <f t="shared" si="45"/>
        <v>#VALUE!</v>
      </c>
      <c r="AN58" s="92" t="e">
        <f t="shared" si="46"/>
        <v>#VALUE!</v>
      </c>
      <c r="AO58" s="92" t="e">
        <f t="shared" si="47"/>
        <v>#VALUE!</v>
      </c>
      <c r="AP58" s="93" t="e">
        <f t="shared" si="48"/>
        <v>#VALUE!</v>
      </c>
    </row>
    <row r="59" spans="1:42" ht="15" customHeight="1">
      <c r="A59" s="32"/>
      <c r="B59" s="233"/>
      <c r="C59" s="94" t="str">
        <f>IF(B59&gt;0,VLOOKUP(B59,'Appendix 2. Thickness'!$A$3:$B$41,2,FALSE),"")</f>
        <v/>
      </c>
      <c r="D59" s="234"/>
      <c r="E59" s="117" t="str">
        <f>IF(D59&gt;0,IF(ISNUMBER(D59),D59,VLOOKUP(B59,'Appendix 2. Thickness'!$A$4:$T$41,(MATCH(D59,'Appendix 2. Thickness'!$C$3:$T$3,0)+2),FALSE)),"")</f>
        <v/>
      </c>
      <c r="F59" s="233"/>
      <c r="G59" s="94" t="str">
        <f>IF(F59&gt;0,VLOOKUP(F59,'Appendix 2. Thickness'!$A$3:$B$41,2,FALSE),"")</f>
        <v/>
      </c>
      <c r="H59" s="234"/>
      <c r="I59" s="119" t="str">
        <f>IF(H59&gt;0,IF(ISNUMBER(H59),H59,VLOOKUP(F59,'Appendix 2. Thickness'!$A$4:$T$41,(MATCH(H59,'Appendix 2. Thickness'!$C$3:$T$3,0)+2),FALSE)),"")</f>
        <v/>
      </c>
      <c r="J59" s="235"/>
      <c r="K59" s="236"/>
      <c r="L59" s="237"/>
      <c r="M59" s="95" t="str">
        <f>IF(B59&gt;0,AK59,"")</f>
        <v/>
      </c>
      <c r="N59" s="96" t="str">
        <f>IF(B59&gt;0,(AL59+AM59+AN59),"")</f>
        <v/>
      </c>
      <c r="O59" s="304" t="str">
        <f>IF(B59&gt;0,(IF(M59&lt;=N59,"YES","NO")),"")</f>
        <v/>
      </c>
      <c r="P59" s="305"/>
      <c r="Q59" s="114"/>
      <c r="R59" s="34"/>
      <c r="S59" s="33"/>
      <c r="T59" s="97" t="e">
        <f t="shared" si="29"/>
        <v>#VALUE!</v>
      </c>
      <c r="U59" s="98" t="e">
        <f t="shared" si="30"/>
        <v>#VALUE!</v>
      </c>
      <c r="V59" s="98" t="e">
        <f>E59*(1-$I$27/100)-$I$28</f>
        <v>#VALUE!</v>
      </c>
      <c r="W59" s="98" t="e">
        <f>I59*(1-$M$27/100)-$M$28</f>
        <v>#VALUE!</v>
      </c>
      <c r="X59" s="98">
        <f>IF(L59&gt;0,(L59*(1-$I$27/100)-$I$28),0)</f>
        <v>0</v>
      </c>
      <c r="Y59" s="99" t="e">
        <f t="shared" si="32"/>
        <v>#VALUE!</v>
      </c>
      <c r="Z59" s="100" t="e">
        <f t="shared" si="33"/>
        <v>#VALUE!</v>
      </c>
      <c r="AA59" s="100" t="e">
        <f t="shared" si="34"/>
        <v>#VALUE!</v>
      </c>
      <c r="AB59" s="100" t="e">
        <f t="shared" si="35"/>
        <v>#VALUE!</v>
      </c>
      <c r="AC59" s="99" t="e">
        <f t="shared" si="36"/>
        <v>#VALUE!</v>
      </c>
      <c r="AD59" s="99" t="e">
        <f>MIN(0.7*I59,6)</f>
        <v>#VALUE!</v>
      </c>
      <c r="AE59" s="99">
        <f t="shared" si="37"/>
        <v>0</v>
      </c>
      <c r="AF59" s="101" t="e">
        <f t="shared" si="38"/>
        <v>#VALUE!</v>
      </c>
      <c r="AG59" s="101" t="e">
        <f t="shared" si="39"/>
        <v>#VALUE!</v>
      </c>
      <c r="AH59" s="101" t="e">
        <f t="shared" si="40"/>
        <v>#VALUE!</v>
      </c>
      <c r="AI59" s="101">
        <f t="shared" si="41"/>
        <v>0</v>
      </c>
      <c r="AJ59" s="101" t="e">
        <f t="shared" si="42"/>
        <v>#VALUE!</v>
      </c>
      <c r="AK59" s="101" t="e">
        <f t="shared" si="43"/>
        <v>#VALUE!</v>
      </c>
      <c r="AL59" s="101" t="e">
        <f t="shared" si="44"/>
        <v>#VALUE!</v>
      </c>
      <c r="AM59" s="101" t="e">
        <f t="shared" si="45"/>
        <v>#VALUE!</v>
      </c>
      <c r="AN59" s="101" t="e">
        <f t="shared" si="46"/>
        <v>#VALUE!</v>
      </c>
      <c r="AO59" s="101" t="e">
        <f t="shared" si="47"/>
        <v>#VALUE!</v>
      </c>
      <c r="AP59" s="102" t="e">
        <f t="shared" si="48"/>
        <v>#VALUE!</v>
      </c>
    </row>
    <row r="60" spans="1:42" ht="15" customHeight="1">
      <c r="A60" s="36"/>
      <c r="B60" s="37"/>
      <c r="C60" s="37"/>
      <c r="D60" s="37"/>
      <c r="E60" s="37"/>
      <c r="F60" s="37"/>
      <c r="G60" s="37"/>
      <c r="H60" s="37"/>
      <c r="I60" s="37"/>
      <c r="J60" s="37"/>
      <c r="K60" s="37"/>
      <c r="L60" s="37"/>
      <c r="M60" s="37"/>
      <c r="N60" s="37"/>
      <c r="O60" s="37"/>
      <c r="P60" s="37"/>
      <c r="Q60" s="37"/>
      <c r="R60" s="38"/>
      <c r="S60" s="33"/>
    </row>
    <row r="61" spans="1:42" ht="15" customHeight="1">
      <c r="A61" s="39"/>
      <c r="B61" s="40"/>
      <c r="C61" s="40"/>
      <c r="D61" s="40"/>
      <c r="E61" s="40"/>
      <c r="F61" s="40"/>
      <c r="G61" s="40"/>
      <c r="H61" s="40"/>
      <c r="I61" s="40"/>
      <c r="J61" s="40"/>
      <c r="K61" s="40"/>
      <c r="L61" s="40"/>
      <c r="M61" s="40"/>
      <c r="N61" s="40"/>
      <c r="O61" s="40"/>
      <c r="P61" s="40"/>
      <c r="Q61" s="40"/>
      <c r="R61" s="41"/>
      <c r="S61" s="33"/>
    </row>
    <row r="62" spans="1:42" ht="15" customHeight="1">
      <c r="A62" s="32"/>
      <c r="B62" s="42" t="s">
        <v>3</v>
      </c>
      <c r="C62" s="33"/>
      <c r="D62" s="33"/>
      <c r="E62" s="33"/>
      <c r="F62" s="33"/>
      <c r="G62" s="33"/>
      <c r="H62" s="33"/>
      <c r="I62" s="33"/>
      <c r="J62" s="33"/>
      <c r="K62" s="33"/>
      <c r="L62" s="33"/>
      <c r="M62" s="33"/>
      <c r="N62" s="33"/>
      <c r="O62" s="33"/>
      <c r="P62" s="33"/>
      <c r="Q62" s="33"/>
      <c r="R62" s="34"/>
      <c r="S62" s="33"/>
    </row>
    <row r="63" spans="1:42" ht="15" customHeight="1">
      <c r="A63" s="32"/>
      <c r="B63" s="103" t="s">
        <v>23</v>
      </c>
      <c r="C63" s="26" t="s">
        <v>22</v>
      </c>
      <c r="D63" s="26"/>
      <c r="E63" s="26"/>
      <c r="F63" s="26"/>
      <c r="G63" s="26"/>
      <c r="H63" s="26"/>
      <c r="I63" s="26"/>
      <c r="J63" s="26"/>
      <c r="K63" s="26"/>
      <c r="L63" s="26"/>
      <c r="M63" s="26"/>
      <c r="N63" s="26"/>
      <c r="O63" s="26"/>
      <c r="P63" s="26"/>
      <c r="Q63" s="26"/>
      <c r="R63" s="34"/>
      <c r="S63" s="33"/>
    </row>
    <row r="64" spans="1:42" ht="15" customHeight="1">
      <c r="A64" s="104"/>
      <c r="B64" s="103" t="s">
        <v>24</v>
      </c>
      <c r="C64" s="26" t="s">
        <v>250</v>
      </c>
      <c r="D64" s="26"/>
      <c r="E64" s="26"/>
      <c r="F64" s="26"/>
      <c r="G64" s="26"/>
      <c r="H64" s="26"/>
      <c r="I64" s="26"/>
      <c r="J64" s="26"/>
      <c r="K64" s="26"/>
      <c r="L64" s="26"/>
      <c r="M64" s="26"/>
      <c r="N64" s="26"/>
      <c r="O64" s="26"/>
      <c r="P64" s="26"/>
      <c r="Q64" s="26"/>
      <c r="R64" s="34"/>
      <c r="S64" s="33"/>
    </row>
    <row r="65" spans="1:19" ht="15" customHeight="1">
      <c r="A65" s="32"/>
      <c r="B65" s="14"/>
      <c r="C65" s="6"/>
      <c r="D65" s="6"/>
      <c r="E65" s="6"/>
      <c r="F65" s="6"/>
      <c r="G65" s="6"/>
      <c r="H65" s="6"/>
      <c r="I65" s="6"/>
      <c r="J65" s="6"/>
      <c r="K65" s="6"/>
      <c r="L65" s="6"/>
      <c r="M65" s="6"/>
      <c r="N65" s="6"/>
      <c r="O65" s="6"/>
      <c r="P65" s="6"/>
      <c r="Q65" s="6"/>
      <c r="R65" s="34"/>
      <c r="S65" s="33"/>
    </row>
    <row r="66" spans="1:19" ht="15" customHeight="1">
      <c r="A66" s="32"/>
      <c r="B66" s="14"/>
      <c r="C66" s="6"/>
      <c r="D66" s="6"/>
      <c r="E66" s="6"/>
      <c r="F66" s="6"/>
      <c r="G66" s="6"/>
      <c r="H66" s="6"/>
      <c r="I66" s="6"/>
      <c r="J66" s="6"/>
      <c r="K66" s="6"/>
      <c r="L66" s="6"/>
      <c r="M66" s="6"/>
      <c r="N66" s="6"/>
      <c r="O66" s="6"/>
      <c r="P66" s="6"/>
      <c r="Q66" s="6"/>
      <c r="R66" s="34"/>
      <c r="S66" s="33"/>
    </row>
    <row r="67" spans="1:19" ht="15" customHeight="1">
      <c r="A67" s="32"/>
      <c r="B67" s="14"/>
      <c r="C67" s="6"/>
      <c r="D67" s="6"/>
      <c r="E67" s="6"/>
      <c r="F67" s="6"/>
      <c r="G67" s="6"/>
      <c r="H67" s="6"/>
      <c r="I67" s="6"/>
      <c r="J67" s="6"/>
      <c r="K67" s="6"/>
      <c r="L67" s="6"/>
      <c r="M67" s="6"/>
      <c r="N67" s="6"/>
      <c r="O67" s="6"/>
      <c r="P67" s="6"/>
      <c r="Q67" s="6"/>
      <c r="R67" s="34"/>
      <c r="S67" s="33"/>
    </row>
    <row r="68" spans="1:19" ht="15" customHeight="1" thickBot="1">
      <c r="A68" s="105"/>
      <c r="B68" s="106"/>
      <c r="C68" s="106"/>
      <c r="D68" s="106"/>
      <c r="E68" s="106"/>
      <c r="F68" s="106"/>
      <c r="G68" s="106"/>
      <c r="H68" s="106"/>
      <c r="I68" s="106"/>
      <c r="J68" s="106"/>
      <c r="K68" s="106"/>
      <c r="L68" s="106"/>
      <c r="M68" s="106"/>
      <c r="N68" s="106"/>
      <c r="O68" s="106"/>
      <c r="P68" s="106"/>
      <c r="Q68" s="106"/>
      <c r="R68" s="107"/>
      <c r="S68" s="33"/>
    </row>
  </sheetData>
  <sheetProtection password="C57E" sheet="1" formatRows="0"/>
  <mergeCells count="89">
    <mergeCell ref="AE24:AE31"/>
    <mergeCell ref="Y24:Y31"/>
    <mergeCell ref="Z24:Z31"/>
    <mergeCell ref="X24:X31"/>
    <mergeCell ref="W24:W31"/>
    <mergeCell ref="AA24:AA31"/>
    <mergeCell ref="AC24:AC31"/>
    <mergeCell ref="AB24:AB31"/>
    <mergeCell ref="AD24:AD31"/>
    <mergeCell ref="AG24:AG31"/>
    <mergeCell ref="AH24:AH31"/>
    <mergeCell ref="AJ24:AJ31"/>
    <mergeCell ref="AF24:AF31"/>
    <mergeCell ref="AI24:AI31"/>
    <mergeCell ref="F1:L4"/>
    <mergeCell ref="O1:P1"/>
    <mergeCell ref="O2:P2"/>
    <mergeCell ref="O3:P3"/>
    <mergeCell ref="O4:P4"/>
    <mergeCell ref="V32:V33"/>
    <mergeCell ref="H18:J18"/>
    <mergeCell ref="L18:N18"/>
    <mergeCell ref="V24:V31"/>
    <mergeCell ref="T24:T31"/>
    <mergeCell ref="U24:U31"/>
    <mergeCell ref="N31:N33"/>
    <mergeCell ref="F31:J31"/>
    <mergeCell ref="K31:L31"/>
    <mergeCell ref="O31:P34"/>
    <mergeCell ref="B32:C32"/>
    <mergeCell ref="D32:E32"/>
    <mergeCell ref="F32:G32"/>
    <mergeCell ref="H32:I32"/>
    <mergeCell ref="M31:M33"/>
    <mergeCell ref="B31:E31"/>
    <mergeCell ref="O49:P49"/>
    <mergeCell ref="O50:P50"/>
    <mergeCell ref="O37:P37"/>
    <mergeCell ref="O45:P45"/>
    <mergeCell ref="O46:P46"/>
    <mergeCell ref="O44:P44"/>
    <mergeCell ref="O42:P42"/>
    <mergeCell ref="O41:P41"/>
    <mergeCell ref="O43:P43"/>
    <mergeCell ref="O47:P47"/>
    <mergeCell ref="O48:P48"/>
    <mergeCell ref="O38:P38"/>
    <mergeCell ref="O40:P40"/>
    <mergeCell ref="O51:P51"/>
    <mergeCell ref="O52:P52"/>
    <mergeCell ref="O53:P53"/>
    <mergeCell ref="O54:P54"/>
    <mergeCell ref="O59:P59"/>
    <mergeCell ref="O55:P55"/>
    <mergeCell ref="O56:P56"/>
    <mergeCell ref="O57:P57"/>
    <mergeCell ref="O58:P58"/>
    <mergeCell ref="AI32:AI33"/>
    <mergeCell ref="O39:P39"/>
    <mergeCell ref="AK32:AK33"/>
    <mergeCell ref="AL32:AL33"/>
    <mergeCell ref="W32:W33"/>
    <mergeCell ref="X32:X33"/>
    <mergeCell ref="Y32:Y33"/>
    <mergeCell ref="Z32:Z33"/>
    <mergeCell ref="AA32:AA33"/>
    <mergeCell ref="AB32:AB33"/>
    <mergeCell ref="AC32:AC33"/>
    <mergeCell ref="O35:P35"/>
    <mergeCell ref="O36:P36"/>
    <mergeCell ref="Q31:Q34"/>
    <mergeCell ref="T32:T33"/>
    <mergeCell ref="U32:U33"/>
    <mergeCell ref="AD32:AD33"/>
    <mergeCell ref="AE32:AE33"/>
    <mergeCell ref="AF32:AF33"/>
    <mergeCell ref="AG32:AG33"/>
    <mergeCell ref="AH32:AH33"/>
    <mergeCell ref="AJ32:AJ33"/>
    <mergeCell ref="AM32:AM33"/>
    <mergeCell ref="AN32:AN33"/>
    <mergeCell ref="AO24:AO31"/>
    <mergeCell ref="AP24:AP31"/>
    <mergeCell ref="AO32:AO33"/>
    <mergeCell ref="AP32:AP33"/>
    <mergeCell ref="AN24:AN31"/>
    <mergeCell ref="AL24:AL31"/>
    <mergeCell ref="AM24:AM31"/>
    <mergeCell ref="AK24:AK31"/>
  </mergeCells>
  <phoneticPr fontId="5" type="noConversion"/>
  <dataValidations count="3">
    <dataValidation type="list" allowBlank="1" showInputMessage="1" showErrorMessage="1" sqref="B35:B59 F35:F59">
      <formula1>NPS</formula1>
    </dataValidation>
    <dataValidation type="list" allowBlank="1" showInputMessage="1" showErrorMessage="1" sqref="D35:D59 H35:H59">
      <formula1>SCH</formula1>
    </dataValidation>
    <dataValidation type="decimal" allowBlank="1" showInputMessage="1" showErrorMessage="1" error="Value shall be between 45 and 90 degrees (both inclusive)" sqref="J35:J59">
      <formula1>45</formula1>
      <formula2>90</formula2>
    </dataValidation>
  </dataValidations>
  <printOptions horizontalCentered="1"/>
  <pageMargins left="0.74803149606299213" right="0.39370078740157483" top="0.59055118110236227" bottom="0.43307086614173229" header="0.31496062992125984" footer="0.27559055118110237"/>
  <pageSetup paperSize="9" scale="73" orientation="portrait" r:id="rId1"/>
  <headerFooter alignWithMargins="0">
    <oddFooter xml:space="preserve">&amp;C
&amp;A / Page &amp;P of &amp;N&amp;R
</oddFooter>
  </headerFooter>
  <drawing r:id="rId2"/>
  <legacyDrawing r:id="rId3"/>
</worksheet>
</file>

<file path=xl/worksheets/sheet4.xml><?xml version="1.0" encoding="utf-8"?>
<worksheet xmlns="http://schemas.openxmlformats.org/spreadsheetml/2006/main" xmlns:r="http://schemas.openxmlformats.org/officeDocument/2006/relationships">
  <sheetPr>
    <pageSetUpPr fitToPage="1"/>
  </sheetPr>
  <dimension ref="A1:T162"/>
  <sheetViews>
    <sheetView view="pageBreakPreview" zoomScaleNormal="100" zoomScaleSheetLayoutView="100" workbookViewId="0">
      <pane ySplit="3" topLeftCell="A4" activePane="bottomLeft" state="frozen"/>
      <selection activeCell="B12" sqref="B12:G13"/>
      <selection pane="bottomLeft" activeCell="B12" sqref="B12:G13"/>
    </sheetView>
  </sheetViews>
  <sheetFormatPr defaultRowHeight="15"/>
  <cols>
    <col min="1" max="20" width="6.28515625" style="120" customWidth="1"/>
    <col min="21" max="16384" width="9.140625" style="120"/>
  </cols>
  <sheetData>
    <row r="1" spans="1:20" s="121" customFormat="1">
      <c r="A1" s="363" t="s">
        <v>168</v>
      </c>
      <c r="B1" s="363"/>
      <c r="C1" s="363"/>
      <c r="D1" s="363"/>
      <c r="E1" s="363"/>
      <c r="F1" s="363"/>
      <c r="G1" s="363"/>
      <c r="H1" s="363"/>
      <c r="I1" s="363"/>
      <c r="J1" s="363"/>
      <c r="K1" s="363"/>
      <c r="L1" s="363"/>
      <c r="M1" s="363"/>
      <c r="N1" s="363"/>
      <c r="O1" s="363"/>
      <c r="P1" s="363"/>
      <c r="Q1" s="363"/>
      <c r="R1" s="363"/>
      <c r="S1" s="363"/>
      <c r="T1" s="363"/>
    </row>
    <row r="2" spans="1:20" ht="15.75" thickBot="1">
      <c r="A2" s="122"/>
      <c r="B2" s="122"/>
    </row>
    <row r="3" spans="1:20">
      <c r="A3" s="123" t="s">
        <v>1</v>
      </c>
      <c r="B3" s="124" t="s">
        <v>70</v>
      </c>
      <c r="C3" s="125" t="s">
        <v>165</v>
      </c>
      <c r="D3" s="126" t="s">
        <v>72</v>
      </c>
      <c r="E3" s="126" t="s">
        <v>73</v>
      </c>
      <c r="F3" s="126" t="s">
        <v>74</v>
      </c>
      <c r="G3" s="126" t="s">
        <v>75</v>
      </c>
      <c r="H3" s="126" t="s">
        <v>76</v>
      </c>
      <c r="I3" s="126" t="s">
        <v>7</v>
      </c>
      <c r="J3" s="126" t="s">
        <v>77</v>
      </c>
      <c r="K3" s="126" t="s">
        <v>78</v>
      </c>
      <c r="L3" s="126" t="s">
        <v>79</v>
      </c>
      <c r="M3" s="126" t="s">
        <v>8</v>
      </c>
      <c r="N3" s="126" t="s">
        <v>80</v>
      </c>
      <c r="O3" s="126" t="s">
        <v>81</v>
      </c>
      <c r="P3" s="126" t="s">
        <v>82</v>
      </c>
      <c r="Q3" s="126" t="s">
        <v>83</v>
      </c>
      <c r="R3" s="126" t="s">
        <v>84</v>
      </c>
      <c r="S3" s="126" t="s">
        <v>85</v>
      </c>
      <c r="T3" s="127" t="s">
        <v>9</v>
      </c>
    </row>
    <row r="4" spans="1:20">
      <c r="A4" s="128">
        <v>0.5</v>
      </c>
      <c r="B4" s="129">
        <v>21.3</v>
      </c>
      <c r="C4" s="130">
        <v>1.65</v>
      </c>
      <c r="D4" s="131">
        <v>1.65</v>
      </c>
      <c r="E4" s="132">
        <v>2.11</v>
      </c>
      <c r="F4" s="131">
        <v>2.11</v>
      </c>
      <c r="G4" s="133" t="s">
        <v>166</v>
      </c>
      <c r="H4" s="132">
        <v>2.41</v>
      </c>
      <c r="I4" s="131">
        <v>2.77</v>
      </c>
      <c r="J4" s="131">
        <v>2.77</v>
      </c>
      <c r="K4" s="131">
        <v>2.77</v>
      </c>
      <c r="L4" s="133" t="s">
        <v>166</v>
      </c>
      <c r="M4" s="131">
        <v>3.73</v>
      </c>
      <c r="N4" s="131">
        <v>3.73</v>
      </c>
      <c r="O4" s="131">
        <v>3.73</v>
      </c>
      <c r="P4" s="133" t="s">
        <v>166</v>
      </c>
      <c r="Q4" s="133" t="s">
        <v>166</v>
      </c>
      <c r="R4" s="133" t="s">
        <v>166</v>
      </c>
      <c r="S4" s="131">
        <v>4.78</v>
      </c>
      <c r="T4" s="134">
        <v>7.47</v>
      </c>
    </row>
    <row r="5" spans="1:20">
      <c r="A5" s="135">
        <v>0.75</v>
      </c>
      <c r="B5" s="136">
        <v>26.7</v>
      </c>
      <c r="C5" s="137">
        <v>1.65</v>
      </c>
      <c r="D5" s="138">
        <v>1.65</v>
      </c>
      <c r="E5" s="139">
        <v>2.11</v>
      </c>
      <c r="F5" s="138">
        <v>2.11</v>
      </c>
      <c r="G5" s="140" t="s">
        <v>166</v>
      </c>
      <c r="H5" s="139">
        <v>2.41</v>
      </c>
      <c r="I5" s="138">
        <v>2.87</v>
      </c>
      <c r="J5" s="138">
        <v>2.87</v>
      </c>
      <c r="K5" s="138">
        <v>2.87</v>
      </c>
      <c r="L5" s="140" t="s">
        <v>166</v>
      </c>
      <c r="M5" s="138">
        <v>3.91</v>
      </c>
      <c r="N5" s="138">
        <v>3.91</v>
      </c>
      <c r="O5" s="138">
        <v>3.91</v>
      </c>
      <c r="P5" s="140" t="s">
        <v>166</v>
      </c>
      <c r="Q5" s="140" t="s">
        <v>166</v>
      </c>
      <c r="R5" s="140" t="s">
        <v>166</v>
      </c>
      <c r="S5" s="138">
        <v>5.56</v>
      </c>
      <c r="T5" s="141">
        <v>7.82</v>
      </c>
    </row>
    <row r="6" spans="1:20">
      <c r="A6" s="135">
        <v>1</v>
      </c>
      <c r="B6" s="136">
        <v>33.4</v>
      </c>
      <c r="C6" s="137">
        <v>1.65</v>
      </c>
      <c r="D6" s="138">
        <v>1.65</v>
      </c>
      <c r="E6" s="139">
        <v>2.77</v>
      </c>
      <c r="F6" s="138">
        <v>2.77</v>
      </c>
      <c r="G6" s="140" t="s">
        <v>166</v>
      </c>
      <c r="H6" s="139">
        <v>2.9</v>
      </c>
      <c r="I6" s="138">
        <v>3.38</v>
      </c>
      <c r="J6" s="138">
        <v>3.38</v>
      </c>
      <c r="K6" s="138">
        <v>3.38</v>
      </c>
      <c r="L6" s="140" t="s">
        <v>166</v>
      </c>
      <c r="M6" s="138">
        <v>4.55</v>
      </c>
      <c r="N6" s="138">
        <v>4.55</v>
      </c>
      <c r="O6" s="138">
        <v>4.55</v>
      </c>
      <c r="P6" s="140" t="s">
        <v>166</v>
      </c>
      <c r="Q6" s="140" t="s">
        <v>166</v>
      </c>
      <c r="R6" s="140" t="s">
        <v>166</v>
      </c>
      <c r="S6" s="138">
        <v>6.35</v>
      </c>
      <c r="T6" s="141">
        <v>9.09</v>
      </c>
    </row>
    <row r="7" spans="1:20">
      <c r="A7" s="135">
        <v>1.5</v>
      </c>
      <c r="B7" s="136">
        <v>48.3</v>
      </c>
      <c r="C7" s="137">
        <v>1.65</v>
      </c>
      <c r="D7" s="138">
        <v>1.65</v>
      </c>
      <c r="E7" s="139">
        <v>2.77</v>
      </c>
      <c r="F7" s="138">
        <v>2.77</v>
      </c>
      <c r="G7" s="140" t="s">
        <v>166</v>
      </c>
      <c r="H7" s="139">
        <v>3.18</v>
      </c>
      <c r="I7" s="138">
        <v>3.68</v>
      </c>
      <c r="J7" s="138">
        <v>3.68</v>
      </c>
      <c r="K7" s="138">
        <v>3.68</v>
      </c>
      <c r="L7" s="140" t="s">
        <v>166</v>
      </c>
      <c r="M7" s="138">
        <v>5.08</v>
      </c>
      <c r="N7" s="138">
        <v>5.08</v>
      </c>
      <c r="O7" s="138">
        <v>5.08</v>
      </c>
      <c r="P7" s="140" t="s">
        <v>166</v>
      </c>
      <c r="Q7" s="140" t="s">
        <v>166</v>
      </c>
      <c r="R7" s="140" t="s">
        <v>166</v>
      </c>
      <c r="S7" s="138">
        <v>7.14</v>
      </c>
      <c r="T7" s="141">
        <v>10.15</v>
      </c>
    </row>
    <row r="8" spans="1:20">
      <c r="A8" s="135">
        <v>2</v>
      </c>
      <c r="B8" s="136">
        <v>60.3</v>
      </c>
      <c r="C8" s="137">
        <v>1.65</v>
      </c>
      <c r="D8" s="138">
        <v>1.65</v>
      </c>
      <c r="E8" s="139">
        <v>2.77</v>
      </c>
      <c r="F8" s="138">
        <v>2.77</v>
      </c>
      <c r="G8" s="140" t="s">
        <v>166</v>
      </c>
      <c r="H8" s="139">
        <v>3.18</v>
      </c>
      <c r="I8" s="138">
        <v>3.91</v>
      </c>
      <c r="J8" s="138">
        <v>3.91</v>
      </c>
      <c r="K8" s="138">
        <v>3.91</v>
      </c>
      <c r="L8" s="140" t="s">
        <v>166</v>
      </c>
      <c r="M8" s="138">
        <v>5.54</v>
      </c>
      <c r="N8" s="138">
        <v>5.54</v>
      </c>
      <c r="O8" s="138">
        <v>5.54</v>
      </c>
      <c r="P8" s="140" t="s">
        <v>166</v>
      </c>
      <c r="Q8" s="140" t="s">
        <v>166</v>
      </c>
      <c r="R8" s="140" t="s">
        <v>166</v>
      </c>
      <c r="S8" s="138">
        <v>8.74</v>
      </c>
      <c r="T8" s="141">
        <v>11.07</v>
      </c>
    </row>
    <row r="9" spans="1:20">
      <c r="A9" s="135">
        <v>2.5</v>
      </c>
      <c r="B9" s="136">
        <v>73</v>
      </c>
      <c r="C9" s="137">
        <v>2.11</v>
      </c>
      <c r="D9" s="138">
        <v>2.11</v>
      </c>
      <c r="E9" s="139">
        <v>3.05</v>
      </c>
      <c r="F9" s="138">
        <v>3.05</v>
      </c>
      <c r="G9" s="140" t="s">
        <v>166</v>
      </c>
      <c r="H9" s="139">
        <v>4.78</v>
      </c>
      <c r="I9" s="138">
        <v>5.16</v>
      </c>
      <c r="J9" s="138">
        <v>5.16</v>
      </c>
      <c r="K9" s="138">
        <v>5.16</v>
      </c>
      <c r="L9" s="140" t="s">
        <v>166</v>
      </c>
      <c r="M9" s="138">
        <v>7.01</v>
      </c>
      <c r="N9" s="138">
        <v>7.01</v>
      </c>
      <c r="O9" s="138">
        <v>7.01</v>
      </c>
      <c r="P9" s="140" t="s">
        <v>166</v>
      </c>
      <c r="Q9" s="140" t="s">
        <v>166</v>
      </c>
      <c r="R9" s="140" t="s">
        <v>166</v>
      </c>
      <c r="S9" s="138">
        <v>9.5299999999999994</v>
      </c>
      <c r="T9" s="141">
        <v>14.02</v>
      </c>
    </row>
    <row r="10" spans="1:20">
      <c r="A10" s="135">
        <v>3</v>
      </c>
      <c r="B10" s="136">
        <v>88.9</v>
      </c>
      <c r="C10" s="137">
        <v>2.11</v>
      </c>
      <c r="D10" s="138">
        <v>2.11</v>
      </c>
      <c r="E10" s="139">
        <v>3.05</v>
      </c>
      <c r="F10" s="138">
        <v>3.05</v>
      </c>
      <c r="G10" s="140" t="s">
        <v>166</v>
      </c>
      <c r="H10" s="139">
        <v>4.78</v>
      </c>
      <c r="I10" s="138">
        <v>5.49</v>
      </c>
      <c r="J10" s="138">
        <v>5.49</v>
      </c>
      <c r="K10" s="138">
        <v>5.49</v>
      </c>
      <c r="L10" s="140" t="s">
        <v>166</v>
      </c>
      <c r="M10" s="138">
        <v>7.62</v>
      </c>
      <c r="N10" s="138">
        <v>7.62</v>
      </c>
      <c r="O10" s="138">
        <v>7.62</v>
      </c>
      <c r="P10" s="140" t="s">
        <v>166</v>
      </c>
      <c r="Q10" s="140" t="s">
        <v>166</v>
      </c>
      <c r="R10" s="140" t="s">
        <v>166</v>
      </c>
      <c r="S10" s="138">
        <v>11.13</v>
      </c>
      <c r="T10" s="141">
        <v>15.24</v>
      </c>
    </row>
    <row r="11" spans="1:20">
      <c r="A11" s="135">
        <v>4</v>
      </c>
      <c r="B11" s="136">
        <v>114.3</v>
      </c>
      <c r="C11" s="137">
        <v>2.11</v>
      </c>
      <c r="D11" s="138">
        <v>2.11</v>
      </c>
      <c r="E11" s="139">
        <v>3.05</v>
      </c>
      <c r="F11" s="138">
        <v>3.05</v>
      </c>
      <c r="G11" s="140" t="s">
        <v>166</v>
      </c>
      <c r="H11" s="139">
        <v>4.78</v>
      </c>
      <c r="I11" s="138">
        <v>6.02</v>
      </c>
      <c r="J11" s="138">
        <v>6.02</v>
      </c>
      <c r="K11" s="138">
        <v>6.02</v>
      </c>
      <c r="L11" s="140" t="s">
        <v>166</v>
      </c>
      <c r="M11" s="138">
        <v>8.56</v>
      </c>
      <c r="N11" s="138">
        <v>8.56</v>
      </c>
      <c r="O11" s="138">
        <v>8.56</v>
      </c>
      <c r="P11" s="140" t="s">
        <v>166</v>
      </c>
      <c r="Q11" s="138">
        <v>11.13</v>
      </c>
      <c r="R11" s="140" t="s">
        <v>166</v>
      </c>
      <c r="S11" s="138">
        <v>13.49</v>
      </c>
      <c r="T11" s="141">
        <v>17.12</v>
      </c>
    </row>
    <row r="12" spans="1:20">
      <c r="A12" s="135">
        <v>6</v>
      </c>
      <c r="B12" s="136">
        <v>168.3</v>
      </c>
      <c r="C12" s="137">
        <v>2.77</v>
      </c>
      <c r="D12" s="138">
        <v>2.77</v>
      </c>
      <c r="E12" s="139">
        <v>3.4</v>
      </c>
      <c r="F12" s="138">
        <v>3.4</v>
      </c>
      <c r="G12" s="140" t="s">
        <v>166</v>
      </c>
      <c r="H12" s="140" t="s">
        <v>166</v>
      </c>
      <c r="I12" s="138">
        <v>7.11</v>
      </c>
      <c r="J12" s="138">
        <v>7.11</v>
      </c>
      <c r="K12" s="138">
        <v>7.11</v>
      </c>
      <c r="L12" s="140" t="s">
        <v>166</v>
      </c>
      <c r="M12" s="138">
        <v>10.97</v>
      </c>
      <c r="N12" s="138">
        <v>10.97</v>
      </c>
      <c r="O12" s="138">
        <v>10.97</v>
      </c>
      <c r="P12" s="140" t="s">
        <v>166</v>
      </c>
      <c r="Q12" s="138">
        <v>14.27</v>
      </c>
      <c r="R12" s="140" t="s">
        <v>166</v>
      </c>
      <c r="S12" s="138">
        <v>18.260000000000002</v>
      </c>
      <c r="T12" s="141">
        <v>21.95</v>
      </c>
    </row>
    <row r="13" spans="1:20">
      <c r="A13" s="135">
        <v>8</v>
      </c>
      <c r="B13" s="136">
        <v>219.1</v>
      </c>
      <c r="C13" s="137">
        <v>2.77</v>
      </c>
      <c r="D13" s="138">
        <v>2.77</v>
      </c>
      <c r="E13" s="138">
        <v>3.76</v>
      </c>
      <c r="F13" s="138">
        <v>3.76</v>
      </c>
      <c r="G13" s="138">
        <v>6.35</v>
      </c>
      <c r="H13" s="138">
        <v>7.04</v>
      </c>
      <c r="I13" s="138">
        <v>8.18</v>
      </c>
      <c r="J13" s="138">
        <v>8.18</v>
      </c>
      <c r="K13" s="138">
        <v>8.18</v>
      </c>
      <c r="L13" s="138">
        <v>10.31</v>
      </c>
      <c r="M13" s="138">
        <v>12.7</v>
      </c>
      <c r="N13" s="138">
        <v>12.7</v>
      </c>
      <c r="O13" s="138">
        <v>12.7</v>
      </c>
      <c r="P13" s="138">
        <v>15.09</v>
      </c>
      <c r="Q13" s="138">
        <v>18.260000000000002</v>
      </c>
      <c r="R13" s="138">
        <v>20.62</v>
      </c>
      <c r="S13" s="138">
        <v>23.01</v>
      </c>
      <c r="T13" s="141">
        <v>22.23</v>
      </c>
    </row>
    <row r="14" spans="1:20">
      <c r="A14" s="135">
        <v>10</v>
      </c>
      <c r="B14" s="136">
        <v>273</v>
      </c>
      <c r="C14" s="137">
        <v>3.4</v>
      </c>
      <c r="D14" s="138">
        <v>3.4</v>
      </c>
      <c r="E14" s="138">
        <v>4.1900000000000004</v>
      </c>
      <c r="F14" s="138">
        <v>4.1900000000000004</v>
      </c>
      <c r="G14" s="138">
        <v>6.35</v>
      </c>
      <c r="H14" s="138">
        <v>7.8</v>
      </c>
      <c r="I14" s="138">
        <v>9.27</v>
      </c>
      <c r="J14" s="138">
        <v>9.27</v>
      </c>
      <c r="K14" s="138">
        <v>9.27</v>
      </c>
      <c r="L14" s="138">
        <v>12.7</v>
      </c>
      <c r="M14" s="138">
        <v>12.7</v>
      </c>
      <c r="N14" s="138">
        <v>15.09</v>
      </c>
      <c r="O14" s="138">
        <v>12.7</v>
      </c>
      <c r="P14" s="138">
        <v>18.260000000000002</v>
      </c>
      <c r="Q14" s="138">
        <v>21.44</v>
      </c>
      <c r="R14" s="138">
        <v>25.4</v>
      </c>
      <c r="S14" s="138">
        <v>28.58</v>
      </c>
      <c r="T14" s="141">
        <v>25.4</v>
      </c>
    </row>
    <row r="15" spans="1:20">
      <c r="A15" s="135">
        <v>12</v>
      </c>
      <c r="B15" s="136">
        <v>323.8</v>
      </c>
      <c r="C15" s="137">
        <v>3.96</v>
      </c>
      <c r="D15" s="138">
        <v>3.96</v>
      </c>
      <c r="E15" s="138">
        <v>4.57</v>
      </c>
      <c r="F15" s="138">
        <v>4.57</v>
      </c>
      <c r="G15" s="138">
        <v>6.35</v>
      </c>
      <c r="H15" s="138">
        <v>8.3800000000000008</v>
      </c>
      <c r="I15" s="138">
        <v>9.5299999999999994</v>
      </c>
      <c r="J15" s="138">
        <v>10.31</v>
      </c>
      <c r="K15" s="138">
        <v>9.5299999999999994</v>
      </c>
      <c r="L15" s="138">
        <v>14.27</v>
      </c>
      <c r="M15" s="138">
        <v>12.7</v>
      </c>
      <c r="N15" s="138">
        <v>17.48</v>
      </c>
      <c r="O15" s="138">
        <v>12.7</v>
      </c>
      <c r="P15" s="138">
        <v>21.44</v>
      </c>
      <c r="Q15" s="138">
        <v>25.4</v>
      </c>
      <c r="R15" s="138">
        <v>28.58</v>
      </c>
      <c r="S15" s="138">
        <v>33.32</v>
      </c>
      <c r="T15" s="141">
        <v>25.4</v>
      </c>
    </row>
    <row r="16" spans="1:20">
      <c r="A16" s="135">
        <v>14</v>
      </c>
      <c r="B16" s="136">
        <v>355.6</v>
      </c>
      <c r="C16" s="137">
        <v>3.96</v>
      </c>
      <c r="D16" s="138">
        <v>3.96</v>
      </c>
      <c r="E16" s="138">
        <v>6.35</v>
      </c>
      <c r="F16" s="138">
        <v>4.78</v>
      </c>
      <c r="G16" s="138">
        <v>7.92</v>
      </c>
      <c r="H16" s="138">
        <v>9.5299999999999994</v>
      </c>
      <c r="I16" s="138">
        <v>9.5299999999999994</v>
      </c>
      <c r="J16" s="138">
        <v>11.13</v>
      </c>
      <c r="K16" s="138">
        <v>9.5299999999999994</v>
      </c>
      <c r="L16" s="138">
        <v>15.09</v>
      </c>
      <c r="M16" s="138">
        <v>12.7</v>
      </c>
      <c r="N16" s="138">
        <v>19.05</v>
      </c>
      <c r="O16" s="138">
        <v>12.7</v>
      </c>
      <c r="P16" s="138">
        <v>23.83</v>
      </c>
      <c r="Q16" s="138">
        <v>27.79</v>
      </c>
      <c r="R16" s="138">
        <v>31.75</v>
      </c>
      <c r="S16" s="138">
        <v>35.71</v>
      </c>
      <c r="T16" s="142" t="s">
        <v>166</v>
      </c>
    </row>
    <row r="17" spans="1:20">
      <c r="A17" s="135">
        <v>16</v>
      </c>
      <c r="B17" s="136">
        <v>406.4</v>
      </c>
      <c r="C17" s="137">
        <v>4.1900000000000004</v>
      </c>
      <c r="D17" s="138">
        <v>4.1900000000000004</v>
      </c>
      <c r="E17" s="138">
        <v>6.35</v>
      </c>
      <c r="F17" s="138">
        <v>4.78</v>
      </c>
      <c r="G17" s="138">
        <v>7.92</v>
      </c>
      <c r="H17" s="138">
        <v>9.5299999999999994</v>
      </c>
      <c r="I17" s="138">
        <v>9.5299999999999994</v>
      </c>
      <c r="J17" s="138">
        <v>12.7</v>
      </c>
      <c r="K17" s="138">
        <v>9.5299999999999994</v>
      </c>
      <c r="L17" s="138">
        <v>16.66</v>
      </c>
      <c r="M17" s="138">
        <v>12.7</v>
      </c>
      <c r="N17" s="138">
        <v>21.44</v>
      </c>
      <c r="O17" s="138">
        <v>12.7</v>
      </c>
      <c r="P17" s="138">
        <v>26.19</v>
      </c>
      <c r="Q17" s="138">
        <v>30.96</v>
      </c>
      <c r="R17" s="138">
        <v>36.53</v>
      </c>
      <c r="S17" s="138">
        <v>40.49</v>
      </c>
      <c r="T17" s="142" t="s">
        <v>166</v>
      </c>
    </row>
    <row r="18" spans="1:20">
      <c r="A18" s="135">
        <v>18</v>
      </c>
      <c r="B18" s="136">
        <v>457</v>
      </c>
      <c r="C18" s="137">
        <v>4.1900000000000004</v>
      </c>
      <c r="D18" s="138">
        <v>4.1900000000000004</v>
      </c>
      <c r="E18" s="138">
        <v>6.35</v>
      </c>
      <c r="F18" s="138">
        <v>4.78</v>
      </c>
      <c r="G18" s="138">
        <v>7.92</v>
      </c>
      <c r="H18" s="138">
        <v>11.13</v>
      </c>
      <c r="I18" s="138">
        <v>9.5299999999999994</v>
      </c>
      <c r="J18" s="138">
        <v>14.27</v>
      </c>
      <c r="K18" s="138">
        <v>9.5299999999999994</v>
      </c>
      <c r="L18" s="138">
        <v>19.05</v>
      </c>
      <c r="M18" s="138">
        <v>12.7</v>
      </c>
      <c r="N18" s="138">
        <v>23.83</v>
      </c>
      <c r="O18" s="138">
        <v>12.7</v>
      </c>
      <c r="P18" s="138">
        <v>29.36</v>
      </c>
      <c r="Q18" s="138">
        <v>34.93</v>
      </c>
      <c r="R18" s="138">
        <v>39.67</v>
      </c>
      <c r="S18" s="138">
        <v>45.24</v>
      </c>
      <c r="T18" s="142" t="s">
        <v>166</v>
      </c>
    </row>
    <row r="19" spans="1:20">
      <c r="A19" s="135">
        <v>20</v>
      </c>
      <c r="B19" s="136">
        <v>508</v>
      </c>
      <c r="C19" s="137">
        <v>4.78</v>
      </c>
      <c r="D19" s="138">
        <v>4.78</v>
      </c>
      <c r="E19" s="138">
        <v>6.35</v>
      </c>
      <c r="F19" s="138">
        <v>5.54</v>
      </c>
      <c r="G19" s="138">
        <v>9.5299999999999994</v>
      </c>
      <c r="H19" s="138">
        <v>12.7</v>
      </c>
      <c r="I19" s="138">
        <v>9.5299999999999994</v>
      </c>
      <c r="J19" s="138">
        <v>15.09</v>
      </c>
      <c r="K19" s="138">
        <v>9.5299999999999994</v>
      </c>
      <c r="L19" s="138">
        <v>20.62</v>
      </c>
      <c r="M19" s="138">
        <v>12.7</v>
      </c>
      <c r="N19" s="138">
        <v>26.19</v>
      </c>
      <c r="O19" s="138">
        <v>12.7</v>
      </c>
      <c r="P19" s="138">
        <v>32.54</v>
      </c>
      <c r="Q19" s="138">
        <v>38.1</v>
      </c>
      <c r="R19" s="138">
        <v>44.45</v>
      </c>
      <c r="S19" s="138">
        <v>50.01</v>
      </c>
      <c r="T19" s="142" t="s">
        <v>166</v>
      </c>
    </row>
    <row r="20" spans="1:20">
      <c r="A20" s="135">
        <v>22</v>
      </c>
      <c r="B20" s="136">
        <v>559</v>
      </c>
      <c r="C20" s="137">
        <v>4.78</v>
      </c>
      <c r="D20" s="138">
        <v>4.78</v>
      </c>
      <c r="E20" s="138">
        <v>6.35</v>
      </c>
      <c r="F20" s="138">
        <v>5.54</v>
      </c>
      <c r="G20" s="138">
        <v>9.5299999999999994</v>
      </c>
      <c r="H20" s="138">
        <v>12.7</v>
      </c>
      <c r="I20" s="138">
        <v>9.5299999999999994</v>
      </c>
      <c r="J20" s="140" t="s">
        <v>166</v>
      </c>
      <c r="K20" s="140" t="s">
        <v>166</v>
      </c>
      <c r="L20" s="138">
        <v>22.23</v>
      </c>
      <c r="M20" s="138">
        <v>12.7</v>
      </c>
      <c r="N20" s="138">
        <v>28.58</v>
      </c>
      <c r="O20" s="140" t="s">
        <v>166</v>
      </c>
      <c r="P20" s="138">
        <v>34.93</v>
      </c>
      <c r="Q20" s="138">
        <v>41.28</v>
      </c>
      <c r="R20" s="138">
        <v>47.63</v>
      </c>
      <c r="S20" s="138">
        <v>53.98</v>
      </c>
      <c r="T20" s="142" t="s">
        <v>166</v>
      </c>
    </row>
    <row r="21" spans="1:20">
      <c r="A21" s="135">
        <v>24</v>
      </c>
      <c r="B21" s="136">
        <v>610</v>
      </c>
      <c r="C21" s="137">
        <v>5.54</v>
      </c>
      <c r="D21" s="138">
        <v>5.54</v>
      </c>
      <c r="E21" s="138">
        <v>6.35</v>
      </c>
      <c r="F21" s="138">
        <v>6.35</v>
      </c>
      <c r="G21" s="138">
        <v>9.5299999999999994</v>
      </c>
      <c r="H21" s="138">
        <v>14.27</v>
      </c>
      <c r="I21" s="138">
        <v>9.5299999999999994</v>
      </c>
      <c r="J21" s="138">
        <v>17.48</v>
      </c>
      <c r="K21" s="138">
        <v>9.5299999999999994</v>
      </c>
      <c r="L21" s="138">
        <v>24.61</v>
      </c>
      <c r="M21" s="138">
        <v>12.7</v>
      </c>
      <c r="N21" s="138">
        <v>30.96</v>
      </c>
      <c r="O21" s="138">
        <v>12.7</v>
      </c>
      <c r="P21" s="138">
        <v>38.89</v>
      </c>
      <c r="Q21" s="138">
        <v>46.02</v>
      </c>
      <c r="R21" s="138">
        <v>52.37</v>
      </c>
      <c r="S21" s="138">
        <v>59.54</v>
      </c>
      <c r="T21" s="142" t="s">
        <v>166</v>
      </c>
    </row>
    <row r="22" spans="1:20">
      <c r="A22" s="135">
        <v>26</v>
      </c>
      <c r="B22" s="136">
        <v>660</v>
      </c>
      <c r="C22" s="140" t="s">
        <v>166</v>
      </c>
      <c r="D22" s="140" t="s">
        <v>166</v>
      </c>
      <c r="E22" s="138">
        <v>7.92</v>
      </c>
      <c r="F22" s="140" t="s">
        <v>166</v>
      </c>
      <c r="G22" s="138">
        <v>12.7</v>
      </c>
      <c r="H22" s="140" t="s">
        <v>166</v>
      </c>
      <c r="I22" s="138">
        <v>9.5299999999999994</v>
      </c>
      <c r="J22" s="140" t="s">
        <v>166</v>
      </c>
      <c r="K22" s="140" t="s">
        <v>166</v>
      </c>
      <c r="L22" s="140" t="s">
        <v>166</v>
      </c>
      <c r="M22" s="138">
        <v>12.7</v>
      </c>
      <c r="N22" s="140" t="s">
        <v>166</v>
      </c>
      <c r="O22" s="140" t="s">
        <v>166</v>
      </c>
      <c r="P22" s="140" t="s">
        <v>166</v>
      </c>
      <c r="Q22" s="140" t="s">
        <v>166</v>
      </c>
      <c r="R22" s="140" t="s">
        <v>166</v>
      </c>
      <c r="S22" s="140" t="s">
        <v>166</v>
      </c>
      <c r="T22" s="142" t="s">
        <v>166</v>
      </c>
    </row>
    <row r="23" spans="1:20">
      <c r="A23" s="135">
        <v>28</v>
      </c>
      <c r="B23" s="136">
        <v>711</v>
      </c>
      <c r="C23" s="140" t="s">
        <v>166</v>
      </c>
      <c r="D23" s="140" t="s">
        <v>166</v>
      </c>
      <c r="E23" s="138">
        <v>7.92</v>
      </c>
      <c r="F23" s="140" t="s">
        <v>166</v>
      </c>
      <c r="G23" s="138">
        <v>12.7</v>
      </c>
      <c r="H23" s="138">
        <v>15.88</v>
      </c>
      <c r="I23" s="138">
        <v>9.5299999999999994</v>
      </c>
      <c r="J23" s="140" t="s">
        <v>166</v>
      </c>
      <c r="K23" s="140" t="s">
        <v>166</v>
      </c>
      <c r="L23" s="140" t="s">
        <v>166</v>
      </c>
      <c r="M23" s="138">
        <v>12.7</v>
      </c>
      <c r="N23" s="140" t="s">
        <v>166</v>
      </c>
      <c r="O23" s="140" t="s">
        <v>166</v>
      </c>
      <c r="P23" s="140" t="s">
        <v>166</v>
      </c>
      <c r="Q23" s="140" t="s">
        <v>166</v>
      </c>
      <c r="R23" s="140" t="s">
        <v>166</v>
      </c>
      <c r="S23" s="140" t="s">
        <v>166</v>
      </c>
      <c r="T23" s="142" t="s">
        <v>166</v>
      </c>
    </row>
    <row r="24" spans="1:20">
      <c r="A24" s="135">
        <v>30</v>
      </c>
      <c r="B24" s="136">
        <v>762</v>
      </c>
      <c r="C24" s="137">
        <v>6.35</v>
      </c>
      <c r="D24" s="138">
        <v>6.35</v>
      </c>
      <c r="E24" s="138">
        <v>7.92</v>
      </c>
      <c r="F24" s="138">
        <v>7.92</v>
      </c>
      <c r="G24" s="138">
        <v>12.7</v>
      </c>
      <c r="H24" s="138">
        <v>15.88</v>
      </c>
      <c r="I24" s="138">
        <v>9.5299999999999994</v>
      </c>
      <c r="J24" s="140" t="s">
        <v>166</v>
      </c>
      <c r="K24" s="140" t="s">
        <v>166</v>
      </c>
      <c r="L24" s="140" t="s">
        <v>166</v>
      </c>
      <c r="M24" s="138">
        <v>12.7</v>
      </c>
      <c r="N24" s="140" t="s">
        <v>166</v>
      </c>
      <c r="O24" s="140" t="s">
        <v>166</v>
      </c>
      <c r="P24" s="140" t="s">
        <v>166</v>
      </c>
      <c r="Q24" s="140" t="s">
        <v>166</v>
      </c>
      <c r="R24" s="140" t="s">
        <v>166</v>
      </c>
      <c r="S24" s="140" t="s">
        <v>166</v>
      </c>
      <c r="T24" s="142" t="s">
        <v>166</v>
      </c>
    </row>
    <row r="25" spans="1:20">
      <c r="A25" s="135">
        <v>32</v>
      </c>
      <c r="B25" s="136">
        <v>813</v>
      </c>
      <c r="C25" s="140" t="s">
        <v>166</v>
      </c>
      <c r="D25" s="140" t="s">
        <v>166</v>
      </c>
      <c r="E25" s="138">
        <v>7.92</v>
      </c>
      <c r="F25" s="140" t="s">
        <v>166</v>
      </c>
      <c r="G25" s="138">
        <v>12.7</v>
      </c>
      <c r="H25" s="138">
        <v>15.88</v>
      </c>
      <c r="I25" s="138">
        <v>9.5299999999999994</v>
      </c>
      <c r="J25" s="138">
        <v>17.48</v>
      </c>
      <c r="K25" s="140" t="s">
        <v>166</v>
      </c>
      <c r="L25" s="140" t="s">
        <v>166</v>
      </c>
      <c r="M25" s="138">
        <v>12.7</v>
      </c>
      <c r="N25" s="140" t="s">
        <v>166</v>
      </c>
      <c r="O25" s="140" t="s">
        <v>166</v>
      </c>
      <c r="P25" s="140" t="s">
        <v>166</v>
      </c>
      <c r="Q25" s="140" t="s">
        <v>166</v>
      </c>
      <c r="R25" s="140" t="s">
        <v>166</v>
      </c>
      <c r="S25" s="140" t="s">
        <v>166</v>
      </c>
      <c r="T25" s="142" t="s">
        <v>166</v>
      </c>
    </row>
    <row r="26" spans="1:20">
      <c r="A26" s="135">
        <v>34</v>
      </c>
      <c r="B26" s="136">
        <v>864</v>
      </c>
      <c r="C26" s="140" t="s">
        <v>166</v>
      </c>
      <c r="D26" s="140" t="s">
        <v>166</v>
      </c>
      <c r="E26" s="138">
        <v>7.92</v>
      </c>
      <c r="F26" s="140" t="s">
        <v>166</v>
      </c>
      <c r="G26" s="138">
        <v>12.7</v>
      </c>
      <c r="H26" s="138">
        <v>15.88</v>
      </c>
      <c r="I26" s="138">
        <v>9.5299999999999994</v>
      </c>
      <c r="J26" s="138">
        <v>17.48</v>
      </c>
      <c r="K26" s="140" t="s">
        <v>166</v>
      </c>
      <c r="L26" s="140" t="s">
        <v>166</v>
      </c>
      <c r="M26" s="138">
        <v>12.7</v>
      </c>
      <c r="N26" s="140" t="s">
        <v>166</v>
      </c>
      <c r="O26" s="140" t="s">
        <v>166</v>
      </c>
      <c r="P26" s="140" t="s">
        <v>166</v>
      </c>
      <c r="Q26" s="140" t="s">
        <v>166</v>
      </c>
      <c r="R26" s="140" t="s">
        <v>166</v>
      </c>
      <c r="S26" s="140" t="s">
        <v>166</v>
      </c>
      <c r="T26" s="142" t="s">
        <v>166</v>
      </c>
    </row>
    <row r="27" spans="1:20">
      <c r="A27" s="135">
        <v>36</v>
      </c>
      <c r="B27" s="136">
        <v>914</v>
      </c>
      <c r="C27" s="140" t="s">
        <v>166</v>
      </c>
      <c r="D27" s="140" t="s">
        <v>166</v>
      </c>
      <c r="E27" s="138">
        <v>7.92</v>
      </c>
      <c r="F27" s="140" t="s">
        <v>166</v>
      </c>
      <c r="G27" s="138">
        <v>12.7</v>
      </c>
      <c r="H27" s="138">
        <v>15.88</v>
      </c>
      <c r="I27" s="138">
        <v>9.5299999999999994</v>
      </c>
      <c r="J27" s="138">
        <v>19.05</v>
      </c>
      <c r="K27" s="140" t="s">
        <v>166</v>
      </c>
      <c r="L27" s="140" t="s">
        <v>166</v>
      </c>
      <c r="M27" s="138">
        <v>12.7</v>
      </c>
      <c r="N27" s="140" t="s">
        <v>166</v>
      </c>
      <c r="O27" s="140" t="s">
        <v>166</v>
      </c>
      <c r="P27" s="140" t="s">
        <v>166</v>
      </c>
      <c r="Q27" s="140" t="s">
        <v>166</v>
      </c>
      <c r="R27" s="140" t="s">
        <v>166</v>
      </c>
      <c r="S27" s="140" t="s">
        <v>166</v>
      </c>
      <c r="T27" s="142" t="s">
        <v>166</v>
      </c>
    </row>
    <row r="28" spans="1:20">
      <c r="A28" s="135">
        <v>38</v>
      </c>
      <c r="B28" s="136">
        <v>965</v>
      </c>
      <c r="C28" s="140" t="s">
        <v>166</v>
      </c>
      <c r="D28" s="140" t="s">
        <v>166</v>
      </c>
      <c r="E28" s="140" t="s">
        <v>166</v>
      </c>
      <c r="F28" s="140" t="s">
        <v>166</v>
      </c>
      <c r="G28" s="140" t="s">
        <v>166</v>
      </c>
      <c r="H28" s="140" t="s">
        <v>166</v>
      </c>
      <c r="I28" s="138">
        <v>9.5299999999999994</v>
      </c>
      <c r="J28" s="140" t="s">
        <v>166</v>
      </c>
      <c r="K28" s="140" t="s">
        <v>166</v>
      </c>
      <c r="L28" s="140" t="s">
        <v>166</v>
      </c>
      <c r="M28" s="138">
        <v>12.7</v>
      </c>
      <c r="N28" s="140" t="s">
        <v>166</v>
      </c>
      <c r="O28" s="140" t="s">
        <v>166</v>
      </c>
      <c r="P28" s="140" t="s">
        <v>166</v>
      </c>
      <c r="Q28" s="140" t="s">
        <v>166</v>
      </c>
      <c r="R28" s="140" t="s">
        <v>166</v>
      </c>
      <c r="S28" s="140" t="s">
        <v>166</v>
      </c>
      <c r="T28" s="142" t="s">
        <v>166</v>
      </c>
    </row>
    <row r="29" spans="1:20">
      <c r="A29" s="135">
        <v>40</v>
      </c>
      <c r="B29" s="136">
        <v>1016</v>
      </c>
      <c r="C29" s="140" t="s">
        <v>166</v>
      </c>
      <c r="D29" s="140" t="s">
        <v>166</v>
      </c>
      <c r="E29" s="140" t="s">
        <v>166</v>
      </c>
      <c r="F29" s="140" t="s">
        <v>166</v>
      </c>
      <c r="G29" s="140" t="s">
        <v>166</v>
      </c>
      <c r="H29" s="140" t="s">
        <v>166</v>
      </c>
      <c r="I29" s="138">
        <v>9.5299999999999994</v>
      </c>
      <c r="J29" s="140" t="s">
        <v>166</v>
      </c>
      <c r="K29" s="140" t="s">
        <v>166</v>
      </c>
      <c r="L29" s="140" t="s">
        <v>166</v>
      </c>
      <c r="M29" s="138">
        <v>12.7</v>
      </c>
      <c r="N29" s="140" t="s">
        <v>166</v>
      </c>
      <c r="O29" s="140" t="s">
        <v>166</v>
      </c>
      <c r="P29" s="140" t="s">
        <v>166</v>
      </c>
      <c r="Q29" s="140" t="s">
        <v>166</v>
      </c>
      <c r="R29" s="140" t="s">
        <v>166</v>
      </c>
      <c r="S29" s="140" t="s">
        <v>166</v>
      </c>
      <c r="T29" s="142" t="s">
        <v>166</v>
      </c>
    </row>
    <row r="30" spans="1:20">
      <c r="A30" s="135">
        <v>42</v>
      </c>
      <c r="B30" s="136">
        <v>1067</v>
      </c>
      <c r="C30" s="140" t="s">
        <v>166</v>
      </c>
      <c r="D30" s="140" t="s">
        <v>166</v>
      </c>
      <c r="E30" s="140" t="s">
        <v>166</v>
      </c>
      <c r="F30" s="140" t="s">
        <v>166</v>
      </c>
      <c r="G30" s="140" t="s">
        <v>166</v>
      </c>
      <c r="H30" s="140" t="s">
        <v>166</v>
      </c>
      <c r="I30" s="138">
        <v>9.5299999999999994</v>
      </c>
      <c r="J30" s="140" t="s">
        <v>166</v>
      </c>
      <c r="K30" s="140" t="s">
        <v>166</v>
      </c>
      <c r="L30" s="140" t="s">
        <v>166</v>
      </c>
      <c r="M30" s="138">
        <v>12.7</v>
      </c>
      <c r="N30" s="140" t="s">
        <v>166</v>
      </c>
      <c r="O30" s="140" t="s">
        <v>166</v>
      </c>
      <c r="P30" s="140" t="s">
        <v>166</v>
      </c>
      <c r="Q30" s="140" t="s">
        <v>166</v>
      </c>
      <c r="R30" s="140" t="s">
        <v>166</v>
      </c>
      <c r="S30" s="140" t="s">
        <v>166</v>
      </c>
      <c r="T30" s="142" t="s">
        <v>166</v>
      </c>
    </row>
    <row r="31" spans="1:20">
      <c r="A31" s="135">
        <v>44</v>
      </c>
      <c r="B31" s="136">
        <v>1118</v>
      </c>
      <c r="C31" s="140" t="s">
        <v>166</v>
      </c>
      <c r="D31" s="140" t="s">
        <v>166</v>
      </c>
      <c r="E31" s="140" t="s">
        <v>166</v>
      </c>
      <c r="F31" s="140" t="s">
        <v>166</v>
      </c>
      <c r="G31" s="140" t="s">
        <v>166</v>
      </c>
      <c r="H31" s="140" t="s">
        <v>166</v>
      </c>
      <c r="I31" s="138">
        <v>9.5299999999999994</v>
      </c>
      <c r="J31" s="140" t="s">
        <v>166</v>
      </c>
      <c r="K31" s="140" t="s">
        <v>166</v>
      </c>
      <c r="L31" s="140" t="s">
        <v>166</v>
      </c>
      <c r="M31" s="138">
        <v>12.7</v>
      </c>
      <c r="N31" s="140" t="s">
        <v>166</v>
      </c>
      <c r="O31" s="140" t="s">
        <v>166</v>
      </c>
      <c r="P31" s="140" t="s">
        <v>166</v>
      </c>
      <c r="Q31" s="140" t="s">
        <v>166</v>
      </c>
      <c r="R31" s="140" t="s">
        <v>166</v>
      </c>
      <c r="S31" s="140" t="s">
        <v>166</v>
      </c>
      <c r="T31" s="142" t="s">
        <v>166</v>
      </c>
    </row>
    <row r="32" spans="1:20">
      <c r="A32" s="135">
        <v>46</v>
      </c>
      <c r="B32" s="136">
        <v>1168</v>
      </c>
      <c r="C32" s="140" t="s">
        <v>166</v>
      </c>
      <c r="D32" s="140" t="s">
        <v>166</v>
      </c>
      <c r="E32" s="140" t="s">
        <v>166</v>
      </c>
      <c r="F32" s="140" t="s">
        <v>166</v>
      </c>
      <c r="G32" s="140" t="s">
        <v>166</v>
      </c>
      <c r="H32" s="140" t="s">
        <v>166</v>
      </c>
      <c r="I32" s="138">
        <v>9.5299999999999994</v>
      </c>
      <c r="J32" s="140" t="s">
        <v>166</v>
      </c>
      <c r="K32" s="140" t="s">
        <v>166</v>
      </c>
      <c r="L32" s="140" t="s">
        <v>166</v>
      </c>
      <c r="M32" s="138">
        <v>12.7</v>
      </c>
      <c r="N32" s="140" t="s">
        <v>166</v>
      </c>
      <c r="O32" s="140" t="s">
        <v>166</v>
      </c>
      <c r="P32" s="140" t="s">
        <v>166</v>
      </c>
      <c r="Q32" s="140" t="s">
        <v>166</v>
      </c>
      <c r="R32" s="140" t="s">
        <v>166</v>
      </c>
      <c r="S32" s="140" t="s">
        <v>166</v>
      </c>
      <c r="T32" s="142" t="s">
        <v>166</v>
      </c>
    </row>
    <row r="33" spans="1:20">
      <c r="A33" s="135">
        <v>48</v>
      </c>
      <c r="B33" s="136">
        <v>1219</v>
      </c>
      <c r="C33" s="140" t="s">
        <v>166</v>
      </c>
      <c r="D33" s="140" t="s">
        <v>166</v>
      </c>
      <c r="E33" s="140" t="s">
        <v>166</v>
      </c>
      <c r="F33" s="140" t="s">
        <v>166</v>
      </c>
      <c r="G33" s="140" t="s">
        <v>166</v>
      </c>
      <c r="H33" s="140" t="s">
        <v>166</v>
      </c>
      <c r="I33" s="138">
        <v>9.5299999999999994</v>
      </c>
      <c r="J33" s="140" t="s">
        <v>166</v>
      </c>
      <c r="K33" s="140" t="s">
        <v>166</v>
      </c>
      <c r="L33" s="140" t="s">
        <v>166</v>
      </c>
      <c r="M33" s="138">
        <v>12.7</v>
      </c>
      <c r="N33" s="140" t="s">
        <v>166</v>
      </c>
      <c r="O33" s="140" t="s">
        <v>166</v>
      </c>
      <c r="P33" s="140" t="s">
        <v>166</v>
      </c>
      <c r="Q33" s="140" t="s">
        <v>166</v>
      </c>
      <c r="R33" s="140" t="s">
        <v>166</v>
      </c>
      <c r="S33" s="140" t="s">
        <v>166</v>
      </c>
      <c r="T33" s="142" t="s">
        <v>166</v>
      </c>
    </row>
    <row r="34" spans="1:20">
      <c r="A34" s="135">
        <v>52</v>
      </c>
      <c r="B34" s="136">
        <v>1321</v>
      </c>
      <c r="C34" s="140" t="s">
        <v>166</v>
      </c>
      <c r="D34" s="140" t="s">
        <v>166</v>
      </c>
      <c r="E34" s="140" t="s">
        <v>166</v>
      </c>
      <c r="F34" s="140" t="s">
        <v>166</v>
      </c>
      <c r="G34" s="140" t="s">
        <v>166</v>
      </c>
      <c r="H34" s="140" t="s">
        <v>166</v>
      </c>
      <c r="I34" s="140" t="s">
        <v>166</v>
      </c>
      <c r="J34" s="140" t="s">
        <v>166</v>
      </c>
      <c r="K34" s="140" t="s">
        <v>166</v>
      </c>
      <c r="L34" s="140" t="s">
        <v>166</v>
      </c>
      <c r="M34" s="140" t="s">
        <v>166</v>
      </c>
      <c r="N34" s="140" t="s">
        <v>166</v>
      </c>
      <c r="O34" s="140" t="s">
        <v>166</v>
      </c>
      <c r="P34" s="140" t="s">
        <v>166</v>
      </c>
      <c r="Q34" s="140" t="s">
        <v>166</v>
      </c>
      <c r="R34" s="140" t="s">
        <v>166</v>
      </c>
      <c r="S34" s="140" t="s">
        <v>166</v>
      </c>
      <c r="T34" s="142" t="s">
        <v>166</v>
      </c>
    </row>
    <row r="35" spans="1:20">
      <c r="A35" s="135">
        <v>56</v>
      </c>
      <c r="B35" s="136">
        <v>1422</v>
      </c>
      <c r="C35" s="140" t="s">
        <v>166</v>
      </c>
      <c r="D35" s="140" t="s">
        <v>166</v>
      </c>
      <c r="E35" s="140" t="s">
        <v>166</v>
      </c>
      <c r="F35" s="140" t="s">
        <v>166</v>
      </c>
      <c r="G35" s="140" t="s">
        <v>166</v>
      </c>
      <c r="H35" s="140" t="s">
        <v>166</v>
      </c>
      <c r="I35" s="140" t="s">
        <v>166</v>
      </c>
      <c r="J35" s="140" t="s">
        <v>166</v>
      </c>
      <c r="K35" s="140" t="s">
        <v>166</v>
      </c>
      <c r="L35" s="140" t="s">
        <v>166</v>
      </c>
      <c r="M35" s="140" t="s">
        <v>166</v>
      </c>
      <c r="N35" s="140" t="s">
        <v>166</v>
      </c>
      <c r="O35" s="140" t="s">
        <v>166</v>
      </c>
      <c r="P35" s="140" t="s">
        <v>166</v>
      </c>
      <c r="Q35" s="140" t="s">
        <v>166</v>
      </c>
      <c r="R35" s="140" t="s">
        <v>166</v>
      </c>
      <c r="S35" s="140" t="s">
        <v>166</v>
      </c>
      <c r="T35" s="142" t="s">
        <v>166</v>
      </c>
    </row>
    <row r="36" spans="1:20">
      <c r="A36" s="135">
        <v>60</v>
      </c>
      <c r="B36" s="136">
        <v>1524</v>
      </c>
      <c r="C36" s="140" t="s">
        <v>166</v>
      </c>
      <c r="D36" s="140" t="s">
        <v>166</v>
      </c>
      <c r="E36" s="140" t="s">
        <v>166</v>
      </c>
      <c r="F36" s="140" t="s">
        <v>166</v>
      </c>
      <c r="G36" s="140" t="s">
        <v>166</v>
      </c>
      <c r="H36" s="140" t="s">
        <v>166</v>
      </c>
      <c r="I36" s="140" t="s">
        <v>166</v>
      </c>
      <c r="J36" s="140" t="s">
        <v>166</v>
      </c>
      <c r="K36" s="140" t="s">
        <v>166</v>
      </c>
      <c r="L36" s="140" t="s">
        <v>166</v>
      </c>
      <c r="M36" s="140" t="s">
        <v>166</v>
      </c>
      <c r="N36" s="140" t="s">
        <v>166</v>
      </c>
      <c r="O36" s="140" t="s">
        <v>166</v>
      </c>
      <c r="P36" s="140" t="s">
        <v>166</v>
      </c>
      <c r="Q36" s="140" t="s">
        <v>166</v>
      </c>
      <c r="R36" s="140" t="s">
        <v>166</v>
      </c>
      <c r="S36" s="140" t="s">
        <v>166</v>
      </c>
      <c r="T36" s="142" t="s">
        <v>166</v>
      </c>
    </row>
    <row r="37" spans="1:20">
      <c r="A37" s="135">
        <v>64</v>
      </c>
      <c r="B37" s="136">
        <v>1626</v>
      </c>
      <c r="C37" s="140" t="s">
        <v>166</v>
      </c>
      <c r="D37" s="140" t="s">
        <v>166</v>
      </c>
      <c r="E37" s="140" t="s">
        <v>166</v>
      </c>
      <c r="F37" s="140" t="s">
        <v>166</v>
      </c>
      <c r="G37" s="140" t="s">
        <v>166</v>
      </c>
      <c r="H37" s="140" t="s">
        <v>166</v>
      </c>
      <c r="I37" s="140" t="s">
        <v>166</v>
      </c>
      <c r="J37" s="140" t="s">
        <v>166</v>
      </c>
      <c r="K37" s="140" t="s">
        <v>166</v>
      </c>
      <c r="L37" s="140" t="s">
        <v>166</v>
      </c>
      <c r="M37" s="140" t="s">
        <v>166</v>
      </c>
      <c r="N37" s="140" t="s">
        <v>166</v>
      </c>
      <c r="O37" s="140" t="s">
        <v>166</v>
      </c>
      <c r="P37" s="140" t="s">
        <v>166</v>
      </c>
      <c r="Q37" s="140" t="s">
        <v>166</v>
      </c>
      <c r="R37" s="140" t="s">
        <v>166</v>
      </c>
      <c r="S37" s="140" t="s">
        <v>166</v>
      </c>
      <c r="T37" s="142" t="s">
        <v>166</v>
      </c>
    </row>
    <row r="38" spans="1:20">
      <c r="A38" s="135">
        <v>68</v>
      </c>
      <c r="B38" s="136">
        <v>1727</v>
      </c>
      <c r="C38" s="140" t="s">
        <v>166</v>
      </c>
      <c r="D38" s="140" t="s">
        <v>166</v>
      </c>
      <c r="E38" s="140" t="s">
        <v>166</v>
      </c>
      <c r="F38" s="140" t="s">
        <v>166</v>
      </c>
      <c r="G38" s="140" t="s">
        <v>166</v>
      </c>
      <c r="H38" s="140" t="s">
        <v>166</v>
      </c>
      <c r="I38" s="140" t="s">
        <v>166</v>
      </c>
      <c r="J38" s="140" t="s">
        <v>166</v>
      </c>
      <c r="K38" s="140" t="s">
        <v>166</v>
      </c>
      <c r="L38" s="140" t="s">
        <v>166</v>
      </c>
      <c r="M38" s="140" t="s">
        <v>166</v>
      </c>
      <c r="N38" s="140" t="s">
        <v>166</v>
      </c>
      <c r="O38" s="140" t="s">
        <v>166</v>
      </c>
      <c r="P38" s="140" t="s">
        <v>166</v>
      </c>
      <c r="Q38" s="140" t="s">
        <v>166</v>
      </c>
      <c r="R38" s="140" t="s">
        <v>166</v>
      </c>
      <c r="S38" s="140" t="s">
        <v>166</v>
      </c>
      <c r="T38" s="142" t="s">
        <v>166</v>
      </c>
    </row>
    <row r="39" spans="1:20">
      <c r="A39" s="135">
        <v>72</v>
      </c>
      <c r="B39" s="136">
        <v>1829</v>
      </c>
      <c r="C39" s="140" t="s">
        <v>166</v>
      </c>
      <c r="D39" s="140" t="s">
        <v>166</v>
      </c>
      <c r="E39" s="140" t="s">
        <v>166</v>
      </c>
      <c r="F39" s="140" t="s">
        <v>166</v>
      </c>
      <c r="G39" s="140" t="s">
        <v>166</v>
      </c>
      <c r="H39" s="140" t="s">
        <v>166</v>
      </c>
      <c r="I39" s="140" t="s">
        <v>166</v>
      </c>
      <c r="J39" s="140" t="s">
        <v>166</v>
      </c>
      <c r="K39" s="140" t="s">
        <v>166</v>
      </c>
      <c r="L39" s="140" t="s">
        <v>166</v>
      </c>
      <c r="M39" s="140" t="s">
        <v>166</v>
      </c>
      <c r="N39" s="140" t="s">
        <v>166</v>
      </c>
      <c r="O39" s="140" t="s">
        <v>166</v>
      </c>
      <c r="P39" s="140" t="s">
        <v>166</v>
      </c>
      <c r="Q39" s="140" t="s">
        <v>166</v>
      </c>
      <c r="R39" s="140" t="s">
        <v>166</v>
      </c>
      <c r="S39" s="140" t="s">
        <v>166</v>
      </c>
      <c r="T39" s="142" t="s">
        <v>166</v>
      </c>
    </row>
    <row r="40" spans="1:20">
      <c r="A40" s="135">
        <v>76</v>
      </c>
      <c r="B40" s="136">
        <v>1930</v>
      </c>
      <c r="C40" s="140" t="s">
        <v>166</v>
      </c>
      <c r="D40" s="140" t="s">
        <v>166</v>
      </c>
      <c r="E40" s="140" t="s">
        <v>166</v>
      </c>
      <c r="F40" s="140" t="s">
        <v>166</v>
      </c>
      <c r="G40" s="140" t="s">
        <v>166</v>
      </c>
      <c r="H40" s="140" t="s">
        <v>166</v>
      </c>
      <c r="I40" s="140" t="s">
        <v>166</v>
      </c>
      <c r="J40" s="140" t="s">
        <v>166</v>
      </c>
      <c r="K40" s="140" t="s">
        <v>166</v>
      </c>
      <c r="L40" s="140" t="s">
        <v>166</v>
      </c>
      <c r="M40" s="140" t="s">
        <v>166</v>
      </c>
      <c r="N40" s="140" t="s">
        <v>166</v>
      </c>
      <c r="O40" s="140" t="s">
        <v>166</v>
      </c>
      <c r="P40" s="140" t="s">
        <v>166</v>
      </c>
      <c r="Q40" s="140" t="s">
        <v>166</v>
      </c>
      <c r="R40" s="140" t="s">
        <v>166</v>
      </c>
      <c r="S40" s="140" t="s">
        <v>166</v>
      </c>
      <c r="T40" s="142" t="s">
        <v>166</v>
      </c>
    </row>
    <row r="41" spans="1:20" ht="15.75" thickBot="1">
      <c r="A41" s="143">
        <v>80</v>
      </c>
      <c r="B41" s="144">
        <v>2032</v>
      </c>
      <c r="C41" s="145" t="s">
        <v>166</v>
      </c>
      <c r="D41" s="146" t="s">
        <v>166</v>
      </c>
      <c r="E41" s="146" t="s">
        <v>166</v>
      </c>
      <c r="F41" s="146" t="s">
        <v>166</v>
      </c>
      <c r="G41" s="146" t="s">
        <v>166</v>
      </c>
      <c r="H41" s="146" t="s">
        <v>166</v>
      </c>
      <c r="I41" s="146" t="s">
        <v>166</v>
      </c>
      <c r="J41" s="146" t="s">
        <v>166</v>
      </c>
      <c r="K41" s="146" t="s">
        <v>166</v>
      </c>
      <c r="L41" s="146" t="s">
        <v>166</v>
      </c>
      <c r="M41" s="146" t="s">
        <v>166</v>
      </c>
      <c r="N41" s="146" t="s">
        <v>166</v>
      </c>
      <c r="O41" s="146" t="s">
        <v>166</v>
      </c>
      <c r="P41" s="146" t="s">
        <v>166</v>
      </c>
      <c r="Q41" s="146" t="s">
        <v>166</v>
      </c>
      <c r="R41" s="146" t="s">
        <v>166</v>
      </c>
      <c r="S41" s="146" t="s">
        <v>166</v>
      </c>
      <c r="T41" s="147" t="s">
        <v>166</v>
      </c>
    </row>
    <row r="43" spans="1:20">
      <c r="A43" s="148" t="s">
        <v>96</v>
      </c>
    </row>
    <row r="44" spans="1:20">
      <c r="A44" s="47" t="s">
        <v>7</v>
      </c>
      <c r="B44" s="47"/>
      <c r="C44" s="149"/>
      <c r="D44" s="149"/>
      <c r="E44" s="150"/>
      <c r="F44" s="150"/>
      <c r="G44" s="150"/>
      <c r="H44" s="150"/>
      <c r="I44" s="150"/>
    </row>
    <row r="45" spans="1:20">
      <c r="A45" s="47" t="s">
        <v>8</v>
      </c>
      <c r="B45" s="47"/>
      <c r="C45" s="149"/>
      <c r="D45" s="149"/>
      <c r="E45" s="150"/>
      <c r="F45" s="150"/>
      <c r="G45" s="150"/>
      <c r="H45" s="150"/>
      <c r="I45" s="150"/>
    </row>
    <row r="46" spans="1:20">
      <c r="A46" s="47" t="s">
        <v>9</v>
      </c>
      <c r="B46" s="47"/>
      <c r="C46" s="149"/>
      <c r="D46" s="149"/>
      <c r="E46" s="150"/>
      <c r="F46" s="150"/>
      <c r="G46" s="150"/>
      <c r="H46" s="150"/>
      <c r="I46" s="150"/>
    </row>
    <row r="47" spans="1:20">
      <c r="A47" s="47" t="s">
        <v>165</v>
      </c>
      <c r="B47" s="47"/>
      <c r="C47" s="149"/>
      <c r="D47" s="149"/>
      <c r="E47" s="150"/>
      <c r="F47" s="150"/>
      <c r="G47" s="150"/>
      <c r="H47" s="150"/>
      <c r="I47" s="150"/>
    </row>
    <row r="48" spans="1:20">
      <c r="A48" s="47" t="s">
        <v>73</v>
      </c>
      <c r="B48" s="47"/>
      <c r="C48" s="149"/>
      <c r="D48" s="149"/>
      <c r="E48" s="150"/>
      <c r="F48" s="150"/>
      <c r="G48" s="150"/>
      <c r="H48" s="150"/>
      <c r="I48" s="150"/>
    </row>
    <row r="49" spans="1:9">
      <c r="A49" s="47" t="s">
        <v>75</v>
      </c>
      <c r="B49" s="47"/>
      <c r="C49" s="149"/>
      <c r="D49" s="149"/>
      <c r="E49" s="150"/>
      <c r="F49" s="150"/>
      <c r="G49" s="150"/>
      <c r="H49" s="150"/>
      <c r="I49" s="150"/>
    </row>
    <row r="50" spans="1:9">
      <c r="A50" s="47" t="s">
        <v>76</v>
      </c>
      <c r="B50" s="47"/>
      <c r="C50" s="149"/>
      <c r="D50" s="149"/>
      <c r="E50" s="150"/>
      <c r="F50" s="150"/>
      <c r="G50" s="150"/>
      <c r="H50" s="150"/>
      <c r="I50" s="150"/>
    </row>
    <row r="51" spans="1:9">
      <c r="A51" s="47" t="s">
        <v>77</v>
      </c>
      <c r="B51" s="47"/>
      <c r="C51" s="149"/>
      <c r="D51" s="149"/>
      <c r="E51" s="150"/>
      <c r="F51" s="150"/>
      <c r="G51" s="150"/>
      <c r="H51" s="150"/>
      <c r="I51" s="150"/>
    </row>
    <row r="52" spans="1:9">
      <c r="A52" s="47" t="s">
        <v>79</v>
      </c>
      <c r="B52" s="47"/>
      <c r="C52" s="149"/>
      <c r="D52" s="149"/>
      <c r="E52" s="150"/>
      <c r="F52" s="150"/>
      <c r="G52" s="150"/>
      <c r="H52" s="150"/>
      <c r="I52" s="150"/>
    </row>
    <row r="53" spans="1:9">
      <c r="A53" s="47" t="s">
        <v>80</v>
      </c>
      <c r="B53" s="47"/>
      <c r="C53" s="149"/>
      <c r="D53" s="149"/>
      <c r="E53" s="150"/>
      <c r="F53" s="150"/>
      <c r="G53" s="150"/>
      <c r="H53" s="150"/>
      <c r="I53" s="150"/>
    </row>
    <row r="54" spans="1:9">
      <c r="A54" s="47" t="s">
        <v>82</v>
      </c>
      <c r="B54" s="47"/>
      <c r="C54" s="149"/>
      <c r="D54" s="149"/>
      <c r="E54" s="150"/>
      <c r="F54" s="150"/>
      <c r="G54" s="150"/>
      <c r="H54" s="150"/>
      <c r="I54" s="150"/>
    </row>
    <row r="55" spans="1:9">
      <c r="A55" s="47" t="s">
        <v>83</v>
      </c>
      <c r="B55" s="47"/>
      <c r="C55" s="149"/>
      <c r="D55" s="149"/>
      <c r="E55" s="150"/>
      <c r="F55" s="150"/>
      <c r="G55" s="150"/>
      <c r="H55" s="150"/>
      <c r="I55" s="150"/>
    </row>
    <row r="56" spans="1:9">
      <c r="A56" s="47" t="s">
        <v>84</v>
      </c>
      <c r="B56" s="47"/>
      <c r="C56" s="149"/>
      <c r="D56" s="149"/>
      <c r="E56" s="150"/>
      <c r="F56" s="150"/>
      <c r="G56" s="150"/>
      <c r="H56" s="150"/>
      <c r="I56" s="150"/>
    </row>
    <row r="57" spans="1:9">
      <c r="A57" s="47" t="s">
        <v>85</v>
      </c>
      <c r="B57" s="47"/>
      <c r="C57" s="149"/>
      <c r="D57" s="149"/>
      <c r="E57" s="150"/>
      <c r="F57" s="150"/>
      <c r="G57" s="150"/>
      <c r="H57" s="150"/>
      <c r="I57" s="150"/>
    </row>
    <row r="58" spans="1:9">
      <c r="A58" s="47" t="s">
        <v>72</v>
      </c>
      <c r="B58" s="47"/>
      <c r="C58" s="149"/>
      <c r="D58" s="149"/>
      <c r="E58" s="150"/>
      <c r="F58" s="150"/>
      <c r="G58" s="150"/>
      <c r="H58" s="150"/>
      <c r="I58" s="150"/>
    </row>
    <row r="59" spans="1:9">
      <c r="A59" s="47" t="s">
        <v>74</v>
      </c>
      <c r="B59" s="47"/>
      <c r="C59" s="149"/>
      <c r="D59" s="149"/>
      <c r="E59" s="150"/>
      <c r="F59" s="150"/>
      <c r="G59" s="150"/>
      <c r="H59" s="150"/>
      <c r="I59" s="150"/>
    </row>
    <row r="60" spans="1:9">
      <c r="A60" s="47" t="s">
        <v>78</v>
      </c>
      <c r="B60" s="47"/>
      <c r="C60" s="149"/>
      <c r="D60" s="149"/>
      <c r="E60" s="150"/>
      <c r="F60" s="150"/>
      <c r="G60" s="150"/>
      <c r="H60" s="150"/>
      <c r="I60" s="150"/>
    </row>
    <row r="61" spans="1:9">
      <c r="A61" s="47" t="s">
        <v>81</v>
      </c>
      <c r="B61" s="47"/>
      <c r="C61" s="149"/>
      <c r="D61" s="149"/>
      <c r="E61" s="150"/>
      <c r="F61" s="150"/>
      <c r="G61" s="150"/>
      <c r="H61" s="150"/>
      <c r="I61" s="150"/>
    </row>
    <row r="62" spans="1:9">
      <c r="A62" s="151">
        <v>1.65</v>
      </c>
      <c r="B62" s="47"/>
      <c r="C62" s="149"/>
      <c r="D62" s="149"/>
      <c r="E62" s="150"/>
      <c r="F62" s="150"/>
      <c r="G62" s="150"/>
      <c r="H62" s="150"/>
      <c r="I62" s="150"/>
    </row>
    <row r="63" spans="1:9">
      <c r="A63" s="151">
        <v>2.11</v>
      </c>
      <c r="B63" s="47"/>
      <c r="C63" s="47"/>
      <c r="D63" s="47"/>
    </row>
    <row r="64" spans="1:9">
      <c r="A64" s="151">
        <v>2.41</v>
      </c>
      <c r="B64" s="47"/>
      <c r="C64" s="47"/>
      <c r="D64" s="47"/>
    </row>
    <row r="65" spans="1:4">
      <c r="A65" s="151">
        <v>2.77</v>
      </c>
      <c r="B65" s="47"/>
      <c r="C65" s="47"/>
      <c r="D65" s="47"/>
    </row>
    <row r="66" spans="1:4">
      <c r="A66" s="151">
        <v>2.87</v>
      </c>
      <c r="B66" s="47"/>
      <c r="C66" s="47"/>
      <c r="D66" s="47"/>
    </row>
    <row r="67" spans="1:4">
      <c r="A67" s="151">
        <v>2.9</v>
      </c>
      <c r="B67" s="47"/>
      <c r="C67" s="47"/>
      <c r="D67" s="47"/>
    </row>
    <row r="68" spans="1:4">
      <c r="A68" s="151">
        <v>3.05</v>
      </c>
      <c r="B68" s="47"/>
      <c r="C68" s="47"/>
      <c r="D68" s="47"/>
    </row>
    <row r="69" spans="1:4">
      <c r="A69" s="151">
        <v>3.18</v>
      </c>
      <c r="B69" s="47"/>
      <c r="C69" s="47"/>
      <c r="D69" s="47"/>
    </row>
    <row r="70" spans="1:4">
      <c r="A70" s="151">
        <v>3.38</v>
      </c>
      <c r="B70" s="47"/>
      <c r="C70" s="47"/>
      <c r="D70" s="47"/>
    </row>
    <row r="71" spans="1:4">
      <c r="A71" s="151">
        <v>3.4</v>
      </c>
      <c r="B71" s="47"/>
      <c r="C71" s="47"/>
      <c r="D71" s="47"/>
    </row>
    <row r="72" spans="1:4">
      <c r="A72" s="151">
        <v>3.58</v>
      </c>
      <c r="B72" s="47"/>
      <c r="C72" s="47"/>
      <c r="D72" s="47"/>
    </row>
    <row r="73" spans="1:4">
      <c r="A73" s="151">
        <v>3.68</v>
      </c>
      <c r="B73" s="47"/>
      <c r="C73" s="47"/>
      <c r="D73" s="47"/>
    </row>
    <row r="74" spans="1:4">
      <c r="A74" s="151">
        <v>3.73</v>
      </c>
      <c r="B74" s="47"/>
      <c r="C74" s="47"/>
      <c r="D74" s="47"/>
    </row>
    <row r="75" spans="1:4">
      <c r="A75" s="151">
        <v>3.76</v>
      </c>
      <c r="B75" s="47"/>
      <c r="C75" s="47"/>
      <c r="D75" s="47"/>
    </row>
    <row r="76" spans="1:4">
      <c r="A76" s="151">
        <v>3.91</v>
      </c>
      <c r="B76" s="47"/>
      <c r="C76" s="47"/>
      <c r="D76" s="47"/>
    </row>
    <row r="77" spans="1:4">
      <c r="A77" s="151">
        <v>3.96</v>
      </c>
      <c r="B77" s="47"/>
      <c r="C77" s="47"/>
      <c r="D77" s="47"/>
    </row>
    <row r="78" spans="1:4">
      <c r="A78" s="151">
        <v>4.1900000000000004</v>
      </c>
      <c r="B78" s="47"/>
      <c r="C78" s="47"/>
      <c r="D78" s="47"/>
    </row>
    <row r="79" spans="1:4">
      <c r="A79" s="151">
        <v>4.37</v>
      </c>
      <c r="B79" s="47"/>
      <c r="C79" s="47"/>
      <c r="D79" s="47"/>
    </row>
    <row r="80" spans="1:4">
      <c r="A80" s="151">
        <v>4.55</v>
      </c>
      <c r="B80" s="47"/>
      <c r="C80" s="47"/>
      <c r="D80" s="47"/>
    </row>
    <row r="81" spans="1:4">
      <c r="A81" s="151">
        <v>4.57</v>
      </c>
      <c r="B81" s="47"/>
      <c r="C81" s="47"/>
      <c r="D81" s="47"/>
    </row>
    <row r="82" spans="1:4">
      <c r="A82" s="151">
        <v>4.78</v>
      </c>
      <c r="B82" s="47"/>
      <c r="C82" s="47"/>
      <c r="D82" s="47"/>
    </row>
    <row r="83" spans="1:4">
      <c r="A83" s="151">
        <v>5.08</v>
      </c>
      <c r="B83" s="47"/>
      <c r="C83" s="47"/>
      <c r="D83" s="47"/>
    </row>
    <row r="84" spans="1:4">
      <c r="A84" s="151">
        <v>5.16</v>
      </c>
      <c r="B84" s="47"/>
      <c r="C84" s="47"/>
      <c r="D84" s="47"/>
    </row>
    <row r="85" spans="1:4">
      <c r="A85" s="151">
        <v>5.33</v>
      </c>
      <c r="B85" s="47"/>
      <c r="C85" s="47"/>
      <c r="D85" s="47"/>
    </row>
    <row r="86" spans="1:4">
      <c r="A86" s="151">
        <v>5.49</v>
      </c>
      <c r="B86" s="47"/>
      <c r="C86" s="47"/>
      <c r="D86" s="47"/>
    </row>
    <row r="87" spans="1:4">
      <c r="A87" s="151">
        <v>5.54</v>
      </c>
      <c r="B87" s="47"/>
      <c r="C87" s="47"/>
      <c r="D87" s="47"/>
    </row>
    <row r="88" spans="1:4">
      <c r="A88" s="151">
        <v>5.56</v>
      </c>
      <c r="B88" s="47"/>
      <c r="C88" s="47"/>
      <c r="D88" s="47"/>
    </row>
    <row r="89" spans="1:4">
      <c r="A89" s="151">
        <v>6.02</v>
      </c>
      <c r="B89" s="47"/>
      <c r="C89" s="47"/>
      <c r="D89" s="47"/>
    </row>
    <row r="90" spans="1:4">
      <c r="A90" s="151">
        <v>6.35</v>
      </c>
      <c r="B90" s="47"/>
      <c r="C90" s="47"/>
      <c r="D90" s="47"/>
    </row>
    <row r="91" spans="1:4">
      <c r="A91" s="151">
        <v>7.01</v>
      </c>
      <c r="B91" s="47"/>
      <c r="C91" s="47"/>
      <c r="D91" s="47"/>
    </row>
    <row r="92" spans="1:4">
      <c r="A92" s="151">
        <v>7.04</v>
      </c>
      <c r="B92" s="47"/>
      <c r="C92" s="47"/>
      <c r="D92" s="47"/>
    </row>
    <row r="93" spans="1:4">
      <c r="A93" s="151">
        <v>7.09</v>
      </c>
      <c r="B93" s="47"/>
      <c r="C93" s="47"/>
      <c r="D93" s="47"/>
    </row>
    <row r="94" spans="1:4">
      <c r="A94" s="151">
        <v>7.11</v>
      </c>
      <c r="B94" s="47"/>
      <c r="C94" s="47"/>
      <c r="D94" s="47"/>
    </row>
    <row r="95" spans="1:4">
      <c r="A95" s="151">
        <v>7.14</v>
      </c>
      <c r="B95" s="47"/>
      <c r="C95" s="47"/>
      <c r="D95" s="47"/>
    </row>
    <row r="96" spans="1:4">
      <c r="A96" s="151">
        <v>7.47</v>
      </c>
      <c r="B96" s="47"/>
      <c r="C96" s="47"/>
      <c r="D96" s="47"/>
    </row>
    <row r="97" spans="1:4">
      <c r="A97" s="151">
        <v>7.62</v>
      </c>
      <c r="B97" s="47"/>
      <c r="C97" s="47"/>
      <c r="D97" s="47"/>
    </row>
    <row r="98" spans="1:4">
      <c r="A98" s="151">
        <v>7.8</v>
      </c>
      <c r="B98" s="47"/>
      <c r="C98" s="47"/>
      <c r="D98" s="47"/>
    </row>
    <row r="99" spans="1:4">
      <c r="A99" s="151">
        <v>7.82</v>
      </c>
      <c r="B99" s="47"/>
      <c r="C99" s="47"/>
      <c r="D99" s="47"/>
    </row>
    <row r="100" spans="1:4">
      <c r="A100" s="151">
        <v>7.92</v>
      </c>
      <c r="B100" s="47"/>
      <c r="C100" s="47"/>
      <c r="D100" s="47"/>
    </row>
    <row r="101" spans="1:4">
      <c r="A101" s="151">
        <v>8.18</v>
      </c>
      <c r="B101" s="47"/>
      <c r="C101" s="47"/>
      <c r="D101" s="47"/>
    </row>
    <row r="102" spans="1:4">
      <c r="A102" s="151">
        <v>8.3800000000000008</v>
      </c>
      <c r="B102" s="47"/>
      <c r="C102" s="47"/>
      <c r="D102" s="47"/>
    </row>
    <row r="103" spans="1:4">
      <c r="A103" s="151">
        <v>8.56</v>
      </c>
      <c r="B103" s="47"/>
      <c r="C103" s="47"/>
      <c r="D103" s="47"/>
    </row>
    <row r="104" spans="1:4">
      <c r="A104" s="151">
        <v>8.74</v>
      </c>
      <c r="B104" s="47"/>
      <c r="C104" s="47"/>
      <c r="D104" s="47"/>
    </row>
    <row r="105" spans="1:4">
      <c r="A105" s="151">
        <v>9.09</v>
      </c>
      <c r="B105" s="47"/>
      <c r="C105" s="47"/>
      <c r="D105" s="47"/>
    </row>
    <row r="106" spans="1:4">
      <c r="A106" s="151">
        <v>9.27</v>
      </c>
      <c r="B106" s="47"/>
      <c r="C106" s="47"/>
      <c r="D106" s="47"/>
    </row>
    <row r="107" spans="1:4">
      <c r="A107" s="151">
        <v>9.5299999999999994</v>
      </c>
      <c r="B107" s="47"/>
      <c r="C107" s="47"/>
      <c r="D107" s="47"/>
    </row>
    <row r="108" spans="1:4">
      <c r="A108" s="151">
        <v>10.15</v>
      </c>
      <c r="B108" s="47"/>
      <c r="C108" s="47"/>
      <c r="D108" s="47"/>
    </row>
    <row r="109" spans="1:4">
      <c r="A109" s="151">
        <v>10.31</v>
      </c>
      <c r="B109" s="47"/>
      <c r="C109" s="47"/>
      <c r="D109" s="47"/>
    </row>
    <row r="110" spans="1:4">
      <c r="A110" s="151">
        <v>10.97</v>
      </c>
      <c r="B110" s="47"/>
      <c r="C110" s="47"/>
      <c r="D110" s="47"/>
    </row>
    <row r="111" spans="1:4">
      <c r="A111" s="151">
        <v>11.07</v>
      </c>
      <c r="B111" s="47"/>
      <c r="C111" s="47"/>
      <c r="D111" s="47"/>
    </row>
    <row r="112" spans="1:4">
      <c r="A112" s="151">
        <v>11.13</v>
      </c>
      <c r="B112" s="47"/>
      <c r="C112" s="47"/>
      <c r="D112" s="47"/>
    </row>
    <row r="113" spans="1:4">
      <c r="A113" s="151">
        <v>11.91</v>
      </c>
      <c r="B113" s="47"/>
      <c r="C113" s="47"/>
      <c r="D113" s="47"/>
    </row>
    <row r="114" spans="1:4">
      <c r="A114" s="151">
        <v>12.7</v>
      </c>
      <c r="B114" s="47"/>
      <c r="C114" s="47"/>
      <c r="D114" s="47"/>
    </row>
    <row r="115" spans="1:4">
      <c r="A115" s="151">
        <v>13.49</v>
      </c>
      <c r="B115" s="47"/>
      <c r="C115" s="47"/>
      <c r="D115" s="47"/>
    </row>
    <row r="116" spans="1:4">
      <c r="A116" s="151">
        <v>14.02</v>
      </c>
      <c r="B116" s="47"/>
      <c r="C116" s="47"/>
      <c r="D116" s="47"/>
    </row>
    <row r="117" spans="1:4">
      <c r="A117" s="151">
        <v>14.27</v>
      </c>
      <c r="B117" s="47"/>
      <c r="C117" s="47"/>
      <c r="D117" s="47"/>
    </row>
    <row r="118" spans="1:4">
      <c r="A118" s="151">
        <v>15.09</v>
      </c>
      <c r="B118" s="47"/>
      <c r="C118" s="47"/>
      <c r="D118" s="47"/>
    </row>
    <row r="119" spans="1:4">
      <c r="A119" s="151">
        <v>15.24</v>
      </c>
      <c r="B119" s="47"/>
      <c r="C119" s="47"/>
      <c r="D119" s="47"/>
    </row>
    <row r="120" spans="1:4">
      <c r="A120" s="151">
        <v>15.88</v>
      </c>
      <c r="B120" s="47"/>
      <c r="C120" s="47"/>
      <c r="D120" s="47"/>
    </row>
    <row r="121" spans="1:4">
      <c r="A121" s="151">
        <v>16.66</v>
      </c>
      <c r="B121" s="47"/>
      <c r="C121" s="47"/>
      <c r="D121" s="47"/>
    </row>
    <row r="122" spans="1:4">
      <c r="A122" s="151">
        <v>17.12</v>
      </c>
      <c r="B122" s="47"/>
      <c r="C122" s="47"/>
      <c r="D122" s="47"/>
    </row>
    <row r="123" spans="1:4">
      <c r="A123" s="151">
        <v>17.48</v>
      </c>
      <c r="B123" s="47"/>
      <c r="C123" s="47"/>
      <c r="D123" s="47"/>
    </row>
    <row r="124" spans="1:4">
      <c r="A124" s="151">
        <v>18.260000000000002</v>
      </c>
      <c r="B124" s="47"/>
      <c r="C124" s="47"/>
      <c r="D124" s="47"/>
    </row>
    <row r="125" spans="1:4">
      <c r="A125" s="151">
        <v>19.05</v>
      </c>
      <c r="B125" s="47"/>
      <c r="C125" s="47"/>
      <c r="D125" s="47"/>
    </row>
    <row r="126" spans="1:4">
      <c r="A126" s="151">
        <v>20.62</v>
      </c>
      <c r="B126" s="47"/>
      <c r="C126" s="47"/>
      <c r="D126" s="47"/>
    </row>
    <row r="127" spans="1:4">
      <c r="A127" s="151">
        <v>21.44</v>
      </c>
      <c r="B127" s="47"/>
      <c r="C127" s="47"/>
      <c r="D127" s="47"/>
    </row>
    <row r="128" spans="1:4">
      <c r="A128" s="151">
        <v>21.95</v>
      </c>
      <c r="B128" s="47"/>
      <c r="C128" s="47"/>
      <c r="D128" s="47"/>
    </row>
    <row r="129" spans="1:4">
      <c r="A129" s="151">
        <v>22.23</v>
      </c>
      <c r="B129" s="47"/>
      <c r="C129" s="47"/>
      <c r="D129" s="47"/>
    </row>
    <row r="130" spans="1:4">
      <c r="A130" s="151">
        <v>23.01</v>
      </c>
      <c r="B130" s="47"/>
      <c r="C130" s="47"/>
      <c r="D130" s="47"/>
    </row>
    <row r="131" spans="1:4">
      <c r="A131" s="151">
        <v>23.83</v>
      </c>
      <c r="B131" s="47"/>
      <c r="C131" s="47"/>
      <c r="D131" s="47"/>
    </row>
    <row r="132" spans="1:4">
      <c r="A132" s="151">
        <v>24.61</v>
      </c>
      <c r="B132" s="47"/>
      <c r="C132" s="47"/>
      <c r="D132" s="47"/>
    </row>
    <row r="133" spans="1:4">
      <c r="A133" s="151">
        <v>25.4</v>
      </c>
      <c r="B133" s="47"/>
      <c r="C133" s="47"/>
      <c r="D133" s="47"/>
    </row>
    <row r="134" spans="1:4">
      <c r="A134" s="151">
        <v>26.19</v>
      </c>
      <c r="B134" s="47"/>
      <c r="C134" s="47"/>
      <c r="D134" s="47"/>
    </row>
    <row r="135" spans="1:4">
      <c r="A135" s="151">
        <v>26.97</v>
      </c>
      <c r="B135" s="47"/>
      <c r="C135" s="47"/>
      <c r="D135" s="47"/>
    </row>
    <row r="136" spans="1:4">
      <c r="A136" s="151">
        <v>27.79</v>
      </c>
      <c r="B136" s="47"/>
      <c r="C136" s="47"/>
      <c r="D136" s="47"/>
    </row>
    <row r="137" spans="1:4">
      <c r="A137" s="151">
        <v>28.58</v>
      </c>
      <c r="B137" s="47"/>
      <c r="C137" s="47"/>
      <c r="D137" s="47"/>
    </row>
    <row r="138" spans="1:4">
      <c r="A138" s="151">
        <v>29.36</v>
      </c>
      <c r="B138" s="47"/>
      <c r="C138" s="47"/>
      <c r="D138" s="47"/>
    </row>
    <row r="139" spans="1:4">
      <c r="A139" s="151">
        <v>30.18</v>
      </c>
      <c r="B139" s="47"/>
      <c r="C139" s="47"/>
      <c r="D139" s="47"/>
    </row>
    <row r="140" spans="1:4">
      <c r="A140" s="151">
        <v>30.96</v>
      </c>
      <c r="B140" s="47"/>
      <c r="C140" s="47"/>
      <c r="D140" s="47"/>
    </row>
    <row r="141" spans="1:4">
      <c r="A141" s="151">
        <v>31.75</v>
      </c>
      <c r="B141" s="47"/>
      <c r="C141" s="47"/>
      <c r="D141" s="47"/>
    </row>
    <row r="142" spans="1:4">
      <c r="A142" s="151">
        <v>32.54</v>
      </c>
      <c r="B142" s="47"/>
      <c r="C142" s="47"/>
      <c r="D142" s="47"/>
    </row>
    <row r="143" spans="1:4">
      <c r="A143" s="151">
        <v>33.32</v>
      </c>
      <c r="B143" s="47"/>
      <c r="C143" s="47"/>
      <c r="D143" s="47"/>
    </row>
    <row r="144" spans="1:4">
      <c r="A144" s="151">
        <v>34.93</v>
      </c>
      <c r="B144" s="47"/>
      <c r="C144" s="47"/>
      <c r="D144" s="47"/>
    </row>
    <row r="145" spans="1:4">
      <c r="A145" s="151">
        <v>35.71</v>
      </c>
      <c r="B145" s="47"/>
      <c r="C145" s="47"/>
      <c r="D145" s="47"/>
    </row>
    <row r="146" spans="1:4">
      <c r="A146" s="151">
        <v>36.53</v>
      </c>
      <c r="B146" s="47"/>
      <c r="C146" s="47"/>
      <c r="D146" s="47"/>
    </row>
    <row r="147" spans="1:4">
      <c r="A147" s="151">
        <v>38.1</v>
      </c>
      <c r="B147" s="47"/>
      <c r="C147" s="47"/>
      <c r="D147" s="47"/>
    </row>
    <row r="148" spans="1:4">
      <c r="A148" s="151">
        <v>38.89</v>
      </c>
      <c r="B148" s="47"/>
      <c r="C148" s="47"/>
      <c r="D148" s="47"/>
    </row>
    <row r="149" spans="1:4">
      <c r="A149" s="151">
        <v>39.67</v>
      </c>
      <c r="B149" s="47"/>
      <c r="C149" s="47"/>
      <c r="D149" s="47"/>
    </row>
    <row r="150" spans="1:4">
      <c r="A150" s="151">
        <v>40.49</v>
      </c>
      <c r="B150" s="47"/>
      <c r="C150" s="47"/>
      <c r="D150" s="47"/>
    </row>
    <row r="151" spans="1:4">
      <c r="A151" s="151">
        <v>41.28</v>
      </c>
      <c r="B151" s="47"/>
      <c r="C151" s="47"/>
      <c r="D151" s="47"/>
    </row>
    <row r="152" spans="1:4">
      <c r="A152" s="151">
        <v>44.45</v>
      </c>
      <c r="B152" s="47"/>
      <c r="C152" s="47"/>
      <c r="D152" s="47"/>
    </row>
    <row r="153" spans="1:4">
      <c r="A153" s="151">
        <v>45.24</v>
      </c>
      <c r="B153" s="47"/>
      <c r="C153" s="47"/>
      <c r="D153" s="47"/>
    </row>
    <row r="154" spans="1:4">
      <c r="A154" s="151">
        <v>46.02</v>
      </c>
      <c r="B154" s="47"/>
      <c r="C154" s="47"/>
      <c r="D154" s="47"/>
    </row>
    <row r="155" spans="1:4">
      <c r="A155" s="151">
        <v>47.63</v>
      </c>
      <c r="B155" s="47"/>
      <c r="C155" s="47"/>
      <c r="D155" s="47"/>
    </row>
    <row r="156" spans="1:4">
      <c r="A156" s="151">
        <v>50.01</v>
      </c>
      <c r="B156" s="47"/>
      <c r="C156" s="47"/>
      <c r="D156" s="47"/>
    </row>
    <row r="157" spans="1:4">
      <c r="A157" s="151">
        <v>52.37</v>
      </c>
      <c r="B157" s="47"/>
      <c r="C157" s="47"/>
      <c r="D157" s="47"/>
    </row>
    <row r="158" spans="1:4">
      <c r="A158" s="151">
        <v>53.98</v>
      </c>
      <c r="B158" s="47"/>
      <c r="C158" s="47"/>
      <c r="D158" s="47"/>
    </row>
    <row r="159" spans="1:4">
      <c r="A159" s="151">
        <v>59.54</v>
      </c>
      <c r="B159" s="47"/>
      <c r="C159" s="47"/>
      <c r="D159" s="47"/>
    </row>
    <row r="160" spans="1:4">
      <c r="A160" s="152">
        <v>63.5</v>
      </c>
      <c r="B160" s="47"/>
      <c r="C160" s="47"/>
      <c r="D160" s="47"/>
    </row>
    <row r="161" spans="1:4">
      <c r="A161" s="152">
        <v>69.849999999999994</v>
      </c>
      <c r="B161" s="47"/>
      <c r="C161" s="47"/>
      <c r="D161" s="47"/>
    </row>
    <row r="162" spans="1:4">
      <c r="A162" s="152">
        <v>76.2</v>
      </c>
      <c r="B162" s="47"/>
      <c r="C162" s="47"/>
      <c r="D162" s="47"/>
    </row>
  </sheetData>
  <sheetProtection password="C57E" sheet="1"/>
  <mergeCells count="1">
    <mergeCell ref="A1:T1"/>
  </mergeCells>
  <phoneticPr fontId="5" type="noConversion"/>
  <printOptions horizontalCentered="1"/>
  <pageMargins left="0.43307086614173201" right="0.35433070866141703" top="0.74803149606299202" bottom="0.47244094488188998" header="0.511811023622047" footer="0.196850393700787"/>
  <pageSetup paperSize="9" scale="84" orientation="landscape" r:id="rId1"/>
  <headerFooter alignWithMargins="0">
    <oddHeader>&amp;L&amp;"Trebuchet MS,Regular"&amp;9Branch Pipe Connection Reinforcement Calculation as per ASME B31.3&amp;R&amp;"Trebuchet MS,Regular"&amp;9PEC-EN-VSS-L-3478 , Rev. 0</oddHeader>
    <oddFooter xml:space="preserve">&amp;L&amp;"Trebuchet MS,Regular"&amp;9
&amp;C&amp;"Trebuchet MS,Regular"&amp;9
&amp;A / Page &amp;P of &amp;N&amp;R
</oddFooter>
  </headerFooter>
  <rowBreaks count="1" manualBreakCount="1">
    <brk id="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Data Sheet</vt:lpstr>
      <vt:lpstr>Appendix 1. Calculation</vt:lpstr>
      <vt:lpstr>Appendix 2. Thickness</vt:lpstr>
      <vt:lpstr>'Data Sheet'!_Toc238552941</vt:lpstr>
      <vt:lpstr>'Data Sheet'!_Toc238552942</vt:lpstr>
      <vt:lpstr>NPS</vt:lpstr>
      <vt:lpstr>'Appendix 1. Calculation'!Print_Area</vt:lpstr>
      <vt:lpstr>'Appendix 2. Thickness'!Print_Area</vt:lpstr>
      <vt:lpstr>'Data Sheet'!Print_Area</vt:lpstr>
      <vt:lpstr>'Data Sheet'!Print_Titles</vt:lpstr>
      <vt:lpstr>SCH</vt:lpstr>
    </vt:vector>
  </TitlesOfParts>
  <Company>Petrofac International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Sharjah Office</dc:creator>
  <cp:lastModifiedBy>ROGER BUSSWELL</cp:lastModifiedBy>
  <cp:lastPrinted>2013-07-12T10:04:47Z</cp:lastPrinted>
  <dcterms:created xsi:type="dcterms:W3CDTF">1997-07-05T05:17:18Z</dcterms:created>
  <dcterms:modified xsi:type="dcterms:W3CDTF">2013-07-16T11:00:41Z</dcterms:modified>
</cp:coreProperties>
</file>