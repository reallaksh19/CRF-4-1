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96" yWindow="12" windowWidth="22848" windowHeight="10944"/>
  </bookViews>
  <sheets>
    <sheet name="Blast (Peak)" sheetId="3" r:id="rId1"/>
    <sheet name="Blast (Criticality 2)" sheetId="8" state="hidden" r:id="rId2"/>
    <sheet name="Blast (Average)" sheetId="9" r:id="rId3"/>
    <sheet name="Zones" sheetId="6" r:id="rId4"/>
    <sheet name="Blast Load Basis" sheetId="7" r:id="rId5"/>
    <sheet name="Zone Table" sheetId="4" state="hidden" r:id="rId6"/>
    <sheet name="DNV-RP-D101 Table 3-1" sheetId="5" state="hidden" r:id="rId7"/>
  </sheets>
  <definedNames>
    <definedName name="_xlnm.Print_Area" localSheetId="4">'Blast Load Basis'!$A:$AG</definedName>
  </definedNames>
  <calcPr calcId="145621"/>
</workbook>
</file>

<file path=xl/calcChain.xml><?xml version="1.0" encoding="utf-8"?>
<calcChain xmlns="http://schemas.openxmlformats.org/spreadsheetml/2006/main">
  <c r="AD4" i="6" l="1"/>
  <c r="AD4" i="9"/>
  <c r="R4" i="9"/>
  <c r="G4" i="9"/>
  <c r="V2" i="9"/>
  <c r="R2" i="9"/>
  <c r="N2" i="9"/>
  <c r="G2" i="9"/>
  <c r="Z4" i="7"/>
  <c r="V4" i="7"/>
  <c r="Z4" i="9"/>
  <c r="V4" i="9"/>
  <c r="AB24" i="7"/>
  <c r="AB13" i="7"/>
  <c r="AB12" i="7"/>
  <c r="AB11" i="7"/>
  <c r="AB10" i="7"/>
  <c r="AM19" i="7"/>
  <c r="Y10" i="7"/>
  <c r="AB15" i="7"/>
  <c r="AM10" i="7"/>
  <c r="AB14" i="7"/>
  <c r="AB17" i="7"/>
  <c r="Y24" i="7" l="1"/>
  <c r="F38" i="9"/>
  <c r="F37" i="9"/>
  <c r="L37" i="9" s="1"/>
  <c r="X37" i="9" s="1"/>
  <c r="F35" i="9"/>
  <c r="L35" i="9" s="1"/>
  <c r="X35" i="9" s="1"/>
  <c r="F34" i="9"/>
  <c r="F33" i="9"/>
  <c r="L33" i="9" s="1"/>
  <c r="X33" i="9" s="1"/>
  <c r="F26" i="9"/>
  <c r="L26" i="9" s="1"/>
  <c r="X26" i="9" s="1"/>
  <c r="F25" i="9"/>
  <c r="L25" i="9" s="1"/>
  <c r="X25" i="9" s="1"/>
  <c r="F24" i="9"/>
  <c r="L24" i="9" s="1"/>
  <c r="X24" i="9" s="1"/>
  <c r="F23" i="9"/>
  <c r="L23" i="9" s="1"/>
  <c r="X23" i="9" s="1"/>
  <c r="I38" i="3"/>
  <c r="AB38" i="9"/>
  <c r="X38" i="9"/>
  <c r="T38" i="9"/>
  <c r="P38" i="9"/>
  <c r="L38" i="9"/>
  <c r="I38" i="9"/>
  <c r="T37" i="9"/>
  <c r="T36" i="9"/>
  <c r="T35" i="9"/>
  <c r="T34" i="9"/>
  <c r="T33" i="9"/>
  <c r="I33" i="9"/>
  <c r="P33" i="9" s="1"/>
  <c r="AB33" i="9" s="1"/>
  <c r="T32" i="9"/>
  <c r="T31" i="9"/>
  <c r="T30" i="9"/>
  <c r="T29" i="9"/>
  <c r="T28" i="9"/>
  <c r="T27" i="9"/>
  <c r="T26" i="9"/>
  <c r="T25" i="9"/>
  <c r="T24" i="9"/>
  <c r="R14" i="9"/>
  <c r="Y13" i="7"/>
  <c r="F30" i="9" s="1"/>
  <c r="L30" i="9" s="1"/>
  <c r="X30" i="9" s="1"/>
  <c r="Y12" i="7"/>
  <c r="F29" i="9" s="1"/>
  <c r="L29" i="9" s="1"/>
  <c r="X29" i="9" s="1"/>
  <c r="Y11" i="7"/>
  <c r="F28" i="9" s="1"/>
  <c r="L28" i="9" s="1"/>
  <c r="X28" i="9" s="1"/>
  <c r="F38" i="3"/>
  <c r="F37" i="3"/>
  <c r="F36" i="3"/>
  <c r="F35" i="3"/>
  <c r="F34" i="3"/>
  <c r="F33" i="3"/>
  <c r="F30" i="3"/>
  <c r="F29" i="3"/>
  <c r="F28" i="3"/>
  <c r="F27" i="3"/>
  <c r="F26" i="3"/>
  <c r="F25" i="3"/>
  <c r="F24" i="3"/>
  <c r="F23" i="3"/>
  <c r="L23" i="3" s="1"/>
  <c r="AM17" i="7"/>
  <c r="AM16" i="7"/>
  <c r="AM13" i="7"/>
  <c r="AM12" i="7"/>
  <c r="AM21" i="7" s="1"/>
  <c r="AM11" i="7"/>
  <c r="V40" i="7"/>
  <c r="I36" i="3" s="1"/>
  <c r="Y39" i="7"/>
  <c r="I37" i="9" s="1"/>
  <c r="P37" i="9" s="1"/>
  <c r="AB37" i="9" s="1"/>
  <c r="V39" i="7"/>
  <c r="I37" i="3" s="1"/>
  <c r="Y38" i="7"/>
  <c r="I35" i="9" s="1"/>
  <c r="V38" i="7"/>
  <c r="I35" i="3" s="1"/>
  <c r="Y37" i="7"/>
  <c r="I26" i="9" s="1"/>
  <c r="P26" i="9" s="1"/>
  <c r="AB26" i="9" s="1"/>
  <c r="V37" i="7"/>
  <c r="I26" i="3" s="1"/>
  <c r="Y36" i="7"/>
  <c r="I25" i="9" s="1"/>
  <c r="P25" i="9" s="1"/>
  <c r="AB25" i="9" s="1"/>
  <c r="V36" i="7"/>
  <c r="I25" i="3" s="1"/>
  <c r="Y35" i="7"/>
  <c r="I24" i="9" s="1"/>
  <c r="P24" i="9" s="1"/>
  <c r="AB24" i="9" s="1"/>
  <c r="V35" i="7"/>
  <c r="I24" i="3" s="1"/>
  <c r="Y34" i="7"/>
  <c r="I23" i="9" s="1"/>
  <c r="P23" i="9" s="1"/>
  <c r="AB23" i="9" s="1"/>
  <c r="V34" i="7"/>
  <c r="I23" i="3" s="1"/>
  <c r="Y33" i="7"/>
  <c r="I34" i="9" s="1"/>
  <c r="P34" i="9" s="1"/>
  <c r="AB34" i="9" s="1"/>
  <c r="V33" i="7"/>
  <c r="I34" i="3" s="1"/>
  <c r="Y32" i="7"/>
  <c r="V32" i="7"/>
  <c r="I33" i="3" s="1"/>
  <c r="V29" i="7"/>
  <c r="I30" i="3" s="1"/>
  <c r="V28" i="7"/>
  <c r="I29" i="3" s="1"/>
  <c r="V27" i="7"/>
  <c r="I28" i="3" s="1"/>
  <c r="V26" i="7"/>
  <c r="I27" i="3" s="1"/>
  <c r="AB23" i="7"/>
  <c r="AB22" i="7"/>
  <c r="AB21" i="7"/>
  <c r="AB20" i="7"/>
  <c r="AB19" i="7"/>
  <c r="AB18" i="7"/>
  <c r="AB16" i="7"/>
  <c r="AB45" i="4"/>
  <c r="AB44" i="4"/>
  <c r="AB43" i="4"/>
  <c r="AB40" i="4"/>
  <c r="AB32" i="4"/>
  <c r="AB31" i="4"/>
  <c r="AB28" i="4"/>
  <c r="AB29" i="4"/>
  <c r="AB38" i="3"/>
  <c r="L38" i="3"/>
  <c r="G28" i="4"/>
  <c r="V15" i="7" l="1"/>
  <c r="V14" i="7"/>
  <c r="AM20" i="7"/>
  <c r="Y28" i="7"/>
  <c r="I29" i="9" s="1"/>
  <c r="P29" i="9" s="1"/>
  <c r="AB29" i="9" s="1"/>
  <c r="Y27" i="7"/>
  <c r="I28" i="9" s="1"/>
  <c r="P28" i="9" s="1"/>
  <c r="AB28" i="9" s="1"/>
  <c r="Y26" i="7"/>
  <c r="I27" i="9" s="1"/>
  <c r="P27" i="9" s="1"/>
  <c r="AB27" i="9" s="1"/>
  <c r="Y40" i="7"/>
  <c r="I36" i="9" s="1"/>
  <c r="P36" i="9" s="1"/>
  <c r="AB36" i="9" s="1"/>
  <c r="F36" i="9"/>
  <c r="L36" i="9" s="1"/>
  <c r="X36" i="9" s="1"/>
  <c r="Y29" i="7"/>
  <c r="I30" i="9" s="1"/>
  <c r="P30" i="9" s="1"/>
  <c r="AB30" i="9" s="1"/>
  <c r="P35" i="9"/>
  <c r="AB35" i="9" s="1"/>
  <c r="L34" i="9"/>
  <c r="X34" i="9" s="1"/>
  <c r="N4" i="4"/>
  <c r="O4" i="4" s="1"/>
  <c r="N5" i="4"/>
  <c r="P5" i="4" s="1"/>
  <c r="O5" i="4"/>
  <c r="R5" i="4" s="1"/>
  <c r="N6" i="4"/>
  <c r="O6" i="4"/>
  <c r="V6" i="4" s="1"/>
  <c r="P6" i="4"/>
  <c r="R6" i="4"/>
  <c r="T6" i="4"/>
  <c r="N7" i="4"/>
  <c r="O7" i="4" s="1"/>
  <c r="T7" i="4"/>
  <c r="N8" i="4"/>
  <c r="O8" i="4" s="1"/>
  <c r="N9" i="4"/>
  <c r="P9" i="4" s="1"/>
  <c r="O9" i="4"/>
  <c r="R9" i="4" s="1"/>
  <c r="N10" i="4"/>
  <c r="O10" i="4"/>
  <c r="V10" i="4" s="1"/>
  <c r="P10" i="4"/>
  <c r="R10" i="4"/>
  <c r="T10" i="4"/>
  <c r="N11" i="4"/>
  <c r="O11" i="4" s="1"/>
  <c r="T11" i="4"/>
  <c r="N12" i="4"/>
  <c r="O12" i="4" s="1"/>
  <c r="N13" i="4"/>
  <c r="P13" i="4" s="1"/>
  <c r="O13" i="4"/>
  <c r="R13" i="4" s="1"/>
  <c r="N14" i="4"/>
  <c r="O14" i="4"/>
  <c r="V14" i="4" s="1"/>
  <c r="P14" i="4"/>
  <c r="R14" i="4"/>
  <c r="T14" i="4"/>
  <c r="N15" i="4"/>
  <c r="O15" i="4" s="1"/>
  <c r="T15" i="4"/>
  <c r="N16" i="4"/>
  <c r="O16" i="4" s="1"/>
  <c r="N17" i="4"/>
  <c r="P17" i="4" s="1"/>
  <c r="O17" i="4"/>
  <c r="R17" i="4" s="1"/>
  <c r="N18" i="4"/>
  <c r="O18" i="4"/>
  <c r="V18" i="4" s="1"/>
  <c r="P18" i="4"/>
  <c r="R18" i="4"/>
  <c r="T18" i="4"/>
  <c r="N19" i="4"/>
  <c r="O19" i="4" s="1"/>
  <c r="T19" i="4"/>
  <c r="N20" i="4"/>
  <c r="O20" i="4" s="1"/>
  <c r="N21" i="4"/>
  <c r="P21" i="4" s="1"/>
  <c r="O21" i="4"/>
  <c r="R21" i="4" s="1"/>
  <c r="P38" i="3"/>
  <c r="P37" i="3"/>
  <c r="AB37" i="3" s="1"/>
  <c r="P36" i="3"/>
  <c r="AB36" i="3" s="1"/>
  <c r="P35" i="3"/>
  <c r="AB35" i="3" s="1"/>
  <c r="P34" i="3"/>
  <c r="AB34" i="3" s="1"/>
  <c r="P33" i="3"/>
  <c r="AB33" i="3" s="1"/>
  <c r="P30" i="3"/>
  <c r="AB30" i="3" s="1"/>
  <c r="P29" i="3"/>
  <c r="AB29" i="3" s="1"/>
  <c r="P28" i="3"/>
  <c r="AB28" i="3" s="1"/>
  <c r="P27" i="3"/>
  <c r="AB27" i="3" s="1"/>
  <c r="P26" i="3"/>
  <c r="AB26" i="3" s="1"/>
  <c r="P25" i="3"/>
  <c r="AB25" i="3" s="1"/>
  <c r="P24" i="3"/>
  <c r="AB24" i="3" s="1"/>
  <c r="P23" i="3"/>
  <c r="AB23" i="3" s="1"/>
  <c r="V31" i="7" l="1"/>
  <c r="I32" i="3" s="1"/>
  <c r="Y15" i="7"/>
  <c r="F32" i="3"/>
  <c r="F27" i="9"/>
  <c r="L27" i="9" s="1"/>
  <c r="X27" i="9" s="1"/>
  <c r="V15" i="4"/>
  <c r="R15" i="4"/>
  <c r="R12" i="4"/>
  <c r="V12" i="4"/>
  <c r="V11" i="4"/>
  <c r="R11" i="4"/>
  <c r="R8" i="4"/>
  <c r="V8" i="4"/>
  <c r="V20" i="4"/>
  <c r="R20" i="4"/>
  <c r="V7" i="4"/>
  <c r="R7" i="4"/>
  <c r="R4" i="4"/>
  <c r="V4" i="4"/>
  <c r="V19" i="4"/>
  <c r="R19" i="4"/>
  <c r="R16" i="4"/>
  <c r="V16" i="4"/>
  <c r="T20" i="4"/>
  <c r="P19" i="4"/>
  <c r="T16" i="4"/>
  <c r="P15" i="4"/>
  <c r="T12" i="4"/>
  <c r="P11" i="4"/>
  <c r="T8" i="4"/>
  <c r="P7" i="4"/>
  <c r="T4" i="4"/>
  <c r="V21" i="4"/>
  <c r="V17" i="4"/>
  <c r="V13" i="4"/>
  <c r="V9" i="4"/>
  <c r="V5" i="4"/>
  <c r="T21" i="4"/>
  <c r="P20" i="4"/>
  <c r="T17" i="4"/>
  <c r="P16" i="4"/>
  <c r="T13" i="4"/>
  <c r="P12" i="4"/>
  <c r="T9" i="4"/>
  <c r="P8" i="4"/>
  <c r="T5" i="4"/>
  <c r="P4" i="4"/>
  <c r="R4" i="8"/>
  <c r="G4" i="8"/>
  <c r="V2" i="8"/>
  <c r="R2" i="8"/>
  <c r="N2" i="8"/>
  <c r="G2" i="8"/>
  <c r="Z4" i="8"/>
  <c r="V4" i="8"/>
  <c r="F32" i="9" l="1"/>
  <c r="L32" i="9" s="1"/>
  <c r="X32" i="9" s="1"/>
  <c r="Y31" i="7"/>
  <c r="I32" i="9" s="1"/>
  <c r="P32" i="9" s="1"/>
  <c r="AB32" i="9" s="1"/>
  <c r="Y14" i="7"/>
  <c r="F31" i="3"/>
  <c r="V30" i="7"/>
  <c r="I31" i="3" s="1"/>
  <c r="P31" i="3" s="1"/>
  <c r="AB31" i="3" s="1"/>
  <c r="G4" i="4"/>
  <c r="P38" i="8"/>
  <c r="L38" i="8"/>
  <c r="Y30" i="7" l="1"/>
  <c r="I31" i="9" s="1"/>
  <c r="P31" i="9" s="1"/>
  <c r="AB31" i="9" s="1"/>
  <c r="F31" i="9"/>
  <c r="L31" i="9" s="1"/>
  <c r="X31" i="9" s="1"/>
  <c r="G16" i="4"/>
  <c r="L32" i="3"/>
  <c r="L36" i="3" l="1"/>
  <c r="L37" i="3"/>
  <c r="L26" i="3"/>
  <c r="L25" i="3"/>
  <c r="L24" i="3"/>
  <c r="X23" i="3"/>
  <c r="L34" i="3"/>
  <c r="L33" i="3"/>
  <c r="L31" i="3"/>
  <c r="L30" i="3"/>
  <c r="L29" i="3"/>
  <c r="L28" i="3"/>
  <c r="L27" i="3"/>
  <c r="AB30" i="4" l="1"/>
  <c r="AB42" i="4"/>
  <c r="AB41" i="4"/>
  <c r="AB39" i="4"/>
  <c r="AB38" i="4"/>
  <c r="AB37" i="4"/>
  <c r="AB36" i="4"/>
  <c r="AB35" i="4"/>
  <c r="AB34" i="4"/>
  <c r="AB33" i="4"/>
  <c r="X38" i="3"/>
  <c r="X38" i="8"/>
  <c r="I38" i="8" l="1"/>
  <c r="F38" i="8"/>
  <c r="AB38" i="8" s="1"/>
  <c r="I37" i="8"/>
  <c r="F37" i="8"/>
  <c r="I36" i="8"/>
  <c r="F36" i="8"/>
  <c r="F35" i="8"/>
  <c r="I34" i="8"/>
  <c r="F34" i="8"/>
  <c r="I33" i="8"/>
  <c r="F33" i="8"/>
  <c r="F32" i="8"/>
  <c r="I31" i="8"/>
  <c r="F31" i="8"/>
  <c r="I30" i="8"/>
  <c r="F30" i="8"/>
  <c r="I29" i="8"/>
  <c r="F29" i="8"/>
  <c r="I28" i="8"/>
  <c r="F28" i="8"/>
  <c r="I27" i="8"/>
  <c r="F27" i="8"/>
  <c r="F26" i="8"/>
  <c r="F25" i="8"/>
  <c r="F24" i="8"/>
  <c r="F23" i="8"/>
  <c r="P30" i="8" l="1"/>
  <c r="L30" i="8"/>
  <c r="P27" i="8"/>
  <c r="L27" i="8"/>
  <c r="P36" i="8"/>
  <c r="L36" i="8"/>
  <c r="P37" i="8"/>
  <c r="L37" i="8"/>
  <c r="P33" i="8"/>
  <c r="L33" i="8"/>
  <c r="P28" i="8"/>
  <c r="L28" i="8"/>
  <c r="P29" i="8"/>
  <c r="L29" i="8"/>
  <c r="P31" i="8"/>
  <c r="L31" i="8"/>
  <c r="P34" i="8"/>
  <c r="L34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38" i="3"/>
  <c r="N45" i="4" l="1"/>
  <c r="P45" i="4" s="1"/>
  <c r="N44" i="4"/>
  <c r="O44" i="4" s="1"/>
  <c r="N43" i="4"/>
  <c r="T43" i="4" s="1"/>
  <c r="N34" i="4"/>
  <c r="T34" i="4" s="1"/>
  <c r="N33" i="4"/>
  <c r="T33" i="4" s="1"/>
  <c r="N42" i="4"/>
  <c r="T42" i="4" s="1"/>
  <c r="N41" i="4"/>
  <c r="P41" i="4" s="1"/>
  <c r="N40" i="4"/>
  <c r="O40" i="4" s="1"/>
  <c r="N39" i="4"/>
  <c r="O39" i="4" s="1"/>
  <c r="N38" i="4"/>
  <c r="P38" i="4" s="1"/>
  <c r="N37" i="4"/>
  <c r="P37" i="4" s="1"/>
  <c r="N36" i="4"/>
  <c r="O36" i="4" s="1"/>
  <c r="N35" i="4"/>
  <c r="T35" i="4" s="1"/>
  <c r="N32" i="4"/>
  <c r="P32" i="4" s="1"/>
  <c r="N31" i="4"/>
  <c r="T31" i="4" s="1"/>
  <c r="N30" i="4"/>
  <c r="O30" i="4" s="1"/>
  <c r="N29" i="4"/>
  <c r="O29" i="4" s="1"/>
  <c r="N28" i="4"/>
  <c r="P28" i="4" s="1"/>
  <c r="R14" i="8"/>
  <c r="X27" i="8" l="1"/>
  <c r="AB27" i="8" s="1"/>
  <c r="X31" i="8"/>
  <c r="X36" i="8"/>
  <c r="X29" i="8"/>
  <c r="X33" i="8"/>
  <c r="X37" i="8"/>
  <c r="X30" i="8"/>
  <c r="X34" i="8"/>
  <c r="X28" i="8"/>
  <c r="P30" i="4"/>
  <c r="T41" i="4"/>
  <c r="T38" i="4"/>
  <c r="O31" i="4"/>
  <c r="T37" i="4"/>
  <c r="O41" i="4"/>
  <c r="O43" i="4"/>
  <c r="V43" i="4" s="1"/>
  <c r="T32" i="4"/>
  <c r="P43" i="4"/>
  <c r="P31" i="4"/>
  <c r="O45" i="4"/>
  <c r="P44" i="4"/>
  <c r="O37" i="4"/>
  <c r="P40" i="4"/>
  <c r="P36" i="4"/>
  <c r="T28" i="4"/>
  <c r="T45" i="4"/>
  <c r="V29" i="4"/>
  <c r="R29" i="4"/>
  <c r="V30" i="4"/>
  <c r="R30" i="4"/>
  <c r="R44" i="4"/>
  <c r="V44" i="4"/>
  <c r="R36" i="4"/>
  <c r="V36" i="4"/>
  <c r="R40" i="4"/>
  <c r="V40" i="4"/>
  <c r="V39" i="4"/>
  <c r="R39" i="4"/>
  <c r="O35" i="4"/>
  <c r="O34" i="4"/>
  <c r="R43" i="4"/>
  <c r="O28" i="4"/>
  <c r="O32" i="4"/>
  <c r="O38" i="4"/>
  <c r="O42" i="4"/>
  <c r="P33" i="4"/>
  <c r="P29" i="4"/>
  <c r="T30" i="4"/>
  <c r="P35" i="4"/>
  <c r="T36" i="4"/>
  <c r="P39" i="4"/>
  <c r="T40" i="4"/>
  <c r="O33" i="4"/>
  <c r="P34" i="4"/>
  <c r="T44" i="4"/>
  <c r="T29" i="4"/>
  <c r="T39" i="4"/>
  <c r="P42" i="4"/>
  <c r="AD4" i="7"/>
  <c r="N2" i="7"/>
  <c r="R4" i="7"/>
  <c r="R2" i="7"/>
  <c r="G2" i="7"/>
  <c r="V2" i="7"/>
  <c r="AB37" i="8" l="1"/>
  <c r="AB28" i="8"/>
  <c r="AB31" i="8"/>
  <c r="AB33" i="8"/>
  <c r="AB29" i="8"/>
  <c r="AB36" i="8"/>
  <c r="AB30" i="8"/>
  <c r="AB34" i="8"/>
  <c r="G43" i="4"/>
  <c r="I23" i="8"/>
  <c r="G40" i="4"/>
  <c r="I24" i="8"/>
  <c r="R37" i="4"/>
  <c r="V37" i="4"/>
  <c r="R41" i="4"/>
  <c r="V41" i="4"/>
  <c r="V45" i="4"/>
  <c r="R45" i="4"/>
  <c r="R31" i="4"/>
  <c r="V31" i="4"/>
  <c r="G20" i="4"/>
  <c r="G44" i="4"/>
  <c r="V33" i="4"/>
  <c r="R33" i="4"/>
  <c r="V42" i="4"/>
  <c r="R42" i="4"/>
  <c r="V38" i="4"/>
  <c r="R38" i="4"/>
  <c r="V32" i="4"/>
  <c r="R32" i="4"/>
  <c r="V28" i="4"/>
  <c r="R28" i="4"/>
  <c r="I35" i="8" s="1"/>
  <c r="V34" i="4"/>
  <c r="R34" i="4"/>
  <c r="V35" i="4"/>
  <c r="R35" i="4"/>
  <c r="P32" i="3" l="1"/>
  <c r="AB32" i="3" s="1"/>
  <c r="P35" i="8"/>
  <c r="L35" i="8"/>
  <c r="P24" i="8"/>
  <c r="L24" i="8"/>
  <c r="X24" i="8" s="1"/>
  <c r="P23" i="8"/>
  <c r="L23" i="8"/>
  <c r="X23" i="8" s="1"/>
  <c r="I32" i="8"/>
  <c r="X35" i="8"/>
  <c r="I25" i="8"/>
  <c r="G19" i="4"/>
  <c r="G45" i="4"/>
  <c r="V4" i="6"/>
  <c r="R4" i="6"/>
  <c r="G4" i="6"/>
  <c r="V2" i="6"/>
  <c r="R2" i="6"/>
  <c r="N2" i="6"/>
  <c r="G2" i="6"/>
  <c r="P32" i="8" l="1"/>
  <c r="L32" i="8"/>
  <c r="L25" i="8"/>
  <c r="P25" i="8"/>
  <c r="I26" i="8"/>
  <c r="AB24" i="8"/>
  <c r="X32" i="8"/>
  <c r="X25" i="8"/>
  <c r="AB23" i="8"/>
  <c r="AB35" i="8"/>
  <c r="R14" i="3"/>
  <c r="P26" i="8" l="1"/>
  <c r="L26" i="8"/>
  <c r="X36" i="3"/>
  <c r="X37" i="3"/>
  <c r="X26" i="8"/>
  <c r="AB25" i="8"/>
  <c r="AB32" i="8"/>
  <c r="A4" i="5"/>
  <c r="A5" i="5" s="1"/>
  <c r="A6" i="5" s="1"/>
  <c r="A7" i="5" s="1"/>
  <c r="A8" i="5" s="1"/>
  <c r="A9" i="5" s="1"/>
  <c r="A12" i="5" s="1"/>
  <c r="A13" i="5" s="1"/>
  <c r="A14" i="5" s="1"/>
  <c r="A15" i="5" s="1"/>
  <c r="A16" i="5" s="1"/>
  <c r="A17" i="5" s="1"/>
  <c r="A10" i="5" s="1"/>
  <c r="A11" i="5" s="1"/>
  <c r="A18" i="5" s="1"/>
  <c r="A19" i="5" s="1"/>
  <c r="A20" i="5" s="1"/>
  <c r="A21" i="5" s="1"/>
  <c r="A22" i="5" s="1"/>
  <c r="AB26" i="8" l="1"/>
  <c r="G21" i="4" l="1"/>
  <c r="X34" i="3"/>
  <c r="Z4" i="6"/>
  <c r="X33" i="3" l="1"/>
  <c r="X27" i="3"/>
  <c r="X29" i="3"/>
  <c r="X30" i="3"/>
  <c r="L35" i="3"/>
  <c r="X31" i="3" l="1"/>
  <c r="X28" i="3"/>
  <c r="X26" i="3"/>
  <c r="X25" i="3"/>
  <c r="X24" i="3"/>
  <c r="X32" i="3" l="1"/>
  <c r="X35" i="3"/>
</calcChain>
</file>

<file path=xl/sharedStrings.xml><?xml version="1.0" encoding="utf-8"?>
<sst xmlns="http://schemas.openxmlformats.org/spreadsheetml/2006/main" count="365" uniqueCount="115">
  <si>
    <t>PROJECT:</t>
  </si>
  <si>
    <t>PROJECT NO:</t>
  </si>
  <si>
    <t>COMPANY:</t>
  </si>
  <si>
    <t>DOCUMENT NUMBER:</t>
  </si>
  <si>
    <t>GREATER STELLA AREA DEVELOPMENT</t>
  </si>
  <si>
    <t>ITHACA ENERGY</t>
  </si>
  <si>
    <t>DOCUMENT TITLE:</t>
  </si>
  <si>
    <t>ORIGINATOR:</t>
  </si>
  <si>
    <t>REV:</t>
  </si>
  <si>
    <t>DATE:</t>
  </si>
  <si>
    <t>PAGE NO:</t>
  </si>
  <si>
    <t>JU11805D</t>
  </si>
  <si>
    <t>Piping Stress</t>
  </si>
  <si>
    <t>Ref</t>
  </si>
  <si>
    <t>Rev</t>
  </si>
  <si>
    <t>Calculation</t>
  </si>
  <si>
    <t>Z-01</t>
  </si>
  <si>
    <t>=</t>
  </si>
  <si>
    <t>Drag Load</t>
  </si>
  <si>
    <t>Location</t>
  </si>
  <si>
    <t>Z-02</t>
  </si>
  <si>
    <t>Z-03</t>
  </si>
  <si>
    <t>Z-04</t>
  </si>
  <si>
    <t>Z-05</t>
  </si>
  <si>
    <t>Z-06</t>
  </si>
  <si>
    <t>Z-07</t>
  </si>
  <si>
    <t>Z-08</t>
  </si>
  <si>
    <t>bar</t>
  </si>
  <si>
    <r>
      <t>P</t>
    </r>
    <r>
      <rPr>
        <vertAlign val="subscript"/>
        <sz val="11"/>
        <color theme="1"/>
        <rFont val="Calibri"/>
        <family val="2"/>
        <scheme val="minor"/>
      </rPr>
      <t>O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</si>
  <si>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</si>
  <si>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Blast Drag Coefficient, C</t>
    </r>
    <r>
      <rPr>
        <vertAlign val="subscript"/>
        <sz val="11"/>
        <color theme="1"/>
        <rFont val="Calibri"/>
        <family val="2"/>
        <scheme val="minor"/>
      </rPr>
      <t>D</t>
    </r>
  </si>
  <si>
    <t>Duration</t>
  </si>
  <si>
    <r>
      <t>Dynamic Load Factor, F</t>
    </r>
    <r>
      <rPr>
        <vertAlign val="subscript"/>
        <sz val="11"/>
        <color theme="1"/>
        <rFont val="Calibri"/>
        <family val="2"/>
        <scheme val="minor"/>
      </rPr>
      <t>DLF</t>
    </r>
  </si>
  <si>
    <t>kN/m²</t>
  </si>
  <si>
    <t>Notes</t>
  </si>
  <si>
    <t>i)</t>
  </si>
  <si>
    <t>ii)</t>
  </si>
  <si>
    <t>iii)</t>
  </si>
  <si>
    <t>iv)</t>
  </si>
  <si>
    <t>Zone</t>
  </si>
  <si>
    <t>Dynamic Drag</t>
  </si>
  <si>
    <t>Blast Pressure</t>
  </si>
  <si>
    <t>Caesar Input Data</t>
  </si>
  <si>
    <t>Wind Pressure</t>
  </si>
  <si>
    <t>Wind Shape Factor
(O/D ≥ 300mm)</t>
  </si>
  <si>
    <t>Wind Shape Factor
(O/D &lt; 300mm)</t>
  </si>
  <si>
    <t>Over pressure</t>
  </si>
  <si>
    <t xml:space="preserve">From DNV-RP-D101, Section 3.11.2.5, </t>
  </si>
  <si>
    <r>
      <t>From DNV-RP-D101, Section 3.11.2.6, the t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/T ratio for the piping systems subject to blast</t>
    </r>
  </si>
  <si>
    <t>is considered to be in excess of 3, thus with reference to Table 3-1,</t>
  </si>
  <si>
    <t>Tabulating the data from FPF1-ST-G00001-X-TEN-0005,</t>
  </si>
  <si>
    <t>Pipe/Insul
(O/D &lt; 300mm)</t>
  </si>
  <si>
    <t>Pipe/Insul
(O/D ≥ 300mm)</t>
  </si>
  <si>
    <t>Equivalent Wind Pressure</t>
  </si>
  <si>
    <t>Flare Base</t>
  </si>
  <si>
    <t>Accomodation Module</t>
  </si>
  <si>
    <t>Diagram showing Blast Zones</t>
  </si>
  <si>
    <t>N</t>
  </si>
  <si>
    <t>Northings and Eastings are approximate.</t>
  </si>
  <si>
    <t>Blast Pressures for Caesar Input</t>
  </si>
  <si>
    <t>FPF1-HC-009</t>
  </si>
  <si>
    <t>v)</t>
  </si>
  <si>
    <t>Blast Zones taken from FPF1-ST-G00001-X-TEN-0005, 'Design Blast Loads'.</t>
  </si>
  <si>
    <t>vi)</t>
  </si>
  <si>
    <t>vii)</t>
  </si>
  <si>
    <t>Based upon UKOOA, Part 1.</t>
  </si>
  <si>
    <t>Zone Blast Load Basis</t>
  </si>
  <si>
    <t>Export Gas Compressors</t>
  </si>
  <si>
    <t>Export Gas Drums</t>
  </si>
  <si>
    <t>Starboard Crane Pedestal</t>
  </si>
  <si>
    <t>Flare KO Drums &amp; TEG Contactor</t>
  </si>
  <si>
    <t>SDVs Area - Flowline</t>
  </si>
  <si>
    <t>Separators</t>
  </si>
  <si>
    <t>PAR-01</t>
  </si>
  <si>
    <t>Piperack Starboard</t>
  </si>
  <si>
    <t>PAR-02</t>
  </si>
  <si>
    <t>Piperack Aft</t>
  </si>
  <si>
    <t>PAR-03</t>
  </si>
  <si>
    <t>Piperack Forward</t>
  </si>
  <si>
    <t>PAR-04</t>
  </si>
  <si>
    <t>Flare Stack Base</t>
  </si>
  <si>
    <t>Upper Deck</t>
  </si>
  <si>
    <t>Criticality 1</t>
  </si>
  <si>
    <t>Criticality 2</t>
  </si>
  <si>
    <t>Under Deck</t>
  </si>
  <si>
    <t>Over
pressure</t>
  </si>
  <si>
    <t>Wind Pressures for Blast Criticality 2 Pipe</t>
  </si>
  <si>
    <t>Roof Deck EL +106069 &amp; Upper Deck EL +103000</t>
  </si>
  <si>
    <t>Below EL +100000</t>
  </si>
  <si>
    <t xml:space="preserve">Notes </t>
  </si>
  <si>
    <t>Blast Overpressure and Dynamic Drag taken from FPF1-ST-G00001-X-TEN-0005, 'Design Blast Loads'.</t>
  </si>
  <si>
    <t>For Blast Zone locations refer to sheet 3.</t>
  </si>
  <si>
    <t>For Blast Load Basis refer to sheet 4.</t>
  </si>
  <si>
    <t>Off-Gas &amp; Fuel Gas</t>
  </si>
  <si>
    <t>Accomodation</t>
  </si>
  <si>
    <t>Piping Systems with a Wind Shape Factor in brackets () are not required to be analysed for Blast Loadings.</t>
  </si>
  <si>
    <t>Peak</t>
  </si>
  <si>
    <t>Average</t>
  </si>
  <si>
    <t>Data taken from ARC-358-027-R1-B, Issue 1, Appendix B: Explosion Overpressure Values.</t>
  </si>
  <si>
    <t>Criticality 2 Piping based upon Criticality 1 divided by 3</t>
  </si>
  <si>
    <t>Drag Loads for Blast Criticality 2 Pipe</t>
  </si>
  <si>
    <t>Drag Loads for Blast Criticality 1 Pipe</t>
  </si>
  <si>
    <t>Drag Load (bar)</t>
  </si>
  <si>
    <t>Basis for Piping Drag Loads</t>
  </si>
  <si>
    <t>Average Drag Load Wind Pressures for Blast on Pipe</t>
  </si>
  <si>
    <t>Peak Drag Load Wind Pressures for Blast on Pipe</t>
  </si>
  <si>
    <t>Based upon Table B3 value divided by average of Table B4 Z-01, Z-03, Z-04 &amp; Z-08 ratios</t>
  </si>
  <si>
    <t>Table B3 - Maximum design peak overpressures on areas of interest</t>
  </si>
  <si>
    <t>Table B4 - Differential design overpressures (including drag) on areas of interest</t>
  </si>
  <si>
    <t>Table B5 - Average and peak dynamic design overpressures on areas of interest</t>
  </si>
  <si>
    <t>Peak value times the average ratio of Table B3 Peak divided by Table B4 Peak Drag values</t>
  </si>
  <si>
    <t>C</t>
  </si>
  <si>
    <t>Drag Loads taken from ARC-358-027-R1, 'Updated Explosion CFD Study Report'.</t>
  </si>
  <si>
    <t>Blast Zones taken from ARC-358-027-R1, 'Updated Explosion CFD Study Report'.</t>
  </si>
  <si>
    <t>Tabulating the data from ARC-358-027-R1,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</si>
</sst>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6" formatCode="&quot;£&quot;#,##0;[Red]\-&quot;£&quot;#,##0"/>
    <numFmt numFmtId="8" formatCode="&quot;£&quot;#,##0.00;[Red]\-&quot;£&quot;#,##0.00"/>
    <numFmt numFmtId="41" formatCode="_-* #,##0_-;\-* #,##0_-;_-* &quot;-&quot;_-;_-@_-"/>
    <numFmt numFmtId="43" formatCode="_-* #,##0.00_-;\-* #,##0.00_-;_-* &quot;-&quot;??_-;_-@_-"/>
    <numFmt numFmtId="164" formatCode="&quot;$&quot;#,##0_);[Red]\(&quot;$&quot;#,##0\)"/>
    <numFmt numFmtId="165" formatCode="&quot;$&quot;#,##0.00_);[Red]\(&quot;$&quot;#,##0.00\)"/>
    <numFmt numFmtId="166" formatCode="_(&quot;$&quot;* #,##0_);_(&quot;$&quot;* \(#,##0\);_(&quot;$&quot;* &quot;-&quot;_);_(@_)"/>
    <numFmt numFmtId="167" formatCode="#,##0.00_);\(#,##0.00\);&quot;- &quot;"/>
    <numFmt numFmtId="168" formatCode="&quot;$&quot;#,##0.0000_);\(&quot;$&quot;#,##0.0000\)"/>
    <numFmt numFmtId="169" formatCode="&quot;$&quot;\ \ \ \ \ #,##0_);\(&quot;$&quot;\ \ \ \ #,##0\)"/>
    <numFmt numFmtId="170" formatCode="_(&quot;$&quot;* #,##0.00_);_(&quot;$&quot;* \(#,##0.00\);_(&quot;$&quot;* &quot;-&quot;_);_(@_)"/>
    <numFmt numFmtId="171" formatCode="#,##0.0_);\(#,##0.0\)"/>
    <numFmt numFmtId="172" formatCode="_-* #,##0\ _F_-;\-* #,##0\ _F_-;_-* &quot;-&quot;\ _F_-;_-@_-"/>
    <numFmt numFmtId="173" formatCode="_-* #,##0.00\ _F_-;\-* #,##0.00\ _F_-;_-* &quot;-&quot;??\ _F_-;_-@_-"/>
    <numFmt numFmtId="174" formatCode="_-* #,##0\ &quot;F&quot;_-;\-* #,##0\ &quot;F&quot;_-;_-* &quot;-&quot;\ &quot;F&quot;_-;_-@_-"/>
    <numFmt numFmtId="175" formatCode="_-* #,##0.00\ &quot;F&quot;_-;\-* #,##0.00\ &quot;F&quot;_-;_-* &quot;-&quot;??\ &quot;F&quot;_-;_-@_-"/>
    <numFmt numFmtId="176" formatCode="0.0"/>
    <numFmt numFmtId="177" formatCode="\ \ \ &quot;$&quot;\ \ \ \ \ \ \ #,##0_);\(&quot;$&quot;#,##0\)"/>
    <numFmt numFmtId="178" formatCode="&quot;$&quot;#,##0;\-&quot;$&quot;#,##0"/>
    <numFmt numFmtId="179" formatCode="mm/dd/yy"/>
    <numFmt numFmtId="180" formatCode="??,??0.??"/>
    <numFmt numFmtId="181" formatCode="[$-409]d\-mmm\-yy;@"/>
    <numFmt numFmtId="182" formatCode="0.000"/>
    <numFmt numFmtId="183" formatCode="#,##0.000_ ;\-#,##0.000\ "/>
    <numFmt numFmtId="184" formatCode="0&quot; of 4&quot;"/>
  </numFmts>
  <fonts count="65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7"/>
      <name val="Small Fonts"/>
      <family val="2"/>
    </font>
    <font>
      <sz val="14"/>
      <color indexed="8"/>
      <name val="Arial Narrow"/>
      <family val="2"/>
    </font>
    <font>
      <sz val="10"/>
      <color indexed="18"/>
      <name val="Arial"/>
      <family val="2"/>
    </font>
    <font>
      <b/>
      <sz val="14"/>
      <color indexed="8"/>
      <name val="Arial"/>
      <family val="2"/>
    </font>
    <font>
      <sz val="10"/>
      <name val="Times New Roman"/>
      <family val="1"/>
    </font>
    <font>
      <b/>
      <sz val="18"/>
      <color indexed="12"/>
      <name val="Arial Narrow"/>
      <family val="2"/>
    </font>
    <font>
      <sz val="16"/>
      <color indexed="12"/>
      <name val="Arial Narrow"/>
      <family val="2"/>
    </font>
    <font>
      <b/>
      <sz val="14"/>
      <color indexed="8"/>
      <name val="Arial Narrow"/>
      <family val="2"/>
    </font>
    <font>
      <b/>
      <sz val="12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6"/>
      <color indexed="8"/>
      <name val="Arial Narrow"/>
      <family val="2"/>
    </font>
    <font>
      <b/>
      <sz val="12"/>
      <color indexed="18"/>
      <name val="Arial"/>
      <family val="2"/>
    </font>
    <font>
      <sz val="9"/>
      <name val="Arial"/>
      <family val="2"/>
    </font>
    <font>
      <sz val="16"/>
      <color indexed="8"/>
      <name val="Arial Narrow"/>
      <family val="2"/>
    </font>
    <font>
      <sz val="14"/>
      <name val="Arial"/>
      <family val="2"/>
    </font>
    <font>
      <sz val="12"/>
      <color indexed="1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8"/>
      <name val="Times New Roman"/>
      <family val="1"/>
    </font>
    <font>
      <sz val="8"/>
      <name val="Times New Roman"/>
      <family val="1"/>
    </font>
    <font>
      <b/>
      <sz val="14"/>
      <name val="Arial"/>
      <family val="2"/>
    </font>
    <font>
      <sz val="10"/>
      <name val="MS Serif"/>
      <family val="1"/>
    </font>
    <font>
      <sz val="10"/>
      <name val="Courier"/>
      <family val="3"/>
    </font>
    <font>
      <b/>
      <sz val="10"/>
      <name val="Times New Roman"/>
      <family val="1"/>
    </font>
    <font>
      <sz val="8"/>
      <color indexed="18"/>
      <name val="Arial"/>
      <family val="2"/>
    </font>
    <font>
      <b/>
      <sz val="10"/>
      <color indexed="18"/>
      <name val="Arial"/>
      <family val="2"/>
    </font>
    <font>
      <sz val="10"/>
      <color indexed="16"/>
      <name val="MS Serif"/>
      <family val="1"/>
    </font>
    <font>
      <sz val="12"/>
      <name val="Helv"/>
    </font>
    <font>
      <sz val="12"/>
      <color indexed="9"/>
      <name val="Helv"/>
    </font>
    <font>
      <b/>
      <sz val="14"/>
      <color indexed="17"/>
      <name val="Arial"/>
      <family val="2"/>
    </font>
    <font>
      <sz val="18"/>
      <color indexed="14"/>
      <name val="Arial"/>
      <family val="2"/>
    </font>
    <font>
      <sz val="10"/>
      <name val="Tms Rmn"/>
    </font>
    <font>
      <sz val="8"/>
      <name val="Helv"/>
    </font>
    <font>
      <sz val="8"/>
      <name val="Arial MT"/>
    </font>
    <font>
      <b/>
      <sz val="8"/>
      <color indexed="8"/>
      <name val="Helv"/>
    </font>
    <font>
      <b/>
      <sz val="16"/>
      <color indexed="17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/>
      <bottom style="double">
        <color indexed="8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ck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theme="8" tint="0.79998168889431442"/>
      </left>
      <right/>
      <top/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theme="8" tint="0.79998168889431442"/>
      </right>
      <top style="thin">
        <color indexed="64"/>
      </top>
      <bottom/>
      <diagonal/>
    </border>
    <border>
      <left style="hair">
        <color theme="8" tint="0.79998168889431442"/>
      </left>
      <right style="hair">
        <color theme="8" tint="0.79998168889431442"/>
      </right>
      <top style="thin">
        <color indexed="64"/>
      </top>
      <bottom/>
      <diagonal/>
    </border>
    <border>
      <left style="hair">
        <color theme="8" tint="0.79998168889431442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theme="8" tint="0.79998168889431442"/>
      </right>
      <top style="hair">
        <color auto="1"/>
      </top>
      <bottom style="hair">
        <color auto="1"/>
      </bottom>
      <diagonal/>
    </border>
    <border>
      <left style="hair">
        <color theme="8" tint="0.79998168889431442"/>
      </left>
      <right style="hair">
        <color theme="8" tint="0.79998168889431442"/>
      </right>
      <top style="hair">
        <color auto="1"/>
      </top>
      <bottom style="hair">
        <color auto="1"/>
      </bottom>
      <diagonal/>
    </border>
    <border>
      <left style="hair">
        <color theme="8" tint="0.79998168889431442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theme="8" tint="0.79998168889431442"/>
      </left>
      <right style="hair">
        <color theme="8" tint="0.79998168889431442"/>
      </right>
      <top style="hair">
        <color auto="1"/>
      </top>
      <bottom style="thin">
        <color indexed="64"/>
      </bottom>
      <diagonal/>
    </border>
    <border>
      <left style="hair">
        <color theme="8" tint="0.79998168889431442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theme="8" tint="0.79998168889431442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rgb="FFFF0000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medium">
        <color auto="1"/>
      </right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auto="1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theme="8" tint="0.79998168889431442"/>
      </left>
      <right/>
      <top/>
      <bottom style="medium">
        <color indexed="64"/>
      </bottom>
      <diagonal/>
    </border>
    <border>
      <left style="medium">
        <color auto="1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medium">
        <color auto="1"/>
      </top>
      <bottom style="medium">
        <color rgb="FFFF0000"/>
      </bottom>
      <diagonal/>
    </border>
    <border>
      <left/>
      <right/>
      <top style="medium">
        <color auto="1"/>
      </top>
      <bottom style="medium">
        <color rgb="FFFF0000"/>
      </bottom>
      <diagonal/>
    </border>
    <border>
      <left/>
      <right style="medium">
        <color rgb="FFFF0000"/>
      </right>
      <top style="medium">
        <color auto="1"/>
      </top>
      <bottom style="medium">
        <color rgb="FFFF0000"/>
      </bottom>
      <diagonal/>
    </border>
    <border>
      <left style="thin">
        <color auto="1"/>
      </left>
      <right style="medium">
        <color rgb="FFFF0000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1">
    <xf numFmtId="0" fontId="0" fillId="0" borderId="0"/>
    <xf numFmtId="0" fontId="14" fillId="0" borderId="0"/>
    <xf numFmtId="0" fontId="16" fillId="0" borderId="1">
      <alignment vertical="top"/>
    </xf>
    <xf numFmtId="0" fontId="17" fillId="0" borderId="0" applyBorder="0" applyAlignment="0">
      <alignment horizontal="centerContinuous" vertical="center"/>
      <protection locked="0"/>
    </xf>
    <xf numFmtId="0" fontId="18" fillId="0" borderId="2" applyBorder="0" applyAlignment="0">
      <alignment vertical="center"/>
    </xf>
    <xf numFmtId="0" fontId="19" fillId="2" borderId="3" applyNumberFormat="0" applyFont="0" applyBorder="0" applyAlignment="0">
      <alignment vertical="center"/>
      <protection locked="0"/>
    </xf>
    <xf numFmtId="0" fontId="18" fillId="0" borderId="4" applyBorder="0" applyAlignment="0">
      <alignment horizontal="right" vertical="center"/>
    </xf>
    <xf numFmtId="15" fontId="17" fillId="0" borderId="5" applyBorder="0">
      <alignment horizontal="center" vertical="center"/>
      <protection locked="0"/>
    </xf>
    <xf numFmtId="0" fontId="20" fillId="0" borderId="6" applyNumberFormat="0" applyFill="0" applyBorder="0" applyAlignment="0" applyProtection="0">
      <protection locked="0"/>
    </xf>
    <xf numFmtId="0" fontId="21" fillId="0" borderId="7" applyNumberFormat="0" applyFont="0" applyBorder="0" applyAlignment="0">
      <alignment horizontal="centerContinuous" vertical="center"/>
    </xf>
    <xf numFmtId="0" fontId="22" fillId="0" borderId="8" applyBorder="0" applyProtection="0">
      <alignment horizontal="centerContinuous" vertical="center"/>
      <protection hidden="1"/>
    </xf>
    <xf numFmtId="0" fontId="23" fillId="0" borderId="9" applyBorder="0">
      <alignment horizontal="center" vertical="center" wrapText="1"/>
      <protection locked="0"/>
    </xf>
    <xf numFmtId="0" fontId="24" fillId="0" borderId="10" applyFont="0" applyBorder="0" applyAlignment="0">
      <alignment vertical="center"/>
    </xf>
    <xf numFmtId="0" fontId="25" fillId="0" borderId="11" applyBorder="0">
      <alignment horizontal="center" vertical="center"/>
    </xf>
    <xf numFmtId="0" fontId="26" fillId="0" borderId="12" applyBorder="0">
      <alignment horizontal="center" vertical="center"/>
    </xf>
    <xf numFmtId="38" fontId="15" fillId="0" borderId="0" applyFont="0" applyFill="0" applyBorder="0" applyAlignment="0" applyProtection="0"/>
    <xf numFmtId="40" fontId="15" fillId="0" borderId="0" applyFont="0" applyFill="0" applyBorder="0" applyAlignment="0" applyProtection="0"/>
    <xf numFmtId="0" fontId="15" fillId="0" borderId="0"/>
    <xf numFmtId="0" fontId="27" fillId="0" borderId="0" applyBorder="0" applyAlignment="0">
      <alignment horizontal="centerContinuous" vertical="center"/>
      <protection locked="0"/>
    </xf>
    <xf numFmtId="0" fontId="28" fillId="0" borderId="13" applyBorder="0" applyAlignment="0">
      <alignment horizontal="centerContinuous" vertical="center"/>
    </xf>
    <xf numFmtId="0" fontId="29" fillId="3" borderId="14" applyNumberFormat="0" applyBorder="0" applyAlignment="0">
      <alignment horizontal="left" vertical="center" indent="1"/>
    </xf>
    <xf numFmtId="0" fontId="30" fillId="0" borderId="15" applyBorder="0">
      <alignment horizontal="left" vertical="center"/>
      <protection locked="0"/>
    </xf>
    <xf numFmtId="0" fontId="31" fillId="0" borderId="0" applyFont="0" applyBorder="0" applyAlignment="0">
      <alignment horizontal="center" vertical="center"/>
    </xf>
    <xf numFmtId="0" fontId="16" fillId="0" borderId="1">
      <alignment vertical="top"/>
    </xf>
    <xf numFmtId="0" fontId="32" fillId="0" borderId="10" applyFill="0" applyBorder="0" applyAlignment="0">
      <alignment vertical="center"/>
    </xf>
    <xf numFmtId="164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2" fillId="0" borderId="0"/>
    <xf numFmtId="0" fontId="14" fillId="0" borderId="0"/>
    <xf numFmtId="0" fontId="15" fillId="0" borderId="0"/>
    <xf numFmtId="0" fontId="12" fillId="0" borderId="0"/>
    <xf numFmtId="0" fontId="14" fillId="0" borderId="0"/>
    <xf numFmtId="167" fontId="35" fillId="0" borderId="0" applyProtection="0">
      <protection locked="0"/>
    </xf>
    <xf numFmtId="0" fontId="36" fillId="0" borderId="0">
      <alignment horizontal="center" wrapText="1"/>
      <protection locked="0"/>
    </xf>
    <xf numFmtId="0" fontId="37" fillId="0" borderId="21" applyFill="0" applyBorder="0"/>
    <xf numFmtId="0" fontId="14" fillId="0" borderId="0" applyFill="0" applyBorder="0"/>
    <xf numFmtId="168" fontId="14" fillId="0" borderId="0" applyFill="0" applyBorder="0" applyAlignment="0"/>
    <xf numFmtId="169" fontId="29" fillId="0" borderId="0"/>
    <xf numFmtId="169" fontId="29" fillId="0" borderId="0"/>
    <xf numFmtId="169" fontId="29" fillId="0" borderId="0"/>
    <xf numFmtId="169" fontId="29" fillId="0" borderId="0"/>
    <xf numFmtId="169" fontId="29" fillId="0" borderId="0"/>
    <xf numFmtId="169" fontId="29" fillId="0" borderId="0"/>
    <xf numFmtId="169" fontId="29" fillId="0" borderId="0"/>
    <xf numFmtId="169" fontId="29" fillId="0" borderId="0"/>
    <xf numFmtId="0" fontId="38" fillId="0" borderId="0" applyNumberFormat="0" applyAlignment="0">
      <alignment horizontal="left"/>
    </xf>
    <xf numFmtId="0" fontId="39" fillId="0" borderId="0" applyNumberFormat="0" applyAlignment="0"/>
    <xf numFmtId="0" fontId="14" fillId="0" borderId="28" applyFont="0" applyBorder="0" applyAlignment="0"/>
    <xf numFmtId="166" fontId="40" fillId="0" borderId="29" applyBorder="0"/>
    <xf numFmtId="170" fontId="35" fillId="0" borderId="0">
      <protection locked="0"/>
    </xf>
    <xf numFmtId="0" fontId="41" fillId="0" borderId="30" applyBorder="0" applyAlignment="0">
      <alignment vertical="center"/>
    </xf>
    <xf numFmtId="0" fontId="42" fillId="0" borderId="31" applyBorder="0" applyAlignment="0">
      <alignment horizontal="center" vertical="center"/>
    </xf>
    <xf numFmtId="0" fontId="18" fillId="0" borderId="32" applyBorder="0" applyAlignment="0">
      <alignment vertical="center"/>
    </xf>
    <xf numFmtId="8" fontId="14" fillId="0" borderId="0" applyFill="0" applyBorder="0" applyAlignment="0" applyProtection="0"/>
    <xf numFmtId="6" fontId="14" fillId="0" borderId="0" applyFill="0" applyBorder="0" applyAlignment="0" applyProtection="0"/>
    <xf numFmtId="0" fontId="43" fillId="0" borderId="0" applyNumberFormat="0" applyAlignment="0">
      <alignment horizontal="left"/>
    </xf>
    <xf numFmtId="38" fontId="33" fillId="4" borderId="0" applyNumberFormat="0" applyBorder="0" applyAlignment="0" applyProtection="0"/>
    <xf numFmtId="0" fontId="24" fillId="0" borderId="13" applyNumberFormat="0" applyAlignment="0" applyProtection="0">
      <alignment horizontal="left" vertical="center"/>
    </xf>
    <xf numFmtId="0" fontId="24" fillId="0" borderId="17">
      <alignment horizontal="left" vertical="center"/>
    </xf>
    <xf numFmtId="0" fontId="24" fillId="0" borderId="0"/>
    <xf numFmtId="0" fontId="28" fillId="0" borderId="11" applyFont="0" applyBorder="0" applyAlignment="0">
      <alignment horizontal="center" vertical="center"/>
      <protection locked="0"/>
    </xf>
    <xf numFmtId="10" fontId="33" fillId="3" borderId="20" applyNumberFormat="0" applyBorder="0" applyAlignment="0" applyProtection="0"/>
    <xf numFmtId="171" fontId="44" fillId="5" borderId="0"/>
    <xf numFmtId="0" fontId="34" fillId="0" borderId="0" applyFont="0" applyBorder="0" applyAlignment="0"/>
    <xf numFmtId="171" fontId="45" fillId="6" borderId="0"/>
    <xf numFmtId="0" fontId="34" fillId="0" borderId="33" applyNumberFormat="0" applyFont="0" applyBorder="0" applyAlignment="0">
      <alignment vertical="center"/>
    </xf>
    <xf numFmtId="2" fontId="46" fillId="0" borderId="34" applyBorder="0">
      <alignment horizontal="center" vertical="center"/>
    </xf>
    <xf numFmtId="172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175" fontId="14" fillId="0" borderId="0" applyFont="0" applyFill="0" applyBorder="0" applyAlignment="0" applyProtection="0"/>
    <xf numFmtId="176" fontId="47" fillId="0" borderId="35">
      <alignment horizontal="center" vertical="center"/>
      <protection locked="0"/>
    </xf>
    <xf numFmtId="177" fontId="29" fillId="0" borderId="0"/>
    <xf numFmtId="0" fontId="12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41" fillId="0" borderId="36" applyBorder="0" applyAlignment="0">
      <alignment vertical="center"/>
    </xf>
    <xf numFmtId="14" fontId="36" fillId="0" borderId="0">
      <alignment horizontal="center" wrapText="1"/>
      <protection locked="0"/>
    </xf>
    <xf numFmtId="10" fontId="14" fillId="0" borderId="0" applyFont="0" applyFill="0" applyBorder="0" applyAlignment="0" applyProtection="0"/>
    <xf numFmtId="178" fontId="48" fillId="0" borderId="0"/>
    <xf numFmtId="0" fontId="15" fillId="0" borderId="0" applyNumberFormat="0" applyFont="0" applyFill="0" applyBorder="0" applyAlignment="0" applyProtection="0">
      <alignment horizontal="left"/>
    </xf>
    <xf numFmtId="179" fontId="49" fillId="0" borderId="0" applyNumberFormat="0" applyFill="0" applyBorder="0" applyAlignment="0" applyProtection="0">
      <alignment horizontal="left"/>
    </xf>
    <xf numFmtId="0" fontId="50" fillId="0" borderId="18" applyBorder="0" applyAlignment="0">
      <alignment horizontal="left"/>
    </xf>
    <xf numFmtId="40" fontId="51" fillId="0" borderId="0" applyBorder="0">
      <alignment horizontal="right"/>
    </xf>
    <xf numFmtId="180" fontId="52" fillId="7" borderId="19" applyNumberFormat="0">
      <alignment horizontal="center" vertical="center"/>
    </xf>
    <xf numFmtId="0" fontId="41" fillId="0" borderId="37" applyNumberFormat="0" applyBorder="0" applyAlignment="0">
      <alignment horizontal="center" vertical="center"/>
    </xf>
    <xf numFmtId="0" fontId="15" fillId="0" borderId="0"/>
    <xf numFmtId="0" fontId="14" fillId="0" borderId="0"/>
    <xf numFmtId="0" fontId="14" fillId="0" borderId="0"/>
    <xf numFmtId="0" fontId="14" fillId="0" borderId="0"/>
    <xf numFmtId="0" fontId="12" fillId="0" borderId="0"/>
  </cellStyleXfs>
  <cellXfs count="317">
    <xf numFmtId="0" fontId="0" fillId="0" borderId="0" xfId="0"/>
    <xf numFmtId="0" fontId="53" fillId="0" borderId="21" xfId="30" applyFont="1" applyBorder="1" applyAlignment="1" applyProtection="1">
      <alignment vertical="center"/>
      <protection hidden="1"/>
    </xf>
    <xf numFmtId="0" fontId="53" fillId="0" borderId="23" xfId="30" applyFont="1" applyBorder="1" applyAlignment="1" applyProtection="1">
      <alignment vertical="center"/>
      <protection hidden="1"/>
    </xf>
    <xf numFmtId="0" fontId="53" fillId="0" borderId="22" xfId="0" applyFont="1" applyBorder="1" applyAlignment="1" applyProtection="1">
      <alignment vertical="center"/>
      <protection hidden="1"/>
    </xf>
    <xf numFmtId="0" fontId="54" fillId="0" borderId="22" xfId="1" applyFont="1" applyBorder="1" applyAlignment="1" applyProtection="1">
      <alignment vertical="center"/>
      <protection hidden="1"/>
    </xf>
    <xf numFmtId="0" fontId="53" fillId="0" borderId="27" xfId="30" applyFont="1" applyBorder="1" applyAlignment="1" applyProtection="1">
      <alignment vertical="center"/>
      <protection hidden="1"/>
    </xf>
    <xf numFmtId="0" fontId="53" fillId="0" borderId="21" xfId="30" applyFont="1" applyBorder="1" applyAlignment="1" applyProtection="1">
      <alignment horizontal="left" vertical="center"/>
      <protection hidden="1"/>
    </xf>
    <xf numFmtId="0" fontId="53" fillId="0" borderId="22" xfId="30" applyFont="1" applyBorder="1" applyAlignment="1" applyProtection="1">
      <alignment horizontal="left" vertical="center"/>
      <protection hidden="1"/>
    </xf>
    <xf numFmtId="0" fontId="53" fillId="0" borderId="23" xfId="0" applyFont="1" applyBorder="1" applyAlignment="1" applyProtection="1">
      <alignment vertical="center"/>
      <protection hidden="1"/>
    </xf>
    <xf numFmtId="0" fontId="0" fillId="0" borderId="0" xfId="0" applyProtection="1">
      <protection hidden="1"/>
    </xf>
    <xf numFmtId="0" fontId="53" fillId="0" borderId="22" xfId="30" applyFont="1" applyBorder="1" applyAlignment="1" applyProtection="1">
      <alignment vertical="center"/>
      <protection hidden="1"/>
    </xf>
    <xf numFmtId="0" fontId="0" fillId="0" borderId="83" xfId="0" applyBorder="1" applyProtection="1">
      <protection hidden="1"/>
    </xf>
    <xf numFmtId="0" fontId="0" fillId="0" borderId="62" xfId="0" applyBorder="1" applyProtection="1">
      <protection hidden="1"/>
    </xf>
    <xf numFmtId="0" fontId="0" fillId="0" borderId="60" xfId="0" applyBorder="1" applyProtection="1">
      <protection hidden="1"/>
    </xf>
    <xf numFmtId="0" fontId="0" fillId="0" borderId="61" xfId="0" applyBorder="1" applyProtection="1">
      <protection hidden="1"/>
    </xf>
    <xf numFmtId="0" fontId="0" fillId="0" borderId="84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65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6" xfId="0" applyBorder="1" applyProtection="1"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182" fontId="0" fillId="0" borderId="0" xfId="0" applyNumberFormat="1" applyBorder="1" applyAlignment="1" applyProtection="1">
      <protection hidden="1"/>
    </xf>
    <xf numFmtId="0" fontId="0" fillId="0" borderId="0" xfId="0" applyFont="1" applyBorder="1" applyProtection="1">
      <protection hidden="1"/>
    </xf>
    <xf numFmtId="0" fontId="0" fillId="0" borderId="26" xfId="0" applyBorder="1" applyProtection="1">
      <protection hidden="1"/>
    </xf>
    <xf numFmtId="0" fontId="56" fillId="0" borderId="0" xfId="0" applyFont="1" applyBorder="1" applyAlignment="1" applyProtection="1">
      <protection hidden="1"/>
    </xf>
    <xf numFmtId="0" fontId="60" fillId="0" borderId="0" xfId="0" applyFont="1" applyBorder="1" applyAlignment="1" applyProtection="1">
      <protection hidden="1"/>
    </xf>
    <xf numFmtId="0" fontId="60" fillId="0" borderId="0" xfId="0" applyFont="1" applyBorder="1" applyProtection="1">
      <protection hidden="1"/>
    </xf>
    <xf numFmtId="182" fontId="59" fillId="0" borderId="0" xfId="0" applyNumberFormat="1" applyFont="1" applyBorder="1" applyAlignment="1" applyProtection="1">
      <protection hidden="1"/>
    </xf>
    <xf numFmtId="182" fontId="58" fillId="0" borderId="0" xfId="0" applyNumberFormat="1" applyFont="1" applyBorder="1" applyAlignment="1" applyProtection="1">
      <protection hidden="1"/>
    </xf>
    <xf numFmtId="0" fontId="0" fillId="0" borderId="85" xfId="0" applyBorder="1" applyProtection="1">
      <protection hidden="1"/>
    </xf>
    <xf numFmtId="0" fontId="0" fillId="0" borderId="86" xfId="0" applyBorder="1" applyProtection="1">
      <protection hidden="1"/>
    </xf>
    <xf numFmtId="0" fontId="56" fillId="0" borderId="85" xfId="0" applyFont="1" applyBorder="1" applyAlignment="1" applyProtection="1">
      <protection hidden="1"/>
    </xf>
    <xf numFmtId="0" fontId="56" fillId="0" borderId="86" xfId="0" applyFont="1" applyBorder="1" applyAlignment="1" applyProtection="1">
      <protection hidden="1"/>
    </xf>
    <xf numFmtId="0" fontId="61" fillId="0" borderId="21" xfId="0" applyFont="1" applyBorder="1" applyAlignment="1" applyProtection="1">
      <alignment vertical="top"/>
      <protection hidden="1"/>
    </xf>
    <xf numFmtId="0" fontId="0" fillId="0" borderId="22" xfId="0" applyBorder="1" applyProtection="1">
      <protection hidden="1"/>
    </xf>
    <xf numFmtId="0" fontId="0" fillId="0" borderId="91" xfId="0" applyBorder="1" applyProtection="1">
      <protection hidden="1"/>
    </xf>
    <xf numFmtId="0" fontId="0" fillId="0" borderId="102" xfId="0" applyBorder="1" applyAlignment="1" applyProtection="1">
      <alignment horizontal="right"/>
      <protection hidden="1"/>
    </xf>
    <xf numFmtId="0" fontId="0" fillId="0" borderId="103" xfId="0" applyBorder="1" applyAlignment="1" applyProtection="1">
      <alignment horizontal="center"/>
      <protection hidden="1"/>
    </xf>
    <xf numFmtId="182" fontId="58" fillId="0" borderId="103" xfId="0" applyNumberFormat="1" applyFont="1" applyBorder="1" applyAlignment="1" applyProtection="1">
      <protection hidden="1"/>
    </xf>
    <xf numFmtId="182" fontId="0" fillId="0" borderId="104" xfId="0" applyNumberFormat="1" applyBorder="1" applyAlignment="1" applyProtection="1">
      <protection hidden="1"/>
    </xf>
    <xf numFmtId="182" fontId="0" fillId="0" borderId="91" xfId="0" applyNumberFormat="1" applyBorder="1" applyAlignment="1" applyProtection="1">
      <protection hidden="1"/>
    </xf>
    <xf numFmtId="182" fontId="0" fillId="0" borderId="95" xfId="0" applyNumberFormat="1" applyBorder="1" applyAlignment="1" applyProtection="1">
      <protection hidden="1"/>
    </xf>
    <xf numFmtId="0" fontId="61" fillId="0" borderId="23" xfId="0" applyFont="1" applyBorder="1" applyAlignment="1" applyProtection="1">
      <alignment horizontal="right" vertical="top"/>
      <protection hidden="1"/>
    </xf>
    <xf numFmtId="0" fontId="0" fillId="0" borderId="92" xfId="0" applyBorder="1" applyProtection="1">
      <protection hidden="1"/>
    </xf>
    <xf numFmtId="0" fontId="0" fillId="0" borderId="93" xfId="0" applyBorder="1" applyProtection="1">
      <protection hidden="1"/>
    </xf>
    <xf numFmtId="0" fontId="0" fillId="0" borderId="94" xfId="0" applyBorder="1" applyProtection="1">
      <protection hidden="1"/>
    </xf>
    <xf numFmtId="0" fontId="0" fillId="0" borderId="96" xfId="0" applyBorder="1" applyProtection="1">
      <protection hidden="1"/>
    </xf>
    <xf numFmtId="0" fontId="0" fillId="0" borderId="90" xfId="0" applyBorder="1" applyProtection="1">
      <protection hidden="1"/>
    </xf>
    <xf numFmtId="0" fontId="0" fillId="0" borderId="89" xfId="0" applyBorder="1" applyProtection="1">
      <protection hidden="1"/>
    </xf>
    <xf numFmtId="0" fontId="0" fillId="0" borderId="100" xfId="0" applyBorder="1" applyProtection="1">
      <protection hidden="1"/>
    </xf>
    <xf numFmtId="0" fontId="0" fillId="0" borderId="101" xfId="0" applyBorder="1" applyProtection="1">
      <protection hidden="1"/>
    </xf>
    <xf numFmtId="0" fontId="0" fillId="0" borderId="98" xfId="0" applyBorder="1" applyProtection="1"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6" xfId="0" applyBorder="1" applyAlignment="1" applyProtection="1">
      <protection hidden="1"/>
    </xf>
    <xf numFmtId="0" fontId="0" fillId="0" borderId="85" xfId="0" applyBorder="1" applyAlignment="1" applyProtection="1">
      <protection hidden="1"/>
    </xf>
    <xf numFmtId="0" fontId="0" fillId="0" borderId="86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65" xfId="0" applyBorder="1" applyAlignment="1" applyProtection="1">
      <protection hidden="1"/>
    </xf>
    <xf numFmtId="0" fontId="11" fillId="0" borderId="0" xfId="0" applyFont="1" applyBorder="1" applyAlignment="1" applyProtection="1">
      <alignment vertical="center" wrapText="1"/>
      <protection hidden="1"/>
    </xf>
    <xf numFmtId="0" fontId="11" fillId="0" borderId="16" xfId="0" applyFont="1" applyBorder="1" applyAlignment="1" applyProtection="1">
      <alignment vertical="center" wrapText="1"/>
      <protection hidden="1"/>
    </xf>
    <xf numFmtId="0" fontId="11" fillId="0" borderId="85" xfId="0" applyFont="1" applyBorder="1" applyAlignment="1" applyProtection="1">
      <alignment vertical="center" wrapText="1"/>
      <protection hidden="1"/>
    </xf>
    <xf numFmtId="0" fontId="11" fillId="0" borderId="86" xfId="0" applyFont="1" applyBorder="1" applyAlignment="1" applyProtection="1">
      <alignment vertical="center" wrapText="1"/>
      <protection hidden="1"/>
    </xf>
    <xf numFmtId="0" fontId="61" fillId="0" borderId="0" xfId="0" applyFont="1" applyBorder="1" applyAlignment="1" applyProtection="1">
      <protection hidden="1"/>
    </xf>
    <xf numFmtId="0" fontId="11" fillId="0" borderId="6" xfId="0" applyFont="1" applyBorder="1" applyAlignment="1" applyProtection="1">
      <alignment vertical="center" wrapText="1"/>
      <protection hidden="1"/>
    </xf>
    <xf numFmtId="0" fontId="11" fillId="0" borderId="65" xfId="0" applyFont="1" applyBorder="1" applyAlignment="1" applyProtection="1">
      <alignment vertical="center" wrapText="1"/>
      <protection hidden="1"/>
    </xf>
    <xf numFmtId="0" fontId="11" fillId="0" borderId="0" xfId="0" applyFont="1" applyBorder="1" applyAlignment="1" applyProtection="1">
      <protection hidden="1"/>
    </xf>
    <xf numFmtId="0" fontId="61" fillId="0" borderId="16" xfId="0" applyFont="1" applyBorder="1" applyAlignment="1" applyProtection="1">
      <protection hidden="1"/>
    </xf>
    <xf numFmtId="0" fontId="11" fillId="0" borderId="96" xfId="0" applyFont="1" applyBorder="1" applyAlignment="1" applyProtection="1">
      <protection hidden="1"/>
    </xf>
    <xf numFmtId="0" fontId="11" fillId="0" borderId="93" xfId="0" applyFont="1" applyBorder="1" applyAlignment="1" applyProtection="1">
      <protection hidden="1"/>
    </xf>
    <xf numFmtId="0" fontId="11" fillId="0" borderId="85" xfId="0" applyFont="1" applyBorder="1" applyAlignment="1" applyProtection="1">
      <protection hidden="1"/>
    </xf>
    <xf numFmtId="0" fontId="11" fillId="0" borderId="98" xfId="0" applyFont="1" applyBorder="1" applyAlignment="1" applyProtection="1">
      <protection hidden="1"/>
    </xf>
    <xf numFmtId="0" fontId="11" fillId="0" borderId="90" xfId="0" applyFont="1" applyBorder="1" applyAlignment="1" applyProtection="1">
      <protection hidden="1"/>
    </xf>
    <xf numFmtId="0" fontId="11" fillId="0" borderId="89" xfId="0" applyFont="1" applyBorder="1" applyAlignment="1" applyProtection="1">
      <alignment vertical="center" wrapText="1"/>
      <protection hidden="1"/>
    </xf>
    <xf numFmtId="0" fontId="11" fillId="0" borderId="100" xfId="0" applyFont="1" applyBorder="1" applyAlignment="1" applyProtection="1">
      <alignment vertical="center" wrapText="1"/>
      <protection hidden="1"/>
    </xf>
    <xf numFmtId="0" fontId="11" fillId="0" borderId="90" xfId="0" applyFont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protection hidden="1"/>
    </xf>
    <xf numFmtId="0" fontId="0" fillId="0" borderId="0" xfId="0" applyNumberFormat="1" applyBorder="1" applyAlignment="1" applyProtection="1">
      <protection hidden="1"/>
    </xf>
    <xf numFmtId="182" fontId="0" fillId="0" borderId="16" xfId="0" applyNumberFormat="1" applyBorder="1" applyAlignment="1" applyProtection="1">
      <protection hidden="1"/>
    </xf>
    <xf numFmtId="182" fontId="0" fillId="0" borderId="85" xfId="0" applyNumberFormat="1" applyBorder="1" applyAlignment="1" applyProtection="1">
      <protection hidden="1"/>
    </xf>
    <xf numFmtId="182" fontId="0" fillId="0" borderId="47" xfId="0" applyNumberFormat="1" applyBorder="1" applyAlignment="1" applyProtection="1">
      <protection hidden="1"/>
    </xf>
    <xf numFmtId="183" fontId="0" fillId="0" borderId="86" xfId="0" applyNumberFormat="1" applyBorder="1" applyAlignment="1" applyProtection="1">
      <protection hidden="1"/>
    </xf>
    <xf numFmtId="183" fontId="0" fillId="0" borderId="0" xfId="0" applyNumberFormat="1" applyBorder="1" applyAlignment="1" applyProtection="1">
      <protection hidden="1"/>
    </xf>
    <xf numFmtId="182" fontId="0" fillId="0" borderId="6" xfId="0" applyNumberFormat="1" applyBorder="1" applyAlignment="1" applyProtection="1">
      <protection hidden="1"/>
    </xf>
    <xf numFmtId="182" fontId="0" fillId="0" borderId="65" xfId="0" applyNumberFormat="1" applyBorder="1" applyAlignment="1" applyProtection="1">
      <protection hidden="1"/>
    </xf>
    <xf numFmtId="182" fontId="61" fillId="0" borderId="6" xfId="0" applyNumberFormat="1" applyFont="1" applyBorder="1" applyAlignment="1" applyProtection="1">
      <alignment horizontal="right" vertical="center"/>
      <protection hidden="1"/>
    </xf>
    <xf numFmtId="183" fontId="0" fillId="0" borderId="96" xfId="0" applyNumberFormat="1" applyBorder="1" applyAlignment="1" applyProtection="1">
      <protection hidden="1"/>
    </xf>
    <xf numFmtId="183" fontId="0" fillId="0" borderId="93" xfId="0" applyNumberFormat="1" applyBorder="1" applyAlignment="1" applyProtection="1">
      <protection hidden="1"/>
    </xf>
    <xf numFmtId="182" fontId="0" fillId="0" borderId="97" xfId="0" applyNumberFormat="1" applyBorder="1" applyAlignment="1" applyProtection="1">
      <protection hidden="1"/>
    </xf>
    <xf numFmtId="0" fontId="0" fillId="0" borderId="90" xfId="0" applyNumberFormat="1" applyBorder="1" applyAlignment="1" applyProtection="1">
      <protection hidden="1"/>
    </xf>
    <xf numFmtId="182" fontId="0" fillId="0" borderId="89" xfId="0" applyNumberFormat="1" applyBorder="1" applyAlignment="1" applyProtection="1">
      <protection hidden="1"/>
    </xf>
    <xf numFmtId="182" fontId="0" fillId="0" borderId="100" xfId="0" applyNumberFormat="1" applyBorder="1" applyAlignment="1" applyProtection="1">
      <protection hidden="1"/>
    </xf>
    <xf numFmtId="182" fontId="0" fillId="8" borderId="21" xfId="0" applyNumberFormat="1" applyFill="1" applyBorder="1" applyAlignment="1" applyProtection="1">
      <protection hidden="1"/>
    </xf>
    <xf numFmtId="182" fontId="0" fillId="8" borderId="22" xfId="0" applyNumberFormat="1" applyFill="1" applyBorder="1" applyAlignment="1" applyProtection="1">
      <protection hidden="1"/>
    </xf>
    <xf numFmtId="182" fontId="0" fillId="8" borderId="81" xfId="0" applyNumberFormat="1" applyFill="1" applyBorder="1" applyAlignment="1" applyProtection="1">
      <protection hidden="1"/>
    </xf>
    <xf numFmtId="182" fontId="0" fillId="0" borderId="105" xfId="0" applyNumberFormat="1" applyBorder="1" applyAlignment="1" applyProtection="1">
      <protection hidden="1"/>
    </xf>
    <xf numFmtId="182" fontId="0" fillId="0" borderId="99" xfId="0" applyNumberFormat="1" applyBorder="1" applyAlignment="1" applyProtection="1">
      <protection hidden="1"/>
    </xf>
    <xf numFmtId="182" fontId="0" fillId="0" borderId="26" xfId="0" applyNumberFormat="1" applyBorder="1" applyAlignment="1" applyProtection="1">
      <protection hidden="1"/>
    </xf>
    <xf numFmtId="182" fontId="0" fillId="0" borderId="82" xfId="0" applyNumberFormat="1" applyBorder="1" applyAlignment="1" applyProtection="1">
      <protection hidden="1"/>
    </xf>
    <xf numFmtId="183" fontId="0" fillId="0" borderId="98" xfId="0" applyNumberFormat="1" applyBorder="1" applyAlignment="1" applyProtection="1">
      <protection hidden="1"/>
    </xf>
    <xf numFmtId="183" fontId="0" fillId="0" borderId="90" xfId="0" applyNumberFormat="1" applyBorder="1" applyAlignment="1" applyProtection="1">
      <protection hidden="1"/>
    </xf>
    <xf numFmtId="182" fontId="0" fillId="0" borderId="90" xfId="0" applyNumberFormat="1" applyBorder="1" applyAlignment="1" applyProtection="1">
      <protection hidden="1"/>
    </xf>
    <xf numFmtId="182" fontId="0" fillId="8" borderId="16" xfId="0" applyNumberFormat="1" applyFill="1" applyBorder="1" applyAlignment="1" applyProtection="1">
      <protection hidden="1"/>
    </xf>
    <xf numFmtId="182" fontId="0" fillId="8" borderId="0" xfId="0" applyNumberFormat="1" applyFill="1" applyBorder="1" applyAlignment="1" applyProtection="1">
      <protection hidden="1"/>
    </xf>
    <xf numFmtId="182" fontId="0" fillId="8" borderId="23" xfId="0" applyNumberFormat="1" applyFill="1" applyBorder="1" applyAlignment="1" applyProtection="1">
      <protection hidden="1"/>
    </xf>
    <xf numFmtId="182" fontId="0" fillId="8" borderId="6" xfId="0" applyNumberFormat="1" applyFill="1" applyBorder="1" applyAlignment="1" applyProtection="1">
      <protection hidden="1"/>
    </xf>
    <xf numFmtId="0" fontId="57" fillId="0" borderId="0" xfId="0" applyFont="1" applyBorder="1" applyProtection="1">
      <protection hidden="1"/>
    </xf>
    <xf numFmtId="182" fontId="0" fillId="8" borderId="24" xfId="0" applyNumberFormat="1" applyFill="1" applyBorder="1" applyAlignment="1" applyProtection="1">
      <protection hidden="1"/>
    </xf>
    <xf numFmtId="182" fontId="0" fillId="8" borderId="26" xfId="0" applyNumberFormat="1" applyFill="1" applyBorder="1" applyAlignment="1" applyProtection="1">
      <protection hidden="1"/>
    </xf>
    <xf numFmtId="182" fontId="0" fillId="8" borderId="25" xfId="0" applyNumberFormat="1" applyFill="1" applyBorder="1" applyAlignment="1" applyProtection="1">
      <protection hidden="1"/>
    </xf>
    <xf numFmtId="182" fontId="0" fillId="0" borderId="22" xfId="0" applyNumberFormat="1" applyBorder="1" applyAlignment="1" applyProtection="1">
      <protection hidden="1"/>
    </xf>
    <xf numFmtId="0" fontId="61" fillId="0" borderId="24" xfId="0" applyFont="1" applyBorder="1" applyProtection="1">
      <protection hidden="1"/>
    </xf>
    <xf numFmtId="0" fontId="0" fillId="0" borderId="82" xfId="0" applyBorder="1" applyProtection="1">
      <protection hidden="1"/>
    </xf>
    <xf numFmtId="0" fontId="61" fillId="0" borderId="25" xfId="0" applyFont="1" applyBorder="1" applyAlignment="1" applyProtection="1">
      <alignment horizontal="right"/>
      <protection hidden="1"/>
    </xf>
    <xf numFmtId="0" fontId="0" fillId="0" borderId="22" xfId="0" applyBorder="1" applyAlignment="1" applyProtection="1">
      <alignment horizontal="right"/>
      <protection hidden="1"/>
    </xf>
    <xf numFmtId="0" fontId="0" fillId="0" borderId="22" xfId="0" applyBorder="1" applyAlignment="1" applyProtection="1">
      <alignment horizontal="center"/>
      <protection hidden="1"/>
    </xf>
    <xf numFmtId="0" fontId="0" fillId="0" borderId="24" xfId="0" applyBorder="1" applyProtection="1">
      <protection hidden="1"/>
    </xf>
    <xf numFmtId="0" fontId="0" fillId="0" borderId="88" xfId="0" applyBorder="1" applyProtection="1">
      <protection hidden="1"/>
    </xf>
    <xf numFmtId="0" fontId="0" fillId="0" borderId="87" xfId="0" applyBorder="1" applyProtection="1">
      <protection hidden="1"/>
    </xf>
    <xf numFmtId="0" fontId="0" fillId="0" borderId="25" xfId="0" applyBorder="1" applyProtection="1">
      <protection hidden="1"/>
    </xf>
    <xf numFmtId="0" fontId="0" fillId="0" borderId="0" xfId="0" applyBorder="1" applyAlignment="1" applyProtection="1">
      <alignment vertical="center" wrapText="1"/>
      <protection hidden="1"/>
    </xf>
    <xf numFmtId="0" fontId="0" fillId="0" borderId="0" xfId="0" applyAlignment="1" applyProtection="1">
      <protection hidden="1"/>
    </xf>
    <xf numFmtId="0" fontId="60" fillId="0" borderId="0" xfId="0" applyFont="1" applyProtection="1">
      <protection hidden="1"/>
    </xf>
    <xf numFmtId="0" fontId="60" fillId="0" borderId="24" xfId="0" applyFont="1" applyBorder="1" applyProtection="1">
      <protection hidden="1"/>
    </xf>
    <xf numFmtId="0" fontId="60" fillId="0" borderId="88" xfId="0" applyFont="1" applyBorder="1" applyProtection="1">
      <protection hidden="1"/>
    </xf>
    <xf numFmtId="0" fontId="60" fillId="0" borderId="87" xfId="0" applyFont="1" applyBorder="1" applyProtection="1">
      <protection hidden="1"/>
    </xf>
    <xf numFmtId="0" fontId="60" fillId="0" borderId="26" xfId="0" applyFont="1" applyBorder="1" applyProtection="1">
      <protection hidden="1"/>
    </xf>
    <xf numFmtId="0" fontId="60" fillId="0" borderId="25" xfId="0" applyFont="1" applyBorder="1" applyProtection="1">
      <protection hidden="1"/>
    </xf>
    <xf numFmtId="0" fontId="0" fillId="0" borderId="0" xfId="0" applyBorder="1" applyAlignment="1" applyProtection="1">
      <protection hidden="1"/>
    </xf>
    <xf numFmtId="0" fontId="10" fillId="0" borderId="16" xfId="0" applyFont="1" applyBorder="1" applyProtection="1">
      <protection hidden="1"/>
    </xf>
    <xf numFmtId="0" fontId="10" fillId="0" borderId="65" xfId="0" applyFont="1" applyBorder="1" applyProtection="1">
      <protection hidden="1"/>
    </xf>
    <xf numFmtId="0" fontId="10" fillId="0" borderId="1" xfId="0" applyFont="1" applyBorder="1" applyProtection="1">
      <protection hidden="1"/>
    </xf>
    <xf numFmtId="0" fontId="10" fillId="0" borderId="0" xfId="0" applyFont="1" applyBorder="1" applyAlignment="1" applyProtection="1">
      <alignment horizontal="right"/>
      <protection hidden="1"/>
    </xf>
    <xf numFmtId="0" fontId="10" fillId="0" borderId="0" xfId="0" applyFont="1" applyBorder="1" applyProtection="1">
      <protection hidden="1"/>
    </xf>
    <xf numFmtId="0" fontId="10" fillId="0" borderId="6" xfId="0" applyFont="1" applyBorder="1" applyProtection="1">
      <protection hidden="1"/>
    </xf>
    <xf numFmtId="0" fontId="10" fillId="0" borderId="0" xfId="0" applyFont="1" applyProtection="1">
      <protection hidden="1"/>
    </xf>
    <xf numFmtId="0" fontId="10" fillId="0" borderId="0" xfId="0" applyFont="1" applyFill="1" applyBorder="1" applyProtection="1">
      <protection hidden="1"/>
    </xf>
    <xf numFmtId="0" fontId="10" fillId="0" borderId="0" xfId="0" applyFont="1" applyFill="1" applyBorder="1" applyAlignment="1" applyProtection="1">
      <alignment horizontal="right"/>
      <protection hidden="1"/>
    </xf>
    <xf numFmtId="0" fontId="62" fillId="0" borderId="0" xfId="0" applyFont="1" applyProtection="1">
      <protection hidden="1"/>
    </xf>
    <xf numFmtId="0" fontId="0" fillId="0" borderId="106" xfId="0" applyBorder="1" applyProtection="1">
      <protection hidden="1"/>
    </xf>
    <xf numFmtId="0" fontId="0" fillId="0" borderId="48" xfId="0" applyBorder="1" applyProtection="1">
      <protection hidden="1"/>
    </xf>
    <xf numFmtId="0" fontId="0" fillId="0" borderId="49" xfId="0" applyBorder="1" applyProtection="1">
      <protection hidden="1"/>
    </xf>
    <xf numFmtId="0" fontId="0" fillId="0" borderId="50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57" xfId="0" applyBorder="1" applyProtection="1">
      <protection hidden="1"/>
    </xf>
    <xf numFmtId="0" fontId="0" fillId="0" borderId="74" xfId="0" applyBorder="1" applyProtection="1">
      <protection hidden="1"/>
    </xf>
    <xf numFmtId="0" fontId="0" fillId="0" borderId="75" xfId="0" applyBorder="1" applyProtection="1">
      <protection hidden="1"/>
    </xf>
    <xf numFmtId="0" fontId="0" fillId="0" borderId="79" xfId="0" applyBorder="1" applyProtection="1">
      <protection hidden="1"/>
    </xf>
    <xf numFmtId="0" fontId="9" fillId="0" borderId="0" xfId="0" applyFont="1" applyBorder="1" applyProtection="1">
      <protection hidden="1"/>
    </xf>
    <xf numFmtId="0" fontId="9" fillId="0" borderId="0" xfId="0" applyFont="1" applyFill="1" applyBorder="1" applyProtection="1">
      <protection hidden="1"/>
    </xf>
    <xf numFmtId="0" fontId="8" fillId="0" borderId="0" xfId="0" applyFont="1" applyBorder="1" applyProtection="1">
      <protection hidden="1"/>
    </xf>
    <xf numFmtId="0" fontId="8" fillId="0" borderId="0" xfId="0" applyFont="1" applyFill="1" applyBorder="1" applyProtection="1">
      <protection hidden="1"/>
    </xf>
    <xf numFmtId="0" fontId="10" fillId="0" borderId="24" xfId="0" applyFont="1" applyBorder="1" applyProtection="1">
      <protection hidden="1"/>
    </xf>
    <xf numFmtId="0" fontId="10" fillId="0" borderId="88" xfId="0" applyFont="1" applyBorder="1" applyProtection="1">
      <protection hidden="1"/>
    </xf>
    <xf numFmtId="0" fontId="10" fillId="0" borderId="87" xfId="0" applyFont="1" applyBorder="1" applyProtection="1">
      <protection hidden="1"/>
    </xf>
    <xf numFmtId="0" fontId="10" fillId="0" borderId="26" xfId="0" applyFont="1" applyBorder="1" applyProtection="1">
      <protection hidden="1"/>
    </xf>
    <xf numFmtId="0" fontId="9" fillId="0" borderId="26" xfId="0" applyFont="1" applyBorder="1" applyAlignment="1" applyProtection="1">
      <alignment horizontal="right"/>
      <protection hidden="1"/>
    </xf>
    <xf numFmtId="0" fontId="10" fillId="0" borderId="25" xfId="0" applyFont="1" applyBorder="1" applyProtection="1">
      <protection hidden="1"/>
    </xf>
    <xf numFmtId="0" fontId="0" fillId="0" borderId="0" xfId="0" applyProtection="1">
      <protection hidden="1"/>
    </xf>
    <xf numFmtId="0" fontId="7" fillId="0" borderId="0" xfId="0" applyFont="1" applyFill="1" applyBorder="1" applyAlignment="1" applyProtection="1">
      <alignment horizontal="right"/>
      <protection hidden="1"/>
    </xf>
    <xf numFmtId="0" fontId="6" fillId="0" borderId="0" xfId="0" applyFont="1" applyBorder="1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0" fontId="5" fillId="0" borderId="0" xfId="0" applyFont="1" applyFill="1" applyBorder="1" applyProtection="1">
      <protection hidden="1"/>
    </xf>
    <xf numFmtId="0" fontId="0" fillId="0" borderId="0" xfId="0" applyBorder="1" applyAlignment="1" applyProtection="1">
      <protection hidden="1"/>
    </xf>
    <xf numFmtId="0" fontId="3" fillId="0" borderId="0" xfId="0" applyFont="1" applyBorder="1" applyProtection="1">
      <protection hidden="1"/>
    </xf>
    <xf numFmtId="0" fontId="3" fillId="0" borderId="0" xfId="0" applyFont="1" applyBorder="1" applyAlignment="1" applyProtection="1">
      <alignment horizontal="right"/>
      <protection hidden="1"/>
    </xf>
    <xf numFmtId="0" fontId="2" fillId="0" borderId="0" xfId="0" applyFont="1" applyBorder="1" applyAlignment="1" applyProtection="1">
      <alignment horizontal="right"/>
      <protection hidden="1"/>
    </xf>
    <xf numFmtId="0" fontId="64" fillId="0" borderId="0" xfId="0" applyFont="1" applyBorder="1" applyProtection="1">
      <protection hidden="1"/>
    </xf>
    <xf numFmtId="0" fontId="2" fillId="0" borderId="0" xfId="0" applyFont="1" applyBorder="1" applyProtection="1">
      <protection hidden="1"/>
    </xf>
    <xf numFmtId="183" fontId="0" fillId="0" borderId="68" xfId="0" applyNumberFormat="1" applyBorder="1" applyAlignment="1" applyProtection="1">
      <alignment horizontal="right" indent="1"/>
      <protection hidden="1"/>
    </xf>
    <xf numFmtId="183" fontId="0" fillId="0" borderId="10" xfId="0" applyNumberFormat="1" applyBorder="1" applyAlignment="1" applyProtection="1">
      <alignment horizontal="right" indent="1"/>
      <protection hidden="1"/>
    </xf>
    <xf numFmtId="183" fontId="0" fillId="0" borderId="57" xfId="0" applyNumberFormat="1" applyBorder="1" applyAlignment="1" applyProtection="1">
      <alignment horizontal="right" indent="1"/>
      <protection hidden="1"/>
    </xf>
    <xf numFmtId="182" fontId="0" fillId="0" borderId="18" xfId="0" applyNumberFormat="1" applyBorder="1" applyAlignment="1" applyProtection="1">
      <alignment horizontal="right" indent="1"/>
      <protection hidden="1"/>
    </xf>
    <xf numFmtId="182" fontId="0" fillId="0" borderId="10" xfId="0" applyNumberFormat="1" applyBorder="1" applyAlignment="1" applyProtection="1">
      <alignment horizontal="right" indent="1"/>
      <protection hidden="1"/>
    </xf>
    <xf numFmtId="182" fontId="0" fillId="0" borderId="57" xfId="0" applyNumberFormat="1" applyBorder="1" applyAlignment="1" applyProtection="1">
      <alignment horizontal="right" indent="1"/>
      <protection hidden="1"/>
    </xf>
    <xf numFmtId="0" fontId="0" fillId="0" borderId="66" xfId="0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0" fontId="11" fillId="0" borderId="66" xfId="0" applyFont="1" applyBorder="1" applyAlignment="1" applyProtection="1">
      <alignment horizontal="center" vertical="center" wrapText="1"/>
      <protection hidden="1"/>
    </xf>
    <xf numFmtId="0" fontId="11" fillId="0" borderId="20" xfId="0" applyFont="1" applyBorder="1" applyAlignment="1" applyProtection="1">
      <alignment horizontal="center" vertical="center" wrapText="1"/>
      <protection hidden="1"/>
    </xf>
    <xf numFmtId="0" fontId="4" fillId="0" borderId="20" xfId="0" applyFont="1" applyBorder="1" applyAlignment="1" applyProtection="1">
      <alignment horizontal="center" vertical="center" wrapText="1"/>
      <protection hidden="1"/>
    </xf>
    <xf numFmtId="0" fontId="11" fillId="0" borderId="66" xfId="0" applyFont="1" applyBorder="1" applyAlignment="1" applyProtection="1">
      <alignment horizontal="center"/>
      <protection hidden="1"/>
    </xf>
    <xf numFmtId="0" fontId="11" fillId="0" borderId="20" xfId="0" applyFont="1" applyBorder="1" applyAlignment="1" applyProtection="1">
      <alignment horizontal="center"/>
      <protection hidden="1"/>
    </xf>
    <xf numFmtId="183" fontId="0" fillId="0" borderId="67" xfId="0" applyNumberFormat="1" applyBorder="1" applyAlignment="1" applyProtection="1">
      <alignment horizontal="right" indent="1"/>
      <protection hidden="1"/>
    </xf>
    <xf numFmtId="183" fontId="0" fillId="0" borderId="49" xfId="0" applyNumberFormat="1" applyBorder="1" applyAlignment="1" applyProtection="1">
      <alignment horizontal="right" indent="1"/>
      <protection hidden="1"/>
    </xf>
    <xf numFmtId="183" fontId="0" fillId="0" borderId="50" xfId="0" applyNumberFormat="1" applyBorder="1" applyAlignment="1" applyProtection="1">
      <alignment horizontal="right" indent="1"/>
      <protection hidden="1"/>
    </xf>
    <xf numFmtId="182" fontId="0" fillId="0" borderId="60" xfId="0" applyNumberFormat="1" applyBorder="1" applyAlignment="1" applyProtection="1">
      <alignment horizontal="right" indent="1"/>
      <protection hidden="1"/>
    </xf>
    <xf numFmtId="182" fontId="0" fillId="0" borderId="61" xfId="0" applyNumberFormat="1" applyBorder="1" applyAlignment="1" applyProtection="1">
      <alignment horizontal="right" indent="1"/>
      <protection hidden="1"/>
    </xf>
    <xf numFmtId="182" fontId="0" fillId="0" borderId="62" xfId="0" applyNumberFormat="1" applyBorder="1" applyAlignment="1" applyProtection="1">
      <alignment horizontal="right" indent="1"/>
      <protection hidden="1"/>
    </xf>
    <xf numFmtId="0" fontId="0" fillId="0" borderId="18" xfId="0" applyBorder="1" applyAlignment="1" applyProtection="1">
      <alignment horizontal="center" shrinkToFit="1"/>
      <protection hidden="1"/>
    </xf>
    <xf numFmtId="0" fontId="0" fillId="0" borderId="10" xfId="0" applyBorder="1" applyAlignment="1" applyProtection="1">
      <alignment horizontal="center" shrinkToFit="1"/>
      <protection hidden="1"/>
    </xf>
    <xf numFmtId="0" fontId="0" fillId="0" borderId="57" xfId="0" applyBorder="1" applyAlignment="1" applyProtection="1">
      <alignment horizontal="center" shrinkToFit="1"/>
      <protection hidden="1"/>
    </xf>
    <xf numFmtId="182" fontId="0" fillId="0" borderId="44" xfId="0" applyNumberFormat="1" applyBorder="1" applyAlignment="1" applyProtection="1">
      <alignment horizontal="center"/>
      <protection hidden="1"/>
    </xf>
    <xf numFmtId="0" fontId="0" fillId="0" borderId="58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71" xfId="0" applyBorder="1" applyAlignment="1" applyProtection="1">
      <alignment horizontal="center"/>
      <protection hidden="1"/>
    </xf>
    <xf numFmtId="182" fontId="0" fillId="0" borderId="69" xfId="0" applyNumberFormat="1" applyBorder="1" applyAlignment="1" applyProtection="1">
      <alignment horizontal="right" indent="1"/>
      <protection hidden="1"/>
    </xf>
    <xf numFmtId="182" fontId="0" fillId="0" borderId="73" xfId="0" applyNumberFormat="1" applyBorder="1" applyAlignment="1" applyProtection="1">
      <alignment horizontal="right" indent="1"/>
      <protection hidden="1"/>
    </xf>
    <xf numFmtId="0" fontId="0" fillId="0" borderId="54" xfId="0" applyBorder="1" applyAlignment="1" applyProtection="1">
      <alignment horizontal="center" shrinkToFit="1"/>
      <protection hidden="1"/>
    </xf>
    <xf numFmtId="0" fontId="0" fillId="0" borderId="55" xfId="0" applyBorder="1" applyAlignment="1" applyProtection="1">
      <alignment horizontal="center" shrinkToFit="1"/>
      <protection hidden="1"/>
    </xf>
    <xf numFmtId="0" fontId="0" fillId="0" borderId="56" xfId="0" applyBorder="1" applyAlignment="1" applyProtection="1">
      <alignment horizontal="center" shrinkToFit="1"/>
      <protection hidden="1"/>
    </xf>
    <xf numFmtId="182" fontId="0" fillId="0" borderId="0" xfId="0" applyNumberFormat="1" applyBorder="1" applyAlignment="1" applyProtection="1">
      <alignment horizontal="right"/>
      <protection hidden="1"/>
    </xf>
    <xf numFmtId="0" fontId="12" fillId="0" borderId="21" xfId="30" applyFont="1" applyBorder="1" applyAlignment="1" applyProtection="1">
      <alignment horizontal="center"/>
      <protection hidden="1"/>
    </xf>
    <xf numFmtId="0" fontId="12" fillId="0" borderId="22" xfId="30" applyFont="1" applyBorder="1" applyAlignment="1" applyProtection="1">
      <alignment horizontal="center"/>
      <protection hidden="1"/>
    </xf>
    <xf numFmtId="0" fontId="0" fillId="0" borderId="22" xfId="0" applyBorder="1" applyAlignment="1" applyProtection="1">
      <protection hidden="1"/>
    </xf>
    <xf numFmtId="0" fontId="0" fillId="0" borderId="23" xfId="0" applyBorder="1" applyAlignment="1" applyProtection="1">
      <protection hidden="1"/>
    </xf>
    <xf numFmtId="0" fontId="12" fillId="0" borderId="16" xfId="30" applyFont="1" applyBorder="1" applyAlignment="1" applyProtection="1">
      <alignment horizontal="center"/>
      <protection hidden="1"/>
    </xf>
    <xf numFmtId="0" fontId="12" fillId="0" borderId="0" xfId="3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12" fillId="0" borderId="24" xfId="30" applyFont="1" applyBorder="1" applyAlignment="1" applyProtection="1">
      <alignment horizontal="center"/>
      <protection hidden="1"/>
    </xf>
    <xf numFmtId="0" fontId="12" fillId="0" borderId="26" xfId="30" applyFont="1" applyBorder="1" applyAlignment="1" applyProtection="1">
      <alignment horizontal="center"/>
      <protection hidden="1"/>
    </xf>
    <xf numFmtId="0" fontId="0" fillId="0" borderId="26" xfId="0" applyBorder="1" applyAlignment="1" applyProtection="1">
      <protection hidden="1"/>
    </xf>
    <xf numFmtId="0" fontId="0" fillId="0" borderId="25" xfId="0" applyBorder="1" applyAlignment="1" applyProtection="1">
      <protection hidden="1"/>
    </xf>
    <xf numFmtId="0" fontId="0" fillId="0" borderId="39" xfId="0" applyBorder="1" applyAlignment="1" applyProtection="1">
      <alignment horizontal="center"/>
      <protection hidden="1"/>
    </xf>
    <xf numFmtId="0" fontId="0" fillId="0" borderId="42" xfId="0" applyBorder="1" applyAlignment="1" applyProtection="1">
      <alignment horizontal="center"/>
      <protection hidden="1"/>
    </xf>
    <xf numFmtId="0" fontId="0" fillId="0" borderId="41" xfId="0" applyBorder="1" applyAlignment="1" applyProtection="1">
      <alignment horizontal="center"/>
      <protection hidden="1"/>
    </xf>
    <xf numFmtId="0" fontId="0" fillId="0" borderId="40" xfId="0" applyBorder="1" applyAlignment="1" applyProtection="1">
      <alignment horizontal="center"/>
      <protection hidden="1"/>
    </xf>
    <xf numFmtId="184" fontId="13" fillId="0" borderId="24" xfId="30" applyNumberFormat="1" applyFont="1" applyBorder="1" applyAlignment="1" applyProtection="1">
      <alignment horizontal="center" vertical="center"/>
      <protection hidden="1"/>
    </xf>
    <xf numFmtId="184" fontId="13" fillId="0" borderId="26" xfId="30" applyNumberFormat="1" applyFont="1" applyBorder="1" applyAlignment="1" applyProtection="1">
      <alignment horizontal="center" vertical="center"/>
      <protection hidden="1"/>
    </xf>
    <xf numFmtId="184" fontId="13" fillId="0" borderId="25" xfId="30" applyNumberFormat="1" applyFont="1" applyBorder="1" applyAlignment="1" applyProtection="1">
      <alignment horizontal="center" vertical="center"/>
      <protection hidden="1"/>
    </xf>
    <xf numFmtId="181" fontId="13" fillId="0" borderId="24" xfId="30" applyNumberFormat="1" applyFont="1" applyBorder="1" applyAlignment="1" applyProtection="1">
      <alignment horizontal="center" vertical="center" shrinkToFit="1"/>
      <protection hidden="1"/>
    </xf>
    <xf numFmtId="181" fontId="13" fillId="0" borderId="26" xfId="30" applyNumberFormat="1" applyFont="1" applyBorder="1" applyAlignment="1" applyProtection="1">
      <alignment horizontal="center" vertical="center" shrinkToFit="1"/>
      <protection hidden="1"/>
    </xf>
    <xf numFmtId="181" fontId="13" fillId="0" borderId="25" xfId="30" applyNumberFormat="1" applyFont="1" applyBorder="1" applyAlignment="1" applyProtection="1">
      <alignment horizontal="center" vertical="center" shrinkToFit="1"/>
      <protection hidden="1"/>
    </xf>
    <xf numFmtId="0" fontId="13" fillId="0" borderId="24" xfId="30" applyFont="1" applyBorder="1" applyAlignment="1" applyProtection="1">
      <alignment horizontal="center" vertical="center"/>
      <protection hidden="1"/>
    </xf>
    <xf numFmtId="0" fontId="13" fillId="0" borderId="26" xfId="30" applyFont="1" applyBorder="1" applyAlignment="1" applyProtection="1">
      <alignment horizontal="center" vertical="center"/>
      <protection hidden="1"/>
    </xf>
    <xf numFmtId="0" fontId="13" fillId="0" borderId="25" xfId="30" applyFont="1" applyBorder="1" applyAlignment="1" applyProtection="1">
      <alignment horizontal="center" vertical="center"/>
      <protection hidden="1"/>
    </xf>
    <xf numFmtId="0" fontId="13" fillId="0" borderId="24" xfId="30" applyFont="1" applyBorder="1" applyAlignment="1" applyProtection="1">
      <alignment horizontal="center" vertical="center" wrapText="1"/>
      <protection hidden="1"/>
    </xf>
    <xf numFmtId="0" fontId="13" fillId="0" borderId="26" xfId="30" applyFont="1" applyBorder="1" applyAlignment="1" applyProtection="1">
      <alignment horizontal="center" vertical="center" wrapText="1"/>
      <protection hidden="1"/>
    </xf>
    <xf numFmtId="0" fontId="13" fillId="0" borderId="25" xfId="30" applyFont="1" applyBorder="1" applyAlignment="1" applyProtection="1">
      <alignment horizontal="center" vertical="center" wrapText="1"/>
      <protection hidden="1"/>
    </xf>
    <xf numFmtId="0" fontId="12" fillId="0" borderId="26" xfId="0" applyFont="1" applyBorder="1" applyAlignment="1" applyProtection="1">
      <alignment horizontal="center" vertical="center" wrapText="1"/>
      <protection hidden="1"/>
    </xf>
    <xf numFmtId="0" fontId="12" fillId="0" borderId="25" xfId="0" applyFont="1" applyBorder="1" applyAlignment="1" applyProtection="1">
      <alignment horizontal="center" vertical="center" wrapText="1"/>
      <protection hidden="1"/>
    </xf>
    <xf numFmtId="0" fontId="13" fillId="0" borderId="24" xfId="30" applyNumberFormat="1" applyFont="1" applyBorder="1" applyAlignment="1" applyProtection="1">
      <alignment horizontal="center" vertical="center"/>
      <protection hidden="1"/>
    </xf>
    <xf numFmtId="0" fontId="13" fillId="0" borderId="26" xfId="30" applyNumberFormat="1" applyFont="1" applyBorder="1" applyAlignment="1" applyProtection="1">
      <alignment horizontal="center" vertical="center"/>
      <protection hidden="1"/>
    </xf>
    <xf numFmtId="0" fontId="13" fillId="0" borderId="25" xfId="30" applyNumberFormat="1" applyFont="1" applyBorder="1" applyAlignment="1" applyProtection="1">
      <alignment horizontal="center" vertical="center"/>
      <protection hidden="1"/>
    </xf>
    <xf numFmtId="0" fontId="0" fillId="0" borderId="38" xfId="0" applyBorder="1" applyAlignment="1" applyProtection="1">
      <alignment horizontal="center"/>
      <protection hidden="1"/>
    </xf>
    <xf numFmtId="0" fontId="11" fillId="0" borderId="5" xfId="0" applyFont="1" applyBorder="1" applyAlignment="1" applyProtection="1">
      <alignment horizontal="center"/>
      <protection hidden="1"/>
    </xf>
    <xf numFmtId="0" fontId="11" fillId="0" borderId="63" xfId="0" applyFont="1" applyBorder="1" applyAlignment="1" applyProtection="1">
      <alignment horizontal="center"/>
      <protection hidden="1"/>
    </xf>
    <xf numFmtId="0" fontId="11" fillId="0" borderId="70" xfId="0" applyFont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11" fillId="0" borderId="0" xfId="0" applyFont="1" applyBorder="1" applyAlignment="1" applyProtection="1">
      <alignment horizontal="center" vertical="center" wrapText="1"/>
      <protection hidden="1"/>
    </xf>
    <xf numFmtId="0" fontId="11" fillId="0" borderId="72" xfId="0" applyFont="1" applyBorder="1" applyAlignment="1" applyProtection="1">
      <alignment horizontal="center" vertical="center" wrapText="1"/>
      <protection hidden="1"/>
    </xf>
    <xf numFmtId="0" fontId="11" fillId="0" borderId="5" xfId="0" applyFont="1" applyBorder="1" applyAlignment="1" applyProtection="1">
      <alignment horizontal="center" vertical="center" wrapText="1"/>
      <protection hidden="1"/>
    </xf>
    <xf numFmtId="0" fontId="11" fillId="0" borderId="63" xfId="0" applyFont="1" applyBorder="1" applyAlignment="1" applyProtection="1">
      <alignment horizontal="center" vertical="center" wrapText="1"/>
      <protection hidden="1"/>
    </xf>
    <xf numFmtId="0" fontId="11" fillId="0" borderId="70" xfId="0" applyFont="1" applyBorder="1" applyAlignment="1" applyProtection="1">
      <alignment horizontal="center" vertical="center" wrapText="1"/>
      <protection hidden="1"/>
    </xf>
    <xf numFmtId="0" fontId="11" fillId="0" borderId="65" xfId="0" applyFont="1" applyBorder="1" applyAlignment="1" applyProtection="1">
      <alignment horizontal="center" vertical="center" wrapText="1"/>
      <protection hidden="1"/>
    </xf>
    <xf numFmtId="0" fontId="11" fillId="0" borderId="1" xfId="0" applyFont="1" applyBorder="1" applyAlignment="1" applyProtection="1">
      <alignment horizontal="center" vertical="center" wrapText="1"/>
      <protection hidden="1"/>
    </xf>
    <xf numFmtId="0" fontId="11" fillId="0" borderId="58" xfId="0" applyFont="1" applyBorder="1" applyAlignment="1" applyProtection="1">
      <alignment horizontal="center"/>
      <protection hidden="1"/>
    </xf>
    <xf numFmtId="0" fontId="11" fillId="0" borderId="17" xfId="0" applyFont="1" applyBorder="1" applyAlignment="1" applyProtection="1">
      <alignment horizontal="center"/>
      <protection hidden="1"/>
    </xf>
    <xf numFmtId="0" fontId="11" fillId="0" borderId="59" xfId="0" applyFont="1" applyBorder="1" applyAlignment="1" applyProtection="1">
      <alignment horizontal="center"/>
      <protection hidden="1"/>
    </xf>
    <xf numFmtId="0" fontId="0" fillId="0" borderId="51" xfId="0" applyBorder="1" applyAlignment="1" applyProtection="1">
      <alignment horizontal="center" shrinkToFit="1"/>
      <protection hidden="1"/>
    </xf>
    <xf numFmtId="0" fontId="0" fillId="0" borderId="52" xfId="0" applyBorder="1" applyAlignment="1" applyProtection="1">
      <alignment horizontal="center" shrinkToFit="1"/>
      <protection hidden="1"/>
    </xf>
    <xf numFmtId="0" fontId="0" fillId="0" borderId="53" xfId="0" applyBorder="1" applyAlignment="1" applyProtection="1">
      <alignment horizontal="center" shrinkToFit="1"/>
      <protection hidden="1"/>
    </xf>
    <xf numFmtId="0" fontId="0" fillId="0" borderId="80" xfId="0" applyBorder="1" applyAlignment="1" applyProtection="1">
      <alignment horizontal="center" shrinkToFit="1"/>
      <protection hidden="1"/>
    </xf>
    <xf numFmtId="0" fontId="0" fillId="0" borderId="76" xfId="0" applyBorder="1" applyAlignment="1" applyProtection="1">
      <alignment horizontal="center" shrinkToFit="1"/>
      <protection hidden="1"/>
    </xf>
    <xf numFmtId="0" fontId="0" fillId="0" borderId="77" xfId="0" applyBorder="1" applyAlignment="1" applyProtection="1">
      <alignment horizontal="center" shrinkToFit="1"/>
      <protection hidden="1"/>
    </xf>
    <xf numFmtId="182" fontId="0" fillId="0" borderId="45" xfId="0" applyNumberFormat="1" applyBorder="1" applyAlignment="1" applyProtection="1">
      <alignment horizontal="center"/>
      <protection hidden="1"/>
    </xf>
    <xf numFmtId="182" fontId="0" fillId="0" borderId="74" xfId="0" applyNumberFormat="1" applyBorder="1" applyAlignment="1" applyProtection="1">
      <alignment horizontal="right" indent="1"/>
      <protection hidden="1"/>
    </xf>
    <xf numFmtId="182" fontId="0" fillId="0" borderId="75" xfId="0" applyNumberFormat="1" applyBorder="1" applyAlignment="1" applyProtection="1">
      <alignment horizontal="right" indent="1"/>
      <protection hidden="1"/>
    </xf>
    <xf numFmtId="182" fontId="0" fillId="0" borderId="79" xfId="0" applyNumberFormat="1" applyBorder="1" applyAlignment="1" applyProtection="1">
      <alignment horizontal="right" indent="1"/>
      <protection hidden="1"/>
    </xf>
    <xf numFmtId="182" fontId="0" fillId="0" borderId="108" xfId="0" applyNumberFormat="1" applyBorder="1" applyAlignment="1" applyProtection="1">
      <alignment horizontal="right" indent="1"/>
      <protection hidden="1"/>
    </xf>
    <xf numFmtId="183" fontId="0" fillId="0" borderId="109" xfId="0" applyNumberFormat="1" applyBorder="1" applyAlignment="1" applyProtection="1">
      <alignment horizontal="right" indent="1"/>
      <protection hidden="1"/>
    </xf>
    <xf numFmtId="183" fontId="0" fillId="0" borderId="63" xfId="0" applyNumberFormat="1" applyBorder="1" applyAlignment="1" applyProtection="1">
      <alignment horizontal="right" indent="1"/>
      <protection hidden="1"/>
    </xf>
    <xf numFmtId="183" fontId="0" fillId="0" borderId="64" xfId="0" applyNumberFormat="1" applyBorder="1" applyAlignment="1" applyProtection="1">
      <alignment horizontal="right" indent="1"/>
      <protection hidden="1"/>
    </xf>
    <xf numFmtId="182" fontId="0" fillId="0" borderId="110" xfId="0" applyNumberFormat="1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63" fillId="0" borderId="58" xfId="0" applyFont="1" applyBorder="1" applyAlignment="1" applyProtection="1">
      <alignment horizontal="center"/>
      <protection hidden="1"/>
    </xf>
    <xf numFmtId="0" fontId="63" fillId="0" borderId="17" xfId="0" applyFont="1" applyBorder="1" applyAlignment="1" applyProtection="1">
      <alignment horizontal="center"/>
      <protection hidden="1"/>
    </xf>
    <xf numFmtId="0" fontId="63" fillId="0" borderId="59" xfId="0" applyFont="1" applyBorder="1" applyAlignment="1" applyProtection="1">
      <alignment horizontal="center"/>
      <protection hidden="1"/>
    </xf>
    <xf numFmtId="2" fontId="0" fillId="0" borderId="44" xfId="0" applyNumberFormat="1" applyBorder="1" applyAlignment="1" applyProtection="1">
      <alignment horizontal="right" indent="1"/>
      <protection hidden="1"/>
    </xf>
    <xf numFmtId="2" fontId="0" fillId="0" borderId="110" xfId="0" applyNumberFormat="1" applyBorder="1" applyAlignment="1" applyProtection="1">
      <alignment horizontal="right" indent="1"/>
      <protection hidden="1"/>
    </xf>
    <xf numFmtId="182" fontId="0" fillId="0" borderId="48" xfId="0" applyNumberFormat="1" applyBorder="1" applyAlignment="1" applyProtection="1">
      <alignment horizontal="right" indent="1"/>
      <protection hidden="1"/>
    </xf>
    <xf numFmtId="182" fontId="0" fillId="0" borderId="49" xfId="0" applyNumberFormat="1" applyBorder="1" applyAlignment="1" applyProtection="1">
      <alignment horizontal="right" indent="1"/>
      <protection hidden="1"/>
    </xf>
    <xf numFmtId="182" fontId="0" fillId="0" borderId="50" xfId="0" applyNumberFormat="1" applyBorder="1" applyAlignment="1" applyProtection="1">
      <alignment horizontal="right" indent="1"/>
      <protection hidden="1"/>
    </xf>
    <xf numFmtId="49" fontId="13" fillId="0" borderId="24" xfId="30" applyNumberFormat="1" applyFont="1" applyBorder="1" applyAlignment="1" applyProtection="1">
      <alignment horizontal="center" vertical="center"/>
      <protection hidden="1"/>
    </xf>
    <xf numFmtId="2" fontId="0" fillId="0" borderId="45" xfId="0" applyNumberFormat="1" applyBorder="1" applyAlignment="1" applyProtection="1">
      <alignment horizontal="right" indent="1"/>
      <protection hidden="1"/>
    </xf>
    <xf numFmtId="183" fontId="0" fillId="0" borderId="78" xfId="0" applyNumberFormat="1" applyBorder="1" applyAlignment="1" applyProtection="1">
      <alignment horizontal="right" indent="1"/>
      <protection hidden="1"/>
    </xf>
    <xf numFmtId="183" fontId="0" fillId="0" borderId="75" xfId="0" applyNumberFormat="1" applyBorder="1" applyAlignment="1" applyProtection="1">
      <alignment horizontal="right" indent="1"/>
      <protection hidden="1"/>
    </xf>
    <xf numFmtId="183" fontId="0" fillId="0" borderId="79" xfId="0" applyNumberFormat="1" applyBorder="1" applyAlignment="1" applyProtection="1">
      <alignment horizontal="right" indent="1"/>
      <protection hidden="1"/>
    </xf>
    <xf numFmtId="182" fontId="0" fillId="8" borderId="0" xfId="0" applyNumberFormat="1" applyFill="1" applyBorder="1" applyAlignment="1" applyProtection="1">
      <alignment horizontal="center" wrapText="1"/>
      <protection hidden="1"/>
    </xf>
    <xf numFmtId="0" fontId="61" fillId="0" borderId="90" xfId="0" applyFont="1" applyBorder="1" applyAlignment="1" applyProtection="1">
      <alignment horizontal="center"/>
      <protection hidden="1"/>
    </xf>
    <xf numFmtId="0" fontId="61" fillId="0" borderId="0" xfId="0" applyFont="1" applyBorder="1" applyAlignment="1" applyProtection="1">
      <alignment horizontal="center" vertical="center"/>
      <protection hidden="1"/>
    </xf>
    <xf numFmtId="0" fontId="61" fillId="0" borderId="85" xfId="0" applyFont="1" applyBorder="1" applyAlignment="1" applyProtection="1">
      <alignment horizontal="center" vertical="center"/>
      <protection hidden="1"/>
    </xf>
    <xf numFmtId="0" fontId="61" fillId="0" borderId="26" xfId="0" applyFont="1" applyBorder="1" applyAlignment="1" applyProtection="1">
      <alignment horizontal="center" vertical="center"/>
      <protection hidden="1"/>
    </xf>
    <xf numFmtId="0" fontId="61" fillId="0" borderId="82" xfId="0" applyFont="1" applyBorder="1" applyAlignment="1" applyProtection="1">
      <alignment horizontal="center" vertical="center"/>
      <protection hidden="1"/>
    </xf>
    <xf numFmtId="0" fontId="0" fillId="0" borderId="58" xfId="0" applyBorder="1" applyAlignment="1" applyProtection="1">
      <alignment horizontal="center" shrinkToFit="1"/>
      <protection hidden="1"/>
    </xf>
    <xf numFmtId="0" fontId="0" fillId="0" borderId="17" xfId="0" applyBorder="1" applyAlignment="1" applyProtection="1">
      <alignment horizontal="center" shrinkToFit="1"/>
      <protection hidden="1"/>
    </xf>
    <xf numFmtId="0" fontId="0" fillId="0" borderId="59" xfId="0" applyBorder="1" applyAlignment="1" applyProtection="1">
      <alignment horizontal="center" shrinkToFit="1"/>
      <protection hidden="1"/>
    </xf>
    <xf numFmtId="0" fontId="0" fillId="0" borderId="20" xfId="0" applyBorder="1" applyAlignment="1" applyProtection="1">
      <alignment horizontal="center" shrinkToFit="1"/>
      <protection hidden="1"/>
    </xf>
    <xf numFmtId="0" fontId="0" fillId="0" borderId="48" xfId="0" applyBorder="1" applyAlignment="1" applyProtection="1">
      <alignment horizontal="center" shrinkToFit="1"/>
      <protection hidden="1"/>
    </xf>
    <xf numFmtId="0" fontId="0" fillId="0" borderId="49" xfId="0" applyBorder="1" applyAlignment="1" applyProtection="1">
      <alignment horizontal="center" shrinkToFit="1"/>
      <protection hidden="1"/>
    </xf>
    <xf numFmtId="0" fontId="10" fillId="0" borderId="49" xfId="0" applyFont="1" applyBorder="1" applyAlignment="1" applyProtection="1">
      <protection hidden="1"/>
    </xf>
    <xf numFmtId="0" fontId="10" fillId="0" borderId="50" xfId="0" applyFont="1" applyBorder="1" applyAlignment="1" applyProtection="1">
      <protection hidden="1"/>
    </xf>
    <xf numFmtId="0" fontId="10" fillId="0" borderId="10" xfId="0" applyFont="1" applyBorder="1" applyAlignment="1" applyProtection="1">
      <protection hidden="1"/>
    </xf>
    <xf numFmtId="0" fontId="10" fillId="0" borderId="57" xfId="0" applyFont="1" applyBorder="1" applyAlignment="1" applyProtection="1">
      <protection hidden="1"/>
    </xf>
    <xf numFmtId="0" fontId="9" fillId="0" borderId="10" xfId="0" applyFont="1" applyBorder="1" applyAlignment="1" applyProtection="1">
      <protection hidden="1"/>
    </xf>
    <xf numFmtId="0" fontId="0" fillId="0" borderId="18" xfId="0" applyFont="1" applyBorder="1" applyAlignment="1" applyProtection="1">
      <alignment horizontal="center" shrinkToFit="1"/>
      <protection hidden="1"/>
    </xf>
    <xf numFmtId="0" fontId="0" fillId="0" borderId="10" xfId="0" applyFont="1" applyBorder="1" applyAlignment="1" applyProtection="1">
      <alignment horizontal="center" shrinkToFit="1"/>
      <protection hidden="1"/>
    </xf>
    <xf numFmtId="0" fontId="0" fillId="0" borderId="74" xfId="0" applyBorder="1" applyAlignment="1" applyProtection="1">
      <alignment horizontal="center" shrinkToFit="1"/>
      <protection hidden="1"/>
    </xf>
    <xf numFmtId="0" fontId="0" fillId="0" borderId="75" xfId="0" applyBorder="1" applyAlignment="1" applyProtection="1">
      <alignment horizontal="center" shrinkToFit="1"/>
      <protection hidden="1"/>
    </xf>
    <xf numFmtId="0" fontId="0" fillId="0" borderId="79" xfId="0" applyBorder="1" applyAlignment="1" applyProtection="1">
      <alignment horizontal="center" shrinkToFit="1"/>
      <protection hidden="1"/>
    </xf>
    <xf numFmtId="0" fontId="9" fillId="0" borderId="74" xfId="0" applyFont="1" applyBorder="1" applyAlignment="1" applyProtection="1">
      <protection hidden="1"/>
    </xf>
    <xf numFmtId="0" fontId="10" fillId="0" borderId="75" xfId="0" applyFont="1" applyBorder="1" applyAlignment="1" applyProtection="1">
      <protection hidden="1"/>
    </xf>
    <xf numFmtId="0" fontId="10" fillId="0" borderId="79" xfId="0" applyFont="1" applyBorder="1" applyAlignme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44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182" fontId="0" fillId="0" borderId="107" xfId="0" applyNumberFormat="1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 vertical="center" wrapText="1"/>
      <protection hidden="1"/>
    </xf>
    <xf numFmtId="0" fontId="0" fillId="0" borderId="20" xfId="0" applyBorder="1" applyAlignment="1" applyProtection="1">
      <alignment horizontal="center" vertical="center" wrapText="1" shrinkToFit="1"/>
      <protection hidden="1"/>
    </xf>
    <xf numFmtId="0" fontId="0" fillId="0" borderId="43" xfId="0" applyBorder="1" applyAlignment="1" applyProtection="1">
      <alignment horizontal="center"/>
      <protection hidden="1"/>
    </xf>
    <xf numFmtId="182" fontId="0" fillId="0" borderId="43" xfId="0" applyNumberFormat="1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1" fillId="0" borderId="0" xfId="0" applyFont="1" applyBorder="1" applyProtection="1">
      <protection hidden="1"/>
    </xf>
  </cellXfs>
  <cellStyles count="91">
    <cellStyle name="2decimal" xfId="32"/>
    <cellStyle name="args.style" xfId="33"/>
    <cellStyle name="ARIAL" xfId="34"/>
    <cellStyle name="Arial10" xfId="35"/>
    <cellStyle name="BOTT" xfId="2"/>
    <cellStyle name="Calc Currency (0)" xfId="36"/>
    <cellStyle name="Comma  - Style1" xfId="37"/>
    <cellStyle name="Comma  - Style2" xfId="38"/>
    <cellStyle name="Comma  - Style3" xfId="39"/>
    <cellStyle name="Comma  - Style4" xfId="40"/>
    <cellStyle name="Comma  - Style5" xfId="41"/>
    <cellStyle name="Comma  - Style6" xfId="42"/>
    <cellStyle name="Comma  - Style7" xfId="43"/>
    <cellStyle name="Comma  - Style8" xfId="44"/>
    <cellStyle name="CONSIGNEE" xfId="3"/>
    <cellStyle name="Copied" xfId="45"/>
    <cellStyle name="COST1" xfId="46"/>
    <cellStyle name="Cover Sheet" xfId="47"/>
    <cellStyle name="Currency [0]b" xfId="48"/>
    <cellStyle name="currency(2)" xfId="49"/>
    <cellStyle name="Data Labels" xfId="4"/>
    <cellStyle name="DATA_ENTRY" xfId="5"/>
    <cellStyle name="DataLabels" xfId="6"/>
    <cellStyle name="DataLabelsForUPS" xfId="50"/>
    <cellStyle name="DATE" xfId="7"/>
    <cellStyle name="dcDataSheetHeadings" xfId="51"/>
    <cellStyle name="dcDataSheetLabels" xfId="52"/>
    <cellStyle name="Dollars" xfId="53"/>
    <cellStyle name="Dollars(0)" xfId="54"/>
    <cellStyle name="Entered" xfId="55"/>
    <cellStyle name="FORM" xfId="8"/>
    <cellStyle name="Grey" xfId="56"/>
    <cellStyle name="Header1" xfId="57"/>
    <cellStyle name="Header2" xfId="58"/>
    <cellStyle name="header3" xfId="59"/>
    <cellStyle name="HEADINGS" xfId="9"/>
    <cellStyle name="Index Sheet" xfId="60"/>
    <cellStyle name="Input [yellow]" xfId="61"/>
    <cellStyle name="Input Cells" xfId="62"/>
    <cellStyle name="JOB_DATA" xfId="10"/>
    <cellStyle name="LABEL" xfId="11"/>
    <cellStyle name="Link to Cover" xfId="63"/>
    <cellStyle name="Linked Cells" xfId="64"/>
    <cellStyle name="Linked data" xfId="65"/>
    <cellStyle name="Links to Cover" xfId="12"/>
    <cellStyle name="LOOKUP" xfId="66"/>
    <cellStyle name="MainHeading" xfId="13"/>
    <cellStyle name="MainHeadingTwo" xfId="14"/>
    <cellStyle name="Migliaia (0)_COVER - SH. 1" xfId="15"/>
    <cellStyle name="Migliaia_COVER - SH. 1" xfId="16"/>
    <cellStyle name="Milliers [0]_!!!GO" xfId="67"/>
    <cellStyle name="Milliers_!!!GO" xfId="68"/>
    <cellStyle name="Monétaire [0]_!!!GO" xfId="69"/>
    <cellStyle name="Monétaire_!!!GO" xfId="70"/>
    <cellStyle name="NewKw" xfId="71"/>
    <cellStyle name="Normal" xfId="0" builtinId="0"/>
    <cellStyle name="Normal - Style1" xfId="72"/>
    <cellStyle name="Normal 2" xfId="27"/>
    <cellStyle name="Normal 2 2" xfId="89"/>
    <cellStyle name="Normal 3" xfId="28"/>
    <cellStyle name="Normal 3 2" xfId="88"/>
    <cellStyle name="Normal 4" xfId="29"/>
    <cellStyle name="Normal 4 2" xfId="31"/>
    <cellStyle name="Normal 4 3" xfId="87"/>
    <cellStyle name="Normal 5" xfId="73"/>
    <cellStyle name="Normal 6" xfId="30"/>
    <cellStyle name="Normal 7" xfId="86"/>
    <cellStyle name="Normal 8" xfId="90"/>
    <cellStyle name="Normal 9" xfId="1"/>
    <cellStyle name="Normale_COVER - SH. 1" xfId="17"/>
    <cellStyle name="Œ…‹æØ‚è [0.00]_Region Orders (2)" xfId="74"/>
    <cellStyle name="Œ…‹æØ‚è_Region Orders (2)" xfId="75"/>
    <cellStyle name="ParameterLabelsForUPS" xfId="76"/>
    <cellStyle name="per.style" xfId="77"/>
    <cellStyle name="Percent [2]" xfId="78"/>
    <cellStyle name="pricing" xfId="79"/>
    <cellStyle name="PRICIPAL" xfId="18"/>
    <cellStyle name="PROJECT TITLE" xfId="19"/>
    <cellStyle name="PROTECTED CELLS" xfId="20"/>
    <cellStyle name="PSChar" xfId="80"/>
    <cellStyle name="REMARKS" xfId="21"/>
    <cellStyle name="RevList" xfId="81"/>
    <cellStyle name="STANDARD" xfId="82"/>
    <cellStyle name="Subtotal" xfId="83"/>
    <cellStyle name="SUBTOTALS" xfId="84"/>
    <cellStyle name="TitleBlock" xfId="22"/>
    <cellStyle name="TOP" xfId="23"/>
    <cellStyle name="Units" xfId="24"/>
    <cellStyle name="Valuta (0)_COVER - SH. 1" xfId="25"/>
    <cellStyle name="Valuta_COVER - SH. 1" xfId="26"/>
    <cellStyle name="VendorParametersForUPS" xfId="85"/>
  </cellStyles>
  <dxfs count="18"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  <dxf>
      <numFmt numFmtId="185" formatCode="&quot;(&quot;0.000&quot;)&quot;"/>
    </dxf>
  </dxfs>
  <tableStyles count="0" defaultTableStyle="TableStyleMedium2" defaultPivotStyle="PivotStyleLight16"/>
  <colors>
    <mruColors>
      <color rgb="FFFFFF99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</xdr:row>
      <xdr:rowOff>358865</xdr:rowOff>
    </xdr:from>
    <xdr:to>
      <xdr:col>0</xdr:col>
      <xdr:colOff>506001</xdr:colOff>
      <xdr:row>3</xdr:row>
      <xdr:rowOff>114300</xdr:rowOff>
    </xdr:to>
    <xdr:pic>
      <xdr:nvPicPr>
        <xdr:cNvPr id="8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4325" y="595085"/>
          <a:ext cx="191676" cy="4869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167640</xdr:colOff>
      <xdr:row>0</xdr:row>
      <xdr:rowOff>121920</xdr:rowOff>
    </xdr:from>
    <xdr:to>
      <xdr:col>5</xdr:col>
      <xdr:colOff>21109</xdr:colOff>
      <xdr:row>1</xdr:row>
      <xdr:rowOff>85291</xdr:rowOff>
    </xdr:to>
    <xdr:pic>
      <xdr:nvPicPr>
        <xdr:cNvPr id="9" name="Picture 8" descr="ithaca_energy"/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67640" y="121920"/>
          <a:ext cx="767869" cy="1995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129540</xdr:colOff>
      <xdr:row>1</xdr:row>
      <xdr:rowOff>198120</xdr:rowOff>
    </xdr:from>
    <xdr:to>
      <xdr:col>5</xdr:col>
      <xdr:colOff>57437</xdr:colOff>
      <xdr:row>1</xdr:row>
      <xdr:rowOff>484376</xdr:rowOff>
    </xdr:to>
    <xdr:pic>
      <xdr:nvPicPr>
        <xdr:cNvPr id="10" name="Picture 9" descr="Stella_logo"/>
        <xdr:cNvPicPr/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9540" y="434340"/>
          <a:ext cx="842297" cy="2862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7619</xdr:colOff>
      <xdr:row>2</xdr:row>
      <xdr:rowOff>45720</xdr:rowOff>
    </xdr:from>
    <xdr:to>
      <xdr:col>3</xdr:col>
      <xdr:colOff>169734</xdr:colOff>
      <xdr:row>3</xdr:row>
      <xdr:rowOff>296455</xdr:rowOff>
    </xdr:to>
    <xdr:pic>
      <xdr:nvPicPr>
        <xdr:cNvPr id="14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3379" y="777240"/>
          <a:ext cx="344995" cy="4869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167640</xdr:colOff>
      <xdr:row>0</xdr:row>
      <xdr:rowOff>121920</xdr:rowOff>
    </xdr:from>
    <xdr:to>
      <xdr:col>5</xdr:col>
      <xdr:colOff>21109</xdr:colOff>
      <xdr:row>1</xdr:row>
      <xdr:rowOff>85291</xdr:rowOff>
    </xdr:to>
    <xdr:pic>
      <xdr:nvPicPr>
        <xdr:cNvPr id="3" name="Picture 2" descr="ithaca_energy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" y="121920"/>
          <a:ext cx="767869" cy="1995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129540</xdr:colOff>
      <xdr:row>1</xdr:row>
      <xdr:rowOff>198120</xdr:rowOff>
    </xdr:from>
    <xdr:to>
      <xdr:col>5</xdr:col>
      <xdr:colOff>57437</xdr:colOff>
      <xdr:row>1</xdr:row>
      <xdr:rowOff>484376</xdr:rowOff>
    </xdr:to>
    <xdr:pic>
      <xdr:nvPicPr>
        <xdr:cNvPr id="4" name="Picture 3" descr="Stella_logo"/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9540" y="434340"/>
          <a:ext cx="842297" cy="2862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7619</xdr:colOff>
      <xdr:row>2</xdr:row>
      <xdr:rowOff>45720</xdr:rowOff>
    </xdr:from>
    <xdr:to>
      <xdr:col>3</xdr:col>
      <xdr:colOff>169734</xdr:colOff>
      <xdr:row>3</xdr:row>
      <xdr:rowOff>296455</xdr:rowOff>
    </xdr:to>
    <xdr:pic>
      <xdr:nvPicPr>
        <xdr:cNvPr id="5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73379" y="777240"/>
          <a:ext cx="344995" cy="4869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</xdr:row>
      <xdr:rowOff>358865</xdr:rowOff>
    </xdr:from>
    <xdr:to>
      <xdr:col>0</xdr:col>
      <xdr:colOff>506001</xdr:colOff>
      <xdr:row>3</xdr:row>
      <xdr:rowOff>114300</xdr:rowOff>
    </xdr:to>
    <xdr:pic>
      <xdr:nvPicPr>
        <xdr:cNvPr id="2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4785" y="595085"/>
          <a:ext cx="1176" cy="4869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167640</xdr:colOff>
      <xdr:row>0</xdr:row>
      <xdr:rowOff>121920</xdr:rowOff>
    </xdr:from>
    <xdr:to>
      <xdr:col>5</xdr:col>
      <xdr:colOff>21109</xdr:colOff>
      <xdr:row>1</xdr:row>
      <xdr:rowOff>85291</xdr:rowOff>
    </xdr:to>
    <xdr:pic>
      <xdr:nvPicPr>
        <xdr:cNvPr id="3" name="Picture 2" descr="ithaca_energy"/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67640" y="121920"/>
          <a:ext cx="767869" cy="1995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129540</xdr:colOff>
      <xdr:row>1</xdr:row>
      <xdr:rowOff>198120</xdr:rowOff>
    </xdr:from>
    <xdr:to>
      <xdr:col>5</xdr:col>
      <xdr:colOff>57437</xdr:colOff>
      <xdr:row>1</xdr:row>
      <xdr:rowOff>484376</xdr:rowOff>
    </xdr:to>
    <xdr:pic>
      <xdr:nvPicPr>
        <xdr:cNvPr id="4" name="Picture 3" descr="Stella_logo"/>
        <xdr:cNvPicPr/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9540" y="434340"/>
          <a:ext cx="842297" cy="2862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7619</xdr:colOff>
      <xdr:row>2</xdr:row>
      <xdr:rowOff>45720</xdr:rowOff>
    </xdr:from>
    <xdr:to>
      <xdr:col>3</xdr:col>
      <xdr:colOff>169734</xdr:colOff>
      <xdr:row>3</xdr:row>
      <xdr:rowOff>296455</xdr:rowOff>
    </xdr:to>
    <xdr:pic>
      <xdr:nvPicPr>
        <xdr:cNvPr id="5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3379" y="777240"/>
          <a:ext cx="344995" cy="4869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</xdr:row>
      <xdr:rowOff>358865</xdr:rowOff>
    </xdr:from>
    <xdr:to>
      <xdr:col>0</xdr:col>
      <xdr:colOff>506001</xdr:colOff>
      <xdr:row>3</xdr:row>
      <xdr:rowOff>114300</xdr:rowOff>
    </xdr:to>
    <xdr:pic>
      <xdr:nvPicPr>
        <xdr:cNvPr id="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19825" y="595085"/>
          <a:ext cx="1176" cy="4869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167640</xdr:colOff>
      <xdr:row>0</xdr:row>
      <xdr:rowOff>121920</xdr:rowOff>
    </xdr:from>
    <xdr:to>
      <xdr:col>5</xdr:col>
      <xdr:colOff>21109</xdr:colOff>
      <xdr:row>1</xdr:row>
      <xdr:rowOff>85291</xdr:rowOff>
    </xdr:to>
    <xdr:pic>
      <xdr:nvPicPr>
        <xdr:cNvPr id="7" name="Picture 6" descr="ithaca_energy"/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202680" y="121920"/>
          <a:ext cx="767869" cy="1995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129540</xdr:colOff>
      <xdr:row>1</xdr:row>
      <xdr:rowOff>198120</xdr:rowOff>
    </xdr:from>
    <xdr:to>
      <xdr:col>5</xdr:col>
      <xdr:colOff>57437</xdr:colOff>
      <xdr:row>1</xdr:row>
      <xdr:rowOff>484376</xdr:rowOff>
    </xdr:to>
    <xdr:pic>
      <xdr:nvPicPr>
        <xdr:cNvPr id="8" name="Picture 7" descr="Stella_logo"/>
        <xdr:cNvPicPr/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64580" y="434340"/>
          <a:ext cx="842297" cy="2862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7619</xdr:colOff>
      <xdr:row>2</xdr:row>
      <xdr:rowOff>45720</xdr:rowOff>
    </xdr:from>
    <xdr:to>
      <xdr:col>3</xdr:col>
      <xdr:colOff>169734</xdr:colOff>
      <xdr:row>3</xdr:row>
      <xdr:rowOff>296455</xdr:rowOff>
    </xdr:to>
    <xdr:pic>
      <xdr:nvPicPr>
        <xdr:cNvPr id="9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8419" y="777240"/>
          <a:ext cx="344995" cy="4869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15</xdr:col>
      <xdr:colOff>0</xdr:colOff>
      <xdr:row>12</xdr:row>
      <xdr:rowOff>0</xdr:rowOff>
    </xdr:from>
    <xdr:to>
      <xdr:col>16</xdr:col>
      <xdr:colOff>2</xdr:colOff>
      <xdr:row>22</xdr:row>
      <xdr:rowOff>0</xdr:rowOff>
    </xdr:to>
    <xdr:cxnSp macro="">
      <xdr:nvCxnSpPr>
        <xdr:cNvPr id="10" name="Straight Connector 9"/>
        <xdr:cNvCxnSpPr/>
      </xdr:nvCxnSpPr>
      <xdr:spPr>
        <a:xfrm flipH="1">
          <a:off x="8778240" y="2903220"/>
          <a:ext cx="182882" cy="184404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22</xdr:row>
      <xdr:rowOff>0</xdr:rowOff>
    </xdr:to>
    <xdr:cxnSp macro="">
      <xdr:nvCxnSpPr>
        <xdr:cNvPr id="11" name="Straight Connector 10"/>
        <xdr:cNvCxnSpPr/>
      </xdr:nvCxnSpPr>
      <xdr:spPr>
        <a:xfrm>
          <a:off x="9326880" y="2903220"/>
          <a:ext cx="182880" cy="184404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18</xdr:row>
      <xdr:rowOff>0</xdr:rowOff>
    </xdr:from>
    <xdr:to>
      <xdr:col>11</xdr:col>
      <xdr:colOff>0</xdr:colOff>
      <xdr:row>47</xdr:row>
      <xdr:rowOff>0</xdr:rowOff>
    </xdr:to>
    <xdr:cxnSp macro="">
      <xdr:nvCxnSpPr>
        <xdr:cNvPr id="12" name="Straight Connector 11"/>
        <xdr:cNvCxnSpPr/>
      </xdr:nvCxnSpPr>
      <xdr:spPr>
        <a:xfrm>
          <a:off x="8046720" y="4000500"/>
          <a:ext cx="0" cy="5349240"/>
        </a:xfrm>
        <a:prstGeom prst="line">
          <a:avLst/>
        </a:prstGeom>
        <a:ln>
          <a:solidFill>
            <a:sysClr val="windowText" lastClr="000000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18</xdr:row>
      <xdr:rowOff>0</xdr:rowOff>
    </xdr:from>
    <xdr:to>
      <xdr:col>23</xdr:col>
      <xdr:colOff>0</xdr:colOff>
      <xdr:row>47</xdr:row>
      <xdr:rowOff>0</xdr:rowOff>
    </xdr:to>
    <xdr:cxnSp macro="">
      <xdr:nvCxnSpPr>
        <xdr:cNvPr id="13" name="Straight Connector 12"/>
        <xdr:cNvCxnSpPr/>
      </xdr:nvCxnSpPr>
      <xdr:spPr>
        <a:xfrm>
          <a:off x="10241280" y="4000500"/>
          <a:ext cx="0" cy="5349240"/>
        </a:xfrm>
        <a:prstGeom prst="line">
          <a:avLst/>
        </a:prstGeom>
        <a:ln>
          <a:solidFill>
            <a:sysClr val="windowText" lastClr="000000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23</xdr:row>
      <xdr:rowOff>0</xdr:rowOff>
    </xdr:from>
    <xdr:to>
      <xdr:col>28</xdr:col>
      <xdr:colOff>0</xdr:colOff>
      <xdr:row>23</xdr:row>
      <xdr:rowOff>0</xdr:rowOff>
    </xdr:to>
    <xdr:cxnSp macro="">
      <xdr:nvCxnSpPr>
        <xdr:cNvPr id="14" name="Straight Connector 13"/>
        <xdr:cNvCxnSpPr/>
      </xdr:nvCxnSpPr>
      <xdr:spPr>
        <a:xfrm>
          <a:off x="7132320" y="4930140"/>
          <a:ext cx="4023360" cy="0"/>
        </a:xfrm>
        <a:prstGeom prst="line">
          <a:avLst/>
        </a:prstGeom>
        <a:ln>
          <a:solidFill>
            <a:sysClr val="windowText" lastClr="000000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42</xdr:row>
      <xdr:rowOff>0</xdr:rowOff>
    </xdr:from>
    <xdr:to>
      <xdr:col>28</xdr:col>
      <xdr:colOff>0</xdr:colOff>
      <xdr:row>42</xdr:row>
      <xdr:rowOff>0</xdr:rowOff>
    </xdr:to>
    <xdr:cxnSp macro="">
      <xdr:nvCxnSpPr>
        <xdr:cNvPr id="15" name="Straight Connector 14"/>
        <xdr:cNvCxnSpPr/>
      </xdr:nvCxnSpPr>
      <xdr:spPr>
        <a:xfrm>
          <a:off x="7132320" y="8427720"/>
          <a:ext cx="4023360" cy="0"/>
        </a:xfrm>
        <a:prstGeom prst="line">
          <a:avLst/>
        </a:prstGeom>
        <a:ln>
          <a:solidFill>
            <a:sysClr val="windowText" lastClr="000000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16</xdr:row>
      <xdr:rowOff>0</xdr:rowOff>
    </xdr:from>
    <xdr:to>
      <xdr:col>12</xdr:col>
      <xdr:colOff>0</xdr:colOff>
      <xdr:row>18</xdr:row>
      <xdr:rowOff>0</xdr:rowOff>
    </xdr:to>
    <xdr:sp macro="" textlink="">
      <xdr:nvSpPr>
        <xdr:cNvPr id="16" name="Oval 15"/>
        <xdr:cNvSpPr/>
      </xdr:nvSpPr>
      <xdr:spPr>
        <a:xfrm>
          <a:off x="7863840" y="3634740"/>
          <a:ext cx="365760" cy="365760"/>
        </a:xfrm>
        <a:prstGeom prst="ellipse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0</xdr:colOff>
      <xdr:row>16</xdr:row>
      <xdr:rowOff>0</xdr:rowOff>
    </xdr:from>
    <xdr:to>
      <xdr:col>24</xdr:col>
      <xdr:colOff>0</xdr:colOff>
      <xdr:row>18</xdr:row>
      <xdr:rowOff>0</xdr:rowOff>
    </xdr:to>
    <xdr:sp macro="" textlink="">
      <xdr:nvSpPr>
        <xdr:cNvPr id="17" name="Oval 16"/>
        <xdr:cNvSpPr/>
      </xdr:nvSpPr>
      <xdr:spPr>
        <a:xfrm>
          <a:off x="10058400" y="3634740"/>
          <a:ext cx="365760" cy="365760"/>
        </a:xfrm>
        <a:prstGeom prst="ellipse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6</xdr:col>
      <xdr:colOff>0</xdr:colOff>
      <xdr:row>24</xdr:row>
      <xdr:rowOff>0</xdr:rowOff>
    </xdr:to>
    <xdr:sp macro="" textlink="">
      <xdr:nvSpPr>
        <xdr:cNvPr id="18" name="Oval 17"/>
        <xdr:cNvSpPr/>
      </xdr:nvSpPr>
      <xdr:spPr>
        <a:xfrm>
          <a:off x="6766560" y="4747260"/>
          <a:ext cx="365760" cy="373380"/>
        </a:xfrm>
        <a:prstGeom prst="ellipse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19" name="Oval 18"/>
        <xdr:cNvSpPr/>
      </xdr:nvSpPr>
      <xdr:spPr>
        <a:xfrm>
          <a:off x="6766560" y="8237220"/>
          <a:ext cx="365760" cy="373380"/>
        </a:xfrm>
        <a:prstGeom prst="ellipse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12</xdr:col>
      <xdr:colOff>0</xdr:colOff>
      <xdr:row>18</xdr:row>
      <xdr:rowOff>0</xdr:rowOff>
    </xdr:to>
    <xdr:sp macro="" textlink="">
      <xdr:nvSpPr>
        <xdr:cNvPr id="20" name="TextBox 19"/>
        <xdr:cNvSpPr txBox="1"/>
      </xdr:nvSpPr>
      <xdr:spPr>
        <a:xfrm>
          <a:off x="7863840" y="3634740"/>
          <a:ext cx="365760" cy="365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4</a:t>
          </a:r>
        </a:p>
      </xdr:txBody>
    </xdr:sp>
    <xdr:clientData/>
  </xdr:twoCellAnchor>
  <xdr:twoCellAnchor>
    <xdr:from>
      <xdr:col>22</xdr:col>
      <xdr:colOff>0</xdr:colOff>
      <xdr:row>16</xdr:row>
      <xdr:rowOff>0</xdr:rowOff>
    </xdr:from>
    <xdr:to>
      <xdr:col>24</xdr:col>
      <xdr:colOff>0</xdr:colOff>
      <xdr:row>18</xdr:row>
      <xdr:rowOff>0</xdr:rowOff>
    </xdr:to>
    <xdr:sp macro="" textlink="">
      <xdr:nvSpPr>
        <xdr:cNvPr id="21" name="TextBox 20"/>
        <xdr:cNvSpPr txBox="1"/>
      </xdr:nvSpPr>
      <xdr:spPr>
        <a:xfrm>
          <a:off x="10058400" y="3634740"/>
          <a:ext cx="365760" cy="365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1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6</xdr:col>
      <xdr:colOff>0</xdr:colOff>
      <xdr:row>24</xdr:row>
      <xdr:rowOff>0</xdr:rowOff>
    </xdr:to>
    <xdr:sp macro="" textlink="">
      <xdr:nvSpPr>
        <xdr:cNvPr id="22" name="TextBox 21"/>
        <xdr:cNvSpPr txBox="1"/>
      </xdr:nvSpPr>
      <xdr:spPr>
        <a:xfrm>
          <a:off x="6766560" y="4747260"/>
          <a:ext cx="365760" cy="3733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23" name="TextBox 22"/>
        <xdr:cNvSpPr txBox="1"/>
      </xdr:nvSpPr>
      <xdr:spPr>
        <a:xfrm>
          <a:off x="6766560" y="8237220"/>
          <a:ext cx="365760" cy="3733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D</a:t>
          </a:r>
        </a:p>
      </xdr:txBody>
    </xdr:sp>
    <xdr:clientData/>
  </xdr:twoCellAnchor>
  <xdr:twoCellAnchor>
    <xdr:from>
      <xdr:col>18</xdr:col>
      <xdr:colOff>5443</xdr:colOff>
      <xdr:row>23</xdr:row>
      <xdr:rowOff>190500</xdr:rowOff>
    </xdr:from>
    <xdr:to>
      <xdr:col>20</xdr:col>
      <xdr:colOff>0</xdr:colOff>
      <xdr:row>37</xdr:row>
      <xdr:rowOff>136071</xdr:rowOff>
    </xdr:to>
    <xdr:sp macro="" textlink="">
      <xdr:nvSpPr>
        <xdr:cNvPr id="24" name="TextBox 23"/>
        <xdr:cNvSpPr txBox="1"/>
      </xdr:nvSpPr>
      <xdr:spPr>
        <a:xfrm>
          <a:off x="9332323" y="5120640"/>
          <a:ext cx="360317" cy="2521131"/>
        </a:xfrm>
        <a:prstGeom prst="rect">
          <a:avLst/>
        </a:prstGeom>
        <a:noFill/>
        <a:ln w="9525" cmpd="sng">
          <a:solidFill>
            <a:schemeClr val="accent3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rtlCol="0" anchor="ctr" anchorCtr="1"/>
        <a:lstStyle/>
        <a:p>
          <a:r>
            <a:rPr lang="en-GB" sz="1100"/>
            <a:t>PAR-01</a:t>
          </a:r>
        </a:p>
      </xdr:txBody>
    </xdr:sp>
    <xdr:clientData/>
  </xdr:twoCellAnchor>
  <xdr:twoCellAnchor>
    <xdr:from>
      <xdr:col>15</xdr:col>
      <xdr:colOff>182033</xdr:colOff>
      <xdr:row>23</xdr:row>
      <xdr:rowOff>190499</xdr:rowOff>
    </xdr:from>
    <xdr:to>
      <xdr:col>17</xdr:col>
      <xdr:colOff>141514</xdr:colOff>
      <xdr:row>25</xdr:row>
      <xdr:rowOff>182032</xdr:rowOff>
    </xdr:to>
    <xdr:sp macro="" textlink="">
      <xdr:nvSpPr>
        <xdr:cNvPr id="25" name="TextBox 24"/>
        <xdr:cNvSpPr txBox="1"/>
      </xdr:nvSpPr>
      <xdr:spPr>
        <a:xfrm>
          <a:off x="8960273" y="5120639"/>
          <a:ext cx="325241" cy="364913"/>
        </a:xfrm>
        <a:prstGeom prst="rect">
          <a:avLst/>
        </a:prstGeom>
        <a:noFill/>
        <a:ln w="9525" cmpd="sng">
          <a:solidFill>
            <a:schemeClr val="accent3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r>
            <a:rPr lang="en-GB" sz="1100"/>
            <a:t>PAR-04</a:t>
          </a:r>
        </a:p>
      </xdr:txBody>
    </xdr:sp>
    <xdr:clientData/>
  </xdr:twoCellAnchor>
  <xdr:twoCellAnchor>
    <xdr:from>
      <xdr:col>12</xdr:col>
      <xdr:colOff>0</xdr:colOff>
      <xdr:row>23</xdr:row>
      <xdr:rowOff>190499</xdr:rowOff>
    </xdr:from>
    <xdr:to>
      <xdr:col>15</xdr:col>
      <xdr:colOff>124692</xdr:colOff>
      <xdr:row>25</xdr:row>
      <xdr:rowOff>182032</xdr:rowOff>
    </xdr:to>
    <xdr:sp macro="" textlink="">
      <xdr:nvSpPr>
        <xdr:cNvPr id="26" name="TextBox 25"/>
        <xdr:cNvSpPr txBox="1"/>
      </xdr:nvSpPr>
      <xdr:spPr>
        <a:xfrm>
          <a:off x="8229600" y="5120639"/>
          <a:ext cx="673332" cy="364913"/>
        </a:xfrm>
        <a:prstGeom prst="rect">
          <a:avLst/>
        </a:prstGeom>
        <a:noFill/>
        <a:ln w="9525" cmpd="sng">
          <a:solidFill>
            <a:schemeClr val="accent3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1"/>
        <a:lstStyle/>
        <a:p>
          <a:r>
            <a:rPr lang="en-GB" sz="1100"/>
            <a:t>PAR-03</a:t>
          </a:r>
        </a:p>
      </xdr:txBody>
    </xdr:sp>
    <xdr:clientData/>
  </xdr:twoCellAnchor>
  <xdr:twoCellAnchor>
    <xdr:from>
      <xdr:col>9</xdr:col>
      <xdr:colOff>182033</xdr:colOff>
      <xdr:row>29</xdr:row>
      <xdr:rowOff>182033</xdr:rowOff>
    </xdr:from>
    <xdr:to>
      <xdr:col>17</xdr:col>
      <xdr:colOff>136073</xdr:colOff>
      <xdr:row>31</xdr:row>
      <xdr:rowOff>182032</xdr:rowOff>
    </xdr:to>
    <xdr:sp macro="" textlink="">
      <xdr:nvSpPr>
        <xdr:cNvPr id="27" name="TextBox 26"/>
        <xdr:cNvSpPr txBox="1"/>
      </xdr:nvSpPr>
      <xdr:spPr>
        <a:xfrm>
          <a:off x="7862993" y="6217073"/>
          <a:ext cx="1417080" cy="365759"/>
        </a:xfrm>
        <a:prstGeom prst="rect">
          <a:avLst/>
        </a:prstGeom>
        <a:noFill/>
        <a:ln w="9525" cmpd="sng">
          <a:solidFill>
            <a:schemeClr val="accent3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GB" sz="1100"/>
            <a:t>PAR-02</a:t>
          </a:r>
        </a:p>
      </xdr:txBody>
    </xdr:sp>
    <xdr:clientData/>
  </xdr:twoCellAnchor>
  <xdr:twoCellAnchor>
    <xdr:from>
      <xdr:col>22</xdr:col>
      <xdr:colOff>6927</xdr:colOff>
      <xdr:row>7</xdr:row>
      <xdr:rowOff>20782</xdr:rowOff>
    </xdr:from>
    <xdr:to>
      <xdr:col>24</xdr:col>
      <xdr:colOff>0</xdr:colOff>
      <xdr:row>9</xdr:row>
      <xdr:rowOff>6927</xdr:rowOff>
    </xdr:to>
    <xdr:sp macro="" textlink="">
      <xdr:nvSpPr>
        <xdr:cNvPr id="28" name="Down Arrow 27"/>
        <xdr:cNvSpPr/>
      </xdr:nvSpPr>
      <xdr:spPr>
        <a:xfrm flipV="1">
          <a:off x="10065327" y="2009602"/>
          <a:ext cx="358833" cy="351905"/>
        </a:xfrm>
        <a:prstGeom prst="downArrow">
          <a:avLst/>
        </a:prstGeom>
        <a:solidFill>
          <a:schemeClr val="tx1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GB" sz="1100"/>
        </a:p>
      </xdr:txBody>
    </xdr:sp>
    <xdr:clientData/>
  </xdr:twoCellAnchor>
  <xdr:twoCellAnchor>
    <xdr:from>
      <xdr:col>17</xdr:col>
      <xdr:colOff>21166</xdr:colOff>
      <xdr:row>32</xdr:row>
      <xdr:rowOff>182033</xdr:rowOff>
    </xdr:from>
    <xdr:to>
      <xdr:col>17</xdr:col>
      <xdr:colOff>139700</xdr:colOff>
      <xdr:row>36</xdr:row>
      <xdr:rowOff>190500</xdr:rowOff>
    </xdr:to>
    <xdr:sp macro="" textlink="">
      <xdr:nvSpPr>
        <xdr:cNvPr id="29" name="TextBox 28"/>
        <xdr:cNvSpPr txBox="1"/>
      </xdr:nvSpPr>
      <xdr:spPr>
        <a:xfrm>
          <a:off x="9165166" y="6765713"/>
          <a:ext cx="118534" cy="7399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tIns="0" bIns="0" rtlCol="0" anchor="ctr" anchorCtr="1"/>
        <a:lstStyle/>
        <a:p>
          <a:pPr algn="ctr"/>
          <a:r>
            <a:rPr lang="en-GB" sz="800">
              <a:solidFill>
                <a:srgbClr val="FF0000"/>
              </a:solidFill>
            </a:rPr>
            <a:t>E107500</a:t>
          </a:r>
        </a:p>
      </xdr:txBody>
    </xdr:sp>
    <xdr:clientData/>
  </xdr:twoCellAnchor>
  <xdr:twoCellAnchor>
    <xdr:from>
      <xdr:col>12</xdr:col>
      <xdr:colOff>0</xdr:colOff>
      <xdr:row>25</xdr:row>
      <xdr:rowOff>182047</xdr:rowOff>
    </xdr:from>
    <xdr:to>
      <xdr:col>12</xdr:col>
      <xdr:colOff>118534</xdr:colOff>
      <xdr:row>28</xdr:row>
      <xdr:rowOff>182033</xdr:rowOff>
    </xdr:to>
    <xdr:sp macro="" textlink="">
      <xdr:nvSpPr>
        <xdr:cNvPr id="30" name="TextBox 29"/>
        <xdr:cNvSpPr txBox="1"/>
      </xdr:nvSpPr>
      <xdr:spPr>
        <a:xfrm>
          <a:off x="8229600" y="5485567"/>
          <a:ext cx="118534" cy="548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tIns="0" bIns="0" rtlCol="0" anchor="ctr" anchorCtr="1"/>
        <a:lstStyle/>
        <a:p>
          <a:pPr algn="ctr"/>
          <a:r>
            <a:rPr lang="en-GB" sz="800">
              <a:solidFill>
                <a:srgbClr val="FF0000"/>
              </a:solidFill>
            </a:rPr>
            <a:t>E110000</a:t>
          </a:r>
        </a:p>
      </xdr:txBody>
    </xdr:sp>
    <xdr:clientData/>
  </xdr:twoCellAnchor>
  <xdr:twoCellAnchor>
    <xdr:from>
      <xdr:col>6</xdr:col>
      <xdr:colOff>0</xdr:colOff>
      <xdr:row>23</xdr:row>
      <xdr:rowOff>50800</xdr:rowOff>
    </xdr:from>
    <xdr:to>
      <xdr:col>9</xdr:col>
      <xdr:colOff>0</xdr:colOff>
      <xdr:row>23</xdr:row>
      <xdr:rowOff>184150</xdr:rowOff>
    </xdr:to>
    <xdr:sp macro="" textlink="">
      <xdr:nvSpPr>
        <xdr:cNvPr id="31" name="TextBox 30"/>
        <xdr:cNvSpPr txBox="1"/>
      </xdr:nvSpPr>
      <xdr:spPr>
        <a:xfrm>
          <a:off x="1104900" y="4997450"/>
          <a:ext cx="5524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r>
            <a:rPr lang="en-GB" sz="800">
              <a:solidFill>
                <a:srgbClr val="FF0000"/>
              </a:solidFill>
            </a:rPr>
            <a:t>N163000</a:t>
          </a:r>
        </a:p>
      </xdr:txBody>
    </xdr:sp>
    <xdr:clientData/>
  </xdr:twoCellAnchor>
  <xdr:twoCellAnchor>
    <xdr:from>
      <xdr:col>26</xdr:col>
      <xdr:colOff>88900</xdr:colOff>
      <xdr:row>27</xdr:row>
      <xdr:rowOff>50800</xdr:rowOff>
    </xdr:from>
    <xdr:to>
      <xdr:col>29</xdr:col>
      <xdr:colOff>88900</xdr:colOff>
      <xdr:row>28</xdr:row>
      <xdr:rowOff>0</xdr:rowOff>
    </xdr:to>
    <xdr:sp macro="" textlink="">
      <xdr:nvSpPr>
        <xdr:cNvPr id="32" name="TextBox 31"/>
        <xdr:cNvSpPr txBox="1"/>
      </xdr:nvSpPr>
      <xdr:spPr>
        <a:xfrm>
          <a:off x="4876800" y="5740400"/>
          <a:ext cx="5524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r"/>
          <a:r>
            <a:rPr lang="en-GB" sz="800">
              <a:solidFill>
                <a:srgbClr val="FF0000"/>
              </a:solidFill>
            </a:rPr>
            <a:t>N148000</a:t>
          </a:r>
        </a:p>
      </xdr:txBody>
    </xdr:sp>
    <xdr:clientData/>
  </xdr:twoCellAnchor>
  <xdr:twoCellAnchor>
    <xdr:from>
      <xdr:col>26</xdr:col>
      <xdr:colOff>95250</xdr:colOff>
      <xdr:row>36</xdr:row>
      <xdr:rowOff>57150</xdr:rowOff>
    </xdr:from>
    <xdr:to>
      <xdr:col>29</xdr:col>
      <xdr:colOff>95250</xdr:colOff>
      <xdr:row>37</xdr:row>
      <xdr:rowOff>0</xdr:rowOff>
    </xdr:to>
    <xdr:sp macro="" textlink="">
      <xdr:nvSpPr>
        <xdr:cNvPr id="33" name="TextBox 32"/>
        <xdr:cNvSpPr txBox="1"/>
      </xdr:nvSpPr>
      <xdr:spPr>
        <a:xfrm>
          <a:off x="4883150" y="7404100"/>
          <a:ext cx="5524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r"/>
          <a:r>
            <a:rPr lang="en-GB" sz="800">
              <a:solidFill>
                <a:srgbClr val="FF0000"/>
              </a:solidFill>
            </a:rPr>
            <a:t>N129000</a:t>
          </a:r>
        </a:p>
      </xdr:txBody>
    </xdr:sp>
    <xdr:clientData/>
  </xdr:twoCellAnchor>
  <xdr:twoCellAnchor>
    <xdr:from>
      <xdr:col>13</xdr:col>
      <xdr:colOff>6350</xdr:colOff>
      <xdr:row>28</xdr:row>
      <xdr:rowOff>50800</xdr:rowOff>
    </xdr:from>
    <xdr:to>
      <xdr:col>16</xdr:col>
      <xdr:colOff>6350</xdr:colOff>
      <xdr:row>29</xdr:row>
      <xdr:rowOff>0</xdr:rowOff>
    </xdr:to>
    <xdr:sp macro="" textlink="">
      <xdr:nvSpPr>
        <xdr:cNvPr id="34" name="TextBox 33"/>
        <xdr:cNvSpPr txBox="1"/>
      </xdr:nvSpPr>
      <xdr:spPr>
        <a:xfrm>
          <a:off x="8418830" y="5902960"/>
          <a:ext cx="548640" cy="132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r>
            <a:rPr lang="en-GB" sz="800">
              <a:solidFill>
                <a:srgbClr val="FF0000"/>
              </a:solidFill>
            </a:rPr>
            <a:t>N146000</a:t>
          </a:r>
        </a:p>
      </xdr:txBody>
    </xdr:sp>
    <xdr:clientData/>
  </xdr:twoCellAnchor>
  <xdr:twoCellAnchor>
    <xdr:from>
      <xdr:col>26</xdr:col>
      <xdr:colOff>88900</xdr:colOff>
      <xdr:row>22</xdr:row>
      <xdr:rowOff>50800</xdr:rowOff>
    </xdr:from>
    <xdr:to>
      <xdr:col>29</xdr:col>
      <xdr:colOff>88900</xdr:colOff>
      <xdr:row>23</xdr:row>
      <xdr:rowOff>0</xdr:rowOff>
    </xdr:to>
    <xdr:sp macro="" textlink="">
      <xdr:nvSpPr>
        <xdr:cNvPr id="35" name="TextBox 34"/>
        <xdr:cNvSpPr txBox="1"/>
      </xdr:nvSpPr>
      <xdr:spPr>
        <a:xfrm>
          <a:off x="4876800" y="4813300"/>
          <a:ext cx="5524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r"/>
          <a:r>
            <a:rPr lang="en-GB" sz="800">
              <a:solidFill>
                <a:srgbClr val="FF0000"/>
              </a:solidFill>
            </a:rPr>
            <a:t>N168580</a:t>
          </a:r>
        </a:p>
      </xdr:txBody>
    </xdr:sp>
    <xdr:clientData/>
  </xdr:twoCellAnchor>
  <xdr:twoCellAnchor>
    <xdr:from>
      <xdr:col>5</xdr:col>
      <xdr:colOff>0</xdr:colOff>
      <xdr:row>36</xdr:row>
      <xdr:rowOff>57150</xdr:rowOff>
    </xdr:from>
    <xdr:to>
      <xdr:col>8</xdr:col>
      <xdr:colOff>0</xdr:colOff>
      <xdr:row>37</xdr:row>
      <xdr:rowOff>0</xdr:rowOff>
    </xdr:to>
    <xdr:sp macro="" textlink="">
      <xdr:nvSpPr>
        <xdr:cNvPr id="37" name="TextBox 36"/>
        <xdr:cNvSpPr txBox="1"/>
      </xdr:nvSpPr>
      <xdr:spPr>
        <a:xfrm>
          <a:off x="920750" y="7404100"/>
          <a:ext cx="5524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r>
            <a:rPr lang="en-GB" sz="800">
              <a:solidFill>
                <a:srgbClr val="FF0000"/>
              </a:solidFill>
            </a:rPr>
            <a:t>N129000</a:t>
          </a:r>
        </a:p>
      </xdr:txBody>
    </xdr:sp>
    <xdr:clientData/>
  </xdr:twoCellAnchor>
  <xdr:twoCellAnchor>
    <xdr:from>
      <xdr:col>20</xdr:col>
      <xdr:colOff>76200</xdr:colOff>
      <xdr:row>37</xdr:row>
      <xdr:rowOff>50800</xdr:rowOff>
    </xdr:from>
    <xdr:to>
      <xdr:col>23</xdr:col>
      <xdr:colOff>76200</xdr:colOff>
      <xdr:row>38</xdr:row>
      <xdr:rowOff>0</xdr:rowOff>
    </xdr:to>
    <xdr:sp macro="" textlink="">
      <xdr:nvSpPr>
        <xdr:cNvPr id="38" name="TextBox 37"/>
        <xdr:cNvSpPr txBox="1"/>
      </xdr:nvSpPr>
      <xdr:spPr>
        <a:xfrm>
          <a:off x="3759200" y="7588250"/>
          <a:ext cx="5524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r>
            <a:rPr lang="en-GB" sz="800">
              <a:solidFill>
                <a:srgbClr val="FF0000"/>
              </a:solidFill>
            </a:rPr>
            <a:t>N122900</a:t>
          </a:r>
        </a:p>
      </xdr:txBody>
    </xdr:sp>
    <xdr:clientData/>
  </xdr:twoCellAnchor>
  <xdr:twoCellAnchor>
    <xdr:from>
      <xdr:col>26</xdr:col>
      <xdr:colOff>88900</xdr:colOff>
      <xdr:row>41</xdr:row>
      <xdr:rowOff>57150</xdr:rowOff>
    </xdr:from>
    <xdr:to>
      <xdr:col>29</xdr:col>
      <xdr:colOff>88900</xdr:colOff>
      <xdr:row>42</xdr:row>
      <xdr:rowOff>0</xdr:rowOff>
    </xdr:to>
    <xdr:sp macro="" textlink="">
      <xdr:nvSpPr>
        <xdr:cNvPr id="39" name="TextBox 38"/>
        <xdr:cNvSpPr txBox="1"/>
      </xdr:nvSpPr>
      <xdr:spPr>
        <a:xfrm>
          <a:off x="4876800" y="8331200"/>
          <a:ext cx="5524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r"/>
          <a:r>
            <a:rPr lang="en-GB" sz="800">
              <a:solidFill>
                <a:srgbClr val="FF0000"/>
              </a:solidFill>
            </a:rPr>
            <a:t>N100000</a:t>
          </a:r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11</xdr:col>
      <xdr:colOff>118534</xdr:colOff>
      <xdr:row>20</xdr:row>
      <xdr:rowOff>184136</xdr:rowOff>
    </xdr:to>
    <xdr:sp macro="" textlink="">
      <xdr:nvSpPr>
        <xdr:cNvPr id="40" name="TextBox 39"/>
        <xdr:cNvSpPr txBox="1"/>
      </xdr:nvSpPr>
      <xdr:spPr>
        <a:xfrm>
          <a:off x="2025650" y="4013200"/>
          <a:ext cx="118534" cy="5524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tIns="0" bIns="0" rtlCol="0" anchor="ctr" anchorCtr="0"/>
        <a:lstStyle/>
        <a:p>
          <a:pPr algn="l"/>
          <a:r>
            <a:rPr lang="en-GB" sz="800">
              <a:solidFill>
                <a:srgbClr val="FF0000"/>
              </a:solidFill>
            </a:rPr>
            <a:t>E100000</a:t>
          </a:r>
        </a:p>
      </xdr:txBody>
    </xdr:sp>
    <xdr:clientData/>
  </xdr:twoCellAnchor>
  <xdr:twoCellAnchor>
    <xdr:from>
      <xdr:col>23</xdr:col>
      <xdr:colOff>0</xdr:colOff>
      <xdr:row>18</xdr:row>
      <xdr:rowOff>0</xdr:rowOff>
    </xdr:from>
    <xdr:to>
      <xdr:col>23</xdr:col>
      <xdr:colOff>118534</xdr:colOff>
      <xdr:row>20</xdr:row>
      <xdr:rowOff>184136</xdr:rowOff>
    </xdr:to>
    <xdr:sp macro="" textlink="">
      <xdr:nvSpPr>
        <xdr:cNvPr id="42" name="TextBox 41"/>
        <xdr:cNvSpPr txBox="1"/>
      </xdr:nvSpPr>
      <xdr:spPr>
        <a:xfrm>
          <a:off x="4235450" y="4013200"/>
          <a:ext cx="118534" cy="5524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tIns="0" bIns="0" rtlCol="0" anchor="ctr" anchorCtr="0"/>
        <a:lstStyle/>
        <a:p>
          <a:pPr algn="l"/>
          <a:r>
            <a:rPr lang="en-GB" sz="800">
              <a:solidFill>
                <a:srgbClr val="FF0000"/>
              </a:solidFill>
            </a:rPr>
            <a:t>E159436</a:t>
          </a:r>
        </a:p>
      </xdr:txBody>
    </xdr:sp>
    <xdr:clientData/>
  </xdr:twoCellAnchor>
  <xdr:twoCellAnchor>
    <xdr:from>
      <xdr:col>20</xdr:col>
      <xdr:colOff>0</xdr:colOff>
      <xdr:row>18</xdr:row>
      <xdr:rowOff>0</xdr:rowOff>
    </xdr:from>
    <xdr:to>
      <xdr:col>20</xdr:col>
      <xdr:colOff>118534</xdr:colOff>
      <xdr:row>20</xdr:row>
      <xdr:rowOff>184136</xdr:rowOff>
    </xdr:to>
    <xdr:sp macro="" textlink="">
      <xdr:nvSpPr>
        <xdr:cNvPr id="43" name="TextBox 42"/>
        <xdr:cNvSpPr txBox="1"/>
      </xdr:nvSpPr>
      <xdr:spPr>
        <a:xfrm>
          <a:off x="3683000" y="4013200"/>
          <a:ext cx="118534" cy="5524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tIns="0" bIns="0" rtlCol="0" anchor="ctr" anchorCtr="0"/>
        <a:lstStyle/>
        <a:p>
          <a:pPr algn="l"/>
          <a:r>
            <a:rPr lang="en-GB" sz="800">
              <a:solidFill>
                <a:srgbClr val="FF0000"/>
              </a:solidFill>
            </a:rPr>
            <a:t>E146600</a:t>
          </a:r>
        </a:p>
      </xdr:txBody>
    </xdr:sp>
    <xdr:clientData/>
  </xdr:twoCellAnchor>
  <xdr:twoCellAnchor>
    <xdr:from>
      <xdr:col>19</xdr:col>
      <xdr:colOff>0</xdr:colOff>
      <xdr:row>18</xdr:row>
      <xdr:rowOff>0</xdr:rowOff>
    </xdr:from>
    <xdr:to>
      <xdr:col>19</xdr:col>
      <xdr:colOff>118534</xdr:colOff>
      <xdr:row>20</xdr:row>
      <xdr:rowOff>184136</xdr:rowOff>
    </xdr:to>
    <xdr:sp macro="" textlink="">
      <xdr:nvSpPr>
        <xdr:cNvPr id="44" name="TextBox 43"/>
        <xdr:cNvSpPr txBox="1"/>
      </xdr:nvSpPr>
      <xdr:spPr>
        <a:xfrm>
          <a:off x="3498850" y="4013200"/>
          <a:ext cx="118534" cy="5524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tIns="0" bIns="0" rtlCol="0" anchor="ctr" anchorCtr="0"/>
        <a:lstStyle/>
        <a:p>
          <a:pPr algn="l"/>
          <a:r>
            <a:rPr lang="en-GB" sz="800">
              <a:solidFill>
                <a:srgbClr val="FF0000"/>
              </a:solidFill>
            </a:rPr>
            <a:t>E135500</a:t>
          </a:r>
        </a:p>
      </xdr:txBody>
    </xdr:sp>
    <xdr:clientData/>
  </xdr:twoCellAnchor>
  <xdr:twoCellAnchor>
    <xdr:from>
      <xdr:col>14</xdr:col>
      <xdr:colOff>57150</xdr:colOff>
      <xdr:row>18</xdr:row>
      <xdr:rowOff>0</xdr:rowOff>
    </xdr:from>
    <xdr:to>
      <xdr:col>14</xdr:col>
      <xdr:colOff>175684</xdr:colOff>
      <xdr:row>20</xdr:row>
      <xdr:rowOff>184136</xdr:rowOff>
    </xdr:to>
    <xdr:sp macro="" textlink="">
      <xdr:nvSpPr>
        <xdr:cNvPr id="45" name="TextBox 44"/>
        <xdr:cNvSpPr txBox="1"/>
      </xdr:nvSpPr>
      <xdr:spPr>
        <a:xfrm>
          <a:off x="2635250" y="4013200"/>
          <a:ext cx="118534" cy="5524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tIns="0" bIns="0" rtlCol="0" anchor="ctr" anchorCtr="0"/>
        <a:lstStyle/>
        <a:p>
          <a:pPr algn="l"/>
          <a:r>
            <a:rPr lang="en-GB" sz="800">
              <a:solidFill>
                <a:srgbClr val="FF0000"/>
              </a:solidFill>
            </a:rPr>
            <a:t>E124000</a:t>
          </a:r>
        </a:p>
      </xdr:txBody>
    </xdr:sp>
    <xdr:clientData/>
  </xdr:twoCellAnchor>
  <xdr:twoCellAnchor>
    <xdr:from>
      <xdr:col>20</xdr:col>
      <xdr:colOff>0</xdr:colOff>
      <xdr:row>45</xdr:row>
      <xdr:rowOff>0</xdr:rowOff>
    </xdr:from>
    <xdr:to>
      <xdr:col>20</xdr:col>
      <xdr:colOff>118534</xdr:colOff>
      <xdr:row>47</xdr:row>
      <xdr:rowOff>184136</xdr:rowOff>
    </xdr:to>
    <xdr:sp macro="" textlink="">
      <xdr:nvSpPr>
        <xdr:cNvPr id="46" name="TextBox 45"/>
        <xdr:cNvSpPr txBox="1"/>
      </xdr:nvSpPr>
      <xdr:spPr>
        <a:xfrm>
          <a:off x="3683000" y="9023350"/>
          <a:ext cx="118534" cy="5524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tIns="0" bIns="0" rtlCol="0" anchor="ctr" anchorCtr="1"/>
        <a:lstStyle/>
        <a:p>
          <a:pPr algn="ctr"/>
          <a:r>
            <a:rPr lang="en-GB" sz="800">
              <a:solidFill>
                <a:srgbClr val="FF0000"/>
              </a:solidFill>
            </a:rPr>
            <a:t>E146600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</xdr:row>
      <xdr:rowOff>358865</xdr:rowOff>
    </xdr:from>
    <xdr:to>
      <xdr:col>0</xdr:col>
      <xdr:colOff>506001</xdr:colOff>
      <xdr:row>3</xdr:row>
      <xdr:rowOff>114300</xdr:rowOff>
    </xdr:to>
    <xdr:pic>
      <xdr:nvPicPr>
        <xdr:cNvPr id="2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4785" y="595085"/>
          <a:ext cx="1176" cy="4869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167640</xdr:colOff>
      <xdr:row>0</xdr:row>
      <xdr:rowOff>121920</xdr:rowOff>
    </xdr:from>
    <xdr:to>
      <xdr:col>5</xdr:col>
      <xdr:colOff>21109</xdr:colOff>
      <xdr:row>1</xdr:row>
      <xdr:rowOff>85291</xdr:rowOff>
    </xdr:to>
    <xdr:pic>
      <xdr:nvPicPr>
        <xdr:cNvPr id="3" name="Picture 2" descr="ithaca_energy"/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67640" y="121920"/>
          <a:ext cx="767869" cy="1995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129540</xdr:colOff>
      <xdr:row>1</xdr:row>
      <xdr:rowOff>198120</xdr:rowOff>
    </xdr:from>
    <xdr:to>
      <xdr:col>5</xdr:col>
      <xdr:colOff>57437</xdr:colOff>
      <xdr:row>1</xdr:row>
      <xdr:rowOff>484376</xdr:rowOff>
    </xdr:to>
    <xdr:pic>
      <xdr:nvPicPr>
        <xdr:cNvPr id="4" name="Picture 3" descr="Stella_logo"/>
        <xdr:cNvPicPr/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9540" y="434340"/>
          <a:ext cx="842297" cy="2862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7619</xdr:colOff>
      <xdr:row>2</xdr:row>
      <xdr:rowOff>45720</xdr:rowOff>
    </xdr:from>
    <xdr:to>
      <xdr:col>3</xdr:col>
      <xdr:colOff>169734</xdr:colOff>
      <xdr:row>3</xdr:row>
      <xdr:rowOff>296455</xdr:rowOff>
    </xdr:to>
    <xdr:pic>
      <xdr:nvPicPr>
        <xdr:cNvPr id="5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3379" y="777240"/>
          <a:ext cx="344995" cy="4869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635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4"/>
  <sheetViews>
    <sheetView tabSelected="1" zoomScaleNormal="100" workbookViewId="0">
      <selection sqref="A1:F4"/>
    </sheetView>
  </sheetViews>
  <sheetFormatPr defaultColWidth="2.6640625" defaultRowHeight="14.4"/>
  <cols>
    <col min="1" max="26" width="2.6640625" style="9"/>
    <col min="27" max="27" width="2.6640625" style="9" customWidth="1"/>
    <col min="28" max="16384" width="2.6640625" style="9"/>
  </cols>
  <sheetData>
    <row r="1" spans="1:33" ht="18.600000000000001" customHeight="1">
      <c r="A1" s="205"/>
      <c r="B1" s="206"/>
      <c r="C1" s="207"/>
      <c r="D1" s="207"/>
      <c r="E1" s="207"/>
      <c r="F1" s="208"/>
      <c r="G1" s="1" t="s">
        <v>0</v>
      </c>
      <c r="H1" s="2"/>
      <c r="I1" s="3"/>
      <c r="J1" s="3"/>
      <c r="K1" s="4"/>
      <c r="L1" s="3"/>
      <c r="M1" s="3"/>
      <c r="N1" s="5" t="s">
        <v>1</v>
      </c>
      <c r="O1" s="3"/>
      <c r="P1" s="3"/>
      <c r="Q1" s="3"/>
      <c r="R1" s="6" t="s">
        <v>2</v>
      </c>
      <c r="S1" s="7"/>
      <c r="T1" s="3"/>
      <c r="U1" s="8"/>
      <c r="V1" s="1" t="s">
        <v>3</v>
      </c>
      <c r="W1" s="4"/>
      <c r="X1" s="4"/>
      <c r="Y1" s="3"/>
      <c r="Z1" s="3"/>
      <c r="AA1" s="3"/>
      <c r="AB1" s="3"/>
      <c r="AC1" s="3"/>
      <c r="AD1" s="3"/>
      <c r="AE1" s="3"/>
      <c r="AF1" s="3"/>
      <c r="AG1" s="8"/>
    </row>
    <row r="2" spans="1:33" ht="39" customHeight="1" thickBot="1">
      <c r="A2" s="209"/>
      <c r="B2" s="210"/>
      <c r="C2" s="211"/>
      <c r="D2" s="211"/>
      <c r="E2" s="211"/>
      <c r="F2" s="212"/>
      <c r="G2" s="230" t="s">
        <v>4</v>
      </c>
      <c r="H2" s="233"/>
      <c r="I2" s="233"/>
      <c r="J2" s="233"/>
      <c r="K2" s="233"/>
      <c r="L2" s="233"/>
      <c r="M2" s="234"/>
      <c r="N2" s="235" t="s">
        <v>11</v>
      </c>
      <c r="O2" s="236"/>
      <c r="P2" s="236"/>
      <c r="Q2" s="237"/>
      <c r="R2" s="230" t="s">
        <v>5</v>
      </c>
      <c r="S2" s="231"/>
      <c r="T2" s="231"/>
      <c r="U2" s="232"/>
      <c r="V2" s="227" t="s">
        <v>60</v>
      </c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9"/>
    </row>
    <row r="3" spans="1:33" ht="18.600000000000001" customHeight="1">
      <c r="A3" s="209"/>
      <c r="B3" s="210"/>
      <c r="C3" s="211"/>
      <c r="D3" s="211"/>
      <c r="E3" s="211"/>
      <c r="F3" s="212"/>
      <c r="G3" s="1" t="s">
        <v>6</v>
      </c>
      <c r="H3" s="10"/>
      <c r="I3" s="10"/>
      <c r="J3" s="10"/>
      <c r="K3" s="10"/>
      <c r="L3" s="10"/>
      <c r="M3" s="10"/>
      <c r="N3" s="10"/>
      <c r="O3" s="10"/>
      <c r="P3" s="10"/>
      <c r="Q3" s="2"/>
      <c r="R3" s="1" t="s">
        <v>7</v>
      </c>
      <c r="S3" s="10"/>
      <c r="T3" s="3"/>
      <c r="U3" s="8"/>
      <c r="V3" s="6" t="s">
        <v>8</v>
      </c>
      <c r="W3" s="3"/>
      <c r="X3" s="3"/>
      <c r="Y3" s="8"/>
      <c r="Z3" s="6" t="s">
        <v>9</v>
      </c>
      <c r="AA3" s="3"/>
      <c r="AB3" s="3"/>
      <c r="AC3" s="8"/>
      <c r="AD3" s="6" t="s">
        <v>10</v>
      </c>
      <c r="AE3" s="3"/>
      <c r="AF3" s="3"/>
      <c r="AG3" s="8"/>
    </row>
    <row r="4" spans="1:33" ht="37.200000000000003" customHeight="1" thickBot="1">
      <c r="A4" s="213"/>
      <c r="B4" s="214"/>
      <c r="C4" s="215"/>
      <c r="D4" s="215"/>
      <c r="E4" s="215"/>
      <c r="F4" s="216"/>
      <c r="G4" s="227" t="s">
        <v>59</v>
      </c>
      <c r="H4" s="228"/>
      <c r="I4" s="228"/>
      <c r="J4" s="228"/>
      <c r="K4" s="228"/>
      <c r="L4" s="228"/>
      <c r="M4" s="228"/>
      <c r="N4" s="228"/>
      <c r="O4" s="228"/>
      <c r="P4" s="228"/>
      <c r="Q4" s="229"/>
      <c r="R4" s="230" t="s">
        <v>12</v>
      </c>
      <c r="S4" s="231"/>
      <c r="T4" s="231"/>
      <c r="U4" s="232"/>
      <c r="V4" s="227" t="s">
        <v>111</v>
      </c>
      <c r="W4" s="228"/>
      <c r="X4" s="228"/>
      <c r="Y4" s="229"/>
      <c r="Z4" s="224">
        <v>41471</v>
      </c>
      <c r="AA4" s="225"/>
      <c r="AB4" s="225"/>
      <c r="AC4" s="226"/>
      <c r="AD4" s="221">
        <v>1</v>
      </c>
      <c r="AE4" s="222"/>
      <c r="AF4" s="222"/>
      <c r="AG4" s="223"/>
    </row>
    <row r="5" spans="1:33">
      <c r="A5" s="217" t="s">
        <v>13</v>
      </c>
      <c r="B5" s="218"/>
      <c r="C5" s="219" t="s">
        <v>15</v>
      </c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  <c r="AD5" s="238"/>
      <c r="AE5" s="218"/>
      <c r="AF5" s="219" t="s">
        <v>14</v>
      </c>
      <c r="AG5" s="220"/>
    </row>
    <row r="6" spans="1:33">
      <c r="A6" s="11"/>
      <c r="B6" s="12"/>
      <c r="C6" s="13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2"/>
      <c r="AF6" s="13"/>
      <c r="AG6" s="15"/>
    </row>
    <row r="7" spans="1:33" ht="14.4" customHeight="1">
      <c r="A7" s="16"/>
      <c r="B7" s="17"/>
      <c r="C7" s="18"/>
      <c r="D7" s="19" t="s">
        <v>47</v>
      </c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17"/>
      <c r="AF7" s="18"/>
      <c r="AG7" s="21"/>
    </row>
    <row r="8" spans="1:33" ht="14.4" customHeight="1">
      <c r="A8" s="16"/>
      <c r="B8" s="17"/>
      <c r="C8" s="18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20"/>
      <c r="R8" s="20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7"/>
      <c r="AF8" s="18"/>
      <c r="AG8" s="21"/>
    </row>
    <row r="9" spans="1:33" ht="14.4" customHeight="1">
      <c r="A9" s="16"/>
      <c r="B9" s="17"/>
      <c r="C9" s="18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2" t="s">
        <v>30</v>
      </c>
      <c r="Q9" s="23" t="s">
        <v>17</v>
      </c>
      <c r="R9" s="204">
        <v>1</v>
      </c>
      <c r="S9" s="204"/>
      <c r="T9" s="204"/>
      <c r="U9" s="24"/>
      <c r="V9" s="19"/>
      <c r="W9" s="19"/>
      <c r="X9" s="19"/>
      <c r="Y9" s="19"/>
      <c r="Z9" s="19"/>
      <c r="AA9" s="19"/>
      <c r="AB9" s="19"/>
      <c r="AC9" s="19"/>
      <c r="AD9" s="19"/>
      <c r="AE9" s="17"/>
      <c r="AF9" s="18"/>
      <c r="AG9" s="21"/>
    </row>
    <row r="10" spans="1:33" ht="14.4" customHeight="1">
      <c r="A10" s="16"/>
      <c r="B10" s="17"/>
      <c r="C10" s="18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20"/>
      <c r="R10" s="20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7"/>
      <c r="AF10" s="18"/>
      <c r="AG10" s="21"/>
    </row>
    <row r="11" spans="1:33" ht="14.4" customHeight="1">
      <c r="A11" s="16"/>
      <c r="B11" s="17"/>
      <c r="C11" s="18"/>
      <c r="D11" s="19" t="s">
        <v>48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20"/>
      <c r="R11" s="20"/>
      <c r="S11" s="24"/>
      <c r="T11" s="24"/>
      <c r="U11" s="24"/>
      <c r="V11" s="19"/>
      <c r="W11" s="19"/>
      <c r="X11" s="19"/>
      <c r="Y11" s="19"/>
      <c r="Z11" s="19"/>
      <c r="AA11" s="19"/>
      <c r="AB11" s="19"/>
      <c r="AC11" s="19"/>
      <c r="AD11" s="19"/>
      <c r="AE11" s="17"/>
      <c r="AF11" s="18"/>
      <c r="AG11" s="21"/>
    </row>
    <row r="12" spans="1:33" ht="14.4" customHeight="1">
      <c r="A12" s="16"/>
      <c r="B12" s="17"/>
      <c r="C12" s="18"/>
      <c r="D12" s="19" t="s">
        <v>49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7"/>
      <c r="AF12" s="18"/>
      <c r="AG12" s="21"/>
    </row>
    <row r="13" spans="1:33" ht="14.4" customHeight="1">
      <c r="A13" s="16"/>
      <c r="B13" s="17"/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27"/>
      <c r="R13" s="27"/>
      <c r="S13" s="27"/>
      <c r="T13" s="27"/>
      <c r="U13" s="27"/>
      <c r="V13" s="27"/>
      <c r="W13" s="19"/>
      <c r="X13" s="19"/>
      <c r="Y13" s="19"/>
      <c r="Z13" s="19"/>
      <c r="AA13" s="19"/>
      <c r="AB13" s="19"/>
      <c r="AC13" s="19"/>
      <c r="AD13" s="19"/>
      <c r="AE13" s="17"/>
      <c r="AF13" s="18"/>
      <c r="AG13" s="21"/>
    </row>
    <row r="14" spans="1:33" ht="14.4" customHeight="1">
      <c r="A14" s="16"/>
      <c r="B14" s="17"/>
      <c r="C14" s="18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2" t="s">
        <v>32</v>
      </c>
      <c r="Q14" s="23" t="s">
        <v>17</v>
      </c>
      <c r="R14" s="204">
        <f>IF(S13&gt;0,AA14,1.25)</f>
        <v>1.25</v>
      </c>
      <c r="S14" s="204"/>
      <c r="T14" s="204"/>
      <c r="U14" s="19"/>
      <c r="V14" s="19"/>
      <c r="W14" s="19"/>
      <c r="X14" s="19"/>
      <c r="Y14" s="19"/>
      <c r="Z14" s="19"/>
      <c r="AA14" s="30"/>
      <c r="AB14" s="31"/>
      <c r="AC14" s="31"/>
      <c r="AD14" s="19"/>
      <c r="AE14" s="17"/>
      <c r="AF14" s="18"/>
      <c r="AG14" s="21"/>
    </row>
    <row r="15" spans="1:33" ht="14.4" customHeight="1">
      <c r="A15" s="16"/>
      <c r="B15" s="17"/>
      <c r="C15" s="18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7"/>
      <c r="AF15" s="18"/>
      <c r="AG15" s="21"/>
    </row>
    <row r="16" spans="1:33" ht="14.4" customHeight="1">
      <c r="A16" s="16"/>
      <c r="B16" s="17"/>
      <c r="C16" s="18"/>
      <c r="D16" s="19" t="s">
        <v>114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7"/>
      <c r="AF16" s="18"/>
      <c r="AG16" s="21"/>
    </row>
    <row r="17" spans="1:33" ht="14.4" customHeight="1">
      <c r="A17" s="16"/>
      <c r="B17" s="17"/>
      <c r="C17" s="18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7"/>
      <c r="AF17" s="18"/>
      <c r="AG17" s="21"/>
    </row>
    <row r="18" spans="1:33" ht="14.4" customHeight="1">
      <c r="A18" s="16"/>
      <c r="B18" s="17"/>
      <c r="C18" s="269" t="s">
        <v>105</v>
      </c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1"/>
      <c r="AF18" s="18"/>
      <c r="AG18" s="21"/>
    </row>
    <row r="19" spans="1:33">
      <c r="A19" s="16"/>
      <c r="B19" s="17"/>
      <c r="C19" s="268" t="s">
        <v>39</v>
      </c>
      <c r="D19" s="268"/>
      <c r="E19" s="268"/>
      <c r="F19" s="180" t="s">
        <v>18</v>
      </c>
      <c r="G19" s="180"/>
      <c r="H19" s="180"/>
      <c r="I19" s="180"/>
      <c r="J19" s="180"/>
      <c r="K19" s="180"/>
      <c r="L19" s="196" t="s">
        <v>53</v>
      </c>
      <c r="M19" s="197"/>
      <c r="N19" s="197"/>
      <c r="O19" s="197"/>
      <c r="P19" s="197"/>
      <c r="Q19" s="197"/>
      <c r="R19" s="197"/>
      <c r="S19" s="198"/>
      <c r="T19" s="179" t="s">
        <v>42</v>
      </c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"/>
      <c r="AG19" s="21"/>
    </row>
    <row r="20" spans="1:33" ht="14.4" customHeight="1">
      <c r="A20" s="16"/>
      <c r="B20" s="17"/>
      <c r="C20" s="268"/>
      <c r="D20" s="268"/>
      <c r="E20" s="268"/>
      <c r="F20" s="183" t="s">
        <v>82</v>
      </c>
      <c r="G20" s="182"/>
      <c r="H20" s="182"/>
      <c r="I20" s="183" t="s">
        <v>83</v>
      </c>
      <c r="J20" s="182"/>
      <c r="K20" s="182"/>
      <c r="L20" s="242" t="s">
        <v>82</v>
      </c>
      <c r="M20" s="243"/>
      <c r="N20" s="243"/>
      <c r="O20" s="248"/>
      <c r="P20" s="242" t="s">
        <v>83</v>
      </c>
      <c r="Q20" s="243"/>
      <c r="R20" s="243"/>
      <c r="S20" s="244"/>
      <c r="T20" s="181" t="s">
        <v>43</v>
      </c>
      <c r="U20" s="182"/>
      <c r="V20" s="182"/>
      <c r="W20" s="182"/>
      <c r="X20" s="183" t="s">
        <v>82</v>
      </c>
      <c r="Y20" s="182"/>
      <c r="Z20" s="182"/>
      <c r="AA20" s="182"/>
      <c r="AB20" s="183" t="s">
        <v>83</v>
      </c>
      <c r="AC20" s="182"/>
      <c r="AD20" s="182"/>
      <c r="AE20" s="182"/>
      <c r="AF20" s="18"/>
      <c r="AG20" s="21"/>
    </row>
    <row r="21" spans="1:33">
      <c r="A21" s="16"/>
      <c r="B21" s="17"/>
      <c r="C21" s="268"/>
      <c r="D21" s="268"/>
      <c r="E21" s="268"/>
      <c r="F21" s="182"/>
      <c r="G21" s="182"/>
      <c r="H21" s="182"/>
      <c r="I21" s="182"/>
      <c r="J21" s="182"/>
      <c r="K21" s="182"/>
      <c r="L21" s="249"/>
      <c r="M21" s="243"/>
      <c r="N21" s="243"/>
      <c r="O21" s="248"/>
      <c r="P21" s="245"/>
      <c r="Q21" s="246"/>
      <c r="R21" s="246"/>
      <c r="S21" s="247"/>
      <c r="T21" s="181"/>
      <c r="U21" s="182"/>
      <c r="V21" s="182"/>
      <c r="W21" s="182"/>
      <c r="X21" s="182"/>
      <c r="Y21" s="182"/>
      <c r="Z21" s="182"/>
      <c r="AA21" s="182"/>
      <c r="AB21" s="182"/>
      <c r="AC21" s="182"/>
      <c r="AD21" s="182"/>
      <c r="AE21" s="182"/>
      <c r="AF21" s="18"/>
      <c r="AG21" s="21"/>
    </row>
    <row r="22" spans="1:33">
      <c r="A22" s="16"/>
      <c r="B22" s="17"/>
      <c r="C22" s="268"/>
      <c r="D22" s="268"/>
      <c r="E22" s="268"/>
      <c r="F22" s="185" t="s">
        <v>27</v>
      </c>
      <c r="G22" s="185"/>
      <c r="H22" s="185"/>
      <c r="I22" s="185" t="s">
        <v>27</v>
      </c>
      <c r="J22" s="185"/>
      <c r="K22" s="185"/>
      <c r="L22" s="250" t="s">
        <v>33</v>
      </c>
      <c r="M22" s="251"/>
      <c r="N22" s="251"/>
      <c r="O22" s="252"/>
      <c r="P22" s="239" t="s">
        <v>33</v>
      </c>
      <c r="Q22" s="240"/>
      <c r="R22" s="240"/>
      <c r="S22" s="241"/>
      <c r="T22" s="184" t="s">
        <v>33</v>
      </c>
      <c r="U22" s="185"/>
      <c r="V22" s="185"/>
      <c r="W22" s="185"/>
      <c r="X22" s="182"/>
      <c r="Y22" s="182"/>
      <c r="Z22" s="182"/>
      <c r="AA22" s="182"/>
      <c r="AB22" s="182"/>
      <c r="AC22" s="182"/>
      <c r="AD22" s="182"/>
      <c r="AE22" s="182"/>
      <c r="AF22" s="18"/>
      <c r="AG22" s="21"/>
    </row>
    <row r="23" spans="1:33">
      <c r="A23" s="16"/>
      <c r="B23" s="17"/>
      <c r="C23" s="253" t="s">
        <v>73</v>
      </c>
      <c r="D23" s="254"/>
      <c r="E23" s="255"/>
      <c r="F23" s="267">
        <f>IF(C23="","",VLOOKUP(C23,'Blast Load Basis'!$D$10:$AA$24,19,FALSE))</f>
        <v>0.48699999999999999</v>
      </c>
      <c r="G23" s="267"/>
      <c r="H23" s="267"/>
      <c r="I23" s="267">
        <f>IF(C23="","",VLOOKUP(C23,'Blast Load Basis'!$D$26:$AA$40,19,FALSE))</f>
        <v>0.16233333333333333</v>
      </c>
      <c r="J23" s="267"/>
      <c r="K23" s="267"/>
      <c r="L23" s="189">
        <f>IF(C23="","",F23*$R$14*100)</f>
        <v>60.875</v>
      </c>
      <c r="M23" s="190"/>
      <c r="N23" s="190"/>
      <c r="O23" s="191"/>
      <c r="P23" s="189">
        <f>IF(C23="","",I23*$R$14*100)</f>
        <v>20.291666666666668</v>
      </c>
      <c r="Q23" s="190"/>
      <c r="R23" s="190"/>
      <c r="S23" s="199"/>
      <c r="T23" s="186">
        <v>10</v>
      </c>
      <c r="U23" s="187"/>
      <c r="V23" s="187"/>
      <c r="W23" s="188"/>
      <c r="X23" s="189">
        <f>IF(C23="","",$R$9*L23/T23)</f>
        <v>6.0875000000000004</v>
      </c>
      <c r="Y23" s="190"/>
      <c r="Z23" s="190"/>
      <c r="AA23" s="191"/>
      <c r="AB23" s="189">
        <f>IF(C23="","",$R$9*P23/T23)</f>
        <v>2.0291666666666668</v>
      </c>
      <c r="AC23" s="190"/>
      <c r="AD23" s="190"/>
      <c r="AE23" s="191"/>
      <c r="AF23" s="18"/>
      <c r="AG23" s="21"/>
    </row>
    <row r="24" spans="1:33">
      <c r="A24" s="16"/>
      <c r="B24" s="17"/>
      <c r="C24" s="201" t="s">
        <v>75</v>
      </c>
      <c r="D24" s="202"/>
      <c r="E24" s="203"/>
      <c r="F24" s="195">
        <f>IF(C24="","",VLOOKUP(C24,'Blast Load Basis'!$D$10:$AA$24,19,FALSE))</f>
        <v>0.35899999999999999</v>
      </c>
      <c r="G24" s="195"/>
      <c r="H24" s="195"/>
      <c r="I24" s="195">
        <f>IF(C24="","",VLOOKUP(C24,'Blast Load Basis'!$D$26:$AA$40,19,FALSE))</f>
        <v>0.11966666666666666</v>
      </c>
      <c r="J24" s="195"/>
      <c r="K24" s="195"/>
      <c r="L24" s="176">
        <f>IF(C24="","",F24*$R$14*100)</f>
        <v>44.875</v>
      </c>
      <c r="M24" s="177"/>
      <c r="N24" s="177"/>
      <c r="O24" s="178"/>
      <c r="P24" s="176">
        <f>IF(C24="","",I24*$R$14*100)</f>
        <v>14.958333333333332</v>
      </c>
      <c r="Q24" s="177"/>
      <c r="R24" s="177"/>
      <c r="S24" s="200"/>
      <c r="T24" s="173">
        <f t="shared" ref="T24:T38" si="0">IF(C24="","",T$23)</f>
        <v>10</v>
      </c>
      <c r="U24" s="174"/>
      <c r="V24" s="174"/>
      <c r="W24" s="175"/>
      <c r="X24" s="176">
        <f t="shared" ref="X24:X38" si="1">IF(C24="","",$R$9*L24/T24)</f>
        <v>4.4874999999999998</v>
      </c>
      <c r="Y24" s="177"/>
      <c r="Z24" s="177"/>
      <c r="AA24" s="178"/>
      <c r="AB24" s="176">
        <f>IF(C24="","",$R$9*P24/T24)</f>
        <v>1.4958333333333331</v>
      </c>
      <c r="AC24" s="177"/>
      <c r="AD24" s="177"/>
      <c r="AE24" s="178"/>
      <c r="AF24" s="18"/>
      <c r="AG24" s="21"/>
    </row>
    <row r="25" spans="1:33">
      <c r="A25" s="16"/>
      <c r="B25" s="17"/>
      <c r="C25" s="201" t="s">
        <v>77</v>
      </c>
      <c r="D25" s="202"/>
      <c r="E25" s="203"/>
      <c r="F25" s="195">
        <f>IF(C25="","",VLOOKUP(C25,'Blast Load Basis'!$D$10:$AA$24,19,FALSE))</f>
        <v>0.32900000000000001</v>
      </c>
      <c r="G25" s="195"/>
      <c r="H25" s="195"/>
      <c r="I25" s="195">
        <f>IF(C25="","",VLOOKUP(C25,'Blast Load Basis'!$D$26:$AA$40,19,FALSE))</f>
        <v>0.10966666666666668</v>
      </c>
      <c r="J25" s="195"/>
      <c r="K25" s="195"/>
      <c r="L25" s="176">
        <f t="shared" ref="L25:L38" si="2">IF(C25="","",F25*$R$14*100)</f>
        <v>41.125</v>
      </c>
      <c r="M25" s="177"/>
      <c r="N25" s="177"/>
      <c r="O25" s="178"/>
      <c r="P25" s="176">
        <f t="shared" ref="P25:P37" si="3">IF(C25="","",I25*$R$14*100)</f>
        <v>13.708333333333334</v>
      </c>
      <c r="Q25" s="177"/>
      <c r="R25" s="177"/>
      <c r="S25" s="200"/>
      <c r="T25" s="173">
        <f t="shared" si="0"/>
        <v>10</v>
      </c>
      <c r="U25" s="174"/>
      <c r="V25" s="174"/>
      <c r="W25" s="175"/>
      <c r="X25" s="176">
        <f t="shared" si="1"/>
        <v>4.1124999999999998</v>
      </c>
      <c r="Y25" s="177"/>
      <c r="Z25" s="177"/>
      <c r="AA25" s="178"/>
      <c r="AB25" s="176">
        <f t="shared" ref="AB25:AB38" si="4">IF(C25="","",$R$9*P25/T25)</f>
        <v>1.3708333333333333</v>
      </c>
      <c r="AC25" s="177"/>
      <c r="AD25" s="177"/>
      <c r="AE25" s="178"/>
      <c r="AF25" s="18"/>
      <c r="AG25" s="21"/>
    </row>
    <row r="26" spans="1:33" ht="14.4" customHeight="1">
      <c r="A26" s="16"/>
      <c r="B26" s="17"/>
      <c r="C26" s="201" t="s">
        <v>79</v>
      </c>
      <c r="D26" s="202"/>
      <c r="E26" s="203"/>
      <c r="F26" s="195">
        <f>IF(C26="","",VLOOKUP(C26,'Blast Load Basis'!$D$10:$AA$24,19,FALSE))</f>
        <v>0.32900000000000001</v>
      </c>
      <c r="G26" s="195"/>
      <c r="H26" s="195"/>
      <c r="I26" s="195">
        <f>IF(C26="","",VLOOKUP(C26,'Blast Load Basis'!$D$26:$AA$40,19,FALSE))</f>
        <v>0.10966666666666668</v>
      </c>
      <c r="J26" s="195"/>
      <c r="K26" s="195"/>
      <c r="L26" s="176">
        <f t="shared" si="2"/>
        <v>41.125</v>
      </c>
      <c r="M26" s="177"/>
      <c r="N26" s="177"/>
      <c r="O26" s="178"/>
      <c r="P26" s="176">
        <f t="shared" si="3"/>
        <v>13.708333333333334</v>
      </c>
      <c r="Q26" s="177"/>
      <c r="R26" s="177"/>
      <c r="S26" s="200"/>
      <c r="T26" s="173">
        <f t="shared" si="0"/>
        <v>10</v>
      </c>
      <c r="U26" s="174"/>
      <c r="V26" s="174"/>
      <c r="W26" s="175"/>
      <c r="X26" s="176">
        <f t="shared" si="1"/>
        <v>4.1124999999999998</v>
      </c>
      <c r="Y26" s="177"/>
      <c r="Z26" s="177"/>
      <c r="AA26" s="178"/>
      <c r="AB26" s="176">
        <f t="shared" si="4"/>
        <v>1.3708333333333333</v>
      </c>
      <c r="AC26" s="177"/>
      <c r="AD26" s="177"/>
      <c r="AE26" s="178"/>
      <c r="AF26" s="18"/>
      <c r="AG26" s="21"/>
    </row>
    <row r="27" spans="1:33" ht="14.4" customHeight="1">
      <c r="A27" s="16"/>
      <c r="B27" s="17"/>
      <c r="C27" s="201" t="s">
        <v>16</v>
      </c>
      <c r="D27" s="202"/>
      <c r="E27" s="203"/>
      <c r="F27" s="195">
        <f>IF(C27="","",VLOOKUP(C27,'Blast Load Basis'!$D$10:$AA$24,19,FALSE))</f>
        <v>0.255</v>
      </c>
      <c r="G27" s="195"/>
      <c r="H27" s="195"/>
      <c r="I27" s="195">
        <f>IF(C27="","",VLOOKUP(C27,'Blast Load Basis'!$D$26:$AA$40,19,FALSE))</f>
        <v>8.5000000000000006E-2</v>
      </c>
      <c r="J27" s="195"/>
      <c r="K27" s="195"/>
      <c r="L27" s="176">
        <f t="shared" si="2"/>
        <v>31.874999999999996</v>
      </c>
      <c r="M27" s="177"/>
      <c r="N27" s="177"/>
      <c r="O27" s="178"/>
      <c r="P27" s="176">
        <f t="shared" si="3"/>
        <v>10.625000000000002</v>
      </c>
      <c r="Q27" s="177"/>
      <c r="R27" s="177"/>
      <c r="S27" s="200"/>
      <c r="T27" s="173">
        <f t="shared" si="0"/>
        <v>10</v>
      </c>
      <c r="U27" s="174"/>
      <c r="V27" s="174"/>
      <c r="W27" s="175"/>
      <c r="X27" s="176">
        <f t="shared" si="1"/>
        <v>3.1874999999999996</v>
      </c>
      <c r="Y27" s="177"/>
      <c r="Z27" s="177"/>
      <c r="AA27" s="178"/>
      <c r="AB27" s="176">
        <f t="shared" si="4"/>
        <v>1.0625000000000002</v>
      </c>
      <c r="AC27" s="177"/>
      <c r="AD27" s="177"/>
      <c r="AE27" s="178"/>
      <c r="AF27" s="18"/>
      <c r="AG27" s="21"/>
    </row>
    <row r="28" spans="1:33" ht="14.4" customHeight="1">
      <c r="A28" s="16"/>
      <c r="B28" s="17"/>
      <c r="C28" s="201" t="s">
        <v>20</v>
      </c>
      <c r="D28" s="202"/>
      <c r="E28" s="203"/>
      <c r="F28" s="195">
        <f>IF(C28="","",VLOOKUP(C28,'Blast Load Basis'!$D$10:$AA$24,19,FALSE))</f>
        <v>0.183</v>
      </c>
      <c r="G28" s="195"/>
      <c r="H28" s="195"/>
      <c r="I28" s="195">
        <f>IF(C28="","",VLOOKUP(C28,'Blast Load Basis'!$D$26:$AA$40,19,FALSE))</f>
        <v>6.0999999999999999E-2</v>
      </c>
      <c r="J28" s="195"/>
      <c r="K28" s="195"/>
      <c r="L28" s="176">
        <f t="shared" si="2"/>
        <v>22.875</v>
      </c>
      <c r="M28" s="177"/>
      <c r="N28" s="177"/>
      <c r="O28" s="178"/>
      <c r="P28" s="176">
        <f t="shared" si="3"/>
        <v>7.625</v>
      </c>
      <c r="Q28" s="177"/>
      <c r="R28" s="177"/>
      <c r="S28" s="200"/>
      <c r="T28" s="173">
        <f t="shared" si="0"/>
        <v>10</v>
      </c>
      <c r="U28" s="174"/>
      <c r="V28" s="174"/>
      <c r="W28" s="175"/>
      <c r="X28" s="176">
        <f t="shared" si="1"/>
        <v>2.2875000000000001</v>
      </c>
      <c r="Y28" s="177"/>
      <c r="Z28" s="177"/>
      <c r="AA28" s="178"/>
      <c r="AB28" s="176">
        <f t="shared" si="4"/>
        <v>0.76249999999999996</v>
      </c>
      <c r="AC28" s="177"/>
      <c r="AD28" s="177"/>
      <c r="AE28" s="178"/>
      <c r="AF28" s="18"/>
      <c r="AG28" s="21"/>
    </row>
    <row r="29" spans="1:33" ht="14.4" customHeight="1">
      <c r="A29" s="16"/>
      <c r="B29" s="17"/>
      <c r="C29" s="201" t="s">
        <v>21</v>
      </c>
      <c r="D29" s="202"/>
      <c r="E29" s="203"/>
      <c r="F29" s="195">
        <f>IF(C29="","",VLOOKUP(C29,'Blast Load Basis'!$D$10:$AA$24,19,FALSE))</f>
        <v>0.13800000000000001</v>
      </c>
      <c r="G29" s="195"/>
      <c r="H29" s="195"/>
      <c r="I29" s="195">
        <f>IF(C29="","",VLOOKUP(C29,'Blast Load Basis'!$D$26:$AA$40,19,FALSE))</f>
        <v>4.6000000000000006E-2</v>
      </c>
      <c r="J29" s="195"/>
      <c r="K29" s="195"/>
      <c r="L29" s="176">
        <f t="shared" si="2"/>
        <v>17.25</v>
      </c>
      <c r="M29" s="177"/>
      <c r="N29" s="177"/>
      <c r="O29" s="178"/>
      <c r="P29" s="176">
        <f t="shared" si="3"/>
        <v>5.7500000000000009</v>
      </c>
      <c r="Q29" s="177"/>
      <c r="R29" s="177"/>
      <c r="S29" s="200"/>
      <c r="T29" s="173">
        <f t="shared" si="0"/>
        <v>10</v>
      </c>
      <c r="U29" s="174"/>
      <c r="V29" s="174"/>
      <c r="W29" s="175"/>
      <c r="X29" s="176">
        <f t="shared" si="1"/>
        <v>1.7250000000000001</v>
      </c>
      <c r="Y29" s="177"/>
      <c r="Z29" s="177"/>
      <c r="AA29" s="178"/>
      <c r="AB29" s="176">
        <f t="shared" si="4"/>
        <v>0.57500000000000007</v>
      </c>
      <c r="AC29" s="177"/>
      <c r="AD29" s="177"/>
      <c r="AE29" s="178"/>
      <c r="AF29" s="18"/>
      <c r="AG29" s="21"/>
    </row>
    <row r="30" spans="1:33" ht="14.4" customHeight="1">
      <c r="A30" s="16"/>
      <c r="B30" s="17"/>
      <c r="C30" s="201" t="s">
        <v>22</v>
      </c>
      <c r="D30" s="202"/>
      <c r="E30" s="203"/>
      <c r="F30" s="195">
        <f>IF(C30="","",VLOOKUP(C30,'Blast Load Basis'!$D$10:$AA$24,19,FALSE))</f>
        <v>0.28999999999999998</v>
      </c>
      <c r="G30" s="195"/>
      <c r="H30" s="195"/>
      <c r="I30" s="195">
        <f>IF(C30="","",VLOOKUP(C30,'Blast Load Basis'!$D$26:$AA$40,19,FALSE))</f>
        <v>9.6666666666666665E-2</v>
      </c>
      <c r="J30" s="195"/>
      <c r="K30" s="195"/>
      <c r="L30" s="176">
        <f t="shared" si="2"/>
        <v>36.25</v>
      </c>
      <c r="M30" s="177"/>
      <c r="N30" s="177"/>
      <c r="O30" s="178"/>
      <c r="P30" s="176">
        <f t="shared" si="3"/>
        <v>12.083333333333334</v>
      </c>
      <c r="Q30" s="177"/>
      <c r="R30" s="177"/>
      <c r="S30" s="200"/>
      <c r="T30" s="173">
        <f t="shared" si="0"/>
        <v>10</v>
      </c>
      <c r="U30" s="174"/>
      <c r="V30" s="174"/>
      <c r="W30" s="175"/>
      <c r="X30" s="176">
        <f t="shared" si="1"/>
        <v>3.625</v>
      </c>
      <c r="Y30" s="177"/>
      <c r="Z30" s="177"/>
      <c r="AA30" s="178"/>
      <c r="AB30" s="176">
        <f t="shared" si="4"/>
        <v>1.2083333333333335</v>
      </c>
      <c r="AC30" s="177"/>
      <c r="AD30" s="177"/>
      <c r="AE30" s="178"/>
      <c r="AF30" s="18"/>
      <c r="AG30" s="21"/>
    </row>
    <row r="31" spans="1:33" ht="14.4" customHeight="1">
      <c r="A31" s="16"/>
      <c r="B31" s="17"/>
      <c r="C31" s="201" t="s">
        <v>23</v>
      </c>
      <c r="D31" s="202"/>
      <c r="E31" s="203"/>
      <c r="F31" s="195">
        <f>IF(C31="","",VLOOKUP(C31,'Blast Load Basis'!$D$10:$AA$24,19,FALSE))</f>
        <v>0.67008132842443613</v>
      </c>
      <c r="G31" s="195"/>
      <c r="H31" s="195"/>
      <c r="I31" s="195">
        <f>IF(C31="","",VLOOKUP(C31,'Blast Load Basis'!$D$26:$AA$40,19,FALSE))</f>
        <v>0.22336044280814538</v>
      </c>
      <c r="J31" s="195"/>
      <c r="K31" s="195"/>
      <c r="L31" s="176">
        <f t="shared" si="2"/>
        <v>83.760166053054519</v>
      </c>
      <c r="M31" s="177"/>
      <c r="N31" s="177"/>
      <c r="O31" s="178"/>
      <c r="P31" s="176">
        <f t="shared" si="3"/>
        <v>27.920055351018171</v>
      </c>
      <c r="Q31" s="177"/>
      <c r="R31" s="177"/>
      <c r="S31" s="200"/>
      <c r="T31" s="173">
        <f t="shared" si="0"/>
        <v>10</v>
      </c>
      <c r="U31" s="174"/>
      <c r="V31" s="174"/>
      <c r="W31" s="175"/>
      <c r="X31" s="176">
        <f t="shared" si="1"/>
        <v>8.3760166053054519</v>
      </c>
      <c r="Y31" s="177"/>
      <c r="Z31" s="177"/>
      <c r="AA31" s="178"/>
      <c r="AB31" s="176">
        <f t="shared" si="4"/>
        <v>2.7920055351018171</v>
      </c>
      <c r="AC31" s="177"/>
      <c r="AD31" s="177"/>
      <c r="AE31" s="178"/>
      <c r="AF31" s="18"/>
      <c r="AG31" s="21"/>
    </row>
    <row r="32" spans="1:33" ht="14.4" customHeight="1">
      <c r="A32" s="16"/>
      <c r="B32" s="17"/>
      <c r="C32" s="201" t="s">
        <v>24</v>
      </c>
      <c r="D32" s="202"/>
      <c r="E32" s="203"/>
      <c r="F32" s="195">
        <f>IF(C32="","",VLOOKUP(C32,'Blast Load Basis'!$D$10:$AA$24,19,FALSE))</f>
        <v>1.3825207390670982E-2</v>
      </c>
      <c r="G32" s="195"/>
      <c r="H32" s="195"/>
      <c r="I32" s="195">
        <f>IF(C32="","",VLOOKUP(C32,'Blast Load Basis'!$D$26:$AA$40,19,FALSE))</f>
        <v>4.6084024635569942E-3</v>
      </c>
      <c r="J32" s="195"/>
      <c r="K32" s="195"/>
      <c r="L32" s="176">
        <f t="shared" si="2"/>
        <v>1.7281509238338728</v>
      </c>
      <c r="M32" s="177"/>
      <c r="N32" s="177"/>
      <c r="O32" s="178"/>
      <c r="P32" s="176">
        <f t="shared" si="3"/>
        <v>0.57605030794462431</v>
      </c>
      <c r="Q32" s="177"/>
      <c r="R32" s="177"/>
      <c r="S32" s="200"/>
      <c r="T32" s="173">
        <f t="shared" si="0"/>
        <v>10</v>
      </c>
      <c r="U32" s="174"/>
      <c r="V32" s="174"/>
      <c r="W32" s="175"/>
      <c r="X32" s="176">
        <f t="shared" si="1"/>
        <v>0.17281509238338727</v>
      </c>
      <c r="Y32" s="177"/>
      <c r="Z32" s="177"/>
      <c r="AA32" s="178"/>
      <c r="AB32" s="176">
        <f t="shared" si="4"/>
        <v>5.7605030794462428E-2</v>
      </c>
      <c r="AC32" s="177"/>
      <c r="AD32" s="177"/>
      <c r="AE32" s="178"/>
      <c r="AF32" s="18"/>
      <c r="AG32" s="21"/>
    </row>
    <row r="33" spans="1:33">
      <c r="A33" s="16"/>
      <c r="B33" s="17"/>
      <c r="C33" s="201" t="s">
        <v>25</v>
      </c>
      <c r="D33" s="202"/>
      <c r="E33" s="203"/>
      <c r="F33" s="195">
        <f>IF(C33="","",VLOOKUP(C33,'Blast Load Basis'!$D$10:$AA$24,19,FALSE))</f>
        <v>0.22</v>
      </c>
      <c r="G33" s="195"/>
      <c r="H33" s="195"/>
      <c r="I33" s="195">
        <f>IF(C33="","",VLOOKUP(C33,'Blast Load Basis'!$D$26:$AA$40,19,FALSE))</f>
        <v>7.3333333333333334E-2</v>
      </c>
      <c r="J33" s="195"/>
      <c r="K33" s="195"/>
      <c r="L33" s="176">
        <f t="shared" si="2"/>
        <v>27.500000000000004</v>
      </c>
      <c r="M33" s="177"/>
      <c r="N33" s="177"/>
      <c r="O33" s="178"/>
      <c r="P33" s="176">
        <f t="shared" si="3"/>
        <v>9.1666666666666679</v>
      </c>
      <c r="Q33" s="177"/>
      <c r="R33" s="177"/>
      <c r="S33" s="200"/>
      <c r="T33" s="173">
        <f t="shared" si="0"/>
        <v>10</v>
      </c>
      <c r="U33" s="174"/>
      <c r="V33" s="174"/>
      <c r="W33" s="175"/>
      <c r="X33" s="176">
        <f t="shared" si="1"/>
        <v>2.7500000000000004</v>
      </c>
      <c r="Y33" s="177"/>
      <c r="Z33" s="177"/>
      <c r="AA33" s="178"/>
      <c r="AB33" s="176">
        <f t="shared" si="4"/>
        <v>0.91666666666666674</v>
      </c>
      <c r="AC33" s="177"/>
      <c r="AD33" s="177"/>
      <c r="AE33" s="178"/>
      <c r="AF33" s="18"/>
      <c r="AG33" s="21"/>
    </row>
    <row r="34" spans="1:33">
      <c r="A34" s="16"/>
      <c r="B34" s="17"/>
      <c r="C34" s="201" t="s">
        <v>26</v>
      </c>
      <c r="D34" s="202"/>
      <c r="E34" s="203"/>
      <c r="F34" s="195">
        <f>IF(C34="","",VLOOKUP(C34,'Blast Load Basis'!$D$10:$AA$24,19,FALSE))</f>
        <v>0.27600000000000002</v>
      </c>
      <c r="G34" s="195"/>
      <c r="H34" s="195"/>
      <c r="I34" s="195">
        <f>IF(C34="","",VLOOKUP(C34,'Blast Load Basis'!$D$26:$AA$40,19,FALSE))</f>
        <v>9.2000000000000012E-2</v>
      </c>
      <c r="J34" s="195"/>
      <c r="K34" s="195"/>
      <c r="L34" s="176">
        <f t="shared" si="2"/>
        <v>34.5</v>
      </c>
      <c r="M34" s="177"/>
      <c r="N34" s="177"/>
      <c r="O34" s="178"/>
      <c r="P34" s="176">
        <f t="shared" si="3"/>
        <v>11.500000000000002</v>
      </c>
      <c r="Q34" s="177"/>
      <c r="R34" s="177"/>
      <c r="S34" s="200"/>
      <c r="T34" s="173">
        <f t="shared" si="0"/>
        <v>10</v>
      </c>
      <c r="U34" s="174"/>
      <c r="V34" s="174"/>
      <c r="W34" s="175"/>
      <c r="X34" s="176">
        <f t="shared" si="1"/>
        <v>3.45</v>
      </c>
      <c r="Y34" s="177"/>
      <c r="Z34" s="177"/>
      <c r="AA34" s="178"/>
      <c r="AB34" s="176">
        <f t="shared" si="4"/>
        <v>1.1500000000000001</v>
      </c>
      <c r="AC34" s="177"/>
      <c r="AD34" s="177"/>
      <c r="AE34" s="178"/>
      <c r="AF34" s="18"/>
      <c r="AG34" s="21"/>
    </row>
    <row r="35" spans="1:33">
      <c r="A35" s="16"/>
      <c r="B35" s="17"/>
      <c r="C35" s="192" t="s">
        <v>54</v>
      </c>
      <c r="D35" s="193"/>
      <c r="E35" s="194"/>
      <c r="F35" s="195">
        <f>IF(C35="","",VLOOKUP(C35,'Blast Load Basis'!$D$10:$AA$24,19,FALSE))</f>
        <v>0.32500000000000001</v>
      </c>
      <c r="G35" s="195"/>
      <c r="H35" s="195"/>
      <c r="I35" s="195">
        <f>IF(C35="","",VLOOKUP(C35,'Blast Load Basis'!$D$26:$AA$40,19,FALSE))</f>
        <v>0.10833333333333334</v>
      </c>
      <c r="J35" s="195"/>
      <c r="K35" s="195"/>
      <c r="L35" s="176">
        <f t="shared" si="2"/>
        <v>40.625</v>
      </c>
      <c r="M35" s="177"/>
      <c r="N35" s="177"/>
      <c r="O35" s="178"/>
      <c r="P35" s="176">
        <f t="shared" si="3"/>
        <v>13.541666666666668</v>
      </c>
      <c r="Q35" s="177"/>
      <c r="R35" s="177"/>
      <c r="S35" s="200"/>
      <c r="T35" s="173">
        <f t="shared" si="0"/>
        <v>10</v>
      </c>
      <c r="U35" s="174"/>
      <c r="V35" s="174"/>
      <c r="W35" s="175"/>
      <c r="X35" s="176">
        <f t="shared" si="1"/>
        <v>4.0625</v>
      </c>
      <c r="Y35" s="177"/>
      <c r="Z35" s="177"/>
      <c r="AA35" s="178"/>
      <c r="AB35" s="176">
        <f t="shared" si="4"/>
        <v>1.3541666666666667</v>
      </c>
      <c r="AC35" s="177"/>
      <c r="AD35" s="177"/>
      <c r="AE35" s="178"/>
      <c r="AF35" s="18"/>
      <c r="AG35" s="21"/>
    </row>
    <row r="36" spans="1:33">
      <c r="A36" s="16"/>
      <c r="B36" s="17"/>
      <c r="C36" s="201" t="s">
        <v>84</v>
      </c>
      <c r="D36" s="202"/>
      <c r="E36" s="203"/>
      <c r="F36" s="195">
        <f>IF(C36="","",VLOOKUP(C36,'Blast Load Basis'!$D$10:$AA$24,19,FALSE))</f>
        <v>1E-3</v>
      </c>
      <c r="G36" s="195"/>
      <c r="H36" s="195"/>
      <c r="I36" s="195">
        <f>IF(C36="","",VLOOKUP(C36,'Blast Load Basis'!$D$26:$AA$40,19,FALSE))</f>
        <v>3.3333333333333332E-4</v>
      </c>
      <c r="J36" s="195"/>
      <c r="K36" s="195"/>
      <c r="L36" s="176">
        <f t="shared" si="2"/>
        <v>0.125</v>
      </c>
      <c r="M36" s="177"/>
      <c r="N36" s="177"/>
      <c r="O36" s="178"/>
      <c r="P36" s="176">
        <f t="shared" si="3"/>
        <v>4.1666666666666664E-2</v>
      </c>
      <c r="Q36" s="177"/>
      <c r="R36" s="177"/>
      <c r="S36" s="200"/>
      <c r="T36" s="173">
        <f t="shared" si="0"/>
        <v>10</v>
      </c>
      <c r="U36" s="174"/>
      <c r="V36" s="174"/>
      <c r="W36" s="175"/>
      <c r="X36" s="176">
        <f t="shared" si="1"/>
        <v>1.2500000000000001E-2</v>
      </c>
      <c r="Y36" s="177"/>
      <c r="Z36" s="177"/>
      <c r="AA36" s="178"/>
      <c r="AB36" s="176">
        <f t="shared" si="4"/>
        <v>4.1666666666666666E-3</v>
      </c>
      <c r="AC36" s="177"/>
      <c r="AD36" s="177"/>
      <c r="AE36" s="178"/>
      <c r="AF36" s="18"/>
      <c r="AG36" s="21"/>
    </row>
    <row r="37" spans="1:33">
      <c r="A37" s="16"/>
      <c r="B37" s="17"/>
      <c r="C37" s="201" t="s">
        <v>81</v>
      </c>
      <c r="D37" s="202"/>
      <c r="E37" s="203"/>
      <c r="F37" s="195">
        <f>IF(C37="","",VLOOKUP(C37,'Blast Load Basis'!$D$10:$AA$24,19,FALSE))</f>
        <v>0.17100000000000001</v>
      </c>
      <c r="G37" s="195"/>
      <c r="H37" s="195"/>
      <c r="I37" s="195">
        <f>IF(C37="","",VLOOKUP(C37,'Blast Load Basis'!$D$26:$AA$40,19,FALSE))</f>
        <v>5.7000000000000002E-2</v>
      </c>
      <c r="J37" s="195"/>
      <c r="K37" s="195"/>
      <c r="L37" s="176">
        <f t="shared" si="2"/>
        <v>21.375000000000004</v>
      </c>
      <c r="M37" s="177"/>
      <c r="N37" s="177"/>
      <c r="O37" s="178"/>
      <c r="P37" s="176">
        <f t="shared" si="3"/>
        <v>7.1250000000000009</v>
      </c>
      <c r="Q37" s="177"/>
      <c r="R37" s="177"/>
      <c r="S37" s="200"/>
      <c r="T37" s="173">
        <f t="shared" si="0"/>
        <v>10</v>
      </c>
      <c r="U37" s="174"/>
      <c r="V37" s="174"/>
      <c r="W37" s="175"/>
      <c r="X37" s="176">
        <f t="shared" si="1"/>
        <v>2.1375000000000002</v>
      </c>
      <c r="Y37" s="177"/>
      <c r="Z37" s="177"/>
      <c r="AA37" s="178"/>
      <c r="AB37" s="176">
        <f t="shared" si="4"/>
        <v>0.71250000000000013</v>
      </c>
      <c r="AC37" s="177"/>
      <c r="AD37" s="177"/>
      <c r="AE37" s="178"/>
      <c r="AF37" s="18"/>
      <c r="AG37" s="21"/>
    </row>
    <row r="38" spans="1:33">
      <c r="A38" s="16"/>
      <c r="B38" s="17"/>
      <c r="C38" s="256"/>
      <c r="D38" s="257"/>
      <c r="E38" s="258"/>
      <c r="F38" s="259" t="str">
        <f>IF(C38="","",VLOOKUP(C38,'Blast Load Basis'!$D$10:$AA$24,19,FALSE))</f>
        <v/>
      </c>
      <c r="G38" s="259"/>
      <c r="H38" s="259"/>
      <c r="I38" s="259" t="str">
        <f>IF(C38="","",VLOOKUP(C38,'Blast Load Basis'!$D$26:$AA$40,19,FALSE))</f>
        <v/>
      </c>
      <c r="J38" s="259"/>
      <c r="K38" s="259"/>
      <c r="L38" s="260" t="str">
        <f t="shared" si="2"/>
        <v/>
      </c>
      <c r="M38" s="261"/>
      <c r="N38" s="261"/>
      <c r="O38" s="262"/>
      <c r="P38" s="260" t="str">
        <f>IF(C38="","",I38*$R$14*100)</f>
        <v/>
      </c>
      <c r="Q38" s="261"/>
      <c r="R38" s="261"/>
      <c r="S38" s="263"/>
      <c r="T38" s="264" t="str">
        <f t="shared" si="0"/>
        <v/>
      </c>
      <c r="U38" s="265"/>
      <c r="V38" s="265"/>
      <c r="W38" s="266"/>
      <c r="X38" s="260" t="str">
        <f t="shared" si="1"/>
        <v/>
      </c>
      <c r="Y38" s="261"/>
      <c r="Z38" s="261"/>
      <c r="AA38" s="262"/>
      <c r="AB38" s="260" t="str">
        <f t="shared" si="4"/>
        <v/>
      </c>
      <c r="AC38" s="261"/>
      <c r="AD38" s="261"/>
      <c r="AE38" s="262"/>
      <c r="AF38" s="18"/>
      <c r="AG38" s="21"/>
    </row>
    <row r="39" spans="1:33" ht="14.4" customHeight="1">
      <c r="A39" s="16"/>
      <c r="B39" s="17"/>
      <c r="C39" s="18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7"/>
      <c r="AF39" s="18"/>
      <c r="AG39" s="21"/>
    </row>
    <row r="40" spans="1:33" ht="14.4" customHeight="1">
      <c r="A40" s="16"/>
      <c r="B40" s="17"/>
      <c r="C40" s="18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7"/>
      <c r="AF40" s="18"/>
      <c r="AG40" s="21"/>
    </row>
    <row r="41" spans="1:33">
      <c r="A41" s="16"/>
      <c r="B41" s="17"/>
      <c r="C41" s="18"/>
      <c r="D41" s="109" t="s">
        <v>34</v>
      </c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7"/>
      <c r="AF41" s="18"/>
      <c r="AG41" s="21"/>
    </row>
    <row r="42" spans="1:33" s="138" customFormat="1" ht="10.199999999999999">
      <c r="A42" s="132"/>
      <c r="B42" s="133"/>
      <c r="C42" s="134"/>
      <c r="D42" s="135" t="s">
        <v>35</v>
      </c>
      <c r="E42" s="136" t="s">
        <v>65</v>
      </c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3"/>
      <c r="AF42" s="134"/>
      <c r="AG42" s="137"/>
    </row>
    <row r="43" spans="1:33" s="138" customFormat="1" ht="10.199999999999999">
      <c r="A43" s="132"/>
      <c r="B43" s="133"/>
      <c r="C43" s="134"/>
      <c r="D43" s="135" t="s">
        <v>36</v>
      </c>
      <c r="E43" s="316" t="s">
        <v>112</v>
      </c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3"/>
      <c r="AF43" s="134"/>
      <c r="AG43" s="137"/>
    </row>
    <row r="44" spans="1:33" s="138" customFormat="1" ht="10.199999999999999">
      <c r="A44" s="132"/>
      <c r="B44" s="133"/>
      <c r="C44" s="134"/>
      <c r="D44" s="135" t="s">
        <v>37</v>
      </c>
      <c r="E44" s="316" t="s">
        <v>113</v>
      </c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3"/>
      <c r="AF44" s="134"/>
      <c r="AG44" s="137"/>
    </row>
    <row r="45" spans="1:33" s="138" customFormat="1" ht="10.199999999999999">
      <c r="A45" s="132"/>
      <c r="B45" s="133"/>
      <c r="C45" s="134"/>
      <c r="D45" s="135" t="s">
        <v>38</v>
      </c>
      <c r="E45" s="153" t="s">
        <v>91</v>
      </c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3"/>
      <c r="AF45" s="134"/>
      <c r="AG45" s="137"/>
    </row>
    <row r="46" spans="1:33" s="138" customFormat="1" ht="10.199999999999999">
      <c r="A46" s="132"/>
      <c r="B46" s="133"/>
      <c r="C46" s="134"/>
      <c r="D46" s="140" t="s">
        <v>61</v>
      </c>
      <c r="E46" s="152" t="s">
        <v>92</v>
      </c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6"/>
      <c r="AD46" s="136"/>
      <c r="AE46" s="133"/>
      <c r="AF46" s="134"/>
      <c r="AG46" s="137"/>
    </row>
    <row r="47" spans="1:33" s="138" customFormat="1" ht="10.199999999999999">
      <c r="A47" s="132"/>
      <c r="B47" s="133"/>
      <c r="C47" s="134"/>
      <c r="D47" s="163" t="s">
        <v>63</v>
      </c>
      <c r="E47" s="166" t="s">
        <v>95</v>
      </c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3"/>
      <c r="AF47" s="134"/>
      <c r="AG47" s="137"/>
    </row>
    <row r="48" spans="1:33" s="138" customFormat="1" ht="10.199999999999999">
      <c r="A48" s="132"/>
      <c r="B48" s="133"/>
      <c r="C48" s="134"/>
      <c r="D48" s="140"/>
      <c r="E48" s="139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3"/>
      <c r="AF48" s="134"/>
      <c r="AG48" s="137"/>
    </row>
    <row r="49" spans="1:33" s="138" customFormat="1" ht="10.199999999999999">
      <c r="A49" s="132"/>
      <c r="B49" s="133"/>
      <c r="C49" s="134"/>
      <c r="D49" s="140"/>
      <c r="E49" s="139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3"/>
      <c r="AF49" s="134"/>
      <c r="AG49" s="137"/>
    </row>
    <row r="50" spans="1:33" ht="10.199999999999999" customHeight="1">
      <c r="A50" s="16"/>
      <c r="B50" s="17"/>
      <c r="C50" s="18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22"/>
      <c r="R50" s="23"/>
      <c r="S50" s="24"/>
      <c r="T50" s="24"/>
      <c r="U50" s="24"/>
      <c r="V50" s="19"/>
      <c r="W50" s="19"/>
      <c r="X50" s="19"/>
      <c r="Y50" s="19"/>
      <c r="Z50" s="19"/>
      <c r="AA50" s="19"/>
      <c r="AB50" s="19"/>
      <c r="AC50" s="19"/>
      <c r="AD50" s="19"/>
      <c r="AE50" s="17"/>
      <c r="AF50" s="18"/>
      <c r="AG50" s="21"/>
    </row>
    <row r="51" spans="1:33" s="138" customFormat="1" ht="10.199999999999999">
      <c r="A51" s="132"/>
      <c r="B51" s="133"/>
      <c r="C51" s="134"/>
      <c r="D51" s="140"/>
      <c r="E51" s="139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3"/>
      <c r="AF51" s="134"/>
      <c r="AG51" s="137"/>
    </row>
    <row r="52" spans="1:33" s="138" customFormat="1" ht="10.199999999999999">
      <c r="A52" s="132"/>
      <c r="B52" s="133"/>
      <c r="C52" s="134"/>
      <c r="D52" s="140"/>
      <c r="E52" s="139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3"/>
      <c r="AF52" s="134"/>
      <c r="AG52" s="137"/>
    </row>
    <row r="53" spans="1:33" s="138" customFormat="1" ht="10.199999999999999">
      <c r="A53" s="132"/>
      <c r="B53" s="133"/>
      <c r="C53" s="134"/>
      <c r="D53" s="140"/>
      <c r="E53" s="139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3"/>
      <c r="AF53" s="134"/>
      <c r="AG53" s="137"/>
    </row>
    <row r="54" spans="1:33" s="125" customFormat="1" ht="10.199999999999999" customHeight="1" thickBot="1">
      <c r="A54" s="126"/>
      <c r="B54" s="127"/>
      <c r="C54" s="128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7"/>
      <c r="AF54" s="128"/>
      <c r="AG54" s="130"/>
    </row>
  </sheetData>
  <sheetProtection password="8C51" sheet="1" objects="1" scenarios="1" selectLockedCells="1"/>
  <mergeCells count="160">
    <mergeCell ref="C18:AE18"/>
    <mergeCell ref="C37:E37"/>
    <mergeCell ref="I37:K37"/>
    <mergeCell ref="F37:H37"/>
    <mergeCell ref="L37:O37"/>
    <mergeCell ref="P37:S37"/>
    <mergeCell ref="T37:W37"/>
    <mergeCell ref="X37:AA37"/>
    <mergeCell ref="AB37:AE37"/>
    <mergeCell ref="C24:E24"/>
    <mergeCell ref="I24:K24"/>
    <mergeCell ref="F24:H24"/>
    <mergeCell ref="C25:E25"/>
    <mergeCell ref="I25:K25"/>
    <mergeCell ref="F25:H25"/>
    <mergeCell ref="C26:E26"/>
    <mergeCell ref="I26:K26"/>
    <mergeCell ref="F26:H26"/>
    <mergeCell ref="C27:E27"/>
    <mergeCell ref="I27:K27"/>
    <mergeCell ref="F27:H27"/>
    <mergeCell ref="F29:H29"/>
    <mergeCell ref="P29:S29"/>
    <mergeCell ref="P28:S28"/>
    <mergeCell ref="C38:E38"/>
    <mergeCell ref="I38:K38"/>
    <mergeCell ref="F38:H38"/>
    <mergeCell ref="L38:O38"/>
    <mergeCell ref="P38:S38"/>
    <mergeCell ref="T38:W38"/>
    <mergeCell ref="X38:AA38"/>
    <mergeCell ref="AB38:AE38"/>
    <mergeCell ref="R14:T14"/>
    <mergeCell ref="I23:K23"/>
    <mergeCell ref="F23:H23"/>
    <mergeCell ref="F22:H22"/>
    <mergeCell ref="I22:K22"/>
    <mergeCell ref="C19:E22"/>
    <mergeCell ref="F19:K19"/>
    <mergeCell ref="F20:H21"/>
    <mergeCell ref="I20:K21"/>
    <mergeCell ref="AB27:AE27"/>
    <mergeCell ref="P26:S26"/>
    <mergeCell ref="T26:W26"/>
    <mergeCell ref="X26:AA26"/>
    <mergeCell ref="AB26:AE26"/>
    <mergeCell ref="X28:AA28"/>
    <mergeCell ref="AB28:AE28"/>
    <mergeCell ref="R9:T9"/>
    <mergeCell ref="T29:W29"/>
    <mergeCell ref="T31:W31"/>
    <mergeCell ref="A1:F4"/>
    <mergeCell ref="A5:B5"/>
    <mergeCell ref="AF5:AG5"/>
    <mergeCell ref="AD4:AG4"/>
    <mergeCell ref="Z4:AC4"/>
    <mergeCell ref="V4:Y4"/>
    <mergeCell ref="R2:U2"/>
    <mergeCell ref="G2:M2"/>
    <mergeCell ref="R4:U4"/>
    <mergeCell ref="G4:Q4"/>
    <mergeCell ref="N2:Q2"/>
    <mergeCell ref="V2:AG2"/>
    <mergeCell ref="C5:AE5"/>
    <mergeCell ref="L23:O23"/>
    <mergeCell ref="P22:S22"/>
    <mergeCell ref="P20:S21"/>
    <mergeCell ref="L20:O21"/>
    <mergeCell ref="L22:O22"/>
    <mergeCell ref="P25:S25"/>
    <mergeCell ref="T25:W25"/>
    <mergeCell ref="C23:E23"/>
    <mergeCell ref="C28:E28"/>
    <mergeCell ref="I28:K28"/>
    <mergeCell ref="F28:H28"/>
    <mergeCell ref="P27:S27"/>
    <mergeCell ref="T27:W27"/>
    <mergeCell ref="F35:H35"/>
    <mergeCell ref="P33:S33"/>
    <mergeCell ref="L31:O31"/>
    <mergeCell ref="L32:O32"/>
    <mergeCell ref="L33:O33"/>
    <mergeCell ref="L34:O34"/>
    <mergeCell ref="C31:E31"/>
    <mergeCell ref="I31:K31"/>
    <mergeCell ref="F31:H31"/>
    <mergeCell ref="P31:S31"/>
    <mergeCell ref="C32:E32"/>
    <mergeCell ref="I32:K32"/>
    <mergeCell ref="F32:H32"/>
    <mergeCell ref="C30:E30"/>
    <mergeCell ref="I30:K30"/>
    <mergeCell ref="F30:H30"/>
    <mergeCell ref="L29:O29"/>
    <mergeCell ref="L30:O30"/>
    <mergeCell ref="I33:K33"/>
    <mergeCell ref="F33:H33"/>
    <mergeCell ref="X24:AA24"/>
    <mergeCell ref="AB23:AE23"/>
    <mergeCell ref="AB24:AE24"/>
    <mergeCell ref="X29:AA29"/>
    <mergeCell ref="AB29:AE29"/>
    <mergeCell ref="AB25:AE25"/>
    <mergeCell ref="P32:S32"/>
    <mergeCell ref="T32:W32"/>
    <mergeCell ref="X32:AA32"/>
    <mergeCell ref="AB32:AE32"/>
    <mergeCell ref="P30:S30"/>
    <mergeCell ref="T30:W30"/>
    <mergeCell ref="X30:AA30"/>
    <mergeCell ref="AB30:AE30"/>
    <mergeCell ref="T28:W28"/>
    <mergeCell ref="C35:E35"/>
    <mergeCell ref="I35:K35"/>
    <mergeCell ref="L36:O36"/>
    <mergeCell ref="L19:S19"/>
    <mergeCell ref="L24:O24"/>
    <mergeCell ref="L25:O25"/>
    <mergeCell ref="L26:O26"/>
    <mergeCell ref="L27:O27"/>
    <mergeCell ref="L28:O28"/>
    <mergeCell ref="P23:S23"/>
    <mergeCell ref="P24:S24"/>
    <mergeCell ref="C29:E29"/>
    <mergeCell ref="I29:K29"/>
    <mergeCell ref="C36:E36"/>
    <mergeCell ref="I36:K36"/>
    <mergeCell ref="F36:H36"/>
    <mergeCell ref="P35:S35"/>
    <mergeCell ref="L35:O35"/>
    <mergeCell ref="C34:E34"/>
    <mergeCell ref="I34:K34"/>
    <mergeCell ref="F34:H34"/>
    <mergeCell ref="P34:S34"/>
    <mergeCell ref="P36:S36"/>
    <mergeCell ref="C33:E33"/>
    <mergeCell ref="T36:W36"/>
    <mergeCell ref="X36:AA36"/>
    <mergeCell ref="X25:AA25"/>
    <mergeCell ref="T19:AE19"/>
    <mergeCell ref="T20:W21"/>
    <mergeCell ref="X20:AA22"/>
    <mergeCell ref="AB20:AE22"/>
    <mergeCell ref="T22:W22"/>
    <mergeCell ref="T23:W23"/>
    <mergeCell ref="T24:W24"/>
    <mergeCell ref="X23:AA23"/>
    <mergeCell ref="AB36:AE36"/>
    <mergeCell ref="X31:AA31"/>
    <mergeCell ref="AB31:AE31"/>
    <mergeCell ref="X27:AA27"/>
    <mergeCell ref="T35:W35"/>
    <mergeCell ref="X35:AA35"/>
    <mergeCell ref="AB35:AE35"/>
    <mergeCell ref="T33:W33"/>
    <mergeCell ref="X33:AA33"/>
    <mergeCell ref="AB33:AE33"/>
    <mergeCell ref="T34:W34"/>
    <mergeCell ref="X34:AA34"/>
    <mergeCell ref="AB34:AE34"/>
  </mergeCells>
  <conditionalFormatting sqref="AB23">
    <cfRule type="expression" dxfId="17" priority="41">
      <formula>$AB23&lt;0.10038</formula>
    </cfRule>
  </conditionalFormatting>
  <conditionalFormatting sqref="X23">
    <cfRule type="expression" dxfId="16" priority="40">
      <formula>$X23&lt;0.10038</formula>
    </cfRule>
  </conditionalFormatting>
  <conditionalFormatting sqref="X24">
    <cfRule type="expression" dxfId="15" priority="19">
      <formula>$X24&lt;0.10038</formula>
    </cfRule>
  </conditionalFormatting>
  <conditionalFormatting sqref="X25:X38">
    <cfRule type="expression" dxfId="14" priority="3">
      <formula>$X25&lt;0.10038</formula>
    </cfRule>
  </conditionalFormatting>
  <conditionalFormatting sqref="AB24">
    <cfRule type="expression" dxfId="13" priority="2">
      <formula>$AB24&lt;0.10038</formula>
    </cfRule>
  </conditionalFormatting>
  <conditionalFormatting sqref="AB25:AB38">
    <cfRule type="expression" dxfId="12" priority="1">
      <formula>$AB25&lt;0.10038</formula>
    </cfRule>
  </conditionalFormatting>
  <pageMargins left="1.1417322834645669" right="0.19685039370078741" top="0.19685039370078741" bottom="0.55118110236220474" header="0" footer="0"/>
  <pageSetup paperSize="9" orientation="portrait" r:id="rId1"/>
  <headerFooter>
    <oddFooter xml:space="preserve">&amp;L&amp;07&amp;"Arial"Microsoft Excel Ver. 14.0 (Build 6024)
File: I:\Stress toolbox\Blast\Under Development\&amp;F
Licensed To: Microsoft&amp;R&amp;07&amp;"Arial"Date: &amp;D Time: &amp;T
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'Zone Table'!$A$4:$A$21</xm:f>
          </x14:formula1>
          <xm:sqref>C23:E38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3"/>
  <sheetViews>
    <sheetView topLeftCell="A5" zoomScaleNormal="100" workbookViewId="0">
      <selection activeCell="I23" sqref="I23:K38"/>
    </sheetView>
  </sheetViews>
  <sheetFormatPr defaultColWidth="2.6640625" defaultRowHeight="14.4"/>
  <cols>
    <col min="1" max="26" width="2.6640625" style="9"/>
    <col min="27" max="27" width="2.6640625" style="9" customWidth="1"/>
    <col min="28" max="16384" width="2.6640625" style="9"/>
  </cols>
  <sheetData>
    <row r="1" spans="1:33" ht="18.600000000000001" customHeight="1">
      <c r="A1" s="205"/>
      <c r="B1" s="206"/>
      <c r="C1" s="207"/>
      <c r="D1" s="207"/>
      <c r="E1" s="207"/>
      <c r="F1" s="208"/>
      <c r="G1" s="1" t="s">
        <v>0</v>
      </c>
      <c r="H1" s="2"/>
      <c r="I1" s="3"/>
      <c r="J1" s="3"/>
      <c r="K1" s="4"/>
      <c r="L1" s="3"/>
      <c r="M1" s="3"/>
      <c r="N1" s="5" t="s">
        <v>1</v>
      </c>
      <c r="O1" s="3"/>
      <c r="P1" s="3"/>
      <c r="Q1" s="3"/>
      <c r="R1" s="6" t="s">
        <v>2</v>
      </c>
      <c r="S1" s="7"/>
      <c r="T1" s="3"/>
      <c r="U1" s="8"/>
      <c r="V1" s="1" t="s">
        <v>3</v>
      </c>
      <c r="W1" s="4"/>
      <c r="X1" s="4"/>
      <c r="Y1" s="3"/>
      <c r="Z1" s="3"/>
      <c r="AA1" s="3"/>
      <c r="AB1" s="3"/>
      <c r="AC1" s="3"/>
      <c r="AD1" s="3"/>
      <c r="AE1" s="3"/>
      <c r="AF1" s="3"/>
      <c r="AG1" s="8"/>
    </row>
    <row r="2" spans="1:33" ht="39" customHeight="1" thickBot="1">
      <c r="A2" s="209"/>
      <c r="B2" s="210"/>
      <c r="C2" s="211"/>
      <c r="D2" s="211"/>
      <c r="E2" s="211"/>
      <c r="F2" s="212"/>
      <c r="G2" s="230" t="str">
        <f>'Blast (Peak)'!G2</f>
        <v>GREATER STELLA AREA DEVELOPMENT</v>
      </c>
      <c r="H2" s="233"/>
      <c r="I2" s="233"/>
      <c r="J2" s="233"/>
      <c r="K2" s="233"/>
      <c r="L2" s="233"/>
      <c r="M2" s="234"/>
      <c r="N2" s="277" t="str">
        <f>'Blast (Peak)'!N2</f>
        <v>JU11805D</v>
      </c>
      <c r="O2" s="236"/>
      <c r="P2" s="236"/>
      <c r="Q2" s="237"/>
      <c r="R2" s="230" t="str">
        <f>'Blast (Peak)'!R2</f>
        <v>ITHACA ENERGY</v>
      </c>
      <c r="S2" s="231"/>
      <c r="T2" s="231"/>
      <c r="U2" s="232"/>
      <c r="V2" s="227" t="str">
        <f>'Blast (Peak)'!V2</f>
        <v>FPF1-HC-009</v>
      </c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9"/>
    </row>
    <row r="3" spans="1:33" ht="18.600000000000001" customHeight="1">
      <c r="A3" s="209"/>
      <c r="B3" s="210"/>
      <c r="C3" s="211"/>
      <c r="D3" s="211"/>
      <c r="E3" s="211"/>
      <c r="F3" s="212"/>
      <c r="G3" s="1" t="s">
        <v>6</v>
      </c>
      <c r="H3" s="10"/>
      <c r="I3" s="10"/>
      <c r="J3" s="10"/>
      <c r="K3" s="10"/>
      <c r="L3" s="10"/>
      <c r="M3" s="10"/>
      <c r="N3" s="10"/>
      <c r="O3" s="10"/>
      <c r="P3" s="10"/>
      <c r="Q3" s="2"/>
      <c r="R3" s="1" t="s">
        <v>7</v>
      </c>
      <c r="S3" s="10"/>
      <c r="T3" s="3"/>
      <c r="U3" s="8"/>
      <c r="V3" s="6" t="s">
        <v>8</v>
      </c>
      <c r="W3" s="3"/>
      <c r="X3" s="3"/>
      <c r="Y3" s="8"/>
      <c r="Z3" s="6" t="s">
        <v>9</v>
      </c>
      <c r="AA3" s="3"/>
      <c r="AB3" s="3"/>
      <c r="AC3" s="8"/>
      <c r="AD3" s="6" t="s">
        <v>10</v>
      </c>
      <c r="AE3" s="3"/>
      <c r="AF3" s="3"/>
      <c r="AG3" s="8"/>
    </row>
    <row r="4" spans="1:33" ht="37.200000000000003" customHeight="1" thickBot="1">
      <c r="A4" s="213"/>
      <c r="B4" s="214"/>
      <c r="C4" s="215"/>
      <c r="D4" s="215"/>
      <c r="E4" s="215"/>
      <c r="F4" s="216"/>
      <c r="G4" s="227" t="str">
        <f>'Blast (Peak)'!G4</f>
        <v>Blast Pressures for Caesar Input</v>
      </c>
      <c r="H4" s="228"/>
      <c r="I4" s="228"/>
      <c r="J4" s="228"/>
      <c r="K4" s="228"/>
      <c r="L4" s="228"/>
      <c r="M4" s="228"/>
      <c r="N4" s="228"/>
      <c r="O4" s="228"/>
      <c r="P4" s="228"/>
      <c r="Q4" s="229"/>
      <c r="R4" s="230" t="str">
        <f>'Blast (Peak)'!R4</f>
        <v>Piping Stress</v>
      </c>
      <c r="S4" s="231"/>
      <c r="T4" s="231"/>
      <c r="U4" s="232"/>
      <c r="V4" s="227" t="str">
        <f>'Blast (Peak)'!V4</f>
        <v>C</v>
      </c>
      <c r="W4" s="228"/>
      <c r="X4" s="228"/>
      <c r="Y4" s="229"/>
      <c r="Z4" s="224">
        <f>'Blast (Peak)'!Z4</f>
        <v>41471</v>
      </c>
      <c r="AA4" s="225"/>
      <c r="AB4" s="225"/>
      <c r="AC4" s="226"/>
      <c r="AD4" s="221">
        <v>2</v>
      </c>
      <c r="AE4" s="222"/>
      <c r="AF4" s="222"/>
      <c r="AG4" s="223"/>
    </row>
    <row r="5" spans="1:33">
      <c r="A5" s="217" t="s">
        <v>13</v>
      </c>
      <c r="B5" s="218"/>
      <c r="C5" s="219" t="s">
        <v>15</v>
      </c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  <c r="AD5" s="238"/>
      <c r="AE5" s="218"/>
      <c r="AF5" s="219" t="s">
        <v>14</v>
      </c>
      <c r="AG5" s="220"/>
    </row>
    <row r="6" spans="1:33">
      <c r="A6" s="11"/>
      <c r="B6" s="12"/>
      <c r="C6" s="13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2"/>
      <c r="AF6" s="13"/>
      <c r="AG6" s="15"/>
    </row>
    <row r="7" spans="1:33" ht="14.4" customHeight="1">
      <c r="A7" s="16"/>
      <c r="B7" s="17"/>
      <c r="C7" s="18"/>
      <c r="D7" s="19" t="s">
        <v>47</v>
      </c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7"/>
      <c r="AF7" s="18"/>
      <c r="AG7" s="21"/>
    </row>
    <row r="8" spans="1:33" ht="14.4" customHeight="1">
      <c r="A8" s="16"/>
      <c r="B8" s="17"/>
      <c r="C8" s="18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31"/>
      <c r="R8" s="131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7"/>
      <c r="AF8" s="18"/>
      <c r="AG8" s="21"/>
    </row>
    <row r="9" spans="1:33" ht="14.4" customHeight="1">
      <c r="A9" s="16"/>
      <c r="B9" s="17"/>
      <c r="C9" s="18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2" t="s">
        <v>30</v>
      </c>
      <c r="Q9" s="23" t="s">
        <v>17</v>
      </c>
      <c r="R9" s="204">
        <v>1</v>
      </c>
      <c r="S9" s="204"/>
      <c r="T9" s="204"/>
      <c r="U9" s="24"/>
      <c r="V9" s="19"/>
      <c r="W9" s="19"/>
      <c r="X9" s="19"/>
      <c r="Y9" s="19"/>
      <c r="Z9" s="19"/>
      <c r="AA9" s="19"/>
      <c r="AB9" s="19"/>
      <c r="AC9" s="19"/>
      <c r="AD9" s="19"/>
      <c r="AE9" s="17"/>
      <c r="AF9" s="18"/>
      <c r="AG9" s="21"/>
    </row>
    <row r="10" spans="1:33" ht="14.4" customHeight="1">
      <c r="A10" s="16"/>
      <c r="B10" s="17"/>
      <c r="C10" s="18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31"/>
      <c r="R10" s="131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7"/>
      <c r="AF10" s="18"/>
      <c r="AG10" s="21"/>
    </row>
    <row r="11" spans="1:33" ht="14.4" customHeight="1">
      <c r="A11" s="16"/>
      <c r="B11" s="17"/>
      <c r="C11" s="18"/>
      <c r="D11" s="19" t="s">
        <v>48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31"/>
      <c r="R11" s="131"/>
      <c r="S11" s="24"/>
      <c r="T11" s="24"/>
      <c r="U11" s="24"/>
      <c r="V11" s="19"/>
      <c r="W11" s="19"/>
      <c r="X11" s="19"/>
      <c r="Y11" s="19"/>
      <c r="Z11" s="19"/>
      <c r="AA11" s="19"/>
      <c r="AB11" s="19"/>
      <c r="AC11" s="19"/>
      <c r="AD11" s="19"/>
      <c r="AE11" s="17"/>
      <c r="AF11" s="18"/>
      <c r="AG11" s="21"/>
    </row>
    <row r="12" spans="1:33" ht="14.4" customHeight="1">
      <c r="A12" s="16"/>
      <c r="B12" s="17"/>
      <c r="C12" s="18"/>
      <c r="D12" s="19" t="s">
        <v>49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7"/>
      <c r="AF12" s="18"/>
      <c r="AG12" s="21"/>
    </row>
    <row r="13" spans="1:33" ht="14.4" customHeight="1">
      <c r="A13" s="16"/>
      <c r="B13" s="17"/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27"/>
      <c r="R13" s="27"/>
      <c r="S13" s="27"/>
      <c r="T13" s="27"/>
      <c r="U13" s="27"/>
      <c r="V13" s="27"/>
      <c r="W13" s="19"/>
      <c r="X13" s="19"/>
      <c r="Y13" s="19"/>
      <c r="Z13" s="19"/>
      <c r="AA13" s="19"/>
      <c r="AB13" s="19"/>
      <c r="AC13" s="19"/>
      <c r="AD13" s="19"/>
      <c r="AE13" s="17"/>
      <c r="AF13" s="18"/>
      <c r="AG13" s="21"/>
    </row>
    <row r="14" spans="1:33" ht="14.4" customHeight="1">
      <c r="A14" s="16"/>
      <c r="B14" s="17"/>
      <c r="C14" s="18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2" t="s">
        <v>32</v>
      </c>
      <c r="Q14" s="23" t="s">
        <v>17</v>
      </c>
      <c r="R14" s="204">
        <f>IF(S13&gt;0,AA14,1.25)</f>
        <v>1.25</v>
      </c>
      <c r="S14" s="204"/>
      <c r="T14" s="204"/>
      <c r="U14" s="19"/>
      <c r="V14" s="19"/>
      <c r="W14" s="19"/>
      <c r="X14" s="19"/>
      <c r="Y14" s="19"/>
      <c r="Z14" s="19"/>
      <c r="AA14" s="30"/>
      <c r="AB14" s="31"/>
      <c r="AC14" s="31"/>
      <c r="AD14" s="19"/>
      <c r="AE14" s="17"/>
      <c r="AF14" s="18"/>
      <c r="AG14" s="21"/>
    </row>
    <row r="15" spans="1:33" ht="14.4" customHeight="1">
      <c r="A15" s="16"/>
      <c r="B15" s="17"/>
      <c r="C15" s="18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7"/>
      <c r="AF15" s="18"/>
      <c r="AG15" s="21"/>
    </row>
    <row r="16" spans="1:33" ht="14.4" customHeight="1">
      <c r="A16" s="16"/>
      <c r="B16" s="17"/>
      <c r="C16" s="18"/>
      <c r="D16" s="19" t="s">
        <v>50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7"/>
      <c r="AF16" s="18"/>
      <c r="AG16" s="21"/>
    </row>
    <row r="17" spans="1:33" ht="14.4" customHeight="1">
      <c r="A17" s="16"/>
      <c r="B17" s="17"/>
      <c r="C17" s="18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7"/>
      <c r="AF17" s="18"/>
      <c r="AG17" s="21"/>
    </row>
    <row r="18" spans="1:33" ht="14.4" customHeight="1">
      <c r="A18" s="16"/>
      <c r="B18" s="17"/>
      <c r="C18" s="269" t="s">
        <v>86</v>
      </c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1"/>
      <c r="AF18" s="18"/>
      <c r="AG18" s="21"/>
    </row>
    <row r="19" spans="1:33">
      <c r="A19" s="16"/>
      <c r="B19" s="17"/>
      <c r="C19" s="268" t="s">
        <v>39</v>
      </c>
      <c r="D19" s="268"/>
      <c r="E19" s="268"/>
      <c r="F19" s="180" t="s">
        <v>41</v>
      </c>
      <c r="G19" s="180"/>
      <c r="H19" s="180"/>
      <c r="I19" s="180"/>
      <c r="J19" s="180"/>
      <c r="K19" s="180"/>
      <c r="L19" s="196" t="s">
        <v>53</v>
      </c>
      <c r="M19" s="197"/>
      <c r="N19" s="197"/>
      <c r="O19" s="197"/>
      <c r="P19" s="197"/>
      <c r="Q19" s="197"/>
      <c r="R19" s="197"/>
      <c r="S19" s="198"/>
      <c r="T19" s="179" t="s">
        <v>42</v>
      </c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"/>
      <c r="AG19" s="21"/>
    </row>
    <row r="20" spans="1:33" ht="14.4" customHeight="1">
      <c r="A20" s="16"/>
      <c r="B20" s="17"/>
      <c r="C20" s="268"/>
      <c r="D20" s="268"/>
      <c r="E20" s="268"/>
      <c r="F20" s="182" t="s">
        <v>46</v>
      </c>
      <c r="G20" s="182"/>
      <c r="H20" s="182"/>
      <c r="I20" s="182" t="s">
        <v>40</v>
      </c>
      <c r="J20" s="182"/>
      <c r="K20" s="182"/>
      <c r="L20" s="249" t="s">
        <v>52</v>
      </c>
      <c r="M20" s="243"/>
      <c r="N20" s="243"/>
      <c r="O20" s="248"/>
      <c r="P20" s="249" t="s">
        <v>51</v>
      </c>
      <c r="Q20" s="243"/>
      <c r="R20" s="243"/>
      <c r="S20" s="244"/>
      <c r="T20" s="181" t="s">
        <v>43</v>
      </c>
      <c r="U20" s="182"/>
      <c r="V20" s="182"/>
      <c r="W20" s="182"/>
      <c r="X20" s="182" t="s">
        <v>44</v>
      </c>
      <c r="Y20" s="182"/>
      <c r="Z20" s="182"/>
      <c r="AA20" s="182"/>
      <c r="AB20" s="182" t="s">
        <v>45</v>
      </c>
      <c r="AC20" s="182"/>
      <c r="AD20" s="182"/>
      <c r="AE20" s="182"/>
      <c r="AF20" s="18"/>
      <c r="AG20" s="21"/>
    </row>
    <row r="21" spans="1:33">
      <c r="A21" s="16"/>
      <c r="B21" s="17"/>
      <c r="C21" s="268"/>
      <c r="D21" s="268"/>
      <c r="E21" s="268"/>
      <c r="F21" s="182"/>
      <c r="G21" s="182"/>
      <c r="H21" s="182"/>
      <c r="I21" s="182"/>
      <c r="J21" s="182"/>
      <c r="K21" s="182"/>
      <c r="L21" s="249"/>
      <c r="M21" s="243"/>
      <c r="N21" s="243"/>
      <c r="O21" s="248"/>
      <c r="P21" s="245"/>
      <c r="Q21" s="246"/>
      <c r="R21" s="246"/>
      <c r="S21" s="247"/>
      <c r="T21" s="181"/>
      <c r="U21" s="182"/>
      <c r="V21" s="182"/>
      <c r="W21" s="182"/>
      <c r="X21" s="182"/>
      <c r="Y21" s="182"/>
      <c r="Z21" s="182"/>
      <c r="AA21" s="182"/>
      <c r="AB21" s="182"/>
      <c r="AC21" s="182"/>
      <c r="AD21" s="182"/>
      <c r="AE21" s="182"/>
      <c r="AF21" s="18"/>
      <c r="AG21" s="21"/>
    </row>
    <row r="22" spans="1:33">
      <c r="A22" s="16"/>
      <c r="B22" s="17"/>
      <c r="C22" s="268"/>
      <c r="D22" s="268"/>
      <c r="E22" s="268"/>
      <c r="F22" s="185" t="s">
        <v>27</v>
      </c>
      <c r="G22" s="185"/>
      <c r="H22" s="185"/>
      <c r="I22" s="185" t="s">
        <v>27</v>
      </c>
      <c r="J22" s="185"/>
      <c r="K22" s="185"/>
      <c r="L22" s="250" t="s">
        <v>33</v>
      </c>
      <c r="M22" s="251"/>
      <c r="N22" s="251"/>
      <c r="O22" s="252"/>
      <c r="P22" s="239" t="s">
        <v>33</v>
      </c>
      <c r="Q22" s="240"/>
      <c r="R22" s="240"/>
      <c r="S22" s="241"/>
      <c r="T22" s="184" t="s">
        <v>33</v>
      </c>
      <c r="U22" s="185"/>
      <c r="V22" s="185"/>
      <c r="W22" s="185"/>
      <c r="X22" s="182"/>
      <c r="Y22" s="182"/>
      <c r="Z22" s="182"/>
      <c r="AA22" s="182"/>
      <c r="AB22" s="182"/>
      <c r="AC22" s="182"/>
      <c r="AD22" s="182"/>
      <c r="AE22" s="182"/>
      <c r="AF22" s="18"/>
      <c r="AG22" s="21"/>
    </row>
    <row r="23" spans="1:33">
      <c r="A23" s="16"/>
      <c r="B23" s="17"/>
      <c r="C23" s="253" t="s">
        <v>73</v>
      </c>
      <c r="D23" s="254"/>
      <c r="E23" s="255"/>
      <c r="F23" s="273">
        <f>IF(C23="","",IF(VLOOKUP(C23,'Zone Table'!$A$28:$I$45,4)=0,"",VLOOKUP(C23,'Zone Table'!$A$28:$I$45,4)))</f>
        <v>0.06</v>
      </c>
      <c r="G23" s="273"/>
      <c r="H23" s="273"/>
      <c r="I23" s="267">
        <f>IF(C23="","",IF(VLOOKUP(C23,'Zone Table'!$A$28:$I$45,4)=0,"",IF(VLOOKUP(C23,'Zone Table'!$A$28:$I$45,7)=0,F23/3,VLOOKUP(C23,'Zone Table'!$A$28:$I$45,7))))</f>
        <v>0.06</v>
      </c>
      <c r="J23" s="267"/>
      <c r="K23" s="267"/>
      <c r="L23" s="189">
        <f t="shared" ref="L23:L38" si="0">IF(C23="","",IF(F23="","",(I23+F23)*$R$14*100))</f>
        <v>15</v>
      </c>
      <c r="M23" s="190"/>
      <c r="N23" s="190"/>
      <c r="O23" s="191"/>
      <c r="P23" s="189">
        <f t="shared" ref="P23:P38" si="1">IF(C23="","",IF(F23="","",I23*$R$14*100))</f>
        <v>7.5</v>
      </c>
      <c r="Q23" s="190"/>
      <c r="R23" s="190"/>
      <c r="S23" s="199"/>
      <c r="T23" s="186">
        <v>10</v>
      </c>
      <c r="U23" s="187"/>
      <c r="V23" s="187"/>
      <c r="W23" s="188"/>
      <c r="X23" s="189">
        <f t="shared" ref="X23:X38" si="2">IF(C23="","",IF(F23="","",$R$9*L23/T23))</f>
        <v>1.5</v>
      </c>
      <c r="Y23" s="190"/>
      <c r="Z23" s="190"/>
      <c r="AA23" s="191"/>
      <c r="AB23" s="274">
        <f>IF(OR(C23="",F23="",X23=0),"",X23*P23/L23)</f>
        <v>0.75</v>
      </c>
      <c r="AC23" s="275"/>
      <c r="AD23" s="275"/>
      <c r="AE23" s="276"/>
      <c r="AF23" s="18"/>
      <c r="AG23" s="21"/>
    </row>
    <row r="24" spans="1:33">
      <c r="A24" s="16"/>
      <c r="B24" s="17"/>
      <c r="C24" s="201" t="s">
        <v>75</v>
      </c>
      <c r="D24" s="202"/>
      <c r="E24" s="203"/>
      <c r="F24" s="272">
        <f>IF(C24="","",IF(VLOOKUP(C24,'Zone Table'!$A$28:$I$45,4)=0,"",VLOOKUP(C24,'Zone Table'!$A$28:$I$45,4)))</f>
        <v>0.06</v>
      </c>
      <c r="G24" s="272"/>
      <c r="H24" s="272"/>
      <c r="I24" s="195">
        <f>IF(C24="","",IF(VLOOKUP(C24,'Zone Table'!$A$28:$I$45,4)=0,"",IF(VLOOKUP(C24,'Zone Table'!$A$28:$I$45,7)=0,F24/3,VLOOKUP(C24,'Zone Table'!$A$28:$I$45,7))))</f>
        <v>0.04</v>
      </c>
      <c r="J24" s="195"/>
      <c r="K24" s="195"/>
      <c r="L24" s="176">
        <f t="shared" si="0"/>
        <v>12.5</v>
      </c>
      <c r="M24" s="177"/>
      <c r="N24" s="177"/>
      <c r="O24" s="178"/>
      <c r="P24" s="176">
        <f t="shared" si="1"/>
        <v>5</v>
      </c>
      <c r="Q24" s="177"/>
      <c r="R24" s="177"/>
      <c r="S24" s="200"/>
      <c r="T24" s="173">
        <f>IF(C24="","",T$23)</f>
        <v>10</v>
      </c>
      <c r="U24" s="174"/>
      <c r="V24" s="174"/>
      <c r="W24" s="175"/>
      <c r="X24" s="176">
        <f t="shared" si="2"/>
        <v>1.25</v>
      </c>
      <c r="Y24" s="177"/>
      <c r="Z24" s="177"/>
      <c r="AA24" s="178"/>
      <c r="AB24" s="176">
        <f>IF(OR(C24="",F24="",X24=0),"",X24*P24/L24)</f>
        <v>0.5</v>
      </c>
      <c r="AC24" s="177"/>
      <c r="AD24" s="177"/>
      <c r="AE24" s="178"/>
      <c r="AF24" s="18"/>
      <c r="AG24" s="21"/>
    </row>
    <row r="25" spans="1:33">
      <c r="A25" s="16"/>
      <c r="B25" s="17"/>
      <c r="C25" s="201" t="s">
        <v>77</v>
      </c>
      <c r="D25" s="202"/>
      <c r="E25" s="203"/>
      <c r="F25" s="272">
        <f>IF(C25="","",IF(VLOOKUP(C25,'Zone Table'!$A$28:$I$45,4)=0,"",VLOOKUP(C25,'Zone Table'!$A$28:$I$45,4)))</f>
        <v>0.08</v>
      </c>
      <c r="G25" s="272"/>
      <c r="H25" s="272"/>
      <c r="I25" s="195">
        <f>IF(C25="","",IF(VLOOKUP(C25,'Zone Table'!$A$28:$I$45,4)=0,"",IF(VLOOKUP(C25,'Zone Table'!$A$28:$I$45,7)=0,F25/3,VLOOKUP(C25,'Zone Table'!$A$28:$I$45,7))))</f>
        <v>0.04</v>
      </c>
      <c r="J25" s="195"/>
      <c r="K25" s="195"/>
      <c r="L25" s="176">
        <f t="shared" si="0"/>
        <v>15</v>
      </c>
      <c r="M25" s="177"/>
      <c r="N25" s="177"/>
      <c r="O25" s="178"/>
      <c r="P25" s="176">
        <f t="shared" si="1"/>
        <v>5</v>
      </c>
      <c r="Q25" s="177"/>
      <c r="R25" s="177"/>
      <c r="S25" s="200"/>
      <c r="T25" s="173">
        <f t="shared" ref="T25:T36" si="3">IF(C25="","",T$23)</f>
        <v>10</v>
      </c>
      <c r="U25" s="174"/>
      <c r="V25" s="174"/>
      <c r="W25" s="175"/>
      <c r="X25" s="176">
        <f t="shared" si="2"/>
        <v>1.5</v>
      </c>
      <c r="Y25" s="177"/>
      <c r="Z25" s="177"/>
      <c r="AA25" s="178"/>
      <c r="AB25" s="176">
        <f>IF(OR(C25="",F25="",X25=0),"",X25*P25/L25)</f>
        <v>0.5</v>
      </c>
      <c r="AC25" s="177"/>
      <c r="AD25" s="177"/>
      <c r="AE25" s="178"/>
      <c r="AF25" s="18"/>
      <c r="AG25" s="21"/>
    </row>
    <row r="26" spans="1:33" ht="14.4" customHeight="1">
      <c r="A26" s="16"/>
      <c r="B26" s="17"/>
      <c r="C26" s="201" t="s">
        <v>79</v>
      </c>
      <c r="D26" s="202"/>
      <c r="E26" s="203"/>
      <c r="F26" s="272">
        <f>IF(C26="","",IF(VLOOKUP(C26,'Zone Table'!$A$28:$I$45,4)=0,"",VLOOKUP(C26,'Zone Table'!$A$28:$I$45,4)))</f>
        <v>0.08</v>
      </c>
      <c r="G26" s="272"/>
      <c r="H26" s="272"/>
      <c r="I26" s="195">
        <f>IF(C26="","",IF(VLOOKUP(C26,'Zone Table'!$A$28:$I$45,4)=0,"",IF(VLOOKUP(C26,'Zone Table'!$A$28:$I$45,7)=0,F26/3,VLOOKUP(C26,'Zone Table'!$A$28:$I$45,7))))</f>
        <v>0.04</v>
      </c>
      <c r="J26" s="195"/>
      <c r="K26" s="195"/>
      <c r="L26" s="176">
        <f t="shared" si="0"/>
        <v>15</v>
      </c>
      <c r="M26" s="177"/>
      <c r="N26" s="177"/>
      <c r="O26" s="178"/>
      <c r="P26" s="176">
        <f t="shared" si="1"/>
        <v>5</v>
      </c>
      <c r="Q26" s="177"/>
      <c r="R26" s="177"/>
      <c r="S26" s="200"/>
      <c r="T26" s="173">
        <f t="shared" si="3"/>
        <v>10</v>
      </c>
      <c r="U26" s="174"/>
      <c r="V26" s="174"/>
      <c r="W26" s="175"/>
      <c r="X26" s="176">
        <f t="shared" si="2"/>
        <v>1.5</v>
      </c>
      <c r="Y26" s="177"/>
      <c r="Z26" s="177"/>
      <c r="AA26" s="178"/>
      <c r="AB26" s="176">
        <f>IF(OR(C26="",F26="",X26=0),"",X26*P26/L26)</f>
        <v>0.5</v>
      </c>
      <c r="AC26" s="177"/>
      <c r="AD26" s="177"/>
      <c r="AE26" s="178"/>
      <c r="AF26" s="18"/>
      <c r="AG26" s="21"/>
    </row>
    <row r="27" spans="1:33" ht="14.4" customHeight="1">
      <c r="A27" s="16"/>
      <c r="B27" s="17"/>
      <c r="C27" s="201" t="s">
        <v>16</v>
      </c>
      <c r="D27" s="202"/>
      <c r="E27" s="203"/>
      <c r="F27" s="272">
        <f>IF(C27="","",IF(VLOOKUP(C27,'Zone Table'!$A$28:$I$45,4)=0,"",VLOOKUP(C27,'Zone Table'!$A$28:$I$45,4)))</f>
        <v>0.16</v>
      </c>
      <c r="G27" s="272"/>
      <c r="H27" s="272"/>
      <c r="I27" s="195">
        <f>IF(C27="","",IF(VLOOKUP(C27,'Zone Table'!$A$28:$I$45,4)=0,"",IF(VLOOKUP(C27,'Zone Table'!$A$28:$I$45,7)=0,F27/3,VLOOKUP(C27,'Zone Table'!$A$28:$I$45,7))))</f>
        <v>0.04</v>
      </c>
      <c r="J27" s="195"/>
      <c r="K27" s="195"/>
      <c r="L27" s="176">
        <f t="shared" si="0"/>
        <v>25</v>
      </c>
      <c r="M27" s="177"/>
      <c r="N27" s="177"/>
      <c r="O27" s="178"/>
      <c r="P27" s="176">
        <f t="shared" si="1"/>
        <v>5</v>
      </c>
      <c r="Q27" s="177"/>
      <c r="R27" s="177"/>
      <c r="S27" s="200"/>
      <c r="T27" s="173">
        <f t="shared" si="3"/>
        <v>10</v>
      </c>
      <c r="U27" s="174"/>
      <c r="V27" s="174"/>
      <c r="W27" s="175"/>
      <c r="X27" s="176">
        <f t="shared" si="2"/>
        <v>2.5</v>
      </c>
      <c r="Y27" s="177"/>
      <c r="Z27" s="177"/>
      <c r="AA27" s="178"/>
      <c r="AB27" s="176">
        <f>IF(OR(C27="",F27="",X27=0),"",X27*P27/L27)</f>
        <v>0.5</v>
      </c>
      <c r="AC27" s="177"/>
      <c r="AD27" s="177"/>
      <c r="AE27" s="178"/>
      <c r="AF27" s="18"/>
      <c r="AG27" s="21"/>
    </row>
    <row r="28" spans="1:33" ht="14.4" customHeight="1">
      <c r="A28" s="16"/>
      <c r="B28" s="17"/>
      <c r="C28" s="201" t="s">
        <v>20</v>
      </c>
      <c r="D28" s="202"/>
      <c r="E28" s="203"/>
      <c r="F28" s="272">
        <f>IF(C28="","",IF(VLOOKUP(C28,'Zone Table'!$A$28:$I$45,4)=0,"",VLOOKUP(C28,'Zone Table'!$A$28:$I$45,4)))</f>
        <v>0.09</v>
      </c>
      <c r="G28" s="272"/>
      <c r="H28" s="272"/>
      <c r="I28" s="195">
        <f>IF(C28="","",IF(VLOOKUP(C28,'Zone Table'!$A$28:$I$45,4)=0,"",IF(VLOOKUP(C28,'Zone Table'!$A$28:$I$45,7)=0,F28/3,VLOOKUP(C28,'Zone Table'!$A$28:$I$45,7))))</f>
        <v>0.05</v>
      </c>
      <c r="J28" s="195"/>
      <c r="K28" s="195"/>
      <c r="L28" s="176">
        <f t="shared" si="0"/>
        <v>17.5</v>
      </c>
      <c r="M28" s="177"/>
      <c r="N28" s="177"/>
      <c r="O28" s="178"/>
      <c r="P28" s="176">
        <f t="shared" si="1"/>
        <v>6.25</v>
      </c>
      <c r="Q28" s="177"/>
      <c r="R28" s="177"/>
      <c r="S28" s="200"/>
      <c r="T28" s="173">
        <f t="shared" si="3"/>
        <v>10</v>
      </c>
      <c r="U28" s="174"/>
      <c r="V28" s="174"/>
      <c r="W28" s="175"/>
      <c r="X28" s="176">
        <f t="shared" si="2"/>
        <v>1.75</v>
      </c>
      <c r="Y28" s="177"/>
      <c r="Z28" s="177"/>
      <c r="AA28" s="178"/>
      <c r="AB28" s="176">
        <f t="shared" ref="AB28:AB38" si="4">IF(OR(C28="",F28="",X28=0),"",X28*P28/L28)</f>
        <v>0.625</v>
      </c>
      <c r="AC28" s="177"/>
      <c r="AD28" s="177"/>
      <c r="AE28" s="178"/>
      <c r="AF28" s="18"/>
      <c r="AG28" s="21"/>
    </row>
    <row r="29" spans="1:33" ht="14.4" customHeight="1">
      <c r="A29" s="16"/>
      <c r="B29" s="17"/>
      <c r="C29" s="201" t="s">
        <v>21</v>
      </c>
      <c r="D29" s="202"/>
      <c r="E29" s="203"/>
      <c r="F29" s="272">
        <f>IF(C29="","",IF(VLOOKUP(C29,'Zone Table'!$A$28:$I$45,4)=0,"",VLOOKUP(C29,'Zone Table'!$A$28:$I$45,4)))</f>
        <v>7.0000000000000007E-2</v>
      </c>
      <c r="G29" s="272"/>
      <c r="H29" s="272"/>
      <c r="I29" s="195">
        <f>IF(C29="","",IF(VLOOKUP(C29,'Zone Table'!$A$28:$I$45,4)=0,"",IF(VLOOKUP(C29,'Zone Table'!$A$28:$I$45,7)=0,F29/3,VLOOKUP(C29,'Zone Table'!$A$28:$I$45,7))))</f>
        <v>0.05</v>
      </c>
      <c r="J29" s="195"/>
      <c r="K29" s="195"/>
      <c r="L29" s="176">
        <f t="shared" si="0"/>
        <v>15.000000000000002</v>
      </c>
      <c r="M29" s="177"/>
      <c r="N29" s="177"/>
      <c r="O29" s="178"/>
      <c r="P29" s="176">
        <f t="shared" si="1"/>
        <v>6.25</v>
      </c>
      <c r="Q29" s="177"/>
      <c r="R29" s="177"/>
      <c r="S29" s="200"/>
      <c r="T29" s="173">
        <f t="shared" si="3"/>
        <v>10</v>
      </c>
      <c r="U29" s="174"/>
      <c r="V29" s="174"/>
      <c r="W29" s="175"/>
      <c r="X29" s="176">
        <f t="shared" si="2"/>
        <v>1.5000000000000002</v>
      </c>
      <c r="Y29" s="177"/>
      <c r="Z29" s="177"/>
      <c r="AA29" s="178"/>
      <c r="AB29" s="176">
        <f t="shared" si="4"/>
        <v>0.625</v>
      </c>
      <c r="AC29" s="177"/>
      <c r="AD29" s="177"/>
      <c r="AE29" s="178"/>
      <c r="AF29" s="18"/>
      <c r="AG29" s="21"/>
    </row>
    <row r="30" spans="1:33" ht="14.4" customHeight="1">
      <c r="A30" s="16"/>
      <c r="B30" s="17"/>
      <c r="C30" s="201" t="s">
        <v>22</v>
      </c>
      <c r="D30" s="202"/>
      <c r="E30" s="203"/>
      <c r="F30" s="272">
        <f>IF(C30="","",IF(VLOOKUP(C30,'Zone Table'!$A$28:$I$45,4)=0,"",VLOOKUP(C30,'Zone Table'!$A$28:$I$45,4)))</f>
        <v>0.11</v>
      </c>
      <c r="G30" s="272"/>
      <c r="H30" s="272"/>
      <c r="I30" s="195">
        <f>IF(C30="","",IF(VLOOKUP(C30,'Zone Table'!$A$28:$I$45,4)=0,"",IF(VLOOKUP(C30,'Zone Table'!$A$28:$I$45,7)=0,F30/3,VLOOKUP(C30,'Zone Table'!$A$28:$I$45,7))))</f>
        <v>7.0000000000000007E-2</v>
      </c>
      <c r="J30" s="195"/>
      <c r="K30" s="195"/>
      <c r="L30" s="176">
        <f t="shared" si="0"/>
        <v>22.499999999999996</v>
      </c>
      <c r="M30" s="177"/>
      <c r="N30" s="177"/>
      <c r="O30" s="178"/>
      <c r="P30" s="176">
        <f t="shared" si="1"/>
        <v>8.75</v>
      </c>
      <c r="Q30" s="177"/>
      <c r="R30" s="177"/>
      <c r="S30" s="200"/>
      <c r="T30" s="173">
        <f t="shared" si="3"/>
        <v>10</v>
      </c>
      <c r="U30" s="174"/>
      <c r="V30" s="174"/>
      <c r="W30" s="175"/>
      <c r="X30" s="176">
        <f t="shared" si="2"/>
        <v>2.2499999999999996</v>
      </c>
      <c r="Y30" s="177"/>
      <c r="Z30" s="177"/>
      <c r="AA30" s="178"/>
      <c r="AB30" s="176">
        <f t="shared" si="4"/>
        <v>0.875</v>
      </c>
      <c r="AC30" s="177"/>
      <c r="AD30" s="177"/>
      <c r="AE30" s="178"/>
      <c r="AF30" s="18"/>
      <c r="AG30" s="21"/>
    </row>
    <row r="31" spans="1:33" ht="14.4" customHeight="1">
      <c r="A31" s="16"/>
      <c r="B31" s="17"/>
      <c r="C31" s="201" t="s">
        <v>23</v>
      </c>
      <c r="D31" s="202"/>
      <c r="E31" s="203"/>
      <c r="F31" s="272">
        <f>IF(C31="","",IF(VLOOKUP(C31,'Zone Table'!$A$28:$I$45,4)=0,"",VLOOKUP(C31,'Zone Table'!$A$28:$I$45,4)))</f>
        <v>0.16</v>
      </c>
      <c r="G31" s="272"/>
      <c r="H31" s="272"/>
      <c r="I31" s="195">
        <f>IF(C31="","",IF(VLOOKUP(C31,'Zone Table'!$A$28:$I$45,4)=0,"",IF(VLOOKUP(C31,'Zone Table'!$A$28:$I$45,7)=0,F31/3,VLOOKUP(C31,'Zone Table'!$A$28:$I$45,7))))</f>
        <v>0.06</v>
      </c>
      <c r="J31" s="195"/>
      <c r="K31" s="195"/>
      <c r="L31" s="176">
        <f t="shared" si="0"/>
        <v>27.500000000000004</v>
      </c>
      <c r="M31" s="177"/>
      <c r="N31" s="177"/>
      <c r="O31" s="178"/>
      <c r="P31" s="176">
        <f t="shared" si="1"/>
        <v>7.5</v>
      </c>
      <c r="Q31" s="177"/>
      <c r="R31" s="177"/>
      <c r="S31" s="200"/>
      <c r="T31" s="173">
        <f t="shared" si="3"/>
        <v>10</v>
      </c>
      <c r="U31" s="174"/>
      <c r="V31" s="174"/>
      <c r="W31" s="175"/>
      <c r="X31" s="176">
        <f t="shared" si="2"/>
        <v>2.7500000000000004</v>
      </c>
      <c r="Y31" s="177"/>
      <c r="Z31" s="177"/>
      <c r="AA31" s="178"/>
      <c r="AB31" s="176">
        <f t="shared" si="4"/>
        <v>0.75</v>
      </c>
      <c r="AC31" s="177"/>
      <c r="AD31" s="177"/>
      <c r="AE31" s="178"/>
      <c r="AF31" s="18"/>
      <c r="AG31" s="21"/>
    </row>
    <row r="32" spans="1:33" ht="14.4" customHeight="1">
      <c r="A32" s="16"/>
      <c r="B32" s="17"/>
      <c r="C32" s="201" t="s">
        <v>24</v>
      </c>
      <c r="D32" s="202"/>
      <c r="E32" s="203"/>
      <c r="F32" s="272" t="str">
        <f>IF(C32="","",IF(VLOOKUP(C32,'Zone Table'!$A$28:$I$45,4)=0,"",VLOOKUP(C32,'Zone Table'!$A$28:$I$45,4)))</f>
        <v/>
      </c>
      <c r="G32" s="272"/>
      <c r="H32" s="272"/>
      <c r="I32" s="195" t="str">
        <f>IF(C32="","",IF(VLOOKUP(C32,'Zone Table'!$A$28:$I$45,4)=0,"",IF(VLOOKUP(C32,'Zone Table'!$A$28:$I$45,7)=0,F32/3,VLOOKUP(C32,'Zone Table'!$A$28:$I$45,7))))</f>
        <v/>
      </c>
      <c r="J32" s="195"/>
      <c r="K32" s="195"/>
      <c r="L32" s="176" t="str">
        <f t="shared" si="0"/>
        <v/>
      </c>
      <c r="M32" s="177"/>
      <c r="N32" s="177"/>
      <c r="O32" s="178"/>
      <c r="P32" s="176" t="str">
        <f t="shared" si="1"/>
        <v/>
      </c>
      <c r="Q32" s="177"/>
      <c r="R32" s="177"/>
      <c r="S32" s="200"/>
      <c r="T32" s="173">
        <f t="shared" si="3"/>
        <v>10</v>
      </c>
      <c r="U32" s="174"/>
      <c r="V32" s="174"/>
      <c r="W32" s="175"/>
      <c r="X32" s="176" t="str">
        <f t="shared" si="2"/>
        <v/>
      </c>
      <c r="Y32" s="177"/>
      <c r="Z32" s="177"/>
      <c r="AA32" s="178"/>
      <c r="AB32" s="176" t="str">
        <f t="shared" si="4"/>
        <v/>
      </c>
      <c r="AC32" s="177"/>
      <c r="AD32" s="177"/>
      <c r="AE32" s="178"/>
      <c r="AF32" s="18"/>
      <c r="AG32" s="21"/>
    </row>
    <row r="33" spans="1:33">
      <c r="A33" s="16"/>
      <c r="B33" s="17"/>
      <c r="C33" s="201" t="s">
        <v>25</v>
      </c>
      <c r="D33" s="202"/>
      <c r="E33" s="203"/>
      <c r="F33" s="272">
        <f>IF(C33="","",IF(VLOOKUP(C33,'Zone Table'!$A$28:$I$45,4)=0,"",VLOOKUP(C33,'Zone Table'!$A$28:$I$45,4)))</f>
        <v>7.0000000000000007E-2</v>
      </c>
      <c r="G33" s="272"/>
      <c r="H33" s="272"/>
      <c r="I33" s="195">
        <f>IF(C33="","",IF(VLOOKUP(C33,'Zone Table'!$A$28:$I$45,4)=0,"",IF(VLOOKUP(C33,'Zone Table'!$A$28:$I$45,7)=0,F33/3,VLOOKUP(C33,'Zone Table'!$A$28:$I$45,7))))</f>
        <v>0.02</v>
      </c>
      <c r="J33" s="195"/>
      <c r="K33" s="195"/>
      <c r="L33" s="176">
        <f t="shared" si="0"/>
        <v>11.250000000000002</v>
      </c>
      <c r="M33" s="177"/>
      <c r="N33" s="177"/>
      <c r="O33" s="178"/>
      <c r="P33" s="176">
        <f t="shared" si="1"/>
        <v>2.5</v>
      </c>
      <c r="Q33" s="177"/>
      <c r="R33" s="177"/>
      <c r="S33" s="200"/>
      <c r="T33" s="173">
        <f t="shared" si="3"/>
        <v>10</v>
      </c>
      <c r="U33" s="174"/>
      <c r="V33" s="174"/>
      <c r="W33" s="175"/>
      <c r="X33" s="176">
        <f t="shared" si="2"/>
        <v>1.1250000000000002</v>
      </c>
      <c r="Y33" s="177"/>
      <c r="Z33" s="177"/>
      <c r="AA33" s="178"/>
      <c r="AB33" s="176">
        <f t="shared" si="4"/>
        <v>0.25</v>
      </c>
      <c r="AC33" s="177"/>
      <c r="AD33" s="177"/>
      <c r="AE33" s="178"/>
      <c r="AF33" s="18"/>
      <c r="AG33" s="21"/>
    </row>
    <row r="34" spans="1:33">
      <c r="A34" s="16"/>
      <c r="B34" s="17"/>
      <c r="C34" s="201" t="s">
        <v>26</v>
      </c>
      <c r="D34" s="202"/>
      <c r="E34" s="203"/>
      <c r="F34" s="272">
        <f>IF(C34="","",IF(VLOOKUP(C34,'Zone Table'!$A$28:$I$45,4)=0,"",VLOOKUP(C34,'Zone Table'!$A$28:$I$45,4)))</f>
        <v>0.09</v>
      </c>
      <c r="G34" s="272"/>
      <c r="H34" s="272"/>
      <c r="I34" s="195">
        <f>IF(C34="","",IF(VLOOKUP(C34,'Zone Table'!$A$28:$I$45,4)=0,"",IF(VLOOKUP(C34,'Zone Table'!$A$28:$I$45,7)=0,F34/3,VLOOKUP(C34,'Zone Table'!$A$28:$I$45,7))))</f>
        <v>0.04</v>
      </c>
      <c r="J34" s="195"/>
      <c r="K34" s="195"/>
      <c r="L34" s="176">
        <f t="shared" si="0"/>
        <v>16.25</v>
      </c>
      <c r="M34" s="177"/>
      <c r="N34" s="177"/>
      <c r="O34" s="178"/>
      <c r="P34" s="176">
        <f t="shared" si="1"/>
        <v>5</v>
      </c>
      <c r="Q34" s="177"/>
      <c r="R34" s="177"/>
      <c r="S34" s="200"/>
      <c r="T34" s="173">
        <f t="shared" si="3"/>
        <v>10</v>
      </c>
      <c r="U34" s="174"/>
      <c r="V34" s="174"/>
      <c r="W34" s="175"/>
      <c r="X34" s="176">
        <f t="shared" si="2"/>
        <v>1.625</v>
      </c>
      <c r="Y34" s="177"/>
      <c r="Z34" s="177"/>
      <c r="AA34" s="178"/>
      <c r="AB34" s="176">
        <f t="shared" si="4"/>
        <v>0.5</v>
      </c>
      <c r="AC34" s="177"/>
      <c r="AD34" s="177"/>
      <c r="AE34" s="178"/>
      <c r="AF34" s="18"/>
      <c r="AG34" s="21"/>
    </row>
    <row r="35" spans="1:33">
      <c r="A35" s="16"/>
      <c r="B35" s="17"/>
      <c r="C35" s="192" t="s">
        <v>54</v>
      </c>
      <c r="D35" s="193"/>
      <c r="E35" s="194"/>
      <c r="F35" s="272" t="str">
        <f>IF(C35="","",IF(VLOOKUP(C35,'Zone Table'!$A$28:$I$45,4)=0,"",VLOOKUP(C35,'Zone Table'!$A$28:$I$45,4)))</f>
        <v/>
      </c>
      <c r="G35" s="272"/>
      <c r="H35" s="272"/>
      <c r="I35" s="195" t="str">
        <f>IF(C35="","",IF(VLOOKUP(C35,'Zone Table'!$A$28:$I$45,4)=0,"",IF(VLOOKUP(C35,'Zone Table'!$A$28:$I$45,7)=0,F35/3,VLOOKUP(C35,'Zone Table'!$A$28:$I$45,7))))</f>
        <v/>
      </c>
      <c r="J35" s="195"/>
      <c r="K35" s="195"/>
      <c r="L35" s="176" t="str">
        <f t="shared" si="0"/>
        <v/>
      </c>
      <c r="M35" s="177"/>
      <c r="N35" s="177"/>
      <c r="O35" s="178"/>
      <c r="P35" s="176" t="str">
        <f t="shared" si="1"/>
        <v/>
      </c>
      <c r="Q35" s="177"/>
      <c r="R35" s="177"/>
      <c r="S35" s="200"/>
      <c r="T35" s="173">
        <f t="shared" si="3"/>
        <v>10</v>
      </c>
      <c r="U35" s="174"/>
      <c r="V35" s="174"/>
      <c r="W35" s="175"/>
      <c r="X35" s="176" t="str">
        <f t="shared" si="2"/>
        <v/>
      </c>
      <c r="Y35" s="177"/>
      <c r="Z35" s="177"/>
      <c r="AA35" s="178"/>
      <c r="AB35" s="176" t="str">
        <f t="shared" si="4"/>
        <v/>
      </c>
      <c r="AC35" s="177"/>
      <c r="AD35" s="177"/>
      <c r="AE35" s="178"/>
      <c r="AF35" s="18"/>
      <c r="AG35" s="21"/>
    </row>
    <row r="36" spans="1:33">
      <c r="A36" s="16"/>
      <c r="B36" s="17"/>
      <c r="C36" s="201" t="s">
        <v>84</v>
      </c>
      <c r="D36" s="202"/>
      <c r="E36" s="203"/>
      <c r="F36" s="272">
        <f>IF(C36="","",IF(VLOOKUP(C36,'Zone Table'!$A$28:$I$45,4)=0,"",VLOOKUP(C36,'Zone Table'!$A$28:$I$45,4)))</f>
        <v>0.06</v>
      </c>
      <c r="G36" s="272"/>
      <c r="H36" s="272"/>
      <c r="I36" s="195">
        <f>IF(C36="","",IF(VLOOKUP(C36,'Zone Table'!$A$28:$I$45,4)=0,"",IF(VLOOKUP(C36,'Zone Table'!$A$28:$I$45,7)=0,F36/3,VLOOKUP(C36,'Zone Table'!$A$28:$I$45,7))))</f>
        <v>0.02</v>
      </c>
      <c r="J36" s="195"/>
      <c r="K36" s="195"/>
      <c r="L36" s="176">
        <f t="shared" si="0"/>
        <v>10</v>
      </c>
      <c r="M36" s="177"/>
      <c r="N36" s="177"/>
      <c r="O36" s="178"/>
      <c r="P36" s="176">
        <f t="shared" si="1"/>
        <v>2.5</v>
      </c>
      <c r="Q36" s="177"/>
      <c r="R36" s="177"/>
      <c r="S36" s="200"/>
      <c r="T36" s="173">
        <f t="shared" si="3"/>
        <v>10</v>
      </c>
      <c r="U36" s="174"/>
      <c r="V36" s="174"/>
      <c r="W36" s="175"/>
      <c r="X36" s="176">
        <f t="shared" si="2"/>
        <v>1</v>
      </c>
      <c r="Y36" s="177"/>
      <c r="Z36" s="177"/>
      <c r="AA36" s="178"/>
      <c r="AB36" s="176">
        <f t="shared" si="4"/>
        <v>0.25</v>
      </c>
      <c r="AC36" s="177"/>
      <c r="AD36" s="177"/>
      <c r="AE36" s="178"/>
      <c r="AF36" s="18"/>
      <c r="AG36" s="21"/>
    </row>
    <row r="37" spans="1:33">
      <c r="A37" s="16"/>
      <c r="B37" s="17"/>
      <c r="C37" s="201" t="s">
        <v>81</v>
      </c>
      <c r="D37" s="202"/>
      <c r="E37" s="203"/>
      <c r="F37" s="272">
        <f>IF(C37="","",IF(VLOOKUP(C37,'Zone Table'!$A$28:$I$45,4)=0,"",VLOOKUP(C37,'Zone Table'!$A$28:$I$45,4)))</f>
        <v>7.0000000000000007E-2</v>
      </c>
      <c r="G37" s="272"/>
      <c r="H37" s="272"/>
      <c r="I37" s="195">
        <f>IF(C37="","",IF(VLOOKUP(C37,'Zone Table'!$A$28:$I$45,4)=0,"",IF(VLOOKUP(C37,'Zone Table'!$A$28:$I$45,7)=0,F37/3,VLOOKUP(C37,'Zone Table'!$A$28:$I$45,7))))</f>
        <v>0.02</v>
      </c>
      <c r="J37" s="195"/>
      <c r="K37" s="195"/>
      <c r="L37" s="176">
        <f t="shared" si="0"/>
        <v>11.250000000000002</v>
      </c>
      <c r="M37" s="177"/>
      <c r="N37" s="177"/>
      <c r="O37" s="178"/>
      <c r="P37" s="176">
        <f t="shared" si="1"/>
        <v>2.5</v>
      </c>
      <c r="Q37" s="177"/>
      <c r="R37" s="177"/>
      <c r="S37" s="200"/>
      <c r="T37" s="173">
        <f>IF(C37="","",T$23)</f>
        <v>10</v>
      </c>
      <c r="U37" s="174"/>
      <c r="V37" s="174"/>
      <c r="W37" s="175"/>
      <c r="X37" s="176">
        <f t="shared" si="2"/>
        <v>1.1250000000000002</v>
      </c>
      <c r="Y37" s="177"/>
      <c r="Z37" s="177"/>
      <c r="AA37" s="178"/>
      <c r="AB37" s="176">
        <f t="shared" si="4"/>
        <v>0.25</v>
      </c>
      <c r="AC37" s="177"/>
      <c r="AD37" s="177"/>
      <c r="AE37" s="178"/>
      <c r="AF37" s="18"/>
      <c r="AG37" s="21"/>
    </row>
    <row r="38" spans="1:33">
      <c r="A38" s="16"/>
      <c r="B38" s="17"/>
      <c r="C38" s="256"/>
      <c r="D38" s="257"/>
      <c r="E38" s="258"/>
      <c r="F38" s="278" t="str">
        <f>IF(C38="","",IF(VLOOKUP(C38,'Zone Table'!$A$28:$I$45,4)=0,"",VLOOKUP(C38,'Zone Table'!$A$28:$I$45,4)))</f>
        <v/>
      </c>
      <c r="G38" s="278"/>
      <c r="H38" s="278"/>
      <c r="I38" s="259" t="str">
        <f>IF(C38="","",IF(VLOOKUP(C38,'Zone Table'!$A$28:$I$45,4)=0,"",IF(VLOOKUP(C38,'Zone Table'!$A$28:$I$45,7)=0,F38/3,VLOOKUP(C38,'Zone Table'!$A$28:$I$45,7))))</f>
        <v/>
      </c>
      <c r="J38" s="259"/>
      <c r="K38" s="259"/>
      <c r="L38" s="260" t="str">
        <f t="shared" si="0"/>
        <v/>
      </c>
      <c r="M38" s="261"/>
      <c r="N38" s="261"/>
      <c r="O38" s="262"/>
      <c r="P38" s="260" t="str">
        <f t="shared" si="1"/>
        <v/>
      </c>
      <c r="Q38" s="261"/>
      <c r="R38" s="261"/>
      <c r="S38" s="263"/>
      <c r="T38" s="279" t="str">
        <f>IF(C38="","",T$23)</f>
        <v/>
      </c>
      <c r="U38" s="280"/>
      <c r="V38" s="280"/>
      <c r="W38" s="281"/>
      <c r="X38" s="260" t="str">
        <f t="shared" si="2"/>
        <v/>
      </c>
      <c r="Y38" s="261"/>
      <c r="Z38" s="261"/>
      <c r="AA38" s="262"/>
      <c r="AB38" s="260" t="str">
        <f t="shared" si="4"/>
        <v/>
      </c>
      <c r="AC38" s="261"/>
      <c r="AD38" s="261"/>
      <c r="AE38" s="262"/>
      <c r="AF38" s="18"/>
      <c r="AG38" s="21"/>
    </row>
    <row r="39" spans="1:33" ht="14.4" customHeight="1">
      <c r="A39" s="16"/>
      <c r="B39" s="17"/>
      <c r="C39" s="18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7"/>
      <c r="AF39" s="18"/>
      <c r="AG39" s="21"/>
    </row>
    <row r="40" spans="1:33" ht="14.4" customHeight="1">
      <c r="A40" s="16"/>
      <c r="B40" s="17"/>
      <c r="C40" s="18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7"/>
      <c r="AF40" s="18"/>
      <c r="AG40" s="21"/>
    </row>
    <row r="41" spans="1:33" ht="14.4" customHeight="1">
      <c r="A41" s="16"/>
      <c r="B41" s="17"/>
      <c r="C41" s="18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7"/>
      <c r="AF41" s="18"/>
      <c r="AG41" s="21"/>
    </row>
    <row r="42" spans="1:33" ht="14.4" customHeight="1">
      <c r="A42" s="16"/>
      <c r="B42" s="17"/>
      <c r="C42" s="18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22"/>
      <c r="R42" s="23"/>
      <c r="S42" s="24"/>
      <c r="T42" s="24"/>
      <c r="U42" s="24"/>
      <c r="V42" s="19"/>
      <c r="W42" s="19"/>
      <c r="X42" s="19"/>
      <c r="Y42" s="19"/>
      <c r="Z42" s="19"/>
      <c r="AA42" s="19"/>
      <c r="AB42" s="19"/>
      <c r="AC42" s="19"/>
      <c r="AD42" s="19"/>
      <c r="AE42" s="17"/>
      <c r="AF42" s="18"/>
      <c r="AG42" s="21"/>
    </row>
    <row r="43" spans="1:33">
      <c r="A43" s="16"/>
      <c r="B43" s="17"/>
      <c r="C43" s="18"/>
      <c r="D43" s="109" t="s">
        <v>34</v>
      </c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7"/>
      <c r="AF43" s="18"/>
      <c r="AG43" s="21"/>
    </row>
    <row r="44" spans="1:33" s="138" customFormat="1" ht="10.199999999999999">
      <c r="A44" s="132"/>
      <c r="B44" s="133"/>
      <c r="C44" s="134"/>
      <c r="D44" s="135" t="s">
        <v>35</v>
      </c>
      <c r="E44" s="136" t="s">
        <v>65</v>
      </c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3"/>
      <c r="AF44" s="134"/>
      <c r="AG44" s="137"/>
    </row>
    <row r="45" spans="1:33" s="138" customFormat="1" ht="10.199999999999999">
      <c r="A45" s="132"/>
      <c r="B45" s="133"/>
      <c r="C45" s="134"/>
      <c r="D45" s="135" t="s">
        <v>36</v>
      </c>
      <c r="E45" s="154" t="s">
        <v>90</v>
      </c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3"/>
      <c r="AF45" s="134"/>
      <c r="AG45" s="137"/>
    </row>
    <row r="46" spans="1:33" s="138" customFormat="1" ht="10.199999999999999">
      <c r="A46" s="132"/>
      <c r="B46" s="133"/>
      <c r="C46" s="134"/>
      <c r="D46" s="135" t="s">
        <v>37</v>
      </c>
      <c r="E46" s="136" t="s">
        <v>62</v>
      </c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6"/>
      <c r="AD46" s="136"/>
      <c r="AE46" s="133"/>
      <c r="AF46" s="134"/>
      <c r="AG46" s="137"/>
    </row>
    <row r="47" spans="1:33" s="138" customFormat="1" ht="10.199999999999999">
      <c r="A47" s="132"/>
      <c r="B47" s="133"/>
      <c r="C47" s="134"/>
      <c r="D47" s="135" t="s">
        <v>38</v>
      </c>
      <c r="E47" s="155" t="s">
        <v>91</v>
      </c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3"/>
      <c r="AF47" s="134"/>
      <c r="AG47" s="137"/>
    </row>
    <row r="48" spans="1:33" s="138" customFormat="1" ht="10.199999999999999">
      <c r="A48" s="132"/>
      <c r="B48" s="133"/>
      <c r="C48" s="134"/>
      <c r="D48" s="140" t="s">
        <v>61</v>
      </c>
      <c r="E48" s="154" t="s">
        <v>92</v>
      </c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3"/>
      <c r="AF48" s="134"/>
      <c r="AG48" s="137"/>
    </row>
    <row r="49" spans="1:33" s="138" customFormat="1" ht="10.199999999999999">
      <c r="A49" s="132"/>
      <c r="B49" s="133"/>
      <c r="C49" s="134"/>
      <c r="D49" s="163" t="s">
        <v>63</v>
      </c>
      <c r="E49" s="166" t="s">
        <v>95</v>
      </c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3"/>
      <c r="AF49" s="134"/>
      <c r="AG49" s="137"/>
    </row>
    <row r="50" spans="1:33" s="138" customFormat="1" ht="10.199999999999999">
      <c r="A50" s="132"/>
      <c r="B50" s="133"/>
      <c r="C50" s="134"/>
      <c r="D50" s="140"/>
      <c r="E50" s="139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3"/>
      <c r="AF50" s="134"/>
      <c r="AG50" s="137"/>
    </row>
    <row r="51" spans="1:33" s="138" customFormat="1" ht="10.199999999999999">
      <c r="A51" s="132"/>
      <c r="B51" s="133"/>
      <c r="C51" s="134"/>
      <c r="D51" s="140"/>
      <c r="E51" s="139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3"/>
      <c r="AF51" s="134"/>
      <c r="AG51" s="137"/>
    </row>
    <row r="52" spans="1:33" s="138" customFormat="1" ht="10.199999999999999">
      <c r="A52" s="132"/>
      <c r="B52" s="133"/>
      <c r="C52" s="134"/>
      <c r="D52" s="140"/>
      <c r="E52" s="139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3"/>
      <c r="AF52" s="134"/>
      <c r="AG52" s="137"/>
    </row>
    <row r="53" spans="1:33" s="125" customFormat="1" ht="10.199999999999999" customHeight="1" thickBot="1">
      <c r="A53" s="126"/>
      <c r="B53" s="127"/>
      <c r="C53" s="128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7"/>
      <c r="AF53" s="128"/>
      <c r="AG53" s="130"/>
    </row>
  </sheetData>
  <sheetProtection selectLockedCells="1"/>
  <mergeCells count="160">
    <mergeCell ref="C37:E37"/>
    <mergeCell ref="F37:H37"/>
    <mergeCell ref="I37:K37"/>
    <mergeCell ref="L37:O37"/>
    <mergeCell ref="P37:S37"/>
    <mergeCell ref="T37:W37"/>
    <mergeCell ref="X37:AA37"/>
    <mergeCell ref="AB37:AE37"/>
    <mergeCell ref="C38:E38"/>
    <mergeCell ref="F38:H38"/>
    <mergeCell ref="I38:K38"/>
    <mergeCell ref="L38:O38"/>
    <mergeCell ref="P38:S38"/>
    <mergeCell ref="T38:W38"/>
    <mergeCell ref="X38:AA38"/>
    <mergeCell ref="AB38:AE38"/>
    <mergeCell ref="A1:F4"/>
    <mergeCell ref="G2:M2"/>
    <mergeCell ref="N2:Q2"/>
    <mergeCell ref="R2:U2"/>
    <mergeCell ref="V2:AG2"/>
    <mergeCell ref="G4:Q4"/>
    <mergeCell ref="R4:U4"/>
    <mergeCell ref="V4:Y4"/>
    <mergeCell ref="Z4:AC4"/>
    <mergeCell ref="AD4:AG4"/>
    <mergeCell ref="I20:K21"/>
    <mergeCell ref="L20:O21"/>
    <mergeCell ref="P20:S21"/>
    <mergeCell ref="T20:W21"/>
    <mergeCell ref="X20:AA22"/>
    <mergeCell ref="AB20:AE22"/>
    <mergeCell ref="A5:B5"/>
    <mergeCell ref="C5:AE5"/>
    <mergeCell ref="AF5:AG5"/>
    <mergeCell ref="R9:T9"/>
    <mergeCell ref="R14:T14"/>
    <mergeCell ref="C19:E22"/>
    <mergeCell ref="F19:K19"/>
    <mergeCell ref="L19:S19"/>
    <mergeCell ref="T19:AE19"/>
    <mergeCell ref="F20:H21"/>
    <mergeCell ref="C18:AE18"/>
    <mergeCell ref="F22:H22"/>
    <mergeCell ref="I22:K22"/>
    <mergeCell ref="L22:O22"/>
    <mergeCell ref="P22:S22"/>
    <mergeCell ref="T22:W22"/>
    <mergeCell ref="C23:E23"/>
    <mergeCell ref="F23:H23"/>
    <mergeCell ref="I23:K23"/>
    <mergeCell ref="L23:O23"/>
    <mergeCell ref="P23:S23"/>
    <mergeCell ref="T23:W23"/>
    <mergeCell ref="X23:AA23"/>
    <mergeCell ref="AB23:AE23"/>
    <mergeCell ref="C24:E24"/>
    <mergeCell ref="F24:H24"/>
    <mergeCell ref="I24:K24"/>
    <mergeCell ref="L24:O24"/>
    <mergeCell ref="P24:S24"/>
    <mergeCell ref="T24:W24"/>
    <mergeCell ref="X24:AA24"/>
    <mergeCell ref="AB24:AE24"/>
    <mergeCell ref="C25:E25"/>
    <mergeCell ref="F25:H25"/>
    <mergeCell ref="I25:K25"/>
    <mergeCell ref="L25:O25"/>
    <mergeCell ref="P25:S25"/>
    <mergeCell ref="T25:W25"/>
    <mergeCell ref="X25:AA25"/>
    <mergeCell ref="AB25:AE25"/>
    <mergeCell ref="X26:AA26"/>
    <mergeCell ref="AB26:AE26"/>
    <mergeCell ref="C27:E27"/>
    <mergeCell ref="F27:H27"/>
    <mergeCell ref="I27:K27"/>
    <mergeCell ref="L27:O27"/>
    <mergeCell ref="P27:S27"/>
    <mergeCell ref="T27:W27"/>
    <mergeCell ref="X27:AA27"/>
    <mergeCell ref="AB27:AE27"/>
    <mergeCell ref="C26:E26"/>
    <mergeCell ref="F26:H26"/>
    <mergeCell ref="I26:K26"/>
    <mergeCell ref="L26:O26"/>
    <mergeCell ref="P26:S26"/>
    <mergeCell ref="T26:W26"/>
    <mergeCell ref="X28:AA28"/>
    <mergeCell ref="AB28:AE28"/>
    <mergeCell ref="C29:E29"/>
    <mergeCell ref="F29:H29"/>
    <mergeCell ref="I29:K29"/>
    <mergeCell ref="L29:O29"/>
    <mergeCell ref="P29:S29"/>
    <mergeCell ref="T29:W29"/>
    <mergeCell ref="X29:AA29"/>
    <mergeCell ref="AB29:AE29"/>
    <mergeCell ref="C28:E28"/>
    <mergeCell ref="F28:H28"/>
    <mergeCell ref="I28:K28"/>
    <mergeCell ref="L28:O28"/>
    <mergeCell ref="P28:S28"/>
    <mergeCell ref="T28:W28"/>
    <mergeCell ref="X30:AA30"/>
    <mergeCell ref="AB30:AE30"/>
    <mergeCell ref="C31:E31"/>
    <mergeCell ref="F31:H31"/>
    <mergeCell ref="I31:K31"/>
    <mergeCell ref="L31:O31"/>
    <mergeCell ref="P31:S31"/>
    <mergeCell ref="T31:W31"/>
    <mergeCell ref="X31:AA31"/>
    <mergeCell ref="AB31:AE31"/>
    <mergeCell ref="C30:E30"/>
    <mergeCell ref="F30:H30"/>
    <mergeCell ref="I30:K30"/>
    <mergeCell ref="L30:O30"/>
    <mergeCell ref="P30:S30"/>
    <mergeCell ref="T30:W30"/>
    <mergeCell ref="X32:AA32"/>
    <mergeCell ref="AB32:AE32"/>
    <mergeCell ref="C33:E33"/>
    <mergeCell ref="F33:H33"/>
    <mergeCell ref="I33:K33"/>
    <mergeCell ref="L33:O33"/>
    <mergeCell ref="P33:S33"/>
    <mergeCell ref="T33:W33"/>
    <mergeCell ref="X33:AA33"/>
    <mergeCell ref="AB33:AE33"/>
    <mergeCell ref="C32:E32"/>
    <mergeCell ref="F32:H32"/>
    <mergeCell ref="I32:K32"/>
    <mergeCell ref="L32:O32"/>
    <mergeCell ref="P32:S32"/>
    <mergeCell ref="T32:W32"/>
    <mergeCell ref="X36:AA36"/>
    <mergeCell ref="AB36:AE36"/>
    <mergeCell ref="C36:E36"/>
    <mergeCell ref="F36:H36"/>
    <mergeCell ref="I36:K36"/>
    <mergeCell ref="L36:O36"/>
    <mergeCell ref="P36:S36"/>
    <mergeCell ref="T36:W36"/>
    <mergeCell ref="X34:AA34"/>
    <mergeCell ref="AB34:AE34"/>
    <mergeCell ref="C35:E35"/>
    <mergeCell ref="F35:H35"/>
    <mergeCell ref="I35:K35"/>
    <mergeCell ref="L35:O35"/>
    <mergeCell ref="P35:S35"/>
    <mergeCell ref="T35:W35"/>
    <mergeCell ref="X35:AA35"/>
    <mergeCell ref="AB35:AE35"/>
    <mergeCell ref="C34:E34"/>
    <mergeCell ref="F34:H34"/>
    <mergeCell ref="I34:K34"/>
    <mergeCell ref="L34:O34"/>
    <mergeCell ref="P34:S34"/>
    <mergeCell ref="T34:W34"/>
  </mergeCells>
  <conditionalFormatting sqref="AB23">
    <cfRule type="expression" dxfId="11" priority="6">
      <formula>$AB23&lt;0.10038</formula>
    </cfRule>
  </conditionalFormatting>
  <conditionalFormatting sqref="X23">
    <cfRule type="expression" dxfId="10" priority="5">
      <formula>$X23&lt;0.10038</formula>
    </cfRule>
  </conditionalFormatting>
  <conditionalFormatting sqref="AB24:AE24">
    <cfRule type="expression" dxfId="9" priority="4">
      <formula>$AB24&lt;0.10038</formula>
    </cfRule>
  </conditionalFormatting>
  <conditionalFormatting sqref="X24">
    <cfRule type="expression" dxfId="8" priority="3">
      <formula>$X24&lt;0.10038</formula>
    </cfRule>
  </conditionalFormatting>
  <conditionalFormatting sqref="AB25:AE38">
    <cfRule type="expression" dxfId="7" priority="2">
      <formula>$AB25&lt;0.10038</formula>
    </cfRule>
  </conditionalFormatting>
  <conditionalFormatting sqref="X25:X38">
    <cfRule type="expression" dxfId="6" priority="1">
      <formula>$X25&lt;0.10038</formula>
    </cfRule>
  </conditionalFormatting>
  <pageMargins left="0.19685039370078741" right="1.1417322834645669" top="0.19685039370078741" bottom="0.55118110236220474" header="0" footer="0"/>
  <pageSetup paperSize="9" orientation="portrait" r:id="rId1"/>
  <headerFooter>
    <oddFooter xml:space="preserve">&amp;L&amp;07&amp;"Arial"Microsoft Excel Ver. 14.0 (Build 6024)
File: I:\Stress toolbox\Blast\Under Development\&amp;F
Licensed To: Microsoft&amp;R&amp;07&amp;"Arial"Date: &amp;D Time: &amp;T
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'Zone Table'!$A$4:$A$21</xm:f>
          </x14:formula1>
          <xm:sqref>C23:E38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54"/>
  <sheetViews>
    <sheetView zoomScaleNormal="100" workbookViewId="0">
      <selection sqref="A1:F4"/>
    </sheetView>
  </sheetViews>
  <sheetFormatPr defaultColWidth="2.6640625" defaultRowHeight="14.4"/>
  <cols>
    <col min="1" max="26" width="2.6640625" style="162"/>
    <col min="27" max="27" width="2.6640625" style="162" customWidth="1"/>
    <col min="28" max="16384" width="2.6640625" style="162"/>
  </cols>
  <sheetData>
    <row r="1" spans="1:33" ht="18.600000000000001" customHeight="1">
      <c r="A1" s="205"/>
      <c r="B1" s="206"/>
      <c r="C1" s="207"/>
      <c r="D1" s="207"/>
      <c r="E1" s="207"/>
      <c r="F1" s="208"/>
      <c r="G1" s="1" t="s">
        <v>0</v>
      </c>
      <c r="H1" s="2"/>
      <c r="I1" s="3"/>
      <c r="J1" s="3"/>
      <c r="K1" s="4"/>
      <c r="L1" s="3"/>
      <c r="M1" s="3"/>
      <c r="N1" s="5" t="s">
        <v>1</v>
      </c>
      <c r="O1" s="3"/>
      <c r="P1" s="3"/>
      <c r="Q1" s="3"/>
      <c r="R1" s="6" t="s">
        <v>2</v>
      </c>
      <c r="S1" s="7"/>
      <c r="T1" s="3"/>
      <c r="U1" s="8"/>
      <c r="V1" s="1" t="s">
        <v>3</v>
      </c>
      <c r="W1" s="4"/>
      <c r="X1" s="4"/>
      <c r="Y1" s="3"/>
      <c r="Z1" s="3"/>
      <c r="AA1" s="3"/>
      <c r="AB1" s="3"/>
      <c r="AC1" s="3"/>
      <c r="AD1" s="3"/>
      <c r="AE1" s="3"/>
      <c r="AF1" s="3"/>
      <c r="AG1" s="8"/>
    </row>
    <row r="2" spans="1:33" ht="39" customHeight="1" thickBot="1">
      <c r="A2" s="209"/>
      <c r="B2" s="210"/>
      <c r="C2" s="211"/>
      <c r="D2" s="211"/>
      <c r="E2" s="211"/>
      <c r="F2" s="212"/>
      <c r="G2" s="230" t="str">
        <f>'Blast (Peak)'!G2</f>
        <v>GREATER STELLA AREA DEVELOPMENT</v>
      </c>
      <c r="H2" s="233"/>
      <c r="I2" s="233"/>
      <c r="J2" s="233"/>
      <c r="K2" s="233"/>
      <c r="L2" s="233"/>
      <c r="M2" s="234"/>
      <c r="N2" s="235" t="str">
        <f>'Blast (Peak)'!N2</f>
        <v>JU11805D</v>
      </c>
      <c r="O2" s="236"/>
      <c r="P2" s="236"/>
      <c r="Q2" s="237"/>
      <c r="R2" s="230" t="str">
        <f>'Blast (Peak)'!R2</f>
        <v>ITHACA ENERGY</v>
      </c>
      <c r="S2" s="231"/>
      <c r="T2" s="231"/>
      <c r="U2" s="232"/>
      <c r="V2" s="227" t="str">
        <f>'Blast (Peak)'!V2</f>
        <v>FPF1-HC-009</v>
      </c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9"/>
    </row>
    <row r="3" spans="1:33" ht="18.600000000000001" customHeight="1">
      <c r="A3" s="209"/>
      <c r="B3" s="210"/>
      <c r="C3" s="211"/>
      <c r="D3" s="211"/>
      <c r="E3" s="211"/>
      <c r="F3" s="212"/>
      <c r="G3" s="1" t="s">
        <v>6</v>
      </c>
      <c r="H3" s="10"/>
      <c r="I3" s="10"/>
      <c r="J3" s="10"/>
      <c r="K3" s="10"/>
      <c r="L3" s="10"/>
      <c r="M3" s="10"/>
      <c r="N3" s="10"/>
      <c r="O3" s="10"/>
      <c r="P3" s="10"/>
      <c r="Q3" s="2"/>
      <c r="R3" s="1" t="s">
        <v>7</v>
      </c>
      <c r="S3" s="10"/>
      <c r="T3" s="3"/>
      <c r="U3" s="8"/>
      <c r="V3" s="6" t="s">
        <v>8</v>
      </c>
      <c r="W3" s="3"/>
      <c r="X3" s="3"/>
      <c r="Y3" s="8"/>
      <c r="Z3" s="6" t="s">
        <v>9</v>
      </c>
      <c r="AA3" s="3"/>
      <c r="AB3" s="3"/>
      <c r="AC3" s="8"/>
      <c r="AD3" s="6" t="s">
        <v>10</v>
      </c>
      <c r="AE3" s="3"/>
      <c r="AF3" s="3"/>
      <c r="AG3" s="8"/>
    </row>
    <row r="4" spans="1:33" ht="37.200000000000003" customHeight="1" thickBot="1">
      <c r="A4" s="213"/>
      <c r="B4" s="214"/>
      <c r="C4" s="215"/>
      <c r="D4" s="215"/>
      <c r="E4" s="215"/>
      <c r="F4" s="216"/>
      <c r="G4" s="227" t="str">
        <f>'Blast (Peak)'!G4</f>
        <v>Blast Pressures for Caesar Input</v>
      </c>
      <c r="H4" s="228"/>
      <c r="I4" s="228"/>
      <c r="J4" s="228"/>
      <c r="K4" s="228"/>
      <c r="L4" s="228"/>
      <c r="M4" s="228"/>
      <c r="N4" s="228"/>
      <c r="O4" s="228"/>
      <c r="P4" s="228"/>
      <c r="Q4" s="229"/>
      <c r="R4" s="230" t="str">
        <f>'Blast (Peak)'!R4</f>
        <v>Piping Stress</v>
      </c>
      <c r="S4" s="231"/>
      <c r="T4" s="231"/>
      <c r="U4" s="232"/>
      <c r="V4" s="227" t="str">
        <f>'Blast (Peak)'!V4</f>
        <v>C</v>
      </c>
      <c r="W4" s="228"/>
      <c r="X4" s="228"/>
      <c r="Y4" s="229"/>
      <c r="Z4" s="224">
        <f>'Blast (Peak)'!Z4</f>
        <v>41471</v>
      </c>
      <c r="AA4" s="225"/>
      <c r="AB4" s="225"/>
      <c r="AC4" s="226"/>
      <c r="AD4" s="221">
        <f>'Blast (Peak)'!AD4+1</f>
        <v>2</v>
      </c>
      <c r="AE4" s="222"/>
      <c r="AF4" s="222"/>
      <c r="AG4" s="223"/>
    </row>
    <row r="5" spans="1:33">
      <c r="A5" s="217" t="s">
        <v>13</v>
      </c>
      <c r="B5" s="218"/>
      <c r="C5" s="219" t="s">
        <v>15</v>
      </c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  <c r="AD5" s="238"/>
      <c r="AE5" s="218"/>
      <c r="AF5" s="219" t="s">
        <v>14</v>
      </c>
      <c r="AG5" s="220"/>
    </row>
    <row r="6" spans="1:33">
      <c r="A6" s="11"/>
      <c r="B6" s="12"/>
      <c r="C6" s="13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2"/>
      <c r="AF6" s="13"/>
      <c r="AG6" s="15"/>
    </row>
    <row r="7" spans="1:33" ht="14.4" customHeight="1">
      <c r="A7" s="16"/>
      <c r="B7" s="17"/>
      <c r="C7" s="18"/>
      <c r="D7" s="19" t="s">
        <v>47</v>
      </c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67"/>
      <c r="R7" s="167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7"/>
      <c r="AF7" s="18"/>
      <c r="AG7" s="21"/>
    </row>
    <row r="8" spans="1:33" ht="14.4" customHeight="1">
      <c r="A8" s="16"/>
      <c r="B8" s="17"/>
      <c r="C8" s="18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67"/>
      <c r="R8" s="167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7"/>
      <c r="AF8" s="18"/>
      <c r="AG8" s="21"/>
    </row>
    <row r="9" spans="1:33" ht="14.4" customHeight="1">
      <c r="A9" s="16"/>
      <c r="B9" s="17"/>
      <c r="C9" s="18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2" t="s">
        <v>30</v>
      </c>
      <c r="Q9" s="23" t="s">
        <v>17</v>
      </c>
      <c r="R9" s="204">
        <v>1</v>
      </c>
      <c r="S9" s="204"/>
      <c r="T9" s="204"/>
      <c r="U9" s="24"/>
      <c r="V9" s="19"/>
      <c r="W9" s="19"/>
      <c r="X9" s="19"/>
      <c r="Y9" s="19"/>
      <c r="Z9" s="19"/>
      <c r="AA9" s="19"/>
      <c r="AB9" s="19"/>
      <c r="AC9" s="19"/>
      <c r="AD9" s="19"/>
      <c r="AE9" s="17"/>
      <c r="AF9" s="18"/>
      <c r="AG9" s="21"/>
    </row>
    <row r="10" spans="1:33" ht="14.4" customHeight="1">
      <c r="A10" s="16"/>
      <c r="B10" s="17"/>
      <c r="C10" s="18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67"/>
      <c r="R10" s="167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7"/>
      <c r="AF10" s="18"/>
      <c r="AG10" s="21"/>
    </row>
    <row r="11" spans="1:33" ht="14.4" customHeight="1">
      <c r="A11" s="16"/>
      <c r="B11" s="17"/>
      <c r="C11" s="18"/>
      <c r="D11" s="19" t="s">
        <v>48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67"/>
      <c r="R11" s="167"/>
      <c r="S11" s="24"/>
      <c r="T11" s="24"/>
      <c r="U11" s="24"/>
      <c r="V11" s="19"/>
      <c r="W11" s="19"/>
      <c r="X11" s="19"/>
      <c r="Y11" s="19"/>
      <c r="Z11" s="19"/>
      <c r="AA11" s="19"/>
      <c r="AB11" s="19"/>
      <c r="AC11" s="19"/>
      <c r="AD11" s="19"/>
      <c r="AE11" s="17"/>
      <c r="AF11" s="18"/>
      <c r="AG11" s="21"/>
    </row>
    <row r="12" spans="1:33" ht="14.4" customHeight="1">
      <c r="A12" s="16"/>
      <c r="B12" s="17"/>
      <c r="C12" s="18"/>
      <c r="D12" s="19" t="s">
        <v>49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7"/>
      <c r="AF12" s="18"/>
      <c r="AG12" s="21"/>
    </row>
    <row r="13" spans="1:33" ht="14.4" customHeight="1">
      <c r="A13" s="16"/>
      <c r="B13" s="17"/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27"/>
      <c r="R13" s="27"/>
      <c r="S13" s="27"/>
      <c r="T13" s="27"/>
      <c r="U13" s="27"/>
      <c r="V13" s="27"/>
      <c r="W13" s="19"/>
      <c r="X13" s="19"/>
      <c r="Y13" s="19"/>
      <c r="Z13" s="19"/>
      <c r="AA13" s="19"/>
      <c r="AB13" s="19"/>
      <c r="AC13" s="19"/>
      <c r="AD13" s="19"/>
      <c r="AE13" s="17"/>
      <c r="AF13" s="18"/>
      <c r="AG13" s="21"/>
    </row>
    <row r="14" spans="1:33" ht="14.4" customHeight="1">
      <c r="A14" s="16"/>
      <c r="B14" s="17"/>
      <c r="C14" s="18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2" t="s">
        <v>32</v>
      </c>
      <c r="Q14" s="23" t="s">
        <v>17</v>
      </c>
      <c r="R14" s="204">
        <f>IF(S13&gt;0,AA14,1.25)</f>
        <v>1.25</v>
      </c>
      <c r="S14" s="204"/>
      <c r="T14" s="204"/>
      <c r="U14" s="19"/>
      <c r="V14" s="19"/>
      <c r="W14" s="19"/>
      <c r="X14" s="19"/>
      <c r="Y14" s="19"/>
      <c r="Z14" s="19"/>
      <c r="AA14" s="30"/>
      <c r="AB14" s="31"/>
      <c r="AC14" s="31"/>
      <c r="AD14" s="19"/>
      <c r="AE14" s="17"/>
      <c r="AF14" s="18"/>
      <c r="AG14" s="21"/>
    </row>
    <row r="15" spans="1:33" ht="14.4" customHeight="1">
      <c r="A15" s="16"/>
      <c r="B15" s="17"/>
      <c r="C15" s="18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7"/>
      <c r="AF15" s="18"/>
      <c r="AG15" s="21"/>
    </row>
    <row r="16" spans="1:33" ht="14.4" customHeight="1">
      <c r="A16" s="16"/>
      <c r="B16" s="17"/>
      <c r="C16" s="18"/>
      <c r="D16" s="19" t="s">
        <v>114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7"/>
      <c r="AF16" s="18"/>
      <c r="AG16" s="21"/>
    </row>
    <row r="17" spans="1:33" ht="14.4" customHeight="1">
      <c r="A17" s="16"/>
      <c r="B17" s="17"/>
      <c r="C17" s="18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7"/>
      <c r="AF17" s="18"/>
      <c r="AG17" s="21"/>
    </row>
    <row r="18" spans="1:33" ht="14.4" customHeight="1">
      <c r="A18" s="16"/>
      <c r="B18" s="17"/>
      <c r="C18" s="269" t="s">
        <v>104</v>
      </c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1"/>
      <c r="AF18" s="18"/>
      <c r="AG18" s="21"/>
    </row>
    <row r="19" spans="1:33">
      <c r="A19" s="16"/>
      <c r="B19" s="17"/>
      <c r="C19" s="268" t="s">
        <v>39</v>
      </c>
      <c r="D19" s="268"/>
      <c r="E19" s="268"/>
      <c r="F19" s="180" t="s">
        <v>18</v>
      </c>
      <c r="G19" s="180"/>
      <c r="H19" s="180"/>
      <c r="I19" s="180"/>
      <c r="J19" s="180"/>
      <c r="K19" s="180"/>
      <c r="L19" s="196" t="s">
        <v>53</v>
      </c>
      <c r="M19" s="197"/>
      <c r="N19" s="197"/>
      <c r="O19" s="197"/>
      <c r="P19" s="197"/>
      <c r="Q19" s="197"/>
      <c r="R19" s="197"/>
      <c r="S19" s="198"/>
      <c r="T19" s="179" t="s">
        <v>42</v>
      </c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"/>
      <c r="AG19" s="21"/>
    </row>
    <row r="20" spans="1:33" ht="14.4" customHeight="1">
      <c r="A20" s="16"/>
      <c r="B20" s="17"/>
      <c r="C20" s="268"/>
      <c r="D20" s="268"/>
      <c r="E20" s="268"/>
      <c r="F20" s="183" t="s">
        <v>82</v>
      </c>
      <c r="G20" s="182"/>
      <c r="H20" s="182"/>
      <c r="I20" s="183" t="s">
        <v>83</v>
      </c>
      <c r="J20" s="182"/>
      <c r="K20" s="182"/>
      <c r="L20" s="242" t="s">
        <v>82</v>
      </c>
      <c r="M20" s="243"/>
      <c r="N20" s="243"/>
      <c r="O20" s="248"/>
      <c r="P20" s="242" t="s">
        <v>83</v>
      </c>
      <c r="Q20" s="243"/>
      <c r="R20" s="243"/>
      <c r="S20" s="244"/>
      <c r="T20" s="181" t="s">
        <v>43</v>
      </c>
      <c r="U20" s="182"/>
      <c r="V20" s="182"/>
      <c r="W20" s="182"/>
      <c r="X20" s="183" t="s">
        <v>82</v>
      </c>
      <c r="Y20" s="182"/>
      <c r="Z20" s="182"/>
      <c r="AA20" s="182"/>
      <c r="AB20" s="183" t="s">
        <v>83</v>
      </c>
      <c r="AC20" s="182"/>
      <c r="AD20" s="182"/>
      <c r="AE20" s="182"/>
      <c r="AF20" s="18"/>
      <c r="AG20" s="21"/>
    </row>
    <row r="21" spans="1:33">
      <c r="A21" s="16"/>
      <c r="B21" s="17"/>
      <c r="C21" s="268"/>
      <c r="D21" s="268"/>
      <c r="E21" s="268"/>
      <c r="F21" s="182"/>
      <c r="G21" s="182"/>
      <c r="H21" s="182"/>
      <c r="I21" s="182"/>
      <c r="J21" s="182"/>
      <c r="K21" s="182"/>
      <c r="L21" s="249"/>
      <c r="M21" s="243"/>
      <c r="N21" s="243"/>
      <c r="O21" s="248"/>
      <c r="P21" s="245"/>
      <c r="Q21" s="246"/>
      <c r="R21" s="246"/>
      <c r="S21" s="247"/>
      <c r="T21" s="181"/>
      <c r="U21" s="182"/>
      <c r="V21" s="182"/>
      <c r="W21" s="182"/>
      <c r="X21" s="182"/>
      <c r="Y21" s="182"/>
      <c r="Z21" s="182"/>
      <c r="AA21" s="182"/>
      <c r="AB21" s="182"/>
      <c r="AC21" s="182"/>
      <c r="AD21" s="182"/>
      <c r="AE21" s="182"/>
      <c r="AF21" s="18"/>
      <c r="AG21" s="21"/>
    </row>
    <row r="22" spans="1:33">
      <c r="A22" s="16"/>
      <c r="B22" s="17"/>
      <c r="C22" s="268"/>
      <c r="D22" s="268"/>
      <c r="E22" s="268"/>
      <c r="F22" s="185" t="s">
        <v>27</v>
      </c>
      <c r="G22" s="185"/>
      <c r="H22" s="185"/>
      <c r="I22" s="185" t="s">
        <v>27</v>
      </c>
      <c r="J22" s="185"/>
      <c r="K22" s="185"/>
      <c r="L22" s="250" t="s">
        <v>33</v>
      </c>
      <c r="M22" s="251"/>
      <c r="N22" s="251"/>
      <c r="O22" s="252"/>
      <c r="P22" s="239" t="s">
        <v>33</v>
      </c>
      <c r="Q22" s="240"/>
      <c r="R22" s="240"/>
      <c r="S22" s="241"/>
      <c r="T22" s="184" t="s">
        <v>33</v>
      </c>
      <c r="U22" s="185"/>
      <c r="V22" s="185"/>
      <c r="W22" s="185"/>
      <c r="X22" s="182"/>
      <c r="Y22" s="182"/>
      <c r="Z22" s="182"/>
      <c r="AA22" s="182"/>
      <c r="AB22" s="182"/>
      <c r="AC22" s="182"/>
      <c r="AD22" s="182"/>
      <c r="AE22" s="182"/>
      <c r="AF22" s="18"/>
      <c r="AG22" s="21"/>
    </row>
    <row r="23" spans="1:33">
      <c r="A23" s="16"/>
      <c r="B23" s="17"/>
      <c r="C23" s="253" t="s">
        <v>73</v>
      </c>
      <c r="D23" s="254"/>
      <c r="E23" s="255"/>
      <c r="F23" s="267">
        <f>IF(C23="","",VLOOKUP(C23,'Blast Load Basis'!$D$10:$AA$24,22,FALSE))</f>
        <v>8.6999999999999994E-2</v>
      </c>
      <c r="G23" s="267"/>
      <c r="H23" s="267"/>
      <c r="I23" s="267">
        <f>IF(C23="","",VLOOKUP(C23,'Blast Load Basis'!$D$26:$AA$40,22,FALSE))</f>
        <v>2.8999999999999998E-2</v>
      </c>
      <c r="J23" s="267"/>
      <c r="K23" s="267"/>
      <c r="L23" s="189">
        <f>IF(C23="","",F23*$R$14*100)</f>
        <v>10.874999999999998</v>
      </c>
      <c r="M23" s="190"/>
      <c r="N23" s="190"/>
      <c r="O23" s="191"/>
      <c r="P23" s="189">
        <f>IF(C23="","",I23*$R$14*100)</f>
        <v>3.6249999999999996</v>
      </c>
      <c r="Q23" s="190"/>
      <c r="R23" s="190"/>
      <c r="S23" s="199"/>
      <c r="T23" s="186">
        <v>10</v>
      </c>
      <c r="U23" s="187"/>
      <c r="V23" s="187"/>
      <c r="W23" s="188"/>
      <c r="X23" s="189">
        <f>IF(C23="","",$R$9*L23/T23)</f>
        <v>1.0874999999999999</v>
      </c>
      <c r="Y23" s="190"/>
      <c r="Z23" s="190"/>
      <c r="AA23" s="191"/>
      <c r="AB23" s="189">
        <f>IF(C23="","",$R$9*P23/T23)</f>
        <v>0.36249999999999993</v>
      </c>
      <c r="AC23" s="190"/>
      <c r="AD23" s="190"/>
      <c r="AE23" s="191"/>
      <c r="AF23" s="18"/>
      <c r="AG23" s="21"/>
    </row>
    <row r="24" spans="1:33">
      <c r="A24" s="16"/>
      <c r="B24" s="17"/>
      <c r="C24" s="201" t="s">
        <v>75</v>
      </c>
      <c r="D24" s="202"/>
      <c r="E24" s="203"/>
      <c r="F24" s="195">
        <f>IF(C24="","",VLOOKUP(C24,'Blast Load Basis'!$D$10:$AA$24,22,FALSE))</f>
        <v>5.2999999999999999E-2</v>
      </c>
      <c r="G24" s="195"/>
      <c r="H24" s="195"/>
      <c r="I24" s="195">
        <f>IF(C24="","",VLOOKUP(C24,'Blast Load Basis'!$D$26:$AA$40,22,FALSE))</f>
        <v>1.7666666666666667E-2</v>
      </c>
      <c r="J24" s="195"/>
      <c r="K24" s="195"/>
      <c r="L24" s="176">
        <f>IF(C24="","",F24*$R$14*100)</f>
        <v>6.625</v>
      </c>
      <c r="M24" s="177"/>
      <c r="N24" s="177"/>
      <c r="O24" s="178"/>
      <c r="P24" s="176">
        <f>IF(C24="","",I24*$R$14*100)</f>
        <v>2.2083333333333335</v>
      </c>
      <c r="Q24" s="177"/>
      <c r="R24" s="177"/>
      <c r="S24" s="200"/>
      <c r="T24" s="173">
        <f t="shared" ref="T24:T38" si="0">IF(C24="","",T$23)</f>
        <v>10</v>
      </c>
      <c r="U24" s="174"/>
      <c r="V24" s="174"/>
      <c r="W24" s="175"/>
      <c r="X24" s="176">
        <f t="shared" ref="X24:X38" si="1">IF(C24="","",$R$9*L24/T24)</f>
        <v>0.66249999999999998</v>
      </c>
      <c r="Y24" s="177"/>
      <c r="Z24" s="177"/>
      <c r="AA24" s="178"/>
      <c r="AB24" s="176">
        <f>IF(C24="","",$R$9*P24/T24)</f>
        <v>0.22083333333333335</v>
      </c>
      <c r="AC24" s="177"/>
      <c r="AD24" s="177"/>
      <c r="AE24" s="178"/>
      <c r="AF24" s="18"/>
      <c r="AG24" s="21"/>
    </row>
    <row r="25" spans="1:33">
      <c r="A25" s="16"/>
      <c r="B25" s="17"/>
      <c r="C25" s="201" t="s">
        <v>77</v>
      </c>
      <c r="D25" s="202"/>
      <c r="E25" s="203"/>
      <c r="F25" s="195">
        <f>IF(C25="","",VLOOKUP(C25,'Blast Load Basis'!$D$10:$AA$24,22,FALSE))</f>
        <v>7.2999999999999995E-2</v>
      </c>
      <c r="G25" s="195"/>
      <c r="H25" s="195"/>
      <c r="I25" s="195">
        <f>IF(C25="","",VLOOKUP(C25,'Blast Load Basis'!$D$26:$AA$40,22,FALSE))</f>
        <v>2.4333333333333332E-2</v>
      </c>
      <c r="J25" s="195"/>
      <c r="K25" s="195"/>
      <c r="L25" s="176">
        <f t="shared" ref="L25:L38" si="2">IF(C25="","",F25*$R$14*100)</f>
        <v>9.125</v>
      </c>
      <c r="M25" s="177"/>
      <c r="N25" s="177"/>
      <c r="O25" s="178"/>
      <c r="P25" s="176">
        <f t="shared" ref="P25:P37" si="3">IF(C25="","",I25*$R$14*100)</f>
        <v>3.0416666666666665</v>
      </c>
      <c r="Q25" s="177"/>
      <c r="R25" s="177"/>
      <c r="S25" s="200"/>
      <c r="T25" s="173">
        <f t="shared" si="0"/>
        <v>10</v>
      </c>
      <c r="U25" s="174"/>
      <c r="V25" s="174"/>
      <c r="W25" s="175"/>
      <c r="X25" s="176">
        <f t="shared" si="1"/>
        <v>0.91249999999999998</v>
      </c>
      <c r="Y25" s="177"/>
      <c r="Z25" s="177"/>
      <c r="AA25" s="178"/>
      <c r="AB25" s="176">
        <f t="shared" ref="AB25:AB38" si="4">IF(C25="","",$R$9*P25/T25)</f>
        <v>0.30416666666666664</v>
      </c>
      <c r="AC25" s="177"/>
      <c r="AD25" s="177"/>
      <c r="AE25" s="178"/>
      <c r="AF25" s="18"/>
      <c r="AG25" s="21"/>
    </row>
    <row r="26" spans="1:33" ht="14.4" customHeight="1">
      <c r="A26" s="16"/>
      <c r="B26" s="17"/>
      <c r="C26" s="201" t="s">
        <v>79</v>
      </c>
      <c r="D26" s="202"/>
      <c r="E26" s="203"/>
      <c r="F26" s="195">
        <f>IF(C26="","",VLOOKUP(C26,'Blast Load Basis'!$D$10:$AA$24,22,FALSE))</f>
        <v>7.2999999999999995E-2</v>
      </c>
      <c r="G26" s="195"/>
      <c r="H26" s="195"/>
      <c r="I26" s="195">
        <f>IF(C26="","",VLOOKUP(C26,'Blast Load Basis'!$D$26:$AA$40,22,FALSE))</f>
        <v>2.4333333333333332E-2</v>
      </c>
      <c r="J26" s="195"/>
      <c r="K26" s="195"/>
      <c r="L26" s="176">
        <f t="shared" si="2"/>
        <v>9.125</v>
      </c>
      <c r="M26" s="177"/>
      <c r="N26" s="177"/>
      <c r="O26" s="178"/>
      <c r="P26" s="176">
        <f t="shared" si="3"/>
        <v>3.0416666666666665</v>
      </c>
      <c r="Q26" s="177"/>
      <c r="R26" s="177"/>
      <c r="S26" s="200"/>
      <c r="T26" s="173">
        <f t="shared" si="0"/>
        <v>10</v>
      </c>
      <c r="U26" s="174"/>
      <c r="V26" s="174"/>
      <c r="W26" s="175"/>
      <c r="X26" s="176">
        <f t="shared" si="1"/>
        <v>0.91249999999999998</v>
      </c>
      <c r="Y26" s="177"/>
      <c r="Z26" s="177"/>
      <c r="AA26" s="178"/>
      <c r="AB26" s="176">
        <f t="shared" si="4"/>
        <v>0.30416666666666664</v>
      </c>
      <c r="AC26" s="177"/>
      <c r="AD26" s="177"/>
      <c r="AE26" s="178"/>
      <c r="AF26" s="18"/>
      <c r="AG26" s="21"/>
    </row>
    <row r="27" spans="1:33" ht="14.4" customHeight="1">
      <c r="A27" s="16"/>
      <c r="B27" s="17"/>
      <c r="C27" s="201" t="s">
        <v>16</v>
      </c>
      <c r="D27" s="202"/>
      <c r="E27" s="203"/>
      <c r="F27" s="195">
        <f>IF(C27="","",VLOOKUP(C27,'Blast Load Basis'!$D$10:$AA$24,22,FALSE))</f>
        <v>6.1056786102131701E-2</v>
      </c>
      <c r="G27" s="195"/>
      <c r="H27" s="195"/>
      <c r="I27" s="195">
        <f>IF(C27="","",VLOOKUP(C27,'Blast Load Basis'!$D$26:$AA$40,22,FALSE))</f>
        <v>2.0352262034043899E-2</v>
      </c>
      <c r="J27" s="195"/>
      <c r="K27" s="195"/>
      <c r="L27" s="176">
        <f t="shared" si="2"/>
        <v>7.632098262766462</v>
      </c>
      <c r="M27" s="177"/>
      <c r="N27" s="177"/>
      <c r="O27" s="178"/>
      <c r="P27" s="176">
        <f t="shared" si="3"/>
        <v>2.5440327542554875</v>
      </c>
      <c r="Q27" s="177"/>
      <c r="R27" s="177"/>
      <c r="S27" s="200"/>
      <c r="T27" s="173">
        <f t="shared" si="0"/>
        <v>10</v>
      </c>
      <c r="U27" s="174"/>
      <c r="V27" s="174"/>
      <c r="W27" s="175"/>
      <c r="X27" s="176">
        <f t="shared" si="1"/>
        <v>0.76320982627664624</v>
      </c>
      <c r="Y27" s="177"/>
      <c r="Z27" s="177"/>
      <c r="AA27" s="178"/>
      <c r="AB27" s="176">
        <f t="shared" si="4"/>
        <v>0.25440327542554875</v>
      </c>
      <c r="AC27" s="177"/>
      <c r="AD27" s="177"/>
      <c r="AE27" s="178"/>
      <c r="AF27" s="18"/>
      <c r="AG27" s="21"/>
    </row>
    <row r="28" spans="1:33" ht="14.4" customHeight="1">
      <c r="A28" s="16"/>
      <c r="B28" s="17"/>
      <c r="C28" s="201" t="s">
        <v>20</v>
      </c>
      <c r="D28" s="202"/>
      <c r="E28" s="203"/>
      <c r="F28" s="195">
        <f>IF(C28="","",VLOOKUP(C28,'Blast Load Basis'!$D$10:$AA$24,22,FALSE))</f>
        <v>4.381722296741216E-2</v>
      </c>
      <c r="G28" s="195"/>
      <c r="H28" s="195"/>
      <c r="I28" s="195">
        <f>IF(C28="","",VLOOKUP(C28,'Blast Load Basis'!$D$26:$AA$40,22,FALSE))</f>
        <v>1.4605740989137387E-2</v>
      </c>
      <c r="J28" s="195"/>
      <c r="K28" s="195"/>
      <c r="L28" s="176">
        <f t="shared" si="2"/>
        <v>5.4771528709265205</v>
      </c>
      <c r="M28" s="177"/>
      <c r="N28" s="177"/>
      <c r="O28" s="178"/>
      <c r="P28" s="176">
        <f t="shared" si="3"/>
        <v>1.8257176236421733</v>
      </c>
      <c r="Q28" s="177"/>
      <c r="R28" s="177"/>
      <c r="S28" s="200"/>
      <c r="T28" s="173">
        <f t="shared" si="0"/>
        <v>10</v>
      </c>
      <c r="U28" s="174"/>
      <c r="V28" s="174"/>
      <c r="W28" s="175"/>
      <c r="X28" s="176">
        <f t="shared" si="1"/>
        <v>0.54771528709265205</v>
      </c>
      <c r="Y28" s="177"/>
      <c r="Z28" s="177"/>
      <c r="AA28" s="178"/>
      <c r="AB28" s="176">
        <f t="shared" si="4"/>
        <v>0.18257176236421732</v>
      </c>
      <c r="AC28" s="177"/>
      <c r="AD28" s="177"/>
      <c r="AE28" s="178"/>
      <c r="AF28" s="18"/>
      <c r="AG28" s="21"/>
    </row>
    <row r="29" spans="1:33" ht="14.4" customHeight="1">
      <c r="A29" s="16"/>
      <c r="B29" s="17"/>
      <c r="C29" s="201" t="s">
        <v>21</v>
      </c>
      <c r="D29" s="202"/>
      <c r="E29" s="203"/>
      <c r="F29" s="195">
        <f>IF(C29="","",VLOOKUP(C29,'Blast Load Basis'!$D$10:$AA$24,22,FALSE))</f>
        <v>3.3042496008212449E-2</v>
      </c>
      <c r="G29" s="195"/>
      <c r="H29" s="195"/>
      <c r="I29" s="195">
        <f>IF(C29="","",VLOOKUP(C29,'Blast Load Basis'!$D$26:$AA$40,22,FALSE))</f>
        <v>1.1014165336070816E-2</v>
      </c>
      <c r="J29" s="195"/>
      <c r="K29" s="195"/>
      <c r="L29" s="176">
        <f t="shared" si="2"/>
        <v>4.1303120010265566</v>
      </c>
      <c r="M29" s="177"/>
      <c r="N29" s="177"/>
      <c r="O29" s="178"/>
      <c r="P29" s="176">
        <f t="shared" si="3"/>
        <v>1.376770667008852</v>
      </c>
      <c r="Q29" s="177"/>
      <c r="R29" s="177"/>
      <c r="S29" s="200"/>
      <c r="T29" s="173">
        <f t="shared" si="0"/>
        <v>10</v>
      </c>
      <c r="U29" s="174"/>
      <c r="V29" s="174"/>
      <c r="W29" s="175"/>
      <c r="X29" s="176">
        <f t="shared" si="1"/>
        <v>0.41303120010265565</v>
      </c>
      <c r="Y29" s="177"/>
      <c r="Z29" s="177"/>
      <c r="AA29" s="178"/>
      <c r="AB29" s="176">
        <f t="shared" si="4"/>
        <v>0.1376770667008852</v>
      </c>
      <c r="AC29" s="177"/>
      <c r="AD29" s="177"/>
      <c r="AE29" s="178"/>
      <c r="AF29" s="18"/>
      <c r="AG29" s="21"/>
    </row>
    <row r="30" spans="1:33" ht="14.4" customHeight="1">
      <c r="A30" s="16"/>
      <c r="B30" s="17"/>
      <c r="C30" s="201" t="s">
        <v>22</v>
      </c>
      <c r="D30" s="202"/>
      <c r="E30" s="203"/>
      <c r="F30" s="195">
        <f>IF(C30="","",VLOOKUP(C30,'Blast Load Basis'!$D$10:$AA$24,22,FALSE))</f>
        <v>6.9437129292620359E-2</v>
      </c>
      <c r="G30" s="195"/>
      <c r="H30" s="195"/>
      <c r="I30" s="195">
        <f>IF(C30="","",VLOOKUP(C30,'Blast Load Basis'!$D$26:$AA$40,22,FALSE))</f>
        <v>2.3145709764206785E-2</v>
      </c>
      <c r="J30" s="195"/>
      <c r="K30" s="195"/>
      <c r="L30" s="176">
        <f t="shared" si="2"/>
        <v>8.6796411615775444</v>
      </c>
      <c r="M30" s="177"/>
      <c r="N30" s="177"/>
      <c r="O30" s="178"/>
      <c r="P30" s="176">
        <f t="shared" si="3"/>
        <v>2.8932137205258481</v>
      </c>
      <c r="Q30" s="177"/>
      <c r="R30" s="177"/>
      <c r="S30" s="200"/>
      <c r="T30" s="173">
        <f t="shared" si="0"/>
        <v>10</v>
      </c>
      <c r="U30" s="174"/>
      <c r="V30" s="174"/>
      <c r="W30" s="175"/>
      <c r="X30" s="176">
        <f t="shared" si="1"/>
        <v>0.86796411615775448</v>
      </c>
      <c r="Y30" s="177"/>
      <c r="Z30" s="177"/>
      <c r="AA30" s="178"/>
      <c r="AB30" s="176">
        <f t="shared" si="4"/>
        <v>0.28932137205258479</v>
      </c>
      <c r="AC30" s="177"/>
      <c r="AD30" s="177"/>
      <c r="AE30" s="178"/>
      <c r="AF30" s="18"/>
      <c r="AG30" s="21"/>
    </row>
    <row r="31" spans="1:33" ht="14.4" customHeight="1">
      <c r="A31" s="16"/>
      <c r="B31" s="17"/>
      <c r="C31" s="201" t="s">
        <v>23</v>
      </c>
      <c r="D31" s="202"/>
      <c r="E31" s="203"/>
      <c r="F31" s="195">
        <f>IF(C31="","",VLOOKUP(C31,'Blast Load Basis'!$D$10:$AA$24,22,FALSE))</f>
        <v>0.16044318564958063</v>
      </c>
      <c r="G31" s="195"/>
      <c r="H31" s="195"/>
      <c r="I31" s="195">
        <f>IF(C31="","",VLOOKUP(C31,'Blast Load Basis'!$D$26:$AA$40,22,FALSE))</f>
        <v>5.3481061883193542E-2</v>
      </c>
      <c r="J31" s="195"/>
      <c r="K31" s="195"/>
      <c r="L31" s="176">
        <f>IF(C31="","",F31*$R$14*100)</f>
        <v>20.055398206197577</v>
      </c>
      <c r="M31" s="177"/>
      <c r="N31" s="177"/>
      <c r="O31" s="178"/>
      <c r="P31" s="176">
        <f t="shared" si="3"/>
        <v>6.6851327353991934</v>
      </c>
      <c r="Q31" s="177"/>
      <c r="R31" s="177"/>
      <c r="S31" s="200"/>
      <c r="T31" s="173">
        <f t="shared" si="0"/>
        <v>10</v>
      </c>
      <c r="U31" s="174"/>
      <c r="V31" s="174"/>
      <c r="W31" s="175"/>
      <c r="X31" s="176">
        <f t="shared" si="1"/>
        <v>2.0055398206197577</v>
      </c>
      <c r="Y31" s="177"/>
      <c r="Z31" s="177"/>
      <c r="AA31" s="178"/>
      <c r="AB31" s="176">
        <f t="shared" si="4"/>
        <v>0.66851327353991929</v>
      </c>
      <c r="AC31" s="177"/>
      <c r="AD31" s="177"/>
      <c r="AE31" s="178"/>
      <c r="AF31" s="18"/>
      <c r="AG31" s="21"/>
    </row>
    <row r="32" spans="1:33" ht="14.4" customHeight="1">
      <c r="A32" s="16"/>
      <c r="B32" s="17"/>
      <c r="C32" s="201" t="s">
        <v>24</v>
      </c>
      <c r="D32" s="202"/>
      <c r="E32" s="203"/>
      <c r="F32" s="195">
        <f>IF(C32="","",VLOOKUP(C32,'Blast Load Basis'!$D$10:$AA$24,22,FALSE))</f>
        <v>3.3102852175286605E-3</v>
      </c>
      <c r="G32" s="195"/>
      <c r="H32" s="195"/>
      <c r="I32" s="195">
        <f>IF(C32="","",VLOOKUP(C32,'Blast Load Basis'!$D$26:$AA$40,22,FALSE))</f>
        <v>1.1034284058428869E-3</v>
      </c>
      <c r="J32" s="195"/>
      <c r="K32" s="195"/>
      <c r="L32" s="176">
        <f t="shared" si="2"/>
        <v>0.4137856521910826</v>
      </c>
      <c r="M32" s="177"/>
      <c r="N32" s="177"/>
      <c r="O32" s="178"/>
      <c r="P32" s="176">
        <f t="shared" si="3"/>
        <v>0.13792855073036087</v>
      </c>
      <c r="Q32" s="177"/>
      <c r="R32" s="177"/>
      <c r="S32" s="200"/>
      <c r="T32" s="173">
        <f t="shared" si="0"/>
        <v>10</v>
      </c>
      <c r="U32" s="174"/>
      <c r="V32" s="174"/>
      <c r="W32" s="175"/>
      <c r="X32" s="176">
        <f t="shared" si="1"/>
        <v>4.1378565219108258E-2</v>
      </c>
      <c r="Y32" s="177"/>
      <c r="Z32" s="177"/>
      <c r="AA32" s="178"/>
      <c r="AB32" s="176">
        <f t="shared" si="4"/>
        <v>1.3792855073036087E-2</v>
      </c>
      <c r="AC32" s="177"/>
      <c r="AD32" s="177"/>
      <c r="AE32" s="178"/>
      <c r="AF32" s="18"/>
      <c r="AG32" s="21"/>
    </row>
    <row r="33" spans="1:33">
      <c r="A33" s="16"/>
      <c r="B33" s="17"/>
      <c r="C33" s="201" t="s">
        <v>25</v>
      </c>
      <c r="D33" s="202"/>
      <c r="E33" s="203"/>
      <c r="F33" s="195">
        <f>IF(C33="","",VLOOKUP(C33,'Blast Load Basis'!$D$10:$AA$24,22,FALSE))</f>
        <v>8.4000000000000005E-2</v>
      </c>
      <c r="G33" s="195"/>
      <c r="H33" s="195"/>
      <c r="I33" s="195">
        <f>IF(C33="","",VLOOKUP(C33,'Blast Load Basis'!$D$26:$AA$40,22,FALSE))</f>
        <v>2.8000000000000001E-2</v>
      </c>
      <c r="J33" s="195"/>
      <c r="K33" s="195"/>
      <c r="L33" s="176">
        <f t="shared" si="2"/>
        <v>10.500000000000002</v>
      </c>
      <c r="M33" s="177"/>
      <c r="N33" s="177"/>
      <c r="O33" s="178"/>
      <c r="P33" s="176">
        <f t="shared" si="3"/>
        <v>3.5000000000000004</v>
      </c>
      <c r="Q33" s="177"/>
      <c r="R33" s="177"/>
      <c r="S33" s="200"/>
      <c r="T33" s="173">
        <f t="shared" si="0"/>
        <v>10</v>
      </c>
      <c r="U33" s="174"/>
      <c r="V33" s="174"/>
      <c r="W33" s="175"/>
      <c r="X33" s="176">
        <f t="shared" si="1"/>
        <v>1.0500000000000003</v>
      </c>
      <c r="Y33" s="177"/>
      <c r="Z33" s="177"/>
      <c r="AA33" s="178"/>
      <c r="AB33" s="176">
        <f t="shared" si="4"/>
        <v>0.35000000000000003</v>
      </c>
      <c r="AC33" s="177"/>
      <c r="AD33" s="177"/>
      <c r="AE33" s="178"/>
      <c r="AF33" s="18"/>
      <c r="AG33" s="21"/>
    </row>
    <row r="34" spans="1:33">
      <c r="A34" s="16"/>
      <c r="B34" s="17"/>
      <c r="C34" s="201" t="s">
        <v>26</v>
      </c>
      <c r="D34" s="202"/>
      <c r="E34" s="203"/>
      <c r="F34" s="195">
        <f>IF(C34="","",VLOOKUP(C34,'Blast Load Basis'!$D$10:$AA$24,22,FALSE))</f>
        <v>9.2999999999999999E-2</v>
      </c>
      <c r="G34" s="195"/>
      <c r="H34" s="195"/>
      <c r="I34" s="195">
        <f>IF(C34="","",VLOOKUP(C34,'Blast Load Basis'!$D$26:$AA$40,22,FALSE))</f>
        <v>3.1E-2</v>
      </c>
      <c r="J34" s="195"/>
      <c r="K34" s="195"/>
      <c r="L34" s="176">
        <f t="shared" si="2"/>
        <v>11.625</v>
      </c>
      <c r="M34" s="177"/>
      <c r="N34" s="177"/>
      <c r="O34" s="178"/>
      <c r="P34" s="176">
        <f t="shared" si="3"/>
        <v>3.875</v>
      </c>
      <c r="Q34" s="177"/>
      <c r="R34" s="177"/>
      <c r="S34" s="200"/>
      <c r="T34" s="173">
        <f t="shared" si="0"/>
        <v>10</v>
      </c>
      <c r="U34" s="174"/>
      <c r="V34" s="174"/>
      <c r="W34" s="175"/>
      <c r="X34" s="176">
        <f t="shared" si="1"/>
        <v>1.1625000000000001</v>
      </c>
      <c r="Y34" s="177"/>
      <c r="Z34" s="177"/>
      <c r="AA34" s="178"/>
      <c r="AB34" s="176">
        <f t="shared" si="4"/>
        <v>0.38750000000000001</v>
      </c>
      <c r="AC34" s="177"/>
      <c r="AD34" s="177"/>
      <c r="AE34" s="178"/>
      <c r="AF34" s="18"/>
      <c r="AG34" s="21"/>
    </row>
    <row r="35" spans="1:33">
      <c r="A35" s="16"/>
      <c r="B35" s="17"/>
      <c r="C35" s="192" t="s">
        <v>54</v>
      </c>
      <c r="D35" s="193"/>
      <c r="E35" s="194"/>
      <c r="F35" s="195">
        <f>IF(C35="","",VLOOKUP(C35,'Blast Load Basis'!$D$10:$AA$24,22,FALSE))</f>
        <v>8.3000000000000004E-2</v>
      </c>
      <c r="G35" s="195"/>
      <c r="H35" s="195"/>
      <c r="I35" s="195">
        <f>IF(C35="","",VLOOKUP(C35,'Blast Load Basis'!$D$26:$AA$40,22,FALSE))</f>
        <v>2.7666666666666669E-2</v>
      </c>
      <c r="J35" s="195"/>
      <c r="K35" s="195"/>
      <c r="L35" s="176">
        <f t="shared" si="2"/>
        <v>10.375</v>
      </c>
      <c r="M35" s="177"/>
      <c r="N35" s="177"/>
      <c r="O35" s="178"/>
      <c r="P35" s="176">
        <f t="shared" si="3"/>
        <v>3.4583333333333335</v>
      </c>
      <c r="Q35" s="177"/>
      <c r="R35" s="177"/>
      <c r="S35" s="200"/>
      <c r="T35" s="173">
        <f t="shared" si="0"/>
        <v>10</v>
      </c>
      <c r="U35" s="174"/>
      <c r="V35" s="174"/>
      <c r="W35" s="175"/>
      <c r="X35" s="176">
        <f t="shared" si="1"/>
        <v>1.0375000000000001</v>
      </c>
      <c r="Y35" s="177"/>
      <c r="Z35" s="177"/>
      <c r="AA35" s="178"/>
      <c r="AB35" s="176">
        <f t="shared" si="4"/>
        <v>0.34583333333333333</v>
      </c>
      <c r="AC35" s="177"/>
      <c r="AD35" s="177"/>
      <c r="AE35" s="178"/>
      <c r="AF35" s="18"/>
      <c r="AG35" s="21"/>
    </row>
    <row r="36" spans="1:33">
      <c r="A36" s="16"/>
      <c r="B36" s="17"/>
      <c r="C36" s="201" t="s">
        <v>84</v>
      </c>
      <c r="D36" s="202"/>
      <c r="E36" s="203"/>
      <c r="F36" s="195">
        <f>IF(C36="","",VLOOKUP(C36,'Blast Load Basis'!$D$10:$AA$24,22,FALSE))</f>
        <v>2.3943837687110471E-4</v>
      </c>
      <c r="G36" s="195"/>
      <c r="H36" s="195"/>
      <c r="I36" s="195">
        <f>IF(C36="","",VLOOKUP(C36,'Blast Load Basis'!$D$26:$AA$40,22,FALSE))</f>
        <v>7.9812792290368242E-5</v>
      </c>
      <c r="J36" s="195"/>
      <c r="K36" s="195"/>
      <c r="L36" s="176">
        <f t="shared" si="2"/>
        <v>2.9929797108888087E-2</v>
      </c>
      <c r="M36" s="177"/>
      <c r="N36" s="177"/>
      <c r="O36" s="178"/>
      <c r="P36" s="176">
        <f t="shared" si="3"/>
        <v>9.9765990362960313E-3</v>
      </c>
      <c r="Q36" s="177"/>
      <c r="R36" s="177"/>
      <c r="S36" s="200"/>
      <c r="T36" s="173">
        <f t="shared" si="0"/>
        <v>10</v>
      </c>
      <c r="U36" s="174"/>
      <c r="V36" s="174"/>
      <c r="W36" s="175"/>
      <c r="X36" s="176">
        <f t="shared" si="1"/>
        <v>2.9929797108888085E-3</v>
      </c>
      <c r="Y36" s="177"/>
      <c r="Z36" s="177"/>
      <c r="AA36" s="178"/>
      <c r="AB36" s="176">
        <f t="shared" si="4"/>
        <v>9.9765990362960313E-4</v>
      </c>
      <c r="AC36" s="177"/>
      <c r="AD36" s="177"/>
      <c r="AE36" s="178"/>
      <c r="AF36" s="18"/>
      <c r="AG36" s="21"/>
    </row>
    <row r="37" spans="1:33">
      <c r="A37" s="16"/>
      <c r="B37" s="17"/>
      <c r="C37" s="201" t="s">
        <v>81</v>
      </c>
      <c r="D37" s="202"/>
      <c r="E37" s="203"/>
      <c r="F37" s="195">
        <f>IF(C37="","",VLOOKUP(C37,'Blast Load Basis'!$D$10:$AA$24,22,FALSE))</f>
        <v>0.13</v>
      </c>
      <c r="G37" s="195"/>
      <c r="H37" s="195"/>
      <c r="I37" s="195">
        <f>IF(C37="","",VLOOKUP(C37,'Blast Load Basis'!$D$26:$AA$40,22,FALSE))</f>
        <v>4.3333333333333335E-2</v>
      </c>
      <c r="J37" s="195"/>
      <c r="K37" s="195"/>
      <c r="L37" s="176">
        <f t="shared" si="2"/>
        <v>16.25</v>
      </c>
      <c r="M37" s="177"/>
      <c r="N37" s="177"/>
      <c r="O37" s="178"/>
      <c r="P37" s="176">
        <f t="shared" si="3"/>
        <v>5.416666666666667</v>
      </c>
      <c r="Q37" s="177"/>
      <c r="R37" s="177"/>
      <c r="S37" s="200"/>
      <c r="T37" s="173">
        <f t="shared" si="0"/>
        <v>10</v>
      </c>
      <c r="U37" s="174"/>
      <c r="V37" s="174"/>
      <c r="W37" s="175"/>
      <c r="X37" s="176">
        <f t="shared" si="1"/>
        <v>1.625</v>
      </c>
      <c r="Y37" s="177"/>
      <c r="Z37" s="177"/>
      <c r="AA37" s="178"/>
      <c r="AB37" s="176">
        <f t="shared" si="4"/>
        <v>0.54166666666666674</v>
      </c>
      <c r="AC37" s="177"/>
      <c r="AD37" s="177"/>
      <c r="AE37" s="178"/>
      <c r="AF37" s="18"/>
      <c r="AG37" s="21"/>
    </row>
    <row r="38" spans="1:33">
      <c r="A38" s="16"/>
      <c r="B38" s="17"/>
      <c r="C38" s="256"/>
      <c r="D38" s="257"/>
      <c r="E38" s="258"/>
      <c r="F38" s="259" t="str">
        <f>IF(C38="","",VLOOKUP(C38,'Blast Load Basis'!$D$10:$AA$24,22,FALSE))</f>
        <v/>
      </c>
      <c r="G38" s="259"/>
      <c r="H38" s="259"/>
      <c r="I38" s="259" t="str">
        <f>IF(C38="","",VLOOKUP(C38,'Blast Load Basis'!$D$26:$AA$40,22,FALSE))</f>
        <v/>
      </c>
      <c r="J38" s="259"/>
      <c r="K38" s="259"/>
      <c r="L38" s="260" t="str">
        <f t="shared" si="2"/>
        <v/>
      </c>
      <c r="M38" s="261"/>
      <c r="N38" s="261"/>
      <c r="O38" s="262"/>
      <c r="P38" s="260" t="str">
        <f>IF(C38="","",I38*$R$14*100)</f>
        <v/>
      </c>
      <c r="Q38" s="261"/>
      <c r="R38" s="261"/>
      <c r="S38" s="263"/>
      <c r="T38" s="264" t="str">
        <f t="shared" si="0"/>
        <v/>
      </c>
      <c r="U38" s="265"/>
      <c r="V38" s="265"/>
      <c r="W38" s="266"/>
      <c r="X38" s="260" t="str">
        <f t="shared" si="1"/>
        <v/>
      </c>
      <c r="Y38" s="261"/>
      <c r="Z38" s="261"/>
      <c r="AA38" s="262"/>
      <c r="AB38" s="260" t="str">
        <f t="shared" si="4"/>
        <v/>
      </c>
      <c r="AC38" s="261"/>
      <c r="AD38" s="261"/>
      <c r="AE38" s="262"/>
      <c r="AF38" s="18"/>
      <c r="AG38" s="21"/>
    </row>
    <row r="39" spans="1:33" ht="14.4" customHeight="1">
      <c r="A39" s="16"/>
      <c r="B39" s="17"/>
      <c r="C39" s="18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7"/>
      <c r="AF39" s="18"/>
      <c r="AG39" s="21"/>
    </row>
    <row r="40" spans="1:33" ht="14.4" customHeight="1">
      <c r="A40" s="16"/>
      <c r="B40" s="17"/>
      <c r="C40" s="18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7"/>
      <c r="AF40" s="18"/>
      <c r="AG40" s="21"/>
    </row>
    <row r="41" spans="1:33">
      <c r="A41" s="16"/>
      <c r="B41" s="17"/>
      <c r="C41" s="18"/>
      <c r="D41" s="109" t="s">
        <v>34</v>
      </c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7"/>
      <c r="AF41" s="18"/>
      <c r="AG41" s="21"/>
    </row>
    <row r="42" spans="1:33" s="138" customFormat="1" ht="10.199999999999999">
      <c r="A42" s="132"/>
      <c r="B42" s="133"/>
      <c r="C42" s="134"/>
      <c r="D42" s="135" t="s">
        <v>35</v>
      </c>
      <c r="E42" s="136" t="s">
        <v>65</v>
      </c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3"/>
      <c r="AF42" s="134"/>
      <c r="AG42" s="137"/>
    </row>
    <row r="43" spans="1:33" s="138" customFormat="1" ht="10.199999999999999">
      <c r="A43" s="132"/>
      <c r="B43" s="133"/>
      <c r="C43" s="134"/>
      <c r="D43" s="135" t="s">
        <v>36</v>
      </c>
      <c r="E43" s="316" t="s">
        <v>112</v>
      </c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3"/>
      <c r="AF43" s="134"/>
      <c r="AG43" s="137"/>
    </row>
    <row r="44" spans="1:33" s="138" customFormat="1" ht="10.199999999999999">
      <c r="A44" s="132"/>
      <c r="B44" s="133"/>
      <c r="C44" s="134"/>
      <c r="D44" s="135" t="s">
        <v>37</v>
      </c>
      <c r="E44" s="316" t="s">
        <v>113</v>
      </c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3"/>
      <c r="AF44" s="134"/>
      <c r="AG44" s="137"/>
    </row>
    <row r="45" spans="1:33" s="138" customFormat="1" ht="10.199999999999999">
      <c r="A45" s="132"/>
      <c r="B45" s="133"/>
      <c r="C45" s="134"/>
      <c r="D45" s="135" t="s">
        <v>38</v>
      </c>
      <c r="E45" s="153" t="s">
        <v>91</v>
      </c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3"/>
      <c r="AF45" s="134"/>
      <c r="AG45" s="137"/>
    </row>
    <row r="46" spans="1:33" s="138" customFormat="1" ht="10.199999999999999">
      <c r="A46" s="132"/>
      <c r="B46" s="133"/>
      <c r="C46" s="134"/>
      <c r="D46" s="140" t="s">
        <v>61</v>
      </c>
      <c r="E46" s="152" t="s">
        <v>92</v>
      </c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6"/>
      <c r="AD46" s="136"/>
      <c r="AE46" s="133"/>
      <c r="AF46" s="134"/>
      <c r="AG46" s="137"/>
    </row>
    <row r="47" spans="1:33" s="138" customFormat="1" ht="10.199999999999999">
      <c r="A47" s="132"/>
      <c r="B47" s="133"/>
      <c r="C47" s="134"/>
      <c r="D47" s="163" t="s">
        <v>63</v>
      </c>
      <c r="E47" s="166" t="s">
        <v>95</v>
      </c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3"/>
      <c r="AF47" s="134"/>
      <c r="AG47" s="137"/>
    </row>
    <row r="48" spans="1:33" s="138" customFormat="1" ht="10.199999999999999">
      <c r="A48" s="132"/>
      <c r="B48" s="133"/>
      <c r="C48" s="134"/>
      <c r="D48" s="140"/>
      <c r="E48" s="139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3"/>
      <c r="AF48" s="134"/>
      <c r="AG48" s="137"/>
    </row>
    <row r="49" spans="1:33" s="138" customFormat="1" ht="10.199999999999999">
      <c r="A49" s="132"/>
      <c r="B49" s="133"/>
      <c r="C49" s="134"/>
      <c r="D49" s="140"/>
      <c r="E49" s="139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3"/>
      <c r="AF49" s="134"/>
      <c r="AG49" s="137"/>
    </row>
    <row r="50" spans="1:33" ht="10.199999999999999" customHeight="1">
      <c r="A50" s="16"/>
      <c r="B50" s="17"/>
      <c r="C50" s="18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22"/>
      <c r="R50" s="23"/>
      <c r="S50" s="24"/>
      <c r="T50" s="24"/>
      <c r="U50" s="24"/>
      <c r="V50" s="19"/>
      <c r="W50" s="19"/>
      <c r="X50" s="19"/>
      <c r="Y50" s="19"/>
      <c r="Z50" s="19"/>
      <c r="AA50" s="19"/>
      <c r="AB50" s="19"/>
      <c r="AC50" s="19"/>
      <c r="AD50" s="19"/>
      <c r="AE50" s="17"/>
      <c r="AF50" s="18"/>
      <c r="AG50" s="21"/>
    </row>
    <row r="51" spans="1:33" s="138" customFormat="1" ht="10.199999999999999">
      <c r="A51" s="132"/>
      <c r="B51" s="133"/>
      <c r="C51" s="134"/>
      <c r="D51" s="140"/>
      <c r="E51" s="139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3"/>
      <c r="AF51" s="134"/>
      <c r="AG51" s="137"/>
    </row>
    <row r="52" spans="1:33" s="138" customFormat="1" ht="10.199999999999999">
      <c r="A52" s="132"/>
      <c r="B52" s="133"/>
      <c r="C52" s="134"/>
      <c r="D52" s="140"/>
      <c r="E52" s="139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3"/>
      <c r="AF52" s="134"/>
      <c r="AG52" s="137"/>
    </row>
    <row r="53" spans="1:33" s="138" customFormat="1" ht="10.199999999999999">
      <c r="A53" s="132"/>
      <c r="B53" s="133"/>
      <c r="C53" s="134"/>
      <c r="D53" s="140"/>
      <c r="E53" s="139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3"/>
      <c r="AF53" s="134"/>
      <c r="AG53" s="137"/>
    </row>
    <row r="54" spans="1:33" s="125" customFormat="1" ht="10.199999999999999" customHeight="1" thickBot="1">
      <c r="A54" s="126"/>
      <c r="B54" s="127"/>
      <c r="C54" s="128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7"/>
      <c r="AF54" s="128"/>
      <c r="AG54" s="130"/>
    </row>
  </sheetData>
  <sheetProtection password="8C51" sheet="1" objects="1" scenarios="1" selectLockedCells="1"/>
  <mergeCells count="160">
    <mergeCell ref="X37:AA37"/>
    <mergeCell ref="AB37:AE37"/>
    <mergeCell ref="C38:E38"/>
    <mergeCell ref="F38:H38"/>
    <mergeCell ref="I38:K38"/>
    <mergeCell ref="L38:O38"/>
    <mergeCell ref="P38:S38"/>
    <mergeCell ref="T38:W38"/>
    <mergeCell ref="X38:AA38"/>
    <mergeCell ref="AB38:AE38"/>
    <mergeCell ref="C37:E37"/>
    <mergeCell ref="F37:H37"/>
    <mergeCell ref="I37:K37"/>
    <mergeCell ref="L37:O37"/>
    <mergeCell ref="P37:S37"/>
    <mergeCell ref="T37:W37"/>
    <mergeCell ref="X35:AA35"/>
    <mergeCell ref="AB35:AE35"/>
    <mergeCell ref="C36:E36"/>
    <mergeCell ref="F36:H36"/>
    <mergeCell ref="I36:K36"/>
    <mergeCell ref="L36:O36"/>
    <mergeCell ref="P36:S36"/>
    <mergeCell ref="T36:W36"/>
    <mergeCell ref="X36:AA36"/>
    <mergeCell ref="AB36:AE36"/>
    <mergeCell ref="C35:E35"/>
    <mergeCell ref="F35:H35"/>
    <mergeCell ref="I35:K35"/>
    <mergeCell ref="L35:O35"/>
    <mergeCell ref="P35:S35"/>
    <mergeCell ref="T35:W35"/>
    <mergeCell ref="X33:AA33"/>
    <mergeCell ref="AB33:AE33"/>
    <mergeCell ref="C34:E34"/>
    <mergeCell ref="F34:H34"/>
    <mergeCell ref="I34:K34"/>
    <mergeCell ref="L34:O34"/>
    <mergeCell ref="P34:S34"/>
    <mergeCell ref="T34:W34"/>
    <mergeCell ref="X34:AA34"/>
    <mergeCell ref="AB34:AE34"/>
    <mergeCell ref="C33:E33"/>
    <mergeCell ref="F33:H33"/>
    <mergeCell ref="I33:K33"/>
    <mergeCell ref="L33:O33"/>
    <mergeCell ref="P33:S33"/>
    <mergeCell ref="T33:W33"/>
    <mergeCell ref="X31:AA31"/>
    <mergeCell ref="AB31:AE31"/>
    <mergeCell ref="C32:E32"/>
    <mergeCell ref="F32:H32"/>
    <mergeCell ref="I32:K32"/>
    <mergeCell ref="L32:O32"/>
    <mergeCell ref="P32:S32"/>
    <mergeCell ref="T32:W32"/>
    <mergeCell ref="X32:AA32"/>
    <mergeCell ref="AB32:AE32"/>
    <mergeCell ref="C31:E31"/>
    <mergeCell ref="F31:H31"/>
    <mergeCell ref="I31:K31"/>
    <mergeCell ref="L31:O31"/>
    <mergeCell ref="P31:S31"/>
    <mergeCell ref="T31:W31"/>
    <mergeCell ref="X29:AA29"/>
    <mergeCell ref="AB29:AE29"/>
    <mergeCell ref="C30:E30"/>
    <mergeCell ref="F30:H30"/>
    <mergeCell ref="I30:K30"/>
    <mergeCell ref="L30:O30"/>
    <mergeCell ref="P30:S30"/>
    <mergeCell ref="T30:W30"/>
    <mergeCell ref="X30:AA30"/>
    <mergeCell ref="AB30:AE30"/>
    <mergeCell ref="C29:E29"/>
    <mergeCell ref="F29:H29"/>
    <mergeCell ref="I29:K29"/>
    <mergeCell ref="L29:O29"/>
    <mergeCell ref="P29:S29"/>
    <mergeCell ref="T29:W29"/>
    <mergeCell ref="X27:AA27"/>
    <mergeCell ref="AB27:AE27"/>
    <mergeCell ref="C28:E28"/>
    <mergeCell ref="F28:H28"/>
    <mergeCell ref="I28:K28"/>
    <mergeCell ref="L28:O28"/>
    <mergeCell ref="P28:S28"/>
    <mergeCell ref="T28:W28"/>
    <mergeCell ref="X28:AA28"/>
    <mergeCell ref="AB28:AE28"/>
    <mergeCell ref="C27:E27"/>
    <mergeCell ref="F27:H27"/>
    <mergeCell ref="I27:K27"/>
    <mergeCell ref="L27:O27"/>
    <mergeCell ref="P27:S27"/>
    <mergeCell ref="T27:W27"/>
    <mergeCell ref="X25:AA25"/>
    <mergeCell ref="AB25:AE25"/>
    <mergeCell ref="C26:E26"/>
    <mergeCell ref="F26:H26"/>
    <mergeCell ref="I26:K26"/>
    <mergeCell ref="L26:O26"/>
    <mergeCell ref="P26:S26"/>
    <mergeCell ref="T26:W26"/>
    <mergeCell ref="X26:AA26"/>
    <mergeCell ref="AB26:AE26"/>
    <mergeCell ref="C25:E25"/>
    <mergeCell ref="F25:H25"/>
    <mergeCell ref="I25:K25"/>
    <mergeCell ref="L25:O25"/>
    <mergeCell ref="P25:S25"/>
    <mergeCell ref="T25:W25"/>
    <mergeCell ref="X23:AA23"/>
    <mergeCell ref="AB23:AE23"/>
    <mergeCell ref="C24:E24"/>
    <mergeCell ref="F24:H24"/>
    <mergeCell ref="I24:K24"/>
    <mergeCell ref="L24:O24"/>
    <mergeCell ref="P24:S24"/>
    <mergeCell ref="T24:W24"/>
    <mergeCell ref="X24:AA24"/>
    <mergeCell ref="AB24:AE24"/>
    <mergeCell ref="C23:E23"/>
    <mergeCell ref="F23:H23"/>
    <mergeCell ref="I23:K23"/>
    <mergeCell ref="L23:O23"/>
    <mergeCell ref="P23:S23"/>
    <mergeCell ref="T23:W23"/>
    <mergeCell ref="AB20:AE22"/>
    <mergeCell ref="F22:H22"/>
    <mergeCell ref="I22:K22"/>
    <mergeCell ref="L22:O22"/>
    <mergeCell ref="P22:S22"/>
    <mergeCell ref="T22:W22"/>
    <mergeCell ref="C19:E22"/>
    <mergeCell ref="F19:K19"/>
    <mergeCell ref="L19:S19"/>
    <mergeCell ref="T19:AE19"/>
    <mergeCell ref="F20:H21"/>
    <mergeCell ref="I20:K21"/>
    <mergeCell ref="L20:O21"/>
    <mergeCell ref="P20:S21"/>
    <mergeCell ref="T20:W21"/>
    <mergeCell ref="X20:AA22"/>
    <mergeCell ref="A5:B5"/>
    <mergeCell ref="C5:AE5"/>
    <mergeCell ref="AF5:AG5"/>
    <mergeCell ref="R9:T9"/>
    <mergeCell ref="R14:T14"/>
    <mergeCell ref="C18:AE18"/>
    <mergeCell ref="A1:F4"/>
    <mergeCell ref="G2:M2"/>
    <mergeCell ref="N2:Q2"/>
    <mergeCell ref="R2:U2"/>
    <mergeCell ref="V2:AG2"/>
    <mergeCell ref="G4:Q4"/>
    <mergeCell ref="R4:U4"/>
    <mergeCell ref="V4:Y4"/>
    <mergeCell ref="Z4:AC4"/>
    <mergeCell ref="AD4:AG4"/>
  </mergeCells>
  <conditionalFormatting sqref="AB23">
    <cfRule type="expression" dxfId="5" priority="6">
      <formula>$AB23&lt;0.10038</formula>
    </cfRule>
  </conditionalFormatting>
  <conditionalFormatting sqref="X23">
    <cfRule type="expression" dxfId="4" priority="5">
      <formula>$X23&lt;0.10038</formula>
    </cfRule>
  </conditionalFormatting>
  <conditionalFormatting sqref="X24">
    <cfRule type="expression" dxfId="3" priority="4">
      <formula>$X24&lt;0.10038</formula>
    </cfRule>
  </conditionalFormatting>
  <conditionalFormatting sqref="X25:X38">
    <cfRule type="expression" dxfId="2" priority="3">
      <formula>$X25&lt;0.10038</formula>
    </cfRule>
  </conditionalFormatting>
  <conditionalFormatting sqref="AB24">
    <cfRule type="expression" dxfId="1" priority="2">
      <formula>$AB24&lt;0.10038</formula>
    </cfRule>
  </conditionalFormatting>
  <conditionalFormatting sqref="AB25:AB38">
    <cfRule type="expression" dxfId="0" priority="1">
      <formula>$AB25&lt;0.10038</formula>
    </cfRule>
  </conditionalFormatting>
  <pageMargins left="1.1417322834645669" right="0.19685039370078741" top="0.19685039370078741" bottom="0.55118110236220474" header="0" footer="0"/>
  <pageSetup paperSize="9" orientation="portrait" r:id="rId1"/>
  <headerFooter>
    <oddFooter xml:space="preserve">&amp;L&amp;07&amp;"Arial"Microsoft Excel Ver. 14.0 (Build 6024)
File: I:\Stress toolbox\Blast\Under Development\&amp;F
Licensed To: Microsoft&amp;R&amp;07&amp;"Arial"Date: &amp;D Time: &amp;T
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'Zone Table'!$A$4:$A$21</xm:f>
          </x14:formula1>
          <xm:sqref>C23:E38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50"/>
  <sheetViews>
    <sheetView zoomScaleNormal="100" workbookViewId="0">
      <selection sqref="A1:F4"/>
    </sheetView>
  </sheetViews>
  <sheetFormatPr defaultColWidth="2.6640625" defaultRowHeight="14.4"/>
  <cols>
    <col min="1" max="26" width="2.6640625" style="9"/>
    <col min="27" max="27" width="2.6640625" style="9" customWidth="1"/>
    <col min="28" max="16384" width="2.6640625" style="9"/>
  </cols>
  <sheetData>
    <row r="1" spans="1:33" ht="18.600000000000001" customHeight="1">
      <c r="A1" s="205"/>
      <c r="B1" s="206"/>
      <c r="C1" s="207"/>
      <c r="D1" s="207"/>
      <c r="E1" s="207"/>
      <c r="F1" s="208"/>
      <c r="G1" s="1" t="s">
        <v>0</v>
      </c>
      <c r="H1" s="2"/>
      <c r="I1" s="3"/>
      <c r="J1" s="3"/>
      <c r="K1" s="4"/>
      <c r="L1" s="3"/>
      <c r="M1" s="3"/>
      <c r="N1" s="5" t="s">
        <v>1</v>
      </c>
      <c r="O1" s="3"/>
      <c r="P1" s="3"/>
      <c r="Q1" s="3"/>
      <c r="R1" s="6" t="s">
        <v>2</v>
      </c>
      <c r="S1" s="7"/>
      <c r="T1" s="3"/>
      <c r="U1" s="8"/>
      <c r="V1" s="1" t="s">
        <v>3</v>
      </c>
      <c r="W1" s="4"/>
      <c r="X1" s="4"/>
      <c r="Y1" s="3"/>
      <c r="Z1" s="3"/>
      <c r="AA1" s="3"/>
      <c r="AB1" s="3"/>
      <c r="AC1" s="3"/>
      <c r="AD1" s="3"/>
      <c r="AE1" s="3"/>
      <c r="AF1" s="3"/>
      <c r="AG1" s="8"/>
    </row>
    <row r="2" spans="1:33" ht="39" customHeight="1" thickBot="1">
      <c r="A2" s="209"/>
      <c r="B2" s="210"/>
      <c r="C2" s="211"/>
      <c r="D2" s="211"/>
      <c r="E2" s="211"/>
      <c r="F2" s="212"/>
      <c r="G2" s="230" t="str">
        <f>'Blast (Peak)'!G2</f>
        <v>GREATER STELLA AREA DEVELOPMENT</v>
      </c>
      <c r="H2" s="233"/>
      <c r="I2" s="233"/>
      <c r="J2" s="233"/>
      <c r="K2" s="233"/>
      <c r="L2" s="233"/>
      <c r="M2" s="234"/>
      <c r="N2" s="277" t="str">
        <f>'Blast (Peak)'!N2</f>
        <v>JU11805D</v>
      </c>
      <c r="O2" s="236"/>
      <c r="P2" s="236"/>
      <c r="Q2" s="237"/>
      <c r="R2" s="230" t="str">
        <f>'Blast (Peak)'!R2</f>
        <v>ITHACA ENERGY</v>
      </c>
      <c r="S2" s="231"/>
      <c r="T2" s="231"/>
      <c r="U2" s="232"/>
      <c r="V2" s="227" t="str">
        <f>'Blast (Peak)'!V2</f>
        <v>FPF1-HC-009</v>
      </c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9"/>
    </row>
    <row r="3" spans="1:33" ht="18.600000000000001" customHeight="1">
      <c r="A3" s="209"/>
      <c r="B3" s="210"/>
      <c r="C3" s="211"/>
      <c r="D3" s="211"/>
      <c r="E3" s="211"/>
      <c r="F3" s="212"/>
      <c r="G3" s="1" t="s">
        <v>6</v>
      </c>
      <c r="H3" s="10"/>
      <c r="I3" s="10"/>
      <c r="J3" s="10"/>
      <c r="K3" s="10"/>
      <c r="L3" s="10"/>
      <c r="M3" s="10"/>
      <c r="N3" s="10"/>
      <c r="O3" s="10"/>
      <c r="P3" s="10"/>
      <c r="Q3" s="2"/>
      <c r="R3" s="1" t="s">
        <v>7</v>
      </c>
      <c r="S3" s="10"/>
      <c r="T3" s="3"/>
      <c r="U3" s="8"/>
      <c r="V3" s="6" t="s">
        <v>8</v>
      </c>
      <c r="W3" s="3"/>
      <c r="X3" s="3"/>
      <c r="Y3" s="8"/>
      <c r="Z3" s="6" t="s">
        <v>9</v>
      </c>
      <c r="AA3" s="3"/>
      <c r="AB3" s="3"/>
      <c r="AC3" s="8"/>
      <c r="AD3" s="6" t="s">
        <v>10</v>
      </c>
      <c r="AE3" s="3"/>
      <c r="AF3" s="3"/>
      <c r="AG3" s="8"/>
    </row>
    <row r="4" spans="1:33" ht="37.200000000000003" customHeight="1" thickBot="1">
      <c r="A4" s="213"/>
      <c r="B4" s="214"/>
      <c r="C4" s="215"/>
      <c r="D4" s="215"/>
      <c r="E4" s="215"/>
      <c r="F4" s="216"/>
      <c r="G4" s="227" t="str">
        <f>'Blast (Peak)'!G4</f>
        <v>Blast Pressures for Caesar Input</v>
      </c>
      <c r="H4" s="228"/>
      <c r="I4" s="228"/>
      <c r="J4" s="228"/>
      <c r="K4" s="228"/>
      <c r="L4" s="228"/>
      <c r="M4" s="228"/>
      <c r="N4" s="228"/>
      <c r="O4" s="228"/>
      <c r="P4" s="228"/>
      <c r="Q4" s="229"/>
      <c r="R4" s="230" t="str">
        <f>'Blast (Peak)'!R4</f>
        <v>Piping Stress</v>
      </c>
      <c r="S4" s="231"/>
      <c r="T4" s="231"/>
      <c r="U4" s="232"/>
      <c r="V4" s="227" t="str">
        <f>'Blast (Peak)'!V4</f>
        <v>C</v>
      </c>
      <c r="W4" s="228"/>
      <c r="X4" s="228"/>
      <c r="Y4" s="229"/>
      <c r="Z4" s="224">
        <f>'Blast (Peak)'!Z4</f>
        <v>41471</v>
      </c>
      <c r="AA4" s="225"/>
      <c r="AB4" s="225"/>
      <c r="AC4" s="226"/>
      <c r="AD4" s="221">
        <f>'Blast (Average)'!AD4+1</f>
        <v>3</v>
      </c>
      <c r="AE4" s="222"/>
      <c r="AF4" s="222"/>
      <c r="AG4" s="223"/>
    </row>
    <row r="5" spans="1:33">
      <c r="A5" s="217" t="s">
        <v>13</v>
      </c>
      <c r="B5" s="218"/>
      <c r="C5" s="219" t="s">
        <v>15</v>
      </c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  <c r="AD5" s="238"/>
      <c r="AE5" s="218"/>
      <c r="AF5" s="219" t="s">
        <v>14</v>
      </c>
      <c r="AG5" s="220"/>
    </row>
    <row r="6" spans="1:33">
      <c r="A6" s="11"/>
      <c r="B6" s="12"/>
      <c r="C6" s="13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2"/>
      <c r="AF6" s="13"/>
      <c r="AG6" s="15"/>
    </row>
    <row r="7" spans="1:33" ht="14.4" customHeight="1">
      <c r="A7" s="16"/>
      <c r="B7" s="17"/>
      <c r="C7" s="18"/>
      <c r="D7" s="19" t="s">
        <v>56</v>
      </c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17"/>
      <c r="AF7" s="18"/>
      <c r="AG7" s="21"/>
    </row>
    <row r="8" spans="1:33" ht="14.4" customHeight="1">
      <c r="A8" s="16"/>
      <c r="B8" s="17"/>
      <c r="C8" s="18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20"/>
      <c r="R8" s="20"/>
      <c r="S8" s="19"/>
      <c r="T8" s="19"/>
      <c r="U8" s="19"/>
      <c r="V8" s="19"/>
      <c r="W8" s="19"/>
      <c r="X8" s="19"/>
      <c r="Y8" s="19" t="s">
        <v>57</v>
      </c>
      <c r="Z8" s="19"/>
      <c r="AA8" s="19"/>
      <c r="AB8" s="19"/>
      <c r="AC8" s="19"/>
      <c r="AD8" s="19"/>
      <c r="AE8" s="17"/>
      <c r="AF8" s="18"/>
      <c r="AG8" s="21"/>
    </row>
    <row r="9" spans="1:33" ht="14.4" customHeight="1">
      <c r="A9" s="16"/>
      <c r="B9" s="17"/>
      <c r="C9" s="18"/>
      <c r="D9" s="19"/>
      <c r="E9" s="19" t="s">
        <v>58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22"/>
      <c r="Q9" s="23"/>
      <c r="R9" s="24"/>
      <c r="S9" s="24"/>
      <c r="T9" s="24"/>
      <c r="U9" s="24"/>
      <c r="V9" s="19"/>
      <c r="W9" s="19"/>
      <c r="X9" s="19"/>
      <c r="Y9" s="19"/>
      <c r="Z9" s="19"/>
      <c r="AA9" s="19"/>
      <c r="AB9" s="19"/>
      <c r="AC9" s="19"/>
      <c r="AD9" s="19"/>
      <c r="AE9" s="17"/>
      <c r="AF9" s="18"/>
      <c r="AG9" s="21"/>
    </row>
    <row r="10" spans="1:33" ht="14.4" customHeight="1">
      <c r="A10" s="16"/>
      <c r="B10" s="17"/>
      <c r="C10" s="18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7"/>
      <c r="AF10" s="18"/>
      <c r="AG10" s="21"/>
    </row>
    <row r="11" spans="1:33" ht="14.4" customHeight="1">
      <c r="A11" s="16"/>
      <c r="B11" s="17"/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22"/>
      <c r="R11" s="23"/>
      <c r="S11" s="24"/>
      <c r="T11" s="24"/>
      <c r="U11" s="24"/>
      <c r="V11" s="19"/>
      <c r="W11" s="19"/>
      <c r="X11" s="19"/>
      <c r="Y11" s="19"/>
      <c r="Z11" s="19"/>
      <c r="AA11" s="19"/>
      <c r="AB11" s="19"/>
      <c r="AC11" s="19"/>
      <c r="AD11" s="19"/>
      <c r="AE11" s="17"/>
      <c r="AF11" s="18"/>
      <c r="AG11" s="21"/>
    </row>
    <row r="12" spans="1:33" ht="14.4" customHeight="1" thickBot="1">
      <c r="A12" s="16"/>
      <c r="B12" s="17"/>
      <c r="C12" s="18"/>
      <c r="D12" s="25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26"/>
      <c r="R12" s="26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7"/>
      <c r="AF12" s="18"/>
      <c r="AG12" s="21"/>
    </row>
    <row r="13" spans="1:33" ht="14.4" customHeight="1">
      <c r="A13" s="16"/>
      <c r="B13" s="17"/>
      <c r="C13" s="18"/>
      <c r="D13" s="28"/>
      <c r="E13" s="2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7"/>
      <c r="AF13" s="18"/>
      <c r="AG13" s="21"/>
    </row>
    <row r="14" spans="1:33" ht="14.4" customHeight="1">
      <c r="A14" s="16"/>
      <c r="B14" s="17"/>
      <c r="C14" s="18"/>
      <c r="D14" s="28"/>
      <c r="E14" s="2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7"/>
      <c r="AF14" s="18"/>
      <c r="AG14" s="21"/>
    </row>
    <row r="15" spans="1:33" ht="14.4" customHeight="1">
      <c r="A15" s="16"/>
      <c r="B15" s="17"/>
      <c r="C15" s="18"/>
      <c r="D15" s="28"/>
      <c r="E15" s="2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7"/>
      <c r="AF15" s="18"/>
      <c r="AG15" s="21"/>
    </row>
    <row r="16" spans="1:33" ht="14.4" customHeight="1">
      <c r="A16" s="16"/>
      <c r="B16" s="17"/>
      <c r="C16" s="18"/>
      <c r="D16" s="28"/>
      <c r="E16" s="2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7"/>
      <c r="AF16" s="18"/>
      <c r="AG16" s="21"/>
    </row>
    <row r="17" spans="1:33" ht="14.4" customHeight="1">
      <c r="A17" s="16"/>
      <c r="B17" s="17"/>
      <c r="C17" s="18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7"/>
      <c r="AF17" s="18"/>
      <c r="AG17" s="21"/>
    </row>
    <row r="18" spans="1:33">
      <c r="A18" s="16"/>
      <c r="B18" s="17"/>
      <c r="C18" s="18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20"/>
      <c r="R18" s="19"/>
      <c r="S18" s="20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7"/>
      <c r="AF18" s="18"/>
      <c r="AG18" s="21"/>
    </row>
    <row r="19" spans="1:33" ht="14.4" customHeight="1">
      <c r="A19" s="16"/>
      <c r="B19" s="17"/>
      <c r="C19" s="18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20"/>
      <c r="R19" s="19"/>
      <c r="S19" s="20"/>
      <c r="T19" s="24"/>
      <c r="U19" s="24"/>
      <c r="V19" s="24"/>
      <c r="W19" s="19"/>
      <c r="X19" s="19"/>
      <c r="Y19" s="19"/>
      <c r="Z19" s="19"/>
      <c r="AA19" s="19"/>
      <c r="AB19" s="19"/>
      <c r="AC19" s="19"/>
      <c r="AD19" s="19"/>
      <c r="AE19" s="17"/>
      <c r="AF19" s="18"/>
      <c r="AG19" s="21"/>
    </row>
    <row r="20" spans="1:33">
      <c r="A20" s="16"/>
      <c r="B20" s="17"/>
      <c r="C20" s="18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32"/>
      <c r="P20" s="284" t="s">
        <v>54</v>
      </c>
      <c r="Q20" s="284"/>
      <c r="R20" s="284"/>
      <c r="S20" s="285"/>
      <c r="T20" s="32"/>
      <c r="U20" s="33"/>
      <c r="V20" s="19"/>
      <c r="W20" s="19"/>
      <c r="X20" s="19"/>
      <c r="Y20" s="19"/>
      <c r="Z20" s="19"/>
      <c r="AA20" s="19"/>
      <c r="AB20" s="19"/>
      <c r="AC20" s="19"/>
      <c r="AD20" s="19"/>
      <c r="AE20" s="17"/>
      <c r="AF20" s="18"/>
      <c r="AG20" s="21"/>
    </row>
    <row r="21" spans="1:33" ht="15" thickBot="1">
      <c r="A21" s="16"/>
      <c r="B21" s="17"/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32"/>
      <c r="P21" s="286"/>
      <c r="Q21" s="286"/>
      <c r="R21" s="286"/>
      <c r="S21" s="287"/>
      <c r="T21" s="34"/>
      <c r="U21" s="35"/>
      <c r="V21" s="27"/>
      <c r="W21" s="27"/>
      <c r="X21" s="19"/>
      <c r="Y21" s="19"/>
      <c r="Z21" s="19"/>
      <c r="AA21" s="19"/>
      <c r="AB21" s="19"/>
      <c r="AC21" s="19"/>
      <c r="AD21" s="19"/>
      <c r="AE21" s="17"/>
      <c r="AF21" s="18"/>
      <c r="AG21" s="21"/>
    </row>
    <row r="22" spans="1:33" ht="15" thickBot="1">
      <c r="A22" s="16"/>
      <c r="B22" s="17"/>
      <c r="C22" s="18"/>
      <c r="D22" s="19"/>
      <c r="E22" s="19"/>
      <c r="F22" s="19"/>
      <c r="G22" s="19"/>
      <c r="H22" s="19"/>
      <c r="I22" s="19"/>
      <c r="J22" s="36" t="s">
        <v>25</v>
      </c>
      <c r="K22" s="37"/>
      <c r="L22" s="37"/>
      <c r="M22" s="37"/>
      <c r="N22" s="37"/>
      <c r="O22" s="38"/>
      <c r="P22" s="39"/>
      <c r="Q22" s="40"/>
      <c r="R22" s="41"/>
      <c r="S22" s="42"/>
      <c r="T22" s="43"/>
      <c r="U22" s="44"/>
      <c r="V22" s="37"/>
      <c r="W22" s="37"/>
      <c r="X22" s="37"/>
      <c r="Y22" s="45" t="s">
        <v>16</v>
      </c>
      <c r="Z22" s="16"/>
      <c r="AA22" s="19"/>
      <c r="AB22" s="30"/>
      <c r="AC22" s="31"/>
      <c r="AD22" s="19"/>
      <c r="AE22" s="17"/>
      <c r="AF22" s="18"/>
      <c r="AG22" s="21"/>
    </row>
    <row r="23" spans="1:33">
      <c r="A23" s="16"/>
      <c r="B23" s="17"/>
      <c r="C23" s="18"/>
      <c r="D23" s="19"/>
      <c r="E23" s="19"/>
      <c r="F23" s="19"/>
      <c r="G23" s="19"/>
      <c r="H23" s="19"/>
      <c r="I23" s="19"/>
      <c r="J23" s="16"/>
      <c r="K23" s="19"/>
      <c r="L23" s="19"/>
      <c r="M23" s="19"/>
      <c r="N23" s="19"/>
      <c r="O23" s="32"/>
      <c r="P23" s="33"/>
      <c r="Q23" s="283" t="s">
        <v>22</v>
      </c>
      <c r="R23" s="283"/>
      <c r="S23" s="19"/>
      <c r="T23" s="32"/>
      <c r="U23" s="33"/>
      <c r="V23" s="19"/>
      <c r="W23" s="19"/>
      <c r="X23" s="19"/>
      <c r="Y23" s="21"/>
      <c r="Z23" s="16"/>
      <c r="AA23" s="19"/>
      <c r="AB23" s="19"/>
      <c r="AC23" s="19"/>
      <c r="AD23" s="19"/>
      <c r="AE23" s="17"/>
      <c r="AF23" s="18"/>
      <c r="AG23" s="21"/>
    </row>
    <row r="24" spans="1:33" ht="15" thickBot="1">
      <c r="A24" s="16"/>
      <c r="B24" s="17"/>
      <c r="C24" s="18"/>
      <c r="D24" s="19"/>
      <c r="E24" s="19"/>
      <c r="F24" s="19"/>
      <c r="G24" s="19"/>
      <c r="H24" s="19"/>
      <c r="I24" s="19"/>
      <c r="J24" s="46"/>
      <c r="K24" s="47"/>
      <c r="L24" s="47"/>
      <c r="M24" s="47"/>
      <c r="N24" s="47"/>
      <c r="O24" s="48"/>
      <c r="P24" s="49"/>
      <c r="Q24" s="47"/>
      <c r="R24" s="47"/>
      <c r="S24" s="47"/>
      <c r="T24" s="48"/>
      <c r="U24" s="33"/>
      <c r="V24" s="19"/>
      <c r="W24" s="19"/>
      <c r="X24" s="19"/>
      <c r="Y24" s="21"/>
      <c r="Z24" s="16"/>
      <c r="AA24" s="19"/>
      <c r="AB24" s="19"/>
      <c r="AC24" s="19"/>
      <c r="AD24" s="19"/>
      <c r="AE24" s="17"/>
      <c r="AF24" s="18"/>
      <c r="AG24" s="21"/>
    </row>
    <row r="25" spans="1:33" ht="14.4" customHeight="1">
      <c r="A25" s="16"/>
      <c r="B25" s="17"/>
      <c r="C25" s="18"/>
      <c r="D25" s="19"/>
      <c r="E25" s="19"/>
      <c r="F25" s="19"/>
      <c r="G25" s="19"/>
      <c r="H25" s="50"/>
      <c r="I25" s="51"/>
      <c r="J25" s="52"/>
      <c r="K25" s="50"/>
      <c r="L25" s="53"/>
      <c r="M25" s="54"/>
      <c r="N25" s="50"/>
      <c r="O25" s="50"/>
      <c r="P25" s="50"/>
      <c r="Q25" s="50"/>
      <c r="R25" s="50"/>
      <c r="S25" s="50"/>
      <c r="T25" s="53"/>
      <c r="U25" s="33"/>
      <c r="V25" s="19"/>
      <c r="W25" s="19"/>
      <c r="X25" s="19"/>
      <c r="Y25" s="21"/>
      <c r="Z25" s="16"/>
      <c r="AA25" s="19"/>
      <c r="AB25" s="19"/>
      <c r="AC25" s="19"/>
      <c r="AD25" s="19"/>
      <c r="AE25" s="17"/>
      <c r="AF25" s="18"/>
      <c r="AG25" s="21"/>
    </row>
    <row r="26" spans="1:33" ht="14.4" customHeight="1">
      <c r="A26" s="16"/>
      <c r="B26" s="17"/>
      <c r="C26" s="55"/>
      <c r="D26" s="56"/>
      <c r="E26" s="56"/>
      <c r="F26" s="20"/>
      <c r="G26" s="20"/>
      <c r="H26" s="20"/>
      <c r="I26" s="20"/>
      <c r="J26" s="57"/>
      <c r="K26" s="20"/>
      <c r="L26" s="58"/>
      <c r="M26" s="59"/>
      <c r="N26" s="20"/>
      <c r="O26" s="20"/>
      <c r="P26" s="20"/>
      <c r="Q26" s="20"/>
      <c r="R26" s="20"/>
      <c r="S26" s="20"/>
      <c r="T26" s="58"/>
      <c r="U26" s="59"/>
      <c r="V26" s="20"/>
      <c r="W26" s="20"/>
      <c r="X26" s="20"/>
      <c r="Y26" s="60"/>
      <c r="Z26" s="57"/>
      <c r="AA26" s="20"/>
      <c r="AB26" s="20"/>
      <c r="AC26" s="20"/>
      <c r="AD26" s="20"/>
      <c r="AE26" s="61"/>
      <c r="AF26" s="18"/>
      <c r="AG26" s="21"/>
    </row>
    <row r="27" spans="1:33" ht="14.4" customHeight="1">
      <c r="A27" s="16"/>
      <c r="B27" s="17"/>
      <c r="C27" s="55"/>
      <c r="D27" s="56"/>
      <c r="E27" s="56"/>
      <c r="F27" s="62"/>
      <c r="G27" s="62"/>
      <c r="H27" s="62"/>
      <c r="I27" s="62"/>
      <c r="J27" s="63"/>
      <c r="K27" s="62"/>
      <c r="L27" s="64"/>
      <c r="M27" s="65"/>
      <c r="N27" s="62"/>
      <c r="O27" s="62"/>
      <c r="P27" s="62"/>
      <c r="Q27" s="66" t="s">
        <v>23</v>
      </c>
      <c r="R27" s="62"/>
      <c r="S27" s="62"/>
      <c r="T27" s="64"/>
      <c r="U27" s="65"/>
      <c r="V27" s="62"/>
      <c r="W27" s="62"/>
      <c r="X27" s="62"/>
      <c r="Y27" s="67"/>
      <c r="Z27" s="63"/>
      <c r="AA27" s="62"/>
      <c r="AB27" s="62"/>
      <c r="AC27" s="62"/>
      <c r="AD27" s="62"/>
      <c r="AE27" s="68"/>
      <c r="AF27" s="18"/>
      <c r="AG27" s="21"/>
    </row>
    <row r="28" spans="1:33" ht="14.4" customHeight="1" thickBot="1">
      <c r="A28" s="16"/>
      <c r="B28" s="17"/>
      <c r="C28" s="55"/>
      <c r="D28" s="56"/>
      <c r="E28" s="56"/>
      <c r="F28" s="62"/>
      <c r="G28" s="62"/>
      <c r="H28" s="62"/>
      <c r="I28" s="62"/>
      <c r="J28" s="63"/>
      <c r="K28" s="62"/>
      <c r="L28" s="64"/>
      <c r="M28" s="65"/>
      <c r="N28" s="62"/>
      <c r="O28" s="62"/>
      <c r="P28" s="62"/>
      <c r="Q28" s="62"/>
      <c r="R28" s="62"/>
      <c r="S28" s="62"/>
      <c r="T28" s="64"/>
      <c r="U28" s="65"/>
      <c r="V28" s="62"/>
      <c r="W28" s="62"/>
      <c r="X28" s="62"/>
      <c r="Y28" s="67"/>
      <c r="Z28" s="63"/>
      <c r="AA28" s="62"/>
      <c r="AB28" s="62"/>
      <c r="AC28" s="62"/>
      <c r="AD28" s="62"/>
      <c r="AE28" s="68"/>
      <c r="AF28" s="18"/>
      <c r="AG28" s="21"/>
    </row>
    <row r="29" spans="1:33" ht="14.4" customHeight="1" thickBot="1">
      <c r="A29" s="16"/>
      <c r="B29" s="17"/>
      <c r="C29" s="55"/>
      <c r="D29" s="56"/>
      <c r="E29" s="56"/>
      <c r="F29" s="69"/>
      <c r="G29" s="69"/>
      <c r="H29" s="69"/>
      <c r="I29" s="69"/>
      <c r="J29" s="70" t="s">
        <v>26</v>
      </c>
      <c r="K29" s="69"/>
      <c r="L29" s="69"/>
      <c r="M29" s="71"/>
      <c r="N29" s="72"/>
      <c r="O29" s="72"/>
      <c r="P29" s="72"/>
      <c r="Q29" s="72"/>
      <c r="R29" s="62"/>
      <c r="S29" s="69"/>
      <c r="T29" s="73"/>
      <c r="U29" s="74"/>
      <c r="V29" s="75"/>
      <c r="W29" s="75"/>
      <c r="X29" s="75"/>
      <c r="Y29" s="76"/>
      <c r="Z29" s="77"/>
      <c r="AA29" s="78"/>
      <c r="AB29" s="62"/>
      <c r="AC29" s="62"/>
      <c r="AD29" s="62"/>
      <c r="AE29" s="68"/>
      <c r="AF29" s="18"/>
      <c r="AG29" s="21"/>
    </row>
    <row r="30" spans="1:33" ht="14.4" customHeight="1">
      <c r="A30" s="16"/>
      <c r="B30" s="17"/>
      <c r="C30" s="79"/>
      <c r="D30" s="20"/>
      <c r="E30" s="20"/>
      <c r="F30" s="80"/>
      <c r="G30" s="80"/>
      <c r="H30" s="80"/>
      <c r="I30" s="24"/>
      <c r="J30" s="81"/>
      <c r="K30" s="24"/>
      <c r="L30" s="24"/>
      <c r="M30" s="24"/>
      <c r="N30" s="24"/>
      <c r="O30" s="24"/>
      <c r="P30" s="24"/>
      <c r="Q30" s="82"/>
      <c r="R30" s="83"/>
      <c r="S30" s="24"/>
      <c r="T30" s="82"/>
      <c r="U30" s="84"/>
      <c r="V30" s="85"/>
      <c r="W30" s="85"/>
      <c r="X30" s="85"/>
      <c r="Y30" s="86"/>
      <c r="Z30" s="81"/>
      <c r="AA30" s="24"/>
      <c r="AB30" s="24"/>
      <c r="AC30" s="24"/>
      <c r="AD30" s="24"/>
      <c r="AE30" s="87"/>
      <c r="AF30" s="18"/>
      <c r="AG30" s="21"/>
    </row>
    <row r="31" spans="1:33" ht="14.4" customHeight="1">
      <c r="A31" s="16"/>
      <c r="B31" s="17"/>
      <c r="C31" s="79"/>
      <c r="D31" s="20"/>
      <c r="E31" s="20"/>
      <c r="F31" s="80"/>
      <c r="G31" s="80"/>
      <c r="H31" s="80"/>
      <c r="I31" s="24"/>
      <c r="J31" s="81"/>
      <c r="K31" s="24"/>
      <c r="L31" s="24"/>
      <c r="M31" s="24"/>
      <c r="N31" s="24"/>
      <c r="O31" s="24"/>
      <c r="P31" s="24"/>
      <c r="Q31" s="82"/>
      <c r="R31" s="83"/>
      <c r="S31" s="24"/>
      <c r="T31" s="82"/>
      <c r="U31" s="84"/>
      <c r="V31" s="85"/>
      <c r="W31" s="85"/>
      <c r="X31" s="85"/>
      <c r="Y31" s="86"/>
      <c r="Z31" s="81"/>
      <c r="AA31" s="24"/>
      <c r="AB31" s="24"/>
      <c r="AC31" s="24"/>
      <c r="AD31" s="24"/>
      <c r="AE31" s="87"/>
      <c r="AF31" s="18"/>
      <c r="AG31" s="21"/>
    </row>
    <row r="32" spans="1:33">
      <c r="A32" s="16"/>
      <c r="B32" s="17"/>
      <c r="C32" s="79"/>
      <c r="D32" s="20"/>
      <c r="E32" s="20"/>
      <c r="F32" s="80"/>
      <c r="G32" s="80"/>
      <c r="H32" s="80"/>
      <c r="I32" s="24"/>
      <c r="J32" s="81"/>
      <c r="K32" s="24"/>
      <c r="L32" s="24"/>
      <c r="M32" s="24"/>
      <c r="N32" s="24"/>
      <c r="O32" s="24"/>
      <c r="P32" s="24"/>
      <c r="Q32" s="82"/>
      <c r="R32" s="83"/>
      <c r="S32" s="24"/>
      <c r="T32" s="82"/>
      <c r="U32" s="84"/>
      <c r="V32" s="85"/>
      <c r="W32" s="85"/>
      <c r="X32" s="85"/>
      <c r="Y32" s="86"/>
      <c r="Z32" s="81"/>
      <c r="AA32" s="24"/>
      <c r="AB32" s="24"/>
      <c r="AC32" s="24"/>
      <c r="AD32" s="24"/>
      <c r="AE32" s="87"/>
      <c r="AF32" s="18"/>
      <c r="AG32" s="21"/>
    </row>
    <row r="33" spans="1:33">
      <c r="A33" s="16"/>
      <c r="B33" s="17"/>
      <c r="C33" s="79"/>
      <c r="D33" s="20"/>
      <c r="E33" s="20"/>
      <c r="F33" s="80"/>
      <c r="G33" s="80"/>
      <c r="H33" s="80"/>
      <c r="I33" s="24"/>
      <c r="J33" s="81"/>
      <c r="K33" s="24"/>
      <c r="L33" s="24"/>
      <c r="M33" s="24"/>
      <c r="N33" s="24"/>
      <c r="O33" s="24"/>
      <c r="P33" s="24"/>
      <c r="Q33" s="82"/>
      <c r="R33" s="83"/>
      <c r="S33" s="24"/>
      <c r="T33" s="82"/>
      <c r="U33" s="84"/>
      <c r="V33" s="85"/>
      <c r="W33" s="85"/>
      <c r="X33" s="85"/>
      <c r="Y33" s="88" t="s">
        <v>20</v>
      </c>
      <c r="Z33" s="81"/>
      <c r="AA33" s="24"/>
      <c r="AB33" s="24"/>
      <c r="AC33" s="24"/>
      <c r="AD33" s="24"/>
      <c r="AE33" s="87"/>
      <c r="AF33" s="18"/>
      <c r="AG33" s="21"/>
    </row>
    <row r="34" spans="1:33">
      <c r="A34" s="16"/>
      <c r="B34" s="17"/>
      <c r="C34" s="79"/>
      <c r="D34" s="20"/>
      <c r="E34" s="20"/>
      <c r="F34" s="80"/>
      <c r="G34" s="80"/>
      <c r="H34" s="80"/>
      <c r="I34" s="24"/>
      <c r="J34" s="81"/>
      <c r="K34" s="24"/>
      <c r="L34" s="24"/>
      <c r="M34" s="24"/>
      <c r="N34" s="24"/>
      <c r="O34" s="24"/>
      <c r="P34" s="24"/>
      <c r="Q34" s="82"/>
      <c r="R34" s="83"/>
      <c r="S34" s="24"/>
      <c r="T34" s="82"/>
      <c r="U34" s="84"/>
      <c r="V34" s="85"/>
      <c r="W34" s="85"/>
      <c r="X34" s="85"/>
      <c r="Y34" s="86"/>
      <c r="Z34" s="81"/>
      <c r="AA34" s="24"/>
      <c r="AB34" s="24"/>
      <c r="AC34" s="24"/>
      <c r="AD34" s="24"/>
      <c r="AE34" s="87"/>
      <c r="AF34" s="18"/>
      <c r="AG34" s="21"/>
    </row>
    <row r="35" spans="1:33">
      <c r="A35" s="16"/>
      <c r="B35" s="17"/>
      <c r="C35" s="79"/>
      <c r="D35" s="20"/>
      <c r="E35" s="20"/>
      <c r="F35" s="80"/>
      <c r="G35" s="80"/>
      <c r="H35" s="80"/>
      <c r="I35" s="24"/>
      <c r="J35" s="81"/>
      <c r="K35" s="24"/>
      <c r="L35" s="24"/>
      <c r="M35" s="24"/>
      <c r="N35" s="24"/>
      <c r="O35" s="24"/>
      <c r="P35" s="24"/>
      <c r="Q35" s="82"/>
      <c r="R35" s="83"/>
      <c r="S35" s="24"/>
      <c r="T35" s="82"/>
      <c r="U35" s="84"/>
      <c r="V35" s="85"/>
      <c r="W35" s="85"/>
      <c r="X35" s="85"/>
      <c r="Y35" s="86"/>
      <c r="Z35" s="81"/>
      <c r="AA35" s="24"/>
      <c r="AB35" s="24"/>
      <c r="AC35" s="24"/>
      <c r="AD35" s="24"/>
      <c r="AE35" s="87"/>
      <c r="AF35" s="18"/>
      <c r="AG35" s="21"/>
    </row>
    <row r="36" spans="1:33">
      <c r="A36" s="16"/>
      <c r="B36" s="17"/>
      <c r="C36" s="79"/>
      <c r="D36" s="20"/>
      <c r="E36" s="20"/>
      <c r="F36" s="80"/>
      <c r="G36" s="80"/>
      <c r="H36" s="80"/>
      <c r="I36" s="24"/>
      <c r="J36" s="81"/>
      <c r="K36" s="24"/>
      <c r="L36" s="24"/>
      <c r="M36" s="24"/>
      <c r="N36" s="24"/>
      <c r="O36" s="24"/>
      <c r="P36" s="24"/>
      <c r="Q36" s="82"/>
      <c r="R36" s="83"/>
      <c r="S36" s="24"/>
      <c r="T36" s="82"/>
      <c r="U36" s="84"/>
      <c r="V36" s="85"/>
      <c r="W36" s="85"/>
      <c r="X36" s="85"/>
      <c r="Y36" s="86"/>
      <c r="Z36" s="81"/>
      <c r="AA36" s="24"/>
      <c r="AB36" s="24"/>
      <c r="AC36" s="24"/>
      <c r="AD36" s="24"/>
      <c r="AE36" s="87"/>
      <c r="AF36" s="18"/>
      <c r="AG36" s="21"/>
    </row>
    <row r="37" spans="1:33" ht="15" thickBot="1">
      <c r="A37" s="16"/>
      <c r="B37" s="17"/>
      <c r="C37" s="79"/>
      <c r="D37" s="20"/>
      <c r="E37" s="20"/>
      <c r="F37" s="80"/>
      <c r="G37" s="80"/>
      <c r="H37" s="80"/>
      <c r="I37" s="24"/>
      <c r="J37" s="81"/>
      <c r="K37" s="24"/>
      <c r="L37" s="24"/>
      <c r="M37" s="24"/>
      <c r="N37" s="24"/>
      <c r="O37" s="24"/>
      <c r="P37" s="24"/>
      <c r="Q37" s="82"/>
      <c r="R37" s="83"/>
      <c r="S37" s="24"/>
      <c r="T37" s="82"/>
      <c r="U37" s="89"/>
      <c r="V37" s="90"/>
      <c r="W37" s="90"/>
      <c r="X37" s="90"/>
      <c r="Y37" s="91"/>
      <c r="Z37" s="81"/>
      <c r="AA37" s="24"/>
      <c r="AB37" s="24"/>
      <c r="AC37" s="24"/>
      <c r="AD37" s="24"/>
      <c r="AE37" s="87"/>
      <c r="AF37" s="18"/>
      <c r="AG37" s="21"/>
    </row>
    <row r="38" spans="1:33" ht="14.4" customHeight="1" thickBot="1">
      <c r="A38" s="16"/>
      <c r="B38" s="17"/>
      <c r="C38" s="79"/>
      <c r="D38" s="20"/>
      <c r="E38" s="20"/>
      <c r="F38" s="80"/>
      <c r="G38" s="80"/>
      <c r="H38" s="92"/>
      <c r="I38" s="93"/>
      <c r="J38" s="94"/>
      <c r="K38" s="93"/>
      <c r="L38" s="95"/>
      <c r="M38" s="96"/>
      <c r="N38" s="96"/>
      <c r="O38" s="96"/>
      <c r="P38" s="97"/>
      <c r="Q38" s="98"/>
      <c r="R38" s="99"/>
      <c r="S38" s="100"/>
      <c r="T38" s="101"/>
      <c r="U38" s="102"/>
      <c r="V38" s="103"/>
      <c r="W38" s="103"/>
      <c r="X38" s="103"/>
      <c r="Y38" s="93"/>
      <c r="Z38" s="104"/>
      <c r="AA38" s="104"/>
      <c r="AB38" s="24"/>
      <c r="AC38" s="24"/>
      <c r="AD38" s="24"/>
      <c r="AE38" s="87"/>
      <c r="AF38" s="18"/>
      <c r="AG38" s="21"/>
    </row>
    <row r="39" spans="1:33" ht="14.4" customHeight="1">
      <c r="A39" s="16"/>
      <c r="B39" s="17"/>
      <c r="C39" s="79"/>
      <c r="D39" s="20"/>
      <c r="E39" s="20"/>
      <c r="F39" s="80"/>
      <c r="G39" s="80"/>
      <c r="H39" s="80"/>
      <c r="I39" s="24"/>
      <c r="J39" s="81"/>
      <c r="K39" s="24"/>
      <c r="L39" s="105"/>
      <c r="M39" s="106"/>
      <c r="N39" s="106"/>
      <c r="O39" s="106"/>
      <c r="P39" s="106"/>
      <c r="Q39" s="96"/>
      <c r="R39" s="96"/>
      <c r="S39" s="96"/>
      <c r="T39" s="107"/>
      <c r="U39" s="85"/>
      <c r="V39" s="85"/>
      <c r="W39" s="85"/>
      <c r="X39" s="85"/>
      <c r="Y39" s="86"/>
      <c r="Z39" s="24"/>
      <c r="AA39" s="24"/>
      <c r="AB39" s="24"/>
      <c r="AC39" s="24"/>
      <c r="AD39" s="24"/>
      <c r="AE39" s="87"/>
      <c r="AF39" s="18"/>
      <c r="AG39" s="21"/>
    </row>
    <row r="40" spans="1:33" ht="14.4" customHeight="1">
      <c r="A40" s="16"/>
      <c r="B40" s="17"/>
      <c r="C40" s="79"/>
      <c r="D40" s="20"/>
      <c r="E40" s="20"/>
      <c r="F40" s="80"/>
      <c r="G40" s="80"/>
      <c r="H40" s="80"/>
      <c r="I40" s="24"/>
      <c r="J40" s="81"/>
      <c r="K40" s="24"/>
      <c r="L40" s="105"/>
      <c r="M40" s="282" t="s">
        <v>55</v>
      </c>
      <c r="N40" s="282"/>
      <c r="O40" s="282"/>
      <c r="P40" s="282"/>
      <c r="Q40" s="282"/>
      <c r="R40" s="282"/>
      <c r="S40" s="282"/>
      <c r="T40" s="108"/>
      <c r="U40" s="85"/>
      <c r="V40" s="85"/>
      <c r="W40" s="85"/>
      <c r="X40" s="85"/>
      <c r="Y40" s="86"/>
      <c r="Z40" s="24"/>
      <c r="AA40" s="24"/>
      <c r="AB40" s="24"/>
      <c r="AC40" s="24"/>
      <c r="AD40" s="24"/>
      <c r="AE40" s="87"/>
      <c r="AF40" s="18"/>
      <c r="AG40" s="21"/>
    </row>
    <row r="41" spans="1:33">
      <c r="A41" s="16"/>
      <c r="B41" s="17"/>
      <c r="C41" s="79"/>
      <c r="D41" s="20"/>
      <c r="E41" s="20"/>
      <c r="F41" s="80"/>
      <c r="G41" s="80"/>
      <c r="H41" s="80"/>
      <c r="I41" s="24"/>
      <c r="J41" s="81"/>
      <c r="K41" s="24"/>
      <c r="L41" s="105"/>
      <c r="M41" s="282"/>
      <c r="N41" s="282"/>
      <c r="O41" s="282"/>
      <c r="P41" s="282"/>
      <c r="Q41" s="282"/>
      <c r="R41" s="282"/>
      <c r="S41" s="282"/>
      <c r="T41" s="108"/>
      <c r="U41" s="85"/>
      <c r="V41" s="85"/>
      <c r="W41" s="85"/>
      <c r="X41" s="85"/>
      <c r="Y41" s="86"/>
      <c r="Z41" s="24"/>
      <c r="AA41" s="24"/>
      <c r="AB41" s="24"/>
      <c r="AC41" s="24"/>
      <c r="AD41" s="24"/>
      <c r="AE41" s="87"/>
      <c r="AF41" s="18"/>
      <c r="AG41" s="21"/>
    </row>
    <row r="42" spans="1:33" ht="15" thickBot="1">
      <c r="A42" s="16"/>
      <c r="B42" s="17"/>
      <c r="C42" s="79"/>
      <c r="D42" s="20"/>
      <c r="E42" s="20"/>
      <c r="F42" s="80"/>
      <c r="G42" s="80"/>
      <c r="H42" s="80"/>
      <c r="I42" s="24"/>
      <c r="J42" s="81"/>
      <c r="K42" s="24"/>
      <c r="L42" s="110"/>
      <c r="M42" s="111"/>
      <c r="N42" s="111"/>
      <c r="O42" s="111"/>
      <c r="P42" s="111"/>
      <c r="Q42" s="111"/>
      <c r="R42" s="111"/>
      <c r="S42" s="111"/>
      <c r="T42" s="112"/>
      <c r="U42" s="85"/>
      <c r="V42" s="85"/>
      <c r="W42" s="85"/>
      <c r="X42" s="85"/>
      <c r="Y42" s="86"/>
      <c r="Z42" s="24"/>
      <c r="AA42" s="24"/>
      <c r="AB42" s="24"/>
      <c r="AC42" s="24"/>
      <c r="AD42" s="24"/>
      <c r="AE42" s="87"/>
      <c r="AF42" s="18"/>
      <c r="AG42" s="21"/>
    </row>
    <row r="43" spans="1:33">
      <c r="A43" s="16"/>
      <c r="B43" s="17"/>
      <c r="C43" s="79"/>
      <c r="D43" s="20"/>
      <c r="E43" s="20"/>
      <c r="F43" s="80"/>
      <c r="G43" s="80"/>
      <c r="H43" s="80"/>
      <c r="I43" s="24"/>
      <c r="J43" s="81"/>
      <c r="K43" s="24"/>
      <c r="L43" s="113"/>
      <c r="M43" s="113"/>
      <c r="N43" s="113"/>
      <c r="O43" s="113"/>
      <c r="P43" s="113"/>
      <c r="Q43" s="113"/>
      <c r="R43" s="113"/>
      <c r="S43" s="113"/>
      <c r="T43" s="43"/>
      <c r="U43" s="85"/>
      <c r="V43" s="85"/>
      <c r="W43" s="85"/>
      <c r="X43" s="85"/>
      <c r="Y43" s="86"/>
      <c r="Z43" s="24"/>
      <c r="AA43" s="24"/>
      <c r="AB43" s="24"/>
      <c r="AC43" s="24"/>
      <c r="AD43" s="24"/>
      <c r="AE43" s="87"/>
      <c r="AF43" s="18"/>
      <c r="AG43" s="21"/>
    </row>
    <row r="44" spans="1:33" ht="15" thickBot="1">
      <c r="A44" s="16"/>
      <c r="B44" s="17"/>
      <c r="C44" s="18"/>
      <c r="D44" s="19"/>
      <c r="E44" s="19"/>
      <c r="F44" s="19"/>
      <c r="G44" s="19"/>
      <c r="H44" s="19"/>
      <c r="I44" s="19"/>
      <c r="J44" s="114" t="s">
        <v>24</v>
      </c>
      <c r="K44" s="26"/>
      <c r="L44" s="26"/>
      <c r="M44" s="26"/>
      <c r="N44" s="26"/>
      <c r="O44" s="26"/>
      <c r="P44" s="26"/>
      <c r="Q44" s="26"/>
      <c r="R44" s="26"/>
      <c r="S44" s="26"/>
      <c r="T44" s="115"/>
      <c r="U44" s="26"/>
      <c r="V44" s="26"/>
      <c r="W44" s="26"/>
      <c r="X44" s="26"/>
      <c r="Y44" s="116" t="s">
        <v>21</v>
      </c>
      <c r="Z44" s="19"/>
      <c r="AA44" s="19"/>
      <c r="AB44" s="19"/>
      <c r="AC44" s="19"/>
      <c r="AD44" s="19"/>
      <c r="AE44" s="17"/>
      <c r="AF44" s="18"/>
      <c r="AG44" s="21"/>
    </row>
    <row r="45" spans="1:33">
      <c r="A45" s="16"/>
      <c r="B45" s="17"/>
      <c r="C45" s="18"/>
      <c r="D45" s="19"/>
      <c r="E45" s="19"/>
      <c r="F45" s="19"/>
      <c r="G45" s="19"/>
      <c r="H45" s="19"/>
      <c r="I45" s="19"/>
      <c r="J45" s="37"/>
      <c r="K45" s="37"/>
      <c r="L45" s="37"/>
      <c r="M45" s="37"/>
      <c r="N45" s="37"/>
      <c r="O45" s="37"/>
      <c r="P45" s="37"/>
      <c r="Q45" s="117"/>
      <c r="R45" s="37"/>
      <c r="S45" s="118"/>
      <c r="T45" s="43"/>
      <c r="U45" s="113"/>
      <c r="V45" s="113"/>
      <c r="W45" s="37"/>
      <c r="X45" s="37"/>
      <c r="Y45" s="37"/>
      <c r="Z45" s="19"/>
      <c r="AA45" s="19"/>
      <c r="AB45" s="19"/>
      <c r="AC45" s="19"/>
      <c r="AD45" s="19"/>
      <c r="AE45" s="17"/>
      <c r="AF45" s="18"/>
      <c r="AG45" s="21"/>
    </row>
    <row r="46" spans="1:33">
      <c r="A46" s="16"/>
      <c r="B46" s="17"/>
      <c r="C46" s="18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32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7"/>
      <c r="AF46" s="18"/>
      <c r="AG46" s="21"/>
    </row>
    <row r="47" spans="1:33">
      <c r="A47" s="16"/>
      <c r="B47" s="17"/>
      <c r="C47" s="18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7"/>
      <c r="AF47" s="18"/>
      <c r="AG47" s="21"/>
    </row>
    <row r="48" spans="1:33">
      <c r="A48" s="16"/>
      <c r="B48" s="17"/>
      <c r="C48" s="18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7"/>
      <c r="AF48" s="18"/>
      <c r="AG48" s="21"/>
    </row>
    <row r="49" spans="1:33">
      <c r="A49" s="16"/>
      <c r="B49" s="17"/>
      <c r="C49" s="18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7"/>
      <c r="AF49" s="18"/>
      <c r="AG49" s="21"/>
    </row>
    <row r="50" spans="1:33" ht="15" thickBot="1">
      <c r="A50" s="119"/>
      <c r="B50" s="120"/>
      <c r="C50" s="121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120"/>
      <c r="AF50" s="121"/>
      <c r="AG50" s="122"/>
    </row>
  </sheetData>
  <sheetProtection password="8C51" sheet="1" objects="1" scenarios="1" selectLockedCells="1"/>
  <mergeCells count="16">
    <mergeCell ref="A5:B5"/>
    <mergeCell ref="C5:AE5"/>
    <mergeCell ref="AF5:AG5"/>
    <mergeCell ref="A1:F4"/>
    <mergeCell ref="M40:S41"/>
    <mergeCell ref="Q23:R23"/>
    <mergeCell ref="P20:S21"/>
    <mergeCell ref="R4:U4"/>
    <mergeCell ref="V4:Y4"/>
    <mergeCell ref="G2:M2"/>
    <mergeCell ref="N2:Q2"/>
    <mergeCell ref="R2:U2"/>
    <mergeCell ref="V2:AG2"/>
    <mergeCell ref="G4:Q4"/>
    <mergeCell ref="Z4:AC4"/>
    <mergeCell ref="AD4:AG4"/>
  </mergeCells>
  <pageMargins left="1.1417322834645669" right="0.19685039370078741" top="0.19685039370078741" bottom="0.55118110236220474" header="0" footer="0"/>
  <pageSetup paperSize="9" orientation="portrait" r:id="rId1"/>
  <headerFooter>
    <oddFooter xml:space="preserve">&amp;L&amp;07&amp;"Arial"Microsoft Excel Ver. 14.0 (Build 6024)
File: I:\Stress toolbox\Blast\Under Development\&amp;F
Licensed To: Microsoft&amp;R&amp;07&amp;"Arial"Date: &amp;D Time: &amp;T
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'Zone Table'!$A$4:$A$21</xm:f>
          </x14:formula1>
          <xm:sqref>C30:E43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54"/>
  <sheetViews>
    <sheetView workbookViewId="0">
      <selection sqref="A1:F4"/>
    </sheetView>
  </sheetViews>
  <sheetFormatPr defaultColWidth="2.6640625" defaultRowHeight="14.4"/>
  <cols>
    <col min="1" max="16384" width="2.6640625" style="9"/>
  </cols>
  <sheetData>
    <row r="1" spans="1:40" ht="18.600000000000001" customHeight="1">
      <c r="A1" s="205"/>
      <c r="B1" s="206"/>
      <c r="C1" s="207"/>
      <c r="D1" s="207"/>
      <c r="E1" s="207"/>
      <c r="F1" s="208"/>
      <c r="G1" s="1" t="s">
        <v>0</v>
      </c>
      <c r="H1" s="2"/>
      <c r="I1" s="3"/>
      <c r="J1" s="3"/>
      <c r="K1" s="4"/>
      <c r="L1" s="3"/>
      <c r="M1" s="3"/>
      <c r="N1" s="5" t="s">
        <v>1</v>
      </c>
      <c r="O1" s="3"/>
      <c r="P1" s="3"/>
      <c r="Q1" s="3"/>
      <c r="R1" s="6" t="s">
        <v>2</v>
      </c>
      <c r="S1" s="7"/>
      <c r="T1" s="3"/>
      <c r="U1" s="8"/>
      <c r="V1" s="1" t="s">
        <v>3</v>
      </c>
      <c r="W1" s="4"/>
      <c r="X1" s="4"/>
      <c r="Y1" s="3"/>
      <c r="Z1" s="3"/>
      <c r="AA1" s="3"/>
      <c r="AB1" s="3"/>
      <c r="AC1" s="3"/>
      <c r="AD1" s="3"/>
      <c r="AE1" s="3"/>
      <c r="AF1" s="3"/>
      <c r="AG1" s="8"/>
    </row>
    <row r="2" spans="1:40" ht="39" customHeight="1" thickBot="1">
      <c r="A2" s="209"/>
      <c r="B2" s="210"/>
      <c r="C2" s="211"/>
      <c r="D2" s="211"/>
      <c r="E2" s="211"/>
      <c r="F2" s="212"/>
      <c r="G2" s="230" t="str">
        <f>'Blast (Peak)'!G2</f>
        <v>GREATER STELLA AREA DEVELOPMENT</v>
      </c>
      <c r="H2" s="233"/>
      <c r="I2" s="233"/>
      <c r="J2" s="233"/>
      <c r="K2" s="233"/>
      <c r="L2" s="233"/>
      <c r="M2" s="234"/>
      <c r="N2" s="277" t="str">
        <f>'Blast (Peak)'!N2</f>
        <v>JU11805D</v>
      </c>
      <c r="O2" s="236"/>
      <c r="P2" s="236"/>
      <c r="Q2" s="237"/>
      <c r="R2" s="230" t="str">
        <f>'Blast (Peak)'!R2</f>
        <v>ITHACA ENERGY</v>
      </c>
      <c r="S2" s="231"/>
      <c r="T2" s="231"/>
      <c r="U2" s="232"/>
      <c r="V2" s="227" t="str">
        <f>'Blast (Peak)'!V2</f>
        <v>FPF1-HC-009</v>
      </c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9"/>
      <c r="AL2" s="141"/>
    </row>
    <row r="3" spans="1:40" ht="18.600000000000001" customHeight="1">
      <c r="A3" s="209"/>
      <c r="B3" s="210"/>
      <c r="C3" s="211"/>
      <c r="D3" s="211"/>
      <c r="E3" s="211"/>
      <c r="F3" s="212"/>
      <c r="G3" s="1" t="s">
        <v>6</v>
      </c>
      <c r="H3" s="10"/>
      <c r="I3" s="10"/>
      <c r="J3" s="10"/>
      <c r="K3" s="10"/>
      <c r="L3" s="10"/>
      <c r="M3" s="10"/>
      <c r="N3" s="10"/>
      <c r="O3" s="10"/>
      <c r="P3" s="10"/>
      <c r="Q3" s="2"/>
      <c r="R3" s="1" t="s">
        <v>7</v>
      </c>
      <c r="S3" s="10"/>
      <c r="T3" s="3"/>
      <c r="U3" s="8"/>
      <c r="V3" s="6" t="s">
        <v>8</v>
      </c>
      <c r="W3" s="3"/>
      <c r="X3" s="3"/>
      <c r="Y3" s="8"/>
      <c r="Z3" s="6" t="s">
        <v>9</v>
      </c>
      <c r="AA3" s="3"/>
      <c r="AB3" s="3"/>
      <c r="AC3" s="8"/>
      <c r="AD3" s="6" t="s">
        <v>10</v>
      </c>
      <c r="AE3" s="3"/>
      <c r="AF3" s="3"/>
      <c r="AG3" s="8"/>
    </row>
    <row r="4" spans="1:40" ht="37.200000000000003" customHeight="1" thickBot="1">
      <c r="A4" s="213"/>
      <c r="B4" s="214"/>
      <c r="C4" s="215"/>
      <c r="D4" s="215"/>
      <c r="E4" s="215"/>
      <c r="F4" s="216"/>
      <c r="G4" s="227" t="s">
        <v>66</v>
      </c>
      <c r="H4" s="228"/>
      <c r="I4" s="228"/>
      <c r="J4" s="228"/>
      <c r="K4" s="228"/>
      <c r="L4" s="228"/>
      <c r="M4" s="228"/>
      <c r="N4" s="228"/>
      <c r="O4" s="228"/>
      <c r="P4" s="228"/>
      <c r="Q4" s="229"/>
      <c r="R4" s="230" t="str">
        <f>'Blast (Peak)'!R4</f>
        <v>Piping Stress</v>
      </c>
      <c r="S4" s="231"/>
      <c r="T4" s="231"/>
      <c r="U4" s="232"/>
      <c r="V4" s="227" t="str">
        <f>'Blast (Peak)'!V4</f>
        <v>C</v>
      </c>
      <c r="W4" s="228"/>
      <c r="X4" s="228"/>
      <c r="Y4" s="229"/>
      <c r="Z4" s="224">
        <f>'Blast (Peak)'!Z4</f>
        <v>41471</v>
      </c>
      <c r="AA4" s="225"/>
      <c r="AB4" s="225"/>
      <c r="AC4" s="226"/>
      <c r="AD4" s="221">
        <f>Zones!AD4+1</f>
        <v>4</v>
      </c>
      <c r="AE4" s="222"/>
      <c r="AF4" s="222"/>
      <c r="AG4" s="223"/>
    </row>
    <row r="5" spans="1:40">
      <c r="A5" s="217" t="s">
        <v>13</v>
      </c>
      <c r="B5" s="218"/>
      <c r="C5" s="219" t="s">
        <v>15</v>
      </c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  <c r="AD5" s="238"/>
      <c r="AE5" s="218"/>
      <c r="AF5" s="219" t="s">
        <v>14</v>
      </c>
      <c r="AG5" s="220"/>
    </row>
    <row r="6" spans="1:40">
      <c r="A6" s="11"/>
      <c r="B6" s="14"/>
      <c r="C6" s="13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2"/>
      <c r="AF6" s="14"/>
      <c r="AG6" s="15"/>
    </row>
    <row r="7" spans="1:40" ht="14.4" customHeight="1">
      <c r="A7" s="16"/>
      <c r="B7" s="17"/>
      <c r="C7" s="142"/>
      <c r="D7" s="268" t="s">
        <v>39</v>
      </c>
      <c r="E7" s="268"/>
      <c r="F7" s="268"/>
      <c r="G7" s="268" t="s">
        <v>103</v>
      </c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180" t="s">
        <v>102</v>
      </c>
      <c r="W7" s="180"/>
      <c r="X7" s="180"/>
      <c r="Y7" s="180"/>
      <c r="Z7" s="180"/>
      <c r="AA7" s="180"/>
      <c r="AB7" s="268" t="s">
        <v>34</v>
      </c>
      <c r="AC7" s="268"/>
      <c r="AD7" s="268"/>
      <c r="AE7" s="142"/>
      <c r="AF7" s="18"/>
      <c r="AG7" s="21"/>
    </row>
    <row r="8" spans="1:40" ht="14.4" customHeight="1">
      <c r="A8" s="16"/>
      <c r="B8" s="17"/>
      <c r="C8" s="142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8"/>
      <c r="V8" s="288" t="s">
        <v>96</v>
      </c>
      <c r="W8" s="289"/>
      <c r="X8" s="290"/>
      <c r="Y8" s="291" t="s">
        <v>97</v>
      </c>
      <c r="Z8" s="291"/>
      <c r="AA8" s="291"/>
      <c r="AB8" s="268"/>
      <c r="AC8" s="268"/>
      <c r="AD8" s="268"/>
      <c r="AE8" s="142"/>
      <c r="AF8" s="18"/>
      <c r="AG8" s="21"/>
    </row>
    <row r="9" spans="1:40" ht="14.4" customHeight="1">
      <c r="A9" s="16"/>
      <c r="B9" s="19"/>
      <c r="C9" s="18"/>
      <c r="D9" s="269" t="s">
        <v>101</v>
      </c>
      <c r="E9" s="270"/>
      <c r="F9" s="270"/>
      <c r="G9" s="270"/>
      <c r="H9" s="270"/>
      <c r="I9" s="270"/>
      <c r="J9" s="270"/>
      <c r="K9" s="270"/>
      <c r="L9" s="270"/>
      <c r="M9" s="270"/>
      <c r="N9" s="270"/>
      <c r="O9" s="270"/>
      <c r="P9" s="270"/>
      <c r="Q9" s="270"/>
      <c r="R9" s="270"/>
      <c r="S9" s="270"/>
      <c r="T9" s="270"/>
      <c r="U9" s="270"/>
      <c r="V9" s="270"/>
      <c r="W9" s="270"/>
      <c r="X9" s="270"/>
      <c r="Y9" s="270"/>
      <c r="Z9" s="270"/>
      <c r="AA9" s="270"/>
      <c r="AB9" s="270"/>
      <c r="AC9" s="270"/>
      <c r="AD9" s="271"/>
      <c r="AE9" s="17"/>
      <c r="AF9" s="19"/>
      <c r="AG9" s="21"/>
    </row>
    <row r="10" spans="1:40">
      <c r="A10" s="16"/>
      <c r="B10" s="17"/>
      <c r="C10" s="142"/>
      <c r="D10" s="292" t="s">
        <v>16</v>
      </c>
      <c r="E10" s="293"/>
      <c r="F10" s="293"/>
      <c r="G10" s="143" t="s">
        <v>67</v>
      </c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5"/>
      <c r="V10" s="267">
        <v>0.255</v>
      </c>
      <c r="W10" s="267"/>
      <c r="X10" s="267"/>
      <c r="Y10" s="267">
        <f>V10/AM19</f>
        <v>6.1056786102131701E-2</v>
      </c>
      <c r="Z10" s="267"/>
      <c r="AA10" s="267"/>
      <c r="AB10" s="294" t="str">
        <f>E45&amp;", "&amp;E48</f>
        <v>iii), vi)</v>
      </c>
      <c r="AC10" s="294"/>
      <c r="AD10" s="295"/>
      <c r="AE10" s="142"/>
      <c r="AF10" s="18"/>
      <c r="AG10" s="21"/>
      <c r="AM10" s="307">
        <f>0.936/V10</f>
        <v>3.6705882352941179</v>
      </c>
      <c r="AN10" s="307"/>
    </row>
    <row r="11" spans="1:40">
      <c r="A11" s="16"/>
      <c r="B11" s="17"/>
      <c r="C11" s="142"/>
      <c r="D11" s="192" t="s">
        <v>20</v>
      </c>
      <c r="E11" s="193"/>
      <c r="F11" s="193"/>
      <c r="G11" s="146" t="s">
        <v>68</v>
      </c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8"/>
      <c r="V11" s="195">
        <v>0.183</v>
      </c>
      <c r="W11" s="195"/>
      <c r="X11" s="195"/>
      <c r="Y11" s="195">
        <f>V11/AM19</f>
        <v>4.381722296741216E-2</v>
      </c>
      <c r="Z11" s="195"/>
      <c r="AA11" s="195"/>
      <c r="AB11" s="296" t="str">
        <f>E45&amp;", "&amp;E48</f>
        <v>iii), vi)</v>
      </c>
      <c r="AC11" s="296"/>
      <c r="AD11" s="297"/>
      <c r="AE11" s="142"/>
      <c r="AF11" s="18"/>
      <c r="AG11" s="21"/>
      <c r="AM11" s="307">
        <f>1.229/V11</f>
        <v>6.7158469945355197</v>
      </c>
      <c r="AN11" s="307"/>
    </row>
    <row r="12" spans="1:40">
      <c r="A12" s="16"/>
      <c r="B12" s="17"/>
      <c r="C12" s="142"/>
      <c r="D12" s="192" t="s">
        <v>21</v>
      </c>
      <c r="E12" s="193"/>
      <c r="F12" s="193"/>
      <c r="G12" s="146" t="s">
        <v>69</v>
      </c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8"/>
      <c r="V12" s="195">
        <v>0.13800000000000001</v>
      </c>
      <c r="W12" s="195"/>
      <c r="X12" s="195"/>
      <c r="Y12" s="195">
        <f>V12/AM19</f>
        <v>3.3042496008212449E-2</v>
      </c>
      <c r="Z12" s="195"/>
      <c r="AA12" s="195"/>
      <c r="AB12" s="296" t="str">
        <f>E45&amp;", "&amp;E48</f>
        <v>iii), vi)</v>
      </c>
      <c r="AC12" s="296"/>
      <c r="AD12" s="297"/>
      <c r="AE12" s="142"/>
      <c r="AF12" s="18"/>
      <c r="AG12" s="21"/>
      <c r="AM12" s="307">
        <f>0.438/V12</f>
        <v>3.1739130434782608</v>
      </c>
      <c r="AN12" s="307"/>
    </row>
    <row r="13" spans="1:40">
      <c r="A13" s="16"/>
      <c r="B13" s="17"/>
      <c r="C13" s="142"/>
      <c r="D13" s="192" t="s">
        <v>22</v>
      </c>
      <c r="E13" s="193"/>
      <c r="F13" s="193"/>
      <c r="G13" s="146" t="s">
        <v>70</v>
      </c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8"/>
      <c r="V13" s="195">
        <v>0.28999999999999998</v>
      </c>
      <c r="W13" s="195"/>
      <c r="X13" s="195"/>
      <c r="Y13" s="195">
        <f>V13/AM19</f>
        <v>6.9437129292620359E-2</v>
      </c>
      <c r="Z13" s="195"/>
      <c r="AA13" s="195"/>
      <c r="AB13" s="296" t="str">
        <f>E45&amp;", "&amp;E48</f>
        <v>iii), vi)</v>
      </c>
      <c r="AC13" s="296"/>
      <c r="AD13" s="297"/>
      <c r="AE13" s="142"/>
      <c r="AF13" s="18"/>
      <c r="AG13" s="21"/>
      <c r="AM13" s="307">
        <f>0.993/V13</f>
        <v>3.4241379310344828</v>
      </c>
      <c r="AN13" s="307"/>
    </row>
    <row r="14" spans="1:40">
      <c r="A14" s="16"/>
      <c r="B14" s="17"/>
      <c r="C14" s="142"/>
      <c r="D14" s="192" t="s">
        <v>23</v>
      </c>
      <c r="E14" s="193"/>
      <c r="F14" s="193"/>
      <c r="G14" s="146" t="s">
        <v>93</v>
      </c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8"/>
      <c r="V14" s="195">
        <f>2.278/AM21</f>
        <v>0.67008132842443613</v>
      </c>
      <c r="W14" s="195"/>
      <c r="X14" s="195"/>
      <c r="Y14" s="195">
        <f>V14/AM19</f>
        <v>0.16044318564958063</v>
      </c>
      <c r="Z14" s="195"/>
      <c r="AA14" s="195"/>
      <c r="AB14" s="298" t="str">
        <f>E47&amp;", "&amp;E48</f>
        <v>v), vi)</v>
      </c>
      <c r="AC14" s="296"/>
      <c r="AD14" s="297"/>
      <c r="AE14" s="142"/>
      <c r="AF14" s="18"/>
      <c r="AG14" s="21"/>
      <c r="AM14" s="307">
        <v>2.278</v>
      </c>
      <c r="AN14" s="307"/>
    </row>
    <row r="15" spans="1:40">
      <c r="A15" s="16"/>
      <c r="B15" s="17"/>
      <c r="C15" s="142"/>
      <c r="D15" s="299" t="s">
        <v>24</v>
      </c>
      <c r="E15" s="300"/>
      <c r="F15" s="300"/>
      <c r="G15" s="146" t="s">
        <v>94</v>
      </c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8"/>
      <c r="V15" s="195">
        <f>0.047/AM21</f>
        <v>1.3825207390670982E-2</v>
      </c>
      <c r="W15" s="195"/>
      <c r="X15" s="195"/>
      <c r="Y15" s="195">
        <f>V15/AM19</f>
        <v>3.3102852175286605E-3</v>
      </c>
      <c r="Z15" s="195"/>
      <c r="AA15" s="195"/>
      <c r="AB15" s="296" t="str">
        <f>E47&amp;", "&amp;E48</f>
        <v>v), vi)</v>
      </c>
      <c r="AC15" s="296"/>
      <c r="AD15" s="297"/>
      <c r="AE15" s="142"/>
      <c r="AF15" s="18"/>
      <c r="AG15" s="21"/>
      <c r="AM15" s="307"/>
      <c r="AN15" s="307"/>
    </row>
    <row r="16" spans="1:40">
      <c r="A16" s="16"/>
      <c r="B16" s="17"/>
      <c r="C16" s="142"/>
      <c r="D16" s="192" t="s">
        <v>25</v>
      </c>
      <c r="E16" s="193"/>
      <c r="F16" s="193"/>
      <c r="G16" s="146" t="s">
        <v>71</v>
      </c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8"/>
      <c r="V16" s="195">
        <v>0.22</v>
      </c>
      <c r="W16" s="195"/>
      <c r="X16" s="195"/>
      <c r="Y16" s="195">
        <v>8.4000000000000005E-2</v>
      </c>
      <c r="Z16" s="195"/>
      <c r="AA16" s="195"/>
      <c r="AB16" s="298" t="str">
        <f>E46</f>
        <v>iv)</v>
      </c>
      <c r="AC16" s="296"/>
      <c r="AD16" s="297"/>
      <c r="AE16" s="142"/>
      <c r="AF16" s="18"/>
      <c r="AG16" s="21"/>
      <c r="AM16" s="307">
        <f>0.35/V16</f>
        <v>1.5909090909090908</v>
      </c>
      <c r="AN16" s="307"/>
    </row>
    <row r="17" spans="1:40">
      <c r="A17" s="16"/>
      <c r="B17" s="17"/>
      <c r="C17" s="142"/>
      <c r="D17" s="192" t="s">
        <v>26</v>
      </c>
      <c r="E17" s="193"/>
      <c r="F17" s="193"/>
      <c r="G17" s="146" t="s">
        <v>72</v>
      </c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8"/>
      <c r="V17" s="195">
        <v>0.27600000000000002</v>
      </c>
      <c r="W17" s="195"/>
      <c r="X17" s="195"/>
      <c r="Y17" s="195">
        <v>9.2999999999999999E-2</v>
      </c>
      <c r="Z17" s="195"/>
      <c r="AA17" s="195"/>
      <c r="AB17" s="296" t="str">
        <f>E45&amp;", "&amp;E46</f>
        <v>iii), iv)</v>
      </c>
      <c r="AC17" s="296"/>
      <c r="AD17" s="297"/>
      <c r="AE17" s="142"/>
      <c r="AF17" s="18"/>
      <c r="AG17" s="21"/>
      <c r="AM17" s="307">
        <f>0.919/V17</f>
        <v>3.3297101449275361</v>
      </c>
      <c r="AN17" s="307"/>
    </row>
    <row r="18" spans="1:40">
      <c r="A18" s="16"/>
      <c r="B18" s="17"/>
      <c r="C18" s="142"/>
      <c r="D18" s="192" t="s">
        <v>73</v>
      </c>
      <c r="E18" s="193"/>
      <c r="F18" s="193"/>
      <c r="G18" s="146" t="s">
        <v>74</v>
      </c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8"/>
      <c r="V18" s="195">
        <v>0.48699999999999999</v>
      </c>
      <c r="W18" s="195"/>
      <c r="X18" s="195"/>
      <c r="Y18" s="195">
        <v>8.6999999999999994E-2</v>
      </c>
      <c r="Z18" s="195"/>
      <c r="AA18" s="195"/>
      <c r="AB18" s="296" t="str">
        <f>E46</f>
        <v>iv)</v>
      </c>
      <c r="AC18" s="296"/>
      <c r="AD18" s="297"/>
      <c r="AE18" s="142"/>
      <c r="AF18" s="18"/>
      <c r="AG18" s="21"/>
      <c r="AM18" s="307"/>
      <c r="AN18" s="307"/>
    </row>
    <row r="19" spans="1:40">
      <c r="A19" s="16"/>
      <c r="B19" s="17"/>
      <c r="C19" s="142"/>
      <c r="D19" s="192" t="s">
        <v>75</v>
      </c>
      <c r="E19" s="193"/>
      <c r="F19" s="193"/>
      <c r="G19" s="146" t="s">
        <v>76</v>
      </c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8"/>
      <c r="V19" s="195">
        <v>0.35899999999999999</v>
      </c>
      <c r="W19" s="195"/>
      <c r="X19" s="195"/>
      <c r="Y19" s="195">
        <v>5.2999999999999999E-2</v>
      </c>
      <c r="Z19" s="195"/>
      <c r="AA19" s="195"/>
      <c r="AB19" s="296" t="str">
        <f>E46</f>
        <v>iv)</v>
      </c>
      <c r="AC19" s="296"/>
      <c r="AD19" s="297"/>
      <c r="AE19" s="142"/>
      <c r="AF19" s="18"/>
      <c r="AG19" s="21"/>
      <c r="AM19" s="307">
        <f>AVERAGE(V16/Y16,V18/Y18,V19/Y19,V20/Y20,V21/Y21,V22/Y22,V23/Y23)</f>
        <v>4.1764399386081852</v>
      </c>
      <c r="AN19" s="307"/>
    </row>
    <row r="20" spans="1:40">
      <c r="A20" s="16"/>
      <c r="B20" s="17"/>
      <c r="C20" s="142"/>
      <c r="D20" s="192" t="s">
        <v>77</v>
      </c>
      <c r="E20" s="193"/>
      <c r="F20" s="193"/>
      <c r="G20" s="146" t="s">
        <v>78</v>
      </c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8"/>
      <c r="V20" s="195">
        <v>0.32900000000000001</v>
      </c>
      <c r="W20" s="195"/>
      <c r="X20" s="195"/>
      <c r="Y20" s="195">
        <v>7.2999999999999995E-2</v>
      </c>
      <c r="Z20" s="195"/>
      <c r="AA20" s="195"/>
      <c r="AB20" s="296" t="str">
        <f>E46</f>
        <v>iv)</v>
      </c>
      <c r="AC20" s="296"/>
      <c r="AD20" s="297"/>
      <c r="AE20" s="142"/>
      <c r="AF20" s="18"/>
      <c r="AG20" s="21"/>
      <c r="AM20" s="307">
        <f>AVERAGEA(AM10:AN19)</f>
        <v>3.5449431723483986</v>
      </c>
      <c r="AN20" s="307"/>
    </row>
    <row r="21" spans="1:40">
      <c r="A21" s="16"/>
      <c r="B21" s="17"/>
      <c r="C21" s="142"/>
      <c r="D21" s="192" t="s">
        <v>79</v>
      </c>
      <c r="E21" s="193"/>
      <c r="F21" s="193"/>
      <c r="G21" s="146" t="s">
        <v>78</v>
      </c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8"/>
      <c r="V21" s="195">
        <v>0.32900000000000001</v>
      </c>
      <c r="W21" s="195"/>
      <c r="X21" s="195"/>
      <c r="Y21" s="195">
        <v>7.2999999999999995E-2</v>
      </c>
      <c r="Z21" s="195"/>
      <c r="AA21" s="195"/>
      <c r="AB21" s="296" t="str">
        <f>E46</f>
        <v>iv)</v>
      </c>
      <c r="AC21" s="296"/>
      <c r="AD21" s="297"/>
      <c r="AE21" s="142"/>
      <c r="AF21" s="18"/>
      <c r="AG21" s="21"/>
      <c r="AM21" s="307">
        <f>AVERAGE(AM10,AM12,AM13,AM17)</f>
        <v>3.3995873386835997</v>
      </c>
      <c r="AN21" s="307"/>
    </row>
    <row r="22" spans="1:40">
      <c r="A22" s="16"/>
      <c r="B22" s="17"/>
      <c r="C22" s="142"/>
      <c r="D22" s="192" t="s">
        <v>54</v>
      </c>
      <c r="E22" s="193"/>
      <c r="F22" s="193"/>
      <c r="G22" s="146" t="s">
        <v>80</v>
      </c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8"/>
      <c r="V22" s="195">
        <v>0.32500000000000001</v>
      </c>
      <c r="W22" s="195"/>
      <c r="X22" s="195"/>
      <c r="Y22" s="195">
        <v>8.3000000000000004E-2</v>
      </c>
      <c r="Z22" s="195"/>
      <c r="AA22" s="195"/>
      <c r="AB22" s="296" t="str">
        <f>E46</f>
        <v>iv)</v>
      </c>
      <c r="AC22" s="296"/>
      <c r="AD22" s="297"/>
      <c r="AE22" s="142"/>
      <c r="AF22" s="18"/>
      <c r="AG22" s="21"/>
    </row>
    <row r="23" spans="1:40">
      <c r="A23" s="16"/>
      <c r="B23" s="17"/>
      <c r="C23" s="18"/>
      <c r="D23" s="192" t="s">
        <v>81</v>
      </c>
      <c r="E23" s="193"/>
      <c r="F23" s="193"/>
      <c r="G23" s="146" t="s">
        <v>87</v>
      </c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8"/>
      <c r="V23" s="195">
        <v>0.17100000000000001</v>
      </c>
      <c r="W23" s="195"/>
      <c r="X23" s="195"/>
      <c r="Y23" s="195">
        <v>0.13</v>
      </c>
      <c r="Z23" s="195"/>
      <c r="AA23" s="195"/>
      <c r="AB23" s="298" t="str">
        <f>E46</f>
        <v>iv)</v>
      </c>
      <c r="AC23" s="296"/>
      <c r="AD23" s="297"/>
      <c r="AE23" s="17"/>
      <c r="AF23" s="18"/>
      <c r="AG23" s="21"/>
    </row>
    <row r="24" spans="1:40">
      <c r="A24" s="16"/>
      <c r="B24" s="19"/>
      <c r="C24" s="18"/>
      <c r="D24" s="301" t="s">
        <v>84</v>
      </c>
      <c r="E24" s="302"/>
      <c r="F24" s="303"/>
      <c r="G24" s="149" t="s">
        <v>88</v>
      </c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1"/>
      <c r="V24" s="195">
        <v>1E-3</v>
      </c>
      <c r="W24" s="195"/>
      <c r="X24" s="195"/>
      <c r="Y24" s="195">
        <f>V24/AM19</f>
        <v>2.3943837687110471E-4</v>
      </c>
      <c r="Z24" s="195"/>
      <c r="AA24" s="195"/>
      <c r="AB24" s="304" t="str">
        <f>E45&amp;", "&amp;E48</f>
        <v>iii), vi)</v>
      </c>
      <c r="AC24" s="305"/>
      <c r="AD24" s="306"/>
      <c r="AE24" s="17"/>
      <c r="AF24" s="19"/>
      <c r="AG24" s="21"/>
    </row>
    <row r="25" spans="1:40" ht="15.6">
      <c r="A25" s="16"/>
      <c r="B25" s="17"/>
      <c r="C25" s="18"/>
      <c r="D25" s="269" t="s">
        <v>100</v>
      </c>
      <c r="E25" s="270"/>
      <c r="F25" s="270"/>
      <c r="G25" s="270"/>
      <c r="H25" s="270"/>
      <c r="I25" s="270"/>
      <c r="J25" s="270"/>
      <c r="K25" s="270"/>
      <c r="L25" s="270"/>
      <c r="M25" s="270"/>
      <c r="N25" s="270"/>
      <c r="O25" s="270"/>
      <c r="P25" s="270"/>
      <c r="Q25" s="270"/>
      <c r="R25" s="270"/>
      <c r="S25" s="270"/>
      <c r="T25" s="270"/>
      <c r="U25" s="270"/>
      <c r="V25" s="270"/>
      <c r="W25" s="270"/>
      <c r="X25" s="270"/>
      <c r="Y25" s="270"/>
      <c r="Z25" s="270"/>
      <c r="AA25" s="270"/>
      <c r="AB25" s="270"/>
      <c r="AC25" s="270"/>
      <c r="AD25" s="271"/>
      <c r="AE25" s="17"/>
      <c r="AF25" s="18"/>
      <c r="AG25" s="21"/>
    </row>
    <row r="26" spans="1:40">
      <c r="A26" s="16"/>
      <c r="B26" s="17"/>
      <c r="C26" s="18"/>
      <c r="D26" s="292" t="s">
        <v>16</v>
      </c>
      <c r="E26" s="293"/>
      <c r="F26" s="293"/>
      <c r="G26" s="143" t="s">
        <v>67</v>
      </c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5"/>
      <c r="V26" s="267">
        <f>V10/3</f>
        <v>8.5000000000000006E-2</v>
      </c>
      <c r="W26" s="267"/>
      <c r="X26" s="267"/>
      <c r="Y26" s="267">
        <f>Y10/3</f>
        <v>2.0352262034043899E-2</v>
      </c>
      <c r="Z26" s="267"/>
      <c r="AA26" s="267"/>
      <c r="AB26" s="294"/>
      <c r="AC26" s="294"/>
      <c r="AD26" s="295"/>
      <c r="AE26" s="17"/>
      <c r="AF26" s="18"/>
      <c r="AG26" s="21"/>
    </row>
    <row r="27" spans="1:40">
      <c r="A27" s="16"/>
      <c r="B27" s="17"/>
      <c r="C27" s="18"/>
      <c r="D27" s="192" t="s">
        <v>20</v>
      </c>
      <c r="E27" s="193"/>
      <c r="F27" s="193"/>
      <c r="G27" s="146" t="s">
        <v>68</v>
      </c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8"/>
      <c r="V27" s="195">
        <f>V11/3</f>
        <v>6.0999999999999999E-2</v>
      </c>
      <c r="W27" s="195"/>
      <c r="X27" s="195"/>
      <c r="Y27" s="195">
        <f>Y11/3</f>
        <v>1.4605740989137387E-2</v>
      </c>
      <c r="Z27" s="195"/>
      <c r="AA27" s="195"/>
      <c r="AB27" s="296"/>
      <c r="AC27" s="296"/>
      <c r="AD27" s="297"/>
      <c r="AE27" s="17"/>
      <c r="AF27" s="18"/>
      <c r="AG27" s="21"/>
    </row>
    <row r="28" spans="1:40">
      <c r="A28" s="16"/>
      <c r="B28" s="17"/>
      <c r="C28" s="18"/>
      <c r="D28" s="192" t="s">
        <v>21</v>
      </c>
      <c r="E28" s="193"/>
      <c r="F28" s="193"/>
      <c r="G28" s="146" t="s">
        <v>69</v>
      </c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8"/>
      <c r="V28" s="195">
        <f>V12/3</f>
        <v>4.6000000000000006E-2</v>
      </c>
      <c r="W28" s="195"/>
      <c r="X28" s="195"/>
      <c r="Y28" s="195">
        <f>Y12/3</f>
        <v>1.1014165336070816E-2</v>
      </c>
      <c r="Z28" s="195"/>
      <c r="AA28" s="195"/>
      <c r="AB28" s="296"/>
      <c r="AC28" s="296"/>
      <c r="AD28" s="297"/>
      <c r="AE28" s="17"/>
      <c r="AF28" s="18"/>
      <c r="AG28" s="21"/>
    </row>
    <row r="29" spans="1:40">
      <c r="A29" s="16"/>
      <c r="B29" s="17"/>
      <c r="C29" s="18"/>
      <c r="D29" s="192" t="s">
        <v>22</v>
      </c>
      <c r="E29" s="193"/>
      <c r="F29" s="193"/>
      <c r="G29" s="146" t="s">
        <v>70</v>
      </c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8"/>
      <c r="V29" s="195">
        <f t="shared" ref="V29:V40" si="0">V13/3</f>
        <v>9.6666666666666665E-2</v>
      </c>
      <c r="W29" s="195"/>
      <c r="X29" s="195"/>
      <c r="Y29" s="195">
        <f t="shared" ref="Y29:Y40" si="1">Y13/3</f>
        <v>2.3145709764206785E-2</v>
      </c>
      <c r="Z29" s="195"/>
      <c r="AA29" s="195"/>
      <c r="AB29" s="296"/>
      <c r="AC29" s="296"/>
      <c r="AD29" s="297"/>
      <c r="AE29" s="17"/>
      <c r="AF29" s="18"/>
      <c r="AG29" s="21"/>
    </row>
    <row r="30" spans="1:40">
      <c r="A30" s="16"/>
      <c r="B30" s="17"/>
      <c r="C30" s="18"/>
      <c r="D30" s="192" t="s">
        <v>23</v>
      </c>
      <c r="E30" s="193"/>
      <c r="F30" s="193"/>
      <c r="G30" s="146" t="s">
        <v>93</v>
      </c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8"/>
      <c r="V30" s="195">
        <f t="shared" si="0"/>
        <v>0.22336044280814538</v>
      </c>
      <c r="W30" s="195"/>
      <c r="X30" s="195"/>
      <c r="Y30" s="195">
        <f t="shared" si="1"/>
        <v>5.3481061883193542E-2</v>
      </c>
      <c r="Z30" s="195"/>
      <c r="AA30" s="195"/>
      <c r="AB30" s="298"/>
      <c r="AC30" s="296"/>
      <c r="AD30" s="297"/>
      <c r="AE30" s="17"/>
      <c r="AF30" s="18"/>
      <c r="AG30" s="21"/>
    </row>
    <row r="31" spans="1:40">
      <c r="A31" s="16"/>
      <c r="B31" s="17"/>
      <c r="C31" s="18"/>
      <c r="D31" s="299" t="s">
        <v>24</v>
      </c>
      <c r="E31" s="300"/>
      <c r="F31" s="300"/>
      <c r="G31" s="146" t="s">
        <v>94</v>
      </c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8"/>
      <c r="V31" s="195">
        <f t="shared" si="0"/>
        <v>4.6084024635569942E-3</v>
      </c>
      <c r="W31" s="195"/>
      <c r="X31" s="195"/>
      <c r="Y31" s="195">
        <f t="shared" si="1"/>
        <v>1.1034284058428869E-3</v>
      </c>
      <c r="Z31" s="195"/>
      <c r="AA31" s="195"/>
      <c r="AB31" s="296"/>
      <c r="AC31" s="296"/>
      <c r="AD31" s="297"/>
      <c r="AE31" s="17"/>
      <c r="AF31" s="18"/>
      <c r="AG31" s="21"/>
    </row>
    <row r="32" spans="1:40">
      <c r="A32" s="16"/>
      <c r="B32" s="17"/>
      <c r="C32" s="18"/>
      <c r="D32" s="192" t="s">
        <v>25</v>
      </c>
      <c r="E32" s="193"/>
      <c r="F32" s="193"/>
      <c r="G32" s="146" t="s">
        <v>71</v>
      </c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8"/>
      <c r="V32" s="195">
        <f t="shared" si="0"/>
        <v>7.3333333333333334E-2</v>
      </c>
      <c r="W32" s="195"/>
      <c r="X32" s="195"/>
      <c r="Y32" s="195">
        <f t="shared" si="1"/>
        <v>2.8000000000000001E-2</v>
      </c>
      <c r="Z32" s="195"/>
      <c r="AA32" s="195"/>
      <c r="AB32" s="298"/>
      <c r="AC32" s="296"/>
      <c r="AD32" s="297"/>
      <c r="AE32" s="17"/>
      <c r="AF32" s="18"/>
      <c r="AG32" s="21"/>
    </row>
    <row r="33" spans="1:33">
      <c r="A33" s="16"/>
      <c r="B33" s="17"/>
      <c r="C33" s="18"/>
      <c r="D33" s="192" t="s">
        <v>26</v>
      </c>
      <c r="E33" s="193"/>
      <c r="F33" s="193"/>
      <c r="G33" s="146" t="s">
        <v>72</v>
      </c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8"/>
      <c r="V33" s="195">
        <f t="shared" si="0"/>
        <v>9.2000000000000012E-2</v>
      </c>
      <c r="W33" s="195"/>
      <c r="X33" s="195"/>
      <c r="Y33" s="195">
        <f t="shared" si="1"/>
        <v>3.1E-2</v>
      </c>
      <c r="Z33" s="195"/>
      <c r="AA33" s="195"/>
      <c r="AB33" s="296"/>
      <c r="AC33" s="296"/>
      <c r="AD33" s="297"/>
      <c r="AE33" s="17"/>
      <c r="AF33" s="18"/>
      <c r="AG33" s="21"/>
    </row>
    <row r="34" spans="1:33">
      <c r="A34" s="16"/>
      <c r="B34" s="17"/>
      <c r="C34" s="18"/>
      <c r="D34" s="192" t="s">
        <v>73</v>
      </c>
      <c r="E34" s="193"/>
      <c r="F34" s="193"/>
      <c r="G34" s="146" t="s">
        <v>74</v>
      </c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8"/>
      <c r="V34" s="195">
        <f t="shared" si="0"/>
        <v>0.16233333333333333</v>
      </c>
      <c r="W34" s="195"/>
      <c r="X34" s="195"/>
      <c r="Y34" s="195">
        <f t="shared" si="1"/>
        <v>2.8999999999999998E-2</v>
      </c>
      <c r="Z34" s="195"/>
      <c r="AA34" s="195"/>
      <c r="AB34" s="296"/>
      <c r="AC34" s="296"/>
      <c r="AD34" s="297"/>
      <c r="AE34" s="17"/>
      <c r="AF34" s="18"/>
      <c r="AG34" s="21"/>
    </row>
    <row r="35" spans="1:33">
      <c r="A35" s="16"/>
      <c r="B35" s="17"/>
      <c r="C35" s="18"/>
      <c r="D35" s="192" t="s">
        <v>75</v>
      </c>
      <c r="E35" s="193"/>
      <c r="F35" s="193"/>
      <c r="G35" s="146" t="s">
        <v>76</v>
      </c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8"/>
      <c r="V35" s="195">
        <f t="shared" si="0"/>
        <v>0.11966666666666666</v>
      </c>
      <c r="W35" s="195"/>
      <c r="X35" s="195"/>
      <c r="Y35" s="195">
        <f t="shared" si="1"/>
        <v>1.7666666666666667E-2</v>
      </c>
      <c r="Z35" s="195"/>
      <c r="AA35" s="195"/>
      <c r="AB35" s="296"/>
      <c r="AC35" s="296"/>
      <c r="AD35" s="297"/>
      <c r="AE35" s="17"/>
      <c r="AF35" s="18"/>
      <c r="AG35" s="21"/>
    </row>
    <row r="36" spans="1:33">
      <c r="A36" s="16"/>
      <c r="B36" s="17"/>
      <c r="C36" s="18"/>
      <c r="D36" s="192" t="s">
        <v>77</v>
      </c>
      <c r="E36" s="193"/>
      <c r="F36" s="193"/>
      <c r="G36" s="146" t="s">
        <v>78</v>
      </c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8"/>
      <c r="V36" s="195">
        <f t="shared" si="0"/>
        <v>0.10966666666666668</v>
      </c>
      <c r="W36" s="195"/>
      <c r="X36" s="195"/>
      <c r="Y36" s="195">
        <f t="shared" si="1"/>
        <v>2.4333333333333332E-2</v>
      </c>
      <c r="Z36" s="195"/>
      <c r="AA36" s="195"/>
      <c r="AB36" s="296"/>
      <c r="AC36" s="296"/>
      <c r="AD36" s="297"/>
      <c r="AE36" s="17"/>
      <c r="AF36" s="18"/>
      <c r="AG36" s="21"/>
    </row>
    <row r="37" spans="1:33">
      <c r="A37" s="16"/>
      <c r="B37" s="17"/>
      <c r="C37" s="18"/>
      <c r="D37" s="192" t="s">
        <v>79</v>
      </c>
      <c r="E37" s="193"/>
      <c r="F37" s="193"/>
      <c r="G37" s="146" t="s">
        <v>78</v>
      </c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8"/>
      <c r="V37" s="195">
        <f t="shared" si="0"/>
        <v>0.10966666666666668</v>
      </c>
      <c r="W37" s="195"/>
      <c r="X37" s="195"/>
      <c r="Y37" s="195">
        <f t="shared" si="1"/>
        <v>2.4333333333333332E-2</v>
      </c>
      <c r="Z37" s="195"/>
      <c r="AA37" s="195"/>
      <c r="AB37" s="296"/>
      <c r="AC37" s="296"/>
      <c r="AD37" s="297"/>
      <c r="AE37" s="17"/>
      <c r="AF37" s="18"/>
      <c r="AG37" s="21"/>
    </row>
    <row r="38" spans="1:33">
      <c r="A38" s="16"/>
      <c r="B38" s="17"/>
      <c r="C38" s="18"/>
      <c r="D38" s="192" t="s">
        <v>54</v>
      </c>
      <c r="E38" s="193"/>
      <c r="F38" s="193"/>
      <c r="G38" s="146" t="s">
        <v>80</v>
      </c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8"/>
      <c r="V38" s="195">
        <f t="shared" si="0"/>
        <v>0.10833333333333334</v>
      </c>
      <c r="W38" s="195"/>
      <c r="X38" s="195"/>
      <c r="Y38" s="195">
        <f t="shared" si="1"/>
        <v>2.7666666666666669E-2</v>
      </c>
      <c r="Z38" s="195"/>
      <c r="AA38" s="195"/>
      <c r="AB38" s="296"/>
      <c r="AC38" s="296"/>
      <c r="AD38" s="297"/>
      <c r="AE38" s="17"/>
      <c r="AF38" s="18"/>
      <c r="AG38" s="21"/>
    </row>
    <row r="39" spans="1:33">
      <c r="A39" s="16"/>
      <c r="B39" s="17"/>
      <c r="C39" s="18"/>
      <c r="D39" s="192" t="s">
        <v>81</v>
      </c>
      <c r="E39" s="193"/>
      <c r="F39" s="193"/>
      <c r="G39" s="146" t="s">
        <v>87</v>
      </c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8"/>
      <c r="V39" s="195">
        <f t="shared" si="0"/>
        <v>5.7000000000000002E-2</v>
      </c>
      <c r="W39" s="195"/>
      <c r="X39" s="195"/>
      <c r="Y39" s="195">
        <f t="shared" si="1"/>
        <v>4.3333333333333335E-2</v>
      </c>
      <c r="Z39" s="195"/>
      <c r="AA39" s="195"/>
      <c r="AB39" s="298"/>
      <c r="AC39" s="296"/>
      <c r="AD39" s="297"/>
      <c r="AE39" s="17"/>
      <c r="AF39" s="18"/>
      <c r="AG39" s="21"/>
    </row>
    <row r="40" spans="1:33">
      <c r="A40" s="16"/>
      <c r="B40" s="17"/>
      <c r="C40" s="18"/>
      <c r="D40" s="301" t="s">
        <v>84</v>
      </c>
      <c r="E40" s="302"/>
      <c r="F40" s="303"/>
      <c r="G40" s="149" t="s">
        <v>88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1"/>
      <c r="V40" s="259">
        <f t="shared" si="0"/>
        <v>3.3333333333333332E-4</v>
      </c>
      <c r="W40" s="259"/>
      <c r="X40" s="259"/>
      <c r="Y40" s="259">
        <f t="shared" si="1"/>
        <v>7.9812792290368242E-5</v>
      </c>
      <c r="Z40" s="259"/>
      <c r="AA40" s="259"/>
      <c r="AB40" s="304"/>
      <c r="AC40" s="305"/>
      <c r="AD40" s="306"/>
      <c r="AE40" s="17"/>
      <c r="AF40" s="18"/>
      <c r="AG40" s="21"/>
    </row>
    <row r="41" spans="1:33">
      <c r="A41" s="16"/>
      <c r="B41" s="17"/>
      <c r="C41" s="18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7"/>
      <c r="AF41" s="18"/>
      <c r="AG41" s="21"/>
    </row>
    <row r="42" spans="1:33">
      <c r="A42" s="16"/>
      <c r="B42" s="17"/>
      <c r="C42" s="18"/>
      <c r="D42" s="19" t="s">
        <v>89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7"/>
      <c r="AF42" s="18"/>
      <c r="AG42" s="21"/>
    </row>
    <row r="43" spans="1:33" s="138" customFormat="1" ht="10.199999999999999">
      <c r="A43" s="132"/>
      <c r="B43" s="133"/>
      <c r="C43" s="134"/>
      <c r="D43" s="136"/>
      <c r="E43" s="169" t="s">
        <v>35</v>
      </c>
      <c r="F43" s="168" t="s">
        <v>98</v>
      </c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3"/>
      <c r="AF43" s="134"/>
      <c r="AG43" s="137"/>
    </row>
    <row r="44" spans="1:33" s="138" customFormat="1" ht="10.199999999999999">
      <c r="A44" s="132"/>
      <c r="B44" s="133"/>
      <c r="C44" s="134"/>
      <c r="D44" s="136"/>
      <c r="E44" s="170" t="s">
        <v>36</v>
      </c>
      <c r="F44" s="172" t="s">
        <v>107</v>
      </c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3"/>
      <c r="AF44" s="134"/>
      <c r="AG44" s="137"/>
    </row>
    <row r="45" spans="1:33" s="138" customFormat="1" ht="10.199999999999999">
      <c r="A45" s="132"/>
      <c r="B45" s="133"/>
      <c r="C45" s="134"/>
      <c r="D45" s="136"/>
      <c r="E45" s="170" t="s">
        <v>37</v>
      </c>
      <c r="F45" s="172" t="s">
        <v>108</v>
      </c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3"/>
      <c r="AF45" s="134"/>
      <c r="AG45" s="137"/>
    </row>
    <row r="46" spans="1:33" s="138" customFormat="1" ht="10.199999999999999">
      <c r="A46" s="132"/>
      <c r="B46" s="133"/>
      <c r="C46" s="134"/>
      <c r="D46" s="136"/>
      <c r="E46" s="170" t="s">
        <v>38</v>
      </c>
      <c r="F46" s="172" t="s">
        <v>109</v>
      </c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6"/>
      <c r="AD46" s="136"/>
      <c r="AE46" s="133"/>
      <c r="AF46" s="134"/>
      <c r="AG46" s="137"/>
    </row>
    <row r="47" spans="1:33" s="138" customFormat="1" ht="10.199999999999999">
      <c r="A47" s="132"/>
      <c r="B47" s="133"/>
      <c r="C47" s="134"/>
      <c r="D47" s="136"/>
      <c r="E47" s="170" t="s">
        <v>61</v>
      </c>
      <c r="F47" s="168" t="s">
        <v>106</v>
      </c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3"/>
      <c r="AF47" s="134"/>
      <c r="AG47" s="137"/>
    </row>
    <row r="48" spans="1:33" s="138" customFormat="1" ht="10.199999999999999">
      <c r="A48" s="132"/>
      <c r="B48" s="133"/>
      <c r="C48" s="134"/>
      <c r="D48" s="136"/>
      <c r="E48" s="170" t="s">
        <v>63</v>
      </c>
      <c r="F48" s="171" t="s">
        <v>110</v>
      </c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3"/>
      <c r="AF48" s="134"/>
      <c r="AG48" s="137"/>
    </row>
    <row r="49" spans="1:33" s="138" customFormat="1" ht="10.199999999999999">
      <c r="A49" s="132"/>
      <c r="B49" s="133"/>
      <c r="C49" s="134"/>
      <c r="D49" s="136"/>
      <c r="E49" s="170" t="s">
        <v>64</v>
      </c>
      <c r="F49" s="168" t="s">
        <v>99</v>
      </c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3"/>
      <c r="AF49" s="134"/>
      <c r="AG49" s="137"/>
    </row>
    <row r="50" spans="1:33" s="138" customFormat="1" ht="10.199999999999999">
      <c r="A50" s="132"/>
      <c r="B50" s="133"/>
      <c r="C50" s="134"/>
      <c r="D50" s="136"/>
      <c r="E50" s="170"/>
      <c r="F50" s="171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3"/>
      <c r="AF50" s="134"/>
      <c r="AG50" s="137"/>
    </row>
    <row r="51" spans="1:33" s="138" customFormat="1" ht="10.199999999999999">
      <c r="A51" s="132"/>
      <c r="B51" s="133"/>
      <c r="C51" s="134"/>
      <c r="D51" s="136"/>
      <c r="E51" s="170"/>
      <c r="F51" s="168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3"/>
      <c r="AF51" s="134"/>
      <c r="AG51" s="137"/>
    </row>
    <row r="52" spans="1:33" s="138" customFormat="1" ht="10.199999999999999">
      <c r="A52" s="132"/>
      <c r="B52" s="133"/>
      <c r="C52" s="134"/>
      <c r="D52" s="136"/>
      <c r="E52" s="170"/>
      <c r="F52" s="168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3"/>
      <c r="AF52" s="134"/>
      <c r="AG52" s="137"/>
    </row>
    <row r="53" spans="1:33" s="138" customFormat="1" ht="10.199999999999999">
      <c r="A53" s="132"/>
      <c r="B53" s="133"/>
      <c r="C53" s="134"/>
      <c r="D53" s="136"/>
      <c r="E53" s="165"/>
      <c r="F53" s="164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3"/>
      <c r="AF53" s="134"/>
      <c r="AG53" s="137"/>
    </row>
    <row r="54" spans="1:33" s="138" customFormat="1" ht="6.6" customHeight="1" thickBot="1">
      <c r="A54" s="156"/>
      <c r="B54" s="157"/>
      <c r="C54" s="158"/>
      <c r="D54" s="159"/>
      <c r="E54" s="160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7"/>
      <c r="AF54" s="158"/>
      <c r="AG54" s="161"/>
    </row>
  </sheetData>
  <sheetProtection password="8C51" sheet="1" objects="1" scenarios="1" selectLockedCells="1"/>
  <mergeCells count="153">
    <mergeCell ref="AM19:AN19"/>
    <mergeCell ref="AM20:AN20"/>
    <mergeCell ref="AM21:AN21"/>
    <mergeCell ref="AM10:AN10"/>
    <mergeCell ref="AM11:AN11"/>
    <mergeCell ref="AM12:AN12"/>
    <mergeCell ref="AM13:AN13"/>
    <mergeCell ref="AM14:AN14"/>
    <mergeCell ref="AM15:AN15"/>
    <mergeCell ref="AM16:AN16"/>
    <mergeCell ref="AM17:AN17"/>
    <mergeCell ref="AM18:AN18"/>
    <mergeCell ref="D40:F40"/>
    <mergeCell ref="V40:X40"/>
    <mergeCell ref="Y40:AA40"/>
    <mergeCell ref="AB40:AD40"/>
    <mergeCell ref="D38:F38"/>
    <mergeCell ref="V38:X38"/>
    <mergeCell ref="Y38:AA38"/>
    <mergeCell ref="AB38:AD38"/>
    <mergeCell ref="D39:F39"/>
    <mergeCell ref="V39:X39"/>
    <mergeCell ref="Y39:AA39"/>
    <mergeCell ref="AB39:AD39"/>
    <mergeCell ref="D36:F36"/>
    <mergeCell ref="V36:X36"/>
    <mergeCell ref="Y36:AA36"/>
    <mergeCell ref="AB36:AD36"/>
    <mergeCell ref="D37:F37"/>
    <mergeCell ref="V37:X37"/>
    <mergeCell ref="Y37:AA37"/>
    <mergeCell ref="AB37:AD37"/>
    <mergeCell ref="D34:F34"/>
    <mergeCell ref="V34:X34"/>
    <mergeCell ref="Y34:AA34"/>
    <mergeCell ref="AB34:AD34"/>
    <mergeCell ref="D35:F35"/>
    <mergeCell ref="V35:X35"/>
    <mergeCell ref="Y35:AA35"/>
    <mergeCell ref="AB35:AD35"/>
    <mergeCell ref="D32:F32"/>
    <mergeCell ref="V32:X32"/>
    <mergeCell ref="Y32:AA32"/>
    <mergeCell ref="AB32:AD32"/>
    <mergeCell ref="D33:F33"/>
    <mergeCell ref="V33:X33"/>
    <mergeCell ref="Y33:AA33"/>
    <mergeCell ref="AB33:AD33"/>
    <mergeCell ref="D30:F30"/>
    <mergeCell ref="V30:X30"/>
    <mergeCell ref="Y30:AA30"/>
    <mergeCell ref="AB30:AD30"/>
    <mergeCell ref="D31:F31"/>
    <mergeCell ref="V31:X31"/>
    <mergeCell ref="Y31:AA31"/>
    <mergeCell ref="AB31:AD31"/>
    <mergeCell ref="D28:F28"/>
    <mergeCell ref="V28:X28"/>
    <mergeCell ref="Y28:AA28"/>
    <mergeCell ref="AB28:AD28"/>
    <mergeCell ref="D29:F29"/>
    <mergeCell ref="V29:X29"/>
    <mergeCell ref="Y29:AA29"/>
    <mergeCell ref="AB29:AD29"/>
    <mergeCell ref="D26:F26"/>
    <mergeCell ref="V26:X26"/>
    <mergeCell ref="Y26:AA26"/>
    <mergeCell ref="AB26:AD26"/>
    <mergeCell ref="D27:F27"/>
    <mergeCell ref="V27:X27"/>
    <mergeCell ref="Y27:AA27"/>
    <mergeCell ref="AB27:AD27"/>
    <mergeCell ref="D25:AD25"/>
    <mergeCell ref="AB23:AD23"/>
    <mergeCell ref="Y23:AA23"/>
    <mergeCell ref="V23:X23"/>
    <mergeCell ref="D23:F23"/>
    <mergeCell ref="D24:F24"/>
    <mergeCell ref="V24:X24"/>
    <mergeCell ref="Y24:AA24"/>
    <mergeCell ref="AB24:AD24"/>
    <mergeCell ref="D22:F22"/>
    <mergeCell ref="V22:X22"/>
    <mergeCell ref="Y22:AA22"/>
    <mergeCell ref="AB22:AD22"/>
    <mergeCell ref="D20:F20"/>
    <mergeCell ref="V20:X20"/>
    <mergeCell ref="Y20:AA20"/>
    <mergeCell ref="AB20:AD20"/>
    <mergeCell ref="D21:F21"/>
    <mergeCell ref="V21:X21"/>
    <mergeCell ref="Y21:AA21"/>
    <mergeCell ref="AB21:AD21"/>
    <mergeCell ref="D18:F18"/>
    <mergeCell ref="V18:X18"/>
    <mergeCell ref="Y18:AA18"/>
    <mergeCell ref="AB18:AD18"/>
    <mergeCell ref="D19:F19"/>
    <mergeCell ref="V19:X19"/>
    <mergeCell ref="Y19:AA19"/>
    <mergeCell ref="AB19:AD19"/>
    <mergeCell ref="D16:F16"/>
    <mergeCell ref="V16:X16"/>
    <mergeCell ref="Y16:AA16"/>
    <mergeCell ref="AB16:AD16"/>
    <mergeCell ref="D17:F17"/>
    <mergeCell ref="V17:X17"/>
    <mergeCell ref="Y17:AA17"/>
    <mergeCell ref="AB17:AD17"/>
    <mergeCell ref="D14:F14"/>
    <mergeCell ref="V14:X14"/>
    <mergeCell ref="Y14:AA14"/>
    <mergeCell ref="AB14:AD14"/>
    <mergeCell ref="D15:F15"/>
    <mergeCell ref="V15:X15"/>
    <mergeCell ref="Y15:AA15"/>
    <mergeCell ref="AB15:AD15"/>
    <mergeCell ref="D12:F12"/>
    <mergeCell ref="V12:X12"/>
    <mergeCell ref="Y12:AA12"/>
    <mergeCell ref="AB12:AD12"/>
    <mergeCell ref="D13:F13"/>
    <mergeCell ref="V13:X13"/>
    <mergeCell ref="Y13:AA13"/>
    <mergeCell ref="AB13:AD13"/>
    <mergeCell ref="D10:F10"/>
    <mergeCell ref="V10:X10"/>
    <mergeCell ref="Y10:AA10"/>
    <mergeCell ref="AB10:AD10"/>
    <mergeCell ref="D11:F11"/>
    <mergeCell ref="V11:X11"/>
    <mergeCell ref="Y11:AA11"/>
    <mergeCell ref="AB11:AD11"/>
    <mergeCell ref="A5:B5"/>
    <mergeCell ref="C5:AE5"/>
    <mergeCell ref="AF5:AG5"/>
    <mergeCell ref="D7:F8"/>
    <mergeCell ref="G7:U8"/>
    <mergeCell ref="V7:AA7"/>
    <mergeCell ref="AB7:AD8"/>
    <mergeCell ref="V8:X8"/>
    <mergeCell ref="Y8:AA8"/>
    <mergeCell ref="D9:AD9"/>
    <mergeCell ref="A1:F4"/>
    <mergeCell ref="G2:M2"/>
    <mergeCell ref="N2:Q2"/>
    <mergeCell ref="R2:U2"/>
    <mergeCell ref="V2:AG2"/>
    <mergeCell ref="G4:Q4"/>
    <mergeCell ref="R4:U4"/>
    <mergeCell ref="V4:Y4"/>
    <mergeCell ref="Z4:AC4"/>
    <mergeCell ref="AD4:AG4"/>
  </mergeCells>
  <pageMargins left="1.1417322834645669" right="0.19685039370078741" top="0.19685039370078741" bottom="0.55118110236220474" header="0" footer="0"/>
  <pageSetup paperSize="9" orientation="portrait" r:id="rId1"/>
  <headerFooter>
    <oddFooter xml:space="preserve">&amp;L&amp;07&amp;"Arial"Microsoft Excel Ver. 14.0 (Build 6024)
File: I:\Stress toolbox\Blast\Under Development\&amp;F
Licensed To: Microsoft&amp;R&amp;07&amp;"Arial"Date: &amp;D Time: &amp;T
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5"/>
  <sheetViews>
    <sheetView topLeftCell="A13" workbookViewId="0">
      <selection activeCell="AB28" sqref="AB28"/>
    </sheetView>
  </sheetViews>
  <sheetFormatPr defaultColWidth="2.6640625" defaultRowHeight="14.4"/>
  <cols>
    <col min="1" max="3" width="4" style="9" customWidth="1"/>
    <col min="4" max="27" width="2.6640625" style="9"/>
    <col min="28" max="28" width="5.21875" style="9" customWidth="1"/>
    <col min="29" max="16384" width="2.6640625" style="9"/>
  </cols>
  <sheetData>
    <row r="1" spans="1:31">
      <c r="A1" s="9" t="s">
        <v>82</v>
      </c>
    </row>
    <row r="2" spans="1:31" ht="14.4" customHeight="1">
      <c r="A2" s="311" t="s">
        <v>19</v>
      </c>
      <c r="B2" s="311"/>
      <c r="C2" s="311"/>
      <c r="D2" s="312" t="s">
        <v>85</v>
      </c>
      <c r="E2" s="312"/>
      <c r="F2" s="312"/>
      <c r="G2" s="311" t="s">
        <v>18</v>
      </c>
      <c r="H2" s="311"/>
      <c r="I2" s="311"/>
      <c r="J2" s="311" t="s">
        <v>31</v>
      </c>
      <c r="K2" s="311"/>
      <c r="L2" s="311"/>
      <c r="Z2" s="123"/>
      <c r="AA2" s="123"/>
      <c r="AB2" s="123"/>
      <c r="AC2" s="123"/>
      <c r="AD2" s="123"/>
      <c r="AE2" s="123"/>
    </row>
    <row r="3" spans="1:31" ht="14.4" customHeight="1">
      <c r="A3" s="311"/>
      <c r="B3" s="311"/>
      <c r="C3" s="311"/>
      <c r="D3" s="312"/>
      <c r="E3" s="312"/>
      <c r="F3" s="312"/>
      <c r="G3" s="311"/>
      <c r="H3" s="311"/>
      <c r="I3" s="311"/>
      <c r="J3" s="311"/>
      <c r="K3" s="311"/>
      <c r="L3" s="311"/>
      <c r="Z3" s="123"/>
      <c r="AA3" s="123"/>
      <c r="AB3" s="123"/>
      <c r="AC3" s="123"/>
      <c r="AD3" s="123"/>
      <c r="AE3" s="123"/>
    </row>
    <row r="4" spans="1:31" ht="14.4" customHeight="1">
      <c r="A4" s="313" t="s">
        <v>54</v>
      </c>
      <c r="B4" s="313"/>
      <c r="C4" s="313"/>
      <c r="D4" s="195">
        <v>0</v>
      </c>
      <c r="E4" s="195"/>
      <c r="F4" s="195"/>
      <c r="G4" s="195">
        <f>(D4-P4)/(R4-P4)*(V4-T4)+T4</f>
        <v>0</v>
      </c>
      <c r="H4" s="195"/>
      <c r="I4" s="195"/>
      <c r="J4" s="308"/>
      <c r="K4" s="308"/>
      <c r="L4" s="308"/>
      <c r="N4" s="124">
        <f>MATCH(D4,'DNV-RP-D101 Table 3-1'!$A$2:$A$22,1)</f>
        <v>1</v>
      </c>
      <c r="O4" s="9">
        <f>N4+1</f>
        <v>2</v>
      </c>
      <c r="P4" s="307">
        <f>INDEX('DNV-RP-D101 Table 3-1'!$A$2:$F$22,N4,1)</f>
        <v>0</v>
      </c>
      <c r="Q4" s="307"/>
      <c r="R4" s="307">
        <f>INDEX('DNV-RP-D101 Table 3-1'!$A$2:$F$22,O4,1)</f>
        <v>0.2</v>
      </c>
      <c r="S4" s="307"/>
      <c r="T4" s="307">
        <f>INDEX('DNV-RP-D101 Table 3-1'!$A$2:$F$22,N4,4)</f>
        <v>0</v>
      </c>
      <c r="U4" s="307"/>
      <c r="V4" s="307">
        <f>INDEX('DNV-RP-D101 Table 3-1'!$A$2:$F$22,O4,4)</f>
        <v>0.02</v>
      </c>
      <c r="W4" s="307"/>
    </row>
    <row r="5" spans="1:31" ht="14.4" customHeight="1">
      <c r="A5" s="308" t="s">
        <v>73</v>
      </c>
      <c r="B5" s="308"/>
      <c r="C5" s="308"/>
      <c r="D5" s="195">
        <v>0.49</v>
      </c>
      <c r="E5" s="195"/>
      <c r="F5" s="195"/>
      <c r="G5" s="195">
        <v>0.16</v>
      </c>
      <c r="H5" s="195"/>
      <c r="I5" s="195"/>
      <c r="J5" s="308"/>
      <c r="K5" s="308"/>
      <c r="L5" s="308"/>
      <c r="N5" s="124">
        <f>MATCH(D5,'DNV-RP-D101 Table 3-1'!$A$2:$A$22,1)</f>
        <v>3</v>
      </c>
      <c r="O5" s="9">
        <f t="shared" ref="O5:O17" si="0">N5+1</f>
        <v>4</v>
      </c>
      <c r="P5" s="307">
        <f>INDEX('DNV-RP-D101 Table 3-1'!$A$2:$F$22,N5,1)</f>
        <v>0.4</v>
      </c>
      <c r="Q5" s="307"/>
      <c r="R5" s="307">
        <f>INDEX('DNV-RP-D101 Table 3-1'!$A$2:$F$22,O5,1)</f>
        <v>0.60000000000000009</v>
      </c>
      <c r="S5" s="307"/>
      <c r="T5" s="307">
        <f>INDEX('DNV-RP-D101 Table 3-1'!$A$2:$F$22,N5,4)</f>
        <v>0.05</v>
      </c>
      <c r="U5" s="307"/>
      <c r="V5" s="307">
        <f>INDEX('DNV-RP-D101 Table 3-1'!$A$2:$F$22,O5,4)</f>
        <v>0.1</v>
      </c>
      <c r="W5" s="307"/>
    </row>
    <row r="6" spans="1:31" ht="14.4" customHeight="1">
      <c r="A6" s="308" t="s">
        <v>75</v>
      </c>
      <c r="B6" s="308"/>
      <c r="C6" s="308"/>
      <c r="D6" s="195">
        <v>0.36</v>
      </c>
      <c r="E6" s="195"/>
      <c r="F6" s="195"/>
      <c r="G6" s="195">
        <v>0.12</v>
      </c>
      <c r="H6" s="195"/>
      <c r="I6" s="195"/>
      <c r="J6" s="308"/>
      <c r="K6" s="308"/>
      <c r="L6" s="308"/>
      <c r="N6" s="124">
        <f>MATCH(D6,'DNV-RP-D101 Table 3-1'!$A$2:$A$22,1)</f>
        <v>2</v>
      </c>
      <c r="O6" s="9">
        <f t="shared" si="0"/>
        <v>3</v>
      </c>
      <c r="P6" s="307">
        <f>INDEX('DNV-RP-D101 Table 3-1'!$A$2:$F$22,N6,1)</f>
        <v>0.2</v>
      </c>
      <c r="Q6" s="307"/>
      <c r="R6" s="307">
        <f>INDEX('DNV-RP-D101 Table 3-1'!$A$2:$F$22,O6,1)</f>
        <v>0.4</v>
      </c>
      <c r="S6" s="307"/>
      <c r="T6" s="307">
        <f>INDEX('DNV-RP-D101 Table 3-1'!$A$2:$F$22,N6,4)</f>
        <v>0.02</v>
      </c>
      <c r="U6" s="307"/>
      <c r="V6" s="307">
        <f>INDEX('DNV-RP-D101 Table 3-1'!$A$2:$F$22,O6,4)</f>
        <v>0.05</v>
      </c>
      <c r="W6" s="307"/>
    </row>
    <row r="7" spans="1:31" ht="14.4" customHeight="1">
      <c r="A7" s="308" t="s">
        <v>77</v>
      </c>
      <c r="B7" s="308"/>
      <c r="C7" s="308"/>
      <c r="D7" s="195">
        <v>0.33</v>
      </c>
      <c r="E7" s="195"/>
      <c r="F7" s="195"/>
      <c r="G7" s="195">
        <v>0.11</v>
      </c>
      <c r="H7" s="195"/>
      <c r="I7" s="195"/>
      <c r="J7" s="308"/>
      <c r="K7" s="308"/>
      <c r="L7" s="308"/>
      <c r="N7" s="124">
        <f>MATCH(D7,'DNV-RP-D101 Table 3-1'!$A$2:$A$22,1)</f>
        <v>2</v>
      </c>
      <c r="O7" s="9">
        <f t="shared" si="0"/>
        <v>3</v>
      </c>
      <c r="P7" s="307">
        <f>INDEX('DNV-RP-D101 Table 3-1'!$A$2:$F$22,N7,1)</f>
        <v>0.2</v>
      </c>
      <c r="Q7" s="307"/>
      <c r="R7" s="307">
        <f>INDEX('DNV-RP-D101 Table 3-1'!$A$2:$F$22,O7,1)</f>
        <v>0.4</v>
      </c>
      <c r="S7" s="307"/>
      <c r="T7" s="307">
        <f>INDEX('DNV-RP-D101 Table 3-1'!$A$2:$F$22,N7,4)</f>
        <v>0.02</v>
      </c>
      <c r="U7" s="307"/>
      <c r="V7" s="307">
        <f>INDEX('DNV-RP-D101 Table 3-1'!$A$2:$F$22,O7,4)</f>
        <v>0.05</v>
      </c>
      <c r="W7" s="307"/>
    </row>
    <row r="8" spans="1:31" ht="14.4" customHeight="1">
      <c r="A8" s="308" t="s">
        <v>79</v>
      </c>
      <c r="B8" s="308"/>
      <c r="C8" s="308"/>
      <c r="D8" s="195">
        <v>0.33</v>
      </c>
      <c r="E8" s="195"/>
      <c r="F8" s="195"/>
      <c r="G8" s="195">
        <v>0.11</v>
      </c>
      <c r="H8" s="195"/>
      <c r="I8" s="195"/>
      <c r="J8" s="308"/>
      <c r="K8" s="308"/>
      <c r="L8" s="308"/>
      <c r="N8" s="124">
        <f>MATCH(D8,'DNV-RP-D101 Table 3-1'!$A$2:$A$22,1)</f>
        <v>2</v>
      </c>
      <c r="O8" s="9">
        <f t="shared" si="0"/>
        <v>3</v>
      </c>
      <c r="P8" s="307">
        <f>INDEX('DNV-RP-D101 Table 3-1'!$A$2:$F$22,N8,1)</f>
        <v>0.2</v>
      </c>
      <c r="Q8" s="307"/>
      <c r="R8" s="307">
        <f>INDEX('DNV-RP-D101 Table 3-1'!$A$2:$F$22,O8,1)</f>
        <v>0.4</v>
      </c>
      <c r="S8" s="307"/>
      <c r="T8" s="307">
        <f>INDEX('DNV-RP-D101 Table 3-1'!$A$2:$F$22,N8,4)</f>
        <v>0.02</v>
      </c>
      <c r="U8" s="307"/>
      <c r="V8" s="307">
        <f>INDEX('DNV-RP-D101 Table 3-1'!$A$2:$F$22,O8,4)</f>
        <v>0.05</v>
      </c>
      <c r="W8" s="307"/>
    </row>
    <row r="9" spans="1:31" ht="14.4" customHeight="1">
      <c r="A9" s="308" t="s">
        <v>84</v>
      </c>
      <c r="B9" s="308"/>
      <c r="C9" s="308"/>
      <c r="D9" s="195">
        <v>0.13</v>
      </c>
      <c r="E9" s="195"/>
      <c r="F9" s="195"/>
      <c r="G9" s="195">
        <v>0.05</v>
      </c>
      <c r="H9" s="195"/>
      <c r="I9" s="195"/>
      <c r="J9" s="308"/>
      <c r="K9" s="308"/>
      <c r="L9" s="308"/>
      <c r="N9" s="124">
        <f>MATCH(D9,'DNV-RP-D101 Table 3-1'!$A$2:$A$22,1)</f>
        <v>1</v>
      </c>
      <c r="O9" s="9">
        <f>N9+1</f>
        <v>2</v>
      </c>
      <c r="P9" s="307">
        <f>INDEX('DNV-RP-D101 Table 3-1'!$A$2:$F$22,N9,1)</f>
        <v>0</v>
      </c>
      <c r="Q9" s="307"/>
      <c r="R9" s="307">
        <f>INDEX('DNV-RP-D101 Table 3-1'!$A$2:$F$22,O9,1)</f>
        <v>0.2</v>
      </c>
      <c r="S9" s="307"/>
      <c r="T9" s="307">
        <f>INDEX('DNV-RP-D101 Table 3-1'!$A$2:$F$22,N9,4)</f>
        <v>0</v>
      </c>
      <c r="U9" s="307"/>
      <c r="V9" s="307">
        <f>INDEX('DNV-RP-D101 Table 3-1'!$A$2:$F$22,O9,4)</f>
        <v>0.02</v>
      </c>
      <c r="W9" s="307"/>
    </row>
    <row r="10" spans="1:31" ht="14.4" customHeight="1">
      <c r="A10" s="308" t="s">
        <v>81</v>
      </c>
      <c r="B10" s="308"/>
      <c r="C10" s="308"/>
      <c r="D10" s="195">
        <v>0.16</v>
      </c>
      <c r="E10" s="195"/>
      <c r="F10" s="195"/>
      <c r="G10" s="195">
        <v>0.06</v>
      </c>
      <c r="H10" s="195"/>
      <c r="I10" s="195"/>
      <c r="J10" s="308"/>
      <c r="K10" s="308"/>
      <c r="L10" s="308"/>
      <c r="N10" s="124">
        <f>MATCH(D10,'DNV-RP-D101 Table 3-1'!$A$2:$A$22,1)</f>
        <v>1</v>
      </c>
      <c r="O10" s="9">
        <f>N10+1</f>
        <v>2</v>
      </c>
      <c r="P10" s="307">
        <f>INDEX('DNV-RP-D101 Table 3-1'!$A$2:$F$22,N10,1)</f>
        <v>0</v>
      </c>
      <c r="Q10" s="307"/>
      <c r="R10" s="307">
        <f>INDEX('DNV-RP-D101 Table 3-1'!$A$2:$F$22,O10,1)</f>
        <v>0.2</v>
      </c>
      <c r="S10" s="307"/>
      <c r="T10" s="307">
        <f>INDEX('DNV-RP-D101 Table 3-1'!$A$2:$F$22,N10,4)</f>
        <v>0</v>
      </c>
      <c r="U10" s="307"/>
      <c r="V10" s="307">
        <f>INDEX('DNV-RP-D101 Table 3-1'!$A$2:$F$22,O10,4)</f>
        <v>0.02</v>
      </c>
      <c r="W10" s="307"/>
    </row>
    <row r="11" spans="1:31" ht="14.4" customHeight="1">
      <c r="A11" s="308" t="s">
        <v>16</v>
      </c>
      <c r="B11" s="308"/>
      <c r="C11" s="308"/>
      <c r="D11" s="195">
        <v>0.37</v>
      </c>
      <c r="E11" s="195"/>
      <c r="F11" s="195"/>
      <c r="G11" s="195">
        <v>0.13</v>
      </c>
      <c r="H11" s="195"/>
      <c r="I11" s="195"/>
      <c r="J11" s="308"/>
      <c r="K11" s="308"/>
      <c r="L11" s="308"/>
      <c r="N11" s="124">
        <f>MATCH(D11,'DNV-RP-D101 Table 3-1'!$A$2:$A$22,1)</f>
        <v>2</v>
      </c>
      <c r="O11" s="9">
        <f t="shared" si="0"/>
        <v>3</v>
      </c>
      <c r="P11" s="307">
        <f>INDEX('DNV-RP-D101 Table 3-1'!$A$2:$F$22,N11,1)</f>
        <v>0.2</v>
      </c>
      <c r="Q11" s="307"/>
      <c r="R11" s="307">
        <f>INDEX('DNV-RP-D101 Table 3-1'!$A$2:$F$22,O11,1)</f>
        <v>0.4</v>
      </c>
      <c r="S11" s="307"/>
      <c r="T11" s="307">
        <f>INDEX('DNV-RP-D101 Table 3-1'!$A$2:$F$22,N11,4)</f>
        <v>0.02</v>
      </c>
      <c r="U11" s="307"/>
      <c r="V11" s="307">
        <f>INDEX('DNV-RP-D101 Table 3-1'!$A$2:$F$22,O11,4)</f>
        <v>0.05</v>
      </c>
      <c r="W11" s="307"/>
    </row>
    <row r="12" spans="1:31" ht="14.4" customHeight="1">
      <c r="A12" s="308" t="s">
        <v>20</v>
      </c>
      <c r="B12" s="308"/>
      <c r="C12" s="308"/>
      <c r="D12" s="195">
        <v>0.41</v>
      </c>
      <c r="E12" s="195"/>
      <c r="F12" s="195"/>
      <c r="G12" s="195">
        <v>0.14000000000000001</v>
      </c>
      <c r="H12" s="195"/>
      <c r="I12" s="195"/>
      <c r="J12" s="308"/>
      <c r="K12" s="308"/>
      <c r="L12" s="308"/>
      <c r="N12" s="124">
        <f>MATCH(D12,'DNV-RP-D101 Table 3-1'!$A$2:$A$22,1)</f>
        <v>3</v>
      </c>
      <c r="O12" s="9">
        <f t="shared" si="0"/>
        <v>4</v>
      </c>
      <c r="P12" s="307">
        <f>INDEX('DNV-RP-D101 Table 3-1'!$A$2:$F$22,N12,1)</f>
        <v>0.4</v>
      </c>
      <c r="Q12" s="307"/>
      <c r="R12" s="307">
        <f>INDEX('DNV-RP-D101 Table 3-1'!$A$2:$F$22,O12,1)</f>
        <v>0.60000000000000009</v>
      </c>
      <c r="S12" s="307"/>
      <c r="T12" s="307">
        <f>INDEX('DNV-RP-D101 Table 3-1'!$A$2:$F$22,N12,4)</f>
        <v>0.05</v>
      </c>
      <c r="U12" s="307"/>
      <c r="V12" s="307">
        <f>INDEX('DNV-RP-D101 Table 3-1'!$A$2:$F$22,O12,4)</f>
        <v>0.1</v>
      </c>
      <c r="W12" s="307"/>
    </row>
    <row r="13" spans="1:31" ht="14.4" customHeight="1">
      <c r="A13" s="308" t="s">
        <v>21</v>
      </c>
      <c r="B13" s="308"/>
      <c r="C13" s="308"/>
      <c r="D13" s="195">
        <v>0.43</v>
      </c>
      <c r="E13" s="195"/>
      <c r="F13" s="195"/>
      <c r="G13" s="195">
        <v>0.14000000000000001</v>
      </c>
      <c r="H13" s="195"/>
      <c r="I13" s="195"/>
      <c r="J13" s="308"/>
      <c r="K13" s="308"/>
      <c r="L13" s="308"/>
      <c r="N13" s="124">
        <f>MATCH(D13,'DNV-RP-D101 Table 3-1'!$A$2:$A$22,1)</f>
        <v>3</v>
      </c>
      <c r="O13" s="9">
        <f t="shared" si="0"/>
        <v>4</v>
      </c>
      <c r="P13" s="307">
        <f>INDEX('DNV-RP-D101 Table 3-1'!$A$2:$F$22,N13,1)</f>
        <v>0.4</v>
      </c>
      <c r="Q13" s="307"/>
      <c r="R13" s="307">
        <f>INDEX('DNV-RP-D101 Table 3-1'!$A$2:$F$22,O13,1)</f>
        <v>0.60000000000000009</v>
      </c>
      <c r="S13" s="307"/>
      <c r="T13" s="307">
        <f>INDEX('DNV-RP-D101 Table 3-1'!$A$2:$F$22,N13,4)</f>
        <v>0.05</v>
      </c>
      <c r="U13" s="307"/>
      <c r="V13" s="307">
        <f>INDEX('DNV-RP-D101 Table 3-1'!$A$2:$F$22,O13,4)</f>
        <v>0.1</v>
      </c>
      <c r="W13" s="307"/>
    </row>
    <row r="14" spans="1:31" ht="14.4" customHeight="1">
      <c r="A14" s="308" t="s">
        <v>22</v>
      </c>
      <c r="B14" s="308"/>
      <c r="C14" s="308"/>
      <c r="D14" s="195">
        <v>0.65</v>
      </c>
      <c r="E14" s="195"/>
      <c r="F14" s="195"/>
      <c r="G14" s="195">
        <v>0.22</v>
      </c>
      <c r="H14" s="195"/>
      <c r="I14" s="195"/>
      <c r="J14" s="308"/>
      <c r="K14" s="308"/>
      <c r="L14" s="308"/>
      <c r="N14" s="124">
        <f>MATCH(D14,'DNV-RP-D101 Table 3-1'!$A$2:$A$22,1)</f>
        <v>4</v>
      </c>
      <c r="O14" s="9">
        <f t="shared" si="0"/>
        <v>5</v>
      </c>
      <c r="P14" s="307">
        <f>INDEX('DNV-RP-D101 Table 3-1'!$A$2:$F$22,N14,1)</f>
        <v>0.60000000000000009</v>
      </c>
      <c r="Q14" s="307"/>
      <c r="R14" s="307">
        <f>INDEX('DNV-RP-D101 Table 3-1'!$A$2:$F$22,O14,1)</f>
        <v>0.8</v>
      </c>
      <c r="S14" s="307"/>
      <c r="T14" s="307">
        <f>INDEX('DNV-RP-D101 Table 3-1'!$A$2:$F$22,N14,4)</f>
        <v>0.1</v>
      </c>
      <c r="U14" s="307"/>
      <c r="V14" s="307">
        <f>INDEX('DNV-RP-D101 Table 3-1'!$A$2:$F$22,O14,4)</f>
        <v>0.15</v>
      </c>
      <c r="W14" s="307"/>
    </row>
    <row r="15" spans="1:31" ht="14.4" customHeight="1">
      <c r="A15" s="308" t="s">
        <v>23</v>
      </c>
      <c r="B15" s="308"/>
      <c r="C15" s="308"/>
      <c r="D15" s="195">
        <v>0.71</v>
      </c>
      <c r="E15" s="195"/>
      <c r="F15" s="195"/>
      <c r="G15" s="195">
        <v>0.23</v>
      </c>
      <c r="H15" s="195"/>
      <c r="I15" s="195"/>
      <c r="J15" s="308"/>
      <c r="K15" s="308"/>
      <c r="L15" s="308"/>
      <c r="N15" s="124">
        <f>MATCH(D15,'DNV-RP-D101 Table 3-1'!$A$2:$A$22,1)</f>
        <v>4</v>
      </c>
      <c r="O15" s="9">
        <f t="shared" si="0"/>
        <v>5</v>
      </c>
      <c r="P15" s="307">
        <f>INDEX('DNV-RP-D101 Table 3-1'!$A$2:$F$22,N15,1)</f>
        <v>0.60000000000000009</v>
      </c>
      <c r="Q15" s="307"/>
      <c r="R15" s="307">
        <f>INDEX('DNV-RP-D101 Table 3-1'!$A$2:$F$22,O15,1)</f>
        <v>0.8</v>
      </c>
      <c r="S15" s="307"/>
      <c r="T15" s="307">
        <f>INDEX('DNV-RP-D101 Table 3-1'!$A$2:$F$22,N15,4)</f>
        <v>0.1</v>
      </c>
      <c r="U15" s="307"/>
      <c r="V15" s="307">
        <f>INDEX('DNV-RP-D101 Table 3-1'!$A$2:$F$22,O15,4)</f>
        <v>0.15</v>
      </c>
      <c r="W15" s="307"/>
    </row>
    <row r="16" spans="1:31" ht="14.4" customHeight="1">
      <c r="A16" s="308" t="s">
        <v>24</v>
      </c>
      <c r="B16" s="308"/>
      <c r="C16" s="308"/>
      <c r="D16" s="195">
        <v>0</v>
      </c>
      <c r="E16" s="195"/>
      <c r="F16" s="195"/>
      <c r="G16" s="195">
        <f>(D16-P16)/(R16-P16)*(V16-T16)+T16</f>
        <v>0</v>
      </c>
      <c r="H16" s="195"/>
      <c r="I16" s="195"/>
      <c r="J16" s="308"/>
      <c r="K16" s="308"/>
      <c r="L16" s="308"/>
      <c r="N16" s="124">
        <f>MATCH(D16,'DNV-RP-D101 Table 3-1'!$A$2:$A$22,1)</f>
        <v>1</v>
      </c>
      <c r="O16" s="9">
        <f t="shared" si="0"/>
        <v>2</v>
      </c>
      <c r="P16" s="307">
        <f>INDEX('DNV-RP-D101 Table 3-1'!$A$2:$F$22,N16,1)</f>
        <v>0</v>
      </c>
      <c r="Q16" s="307"/>
      <c r="R16" s="307">
        <f>INDEX('DNV-RP-D101 Table 3-1'!$A$2:$F$22,O16,1)</f>
        <v>0.2</v>
      </c>
      <c r="S16" s="307"/>
      <c r="T16" s="307">
        <f>INDEX('DNV-RP-D101 Table 3-1'!$A$2:$F$22,N16,4)</f>
        <v>0</v>
      </c>
      <c r="U16" s="307"/>
      <c r="V16" s="307">
        <f>INDEX('DNV-RP-D101 Table 3-1'!$A$2:$F$22,O16,4)</f>
        <v>0.02</v>
      </c>
      <c r="W16" s="307"/>
    </row>
    <row r="17" spans="1:31" ht="14.4" customHeight="1">
      <c r="A17" s="308" t="s">
        <v>25</v>
      </c>
      <c r="B17" s="308"/>
      <c r="C17" s="308"/>
      <c r="D17" s="195">
        <v>0.15</v>
      </c>
      <c r="E17" s="195"/>
      <c r="F17" s="195"/>
      <c r="G17" s="195">
        <v>0.05</v>
      </c>
      <c r="H17" s="195"/>
      <c r="I17" s="195"/>
      <c r="J17" s="308"/>
      <c r="K17" s="308"/>
      <c r="L17" s="308"/>
      <c r="N17" s="124">
        <f>MATCH(D17,'DNV-RP-D101 Table 3-1'!$A$2:$A$22,1)</f>
        <v>1</v>
      </c>
      <c r="O17" s="9">
        <f t="shared" si="0"/>
        <v>2</v>
      </c>
      <c r="P17" s="307">
        <f>INDEX('DNV-RP-D101 Table 3-1'!$A$2:$F$22,N17,1)</f>
        <v>0</v>
      </c>
      <c r="Q17" s="307"/>
      <c r="R17" s="307">
        <f>INDEX('DNV-RP-D101 Table 3-1'!$A$2:$F$22,O17,1)</f>
        <v>0.2</v>
      </c>
      <c r="S17" s="307"/>
      <c r="T17" s="307">
        <f>INDEX('DNV-RP-D101 Table 3-1'!$A$2:$F$22,N17,4)</f>
        <v>0</v>
      </c>
      <c r="U17" s="307"/>
      <c r="V17" s="307">
        <f>INDEX('DNV-RP-D101 Table 3-1'!$A$2:$F$22,O17,4)</f>
        <v>0.02</v>
      </c>
      <c r="W17" s="307"/>
    </row>
    <row r="18" spans="1:31" ht="14.4" customHeight="1">
      <c r="A18" s="308" t="s">
        <v>26</v>
      </c>
      <c r="B18" s="308"/>
      <c r="C18" s="308"/>
      <c r="D18" s="195">
        <v>0.36</v>
      </c>
      <c r="E18" s="195"/>
      <c r="F18" s="195"/>
      <c r="G18" s="195">
        <v>0.12</v>
      </c>
      <c r="H18" s="195"/>
      <c r="I18" s="195"/>
      <c r="J18" s="308"/>
      <c r="K18" s="308"/>
      <c r="L18" s="308"/>
      <c r="N18" s="124">
        <f>MATCH(D18,'DNV-RP-D101 Table 3-1'!$A$2:$A$22,1)</f>
        <v>2</v>
      </c>
      <c r="O18" s="9">
        <f>N18+1</f>
        <v>3</v>
      </c>
      <c r="P18" s="307">
        <f>INDEX('DNV-RP-D101 Table 3-1'!$A$2:$F$22,N18,1)</f>
        <v>0.2</v>
      </c>
      <c r="Q18" s="307"/>
      <c r="R18" s="307">
        <f>INDEX('DNV-RP-D101 Table 3-1'!$A$2:$F$22,O18,1)</f>
        <v>0.4</v>
      </c>
      <c r="S18" s="307"/>
      <c r="T18" s="307">
        <f>INDEX('DNV-RP-D101 Table 3-1'!$A$2:$F$22,N18,4)</f>
        <v>0.02</v>
      </c>
      <c r="U18" s="307"/>
      <c r="V18" s="307">
        <f>INDEX('DNV-RP-D101 Table 3-1'!$A$2:$F$22,O18,4)</f>
        <v>0.05</v>
      </c>
      <c r="W18" s="307"/>
    </row>
    <row r="19" spans="1:31" ht="14.4" customHeight="1">
      <c r="A19" s="308"/>
      <c r="B19" s="308"/>
      <c r="C19" s="308"/>
      <c r="D19" s="195"/>
      <c r="E19" s="195"/>
      <c r="F19" s="195"/>
      <c r="G19" s="195">
        <f>(D19-P19)/(R19-P19)*(V19-T19)+T19</f>
        <v>0</v>
      </c>
      <c r="H19" s="195"/>
      <c r="I19" s="195"/>
      <c r="J19" s="308"/>
      <c r="K19" s="308"/>
      <c r="L19" s="308"/>
      <c r="N19" s="124">
        <f>MATCH(D19,'DNV-RP-D101 Table 3-1'!$A$2:$A$22,1)</f>
        <v>1</v>
      </c>
      <c r="O19" s="9">
        <f>N19+1</f>
        <v>2</v>
      </c>
      <c r="P19" s="307">
        <f>INDEX('DNV-RP-D101 Table 3-1'!$A$2:$F$22,N19,1)</f>
        <v>0</v>
      </c>
      <c r="Q19" s="307"/>
      <c r="R19" s="307">
        <f>INDEX('DNV-RP-D101 Table 3-1'!$A$2:$F$22,O19,1)</f>
        <v>0.2</v>
      </c>
      <c r="S19" s="307"/>
      <c r="T19" s="307">
        <f>INDEX('DNV-RP-D101 Table 3-1'!$A$2:$F$22,N19,4)</f>
        <v>0</v>
      </c>
      <c r="U19" s="307"/>
      <c r="V19" s="307">
        <f>INDEX('DNV-RP-D101 Table 3-1'!$A$2:$F$22,O19,4)</f>
        <v>0.02</v>
      </c>
      <c r="W19" s="307"/>
    </row>
    <row r="20" spans="1:31" ht="14.4" customHeight="1">
      <c r="A20" s="308"/>
      <c r="B20" s="308"/>
      <c r="C20" s="308"/>
      <c r="D20" s="195"/>
      <c r="E20" s="195"/>
      <c r="F20" s="195"/>
      <c r="G20" s="195">
        <f>(D20-P20)/(R20-P20)*(V20-T20)+T20</f>
        <v>0</v>
      </c>
      <c r="H20" s="195"/>
      <c r="I20" s="195"/>
      <c r="J20" s="308"/>
      <c r="K20" s="308"/>
      <c r="L20" s="308"/>
      <c r="N20" s="124">
        <f>MATCH(D20,'DNV-RP-D101 Table 3-1'!$A$2:$A$22,1)</f>
        <v>1</v>
      </c>
      <c r="O20" s="9">
        <f>N20+1</f>
        <v>2</v>
      </c>
      <c r="P20" s="307">
        <f>INDEX('DNV-RP-D101 Table 3-1'!$A$2:$F$22,N20,1)</f>
        <v>0</v>
      </c>
      <c r="Q20" s="307"/>
      <c r="R20" s="307">
        <f>INDEX('DNV-RP-D101 Table 3-1'!$A$2:$F$22,O20,1)</f>
        <v>0.2</v>
      </c>
      <c r="S20" s="307"/>
      <c r="T20" s="307">
        <f>INDEX('DNV-RP-D101 Table 3-1'!$A$2:$F$22,N20,4)</f>
        <v>0</v>
      </c>
      <c r="U20" s="307"/>
      <c r="V20" s="307">
        <f>INDEX('DNV-RP-D101 Table 3-1'!$A$2:$F$22,O20,4)</f>
        <v>0.02</v>
      </c>
      <c r="W20" s="307"/>
    </row>
    <row r="21" spans="1:31" ht="14.4" customHeight="1">
      <c r="A21" s="309"/>
      <c r="B21" s="309"/>
      <c r="C21" s="309"/>
      <c r="D21" s="259"/>
      <c r="E21" s="259"/>
      <c r="F21" s="259"/>
      <c r="G21" s="310">
        <f>(D21-P21)/(R21-P21)*(V21-T21)+T21</f>
        <v>0</v>
      </c>
      <c r="H21" s="310"/>
      <c r="I21" s="310"/>
      <c r="J21" s="309"/>
      <c r="K21" s="309"/>
      <c r="L21" s="309"/>
      <c r="N21" s="124">
        <f>MATCH(D21,'DNV-RP-D101 Table 3-1'!$A$2:$A$22,1)</f>
        <v>1</v>
      </c>
      <c r="O21" s="9">
        <f>N21+1</f>
        <v>2</v>
      </c>
      <c r="P21" s="307">
        <f>INDEX('DNV-RP-D101 Table 3-1'!$A$2:$F$22,N21,1)</f>
        <v>0</v>
      </c>
      <c r="Q21" s="307"/>
      <c r="R21" s="307">
        <f>INDEX('DNV-RP-D101 Table 3-1'!$A$2:$F$22,O21,1)</f>
        <v>0.2</v>
      </c>
      <c r="S21" s="307"/>
      <c r="T21" s="307">
        <f>INDEX('DNV-RP-D101 Table 3-1'!$A$2:$F$22,N21,4)</f>
        <v>0</v>
      </c>
      <c r="U21" s="307"/>
      <c r="V21" s="307">
        <f>INDEX('DNV-RP-D101 Table 3-1'!$A$2:$F$22,O21,4)</f>
        <v>0.02</v>
      </c>
      <c r="W21" s="307"/>
    </row>
    <row r="22" spans="1:31" ht="14.4" customHeight="1"/>
    <row r="23" spans="1:31" ht="14.4" customHeight="1"/>
    <row r="24" spans="1:31" ht="14.4" customHeight="1"/>
    <row r="25" spans="1:31" ht="14.4" customHeight="1">
      <c r="A25" s="9" t="s">
        <v>83</v>
      </c>
    </row>
    <row r="26" spans="1:31" ht="14.4" customHeight="1">
      <c r="A26" s="311" t="s">
        <v>19</v>
      </c>
      <c r="B26" s="311"/>
      <c r="C26" s="311"/>
      <c r="D26" s="312" t="s">
        <v>85</v>
      </c>
      <c r="E26" s="312"/>
      <c r="F26" s="312"/>
      <c r="G26" s="311" t="s">
        <v>18</v>
      </c>
      <c r="H26" s="311"/>
      <c r="I26" s="311"/>
      <c r="J26" s="311" t="s">
        <v>31</v>
      </c>
      <c r="K26" s="311"/>
      <c r="L26" s="311"/>
      <c r="Z26" s="123"/>
      <c r="AA26" s="123"/>
      <c r="AB26" s="123"/>
      <c r="AC26" s="123"/>
      <c r="AD26" s="123"/>
      <c r="AE26" s="123"/>
    </row>
    <row r="27" spans="1:31" ht="14.4" customHeight="1">
      <c r="A27" s="311"/>
      <c r="B27" s="311"/>
      <c r="C27" s="311"/>
      <c r="D27" s="312"/>
      <c r="E27" s="312"/>
      <c r="F27" s="312"/>
      <c r="G27" s="311"/>
      <c r="H27" s="311"/>
      <c r="I27" s="311"/>
      <c r="J27" s="311"/>
      <c r="K27" s="311"/>
      <c r="L27" s="311"/>
      <c r="Z27" s="123"/>
      <c r="AA27" s="123"/>
      <c r="AB27" s="123"/>
      <c r="AC27" s="123"/>
      <c r="AD27" s="123"/>
      <c r="AE27" s="123"/>
    </row>
    <row r="28" spans="1:31" ht="14.4" customHeight="1">
      <c r="A28" s="313" t="s">
        <v>54</v>
      </c>
      <c r="B28" s="313"/>
      <c r="C28" s="313"/>
      <c r="D28" s="314">
        <v>0</v>
      </c>
      <c r="E28" s="314"/>
      <c r="F28" s="314"/>
      <c r="G28" s="195">
        <f>(D28-P28)/(R28-P28)*(V28-T28)+T28</f>
        <v>0</v>
      </c>
      <c r="H28" s="195"/>
      <c r="I28" s="195"/>
      <c r="J28" s="313"/>
      <c r="K28" s="313"/>
      <c r="L28" s="313"/>
      <c r="N28" s="124">
        <f>MATCH(D28,'DNV-RP-D101 Table 3-1'!$A$2:$A$22,1)</f>
        <v>1</v>
      </c>
      <c r="O28" s="9">
        <f t="shared" ref="O28:O44" si="1">N28+1</f>
        <v>2</v>
      </c>
      <c r="P28" s="307">
        <f>INDEX('DNV-RP-D101 Table 3-1'!$A$2:$F$22,N28,1)</f>
        <v>0</v>
      </c>
      <c r="Q28" s="307"/>
      <c r="R28" s="307">
        <f>INDEX('DNV-RP-D101 Table 3-1'!$A$2:$F$22,O28,1)</f>
        <v>0.2</v>
      </c>
      <c r="S28" s="307"/>
      <c r="T28" s="307">
        <f>INDEX('DNV-RP-D101 Table 3-1'!$A$2:$F$22,N28,4)</f>
        <v>0</v>
      </c>
      <c r="U28" s="307"/>
      <c r="V28" s="307">
        <f>INDEX('DNV-RP-D101 Table 3-1'!$A$2:$F$22,O28,4)</f>
        <v>0.02</v>
      </c>
      <c r="W28" s="307"/>
      <c r="AB28" s="162" t="e">
        <f t="shared" ref="AB28:AB33" si="2">D28/D4</f>
        <v>#DIV/0!</v>
      </c>
    </row>
    <row r="29" spans="1:31" ht="14.4" customHeight="1">
      <c r="A29" s="308" t="s">
        <v>73</v>
      </c>
      <c r="B29" s="308"/>
      <c r="C29" s="308"/>
      <c r="D29" s="195">
        <v>0.06</v>
      </c>
      <c r="E29" s="195"/>
      <c r="F29" s="195"/>
      <c r="G29" s="195">
        <v>0.06</v>
      </c>
      <c r="H29" s="195"/>
      <c r="I29" s="195"/>
      <c r="J29" s="308"/>
      <c r="K29" s="308"/>
      <c r="L29" s="308"/>
      <c r="N29" s="124">
        <f>MATCH(D29,'DNV-RP-D101 Table 3-1'!$A$2:$A$22,1)</f>
        <v>1</v>
      </c>
      <c r="O29" s="9">
        <f t="shared" si="1"/>
        <v>2</v>
      </c>
      <c r="P29" s="307">
        <f>INDEX('DNV-RP-D101 Table 3-1'!$A$2:$F$22,N29,1)</f>
        <v>0</v>
      </c>
      <c r="Q29" s="307"/>
      <c r="R29" s="307">
        <f>INDEX('DNV-RP-D101 Table 3-1'!$A$2:$F$22,O29,1)</f>
        <v>0.2</v>
      </c>
      <c r="S29" s="307"/>
      <c r="T29" s="307">
        <f>INDEX('DNV-RP-D101 Table 3-1'!$A$2:$F$22,N29,4)</f>
        <v>0</v>
      </c>
      <c r="U29" s="307"/>
      <c r="V29" s="307">
        <f>INDEX('DNV-RP-D101 Table 3-1'!$A$2:$F$22,O29,4)</f>
        <v>0.02</v>
      </c>
      <c r="W29" s="307"/>
      <c r="AB29" s="162">
        <f t="shared" si="2"/>
        <v>0.12244897959183673</v>
      </c>
    </row>
    <row r="30" spans="1:31" ht="14.4" customHeight="1">
      <c r="A30" s="308" t="s">
        <v>75</v>
      </c>
      <c r="B30" s="308"/>
      <c r="C30" s="308"/>
      <c r="D30" s="195">
        <v>0.06</v>
      </c>
      <c r="E30" s="195"/>
      <c r="F30" s="195"/>
      <c r="G30" s="195">
        <v>0.04</v>
      </c>
      <c r="H30" s="195"/>
      <c r="I30" s="195"/>
      <c r="J30" s="308"/>
      <c r="K30" s="308"/>
      <c r="L30" s="308"/>
      <c r="N30" s="124">
        <f>MATCH(D30,'DNV-RP-D101 Table 3-1'!$A$2:$A$22,1)</f>
        <v>1</v>
      </c>
      <c r="O30" s="9">
        <f t="shared" si="1"/>
        <v>2</v>
      </c>
      <c r="P30" s="307">
        <f>INDEX('DNV-RP-D101 Table 3-1'!$A$2:$F$22,N30,1)</f>
        <v>0</v>
      </c>
      <c r="Q30" s="307"/>
      <c r="R30" s="307">
        <f>INDEX('DNV-RP-D101 Table 3-1'!$A$2:$F$22,O30,1)</f>
        <v>0.2</v>
      </c>
      <c r="S30" s="307"/>
      <c r="T30" s="307">
        <f>INDEX('DNV-RP-D101 Table 3-1'!$A$2:$F$22,N30,4)</f>
        <v>0</v>
      </c>
      <c r="U30" s="307"/>
      <c r="V30" s="307">
        <f>INDEX('DNV-RP-D101 Table 3-1'!$A$2:$F$22,O30,4)</f>
        <v>0.02</v>
      </c>
      <c r="W30" s="307"/>
      <c r="AB30" s="162">
        <f t="shared" si="2"/>
        <v>0.16666666666666666</v>
      </c>
    </row>
    <row r="31" spans="1:31" ht="14.4" customHeight="1">
      <c r="A31" s="308" t="s">
        <v>77</v>
      </c>
      <c r="B31" s="308"/>
      <c r="C31" s="308"/>
      <c r="D31" s="195">
        <v>0.08</v>
      </c>
      <c r="E31" s="195"/>
      <c r="F31" s="195"/>
      <c r="G31" s="195">
        <v>0.04</v>
      </c>
      <c r="H31" s="195"/>
      <c r="I31" s="195"/>
      <c r="J31" s="308"/>
      <c r="K31" s="308"/>
      <c r="L31" s="308"/>
      <c r="N31" s="124">
        <f>MATCH(D31,'DNV-RP-D101 Table 3-1'!$A$2:$A$22,1)</f>
        <v>1</v>
      </c>
      <c r="O31" s="9">
        <f t="shared" si="1"/>
        <v>2</v>
      </c>
      <c r="P31" s="307">
        <f>INDEX('DNV-RP-D101 Table 3-1'!$A$2:$F$22,N31,1)</f>
        <v>0</v>
      </c>
      <c r="Q31" s="307"/>
      <c r="R31" s="307">
        <f>INDEX('DNV-RP-D101 Table 3-1'!$A$2:$F$22,O31,1)</f>
        <v>0.2</v>
      </c>
      <c r="S31" s="307"/>
      <c r="T31" s="307">
        <f>INDEX('DNV-RP-D101 Table 3-1'!$A$2:$F$22,N31,4)</f>
        <v>0</v>
      </c>
      <c r="U31" s="307"/>
      <c r="V31" s="307">
        <f>INDEX('DNV-RP-D101 Table 3-1'!$A$2:$F$22,O31,4)</f>
        <v>0.02</v>
      </c>
      <c r="W31" s="307"/>
      <c r="AB31" s="162">
        <f t="shared" si="2"/>
        <v>0.24242424242424243</v>
      </c>
    </row>
    <row r="32" spans="1:31" ht="14.4" customHeight="1">
      <c r="A32" s="308" t="s">
        <v>79</v>
      </c>
      <c r="B32" s="308"/>
      <c r="C32" s="308"/>
      <c r="D32" s="195">
        <v>0.08</v>
      </c>
      <c r="E32" s="195"/>
      <c r="F32" s="195"/>
      <c r="G32" s="195">
        <v>0.04</v>
      </c>
      <c r="H32" s="195"/>
      <c r="I32" s="195"/>
      <c r="J32" s="308"/>
      <c r="K32" s="308"/>
      <c r="L32" s="308"/>
      <c r="N32" s="124">
        <f>MATCH(D32,'DNV-RP-D101 Table 3-1'!$A$2:$A$22,1)</f>
        <v>1</v>
      </c>
      <c r="O32" s="9">
        <f t="shared" si="1"/>
        <v>2</v>
      </c>
      <c r="P32" s="307">
        <f>INDEX('DNV-RP-D101 Table 3-1'!$A$2:$F$22,N32,1)</f>
        <v>0</v>
      </c>
      <c r="Q32" s="307"/>
      <c r="R32" s="307">
        <f>INDEX('DNV-RP-D101 Table 3-1'!$A$2:$F$22,O32,1)</f>
        <v>0.2</v>
      </c>
      <c r="S32" s="307"/>
      <c r="T32" s="307">
        <f>INDEX('DNV-RP-D101 Table 3-1'!$A$2:$F$22,N32,4)</f>
        <v>0</v>
      </c>
      <c r="U32" s="307"/>
      <c r="V32" s="307">
        <f>INDEX('DNV-RP-D101 Table 3-1'!$A$2:$F$22,O32,4)</f>
        <v>0.02</v>
      </c>
      <c r="W32" s="307"/>
      <c r="AB32" s="162">
        <f t="shared" si="2"/>
        <v>0.24242424242424243</v>
      </c>
    </row>
    <row r="33" spans="1:28" ht="14.4" customHeight="1">
      <c r="A33" s="308" t="s">
        <v>84</v>
      </c>
      <c r="B33" s="308"/>
      <c r="C33" s="308"/>
      <c r="D33" s="195">
        <v>0.06</v>
      </c>
      <c r="E33" s="195"/>
      <c r="F33" s="195"/>
      <c r="G33" s="195">
        <v>0.02</v>
      </c>
      <c r="H33" s="195"/>
      <c r="I33" s="195"/>
      <c r="J33" s="308"/>
      <c r="K33" s="308"/>
      <c r="L33" s="308"/>
      <c r="N33" s="124">
        <f>MATCH(D33,'DNV-RP-D101 Table 3-1'!$A$2:$A$22,1)</f>
        <v>1</v>
      </c>
      <c r="O33" s="9">
        <f>N33+1</f>
        <v>2</v>
      </c>
      <c r="P33" s="307">
        <f>INDEX('DNV-RP-D101 Table 3-1'!$A$2:$F$22,N33,1)</f>
        <v>0</v>
      </c>
      <c r="Q33" s="307"/>
      <c r="R33" s="307">
        <f>INDEX('DNV-RP-D101 Table 3-1'!$A$2:$F$22,O33,1)</f>
        <v>0.2</v>
      </c>
      <c r="S33" s="307"/>
      <c r="T33" s="307">
        <f>INDEX('DNV-RP-D101 Table 3-1'!$A$2:$F$22,N33,4)</f>
        <v>0</v>
      </c>
      <c r="U33" s="307"/>
      <c r="V33" s="307">
        <f>INDEX('DNV-RP-D101 Table 3-1'!$A$2:$F$22,O33,4)</f>
        <v>0.02</v>
      </c>
      <c r="W33" s="307"/>
      <c r="AB33" s="9">
        <f t="shared" si="2"/>
        <v>0.46153846153846151</v>
      </c>
    </row>
    <row r="34" spans="1:28" ht="14.4" customHeight="1">
      <c r="A34" s="308" t="s">
        <v>81</v>
      </c>
      <c r="B34" s="308"/>
      <c r="C34" s="308"/>
      <c r="D34" s="195">
        <v>7.0000000000000007E-2</v>
      </c>
      <c r="E34" s="195"/>
      <c r="F34" s="195"/>
      <c r="G34" s="195">
        <v>0.02</v>
      </c>
      <c r="H34" s="195"/>
      <c r="I34" s="195"/>
      <c r="J34" s="308"/>
      <c r="K34" s="308"/>
      <c r="L34" s="308"/>
      <c r="N34" s="124">
        <f>MATCH(D34,'DNV-RP-D101 Table 3-1'!$A$2:$A$22,1)</f>
        <v>1</v>
      </c>
      <c r="O34" s="9">
        <f>N34+1</f>
        <v>2</v>
      </c>
      <c r="P34" s="307">
        <f>INDEX('DNV-RP-D101 Table 3-1'!$A$2:$F$22,N34,1)</f>
        <v>0</v>
      </c>
      <c r="Q34" s="307"/>
      <c r="R34" s="307">
        <f>INDEX('DNV-RP-D101 Table 3-1'!$A$2:$F$22,O34,1)</f>
        <v>0.2</v>
      </c>
      <c r="S34" s="307"/>
      <c r="T34" s="307">
        <f>INDEX('DNV-RP-D101 Table 3-1'!$A$2:$F$22,N34,4)</f>
        <v>0</v>
      </c>
      <c r="U34" s="307"/>
      <c r="V34" s="307">
        <f>INDEX('DNV-RP-D101 Table 3-1'!$A$2:$F$22,O34,4)</f>
        <v>0.02</v>
      </c>
      <c r="W34" s="307"/>
      <c r="AB34" s="162">
        <f t="shared" ref="AB34:AB42" si="3">D34/D10</f>
        <v>0.43750000000000006</v>
      </c>
    </row>
    <row r="35" spans="1:28" ht="14.4" customHeight="1">
      <c r="A35" s="308" t="s">
        <v>16</v>
      </c>
      <c r="B35" s="308"/>
      <c r="C35" s="308"/>
      <c r="D35" s="195">
        <v>0.16</v>
      </c>
      <c r="E35" s="195"/>
      <c r="F35" s="195"/>
      <c r="G35" s="195">
        <v>0.04</v>
      </c>
      <c r="H35" s="195"/>
      <c r="I35" s="195"/>
      <c r="J35" s="308"/>
      <c r="K35" s="308"/>
      <c r="L35" s="308"/>
      <c r="N35" s="124">
        <f>MATCH(D35,'DNV-RP-D101 Table 3-1'!$A$2:$A$22,1)</f>
        <v>1</v>
      </c>
      <c r="O35" s="9">
        <f t="shared" si="1"/>
        <v>2</v>
      </c>
      <c r="P35" s="307">
        <f>INDEX('DNV-RP-D101 Table 3-1'!$A$2:$F$22,N35,1)</f>
        <v>0</v>
      </c>
      <c r="Q35" s="307"/>
      <c r="R35" s="307">
        <f>INDEX('DNV-RP-D101 Table 3-1'!$A$2:$F$22,O35,1)</f>
        <v>0.2</v>
      </c>
      <c r="S35" s="307"/>
      <c r="T35" s="307">
        <f>INDEX('DNV-RP-D101 Table 3-1'!$A$2:$F$22,N35,4)</f>
        <v>0</v>
      </c>
      <c r="U35" s="307"/>
      <c r="V35" s="307">
        <f>INDEX('DNV-RP-D101 Table 3-1'!$A$2:$F$22,O35,4)</f>
        <v>0.02</v>
      </c>
      <c r="W35" s="307"/>
      <c r="AB35" s="162">
        <f t="shared" si="3"/>
        <v>0.43243243243243246</v>
      </c>
    </row>
    <row r="36" spans="1:28" ht="14.4" customHeight="1">
      <c r="A36" s="308" t="s">
        <v>20</v>
      </c>
      <c r="B36" s="308"/>
      <c r="C36" s="308"/>
      <c r="D36" s="195">
        <v>0.09</v>
      </c>
      <c r="E36" s="195"/>
      <c r="F36" s="195"/>
      <c r="G36" s="195">
        <v>0.05</v>
      </c>
      <c r="H36" s="195"/>
      <c r="I36" s="195"/>
      <c r="J36" s="308"/>
      <c r="K36" s="308"/>
      <c r="L36" s="308"/>
      <c r="N36" s="124">
        <f>MATCH(D36,'DNV-RP-D101 Table 3-1'!$A$2:$A$22,1)</f>
        <v>1</v>
      </c>
      <c r="O36" s="9">
        <f t="shared" si="1"/>
        <v>2</v>
      </c>
      <c r="P36" s="307">
        <f>INDEX('DNV-RP-D101 Table 3-1'!$A$2:$F$22,N36,1)</f>
        <v>0</v>
      </c>
      <c r="Q36" s="307"/>
      <c r="R36" s="307">
        <f>INDEX('DNV-RP-D101 Table 3-1'!$A$2:$F$22,O36,1)</f>
        <v>0.2</v>
      </c>
      <c r="S36" s="307"/>
      <c r="T36" s="307">
        <f>INDEX('DNV-RP-D101 Table 3-1'!$A$2:$F$22,N36,4)</f>
        <v>0</v>
      </c>
      <c r="U36" s="307"/>
      <c r="V36" s="307">
        <f>INDEX('DNV-RP-D101 Table 3-1'!$A$2:$F$22,O36,4)</f>
        <v>0.02</v>
      </c>
      <c r="W36" s="307"/>
      <c r="AB36" s="162">
        <f t="shared" si="3"/>
        <v>0.21951219512195122</v>
      </c>
    </row>
    <row r="37" spans="1:28" ht="14.4" customHeight="1">
      <c r="A37" s="308" t="s">
        <v>21</v>
      </c>
      <c r="B37" s="308"/>
      <c r="C37" s="308"/>
      <c r="D37" s="195">
        <v>7.0000000000000007E-2</v>
      </c>
      <c r="E37" s="195"/>
      <c r="F37" s="195"/>
      <c r="G37" s="195">
        <v>0.05</v>
      </c>
      <c r="H37" s="195"/>
      <c r="I37" s="195"/>
      <c r="J37" s="308"/>
      <c r="K37" s="308"/>
      <c r="L37" s="308"/>
      <c r="N37" s="124">
        <f>MATCH(D37,'DNV-RP-D101 Table 3-1'!$A$2:$A$22,1)</f>
        <v>1</v>
      </c>
      <c r="O37" s="9">
        <f t="shared" si="1"/>
        <v>2</v>
      </c>
      <c r="P37" s="307">
        <f>INDEX('DNV-RP-D101 Table 3-1'!$A$2:$F$22,N37,1)</f>
        <v>0</v>
      </c>
      <c r="Q37" s="307"/>
      <c r="R37" s="307">
        <f>INDEX('DNV-RP-D101 Table 3-1'!$A$2:$F$22,O37,1)</f>
        <v>0.2</v>
      </c>
      <c r="S37" s="307"/>
      <c r="T37" s="307">
        <f>INDEX('DNV-RP-D101 Table 3-1'!$A$2:$F$22,N37,4)</f>
        <v>0</v>
      </c>
      <c r="U37" s="307"/>
      <c r="V37" s="307">
        <f>INDEX('DNV-RP-D101 Table 3-1'!$A$2:$F$22,O37,4)</f>
        <v>0.02</v>
      </c>
      <c r="W37" s="307"/>
      <c r="AB37" s="162">
        <f t="shared" si="3"/>
        <v>0.16279069767441862</v>
      </c>
    </row>
    <row r="38" spans="1:28" ht="14.4" customHeight="1">
      <c r="A38" s="308" t="s">
        <v>22</v>
      </c>
      <c r="B38" s="308"/>
      <c r="C38" s="308"/>
      <c r="D38" s="195">
        <v>0.11</v>
      </c>
      <c r="E38" s="195"/>
      <c r="F38" s="195"/>
      <c r="G38" s="195">
        <v>7.0000000000000007E-2</v>
      </c>
      <c r="H38" s="195"/>
      <c r="I38" s="195"/>
      <c r="J38" s="308"/>
      <c r="K38" s="308"/>
      <c r="L38" s="308"/>
      <c r="N38" s="124">
        <f>MATCH(D38,'DNV-RP-D101 Table 3-1'!$A$2:$A$22,1)</f>
        <v>1</v>
      </c>
      <c r="O38" s="9">
        <f t="shared" si="1"/>
        <v>2</v>
      </c>
      <c r="P38" s="307">
        <f>INDEX('DNV-RP-D101 Table 3-1'!$A$2:$F$22,N38,1)</f>
        <v>0</v>
      </c>
      <c r="Q38" s="307"/>
      <c r="R38" s="307">
        <f>INDEX('DNV-RP-D101 Table 3-1'!$A$2:$F$22,O38,1)</f>
        <v>0.2</v>
      </c>
      <c r="S38" s="307"/>
      <c r="T38" s="307">
        <f>INDEX('DNV-RP-D101 Table 3-1'!$A$2:$F$22,N38,4)</f>
        <v>0</v>
      </c>
      <c r="U38" s="307"/>
      <c r="V38" s="307">
        <f>INDEX('DNV-RP-D101 Table 3-1'!$A$2:$F$22,O38,4)</f>
        <v>0.02</v>
      </c>
      <c r="W38" s="307"/>
      <c r="AB38" s="162">
        <f t="shared" si="3"/>
        <v>0.16923076923076921</v>
      </c>
    </row>
    <row r="39" spans="1:28" ht="14.4" customHeight="1">
      <c r="A39" s="308" t="s">
        <v>23</v>
      </c>
      <c r="B39" s="308"/>
      <c r="C39" s="308"/>
      <c r="D39" s="195">
        <v>0.16</v>
      </c>
      <c r="E39" s="195"/>
      <c r="F39" s="195"/>
      <c r="G39" s="195">
        <v>0.06</v>
      </c>
      <c r="H39" s="195"/>
      <c r="I39" s="195"/>
      <c r="J39" s="308"/>
      <c r="K39" s="308"/>
      <c r="L39" s="308"/>
      <c r="N39" s="124">
        <f>MATCH(D39,'DNV-RP-D101 Table 3-1'!$A$2:$A$22,1)</f>
        <v>1</v>
      </c>
      <c r="O39" s="9">
        <f t="shared" si="1"/>
        <v>2</v>
      </c>
      <c r="P39" s="307">
        <f>INDEX('DNV-RP-D101 Table 3-1'!$A$2:$F$22,N39,1)</f>
        <v>0</v>
      </c>
      <c r="Q39" s="307"/>
      <c r="R39" s="307">
        <f>INDEX('DNV-RP-D101 Table 3-1'!$A$2:$F$22,O39,1)</f>
        <v>0.2</v>
      </c>
      <c r="S39" s="307"/>
      <c r="T39" s="307">
        <f>INDEX('DNV-RP-D101 Table 3-1'!$A$2:$F$22,N39,4)</f>
        <v>0</v>
      </c>
      <c r="U39" s="307"/>
      <c r="V39" s="307">
        <f>INDEX('DNV-RP-D101 Table 3-1'!$A$2:$F$22,O39,4)</f>
        <v>0.02</v>
      </c>
      <c r="W39" s="307"/>
      <c r="AB39" s="162">
        <f t="shared" si="3"/>
        <v>0.22535211267605634</v>
      </c>
    </row>
    <row r="40" spans="1:28" ht="14.4" customHeight="1">
      <c r="A40" s="308" t="s">
        <v>24</v>
      </c>
      <c r="B40" s="308"/>
      <c r="C40" s="308"/>
      <c r="D40" s="195">
        <v>0</v>
      </c>
      <c r="E40" s="195"/>
      <c r="F40" s="195"/>
      <c r="G40" s="195">
        <f>(D40-P40)/(R40-P40)*(V40-T40)+T40</f>
        <v>0</v>
      </c>
      <c r="H40" s="195"/>
      <c r="I40" s="195"/>
      <c r="J40" s="308"/>
      <c r="K40" s="308"/>
      <c r="L40" s="308"/>
      <c r="N40" s="124">
        <f>MATCH(D40,'DNV-RP-D101 Table 3-1'!$A$2:$A$22,1)</f>
        <v>1</v>
      </c>
      <c r="O40" s="9">
        <f t="shared" si="1"/>
        <v>2</v>
      </c>
      <c r="P40" s="307">
        <f>INDEX('DNV-RP-D101 Table 3-1'!$A$2:$F$22,N40,1)</f>
        <v>0</v>
      </c>
      <c r="Q40" s="307"/>
      <c r="R40" s="307">
        <f>INDEX('DNV-RP-D101 Table 3-1'!$A$2:$F$22,O40,1)</f>
        <v>0.2</v>
      </c>
      <c r="S40" s="307"/>
      <c r="T40" s="307">
        <f>INDEX('DNV-RP-D101 Table 3-1'!$A$2:$F$22,N40,4)</f>
        <v>0</v>
      </c>
      <c r="U40" s="307"/>
      <c r="V40" s="307">
        <f>INDEX('DNV-RP-D101 Table 3-1'!$A$2:$F$22,O40,4)</f>
        <v>0.02</v>
      </c>
      <c r="W40" s="307"/>
      <c r="AB40" s="162" t="e">
        <f>D40/D16</f>
        <v>#DIV/0!</v>
      </c>
    </row>
    <row r="41" spans="1:28" ht="14.4" customHeight="1">
      <c r="A41" s="308" t="s">
        <v>25</v>
      </c>
      <c r="B41" s="308"/>
      <c r="C41" s="308"/>
      <c r="D41" s="195">
        <v>7.0000000000000007E-2</v>
      </c>
      <c r="E41" s="195"/>
      <c r="F41" s="195"/>
      <c r="G41" s="195">
        <v>0.02</v>
      </c>
      <c r="H41" s="195"/>
      <c r="I41" s="195"/>
      <c r="J41" s="308"/>
      <c r="K41" s="308"/>
      <c r="L41" s="308"/>
      <c r="N41" s="124">
        <f>MATCH(D41,'DNV-RP-D101 Table 3-1'!$A$2:$A$22,1)</f>
        <v>1</v>
      </c>
      <c r="O41" s="9">
        <f t="shared" si="1"/>
        <v>2</v>
      </c>
      <c r="P41" s="307">
        <f>INDEX('DNV-RP-D101 Table 3-1'!$A$2:$F$22,N41,1)</f>
        <v>0</v>
      </c>
      <c r="Q41" s="307"/>
      <c r="R41" s="307">
        <f>INDEX('DNV-RP-D101 Table 3-1'!$A$2:$F$22,O41,1)</f>
        <v>0.2</v>
      </c>
      <c r="S41" s="307"/>
      <c r="T41" s="307">
        <f>INDEX('DNV-RP-D101 Table 3-1'!$A$2:$F$22,N41,4)</f>
        <v>0</v>
      </c>
      <c r="U41" s="307"/>
      <c r="V41" s="307">
        <f>INDEX('DNV-RP-D101 Table 3-1'!$A$2:$F$22,O41,4)</f>
        <v>0.02</v>
      </c>
      <c r="W41" s="307"/>
      <c r="AB41" s="162">
        <f t="shared" si="3"/>
        <v>0.46666666666666673</v>
      </c>
    </row>
    <row r="42" spans="1:28" ht="14.4" customHeight="1">
      <c r="A42" s="308" t="s">
        <v>26</v>
      </c>
      <c r="B42" s="308"/>
      <c r="C42" s="308"/>
      <c r="D42" s="195">
        <v>0.09</v>
      </c>
      <c r="E42" s="195"/>
      <c r="F42" s="195"/>
      <c r="G42" s="195">
        <v>0.04</v>
      </c>
      <c r="H42" s="195"/>
      <c r="I42" s="195"/>
      <c r="J42" s="308"/>
      <c r="K42" s="308"/>
      <c r="L42" s="308"/>
      <c r="N42" s="124">
        <f>MATCH(D42,'DNV-RP-D101 Table 3-1'!$A$2:$A$22,1)</f>
        <v>1</v>
      </c>
      <c r="O42" s="9">
        <f t="shared" si="1"/>
        <v>2</v>
      </c>
      <c r="P42" s="307">
        <f>INDEX('DNV-RP-D101 Table 3-1'!$A$2:$F$22,N42,1)</f>
        <v>0</v>
      </c>
      <c r="Q42" s="307"/>
      <c r="R42" s="307">
        <f>INDEX('DNV-RP-D101 Table 3-1'!$A$2:$F$22,O42,1)</f>
        <v>0.2</v>
      </c>
      <c r="S42" s="307"/>
      <c r="T42" s="307">
        <f>INDEX('DNV-RP-D101 Table 3-1'!$A$2:$F$22,N42,4)</f>
        <v>0</v>
      </c>
      <c r="U42" s="307"/>
      <c r="V42" s="307">
        <f>INDEX('DNV-RP-D101 Table 3-1'!$A$2:$F$22,O42,4)</f>
        <v>0.02</v>
      </c>
      <c r="W42" s="307"/>
      <c r="AB42" s="162">
        <f t="shared" si="3"/>
        <v>0.25</v>
      </c>
    </row>
    <row r="43" spans="1:28" ht="14.4" customHeight="1">
      <c r="A43" s="308"/>
      <c r="B43" s="308"/>
      <c r="C43" s="308"/>
      <c r="D43" s="195"/>
      <c r="E43" s="195"/>
      <c r="F43" s="195"/>
      <c r="G43" s="195">
        <f>(D43-P43)/(R43-P43)*(V43-T43)+T43</f>
        <v>0</v>
      </c>
      <c r="H43" s="195"/>
      <c r="I43" s="195"/>
      <c r="J43" s="308"/>
      <c r="K43" s="308"/>
      <c r="L43" s="308"/>
      <c r="N43" s="124">
        <f>MATCH(D43,'DNV-RP-D101 Table 3-1'!$A$2:$A$22,1)</f>
        <v>1</v>
      </c>
      <c r="O43" s="9">
        <f t="shared" si="1"/>
        <v>2</v>
      </c>
      <c r="P43" s="307">
        <f>INDEX('DNV-RP-D101 Table 3-1'!$A$2:$F$22,N43,1)</f>
        <v>0</v>
      </c>
      <c r="Q43" s="307"/>
      <c r="R43" s="307">
        <f>INDEX('DNV-RP-D101 Table 3-1'!$A$2:$F$22,O43,1)</f>
        <v>0.2</v>
      </c>
      <c r="S43" s="307"/>
      <c r="T43" s="307">
        <f>INDEX('DNV-RP-D101 Table 3-1'!$A$2:$F$22,N43,4)</f>
        <v>0</v>
      </c>
      <c r="U43" s="307"/>
      <c r="V43" s="307">
        <f>INDEX('DNV-RP-D101 Table 3-1'!$A$2:$F$22,O43,4)</f>
        <v>0.02</v>
      </c>
      <c r="W43" s="307"/>
      <c r="AB43" s="162" t="e">
        <f>D43/D19</f>
        <v>#DIV/0!</v>
      </c>
    </row>
    <row r="44" spans="1:28" ht="14.4" customHeight="1">
      <c r="A44" s="308"/>
      <c r="B44" s="308"/>
      <c r="C44" s="308"/>
      <c r="D44" s="195"/>
      <c r="E44" s="195"/>
      <c r="F44" s="195"/>
      <c r="G44" s="195">
        <f>(D44-P44)/(R44-P44)*(V44-T44)+T44</f>
        <v>0</v>
      </c>
      <c r="H44" s="195"/>
      <c r="I44" s="195"/>
      <c r="J44" s="308"/>
      <c r="K44" s="308"/>
      <c r="L44" s="308"/>
      <c r="N44" s="124">
        <f>MATCH(D44,'DNV-RP-D101 Table 3-1'!$A$2:$A$22,1)</f>
        <v>1</v>
      </c>
      <c r="O44" s="9">
        <f t="shared" si="1"/>
        <v>2</v>
      </c>
      <c r="P44" s="307">
        <f>INDEX('DNV-RP-D101 Table 3-1'!$A$2:$F$22,N44,1)</f>
        <v>0</v>
      </c>
      <c r="Q44" s="307"/>
      <c r="R44" s="307">
        <f>INDEX('DNV-RP-D101 Table 3-1'!$A$2:$F$22,O44,1)</f>
        <v>0.2</v>
      </c>
      <c r="S44" s="307"/>
      <c r="T44" s="307">
        <f>INDEX('DNV-RP-D101 Table 3-1'!$A$2:$F$22,N44,4)</f>
        <v>0</v>
      </c>
      <c r="U44" s="307"/>
      <c r="V44" s="307">
        <f>INDEX('DNV-RP-D101 Table 3-1'!$A$2:$F$22,O44,4)</f>
        <v>0.02</v>
      </c>
      <c r="W44" s="307"/>
      <c r="AB44" s="162" t="e">
        <f>D44/D20</f>
        <v>#DIV/0!</v>
      </c>
    </row>
    <row r="45" spans="1:28" ht="14.4" customHeight="1">
      <c r="A45" s="309"/>
      <c r="B45" s="309"/>
      <c r="C45" s="309"/>
      <c r="D45" s="259"/>
      <c r="E45" s="259"/>
      <c r="F45" s="259"/>
      <c r="G45" s="310">
        <f>(D45-P45)/(R45-P45)*(V45-T45)+T45</f>
        <v>0</v>
      </c>
      <c r="H45" s="310"/>
      <c r="I45" s="310"/>
      <c r="J45" s="309"/>
      <c r="K45" s="309"/>
      <c r="L45" s="309"/>
      <c r="N45" s="124">
        <f>MATCH(D45,'DNV-RP-D101 Table 3-1'!$A$2:$A$22,1)</f>
        <v>1</v>
      </c>
      <c r="O45" s="9">
        <f>N45+1</f>
        <v>2</v>
      </c>
      <c r="P45" s="307">
        <f>INDEX('DNV-RP-D101 Table 3-1'!$A$2:$F$22,N45,1)</f>
        <v>0</v>
      </c>
      <c r="Q45" s="307"/>
      <c r="R45" s="307">
        <f>INDEX('DNV-RP-D101 Table 3-1'!$A$2:$F$22,O45,1)</f>
        <v>0.2</v>
      </c>
      <c r="S45" s="307"/>
      <c r="T45" s="307">
        <f>INDEX('DNV-RP-D101 Table 3-1'!$A$2:$F$22,N45,4)</f>
        <v>0</v>
      </c>
      <c r="U45" s="307"/>
      <c r="V45" s="307">
        <f>INDEX('DNV-RP-D101 Table 3-1'!$A$2:$F$22,O45,4)</f>
        <v>0.02</v>
      </c>
      <c r="W45" s="307"/>
      <c r="AB45" s="162" t="e">
        <f>D45/D21</f>
        <v>#DIV/0!</v>
      </c>
    </row>
  </sheetData>
  <sheetProtection selectLockedCells="1"/>
  <mergeCells count="296">
    <mergeCell ref="A6:C6"/>
    <mergeCell ref="D6:F6"/>
    <mergeCell ref="G6:I6"/>
    <mergeCell ref="J6:L6"/>
    <mergeCell ref="P6:Q6"/>
    <mergeCell ref="R6:S6"/>
    <mergeCell ref="T8:U8"/>
    <mergeCell ref="V8:W8"/>
    <mergeCell ref="A11:C11"/>
    <mergeCell ref="D11:F11"/>
    <mergeCell ref="G11:I11"/>
    <mergeCell ref="J11:L11"/>
    <mergeCell ref="P11:Q11"/>
    <mergeCell ref="R11:S11"/>
    <mergeCell ref="T11:U11"/>
    <mergeCell ref="V11:W11"/>
    <mergeCell ref="A8:C8"/>
    <mergeCell ref="D8:F8"/>
    <mergeCell ref="G8:I8"/>
    <mergeCell ref="J8:L8"/>
    <mergeCell ref="P8:Q8"/>
    <mergeCell ref="R8:S8"/>
    <mergeCell ref="A10:C10"/>
    <mergeCell ref="D10:F10"/>
    <mergeCell ref="V18:W18"/>
    <mergeCell ref="A21:C21"/>
    <mergeCell ref="D21:F21"/>
    <mergeCell ref="G21:I21"/>
    <mergeCell ref="P4:Q4"/>
    <mergeCell ref="A2:C3"/>
    <mergeCell ref="D2:F3"/>
    <mergeCell ref="G2:I3"/>
    <mergeCell ref="J2:L3"/>
    <mergeCell ref="A18:C18"/>
    <mergeCell ref="D18:F18"/>
    <mergeCell ref="A16:C16"/>
    <mergeCell ref="D16:F16"/>
    <mergeCell ref="G16:I16"/>
    <mergeCell ref="A17:C17"/>
    <mergeCell ref="D17:F17"/>
    <mergeCell ref="G17:I17"/>
    <mergeCell ref="G12:I12"/>
    <mergeCell ref="G13:I13"/>
    <mergeCell ref="A14:C14"/>
    <mergeCell ref="D14:F14"/>
    <mergeCell ref="G14:I14"/>
    <mergeCell ref="A15:C15"/>
    <mergeCell ref="G18:I18"/>
    <mergeCell ref="A4:C4"/>
    <mergeCell ref="A13:C13"/>
    <mergeCell ref="D13:F13"/>
    <mergeCell ref="D4:F4"/>
    <mergeCell ref="G4:I4"/>
    <mergeCell ref="A12:C12"/>
    <mergeCell ref="D12:F12"/>
    <mergeCell ref="R4:S4"/>
    <mergeCell ref="T4:U4"/>
    <mergeCell ref="J4:L4"/>
    <mergeCell ref="A5:C5"/>
    <mergeCell ref="D5:F5"/>
    <mergeCell ref="G5:I5"/>
    <mergeCell ref="J5:L5"/>
    <mergeCell ref="P5:Q5"/>
    <mergeCell ref="R5:S5"/>
    <mergeCell ref="T6:U6"/>
    <mergeCell ref="A7:C7"/>
    <mergeCell ref="D7:F7"/>
    <mergeCell ref="G7:I7"/>
    <mergeCell ref="J7:L7"/>
    <mergeCell ref="P7:Q7"/>
    <mergeCell ref="R7:S7"/>
    <mergeCell ref="T7:U7"/>
    <mergeCell ref="V4:W4"/>
    <mergeCell ref="P12:Q12"/>
    <mergeCell ref="R12:S12"/>
    <mergeCell ref="T12:U12"/>
    <mergeCell ref="V12:W12"/>
    <mergeCell ref="P13:Q13"/>
    <mergeCell ref="R13:S13"/>
    <mergeCell ref="T13:U13"/>
    <mergeCell ref="V13:W13"/>
    <mergeCell ref="V6:W6"/>
    <mergeCell ref="V7:W7"/>
    <mergeCell ref="V17:W17"/>
    <mergeCell ref="P21:Q21"/>
    <mergeCell ref="R21:S21"/>
    <mergeCell ref="T21:U21"/>
    <mergeCell ref="V21:W21"/>
    <mergeCell ref="T5:U5"/>
    <mergeCell ref="V5:W5"/>
    <mergeCell ref="J17:L17"/>
    <mergeCell ref="J21:L21"/>
    <mergeCell ref="J12:L12"/>
    <mergeCell ref="J13:L13"/>
    <mergeCell ref="J14:L14"/>
    <mergeCell ref="J15:L15"/>
    <mergeCell ref="J16:L16"/>
    <mergeCell ref="T14:U14"/>
    <mergeCell ref="V14:W14"/>
    <mergeCell ref="P15:Q15"/>
    <mergeCell ref="R15:S15"/>
    <mergeCell ref="T15:U15"/>
    <mergeCell ref="V15:W15"/>
    <mergeCell ref="P16:Q16"/>
    <mergeCell ref="R16:S16"/>
    <mergeCell ref="T16:U16"/>
    <mergeCell ref="V16:W16"/>
    <mergeCell ref="G10:I10"/>
    <mergeCell ref="J10:L10"/>
    <mergeCell ref="A19:C19"/>
    <mergeCell ref="D19:F19"/>
    <mergeCell ref="G19:I19"/>
    <mergeCell ref="J19:L19"/>
    <mergeCell ref="T17:U17"/>
    <mergeCell ref="T18:U18"/>
    <mergeCell ref="J18:L18"/>
    <mergeCell ref="P18:Q18"/>
    <mergeCell ref="R18:S18"/>
    <mergeCell ref="D15:F15"/>
    <mergeCell ref="G15:I15"/>
    <mergeCell ref="P14:Q14"/>
    <mergeCell ref="R14:S14"/>
    <mergeCell ref="P17:Q17"/>
    <mergeCell ref="R17:S17"/>
    <mergeCell ref="A20:C20"/>
    <mergeCell ref="D20:F20"/>
    <mergeCell ref="G20:I20"/>
    <mergeCell ref="J20:L20"/>
    <mergeCell ref="P9:Q9"/>
    <mergeCell ref="R9:S9"/>
    <mergeCell ref="T9:U9"/>
    <mergeCell ref="V9:W9"/>
    <mergeCell ref="P10:Q10"/>
    <mergeCell ref="R10:S10"/>
    <mergeCell ref="T10:U10"/>
    <mergeCell ref="V10:W10"/>
    <mergeCell ref="P19:Q19"/>
    <mergeCell ref="R19:S19"/>
    <mergeCell ref="T19:U19"/>
    <mergeCell ref="V19:W19"/>
    <mergeCell ref="P20:Q20"/>
    <mergeCell ref="R20:S20"/>
    <mergeCell ref="T20:U20"/>
    <mergeCell ref="V20:W20"/>
    <mergeCell ref="A9:C9"/>
    <mergeCell ref="D9:F9"/>
    <mergeCell ref="G9:I9"/>
    <mergeCell ref="J9:L9"/>
    <mergeCell ref="A26:C27"/>
    <mergeCell ref="D26:F27"/>
    <mergeCell ref="G26:I27"/>
    <mergeCell ref="J26:L27"/>
    <mergeCell ref="A28:C28"/>
    <mergeCell ref="D28:F28"/>
    <mergeCell ref="G28:I28"/>
    <mergeCell ref="J28:L28"/>
    <mergeCell ref="P28:Q28"/>
    <mergeCell ref="R28:S28"/>
    <mergeCell ref="T28:U28"/>
    <mergeCell ref="V28:W28"/>
    <mergeCell ref="A29:C29"/>
    <mergeCell ref="D29:F29"/>
    <mergeCell ref="G29:I29"/>
    <mergeCell ref="J29:L29"/>
    <mergeCell ref="P29:Q29"/>
    <mergeCell ref="R29:S29"/>
    <mergeCell ref="T29:U29"/>
    <mergeCell ref="V29:W29"/>
    <mergeCell ref="A30:C30"/>
    <mergeCell ref="D30:F30"/>
    <mergeCell ref="G30:I30"/>
    <mergeCell ref="J30:L30"/>
    <mergeCell ref="P30:Q30"/>
    <mergeCell ref="R30:S30"/>
    <mergeCell ref="T30:U30"/>
    <mergeCell ref="V30:W30"/>
    <mergeCell ref="A31:C31"/>
    <mergeCell ref="D31:F31"/>
    <mergeCell ref="G31:I31"/>
    <mergeCell ref="J31:L31"/>
    <mergeCell ref="P31:Q31"/>
    <mergeCell ref="R31:S31"/>
    <mergeCell ref="T31:U31"/>
    <mergeCell ref="V31:W31"/>
    <mergeCell ref="A37:C37"/>
    <mergeCell ref="D37:F37"/>
    <mergeCell ref="G37:I37"/>
    <mergeCell ref="J37:L37"/>
    <mergeCell ref="P37:Q37"/>
    <mergeCell ref="R37:S37"/>
    <mergeCell ref="T37:U37"/>
    <mergeCell ref="V37:W37"/>
    <mergeCell ref="A32:C32"/>
    <mergeCell ref="D32:F32"/>
    <mergeCell ref="G32:I32"/>
    <mergeCell ref="J32:L32"/>
    <mergeCell ref="P32:Q32"/>
    <mergeCell ref="R32:S32"/>
    <mergeCell ref="T32:U32"/>
    <mergeCell ref="V32:W32"/>
    <mergeCell ref="A35:C35"/>
    <mergeCell ref="D35:F35"/>
    <mergeCell ref="G35:I35"/>
    <mergeCell ref="J35:L35"/>
    <mergeCell ref="P35:Q35"/>
    <mergeCell ref="R35:S35"/>
    <mergeCell ref="T35:U35"/>
    <mergeCell ref="V35:W35"/>
    <mergeCell ref="A41:C41"/>
    <mergeCell ref="D41:F41"/>
    <mergeCell ref="G41:I41"/>
    <mergeCell ref="J41:L41"/>
    <mergeCell ref="P41:Q41"/>
    <mergeCell ref="R41:S41"/>
    <mergeCell ref="T41:U41"/>
    <mergeCell ref="V41:W41"/>
    <mergeCell ref="A38:C38"/>
    <mergeCell ref="D38:F38"/>
    <mergeCell ref="G38:I38"/>
    <mergeCell ref="J38:L38"/>
    <mergeCell ref="P38:Q38"/>
    <mergeCell ref="R38:S38"/>
    <mergeCell ref="T38:U38"/>
    <mergeCell ref="V38:W38"/>
    <mergeCell ref="A39:C39"/>
    <mergeCell ref="D39:F39"/>
    <mergeCell ref="G39:I39"/>
    <mergeCell ref="J39:L39"/>
    <mergeCell ref="P39:Q39"/>
    <mergeCell ref="R39:S39"/>
    <mergeCell ref="T39:U39"/>
    <mergeCell ref="V39:W39"/>
    <mergeCell ref="A33:C33"/>
    <mergeCell ref="D33:F33"/>
    <mergeCell ref="G33:I33"/>
    <mergeCell ref="J33:L33"/>
    <mergeCell ref="P33:Q33"/>
    <mergeCell ref="R33:S33"/>
    <mergeCell ref="T33:U33"/>
    <mergeCell ref="V33:W33"/>
    <mergeCell ref="A40:C40"/>
    <mergeCell ref="D40:F40"/>
    <mergeCell ref="G40:I40"/>
    <mergeCell ref="J40:L40"/>
    <mergeCell ref="P40:Q40"/>
    <mergeCell ref="R40:S40"/>
    <mergeCell ref="T40:U40"/>
    <mergeCell ref="V40:W40"/>
    <mergeCell ref="A36:C36"/>
    <mergeCell ref="D36:F36"/>
    <mergeCell ref="G36:I36"/>
    <mergeCell ref="J36:L36"/>
    <mergeCell ref="P36:Q36"/>
    <mergeCell ref="R36:S36"/>
    <mergeCell ref="T36:U36"/>
    <mergeCell ref="V36:W36"/>
    <mergeCell ref="A34:C34"/>
    <mergeCell ref="D34:F34"/>
    <mergeCell ref="G34:I34"/>
    <mergeCell ref="J34:L34"/>
    <mergeCell ref="P34:Q34"/>
    <mergeCell ref="R34:S34"/>
    <mergeCell ref="T34:U34"/>
    <mergeCell ref="V34:W34"/>
    <mergeCell ref="A43:C43"/>
    <mergeCell ref="D43:F43"/>
    <mergeCell ref="G43:I43"/>
    <mergeCell ref="J43:L43"/>
    <mergeCell ref="P43:Q43"/>
    <mergeCell ref="R43:S43"/>
    <mergeCell ref="T43:U43"/>
    <mergeCell ref="V43:W43"/>
    <mergeCell ref="A42:C42"/>
    <mergeCell ref="D42:F42"/>
    <mergeCell ref="G42:I42"/>
    <mergeCell ref="J42:L42"/>
    <mergeCell ref="P42:Q42"/>
    <mergeCell ref="R42:S42"/>
    <mergeCell ref="T42:U42"/>
    <mergeCell ref="V42:W42"/>
    <mergeCell ref="A44:C44"/>
    <mergeCell ref="D44:F44"/>
    <mergeCell ref="G44:I44"/>
    <mergeCell ref="J44:L44"/>
    <mergeCell ref="P44:Q44"/>
    <mergeCell ref="R44:S44"/>
    <mergeCell ref="T44:U44"/>
    <mergeCell ref="V44:W44"/>
    <mergeCell ref="A45:C45"/>
    <mergeCell ref="D45:F45"/>
    <mergeCell ref="G45:I45"/>
    <mergeCell ref="J45:L45"/>
    <mergeCell ref="P45:Q45"/>
    <mergeCell ref="R45:S45"/>
    <mergeCell ref="T45:U45"/>
    <mergeCell ref="V45:W4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2"/>
  <sheetViews>
    <sheetView workbookViewId="0">
      <selection sqref="A1:C1"/>
    </sheetView>
  </sheetViews>
  <sheetFormatPr defaultColWidth="2.6640625" defaultRowHeight="14.4"/>
  <cols>
    <col min="1" max="16384" width="2.6640625" style="9"/>
  </cols>
  <sheetData>
    <row r="1" spans="1:6" ht="14.4" customHeight="1">
      <c r="A1" s="180" t="s">
        <v>28</v>
      </c>
      <c r="B1" s="180"/>
      <c r="C1" s="180"/>
      <c r="D1" s="180" t="s">
        <v>29</v>
      </c>
      <c r="E1" s="180"/>
      <c r="F1" s="180"/>
    </row>
    <row r="2" spans="1:6" ht="14.4" customHeight="1">
      <c r="A2" s="315">
        <v>0</v>
      </c>
      <c r="B2" s="315"/>
      <c r="C2" s="315"/>
      <c r="D2" s="315">
        <v>0</v>
      </c>
      <c r="E2" s="315"/>
      <c r="F2" s="315"/>
    </row>
    <row r="3" spans="1:6" ht="14.4" customHeight="1">
      <c r="A3" s="308">
        <v>0.2</v>
      </c>
      <c r="B3" s="308"/>
      <c r="C3" s="308"/>
      <c r="D3" s="308">
        <v>0.02</v>
      </c>
      <c r="E3" s="308"/>
      <c r="F3" s="308"/>
    </row>
    <row r="4" spans="1:6" ht="14.4" customHeight="1">
      <c r="A4" s="308">
        <f t="shared" ref="A4:A9" si="0">A3+0.2</f>
        <v>0.4</v>
      </c>
      <c r="B4" s="308"/>
      <c r="C4" s="308"/>
      <c r="D4" s="308">
        <v>0.05</v>
      </c>
      <c r="E4" s="308"/>
      <c r="F4" s="308"/>
    </row>
    <row r="5" spans="1:6" ht="14.4" customHeight="1">
      <c r="A5" s="308">
        <f t="shared" si="0"/>
        <v>0.60000000000000009</v>
      </c>
      <c r="B5" s="308"/>
      <c r="C5" s="308"/>
      <c r="D5" s="308">
        <v>0.1</v>
      </c>
      <c r="E5" s="308"/>
      <c r="F5" s="308"/>
    </row>
    <row r="6" spans="1:6" ht="14.4" customHeight="1">
      <c r="A6" s="308">
        <f t="shared" si="0"/>
        <v>0.8</v>
      </c>
      <c r="B6" s="308"/>
      <c r="C6" s="308"/>
      <c r="D6" s="308">
        <v>0.15</v>
      </c>
      <c r="E6" s="308"/>
      <c r="F6" s="308"/>
    </row>
    <row r="7" spans="1:6" ht="14.4" customHeight="1">
      <c r="A7" s="308">
        <f t="shared" si="0"/>
        <v>1</v>
      </c>
      <c r="B7" s="308"/>
      <c r="C7" s="308"/>
      <c r="D7" s="308">
        <v>0.21</v>
      </c>
      <c r="E7" s="308"/>
      <c r="F7" s="308"/>
    </row>
    <row r="8" spans="1:6" ht="14.4" customHeight="1">
      <c r="A8" s="308">
        <f t="shared" si="0"/>
        <v>1.2</v>
      </c>
      <c r="B8" s="308"/>
      <c r="C8" s="308"/>
      <c r="D8" s="308">
        <v>0.28000000000000003</v>
      </c>
      <c r="E8" s="308"/>
      <c r="F8" s="308"/>
    </row>
    <row r="9" spans="1:6" ht="14.4" customHeight="1">
      <c r="A9" s="308">
        <f t="shared" si="0"/>
        <v>1.4</v>
      </c>
      <c r="B9" s="308"/>
      <c r="C9" s="308"/>
      <c r="D9" s="308">
        <v>0.36</v>
      </c>
      <c r="E9" s="308"/>
      <c r="F9" s="308"/>
    </row>
    <row r="10" spans="1:6" ht="14.4" customHeight="1">
      <c r="A10" s="308">
        <f>A17+0.2</f>
        <v>2.8000000000000003</v>
      </c>
      <c r="B10" s="308"/>
      <c r="C10" s="308"/>
      <c r="D10" s="308">
        <v>1.1299999999999999</v>
      </c>
      <c r="E10" s="308"/>
      <c r="F10" s="308"/>
    </row>
    <row r="11" spans="1:6" ht="14.4" customHeight="1">
      <c r="A11" s="308">
        <f>A10+0.2</f>
        <v>3.0000000000000004</v>
      </c>
      <c r="B11" s="308"/>
      <c r="C11" s="308"/>
      <c r="D11" s="308">
        <v>1.27</v>
      </c>
      <c r="E11" s="308"/>
      <c r="F11" s="308"/>
    </row>
    <row r="12" spans="1:6" ht="14.4" customHeight="1">
      <c r="A12" s="308">
        <f>A9+0.2</f>
        <v>1.5999999999999999</v>
      </c>
      <c r="B12" s="308"/>
      <c r="C12" s="308"/>
      <c r="D12" s="308">
        <v>0.45</v>
      </c>
      <c r="E12" s="308"/>
      <c r="F12" s="308"/>
    </row>
    <row r="13" spans="1:6" ht="14.4" customHeight="1">
      <c r="A13" s="308">
        <f>A12+0.2</f>
        <v>1.7999999999999998</v>
      </c>
      <c r="B13" s="308"/>
      <c r="C13" s="308"/>
      <c r="D13" s="308">
        <v>0.55000000000000004</v>
      </c>
      <c r="E13" s="308"/>
      <c r="F13" s="308"/>
    </row>
    <row r="14" spans="1:6" ht="14.4" customHeight="1">
      <c r="A14" s="308">
        <f>A13+0.2</f>
        <v>1.9999999999999998</v>
      </c>
      <c r="B14" s="308"/>
      <c r="C14" s="308"/>
      <c r="D14" s="308">
        <v>0.65</v>
      </c>
      <c r="E14" s="308"/>
      <c r="F14" s="308"/>
    </row>
    <row r="15" spans="1:6" ht="14.4" customHeight="1">
      <c r="A15" s="308">
        <f>A14+0.2</f>
        <v>2.1999999999999997</v>
      </c>
      <c r="B15" s="308"/>
      <c r="C15" s="308"/>
      <c r="D15" s="308">
        <v>0.76</v>
      </c>
      <c r="E15" s="308"/>
      <c r="F15" s="308"/>
    </row>
    <row r="16" spans="1:6" ht="14.4" customHeight="1">
      <c r="A16" s="308">
        <f>A15+0.2</f>
        <v>2.4</v>
      </c>
      <c r="B16" s="308"/>
      <c r="C16" s="308"/>
      <c r="D16" s="308">
        <v>0.88</v>
      </c>
      <c r="E16" s="308"/>
      <c r="F16" s="308"/>
    </row>
    <row r="17" spans="1:6" ht="14.4" customHeight="1">
      <c r="A17" s="308">
        <f>A16+0.2</f>
        <v>2.6</v>
      </c>
      <c r="B17" s="308"/>
      <c r="C17" s="308"/>
      <c r="D17" s="308">
        <v>1</v>
      </c>
      <c r="E17" s="308"/>
      <c r="F17" s="308"/>
    </row>
    <row r="18" spans="1:6" ht="14.4" customHeight="1">
      <c r="A18" s="308">
        <f>A11+0.2</f>
        <v>3.2000000000000006</v>
      </c>
      <c r="B18" s="308"/>
      <c r="C18" s="308"/>
      <c r="D18" s="308">
        <v>1.41</v>
      </c>
      <c r="E18" s="308"/>
      <c r="F18" s="308"/>
    </row>
    <row r="19" spans="1:6" ht="14.4" customHeight="1">
      <c r="A19" s="308">
        <f>A18+0.2</f>
        <v>3.4000000000000008</v>
      </c>
      <c r="B19" s="308"/>
      <c r="C19" s="308"/>
      <c r="D19" s="308">
        <v>1.57</v>
      </c>
      <c r="E19" s="308"/>
      <c r="F19" s="308"/>
    </row>
    <row r="20" spans="1:6" ht="14.4" customHeight="1">
      <c r="A20" s="308">
        <f>A19+0.2</f>
        <v>3.600000000000001</v>
      </c>
      <c r="B20" s="308"/>
      <c r="C20" s="308"/>
      <c r="D20" s="308">
        <v>1.73</v>
      </c>
      <c r="E20" s="308"/>
      <c r="F20" s="308"/>
    </row>
    <row r="21" spans="1:6" ht="14.4" customHeight="1">
      <c r="A21" s="308">
        <f>A20+0.2</f>
        <v>3.8000000000000012</v>
      </c>
      <c r="B21" s="308"/>
      <c r="C21" s="308"/>
      <c r="D21" s="308">
        <v>1.88</v>
      </c>
      <c r="E21" s="308"/>
      <c r="F21" s="308"/>
    </row>
    <row r="22" spans="1:6" ht="14.4" customHeight="1">
      <c r="A22" s="309">
        <f>A21+0.2</f>
        <v>4.0000000000000009</v>
      </c>
      <c r="B22" s="309"/>
      <c r="C22" s="309"/>
      <c r="D22" s="309">
        <v>2.0499999999999998</v>
      </c>
      <c r="E22" s="309"/>
      <c r="F22" s="309"/>
    </row>
  </sheetData>
  <sheetProtection password="8C51" sheet="1" objects="1" scenarios="1" selectLockedCells="1"/>
  <mergeCells count="44">
    <mergeCell ref="D1:F1"/>
    <mergeCell ref="A1:C1"/>
    <mergeCell ref="A10:C10"/>
    <mergeCell ref="A11:C11"/>
    <mergeCell ref="A18:C18"/>
    <mergeCell ref="A15:C15"/>
    <mergeCell ref="D3:F3"/>
    <mergeCell ref="D4:F4"/>
    <mergeCell ref="D5:F5"/>
    <mergeCell ref="D6:F6"/>
    <mergeCell ref="D7:F7"/>
    <mergeCell ref="D8:F8"/>
    <mergeCell ref="D9:F9"/>
    <mergeCell ref="D12:F12"/>
    <mergeCell ref="D13:F13"/>
    <mergeCell ref="D11:F11"/>
    <mergeCell ref="D15:F15"/>
    <mergeCell ref="A8:C8"/>
    <mergeCell ref="D21:F21"/>
    <mergeCell ref="D22:F22"/>
    <mergeCell ref="A19:C19"/>
    <mergeCell ref="A20:C20"/>
    <mergeCell ref="A21:C21"/>
    <mergeCell ref="A22:C22"/>
    <mergeCell ref="D10:F10"/>
    <mergeCell ref="D18:F18"/>
    <mergeCell ref="D19:F19"/>
    <mergeCell ref="D20:F20"/>
    <mergeCell ref="A2:C2"/>
    <mergeCell ref="D2:F2"/>
    <mergeCell ref="D16:F16"/>
    <mergeCell ref="D17:F17"/>
    <mergeCell ref="A16:C16"/>
    <mergeCell ref="A17:C17"/>
    <mergeCell ref="A9:C9"/>
    <mergeCell ref="A12:C12"/>
    <mergeCell ref="A13:C13"/>
    <mergeCell ref="A14:C14"/>
    <mergeCell ref="A3:C3"/>
    <mergeCell ref="A4:C4"/>
    <mergeCell ref="A5:C5"/>
    <mergeCell ref="A6:C6"/>
    <mergeCell ref="A7:C7"/>
    <mergeCell ref="D14:F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Blast (Peak)</vt:lpstr>
      <vt:lpstr>Blast (Criticality 2)</vt:lpstr>
      <vt:lpstr>Blast (Average)</vt:lpstr>
      <vt:lpstr>Zones</vt:lpstr>
      <vt:lpstr>Blast Load Basis</vt:lpstr>
      <vt:lpstr>Zone Table</vt:lpstr>
      <vt:lpstr>DNV-RP-D101 Table 3-1</vt:lpstr>
      <vt:lpstr>'Blast Load Basis'!Print_Area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Clive N Westwood</dc:creator>
  <cp:lastModifiedBy>Clive N Westwood</cp:lastModifiedBy>
  <cp:lastPrinted>2013-07-22T08:12:37Z</cp:lastPrinted>
  <dcterms:created xsi:type="dcterms:W3CDTF">2012-11-12T10:06:10Z</dcterms:created>
  <dcterms:modified xsi:type="dcterms:W3CDTF">2013-07-22T09:19:18Z</dcterms:modified>
</cp:coreProperties>
</file>