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bookViews>
    <workbookView xWindow="96" yWindow="12" windowWidth="22848" windowHeight="10944" activeTab="1"/>
  </bookViews>
  <sheets>
    <sheet name="Notes" sheetId="3" r:id="rId1"/>
    <sheet name="Low Stress Type Gasket" sheetId="4" r:id="rId2"/>
    <sheet name="Flanges" sheetId="19" state="hidden" r:id="rId3"/>
    <sheet name="Case 1" sheetId="6" r:id="rId4"/>
    <sheet name="Case 2" sheetId="7" r:id="rId5"/>
    <sheet name="Case 3" sheetId="8" r:id="rId6"/>
    <sheet name="Case 4" sheetId="9" r:id="rId7"/>
    <sheet name="Case 5" sheetId="10" r:id="rId8"/>
    <sheet name="Case 6" sheetId="11" r:id="rId9"/>
    <sheet name="Case 7" sheetId="12" r:id="rId10"/>
    <sheet name="Case 8" sheetId="13" r:id="rId11"/>
    <sheet name="Case 9" sheetId="14" r:id="rId12"/>
    <sheet name="Case 10" sheetId="20" r:id="rId13"/>
    <sheet name="Case 11" sheetId="21" r:id="rId14"/>
    <sheet name="Case 12" sheetId="22" r:id="rId15"/>
    <sheet name="Pipe Schedules" sheetId="5" state="hidden" r:id="rId16"/>
    <sheet name="Pipe Classes" sheetId="15" state="hidden" r:id="rId17"/>
    <sheet name="Rating Data" sheetId="16" state="hidden" r:id="rId18"/>
    <sheet name="Bolt &amp; Gasket Data" sheetId="17" state="hidden" r:id="rId19"/>
  </sheets>
  <functionGroups builtInGroupCount="17"/>
  <externalReferences>
    <externalReference r:id="rId20"/>
  </externalReferences>
  <definedNames>
    <definedName name="__key1">'Bolt &amp; Gasket Data'!$D$2</definedName>
    <definedName name="__Mb1">'[1]Sheet2 Bolt-stress method'!$E$37</definedName>
    <definedName name="__Mb2">'[1]Sheet2 Bolt-stress method'!$E$42</definedName>
    <definedName name="_key1">'[1]Sheet4 Bolt &amp; Gasket Data'!$D$2</definedName>
    <definedName name="_Mb1">'[1]Sheet2 Bolt-stress method'!$E$37</definedName>
    <definedName name="_Mb2">'[1]Sheet2 Bolt-stress method'!$E$42</definedName>
    <definedName name="A">'[1]Sheet2 Bolt-stress method'!$F$22</definedName>
    <definedName name="area_lu">'Bolt &amp; Gasket Data'!$J$3:$K$24</definedName>
    <definedName name="b">'[1]Sheet2 Bolt-stress method'!$G$30</definedName>
    <definedName name="bolt_lu">'Bolt &amp; Gasket Data'!$A$3:$H$102</definedName>
    <definedName name="Cf">'[1]Sheet2 Bolt-stress method'!$F$27</definedName>
    <definedName name="d">'[1]Sheet2 Bolt-stress method'!$F$21</definedName>
    <definedName name="FoS">'[1]Sheet2 Bolt-stress method'!$F$23</definedName>
    <definedName name="G">'[1]Sheet1 Equiv'' Pressure methods'!$F$18</definedName>
    <definedName name="grp">'[1]Sheet1 Equiv'' Pressure methods'!$F$14</definedName>
    <definedName name="line_no">'[1]Sheet1 Equiv'' Pressure methods'!$D$10</definedName>
    <definedName name="m">'[1]Sheet2 Bolt-stress method'!$G$29</definedName>
    <definedName name="n">'[1]Sheet2 Bolt-stress method'!$F$20</definedName>
    <definedName name="pd">'[1]Sheet1 Equiv'' Pressure methods'!$F$16</definedName>
    <definedName name="_xlnm.Print_Area" localSheetId="1">'Low Stress Type Gasket'!$A:$AG</definedName>
    <definedName name="_xlnm.Print_Area" localSheetId="17">'Rating Data'!$S:$AS</definedName>
    <definedName name="_xlnm.Print_Titles" localSheetId="17">'Rating Data'!$1:$2</definedName>
    <definedName name="prtg">'[1]Sheet1 Equiv'' Pressure methods'!$F$17</definedName>
    <definedName name="prtg2" localSheetId="18">'[1]Sheet3 Rating Data'!$D$2</definedName>
    <definedName name="prtg2">'Rating Data'!$D$2</definedName>
    <definedName name="prtga">'[1]Sheet2 Bolt-stress method'!$F$18</definedName>
    <definedName name="prtga2" localSheetId="18">'[1]Sheet3 Rating Data'!$E$2</definedName>
    <definedName name="prtga2">'Rating Data'!$E$2</definedName>
    <definedName name="rtg">'[1]Sheet1 Equiv'' Pressure methods'!$F$13</definedName>
    <definedName name="Sb">'[1]Sheet2 Bolt-stress method'!$F$26</definedName>
    <definedName name="size">'[1]Sheet1 Equiv'' Pressure methods'!$D$11</definedName>
    <definedName name="Sy">'[1]Sheet2 Bolt-stress method'!$G$32</definedName>
    <definedName name="td">'[1]Sheet1 Equiv'' Pressure methods'!$F$15</definedName>
    <definedName name="tdf" localSheetId="18">'[1]Sheet3 Rating Data'!$C$2</definedName>
    <definedName name="tdf">'Rating Data'!$C$2</definedName>
  </definedNames>
  <calcPr calcId="145621" calcMode="autoNoTable"/>
</workbook>
</file>

<file path=xl/calcChain.xml><?xml version="1.0" encoding="utf-8"?>
<calcChain xmlns="http://schemas.openxmlformats.org/spreadsheetml/2006/main">
  <c r="V5" i="4" l="1"/>
  <c r="P16" i="4"/>
  <c r="AA15" i="4"/>
  <c r="P15" i="4"/>
  <c r="P14" i="4"/>
  <c r="B55" i="22" l="1"/>
  <c r="B54" i="22"/>
  <c r="B53" i="22"/>
  <c r="B52" i="22"/>
  <c r="B51" i="22"/>
  <c r="B50" i="22"/>
  <c r="B49" i="22"/>
  <c r="B48" i="22"/>
  <c r="B47" i="22"/>
  <c r="B46" i="22"/>
  <c r="B45" i="22"/>
  <c r="B44" i="22"/>
  <c r="B43" i="22"/>
  <c r="B42" i="22"/>
  <c r="B41" i="22"/>
  <c r="B40" i="22"/>
  <c r="B39" i="22"/>
  <c r="B38" i="22"/>
  <c r="B37" i="22"/>
  <c r="B36" i="22"/>
  <c r="B35" i="22"/>
  <c r="B34" i="22"/>
  <c r="B33" i="22"/>
  <c r="B32" i="22"/>
  <c r="B31" i="22"/>
  <c r="B30" i="22"/>
  <c r="B29" i="22"/>
  <c r="B28" i="22"/>
  <c r="B27" i="22"/>
  <c r="B26" i="22"/>
  <c r="B25" i="22"/>
  <c r="B24" i="22"/>
  <c r="B23" i="22"/>
  <c r="B22" i="22"/>
  <c r="B21" i="22"/>
  <c r="B20" i="22"/>
  <c r="B19" i="22"/>
  <c r="B18" i="22"/>
  <c r="B17" i="22"/>
  <c r="B16" i="22"/>
  <c r="B15" i="22"/>
  <c r="B14" i="22"/>
  <c r="B13" i="22"/>
  <c r="B12" i="22"/>
  <c r="B11" i="22"/>
  <c r="B10" i="22"/>
  <c r="B9" i="22"/>
  <c r="B8" i="22"/>
  <c r="B7" i="22"/>
  <c r="B6" i="22"/>
  <c r="M4" i="22"/>
  <c r="L4" i="22"/>
  <c r="B55" i="21"/>
  <c r="B54" i="21"/>
  <c r="B53" i="21"/>
  <c r="B52" i="21"/>
  <c r="B51" i="21"/>
  <c r="B50" i="21"/>
  <c r="B49" i="21"/>
  <c r="B48" i="21"/>
  <c r="B47" i="21"/>
  <c r="B46" i="21"/>
  <c r="B45" i="21"/>
  <c r="B44" i="21"/>
  <c r="B43" i="21"/>
  <c r="B42" i="21"/>
  <c r="B41" i="21"/>
  <c r="B40" i="21"/>
  <c r="B39" i="21"/>
  <c r="B38" i="21"/>
  <c r="B37" i="21"/>
  <c r="B36" i="21"/>
  <c r="B35" i="21"/>
  <c r="B34" i="21"/>
  <c r="B33" i="21"/>
  <c r="B32" i="21"/>
  <c r="B31" i="21"/>
  <c r="B30" i="21"/>
  <c r="B29" i="21"/>
  <c r="B28" i="21"/>
  <c r="B27" i="21"/>
  <c r="B26" i="21"/>
  <c r="B25" i="21"/>
  <c r="B24" i="21"/>
  <c r="B23" i="21"/>
  <c r="B22" i="21"/>
  <c r="B21" i="21"/>
  <c r="B20" i="21"/>
  <c r="B19" i="21"/>
  <c r="B18" i="21"/>
  <c r="B17" i="21"/>
  <c r="B16" i="21"/>
  <c r="B15" i="21"/>
  <c r="B14" i="21"/>
  <c r="B13" i="21"/>
  <c r="B12" i="21"/>
  <c r="B11" i="21"/>
  <c r="B10" i="21"/>
  <c r="B9" i="21"/>
  <c r="B8" i="21"/>
  <c r="B7" i="21"/>
  <c r="B6" i="21"/>
  <c r="M4" i="21"/>
  <c r="L4" i="21"/>
  <c r="B55" i="20"/>
  <c r="B54" i="20"/>
  <c r="B53" i="20"/>
  <c r="B52" i="20"/>
  <c r="B51" i="20"/>
  <c r="B50" i="20"/>
  <c r="B49" i="20"/>
  <c r="B48" i="20"/>
  <c r="B47" i="20"/>
  <c r="B46" i="20"/>
  <c r="B45" i="20"/>
  <c r="B44" i="20"/>
  <c r="B43" i="20"/>
  <c r="B42" i="20"/>
  <c r="B41" i="20"/>
  <c r="B40" i="20"/>
  <c r="B39" i="20"/>
  <c r="B38" i="20"/>
  <c r="B37" i="20"/>
  <c r="B36" i="20"/>
  <c r="B35" i="20"/>
  <c r="B34" i="20"/>
  <c r="B33" i="20"/>
  <c r="B32" i="20"/>
  <c r="B31" i="20"/>
  <c r="B30" i="20"/>
  <c r="B29" i="20"/>
  <c r="B28" i="20"/>
  <c r="B27" i="20"/>
  <c r="B26" i="20"/>
  <c r="B25" i="20"/>
  <c r="B24" i="20"/>
  <c r="B23" i="20"/>
  <c r="B22" i="20"/>
  <c r="B21" i="20"/>
  <c r="B20" i="20"/>
  <c r="B19" i="20"/>
  <c r="B18" i="20"/>
  <c r="B17" i="20"/>
  <c r="B16" i="20"/>
  <c r="B15" i="20"/>
  <c r="B14" i="20"/>
  <c r="B13" i="20"/>
  <c r="B12" i="20"/>
  <c r="B11" i="20"/>
  <c r="B10" i="20"/>
  <c r="B9" i="20"/>
  <c r="B8" i="20"/>
  <c r="B7" i="20"/>
  <c r="B6" i="20"/>
  <c r="M4" i="20"/>
  <c r="L4" i="20"/>
  <c r="P10" i="4"/>
  <c r="CE7" i="4"/>
  <c r="F42" i="22"/>
  <c r="J55" i="22"/>
  <c r="F54" i="22"/>
  <c r="F36" i="22"/>
  <c r="J25" i="22"/>
  <c r="G16" i="22"/>
  <c r="C7" i="22"/>
  <c r="E30" i="22"/>
  <c r="F13" i="22"/>
  <c r="L25" i="22"/>
  <c r="H45" i="22"/>
  <c r="I15" i="22"/>
  <c r="J49" i="22"/>
  <c r="I37" i="22"/>
  <c r="F27" i="22"/>
  <c r="C19" i="22"/>
  <c r="H11" i="22"/>
  <c r="I43" i="22"/>
  <c r="J21" i="22"/>
  <c r="L6" i="22"/>
  <c r="I16" i="22"/>
  <c r="C22" i="22"/>
  <c r="K50" i="22"/>
  <c r="K38" i="22"/>
  <c r="C27" i="22"/>
  <c r="I19" i="22"/>
  <c r="D11" i="22"/>
  <c r="H53" i="22"/>
  <c r="C31" i="22"/>
  <c r="G21" i="22"/>
  <c r="C11" i="22"/>
  <c r="E53" i="22"/>
  <c r="F32" i="22"/>
  <c r="G6" i="22"/>
  <c r="H29" i="22"/>
  <c r="H55" i="21"/>
  <c r="L27" i="21"/>
  <c r="G55" i="21"/>
  <c r="I26" i="21"/>
  <c r="I39" i="21"/>
  <c r="I12" i="21"/>
  <c r="C33" i="21"/>
  <c r="C6" i="21"/>
  <c r="E36" i="21"/>
  <c r="D51" i="21"/>
  <c r="F22" i="21"/>
  <c r="H17" i="20"/>
  <c r="L10" i="20"/>
  <c r="G29" i="22"/>
  <c r="K12" i="22"/>
  <c r="L31" i="22"/>
  <c r="C29" i="22"/>
  <c r="L10" i="22"/>
  <c r="L15" i="22"/>
  <c r="C25" i="22"/>
  <c r="D44" i="22"/>
  <c r="H40" i="21"/>
  <c r="J24" i="21"/>
  <c r="D49" i="21"/>
  <c r="H11" i="21"/>
  <c r="I11" i="22"/>
  <c r="C10" i="22"/>
  <c r="D42" i="22"/>
  <c r="C6" i="22"/>
  <c r="K30" i="22"/>
  <c r="F22" i="22"/>
  <c r="D24" i="22"/>
  <c r="L42" i="22"/>
  <c r="F37" i="21"/>
  <c r="H21" i="21"/>
  <c r="F17" i="21"/>
  <c r="G27" i="22"/>
  <c r="G7" i="22"/>
  <c r="E29" i="22"/>
  <c r="G25" i="22"/>
  <c r="I53" i="22"/>
  <c r="H21" i="22"/>
  <c r="D23" i="22"/>
  <c r="K39" i="22"/>
  <c r="K11" i="22"/>
  <c r="L7" i="21"/>
  <c r="K41" i="21"/>
  <c r="E48" i="20"/>
  <c r="F17" i="22"/>
  <c r="I29" i="22"/>
  <c r="D51" i="22"/>
  <c r="L20" i="22"/>
  <c r="I8" i="22"/>
  <c r="D40" i="22"/>
  <c r="L54" i="22"/>
  <c r="H54" i="22"/>
  <c r="D8" i="22"/>
  <c r="K28" i="21"/>
  <c r="H15" i="21"/>
  <c r="I11" i="21"/>
  <c r="L52" i="22"/>
  <c r="L34" i="22"/>
  <c r="J24" i="22"/>
  <c r="H15" i="22"/>
  <c r="D6" i="22"/>
  <c r="D28" i="22"/>
  <c r="G11" i="22"/>
  <c r="F21" i="22"/>
  <c r="E41" i="22"/>
  <c r="J12" i="22"/>
  <c r="F48" i="22"/>
  <c r="E36" i="22"/>
  <c r="H26" i="22"/>
  <c r="D18" i="22"/>
  <c r="J10" i="22"/>
  <c r="H40" i="22"/>
  <c r="K20" i="22"/>
  <c r="L48" i="22"/>
  <c r="K13" i="22"/>
  <c r="E19" i="22"/>
  <c r="D49" i="22"/>
  <c r="C37" i="22"/>
  <c r="D26" i="22"/>
  <c r="K18" i="22"/>
  <c r="F10" i="22"/>
  <c r="H50" i="22"/>
  <c r="J29" i="22"/>
  <c r="H20" i="22"/>
  <c r="D10" i="22"/>
  <c r="G50" i="22"/>
  <c r="K27" i="22"/>
  <c r="G54" i="22"/>
  <c r="J26" i="22"/>
  <c r="D50" i="21"/>
  <c r="K25" i="21"/>
  <c r="C50" i="21"/>
  <c r="G23" i="21"/>
  <c r="E35" i="21"/>
  <c r="L9" i="21"/>
  <c r="K27" i="21"/>
  <c r="D4" i="21"/>
  <c r="D33" i="21"/>
  <c r="L46" i="21"/>
  <c r="E19" i="21"/>
  <c r="F20" i="20"/>
  <c r="J40" i="20"/>
  <c r="C20" i="22"/>
  <c r="H22" i="22"/>
  <c r="I28" i="22"/>
  <c r="J23" i="22"/>
  <c r="E14" i="22"/>
  <c r="I44" i="22"/>
  <c r="I7" i="22"/>
  <c r="H7" i="22"/>
  <c r="G17" i="22"/>
  <c r="G13" i="21"/>
  <c r="I20" i="21"/>
  <c r="F21" i="20"/>
  <c r="D19" i="22"/>
  <c r="L19" i="22"/>
  <c r="C54" i="22"/>
  <c r="F14" i="22"/>
  <c r="K26" i="22"/>
  <c r="C43" i="22"/>
  <c r="J6" i="22"/>
  <c r="H6" i="22"/>
  <c r="J14" i="22"/>
  <c r="J10" i="21"/>
  <c r="K43" i="21"/>
  <c r="J11" i="20"/>
  <c r="K10" i="22"/>
  <c r="D35" i="22"/>
  <c r="I40" i="22"/>
  <c r="E55" i="22"/>
  <c r="D22" i="22"/>
  <c r="K41" i="22"/>
  <c r="D4" i="22"/>
  <c r="E4" i="22"/>
  <c r="G34" i="21"/>
  <c r="H39" i="21"/>
  <c r="K29" i="21"/>
  <c r="I26" i="22"/>
  <c r="C33" i="22"/>
  <c r="J48" i="22"/>
  <c r="E28" i="22"/>
  <c r="H23" i="22"/>
  <c r="L24" i="22"/>
  <c r="I20" i="22"/>
  <c r="E22" i="22"/>
  <c r="D9" i="22"/>
  <c r="C7" i="21"/>
  <c r="D36" i="21"/>
  <c r="J25" i="21"/>
  <c r="E51" i="22"/>
  <c r="E33" i="22"/>
  <c r="K23" i="22"/>
  <c r="G14" i="22"/>
  <c r="J52" i="22"/>
  <c r="G26" i="22"/>
  <c r="I9" i="22"/>
  <c r="H18" i="22"/>
  <c r="C38" i="22"/>
  <c r="C9" i="22"/>
  <c r="J46" i="22"/>
  <c r="K34" i="22"/>
  <c r="I25" i="22"/>
  <c r="E17" i="22"/>
  <c r="K9" i="22"/>
  <c r="J34" i="22"/>
  <c r="C18" i="22"/>
  <c r="D38" i="22"/>
  <c r="E8" i="22"/>
  <c r="H16" i="22"/>
  <c r="K47" i="22"/>
  <c r="H35" i="22"/>
  <c r="D25" i="22"/>
  <c r="K17" i="22"/>
  <c r="F9" i="22"/>
  <c r="H47" i="22"/>
  <c r="K28" i="22"/>
  <c r="H19" i="22"/>
  <c r="E9" i="22"/>
  <c r="D47" i="22"/>
  <c r="C23" i="22"/>
  <c r="F50" i="22"/>
  <c r="L23" i="22"/>
  <c r="J44" i="21"/>
  <c r="G22" i="21"/>
  <c r="L47" i="21"/>
  <c r="H20" i="21"/>
  <c r="D32" i="21"/>
  <c r="D6" i="21"/>
  <c r="I24" i="21"/>
  <c r="C54" i="21"/>
  <c r="L28" i="21"/>
  <c r="I43" i="21"/>
  <c r="E17" i="21"/>
  <c r="C7" i="20"/>
  <c r="L50" i="20"/>
  <c r="G45" i="22"/>
  <c r="F46" i="22"/>
  <c r="G55" i="22"/>
  <c r="E15" i="22"/>
  <c r="J28" i="22"/>
  <c r="J32" i="22"/>
  <c r="G41" i="22"/>
  <c r="I17" i="22"/>
  <c r="G16" i="21"/>
  <c r="K45" i="21"/>
  <c r="E37" i="21"/>
  <c r="L43" i="22"/>
  <c r="C42" i="22"/>
  <c r="K25" i="22"/>
  <c r="H30" i="22"/>
  <c r="E27" i="22"/>
  <c r="E7" i="22"/>
  <c r="C14" i="22"/>
  <c r="J16" i="22"/>
  <c r="J39" i="22"/>
  <c r="G38" i="21"/>
  <c r="E15" i="21"/>
  <c r="J8" i="21"/>
  <c r="F37" i="22"/>
  <c r="D17" i="22"/>
  <c r="K52" i="22"/>
  <c r="G13" i="22"/>
  <c r="H27" i="22"/>
  <c r="C13" i="22"/>
  <c r="K15" i="22"/>
  <c r="H36" i="22"/>
  <c r="D35" i="21"/>
  <c r="H12" i="21"/>
  <c r="E4" i="21"/>
  <c r="L9" i="22"/>
  <c r="G18" i="22"/>
  <c r="H12" i="22"/>
  <c r="F19" i="22"/>
  <c r="L28" i="22"/>
  <c r="G32" i="22"/>
  <c r="K36" i="22"/>
  <c r="C31" i="21"/>
  <c r="K9" i="21"/>
  <c r="L54" i="21"/>
  <c r="I48" i="22"/>
  <c r="J30" i="22"/>
  <c r="L22" i="22"/>
  <c r="H13" i="22"/>
  <c r="C51" i="22"/>
  <c r="H24" i="22"/>
  <c r="K7" i="22"/>
  <c r="J15" i="22"/>
  <c r="I33" i="22"/>
  <c r="E6" i="22"/>
  <c r="F45" i="22"/>
  <c r="D33" i="22"/>
  <c r="I24" i="22"/>
  <c r="F16" i="22"/>
  <c r="J8" i="22"/>
  <c r="I31" i="22"/>
  <c r="D16" i="22"/>
  <c r="L33" i="22"/>
  <c r="C4" i="22"/>
  <c r="I13" i="22"/>
  <c r="D46" i="22"/>
  <c r="C34" i="22"/>
  <c r="E24" i="22"/>
  <c r="L16" i="22"/>
  <c r="G8" i="22"/>
  <c r="H44" i="22"/>
  <c r="L27" i="22"/>
  <c r="I18" i="22"/>
  <c r="F8" i="22"/>
  <c r="K45" i="22"/>
  <c r="F20" i="22"/>
  <c r="C47" i="22"/>
  <c r="D20" i="22"/>
  <c r="K42" i="21"/>
  <c r="H19" i="21"/>
  <c r="I44" i="21"/>
  <c r="F16" i="21"/>
  <c r="J26" i="21"/>
  <c r="F52" i="21"/>
  <c r="G21" i="21"/>
  <c r="E51" i="21"/>
  <c r="J23" i="21"/>
  <c r="G40" i="21"/>
  <c r="F14" i="21"/>
  <c r="C54" i="20"/>
  <c r="C4" i="20"/>
  <c r="I12" i="22"/>
  <c r="L51" i="22"/>
  <c r="K43" i="22"/>
  <c r="L7" i="22"/>
  <c r="H51" i="22"/>
  <c r="E23" i="22"/>
  <c r="J17" i="22"/>
  <c r="I42" i="22"/>
  <c r="G41" i="21"/>
  <c r="F18" i="21"/>
  <c r="F28" i="22"/>
  <c r="F41" i="22"/>
  <c r="J22" i="22"/>
  <c r="F12" i="22"/>
  <c r="G31" i="22"/>
  <c r="G38" i="22"/>
  <c r="K14" i="22"/>
  <c r="H13" i="21"/>
  <c r="J42" i="21"/>
  <c r="C34" i="21"/>
  <c r="F18" i="22"/>
  <c r="E21" i="22"/>
  <c r="K21" i="22"/>
  <c r="I10" i="22"/>
  <c r="K29" i="22"/>
  <c r="G35" i="22"/>
  <c r="L11" i="22"/>
  <c r="K10" i="21"/>
  <c r="G18" i="21"/>
  <c r="G14" i="21"/>
  <c r="I39" i="22"/>
  <c r="D15" i="22"/>
  <c r="E39" i="22"/>
  <c r="I49" i="22"/>
  <c r="C52" i="22"/>
  <c r="D12" i="22"/>
  <c r="L14" i="22"/>
  <c r="E32" i="22"/>
  <c r="J52" i="21"/>
  <c r="H38" i="21"/>
  <c r="K13" i="20"/>
  <c r="AL9" i="4" l="1"/>
  <c r="CE19" i="4" l="1"/>
  <c r="CG19" i="4"/>
  <c r="CE18" i="4"/>
  <c r="H38" i="22"/>
  <c r="D7" i="22"/>
  <c r="D55" i="22"/>
  <c r="D45" i="22"/>
  <c r="H48" i="22"/>
  <c r="H42" i="22"/>
  <c r="F33" i="22"/>
  <c r="H25" i="22"/>
  <c r="H49" i="22"/>
  <c r="I55" i="22"/>
  <c r="E47" i="22"/>
  <c r="L13" i="22"/>
  <c r="L46" i="22"/>
  <c r="L40" i="22"/>
  <c r="J31" i="22"/>
  <c r="J27" i="22"/>
  <c r="G30" i="22"/>
  <c r="E25" i="22"/>
  <c r="G22" i="22"/>
  <c r="K40" i="22"/>
  <c r="C41" i="22"/>
  <c r="H10" i="22"/>
  <c r="G49" i="22"/>
  <c r="I54" i="22"/>
  <c r="G51" i="22"/>
  <c r="D43" i="22"/>
  <c r="K16" i="22"/>
  <c r="F35" i="22"/>
  <c r="F29" i="22"/>
  <c r="E6" i="21"/>
  <c r="C29" i="21"/>
  <c r="D11" i="21"/>
  <c r="I27" i="21"/>
  <c r="F19" i="21"/>
  <c r="J28" i="21"/>
  <c r="K55" i="21"/>
  <c r="H46" i="21"/>
  <c r="E26" i="21"/>
  <c r="K23" i="21"/>
  <c r="K51" i="21"/>
  <c r="K33" i="21"/>
  <c r="L12" i="21"/>
  <c r="F42" i="21"/>
  <c r="C51" i="21"/>
  <c r="J16" i="21"/>
  <c r="K32" i="21"/>
  <c r="F36" i="21"/>
  <c r="K15" i="21"/>
  <c r="F45" i="21"/>
  <c r="H52" i="21"/>
  <c r="F53" i="21"/>
  <c r="I6" i="21"/>
  <c r="I37" i="21"/>
  <c r="L13" i="21"/>
  <c r="I40" i="21"/>
  <c r="L19" i="21"/>
  <c r="I49" i="21"/>
  <c r="D48" i="21"/>
  <c r="G10" i="21"/>
  <c r="C16" i="21"/>
  <c r="I13" i="21"/>
  <c r="H36" i="21"/>
  <c r="C23" i="21"/>
  <c r="C21" i="21"/>
  <c r="G26" i="21"/>
  <c r="G39" i="21"/>
  <c r="K48" i="21"/>
  <c r="J50" i="21"/>
  <c r="I35" i="21"/>
  <c r="F39" i="21"/>
  <c r="I19" i="21"/>
  <c r="D31" i="21"/>
  <c r="K49" i="21"/>
  <c r="L53" i="21"/>
  <c r="I8" i="21"/>
  <c r="L44" i="21"/>
  <c r="I53" i="21"/>
  <c r="G45" i="21"/>
  <c r="H37" i="21"/>
  <c r="J7" i="21"/>
  <c r="G29" i="21"/>
  <c r="H26" i="20"/>
  <c r="D31" i="22"/>
  <c r="K49" i="22"/>
  <c r="G12" i="22"/>
  <c r="K32" i="22"/>
  <c r="D41" i="22"/>
  <c r="C35" i="22"/>
  <c r="G9" i="22"/>
  <c r="C32" i="22"/>
  <c r="C55" i="22"/>
  <c r="E48" i="22"/>
  <c r="L39" i="22"/>
  <c r="G20" i="22"/>
  <c r="H39" i="22"/>
  <c r="G33" i="22"/>
  <c r="F11" i="22"/>
  <c r="H33" i="22"/>
  <c r="E49" i="22"/>
  <c r="L17" i="22"/>
  <c r="G34" i="22"/>
  <c r="F47" i="22"/>
  <c r="H34" i="22"/>
  <c r="D52" i="22"/>
  <c r="H9" i="22"/>
  <c r="K51" i="22"/>
  <c r="L44" i="22"/>
  <c r="I36" i="22"/>
  <c r="F23" i="22"/>
  <c r="F53" i="22"/>
  <c r="K22" i="22"/>
  <c r="J14" i="21"/>
  <c r="J37" i="21"/>
  <c r="D24" i="21"/>
  <c r="E20" i="21"/>
  <c r="I29" i="21"/>
  <c r="F40" i="21"/>
  <c r="E50" i="21"/>
  <c r="I32" i="21"/>
  <c r="L45" i="21"/>
  <c r="F35" i="21"/>
  <c r="L14" i="21"/>
  <c r="E44" i="21"/>
  <c r="G53" i="21"/>
  <c r="C52" i="21"/>
  <c r="G12" i="21"/>
  <c r="E46" i="21"/>
  <c r="D52" i="21"/>
  <c r="C46" i="21"/>
  <c r="D27" i="21"/>
  <c r="K54" i="21"/>
  <c r="G42" i="21"/>
  <c r="C19" i="21"/>
  <c r="D13" i="21"/>
  <c r="H6" i="21"/>
  <c r="G52" i="21"/>
  <c r="F50" i="21"/>
  <c r="G31" i="21"/>
  <c r="K50" i="21"/>
  <c r="E38" i="21"/>
  <c r="G25" i="21"/>
  <c r="I22" i="21"/>
  <c r="I21" i="21"/>
  <c r="F49" i="21"/>
  <c r="H31" i="21"/>
  <c r="H14" i="21"/>
  <c r="E40" i="21"/>
  <c r="K47" i="21"/>
  <c r="F55" i="21"/>
  <c r="G54" i="21"/>
  <c r="D39" i="21"/>
  <c r="L10" i="21"/>
  <c r="D30" i="21"/>
  <c r="F8" i="21"/>
  <c r="I25" i="21"/>
  <c r="J15" i="21"/>
  <c r="H44" i="21"/>
  <c r="E16" i="21"/>
  <c r="K11" i="21"/>
  <c r="D16" i="21"/>
  <c r="J9" i="21"/>
  <c r="F55" i="22"/>
  <c r="L49" i="22"/>
  <c r="I41" i="22"/>
  <c r="E18" i="22"/>
  <c r="G52" i="22"/>
  <c r="K33" i="22"/>
  <c r="I27" i="22"/>
  <c r="K19" i="22"/>
  <c r="I38" i="22"/>
  <c r="J47" i="22"/>
  <c r="J41" i="22"/>
  <c r="H32" i="22"/>
  <c r="E26" i="22"/>
  <c r="E31" i="22"/>
  <c r="C26" i="22"/>
  <c r="I21" i="22"/>
  <c r="C40" i="22"/>
  <c r="L41" i="22"/>
  <c r="E11" i="22"/>
  <c r="L47" i="22"/>
  <c r="L53" i="22"/>
  <c r="E52" i="22"/>
  <c r="K44" i="22"/>
  <c r="C16" i="22"/>
  <c r="F44" i="22"/>
  <c r="H37" i="22"/>
  <c r="K6" i="22"/>
  <c r="L29" i="22"/>
  <c r="K46" i="22"/>
  <c r="G15" i="22"/>
  <c r="H22" i="21"/>
  <c r="G50" i="21"/>
  <c r="J32" i="21"/>
  <c r="J13" i="21"/>
  <c r="E41" i="21"/>
  <c r="L48" i="21"/>
  <c r="J51" i="21"/>
  <c r="H51" i="21"/>
  <c r="D55" i="21"/>
  <c r="L43" i="21"/>
  <c r="D26" i="21"/>
  <c r="L55" i="21"/>
  <c r="K44" i="21"/>
  <c r="C15" i="21"/>
  <c r="E18" i="21"/>
  <c r="F46" i="21"/>
  <c r="J38" i="21"/>
  <c r="I55" i="21"/>
  <c r="H35" i="21"/>
  <c r="G47" i="21"/>
  <c r="F33" i="21"/>
  <c r="L6" i="21"/>
  <c r="J19" i="21"/>
  <c r="J6" i="21"/>
  <c r="H18" i="21"/>
  <c r="E8" i="21"/>
  <c r="C41" i="21"/>
  <c r="C44" i="21"/>
  <c r="F28" i="21"/>
  <c r="I10" i="21"/>
  <c r="D29" i="21"/>
  <c r="E33" i="21"/>
  <c r="D10" i="21"/>
  <c r="D42" i="21"/>
  <c r="D7" i="21"/>
  <c r="J48" i="21"/>
  <c r="E10" i="21"/>
  <c r="C55" i="21"/>
  <c r="G17" i="21"/>
  <c r="E11" i="21"/>
  <c r="F48" i="21"/>
  <c r="E49" i="21"/>
  <c r="I7" i="21"/>
  <c r="L21" i="21"/>
  <c r="K37" i="21"/>
  <c r="C8" i="21"/>
  <c r="E29" i="21"/>
  <c r="I34" i="21"/>
  <c r="E55" i="21"/>
  <c r="K17" i="21"/>
  <c r="J39" i="21"/>
  <c r="C18" i="21"/>
  <c r="L14" i="20"/>
  <c r="F8" i="20"/>
  <c r="D47" i="20"/>
  <c r="C39" i="20"/>
  <c r="C28" i="20"/>
  <c r="E37" i="20"/>
  <c r="I7" i="20"/>
  <c r="C46" i="20"/>
  <c r="K14" i="20"/>
  <c r="G37" i="20"/>
  <c r="E19" i="20"/>
  <c r="L39" i="20"/>
  <c r="K31" i="20"/>
  <c r="K20" i="20"/>
  <c r="J30" i="20"/>
  <c r="E18" i="20"/>
  <c r="E11" i="20"/>
  <c r="E9" i="20"/>
  <c r="F15" i="20"/>
  <c r="H19" i="20"/>
  <c r="C52" i="20"/>
  <c r="H50" i="20"/>
  <c r="F10" i="20"/>
  <c r="J10" i="20"/>
  <c r="L11" i="20"/>
  <c r="H6" i="20"/>
  <c r="I48" i="20"/>
  <c r="H40" i="20"/>
  <c r="H29" i="20"/>
  <c r="G39" i="20"/>
  <c r="L37" i="20"/>
  <c r="I52" i="20"/>
  <c r="E32" i="20"/>
  <c r="F49" i="22"/>
  <c r="E43" i="22"/>
  <c r="D34" i="22"/>
  <c r="K24" i="22"/>
  <c r="K35" i="22"/>
  <c r="I51" i="22"/>
  <c r="E20" i="22"/>
  <c r="D27" i="22"/>
  <c r="J51" i="22"/>
  <c r="F40" i="22"/>
  <c r="F34" i="22"/>
  <c r="G10" i="22"/>
  <c r="F39" i="22"/>
  <c r="C50" i="22"/>
  <c r="J18" i="22"/>
  <c r="H31" i="22"/>
  <c r="I46" i="22"/>
  <c r="E35" i="22"/>
  <c r="K53" i="22"/>
  <c r="K8" i="22"/>
  <c r="I52" i="22"/>
  <c r="J45" i="22"/>
  <c r="G37" i="22"/>
  <c r="I22" i="22"/>
  <c r="D36" i="22"/>
  <c r="D30" i="22"/>
  <c r="D14" i="22"/>
  <c r="G36" i="22"/>
  <c r="G39" i="22"/>
  <c r="L8" i="22"/>
  <c r="H34" i="21"/>
  <c r="C11" i="21"/>
  <c r="F43" i="21"/>
  <c r="F6" i="21"/>
  <c r="J49" i="21"/>
  <c r="J11" i="21"/>
  <c r="C9" i="21"/>
  <c r="H32" i="21"/>
  <c r="E30" i="21"/>
  <c r="D54" i="21"/>
  <c r="J34" i="21"/>
  <c r="E48" i="21"/>
  <c r="D34" i="21"/>
  <c r="J30" i="21"/>
  <c r="K24" i="21"/>
  <c r="E25" i="21"/>
  <c r="L22" i="21"/>
  <c r="K12" i="21"/>
  <c r="E45" i="21"/>
  <c r="L40" i="21"/>
  <c r="K21" i="21"/>
  <c r="E14" i="21"/>
  <c r="H25" i="21"/>
  <c r="H53" i="21"/>
  <c r="G6" i="21"/>
  <c r="I16" i="21"/>
  <c r="G49" i="21"/>
  <c r="J36" i="21"/>
  <c r="J54" i="21"/>
  <c r="D18" i="21"/>
  <c r="J35" i="21"/>
  <c r="L41" i="21"/>
  <c r="L20" i="21"/>
  <c r="L50" i="21"/>
  <c r="G46" i="21"/>
  <c r="E12" i="21"/>
  <c r="K16" i="21"/>
  <c r="I30" i="21"/>
  <c r="C47" i="21"/>
  <c r="J31" i="21"/>
  <c r="I33" i="21"/>
  <c r="G24" i="21"/>
  <c r="I47" i="21"/>
  <c r="L15" i="21"/>
  <c r="E28" i="21"/>
  <c r="H33" i="21"/>
  <c r="C38" i="21"/>
  <c r="H47" i="21"/>
  <c r="I14" i="21"/>
  <c r="J46" i="21"/>
  <c r="L18" i="21"/>
  <c r="J27" i="21"/>
  <c r="L34" i="20"/>
  <c r="J16" i="20"/>
  <c r="I40" i="20"/>
  <c r="H32" i="20"/>
  <c r="H21" i="20"/>
  <c r="G31" i="20"/>
  <c r="H15" i="20"/>
  <c r="F6" i="20"/>
  <c r="L22" i="20"/>
  <c r="C10" i="20"/>
  <c r="E35" i="20"/>
  <c r="F33" i="20"/>
  <c r="E25" i="20"/>
  <c r="E14" i="20"/>
  <c r="D24" i="20"/>
  <c r="D30" i="20"/>
  <c r="L13" i="20"/>
  <c r="K17" i="20"/>
  <c r="I27" i="20"/>
  <c r="J13" i="20"/>
  <c r="H45" i="20"/>
  <c r="G55" i="20"/>
  <c r="L53" i="20"/>
  <c r="L19" i="20"/>
  <c r="G29" i="20"/>
  <c r="D14" i="20"/>
  <c r="C42" i="20"/>
  <c r="J34" i="20"/>
  <c r="J23" i="20"/>
  <c r="L32" i="20"/>
  <c r="G13" i="20"/>
  <c r="F36" i="20"/>
  <c r="G6" i="20"/>
  <c r="F12" i="20"/>
  <c r="G22" i="20"/>
  <c r="E54" i="20"/>
  <c r="G53" i="20"/>
  <c r="H12" i="20"/>
  <c r="K7" i="20"/>
  <c r="G17" i="20"/>
  <c r="K16" i="20"/>
  <c r="I18" i="20"/>
  <c r="G34" i="20"/>
  <c r="H37" i="20"/>
  <c r="D18" i="20"/>
  <c r="K42" i="22"/>
  <c r="H8" i="22"/>
  <c r="L38" i="22"/>
  <c r="J13" i="22"/>
  <c r="L45" i="22"/>
  <c r="L26" i="22"/>
  <c r="J7" i="22"/>
  <c r="C12" i="22"/>
  <c r="D53" i="22"/>
  <c r="I45" i="22"/>
  <c r="E45" i="22"/>
  <c r="C30" i="22"/>
  <c r="D54" i="22"/>
  <c r="F24" i="22"/>
  <c r="L32" i="22"/>
  <c r="L42" i="21"/>
  <c r="E53" i="21"/>
  <c r="E13" i="21"/>
  <c r="K13" i="21"/>
  <c r="K14" i="21"/>
  <c r="D44" i="21"/>
  <c r="H23" i="21"/>
  <c r="L37" i="21"/>
  <c r="J17" i="21"/>
  <c r="H54" i="21"/>
  <c r="G37" i="21"/>
  <c r="C32" i="21"/>
  <c r="H7" i="21"/>
  <c r="F9" i="21"/>
  <c r="D25" i="21"/>
  <c r="H41" i="21"/>
  <c r="G32" i="21"/>
  <c r="I36" i="21"/>
  <c r="F23" i="21"/>
  <c r="C4" i="21"/>
  <c r="I48" i="21"/>
  <c r="K31" i="21"/>
  <c r="J45" i="21"/>
  <c r="I9" i="21"/>
  <c r="C40" i="21"/>
  <c r="D21" i="21"/>
  <c r="C37" i="21"/>
  <c r="G41" i="20"/>
  <c r="H27" i="20"/>
  <c r="J47" i="20"/>
  <c r="K43" i="20"/>
  <c r="I43" i="20"/>
  <c r="F40" i="20"/>
  <c r="K10" i="20"/>
  <c r="F14" i="20"/>
  <c r="G51" i="20"/>
  <c r="F27" i="20"/>
  <c r="C11" i="20"/>
  <c r="J17" i="20"/>
  <c r="E39" i="20"/>
  <c r="H51" i="20"/>
  <c r="C31" i="20"/>
  <c r="J7" i="20"/>
  <c r="K40" i="20"/>
  <c r="D19" i="20"/>
  <c r="I36" i="20"/>
  <c r="J29" i="20"/>
  <c r="D49" i="20"/>
  <c r="E45" i="20"/>
  <c r="H38" i="20"/>
  <c r="F37" i="20"/>
  <c r="E31" i="20"/>
  <c r="E28" i="20"/>
  <c r="G48" i="20"/>
  <c r="C51" i="20"/>
  <c r="J43" i="20"/>
  <c r="K54" i="20"/>
  <c r="J48" i="20"/>
  <c r="F51" i="20"/>
  <c r="I11" i="20"/>
  <c r="L54" i="20"/>
  <c r="E36" i="20"/>
  <c r="I41" i="20"/>
  <c r="E38" i="20"/>
  <c r="G21" i="20"/>
  <c r="J42" i="20"/>
  <c r="D8" i="20"/>
  <c r="F30" i="20"/>
  <c r="F49" i="20"/>
  <c r="J54" i="20"/>
  <c r="D6" i="20"/>
  <c r="L36" i="20"/>
  <c r="G52" i="20"/>
  <c r="H8" i="20"/>
  <c r="D25" i="20"/>
  <c r="I23" i="20"/>
  <c r="K42" i="20"/>
  <c r="E47" i="20"/>
  <c r="I24" i="20"/>
  <c r="G54" i="20"/>
  <c r="G38" i="20"/>
  <c r="C23" i="20"/>
  <c r="F28" i="20"/>
  <c r="I55" i="20"/>
  <c r="I34" i="22"/>
  <c r="L18" i="22"/>
  <c r="C24" i="22"/>
  <c r="F6" i="22"/>
  <c r="I50" i="22"/>
  <c r="G19" i="22"/>
  <c r="J53" i="22"/>
  <c r="J54" i="22"/>
  <c r="G53" i="22"/>
  <c r="E38" i="22"/>
  <c r="K37" i="22"/>
  <c r="E13" i="22"/>
  <c r="I47" i="22"/>
  <c r="E37" i="22"/>
  <c r="J50" i="22"/>
  <c r="K52" i="21"/>
  <c r="C49" i="21"/>
  <c r="I28" i="21"/>
  <c r="C45" i="21"/>
  <c r="D46" i="21"/>
  <c r="C53" i="21"/>
  <c r="L39" i="21"/>
  <c r="J53" i="21"/>
  <c r="D8" i="21"/>
  <c r="C13" i="21"/>
  <c r="F11" i="21"/>
  <c r="I38" i="21"/>
  <c r="J12" i="21"/>
  <c r="C22" i="21"/>
  <c r="E24" i="21"/>
  <c r="C48" i="21"/>
  <c r="C42" i="21"/>
  <c r="K26" i="21"/>
  <c r="L29" i="21"/>
  <c r="F32" i="21"/>
  <c r="D53" i="21"/>
  <c r="C30" i="21"/>
  <c r="C17" i="21"/>
  <c r="H45" i="21"/>
  <c r="D47" i="21"/>
  <c r="G8" i="21"/>
  <c r="E4" i="20"/>
  <c r="J32" i="20"/>
  <c r="J21" i="20"/>
  <c r="D41" i="20"/>
  <c r="L24" i="20"/>
  <c r="J8" i="20"/>
  <c r="K22" i="20"/>
  <c r="K37" i="20"/>
  <c r="D26" i="20"/>
  <c r="L44" i="20"/>
  <c r="G8" i="20"/>
  <c r="I54" i="20"/>
  <c r="F29" i="20"/>
  <c r="L29" i="20"/>
  <c r="J45" i="20"/>
  <c r="H24" i="20"/>
  <c r="L48" i="20"/>
  <c r="H9" i="20"/>
  <c r="D4" i="20"/>
  <c r="J28" i="20"/>
  <c r="D23" i="20"/>
  <c r="I42" i="20"/>
  <c r="F26" i="20"/>
  <c r="L6" i="20"/>
  <c r="C32" i="20"/>
  <c r="J49" i="20"/>
  <c r="L15" i="20"/>
  <c r="L41" i="20"/>
  <c r="H44" i="20"/>
  <c r="K6" i="20"/>
  <c r="C53" i="20"/>
  <c r="I20" i="20"/>
  <c r="K36" i="20"/>
  <c r="E24" i="20"/>
  <c r="L45" i="20"/>
  <c r="C18" i="20"/>
  <c r="C27" i="20"/>
  <c r="I46" i="20"/>
  <c r="G28" i="20"/>
  <c r="K23" i="20"/>
  <c r="F39" i="20"/>
  <c r="H28" i="20"/>
  <c r="D31" i="20"/>
  <c r="D40" i="20"/>
  <c r="L42" i="20"/>
  <c r="F22" i="20"/>
  <c r="H10" i="20"/>
  <c r="K32" i="20"/>
  <c r="E6" i="20"/>
  <c r="K30" i="20"/>
  <c r="H48" i="20"/>
  <c r="E22" i="20"/>
  <c r="H23" i="20"/>
  <c r="I38" i="20"/>
  <c r="F54" i="20"/>
  <c r="C21" i="20"/>
  <c r="H52" i="22"/>
  <c r="F26" i="22"/>
  <c r="J43" i="22"/>
  <c r="D48" i="22"/>
  <c r="F25" i="22"/>
  <c r="L12" i="22"/>
  <c r="I30" i="22"/>
  <c r="G46" i="22"/>
  <c r="C46" i="22"/>
  <c r="L30" i="22"/>
  <c r="K55" i="22"/>
  <c r="G23" i="22"/>
  <c r="E40" i="22"/>
  <c r="F52" i="22"/>
  <c r="C44" i="22"/>
  <c r="C10" i="21"/>
  <c r="H42" i="21"/>
  <c r="F12" i="21"/>
  <c r="K36" i="21"/>
  <c r="E7" i="21"/>
  <c r="D12" i="21"/>
  <c r="H8" i="21"/>
  <c r="L25" i="21"/>
  <c r="H16" i="21"/>
  <c r="F26" i="21"/>
  <c r="L32" i="21"/>
  <c r="D45" i="21"/>
  <c r="J20" i="21"/>
  <c r="H30" i="21"/>
  <c r="E39" i="21"/>
  <c r="I54" i="21"/>
  <c r="H50" i="21"/>
  <c r="E47" i="21"/>
  <c r="G36" i="21"/>
  <c r="D28" i="21"/>
  <c r="I51" i="21"/>
  <c r="H24" i="21"/>
  <c r="L30" i="21"/>
  <c r="K8" i="21"/>
  <c r="H48" i="21"/>
  <c r="H27" i="21"/>
  <c r="L18" i="20"/>
  <c r="L51" i="20"/>
  <c r="D15" i="20"/>
  <c r="I34" i="20"/>
  <c r="F18" i="20"/>
  <c r="C17" i="20"/>
  <c r="H55" i="20"/>
  <c r="E8" i="20"/>
  <c r="K41" i="20"/>
  <c r="F38" i="20"/>
  <c r="E51" i="20"/>
  <c r="C48" i="20"/>
  <c r="C41" i="20"/>
  <c r="K46" i="20"/>
  <c r="D39" i="20"/>
  <c r="J18" i="20"/>
  <c r="F42" i="20"/>
  <c r="J19" i="20"/>
  <c r="C6" i="20"/>
  <c r="D43" i="20"/>
  <c r="I16" i="20"/>
  <c r="C36" i="20"/>
  <c r="K19" i="20"/>
  <c r="I14" i="20"/>
  <c r="C8" i="20"/>
  <c r="F23" i="20"/>
  <c r="L52" i="20"/>
  <c r="F35" i="20"/>
  <c r="J38" i="20"/>
  <c r="H14" i="20"/>
  <c r="D51" i="20"/>
  <c r="J24" i="20"/>
  <c r="K49" i="20"/>
  <c r="J25" i="20"/>
  <c r="G20" i="20"/>
  <c r="G43" i="20"/>
  <c r="L8" i="20"/>
  <c r="H33" i="20"/>
  <c r="K33" i="20"/>
  <c r="L49" i="20"/>
  <c r="E34" i="20"/>
  <c r="C33" i="20"/>
  <c r="K55" i="20"/>
  <c r="E21" i="20"/>
  <c r="I51" i="20"/>
  <c r="C44" i="20"/>
  <c r="C37" i="20"/>
  <c r="H43" i="20"/>
  <c r="H52" i="20"/>
  <c r="H34" i="20"/>
  <c r="G35" i="20"/>
  <c r="F19" i="20"/>
  <c r="F31" i="22"/>
  <c r="I45" i="21"/>
  <c r="L11" i="21"/>
  <c r="F13" i="21"/>
  <c r="G33" i="21"/>
  <c r="L17" i="21"/>
  <c r="F29" i="21"/>
  <c r="F51" i="21"/>
  <c r="J43" i="21"/>
  <c r="E21" i="21"/>
  <c r="L52" i="21"/>
  <c r="D17" i="21"/>
  <c r="K24" i="20"/>
  <c r="D9" i="20"/>
  <c r="K38" i="20"/>
  <c r="I28" i="20"/>
  <c r="K52" i="20"/>
  <c r="I8" i="20"/>
  <c r="J20" i="20"/>
  <c r="E29" i="20"/>
  <c r="L30" i="20"/>
  <c r="C47" i="20"/>
  <c r="G7" i="20"/>
  <c r="K25" i="20"/>
  <c r="I25" i="20"/>
  <c r="F44" i="20"/>
  <c r="K27" i="20"/>
  <c r="E55" i="20"/>
  <c r="I19" i="20"/>
  <c r="H16" i="20"/>
  <c r="F31" i="20"/>
  <c r="D16" i="20"/>
  <c r="H28" i="22"/>
  <c r="C28" i="22"/>
  <c r="C45" i="22"/>
  <c r="G40" i="22"/>
  <c r="L55" i="22"/>
  <c r="J40" i="22"/>
  <c r="H17" i="22"/>
  <c r="H55" i="22"/>
  <c r="E54" i="22"/>
  <c r="C39" i="22"/>
  <c r="J38" i="22"/>
  <c r="E12" i="22"/>
  <c r="G48" i="22"/>
  <c r="I35" i="22"/>
  <c r="J33" i="22"/>
  <c r="E10" i="22"/>
  <c r="J36" i="22"/>
  <c r="K18" i="21"/>
  <c r="C35" i="21"/>
  <c r="F20" i="21"/>
  <c r="E27" i="21"/>
  <c r="I15" i="21"/>
  <c r="F25" i="21"/>
  <c r="I31" i="21"/>
  <c r="J21" i="21"/>
  <c r="L24" i="21"/>
  <c r="K34" i="21"/>
  <c r="G43" i="21"/>
  <c r="G51" i="21"/>
  <c r="E32" i="21"/>
  <c r="D41" i="21"/>
  <c r="J47" i="21"/>
  <c r="F54" i="21"/>
  <c r="F10" i="21"/>
  <c r="J22" i="21"/>
  <c r="E42" i="21"/>
  <c r="C14" i="21"/>
  <c r="D23" i="21"/>
  <c r="I46" i="21"/>
  <c r="L34" i="21"/>
  <c r="E34" i="21"/>
  <c r="D40" i="21"/>
  <c r="G9" i="21"/>
  <c r="C9" i="20"/>
  <c r="F13" i="20"/>
  <c r="D52" i="20"/>
  <c r="J15" i="20"/>
  <c r="K11" i="20"/>
  <c r="L27" i="20"/>
  <c r="F32" i="20"/>
  <c r="F16" i="20"/>
  <c r="E52" i="20"/>
  <c r="G19" i="20"/>
  <c r="G45" i="20"/>
  <c r="H41" i="20"/>
  <c r="K9" i="20"/>
  <c r="E10" i="20"/>
  <c r="I32" i="20"/>
  <c r="J39" i="20"/>
  <c r="K35" i="20"/>
  <c r="H31" i="20"/>
  <c r="D7" i="20"/>
  <c r="G11" i="20"/>
  <c r="I53" i="20"/>
  <c r="D17" i="20"/>
  <c r="E13" i="20"/>
  <c r="C25" i="20"/>
  <c r="C14" i="20"/>
  <c r="I35" i="20"/>
  <c r="F46" i="20"/>
  <c r="K28" i="20"/>
  <c r="D32" i="20"/>
  <c r="J27" i="20"/>
  <c r="H25" i="20"/>
  <c r="L55" i="20"/>
  <c r="J46" i="20"/>
  <c r="E49" i="20"/>
  <c r="I30" i="20"/>
  <c r="L28" i="20"/>
  <c r="C40" i="20"/>
  <c r="D12" i="20"/>
  <c r="C38" i="20"/>
  <c r="J31" i="20"/>
  <c r="I13" i="20"/>
  <c r="G42" i="20"/>
  <c r="E41" i="20"/>
  <c r="D53" i="20"/>
  <c r="J41" i="20"/>
  <c r="L25" i="20"/>
  <c r="H22" i="20"/>
  <c r="F25" i="20"/>
  <c r="F34" i="20"/>
  <c r="C24" i="20"/>
  <c r="G24" i="20"/>
  <c r="G47" i="20"/>
  <c r="L35" i="22"/>
  <c r="E44" i="22"/>
  <c r="F43" i="22"/>
  <c r="D32" i="22"/>
  <c r="J20" i="22"/>
  <c r="J42" i="22"/>
  <c r="E46" i="22"/>
  <c r="C53" i="22"/>
  <c r="F15" i="22"/>
  <c r="F38" i="22"/>
  <c r="D29" i="22"/>
  <c r="I23" i="22"/>
  <c r="E42" i="22"/>
  <c r="G42" i="22"/>
  <c r="C25" i="21"/>
  <c r="H17" i="21"/>
  <c r="F44" i="21"/>
  <c r="J41" i="21"/>
  <c r="I41" i="21"/>
  <c r="K20" i="21"/>
  <c r="E22" i="21"/>
  <c r="C27" i="21"/>
  <c r="H26" i="21"/>
  <c r="L49" i="21"/>
  <c r="F27" i="21"/>
  <c r="L33" i="21"/>
  <c r="J40" i="21"/>
  <c r="L36" i="21"/>
  <c r="F47" i="21"/>
  <c r="G36" i="20"/>
  <c r="I45" i="20"/>
  <c r="F55" i="20"/>
  <c r="E23" i="20"/>
  <c r="G46" i="20"/>
  <c r="I49" i="20"/>
  <c r="G33" i="20"/>
  <c r="C26" i="20"/>
  <c r="D33" i="20"/>
  <c r="H47" i="20"/>
  <c r="C22" i="20"/>
  <c r="I10" i="20"/>
  <c r="L35" i="20"/>
  <c r="K39" i="20"/>
  <c r="E40" i="20"/>
  <c r="J37" i="20"/>
  <c r="D48" i="20"/>
  <c r="I50" i="20"/>
  <c r="K12" i="20"/>
  <c r="K29" i="20"/>
  <c r="F11" i="20"/>
  <c r="D11" i="20"/>
  <c r="J37" i="22"/>
  <c r="L50" i="22"/>
  <c r="C36" i="22"/>
  <c r="C21" i="22"/>
  <c r="D13" i="22"/>
  <c r="C8" i="22"/>
  <c r="E34" i="22"/>
  <c r="J9" i="22"/>
  <c r="J33" i="21"/>
  <c r="H49" i="21"/>
  <c r="L26" i="21"/>
  <c r="E31" i="21"/>
  <c r="E52" i="21"/>
  <c r="G15" i="21"/>
  <c r="E43" i="21"/>
  <c r="G44" i="21"/>
  <c r="G30" i="21"/>
  <c r="F15" i="21"/>
  <c r="D27" i="20"/>
  <c r="D46" i="20"/>
  <c r="L7" i="20"/>
  <c r="G14" i="20"/>
  <c r="D29" i="20"/>
  <c r="J50" i="20"/>
  <c r="F47" i="20"/>
  <c r="D55" i="20"/>
  <c r="E50" i="20"/>
  <c r="E15" i="20"/>
  <c r="L9" i="20"/>
  <c r="D10" i="20"/>
  <c r="D22" i="20"/>
  <c r="L17" i="20"/>
  <c r="C50" i="20"/>
  <c r="G10" i="20"/>
  <c r="D21" i="20"/>
  <c r="L12" i="20"/>
  <c r="D50" i="20"/>
  <c r="F30" i="21"/>
  <c r="I6" i="20"/>
  <c r="D54" i="20"/>
  <c r="I29" i="20"/>
  <c r="E30" i="20"/>
  <c r="C49" i="22"/>
  <c r="C20" i="21"/>
  <c r="G28" i="21"/>
  <c r="F45" i="20"/>
  <c r="G23" i="20"/>
  <c r="L20" i="20"/>
  <c r="I33" i="20"/>
  <c r="L26" i="20"/>
  <c r="E16" i="22"/>
  <c r="D37" i="21"/>
  <c r="K22" i="21"/>
  <c r="C15" i="20"/>
  <c r="J9" i="20"/>
  <c r="K51" i="20"/>
  <c r="G32" i="20"/>
  <c r="H20" i="20"/>
  <c r="H14" i="22"/>
  <c r="J19" i="22"/>
  <c r="I14" i="22"/>
  <c r="K31" i="22"/>
  <c r="F51" i="22"/>
  <c r="C43" i="21"/>
  <c r="D15" i="21"/>
  <c r="G19" i="21"/>
  <c r="K39" i="21"/>
  <c r="D20" i="21"/>
  <c r="L8" i="21"/>
  <c r="L35" i="21"/>
  <c r="K7" i="21"/>
  <c r="C39" i="21"/>
  <c r="K40" i="21"/>
  <c r="D38" i="20"/>
  <c r="F50" i="20"/>
  <c r="H18" i="20"/>
  <c r="E46" i="20"/>
  <c r="E16" i="20"/>
  <c r="D44" i="20"/>
  <c r="H30" i="20"/>
  <c r="H35" i="20"/>
  <c r="G44" i="20"/>
  <c r="L47" i="20"/>
  <c r="L46" i="20"/>
  <c r="G49" i="20"/>
  <c r="G12" i="20"/>
  <c r="C49" i="20"/>
  <c r="L31" i="20"/>
  <c r="D35" i="20"/>
  <c r="G50" i="20"/>
  <c r="I44" i="20"/>
  <c r="E12" i="20"/>
  <c r="L37" i="22"/>
  <c r="G43" i="22"/>
  <c r="D21" i="22"/>
  <c r="G24" i="22"/>
  <c r="K48" i="22"/>
  <c r="L51" i="21"/>
  <c r="K53" i="21"/>
  <c r="F21" i="21"/>
  <c r="E54" i="21"/>
  <c r="K6" i="21"/>
  <c r="D38" i="21"/>
  <c r="H28" i="21"/>
  <c r="L31" i="21"/>
  <c r="L23" i="21"/>
  <c r="I50" i="21"/>
  <c r="J53" i="20"/>
  <c r="K48" i="20"/>
  <c r="I22" i="20"/>
  <c r="G40" i="20"/>
  <c r="C16" i="20"/>
  <c r="I37" i="20"/>
  <c r="D28" i="20"/>
  <c r="E26" i="20"/>
  <c r="F41" i="20"/>
  <c r="C19" i="20"/>
  <c r="G25" i="20"/>
  <c r="D13" i="20"/>
  <c r="I12" i="20"/>
  <c r="F17" i="20"/>
  <c r="I39" i="20"/>
  <c r="E44" i="20"/>
  <c r="K53" i="20"/>
  <c r="G9" i="20"/>
  <c r="H49" i="20"/>
  <c r="K45" i="20"/>
  <c r="K44" i="20"/>
  <c r="E17" i="20"/>
  <c r="F30" i="22"/>
  <c r="H41" i="22"/>
  <c r="D43" i="21"/>
  <c r="G48" i="21"/>
  <c r="G27" i="21"/>
  <c r="D20" i="20"/>
  <c r="J36" i="20"/>
  <c r="J12" i="20"/>
  <c r="E27" i="20"/>
  <c r="E53" i="20"/>
  <c r="K54" i="22"/>
  <c r="J11" i="22"/>
  <c r="K30" i="21"/>
  <c r="J55" i="21"/>
  <c r="H53" i="20"/>
  <c r="H7" i="20"/>
  <c r="I47" i="20"/>
  <c r="I9" i="20"/>
  <c r="C12" i="20"/>
  <c r="I6" i="22"/>
  <c r="D37" i="22"/>
  <c r="I42" i="21"/>
  <c r="C36" i="21"/>
  <c r="G18" i="20"/>
  <c r="D34" i="20"/>
  <c r="D37" i="20"/>
  <c r="I31" i="20"/>
  <c r="D42" i="20"/>
  <c r="I32" i="22"/>
  <c r="C12" i="21"/>
  <c r="F38" i="21"/>
  <c r="F53" i="20"/>
  <c r="H13" i="20"/>
  <c r="G27" i="20"/>
  <c r="J22" i="20"/>
  <c r="F52" i="20"/>
  <c r="C48" i="22"/>
  <c r="K38" i="21"/>
  <c r="I17" i="21"/>
  <c r="E7" i="20"/>
  <c r="I17" i="20"/>
  <c r="H39" i="20"/>
  <c r="K50" i="20"/>
  <c r="C35" i="20"/>
  <c r="G47" i="22"/>
  <c r="H43" i="21"/>
  <c r="F31" i="21"/>
  <c r="J52" i="20"/>
  <c r="E43" i="20"/>
  <c r="G16" i="20"/>
  <c r="H54" i="20"/>
  <c r="H11" i="20"/>
  <c r="G44" i="22"/>
  <c r="L36" i="22"/>
  <c r="H46" i="22"/>
  <c r="C17" i="22"/>
  <c r="D50" i="22"/>
  <c r="K35" i="21"/>
  <c r="F7" i="21"/>
  <c r="J29" i="21"/>
  <c r="C26" i="21"/>
  <c r="E23" i="21"/>
  <c r="K46" i="21"/>
  <c r="G11" i="21"/>
  <c r="G20" i="21"/>
  <c r="L38" i="21"/>
  <c r="I52" i="21"/>
  <c r="C34" i="20"/>
  <c r="E42" i="20"/>
  <c r="J44" i="20"/>
  <c r="L33" i="20"/>
  <c r="H42" i="20"/>
  <c r="I26" i="20"/>
  <c r="L38" i="20"/>
  <c r="I21" i="20"/>
  <c r="J33" i="20"/>
  <c r="K34" i="20"/>
  <c r="J6" i="20"/>
  <c r="K18" i="20"/>
  <c r="L23" i="20"/>
  <c r="L43" i="20"/>
  <c r="F48" i="20"/>
  <c r="C30" i="20"/>
  <c r="G30" i="20"/>
  <c r="D36" i="20"/>
  <c r="C45" i="20"/>
  <c r="E50" i="22"/>
  <c r="J44" i="22"/>
  <c r="D39" i="22"/>
  <c r="J35" i="22"/>
  <c r="H43" i="22"/>
  <c r="F24" i="21"/>
  <c r="K19" i="21"/>
  <c r="F41" i="21"/>
  <c r="J18" i="21"/>
  <c r="G35" i="21"/>
  <c r="H9" i="21"/>
  <c r="D19" i="21"/>
  <c r="G7" i="21"/>
  <c r="H29" i="21"/>
  <c r="L16" i="21"/>
  <c r="J26" i="20"/>
  <c r="C29" i="20"/>
  <c r="F9" i="20"/>
  <c r="C43" i="20"/>
  <c r="K21" i="20"/>
  <c r="C20" i="20"/>
  <c r="H46" i="20"/>
  <c r="J55" i="20"/>
  <c r="K8" i="20"/>
  <c r="E33" i="20"/>
  <c r="K47" i="20"/>
  <c r="L21" i="20"/>
  <c r="L40" i="20"/>
  <c r="C55" i="20"/>
  <c r="G15" i="20"/>
  <c r="F7" i="22"/>
  <c r="C15" i="22"/>
  <c r="D14" i="21"/>
  <c r="D9" i="21"/>
  <c r="I23" i="21"/>
  <c r="D22" i="21"/>
  <c r="H36" i="20"/>
  <c r="C13" i="20"/>
  <c r="I15" i="20"/>
  <c r="K15" i="20"/>
  <c r="F43" i="20"/>
  <c r="L21" i="22"/>
  <c r="C24" i="21"/>
  <c r="E9" i="21"/>
  <c r="H10" i="21"/>
  <c r="K26" i="20"/>
  <c r="F24" i="20"/>
  <c r="G26" i="20"/>
  <c r="J14" i="20"/>
  <c r="J51" i="20"/>
  <c r="G28" i="22"/>
  <c r="F34" i="21"/>
  <c r="C28" i="21"/>
  <c r="I18" i="21"/>
  <c r="E20" i="20"/>
  <c r="L16" i="20"/>
  <c r="F7" i="20"/>
  <c r="D45" i="20"/>
  <c r="J35" i="20"/>
  <c r="CE17" i="4" l="1"/>
  <c r="CG17" i="4"/>
  <c r="CG18" i="4"/>
  <c r="M4" i="14"/>
  <c r="L4" i="14"/>
  <c r="M4" i="13"/>
  <c r="L4" i="13"/>
  <c r="B55" i="13"/>
  <c r="B54" i="13"/>
  <c r="B53" i="13"/>
  <c r="B52" i="13"/>
  <c r="B51" i="13"/>
  <c r="B50" i="13"/>
  <c r="B49" i="13"/>
  <c r="B48" i="13"/>
  <c r="B47" i="13"/>
  <c r="B46" i="13"/>
  <c r="B45" i="13"/>
  <c r="B44" i="13"/>
  <c r="B43" i="13"/>
  <c r="B42" i="13"/>
  <c r="B41" i="13"/>
  <c r="B40" i="13"/>
  <c r="B39" i="13"/>
  <c r="B38" i="13"/>
  <c r="B37" i="13"/>
  <c r="B36" i="13"/>
  <c r="B35" i="13"/>
  <c r="B34" i="13"/>
  <c r="B33" i="13"/>
  <c r="B32" i="13"/>
  <c r="B31" i="13"/>
  <c r="B30" i="13"/>
  <c r="B29" i="13"/>
  <c r="B28" i="13"/>
  <c r="B27" i="13"/>
  <c r="B26" i="13"/>
  <c r="B25" i="13"/>
  <c r="B24" i="13"/>
  <c r="B23" i="13"/>
  <c r="B22" i="13"/>
  <c r="B21" i="13"/>
  <c r="B20" i="13"/>
  <c r="B19" i="13"/>
  <c r="B18" i="13"/>
  <c r="B17" i="13"/>
  <c r="B16" i="13"/>
  <c r="B15" i="13"/>
  <c r="B14" i="13"/>
  <c r="B13" i="13"/>
  <c r="B12" i="13"/>
  <c r="B11" i="13"/>
  <c r="B10" i="13"/>
  <c r="B9" i="13"/>
  <c r="B8" i="13"/>
  <c r="B7" i="13"/>
  <c r="B55" i="12"/>
  <c r="B54" i="12"/>
  <c r="B53" i="12"/>
  <c r="B52" i="12"/>
  <c r="B51" i="12"/>
  <c r="B50" i="12"/>
  <c r="B49" i="12"/>
  <c r="B48" i="12"/>
  <c r="B47" i="12"/>
  <c r="B46" i="12"/>
  <c r="B45" i="12"/>
  <c r="B44" i="12"/>
  <c r="B43" i="12"/>
  <c r="B42" i="12"/>
  <c r="B41" i="12"/>
  <c r="B40" i="12"/>
  <c r="B39" i="12"/>
  <c r="B38" i="12"/>
  <c r="B37" i="12"/>
  <c r="B36" i="12"/>
  <c r="B35" i="12"/>
  <c r="B34" i="12"/>
  <c r="B33" i="12"/>
  <c r="B32" i="12"/>
  <c r="B31" i="12"/>
  <c r="B30" i="12"/>
  <c r="B29" i="12"/>
  <c r="B28" i="12"/>
  <c r="B27" i="12"/>
  <c r="B26" i="12"/>
  <c r="B25" i="12"/>
  <c r="B24" i="12"/>
  <c r="B23" i="12"/>
  <c r="B22" i="12"/>
  <c r="B21" i="12"/>
  <c r="B20" i="12"/>
  <c r="B19" i="12"/>
  <c r="B18" i="12"/>
  <c r="B17" i="12"/>
  <c r="B16" i="12"/>
  <c r="B15" i="12"/>
  <c r="B14" i="12"/>
  <c r="B13" i="12"/>
  <c r="B12" i="12"/>
  <c r="B11" i="12"/>
  <c r="B10" i="12"/>
  <c r="B9" i="12"/>
  <c r="B8" i="12"/>
  <c r="B7" i="12"/>
  <c r="M4" i="12"/>
  <c r="L4" i="12"/>
  <c r="M4" i="11"/>
  <c r="L4" i="11"/>
  <c r="M4" i="10"/>
  <c r="L4" i="10"/>
  <c r="M4" i="9"/>
  <c r="L4" i="9"/>
  <c r="M4" i="8"/>
  <c r="L4" i="8"/>
  <c r="M4" i="7"/>
  <c r="L4" i="7"/>
  <c r="M4" i="6"/>
  <c r="L4" i="6"/>
  <c r="I4" i="6"/>
  <c r="B55" i="11"/>
  <c r="B54" i="11"/>
  <c r="B53" i="11"/>
  <c r="B52" i="11"/>
  <c r="B51" i="11"/>
  <c r="B50" i="11"/>
  <c r="B49" i="11"/>
  <c r="B48" i="11"/>
  <c r="B47" i="11"/>
  <c r="B46" i="11"/>
  <c r="B45" i="11"/>
  <c r="B44" i="11"/>
  <c r="B43" i="11"/>
  <c r="B42" i="11"/>
  <c r="B41" i="11"/>
  <c r="B40" i="11"/>
  <c r="B39" i="11"/>
  <c r="B38" i="11"/>
  <c r="B37" i="11"/>
  <c r="B36" i="11"/>
  <c r="B35" i="11"/>
  <c r="B34" i="11"/>
  <c r="B33" i="11"/>
  <c r="B32" i="11"/>
  <c r="B31" i="11"/>
  <c r="B30" i="11"/>
  <c r="B29" i="11"/>
  <c r="B28" i="11"/>
  <c r="B27" i="11"/>
  <c r="B26" i="11"/>
  <c r="B25" i="11"/>
  <c r="B24" i="11"/>
  <c r="B23" i="11"/>
  <c r="B22" i="11"/>
  <c r="B21" i="11"/>
  <c r="B20" i="11"/>
  <c r="B19" i="11"/>
  <c r="B18" i="11"/>
  <c r="B17" i="11"/>
  <c r="B16" i="11"/>
  <c r="B15" i="11"/>
  <c r="B14" i="11"/>
  <c r="B13" i="11"/>
  <c r="B12" i="11"/>
  <c r="B11" i="11"/>
  <c r="B10" i="11"/>
  <c r="B9" i="11"/>
  <c r="B8" i="11"/>
  <c r="B7" i="11"/>
  <c r="B55" i="10"/>
  <c r="B54" i="10"/>
  <c r="B53" i="10"/>
  <c r="B52" i="10"/>
  <c r="B51" i="10"/>
  <c r="B50" i="10"/>
  <c r="B49" i="10"/>
  <c r="B48" i="10"/>
  <c r="B47" i="10"/>
  <c r="B46" i="10"/>
  <c r="B45" i="10"/>
  <c r="B44" i="10"/>
  <c r="B43" i="10"/>
  <c r="B42" i="10"/>
  <c r="B41" i="10"/>
  <c r="B40" i="10"/>
  <c r="B39" i="10"/>
  <c r="B38" i="10"/>
  <c r="B37" i="10"/>
  <c r="B36" i="10"/>
  <c r="B35" i="10"/>
  <c r="B34" i="10"/>
  <c r="B33" i="10"/>
  <c r="B32" i="10"/>
  <c r="B31" i="10"/>
  <c r="B30" i="10"/>
  <c r="B29" i="10"/>
  <c r="B28" i="10"/>
  <c r="B27" i="10"/>
  <c r="B26" i="10"/>
  <c r="B25" i="10"/>
  <c r="B24" i="10"/>
  <c r="B23" i="10"/>
  <c r="B22" i="10"/>
  <c r="B21" i="10"/>
  <c r="B20" i="10"/>
  <c r="B19" i="10"/>
  <c r="B18" i="10"/>
  <c r="B17" i="10"/>
  <c r="B16" i="10"/>
  <c r="B15" i="10"/>
  <c r="B14" i="10"/>
  <c r="B13" i="10"/>
  <c r="B12" i="10"/>
  <c r="B11" i="10"/>
  <c r="B10" i="10"/>
  <c r="B9" i="10"/>
  <c r="B8" i="10"/>
  <c r="B7" i="10"/>
  <c r="B55" i="9"/>
  <c r="B54" i="9"/>
  <c r="B53" i="9"/>
  <c r="B52" i="9"/>
  <c r="B51" i="9"/>
  <c r="B50" i="9"/>
  <c r="B49" i="9"/>
  <c r="B48" i="9"/>
  <c r="B47" i="9"/>
  <c r="B46" i="9"/>
  <c r="B45" i="9"/>
  <c r="B44" i="9"/>
  <c r="B43" i="9"/>
  <c r="B42" i="9"/>
  <c r="B41" i="9"/>
  <c r="B40" i="9"/>
  <c r="B39" i="9"/>
  <c r="B38" i="9"/>
  <c r="B37" i="9"/>
  <c r="B36" i="9"/>
  <c r="B35" i="9"/>
  <c r="B34" i="9"/>
  <c r="B33" i="9"/>
  <c r="B32" i="9"/>
  <c r="B31" i="9"/>
  <c r="B30" i="9"/>
  <c r="B29" i="9"/>
  <c r="B28" i="9"/>
  <c r="B27" i="9"/>
  <c r="B26" i="9"/>
  <c r="B25" i="9"/>
  <c r="B24" i="9"/>
  <c r="B23" i="9"/>
  <c r="B22" i="9"/>
  <c r="B21" i="9"/>
  <c r="B20" i="9"/>
  <c r="B19" i="9"/>
  <c r="B18" i="9"/>
  <c r="B17" i="9"/>
  <c r="B16" i="9"/>
  <c r="B15" i="9"/>
  <c r="B14" i="9"/>
  <c r="B13" i="9"/>
  <c r="B12" i="9"/>
  <c r="B11" i="9"/>
  <c r="B10" i="9"/>
  <c r="B9" i="9"/>
  <c r="B8" i="9"/>
  <c r="B7" i="9"/>
  <c r="B55" i="8"/>
  <c r="B54" i="8"/>
  <c r="B53" i="8"/>
  <c r="B52" i="8"/>
  <c r="B51" i="8"/>
  <c r="B50" i="8"/>
  <c r="B49" i="8"/>
  <c r="B48" i="8"/>
  <c r="B47" i="8"/>
  <c r="B46" i="8"/>
  <c r="B45" i="8"/>
  <c r="B44" i="8"/>
  <c r="B43" i="8"/>
  <c r="B42" i="8"/>
  <c r="B41" i="8"/>
  <c r="B40" i="8"/>
  <c r="B39" i="8"/>
  <c r="B38" i="8"/>
  <c r="B37" i="8"/>
  <c r="B36" i="8"/>
  <c r="B35" i="8"/>
  <c r="B34" i="8"/>
  <c r="B33" i="8"/>
  <c r="B32" i="8"/>
  <c r="B31" i="8"/>
  <c r="B30" i="8"/>
  <c r="B29" i="8"/>
  <c r="B28" i="8"/>
  <c r="B27" i="8"/>
  <c r="B26" i="8"/>
  <c r="B25" i="8"/>
  <c r="B24" i="8"/>
  <c r="B23" i="8"/>
  <c r="B22" i="8"/>
  <c r="B21" i="8"/>
  <c r="B20" i="8"/>
  <c r="B19" i="8"/>
  <c r="B18" i="8"/>
  <c r="B17" i="8"/>
  <c r="B16" i="8"/>
  <c r="B15" i="8"/>
  <c r="B14" i="8"/>
  <c r="B13" i="8"/>
  <c r="B12" i="8"/>
  <c r="B11" i="8"/>
  <c r="B10" i="8"/>
  <c r="B9" i="8"/>
  <c r="B8" i="8"/>
  <c r="B7" i="8"/>
  <c r="B55" i="7"/>
  <c r="B54" i="7"/>
  <c r="B53" i="7"/>
  <c r="B52" i="7"/>
  <c r="B51" i="7"/>
  <c r="B50" i="7"/>
  <c r="B49" i="7"/>
  <c r="B48" i="7"/>
  <c r="B47" i="7"/>
  <c r="B46" i="7"/>
  <c r="B45" i="7"/>
  <c r="B44" i="7"/>
  <c r="B43" i="7"/>
  <c r="B42" i="7"/>
  <c r="B41" i="7"/>
  <c r="B40" i="7"/>
  <c r="B39" i="7"/>
  <c r="B38" i="7"/>
  <c r="B37" i="7"/>
  <c r="B36" i="7"/>
  <c r="B35" i="7"/>
  <c r="B34" i="7"/>
  <c r="B33" i="7"/>
  <c r="B32" i="7"/>
  <c r="B31" i="7"/>
  <c r="B30" i="7"/>
  <c r="B29" i="7"/>
  <c r="B28" i="7"/>
  <c r="B27" i="7"/>
  <c r="B26" i="7"/>
  <c r="B25" i="7"/>
  <c r="B24" i="7"/>
  <c r="B23" i="7"/>
  <c r="B22" i="7"/>
  <c r="B21" i="7"/>
  <c r="B20" i="7"/>
  <c r="B19" i="7"/>
  <c r="B18" i="7"/>
  <c r="B17" i="7"/>
  <c r="B16" i="7"/>
  <c r="B15" i="7"/>
  <c r="B14" i="7"/>
  <c r="B13" i="7"/>
  <c r="B12" i="7"/>
  <c r="B11" i="7"/>
  <c r="B10" i="7"/>
  <c r="B9" i="7"/>
  <c r="B8" i="7"/>
  <c r="B7" i="7"/>
  <c r="B55" i="6"/>
  <c r="B54" i="6"/>
  <c r="B53" i="6"/>
  <c r="B52" i="6"/>
  <c r="B51" i="6"/>
  <c r="B50" i="6"/>
  <c r="B49" i="6"/>
  <c r="B48" i="6"/>
  <c r="B47" i="6"/>
  <c r="B46" i="6"/>
  <c r="B45" i="6"/>
  <c r="B44" i="6"/>
  <c r="B43" i="6"/>
  <c r="B42" i="6"/>
  <c r="B41" i="6"/>
  <c r="B40" i="6"/>
  <c r="B39" i="6"/>
  <c r="B38" i="6"/>
  <c r="B37" i="6"/>
  <c r="B36" i="6"/>
  <c r="B35" i="6"/>
  <c r="B34" i="6"/>
  <c r="B33" i="6"/>
  <c r="B32" i="6"/>
  <c r="B31" i="6"/>
  <c r="B30" i="6"/>
  <c r="B29" i="6"/>
  <c r="B28" i="6"/>
  <c r="B27" i="6"/>
  <c r="B26" i="6"/>
  <c r="B25" i="6"/>
  <c r="B24" i="6"/>
  <c r="B23" i="6"/>
  <c r="B22" i="6"/>
  <c r="B21" i="6"/>
  <c r="B20" i="6"/>
  <c r="B19" i="6"/>
  <c r="B18" i="6"/>
  <c r="B17" i="6"/>
  <c r="B16" i="6"/>
  <c r="B15" i="6"/>
  <c r="B14" i="6"/>
  <c r="B13" i="6"/>
  <c r="B12" i="6"/>
  <c r="B11" i="6"/>
  <c r="B10" i="6"/>
  <c r="B9" i="6"/>
  <c r="B8" i="6"/>
  <c r="B7" i="6"/>
  <c r="B55" i="14"/>
  <c r="B54" i="14"/>
  <c r="B53" i="14"/>
  <c r="B52" i="14"/>
  <c r="B51" i="14"/>
  <c r="B50" i="14"/>
  <c r="B49" i="14"/>
  <c r="B48" i="14"/>
  <c r="B47" i="14"/>
  <c r="B46" i="14"/>
  <c r="B45" i="14"/>
  <c r="B44" i="14"/>
  <c r="B43" i="14"/>
  <c r="B42" i="14"/>
  <c r="B41" i="14"/>
  <c r="B40" i="14"/>
  <c r="B39" i="14"/>
  <c r="B38" i="14"/>
  <c r="B37" i="14"/>
  <c r="B36" i="14"/>
  <c r="B35" i="14"/>
  <c r="B34" i="14"/>
  <c r="B33" i="14"/>
  <c r="B32" i="14"/>
  <c r="B31" i="14"/>
  <c r="B30" i="14"/>
  <c r="B29" i="14"/>
  <c r="B28" i="14"/>
  <c r="B27" i="14"/>
  <c r="B26" i="14"/>
  <c r="B25" i="14"/>
  <c r="B24" i="14"/>
  <c r="B23" i="14"/>
  <c r="B22" i="14"/>
  <c r="B21" i="14"/>
  <c r="B20" i="14"/>
  <c r="B19" i="14"/>
  <c r="B18" i="14"/>
  <c r="B17" i="14"/>
  <c r="B16" i="14"/>
  <c r="B15" i="14"/>
  <c r="B14" i="14"/>
  <c r="B13" i="14"/>
  <c r="B12" i="14"/>
  <c r="B11" i="14"/>
  <c r="B10" i="14"/>
  <c r="B9" i="14"/>
  <c r="B8" i="14"/>
  <c r="B7" i="14"/>
  <c r="C4" i="14"/>
  <c r="D4" i="11"/>
  <c r="E4" i="6"/>
  <c r="C4" i="7"/>
  <c r="E4" i="14"/>
  <c r="E4" i="10"/>
  <c r="D4" i="7"/>
  <c r="D4" i="13"/>
  <c r="E4" i="7"/>
  <c r="E4" i="13"/>
  <c r="C4" i="6"/>
  <c r="C4" i="12"/>
  <c r="E4" i="8"/>
  <c r="C4" i="11"/>
  <c r="E4" i="9"/>
  <c r="D4" i="6"/>
  <c r="C4" i="13"/>
  <c r="D4" i="9"/>
  <c r="H4" i="6"/>
  <c r="C4" i="8"/>
  <c r="D4" i="8"/>
  <c r="E4" i="11"/>
  <c r="D4" i="14"/>
  <c r="P11" i="4" l="1"/>
  <c r="P12" i="4"/>
  <c r="A2" i="16" s="1"/>
  <c r="D2" i="17" s="1"/>
  <c r="P13" i="4"/>
  <c r="B2" i="16" s="1"/>
  <c r="K2" i="16" s="1"/>
  <c r="D4" i="12"/>
  <c r="E4" i="12"/>
  <c r="C4" i="10"/>
  <c r="J4" i="6"/>
  <c r="C4" i="9"/>
  <c r="D4" i="10"/>
  <c r="J2" i="16" l="1"/>
  <c r="I2" i="16" s="1"/>
  <c r="H2" i="16" s="1"/>
  <c r="G2" i="16" s="1"/>
  <c r="AL308" i="16" l="1"/>
  <c r="V224" i="16"/>
  <c r="AD220" i="16"/>
  <c r="AO214" i="16"/>
  <c r="AL180" i="16"/>
  <c r="AL178" i="16"/>
  <c r="AS171" i="16"/>
  <c r="AO170" i="16"/>
  <c r="AD134" i="16"/>
  <c r="AC134" i="16"/>
  <c r="AJ133" i="16"/>
  <c r="AE132" i="16"/>
  <c r="AK130" i="16"/>
  <c r="V128" i="16"/>
  <c r="AS127" i="16"/>
  <c r="W127" i="16"/>
  <c r="AC125" i="16"/>
  <c r="AM90" i="16"/>
  <c r="AC90" i="16"/>
  <c r="W89" i="16"/>
  <c r="V89" i="16"/>
  <c r="AM87" i="16"/>
  <c r="V86" i="16"/>
  <c r="AO83" i="16"/>
  <c r="AN83" i="16"/>
  <c r="AL83" i="16"/>
  <c r="V81" i="16"/>
  <c r="Y80" i="16"/>
  <c r="AL79" i="16"/>
  <c r="BP435" i="16"/>
  <c r="BP434" i="16"/>
  <c r="BP433" i="16"/>
  <c r="BP432" i="16"/>
  <c r="BP431" i="16"/>
  <c r="BP430" i="16"/>
  <c r="BP429" i="16"/>
  <c r="BP428" i="16"/>
  <c r="BP427" i="16"/>
  <c r="BP426" i="16"/>
  <c r="BP425" i="16"/>
  <c r="BP424" i="16"/>
  <c r="BP423" i="16"/>
  <c r="BP422" i="16"/>
  <c r="BP421" i="16"/>
  <c r="BP420" i="16"/>
  <c r="BP419" i="16"/>
  <c r="BP418" i="16"/>
  <c r="BP417" i="16"/>
  <c r="BP416" i="16"/>
  <c r="BP415" i="16"/>
  <c r="BP414" i="16"/>
  <c r="BP413" i="16"/>
  <c r="BP412" i="16"/>
  <c r="BP411" i="16"/>
  <c r="BP410" i="16"/>
  <c r="BP409" i="16"/>
  <c r="BP408" i="16"/>
  <c r="AQ92" i="16" s="1"/>
  <c r="BP407" i="16"/>
  <c r="BP406" i="16"/>
  <c r="BP405" i="16"/>
  <c r="BP404" i="16"/>
  <c r="BP403" i="16"/>
  <c r="BP402" i="16"/>
  <c r="BP401" i="16"/>
  <c r="BP400" i="16"/>
  <c r="BP399" i="16"/>
  <c r="BP398" i="16"/>
  <c r="BP397" i="16"/>
  <c r="BP396" i="16"/>
  <c r="BP395" i="16"/>
  <c r="BP394" i="16"/>
  <c r="BP393" i="16"/>
  <c r="BP392" i="16"/>
  <c r="BP391" i="16"/>
  <c r="BP390" i="16"/>
  <c r="BP389" i="16"/>
  <c r="BP388" i="16"/>
  <c r="BP387" i="16"/>
  <c r="BP386" i="16"/>
  <c r="BP385" i="16"/>
  <c r="BP384" i="16"/>
  <c r="BP383" i="16"/>
  <c r="BP382" i="16"/>
  <c r="BP381" i="16"/>
  <c r="BP380" i="16"/>
  <c r="BP379" i="16"/>
  <c r="BP378" i="16"/>
  <c r="BP377" i="16"/>
  <c r="AH135" i="16" s="1"/>
  <c r="BP376" i="16"/>
  <c r="AG135" i="16" s="1"/>
  <c r="BP375" i="16"/>
  <c r="BP374" i="16"/>
  <c r="AH90" i="16" s="1"/>
  <c r="BP373" i="16"/>
  <c r="BP372" i="16"/>
  <c r="BP371" i="16"/>
  <c r="BP370" i="16"/>
  <c r="BP369" i="16"/>
  <c r="BP368" i="16"/>
  <c r="AA90" i="16" s="1"/>
  <c r="BP367" i="16"/>
  <c r="BP366" i="16"/>
  <c r="BP365" i="16"/>
  <c r="BP364" i="16"/>
  <c r="BP363" i="16"/>
  <c r="BP362" i="16"/>
  <c r="BP361" i="16"/>
  <c r="BP360" i="16"/>
  <c r="AQ89" i="16" s="1"/>
  <c r="BP359" i="16"/>
  <c r="BP358" i="16"/>
  <c r="BP357" i="16"/>
  <c r="BP356" i="16"/>
  <c r="BP355" i="16"/>
  <c r="BP354" i="16"/>
  <c r="BP353" i="16"/>
  <c r="BP352" i="16"/>
  <c r="AH89" i="16" s="1"/>
  <c r="BP351" i="16"/>
  <c r="BP350" i="16"/>
  <c r="AE89" i="16" s="1"/>
  <c r="BP349" i="16"/>
  <c r="BP348" i="16"/>
  <c r="BP347" i="16"/>
  <c r="AD89" i="16" s="1"/>
  <c r="BP346" i="16"/>
  <c r="BP345" i="16"/>
  <c r="BP344" i="16"/>
  <c r="Y134" i="16" s="1"/>
  <c r="BP343" i="16"/>
  <c r="BP342" i="16"/>
  <c r="BP341" i="16"/>
  <c r="BP340" i="16"/>
  <c r="BP339" i="16"/>
  <c r="BP338" i="16"/>
  <c r="BP337" i="16"/>
  <c r="BP336" i="16"/>
  <c r="AQ268" i="16" s="1"/>
  <c r="BP335" i="16"/>
  <c r="BP334" i="16"/>
  <c r="AM88" i="16" s="1"/>
  <c r="BP333" i="16"/>
  <c r="BP332" i="16"/>
  <c r="BP331" i="16"/>
  <c r="BP330" i="16"/>
  <c r="BP329" i="16"/>
  <c r="BP328" i="16"/>
  <c r="AI88" i="16" s="1"/>
  <c r="BP327" i="16"/>
  <c r="AD315" i="16" s="1"/>
  <c r="BP326" i="16"/>
  <c r="BP325" i="16"/>
  <c r="BP324" i="16"/>
  <c r="BP323" i="16"/>
  <c r="BP322" i="16"/>
  <c r="BP321" i="16"/>
  <c r="BP320" i="16"/>
  <c r="AC133" i="16" s="1"/>
  <c r="BP319" i="16"/>
  <c r="BP318" i="16"/>
  <c r="BP317" i="16"/>
  <c r="BP316" i="16"/>
  <c r="BP315" i="16"/>
  <c r="BP314" i="16"/>
  <c r="BP313" i="16"/>
  <c r="BP312" i="16"/>
  <c r="BP311" i="16"/>
  <c r="BP310" i="16"/>
  <c r="BP309" i="16"/>
  <c r="BP308" i="16"/>
  <c r="BP307" i="16"/>
  <c r="BP306" i="16"/>
  <c r="BP305" i="16"/>
  <c r="BP304" i="16"/>
  <c r="BP303" i="16"/>
  <c r="BP302" i="16"/>
  <c r="BP301" i="16"/>
  <c r="BP300" i="16"/>
  <c r="BP299" i="16"/>
  <c r="BP298" i="16"/>
  <c r="BP297" i="16"/>
  <c r="BP296" i="16"/>
  <c r="Y177" i="16" s="1"/>
  <c r="BP295" i="16"/>
  <c r="BP294" i="16"/>
  <c r="BP293" i="16"/>
  <c r="BP292" i="16"/>
  <c r="BP291" i="16"/>
  <c r="BP290" i="16"/>
  <c r="BP289" i="16"/>
  <c r="BP288" i="16"/>
  <c r="BP287" i="16"/>
  <c r="BP286" i="16"/>
  <c r="BP285" i="16"/>
  <c r="BP284" i="16"/>
  <c r="BP283" i="16"/>
  <c r="BP282" i="16"/>
  <c r="BP281" i="16"/>
  <c r="BP280" i="16"/>
  <c r="AH131" i="16" s="1"/>
  <c r="BP279" i="16"/>
  <c r="BP278" i="16"/>
  <c r="BP277" i="16"/>
  <c r="BP276" i="16"/>
  <c r="BP275" i="16"/>
  <c r="BP274" i="16"/>
  <c r="BP273" i="16"/>
  <c r="X88" i="16" s="1"/>
  <c r="BP272" i="16"/>
  <c r="BP271" i="16"/>
  <c r="BP270" i="16"/>
  <c r="BP269" i="16"/>
  <c r="BP268" i="16"/>
  <c r="BP267" i="16"/>
  <c r="BP266" i="16"/>
  <c r="BP265" i="16"/>
  <c r="BP264" i="16"/>
  <c r="BP263" i="16"/>
  <c r="BP262" i="16"/>
  <c r="BP261" i="16"/>
  <c r="BP260" i="16"/>
  <c r="BP259" i="16"/>
  <c r="BP258" i="16"/>
  <c r="BP257" i="16"/>
  <c r="BP256" i="16"/>
  <c r="AH175" i="16" s="1"/>
  <c r="BP255" i="16"/>
  <c r="BP254" i="16"/>
  <c r="BP253" i="16"/>
  <c r="BP252" i="16"/>
  <c r="BP251" i="16"/>
  <c r="BP250" i="16"/>
  <c r="BP249" i="16"/>
  <c r="BP248" i="16"/>
  <c r="BP247" i="16"/>
  <c r="BP246" i="16"/>
  <c r="BP245" i="16"/>
  <c r="BP244" i="16"/>
  <c r="BO220" i="16"/>
  <c r="BP243" i="16" s="1"/>
  <c r="BP219" i="16"/>
  <c r="BP218" i="16"/>
  <c r="BP217" i="16"/>
  <c r="AQ128" i="16" s="1"/>
  <c r="BP216" i="16"/>
  <c r="BP215" i="16"/>
  <c r="BP214" i="16"/>
  <c r="BP213" i="16"/>
  <c r="BP212" i="16"/>
  <c r="BP211" i="16"/>
  <c r="BP210" i="16"/>
  <c r="AI218" i="16" s="1"/>
  <c r="BP209" i="16"/>
  <c r="AI263" i="16" s="1"/>
  <c r="BP208" i="16"/>
  <c r="BP207" i="16"/>
  <c r="BP206" i="16"/>
  <c r="BP205" i="16"/>
  <c r="BP204" i="16"/>
  <c r="BP203" i="16"/>
  <c r="BP202" i="16"/>
  <c r="BP201" i="16"/>
  <c r="AD218" i="16" s="1"/>
  <c r="BP200" i="16"/>
  <c r="BP199" i="16"/>
  <c r="BP198" i="16"/>
  <c r="BP197" i="16"/>
  <c r="BP196" i="16"/>
  <c r="BP195" i="16"/>
  <c r="BP194" i="16"/>
  <c r="BP193" i="16"/>
  <c r="AQ82" i="16" s="1"/>
  <c r="BP192" i="16"/>
  <c r="BP191" i="16"/>
  <c r="BP190" i="16"/>
  <c r="BP189" i="16"/>
  <c r="BP188" i="16"/>
  <c r="BP187" i="16"/>
  <c r="BP186" i="16"/>
  <c r="BP185" i="16"/>
  <c r="AO82" i="16" s="1"/>
  <c r="BP184" i="16"/>
  <c r="BP183" i="16"/>
  <c r="BP182" i="16"/>
  <c r="BP181" i="16"/>
  <c r="BP180" i="16"/>
  <c r="BP179" i="16"/>
  <c r="BP178" i="16"/>
  <c r="AO216" i="16" s="1"/>
  <c r="BP177" i="16"/>
  <c r="BP176" i="16"/>
  <c r="BP175" i="16"/>
  <c r="BP174" i="16"/>
  <c r="BP173" i="16"/>
  <c r="BP172" i="16"/>
  <c r="BP171" i="16"/>
  <c r="BP170" i="16"/>
  <c r="BP169" i="16"/>
  <c r="AQ81" i="16" s="1"/>
  <c r="BP168" i="16"/>
  <c r="BP167" i="16"/>
  <c r="BP166" i="16"/>
  <c r="BP165" i="16"/>
  <c r="BP164" i="16"/>
  <c r="BP163" i="16"/>
  <c r="BP162" i="16"/>
  <c r="BP161" i="16"/>
  <c r="AI216" i="16" s="1"/>
  <c r="BP160" i="16"/>
  <c r="BP159" i="16"/>
  <c r="BP158" i="16"/>
  <c r="BP157" i="16"/>
  <c r="BP156" i="16"/>
  <c r="BP155" i="16"/>
  <c r="BP154" i="16"/>
  <c r="BP153" i="16"/>
  <c r="Z126" i="16" s="1"/>
  <c r="BP152" i="16"/>
  <c r="BP151" i="16"/>
  <c r="BP150" i="16"/>
  <c r="BP149" i="16"/>
  <c r="BP148" i="16"/>
  <c r="BP147" i="16"/>
  <c r="BP146" i="16"/>
  <c r="BP145" i="16"/>
  <c r="BP144" i="16"/>
  <c r="BP143" i="16"/>
  <c r="BP142" i="16"/>
  <c r="BP141" i="16"/>
  <c r="BP140" i="16"/>
  <c r="BP139" i="16"/>
  <c r="BP138" i="16"/>
  <c r="AK169" i="16" s="1"/>
  <c r="BP137" i="16"/>
  <c r="AI80" i="16" s="1"/>
  <c r="BP136" i="16"/>
  <c r="BP135" i="16"/>
  <c r="BP134" i="16"/>
  <c r="BP133" i="16"/>
  <c r="BP132" i="16"/>
  <c r="BP131" i="16"/>
  <c r="BP130" i="16"/>
  <c r="BP129" i="16"/>
  <c r="BP128" i="16"/>
  <c r="BP127" i="16"/>
  <c r="BP126" i="16"/>
  <c r="BP125" i="16"/>
  <c r="BP124" i="16"/>
  <c r="BP123" i="16"/>
  <c r="BP122" i="16"/>
  <c r="BP121" i="16"/>
  <c r="AQ259" i="16" s="1"/>
  <c r="BP120" i="16"/>
  <c r="BP119" i="16"/>
  <c r="BP118" i="16"/>
  <c r="BP117" i="16"/>
  <c r="BP116" i="16"/>
  <c r="BP115" i="16"/>
  <c r="BP114" i="16"/>
  <c r="BP113" i="16"/>
  <c r="AI169" i="16" s="1"/>
  <c r="BP112" i="16"/>
  <c r="BP111" i="16"/>
  <c r="BP110" i="16"/>
  <c r="BP109" i="16"/>
  <c r="BP108" i="16"/>
  <c r="BP107" i="16"/>
  <c r="BP106" i="16"/>
  <c r="BP105" i="16"/>
  <c r="BP104" i="16"/>
  <c r="BP103" i="16"/>
  <c r="BP102" i="16"/>
  <c r="BP101" i="16"/>
  <c r="BP100" i="16"/>
  <c r="BP99" i="16"/>
  <c r="BP98" i="16"/>
  <c r="BP97" i="16"/>
  <c r="BP96" i="16"/>
  <c r="BP95" i="16"/>
  <c r="BP94" i="16"/>
  <c r="BP93" i="16"/>
  <c r="BP92" i="16"/>
  <c r="BP91" i="16"/>
  <c r="BP90" i="16"/>
  <c r="BP89" i="16"/>
  <c r="BP88" i="16"/>
  <c r="BP87" i="16"/>
  <c r="BP86" i="16"/>
  <c r="BP85" i="16"/>
  <c r="BP84" i="16"/>
  <c r="BP83" i="16"/>
  <c r="BP82" i="16"/>
  <c r="BP81" i="16"/>
  <c r="BP80" i="16"/>
  <c r="BP79" i="16"/>
  <c r="BP78" i="16"/>
  <c r="BP77" i="16"/>
  <c r="BP76" i="16"/>
  <c r="BP75" i="16"/>
  <c r="BP74" i="16"/>
  <c r="BP73" i="16"/>
  <c r="BP72" i="16"/>
  <c r="BP71" i="16"/>
  <c r="BP70" i="16"/>
  <c r="BP69" i="16"/>
  <c r="BP68" i="16"/>
  <c r="BP67" i="16"/>
  <c r="BP66" i="16"/>
  <c r="BP65" i="16"/>
  <c r="BP64" i="16"/>
  <c r="BP63" i="16"/>
  <c r="BP62" i="16"/>
  <c r="BP61" i="16"/>
  <c r="BP60" i="16"/>
  <c r="BP59" i="16"/>
  <c r="BP58" i="16"/>
  <c r="BP57" i="16"/>
  <c r="AD75" i="16" s="1"/>
  <c r="BP56" i="16"/>
  <c r="BP55" i="16"/>
  <c r="BP54" i="16"/>
  <c r="BP53" i="16"/>
  <c r="BP52" i="16"/>
  <c r="BP51" i="16"/>
  <c r="BP50" i="16"/>
  <c r="BP49" i="16"/>
  <c r="BP48" i="16"/>
  <c r="BP47" i="16"/>
  <c r="BP46" i="16"/>
  <c r="BP45" i="16"/>
  <c r="BP44" i="16"/>
  <c r="BP43" i="16"/>
  <c r="BP42" i="16"/>
  <c r="BP41" i="16"/>
  <c r="BP40" i="16"/>
  <c r="BP39" i="16"/>
  <c r="BP38" i="16"/>
  <c r="BP37" i="16"/>
  <c r="BP36" i="16"/>
  <c r="BP35" i="16"/>
  <c r="BP34" i="16"/>
  <c r="BP33" i="16"/>
  <c r="BP32" i="16"/>
  <c r="BP31" i="16"/>
  <c r="BP30" i="16"/>
  <c r="BP29" i="16"/>
  <c r="BP28" i="16"/>
  <c r="BP27" i="16"/>
  <c r="BP26" i="16"/>
  <c r="BP25" i="16"/>
  <c r="BP24" i="16"/>
  <c r="BP23" i="16"/>
  <c r="BP22" i="16"/>
  <c r="BP21" i="16"/>
  <c r="BP20" i="16"/>
  <c r="BP19" i="16"/>
  <c r="BP18" i="16"/>
  <c r="BP17" i="16"/>
  <c r="BP16" i="16"/>
  <c r="BP15" i="16"/>
  <c r="BP14" i="16"/>
  <c r="BP13" i="16"/>
  <c r="BP12" i="16"/>
  <c r="BP11" i="16"/>
  <c r="BP10" i="16"/>
  <c r="BP9" i="16"/>
  <c r="BP8" i="16"/>
  <c r="BP7" i="16"/>
  <c r="BP6" i="16"/>
  <c r="BP5" i="16"/>
  <c r="BP4" i="16"/>
  <c r="BF267" i="16"/>
  <c r="BF266" i="16"/>
  <c r="BF265" i="16"/>
  <c r="BF264" i="16"/>
  <c r="BF263" i="16"/>
  <c r="BF262" i="16"/>
  <c r="BF261" i="16"/>
  <c r="BF260" i="16"/>
  <c r="BF259" i="16"/>
  <c r="BF258" i="16"/>
  <c r="BF257" i="16"/>
  <c r="BF256" i="16"/>
  <c r="BF255" i="16"/>
  <c r="BF254" i="16"/>
  <c r="BF253" i="16"/>
  <c r="BF252" i="16"/>
  <c r="BF251" i="16"/>
  <c r="BF250" i="16"/>
  <c r="BF249" i="16"/>
  <c r="BF248" i="16"/>
  <c r="BF247" i="16"/>
  <c r="BF246" i="16"/>
  <c r="BF245" i="16"/>
  <c r="BF291" i="16"/>
  <c r="BF290" i="16"/>
  <c r="BF289" i="16"/>
  <c r="BF288" i="16"/>
  <c r="BF287" i="16"/>
  <c r="BF286" i="16"/>
  <c r="BF285" i="16"/>
  <c r="BF284" i="16"/>
  <c r="BF283" i="16"/>
  <c r="BF282" i="16"/>
  <c r="BF281" i="16"/>
  <c r="BF280" i="16"/>
  <c r="BF279" i="16"/>
  <c r="BF278" i="16"/>
  <c r="BF277" i="16"/>
  <c r="BF276" i="16"/>
  <c r="BF275" i="16"/>
  <c r="BF274" i="16"/>
  <c r="BF273" i="16"/>
  <c r="BF272" i="16"/>
  <c r="BF271" i="16"/>
  <c r="BF270" i="16"/>
  <c r="BF269" i="16"/>
  <c r="BF268" i="16"/>
  <c r="BF244" i="16"/>
  <c r="BE220" i="16"/>
  <c r="BF220" i="16" s="1"/>
  <c r="BF219" i="16"/>
  <c r="BF218" i="16"/>
  <c r="BF217" i="16"/>
  <c r="BF216" i="16"/>
  <c r="BF215" i="16"/>
  <c r="BF214" i="16"/>
  <c r="BF213" i="16"/>
  <c r="BF212" i="16"/>
  <c r="BF211" i="16"/>
  <c r="BF210" i="16"/>
  <c r="BF209" i="16"/>
  <c r="BF208" i="16"/>
  <c r="BF207" i="16"/>
  <c r="BF206" i="16"/>
  <c r="BF205" i="16"/>
  <c r="BF204" i="16"/>
  <c r="BF203" i="16"/>
  <c r="BF202" i="16"/>
  <c r="BF201" i="16"/>
  <c r="BF200" i="16"/>
  <c r="BF199" i="16"/>
  <c r="BF198" i="16"/>
  <c r="BF197" i="16"/>
  <c r="BF196" i="16"/>
  <c r="BF195" i="16"/>
  <c r="BF194" i="16"/>
  <c r="BF193" i="16"/>
  <c r="BF192" i="16"/>
  <c r="BF191" i="16"/>
  <c r="BF190" i="16"/>
  <c r="BF189" i="16"/>
  <c r="BF188" i="16"/>
  <c r="BF187" i="16"/>
  <c r="BF186" i="16"/>
  <c r="BF185" i="16"/>
  <c r="BF184" i="16"/>
  <c r="BF183" i="16"/>
  <c r="BF182" i="16"/>
  <c r="BF181" i="16"/>
  <c r="BF180" i="16"/>
  <c r="BF179" i="16"/>
  <c r="BF178" i="16"/>
  <c r="BF177" i="16"/>
  <c r="BF176" i="16"/>
  <c r="BF175" i="16"/>
  <c r="BF174" i="16"/>
  <c r="BF173" i="16"/>
  <c r="BF172" i="16"/>
  <c r="BF171" i="16"/>
  <c r="BF170" i="16"/>
  <c r="BF169" i="16"/>
  <c r="BF168" i="16"/>
  <c r="BF167" i="16"/>
  <c r="BF166" i="16"/>
  <c r="BF165" i="16"/>
  <c r="BF164" i="16"/>
  <c r="BF163" i="16"/>
  <c r="BF162" i="16"/>
  <c r="BF161" i="16"/>
  <c r="BF160" i="16"/>
  <c r="BF159" i="16"/>
  <c r="BF158" i="16"/>
  <c r="BF157" i="16"/>
  <c r="BF156" i="16"/>
  <c r="BF155" i="16"/>
  <c r="BF154" i="16"/>
  <c r="BF153" i="16"/>
  <c r="BF152" i="16"/>
  <c r="BF151" i="16"/>
  <c r="BF150" i="16"/>
  <c r="BF149" i="16"/>
  <c r="BF148" i="16"/>
  <c r="BF147" i="16"/>
  <c r="BF146" i="16"/>
  <c r="BF145" i="16"/>
  <c r="BF144" i="16"/>
  <c r="BF143" i="16"/>
  <c r="BF142" i="16"/>
  <c r="BF141" i="16"/>
  <c r="BF140" i="16"/>
  <c r="BF139" i="16"/>
  <c r="BF138" i="16"/>
  <c r="BF137" i="16"/>
  <c r="BF136" i="16"/>
  <c r="BF135" i="16"/>
  <c r="BF134" i="16"/>
  <c r="BF133" i="16"/>
  <c r="BF132" i="16"/>
  <c r="BF131" i="16"/>
  <c r="BF130" i="16"/>
  <c r="BF129" i="16"/>
  <c r="BF128" i="16"/>
  <c r="BF127" i="16"/>
  <c r="BF126" i="16"/>
  <c r="BF125" i="16"/>
  <c r="BF124" i="16"/>
  <c r="BF123" i="16"/>
  <c r="BF122" i="16"/>
  <c r="BF121" i="16"/>
  <c r="BF120" i="16"/>
  <c r="BF119" i="16"/>
  <c r="BF118" i="16"/>
  <c r="BF117" i="16"/>
  <c r="BF116" i="16"/>
  <c r="BF115" i="16"/>
  <c r="BF114" i="16"/>
  <c r="BF113" i="16"/>
  <c r="BF112" i="16"/>
  <c r="BF111" i="16"/>
  <c r="BF110" i="16"/>
  <c r="BF109" i="16"/>
  <c r="BF108" i="16"/>
  <c r="BF107" i="16"/>
  <c r="BF106" i="16"/>
  <c r="BF105" i="16"/>
  <c r="BF104" i="16"/>
  <c r="BF103" i="16"/>
  <c r="BF102" i="16"/>
  <c r="BF101" i="16"/>
  <c r="BF100" i="16"/>
  <c r="BF99" i="16"/>
  <c r="BF98" i="16"/>
  <c r="BF97" i="16"/>
  <c r="BF96" i="16"/>
  <c r="BF95" i="16"/>
  <c r="BF94" i="16"/>
  <c r="BF93" i="16"/>
  <c r="BF92" i="16"/>
  <c r="BF91" i="16"/>
  <c r="BF90" i="16"/>
  <c r="BF89" i="16"/>
  <c r="BF88" i="16"/>
  <c r="BF87" i="16"/>
  <c r="BF86" i="16"/>
  <c r="BF85" i="16"/>
  <c r="BF84" i="16"/>
  <c r="BF83" i="16"/>
  <c r="BF82" i="16"/>
  <c r="BF81" i="16"/>
  <c r="BF80" i="16"/>
  <c r="BF79" i="16"/>
  <c r="BF78" i="16"/>
  <c r="BF77" i="16"/>
  <c r="BF76" i="16"/>
  <c r="BF75" i="16"/>
  <c r="BF74" i="16"/>
  <c r="BF73" i="16"/>
  <c r="BF72" i="16"/>
  <c r="BF71" i="16"/>
  <c r="BF70" i="16"/>
  <c r="BF69" i="16"/>
  <c r="BF68" i="16"/>
  <c r="BF67" i="16"/>
  <c r="BF66" i="16"/>
  <c r="BF65" i="16"/>
  <c r="BF64" i="16"/>
  <c r="BF63" i="16"/>
  <c r="BF62" i="16"/>
  <c r="BF61" i="16"/>
  <c r="BF60" i="16"/>
  <c r="BF59" i="16"/>
  <c r="BF58" i="16"/>
  <c r="BF57" i="16"/>
  <c r="BF56" i="16"/>
  <c r="BF55" i="16"/>
  <c r="BF54" i="16"/>
  <c r="BF53" i="16"/>
  <c r="BF52" i="16"/>
  <c r="BF51" i="16"/>
  <c r="BF50" i="16"/>
  <c r="BF49" i="16"/>
  <c r="BF48" i="16"/>
  <c r="BF47" i="16"/>
  <c r="BF46" i="16"/>
  <c r="BF45" i="16"/>
  <c r="BF44" i="16"/>
  <c r="BF43" i="16"/>
  <c r="BF42" i="16"/>
  <c r="BF41" i="16"/>
  <c r="BF40" i="16"/>
  <c r="BF39" i="16"/>
  <c r="BF38" i="16"/>
  <c r="BF37" i="16"/>
  <c r="BF36" i="16"/>
  <c r="BF35" i="16"/>
  <c r="BF34" i="16"/>
  <c r="BF33" i="16"/>
  <c r="BF32" i="16"/>
  <c r="BF31" i="16"/>
  <c r="BF30" i="16"/>
  <c r="BF29" i="16"/>
  <c r="BF28" i="16"/>
  <c r="BF27" i="16"/>
  <c r="BF26" i="16"/>
  <c r="BF25" i="16"/>
  <c r="BF24" i="16"/>
  <c r="BF23" i="16"/>
  <c r="BF22" i="16"/>
  <c r="BF21" i="16"/>
  <c r="BF20" i="16"/>
  <c r="BF19" i="16"/>
  <c r="BF18" i="16"/>
  <c r="BF17" i="16"/>
  <c r="BF16" i="16"/>
  <c r="BF15" i="16"/>
  <c r="BF14" i="16"/>
  <c r="BF13" i="16"/>
  <c r="BF12" i="16"/>
  <c r="BF11" i="16"/>
  <c r="BF10" i="16"/>
  <c r="BF9" i="16"/>
  <c r="BF8" i="16"/>
  <c r="BF7" i="16"/>
  <c r="BF6" i="16"/>
  <c r="BF5" i="16"/>
  <c r="BF4" i="16"/>
  <c r="AV339" i="16"/>
  <c r="AV338" i="16"/>
  <c r="AV337" i="16"/>
  <c r="AV336" i="16"/>
  <c r="AV335" i="16"/>
  <c r="AV334" i="16"/>
  <c r="AV333" i="16"/>
  <c r="AV332" i="16"/>
  <c r="AV331" i="16"/>
  <c r="AV330" i="16"/>
  <c r="AV329" i="16"/>
  <c r="AV328" i="16"/>
  <c r="AV327" i="16"/>
  <c r="AV326" i="16"/>
  <c r="AV325" i="16"/>
  <c r="AV324" i="16"/>
  <c r="AV323" i="16"/>
  <c r="AV322" i="16"/>
  <c r="AV321" i="16"/>
  <c r="AV320" i="16"/>
  <c r="AV319" i="16"/>
  <c r="AV318" i="16"/>
  <c r="AV317" i="16"/>
  <c r="AV316" i="16"/>
  <c r="AV315" i="16"/>
  <c r="AV314" i="16"/>
  <c r="AV313" i="16"/>
  <c r="AV312" i="16"/>
  <c r="AV311" i="16"/>
  <c r="AV310" i="16"/>
  <c r="AV309" i="16"/>
  <c r="AV308" i="16"/>
  <c r="AV307" i="16"/>
  <c r="AV306" i="16"/>
  <c r="AV305" i="16"/>
  <c r="AV304" i="16"/>
  <c r="AV303" i="16"/>
  <c r="AV302" i="16"/>
  <c r="AV301" i="16"/>
  <c r="AV300" i="16"/>
  <c r="AV299" i="16"/>
  <c r="AV298" i="16"/>
  <c r="AV297" i="16"/>
  <c r="AV296" i="16"/>
  <c r="AV295" i="16"/>
  <c r="AV294" i="16"/>
  <c r="AV293" i="16"/>
  <c r="AV292" i="16"/>
  <c r="AV291" i="16"/>
  <c r="AV290" i="16"/>
  <c r="AV289" i="16"/>
  <c r="AV288" i="16"/>
  <c r="AV287" i="16"/>
  <c r="AV286" i="16"/>
  <c r="AV285" i="16"/>
  <c r="AV284" i="16"/>
  <c r="AV283" i="16"/>
  <c r="AV282" i="16"/>
  <c r="AV281" i="16"/>
  <c r="AV280" i="16"/>
  <c r="AV279" i="16"/>
  <c r="AV278" i="16"/>
  <c r="AV277" i="16"/>
  <c r="AV276" i="16"/>
  <c r="AV275" i="16"/>
  <c r="AV274" i="16"/>
  <c r="AV273" i="16"/>
  <c r="AV272" i="16"/>
  <c r="AV271" i="16"/>
  <c r="AV270" i="16"/>
  <c r="AV269" i="16"/>
  <c r="AV268" i="16"/>
  <c r="AV267" i="16"/>
  <c r="AV266" i="16"/>
  <c r="AV265" i="16"/>
  <c r="AV264" i="16"/>
  <c r="AV263" i="16"/>
  <c r="AV262" i="16"/>
  <c r="AV261" i="16"/>
  <c r="AV260" i="16"/>
  <c r="AV259" i="16"/>
  <c r="AV258" i="16"/>
  <c r="AV257" i="16"/>
  <c r="AV256" i="16"/>
  <c r="AV255" i="16"/>
  <c r="AV254" i="16"/>
  <c r="AV253" i="16"/>
  <c r="AV252" i="16"/>
  <c r="AV251" i="16"/>
  <c r="AV250" i="16"/>
  <c r="AV249" i="16"/>
  <c r="AV248" i="16"/>
  <c r="AV247" i="16"/>
  <c r="AV246" i="16"/>
  <c r="AV245" i="16"/>
  <c r="AV244" i="16"/>
  <c r="AV243" i="16"/>
  <c r="AV242" i="16"/>
  <c r="AV241" i="16"/>
  <c r="AV240" i="16"/>
  <c r="AV239" i="16"/>
  <c r="AV238" i="16"/>
  <c r="AV237" i="16"/>
  <c r="AV236" i="16"/>
  <c r="AV235" i="16"/>
  <c r="AV234" i="16"/>
  <c r="AV233" i="16"/>
  <c r="AV232" i="16"/>
  <c r="AV231" i="16"/>
  <c r="AV230" i="16"/>
  <c r="AV229" i="16"/>
  <c r="AV228" i="16"/>
  <c r="AV227" i="16"/>
  <c r="AV226" i="16"/>
  <c r="AV225" i="16"/>
  <c r="AV224" i="16"/>
  <c r="AV223" i="16"/>
  <c r="AV222" i="16"/>
  <c r="AV221" i="16"/>
  <c r="AV220" i="16"/>
  <c r="AV219" i="16"/>
  <c r="AV218" i="16"/>
  <c r="AV217" i="16"/>
  <c r="AV216" i="16"/>
  <c r="AV215" i="16"/>
  <c r="AV214" i="16"/>
  <c r="AV213" i="16"/>
  <c r="AV212" i="16"/>
  <c r="AV211" i="16"/>
  <c r="AV210" i="16"/>
  <c r="AV209" i="16"/>
  <c r="AV208" i="16"/>
  <c r="AV207" i="16"/>
  <c r="AV206" i="16"/>
  <c r="AV205" i="16"/>
  <c r="AV204" i="16"/>
  <c r="AV203" i="16"/>
  <c r="AV202" i="16"/>
  <c r="AV201" i="16"/>
  <c r="AV200" i="16"/>
  <c r="AV199" i="16"/>
  <c r="AV198" i="16"/>
  <c r="AV197" i="16"/>
  <c r="AV196" i="16"/>
  <c r="AU172" i="16"/>
  <c r="AV195" i="16" s="1"/>
  <c r="AV171" i="16"/>
  <c r="AV170" i="16"/>
  <c r="AV169" i="16"/>
  <c r="AV168" i="16"/>
  <c r="AV167" i="16"/>
  <c r="AV166" i="16"/>
  <c r="AV165" i="16"/>
  <c r="AV164" i="16"/>
  <c r="AV163" i="16"/>
  <c r="AV162" i="16"/>
  <c r="AV161" i="16"/>
  <c r="AV160" i="16"/>
  <c r="AV159" i="16"/>
  <c r="AV158" i="16"/>
  <c r="AV157" i="16"/>
  <c r="AV156" i="16"/>
  <c r="AV155" i="16"/>
  <c r="AV154" i="16"/>
  <c r="AV153" i="16"/>
  <c r="AV152" i="16"/>
  <c r="AV151" i="16"/>
  <c r="AV150" i="16"/>
  <c r="AV149" i="16"/>
  <c r="AV148" i="16"/>
  <c r="AV147" i="16"/>
  <c r="AV146" i="16"/>
  <c r="AV145" i="16"/>
  <c r="AV144" i="16"/>
  <c r="AV143" i="16"/>
  <c r="AV142" i="16"/>
  <c r="AV141" i="16"/>
  <c r="AV140" i="16"/>
  <c r="AV139" i="16"/>
  <c r="AV138" i="16"/>
  <c r="AV137" i="16"/>
  <c r="AV136" i="16"/>
  <c r="AV135" i="16"/>
  <c r="AV134" i="16"/>
  <c r="AV133" i="16"/>
  <c r="AV132" i="16"/>
  <c r="AV131" i="16"/>
  <c r="AV130" i="16"/>
  <c r="AV129" i="16"/>
  <c r="AV128" i="16"/>
  <c r="AV127" i="16"/>
  <c r="AV126" i="16"/>
  <c r="AV125" i="16"/>
  <c r="AV124" i="16"/>
  <c r="AV123" i="16"/>
  <c r="AV122" i="16"/>
  <c r="AV121" i="16"/>
  <c r="AV120" i="16"/>
  <c r="AV119" i="16"/>
  <c r="AV118" i="16"/>
  <c r="AV117" i="16"/>
  <c r="AV116" i="16"/>
  <c r="AV115" i="16"/>
  <c r="AV114" i="16"/>
  <c r="AV113" i="16"/>
  <c r="AV112" i="16"/>
  <c r="AV111" i="16"/>
  <c r="AV110" i="16"/>
  <c r="AV109" i="16"/>
  <c r="AV108" i="16"/>
  <c r="AV107" i="16"/>
  <c r="AV106" i="16"/>
  <c r="AV105" i="16"/>
  <c r="AV104" i="16"/>
  <c r="AV103" i="16"/>
  <c r="AV102" i="16"/>
  <c r="AV101" i="16"/>
  <c r="AV100" i="16"/>
  <c r="AV99" i="16"/>
  <c r="AV98" i="16"/>
  <c r="AV97" i="16"/>
  <c r="AV96" i="16"/>
  <c r="AV95" i="16"/>
  <c r="AV94" i="16"/>
  <c r="AV93" i="16"/>
  <c r="AV92" i="16"/>
  <c r="AV91" i="16"/>
  <c r="AV90" i="16"/>
  <c r="AV89" i="16"/>
  <c r="AV88" i="16"/>
  <c r="AV87" i="16"/>
  <c r="AV86" i="16"/>
  <c r="AV85" i="16"/>
  <c r="AV84" i="16"/>
  <c r="AV83" i="16"/>
  <c r="AV82" i="16"/>
  <c r="AV81" i="16"/>
  <c r="AV80" i="16"/>
  <c r="AV79" i="16"/>
  <c r="AV78" i="16"/>
  <c r="AV77" i="16"/>
  <c r="AV76" i="16"/>
  <c r="AV75" i="16"/>
  <c r="AV74" i="16"/>
  <c r="AV73" i="16"/>
  <c r="AV72" i="16"/>
  <c r="AV71" i="16"/>
  <c r="AV70" i="16"/>
  <c r="AV69" i="16"/>
  <c r="AV68" i="16"/>
  <c r="AV67" i="16"/>
  <c r="AV66" i="16"/>
  <c r="AV65" i="16"/>
  <c r="AV64" i="16"/>
  <c r="AV63" i="16"/>
  <c r="AV62" i="16"/>
  <c r="AV61" i="16"/>
  <c r="AV60" i="16"/>
  <c r="AV59" i="16"/>
  <c r="AV58" i="16"/>
  <c r="AV57" i="16"/>
  <c r="AV56" i="16"/>
  <c r="AV55" i="16"/>
  <c r="AV54" i="16"/>
  <c r="AV53" i="16"/>
  <c r="AV52" i="16"/>
  <c r="AV51" i="16"/>
  <c r="AV50" i="16"/>
  <c r="AV49" i="16"/>
  <c r="AV48" i="16"/>
  <c r="AV47" i="16"/>
  <c r="AV46" i="16"/>
  <c r="AV45" i="16"/>
  <c r="AV44" i="16"/>
  <c r="AV43" i="16"/>
  <c r="AV42" i="16"/>
  <c r="AV41" i="16"/>
  <c r="AV40" i="16"/>
  <c r="AV39" i="16"/>
  <c r="AV38" i="16"/>
  <c r="AV37" i="16"/>
  <c r="AV36" i="16"/>
  <c r="AV35" i="16"/>
  <c r="AV34" i="16"/>
  <c r="AV33" i="16"/>
  <c r="AV32" i="16"/>
  <c r="AV31" i="16"/>
  <c r="AV30" i="16"/>
  <c r="AV29" i="16"/>
  <c r="AV28" i="16"/>
  <c r="AV27" i="16"/>
  <c r="AV26" i="16"/>
  <c r="AV25" i="16"/>
  <c r="AV24" i="16"/>
  <c r="AV23" i="16"/>
  <c r="AV22" i="16"/>
  <c r="AV21" i="16"/>
  <c r="AV20" i="16"/>
  <c r="AV19" i="16"/>
  <c r="AV18" i="16"/>
  <c r="AV17" i="16"/>
  <c r="AV16" i="16"/>
  <c r="AV15" i="16"/>
  <c r="AV14" i="16"/>
  <c r="AV13" i="16"/>
  <c r="AV12" i="16"/>
  <c r="AV11" i="16"/>
  <c r="AV10" i="16"/>
  <c r="AV9" i="16"/>
  <c r="AV8" i="16"/>
  <c r="AV7" i="16"/>
  <c r="AV6" i="16"/>
  <c r="AV5" i="16"/>
  <c r="AV4" i="16"/>
  <c r="AA75" i="16" l="1"/>
  <c r="Y76" i="16"/>
  <c r="AQ77" i="16"/>
  <c r="AO78" i="16"/>
  <c r="AG81" i="16"/>
  <c r="AA83" i="16"/>
  <c r="Z87" i="16"/>
  <c r="AD88" i="16"/>
  <c r="AQ91" i="16"/>
  <c r="AC121" i="16"/>
  <c r="AF122" i="16"/>
  <c r="AL136" i="16"/>
  <c r="V166" i="16"/>
  <c r="Y173" i="16"/>
  <c r="AQ178" i="16"/>
  <c r="AG182" i="16"/>
  <c r="AC256" i="16"/>
  <c r="AN75" i="16"/>
  <c r="AK76" i="16"/>
  <c r="AF78" i="16"/>
  <c r="AC79" i="16"/>
  <c r="AK80" i="16"/>
  <c r="AS81" i="16"/>
  <c r="AP82" i="16"/>
  <c r="AI85" i="16"/>
  <c r="AP87" i="16"/>
  <c r="AE91" i="16"/>
  <c r="AI92" i="16"/>
  <c r="AN120" i="16"/>
  <c r="X123" i="16"/>
  <c r="AF124" i="16"/>
  <c r="AI131" i="16"/>
  <c r="AD133" i="16"/>
  <c r="AQ137" i="16"/>
  <c r="Y179" i="16"/>
  <c r="AP126" i="16"/>
  <c r="AE126" i="16"/>
  <c r="AS125" i="16"/>
  <c r="AH125" i="16"/>
  <c r="W125" i="16"/>
  <c r="AK124" i="16"/>
  <c r="Z124" i="16"/>
  <c r="AM126" i="16"/>
  <c r="AC126" i="16"/>
  <c r="AP125" i="16"/>
  <c r="AE125" i="16"/>
  <c r="AS124" i="16"/>
  <c r="AH124" i="16"/>
  <c r="W124" i="16"/>
  <c r="Y75" i="16"/>
  <c r="AI75" i="16"/>
  <c r="V76" i="16"/>
  <c r="AG76" i="16"/>
  <c r="AQ76" i="16"/>
  <c r="AD77" i="16"/>
  <c r="AO77" i="16"/>
  <c r="AA78" i="16"/>
  <c r="AL78" i="16"/>
  <c r="Y79" i="16"/>
  <c r="AI79" i="16"/>
  <c r="V80" i="16"/>
  <c r="AG80" i="16"/>
  <c r="AQ80" i="16"/>
  <c r="AD81" i="16"/>
  <c r="AO81" i="16"/>
  <c r="AA82" i="16"/>
  <c r="AL82" i="16"/>
  <c r="Y83" i="16"/>
  <c r="AI83" i="16"/>
  <c r="AE85" i="16"/>
  <c r="AQ85" i="16"/>
  <c r="AE86" i="16"/>
  <c r="V87" i="16"/>
  <c r="AK87" i="16"/>
  <c r="Z88" i="16"/>
  <c r="AN88" i="16"/>
  <c r="AS89" i="16"/>
  <c r="AI90" i="16"/>
  <c r="Z91" i="16"/>
  <c r="AM91" i="16"/>
  <c r="AD92" i="16"/>
  <c r="AS92" i="16"/>
  <c r="AH120" i="16"/>
  <c r="X121" i="16"/>
  <c r="AM121" i="16"/>
  <c r="AC122" i="16"/>
  <c r="AQ122" i="16"/>
  <c r="AH123" i="16"/>
  <c r="AA124" i="16"/>
  <c r="X125" i="16"/>
  <c r="V126" i="16"/>
  <c r="AQ126" i="16"/>
  <c r="AN127" i="16"/>
  <c r="AL128" i="16"/>
  <c r="AF130" i="16"/>
  <c r="AD131" i="16"/>
  <c r="AA132" i="16"/>
  <c r="X133" i="16"/>
  <c r="AA135" i="16"/>
  <c r="AF136" i="16"/>
  <c r="AK137" i="16"/>
  <c r="AO165" i="16"/>
  <c r="AS166" i="16"/>
  <c r="Z168" i="16"/>
  <c r="AD169" i="16"/>
  <c r="AH170" i="16"/>
  <c r="AN171" i="16"/>
  <c r="AQ172" i="16"/>
  <c r="AC175" i="16"/>
  <c r="AQ176" i="16"/>
  <c r="AG180" i="16"/>
  <c r="AA182" i="16"/>
  <c r="V211" i="16"/>
  <c r="AO212" i="16"/>
  <c r="AI214" i="16"/>
  <c r="AD216" i="16"/>
  <c r="Y218" i="16"/>
  <c r="AL222" i="16"/>
  <c r="AE225" i="16"/>
  <c r="AQ255" i="16"/>
  <c r="AF259" i="16"/>
  <c r="V263" i="16"/>
  <c r="AN267" i="16"/>
  <c r="AQ272" i="16"/>
  <c r="AD307" i="16"/>
  <c r="Z75" i="16"/>
  <c r="AK75" i="16"/>
  <c r="X76" i="16"/>
  <c r="AH76" i="16"/>
  <c r="AS76" i="16"/>
  <c r="AF77" i="16"/>
  <c r="AP77" i="16"/>
  <c r="AC78" i="16"/>
  <c r="AN78" i="16"/>
  <c r="Z79" i="16"/>
  <c r="AK79" i="16"/>
  <c r="X80" i="16"/>
  <c r="AH80" i="16"/>
  <c r="AS80" i="16"/>
  <c r="AF81" i="16"/>
  <c r="AP81" i="16"/>
  <c r="AC82" i="16"/>
  <c r="AN82" i="16"/>
  <c r="Z83" i="16"/>
  <c r="AK83" i="16"/>
  <c r="AG85" i="16"/>
  <c r="AS85" i="16"/>
  <c r="AH86" i="16"/>
  <c r="X87" i="16"/>
  <c r="AL87" i="16"/>
  <c r="AC88" i="16"/>
  <c r="AQ88" i="16"/>
  <c r="AF89" i="16"/>
  <c r="W90" i="16"/>
  <c r="AL90" i="16"/>
  <c r="AA91" i="16"/>
  <c r="AP91" i="16"/>
  <c r="AF92" i="16"/>
  <c r="V120" i="16"/>
  <c r="AK120" i="16"/>
  <c r="AA121" i="16"/>
  <c r="AN121" i="16"/>
  <c r="AE122" i="16"/>
  <c r="V123" i="16"/>
  <c r="AI123" i="16"/>
  <c r="AD124" i="16"/>
  <c r="AA125" i="16"/>
  <c r="X126" i="16"/>
  <c r="V127" i="16"/>
  <c r="AQ127" i="16"/>
  <c r="AN128" i="16"/>
  <c r="AI130" i="16"/>
  <c r="AF131" i="16"/>
  <c r="AD132" i="16"/>
  <c r="AA133" i="16"/>
  <c r="AA134" i="16"/>
  <c r="AF135" i="16"/>
  <c r="AI136" i="16"/>
  <c r="AN137" i="16"/>
  <c r="AS165" i="16"/>
  <c r="Y167" i="16"/>
  <c r="AC168" i="16"/>
  <c r="AH169" i="16"/>
  <c r="AL170" i="16"/>
  <c r="AP171" i="16"/>
  <c r="X173" i="16"/>
  <c r="AA174" i="16"/>
  <c r="AF175" i="16"/>
  <c r="X177" i="16"/>
  <c r="AP178" i="16"/>
  <c r="AK180" i="16"/>
  <c r="AF182" i="16"/>
  <c r="Z211" i="16"/>
  <c r="AS212" i="16"/>
  <c r="AN214" i="16"/>
  <c r="AH216" i="16"/>
  <c r="AC218" i="16"/>
  <c r="Z220" i="16"/>
  <c r="AP222" i="16"/>
  <c r="AJ225" i="16"/>
  <c r="X256" i="16"/>
  <c r="AK259" i="16"/>
  <c r="AC263" i="16"/>
  <c r="V268" i="16"/>
  <c r="AD300" i="16"/>
  <c r="V308" i="16"/>
  <c r="AI76" i="16"/>
  <c r="AD82" i="16"/>
  <c r="AS88" i="16"/>
  <c r="AH92" i="16"/>
  <c r="W123" i="16"/>
  <c r="AF168" i="16"/>
  <c r="AA211" i="16"/>
  <c r="V223" i="16"/>
  <c r="AC268" i="16"/>
  <c r="AS77" i="16"/>
  <c r="X81" i="16"/>
  <c r="AC83" i="16"/>
  <c r="AA87" i="16"/>
  <c r="AN90" i="16"/>
  <c r="AS121" i="16"/>
  <c r="AD125" i="16"/>
  <c r="AG168" i="16"/>
  <c r="Z173" i="16"/>
  <c r="AL182" i="16"/>
  <c r="AN256" i="16"/>
  <c r="AL301" i="16"/>
  <c r="AA76" i="16"/>
  <c r="AI77" i="16"/>
  <c r="AQ78" i="16"/>
  <c r="AL80" i="16"/>
  <c r="V82" i="16"/>
  <c r="AD83" i="16"/>
  <c r="Y86" i="16"/>
  <c r="AH88" i="16"/>
  <c r="W92" i="16"/>
  <c r="AE121" i="16"/>
  <c r="Z123" i="16"/>
  <c r="AI125" i="16"/>
  <c r="X129" i="16"/>
  <c r="AN131" i="16"/>
  <c r="AK134" i="16"/>
  <c r="Z165" i="16"/>
  <c r="AN168" i="16"/>
  <c r="AH173" i="16"/>
  <c r="AO177" i="16"/>
  <c r="Y210" i="16"/>
  <c r="AG215" i="16"/>
  <c r="AA261" i="16"/>
  <c r="AL312" i="16"/>
  <c r="AF75" i="16"/>
  <c r="AP75" i="16"/>
  <c r="AC76" i="16"/>
  <c r="AN76" i="16"/>
  <c r="Z77" i="16"/>
  <c r="AK77" i="16"/>
  <c r="X78" i="16"/>
  <c r="AH78" i="16"/>
  <c r="AS78" i="16"/>
  <c r="AF79" i="16"/>
  <c r="AP79" i="16"/>
  <c r="AC80" i="16"/>
  <c r="AN80" i="16"/>
  <c r="Z81" i="16"/>
  <c r="AK81" i="16"/>
  <c r="X82" i="16"/>
  <c r="AH82" i="16"/>
  <c r="AS82" i="16"/>
  <c r="AF83" i="16"/>
  <c r="AP83" i="16"/>
  <c r="Z85" i="16"/>
  <c r="AM85" i="16"/>
  <c r="AA86" i="16"/>
  <c r="AN86" i="16"/>
  <c r="AE87" i="16"/>
  <c r="V88" i="16"/>
  <c r="Z89" i="16"/>
  <c r="AN89" i="16"/>
  <c r="AD90" i="16"/>
  <c r="AS90" i="16"/>
  <c r="AI91" i="16"/>
  <c r="X92" i="16"/>
  <c r="AM92" i="16"/>
  <c r="AD120" i="16"/>
  <c r="AQ120" i="16"/>
  <c r="AH121" i="16"/>
  <c r="X122" i="16"/>
  <c r="AL122" i="16"/>
  <c r="AC123" i="16"/>
  <c r="AQ123" i="16"/>
  <c r="AN124" i="16"/>
  <c r="AL125" i="16"/>
  <c r="AI126" i="16"/>
  <c r="AF127" i="16"/>
  <c r="AD128" i="16"/>
  <c r="X130" i="16"/>
  <c r="V131" i="16"/>
  <c r="AQ131" i="16"/>
  <c r="AN132" i="16"/>
  <c r="AN133" i="16"/>
  <c r="AO134" i="16"/>
  <c r="AS135" i="16"/>
  <c r="Z137" i="16"/>
  <c r="AD165" i="16"/>
  <c r="AH166" i="16"/>
  <c r="AN167" i="16"/>
  <c r="AQ168" i="16"/>
  <c r="X170" i="16"/>
  <c r="AC171" i="16"/>
  <c r="AG172" i="16"/>
  <c r="AK173" i="16"/>
  <c r="Z176" i="16"/>
  <c r="AS177" i="16"/>
  <c r="AN179" i="16"/>
  <c r="AH181" i="16"/>
  <c r="AC210" i="16"/>
  <c r="X212" i="16"/>
  <c r="AP213" i="16"/>
  <c r="AK215" i="16"/>
  <c r="AF217" i="16"/>
  <c r="AH221" i="16"/>
  <c r="Z224" i="16"/>
  <c r="AC227" i="16"/>
  <c r="AQ257" i="16"/>
  <c r="AF261" i="16"/>
  <c r="AK265" i="16"/>
  <c r="AF270" i="16"/>
  <c r="AQ303" i="16"/>
  <c r="AD313" i="16"/>
  <c r="AL75" i="16"/>
  <c r="V77" i="16"/>
  <c r="AD78" i="16"/>
  <c r="AA79" i="16"/>
  <c r="AI86" i="16"/>
  <c r="X90" i="16"/>
  <c r="AC91" i="16"/>
  <c r="AL120" i="16"/>
  <c r="AP121" i="16"/>
  <c r="AK123" i="16"/>
  <c r="AP128" i="16"/>
  <c r="AP137" i="16"/>
  <c r="AC75" i="16"/>
  <c r="Z76" i="16"/>
  <c r="X77" i="16"/>
  <c r="AP78" i="16"/>
  <c r="AN79" i="16"/>
  <c r="AH81" i="16"/>
  <c r="AF82" i="16"/>
  <c r="X85" i="16"/>
  <c r="X86" i="16"/>
  <c r="AF88" i="16"/>
  <c r="AK89" i="16"/>
  <c r="V92" i="16"/>
  <c r="Z120" i="16"/>
  <c r="AI122" i="16"/>
  <c r="AM123" i="16"/>
  <c r="X127" i="16"/>
  <c r="AF132" i="16"/>
  <c r="X166" i="16"/>
  <c r="AC167" i="16"/>
  <c r="AP170" i="16"/>
  <c r="V172" i="16"/>
  <c r="AF174" i="16"/>
  <c r="AD177" i="16"/>
  <c r="AQ180" i="16"/>
  <c r="AA213" i="16"/>
  <c r="V215" i="16"/>
  <c r="AL220" i="16"/>
  <c r="AD223" i="16"/>
  <c r="AC260" i="16"/>
  <c r="Z264" i="16"/>
  <c r="AL315" i="16"/>
  <c r="AO75" i="16"/>
  <c r="AL76" i="16"/>
  <c r="Y77" i="16"/>
  <c r="V78" i="16"/>
  <c r="AG78" i="16"/>
  <c r="AD79" i="16"/>
  <c r="AO79" i="16"/>
  <c r="AA80" i="16"/>
  <c r="Y81" i="16"/>
  <c r="AI81" i="16"/>
  <c r="AG82" i="16"/>
  <c r="Y85" i="16"/>
  <c r="AK85" i="16"/>
  <c r="AM86" i="16"/>
  <c r="AC87" i="16"/>
  <c r="AQ87" i="16"/>
  <c r="AL89" i="16"/>
  <c r="AP90" i="16"/>
  <c r="AF91" i="16"/>
  <c r="AK92" i="16"/>
  <c r="AA120" i="16"/>
  <c r="AP120" i="16"/>
  <c r="V122" i="16"/>
  <c r="AK122" i="16"/>
  <c r="AN123" i="16"/>
  <c r="AL124" i="16"/>
  <c r="AF126" i="16"/>
  <c r="AD127" i="16"/>
  <c r="AA128" i="16"/>
  <c r="AQ130" i="16"/>
  <c r="AL132" i="16"/>
  <c r="AP135" i="16"/>
  <c r="V137" i="16"/>
  <c r="AF166" i="16"/>
  <c r="AI167" i="16"/>
  <c r="AS169" i="16"/>
  <c r="Y171" i="16"/>
  <c r="AC172" i="16"/>
  <c r="V176" i="16"/>
  <c r="AI179" i="16"/>
  <c r="AD181" i="16"/>
  <c r="AQ211" i="16"/>
  <c r="AL213" i="16"/>
  <c r="AA217" i="16"/>
  <c r="AD221" i="16"/>
  <c r="X227" i="16"/>
  <c r="AK257" i="16"/>
  <c r="AD265" i="16"/>
  <c r="X270" i="16"/>
  <c r="AG303" i="16"/>
  <c r="V75" i="16"/>
  <c r="AG75" i="16"/>
  <c r="AQ75" i="16"/>
  <c r="AD76" i="16"/>
  <c r="AO76" i="16"/>
  <c r="AA77" i="16"/>
  <c r="AL77" i="16"/>
  <c r="Y78" i="16"/>
  <c r="AI78" i="16"/>
  <c r="V79" i="16"/>
  <c r="AG79" i="16"/>
  <c r="AQ79" i="16"/>
  <c r="AD80" i="16"/>
  <c r="AO80" i="16"/>
  <c r="AA81" i="16"/>
  <c r="AL81" i="16"/>
  <c r="Y82" i="16"/>
  <c r="AI82" i="16"/>
  <c r="V83" i="16"/>
  <c r="AG83" i="16"/>
  <c r="AQ83" i="16"/>
  <c r="AA85" i="16"/>
  <c r="AN85" i="16"/>
  <c r="AC86" i="16"/>
  <c r="AP86" i="16"/>
  <c r="AF87" i="16"/>
  <c r="W88" i="16"/>
  <c r="AK88" i="16"/>
  <c r="AA89" i="16"/>
  <c r="AP89" i="16"/>
  <c r="AE90" i="16"/>
  <c r="V91" i="16"/>
  <c r="AK91" i="16"/>
  <c r="Z92" i="16"/>
  <c r="AN92" i="16"/>
  <c r="AE120" i="16"/>
  <c r="AS120" i="16"/>
  <c r="AI121" i="16"/>
  <c r="Z122" i="16"/>
  <c r="AM122" i="16"/>
  <c r="AD123" i="16"/>
  <c r="AS123" i="16"/>
  <c r="AP124" i="16"/>
  <c r="AM125" i="16"/>
  <c r="AK126" i="16"/>
  <c r="AH127" i="16"/>
  <c r="AE128" i="16"/>
  <c r="Z130" i="16"/>
  <c r="W131" i="16"/>
  <c r="AS131" i="16"/>
  <c r="AP132" i="16"/>
  <c r="AO133" i="16"/>
  <c r="AQ134" i="16"/>
  <c r="X136" i="16"/>
  <c r="AA137" i="16"/>
  <c r="AG165" i="16"/>
  <c r="AK166" i="16"/>
  <c r="AO167" i="16"/>
  <c r="V169" i="16"/>
  <c r="Z170" i="16"/>
  <c r="AD171" i="16"/>
  <c r="AI172" i="16"/>
  <c r="AN173" i="16"/>
  <c r="AA176" i="16"/>
  <c r="V178" i="16"/>
  <c r="AO179" i="16"/>
  <c r="AI181" i="16"/>
  <c r="AD210" i="16"/>
  <c r="Y212" i="16"/>
  <c r="AQ213" i="16"/>
  <c r="AL215" i="16"/>
  <c r="AG217" i="16"/>
  <c r="AL221" i="16"/>
  <c r="AD224" i="16"/>
  <c r="AI227" i="16"/>
  <c r="X258" i="16"/>
  <c r="AK261" i="16"/>
  <c r="AS265" i="16"/>
  <c r="AL270" i="16"/>
  <c r="AD304" i="16"/>
  <c r="V314" i="16"/>
  <c r="AG77" i="16"/>
  <c r="AH85" i="16"/>
  <c r="W120" i="16"/>
  <c r="AE124" i="16"/>
  <c r="AA167" i="16"/>
  <c r="V213" i="16"/>
  <c r="AN225" i="16"/>
  <c r="AO300" i="16"/>
  <c r="AH77" i="16"/>
  <c r="Z80" i="16"/>
  <c r="AL86" i="16"/>
  <c r="AD121" i="16"/>
  <c r="AA126" i="16"/>
  <c r="AL130" i="16"/>
  <c r="AN136" i="16"/>
  <c r="AI175" i="16"/>
  <c r="AG211" i="16"/>
  <c r="AA226" i="16"/>
  <c r="X75" i="16"/>
  <c r="AH75" i="16"/>
  <c r="AS75" i="16"/>
  <c r="AF76" i="16"/>
  <c r="AP76" i="16"/>
  <c r="AC77" i="16"/>
  <c r="AN77" i="16"/>
  <c r="Z78" i="16"/>
  <c r="AK78" i="16"/>
  <c r="X79" i="16"/>
  <c r="AH79" i="16"/>
  <c r="AS79" i="16"/>
  <c r="AF80" i="16"/>
  <c r="AP80" i="16"/>
  <c r="AC81" i="16"/>
  <c r="AN81" i="16"/>
  <c r="Z82" i="16"/>
  <c r="AK82" i="16"/>
  <c r="X83" i="16"/>
  <c r="AH83" i="16"/>
  <c r="AD85" i="16"/>
  <c r="AP85" i="16"/>
  <c r="AD86" i="16"/>
  <c r="AS86" i="16"/>
  <c r="AI87" i="16"/>
  <c r="X91" i="16"/>
  <c r="AL91" i="16"/>
  <c r="AC92" i="16"/>
  <c r="AF120" i="16"/>
  <c r="W121" i="16"/>
  <c r="AL121" i="16"/>
  <c r="AA122" i="16"/>
  <c r="AP122" i="16"/>
  <c r="AF123" i="16"/>
  <c r="V124" i="16"/>
  <c r="AQ124" i="16"/>
  <c r="AN125" i="16"/>
  <c r="AL126" i="16"/>
  <c r="AI127" i="16"/>
  <c r="AF128" i="16"/>
  <c r="AA130" i="16"/>
  <c r="X131" i="16"/>
  <c r="V132" i="16"/>
  <c r="AQ132" i="16"/>
  <c r="AP133" i="16"/>
  <c r="AS134" i="16"/>
  <c r="Y136" i="16"/>
  <c r="AC137" i="16"/>
  <c r="AH165" i="16"/>
  <c r="AL166" i="16"/>
  <c r="AP167" i="16"/>
  <c r="X169" i="16"/>
  <c r="AA170" i="16"/>
  <c r="AF171" i="16"/>
  <c r="AK172" i="16"/>
  <c r="AO173" i="16"/>
  <c r="AG176" i="16"/>
  <c r="AA178" i="16"/>
  <c r="V180" i="16"/>
  <c r="AO181" i="16"/>
  <c r="AI210" i="16"/>
  <c r="AD212" i="16"/>
  <c r="Y214" i="16"/>
  <c r="AQ215" i="16"/>
  <c r="AL217" i="16"/>
  <c r="V222" i="16"/>
  <c r="AL224" i="16"/>
  <c r="AS227" i="16"/>
  <c r="AI258" i="16"/>
  <c r="X262" i="16"/>
  <c r="AH266" i="16"/>
  <c r="AC271" i="16"/>
  <c r="AA305" i="16"/>
  <c r="W75" i="16"/>
  <c r="AE75" i="16"/>
  <c r="AM75" i="16"/>
  <c r="W76" i="16"/>
  <c r="AE76" i="16"/>
  <c r="AM76" i="16"/>
  <c r="W77" i="16"/>
  <c r="AE77" i="16"/>
  <c r="AM77" i="16"/>
  <c r="W78" i="16"/>
  <c r="AE78" i="16"/>
  <c r="AM78" i="16"/>
  <c r="W79" i="16"/>
  <c r="AE79" i="16"/>
  <c r="AM79" i="16"/>
  <c r="W80" i="16"/>
  <c r="AE80" i="16"/>
  <c r="AM80" i="16"/>
  <c r="W81" i="16"/>
  <c r="AE81" i="16"/>
  <c r="AM81" i="16"/>
  <c r="W82" i="16"/>
  <c r="AE82" i="16"/>
  <c r="AM82" i="16"/>
  <c r="W83" i="16"/>
  <c r="AE83" i="16"/>
  <c r="AM83" i="16"/>
  <c r="AF85" i="16"/>
  <c r="AO85" i="16"/>
  <c r="Z86" i="16"/>
  <c r="AK86" i="16"/>
  <c r="W87" i="16"/>
  <c r="AH87" i="16"/>
  <c r="AS87" i="16"/>
  <c r="AE88" i="16"/>
  <c r="AP88" i="16"/>
  <c r="AC89" i="16"/>
  <c r="AM89" i="16"/>
  <c r="Z90" i="16"/>
  <c r="AK90" i="16"/>
  <c r="W91" i="16"/>
  <c r="AH91" i="16"/>
  <c r="AS91" i="16"/>
  <c r="AE92" i="16"/>
  <c r="AP92" i="16"/>
  <c r="AC120" i="16"/>
  <c r="AM120" i="16"/>
  <c r="Z121" i="16"/>
  <c r="AK121" i="16"/>
  <c r="W122" i="16"/>
  <c r="AH122" i="16"/>
  <c r="AS122" i="16"/>
  <c r="AE123" i="16"/>
  <c r="AP123" i="16"/>
  <c r="AC124" i="16"/>
  <c r="AM124" i="16"/>
  <c r="Z125" i="16"/>
  <c r="AK125" i="16"/>
  <c r="W126" i="16"/>
  <c r="AH126" i="16"/>
  <c r="AS126" i="16"/>
  <c r="AE127" i="16"/>
  <c r="AP127" i="16"/>
  <c r="AC128" i="16"/>
  <c r="AM128" i="16"/>
  <c r="AH130" i="16"/>
  <c r="AS130" i="16"/>
  <c r="AE131" i="16"/>
  <c r="AP131" i="16"/>
  <c r="AC132" i="16"/>
  <c r="AM132" i="16"/>
  <c r="Z133" i="16"/>
  <c r="AL133" i="16"/>
  <c r="Z134" i="16"/>
  <c r="AN134" i="16"/>
  <c r="AD135" i="16"/>
  <c r="AQ135" i="16"/>
  <c r="AH136" i="16"/>
  <c r="Y137" i="16"/>
  <c r="AL137" i="16"/>
  <c r="AC165" i="16"/>
  <c r="AQ165" i="16"/>
  <c r="AG166" i="16"/>
  <c r="X167" i="16"/>
  <c r="AL167" i="16"/>
  <c r="AA168" i="16"/>
  <c r="AP168" i="16"/>
  <c r="AG169" i="16"/>
  <c r="V170" i="16"/>
  <c r="AK170" i="16"/>
  <c r="AA171" i="16"/>
  <c r="AO171" i="16"/>
  <c r="AF172" i="16"/>
  <c r="V173" i="16"/>
  <c r="AI173" i="16"/>
  <c r="AD175" i="16"/>
  <c r="Y176" i="16"/>
  <c r="V177" i="16"/>
  <c r="AQ177" i="16"/>
  <c r="AO178" i="16"/>
  <c r="AL179" i="16"/>
  <c r="AI180" i="16"/>
  <c r="AG181" i="16"/>
  <c r="AD182" i="16"/>
  <c r="AA210" i="16"/>
  <c r="Y211" i="16"/>
  <c r="V212" i="16"/>
  <c r="AQ212" i="16"/>
  <c r="AO213" i="16"/>
  <c r="AL214" i="16"/>
  <c r="AI215" i="16"/>
  <c r="AG216" i="16"/>
  <c r="AD217" i="16"/>
  <c r="AA218" i="16"/>
  <c r="Y220" i="16"/>
  <c r="AG221" i="16"/>
  <c r="AO222" i="16"/>
  <c r="Y224" i="16"/>
  <c r="AI225" i="16"/>
  <c r="AB227" i="16"/>
  <c r="W256" i="16"/>
  <c r="AP257" i="16"/>
  <c r="AJ259" i="16"/>
  <c r="AE261" i="16"/>
  <c r="AB263" i="16"/>
  <c r="AI265" i="16"/>
  <c r="AS267" i="16"/>
  <c r="AD270" i="16"/>
  <c r="Y300" i="16"/>
  <c r="AL303" i="16"/>
  <c r="AL307" i="16"/>
  <c r="V313" i="16"/>
  <c r="Z127" i="16"/>
  <c r="AK127" i="16"/>
  <c r="W128" i="16"/>
  <c r="AH128" i="16"/>
  <c r="AC130" i="16"/>
  <c r="AM130" i="16"/>
  <c r="Z131" i="16"/>
  <c r="AK131" i="16"/>
  <c r="W132" i="16"/>
  <c r="AH132" i="16"/>
  <c r="AS132" i="16"/>
  <c r="AF133" i="16"/>
  <c r="AR133" i="16"/>
  <c r="AG134" i="16"/>
  <c r="V135" i="16"/>
  <c r="AK135" i="16"/>
  <c r="AA136" i="16"/>
  <c r="AO136" i="16"/>
  <c r="AF137" i="16"/>
  <c r="V165" i="16"/>
  <c r="AI165" i="16"/>
  <c r="Z166" i="16"/>
  <c r="AO166" i="16"/>
  <c r="AD167" i="16"/>
  <c r="AS167" i="16"/>
  <c r="AI168" i="16"/>
  <c r="Y169" i="16"/>
  <c r="AN169" i="16"/>
  <c r="AD170" i="16"/>
  <c r="AQ170" i="16"/>
  <c r="AH171" i="16"/>
  <c r="Y172" i="16"/>
  <c r="AL172" i="16"/>
  <c r="AC173" i="16"/>
  <c r="AQ173" i="16"/>
  <c r="X175" i="16"/>
  <c r="AL175" i="16"/>
  <c r="AI176" i="16"/>
  <c r="AG177" i="16"/>
  <c r="AD178" i="16"/>
  <c r="AA179" i="16"/>
  <c r="Y180" i="16"/>
  <c r="V181" i="16"/>
  <c r="AQ181" i="16"/>
  <c r="AO182" i="16"/>
  <c r="AL210" i="16"/>
  <c r="AI211" i="16"/>
  <c r="AG212" i="16"/>
  <c r="AD213" i="16"/>
  <c r="AA214" i="16"/>
  <c r="Y215" i="16"/>
  <c r="V216" i="16"/>
  <c r="AQ216" i="16"/>
  <c r="AO217" i="16"/>
  <c r="AL218" i="16"/>
  <c r="AO220" i="16"/>
  <c r="Y222" i="16"/>
  <c r="AG223" i="16"/>
  <c r="AO224" i="16"/>
  <c r="AE226" i="16"/>
  <c r="Z255" i="16"/>
  <c r="AR256" i="16"/>
  <c r="AM258" i="16"/>
  <c r="AH260" i="16"/>
  <c r="AB262" i="16"/>
  <c r="AO266" i="16"/>
  <c r="Y269" i="16"/>
  <c r="AH271" i="16"/>
  <c r="AQ301" i="16"/>
  <c r="AG305" i="16"/>
  <c r="AD310" i="16"/>
  <c r="AS317" i="16"/>
  <c r="AK317" i="16"/>
  <c r="AC317" i="16"/>
  <c r="AS316" i="16"/>
  <c r="AK316" i="16"/>
  <c r="AC316" i="16"/>
  <c r="AS315" i="16"/>
  <c r="AK315" i="16"/>
  <c r="AC315" i="16"/>
  <c r="AS314" i="16"/>
  <c r="AK314" i="16"/>
  <c r="AC314" i="16"/>
  <c r="AS313" i="16"/>
  <c r="AK313" i="16"/>
  <c r="AC313" i="16"/>
  <c r="AS312" i="16"/>
  <c r="AK312" i="16"/>
  <c r="AC312" i="16"/>
  <c r="AS311" i="16"/>
  <c r="AK311" i="16"/>
  <c r="AC311" i="16"/>
  <c r="AS310" i="16"/>
  <c r="AK310" i="16"/>
  <c r="AC310" i="16"/>
  <c r="AK308" i="16"/>
  <c r="AC308" i="16"/>
  <c r="AS307" i="16"/>
  <c r="AK307" i="16"/>
  <c r="AC307" i="16"/>
  <c r="AS306" i="16"/>
  <c r="AK306" i="16"/>
  <c r="AR317" i="16"/>
  <c r="AJ317" i="16"/>
  <c r="AB317" i="16"/>
  <c r="AR316" i="16"/>
  <c r="AJ316" i="16"/>
  <c r="AB316" i="16"/>
  <c r="AR315" i="16"/>
  <c r="AJ315" i="16"/>
  <c r="AB315" i="16"/>
  <c r="AR314" i="16"/>
  <c r="AJ314" i="16"/>
  <c r="AB314" i="16"/>
  <c r="AR313" i="16"/>
  <c r="AJ313" i="16"/>
  <c r="AB313" i="16"/>
  <c r="AR312" i="16"/>
  <c r="AJ312" i="16"/>
  <c r="AB312" i="16"/>
  <c r="AR311" i="16"/>
  <c r="AJ311" i="16"/>
  <c r="AB311" i="16"/>
  <c r="AR310" i="16"/>
  <c r="AJ310" i="16"/>
  <c r="AB310" i="16"/>
  <c r="AR308" i="16"/>
  <c r="AJ308" i="16"/>
  <c r="AB308" i="16"/>
  <c r="AR307" i="16"/>
  <c r="AJ307" i="16"/>
  <c r="AB307" i="16"/>
  <c r="AR306" i="16"/>
  <c r="AJ306" i="16"/>
  <c r="AB306" i="16"/>
  <c r="AR305" i="16"/>
  <c r="AJ305" i="16"/>
  <c r="AB305" i="16"/>
  <c r="AR304" i="16"/>
  <c r="AJ304" i="16"/>
  <c r="AB304" i="16"/>
  <c r="AR303" i="16"/>
  <c r="AJ303" i="16"/>
  <c r="AB303" i="16"/>
  <c r="AR302" i="16"/>
  <c r="AJ302" i="16"/>
  <c r="AB302" i="16"/>
  <c r="AR301" i="16"/>
  <c r="AJ301" i="16"/>
  <c r="AB301" i="16"/>
  <c r="AR300" i="16"/>
  <c r="AJ300" i="16"/>
  <c r="AB300" i="16"/>
  <c r="AR272" i="16"/>
  <c r="AJ272" i="16"/>
  <c r="AB272" i="16"/>
  <c r="AR271" i="16"/>
  <c r="AJ271" i="16"/>
  <c r="AB271" i="16"/>
  <c r="AR270" i="16"/>
  <c r="AJ270" i="16"/>
  <c r="AB270" i="16"/>
  <c r="AR269" i="16"/>
  <c r="AJ269" i="16"/>
  <c r="AB269" i="16"/>
  <c r="AR268" i="16"/>
  <c r="AJ268" i="16"/>
  <c r="AB268" i="16"/>
  <c r="AR267" i="16"/>
  <c r="AJ267" i="16"/>
  <c r="AB267" i="16"/>
  <c r="AR266" i="16"/>
  <c r="AJ266" i="16"/>
  <c r="AB266" i="16"/>
  <c r="AR265" i="16"/>
  <c r="AJ265" i="16"/>
  <c r="AB265" i="16"/>
  <c r="AR263" i="16"/>
  <c r="AJ263" i="16"/>
  <c r="AQ317" i="16"/>
  <c r="AI317" i="16"/>
  <c r="AA317" i="16"/>
  <c r="AQ316" i="16"/>
  <c r="AI316" i="16"/>
  <c r="AA316" i="16"/>
  <c r="AQ315" i="16"/>
  <c r="AI315" i="16"/>
  <c r="AA315" i="16"/>
  <c r="AQ314" i="16"/>
  <c r="AI314" i="16"/>
  <c r="AA314" i="16"/>
  <c r="AQ313" i="16"/>
  <c r="AI313" i="16"/>
  <c r="AA313" i="16"/>
  <c r="AQ312" i="16"/>
  <c r="AI312" i="16"/>
  <c r="AA312" i="16"/>
  <c r="AQ311" i="16"/>
  <c r="AI311" i="16"/>
  <c r="AA311" i="16"/>
  <c r="AQ310" i="16"/>
  <c r="AI310" i="16"/>
  <c r="AA310" i="16"/>
  <c r="AQ308" i="16"/>
  <c r="AI308" i="16"/>
  <c r="AA308" i="16"/>
  <c r="AQ307" i="16"/>
  <c r="AI307" i="16"/>
  <c r="AA307" i="16"/>
  <c r="AQ306" i="16"/>
  <c r="AI306" i="16"/>
  <c r="AM317" i="16"/>
  <c r="AE317" i="16"/>
  <c r="W317" i="16"/>
  <c r="AM316" i="16"/>
  <c r="AE316" i="16"/>
  <c r="W316" i="16"/>
  <c r="AM315" i="16"/>
  <c r="AE315" i="16"/>
  <c r="W315" i="16"/>
  <c r="AM314" i="16"/>
  <c r="AE314" i="16"/>
  <c r="W314" i="16"/>
  <c r="AM313" i="16"/>
  <c r="AE313" i="16"/>
  <c r="W313" i="16"/>
  <c r="AM312" i="16"/>
  <c r="AE312" i="16"/>
  <c r="W312" i="16"/>
  <c r="AM311" i="16"/>
  <c r="AE311" i="16"/>
  <c r="W311" i="16"/>
  <c r="AM310" i="16"/>
  <c r="AE310" i="16"/>
  <c r="AM308" i="16"/>
  <c r="AE308" i="16"/>
  <c r="W308" i="16"/>
  <c r="AM307" i="16"/>
  <c r="AE307" i="16"/>
  <c r="W307" i="16"/>
  <c r="AM306" i="16"/>
  <c r="AE306" i="16"/>
  <c r="W306" i="16"/>
  <c r="AM305" i="16"/>
  <c r="AE305" i="16"/>
  <c r="W305" i="16"/>
  <c r="AM304" i="16"/>
  <c r="AE304" i="16"/>
  <c r="W304" i="16"/>
  <c r="AM303" i="16"/>
  <c r="AE303" i="16"/>
  <c r="W303" i="16"/>
  <c r="AM302" i="16"/>
  <c r="AE302" i="16"/>
  <c r="W302" i="16"/>
  <c r="AM301" i="16"/>
  <c r="AE301" i="16"/>
  <c r="W301" i="16"/>
  <c r="AM300" i="16"/>
  <c r="AE300" i="16"/>
  <c r="W300" i="16"/>
  <c r="AM272" i="16"/>
  <c r="AE272" i="16"/>
  <c r="W272" i="16"/>
  <c r="AM271" i="16"/>
  <c r="AE271" i="16"/>
  <c r="W271" i="16"/>
  <c r="AM270" i="16"/>
  <c r="AE270" i="16"/>
  <c r="W270" i="16"/>
  <c r="AM269" i="16"/>
  <c r="AE269" i="16"/>
  <c r="W269" i="16"/>
  <c r="AM268" i="16"/>
  <c r="AE268" i="16"/>
  <c r="W268" i="16"/>
  <c r="AM267" i="16"/>
  <c r="AE267" i="16"/>
  <c r="W267" i="16"/>
  <c r="AM266" i="16"/>
  <c r="AE266" i="16"/>
  <c r="W266" i="16"/>
  <c r="AM265" i="16"/>
  <c r="AE265" i="16"/>
  <c r="AM263" i="16"/>
  <c r="AE263" i="16"/>
  <c r="W263" i="16"/>
  <c r="AM262" i="16"/>
  <c r="AP317" i="16"/>
  <c r="Z317" i="16"/>
  <c r="AH316" i="16"/>
  <c r="AP315" i="16"/>
  <c r="Z315" i="16"/>
  <c r="AH314" i="16"/>
  <c r="AP313" i="16"/>
  <c r="Z313" i="16"/>
  <c r="AH312" i="16"/>
  <c r="AP311" i="16"/>
  <c r="Z311" i="16"/>
  <c r="AH310" i="16"/>
  <c r="AH308" i="16"/>
  <c r="AP307" i="16"/>
  <c r="Z307" i="16"/>
  <c r="AH306" i="16"/>
  <c r="X306" i="16"/>
  <c r="AK305" i="16"/>
  <c r="Z305" i="16"/>
  <c r="AN304" i="16"/>
  <c r="AC304" i="16"/>
  <c r="AP303" i="16"/>
  <c r="AF303" i="16"/>
  <c r="AS302" i="16"/>
  <c r="AH302" i="16"/>
  <c r="X302" i="16"/>
  <c r="AK301" i="16"/>
  <c r="Z301" i="16"/>
  <c r="AN300" i="16"/>
  <c r="AC300" i="16"/>
  <c r="AP272" i="16"/>
  <c r="AF272" i="16"/>
  <c r="AS271" i="16"/>
  <c r="AO317" i="16"/>
  <c r="Y317" i="16"/>
  <c r="AG316" i="16"/>
  <c r="AO315" i="16"/>
  <c r="Y315" i="16"/>
  <c r="AG314" i="16"/>
  <c r="AO313" i="16"/>
  <c r="Y313" i="16"/>
  <c r="AG312" i="16"/>
  <c r="AO311" i="16"/>
  <c r="Y311" i="16"/>
  <c r="AG310" i="16"/>
  <c r="Y309" i="16"/>
  <c r="AG308" i="16"/>
  <c r="AO307" i="16"/>
  <c r="Y307" i="16"/>
  <c r="AG306" i="16"/>
  <c r="V306" i="16"/>
  <c r="AI305" i="16"/>
  <c r="Y305" i="16"/>
  <c r="AL304" i="16"/>
  <c r="AA304" i="16"/>
  <c r="AO303" i="16"/>
  <c r="AD303" i="16"/>
  <c r="AQ302" i="16"/>
  <c r="AG302" i="16"/>
  <c r="V302" i="16"/>
  <c r="AI301" i="16"/>
  <c r="Y301" i="16"/>
  <c r="AL300" i="16"/>
  <c r="AA300" i="16"/>
  <c r="AO272" i="16"/>
  <c r="AD272" i="16"/>
  <c r="AQ271" i="16"/>
  <c r="AG271" i="16"/>
  <c r="V271" i="16"/>
  <c r="AI270" i="16"/>
  <c r="Y270" i="16"/>
  <c r="AL269" i="16"/>
  <c r="AA269" i="16"/>
  <c r="AO268" i="16"/>
  <c r="AD268" i="16"/>
  <c r="AQ267" i="16"/>
  <c r="AG267" i="16"/>
  <c r="V267" i="16"/>
  <c r="AI266" i="16"/>
  <c r="Y266" i="16"/>
  <c r="AL265" i="16"/>
  <c r="AA265" i="16"/>
  <c r="AQ263" i="16"/>
  <c r="AG263" i="16"/>
  <c r="X263" i="16"/>
  <c r="AL262" i="16"/>
  <c r="AD262" i="16"/>
  <c r="V262" i="16"/>
  <c r="AL261" i="16"/>
  <c r="AD261" i="16"/>
  <c r="V261" i="16"/>
  <c r="AL260" i="16"/>
  <c r="AD260" i="16"/>
  <c r="V260" i="16"/>
  <c r="AL259" i="16"/>
  <c r="AD259" i="16"/>
  <c r="V259" i="16"/>
  <c r="AL258" i="16"/>
  <c r="AD258" i="16"/>
  <c r="V258" i="16"/>
  <c r="AL257" i="16"/>
  <c r="AD257" i="16"/>
  <c r="V257" i="16"/>
  <c r="AL256" i="16"/>
  <c r="AD256" i="16"/>
  <c r="V256" i="16"/>
  <c r="AL255" i="16"/>
  <c r="AD255" i="16"/>
  <c r="V255" i="16"/>
  <c r="AL227" i="16"/>
  <c r="AD227" i="16"/>
  <c r="V227" i="16"/>
  <c r="AL226" i="16"/>
  <c r="AD226" i="16"/>
  <c r="V226" i="16"/>
  <c r="AN317" i="16"/>
  <c r="X317" i="16"/>
  <c r="AF316" i="16"/>
  <c r="AN315" i="16"/>
  <c r="X315" i="16"/>
  <c r="AF314" i="16"/>
  <c r="AN313" i="16"/>
  <c r="X313" i="16"/>
  <c r="AF312" i="16"/>
  <c r="AN311" i="16"/>
  <c r="X311" i="16"/>
  <c r="AF310" i="16"/>
  <c r="AF308" i="16"/>
  <c r="AN307" i="16"/>
  <c r="X307" i="16"/>
  <c r="AF306" i="16"/>
  <c r="AS305" i="16"/>
  <c r="AH305" i="16"/>
  <c r="X305" i="16"/>
  <c r="AK304" i="16"/>
  <c r="Z304" i="16"/>
  <c r="AN303" i="16"/>
  <c r="AC303" i="16"/>
  <c r="AP302" i="16"/>
  <c r="AF302" i="16"/>
  <c r="AS301" i="16"/>
  <c r="AH301" i="16"/>
  <c r="X301" i="16"/>
  <c r="AK300" i="16"/>
  <c r="Z300" i="16"/>
  <c r="AN272" i="16"/>
  <c r="AC272" i="16"/>
  <c r="AP271" i="16"/>
  <c r="AF317" i="16"/>
  <c r="AN316" i="16"/>
  <c r="X316" i="16"/>
  <c r="AF315" i="16"/>
  <c r="AN314" i="16"/>
  <c r="X314" i="16"/>
  <c r="AF313" i="16"/>
  <c r="AN312" i="16"/>
  <c r="X312" i="16"/>
  <c r="AF311" i="16"/>
  <c r="AN310" i="16"/>
  <c r="X310" i="16"/>
  <c r="AN308" i="16"/>
  <c r="X308" i="16"/>
  <c r="AF307" i="16"/>
  <c r="AN306" i="16"/>
  <c r="Z306" i="16"/>
  <c r="AN305" i="16"/>
  <c r="AC305" i="16"/>
  <c r="AP304" i="16"/>
  <c r="AF304" i="16"/>
  <c r="AS303" i="16"/>
  <c r="AH303" i="16"/>
  <c r="X303" i="16"/>
  <c r="AK302" i="16"/>
  <c r="Z302" i="16"/>
  <c r="AN301" i="16"/>
  <c r="AC301" i="16"/>
  <c r="AP300" i="16"/>
  <c r="AF300" i="16"/>
  <c r="AS272" i="16"/>
  <c r="AH272" i="16"/>
  <c r="X272" i="16"/>
  <c r="AK271" i="16"/>
  <c r="Z271" i="16"/>
  <c r="AN270" i="16"/>
  <c r="AC270" i="16"/>
  <c r="AP269" i="16"/>
  <c r="AF269" i="16"/>
  <c r="AS268" i="16"/>
  <c r="AH268" i="16"/>
  <c r="X268" i="16"/>
  <c r="AK267" i="16"/>
  <c r="Z267" i="16"/>
  <c r="AN266" i="16"/>
  <c r="AC266" i="16"/>
  <c r="AP265" i="16"/>
  <c r="AF265" i="16"/>
  <c r="AK263" i="16"/>
  <c r="AA263" i="16"/>
  <c r="AP262" i="16"/>
  <c r="AG262" i="16"/>
  <c r="Y262" i="16"/>
  <c r="AO261" i="16"/>
  <c r="AG261" i="16"/>
  <c r="Y261" i="16"/>
  <c r="AO260" i="16"/>
  <c r="AG260" i="16"/>
  <c r="Y260" i="16"/>
  <c r="AO259" i="16"/>
  <c r="AG259" i="16"/>
  <c r="Y259" i="16"/>
  <c r="AO258" i="16"/>
  <c r="AG258" i="16"/>
  <c r="Y258" i="16"/>
  <c r="AO257" i="16"/>
  <c r="AG257" i="16"/>
  <c r="Y257" i="16"/>
  <c r="AO256" i="16"/>
  <c r="AG256" i="16"/>
  <c r="Y256" i="16"/>
  <c r="AO255" i="16"/>
  <c r="AG255" i="16"/>
  <c r="Y255" i="16"/>
  <c r="AO227" i="16"/>
  <c r="AG227" i="16"/>
  <c r="Y227" i="16"/>
  <c r="AO226" i="16"/>
  <c r="AG226" i="16"/>
  <c r="Y226" i="16"/>
  <c r="AO225" i="16"/>
  <c r="AG225" i="16"/>
  <c r="Y225" i="16"/>
  <c r="AL317" i="16"/>
  <c r="AD316" i="16"/>
  <c r="V315" i="16"/>
  <c r="AL313" i="16"/>
  <c r="AD312" i="16"/>
  <c r="V311" i="16"/>
  <c r="AD308" i="16"/>
  <c r="V307" i="16"/>
  <c r="AQ305" i="16"/>
  <c r="V305" i="16"/>
  <c r="Y304" i="16"/>
  <c r="AA303" i="16"/>
  <c r="AD302" i="16"/>
  <c r="AG301" i="16"/>
  <c r="AI300" i="16"/>
  <c r="AL272" i="16"/>
  <c r="AO271" i="16"/>
  <c r="AA271" i="16"/>
  <c r="AK270" i="16"/>
  <c r="V270" i="16"/>
  <c r="AG269" i="16"/>
  <c r="AP268" i="16"/>
  <c r="AA268" i="16"/>
  <c r="AL267" i="16"/>
  <c r="X267" i="16"/>
  <c r="AG266" i="16"/>
  <c r="AQ265" i="16"/>
  <c r="AC265" i="16"/>
  <c r="Y264" i="16"/>
  <c r="AH263" i="16"/>
  <c r="AS262" i="16"/>
  <c r="AH262" i="16"/>
  <c r="W262" i="16"/>
  <c r="AJ261" i="16"/>
  <c r="Z261" i="16"/>
  <c r="AM260" i="16"/>
  <c r="AB260" i="16"/>
  <c r="AP259" i="16"/>
  <c r="AE259" i="16"/>
  <c r="AR258" i="16"/>
  <c r="AH258" i="16"/>
  <c r="W258" i="16"/>
  <c r="AJ257" i="16"/>
  <c r="Z257" i="16"/>
  <c r="AM256" i="16"/>
  <c r="AB256" i="16"/>
  <c r="AP255" i="16"/>
  <c r="AE255" i="16"/>
  <c r="AR227" i="16"/>
  <c r="AH227" i="16"/>
  <c r="W227" i="16"/>
  <c r="AJ226" i="16"/>
  <c r="Z226" i="16"/>
  <c r="AM225" i="16"/>
  <c r="AD225" i="16"/>
  <c r="AS224" i="16"/>
  <c r="AK224" i="16"/>
  <c r="AC224" i="16"/>
  <c r="AS223" i="16"/>
  <c r="AK223" i="16"/>
  <c r="AC223" i="16"/>
  <c r="AS222" i="16"/>
  <c r="AK222" i="16"/>
  <c r="AC222" i="16"/>
  <c r="AS221" i="16"/>
  <c r="AK221" i="16"/>
  <c r="AC221" i="16"/>
  <c r="AS220" i="16"/>
  <c r="AK220" i="16"/>
  <c r="AC220" i="16"/>
  <c r="AH317" i="16"/>
  <c r="Z316" i="16"/>
  <c r="AP314" i="16"/>
  <c r="AH313" i="16"/>
  <c r="Z312" i="16"/>
  <c r="AP310" i="16"/>
  <c r="Z308" i="16"/>
  <c r="AP306" i="16"/>
  <c r="AP305" i="16"/>
  <c r="AS304" i="16"/>
  <c r="X304" i="16"/>
  <c r="Z303" i="16"/>
  <c r="AC302" i="16"/>
  <c r="AF301" i="16"/>
  <c r="AH300" i="16"/>
  <c r="AK272" i="16"/>
  <c r="AN271" i="16"/>
  <c r="Y271" i="16"/>
  <c r="AH270" i="16"/>
  <c r="AS269" i="16"/>
  <c r="AD269" i="16"/>
  <c r="AN268" i="16"/>
  <c r="Z268" i="16"/>
  <c r="AI267" i="16"/>
  <c r="AS266" i="16"/>
  <c r="AF266" i="16"/>
  <c r="AO265" i="16"/>
  <c r="Z265" i="16"/>
  <c r="AF263" i="16"/>
  <c r="AR262" i="16"/>
  <c r="AF262" i="16"/>
  <c r="AS261" i="16"/>
  <c r="AI261" i="16"/>
  <c r="X261" i="16"/>
  <c r="AK260" i="16"/>
  <c r="AA260" i="16"/>
  <c r="AN259" i="16"/>
  <c r="AC259" i="16"/>
  <c r="AQ258" i="16"/>
  <c r="AF258" i="16"/>
  <c r="AS257" i="16"/>
  <c r="AI257" i="16"/>
  <c r="X257" i="16"/>
  <c r="AK256" i="16"/>
  <c r="AA256" i="16"/>
  <c r="AN255" i="16"/>
  <c r="AC255" i="16"/>
  <c r="AQ227" i="16"/>
  <c r="AF227" i="16"/>
  <c r="AS226" i="16"/>
  <c r="AI226" i="16"/>
  <c r="X226" i="16"/>
  <c r="AL225" i="16"/>
  <c r="AC225" i="16"/>
  <c r="AR224" i="16"/>
  <c r="AJ224" i="16"/>
  <c r="AB224" i="16"/>
  <c r="AR223" i="16"/>
  <c r="AJ223" i="16"/>
  <c r="AB223" i="16"/>
  <c r="AR222" i="16"/>
  <c r="AJ222" i="16"/>
  <c r="AB222" i="16"/>
  <c r="AR221" i="16"/>
  <c r="AJ221" i="16"/>
  <c r="AB221" i="16"/>
  <c r="AR220" i="16"/>
  <c r="AJ220" i="16"/>
  <c r="AB220" i="16"/>
  <c r="AR218" i="16"/>
  <c r="AJ218" i="16"/>
  <c r="AB218" i="16"/>
  <c r="AR217" i="16"/>
  <c r="AJ217" i="16"/>
  <c r="AB217" i="16"/>
  <c r="AR216" i="16"/>
  <c r="AJ216" i="16"/>
  <c r="AB216" i="16"/>
  <c r="AR215" i="16"/>
  <c r="AJ215" i="16"/>
  <c r="AB215" i="16"/>
  <c r="AR214" i="16"/>
  <c r="AJ214" i="16"/>
  <c r="AB214" i="16"/>
  <c r="AR213" i="16"/>
  <c r="AJ213" i="16"/>
  <c r="AB213" i="16"/>
  <c r="AR212" i="16"/>
  <c r="AJ212" i="16"/>
  <c r="AB212" i="16"/>
  <c r="AR211" i="16"/>
  <c r="AJ211" i="16"/>
  <c r="AB211" i="16"/>
  <c r="AR210" i="16"/>
  <c r="AJ210" i="16"/>
  <c r="AB210" i="16"/>
  <c r="AR182" i="16"/>
  <c r="AJ182" i="16"/>
  <c r="AB182" i="16"/>
  <c r="AR181" i="16"/>
  <c r="AJ181" i="16"/>
  <c r="AB181" i="16"/>
  <c r="AR180" i="16"/>
  <c r="AJ180" i="16"/>
  <c r="AB180" i="16"/>
  <c r="AR179" i="16"/>
  <c r="AJ179" i="16"/>
  <c r="AB179" i="16"/>
  <c r="AR178" i="16"/>
  <c r="AJ178" i="16"/>
  <c r="AB178" i="16"/>
  <c r="AR177" i="16"/>
  <c r="AJ177" i="16"/>
  <c r="AB177" i="16"/>
  <c r="AR176" i="16"/>
  <c r="AJ176" i="16"/>
  <c r="AB176" i="16"/>
  <c r="AR175" i="16"/>
  <c r="AJ175" i="16"/>
  <c r="AB175" i="16"/>
  <c r="AR173" i="16"/>
  <c r="AJ173" i="16"/>
  <c r="AB173" i="16"/>
  <c r="AR172" i="16"/>
  <c r="AJ172" i="16"/>
  <c r="AB172" i="16"/>
  <c r="AR171" i="16"/>
  <c r="AJ171" i="16"/>
  <c r="AB171" i="16"/>
  <c r="AR170" i="16"/>
  <c r="AJ170" i="16"/>
  <c r="AB170" i="16"/>
  <c r="AR169" i="16"/>
  <c r="AJ169" i="16"/>
  <c r="AB169" i="16"/>
  <c r="AR168" i="16"/>
  <c r="AJ168" i="16"/>
  <c r="AB168" i="16"/>
  <c r="AR167" i="16"/>
  <c r="AJ167" i="16"/>
  <c r="AB167" i="16"/>
  <c r="AR166" i="16"/>
  <c r="AJ166" i="16"/>
  <c r="AB166" i="16"/>
  <c r="AR165" i="16"/>
  <c r="AJ165" i="16"/>
  <c r="AB165" i="16"/>
  <c r="AR137" i="16"/>
  <c r="AJ137" i="16"/>
  <c r="AB137" i="16"/>
  <c r="AR136" i="16"/>
  <c r="AJ136" i="16"/>
  <c r="AB136" i="16"/>
  <c r="AR135" i="16"/>
  <c r="AJ135" i="16"/>
  <c r="AB135" i="16"/>
  <c r="AR134" i="16"/>
  <c r="AJ134" i="16"/>
  <c r="AG317" i="16"/>
  <c r="Y316" i="16"/>
  <c r="AO314" i="16"/>
  <c r="AG313" i="16"/>
  <c r="Y312" i="16"/>
  <c r="AO310" i="16"/>
  <c r="AG309" i="16"/>
  <c r="Y308" i="16"/>
  <c r="AO306" i="16"/>
  <c r="AO305" i="16"/>
  <c r="AQ304" i="16"/>
  <c r="V304" i="16"/>
  <c r="Y303" i="16"/>
  <c r="AA302" i="16"/>
  <c r="AD301" i="16"/>
  <c r="AG300" i="16"/>
  <c r="AI272" i="16"/>
  <c r="AL271" i="16"/>
  <c r="X271" i="16"/>
  <c r="AG270" i="16"/>
  <c r="AQ269" i="16"/>
  <c r="AC269" i="16"/>
  <c r="AL268" i="16"/>
  <c r="Y268" i="16"/>
  <c r="AH267" i="16"/>
  <c r="AQ266" i="16"/>
  <c r="AD266" i="16"/>
  <c r="AN265" i="16"/>
  <c r="Y265" i="16"/>
  <c r="AS263" i="16"/>
  <c r="AD263" i="16"/>
  <c r="AQ262" i="16"/>
  <c r="AE262" i="16"/>
  <c r="AR261" i="16"/>
  <c r="AH261" i="16"/>
  <c r="W261" i="16"/>
  <c r="AJ260" i="16"/>
  <c r="Z260" i="16"/>
  <c r="AM259" i="16"/>
  <c r="AB259" i="16"/>
  <c r="AP258" i="16"/>
  <c r="AE258" i="16"/>
  <c r="AR257" i="16"/>
  <c r="AH257" i="16"/>
  <c r="W257" i="16"/>
  <c r="AJ256" i="16"/>
  <c r="Z256" i="16"/>
  <c r="AM255" i="16"/>
  <c r="AB255" i="16"/>
  <c r="AP227" i="16"/>
  <c r="AE227" i="16"/>
  <c r="AR226" i="16"/>
  <c r="AH226" i="16"/>
  <c r="W226" i="16"/>
  <c r="AK225" i="16"/>
  <c r="AB225" i="16"/>
  <c r="AQ224" i="16"/>
  <c r="AI224" i="16"/>
  <c r="AA224" i="16"/>
  <c r="AQ223" i="16"/>
  <c r="AI223" i="16"/>
  <c r="AA223" i="16"/>
  <c r="AQ222" i="16"/>
  <c r="AI222" i="16"/>
  <c r="AA222" i="16"/>
  <c r="AQ221" i="16"/>
  <c r="AI221" i="16"/>
  <c r="AA221" i="16"/>
  <c r="AQ220" i="16"/>
  <c r="AI220" i="16"/>
  <c r="AA220" i="16"/>
  <c r="AO316" i="16"/>
  <c r="AG315" i="16"/>
  <c r="Y314" i="16"/>
  <c r="AO312" i="16"/>
  <c r="AG311" i="16"/>
  <c r="Y310" i="16"/>
  <c r="AO308" i="16"/>
  <c r="AG307" i="16"/>
  <c r="AA306" i="16"/>
  <c r="AD305" i="16"/>
  <c r="AG304" i="16"/>
  <c r="AI303" i="16"/>
  <c r="AL302" i="16"/>
  <c r="AO301" i="16"/>
  <c r="AQ300" i="16"/>
  <c r="V300" i="16"/>
  <c r="Y272" i="16"/>
  <c r="AD271" i="16"/>
  <c r="AO270" i="16"/>
  <c r="Z270" i="16"/>
  <c r="AI269" i="16"/>
  <c r="V269" i="16"/>
  <c r="AF268" i="16"/>
  <c r="AO267" i="16"/>
  <c r="AA267" i="16"/>
  <c r="AK266" i="16"/>
  <c r="V266" i="16"/>
  <c r="AG265" i="16"/>
  <c r="AA264" i="16"/>
  <c r="AL263" i="16"/>
  <c r="Y263" i="16"/>
  <c r="AJ262" i="16"/>
  <c r="Z262" i="16"/>
  <c r="AM261" i="16"/>
  <c r="AB261" i="16"/>
  <c r="AP260" i="16"/>
  <c r="AE260" i="16"/>
  <c r="AR259" i="16"/>
  <c r="AH259" i="16"/>
  <c r="W259" i="16"/>
  <c r="AJ258" i="16"/>
  <c r="Z258" i="16"/>
  <c r="AM257" i="16"/>
  <c r="AB257" i="16"/>
  <c r="AP256" i="16"/>
  <c r="AE256" i="16"/>
  <c r="AR255" i="16"/>
  <c r="AH255" i="16"/>
  <c r="W255" i="16"/>
  <c r="AJ227" i="16"/>
  <c r="Z227" i="16"/>
  <c r="AM226" i="16"/>
  <c r="AB226" i="16"/>
  <c r="AP225" i="16"/>
  <c r="AF225" i="16"/>
  <c r="W225" i="16"/>
  <c r="AM224" i="16"/>
  <c r="AE224" i="16"/>
  <c r="W224" i="16"/>
  <c r="AM223" i="16"/>
  <c r="AE223" i="16"/>
  <c r="W223" i="16"/>
  <c r="AM222" i="16"/>
  <c r="AE222" i="16"/>
  <c r="W222" i="16"/>
  <c r="AM221" i="16"/>
  <c r="AE221" i="16"/>
  <c r="W221" i="16"/>
  <c r="AM220" i="16"/>
  <c r="AE220" i="16"/>
  <c r="AM218" i="16"/>
  <c r="AE218" i="16"/>
  <c r="W218" i="16"/>
  <c r="AM217" i="16"/>
  <c r="AE217" i="16"/>
  <c r="W217" i="16"/>
  <c r="AM216" i="16"/>
  <c r="AE216" i="16"/>
  <c r="W216" i="16"/>
  <c r="AM215" i="16"/>
  <c r="AE215" i="16"/>
  <c r="W215" i="16"/>
  <c r="AM214" i="16"/>
  <c r="AE214" i="16"/>
  <c r="W214" i="16"/>
  <c r="AM213" i="16"/>
  <c r="AE213" i="16"/>
  <c r="W213" i="16"/>
  <c r="AM212" i="16"/>
  <c r="AE212" i="16"/>
  <c r="W212" i="16"/>
  <c r="AM211" i="16"/>
  <c r="AE211" i="16"/>
  <c r="W211" i="16"/>
  <c r="AM210" i="16"/>
  <c r="AE210" i="16"/>
  <c r="W210" i="16"/>
  <c r="AM182" i="16"/>
  <c r="AE182" i="16"/>
  <c r="W182" i="16"/>
  <c r="AM181" i="16"/>
  <c r="AE181" i="16"/>
  <c r="W181" i="16"/>
  <c r="AM180" i="16"/>
  <c r="AE180" i="16"/>
  <c r="W180" i="16"/>
  <c r="AM179" i="16"/>
  <c r="AE179" i="16"/>
  <c r="W179" i="16"/>
  <c r="AM178" i="16"/>
  <c r="AE178" i="16"/>
  <c r="W178" i="16"/>
  <c r="AM177" i="16"/>
  <c r="AE177" i="16"/>
  <c r="W177" i="16"/>
  <c r="AM176" i="16"/>
  <c r="AE176" i="16"/>
  <c r="W176" i="16"/>
  <c r="AM175" i="16"/>
  <c r="AE175" i="16"/>
  <c r="AM173" i="16"/>
  <c r="AE173" i="16"/>
  <c r="W173" i="16"/>
  <c r="AM172" i="16"/>
  <c r="AE172" i="16"/>
  <c r="W172" i="16"/>
  <c r="AM171" i="16"/>
  <c r="AE171" i="16"/>
  <c r="W171" i="16"/>
  <c r="AM170" i="16"/>
  <c r="AE170" i="16"/>
  <c r="W170" i="16"/>
  <c r="AM169" i="16"/>
  <c r="AE169" i="16"/>
  <c r="W169" i="16"/>
  <c r="AM168" i="16"/>
  <c r="AE168" i="16"/>
  <c r="W168" i="16"/>
  <c r="AM167" i="16"/>
  <c r="AE167" i="16"/>
  <c r="W167" i="16"/>
  <c r="AM166" i="16"/>
  <c r="AE166" i="16"/>
  <c r="W166" i="16"/>
  <c r="AM165" i="16"/>
  <c r="AE165" i="16"/>
  <c r="W165" i="16"/>
  <c r="AM137" i="16"/>
  <c r="AE137" i="16"/>
  <c r="W137" i="16"/>
  <c r="AM136" i="16"/>
  <c r="AE136" i="16"/>
  <c r="W136" i="16"/>
  <c r="AM135" i="16"/>
  <c r="AE135" i="16"/>
  <c r="W135" i="16"/>
  <c r="AM134" i="16"/>
  <c r="AE134" i="16"/>
  <c r="W134" i="16"/>
  <c r="AM133" i="16"/>
  <c r="AE133" i="16"/>
  <c r="AD317" i="16"/>
  <c r="AL314" i="16"/>
  <c r="V312" i="16"/>
  <c r="AD309" i="16"/>
  <c r="AL306" i="16"/>
  <c r="AO304" i="16"/>
  <c r="V303" i="16"/>
  <c r="AA301" i="16"/>
  <c r="AG272" i="16"/>
  <c r="AS270" i="16"/>
  <c r="AO269" i="16"/>
  <c r="AK268" i="16"/>
  <c r="AF267" i="16"/>
  <c r="AA266" i="16"/>
  <c r="X265" i="16"/>
  <c r="AP263" i="16"/>
  <c r="AO262" i="16"/>
  <c r="AQ261" i="16"/>
  <c r="AS260" i="16"/>
  <c r="X260" i="16"/>
  <c r="AA259" i="16"/>
  <c r="AC258" i="16"/>
  <c r="AF257" i="16"/>
  <c r="AI256" i="16"/>
  <c r="AK255" i="16"/>
  <c r="AN227" i="16"/>
  <c r="AQ226" i="16"/>
  <c r="AS225" i="16"/>
  <c r="AA225" i="16"/>
  <c r="AH224" i="16"/>
  <c r="AP223" i="16"/>
  <c r="Z223" i="16"/>
  <c r="AH222" i="16"/>
  <c r="AP221" i="16"/>
  <c r="Z221" i="16"/>
  <c r="AH220" i="16"/>
  <c r="AH218" i="16"/>
  <c r="X218" i="16"/>
  <c r="AK217" i="16"/>
  <c r="Z217" i="16"/>
  <c r="AN216" i="16"/>
  <c r="AC216" i="16"/>
  <c r="AP215" i="16"/>
  <c r="AF215" i="16"/>
  <c r="AS214" i="16"/>
  <c r="AH214" i="16"/>
  <c r="X214" i="16"/>
  <c r="AK213" i="16"/>
  <c r="Z213" i="16"/>
  <c r="AN212" i="16"/>
  <c r="AC212" i="16"/>
  <c r="AP211" i="16"/>
  <c r="AF211" i="16"/>
  <c r="AS210" i="16"/>
  <c r="AH210" i="16"/>
  <c r="X210" i="16"/>
  <c r="AK182" i="16"/>
  <c r="Z182" i="16"/>
  <c r="AN181" i="16"/>
  <c r="AC181" i="16"/>
  <c r="AP180" i="16"/>
  <c r="AF180" i="16"/>
  <c r="AS179" i="16"/>
  <c r="AH179" i="16"/>
  <c r="X179" i="16"/>
  <c r="AK178" i="16"/>
  <c r="Z178" i="16"/>
  <c r="AN177" i="16"/>
  <c r="AC177" i="16"/>
  <c r="AP176" i="16"/>
  <c r="AF176" i="16"/>
  <c r="AS175" i="16"/>
  <c r="V317" i="16"/>
  <c r="AD314" i="16"/>
  <c r="AL311" i="16"/>
  <c r="AD306" i="16"/>
  <c r="AI304" i="16"/>
  <c r="AO302" i="16"/>
  <c r="V301" i="16"/>
  <c r="AA272" i="16"/>
  <c r="AQ270" i="16"/>
  <c r="AN269" i="16"/>
  <c r="AI268" i="16"/>
  <c r="AD267" i="16"/>
  <c r="Z266" i="16"/>
  <c r="AO263" i="16"/>
  <c r="AN262" i="16"/>
  <c r="AP261" i="16"/>
  <c r="AR260" i="16"/>
  <c r="W260" i="16"/>
  <c r="Z259" i="16"/>
  <c r="AB258" i="16"/>
  <c r="AE257" i="16"/>
  <c r="AH256" i="16"/>
  <c r="AJ255" i="16"/>
  <c r="AM227" i="16"/>
  <c r="AP226" i="16"/>
  <c r="AR225" i="16"/>
  <c r="Z225" i="16"/>
  <c r="AG224" i="16"/>
  <c r="AO223" i="16"/>
  <c r="Y223" i="16"/>
  <c r="AG222" i="16"/>
  <c r="AO221" i="16"/>
  <c r="Y221" i="16"/>
  <c r="AG220" i="16"/>
  <c r="AQ218" i="16"/>
  <c r="AG218" i="16"/>
  <c r="V218" i="16"/>
  <c r="AI217" i="16"/>
  <c r="Y217" i="16"/>
  <c r="AL216" i="16"/>
  <c r="AA216" i="16"/>
  <c r="AO215" i="16"/>
  <c r="AD215" i="16"/>
  <c r="AQ214" i="16"/>
  <c r="AG214" i="16"/>
  <c r="V214" i="16"/>
  <c r="AI213" i="16"/>
  <c r="Y213" i="16"/>
  <c r="AL212" i="16"/>
  <c r="AA212" i="16"/>
  <c r="AO211" i="16"/>
  <c r="AD211" i="16"/>
  <c r="AQ210" i="16"/>
  <c r="AG210" i="16"/>
  <c r="V210" i="16"/>
  <c r="AI182" i="16"/>
  <c r="Y182" i="16"/>
  <c r="AL181" i="16"/>
  <c r="AA181" i="16"/>
  <c r="AO180" i="16"/>
  <c r="AD180" i="16"/>
  <c r="AQ179" i="16"/>
  <c r="AG179" i="16"/>
  <c r="V179" i="16"/>
  <c r="AI178" i="16"/>
  <c r="Y178" i="16"/>
  <c r="AL177" i="16"/>
  <c r="AA177" i="16"/>
  <c r="AO176" i="16"/>
  <c r="AD176" i="16"/>
  <c r="AQ175" i="16"/>
  <c r="AG175" i="16"/>
  <c r="AL173" i="16"/>
  <c r="AA173" i="16"/>
  <c r="AO172" i="16"/>
  <c r="AD172" i="16"/>
  <c r="AQ171" i="16"/>
  <c r="AG171" i="16"/>
  <c r="V171" i="16"/>
  <c r="AI170" i="16"/>
  <c r="Y170" i="16"/>
  <c r="AL169" i="16"/>
  <c r="AA169" i="16"/>
  <c r="AO168" i="16"/>
  <c r="AD168" i="16"/>
  <c r="AQ167" i="16"/>
  <c r="AG167" i="16"/>
  <c r="V167" i="16"/>
  <c r="AI166" i="16"/>
  <c r="Y166" i="16"/>
  <c r="AL165" i="16"/>
  <c r="AA165" i="16"/>
  <c r="AO137" i="16"/>
  <c r="AD137" i="16"/>
  <c r="AQ136" i="16"/>
  <c r="AG136" i="16"/>
  <c r="V136" i="16"/>
  <c r="AI135" i="16"/>
  <c r="Y135" i="16"/>
  <c r="AL134" i="16"/>
  <c r="AB134" i="16"/>
  <c r="AQ133" i="16"/>
  <c r="AH133" i="16"/>
  <c r="Y133" i="16"/>
  <c r="AO132" i="16"/>
  <c r="AG132" i="16"/>
  <c r="Y132" i="16"/>
  <c r="AO131" i="16"/>
  <c r="AG131" i="16"/>
  <c r="Y131" i="16"/>
  <c r="AO130" i="16"/>
  <c r="AG130" i="16"/>
  <c r="Y130" i="16"/>
  <c r="AO128" i="16"/>
  <c r="AG128" i="16"/>
  <c r="Y128" i="16"/>
  <c r="AO127" i="16"/>
  <c r="AG127" i="16"/>
  <c r="Y127" i="16"/>
  <c r="AO126" i="16"/>
  <c r="AG126" i="16"/>
  <c r="Y126" i="16"/>
  <c r="AO125" i="16"/>
  <c r="AG125" i="16"/>
  <c r="Y125" i="16"/>
  <c r="AO124" i="16"/>
  <c r="AG124" i="16"/>
  <c r="Y124" i="16"/>
  <c r="AO123" i="16"/>
  <c r="AG123" i="16"/>
  <c r="Y123" i="16"/>
  <c r="AO122" i="16"/>
  <c r="AG122" i="16"/>
  <c r="Y122" i="16"/>
  <c r="AO121" i="16"/>
  <c r="AG121" i="16"/>
  <c r="Y121" i="16"/>
  <c r="AO120" i="16"/>
  <c r="AG120" i="16"/>
  <c r="Y120" i="16"/>
  <c r="AO92" i="16"/>
  <c r="AG92" i="16"/>
  <c r="Y92" i="16"/>
  <c r="AO91" i="16"/>
  <c r="AG91" i="16"/>
  <c r="Y91" i="16"/>
  <c r="AO90" i="16"/>
  <c r="AG90" i="16"/>
  <c r="Y90" i="16"/>
  <c r="AO89" i="16"/>
  <c r="AG89" i="16"/>
  <c r="Y89" i="16"/>
  <c r="AO88" i="16"/>
  <c r="AG88" i="16"/>
  <c r="Y88" i="16"/>
  <c r="AO87" i="16"/>
  <c r="AG87" i="16"/>
  <c r="Y87" i="16"/>
  <c r="AO86" i="16"/>
  <c r="AG86" i="16"/>
  <c r="AP316" i="16"/>
  <c r="Z314" i="16"/>
  <c r="AH311" i="16"/>
  <c r="AP308" i="16"/>
  <c r="AC306" i="16"/>
  <c r="AH304" i="16"/>
  <c r="AN302" i="16"/>
  <c r="AS300" i="16"/>
  <c r="Z272" i="16"/>
  <c r="AP270" i="16"/>
  <c r="AK269" i="16"/>
  <c r="AG268" i="16"/>
  <c r="AC267" i="16"/>
  <c r="X266" i="16"/>
  <c r="AN263" i="16"/>
  <c r="AK262" i="16"/>
  <c r="AN261" i="16"/>
  <c r="AQ260" i="16"/>
  <c r="AS259" i="16"/>
  <c r="X259" i="16"/>
  <c r="AA258" i="16"/>
  <c r="AC257" i="16"/>
  <c r="AF256" i="16"/>
  <c r="AI255" i="16"/>
  <c r="AK227" i="16"/>
  <c r="AN226" i="16"/>
  <c r="AQ225" i="16"/>
  <c r="X225" i="16"/>
  <c r="AF224" i="16"/>
  <c r="AN223" i="16"/>
  <c r="X223" i="16"/>
  <c r="AF222" i="16"/>
  <c r="AN221" i="16"/>
  <c r="X221" i="16"/>
  <c r="AF220" i="16"/>
  <c r="AP218" i="16"/>
  <c r="AF218" i="16"/>
  <c r="AS217" i="16"/>
  <c r="AH217" i="16"/>
  <c r="X217" i="16"/>
  <c r="AK216" i="16"/>
  <c r="Z216" i="16"/>
  <c r="AN215" i="16"/>
  <c r="AC215" i="16"/>
  <c r="AP214" i="16"/>
  <c r="AF214" i="16"/>
  <c r="AS213" i="16"/>
  <c r="AH213" i="16"/>
  <c r="X213" i="16"/>
  <c r="AK212" i="16"/>
  <c r="Z212" i="16"/>
  <c r="AN211" i="16"/>
  <c r="AC211" i="16"/>
  <c r="AP210" i="16"/>
  <c r="AF210" i="16"/>
  <c r="AS182" i="16"/>
  <c r="AH182" i="16"/>
  <c r="X182" i="16"/>
  <c r="AK181" i="16"/>
  <c r="Z181" i="16"/>
  <c r="AN180" i="16"/>
  <c r="AC180" i="16"/>
  <c r="AP179" i="16"/>
  <c r="AF179" i="16"/>
  <c r="AS178" i="16"/>
  <c r="AH178" i="16"/>
  <c r="X178" i="16"/>
  <c r="AK177" i="16"/>
  <c r="Z177" i="16"/>
  <c r="AN176" i="16"/>
  <c r="AC176" i="16"/>
  <c r="AP175" i="16"/>
  <c r="AH315" i="16"/>
  <c r="AP312" i="16"/>
  <c r="Z310" i="16"/>
  <c r="AH307" i="16"/>
  <c r="AF305" i="16"/>
  <c r="AK303" i="16"/>
  <c r="AP301" i="16"/>
  <c r="X300" i="16"/>
  <c r="AF271" i="16"/>
  <c r="AA270" i="16"/>
  <c r="X269" i="16"/>
  <c r="AP267" i="16"/>
  <c r="AL266" i="16"/>
  <c r="AH265" i="16"/>
  <c r="Z263" i="16"/>
  <c r="AA262" i="16"/>
  <c r="AC261" i="16"/>
  <c r="AF260" i="16"/>
  <c r="AI259" i="16"/>
  <c r="AK258" i="16"/>
  <c r="AN257" i="16"/>
  <c r="AQ256" i="16"/>
  <c r="AS255" i="16"/>
  <c r="X255" i="16"/>
  <c r="AA227" i="16"/>
  <c r="AC226" i="16"/>
  <c r="AH225" i="16"/>
  <c r="AN224" i="16"/>
  <c r="X224" i="16"/>
  <c r="AF223" i="16"/>
  <c r="AN222" i="16"/>
  <c r="X222" i="16"/>
  <c r="AF221" i="16"/>
  <c r="AN220" i="16"/>
  <c r="X220" i="16"/>
  <c r="AK218" i="16"/>
  <c r="Z218" i="16"/>
  <c r="AN217" i="16"/>
  <c r="AC217" i="16"/>
  <c r="AP216" i="16"/>
  <c r="AF216" i="16"/>
  <c r="AS215" i="16"/>
  <c r="AH215" i="16"/>
  <c r="X215" i="16"/>
  <c r="AK214" i="16"/>
  <c r="Z214" i="16"/>
  <c r="AN213" i="16"/>
  <c r="AC213" i="16"/>
  <c r="AP212" i="16"/>
  <c r="AF212" i="16"/>
  <c r="AS211" i="16"/>
  <c r="AH211" i="16"/>
  <c r="X211" i="16"/>
  <c r="AK210" i="16"/>
  <c r="Z210" i="16"/>
  <c r="AN182" i="16"/>
  <c r="AC182" i="16"/>
  <c r="AP181" i="16"/>
  <c r="AF181" i="16"/>
  <c r="AS180" i="16"/>
  <c r="AH180" i="16"/>
  <c r="X180" i="16"/>
  <c r="AK179" i="16"/>
  <c r="Z179" i="16"/>
  <c r="AN178" i="16"/>
  <c r="AC178" i="16"/>
  <c r="AP177" i="16"/>
  <c r="AF177" i="16"/>
  <c r="AS176" i="16"/>
  <c r="AH176" i="16"/>
  <c r="X176" i="16"/>
  <c r="AK175" i="16"/>
  <c r="Z175" i="16"/>
  <c r="AP173" i="16"/>
  <c r="AF173" i="16"/>
  <c r="AS172" i="16"/>
  <c r="AH172" i="16"/>
  <c r="X172" i="16"/>
  <c r="AK171" i="16"/>
  <c r="Z171" i="16"/>
  <c r="AN170" i="16"/>
  <c r="AC170" i="16"/>
  <c r="AP169" i="16"/>
  <c r="AF169" i="16"/>
  <c r="AS168" i="16"/>
  <c r="AH168" i="16"/>
  <c r="X168" i="16"/>
  <c r="AK167" i="16"/>
  <c r="Z167" i="16"/>
  <c r="AN166" i="16"/>
  <c r="AC166" i="16"/>
  <c r="AP165" i="16"/>
  <c r="AF165" i="16"/>
  <c r="AS137" i="16"/>
  <c r="AH137" i="16"/>
  <c r="X137" i="16"/>
  <c r="AK136" i="16"/>
  <c r="Z136" i="16"/>
  <c r="AN135" i="16"/>
  <c r="AC135" i="16"/>
  <c r="AP134" i="16"/>
  <c r="AF134" i="16"/>
  <c r="V134" i="16"/>
  <c r="AK133" i="16"/>
  <c r="AB133" i="16"/>
  <c r="AR132" i="16"/>
  <c r="AJ132" i="16"/>
  <c r="AB132" i="16"/>
  <c r="AR131" i="16"/>
  <c r="AJ131" i="16"/>
  <c r="AB131" i="16"/>
  <c r="AR130" i="16"/>
  <c r="AJ130" i="16"/>
  <c r="AB130" i="16"/>
  <c r="AR128" i="16"/>
  <c r="AJ128" i="16"/>
  <c r="AB128" i="16"/>
  <c r="AR127" i="16"/>
  <c r="AJ127" i="16"/>
  <c r="AB127" i="16"/>
  <c r="AR126" i="16"/>
  <c r="AJ126" i="16"/>
  <c r="AB126" i="16"/>
  <c r="AR125" i="16"/>
  <c r="AJ125" i="16"/>
  <c r="AB125" i="16"/>
  <c r="AR124" i="16"/>
  <c r="AJ124" i="16"/>
  <c r="AB124" i="16"/>
  <c r="AR123" i="16"/>
  <c r="AJ123" i="16"/>
  <c r="AB123" i="16"/>
  <c r="AR122" i="16"/>
  <c r="AJ122" i="16"/>
  <c r="AB122" i="16"/>
  <c r="AR121" i="16"/>
  <c r="AJ121" i="16"/>
  <c r="AB121" i="16"/>
  <c r="AR120" i="16"/>
  <c r="AJ120" i="16"/>
  <c r="AB120" i="16"/>
  <c r="AR92" i="16"/>
  <c r="AJ92" i="16"/>
  <c r="AB92" i="16"/>
  <c r="AR91" i="16"/>
  <c r="AJ91" i="16"/>
  <c r="AB91" i="16"/>
  <c r="AR90" i="16"/>
  <c r="AJ90" i="16"/>
  <c r="AB90" i="16"/>
  <c r="AR89" i="16"/>
  <c r="AJ89" i="16"/>
  <c r="AB89" i="16"/>
  <c r="AR88" i="16"/>
  <c r="AJ88" i="16"/>
  <c r="AB88" i="16"/>
  <c r="AR87" i="16"/>
  <c r="AJ87" i="16"/>
  <c r="AB87" i="16"/>
  <c r="AR86" i="16"/>
  <c r="AJ86" i="16"/>
  <c r="AB86" i="16"/>
  <c r="AR85" i="16"/>
  <c r="AJ85" i="16"/>
  <c r="AB85" i="16"/>
  <c r="AB75" i="16"/>
  <c r="AJ75" i="16"/>
  <c r="AR75" i="16"/>
  <c r="AB76" i="16"/>
  <c r="AJ76" i="16"/>
  <c r="AR76" i="16"/>
  <c r="AB77" i="16"/>
  <c r="AJ77" i="16"/>
  <c r="AR77" i="16"/>
  <c r="AB78" i="16"/>
  <c r="AJ78" i="16"/>
  <c r="AR78" i="16"/>
  <c r="AB79" i="16"/>
  <c r="AJ79" i="16"/>
  <c r="AR79" i="16"/>
  <c r="AB80" i="16"/>
  <c r="AJ80" i="16"/>
  <c r="AR80" i="16"/>
  <c r="AB81" i="16"/>
  <c r="AJ81" i="16"/>
  <c r="AR81" i="16"/>
  <c r="AB82" i="16"/>
  <c r="AJ82" i="16"/>
  <c r="AR82" i="16"/>
  <c r="AB83" i="16"/>
  <c r="AJ83" i="16"/>
  <c r="AR83" i="16"/>
  <c r="AC85" i="16"/>
  <c r="AL85" i="16"/>
  <c r="W86" i="16"/>
  <c r="AF86" i="16"/>
  <c r="AQ86" i="16"/>
  <c r="AD87" i="16"/>
  <c r="AN87" i="16"/>
  <c r="AA88" i="16"/>
  <c r="AL88" i="16"/>
  <c r="X89" i="16"/>
  <c r="AI89" i="16"/>
  <c r="V90" i="16"/>
  <c r="AF90" i="16"/>
  <c r="AQ90" i="16"/>
  <c r="AD91" i="16"/>
  <c r="AN91" i="16"/>
  <c r="AA92" i="16"/>
  <c r="AL92" i="16"/>
  <c r="X120" i="16"/>
  <c r="AI120" i="16"/>
  <c r="V121" i="16"/>
  <c r="AF121" i="16"/>
  <c r="AQ121" i="16"/>
  <c r="AD122" i="16"/>
  <c r="AN122" i="16"/>
  <c r="AA123" i="16"/>
  <c r="AL123" i="16"/>
  <c r="X124" i="16"/>
  <c r="AI124" i="16"/>
  <c r="V125" i="16"/>
  <c r="AF125" i="16"/>
  <c r="AQ125" i="16"/>
  <c r="AD126" i="16"/>
  <c r="AN126" i="16"/>
  <c r="AA127" i="16"/>
  <c r="AL127" i="16"/>
  <c r="X128" i="16"/>
  <c r="AI128" i="16"/>
  <c r="AD130" i="16"/>
  <c r="AN130" i="16"/>
  <c r="AA131" i="16"/>
  <c r="AL131" i="16"/>
  <c r="X132" i="16"/>
  <c r="AI132" i="16"/>
  <c r="V133" i="16"/>
  <c r="AG133" i="16"/>
  <c r="AS133" i="16"/>
  <c r="AH134" i="16"/>
  <c r="X135" i="16"/>
  <c r="AL135" i="16"/>
  <c r="AC136" i="16"/>
  <c r="AP136" i="16"/>
  <c r="AG137" i="16"/>
  <c r="X165" i="16"/>
  <c r="AK165" i="16"/>
  <c r="AA166" i="16"/>
  <c r="AP166" i="16"/>
  <c r="AF167" i="16"/>
  <c r="V168" i="16"/>
  <c r="AK168" i="16"/>
  <c r="Z169" i="16"/>
  <c r="AO169" i="16"/>
  <c r="AF170" i="16"/>
  <c r="AS170" i="16"/>
  <c r="AI171" i="16"/>
  <c r="Z172" i="16"/>
  <c r="AN172" i="16"/>
  <c r="AD173" i="16"/>
  <c r="AS173" i="16"/>
  <c r="AH174" i="16"/>
  <c r="Y175" i="16"/>
  <c r="AN175" i="16"/>
  <c r="AK176" i="16"/>
  <c r="AH177" i="16"/>
  <c r="AF178" i="16"/>
  <c r="AC179" i="16"/>
  <c r="Z180" i="16"/>
  <c r="X181" i="16"/>
  <c r="AS181" i="16"/>
  <c r="AP182" i="16"/>
  <c r="AN210" i="16"/>
  <c r="AK211" i="16"/>
  <c r="AH212" i="16"/>
  <c r="AF213" i="16"/>
  <c r="AC214" i="16"/>
  <c r="Z215" i="16"/>
  <c r="X216" i="16"/>
  <c r="AS216" i="16"/>
  <c r="AP217" i="16"/>
  <c r="AN218" i="16"/>
  <c r="AP220" i="16"/>
  <c r="Z222" i="16"/>
  <c r="AH223" i="16"/>
  <c r="AP224" i="16"/>
  <c r="AF226" i="16"/>
  <c r="AA255" i="16"/>
  <c r="AS256" i="16"/>
  <c r="AN258" i="16"/>
  <c r="AI260" i="16"/>
  <c r="AC262" i="16"/>
  <c r="AG264" i="16"/>
  <c r="AP266" i="16"/>
  <c r="Z269" i="16"/>
  <c r="AI271" i="16"/>
  <c r="Y302" i="16"/>
  <c r="AL305" i="16"/>
  <c r="AL310" i="16"/>
  <c r="V316" i="16"/>
  <c r="AC127" i="16"/>
  <c r="AM127" i="16"/>
  <c r="Z128" i="16"/>
  <c r="AK128" i="16"/>
  <c r="AE130" i="16"/>
  <c r="AP130" i="16"/>
  <c r="AC131" i="16"/>
  <c r="AM131" i="16"/>
  <c r="Z132" i="16"/>
  <c r="AK132" i="16"/>
  <c r="W133" i="16"/>
  <c r="AI133" i="16"/>
  <c r="X134" i="16"/>
  <c r="AI134" i="16"/>
  <c r="Z135" i="16"/>
  <c r="AO135" i="16"/>
  <c r="AD136" i="16"/>
  <c r="AS136" i="16"/>
  <c r="AI137" i="16"/>
  <c r="Y165" i="16"/>
  <c r="AN165" i="16"/>
  <c r="AD166" i="16"/>
  <c r="AQ166" i="16"/>
  <c r="AH167" i="16"/>
  <c r="Y168" i="16"/>
  <c r="AL168" i="16"/>
  <c r="AC169" i="16"/>
  <c r="AQ169" i="16"/>
  <c r="AG170" i="16"/>
  <c r="X171" i="16"/>
  <c r="AL171" i="16"/>
  <c r="AA172" i="16"/>
  <c r="AP172" i="16"/>
  <c r="AG173" i="16"/>
  <c r="AA175" i="16"/>
  <c r="AO175" i="16"/>
  <c r="AL176" i="16"/>
  <c r="AI177" i="16"/>
  <c r="AG178" i="16"/>
  <c r="AD179" i="16"/>
  <c r="AA180" i="16"/>
  <c r="Y181" i="16"/>
  <c r="V182" i="16"/>
  <c r="AQ182" i="16"/>
  <c r="AO210" i="16"/>
  <c r="AL211" i="16"/>
  <c r="AI212" i="16"/>
  <c r="AG213" i="16"/>
  <c r="AD214" i="16"/>
  <c r="AA215" i="16"/>
  <c r="Y216" i="16"/>
  <c r="V217" i="16"/>
  <c r="AQ217" i="16"/>
  <c r="AO218" i="16"/>
  <c r="V221" i="16"/>
  <c r="AD222" i="16"/>
  <c r="AL223" i="16"/>
  <c r="V225" i="16"/>
  <c r="AK226" i="16"/>
  <c r="AF255" i="16"/>
  <c r="AA257" i="16"/>
  <c r="AS258" i="16"/>
  <c r="AN260" i="16"/>
  <c r="AI262" i="16"/>
  <c r="Y267" i="16"/>
  <c r="AH269" i="16"/>
  <c r="V272" i="16"/>
  <c r="AI302" i="16"/>
  <c r="Y306" i="16"/>
  <c r="AD311" i="16"/>
  <c r="AL316" i="16"/>
  <c r="X38" i="16"/>
  <c r="AB35" i="16"/>
  <c r="AK36" i="16"/>
  <c r="AD36" i="16"/>
  <c r="W38" i="16"/>
  <c r="AQ34" i="16"/>
  <c r="AP41" i="16"/>
  <c r="AQ44" i="16"/>
  <c r="W37" i="16"/>
  <c r="Y40" i="16"/>
  <c r="AL47" i="16"/>
  <c r="AJ35" i="16"/>
  <c r="AN38" i="16"/>
  <c r="AI44" i="16"/>
  <c r="AE38" i="16"/>
  <c r="AC36" i="16"/>
  <c r="X40" i="16"/>
  <c r="AI33" i="16"/>
  <c r="AI34" i="16"/>
  <c r="AR35" i="16"/>
  <c r="AL37" i="16"/>
  <c r="AP42" i="16"/>
  <c r="AF38" i="16"/>
  <c r="AM38" i="16"/>
  <c r="AS36" i="16"/>
  <c r="X41" i="16"/>
  <c r="AM30" i="16"/>
  <c r="Y32" i="16"/>
  <c r="AH33" i="16"/>
  <c r="AF30" i="16"/>
  <c r="AO31" i="16"/>
  <c r="AA33" i="16"/>
  <c r="AJ34" i="16"/>
  <c r="AS35" i="16"/>
  <c r="AE37" i="16"/>
  <c r="Y42" i="16"/>
  <c r="V36" i="16"/>
  <c r="Z31" i="16"/>
  <c r="AI32" i="16"/>
  <c r="AR33" i="16"/>
  <c r="AD35" i="16"/>
  <c r="AM36" i="16"/>
  <c r="Y38" i="16"/>
  <c r="AE40" i="16"/>
  <c r="AB45" i="16"/>
  <c r="AH30" i="16"/>
  <c r="AQ31" i="16"/>
  <c r="AC33" i="16"/>
  <c r="AL34" i="16"/>
  <c r="X36" i="16"/>
  <c r="AG37" i="16"/>
  <c r="AP38" i="16"/>
  <c r="AF40" i="16"/>
  <c r="AJ45" i="16"/>
  <c r="AC46" i="16"/>
  <c r="AK46" i="16"/>
  <c r="V30" i="16"/>
  <c r="V38" i="16"/>
  <c r="AA30" i="16"/>
  <c r="AI30" i="16"/>
  <c r="AQ30" i="16"/>
  <c r="AB31" i="16"/>
  <c r="AJ31" i="16"/>
  <c r="AR31" i="16"/>
  <c r="AC32" i="16"/>
  <c r="AK32" i="16"/>
  <c r="AS32" i="16"/>
  <c r="AD33" i="16"/>
  <c r="AL33" i="16"/>
  <c r="W34" i="16"/>
  <c r="AE34" i="16"/>
  <c r="AM34" i="16"/>
  <c r="X35" i="16"/>
  <c r="AF35" i="16"/>
  <c r="AN35" i="16"/>
  <c r="Y36" i="16"/>
  <c r="AG36" i="16"/>
  <c r="AO36" i="16"/>
  <c r="Z37" i="16"/>
  <c r="AH37" i="16"/>
  <c r="AP37" i="16"/>
  <c r="AA38" i="16"/>
  <c r="AI38" i="16"/>
  <c r="AQ38" i="16"/>
  <c r="AG40" i="16"/>
  <c r="AG41" i="16"/>
  <c r="AG42" i="16"/>
  <c r="AB43" i="16"/>
  <c r="AR45" i="16"/>
  <c r="W30" i="16"/>
  <c r="AF31" i="16"/>
  <c r="AO32" i="16"/>
  <c r="AA34" i="16"/>
  <c r="V35" i="16"/>
  <c r="Y31" i="16"/>
  <c r="AH32" i="16"/>
  <c r="AQ33" i="16"/>
  <c r="AC35" i="16"/>
  <c r="AL36" i="16"/>
  <c r="AM37" i="16"/>
  <c r="AQ42" i="16"/>
  <c r="Y30" i="16"/>
  <c r="AH31" i="16"/>
  <c r="AQ32" i="16"/>
  <c r="AC34" i="16"/>
  <c r="AL35" i="16"/>
  <c r="X37" i="16"/>
  <c r="AG38" i="16"/>
  <c r="Z41" i="16"/>
  <c r="Z30" i="16"/>
  <c r="AI31" i="16"/>
  <c r="AR32" i="16"/>
  <c r="AD34" i="16"/>
  <c r="AM35" i="16"/>
  <c r="Y37" i="16"/>
  <c r="AH38" i="16"/>
  <c r="AF41" i="16"/>
  <c r="AN47" i="16"/>
  <c r="V31" i="16"/>
  <c r="AB30" i="16"/>
  <c r="AJ30" i="16"/>
  <c r="AR30" i="16"/>
  <c r="AC31" i="16"/>
  <c r="AK31" i="16"/>
  <c r="AS31" i="16"/>
  <c r="AD32" i="16"/>
  <c r="AL32" i="16"/>
  <c r="W33" i="16"/>
  <c r="AE33" i="16"/>
  <c r="AM33" i="16"/>
  <c r="X34" i="16"/>
  <c r="AF34" i="16"/>
  <c r="AN34" i="16"/>
  <c r="Y35" i="16"/>
  <c r="AG35" i="16"/>
  <c r="AO35" i="16"/>
  <c r="Z36" i="16"/>
  <c r="AH36" i="16"/>
  <c r="AP36" i="16"/>
  <c r="AA37" i="16"/>
  <c r="AI37" i="16"/>
  <c r="AQ37" i="16"/>
  <c r="AB38" i="16"/>
  <c r="AJ38" i="16"/>
  <c r="AR38" i="16"/>
  <c r="AM40" i="16"/>
  <c r="AH41" i="16"/>
  <c r="AH42" i="16"/>
  <c r="AH43" i="16"/>
  <c r="AS46" i="16"/>
  <c r="AE30" i="16"/>
  <c r="AN31" i="16"/>
  <c r="Z33" i="16"/>
  <c r="AD37" i="16"/>
  <c r="X30" i="16"/>
  <c r="AG31" i="16"/>
  <c r="AP32" i="16"/>
  <c r="AB34" i="16"/>
  <c r="AK35" i="16"/>
  <c r="Y41" i="16"/>
  <c r="AO30" i="16"/>
  <c r="AA32" i="16"/>
  <c r="AJ33" i="16"/>
  <c r="AS34" i="16"/>
  <c r="AE36" i="16"/>
  <c r="AN37" i="16"/>
  <c r="Z43" i="16"/>
  <c r="AP30" i="16"/>
  <c r="AB32" i="16"/>
  <c r="AK33" i="16"/>
  <c r="W35" i="16"/>
  <c r="AF36" i="16"/>
  <c r="AO37" i="16"/>
  <c r="AA43" i="16"/>
  <c r="V32" i="16"/>
  <c r="AC30" i="16"/>
  <c r="AK30" i="16"/>
  <c r="AS30" i="16"/>
  <c r="AD31" i="16"/>
  <c r="AL31" i="16"/>
  <c r="W32" i="16"/>
  <c r="AE32" i="16"/>
  <c r="AM32" i="16"/>
  <c r="X33" i="16"/>
  <c r="AF33" i="16"/>
  <c r="AN33" i="16"/>
  <c r="Y34" i="16"/>
  <c r="AG34" i="16"/>
  <c r="AO34" i="16"/>
  <c r="Z35" i="16"/>
  <c r="AH35" i="16"/>
  <c r="AP35" i="16"/>
  <c r="AA36" i="16"/>
  <c r="AI36" i="16"/>
  <c r="AQ36" i="16"/>
  <c r="AB37" i="16"/>
  <c r="AJ37" i="16"/>
  <c r="AR37" i="16"/>
  <c r="AC38" i="16"/>
  <c r="AK38" i="16"/>
  <c r="AN40" i="16"/>
  <c r="AN41" i="16"/>
  <c r="AI42" i="16"/>
  <c r="AP43" i="16"/>
  <c r="AD47" i="16"/>
  <c r="V34" i="16"/>
  <c r="X31" i="16"/>
  <c r="AG32" i="16"/>
  <c r="AP33" i="16"/>
  <c r="AN30" i="16"/>
  <c r="Z32" i="16"/>
  <c r="AR34" i="16"/>
  <c r="AG30" i="16"/>
  <c r="AP31" i="16"/>
  <c r="AB33" i="16"/>
  <c r="AK34" i="16"/>
  <c r="W36" i="16"/>
  <c r="AF37" i="16"/>
  <c r="AO38" i="16"/>
  <c r="Z42" i="16"/>
  <c r="V37" i="16"/>
  <c r="AA31" i="16"/>
  <c r="AJ32" i="16"/>
  <c r="AS33" i="16"/>
  <c r="AE35" i="16"/>
  <c r="AN36" i="16"/>
  <c r="Z38" i="16"/>
  <c r="AA42" i="16"/>
  <c r="AS47" i="16"/>
  <c r="V33" i="16"/>
  <c r="V46" i="16"/>
  <c r="AD30" i="16"/>
  <c r="AL30" i="16"/>
  <c r="W31" i="16"/>
  <c r="AE31" i="16"/>
  <c r="AM31" i="16"/>
  <c r="X32" i="16"/>
  <c r="AF32" i="16"/>
  <c r="AN32" i="16"/>
  <c r="Y33" i="16"/>
  <c r="AG33" i="16"/>
  <c r="AO33" i="16"/>
  <c r="Z34" i="16"/>
  <c r="AH34" i="16"/>
  <c r="AP34" i="16"/>
  <c r="AA35" i="16"/>
  <c r="AI35" i="16"/>
  <c r="AQ35" i="16"/>
  <c r="AB36" i="16"/>
  <c r="AJ36" i="16"/>
  <c r="AR36" i="16"/>
  <c r="AC37" i="16"/>
  <c r="AK37" i="16"/>
  <c r="AS37" i="16"/>
  <c r="AD38" i="16"/>
  <c r="AL38" i="16"/>
  <c r="AO40" i="16"/>
  <c r="AO41" i="16"/>
  <c r="AO42" i="16"/>
  <c r="AA44" i="16"/>
  <c r="AJ44" i="16"/>
  <c r="AS45" i="16"/>
  <c r="AM47" i="16"/>
  <c r="AK44" i="16"/>
  <c r="W46" i="16"/>
  <c r="AF47" i="16"/>
  <c r="Z40" i="16"/>
  <c r="AI41" i="16"/>
  <c r="AR42" i="16"/>
  <c r="AL44" i="16"/>
  <c r="X46" i="16"/>
  <c r="AO47" i="16"/>
  <c r="V42" i="16"/>
  <c r="AA40" i="16"/>
  <c r="AI40" i="16"/>
  <c r="AQ40" i="16"/>
  <c r="AB41" i="16"/>
  <c r="AJ41" i="16"/>
  <c r="AR41" i="16"/>
  <c r="AC42" i="16"/>
  <c r="AK42" i="16"/>
  <c r="AS42" i="16"/>
  <c r="AD43" i="16"/>
  <c r="AL43" i="16"/>
  <c r="W44" i="16"/>
  <c r="AE44" i="16"/>
  <c r="AM44" i="16"/>
  <c r="X45" i="16"/>
  <c r="AF45" i="16"/>
  <c r="AN45" i="16"/>
  <c r="Y46" i="16"/>
  <c r="AG46" i="16"/>
  <c r="AO46" i="16"/>
  <c r="Z47" i="16"/>
  <c r="AH47" i="16"/>
  <c r="AP47" i="16"/>
  <c r="AQ43" i="16"/>
  <c r="AK45" i="16"/>
  <c r="AE47" i="16"/>
  <c r="AR43" i="16"/>
  <c r="AD45" i="16"/>
  <c r="X47" i="16"/>
  <c r="AA41" i="16"/>
  <c r="AJ42" i="16"/>
  <c r="AS43" i="16"/>
  <c r="AE45" i="16"/>
  <c r="AG47" i="16"/>
  <c r="V43" i="16"/>
  <c r="AB40" i="16"/>
  <c r="AJ40" i="16"/>
  <c r="AR40" i="16"/>
  <c r="AC41" i="16"/>
  <c r="AK41" i="16"/>
  <c r="AS41" i="16"/>
  <c r="AD42" i="16"/>
  <c r="AL42" i="16"/>
  <c r="W43" i="16"/>
  <c r="AE43" i="16"/>
  <c r="AM43" i="16"/>
  <c r="X44" i="16"/>
  <c r="AF44" i="16"/>
  <c r="AN44" i="16"/>
  <c r="Y45" i="16"/>
  <c r="AG45" i="16"/>
  <c r="AO45" i="16"/>
  <c r="Z46" i="16"/>
  <c r="AH46" i="16"/>
  <c r="AP46" i="16"/>
  <c r="AA47" i="16"/>
  <c r="AI47" i="16"/>
  <c r="AQ47" i="16"/>
  <c r="AI43" i="16"/>
  <c r="AR44" i="16"/>
  <c r="AD46" i="16"/>
  <c r="W47" i="16"/>
  <c r="AC44" i="16"/>
  <c r="AL45" i="16"/>
  <c r="AM46" i="16"/>
  <c r="AH40" i="16"/>
  <c r="AQ41" i="16"/>
  <c r="AK43" i="16"/>
  <c r="W45" i="16"/>
  <c r="AF46" i="16"/>
  <c r="AN46" i="16"/>
  <c r="V44" i="16"/>
  <c r="AC40" i="16"/>
  <c r="AK40" i="16"/>
  <c r="AS40" i="16"/>
  <c r="AD41" i="16"/>
  <c r="AL41" i="16"/>
  <c r="W42" i="16"/>
  <c r="AE42" i="16"/>
  <c r="AM42" i="16"/>
  <c r="X43" i="16"/>
  <c r="AF43" i="16"/>
  <c r="AN43" i="16"/>
  <c r="Y44" i="16"/>
  <c r="AG44" i="16"/>
  <c r="AO44" i="16"/>
  <c r="Z45" i="16"/>
  <c r="AH45" i="16"/>
  <c r="AP45" i="16"/>
  <c r="AA46" i="16"/>
  <c r="AI46" i="16"/>
  <c r="AQ46" i="16"/>
  <c r="AB47" i="16"/>
  <c r="AJ47" i="16"/>
  <c r="AR47" i="16"/>
  <c r="V47" i="16"/>
  <c r="AB44" i="16"/>
  <c r="AC45" i="16"/>
  <c r="AL46" i="16"/>
  <c r="AJ43" i="16"/>
  <c r="AS44" i="16"/>
  <c r="AE46" i="16"/>
  <c r="V41" i="16"/>
  <c r="AP40" i="16"/>
  <c r="AB42" i="16"/>
  <c r="AC43" i="16"/>
  <c r="AD44" i="16"/>
  <c r="AM45" i="16"/>
  <c r="Y47" i="16"/>
  <c r="V45" i="16"/>
  <c r="AD40" i="16"/>
  <c r="AL40" i="16"/>
  <c r="W41" i="16"/>
  <c r="AE41" i="16"/>
  <c r="AM41" i="16"/>
  <c r="X42" i="16"/>
  <c r="AF42" i="16"/>
  <c r="AN42" i="16"/>
  <c r="Y43" i="16"/>
  <c r="AG43" i="16"/>
  <c r="AO43" i="16"/>
  <c r="Z44" i="16"/>
  <c r="AH44" i="16"/>
  <c r="AP44" i="16"/>
  <c r="AA45" i="16"/>
  <c r="AI45" i="16"/>
  <c r="AQ45" i="16"/>
  <c r="AB46" i="16"/>
  <c r="AJ46" i="16"/>
  <c r="AR46" i="16"/>
  <c r="AC47" i="16"/>
  <c r="AK47" i="16"/>
  <c r="AM199" i="16"/>
  <c r="AM74" i="16"/>
  <c r="BP220" i="16"/>
  <c r="AS83" i="16" s="1"/>
  <c r="BP228" i="16"/>
  <c r="AD264" i="16" s="1"/>
  <c r="BP236" i="16"/>
  <c r="BP221" i="16"/>
  <c r="V129" i="16" s="1"/>
  <c r="BP229" i="16"/>
  <c r="BP237" i="16"/>
  <c r="BP222" i="16"/>
  <c r="BP230" i="16"/>
  <c r="BP238" i="16"/>
  <c r="BP223" i="16"/>
  <c r="X264" i="16" s="1"/>
  <c r="BP231" i="16"/>
  <c r="AF309" i="16" s="1"/>
  <c r="BP239" i="16"/>
  <c r="AO84" i="16" s="1"/>
  <c r="BP224" i="16"/>
  <c r="BP232" i="16"/>
  <c r="BP240" i="16"/>
  <c r="BP225" i="16"/>
  <c r="BP233" i="16"/>
  <c r="BP241" i="16"/>
  <c r="BP226" i="16"/>
  <c r="AC219" i="16" s="1"/>
  <c r="BP234" i="16"/>
  <c r="BP242" i="16"/>
  <c r="BP227" i="16"/>
  <c r="BP235" i="16"/>
  <c r="AH111" i="16"/>
  <c r="W205" i="16"/>
  <c r="X114" i="16"/>
  <c r="W164" i="16"/>
  <c r="AE202" i="16"/>
  <c r="X113" i="16"/>
  <c r="W68" i="16"/>
  <c r="AM68" i="16"/>
  <c r="AC119" i="16"/>
  <c r="AM66" i="16"/>
  <c r="AE67" i="16"/>
  <c r="AE69" i="16"/>
  <c r="AH156" i="16"/>
  <c r="AB63" i="16"/>
  <c r="AK153" i="16"/>
  <c r="AA109" i="16"/>
  <c r="AG65" i="16"/>
  <c r="AB112" i="16"/>
  <c r="AL294" i="16"/>
  <c r="AC115" i="16"/>
  <c r="AM70" i="16"/>
  <c r="AF161" i="16"/>
  <c r="W70" i="16"/>
  <c r="W158" i="16"/>
  <c r="W74" i="16"/>
  <c r="V65" i="16"/>
  <c r="AS109" i="16"/>
  <c r="V155" i="16"/>
  <c r="AJ159" i="16"/>
  <c r="V251" i="16"/>
  <c r="AC63" i="16"/>
  <c r="W65" i="16"/>
  <c r="AF67" i="16"/>
  <c r="X70" i="16"/>
  <c r="AH108" i="16"/>
  <c r="AI111" i="16"/>
  <c r="AD115" i="16"/>
  <c r="AL153" i="16"/>
  <c r="AK159" i="16"/>
  <c r="AF202" i="16"/>
  <c r="W251" i="16"/>
  <c r="Z64" i="16"/>
  <c r="Y66" i="16"/>
  <c r="AO68" i="16"/>
  <c r="AG71" i="16"/>
  <c r="Y74" i="16"/>
  <c r="W110" i="16"/>
  <c r="AB113" i="16"/>
  <c r="AK156" i="16"/>
  <c r="Y164" i="16"/>
  <c r="AN245" i="16"/>
  <c r="AE63" i="16"/>
  <c r="Y65" i="16"/>
  <c r="AH67" i="16"/>
  <c r="Z70" i="16"/>
  <c r="AP74" i="16"/>
  <c r="AJ108" i="16"/>
  <c r="X110" i="16"/>
  <c r="AE112" i="16"/>
  <c r="AC113" i="16"/>
  <c r="AD114" i="16"/>
  <c r="AF115" i="16"/>
  <c r="AF119" i="16"/>
  <c r="AN153" i="16"/>
  <c r="Y155" i="16"/>
  <c r="AL156" i="16"/>
  <c r="Z158" i="16"/>
  <c r="AM159" i="16"/>
  <c r="AL161" i="16"/>
  <c r="AD164" i="16"/>
  <c r="V200" i="16"/>
  <c r="AL202" i="16"/>
  <c r="AD205" i="16"/>
  <c r="Y246" i="16"/>
  <c r="AG251" i="16"/>
  <c r="AO289" i="16"/>
  <c r="Y295" i="16"/>
  <c r="W63" i="16"/>
  <c r="AF63" i="16"/>
  <c r="AP63" i="16"/>
  <c r="AD64" i="16"/>
  <c r="AN64" i="16"/>
  <c r="Z65" i="16"/>
  <c r="AN65" i="16"/>
  <c r="AE66" i="16"/>
  <c r="W67" i="16"/>
  <c r="AM67" i="16"/>
  <c r="AE68" i="16"/>
  <c r="W69" i="16"/>
  <c r="AM69" i="16"/>
  <c r="AE70" i="16"/>
  <c r="W71" i="16"/>
  <c r="AM71" i="16"/>
  <c r="AM73" i="16"/>
  <c r="AE74" i="16"/>
  <c r="W108" i="16"/>
  <c r="AP108" i="16"/>
  <c r="AJ109" i="16"/>
  <c r="AD110" i="16"/>
  <c r="X111" i="16"/>
  <c r="AQ111" i="16"/>
  <c r="AL112" i="16"/>
  <c r="AK113" i="16"/>
  <c r="AL114" i="16"/>
  <c r="AS115" i="16"/>
  <c r="AK118" i="16"/>
  <c r="AS119" i="16"/>
  <c r="AC154" i="16"/>
  <c r="AN155" i="16"/>
  <c r="AC157" i="16"/>
  <c r="AO158" i="16"/>
  <c r="AF160" i="16"/>
  <c r="AE198" i="16"/>
  <c r="W201" i="16"/>
  <c r="AM203" i="16"/>
  <c r="AG206" i="16"/>
  <c r="V243" i="16"/>
  <c r="AD248" i="16"/>
  <c r="AL253" i="16"/>
  <c r="V292" i="16"/>
  <c r="AH64" i="16"/>
  <c r="AM110" i="16"/>
  <c r="AD289" i="16"/>
  <c r="AM63" i="16"/>
  <c r="AH65" i="16"/>
  <c r="X68" i="16"/>
  <c r="AN70" i="16"/>
  <c r="AB109" i="16"/>
  <c r="AC112" i="16"/>
  <c r="X158" i="16"/>
  <c r="AN199" i="16"/>
  <c r="AM245" i="16"/>
  <c r="AL64" i="16"/>
  <c r="AO66" i="16"/>
  <c r="AG69" i="16"/>
  <c r="AO74" i="16"/>
  <c r="AP110" i="16"/>
  <c r="AC114" i="16"/>
  <c r="AE119" i="16"/>
  <c r="Y158" i="16"/>
  <c r="AO199" i="16"/>
  <c r="AN294" i="16"/>
  <c r="AB64" i="16"/>
  <c r="AM65" i="16"/>
  <c r="Z68" i="16"/>
  <c r="AP70" i="16"/>
  <c r="AH73" i="16"/>
  <c r="AQ110" i="16"/>
  <c r="X63" i="16"/>
  <c r="AG63" i="16"/>
  <c r="AR63" i="16"/>
  <c r="AE64" i="16"/>
  <c r="AO64" i="16"/>
  <c r="AB65" i="16"/>
  <c r="AO65" i="16"/>
  <c r="AF66" i="16"/>
  <c r="X67" i="16"/>
  <c r="AN67" i="16"/>
  <c r="AF68" i="16"/>
  <c r="X69" i="16"/>
  <c r="AN69" i="16"/>
  <c r="AF70" i="16"/>
  <c r="X71" i="16"/>
  <c r="AN73" i="16"/>
  <c r="AF74" i="16"/>
  <c r="X108" i="16"/>
  <c r="AQ108" i="16"/>
  <c r="AK109" i="16"/>
  <c r="AE110" i="16"/>
  <c r="Z111" i="16"/>
  <c r="AR111" i="16"/>
  <c r="AM112" i="16"/>
  <c r="AL113" i="16"/>
  <c r="AM114" i="16"/>
  <c r="V116" i="16"/>
  <c r="AL118" i="16"/>
  <c r="V153" i="16"/>
  <c r="AD154" i="16"/>
  <c r="AO155" i="16"/>
  <c r="AD157" i="16"/>
  <c r="AP158" i="16"/>
  <c r="AG160" i="16"/>
  <c r="AF198" i="16"/>
  <c r="X201" i="16"/>
  <c r="AN203" i="16"/>
  <c r="AI206" i="16"/>
  <c r="W243" i="16"/>
  <c r="AE248" i="16"/>
  <c r="AM253" i="16"/>
  <c r="W292" i="16"/>
  <c r="X64" i="16"/>
  <c r="W66" i="16"/>
  <c r="AE71" i="16"/>
  <c r="AK116" i="16"/>
  <c r="AL245" i="16"/>
  <c r="Y64" i="16"/>
  <c r="X66" i="16"/>
  <c r="AN68" i="16"/>
  <c r="AF71" i="16"/>
  <c r="X74" i="16"/>
  <c r="V110" i="16"/>
  <c r="Z113" i="16"/>
  <c r="AL116" i="16"/>
  <c r="W155" i="16"/>
  <c r="X164" i="16"/>
  <c r="AE289" i="16"/>
  <c r="AD63" i="16"/>
  <c r="X65" i="16"/>
  <c r="AG67" i="16"/>
  <c r="Y70" i="16"/>
  <c r="AI108" i="16"/>
  <c r="AJ111" i="16"/>
  <c r="AE115" i="16"/>
  <c r="X155" i="16"/>
  <c r="AK161" i="16"/>
  <c r="Y205" i="16"/>
  <c r="X251" i="16"/>
  <c r="AO63" i="16"/>
  <c r="Z66" i="16"/>
  <c r="AP68" i="16"/>
  <c r="AH71" i="16"/>
  <c r="Z74" i="16"/>
  <c r="AK111" i="16"/>
  <c r="Y63" i="16"/>
  <c r="AH63" i="16"/>
  <c r="V64" i="16"/>
  <c r="AF64" i="16"/>
  <c r="AP64" i="16"/>
  <c r="AE65" i="16"/>
  <c r="AP65" i="16"/>
  <c r="AG66" i="16"/>
  <c r="Y67" i="16"/>
  <c r="AO67" i="16"/>
  <c r="AG68" i="16"/>
  <c r="Y69" i="16"/>
  <c r="AO69" i="16"/>
  <c r="AG70" i="16"/>
  <c r="Y71" i="16"/>
  <c r="AO73" i="16"/>
  <c r="AG74" i="16"/>
  <c r="Z108" i="16"/>
  <c r="AR108" i="16"/>
  <c r="AL109" i="16"/>
  <c r="AF110" i="16"/>
  <c r="AA111" i="16"/>
  <c r="AS111" i="16"/>
  <c r="AN112" i="16"/>
  <c r="AM113" i="16"/>
  <c r="AN114" i="16"/>
  <c r="W116" i="16"/>
  <c r="AM118" i="16"/>
  <c r="W153" i="16"/>
  <c r="AE154" i="16"/>
  <c r="AP155" i="16"/>
  <c r="AE157" i="16"/>
  <c r="AR158" i="16"/>
  <c r="AH160" i="16"/>
  <c r="AG198" i="16"/>
  <c r="Y201" i="16"/>
  <c r="AO203" i="16"/>
  <c r="AJ206" i="16"/>
  <c r="X243" i="16"/>
  <c r="AF248" i="16"/>
  <c r="AN253" i="16"/>
  <c r="X292" i="16"/>
  <c r="AL63" i="16"/>
  <c r="AF108" i="16"/>
  <c r="AS299" i="16"/>
  <c r="AK299" i="16"/>
  <c r="AC299" i="16"/>
  <c r="AS298" i="16"/>
  <c r="AK298" i="16"/>
  <c r="AK296" i="16"/>
  <c r="AC296" i="16"/>
  <c r="AS295" i="16"/>
  <c r="AK295" i="16"/>
  <c r="AC295" i="16"/>
  <c r="AS294" i="16"/>
  <c r="AK294" i="16"/>
  <c r="AC294" i="16"/>
  <c r="AS293" i="16"/>
  <c r="AK293" i="16"/>
  <c r="AC293" i="16"/>
  <c r="AS292" i="16"/>
  <c r="AK292" i="16"/>
  <c r="AC292" i="16"/>
  <c r="AS291" i="16"/>
  <c r="AK291" i="16"/>
  <c r="AC291" i="16"/>
  <c r="AS290" i="16"/>
  <c r="AK290" i="16"/>
  <c r="AC290" i="16"/>
  <c r="AS289" i="16"/>
  <c r="AK289" i="16"/>
  <c r="AC289" i="16"/>
  <c r="AS288" i="16"/>
  <c r="AK288" i="16"/>
  <c r="AC288" i="16"/>
  <c r="AS254" i="16"/>
  <c r="AK254" i="16"/>
  <c r="AC254" i="16"/>
  <c r="AS253" i="16"/>
  <c r="AK253" i="16"/>
  <c r="AK251" i="16"/>
  <c r="AC251" i="16"/>
  <c r="AS250" i="16"/>
  <c r="AK250" i="16"/>
  <c r="AC250" i="16"/>
  <c r="AS249" i="16"/>
  <c r="AK249" i="16"/>
  <c r="AC249" i="16"/>
  <c r="AS248" i="16"/>
  <c r="AK248" i="16"/>
  <c r="AC248" i="16"/>
  <c r="AS247" i="16"/>
  <c r="AK247" i="16"/>
  <c r="AC247" i="16"/>
  <c r="AS246" i="16"/>
  <c r="AK246" i="16"/>
  <c r="AC246" i="16"/>
  <c r="AS245" i="16"/>
  <c r="AK245" i="16"/>
  <c r="AC245" i="16"/>
  <c r="AS244" i="16"/>
  <c r="AK244" i="16"/>
  <c r="AC244" i="16"/>
  <c r="AS243" i="16"/>
  <c r="AK243" i="16"/>
  <c r="AC243" i="16"/>
  <c r="AS209" i="16"/>
  <c r="AK209" i="16"/>
  <c r="AC209" i="16"/>
  <c r="AS208" i="16"/>
  <c r="AK208" i="16"/>
  <c r="AR299" i="16"/>
  <c r="AJ299" i="16"/>
  <c r="AB299" i="16"/>
  <c r="AR298" i="16"/>
  <c r="AJ298" i="16"/>
  <c r="AJ296" i="16"/>
  <c r="AB296" i="16"/>
  <c r="AR295" i="16"/>
  <c r="AJ295" i="16"/>
  <c r="AB295" i="16"/>
  <c r="AR294" i="16"/>
  <c r="AJ294" i="16"/>
  <c r="AB294" i="16"/>
  <c r="AR293" i="16"/>
  <c r="AJ293" i="16"/>
  <c r="AB293" i="16"/>
  <c r="AR292" i="16"/>
  <c r="AJ292" i="16"/>
  <c r="AB292" i="16"/>
  <c r="AR291" i="16"/>
  <c r="AJ291" i="16"/>
  <c r="AB291" i="16"/>
  <c r="AR290" i="16"/>
  <c r="AJ290" i="16"/>
  <c r="AB290" i="16"/>
  <c r="AR289" i="16"/>
  <c r="AJ289" i="16"/>
  <c r="AB289" i="16"/>
  <c r="AR288" i="16"/>
  <c r="AJ288" i="16"/>
  <c r="AB288" i="16"/>
  <c r="AR254" i="16"/>
  <c r="AJ254" i="16"/>
  <c r="AB254" i="16"/>
  <c r="AR253" i="16"/>
  <c r="AJ253" i="16"/>
  <c r="AJ251" i="16"/>
  <c r="AB251" i="16"/>
  <c r="AR250" i="16"/>
  <c r="AJ250" i="16"/>
  <c r="AB250" i="16"/>
  <c r="AR249" i="16"/>
  <c r="AJ249" i="16"/>
  <c r="AB249" i="16"/>
  <c r="AR248" i="16"/>
  <c r="AJ248" i="16"/>
  <c r="AB248" i="16"/>
  <c r="AR247" i="16"/>
  <c r="AJ247" i="16"/>
  <c r="AB247" i="16"/>
  <c r="AR246" i="16"/>
  <c r="AJ246" i="16"/>
  <c r="AB246" i="16"/>
  <c r="AR245" i="16"/>
  <c r="AJ245" i="16"/>
  <c r="AB245" i="16"/>
  <c r="AR244" i="16"/>
  <c r="AJ244" i="16"/>
  <c r="AB244" i="16"/>
  <c r="AR243" i="16"/>
  <c r="AJ243" i="16"/>
  <c r="AB243" i="16"/>
  <c r="AR209" i="16"/>
  <c r="AJ209" i="16"/>
  <c r="AB209" i="16"/>
  <c r="AQ299" i="16"/>
  <c r="AI299" i="16"/>
  <c r="AA299" i="16"/>
  <c r="AQ298" i="16"/>
  <c r="AI298" i="16"/>
  <c r="AI296" i="16"/>
  <c r="AA296" i="16"/>
  <c r="AQ295" i="16"/>
  <c r="AI295" i="16"/>
  <c r="AA295" i="16"/>
  <c r="AQ294" i="16"/>
  <c r="AI294" i="16"/>
  <c r="AA294" i="16"/>
  <c r="AQ293" i="16"/>
  <c r="AI293" i="16"/>
  <c r="AA293" i="16"/>
  <c r="AQ292" i="16"/>
  <c r="AI292" i="16"/>
  <c r="AA292" i="16"/>
  <c r="AQ291" i="16"/>
  <c r="AI291" i="16"/>
  <c r="AA291" i="16"/>
  <c r="AQ290" i="16"/>
  <c r="AI290" i="16"/>
  <c r="AA290" i="16"/>
  <c r="AQ289" i="16"/>
  <c r="AI289" i="16"/>
  <c r="AA289" i="16"/>
  <c r="AQ288" i="16"/>
  <c r="AI288" i="16"/>
  <c r="AA288" i="16"/>
  <c r="AQ254" i="16"/>
  <c r="AI254" i="16"/>
  <c r="AA254" i="16"/>
  <c r="AQ253" i="16"/>
  <c r="AI253" i="16"/>
  <c r="AI251" i="16"/>
  <c r="AA251" i="16"/>
  <c r="AQ250" i="16"/>
  <c r="AI250" i="16"/>
  <c r="AA250" i="16"/>
  <c r="AQ249" i="16"/>
  <c r="AI249" i="16"/>
  <c r="AA249" i="16"/>
  <c r="AQ248" i="16"/>
  <c r="AI248" i="16"/>
  <c r="AA248" i="16"/>
  <c r="AQ247" i="16"/>
  <c r="AI247" i="16"/>
  <c r="AA247" i="16"/>
  <c r="AQ246" i="16"/>
  <c r="AI246" i="16"/>
  <c r="AA246" i="16"/>
  <c r="AQ245" i="16"/>
  <c r="AI245" i="16"/>
  <c r="AA245" i="16"/>
  <c r="AQ244" i="16"/>
  <c r="AI244" i="16"/>
  <c r="AA244" i="16"/>
  <c r="AQ243" i="16"/>
  <c r="AI243" i="16"/>
  <c r="AA243" i="16"/>
  <c r="AQ209" i="16"/>
  <c r="AI209" i="16"/>
  <c r="AP299" i="16"/>
  <c r="AH299" i="16"/>
  <c r="Z299" i="16"/>
  <c r="AP298" i="16"/>
  <c r="AH298" i="16"/>
  <c r="AH296" i="16"/>
  <c r="Z296" i="16"/>
  <c r="AP295" i="16"/>
  <c r="AH295" i="16"/>
  <c r="Z295" i="16"/>
  <c r="AP294" i="16"/>
  <c r="AH294" i="16"/>
  <c r="Z294" i="16"/>
  <c r="AP293" i="16"/>
  <c r="AH293" i="16"/>
  <c r="Z293" i="16"/>
  <c r="AP292" i="16"/>
  <c r="AH292" i="16"/>
  <c r="Z292" i="16"/>
  <c r="AP291" i="16"/>
  <c r="AH291" i="16"/>
  <c r="Z291" i="16"/>
  <c r="AP290" i="16"/>
  <c r="AH290" i="16"/>
  <c r="Z290" i="16"/>
  <c r="AP289" i="16"/>
  <c r="AH289" i="16"/>
  <c r="Z289" i="16"/>
  <c r="AP288" i="16"/>
  <c r="AH288" i="16"/>
  <c r="Z288" i="16"/>
  <c r="AP254" i="16"/>
  <c r="AH254" i="16"/>
  <c r="Z254" i="16"/>
  <c r="AP253" i="16"/>
  <c r="AH253" i="16"/>
  <c r="AH251" i="16"/>
  <c r="Z251" i="16"/>
  <c r="AP250" i="16"/>
  <c r="AH250" i="16"/>
  <c r="Z250" i="16"/>
  <c r="AP249" i="16"/>
  <c r="AH249" i="16"/>
  <c r="Z249" i="16"/>
  <c r="AP248" i="16"/>
  <c r="AH248" i="16"/>
  <c r="Z248" i="16"/>
  <c r="AP247" i="16"/>
  <c r="AH247" i="16"/>
  <c r="Z247" i="16"/>
  <c r="AP246" i="16"/>
  <c r="AH246" i="16"/>
  <c r="Z246" i="16"/>
  <c r="AP245" i="16"/>
  <c r="AH245" i="16"/>
  <c r="Z245" i="16"/>
  <c r="AP244" i="16"/>
  <c r="AH244" i="16"/>
  <c r="Z244" i="16"/>
  <c r="AP243" i="16"/>
  <c r="AH243" i="16"/>
  <c r="Z243" i="16"/>
  <c r="AP209" i="16"/>
  <c r="AH209" i="16"/>
  <c r="Z209" i="16"/>
  <c r="AP208" i="16"/>
  <c r="AH208" i="16"/>
  <c r="AH206" i="16"/>
  <c r="Z206" i="16"/>
  <c r="AP205" i="16"/>
  <c r="AN299" i="16"/>
  <c r="X299" i="16"/>
  <c r="AF296" i="16"/>
  <c r="AN295" i="16"/>
  <c r="X295" i="16"/>
  <c r="AF294" i="16"/>
  <c r="AN293" i="16"/>
  <c r="X293" i="16"/>
  <c r="AF292" i="16"/>
  <c r="AN291" i="16"/>
  <c r="X291" i="16"/>
  <c r="AF290" i="16"/>
  <c r="AN289" i="16"/>
  <c r="X289" i="16"/>
  <c r="AF288" i="16"/>
  <c r="AN254" i="16"/>
  <c r="X254" i="16"/>
  <c r="AF251" i="16"/>
  <c r="AN250" i="16"/>
  <c r="X250" i="16"/>
  <c r="AF249" i="16"/>
  <c r="AN248" i="16"/>
  <c r="X248" i="16"/>
  <c r="AF247" i="16"/>
  <c r="AN246" i="16"/>
  <c r="X246" i="16"/>
  <c r="AF245" i="16"/>
  <c r="AN244" i="16"/>
  <c r="X244" i="16"/>
  <c r="AF243" i="16"/>
  <c r="AN209" i="16"/>
  <c r="Y209" i="16"/>
  <c r="AM208" i="16"/>
  <c r="AE206" i="16"/>
  <c r="V206" i="16"/>
  <c r="AK205" i="16"/>
  <c r="AC205" i="16"/>
  <c r="AS204" i="16"/>
  <c r="AK204" i="16"/>
  <c r="AC204" i="16"/>
  <c r="AS203" i="16"/>
  <c r="AK203" i="16"/>
  <c r="AC203" i="16"/>
  <c r="AS202" i="16"/>
  <c r="AK202" i="16"/>
  <c r="AC202" i="16"/>
  <c r="AS201" i="16"/>
  <c r="AK201" i="16"/>
  <c r="AC201" i="16"/>
  <c r="AS200" i="16"/>
  <c r="AK200" i="16"/>
  <c r="AC200" i="16"/>
  <c r="AS199" i="16"/>
  <c r="AK199" i="16"/>
  <c r="AC199" i="16"/>
  <c r="AS198" i="16"/>
  <c r="AK198" i="16"/>
  <c r="AC198" i="16"/>
  <c r="AS164" i="16"/>
  <c r="AK164" i="16"/>
  <c r="AC164" i="16"/>
  <c r="AS163" i="16"/>
  <c r="AK163" i="16"/>
  <c r="AM299" i="16"/>
  <c r="W299" i="16"/>
  <c r="AE296" i="16"/>
  <c r="AM295" i="16"/>
  <c r="W295" i="16"/>
  <c r="AE294" i="16"/>
  <c r="AM293" i="16"/>
  <c r="W293" i="16"/>
  <c r="AE292" i="16"/>
  <c r="AM291" i="16"/>
  <c r="W291" i="16"/>
  <c r="AE290" i="16"/>
  <c r="AM289" i="16"/>
  <c r="W289" i="16"/>
  <c r="AE288" i="16"/>
  <c r="AM254" i="16"/>
  <c r="W254" i="16"/>
  <c r="AE251" i="16"/>
  <c r="AM250" i="16"/>
  <c r="W250" i="16"/>
  <c r="AE249" i="16"/>
  <c r="AM248" i="16"/>
  <c r="W248" i="16"/>
  <c r="AE247" i="16"/>
  <c r="AM246" i="16"/>
  <c r="W246" i="16"/>
  <c r="AE245" i="16"/>
  <c r="AM244" i="16"/>
  <c r="W244" i="16"/>
  <c r="AE243" i="16"/>
  <c r="AM209" i="16"/>
  <c r="X209" i="16"/>
  <c r="AL208" i="16"/>
  <c r="AM206" i="16"/>
  <c r="AD206" i="16"/>
  <c r="AS205" i="16"/>
  <c r="AJ205" i="16"/>
  <c r="AB205" i="16"/>
  <c r="AR204" i="16"/>
  <c r="AJ204" i="16"/>
  <c r="AB204" i="16"/>
  <c r="AR203" i="16"/>
  <c r="AJ203" i="16"/>
  <c r="AB203" i="16"/>
  <c r="AR202" i="16"/>
  <c r="AJ202" i="16"/>
  <c r="AB202" i="16"/>
  <c r="AR201" i="16"/>
  <c r="AJ201" i="16"/>
  <c r="AB201" i="16"/>
  <c r="AR200" i="16"/>
  <c r="AJ200" i="16"/>
  <c r="AB200" i="16"/>
  <c r="AR199" i="16"/>
  <c r="AJ199" i="16"/>
  <c r="AB199" i="16"/>
  <c r="AR198" i="16"/>
  <c r="AJ198" i="16"/>
  <c r="AB198" i="16"/>
  <c r="AR164" i="16"/>
  <c r="AJ164" i="16"/>
  <c r="AB164" i="16"/>
  <c r="AR163" i="16"/>
  <c r="AJ163" i="16"/>
  <c r="AJ161" i="16"/>
  <c r="AB161" i="16"/>
  <c r="AR160" i="16"/>
  <c r="AJ160" i="16"/>
  <c r="AB160" i="16"/>
  <c r="AR159" i="16"/>
  <c r="AL299" i="16"/>
  <c r="V299" i="16"/>
  <c r="AD296" i="16"/>
  <c r="AL295" i="16"/>
  <c r="V295" i="16"/>
  <c r="AD294" i="16"/>
  <c r="AL293" i="16"/>
  <c r="V293" i="16"/>
  <c r="AD292" i="16"/>
  <c r="AL291" i="16"/>
  <c r="V291" i="16"/>
  <c r="AD290" i="16"/>
  <c r="AL289" i="16"/>
  <c r="V289" i="16"/>
  <c r="AD288" i="16"/>
  <c r="AL254" i="16"/>
  <c r="V254" i="16"/>
  <c r="AD251" i="16"/>
  <c r="AL250" i="16"/>
  <c r="V250" i="16"/>
  <c r="AD249" i="16"/>
  <c r="AL248" i="16"/>
  <c r="V248" i="16"/>
  <c r="AD247" i="16"/>
  <c r="AL246" i="16"/>
  <c r="V246" i="16"/>
  <c r="AD245" i="16"/>
  <c r="AL244" i="16"/>
  <c r="V244" i="16"/>
  <c r="AD243" i="16"/>
  <c r="AL209" i="16"/>
  <c r="W209" i="16"/>
  <c r="AJ208" i="16"/>
  <c r="AL206" i="16"/>
  <c r="AC206" i="16"/>
  <c r="AR205" i="16"/>
  <c r="AI205" i="16"/>
  <c r="AA205" i="16"/>
  <c r="AQ204" i="16"/>
  <c r="AI204" i="16"/>
  <c r="AA204" i="16"/>
  <c r="AQ203" i="16"/>
  <c r="AI203" i="16"/>
  <c r="AA203" i="16"/>
  <c r="AQ202" i="16"/>
  <c r="AI202" i="16"/>
  <c r="AA202" i="16"/>
  <c r="AQ201" i="16"/>
  <c r="AI201" i="16"/>
  <c r="AA201" i="16"/>
  <c r="AQ200" i="16"/>
  <c r="AI200" i="16"/>
  <c r="AA200" i="16"/>
  <c r="AQ199" i="16"/>
  <c r="AI199" i="16"/>
  <c r="AA199" i="16"/>
  <c r="AQ198" i="16"/>
  <c r="AI198" i="16"/>
  <c r="AA198" i="16"/>
  <c r="AQ164" i="16"/>
  <c r="AI164" i="16"/>
  <c r="AA164" i="16"/>
  <c r="AQ163" i="16"/>
  <c r="AI163" i="16"/>
  <c r="AI161" i="16"/>
  <c r="AA161" i="16"/>
  <c r="AQ160" i="16"/>
  <c r="AI160" i="16"/>
  <c r="AA160" i="16"/>
  <c r="AQ159" i="16"/>
  <c r="AI159" i="16"/>
  <c r="AA159" i="16"/>
  <c r="AQ158" i="16"/>
  <c r="AI158" i="16"/>
  <c r="AA158" i="16"/>
  <c r="AQ157" i="16"/>
  <c r="AI157" i="16"/>
  <c r="AA157" i="16"/>
  <c r="AQ156" i="16"/>
  <c r="AI156" i="16"/>
  <c r="AA156" i="16"/>
  <c r="AQ155" i="16"/>
  <c r="AI155" i="16"/>
  <c r="AA155" i="16"/>
  <c r="AQ154" i="16"/>
  <c r="AG299" i="16"/>
  <c r="AO298" i="16"/>
  <c r="Y296" i="16"/>
  <c r="AG295" i="16"/>
  <c r="AO294" i="16"/>
  <c r="Y294" i="16"/>
  <c r="AG293" i="16"/>
  <c r="AO292" i="16"/>
  <c r="Y292" i="16"/>
  <c r="AG291" i="16"/>
  <c r="AO290" i="16"/>
  <c r="Y290" i="16"/>
  <c r="AG289" i="16"/>
  <c r="AO288" i="16"/>
  <c r="Y288" i="16"/>
  <c r="AG254" i="16"/>
  <c r="AO253" i="16"/>
  <c r="Y251" i="16"/>
  <c r="AG250" i="16"/>
  <c r="AO249" i="16"/>
  <c r="Y249" i="16"/>
  <c r="AG248" i="16"/>
  <c r="AO247" i="16"/>
  <c r="Y247" i="16"/>
  <c r="AG246" i="16"/>
  <c r="AO245" i="16"/>
  <c r="Y245" i="16"/>
  <c r="AG244" i="16"/>
  <c r="AO243" i="16"/>
  <c r="Y243" i="16"/>
  <c r="AG209" i="16"/>
  <c r="V209" i="16"/>
  <c r="AI208" i="16"/>
  <c r="AK206" i="16"/>
  <c r="AB206" i="16"/>
  <c r="AQ205" i="16"/>
  <c r="AH205" i="16"/>
  <c r="Z205" i="16"/>
  <c r="AP204" i="16"/>
  <c r="AH204" i="16"/>
  <c r="Z204" i="16"/>
  <c r="AP203" i="16"/>
  <c r="AH203" i="16"/>
  <c r="Z203" i="16"/>
  <c r="AP202" i="16"/>
  <c r="AH202" i="16"/>
  <c r="Z202" i="16"/>
  <c r="AP201" i="16"/>
  <c r="AH201" i="16"/>
  <c r="Z201" i="16"/>
  <c r="AP200" i="16"/>
  <c r="AH200" i="16"/>
  <c r="Z200" i="16"/>
  <c r="AP199" i="16"/>
  <c r="AH199" i="16"/>
  <c r="Z199" i="16"/>
  <c r="AP198" i="16"/>
  <c r="AH198" i="16"/>
  <c r="Z198" i="16"/>
  <c r="AP164" i="16"/>
  <c r="AH164" i="16"/>
  <c r="Z164" i="16"/>
  <c r="AP163" i="16"/>
  <c r="AH163" i="16"/>
  <c r="AH161" i="16"/>
  <c r="Z161" i="16"/>
  <c r="AP160" i="16"/>
  <c r="AO299" i="16"/>
  <c r="AG298" i="16"/>
  <c r="AO295" i="16"/>
  <c r="AG294" i="16"/>
  <c r="Y293" i="16"/>
  <c r="AO291" i="16"/>
  <c r="AG290" i="16"/>
  <c r="Y289" i="16"/>
  <c r="AO254" i="16"/>
  <c r="AG253" i="16"/>
  <c r="AO250" i="16"/>
  <c r="AG249" i="16"/>
  <c r="Y248" i="16"/>
  <c r="AO246" i="16"/>
  <c r="AG245" i="16"/>
  <c r="Y244" i="16"/>
  <c r="AO209" i="16"/>
  <c r="AN208" i="16"/>
  <c r="AF206" i="16"/>
  <c r="AL205" i="16"/>
  <c r="V205" i="16"/>
  <c r="AD204" i="16"/>
  <c r="AL203" i="16"/>
  <c r="V203" i="16"/>
  <c r="AD202" i="16"/>
  <c r="AL201" i="16"/>
  <c r="V201" i="16"/>
  <c r="AD200" i="16"/>
  <c r="AL199" i="16"/>
  <c r="V199" i="16"/>
  <c r="AD198" i="16"/>
  <c r="AL164" i="16"/>
  <c r="V164" i="16"/>
  <c r="AE161" i="16"/>
  <c r="AO160" i="16"/>
  <c r="AE160" i="16"/>
  <c r="AS159" i="16"/>
  <c r="AH159" i="16"/>
  <c r="Y159" i="16"/>
  <c r="AN158" i="16"/>
  <c r="AE158" i="16"/>
  <c r="V158" i="16"/>
  <c r="AK157" i="16"/>
  <c r="AB157" i="16"/>
  <c r="AP156" i="16"/>
  <c r="AG156" i="16"/>
  <c r="X156" i="16"/>
  <c r="AM155" i="16"/>
  <c r="AD155" i="16"/>
  <c r="AS154" i="16"/>
  <c r="AJ154" i="16"/>
  <c r="AB154" i="16"/>
  <c r="AR153" i="16"/>
  <c r="AJ153" i="16"/>
  <c r="AB153" i="16"/>
  <c r="AR119" i="16"/>
  <c r="AJ119" i="16"/>
  <c r="AB119" i="16"/>
  <c r="AR118" i="16"/>
  <c r="AJ118" i="16"/>
  <c r="AJ116" i="16"/>
  <c r="AB116" i="16"/>
  <c r="AR115" i="16"/>
  <c r="AJ115" i="16"/>
  <c r="AB115" i="16"/>
  <c r="AR114" i="16"/>
  <c r="AJ114" i="16"/>
  <c r="AB114" i="16"/>
  <c r="AR113" i="16"/>
  <c r="AJ113" i="16"/>
  <c r="AF299" i="16"/>
  <c r="AF295" i="16"/>
  <c r="X294" i="16"/>
  <c r="AN292" i="16"/>
  <c r="AF291" i="16"/>
  <c r="X290" i="16"/>
  <c r="AN288" i="16"/>
  <c r="AF254" i="16"/>
  <c r="AF250" i="16"/>
  <c r="X249" i="16"/>
  <c r="AN247" i="16"/>
  <c r="AF246" i="16"/>
  <c r="X245" i="16"/>
  <c r="AN243" i="16"/>
  <c r="AF209" i="16"/>
  <c r="AG208" i="16"/>
  <c r="AA206" i="16"/>
  <c r="AG205" i="16"/>
  <c r="AO204" i="16"/>
  <c r="Y204" i="16"/>
  <c r="AG203" i="16"/>
  <c r="AO202" i="16"/>
  <c r="Y202" i="16"/>
  <c r="AG201" i="16"/>
  <c r="AO200" i="16"/>
  <c r="Y200" i="16"/>
  <c r="AG199" i="16"/>
  <c r="AO198" i="16"/>
  <c r="Y198" i="16"/>
  <c r="AG164" i="16"/>
  <c r="AO163" i="16"/>
  <c r="AD161" i="16"/>
  <c r="AN160" i="16"/>
  <c r="AD160" i="16"/>
  <c r="AP159" i="16"/>
  <c r="AG159" i="16"/>
  <c r="X159" i="16"/>
  <c r="AM158" i="16"/>
  <c r="AD158" i="16"/>
  <c r="AS157" i="16"/>
  <c r="AJ157" i="16"/>
  <c r="Z157" i="16"/>
  <c r="AO156" i="16"/>
  <c r="AF156" i="16"/>
  <c r="W156" i="16"/>
  <c r="AL155" i="16"/>
  <c r="AC155" i="16"/>
  <c r="AR154" i="16"/>
  <c r="AI154" i="16"/>
  <c r="AA154" i="16"/>
  <c r="AQ153" i="16"/>
  <c r="AI153" i="16"/>
  <c r="AA153" i="16"/>
  <c r="AQ119" i="16"/>
  <c r="AI119" i="16"/>
  <c r="AA119" i="16"/>
  <c r="AQ118" i="16"/>
  <c r="AI118" i="16"/>
  <c r="AI116" i="16"/>
  <c r="AA116" i="16"/>
  <c r="AQ115" i="16"/>
  <c r="AI115" i="16"/>
  <c r="AA115" i="16"/>
  <c r="AQ114" i="16"/>
  <c r="AI114" i="16"/>
  <c r="AA114" i="16"/>
  <c r="AQ113" i="16"/>
  <c r="AI113" i="16"/>
  <c r="AA113" i="16"/>
  <c r="AQ112" i="16"/>
  <c r="AI112" i="16"/>
  <c r="AE299" i="16"/>
  <c r="AM296" i="16"/>
  <c r="AE295" i="16"/>
  <c r="W294" i="16"/>
  <c r="AM292" i="16"/>
  <c r="AE291" i="16"/>
  <c r="W290" i="16"/>
  <c r="AM288" i="16"/>
  <c r="AE254" i="16"/>
  <c r="AM251" i="16"/>
  <c r="AE250" i="16"/>
  <c r="W249" i="16"/>
  <c r="AM247" i="16"/>
  <c r="AE246" i="16"/>
  <c r="W245" i="16"/>
  <c r="AM243" i="16"/>
  <c r="AE209" i="16"/>
  <c r="Y206" i="16"/>
  <c r="AF205" i="16"/>
  <c r="AN204" i="16"/>
  <c r="X204" i="16"/>
  <c r="AF203" i="16"/>
  <c r="AN202" i="16"/>
  <c r="X202" i="16"/>
  <c r="AF201" i="16"/>
  <c r="AN200" i="16"/>
  <c r="X200" i="16"/>
  <c r="AF199" i="16"/>
  <c r="AN198" i="16"/>
  <c r="X198" i="16"/>
  <c r="AF164" i="16"/>
  <c r="AN163" i="16"/>
  <c r="AC161" i="16"/>
  <c r="AM160" i="16"/>
  <c r="AC160" i="16"/>
  <c r="AO159" i="16"/>
  <c r="AF159" i="16"/>
  <c r="W159" i="16"/>
  <c r="AL158" i="16"/>
  <c r="AC158" i="16"/>
  <c r="AR157" i="16"/>
  <c r="AH157" i="16"/>
  <c r="Y157" i="16"/>
  <c r="AN156" i="16"/>
  <c r="AE156" i="16"/>
  <c r="V156" i="16"/>
  <c r="AK155" i="16"/>
  <c r="AB155" i="16"/>
  <c r="AP154" i="16"/>
  <c r="AH154" i="16"/>
  <c r="Z154" i="16"/>
  <c r="AP153" i="16"/>
  <c r="AH153" i="16"/>
  <c r="Z153" i="16"/>
  <c r="AP119" i="16"/>
  <c r="AH119" i="16"/>
  <c r="Z119" i="16"/>
  <c r="AP118" i="16"/>
  <c r="AH118" i="16"/>
  <c r="AH116" i="16"/>
  <c r="Z116" i="16"/>
  <c r="AP115" i="16"/>
  <c r="AH115" i="16"/>
  <c r="Z115" i="16"/>
  <c r="AD299" i="16"/>
  <c r="AL296" i="16"/>
  <c r="AD295" i="16"/>
  <c r="V294" i="16"/>
  <c r="AL292" i="16"/>
  <c r="AD291" i="16"/>
  <c r="V290" i="16"/>
  <c r="AL288" i="16"/>
  <c r="AD254" i="16"/>
  <c r="AL251" i="16"/>
  <c r="AD250" i="16"/>
  <c r="V249" i="16"/>
  <c r="AL247" i="16"/>
  <c r="AD246" i="16"/>
  <c r="V245" i="16"/>
  <c r="AL243" i="16"/>
  <c r="AD209" i="16"/>
  <c r="X206" i="16"/>
  <c r="AE205" i="16"/>
  <c r="AM204" i="16"/>
  <c r="W204" i="16"/>
  <c r="AE203" i="16"/>
  <c r="AM202" i="16"/>
  <c r="W202" i="16"/>
  <c r="AE201" i="16"/>
  <c r="AM200" i="16"/>
  <c r="W200" i="16"/>
  <c r="AE199" i="16"/>
  <c r="AM198" i="16"/>
  <c r="W198" i="16"/>
  <c r="AE164" i="16"/>
  <c r="AM163" i="16"/>
  <c r="AM161" i="16"/>
  <c r="Y161" i="16"/>
  <c r="AL160" i="16"/>
  <c r="Z160" i="16"/>
  <c r="AN159" i="16"/>
  <c r="AE159" i="16"/>
  <c r="V159" i="16"/>
  <c r="AK158" i="16"/>
  <c r="AB158" i="16"/>
  <c r="AP157" i="16"/>
  <c r="AG157" i="16"/>
  <c r="X157" i="16"/>
  <c r="AM156" i="16"/>
  <c r="AD156" i="16"/>
  <c r="AS155" i="16"/>
  <c r="AJ155" i="16"/>
  <c r="Z155" i="16"/>
  <c r="AO154" i="16"/>
  <c r="AG154" i="16"/>
  <c r="Y154" i="16"/>
  <c r="AO153" i="16"/>
  <c r="AG153" i="16"/>
  <c r="Y153" i="16"/>
  <c r="AO119" i="16"/>
  <c r="AG119" i="16"/>
  <c r="Y119" i="16"/>
  <c r="AO118" i="16"/>
  <c r="AG118" i="16"/>
  <c r="AG116" i="16"/>
  <c r="Y116" i="16"/>
  <c r="AO115" i="16"/>
  <c r="AG115" i="16"/>
  <c r="Y115" i="16"/>
  <c r="AO114" i="16"/>
  <c r="AG114" i="16"/>
  <c r="Y114" i="16"/>
  <c r="AO113" i="16"/>
  <c r="AG113" i="16"/>
  <c r="Y113" i="16"/>
  <c r="AO112" i="16"/>
  <c r="AG112" i="16"/>
  <c r="Y112" i="16"/>
  <c r="AO111" i="16"/>
  <c r="AG111" i="16"/>
  <c r="Y111" i="16"/>
  <c r="AO110" i="16"/>
  <c r="AG110" i="16"/>
  <c r="Y110" i="16"/>
  <c r="AO109" i="16"/>
  <c r="AG109" i="16"/>
  <c r="Y109" i="16"/>
  <c r="AO108" i="16"/>
  <c r="AG108" i="16"/>
  <c r="Y108" i="16"/>
  <c r="Y299" i="16"/>
  <c r="AG296" i="16"/>
  <c r="AO293" i="16"/>
  <c r="Y291" i="16"/>
  <c r="AG288" i="16"/>
  <c r="Y250" i="16"/>
  <c r="AG247" i="16"/>
  <c r="AO244" i="16"/>
  <c r="AA209" i="16"/>
  <c r="W206" i="16"/>
  <c r="AL204" i="16"/>
  <c r="AD203" i="16"/>
  <c r="V202" i="16"/>
  <c r="AL200" i="16"/>
  <c r="AD199" i="16"/>
  <c r="V198" i="16"/>
  <c r="AL163" i="16"/>
  <c r="X161" i="16"/>
  <c r="Y160" i="16"/>
  <c r="AD159" i="16"/>
  <c r="AJ158" i="16"/>
  <c r="AO157" i="16"/>
  <c r="W157" i="16"/>
  <c r="AC156" i="16"/>
  <c r="AH155" i="16"/>
  <c r="AN154" i="16"/>
  <c r="X154" i="16"/>
  <c r="AF153" i="16"/>
  <c r="AN119" i="16"/>
  <c r="X119" i="16"/>
  <c r="AF116" i="16"/>
  <c r="AN115" i="16"/>
  <c r="X115" i="16"/>
  <c r="AK114" i="16"/>
  <c r="W114" i="16"/>
  <c r="AH113" i="16"/>
  <c r="W113" i="16"/>
  <c r="AK112" i="16"/>
  <c r="AA112" i="16"/>
  <c r="AP111" i="16"/>
  <c r="AF111" i="16"/>
  <c r="W111" i="16"/>
  <c r="AL110" i="16"/>
  <c r="AC110" i="16"/>
  <c r="AR109" i="16"/>
  <c r="AI109" i="16"/>
  <c r="Z109" i="16"/>
  <c r="AN108" i="16"/>
  <c r="AE108" i="16"/>
  <c r="V108" i="16"/>
  <c r="AL74" i="16"/>
  <c r="AD74" i="16"/>
  <c r="V74" i="16"/>
  <c r="AL73" i="16"/>
  <c r="AL71" i="16"/>
  <c r="AD71" i="16"/>
  <c r="V71" i="16"/>
  <c r="AL70" i="16"/>
  <c r="AD70" i="16"/>
  <c r="V70" i="16"/>
  <c r="AL69" i="16"/>
  <c r="AD69" i="16"/>
  <c r="V69" i="16"/>
  <c r="AL68" i="16"/>
  <c r="AD68" i="16"/>
  <c r="V68" i="16"/>
  <c r="AL67" i="16"/>
  <c r="AD67" i="16"/>
  <c r="V67" i="16"/>
  <c r="AL66" i="16"/>
  <c r="AD66" i="16"/>
  <c r="V66" i="16"/>
  <c r="AL65" i="16"/>
  <c r="AD65" i="16"/>
  <c r="AN298" i="16"/>
  <c r="X296" i="16"/>
  <c r="AF293" i="16"/>
  <c r="AN290" i="16"/>
  <c r="X288" i="16"/>
  <c r="AN249" i="16"/>
  <c r="X247" i="16"/>
  <c r="AF244" i="16"/>
  <c r="AR208" i="16"/>
  <c r="AO205" i="16"/>
  <c r="AG204" i="16"/>
  <c r="Y203" i="16"/>
  <c r="AO201" i="16"/>
  <c r="AG200" i="16"/>
  <c r="Y199" i="16"/>
  <c r="AO164" i="16"/>
  <c r="AG163" i="16"/>
  <c r="W161" i="16"/>
  <c r="X160" i="16"/>
  <c r="AC159" i="16"/>
  <c r="AH158" i="16"/>
  <c r="AN157" i="16"/>
  <c r="V157" i="16"/>
  <c r="AB156" i="16"/>
  <c r="AG155" i="16"/>
  <c r="AM154" i="16"/>
  <c r="W154" i="16"/>
  <c r="AE153" i="16"/>
  <c r="AM119" i="16"/>
  <c r="W119" i="16"/>
  <c r="AE116" i="16"/>
  <c r="AM115" i="16"/>
  <c r="W115" i="16"/>
  <c r="AH114" i="16"/>
  <c r="V114" i="16"/>
  <c r="AF113" i="16"/>
  <c r="V113" i="16"/>
  <c r="AJ112" i="16"/>
  <c r="Z112" i="16"/>
  <c r="AN111" i="16"/>
  <c r="AE111" i="16"/>
  <c r="V111" i="16"/>
  <c r="AK110" i="16"/>
  <c r="AB110" i="16"/>
  <c r="AQ109" i="16"/>
  <c r="AH109" i="16"/>
  <c r="X109" i="16"/>
  <c r="AM108" i="16"/>
  <c r="AD108" i="16"/>
  <c r="AS74" i="16"/>
  <c r="AK74" i="16"/>
  <c r="AC74" i="16"/>
  <c r="AS73" i="16"/>
  <c r="AK73" i="16"/>
  <c r="AK71" i="16"/>
  <c r="AC71" i="16"/>
  <c r="AS70" i="16"/>
  <c r="AK70" i="16"/>
  <c r="AC70" i="16"/>
  <c r="AS69" i="16"/>
  <c r="AK69" i="16"/>
  <c r="AC69" i="16"/>
  <c r="AS68" i="16"/>
  <c r="AK68" i="16"/>
  <c r="AC68" i="16"/>
  <c r="AS67" i="16"/>
  <c r="AK67" i="16"/>
  <c r="AC67" i="16"/>
  <c r="AS66" i="16"/>
  <c r="AK66" i="16"/>
  <c r="AC66" i="16"/>
  <c r="AS65" i="16"/>
  <c r="AK65" i="16"/>
  <c r="AC65" i="16"/>
  <c r="AS64" i="16"/>
  <c r="AK64" i="16"/>
  <c r="AC64" i="16"/>
  <c r="AS63" i="16"/>
  <c r="AK63" i="16"/>
  <c r="AM298" i="16"/>
  <c r="W296" i="16"/>
  <c r="AE293" i="16"/>
  <c r="AM290" i="16"/>
  <c r="W288" i="16"/>
  <c r="AM249" i="16"/>
  <c r="W247" i="16"/>
  <c r="AE244" i="16"/>
  <c r="AQ208" i="16"/>
  <c r="AN205" i="16"/>
  <c r="AF204" i="16"/>
  <c r="X203" i="16"/>
  <c r="AN201" i="16"/>
  <c r="AF200" i="16"/>
  <c r="X199" i="16"/>
  <c r="AN164" i="16"/>
  <c r="V161" i="16"/>
  <c r="W160" i="16"/>
  <c r="AB159" i="16"/>
  <c r="AG158" i="16"/>
  <c r="AM157" i="16"/>
  <c r="AS156" i="16"/>
  <c r="Z156" i="16"/>
  <c r="AF155" i="16"/>
  <c r="AL154" i="16"/>
  <c r="V154" i="16"/>
  <c r="AD153" i="16"/>
  <c r="AL119" i="16"/>
  <c r="V119" i="16"/>
  <c r="AD116" i="16"/>
  <c r="AL115" i="16"/>
  <c r="V115" i="16"/>
  <c r="AF114" i="16"/>
  <c r="AS113" i="16"/>
  <c r="AE113" i="16"/>
  <c r="AS112" i="16"/>
  <c r="AH112" i="16"/>
  <c r="X112" i="16"/>
  <c r="AM111" i="16"/>
  <c r="AD111" i="16"/>
  <c r="AS110" i="16"/>
  <c r="AJ110" i="16"/>
  <c r="AA110" i="16"/>
  <c r="AP109" i="16"/>
  <c r="AF109" i="16"/>
  <c r="W109" i="16"/>
  <c r="AL108" i="16"/>
  <c r="AC108" i="16"/>
  <c r="AR74" i="16"/>
  <c r="AJ74" i="16"/>
  <c r="AB74" i="16"/>
  <c r="AR73" i="16"/>
  <c r="AJ73" i="16"/>
  <c r="AJ71" i="16"/>
  <c r="AB71" i="16"/>
  <c r="AR70" i="16"/>
  <c r="AJ70" i="16"/>
  <c r="AB70" i="16"/>
  <c r="AR69" i="16"/>
  <c r="AJ69" i="16"/>
  <c r="AB69" i="16"/>
  <c r="AR68" i="16"/>
  <c r="AJ68" i="16"/>
  <c r="AB68" i="16"/>
  <c r="AR67" i="16"/>
  <c r="AJ67" i="16"/>
  <c r="AB67" i="16"/>
  <c r="AR66" i="16"/>
  <c r="AJ66" i="16"/>
  <c r="AB66" i="16"/>
  <c r="AL298" i="16"/>
  <c r="V296" i="16"/>
  <c r="AD293" i="16"/>
  <c r="AL290" i="16"/>
  <c r="V288" i="16"/>
  <c r="AL249" i="16"/>
  <c r="V247" i="16"/>
  <c r="AD244" i="16"/>
  <c r="AO208" i="16"/>
  <c r="AM205" i="16"/>
  <c r="AE204" i="16"/>
  <c r="W203" i="16"/>
  <c r="AM201" i="16"/>
  <c r="AE200" i="16"/>
  <c r="W199" i="16"/>
  <c r="AM164" i="16"/>
  <c r="AS160" i="16"/>
  <c r="V160" i="16"/>
  <c r="Z159" i="16"/>
  <c r="AF158" i="16"/>
  <c r="AL157" i="16"/>
  <c r="AR156" i="16"/>
  <c r="Y156" i="16"/>
  <c r="AE155" i="16"/>
  <c r="AK154" i="16"/>
  <c r="AS153" i="16"/>
  <c r="AC153" i="16"/>
  <c r="AK119" i="16"/>
  <c r="AS118" i="16"/>
  <c r="AC116" i="16"/>
  <c r="AK115" i="16"/>
  <c r="AS114" i="16"/>
  <c r="AE114" i="16"/>
  <c r="AP113" i="16"/>
  <c r="AD113" i="16"/>
  <c r="AR112" i="16"/>
  <c r="AF112" i="16"/>
  <c r="W112" i="16"/>
  <c r="AL111" i="16"/>
  <c r="AC111" i="16"/>
  <c r="AR110" i="16"/>
  <c r="AI110" i="16"/>
  <c r="Z110" i="16"/>
  <c r="AN109" i="16"/>
  <c r="AE109" i="16"/>
  <c r="V109" i="16"/>
  <c r="AK108" i="16"/>
  <c r="AB108" i="16"/>
  <c r="AQ74" i="16"/>
  <c r="AI74" i="16"/>
  <c r="AA74" i="16"/>
  <c r="AQ73" i="16"/>
  <c r="AI73" i="16"/>
  <c r="AI71" i="16"/>
  <c r="AA71" i="16"/>
  <c r="AQ70" i="16"/>
  <c r="AI70" i="16"/>
  <c r="AA70" i="16"/>
  <c r="AQ69" i="16"/>
  <c r="AI69" i="16"/>
  <c r="AA69" i="16"/>
  <c r="AQ68" i="16"/>
  <c r="AI68" i="16"/>
  <c r="AA68" i="16"/>
  <c r="AQ67" i="16"/>
  <c r="AI67" i="16"/>
  <c r="AA67" i="16"/>
  <c r="AQ66" i="16"/>
  <c r="AI66" i="16"/>
  <c r="AA66" i="16"/>
  <c r="AQ65" i="16"/>
  <c r="AI65" i="16"/>
  <c r="AA65" i="16"/>
  <c r="AQ64" i="16"/>
  <c r="AI64" i="16"/>
  <c r="AA64" i="16"/>
  <c r="AQ63" i="16"/>
  <c r="AI63" i="16"/>
  <c r="AA63" i="16"/>
  <c r="AJ64" i="16"/>
  <c r="AN66" i="16"/>
  <c r="AF69" i="16"/>
  <c r="AN74" i="16"/>
  <c r="AN110" i="16"/>
  <c r="Z114" i="16"/>
  <c r="AD119" i="16"/>
  <c r="AJ156" i="16"/>
  <c r="AG161" i="16"/>
  <c r="X205" i="16"/>
  <c r="AM294" i="16"/>
  <c r="AN63" i="16"/>
  <c r="AJ65" i="16"/>
  <c r="Y68" i="16"/>
  <c r="AO70" i="16"/>
  <c r="AG73" i="16"/>
  <c r="AC109" i="16"/>
  <c r="AD112" i="16"/>
  <c r="AM116" i="16"/>
  <c r="AM153" i="16"/>
  <c r="AL159" i="16"/>
  <c r="AG202" i="16"/>
  <c r="AF289" i="16"/>
  <c r="V63" i="16"/>
  <c r="AM64" i="16"/>
  <c r="AP66" i="16"/>
  <c r="AH69" i="16"/>
  <c r="AD109" i="16"/>
  <c r="Z63" i="16"/>
  <c r="AJ63" i="16"/>
  <c r="W64" i="16"/>
  <c r="AG64" i="16"/>
  <c r="AR64" i="16"/>
  <c r="AF65" i="16"/>
  <c r="AR65" i="16"/>
  <c r="AH66" i="16"/>
  <c r="Z67" i="16"/>
  <c r="AP67" i="16"/>
  <c r="AH68" i="16"/>
  <c r="Z69" i="16"/>
  <c r="AP69" i="16"/>
  <c r="AH70" i="16"/>
  <c r="Z71" i="16"/>
  <c r="AP73" i="16"/>
  <c r="AH74" i="16"/>
  <c r="AA108" i="16"/>
  <c r="AS108" i="16"/>
  <c r="AM109" i="16"/>
  <c r="AH110" i="16"/>
  <c r="AB111" i="16"/>
  <c r="V112" i="16"/>
  <c r="AP112" i="16"/>
  <c r="AN113" i="16"/>
  <c r="AP114" i="16"/>
  <c r="X116" i="16"/>
  <c r="AN118" i="16"/>
  <c r="X153" i="16"/>
  <c r="AF154" i="16"/>
  <c r="AR155" i="16"/>
  <c r="AF157" i="16"/>
  <c r="AS158" i="16"/>
  <c r="AK160" i="16"/>
  <c r="AL198" i="16"/>
  <c r="AD201" i="16"/>
  <c r="V204" i="16"/>
  <c r="AG243" i="16"/>
  <c r="AO248" i="16"/>
  <c r="Y254" i="16"/>
  <c r="AG292" i="16"/>
  <c r="Z25" i="16"/>
  <c r="AJ19" i="16"/>
  <c r="AA25" i="16"/>
  <c r="AS29" i="16"/>
  <c r="AB19" i="16"/>
  <c r="AR19" i="16"/>
  <c r="V26" i="16"/>
  <c r="W22" i="16"/>
  <c r="AM22" i="16"/>
  <c r="Y24" i="16"/>
  <c r="AE29" i="16"/>
  <c r="AA18" i="16"/>
  <c r="AS20" i="16"/>
  <c r="AA26" i="16"/>
  <c r="AC20" i="16"/>
  <c r="AQ25" i="16"/>
  <c r="AJ24" i="16"/>
  <c r="AI25" i="16"/>
  <c r="AJ26" i="16"/>
  <c r="AI18" i="16"/>
  <c r="AD21" i="16"/>
  <c r="AB26" i="16"/>
  <c r="AH25" i="16"/>
  <c r="AP25" i="16"/>
  <c r="AK20" i="16"/>
  <c r="AL26" i="16"/>
  <c r="AQ18" i="16"/>
  <c r="AL21" i="16"/>
  <c r="AI26" i="16"/>
  <c r="AE22" i="16"/>
  <c r="AN23" i="16"/>
  <c r="AL29" i="16"/>
  <c r="AR18" i="16"/>
  <c r="AD20" i="16"/>
  <c r="AM21" i="16"/>
  <c r="AN22" i="16"/>
  <c r="Z24" i="16"/>
  <c r="AM29" i="16"/>
  <c r="AC18" i="16"/>
  <c r="AL19" i="16"/>
  <c r="X21" i="16"/>
  <c r="AG22" i="16"/>
  <c r="AP23" i="16"/>
  <c r="AB25" i="16"/>
  <c r="AK26" i="16"/>
  <c r="AF29" i="16"/>
  <c r="AL18" i="16"/>
  <c r="X20" i="16"/>
  <c r="AG21" i="16"/>
  <c r="AH22" i="16"/>
  <c r="AI23" i="16"/>
  <c r="AR24" i="16"/>
  <c r="AC25" i="16"/>
  <c r="AD26" i="16"/>
  <c r="AN28" i="16"/>
  <c r="Y29" i="16"/>
  <c r="AG29" i="16"/>
  <c r="AO29" i="16"/>
  <c r="W18" i="16"/>
  <c r="AE18" i="16"/>
  <c r="AM18" i="16"/>
  <c r="X19" i="16"/>
  <c r="AF19" i="16"/>
  <c r="AN19" i="16"/>
  <c r="Y20" i="16"/>
  <c r="AG20" i="16"/>
  <c r="AO20" i="16"/>
  <c r="Z21" i="16"/>
  <c r="AH21" i="16"/>
  <c r="AP21" i="16"/>
  <c r="AA22" i="16"/>
  <c r="AI22" i="16"/>
  <c r="AQ22" i="16"/>
  <c r="AB23" i="16"/>
  <c r="AJ23" i="16"/>
  <c r="AR23" i="16"/>
  <c r="AC24" i="16"/>
  <c r="AK24" i="16"/>
  <c r="AS24" i="16"/>
  <c r="AD25" i="16"/>
  <c r="AL25" i="16"/>
  <c r="W26" i="16"/>
  <c r="AE26" i="16"/>
  <c r="AM26" i="16"/>
  <c r="AG28" i="16"/>
  <c r="AO28" i="16"/>
  <c r="Z29" i="16"/>
  <c r="AH29" i="16"/>
  <c r="AP29" i="16"/>
  <c r="AF23" i="16"/>
  <c r="AO24" i="16"/>
  <c r="AS28" i="16"/>
  <c r="AJ18" i="16"/>
  <c r="AS19" i="16"/>
  <c r="AE21" i="16"/>
  <c r="Y23" i="16"/>
  <c r="AH24" i="16"/>
  <c r="W29" i="16"/>
  <c r="AK18" i="16"/>
  <c r="W20" i="16"/>
  <c r="AF21" i="16"/>
  <c r="AO22" i="16"/>
  <c r="AA24" i="16"/>
  <c r="AJ25" i="16"/>
  <c r="AN29" i="16"/>
  <c r="V29" i="16"/>
  <c r="AE19" i="16"/>
  <c r="AN20" i="16"/>
  <c r="Z22" i="16"/>
  <c r="AQ23" i="16"/>
  <c r="AS25" i="16"/>
  <c r="X18" i="16"/>
  <c r="AF18" i="16"/>
  <c r="AN18" i="16"/>
  <c r="Y19" i="16"/>
  <c r="AG19" i="16"/>
  <c r="AO19" i="16"/>
  <c r="Z20" i="16"/>
  <c r="AH20" i="16"/>
  <c r="AP20" i="16"/>
  <c r="AA21" i="16"/>
  <c r="AI21" i="16"/>
  <c r="AQ21" i="16"/>
  <c r="AB22" i="16"/>
  <c r="AJ22" i="16"/>
  <c r="AR22" i="16"/>
  <c r="AC23" i="16"/>
  <c r="AK23" i="16"/>
  <c r="AS23" i="16"/>
  <c r="AD24" i="16"/>
  <c r="AL24" i="16"/>
  <c r="W25" i="16"/>
  <c r="AE25" i="16"/>
  <c r="AM25" i="16"/>
  <c r="X26" i="16"/>
  <c r="AF26" i="16"/>
  <c r="AH28" i="16"/>
  <c r="AP28" i="16"/>
  <c r="AA29" i="16"/>
  <c r="AI29" i="16"/>
  <c r="AQ29" i="16"/>
  <c r="X23" i="16"/>
  <c r="AG24" i="16"/>
  <c r="AK28" i="16"/>
  <c r="AC19" i="16"/>
  <c r="AL20" i="16"/>
  <c r="X22" i="16"/>
  <c r="AG23" i="16"/>
  <c r="AP24" i="16"/>
  <c r="AL28" i="16"/>
  <c r="AS18" i="16"/>
  <c r="AE20" i="16"/>
  <c r="AN21" i="16"/>
  <c r="Z23" i="16"/>
  <c r="AI24" i="16"/>
  <c r="AR25" i="16"/>
  <c r="AM28" i="16"/>
  <c r="AD18" i="16"/>
  <c r="AM19" i="16"/>
  <c r="Y21" i="16"/>
  <c r="AP22" i="16"/>
  <c r="AB24" i="16"/>
  <c r="AK25" i="16"/>
  <c r="Y18" i="16"/>
  <c r="AG18" i="16"/>
  <c r="AO18" i="16"/>
  <c r="Z19" i="16"/>
  <c r="AH19" i="16"/>
  <c r="AP19" i="16"/>
  <c r="AA20" i="16"/>
  <c r="AI20" i="16"/>
  <c r="AQ20" i="16"/>
  <c r="AB21" i="16"/>
  <c r="AJ21" i="16"/>
  <c r="AR21" i="16"/>
  <c r="AC22" i="16"/>
  <c r="AK22" i="16"/>
  <c r="AS22" i="16"/>
  <c r="AD23" i="16"/>
  <c r="AL23" i="16"/>
  <c r="W24" i="16"/>
  <c r="AE24" i="16"/>
  <c r="AM24" i="16"/>
  <c r="X25" i="16"/>
  <c r="AF25" i="16"/>
  <c r="AN25" i="16"/>
  <c r="Y26" i="16"/>
  <c r="AG26" i="16"/>
  <c r="AI28" i="16"/>
  <c r="AQ28" i="16"/>
  <c r="AB29" i="16"/>
  <c r="AJ29" i="16"/>
  <c r="AR29" i="16"/>
  <c r="AD29" i="16"/>
  <c r="AB18" i="16"/>
  <c r="AK19" i="16"/>
  <c r="W21" i="16"/>
  <c r="AF22" i="16"/>
  <c r="AO23" i="16"/>
  <c r="AD19" i="16"/>
  <c r="AM20" i="16"/>
  <c r="Y22" i="16"/>
  <c r="AH23" i="16"/>
  <c r="AQ24" i="16"/>
  <c r="AC26" i="16"/>
  <c r="X29" i="16"/>
  <c r="W19" i="16"/>
  <c r="AF20" i="16"/>
  <c r="AO21" i="16"/>
  <c r="AA23" i="16"/>
  <c r="V25" i="16"/>
  <c r="Z18" i="16"/>
  <c r="AH18" i="16"/>
  <c r="AP18" i="16"/>
  <c r="AA19" i="16"/>
  <c r="AI19" i="16"/>
  <c r="AQ19" i="16"/>
  <c r="AB20" i="16"/>
  <c r="AJ20" i="16"/>
  <c r="AR20" i="16"/>
  <c r="AC21" i="16"/>
  <c r="AK21" i="16"/>
  <c r="AS21" i="16"/>
  <c r="AD22" i="16"/>
  <c r="AL22" i="16"/>
  <c r="W23" i="16"/>
  <c r="AE23" i="16"/>
  <c r="AM23" i="16"/>
  <c r="X24" i="16"/>
  <c r="AF24" i="16"/>
  <c r="AN24" i="16"/>
  <c r="Y25" i="16"/>
  <c r="AG25" i="16"/>
  <c r="AO25" i="16"/>
  <c r="Z26" i="16"/>
  <c r="AH26" i="16"/>
  <c r="AJ28" i="16"/>
  <c r="AR28" i="16"/>
  <c r="AC29" i="16"/>
  <c r="AK29" i="16"/>
  <c r="BF222" i="16"/>
  <c r="BF223" i="16"/>
  <c r="BF231" i="16"/>
  <c r="BF239" i="16"/>
  <c r="BF224" i="16"/>
  <c r="BF232" i="16"/>
  <c r="V18" i="16" s="1"/>
  <c r="BF240" i="16"/>
  <c r="BF221" i="16"/>
  <c r="BF229" i="16"/>
  <c r="BF237" i="16"/>
  <c r="BF225" i="16"/>
  <c r="BF233" i="16"/>
  <c r="BF241" i="16"/>
  <c r="BF230" i="16"/>
  <c r="BF238" i="16"/>
  <c r="BF226" i="16"/>
  <c r="BF234" i="16"/>
  <c r="X118" i="16" s="1"/>
  <c r="BF242" i="16"/>
  <c r="BF228" i="16"/>
  <c r="BF236" i="16"/>
  <c r="BF227" i="16"/>
  <c r="BF235" i="16"/>
  <c r="BF243" i="16"/>
  <c r="AL139" i="16"/>
  <c r="AA95" i="16"/>
  <c r="AA97" i="16"/>
  <c r="AK97" i="16"/>
  <c r="AA103" i="16"/>
  <c r="AQ103" i="16"/>
  <c r="AD239" i="16"/>
  <c r="AH150" i="16"/>
  <c r="AG195" i="16"/>
  <c r="AK139" i="16"/>
  <c r="V149" i="16"/>
  <c r="AK140" i="16"/>
  <c r="AK99" i="16"/>
  <c r="AI151" i="16"/>
  <c r="AS94" i="16"/>
  <c r="AC100" i="16"/>
  <c r="AK106" i="16"/>
  <c r="AR142" i="16"/>
  <c r="AO184" i="16"/>
  <c r="AE276" i="16"/>
  <c r="AC231" i="16"/>
  <c r="Y105" i="16"/>
  <c r="W150" i="16"/>
  <c r="AQ105" i="16"/>
  <c r="AL275" i="16"/>
  <c r="AK95" i="16"/>
  <c r="AS102" i="16"/>
  <c r="AH107" i="16"/>
  <c r="AB144" i="16"/>
  <c r="AN188" i="16"/>
  <c r="AK283" i="16"/>
  <c r="AJ104" i="16"/>
  <c r="AC98" i="16"/>
  <c r="AD231" i="16"/>
  <c r="AS98" i="16"/>
  <c r="AC94" i="16"/>
  <c r="AJ141" i="16"/>
  <c r="AC96" i="16"/>
  <c r="AK103" i="16"/>
  <c r="AN107" i="16"/>
  <c r="AJ145" i="16"/>
  <c r="AN192" i="16"/>
  <c r="AL283" i="16"/>
  <c r="AS148" i="16"/>
  <c r="AC140" i="16"/>
  <c r="AD105" i="16"/>
  <c r="AC239" i="16"/>
  <c r="AH94" i="16"/>
  <c r="Z185" i="16"/>
  <c r="AP95" i="16"/>
  <c r="AH96" i="16"/>
  <c r="AS141" i="16"/>
  <c r="Z97" i="16"/>
  <c r="AL144" i="16"/>
  <c r="AO192" i="16"/>
  <c r="Z103" i="16"/>
  <c r="AP103" i="16"/>
  <c r="AG150" i="16"/>
  <c r="AP195" i="16"/>
  <c r="Y106" i="16"/>
  <c r="V152" i="16"/>
  <c r="AS96" i="16"/>
  <c r="AD104" i="16"/>
  <c r="AD139" i="16"/>
  <c r="AH148" i="16"/>
  <c r="V20" i="16"/>
  <c r="V19" i="16"/>
  <c r="V24" i="16"/>
  <c r="Z99" i="16"/>
  <c r="AQ106" i="16"/>
  <c r="AQ95" i="16"/>
  <c r="AI98" i="16"/>
  <c r="AR106" i="16"/>
  <c r="V142" i="16"/>
  <c r="X186" i="16"/>
  <c r="W232" i="16"/>
  <c r="AC278" i="16"/>
  <c r="AJ96" i="16"/>
  <c r="AB99" i="16"/>
  <c r="AL104" i="16"/>
  <c r="AQ107" i="16"/>
  <c r="AI143" i="16"/>
  <c r="AA149" i="16"/>
  <c r="X190" i="16"/>
  <c r="AO196" i="16"/>
  <c r="AD278" i="16"/>
  <c r="AK94" i="16"/>
  <c r="AC95" i="16"/>
  <c r="AS95" i="16"/>
  <c r="AK96" i="16"/>
  <c r="AC97" i="16"/>
  <c r="AS97" i="16"/>
  <c r="AK98" i="16"/>
  <c r="AC99" i="16"/>
  <c r="AS99" i="16"/>
  <c r="AK100" i="16"/>
  <c r="AC103" i="16"/>
  <c r="AS103" i="16"/>
  <c r="AN104" i="16"/>
  <c r="AH105" i="16"/>
  <c r="AB106" i="16"/>
  <c r="V107" i="16"/>
  <c r="AR107" i="16"/>
  <c r="AP139" i="16"/>
  <c r="AR140" i="16"/>
  <c r="AB142" i="16"/>
  <c r="AJ143" i="16"/>
  <c r="AR144" i="16"/>
  <c r="AN147" i="16"/>
  <c r="AC149" i="16"/>
  <c r="AO150" i="16"/>
  <c r="AN152" i="16"/>
  <c r="AH186" i="16"/>
  <c r="Y190" i="16"/>
  <c r="X194" i="16"/>
  <c r="Z197" i="16"/>
  <c r="V234" i="16"/>
  <c r="AS241" i="16"/>
  <c r="W279" i="16"/>
  <c r="AD286" i="16"/>
  <c r="AP99" i="16"/>
  <c r="AK144" i="16"/>
  <c r="AI96" i="16"/>
  <c r="AA99" i="16"/>
  <c r="AK104" i="16"/>
  <c r="AP107" i="16"/>
  <c r="AD143" i="16"/>
  <c r="Z189" i="16"/>
  <c r="AJ94" i="16"/>
  <c r="AB97" i="16"/>
  <c r="AR99" i="16"/>
  <c r="AG105" i="16"/>
  <c r="AN139" i="16"/>
  <c r="AQ144" i="16"/>
  <c r="AN150" i="16"/>
  <c r="Z193" i="16"/>
  <c r="W240" i="16"/>
  <c r="AP94" i="16"/>
  <c r="Z96" i="16"/>
  <c r="AH97" i="16"/>
  <c r="AP98" i="16"/>
  <c r="AH99" i="16"/>
  <c r="Z100" i="16"/>
  <c r="AP100" i="16"/>
  <c r="AP102" i="16"/>
  <c r="AH103" i="16"/>
  <c r="AA104" i="16"/>
  <c r="AS104" i="16"/>
  <c r="AN105" i="16"/>
  <c r="AH106" i="16"/>
  <c r="AC107" i="16"/>
  <c r="AA139" i="16"/>
  <c r="X140" i="16"/>
  <c r="AC141" i="16"/>
  <c r="AK142" i="16"/>
  <c r="AS143" i="16"/>
  <c r="AC145" i="16"/>
  <c r="Z148" i="16"/>
  <c r="AM149" i="16"/>
  <c r="AA151" i="16"/>
  <c r="AO152" i="16"/>
  <c r="AF187" i="16"/>
  <c r="AH190" i="16"/>
  <c r="Y194" i="16"/>
  <c r="X229" i="16"/>
  <c r="AM234" i="16"/>
  <c r="V242" i="16"/>
  <c r="W287" i="16"/>
  <c r="Z95" i="16"/>
  <c r="AP97" i="16"/>
  <c r="AH100" i="16"/>
  <c r="AI94" i="16"/>
  <c r="AQ99" i="16"/>
  <c r="Z106" i="16"/>
  <c r="AL140" i="16"/>
  <c r="W152" i="16"/>
  <c r="AN196" i="16"/>
  <c r="AE284" i="16"/>
  <c r="AR95" i="16"/>
  <c r="AJ98" i="16"/>
  <c r="AR103" i="16"/>
  <c r="AS106" i="16"/>
  <c r="AA142" i="16"/>
  <c r="AM147" i="16"/>
  <c r="Y186" i="16"/>
  <c r="AS233" i="16"/>
  <c r="Z94" i="16"/>
  <c r="AH95" i="16"/>
  <c r="AP96" i="16"/>
  <c r="Z98" i="16"/>
  <c r="AA94" i="16"/>
  <c r="AQ94" i="16"/>
  <c r="AI95" i="16"/>
  <c r="AA96" i="16"/>
  <c r="AQ96" i="16"/>
  <c r="AI97" i="16"/>
  <c r="AA98" i="16"/>
  <c r="AQ98" i="16"/>
  <c r="AI99" i="16"/>
  <c r="AA100" i="16"/>
  <c r="AQ100" i="16"/>
  <c r="AQ102" i="16"/>
  <c r="AI103" i="16"/>
  <c r="AB104" i="16"/>
  <c r="V105" i="16"/>
  <c r="AO105" i="16"/>
  <c r="AI106" i="16"/>
  <c r="AD107" i="16"/>
  <c r="AB139" i="16"/>
  <c r="AA140" i="16"/>
  <c r="AD141" i="16"/>
  <c r="AL142" i="16"/>
  <c r="V144" i="16"/>
  <c r="AD145" i="16"/>
  <c r="AA148" i="16"/>
  <c r="AN149" i="16"/>
  <c r="AC151" i="16"/>
  <c r="X184" i="16"/>
  <c r="AG187" i="16"/>
  <c r="AH194" i="16"/>
  <c r="Z229" i="16"/>
  <c r="AM242" i="16"/>
  <c r="AH98" i="16"/>
  <c r="AC143" i="16"/>
  <c r="AO188" i="16"/>
  <c r="AQ97" i="16"/>
  <c r="AI100" i="16"/>
  <c r="AF105" i="16"/>
  <c r="AR287" i="16"/>
  <c r="AJ287" i="16"/>
  <c r="AB287" i="16"/>
  <c r="AR286" i="16"/>
  <c r="AJ286" i="16"/>
  <c r="AB286" i="16"/>
  <c r="AR285" i="16"/>
  <c r="AJ285" i="16"/>
  <c r="AB285" i="16"/>
  <c r="AR284" i="16"/>
  <c r="AJ284" i="16"/>
  <c r="AB284" i="16"/>
  <c r="AR283" i="16"/>
  <c r="AJ283" i="16"/>
  <c r="AB283" i="16"/>
  <c r="AR282" i="16"/>
  <c r="AR280" i="16"/>
  <c r="AJ280" i="16"/>
  <c r="AB280" i="16"/>
  <c r="AR279" i="16"/>
  <c r="AJ279" i="16"/>
  <c r="AB279" i="16"/>
  <c r="AR278" i="16"/>
  <c r="AJ278" i="16"/>
  <c r="AB278" i="16"/>
  <c r="AR277" i="16"/>
  <c r="AJ277" i="16"/>
  <c r="AB277" i="16"/>
  <c r="AR276" i="16"/>
  <c r="AJ276" i="16"/>
  <c r="AB276" i="16"/>
  <c r="AR275" i="16"/>
  <c r="AJ275" i="16"/>
  <c r="AB275" i="16"/>
  <c r="AR274" i="16"/>
  <c r="AJ274" i="16"/>
  <c r="AB274" i="16"/>
  <c r="AR242" i="16"/>
  <c r="AJ242" i="16"/>
  <c r="AB242" i="16"/>
  <c r="AR241" i="16"/>
  <c r="AJ241" i="16"/>
  <c r="AB241" i="16"/>
  <c r="AR240" i="16"/>
  <c r="AJ240" i="16"/>
  <c r="AB240" i="16"/>
  <c r="AR239" i="16"/>
  <c r="AJ239" i="16"/>
  <c r="AB239" i="16"/>
  <c r="AR238" i="16"/>
  <c r="AJ238" i="16"/>
  <c r="AB238" i="16"/>
  <c r="AR237" i="16"/>
  <c r="AR235" i="16"/>
  <c r="AJ235" i="16"/>
  <c r="AB235" i="16"/>
  <c r="AR234" i="16"/>
  <c r="AJ234" i="16"/>
  <c r="AB234" i="16"/>
  <c r="AR233" i="16"/>
  <c r="AJ233" i="16"/>
  <c r="AB233" i="16"/>
  <c r="AR232" i="16"/>
  <c r="AJ232" i="16"/>
  <c r="AB232" i="16"/>
  <c r="AR231" i="16"/>
  <c r="AJ231" i="16"/>
  <c r="AB231" i="16"/>
  <c r="AR230" i="16"/>
  <c r="AJ230" i="16"/>
  <c r="AB230" i="16"/>
  <c r="AR229" i="16"/>
  <c r="AJ229" i="16"/>
  <c r="AQ287" i="16"/>
  <c r="AI287" i="16"/>
  <c r="AA287" i="16"/>
  <c r="AQ286" i="16"/>
  <c r="AI286" i="16"/>
  <c r="AA286" i="16"/>
  <c r="AQ285" i="16"/>
  <c r="AI285" i="16"/>
  <c r="AA285" i="16"/>
  <c r="AQ284" i="16"/>
  <c r="AI284" i="16"/>
  <c r="AA284" i="16"/>
  <c r="AQ283" i="16"/>
  <c r="AI283" i="16"/>
  <c r="AA283" i="16"/>
  <c r="AQ282" i="16"/>
  <c r="AQ280" i="16"/>
  <c r="AI280" i="16"/>
  <c r="AA280" i="16"/>
  <c r="AQ279" i="16"/>
  <c r="AI279" i="16"/>
  <c r="AA279" i="16"/>
  <c r="AQ278" i="16"/>
  <c r="AI278" i="16"/>
  <c r="AA278" i="16"/>
  <c r="AQ277" i="16"/>
  <c r="AI277" i="16"/>
  <c r="AA277" i="16"/>
  <c r="AQ276" i="16"/>
  <c r="AI276" i="16"/>
  <c r="AA276" i="16"/>
  <c r="AQ275" i="16"/>
  <c r="AI275" i="16"/>
  <c r="AA275" i="16"/>
  <c r="AQ274" i="16"/>
  <c r="AI274" i="16"/>
  <c r="AA274" i="16"/>
  <c r="AQ242" i="16"/>
  <c r="AI242" i="16"/>
  <c r="AA242" i="16"/>
  <c r="AQ241" i="16"/>
  <c r="AI241" i="16"/>
  <c r="AA241" i="16"/>
  <c r="AQ240" i="16"/>
  <c r="AI240" i="16"/>
  <c r="AA240" i="16"/>
  <c r="AQ239" i="16"/>
  <c r="AI239" i="16"/>
  <c r="AA239" i="16"/>
  <c r="AQ238" i="16"/>
  <c r="AI238" i="16"/>
  <c r="AA238" i="16"/>
  <c r="AQ237" i="16"/>
  <c r="AQ235" i="16"/>
  <c r="AI235" i="16"/>
  <c r="AA235" i="16"/>
  <c r="AQ234" i="16"/>
  <c r="AI234" i="16"/>
  <c r="AA234" i="16"/>
  <c r="AQ233" i="16"/>
  <c r="AI233" i="16"/>
  <c r="AA233" i="16"/>
  <c r="AQ232" i="16"/>
  <c r="AI232" i="16"/>
  <c r="AA232" i="16"/>
  <c r="AQ231" i="16"/>
  <c r="AI231" i="16"/>
  <c r="AA231" i="16"/>
  <c r="AQ230" i="16"/>
  <c r="AI230" i="16"/>
  <c r="AA230" i="16"/>
  <c r="AQ229" i="16"/>
  <c r="AI229" i="16"/>
  <c r="AA229" i="16"/>
  <c r="AP287" i="16"/>
  <c r="AH287" i="16"/>
  <c r="Z287" i="16"/>
  <c r="AP286" i="16"/>
  <c r="AH286" i="16"/>
  <c r="Z286" i="16"/>
  <c r="AP285" i="16"/>
  <c r="AH285" i="16"/>
  <c r="Z285" i="16"/>
  <c r="AP284" i="16"/>
  <c r="AH284" i="16"/>
  <c r="Z284" i="16"/>
  <c r="AP283" i="16"/>
  <c r="AH283" i="16"/>
  <c r="Z283" i="16"/>
  <c r="AP282" i="16"/>
  <c r="AP280" i="16"/>
  <c r="AH280" i="16"/>
  <c r="Z280" i="16"/>
  <c r="AP279" i="16"/>
  <c r="AH279" i="16"/>
  <c r="Z279" i="16"/>
  <c r="AP278" i="16"/>
  <c r="AH278" i="16"/>
  <c r="Z278" i="16"/>
  <c r="AP277" i="16"/>
  <c r="AH277" i="16"/>
  <c r="Z277" i="16"/>
  <c r="AP276" i="16"/>
  <c r="AH276" i="16"/>
  <c r="Z276" i="16"/>
  <c r="AP275" i="16"/>
  <c r="AH275" i="16"/>
  <c r="Z275" i="16"/>
  <c r="AP274" i="16"/>
  <c r="AH274" i="16"/>
  <c r="Z274" i="16"/>
  <c r="AP242" i="16"/>
  <c r="AH242" i="16"/>
  <c r="Z242" i="16"/>
  <c r="AP241" i="16"/>
  <c r="AH241" i="16"/>
  <c r="Z241" i="16"/>
  <c r="AP240" i="16"/>
  <c r="AH240" i="16"/>
  <c r="Z240" i="16"/>
  <c r="AP239" i="16"/>
  <c r="AH239" i="16"/>
  <c r="Z239" i="16"/>
  <c r="AP238" i="16"/>
  <c r="AH238" i="16"/>
  <c r="Z238" i="16"/>
  <c r="AP237" i="16"/>
  <c r="AP235" i="16"/>
  <c r="AH235" i="16"/>
  <c r="Z235" i="16"/>
  <c r="AP234" i="16"/>
  <c r="AH234" i="16"/>
  <c r="Z234" i="16"/>
  <c r="AP233" i="16"/>
  <c r="AH233" i="16"/>
  <c r="Z233" i="16"/>
  <c r="AP232" i="16"/>
  <c r="AH232" i="16"/>
  <c r="Z232" i="16"/>
  <c r="AP231" i="16"/>
  <c r="AH231" i="16"/>
  <c r="Z231" i="16"/>
  <c r="AO287" i="16"/>
  <c r="AG287" i="16"/>
  <c r="Y287" i="16"/>
  <c r="AO286" i="16"/>
  <c r="AG286" i="16"/>
  <c r="Y286" i="16"/>
  <c r="AO285" i="16"/>
  <c r="AG285" i="16"/>
  <c r="Y285" i="16"/>
  <c r="AO284" i="16"/>
  <c r="AG284" i="16"/>
  <c r="Y284" i="16"/>
  <c r="AO283" i="16"/>
  <c r="AG283" i="16"/>
  <c r="Y283" i="16"/>
  <c r="AO282" i="16"/>
  <c r="AO280" i="16"/>
  <c r="AG280" i="16"/>
  <c r="Y280" i="16"/>
  <c r="AO279" i="16"/>
  <c r="AG279" i="16"/>
  <c r="Y279" i="16"/>
  <c r="AO278" i="16"/>
  <c r="AG278" i="16"/>
  <c r="Y278" i="16"/>
  <c r="AO277" i="16"/>
  <c r="AG277" i="16"/>
  <c r="Y277" i="16"/>
  <c r="AO276" i="16"/>
  <c r="AG276" i="16"/>
  <c r="Y276" i="16"/>
  <c r="AO275" i="16"/>
  <c r="AG275" i="16"/>
  <c r="Y275" i="16"/>
  <c r="AO274" i="16"/>
  <c r="AG274" i="16"/>
  <c r="Y274" i="16"/>
  <c r="AO242" i="16"/>
  <c r="AG242" i="16"/>
  <c r="Y242" i="16"/>
  <c r="AO241" i="16"/>
  <c r="AG241" i="16"/>
  <c r="Y241" i="16"/>
  <c r="AO240" i="16"/>
  <c r="AG240" i="16"/>
  <c r="Y240" i="16"/>
  <c r="AO239" i="16"/>
  <c r="AG239" i="16"/>
  <c r="Y239" i="16"/>
  <c r="AO238" i="16"/>
  <c r="AG238" i="16"/>
  <c r="Y238" i="16"/>
  <c r="AO237" i="16"/>
  <c r="AO235" i="16"/>
  <c r="AG235" i="16"/>
  <c r="Y235" i="16"/>
  <c r="AO234" i="16"/>
  <c r="AG234" i="16"/>
  <c r="Y234" i="16"/>
  <c r="AO233" i="16"/>
  <c r="AG233" i="16"/>
  <c r="Y233" i="16"/>
  <c r="AO232" i="16"/>
  <c r="AG232" i="16"/>
  <c r="Y232" i="16"/>
  <c r="AO231" i="16"/>
  <c r="AG231" i="16"/>
  <c r="Y231" i="16"/>
  <c r="AO230" i="16"/>
  <c r="AG230" i="16"/>
  <c r="Y230" i="16"/>
  <c r="AO229" i="16"/>
  <c r="AG229" i="16"/>
  <c r="Y229" i="16"/>
  <c r="AF287" i="16"/>
  <c r="AN286" i="16"/>
  <c r="X286" i="16"/>
  <c r="AF285" i="16"/>
  <c r="AN284" i="16"/>
  <c r="X284" i="16"/>
  <c r="AF283" i="16"/>
  <c r="AN282" i="16"/>
  <c r="AN280" i="16"/>
  <c r="X280" i="16"/>
  <c r="AF279" i="16"/>
  <c r="AN278" i="16"/>
  <c r="X278" i="16"/>
  <c r="AF277" i="16"/>
  <c r="AN276" i="16"/>
  <c r="X276" i="16"/>
  <c r="AF275" i="16"/>
  <c r="AN274" i="16"/>
  <c r="X274" i="16"/>
  <c r="AF242" i="16"/>
  <c r="AN241" i="16"/>
  <c r="X241" i="16"/>
  <c r="AF240" i="16"/>
  <c r="AN239" i="16"/>
  <c r="X239" i="16"/>
  <c r="AF238" i="16"/>
  <c r="AN237" i="16"/>
  <c r="AN235" i="16"/>
  <c r="X235" i="16"/>
  <c r="AF234" i="16"/>
  <c r="AN233" i="16"/>
  <c r="X233" i="16"/>
  <c r="AF232" i="16"/>
  <c r="AN231" i="16"/>
  <c r="X231" i="16"/>
  <c r="AK230" i="16"/>
  <c r="W230" i="16"/>
  <c r="AH229" i="16"/>
  <c r="W229" i="16"/>
  <c r="AM197" i="16"/>
  <c r="AE197" i="16"/>
  <c r="W197" i="16"/>
  <c r="AM196" i="16"/>
  <c r="AE196" i="16"/>
  <c r="W196" i="16"/>
  <c r="AM195" i="16"/>
  <c r="AE195" i="16"/>
  <c r="W195" i="16"/>
  <c r="AM194" i="16"/>
  <c r="AE194" i="16"/>
  <c r="W194" i="16"/>
  <c r="AM193" i="16"/>
  <c r="AE193" i="16"/>
  <c r="W193" i="16"/>
  <c r="AM192" i="16"/>
  <c r="AM190" i="16"/>
  <c r="AE190" i="16"/>
  <c r="W190" i="16"/>
  <c r="AM189" i="16"/>
  <c r="AE189" i="16"/>
  <c r="W189" i="16"/>
  <c r="AM188" i="16"/>
  <c r="AE188" i="16"/>
  <c r="W188" i="16"/>
  <c r="AM187" i="16"/>
  <c r="AE187" i="16"/>
  <c r="W187" i="16"/>
  <c r="AM186" i="16"/>
  <c r="AE186" i="16"/>
  <c r="W186" i="16"/>
  <c r="AM185" i="16"/>
  <c r="AE185" i="16"/>
  <c r="W185" i="16"/>
  <c r="AM184" i="16"/>
  <c r="AE184" i="16"/>
  <c r="W184" i="16"/>
  <c r="AE287" i="16"/>
  <c r="AM286" i="16"/>
  <c r="W286" i="16"/>
  <c r="AE285" i="16"/>
  <c r="AM284" i="16"/>
  <c r="W284" i="16"/>
  <c r="AE283" i="16"/>
  <c r="AM282" i="16"/>
  <c r="AM280" i="16"/>
  <c r="W280" i="16"/>
  <c r="AE279" i="16"/>
  <c r="AM278" i="16"/>
  <c r="W278" i="16"/>
  <c r="AE277" i="16"/>
  <c r="AM276" i="16"/>
  <c r="W276" i="16"/>
  <c r="AE275" i="16"/>
  <c r="AM274" i="16"/>
  <c r="W274" i="16"/>
  <c r="AE242" i="16"/>
  <c r="AM241" i="16"/>
  <c r="W241" i="16"/>
  <c r="AE240" i="16"/>
  <c r="AM239" i="16"/>
  <c r="W239" i="16"/>
  <c r="AE238" i="16"/>
  <c r="AM237" i="16"/>
  <c r="AM235" i="16"/>
  <c r="W235" i="16"/>
  <c r="AE234" i="16"/>
  <c r="AM233" i="16"/>
  <c r="W233" i="16"/>
  <c r="AE232" i="16"/>
  <c r="AM231" i="16"/>
  <c r="W231" i="16"/>
  <c r="AH230" i="16"/>
  <c r="V230" i="16"/>
  <c r="AF229" i="16"/>
  <c r="V229" i="16"/>
  <c r="AL197" i="16"/>
  <c r="AD197" i="16"/>
  <c r="V197" i="16"/>
  <c r="AL196" i="16"/>
  <c r="AD196" i="16"/>
  <c r="V196" i="16"/>
  <c r="AL195" i="16"/>
  <c r="AD195" i="16"/>
  <c r="V195" i="16"/>
  <c r="AL194" i="16"/>
  <c r="AD194" i="16"/>
  <c r="V194" i="16"/>
  <c r="AL193" i="16"/>
  <c r="AD193" i="16"/>
  <c r="V193" i="16"/>
  <c r="AL190" i="16"/>
  <c r="AD190" i="16"/>
  <c r="V190" i="16"/>
  <c r="AL189" i="16"/>
  <c r="AD189" i="16"/>
  <c r="V189" i="16"/>
  <c r="AL188" i="16"/>
  <c r="AD188" i="16"/>
  <c r="V188" i="16"/>
  <c r="AL187" i="16"/>
  <c r="AD187" i="16"/>
  <c r="V187" i="16"/>
  <c r="AL186" i="16"/>
  <c r="AD186" i="16"/>
  <c r="V186" i="16"/>
  <c r="AL185" i="16"/>
  <c r="AD185" i="16"/>
  <c r="V185" i="16"/>
  <c r="AL184" i="16"/>
  <c r="AD287" i="16"/>
  <c r="AL286" i="16"/>
  <c r="V286" i="16"/>
  <c r="AD285" i="16"/>
  <c r="AL284" i="16"/>
  <c r="V284" i="16"/>
  <c r="AD283" i="16"/>
  <c r="AL280" i="16"/>
  <c r="V280" i="16"/>
  <c r="AD279" i="16"/>
  <c r="AL278" i="16"/>
  <c r="V278" i="16"/>
  <c r="AD277" i="16"/>
  <c r="AL276" i="16"/>
  <c r="V276" i="16"/>
  <c r="AD275" i="16"/>
  <c r="AL274" i="16"/>
  <c r="V274" i="16"/>
  <c r="AD242" i="16"/>
  <c r="AL241" i="16"/>
  <c r="V241" i="16"/>
  <c r="AD240" i="16"/>
  <c r="AL239" i="16"/>
  <c r="V239" i="16"/>
  <c r="AD238" i="16"/>
  <c r="AL235" i="16"/>
  <c r="V235" i="16"/>
  <c r="AD234" i="16"/>
  <c r="AL233" i="16"/>
  <c r="V233" i="16"/>
  <c r="AD232" i="16"/>
  <c r="AL231" i="16"/>
  <c r="V231" i="16"/>
  <c r="AF230" i="16"/>
  <c r="AS229" i="16"/>
  <c r="AE229" i="16"/>
  <c r="AS197" i="16"/>
  <c r="AK197" i="16"/>
  <c r="AC197" i="16"/>
  <c r="AS196" i="16"/>
  <c r="AK196" i="16"/>
  <c r="AC196" i="16"/>
  <c r="AS195" i="16"/>
  <c r="AK195" i="16"/>
  <c r="AC195" i="16"/>
  <c r="AS194" i="16"/>
  <c r="AK194" i="16"/>
  <c r="AC194" i="16"/>
  <c r="AS193" i="16"/>
  <c r="AK193" i="16"/>
  <c r="AC193" i="16"/>
  <c r="AS192" i="16"/>
  <c r="AK190" i="16"/>
  <c r="AC190" i="16"/>
  <c r="AS189" i="16"/>
  <c r="AK189" i="16"/>
  <c r="AC189" i="16"/>
  <c r="AS188" i="16"/>
  <c r="AK188" i="16"/>
  <c r="AC188" i="16"/>
  <c r="AS187" i="16"/>
  <c r="AK187" i="16"/>
  <c r="AC187" i="16"/>
  <c r="AS186" i="16"/>
  <c r="AK186" i="16"/>
  <c r="AC186" i="16"/>
  <c r="AS185" i="16"/>
  <c r="AK185" i="16"/>
  <c r="AC185" i="16"/>
  <c r="AS184" i="16"/>
  <c r="AK184" i="16"/>
  <c r="AS287" i="16"/>
  <c r="AC287" i="16"/>
  <c r="AK286" i="16"/>
  <c r="AS285" i="16"/>
  <c r="AC285" i="16"/>
  <c r="AK284" i="16"/>
  <c r="AS283" i="16"/>
  <c r="AC283" i="16"/>
  <c r="AK280" i="16"/>
  <c r="AS279" i="16"/>
  <c r="AC279" i="16"/>
  <c r="AK278" i="16"/>
  <c r="AS277" i="16"/>
  <c r="AC277" i="16"/>
  <c r="AK276" i="16"/>
  <c r="AS275" i="16"/>
  <c r="AC275" i="16"/>
  <c r="AK274" i="16"/>
  <c r="AS242" i="16"/>
  <c r="AC242" i="16"/>
  <c r="AK241" i="16"/>
  <c r="AS240" i="16"/>
  <c r="AC240" i="16"/>
  <c r="AK239" i="16"/>
  <c r="AS238" i="16"/>
  <c r="AC238" i="16"/>
  <c r="AK235" i="16"/>
  <c r="AS234" i="16"/>
  <c r="AC234" i="16"/>
  <c r="AK233" i="16"/>
  <c r="AS232" i="16"/>
  <c r="AC232" i="16"/>
  <c r="AK231" i="16"/>
  <c r="AS230" i="16"/>
  <c r="AE230" i="16"/>
  <c r="AP229" i="16"/>
  <c r="AD229" i="16"/>
  <c r="AR197" i="16"/>
  <c r="AJ197" i="16"/>
  <c r="AB197" i="16"/>
  <c r="AR196" i="16"/>
  <c r="AJ196" i="16"/>
  <c r="AB196" i="16"/>
  <c r="AR195" i="16"/>
  <c r="AJ195" i="16"/>
  <c r="AB195" i="16"/>
  <c r="AR194" i="16"/>
  <c r="AJ194" i="16"/>
  <c r="AB194" i="16"/>
  <c r="AR193" i="16"/>
  <c r="AJ193" i="16"/>
  <c r="AB193" i="16"/>
  <c r="AR192" i="16"/>
  <c r="AR190" i="16"/>
  <c r="AJ190" i="16"/>
  <c r="AB190" i="16"/>
  <c r="AR189" i="16"/>
  <c r="AJ189" i="16"/>
  <c r="AB189" i="16"/>
  <c r="AR188" i="16"/>
  <c r="AJ188" i="16"/>
  <c r="AB188" i="16"/>
  <c r="AR187" i="16"/>
  <c r="AJ187" i="16"/>
  <c r="AB187" i="16"/>
  <c r="AR186" i="16"/>
  <c r="AJ186" i="16"/>
  <c r="AB186" i="16"/>
  <c r="AR185" i="16"/>
  <c r="AJ185" i="16"/>
  <c r="AB185" i="16"/>
  <c r="AR184" i="16"/>
  <c r="AJ184" i="16"/>
  <c r="AB184" i="16"/>
  <c r="AR152" i="16"/>
  <c r="AJ152" i="16"/>
  <c r="AB152" i="16"/>
  <c r="AR151" i="16"/>
  <c r="AJ151" i="16"/>
  <c r="AB151" i="16"/>
  <c r="AR150" i="16"/>
  <c r="AJ150" i="16"/>
  <c r="AB150" i="16"/>
  <c r="AR149" i="16"/>
  <c r="AJ149" i="16"/>
  <c r="AB149" i="16"/>
  <c r="AR148" i="16"/>
  <c r="AJ148" i="16"/>
  <c r="AB148" i="16"/>
  <c r="AR147" i="16"/>
  <c r="V287" i="16"/>
  <c r="AL285" i="16"/>
  <c r="AD284" i="16"/>
  <c r="V283" i="16"/>
  <c r="AD280" i="16"/>
  <c r="V279" i="16"/>
  <c r="AL277" i="16"/>
  <c r="AD276" i="16"/>
  <c r="V275" i="16"/>
  <c r="AL242" i="16"/>
  <c r="AD241" i="16"/>
  <c r="V240" i="16"/>
  <c r="AL238" i="16"/>
  <c r="AL234" i="16"/>
  <c r="AD233" i="16"/>
  <c r="V232" i="16"/>
  <c r="AM230" i="16"/>
  <c r="AL229" i="16"/>
  <c r="AO197" i="16"/>
  <c r="Y197" i="16"/>
  <c r="AG196" i="16"/>
  <c r="AO195" i="16"/>
  <c r="Y195" i="16"/>
  <c r="AG194" i="16"/>
  <c r="AO193" i="16"/>
  <c r="Y193" i="16"/>
  <c r="AG190" i="16"/>
  <c r="AO189" i="16"/>
  <c r="Y189" i="16"/>
  <c r="AG188" i="16"/>
  <c r="AO187" i="16"/>
  <c r="Y187" i="16"/>
  <c r="AG186" i="16"/>
  <c r="AO185" i="16"/>
  <c r="Y185" i="16"/>
  <c r="AG184" i="16"/>
  <c r="V184" i="16"/>
  <c r="AK152" i="16"/>
  <c r="AA152" i="16"/>
  <c r="AP151" i="16"/>
  <c r="AG151" i="16"/>
  <c r="X151" i="16"/>
  <c r="AM150" i="16"/>
  <c r="AD150" i="16"/>
  <c r="AS149" i="16"/>
  <c r="AI149" i="16"/>
  <c r="Z149" i="16"/>
  <c r="AO148" i="16"/>
  <c r="AF148" i="16"/>
  <c r="W148" i="16"/>
  <c r="AP145" i="16"/>
  <c r="AH145" i="16"/>
  <c r="Z145" i="16"/>
  <c r="AP144" i="16"/>
  <c r="AH144" i="16"/>
  <c r="Z144" i="16"/>
  <c r="AP143" i="16"/>
  <c r="AH143" i="16"/>
  <c r="Z143" i="16"/>
  <c r="AP142" i="16"/>
  <c r="AH142" i="16"/>
  <c r="Z142" i="16"/>
  <c r="AP141" i="16"/>
  <c r="AH141" i="16"/>
  <c r="Z141" i="16"/>
  <c r="AP140" i="16"/>
  <c r="AH140" i="16"/>
  <c r="Z140" i="16"/>
  <c r="AS286" i="16"/>
  <c r="AK285" i="16"/>
  <c r="AC284" i="16"/>
  <c r="AS282" i="16"/>
  <c r="AC280" i="16"/>
  <c r="AS278" i="16"/>
  <c r="AK277" i="16"/>
  <c r="AC276" i="16"/>
  <c r="AS274" i="16"/>
  <c r="AK242" i="16"/>
  <c r="AC241" i="16"/>
  <c r="AS239" i="16"/>
  <c r="AK238" i="16"/>
  <c r="AK234" i="16"/>
  <c r="AC233" i="16"/>
  <c r="AS231" i="16"/>
  <c r="AL230" i="16"/>
  <c r="AK229" i="16"/>
  <c r="AN197" i="16"/>
  <c r="X197" i="16"/>
  <c r="AF196" i="16"/>
  <c r="AN195" i="16"/>
  <c r="X195" i="16"/>
  <c r="AF194" i="16"/>
  <c r="AN193" i="16"/>
  <c r="X193" i="16"/>
  <c r="AF190" i="16"/>
  <c r="AN189" i="16"/>
  <c r="X189" i="16"/>
  <c r="AF188" i="16"/>
  <c r="AN187" i="16"/>
  <c r="X187" i="16"/>
  <c r="AF186" i="16"/>
  <c r="AN185" i="16"/>
  <c r="X185" i="16"/>
  <c r="AF184" i="16"/>
  <c r="AS152" i="16"/>
  <c r="AI152" i="16"/>
  <c r="Z152" i="16"/>
  <c r="AO151" i="16"/>
  <c r="AF151" i="16"/>
  <c r="W151" i="16"/>
  <c r="AL150" i="16"/>
  <c r="AC150" i="16"/>
  <c r="AQ149" i="16"/>
  <c r="AH149" i="16"/>
  <c r="Y149" i="16"/>
  <c r="AN148" i="16"/>
  <c r="AE148" i="16"/>
  <c r="V148" i="16"/>
  <c r="AO145" i="16"/>
  <c r="AG145" i="16"/>
  <c r="Y145" i="16"/>
  <c r="AO144" i="16"/>
  <c r="AG144" i="16"/>
  <c r="Y144" i="16"/>
  <c r="AO143" i="16"/>
  <c r="AG143" i="16"/>
  <c r="Y143" i="16"/>
  <c r="AO142" i="16"/>
  <c r="AG142" i="16"/>
  <c r="Y142" i="16"/>
  <c r="AO141" i="16"/>
  <c r="AG141" i="16"/>
  <c r="Y141" i="16"/>
  <c r="AO140" i="16"/>
  <c r="AG140" i="16"/>
  <c r="Y140" i="16"/>
  <c r="AO139" i="16"/>
  <c r="AG139" i="16"/>
  <c r="Y139" i="16"/>
  <c r="AO107" i="16"/>
  <c r="AG107" i="16"/>
  <c r="Y107" i="16"/>
  <c r="AN287" i="16"/>
  <c r="AF286" i="16"/>
  <c r="X285" i="16"/>
  <c r="AN283" i="16"/>
  <c r="AN279" i="16"/>
  <c r="AF278" i="16"/>
  <c r="X277" i="16"/>
  <c r="AN275" i="16"/>
  <c r="AF274" i="16"/>
  <c r="X242" i="16"/>
  <c r="AN240" i="16"/>
  <c r="AF239" i="16"/>
  <c r="X238" i="16"/>
  <c r="AF235" i="16"/>
  <c r="X234" i="16"/>
  <c r="AN232" i="16"/>
  <c r="AF231" i="16"/>
  <c r="AD230" i="16"/>
  <c r="AC229" i="16"/>
  <c r="AI197" i="16"/>
  <c r="AQ196" i="16"/>
  <c r="AA196" i="16"/>
  <c r="AI195" i="16"/>
  <c r="AQ194" i="16"/>
  <c r="AA194" i="16"/>
  <c r="AI193" i="16"/>
  <c r="AQ192" i="16"/>
  <c r="AQ190" i="16"/>
  <c r="AA190" i="16"/>
  <c r="AI189" i="16"/>
  <c r="AQ188" i="16"/>
  <c r="AA188" i="16"/>
  <c r="AI187" i="16"/>
  <c r="AQ186" i="16"/>
  <c r="AA186" i="16"/>
  <c r="AI185" i="16"/>
  <c r="AQ184" i="16"/>
  <c r="AD184" i="16"/>
  <c r="AQ152" i="16"/>
  <c r="AH152" i="16"/>
  <c r="Y152" i="16"/>
  <c r="AN151" i="16"/>
  <c r="AE151" i="16"/>
  <c r="V151" i="16"/>
  <c r="AK150" i="16"/>
  <c r="AA150" i="16"/>
  <c r="AP149" i="16"/>
  <c r="AG149" i="16"/>
  <c r="X149" i="16"/>
  <c r="AM148" i="16"/>
  <c r="AD148" i="16"/>
  <c r="AS147" i="16"/>
  <c r="AN145" i="16"/>
  <c r="AF145" i="16"/>
  <c r="X145" i="16"/>
  <c r="AN144" i="16"/>
  <c r="AF144" i="16"/>
  <c r="X144" i="16"/>
  <c r="AN143" i="16"/>
  <c r="AF143" i="16"/>
  <c r="X143" i="16"/>
  <c r="AN142" i="16"/>
  <c r="AF142" i="16"/>
  <c r="X142" i="16"/>
  <c r="AN141" i="16"/>
  <c r="AF141" i="16"/>
  <c r="X141" i="16"/>
  <c r="AN140" i="16"/>
  <c r="AM287" i="16"/>
  <c r="AE286" i="16"/>
  <c r="W285" i="16"/>
  <c r="AM283" i="16"/>
  <c r="AM279" i="16"/>
  <c r="AE278" i="16"/>
  <c r="W277" i="16"/>
  <c r="AM275" i="16"/>
  <c r="AE274" i="16"/>
  <c r="W242" i="16"/>
  <c r="AM240" i="16"/>
  <c r="AE239" i="16"/>
  <c r="W238" i="16"/>
  <c r="AE235" i="16"/>
  <c r="W234" i="16"/>
  <c r="AM232" i="16"/>
  <c r="AE231" i="16"/>
  <c r="AC230" i="16"/>
  <c r="AB229" i="16"/>
  <c r="AH197" i="16"/>
  <c r="AP196" i="16"/>
  <c r="Z196" i="16"/>
  <c r="AH195" i="16"/>
  <c r="AP194" i="16"/>
  <c r="Z194" i="16"/>
  <c r="AH193" i="16"/>
  <c r="AP192" i="16"/>
  <c r="AP190" i="16"/>
  <c r="Z190" i="16"/>
  <c r="AH189" i="16"/>
  <c r="AP188" i="16"/>
  <c r="Z188" i="16"/>
  <c r="AH187" i="16"/>
  <c r="AP186" i="16"/>
  <c r="Z186" i="16"/>
  <c r="AH185" i="16"/>
  <c r="AP184" i="16"/>
  <c r="AC184" i="16"/>
  <c r="AP152" i="16"/>
  <c r="AG152" i="16"/>
  <c r="X152" i="16"/>
  <c r="AM151" i="16"/>
  <c r="AD151" i="16"/>
  <c r="AS150" i="16"/>
  <c r="AI150" i="16"/>
  <c r="Z150" i="16"/>
  <c r="AO149" i="16"/>
  <c r="AF149" i="16"/>
  <c r="W149" i="16"/>
  <c r="AL148" i="16"/>
  <c r="AC148" i="16"/>
  <c r="AQ147" i="16"/>
  <c r="AM145" i="16"/>
  <c r="AE145" i="16"/>
  <c r="W145" i="16"/>
  <c r="AM144" i="16"/>
  <c r="AE144" i="16"/>
  <c r="W144" i="16"/>
  <c r="AM143" i="16"/>
  <c r="AE143" i="16"/>
  <c r="W143" i="16"/>
  <c r="AM142" i="16"/>
  <c r="AE142" i="16"/>
  <c r="W142" i="16"/>
  <c r="AM141" i="16"/>
  <c r="AE141" i="16"/>
  <c r="W141" i="16"/>
  <c r="AM140" i="16"/>
  <c r="AE140" i="16"/>
  <c r="W140" i="16"/>
  <c r="AM139" i="16"/>
  <c r="AE139" i="16"/>
  <c r="W139" i="16"/>
  <c r="AM107" i="16"/>
  <c r="AE107" i="16"/>
  <c r="W107" i="16"/>
  <c r="AM106" i="16"/>
  <c r="AE106" i="16"/>
  <c r="W106" i="16"/>
  <c r="AM105" i="16"/>
  <c r="AE105" i="16"/>
  <c r="W105" i="16"/>
  <c r="AM104" i="16"/>
  <c r="AE104" i="16"/>
  <c r="W104" i="16"/>
  <c r="AN285" i="16"/>
  <c r="X283" i="16"/>
  <c r="AF280" i="16"/>
  <c r="AN277" i="16"/>
  <c r="X275" i="16"/>
  <c r="AF241" i="16"/>
  <c r="AN238" i="16"/>
  <c r="AF233" i="16"/>
  <c r="AP230" i="16"/>
  <c r="AQ197" i="16"/>
  <c r="AI196" i="16"/>
  <c r="AA195" i="16"/>
  <c r="AQ193" i="16"/>
  <c r="AQ189" i="16"/>
  <c r="AI188" i="16"/>
  <c r="AA187" i="16"/>
  <c r="AQ185" i="16"/>
  <c r="AI184" i="16"/>
  <c r="AM152" i="16"/>
  <c r="AS151" i="16"/>
  <c r="Z151" i="16"/>
  <c r="AF150" i="16"/>
  <c r="AL149" i="16"/>
  <c r="AQ148" i="16"/>
  <c r="Y148" i="16"/>
  <c r="AR145" i="16"/>
  <c r="AB145" i="16"/>
  <c r="AJ144" i="16"/>
  <c r="AR143" i="16"/>
  <c r="AB143" i="16"/>
  <c r="AJ142" i="16"/>
  <c r="AR141" i="16"/>
  <c r="AB141" i="16"/>
  <c r="AJ140" i="16"/>
  <c r="V140" i="16"/>
  <c r="AJ139" i="16"/>
  <c r="Z139" i="16"/>
  <c r="AL107" i="16"/>
  <c r="AB107" i="16"/>
  <c r="AP106" i="16"/>
  <c r="AG106" i="16"/>
  <c r="X106" i="16"/>
  <c r="AL105" i="16"/>
  <c r="AC105" i="16"/>
  <c r="AR104" i="16"/>
  <c r="AI104" i="16"/>
  <c r="Z104" i="16"/>
  <c r="AO103" i="16"/>
  <c r="AG103" i="16"/>
  <c r="Y103" i="16"/>
  <c r="AO102" i="16"/>
  <c r="AO100" i="16"/>
  <c r="AG100" i="16"/>
  <c r="Y100" i="16"/>
  <c r="AO99" i="16"/>
  <c r="AG99" i="16"/>
  <c r="Y99" i="16"/>
  <c r="AO98" i="16"/>
  <c r="AG98" i="16"/>
  <c r="Y98" i="16"/>
  <c r="AO97" i="16"/>
  <c r="AG97" i="16"/>
  <c r="Y97" i="16"/>
  <c r="AO96" i="16"/>
  <c r="AG96" i="16"/>
  <c r="Y96" i="16"/>
  <c r="AO95" i="16"/>
  <c r="AG95" i="16"/>
  <c r="Y95" i="16"/>
  <c r="AO94" i="16"/>
  <c r="AG94" i="16"/>
  <c r="Y94" i="16"/>
  <c r="AA193" i="16"/>
  <c r="AA185" i="16"/>
  <c r="AM285" i="16"/>
  <c r="W283" i="16"/>
  <c r="AE280" i="16"/>
  <c r="AM277" i="16"/>
  <c r="W275" i="16"/>
  <c r="AE241" i="16"/>
  <c r="AM238" i="16"/>
  <c r="AE233" i="16"/>
  <c r="AN230" i="16"/>
  <c r="AP197" i="16"/>
  <c r="AH196" i="16"/>
  <c r="Z195" i="16"/>
  <c r="AP193" i="16"/>
  <c r="AP189" i="16"/>
  <c r="AH188" i="16"/>
  <c r="Z187" i="16"/>
  <c r="AP185" i="16"/>
  <c r="AH184" i="16"/>
  <c r="AL152" i="16"/>
  <c r="AQ151" i="16"/>
  <c r="Y151" i="16"/>
  <c r="AE150" i="16"/>
  <c r="AK149" i="16"/>
  <c r="AP148" i="16"/>
  <c r="X148" i="16"/>
  <c r="AQ145" i="16"/>
  <c r="AA145" i="16"/>
  <c r="AI144" i="16"/>
  <c r="AQ143" i="16"/>
  <c r="AA143" i="16"/>
  <c r="AI142" i="16"/>
  <c r="AQ141" i="16"/>
  <c r="AA141" i="16"/>
  <c r="AI140" i="16"/>
  <c r="AS139" i="16"/>
  <c r="AI139" i="16"/>
  <c r="X139" i="16"/>
  <c r="AK107" i="16"/>
  <c r="AA107" i="16"/>
  <c r="AO106" i="16"/>
  <c r="AF106" i="16"/>
  <c r="V106" i="16"/>
  <c r="AK105" i="16"/>
  <c r="AB105" i="16"/>
  <c r="AQ104" i="16"/>
  <c r="AH104" i="16"/>
  <c r="Y104" i="16"/>
  <c r="AN103" i="16"/>
  <c r="AF103" i="16"/>
  <c r="X103" i="16"/>
  <c r="AN102" i="16"/>
  <c r="AN100" i="16"/>
  <c r="AF100" i="16"/>
  <c r="X100" i="16"/>
  <c r="AN99" i="16"/>
  <c r="AF99" i="16"/>
  <c r="X99" i="16"/>
  <c r="AN98" i="16"/>
  <c r="AF98" i="16"/>
  <c r="X98" i="16"/>
  <c r="AN97" i="16"/>
  <c r="AF97" i="16"/>
  <c r="X97" i="16"/>
  <c r="AN96" i="16"/>
  <c r="AF96" i="16"/>
  <c r="X96" i="16"/>
  <c r="AN95" i="16"/>
  <c r="AF95" i="16"/>
  <c r="X95" i="16"/>
  <c r="AN94" i="16"/>
  <c r="AF94" i="16"/>
  <c r="X94" i="16"/>
  <c r="Y184" i="16"/>
  <c r="AL287" i="16"/>
  <c r="V285" i="16"/>
  <c r="AL279" i="16"/>
  <c r="V277" i="16"/>
  <c r="AD274" i="16"/>
  <c r="AL240" i="16"/>
  <c r="V238" i="16"/>
  <c r="AD235" i="16"/>
  <c r="AL232" i="16"/>
  <c r="Z230" i="16"/>
  <c r="AG197" i="16"/>
  <c r="Y196" i="16"/>
  <c r="AO194" i="16"/>
  <c r="AG193" i="16"/>
  <c r="AO190" i="16"/>
  <c r="AG189" i="16"/>
  <c r="Y188" i="16"/>
  <c r="AO186" i="16"/>
  <c r="AG185" i="16"/>
  <c r="AA184" i="16"/>
  <c r="AF152" i="16"/>
  <c r="AL151" i="16"/>
  <c r="AQ150" i="16"/>
  <c r="Y150" i="16"/>
  <c r="AE149" i="16"/>
  <c r="AK148" i="16"/>
  <c r="AP147" i="16"/>
  <c r="AL145" i="16"/>
  <c r="V145" i="16"/>
  <c r="AD144" i="16"/>
  <c r="AL143" i="16"/>
  <c r="V143" i="16"/>
  <c r="AD142" i="16"/>
  <c r="AL141" i="16"/>
  <c r="V141" i="16"/>
  <c r="AF140" i="16"/>
  <c r="AR139" i="16"/>
  <c r="AH139" i="16"/>
  <c r="V139" i="16"/>
  <c r="AJ107" i="16"/>
  <c r="Z107" i="16"/>
  <c r="AN106" i="16"/>
  <c r="AD106" i="16"/>
  <c r="AS105" i="16"/>
  <c r="AJ105" i="16"/>
  <c r="AA105" i="16"/>
  <c r="AP104" i="16"/>
  <c r="AG104" i="16"/>
  <c r="X104" i="16"/>
  <c r="AM103" i="16"/>
  <c r="AE103" i="16"/>
  <c r="W103" i="16"/>
  <c r="AM102" i="16"/>
  <c r="AM100" i="16"/>
  <c r="AE100" i="16"/>
  <c r="W100" i="16"/>
  <c r="AM99" i="16"/>
  <c r="AE99" i="16"/>
  <c r="W99" i="16"/>
  <c r="AM98" i="16"/>
  <c r="AE98" i="16"/>
  <c r="W98" i="16"/>
  <c r="AM97" i="16"/>
  <c r="AE97" i="16"/>
  <c r="W97" i="16"/>
  <c r="AM96" i="16"/>
  <c r="AE96" i="16"/>
  <c r="W96" i="16"/>
  <c r="AM95" i="16"/>
  <c r="AE95" i="16"/>
  <c r="W95" i="16"/>
  <c r="AM94" i="16"/>
  <c r="AE94" i="16"/>
  <c r="W94" i="16"/>
  <c r="AI194" i="16"/>
  <c r="AQ187" i="16"/>
  <c r="AK287" i="16"/>
  <c r="AS284" i="16"/>
  <c r="AK279" i="16"/>
  <c r="AS276" i="16"/>
  <c r="AC274" i="16"/>
  <c r="AK240" i="16"/>
  <c r="AS237" i="16"/>
  <c r="AC235" i="16"/>
  <c r="AK232" i="16"/>
  <c r="X230" i="16"/>
  <c r="AF197" i="16"/>
  <c r="X196" i="16"/>
  <c r="AN194" i="16"/>
  <c r="AF193" i="16"/>
  <c r="AN190" i="16"/>
  <c r="AF189" i="16"/>
  <c r="X188" i="16"/>
  <c r="AN186" i="16"/>
  <c r="AF185" i="16"/>
  <c r="Z184" i="16"/>
  <c r="AE152" i="16"/>
  <c r="AK151" i="16"/>
  <c r="AP150" i="16"/>
  <c r="X150" i="16"/>
  <c r="AD149" i="16"/>
  <c r="AI148" i="16"/>
  <c r="AO147" i="16"/>
  <c r="AK145" i="16"/>
  <c r="AS144" i="16"/>
  <c r="AC144" i="16"/>
  <c r="AK143" i="16"/>
  <c r="AS142" i="16"/>
  <c r="AC142" i="16"/>
  <c r="AK141" i="16"/>
  <c r="AS140" i="16"/>
  <c r="AD140" i="16"/>
  <c r="AQ139" i="16"/>
  <c r="AF139" i="16"/>
  <c r="AS107" i="16"/>
  <c r="AI107" i="16"/>
  <c r="X107" i="16"/>
  <c r="AL106" i="16"/>
  <c r="AC106" i="16"/>
  <c r="AR105" i="16"/>
  <c r="AI105" i="16"/>
  <c r="Z105" i="16"/>
  <c r="AO104" i="16"/>
  <c r="AF104" i="16"/>
  <c r="V104" i="16"/>
  <c r="AL103" i="16"/>
  <c r="AD103" i="16"/>
  <c r="V103" i="16"/>
  <c r="AL100" i="16"/>
  <c r="AD100" i="16"/>
  <c r="V100" i="16"/>
  <c r="AL99" i="16"/>
  <c r="AD99" i="16"/>
  <c r="V99" i="16"/>
  <c r="AL98" i="16"/>
  <c r="AD98" i="16"/>
  <c r="V98" i="16"/>
  <c r="AL97" i="16"/>
  <c r="AD97" i="16"/>
  <c r="V97" i="16"/>
  <c r="AL96" i="16"/>
  <c r="AD96" i="16"/>
  <c r="V96" i="16"/>
  <c r="AL95" i="16"/>
  <c r="AD95" i="16"/>
  <c r="V95" i="16"/>
  <c r="AL94" i="16"/>
  <c r="AD94" i="16"/>
  <c r="V94" i="16"/>
  <c r="X287" i="16"/>
  <c r="AF284" i="16"/>
  <c r="X279" i="16"/>
  <c r="AF276" i="16"/>
  <c r="AN242" i="16"/>
  <c r="X240" i="16"/>
  <c r="AN234" i="16"/>
  <c r="X232" i="16"/>
  <c r="AN229" i="16"/>
  <c r="AA197" i="16"/>
  <c r="AQ195" i="16"/>
  <c r="AI190" i="16"/>
  <c r="AA189" i="16"/>
  <c r="AI186" i="16"/>
  <c r="AD152" i="16"/>
  <c r="AB95" i="16"/>
  <c r="AR97" i="16"/>
  <c r="AJ100" i="16"/>
  <c r="AB103" i="16"/>
  <c r="AA106" i="16"/>
  <c r="AQ140" i="16"/>
  <c r="AC152" i="16"/>
  <c r="AC286" i="16"/>
  <c r="AB94" i="16"/>
  <c r="AR94" i="16"/>
  <c r="AJ95" i="16"/>
  <c r="AB96" i="16"/>
  <c r="AR96" i="16"/>
  <c r="AJ97" i="16"/>
  <c r="AB98" i="16"/>
  <c r="AR98" i="16"/>
  <c r="AJ99" i="16"/>
  <c r="AB100" i="16"/>
  <c r="AR100" i="16"/>
  <c r="AR102" i="16"/>
  <c r="AJ103" i="16"/>
  <c r="AC104" i="16"/>
  <c r="X105" i="16"/>
  <c r="AP105" i="16"/>
  <c r="AJ106" i="16"/>
  <c r="AF107" i="16"/>
  <c r="AC139" i="16"/>
  <c r="AB140" i="16"/>
  <c r="AI141" i="16"/>
  <c r="AQ142" i="16"/>
  <c r="AA144" i="16"/>
  <c r="AI145" i="16"/>
  <c r="AG148" i="16"/>
  <c r="V150" i="16"/>
  <c r="AH151" i="16"/>
  <c r="AN184" i="16"/>
  <c r="AP187" i="16"/>
  <c r="AF195" i="16"/>
  <c r="AM229" i="16"/>
  <c r="AK275" i="16"/>
  <c r="AN62" i="16"/>
  <c r="V21" i="16"/>
  <c r="V22" i="16"/>
  <c r="V23" i="16"/>
  <c r="Y55" i="16"/>
  <c r="AS62" i="16"/>
  <c r="AL52" i="16"/>
  <c r="V53" i="16"/>
  <c r="AL53" i="16"/>
  <c r="V54" i="16"/>
  <c r="AD54" i="16"/>
  <c r="AL54" i="16"/>
  <c r="V55" i="16"/>
  <c r="AD55" i="16"/>
  <c r="AL55" i="16"/>
  <c r="V58" i="16"/>
  <c r="AD58" i="16"/>
  <c r="AL61" i="16"/>
  <c r="AL50" i="16"/>
  <c r="AM61" i="16"/>
  <c r="AD53" i="16"/>
  <c r="W52" i="16"/>
  <c r="AM50" i="16"/>
  <c r="AM49" i="16"/>
  <c r="AH5" i="16"/>
  <c r="AM51" i="16"/>
  <c r="AE50" i="16"/>
  <c r="W49" i="16"/>
  <c r="AE52" i="16"/>
  <c r="W51" i="16"/>
  <c r="AE49" i="16"/>
  <c r="AE51" i="16"/>
  <c r="W50" i="16"/>
  <c r="V59" i="16"/>
  <c r="AD59" i="16"/>
  <c r="AL58" i="16"/>
  <c r="AE61" i="16"/>
  <c r="AD61" i="16"/>
  <c r="AM62" i="16"/>
  <c r="AL62" i="16"/>
  <c r="AE53" i="16"/>
  <c r="AM10" i="16"/>
  <c r="AD51" i="16"/>
  <c r="V49" i="16"/>
  <c r="AL51" i="16"/>
  <c r="AO60" i="16"/>
  <c r="AD49" i="16"/>
  <c r="V52" i="16"/>
  <c r="Y4" i="16"/>
  <c r="W53" i="16"/>
  <c r="AF59" i="16"/>
  <c r="AL49" i="16"/>
  <c r="AD52" i="16"/>
  <c r="X60" i="16"/>
  <c r="AM60" i="16"/>
  <c r="AM59" i="16"/>
  <c r="AD60" i="16"/>
  <c r="AN60" i="16"/>
  <c r="W60" i="16"/>
  <c r="AL60" i="16"/>
  <c r="AF60" i="16"/>
  <c r="AE60" i="16"/>
  <c r="V61" i="16"/>
  <c r="V60" i="16"/>
  <c r="X61" i="16"/>
  <c r="AN59" i="16"/>
  <c r="W61" i="16"/>
  <c r="AL59" i="16"/>
  <c r="W62" i="16"/>
  <c r="V62" i="16"/>
  <c r="V51" i="16"/>
  <c r="AM52" i="16"/>
  <c r="AM54" i="16"/>
  <c r="V50" i="16"/>
  <c r="AD62" i="16"/>
  <c r="AE62" i="16"/>
  <c r="AD50" i="16"/>
  <c r="AO12" i="16"/>
  <c r="AE54" i="16"/>
  <c r="AE55" i="16"/>
  <c r="W58" i="16"/>
  <c r="AE59" i="16"/>
  <c r="X49" i="16"/>
  <c r="AF50" i="16"/>
  <c r="AN51" i="16"/>
  <c r="X53" i="16"/>
  <c r="AF54" i="16"/>
  <c r="AN55" i="16"/>
  <c r="AF58" i="16"/>
  <c r="AF62" i="16"/>
  <c r="AG49" i="16"/>
  <c r="AO50" i="16"/>
  <c r="Y52" i="16"/>
  <c r="AG53" i="16"/>
  <c r="AO54" i="16"/>
  <c r="AG58" i="16"/>
  <c r="AG59" i="16"/>
  <c r="AG60" i="16"/>
  <c r="Y61" i="16"/>
  <c r="AG61" i="16"/>
  <c r="AO61" i="16"/>
  <c r="Y62" i="16"/>
  <c r="AG62" i="16"/>
  <c r="AO62" i="16"/>
  <c r="AD9" i="16"/>
  <c r="AP13" i="16"/>
  <c r="Z49" i="16"/>
  <c r="AH49" i="16"/>
  <c r="AP49" i="16"/>
  <c r="Z50" i="16"/>
  <c r="AH50" i="16"/>
  <c r="AP50" i="16"/>
  <c r="Z51" i="16"/>
  <c r="AH51" i="16"/>
  <c r="AP51" i="16"/>
  <c r="Z52" i="16"/>
  <c r="AH52" i="16"/>
  <c r="AP52" i="16"/>
  <c r="Z53" i="16"/>
  <c r="AH53" i="16"/>
  <c r="AP53" i="16"/>
  <c r="Z54" i="16"/>
  <c r="AH54" i="16"/>
  <c r="AP54" i="16"/>
  <c r="Z55" i="16"/>
  <c r="AH55" i="16"/>
  <c r="AP55" i="16"/>
  <c r="AP57" i="16"/>
  <c r="Z58" i="16"/>
  <c r="AH58" i="16"/>
  <c r="AP58" i="16"/>
  <c r="Z59" i="16"/>
  <c r="AH59" i="16"/>
  <c r="AP59" i="16"/>
  <c r="Z60" i="16"/>
  <c r="AH60" i="16"/>
  <c r="AP60" i="16"/>
  <c r="Z61" i="16"/>
  <c r="AH61" i="16"/>
  <c r="AP61" i="16"/>
  <c r="Z62" i="16"/>
  <c r="AH62" i="16"/>
  <c r="AP62" i="16"/>
  <c r="AM53" i="16"/>
  <c r="W55" i="16"/>
  <c r="AM57" i="16"/>
  <c r="W59" i="16"/>
  <c r="AK8" i="16"/>
  <c r="AN49" i="16"/>
  <c r="X51" i="16"/>
  <c r="AF52" i="16"/>
  <c r="AN53" i="16"/>
  <c r="X55" i="16"/>
  <c r="AN57" i="16"/>
  <c r="AN58" i="16"/>
  <c r="X62" i="16"/>
  <c r="Y49" i="16"/>
  <c r="AG50" i="16"/>
  <c r="AO51" i="16"/>
  <c r="Y53" i="16"/>
  <c r="AG54" i="16"/>
  <c r="AO55" i="16"/>
  <c r="AO58" i="16"/>
  <c r="Y60" i="16"/>
  <c r="AO4" i="16"/>
  <c r="AJ7" i="16"/>
  <c r="AR7" i="16"/>
  <c r="AC8" i="16"/>
  <c r="AL9" i="16"/>
  <c r="AA14" i="16"/>
  <c r="AA49" i="16"/>
  <c r="AI49" i="16"/>
  <c r="AQ49" i="16"/>
  <c r="AA50" i="16"/>
  <c r="AI50" i="16"/>
  <c r="AQ50" i="16"/>
  <c r="AA51" i="16"/>
  <c r="AI51" i="16"/>
  <c r="AQ51" i="16"/>
  <c r="AA52" i="16"/>
  <c r="AI52" i="16"/>
  <c r="AQ52" i="16"/>
  <c r="AA53" i="16"/>
  <c r="AI53" i="16"/>
  <c r="AQ53" i="16"/>
  <c r="AA54" i="16"/>
  <c r="AI54" i="16"/>
  <c r="AQ54" i="16"/>
  <c r="AA55" i="16"/>
  <c r="AI55" i="16"/>
  <c r="AQ55" i="16"/>
  <c r="AQ57" i="16"/>
  <c r="AA58" i="16"/>
  <c r="AI58" i="16"/>
  <c r="AQ58" i="16"/>
  <c r="AA59" i="16"/>
  <c r="AI59" i="16"/>
  <c r="AQ59" i="16"/>
  <c r="AA60" i="16"/>
  <c r="AI60" i="16"/>
  <c r="AQ60" i="16"/>
  <c r="AA61" i="16"/>
  <c r="AI61" i="16"/>
  <c r="AQ61" i="16"/>
  <c r="AA62" i="16"/>
  <c r="AI62" i="16"/>
  <c r="AQ62" i="16"/>
  <c r="W54" i="16"/>
  <c r="AM55" i="16"/>
  <c r="AM58" i="16"/>
  <c r="AB15" i="16"/>
  <c r="AF49" i="16"/>
  <c r="AN50" i="16"/>
  <c r="X52" i="16"/>
  <c r="AF53" i="16"/>
  <c r="AN54" i="16"/>
  <c r="X59" i="16"/>
  <c r="AN61" i="16"/>
  <c r="AH13" i="16"/>
  <c r="Y50" i="16"/>
  <c r="AG51" i="16"/>
  <c r="AO52" i="16"/>
  <c r="Y54" i="16"/>
  <c r="AG55" i="16"/>
  <c r="Y58" i="16"/>
  <c r="AO59" i="16"/>
  <c r="Z5" i="16"/>
  <c r="W10" i="16"/>
  <c r="AI14" i="16"/>
  <c r="AB49" i="16"/>
  <c r="AJ49" i="16"/>
  <c r="AR49" i="16"/>
  <c r="AB50" i="16"/>
  <c r="AJ50" i="16"/>
  <c r="AR50" i="16"/>
  <c r="AB51" i="16"/>
  <c r="AJ51" i="16"/>
  <c r="AR51" i="16"/>
  <c r="AB52" i="16"/>
  <c r="AJ52" i="16"/>
  <c r="AR52" i="16"/>
  <c r="AB53" i="16"/>
  <c r="AJ53" i="16"/>
  <c r="AR53" i="16"/>
  <c r="AB54" i="16"/>
  <c r="AJ54" i="16"/>
  <c r="AR54" i="16"/>
  <c r="AB55" i="16"/>
  <c r="AJ55" i="16"/>
  <c r="AR55" i="16"/>
  <c r="AR57" i="16"/>
  <c r="AB58" i="16"/>
  <c r="AJ58" i="16"/>
  <c r="AR58" i="16"/>
  <c r="AB59" i="16"/>
  <c r="AJ59" i="16"/>
  <c r="AR59" i="16"/>
  <c r="AB60" i="16"/>
  <c r="AJ60" i="16"/>
  <c r="AR60" i="16"/>
  <c r="AB61" i="16"/>
  <c r="AJ61" i="16"/>
  <c r="AR61" i="16"/>
  <c r="AB62" i="16"/>
  <c r="AJ62" i="16"/>
  <c r="AR62" i="16"/>
  <c r="AE58" i="16"/>
  <c r="Z13" i="16"/>
  <c r="X50" i="16"/>
  <c r="AF51" i="16"/>
  <c r="AN52" i="16"/>
  <c r="X54" i="16"/>
  <c r="AF55" i="16"/>
  <c r="X58" i="16"/>
  <c r="AF61" i="16"/>
  <c r="AS8" i="16"/>
  <c r="AO49" i="16"/>
  <c r="Y51" i="16"/>
  <c r="AG52" i="16"/>
  <c r="AO53" i="16"/>
  <c r="AO57" i="16"/>
  <c r="Y59" i="16"/>
  <c r="AE10" i="16"/>
  <c r="AQ14" i="16"/>
  <c r="AC49" i="16"/>
  <c r="AK49" i="16"/>
  <c r="AS49" i="16"/>
  <c r="AC50" i="16"/>
  <c r="AK50" i="16"/>
  <c r="AS50" i="16"/>
  <c r="AC51" i="16"/>
  <c r="AK51" i="16"/>
  <c r="AS51" i="16"/>
  <c r="AC52" i="16"/>
  <c r="AK52" i="16"/>
  <c r="AS52" i="16"/>
  <c r="AC53" i="16"/>
  <c r="AK53" i="16"/>
  <c r="AS53" i="16"/>
  <c r="AC54" i="16"/>
  <c r="AK54" i="16"/>
  <c r="AS54" i="16"/>
  <c r="AC55" i="16"/>
  <c r="AK55" i="16"/>
  <c r="AS57" i="16"/>
  <c r="AC58" i="16"/>
  <c r="AK58" i="16"/>
  <c r="AS58" i="16"/>
  <c r="AC59" i="16"/>
  <c r="AK59" i="16"/>
  <c r="AS59" i="16"/>
  <c r="AC60" i="16"/>
  <c r="AK60" i="16"/>
  <c r="AS60" i="16"/>
  <c r="AC61" i="16"/>
  <c r="AK61" i="16"/>
  <c r="AS61" i="16"/>
  <c r="AC62" i="16"/>
  <c r="AK62" i="16"/>
  <c r="AI6" i="16"/>
  <c r="AQ6" i="16"/>
  <c r="AA6" i="16"/>
  <c r="AB7" i="16"/>
  <c r="AP5" i="16"/>
  <c r="AS17" i="16"/>
  <c r="AG4" i="16"/>
  <c r="AR15" i="16"/>
  <c r="AJ15" i="16"/>
  <c r="AL17" i="16"/>
  <c r="AC16" i="16"/>
  <c r="AK16" i="16"/>
  <c r="AD17" i="16"/>
  <c r="AS16" i="16"/>
  <c r="AH4" i="16"/>
  <c r="AQ5" i="16"/>
  <c r="AC7" i="16"/>
  <c r="AL8" i="16"/>
  <c r="X10" i="16"/>
  <c r="AP12" i="16"/>
  <c r="AB14" i="16"/>
  <c r="AK15" i="16"/>
  <c r="W17" i="16"/>
  <c r="AA4" i="16"/>
  <c r="AJ5" i="16"/>
  <c r="AS6" i="16"/>
  <c r="AE8" i="16"/>
  <c r="AN9" i="16"/>
  <c r="AR13" i="16"/>
  <c r="AD15" i="16"/>
  <c r="AE16" i="16"/>
  <c r="AN17" i="16"/>
  <c r="AV180" i="16"/>
  <c r="AJ4" i="16"/>
  <c r="AS5" i="16"/>
  <c r="AE7" i="16"/>
  <c r="AN8" i="16"/>
  <c r="Z10" i="16"/>
  <c r="AK13" i="16"/>
  <c r="AD14" i="16"/>
  <c r="W15" i="16"/>
  <c r="AE15" i="16"/>
  <c r="AM15" i="16"/>
  <c r="X16" i="16"/>
  <c r="AF16" i="16"/>
  <c r="AN16" i="16"/>
  <c r="Y17" i="16"/>
  <c r="AG17" i="16"/>
  <c r="AO17" i="16"/>
  <c r="AV181" i="16"/>
  <c r="AC4" i="16"/>
  <c r="AK4" i="16"/>
  <c r="AS4" i="16"/>
  <c r="AD5" i="16"/>
  <c r="AL5" i="16"/>
  <c r="W6" i="16"/>
  <c r="AE6" i="16"/>
  <c r="AM6" i="16"/>
  <c r="X7" i="16"/>
  <c r="AF7" i="16"/>
  <c r="AN7" i="16"/>
  <c r="Y8" i="16"/>
  <c r="AG8" i="16"/>
  <c r="AO8" i="16"/>
  <c r="Z9" i="16"/>
  <c r="AH9" i="16"/>
  <c r="AP9" i="16"/>
  <c r="AA10" i="16"/>
  <c r="AI10" i="16"/>
  <c r="AQ10" i="16"/>
  <c r="AS12" i="16"/>
  <c r="AD13" i="16"/>
  <c r="AL13" i="16"/>
  <c r="W14" i="16"/>
  <c r="AE14" i="16"/>
  <c r="AM14" i="16"/>
  <c r="X15" i="16"/>
  <c r="AF15" i="16"/>
  <c r="AN15" i="16"/>
  <c r="Y16" i="16"/>
  <c r="AG16" i="16"/>
  <c r="AO16" i="16"/>
  <c r="Z17" i="16"/>
  <c r="AH17" i="16"/>
  <c r="AP17" i="16"/>
  <c r="AP4" i="16"/>
  <c r="AB6" i="16"/>
  <c r="AK7" i="16"/>
  <c r="W9" i="16"/>
  <c r="AF10" i="16"/>
  <c r="AA13" i="16"/>
  <c r="AR14" i="16"/>
  <c r="AD16" i="16"/>
  <c r="AM17" i="16"/>
  <c r="AQ4" i="16"/>
  <c r="AC6" i="16"/>
  <c r="AL7" i="16"/>
  <c r="X9" i="16"/>
  <c r="AG10" i="16"/>
  <c r="AB13" i="16"/>
  <c r="AK14" i="16"/>
  <c r="W16" i="16"/>
  <c r="AF17" i="16"/>
  <c r="AB4" i="16"/>
  <c r="AK5" i="16"/>
  <c r="W7" i="16"/>
  <c r="AF8" i="16"/>
  <c r="AO9" i="16"/>
  <c r="AS13" i="16"/>
  <c r="V5" i="16"/>
  <c r="AV182" i="16"/>
  <c r="AD4" i="16"/>
  <c r="AL4" i="16"/>
  <c r="W5" i="16"/>
  <c r="AE5" i="16"/>
  <c r="AM5" i="16"/>
  <c r="X6" i="16"/>
  <c r="AF6" i="16"/>
  <c r="AN6" i="16"/>
  <c r="Y7" i="16"/>
  <c r="AG7" i="16"/>
  <c r="AO7" i="16"/>
  <c r="Z8" i="16"/>
  <c r="AH8" i="16"/>
  <c r="AP8" i="16"/>
  <c r="AA9" i="16"/>
  <c r="AI9" i="16"/>
  <c r="AQ9" i="16"/>
  <c r="AB10" i="16"/>
  <c r="AJ10" i="16"/>
  <c r="AR10" i="16"/>
  <c r="W13" i="16"/>
  <c r="AE13" i="16"/>
  <c r="AM13" i="16"/>
  <c r="X14" i="16"/>
  <c r="AF14" i="16"/>
  <c r="AN14" i="16"/>
  <c r="Y15" i="16"/>
  <c r="AG15" i="16"/>
  <c r="AO15" i="16"/>
  <c r="Z16" i="16"/>
  <c r="AH16" i="16"/>
  <c r="AP16" i="16"/>
  <c r="AA17" i="16"/>
  <c r="AI17" i="16"/>
  <c r="AQ17" i="16"/>
  <c r="Z4" i="16"/>
  <c r="AI5" i="16"/>
  <c r="AR6" i="16"/>
  <c r="AD8" i="16"/>
  <c r="AM9" i="16"/>
  <c r="AQ13" i="16"/>
  <c r="AC15" i="16"/>
  <c r="AL16" i="16"/>
  <c r="AI4" i="16"/>
  <c r="AR5" i="16"/>
  <c r="AD7" i="16"/>
  <c r="AM8" i="16"/>
  <c r="Y10" i="16"/>
  <c r="AQ12" i="16"/>
  <c r="AC14" i="16"/>
  <c r="AL15" i="16"/>
  <c r="X17" i="16"/>
  <c r="AR4" i="16"/>
  <c r="AD6" i="16"/>
  <c r="AM7" i="16"/>
  <c r="Y9" i="16"/>
  <c r="AH10" i="16"/>
  <c r="AC13" i="16"/>
  <c r="AL14" i="16"/>
  <c r="W4" i="16"/>
  <c r="AE4" i="16"/>
  <c r="AM4" i="16"/>
  <c r="X5" i="16"/>
  <c r="AF5" i="16"/>
  <c r="AN5" i="16"/>
  <c r="Y6" i="16"/>
  <c r="AG6" i="16"/>
  <c r="AO6" i="16"/>
  <c r="Z7" i="16"/>
  <c r="AH7" i="16"/>
  <c r="AP7" i="16"/>
  <c r="AA8" i="16"/>
  <c r="AI8" i="16"/>
  <c r="AQ8" i="16"/>
  <c r="AB9" i="16"/>
  <c r="AJ9" i="16"/>
  <c r="AR9" i="16"/>
  <c r="AC10" i="16"/>
  <c r="AK10" i="16"/>
  <c r="AM12" i="16"/>
  <c r="X13" i="16"/>
  <c r="AF13" i="16"/>
  <c r="AN13" i="16"/>
  <c r="Y14" i="16"/>
  <c r="AG14" i="16"/>
  <c r="AO14" i="16"/>
  <c r="Z15" i="16"/>
  <c r="AH15" i="16"/>
  <c r="AP15" i="16"/>
  <c r="AA16" i="16"/>
  <c r="AI16" i="16"/>
  <c r="AQ16" i="16"/>
  <c r="AB17" i="16"/>
  <c r="AJ17" i="16"/>
  <c r="AR17" i="16"/>
  <c r="AA5" i="16"/>
  <c r="AJ6" i="16"/>
  <c r="AS7" i="16"/>
  <c r="AE9" i="16"/>
  <c r="AN10" i="16"/>
  <c r="AI13" i="16"/>
  <c r="AJ14" i="16"/>
  <c r="AS15" i="16"/>
  <c r="AE17" i="16"/>
  <c r="AB5" i="16"/>
  <c r="AK6" i="16"/>
  <c r="W8" i="16"/>
  <c r="AF9" i="16"/>
  <c r="AO10" i="16"/>
  <c r="AJ13" i="16"/>
  <c r="AS14" i="16"/>
  <c r="AM16" i="16"/>
  <c r="AC5" i="16"/>
  <c r="AL6" i="16"/>
  <c r="X8" i="16"/>
  <c r="AG9" i="16"/>
  <c r="AP10" i="16"/>
  <c r="AR12" i="16"/>
  <c r="X4" i="16"/>
  <c r="AF4" i="16"/>
  <c r="AN4" i="16"/>
  <c r="Y5" i="16"/>
  <c r="AG5" i="16"/>
  <c r="AO5" i="16"/>
  <c r="Z6" i="16"/>
  <c r="AH6" i="16"/>
  <c r="AP6" i="16"/>
  <c r="AA7" i="16"/>
  <c r="AI7" i="16"/>
  <c r="AQ7" i="16"/>
  <c r="AB8" i="16"/>
  <c r="AJ8" i="16"/>
  <c r="AR8" i="16"/>
  <c r="AC9" i="16"/>
  <c r="AK9" i="16"/>
  <c r="AS9" i="16"/>
  <c r="AD10" i="16"/>
  <c r="AL10" i="16"/>
  <c r="AN12" i="16"/>
  <c r="Y13" i="16"/>
  <c r="AG13" i="16"/>
  <c r="AO13" i="16"/>
  <c r="Z14" i="16"/>
  <c r="AH14" i="16"/>
  <c r="AP14" i="16"/>
  <c r="AA15" i="16"/>
  <c r="AI15" i="16"/>
  <c r="AQ15" i="16"/>
  <c r="AB16" i="16"/>
  <c r="AJ16" i="16"/>
  <c r="AR16" i="16"/>
  <c r="AC17" i="16"/>
  <c r="AK17" i="16"/>
  <c r="V13" i="16"/>
  <c r="V4" i="16"/>
  <c r="V10" i="16"/>
  <c r="V17" i="16"/>
  <c r="V6" i="16"/>
  <c r="V14" i="16"/>
  <c r="V7" i="16"/>
  <c r="V15" i="16"/>
  <c r="V8" i="16"/>
  <c r="V16" i="16"/>
  <c r="V9" i="16"/>
  <c r="AV172" i="16"/>
  <c r="AS280" i="16" s="1"/>
  <c r="AV188" i="16"/>
  <c r="AV173" i="16"/>
  <c r="AV189" i="16"/>
  <c r="AV183" i="16"/>
  <c r="AV174" i="16"/>
  <c r="AV190" i="16"/>
  <c r="AV175" i="16"/>
  <c r="AV191" i="16"/>
  <c r="AV176" i="16"/>
  <c r="AV184" i="16"/>
  <c r="AV192" i="16"/>
  <c r="AV177" i="16"/>
  <c r="AV185" i="16"/>
  <c r="AV193" i="16"/>
  <c r="AV178" i="16"/>
  <c r="AV186" i="16"/>
  <c r="AV194" i="16"/>
  <c r="AV179" i="16"/>
  <c r="AV187" i="16"/>
  <c r="AE27" i="4"/>
  <c r="AE40" i="4"/>
  <c r="E47" i="3"/>
  <c r="AQ129" i="16" l="1"/>
  <c r="AQ264" i="16"/>
  <c r="W265" i="16"/>
  <c r="AL84" i="16"/>
  <c r="AL129" i="16"/>
  <c r="AI264" i="16"/>
  <c r="AL264" i="16"/>
  <c r="AM129" i="16"/>
  <c r="AD174" i="16"/>
  <c r="AI84" i="16"/>
  <c r="V85" i="16"/>
  <c r="Y84" i="16"/>
  <c r="AC174" i="16"/>
  <c r="X219" i="16"/>
  <c r="Y129" i="16"/>
  <c r="AF219" i="16"/>
  <c r="AE174" i="16"/>
  <c r="W220" i="16"/>
  <c r="AQ219" i="16"/>
  <c r="AJ174" i="16"/>
  <c r="AS219" i="16"/>
  <c r="AE264" i="16"/>
  <c r="W310" i="16"/>
  <c r="AA309" i="16"/>
  <c r="AS309" i="16"/>
  <c r="AE129" i="16"/>
  <c r="Y219" i="16"/>
  <c r="W84" i="16"/>
  <c r="AC129" i="16"/>
  <c r="V219" i="16"/>
  <c r="AP174" i="16"/>
  <c r="AG84" i="16"/>
  <c r="AN174" i="16"/>
  <c r="AH219" i="16"/>
  <c r="AG129" i="16"/>
  <c r="AP219" i="16"/>
  <c r="AM174" i="16"/>
  <c r="AR174" i="16"/>
  <c r="V264" i="16"/>
  <c r="AH309" i="16"/>
  <c r="AM264" i="16"/>
  <c r="AI309" i="16"/>
  <c r="AS128" i="16"/>
  <c r="V130" i="16"/>
  <c r="V310" i="16"/>
  <c r="Z84" i="16"/>
  <c r="AA129" i="16"/>
  <c r="V84" i="16"/>
  <c r="AO129" i="16"/>
  <c r="W175" i="16"/>
  <c r="AK264" i="16"/>
  <c r="AR84" i="16"/>
  <c r="AP264" i="16"/>
  <c r="AB309" i="16"/>
  <c r="AN84" i="16"/>
  <c r="AS129" i="16"/>
  <c r="AB129" i="16"/>
  <c r="Y174" i="16"/>
  <c r="AO174" i="16"/>
  <c r="AP84" i="16"/>
  <c r="AD84" i="16"/>
  <c r="V174" i="16"/>
  <c r="AH129" i="16"/>
  <c r="AK219" i="16"/>
  <c r="AB84" i="16"/>
  <c r="AJ129" i="16"/>
  <c r="AI174" i="16"/>
  <c r="AD219" i="16"/>
  <c r="W219" i="16"/>
  <c r="AB219" i="16"/>
  <c r="AH264" i="16"/>
  <c r="X309" i="16"/>
  <c r="AO264" i="16"/>
  <c r="Z309" i="16"/>
  <c r="W309" i="16"/>
  <c r="AB264" i="16"/>
  <c r="AR309" i="16"/>
  <c r="AS308" i="16"/>
  <c r="Z174" i="16"/>
  <c r="AK129" i="16"/>
  <c r="W85" i="16"/>
  <c r="AF84" i="16"/>
  <c r="AA219" i="16"/>
  <c r="AS84" i="16"/>
  <c r="AI129" i="16"/>
  <c r="AQ309" i="16"/>
  <c r="AI219" i="16"/>
  <c r="AF129" i="16"/>
  <c r="AN264" i="16"/>
  <c r="AK174" i="16"/>
  <c r="AJ84" i="16"/>
  <c r="AN219" i="16"/>
  <c r="V265" i="16"/>
  <c r="AJ309" i="16"/>
  <c r="W130" i="16"/>
  <c r="AG219" i="16"/>
  <c r="AA84" i="16"/>
  <c r="AC84" i="16"/>
  <c r="V220" i="16"/>
  <c r="W129" i="16"/>
  <c r="AR129" i="16"/>
  <c r="V175" i="16"/>
  <c r="AO219" i="16"/>
  <c r="AE219" i="16"/>
  <c r="AJ219" i="16"/>
  <c r="AS264" i="16"/>
  <c r="AN309" i="16"/>
  <c r="AP309" i="16"/>
  <c r="AE309" i="16"/>
  <c r="AJ264" i="16"/>
  <c r="AC309" i="16"/>
  <c r="Z129" i="16"/>
  <c r="AM84" i="16"/>
  <c r="AS174" i="16"/>
  <c r="Z219" i="16"/>
  <c r="AN129" i="16"/>
  <c r="AH84" i="16"/>
  <c r="X174" i="16"/>
  <c r="AL309" i="16"/>
  <c r="AO309" i="16"/>
  <c r="AL219" i="16"/>
  <c r="AC264" i="16"/>
  <c r="V309" i="16"/>
  <c r="AS218" i="16"/>
  <c r="W174" i="16"/>
  <c r="AM219" i="16"/>
  <c r="AB174" i="16"/>
  <c r="AR219" i="16"/>
  <c r="W264" i="16"/>
  <c r="AM309" i="16"/>
  <c r="AR264" i="16"/>
  <c r="AK309" i="16"/>
  <c r="AF264" i="16"/>
  <c r="AG174" i="16"/>
  <c r="AP129" i="16"/>
  <c r="AE84" i="16"/>
  <c r="AD129" i="16"/>
  <c r="AQ174" i="16"/>
  <c r="AL174" i="16"/>
  <c r="X84" i="16"/>
  <c r="AQ84" i="16"/>
  <c r="AK84" i="16"/>
  <c r="AS39" i="16"/>
  <c r="AN39" i="16"/>
  <c r="AK39" i="16"/>
  <c r="W39" i="16"/>
  <c r="AL39" i="16"/>
  <c r="AJ39" i="16"/>
  <c r="AQ39" i="16"/>
  <c r="AH39" i="16"/>
  <c r="V40" i="16"/>
  <c r="AD39" i="16"/>
  <c r="AS38" i="16"/>
  <c r="AC39" i="16"/>
  <c r="AP39" i="16"/>
  <c r="AB39" i="16"/>
  <c r="Y39" i="16"/>
  <c r="AI39" i="16"/>
  <c r="AO39" i="16"/>
  <c r="Z39" i="16"/>
  <c r="AM39" i="16"/>
  <c r="V39" i="16"/>
  <c r="X39" i="16"/>
  <c r="AA39" i="16"/>
  <c r="AG39" i="16"/>
  <c r="AR39" i="16"/>
  <c r="W40" i="16"/>
  <c r="AF39" i="16"/>
  <c r="AE39" i="16"/>
  <c r="V118" i="16"/>
  <c r="W117" i="16"/>
  <c r="AB28" i="16"/>
  <c r="AE118" i="16"/>
  <c r="AP251" i="16"/>
  <c r="AA118" i="16"/>
  <c r="Z298" i="16"/>
  <c r="Z208" i="16"/>
  <c r="X163" i="16"/>
  <c r="AD208" i="16"/>
  <c r="X208" i="16"/>
  <c r="V163" i="16"/>
  <c r="V162" i="16"/>
  <c r="AP161" i="16"/>
  <c r="Y208" i="16"/>
  <c r="AA162" i="16"/>
  <c r="AC208" i="16"/>
  <c r="AQ251" i="16"/>
  <c r="AA297" i="16"/>
  <c r="AO71" i="16"/>
  <c r="AN161" i="16"/>
  <c r="AR206" i="16"/>
  <c r="Y73" i="16"/>
  <c r="AN207" i="16"/>
  <c r="AO297" i="16"/>
  <c r="Y118" i="16"/>
  <c r="X253" i="16"/>
  <c r="AN296" i="16"/>
  <c r="AL162" i="16"/>
  <c r="AO251" i="16"/>
  <c r="AA163" i="16"/>
  <c r="W207" i="16"/>
  <c r="AS161" i="16"/>
  <c r="X252" i="16"/>
  <c r="AJ252" i="16"/>
  <c r="AF162" i="16"/>
  <c r="AD163" i="16"/>
  <c r="AA207" i="16"/>
  <c r="AB117" i="16"/>
  <c r="Y72" i="16"/>
  <c r="AP297" i="16"/>
  <c r="AD252" i="16"/>
  <c r="AA28" i="16"/>
  <c r="AQ71" i="16"/>
  <c r="AR71" i="16"/>
  <c r="AF163" i="16"/>
  <c r="AC207" i="16"/>
  <c r="AE208" i="16"/>
  <c r="AR116" i="16"/>
  <c r="AD253" i="16"/>
  <c r="V297" i="16"/>
  <c r="AA298" i="16"/>
  <c r="AS251" i="16"/>
  <c r="AC297" i="16"/>
  <c r="AR117" i="16"/>
  <c r="AP71" i="16"/>
  <c r="AA72" i="16"/>
  <c r="AL117" i="16"/>
  <c r="V72" i="16"/>
  <c r="V253" i="16"/>
  <c r="AP116" i="16"/>
  <c r="Y163" i="16"/>
  <c r="AS206" i="16"/>
  <c r="AD298" i="16"/>
  <c r="AC298" i="16"/>
  <c r="X73" i="16"/>
  <c r="W73" i="16"/>
  <c r="AR252" i="16"/>
  <c r="AL252" i="16"/>
  <c r="X72" i="16"/>
  <c r="AD118" i="16"/>
  <c r="AD72" i="16"/>
  <c r="V298" i="16"/>
  <c r="AM207" i="16"/>
  <c r="AB163" i="16"/>
  <c r="X207" i="16"/>
  <c r="AC73" i="16"/>
  <c r="AD207" i="16"/>
  <c r="AF118" i="16"/>
  <c r="AN251" i="16"/>
  <c r="AB208" i="16"/>
  <c r="AE298" i="16"/>
  <c r="AP207" i="16"/>
  <c r="AB253" i="16"/>
  <c r="AR296" i="16"/>
  <c r="AI207" i="16"/>
  <c r="Y162" i="16"/>
  <c r="AG207" i="16"/>
  <c r="AI72" i="16"/>
  <c r="AQ162" i="16"/>
  <c r="Z252" i="16"/>
  <c r="AS297" i="16"/>
  <c r="AB72" i="16"/>
  <c r="AS207" i="16"/>
  <c r="AB297" i="16"/>
  <c r="AO162" i="16"/>
  <c r="AE72" i="16"/>
  <c r="AA73" i="16"/>
  <c r="AJ72" i="16"/>
  <c r="AS71" i="16"/>
  <c r="V73" i="16"/>
  <c r="AO252" i="16"/>
  <c r="AO116" i="16"/>
  <c r="AP117" i="16"/>
  <c r="AL207" i="16"/>
  <c r="X298" i="16"/>
  <c r="AB118" i="16"/>
  <c r="Y252" i="16"/>
  <c r="Z162" i="16"/>
  <c r="AG252" i="16"/>
  <c r="AF207" i="16"/>
  <c r="AR161" i="16"/>
  <c r="W252" i="16"/>
  <c r="AC162" i="16"/>
  <c r="AN252" i="16"/>
  <c r="AP252" i="16"/>
  <c r="AA252" i="16"/>
  <c r="AJ297" i="16"/>
  <c r="AC252" i="16"/>
  <c r="AF72" i="16"/>
  <c r="AF73" i="16"/>
  <c r="AD297" i="16"/>
  <c r="AI162" i="16"/>
  <c r="AK297" i="16"/>
  <c r="AJ117" i="16"/>
  <c r="AQ207" i="16"/>
  <c r="AH117" i="16"/>
  <c r="AE117" i="16"/>
  <c r="AS26" i="16"/>
  <c r="AM72" i="16"/>
  <c r="AE73" i="16"/>
  <c r="V208" i="16"/>
  <c r="W72" i="16"/>
  <c r="AS117" i="16"/>
  <c r="AO206" i="16"/>
  <c r="AS116" i="16"/>
  <c r="W162" i="16"/>
  <c r="AR72" i="16"/>
  <c r="AE252" i="16"/>
  <c r="AC72" i="16"/>
  <c r="AD73" i="16"/>
  <c r="Y117" i="16"/>
  <c r="AE162" i="16"/>
  <c r="Z118" i="16"/>
  <c r="AF208" i="16"/>
  <c r="Y297" i="16"/>
  <c r="AH162" i="16"/>
  <c r="Y253" i="16"/>
  <c r="AO296" i="16"/>
  <c r="AO207" i="16"/>
  <c r="AB162" i="16"/>
  <c r="AM252" i="16"/>
  <c r="AK162" i="16"/>
  <c r="AF253" i="16"/>
  <c r="X297" i="16"/>
  <c r="AP206" i="16"/>
  <c r="Z253" i="16"/>
  <c r="AP296" i="16"/>
  <c r="AI252" i="16"/>
  <c r="AR297" i="16"/>
  <c r="AK252" i="16"/>
  <c r="W208" i="16"/>
  <c r="AE297" i="16"/>
  <c r="AN71" i="16"/>
  <c r="AM162" i="16"/>
  <c r="AC117" i="16"/>
  <c r="AN116" i="16"/>
  <c r="AP72" i="16"/>
  <c r="AN72" i="16"/>
  <c r="AE207" i="16"/>
  <c r="AR207" i="16"/>
  <c r="AI297" i="16"/>
  <c r="AG72" i="16"/>
  <c r="AQ72" i="16"/>
  <c r="AL72" i="16"/>
  <c r="AH252" i="16"/>
  <c r="Z73" i="16"/>
  <c r="AK117" i="16"/>
  <c r="AE163" i="16"/>
  <c r="AB207" i="16"/>
  <c r="AB73" i="16"/>
  <c r="AK72" i="16"/>
  <c r="X117" i="16"/>
  <c r="AD162" i="16"/>
  <c r="AG117" i="16"/>
  <c r="W163" i="16"/>
  <c r="AQ206" i="16"/>
  <c r="W253" i="16"/>
  <c r="AQ116" i="16"/>
  <c r="AO161" i="16"/>
  <c r="AP162" i="16"/>
  <c r="AG297" i="16"/>
  <c r="AA208" i="16"/>
  <c r="AJ162" i="16"/>
  <c r="AE253" i="16"/>
  <c r="W297" i="16"/>
  <c r="AS162" i="16"/>
  <c r="AN206" i="16"/>
  <c r="AN297" i="16"/>
  <c r="Z207" i="16"/>
  <c r="Z297" i="16"/>
  <c r="AQ252" i="16"/>
  <c r="AR251" i="16"/>
  <c r="AB298" i="16"/>
  <c r="AS252" i="16"/>
  <c r="AN162" i="16"/>
  <c r="AD117" i="16"/>
  <c r="W118" i="16"/>
  <c r="AI117" i="16"/>
  <c r="AF117" i="16"/>
  <c r="Z72" i="16"/>
  <c r="AQ117" i="16"/>
  <c r="AM117" i="16"/>
  <c r="Z117" i="16"/>
  <c r="AL297" i="16"/>
  <c r="AQ297" i="16"/>
  <c r="AH72" i="16"/>
  <c r="AC118" i="16"/>
  <c r="V117" i="16"/>
  <c r="X162" i="16"/>
  <c r="AS72" i="16"/>
  <c r="AF252" i="16"/>
  <c r="AN117" i="16"/>
  <c r="AJ207" i="16"/>
  <c r="AO117" i="16"/>
  <c r="AK207" i="16"/>
  <c r="W298" i="16"/>
  <c r="AA117" i="16"/>
  <c r="AG162" i="16"/>
  <c r="Z163" i="16"/>
  <c r="V207" i="16"/>
  <c r="Y298" i="16"/>
  <c r="AQ161" i="16"/>
  <c r="V252" i="16"/>
  <c r="AR162" i="16"/>
  <c r="AM297" i="16"/>
  <c r="AC163" i="16"/>
  <c r="Y207" i="16"/>
  <c r="AF298" i="16"/>
  <c r="AH207" i="16"/>
  <c r="AH297" i="16"/>
  <c r="AA253" i="16"/>
  <c r="AQ296" i="16"/>
  <c r="AB252" i="16"/>
  <c r="AC253" i="16"/>
  <c r="AS296" i="16"/>
  <c r="AO72" i="16"/>
  <c r="AF297" i="16"/>
  <c r="AE28" i="16"/>
  <c r="W27" i="16"/>
  <c r="AP27" i="16"/>
  <c r="AF28" i="16"/>
  <c r="AN27" i="16"/>
  <c r="X27" i="16"/>
  <c r="X28" i="16"/>
  <c r="AS101" i="16"/>
  <c r="AF27" i="16"/>
  <c r="AN26" i="16"/>
  <c r="AM27" i="16"/>
  <c r="AQ27" i="16"/>
  <c r="AH27" i="16"/>
  <c r="Z28" i="16"/>
  <c r="AE27" i="16"/>
  <c r="AI27" i="16"/>
  <c r="Z27" i="16"/>
  <c r="AO27" i="16"/>
  <c r="AS27" i="16"/>
  <c r="AR27" i="16"/>
  <c r="AK27" i="16"/>
  <c r="V27" i="16"/>
  <c r="AB27" i="16"/>
  <c r="AC27" i="16"/>
  <c r="AJ27" i="16"/>
  <c r="AD28" i="16"/>
  <c r="AR26" i="16"/>
  <c r="AC28" i="16"/>
  <c r="AQ26" i="16"/>
  <c r="AA27" i="16"/>
  <c r="V28" i="16"/>
  <c r="AO26" i="16"/>
  <c r="AG27" i="16"/>
  <c r="AP26" i="16"/>
  <c r="AL27" i="16"/>
  <c r="AD27" i="16"/>
  <c r="Y27" i="16"/>
  <c r="Y28" i="16"/>
  <c r="W28" i="16"/>
  <c r="Y282" i="16"/>
  <c r="AD147" i="16"/>
  <c r="X237" i="16"/>
  <c r="AA237" i="16"/>
  <c r="AG102" i="16"/>
  <c r="AK191" i="16"/>
  <c r="AP146" i="16"/>
  <c r="X146" i="16"/>
  <c r="AH191" i="16"/>
  <c r="X281" i="16"/>
  <c r="AC281" i="16"/>
  <c r="V237" i="16"/>
  <c r="AB236" i="16"/>
  <c r="X101" i="16"/>
  <c r="AM236" i="16"/>
  <c r="AM191" i="16"/>
  <c r="AL101" i="16"/>
  <c r="AS235" i="16"/>
  <c r="AC147" i="16"/>
  <c r="W282" i="16"/>
  <c r="Z57" i="16"/>
  <c r="AI102" i="16"/>
  <c r="Z101" i="16"/>
  <c r="V146" i="16"/>
  <c r="AK101" i="16"/>
  <c r="AQ101" i="16"/>
  <c r="AH102" i="16"/>
  <c r="AE237" i="16"/>
  <c r="AP191" i="16"/>
  <c r="AC102" i="16"/>
  <c r="AG147" i="16"/>
  <c r="AA101" i="16"/>
  <c r="AF147" i="16"/>
  <c r="AP101" i="16"/>
  <c r="V147" i="16"/>
  <c r="AM281" i="16"/>
  <c r="AF237" i="16"/>
  <c r="Y192" i="16"/>
  <c r="AS281" i="16"/>
  <c r="AS191" i="16"/>
  <c r="AL237" i="16"/>
  <c r="AI237" i="16"/>
  <c r="AF191" i="16"/>
  <c r="AB102" i="16"/>
  <c r="AD102" i="16"/>
  <c r="W146" i="16"/>
  <c r="V236" i="16"/>
  <c r="AD191" i="16"/>
  <c r="AL236" i="16"/>
  <c r="AJ101" i="16"/>
  <c r="AL102" i="16"/>
  <c r="AK146" i="16"/>
  <c r="AL191" i="16"/>
  <c r="W237" i="16"/>
  <c r="AB237" i="16"/>
  <c r="AR101" i="16"/>
  <c r="AS55" i="16"/>
  <c r="AS145" i="16"/>
  <c r="AS100" i="16"/>
  <c r="AS146" i="16"/>
  <c r="X192" i="16"/>
  <c r="AE101" i="16"/>
  <c r="AF102" i="16"/>
  <c r="Y101" i="16"/>
  <c r="AE147" i="16"/>
  <c r="AN146" i="16"/>
  <c r="AI147" i="16"/>
  <c r="AN191" i="16"/>
  <c r="AC237" i="16"/>
  <c r="AG192" i="16"/>
  <c r="AB147" i="16"/>
  <c r="AJ191" i="16"/>
  <c r="AS236" i="16"/>
  <c r="AD281" i="16"/>
  <c r="V192" i="16"/>
  <c r="AF281" i="16"/>
  <c r="AG236" i="16"/>
  <c r="Z237" i="16"/>
  <c r="AH281" i="16"/>
  <c r="AJ237" i="16"/>
  <c r="AR281" i="16"/>
  <c r="AB101" i="16"/>
  <c r="AH101" i="16"/>
  <c r="AI281" i="16"/>
  <c r="V102" i="16"/>
  <c r="AF101" i="16"/>
  <c r="AA191" i="16"/>
  <c r="AL147" i="16"/>
  <c r="V191" i="16"/>
  <c r="W192" i="16"/>
  <c r="AC101" i="16"/>
  <c r="AD146" i="16"/>
  <c r="AK147" i="16"/>
  <c r="AB281" i="16"/>
  <c r="AJ102" i="16"/>
  <c r="X102" i="16"/>
  <c r="Z147" i="16"/>
  <c r="AB191" i="16"/>
  <c r="AC236" i="16"/>
  <c r="AP236" i="16"/>
  <c r="AI282" i="16"/>
  <c r="Z102" i="16"/>
  <c r="AC146" i="16"/>
  <c r="AM101" i="16"/>
  <c r="Z191" i="16"/>
  <c r="W236" i="16"/>
  <c r="AG101" i="16"/>
  <c r="Y147" i="16"/>
  <c r="AF192" i="16"/>
  <c r="Z146" i="16"/>
  <c r="AL281" i="16"/>
  <c r="AJ147" i="16"/>
  <c r="AR191" i="16"/>
  <c r="AK237" i="16"/>
  <c r="V282" i="16"/>
  <c r="AD192" i="16"/>
  <c r="X282" i="16"/>
  <c r="AO236" i="16"/>
  <c r="Y281" i="16"/>
  <c r="AH237" i="16"/>
  <c r="AP281" i="16"/>
  <c r="AA236" i="16"/>
  <c r="AB282" i="16"/>
  <c r="AA102" i="16"/>
  <c r="AL146" i="16"/>
  <c r="AA146" i="16"/>
  <c r="Z192" i="16"/>
  <c r="AJ236" i="16"/>
  <c r="AN101" i="16"/>
  <c r="W281" i="16"/>
  <c r="AO146" i="16"/>
  <c r="Y191" i="16"/>
  <c r="AJ146" i="16"/>
  <c r="AE192" i="16"/>
  <c r="AH236" i="16"/>
  <c r="AA282" i="16"/>
  <c r="W101" i="16"/>
  <c r="X147" i="16"/>
  <c r="AE282" i="16"/>
  <c r="AD237" i="16"/>
  <c r="Y236" i="16"/>
  <c r="Z281" i="16"/>
  <c r="AJ281" i="16"/>
  <c r="AG191" i="16"/>
  <c r="AN281" i="16"/>
  <c r="V101" i="16"/>
  <c r="W147" i="16"/>
  <c r="W102" i="16"/>
  <c r="AD282" i="16"/>
  <c r="AH192" i="16"/>
  <c r="AO101" i="16"/>
  <c r="AH147" i="16"/>
  <c r="AI191" i="16"/>
  <c r="AN236" i="16"/>
  <c r="Y146" i="16"/>
  <c r="AK281" i="16"/>
  <c r="AH146" i="16"/>
  <c r="AB192" i="16"/>
  <c r="AS190" i="16"/>
  <c r="AL282" i="16"/>
  <c r="AL192" i="16"/>
  <c r="W191" i="16"/>
  <c r="Y237" i="16"/>
  <c r="AG281" i="16"/>
  <c r="Z282" i="16"/>
  <c r="AI236" i="16"/>
  <c r="AJ282" i="16"/>
  <c r="AK236" i="16"/>
  <c r="AI101" i="16"/>
  <c r="AC282" i="16"/>
  <c r="X236" i="16"/>
  <c r="AF146" i="16"/>
  <c r="AF282" i="16"/>
  <c r="AA147" i="16"/>
  <c r="AG282" i="16"/>
  <c r="Z236" i="16"/>
  <c r="AQ281" i="16"/>
  <c r="AQ191" i="16"/>
  <c r="AI192" i="16"/>
  <c r="AK282" i="16"/>
  <c r="AC192" i="16"/>
  <c r="AE236" i="16"/>
  <c r="AR236" i="16"/>
  <c r="AB146" i="16"/>
  <c r="AE146" i="16"/>
  <c r="X191" i="16"/>
  <c r="AO191" i="16"/>
  <c r="AR146" i="16"/>
  <c r="AK192" i="16"/>
  <c r="AF57" i="16"/>
  <c r="W57" i="16"/>
  <c r="AD101" i="16"/>
  <c r="AE102" i="16"/>
  <c r="AI146" i="16"/>
  <c r="Y102" i="16"/>
  <c r="AA192" i="16"/>
  <c r="AG146" i="16"/>
  <c r="AQ146" i="16"/>
  <c r="AJ192" i="16"/>
  <c r="AC191" i="16"/>
  <c r="AD236" i="16"/>
  <c r="AE281" i="16"/>
  <c r="AE191" i="16"/>
  <c r="AF236" i="16"/>
  <c r="AG237" i="16"/>
  <c r="AO281" i="16"/>
  <c r="AH282" i="16"/>
  <c r="AQ236" i="16"/>
  <c r="AA281" i="16"/>
  <c r="AM146" i="16"/>
  <c r="AK102" i="16"/>
  <c r="V281" i="16"/>
  <c r="AI56" i="16"/>
  <c r="AE56" i="16"/>
  <c r="AR56" i="16"/>
  <c r="Z56" i="16"/>
  <c r="AK57" i="16"/>
  <c r="AJ57" i="16"/>
  <c r="AF56" i="16"/>
  <c r="AL11" i="16"/>
  <c r="AC57" i="16"/>
  <c r="AL12" i="16"/>
  <c r="AC12" i="16"/>
  <c r="AG57" i="16"/>
  <c r="W11" i="16"/>
  <c r="AK12" i="16"/>
  <c r="AB57" i="16"/>
  <c r="AP11" i="16"/>
  <c r="AO56" i="16"/>
  <c r="W56" i="16"/>
  <c r="AH56" i="16"/>
  <c r="AA56" i="16"/>
  <c r="AR11" i="16"/>
  <c r="X56" i="16"/>
  <c r="AD11" i="16"/>
  <c r="Y56" i="16"/>
  <c r="X57" i="16"/>
  <c r="Z12" i="16"/>
  <c r="AS10" i="16"/>
  <c r="AK56" i="16"/>
  <c r="AJ56" i="16"/>
  <c r="AM56" i="16"/>
  <c r="V12" i="16"/>
  <c r="AS56" i="16"/>
  <c r="AI12" i="16"/>
  <c r="AC56" i="16"/>
  <c r="AB56" i="16"/>
  <c r="AI57" i="16"/>
  <c r="AH57" i="16"/>
  <c r="AA57" i="16"/>
  <c r="AQ11" i="16"/>
  <c r="AJ12" i="16"/>
  <c r="AD56" i="16"/>
  <c r="V56" i="16"/>
  <c r="AL57" i="16"/>
  <c r="AD57" i="16"/>
  <c r="V57" i="16"/>
  <c r="AL56" i="16"/>
  <c r="Z11" i="16"/>
  <c r="AG56" i="16"/>
  <c r="AN56" i="16"/>
  <c r="AE57" i="16"/>
  <c r="AQ56" i="16"/>
  <c r="Y57" i="16"/>
  <c r="AP56" i="16"/>
  <c r="V11" i="16"/>
  <c r="AO11" i="16"/>
  <c r="AJ11" i="16"/>
  <c r="AF12" i="16"/>
  <c r="AH12" i="16"/>
  <c r="AS11" i="16"/>
  <c r="AB11" i="16"/>
  <c r="AG11" i="16"/>
  <c r="X12" i="16"/>
  <c r="Y11" i="16"/>
  <c r="AK11" i="16"/>
  <c r="AN11" i="16"/>
  <c r="AG12" i="16"/>
  <c r="X11" i="16"/>
  <c r="Y12" i="16"/>
  <c r="AF11" i="16"/>
  <c r="AH11" i="16"/>
  <c r="AM11" i="16"/>
  <c r="AA12" i="16"/>
  <c r="AE12" i="16"/>
  <c r="AC11" i="16"/>
  <c r="AB12" i="16"/>
  <c r="AI11" i="16"/>
  <c r="AD12" i="16"/>
  <c r="AE11" i="16"/>
  <c r="W12" i="16"/>
  <c r="AA11" i="16"/>
  <c r="G4" i="4"/>
  <c r="AE37" i="4" l="1"/>
  <c r="AE34" i="4"/>
  <c r="C2" i="16" l="1"/>
  <c r="P31" i="4" l="1"/>
  <c r="P30" i="4"/>
  <c r="P29" i="4"/>
  <c r="P34" i="4" s="1"/>
  <c r="P23" i="4"/>
  <c r="Q2" i="16"/>
  <c r="P2" i="16"/>
  <c r="O2" i="16"/>
  <c r="N2" i="16"/>
  <c r="M2" i="16" s="1"/>
  <c r="P22" i="4"/>
  <c r="P25" i="4" s="1"/>
  <c r="P21" i="4"/>
  <c r="F2" i="16" l="1"/>
  <c r="P24" i="4"/>
  <c r="P27" i="4"/>
  <c r="D2" i="16"/>
  <c r="E2" i="16"/>
  <c r="P17" i="4" l="1"/>
  <c r="P18" i="4"/>
  <c r="P26" i="4" l="1"/>
  <c r="R4" i="4"/>
  <c r="V2" i="4"/>
  <c r="R2" i="4"/>
  <c r="N2" i="4"/>
  <c r="G2" i="4"/>
  <c r="BM7" i="4"/>
  <c r="B6" i="14"/>
  <c r="B6" i="13"/>
  <c r="B6" i="12"/>
  <c r="B6" i="11"/>
  <c r="B6" i="10"/>
  <c r="B6" i="9"/>
  <c r="B6" i="8"/>
  <c r="F10" i="14"/>
  <c r="I54" i="14"/>
  <c r="E39" i="14"/>
  <c r="J38" i="14"/>
  <c r="L26" i="14"/>
  <c r="I25" i="14"/>
  <c r="D8" i="14"/>
  <c r="K45" i="14"/>
  <c r="K43" i="14"/>
  <c r="F12" i="14"/>
  <c r="I27" i="14"/>
  <c r="E50" i="13"/>
  <c r="G25" i="12"/>
  <c r="D53" i="12"/>
  <c r="K13" i="12"/>
  <c r="D18" i="12"/>
  <c r="J14" i="12"/>
  <c r="I9" i="12"/>
  <c r="L42" i="12"/>
  <c r="F52" i="12"/>
  <c r="J38" i="12"/>
  <c r="D32" i="12"/>
  <c r="G20" i="14"/>
  <c r="E10" i="14"/>
  <c r="G31" i="13"/>
  <c r="C13" i="12"/>
  <c r="H25" i="12"/>
  <c r="K48" i="12"/>
  <c r="C37" i="12"/>
  <c r="F31" i="12"/>
  <c r="G33" i="12"/>
  <c r="I33" i="12"/>
  <c r="F47" i="14"/>
  <c r="F18" i="14"/>
  <c r="H22" i="14"/>
  <c r="D21" i="12"/>
  <c r="I51" i="12"/>
  <c r="I46" i="12"/>
  <c r="G44" i="12"/>
  <c r="C35" i="14"/>
  <c r="K21" i="14"/>
  <c r="E42" i="14"/>
  <c r="D21" i="13"/>
  <c r="E23" i="12"/>
  <c r="G31" i="12"/>
  <c r="D45" i="14"/>
  <c r="I35" i="14"/>
  <c r="C24" i="14"/>
  <c r="K16" i="14"/>
  <c r="J6" i="12"/>
  <c r="F18" i="12"/>
  <c r="I11" i="12"/>
  <c r="D37" i="14"/>
  <c r="H20" i="14"/>
  <c r="F15" i="14"/>
  <c r="F20" i="14"/>
  <c r="G17" i="14"/>
  <c r="E7" i="14"/>
  <c r="F42" i="14"/>
  <c r="H28" i="14"/>
  <c r="G25" i="14"/>
  <c r="K40" i="14"/>
  <c r="J43" i="14"/>
  <c r="K37" i="13"/>
  <c r="K11" i="12"/>
  <c r="F26" i="12"/>
  <c r="H36" i="12"/>
  <c r="D16" i="12"/>
  <c r="J19" i="12"/>
  <c r="L16" i="12"/>
  <c r="G36" i="12"/>
  <c r="L18" i="12"/>
  <c r="F15" i="12"/>
  <c r="E13" i="12"/>
  <c r="K8" i="14"/>
  <c r="G49" i="14"/>
  <c r="E13" i="14"/>
  <c r="J6" i="14"/>
  <c r="I33" i="14"/>
  <c r="H25" i="14"/>
  <c r="J30" i="14"/>
  <c r="K11" i="14"/>
  <c r="C45" i="13"/>
  <c r="H9" i="12"/>
  <c r="E50" i="12"/>
  <c r="K40" i="12"/>
  <c r="F55" i="12"/>
  <c r="D42" i="12"/>
  <c r="F47" i="12"/>
  <c r="L21" i="12"/>
  <c r="C32" i="12"/>
  <c r="J8" i="14"/>
  <c r="E45" i="14"/>
  <c r="L13" i="14"/>
  <c r="L8" i="13"/>
  <c r="I35" i="12"/>
  <c r="E15" i="12"/>
  <c r="E47" i="14"/>
  <c r="J35" i="14"/>
  <c r="K53" i="14"/>
  <c r="F52" i="14"/>
  <c r="C27" i="12"/>
  <c r="K53" i="12"/>
  <c r="L24" i="12"/>
  <c r="D34" i="14"/>
  <c r="L53" i="14"/>
  <c r="G28" i="14"/>
  <c r="K35" i="14"/>
  <c r="E47" i="12"/>
  <c r="H28" i="12"/>
  <c r="J35" i="12"/>
  <c r="C11" i="12"/>
  <c r="J40" i="14"/>
  <c r="I51" i="14"/>
  <c r="L45" i="14"/>
  <c r="H33" i="14"/>
  <c r="F23" i="14"/>
  <c r="J51" i="14"/>
  <c r="L16" i="14"/>
  <c r="H54" i="14"/>
  <c r="D40" i="14"/>
  <c r="D42" i="14"/>
  <c r="I46" i="13"/>
  <c r="D18" i="13"/>
  <c r="L29" i="12"/>
  <c r="K8" i="12"/>
  <c r="H30" i="12"/>
  <c r="C45" i="12"/>
  <c r="G20" i="12"/>
  <c r="D37" i="12"/>
  <c r="K29" i="12"/>
  <c r="F20" i="12"/>
  <c r="D45" i="12"/>
  <c r="L21" i="14"/>
  <c r="I6" i="14"/>
  <c r="C29" i="14"/>
  <c r="J11" i="14"/>
  <c r="G15" i="14"/>
  <c r="C37" i="14"/>
  <c r="L40" i="14"/>
  <c r="E37" i="14"/>
  <c r="E18" i="14"/>
  <c r="G23" i="14"/>
  <c r="F34" i="13"/>
  <c r="H17" i="13"/>
  <c r="J16" i="12"/>
  <c r="G23" i="12"/>
  <c r="K24" i="12"/>
  <c r="F44" i="12"/>
  <c r="L8" i="14"/>
  <c r="J32" i="14"/>
  <c r="L18" i="14"/>
  <c r="D10" i="14"/>
  <c r="E26" i="12"/>
  <c r="D10" i="12"/>
  <c r="H49" i="12"/>
  <c r="E21" i="12"/>
  <c r="G47" i="14"/>
  <c r="H49" i="14"/>
  <c r="E15" i="14"/>
  <c r="I38" i="14"/>
  <c r="I30" i="12"/>
  <c r="L34" i="12"/>
  <c r="H46" i="12"/>
  <c r="E10" i="12"/>
  <c r="D13" i="14"/>
  <c r="F44" i="14"/>
  <c r="K13" i="14"/>
  <c r="F36" i="13"/>
  <c r="H54" i="12"/>
  <c r="F28" i="12"/>
  <c r="I14" i="12"/>
  <c r="K19" i="12"/>
  <c r="P41" i="4" l="1"/>
  <c r="AD4" i="4"/>
  <c r="B6" i="7"/>
  <c r="B6" i="6"/>
  <c r="CB56" i="4" l="1"/>
  <c r="CT54" i="4"/>
  <c r="CT58" i="4" s="1"/>
  <c r="CQ55" i="4"/>
  <c r="CZ55" i="4"/>
  <c r="CH55" i="4"/>
  <c r="CN54" i="4"/>
  <c r="CQ54" i="4"/>
  <c r="CE56" i="4"/>
  <c r="CW54" i="4"/>
  <c r="CW58" i="4" s="1"/>
  <c r="CN55" i="4"/>
  <c r="CZ54" i="4"/>
  <c r="CZ58" i="4" s="1"/>
  <c r="C41" i="14"/>
  <c r="C51" i="14"/>
  <c r="K20" i="14"/>
  <c r="J10" i="14"/>
  <c r="D52" i="14"/>
  <c r="G9" i="14"/>
  <c r="K9" i="14"/>
  <c r="J12" i="14"/>
  <c r="D9" i="14"/>
  <c r="L22" i="14"/>
  <c r="K39" i="14"/>
  <c r="C9" i="14"/>
  <c r="J44" i="14"/>
  <c r="L17" i="14"/>
  <c r="D53" i="14"/>
  <c r="C13" i="14"/>
  <c r="C55" i="14"/>
  <c r="L30" i="14"/>
  <c r="L38" i="14"/>
  <c r="L48" i="14"/>
  <c r="L12" i="14"/>
  <c r="I23" i="14"/>
  <c r="J39" i="14"/>
  <c r="I21" i="14"/>
  <c r="E24" i="14"/>
  <c r="J50" i="14"/>
  <c r="H6" i="14"/>
  <c r="G53" i="14"/>
  <c r="C43" i="14"/>
  <c r="K52" i="14"/>
  <c r="I44" i="14"/>
  <c r="C49" i="14"/>
  <c r="I41" i="14"/>
  <c r="C11" i="14"/>
  <c r="J23" i="14"/>
  <c r="E19" i="14"/>
  <c r="H40" i="14"/>
  <c r="K37" i="14"/>
  <c r="H43" i="14"/>
  <c r="I20" i="14"/>
  <c r="E21" i="14"/>
  <c r="F28" i="14"/>
  <c r="J13" i="14"/>
  <c r="K17" i="14"/>
  <c r="I47" i="14"/>
  <c r="F6" i="14"/>
  <c r="E46" i="14"/>
  <c r="H16" i="14"/>
  <c r="K10" i="14"/>
  <c r="F29" i="14"/>
  <c r="I11" i="14"/>
  <c r="H19" i="14"/>
  <c r="H38" i="13"/>
  <c r="C47" i="13"/>
  <c r="G46" i="13"/>
  <c r="L25" i="13"/>
  <c r="C11" i="13"/>
  <c r="K45" i="13"/>
  <c r="H20" i="13"/>
  <c r="K54" i="13"/>
  <c r="G47" i="13"/>
  <c r="F44" i="13"/>
  <c r="I39" i="13"/>
  <c r="G23" i="13"/>
  <c r="K20" i="13"/>
  <c r="K55" i="13"/>
  <c r="I19" i="14"/>
  <c r="C32" i="14"/>
  <c r="H11" i="14"/>
  <c r="E22" i="14"/>
  <c r="C8" i="14"/>
  <c r="C45" i="14"/>
  <c r="E28" i="14"/>
  <c r="J36" i="14"/>
  <c r="C47" i="14"/>
  <c r="D19" i="14"/>
  <c r="L44" i="14"/>
  <c r="D29" i="14"/>
  <c r="G19" i="14"/>
  <c r="H34" i="14"/>
  <c r="J31" i="14"/>
  <c r="H23" i="14"/>
  <c r="H47" i="14"/>
  <c r="D20" i="14"/>
  <c r="J24" i="14"/>
  <c r="G50" i="14"/>
  <c r="J42" i="14"/>
  <c r="H30" i="14"/>
  <c r="I50" i="14"/>
  <c r="I52" i="14"/>
  <c r="G14" i="14"/>
  <c r="G34" i="14"/>
  <c r="L25" i="14"/>
  <c r="J33" i="14"/>
  <c r="F33" i="14"/>
  <c r="I24" i="14"/>
  <c r="J15" i="14"/>
  <c r="H7" i="14"/>
  <c r="L55" i="14"/>
  <c r="I26" i="14"/>
  <c r="G39" i="14"/>
  <c r="G31" i="14"/>
  <c r="H44" i="14"/>
  <c r="F9" i="14"/>
  <c r="I49" i="14"/>
  <c r="I10" i="14"/>
  <c r="D35" i="14"/>
  <c r="E12" i="14"/>
  <c r="L28" i="14"/>
  <c r="J26" i="14"/>
  <c r="F50" i="14"/>
  <c r="E23" i="14"/>
  <c r="J37" i="14"/>
  <c r="K28" i="14"/>
  <c r="C16" i="14"/>
  <c r="L29" i="14"/>
  <c r="I40" i="14"/>
  <c r="G26" i="14"/>
  <c r="K29" i="13"/>
  <c r="D38" i="13"/>
  <c r="H18" i="13"/>
  <c r="H51" i="13"/>
  <c r="K44" i="13"/>
  <c r="I24" i="13"/>
  <c r="G32" i="13"/>
  <c r="J35" i="13"/>
  <c r="D32" i="13"/>
  <c r="C26" i="13"/>
  <c r="J46" i="13"/>
  <c r="I42" i="13"/>
  <c r="F49" i="13"/>
  <c r="L7" i="13"/>
  <c r="E14" i="13"/>
  <c r="L17" i="13"/>
  <c r="K11" i="13"/>
  <c r="K41" i="13"/>
  <c r="D46" i="13"/>
  <c r="K17" i="13"/>
  <c r="E44" i="13"/>
  <c r="C31" i="13"/>
  <c r="H22" i="13"/>
  <c r="L37" i="13"/>
  <c r="H53" i="13"/>
  <c r="E30" i="13"/>
  <c r="K30" i="13"/>
  <c r="H44" i="13"/>
  <c r="G22" i="13"/>
  <c r="E29" i="13"/>
  <c r="I11" i="13"/>
  <c r="F39" i="13"/>
  <c r="I20" i="13"/>
  <c r="G16" i="13"/>
  <c r="E43" i="13"/>
  <c r="G50" i="13"/>
  <c r="L13" i="13"/>
  <c r="C55" i="13"/>
  <c r="K19" i="13"/>
  <c r="K13" i="13"/>
  <c r="D47" i="13"/>
  <c r="J50" i="13"/>
  <c r="K40" i="13"/>
  <c r="L21" i="13"/>
  <c r="E51" i="13"/>
  <c r="I26" i="13"/>
  <c r="J12" i="13"/>
  <c r="D19" i="13"/>
  <c r="C32" i="13"/>
  <c r="F41" i="13"/>
  <c r="C39" i="13"/>
  <c r="E13" i="13"/>
  <c r="J7" i="13"/>
  <c r="C13" i="13"/>
  <c r="E12" i="13"/>
  <c r="I47" i="13"/>
  <c r="E16" i="13"/>
  <c r="J43" i="13"/>
  <c r="J38" i="13"/>
  <c r="H39" i="13"/>
  <c r="L47" i="13"/>
  <c r="D43" i="12"/>
  <c r="K52" i="12"/>
  <c r="F38" i="12"/>
  <c r="G32" i="12"/>
  <c r="I29" i="12"/>
  <c r="D17" i="12"/>
  <c r="L41" i="12"/>
  <c r="K51" i="12"/>
  <c r="D50" i="12"/>
  <c r="H10" i="12"/>
  <c r="K26" i="12"/>
  <c r="E24" i="12"/>
  <c r="C47" i="12"/>
  <c r="K28" i="12"/>
  <c r="J27" i="14"/>
  <c r="J21" i="14"/>
  <c r="J9" i="14"/>
  <c r="I39" i="14"/>
  <c r="L54" i="14"/>
  <c r="H50" i="14"/>
  <c r="D22" i="14"/>
  <c r="F55" i="14"/>
  <c r="G30" i="14"/>
  <c r="F40" i="14"/>
  <c r="E41" i="14"/>
  <c r="F17" i="14"/>
  <c r="G35" i="14"/>
  <c r="L32" i="14"/>
  <c r="C19" i="14"/>
  <c r="L52" i="14"/>
  <c r="G16" i="14"/>
  <c r="I48" i="14"/>
  <c r="K50" i="14"/>
  <c r="D28" i="14"/>
  <c r="J20" i="14"/>
  <c r="L49" i="14"/>
  <c r="D36" i="14"/>
  <c r="H17" i="14"/>
  <c r="I7" i="14"/>
  <c r="F11" i="14"/>
  <c r="G12" i="14"/>
  <c r="F26" i="14"/>
  <c r="H48" i="14"/>
  <c r="K54" i="14"/>
  <c r="F32" i="14"/>
  <c r="E31" i="14"/>
  <c r="K26" i="14"/>
  <c r="I9" i="14"/>
  <c r="L51" i="14"/>
  <c r="G55" i="14"/>
  <c r="I29" i="14"/>
  <c r="H24" i="14"/>
  <c r="G10" i="14"/>
  <c r="E27" i="14"/>
  <c r="L42" i="14"/>
  <c r="H18" i="14"/>
  <c r="D41" i="14"/>
  <c r="H36" i="14"/>
  <c r="C40" i="14"/>
  <c r="H27" i="14"/>
  <c r="F24" i="14"/>
  <c r="D46" i="14"/>
  <c r="I18" i="14"/>
  <c r="G8" i="14"/>
  <c r="K33" i="14"/>
  <c r="F7" i="14"/>
  <c r="I19" i="13"/>
  <c r="F11" i="13"/>
  <c r="K7" i="13"/>
  <c r="G45" i="13"/>
  <c r="K50" i="13"/>
  <c r="I37" i="13"/>
  <c r="L40" i="13"/>
  <c r="E41" i="13"/>
  <c r="J27" i="13"/>
  <c r="G37" i="13"/>
  <c r="K49" i="13"/>
  <c r="C30" i="13"/>
  <c r="I18" i="13"/>
  <c r="C46" i="13"/>
  <c r="L50" i="13"/>
  <c r="F30" i="13"/>
  <c r="G49" i="13"/>
  <c r="K14" i="13"/>
  <c r="D17" i="13"/>
  <c r="C7" i="13"/>
  <c r="F16" i="13"/>
  <c r="E46" i="13"/>
  <c r="E9" i="13"/>
  <c r="I31" i="14"/>
  <c r="L36" i="14"/>
  <c r="F51" i="14"/>
  <c r="J22" i="14"/>
  <c r="H51" i="14"/>
  <c r="F46" i="14"/>
  <c r="L34" i="14"/>
  <c r="E54" i="14"/>
  <c r="K31" i="14"/>
  <c r="D50" i="14"/>
  <c r="L43" i="14"/>
  <c r="H52" i="14"/>
  <c r="C53" i="14"/>
  <c r="G6" i="14"/>
  <c r="D15" i="14"/>
  <c r="D16" i="14"/>
  <c r="C33" i="14"/>
  <c r="G29" i="14"/>
  <c r="C25" i="14"/>
  <c r="C52" i="14"/>
  <c r="F27" i="14"/>
  <c r="I46" i="14"/>
  <c r="D14" i="14"/>
  <c r="F43" i="14"/>
  <c r="F14" i="14"/>
  <c r="J28" i="14"/>
  <c r="H55" i="14"/>
  <c r="D38" i="14"/>
  <c r="K14" i="14"/>
  <c r="J54" i="14"/>
  <c r="L37" i="14"/>
  <c r="D44" i="14"/>
  <c r="C46" i="14"/>
  <c r="I37" i="14"/>
  <c r="E20" i="14"/>
  <c r="L15" i="14"/>
  <c r="J14" i="14"/>
  <c r="K36" i="14"/>
  <c r="H10" i="14"/>
  <c r="E50" i="14"/>
  <c r="L7" i="14"/>
  <c r="H45" i="14"/>
  <c r="E53" i="14"/>
  <c r="C12" i="14"/>
  <c r="K51" i="14"/>
  <c r="G43" i="14"/>
  <c r="I13" i="14"/>
  <c r="G7" i="14"/>
  <c r="G44" i="14"/>
  <c r="F53" i="14"/>
  <c r="J7" i="14"/>
  <c r="H37" i="14"/>
  <c r="E42" i="13"/>
  <c r="F21" i="13"/>
  <c r="J23" i="13"/>
  <c r="I13" i="13"/>
  <c r="G29" i="13"/>
  <c r="K52" i="13"/>
  <c r="E28" i="13"/>
  <c r="I55" i="13"/>
  <c r="I6" i="13"/>
  <c r="D23" i="13"/>
  <c r="L32" i="13"/>
  <c r="H32" i="13"/>
  <c r="K35" i="13"/>
  <c r="J54" i="13"/>
  <c r="G42" i="13"/>
  <c r="C19" i="13"/>
  <c r="I17" i="13"/>
  <c r="I25" i="13"/>
  <c r="D27" i="13"/>
  <c r="E22" i="13"/>
  <c r="F6" i="13"/>
  <c r="G21" i="13"/>
  <c r="F54" i="13"/>
  <c r="K42" i="13"/>
  <c r="F37" i="13"/>
  <c r="G27" i="13"/>
  <c r="I54" i="13"/>
  <c r="L51" i="13"/>
  <c r="E10" i="13"/>
  <c r="D10" i="13"/>
  <c r="F8" i="13"/>
  <c r="J29" i="13"/>
  <c r="C52" i="13"/>
  <c r="H41" i="13"/>
  <c r="J25" i="13"/>
  <c r="L16" i="13"/>
  <c r="E34" i="13"/>
  <c r="I43" i="13"/>
  <c r="J53" i="13"/>
  <c r="L14" i="13"/>
  <c r="F40" i="13"/>
  <c r="G54" i="13"/>
  <c r="I51" i="13"/>
  <c r="D28" i="13"/>
  <c r="K26" i="13"/>
  <c r="K16" i="13"/>
  <c r="I48" i="13"/>
  <c r="C48" i="13"/>
  <c r="H35" i="13"/>
  <c r="J11" i="13"/>
  <c r="F25" i="13"/>
  <c r="F48" i="13"/>
  <c r="C6" i="13"/>
  <c r="H8" i="13"/>
  <c r="H42" i="13"/>
  <c r="E52" i="13"/>
  <c r="G28" i="13"/>
  <c r="D31" i="13"/>
  <c r="G53" i="13"/>
  <c r="F45" i="13"/>
  <c r="G30" i="13"/>
  <c r="G28" i="12"/>
  <c r="K17" i="12"/>
  <c r="F37" i="12"/>
  <c r="G10" i="12"/>
  <c r="C51" i="12"/>
  <c r="J24" i="12"/>
  <c r="F17" i="12"/>
  <c r="G12" i="12"/>
  <c r="I38" i="12"/>
  <c r="D47" i="12"/>
  <c r="H22" i="12"/>
  <c r="L31" i="12"/>
  <c r="H12" i="12"/>
  <c r="G30" i="12"/>
  <c r="L54" i="12"/>
  <c r="K10" i="12"/>
  <c r="E34" i="12"/>
  <c r="F7" i="12"/>
  <c r="I40" i="12"/>
  <c r="J11" i="12"/>
  <c r="F25" i="12"/>
  <c r="J37" i="12"/>
  <c r="J17" i="12"/>
  <c r="E27" i="12"/>
  <c r="H35" i="12"/>
  <c r="J32" i="12"/>
  <c r="J29" i="12"/>
  <c r="K14" i="12"/>
  <c r="H50" i="12"/>
  <c r="L33" i="12"/>
  <c r="G19" i="12"/>
  <c r="K12" i="12"/>
  <c r="J10" i="12"/>
  <c r="L47" i="14"/>
  <c r="D49" i="14"/>
  <c r="D32" i="14"/>
  <c r="G36" i="14"/>
  <c r="K29" i="14"/>
  <c r="L23" i="14"/>
  <c r="D17" i="14"/>
  <c r="D6" i="14"/>
  <c r="F19" i="14"/>
  <c r="J45" i="14"/>
  <c r="F48" i="14"/>
  <c r="D33" i="14"/>
  <c r="G40" i="14"/>
  <c r="C48" i="14"/>
  <c r="G27" i="14"/>
  <c r="J29" i="14"/>
  <c r="K24" i="14"/>
  <c r="I15" i="14"/>
  <c r="E16" i="14"/>
  <c r="D54" i="14"/>
  <c r="H8" i="14"/>
  <c r="E36" i="14"/>
  <c r="G54" i="14"/>
  <c r="J55" i="14"/>
  <c r="I43" i="14"/>
  <c r="H14" i="14"/>
  <c r="G44" i="13"/>
  <c r="K8" i="13"/>
  <c r="K28" i="13"/>
  <c r="K33" i="13"/>
  <c r="J9" i="13"/>
  <c r="F38" i="13"/>
  <c r="K6" i="13"/>
  <c r="J26" i="13"/>
  <c r="D6" i="13"/>
  <c r="H33" i="13"/>
  <c r="L52" i="13"/>
  <c r="L36" i="13"/>
  <c r="G55" i="13"/>
  <c r="F20" i="13"/>
  <c r="C50" i="13"/>
  <c r="H19" i="13"/>
  <c r="F15" i="13"/>
  <c r="I28" i="13"/>
  <c r="E21" i="13"/>
  <c r="E27" i="13"/>
  <c r="E11" i="13"/>
  <c r="G52" i="13"/>
  <c r="H24" i="13"/>
  <c r="E37" i="13"/>
  <c r="F27" i="13"/>
  <c r="G12" i="13"/>
  <c r="G34" i="13"/>
  <c r="H49" i="13"/>
  <c r="E47" i="13"/>
  <c r="C35" i="13"/>
  <c r="I45" i="13"/>
  <c r="C33" i="13"/>
  <c r="J39" i="13"/>
  <c r="K36" i="13"/>
  <c r="E48" i="13"/>
  <c r="K31" i="13"/>
  <c r="L20" i="13"/>
  <c r="G33" i="13"/>
  <c r="D20" i="13"/>
  <c r="H52" i="13"/>
  <c r="D44" i="13"/>
  <c r="I30" i="13"/>
  <c r="C21" i="12"/>
  <c r="I43" i="12"/>
  <c r="F48" i="12"/>
  <c r="J40" i="12"/>
  <c r="D27" i="12"/>
  <c r="K16" i="12"/>
  <c r="L15" i="12"/>
  <c r="K41" i="12"/>
  <c r="H20" i="12"/>
  <c r="F45" i="12"/>
  <c r="F24" i="12"/>
  <c r="E51" i="12"/>
  <c r="H37" i="12"/>
  <c r="D25" i="12"/>
  <c r="I41" i="12"/>
  <c r="G42" i="12"/>
  <c r="H47" i="12"/>
  <c r="H21" i="12"/>
  <c r="D8" i="12"/>
  <c r="I31" i="12"/>
  <c r="G15" i="12"/>
  <c r="J48" i="12"/>
  <c r="D26" i="12"/>
  <c r="I18" i="12"/>
  <c r="K54" i="12"/>
  <c r="C34" i="12"/>
  <c r="J45" i="12"/>
  <c r="D49" i="12"/>
  <c r="C18" i="12"/>
  <c r="F6" i="12"/>
  <c r="I20" i="12"/>
  <c r="G51" i="12"/>
  <c r="F32" i="12"/>
  <c r="H19" i="12"/>
  <c r="C28" i="12"/>
  <c r="I13" i="12"/>
  <c r="C22" i="12"/>
  <c r="J54" i="12"/>
  <c r="C55" i="12"/>
  <c r="I42" i="12"/>
  <c r="J34" i="12"/>
  <c r="J36" i="12"/>
  <c r="I21" i="12"/>
  <c r="E29" i="12"/>
  <c r="G21" i="12"/>
  <c r="L44" i="12"/>
  <c r="G13" i="12"/>
  <c r="CW45" i="4"/>
  <c r="CZ49" i="4"/>
  <c r="J39" i="12"/>
  <c r="E42" i="12"/>
  <c r="J33" i="12"/>
  <c r="J22" i="12"/>
  <c r="J15" i="12"/>
  <c r="CE45" i="4"/>
  <c r="F16" i="14"/>
  <c r="G41" i="14"/>
  <c r="J16" i="14"/>
  <c r="F52" i="13"/>
  <c r="F21" i="14"/>
  <c r="C30" i="14"/>
  <c r="J34" i="14"/>
  <c r="E38" i="14"/>
  <c r="J25" i="14"/>
  <c r="C27" i="14"/>
  <c r="D18" i="14"/>
  <c r="E33" i="14"/>
  <c r="K22" i="14"/>
  <c r="H15" i="14"/>
  <c r="E17" i="14"/>
  <c r="C10" i="14"/>
  <c r="D30" i="14"/>
  <c r="I53" i="14"/>
  <c r="K19" i="14"/>
  <c r="K38" i="14"/>
  <c r="L10" i="14"/>
  <c r="J46" i="14"/>
  <c r="H13" i="14"/>
  <c r="L35" i="14"/>
  <c r="G52" i="14"/>
  <c r="C17" i="14"/>
  <c r="K46" i="14"/>
  <c r="E48" i="14"/>
  <c r="C14" i="14"/>
  <c r="C38" i="14"/>
  <c r="D26" i="13"/>
  <c r="J52" i="13"/>
  <c r="K38" i="13"/>
  <c r="L11" i="13"/>
  <c r="F29" i="13"/>
  <c r="J30" i="13"/>
  <c r="I23" i="13"/>
  <c r="F23" i="13"/>
  <c r="C40" i="13"/>
  <c r="H27" i="13"/>
  <c r="E39" i="13"/>
  <c r="D34" i="13"/>
  <c r="D53" i="13"/>
  <c r="G36" i="13"/>
  <c r="H13" i="13"/>
  <c r="H46" i="13"/>
  <c r="G41" i="13"/>
  <c r="F10" i="13"/>
  <c r="E23" i="13"/>
  <c r="E8" i="13"/>
  <c r="C42" i="13"/>
  <c r="J16" i="13"/>
  <c r="G40" i="13"/>
  <c r="D13" i="13"/>
  <c r="C10" i="13"/>
  <c r="F24" i="13"/>
  <c r="C36" i="13"/>
  <c r="I53" i="13"/>
  <c r="J22" i="13"/>
  <c r="K39" i="13"/>
  <c r="H34" i="13"/>
  <c r="D9" i="13"/>
  <c r="K47" i="13"/>
  <c r="D43" i="13"/>
  <c r="L15" i="13"/>
  <c r="L54" i="13"/>
  <c r="E36" i="13"/>
  <c r="G7" i="13"/>
  <c r="G19" i="13"/>
  <c r="H29" i="13"/>
  <c r="G6" i="13"/>
  <c r="J28" i="13"/>
  <c r="E39" i="12"/>
  <c r="G22" i="12"/>
  <c r="G46" i="12"/>
  <c r="G38" i="12"/>
  <c r="E54" i="12"/>
  <c r="I16" i="12"/>
  <c r="K31" i="12"/>
  <c r="H44" i="12"/>
  <c r="K47" i="12"/>
  <c r="J49" i="12"/>
  <c r="I27" i="12"/>
  <c r="H40" i="12"/>
  <c r="K35" i="12"/>
  <c r="K37" i="12"/>
  <c r="C54" i="12"/>
  <c r="H16" i="12"/>
  <c r="J20" i="12"/>
  <c r="I44" i="12"/>
  <c r="G17" i="12"/>
  <c r="D22" i="12"/>
  <c r="L48" i="12"/>
  <c r="E28" i="12"/>
  <c r="C8" i="12"/>
  <c r="H38" i="12"/>
  <c r="C40" i="12"/>
  <c r="J50" i="12"/>
  <c r="E16" i="12"/>
  <c r="F29" i="12"/>
  <c r="D40" i="12"/>
  <c r="I17" i="12"/>
  <c r="G16" i="12"/>
  <c r="D30" i="12"/>
  <c r="F46" i="12"/>
  <c r="L14" i="12"/>
  <c r="J44" i="12"/>
  <c r="F27" i="12"/>
  <c r="L12" i="12"/>
  <c r="E6" i="12"/>
  <c r="K46" i="12"/>
  <c r="D48" i="12"/>
  <c r="D11" i="12"/>
  <c r="J21" i="12"/>
  <c r="I12" i="12"/>
  <c r="F12" i="12"/>
  <c r="K15" i="12"/>
  <c r="L50" i="12"/>
  <c r="CB45" i="4"/>
  <c r="CQ45" i="4"/>
  <c r="CH45" i="4"/>
  <c r="D23" i="12"/>
  <c r="H32" i="12"/>
  <c r="C12" i="12"/>
  <c r="H31" i="12"/>
  <c r="K32" i="12"/>
  <c r="F9" i="12"/>
  <c r="E30" i="12"/>
  <c r="C42" i="12"/>
  <c r="E14" i="12"/>
  <c r="I23" i="12"/>
  <c r="D55" i="12"/>
  <c r="G34" i="12"/>
  <c r="D14" i="12"/>
  <c r="I37" i="12"/>
  <c r="D15" i="12"/>
  <c r="J23" i="12"/>
  <c r="E43" i="12"/>
  <c r="L22" i="12"/>
  <c r="I7" i="12"/>
  <c r="L35" i="12"/>
  <c r="G48" i="12"/>
  <c r="F35" i="12"/>
  <c r="CW44" i="4"/>
  <c r="I9" i="13"/>
  <c r="I49" i="13"/>
  <c r="G18" i="13"/>
  <c r="E40" i="12"/>
  <c r="C33" i="12"/>
  <c r="F21" i="12"/>
  <c r="H26" i="12"/>
  <c r="D41" i="12"/>
  <c r="K6" i="12"/>
  <c r="J52" i="12"/>
  <c r="I22" i="12"/>
  <c r="D20" i="12"/>
  <c r="G7" i="12"/>
  <c r="E49" i="12"/>
  <c r="E18" i="12"/>
  <c r="L36" i="12"/>
  <c r="I32" i="12"/>
  <c r="D36" i="12"/>
  <c r="E11" i="14"/>
  <c r="H39" i="14"/>
  <c r="I42" i="14"/>
  <c r="K48" i="14"/>
  <c r="G33" i="14"/>
  <c r="I8" i="14"/>
  <c r="J47" i="14"/>
  <c r="G37" i="14"/>
  <c r="L18" i="13"/>
  <c r="D12" i="14"/>
  <c r="L14" i="14"/>
  <c r="E55" i="14"/>
  <c r="C42" i="14"/>
  <c r="J49" i="14"/>
  <c r="G48" i="14"/>
  <c r="D25" i="14"/>
  <c r="K27" i="14"/>
  <c r="I17" i="14"/>
  <c r="E9" i="14"/>
  <c r="D48" i="14"/>
  <c r="G11" i="14"/>
  <c r="K55" i="14"/>
  <c r="D26" i="14"/>
  <c r="L19" i="14"/>
  <c r="D39" i="14"/>
  <c r="J53" i="14"/>
  <c r="I55" i="14"/>
  <c r="G51" i="14"/>
  <c r="L24" i="14"/>
  <c r="K49" i="14"/>
  <c r="C44" i="14"/>
  <c r="J18" i="14"/>
  <c r="G21" i="14"/>
  <c r="H12" i="14"/>
  <c r="D55" i="14"/>
  <c r="J14" i="13"/>
  <c r="L26" i="13"/>
  <c r="E7" i="13"/>
  <c r="J32" i="13"/>
  <c r="C17" i="13"/>
  <c r="H26" i="13"/>
  <c r="J47" i="13"/>
  <c r="H28" i="13"/>
  <c r="K32" i="13"/>
  <c r="H40" i="13"/>
  <c r="E17" i="13"/>
  <c r="F19" i="13"/>
  <c r="K23" i="13"/>
  <c r="I21" i="13"/>
  <c r="J41" i="13"/>
  <c r="K18" i="13"/>
  <c r="G25" i="13"/>
  <c r="F26" i="13"/>
  <c r="F31" i="13"/>
  <c r="C20" i="13"/>
  <c r="J40" i="13"/>
  <c r="G38" i="13"/>
  <c r="L48" i="13"/>
  <c r="C37" i="13"/>
  <c r="H12" i="13"/>
  <c r="L22" i="13"/>
  <c r="J10" i="13"/>
  <c r="C53" i="13"/>
  <c r="D15" i="13"/>
  <c r="J55" i="13"/>
  <c r="L9" i="13"/>
  <c r="G15" i="13"/>
  <c r="D25" i="13"/>
  <c r="E33" i="13"/>
  <c r="F47" i="13"/>
  <c r="J49" i="13"/>
  <c r="J13" i="13"/>
  <c r="D37" i="13"/>
  <c r="C24" i="13"/>
  <c r="I31" i="13"/>
  <c r="G8" i="13"/>
  <c r="E37" i="12"/>
  <c r="C52" i="12"/>
  <c r="J31" i="12"/>
  <c r="F54" i="12"/>
  <c r="L10" i="12"/>
  <c r="H45" i="12"/>
  <c r="I28" i="12"/>
  <c r="H7" i="12"/>
  <c r="C10" i="12"/>
  <c r="F19" i="12"/>
  <c r="H6" i="12"/>
  <c r="C30" i="12"/>
  <c r="K50" i="12"/>
  <c r="L55" i="12"/>
  <c r="G54" i="12"/>
  <c r="G24" i="12"/>
  <c r="K7" i="12"/>
  <c r="L8" i="12"/>
  <c r="F30" i="12"/>
  <c r="F50" i="12"/>
  <c r="I26" i="12"/>
  <c r="L17" i="12"/>
  <c r="D38" i="12"/>
  <c r="I36" i="12"/>
  <c r="E38" i="12"/>
  <c r="CK45" i="4"/>
  <c r="J15" i="13"/>
  <c r="K10" i="13"/>
  <c r="D24" i="12"/>
  <c r="L26" i="12"/>
  <c r="G26" i="12"/>
  <c r="G40" i="12"/>
  <c r="G39" i="12"/>
  <c r="H8" i="12"/>
  <c r="D33" i="12"/>
  <c r="C50" i="12"/>
  <c r="E32" i="12"/>
  <c r="G14" i="12"/>
  <c r="L27" i="12"/>
  <c r="D9" i="12"/>
  <c r="CH44" i="4"/>
  <c r="H35" i="14"/>
  <c r="H26" i="14"/>
  <c r="D21" i="14"/>
  <c r="F22" i="14"/>
  <c r="C28" i="13"/>
  <c r="G24" i="14"/>
  <c r="J48" i="14"/>
  <c r="C22" i="14"/>
  <c r="E35" i="14"/>
  <c r="K47" i="14"/>
  <c r="L50" i="14"/>
  <c r="D11" i="14"/>
  <c r="K44" i="14"/>
  <c r="L39" i="14"/>
  <c r="H21" i="14"/>
  <c r="E40" i="14"/>
  <c r="C21" i="14"/>
  <c r="F34" i="14"/>
  <c r="K7" i="14"/>
  <c r="F38" i="14"/>
  <c r="F54" i="14"/>
  <c r="H29" i="14"/>
  <c r="D47" i="14"/>
  <c r="D51" i="14"/>
  <c r="E14" i="14"/>
  <c r="C39" i="14"/>
  <c r="D24" i="14"/>
  <c r="E30" i="14"/>
  <c r="E26" i="14"/>
  <c r="C20" i="14"/>
  <c r="G18" i="14"/>
  <c r="E26" i="13"/>
  <c r="K12" i="13"/>
  <c r="C25" i="13"/>
  <c r="E49" i="13"/>
  <c r="H47" i="13"/>
  <c r="K9" i="13"/>
  <c r="H43" i="13"/>
  <c r="D41" i="13"/>
  <c r="L29" i="13"/>
  <c r="I15" i="13"/>
  <c r="H9" i="13"/>
  <c r="H21" i="13"/>
  <c r="F18" i="13"/>
  <c r="E20" i="13"/>
  <c r="I35" i="13"/>
  <c r="K48" i="13"/>
  <c r="D36" i="13"/>
  <c r="I40" i="13"/>
  <c r="C16" i="13"/>
  <c r="G13" i="13"/>
  <c r="D39" i="13"/>
  <c r="G51" i="13"/>
  <c r="C41" i="13"/>
  <c r="K46" i="13"/>
  <c r="F7" i="13"/>
  <c r="C27" i="13"/>
  <c r="L41" i="13"/>
  <c r="I14" i="13"/>
  <c r="F43" i="13"/>
  <c r="L38" i="13"/>
  <c r="L19" i="13"/>
  <c r="D54" i="13"/>
  <c r="E6" i="13"/>
  <c r="H55" i="13"/>
  <c r="G39" i="13"/>
  <c r="H15" i="13"/>
  <c r="F50" i="13"/>
  <c r="F51" i="13"/>
  <c r="I34" i="13"/>
  <c r="F35" i="13"/>
  <c r="G35" i="13"/>
  <c r="L23" i="12"/>
  <c r="C39" i="12"/>
  <c r="C17" i="12"/>
  <c r="E7" i="12"/>
  <c r="L43" i="12"/>
  <c r="E33" i="12"/>
  <c r="E46" i="12"/>
  <c r="D19" i="12"/>
  <c r="J43" i="12"/>
  <c r="I10" i="12"/>
  <c r="H29" i="12"/>
  <c r="F39" i="12"/>
  <c r="G27" i="12"/>
  <c r="J26" i="12"/>
  <c r="E25" i="12"/>
  <c r="E35" i="12"/>
  <c r="L46" i="12"/>
  <c r="D28" i="12"/>
  <c r="K20" i="12"/>
  <c r="G6" i="12"/>
  <c r="CT49" i="4" s="1"/>
  <c r="G43" i="12"/>
  <c r="D46" i="12"/>
  <c r="H24" i="12"/>
  <c r="I52" i="12"/>
  <c r="D51" i="12"/>
  <c r="E48" i="12"/>
  <c r="G29" i="12"/>
  <c r="F40" i="12"/>
  <c r="C48" i="12"/>
  <c r="H14" i="12"/>
  <c r="F16" i="12"/>
  <c r="H39" i="12"/>
  <c r="C6" i="12"/>
  <c r="J9" i="12"/>
  <c r="E22" i="12"/>
  <c r="E20" i="12"/>
  <c r="I49" i="12"/>
  <c r="H42" i="12"/>
  <c r="C53" i="12"/>
  <c r="K33" i="12"/>
  <c r="F53" i="12"/>
  <c r="I47" i="12"/>
  <c r="E17" i="12"/>
  <c r="L52" i="12"/>
  <c r="E31" i="12"/>
  <c r="I24" i="12"/>
  <c r="I50" i="12"/>
  <c r="CB44" i="4"/>
  <c r="CT45" i="4"/>
  <c r="CW49" i="4"/>
  <c r="I12" i="14"/>
  <c r="D23" i="14"/>
  <c r="H31" i="14"/>
  <c r="K12" i="14"/>
  <c r="G22" i="14"/>
  <c r="F31" i="14"/>
  <c r="I45" i="14"/>
  <c r="F30" i="14"/>
  <c r="F36" i="14"/>
  <c r="L20" i="14"/>
  <c r="G32" i="14"/>
  <c r="J41" i="14"/>
  <c r="I30" i="14"/>
  <c r="F39" i="14"/>
  <c r="L9" i="14"/>
  <c r="L27" i="14"/>
  <c r="L31" i="14"/>
  <c r="I28" i="14"/>
  <c r="H42" i="14"/>
  <c r="E25" i="14"/>
  <c r="C23" i="14"/>
  <c r="L6" i="14"/>
  <c r="C18" i="14"/>
  <c r="E34" i="14"/>
  <c r="D7" i="14"/>
  <c r="I22" i="14"/>
  <c r="H36" i="13"/>
  <c r="J33" i="13"/>
  <c r="L12" i="13"/>
  <c r="J31" i="13"/>
  <c r="I8" i="13"/>
  <c r="C8" i="13"/>
  <c r="F28" i="13"/>
  <c r="L6" i="13"/>
  <c r="D42" i="13"/>
  <c r="H45" i="13"/>
  <c r="L30" i="13"/>
  <c r="H31" i="13"/>
  <c r="L10" i="13"/>
  <c r="H7" i="13"/>
  <c r="I22" i="13"/>
  <c r="H48" i="13"/>
  <c r="E25" i="13"/>
  <c r="L27" i="13"/>
  <c r="D24" i="13"/>
  <c r="F33" i="13"/>
  <c r="D52" i="13"/>
  <c r="I33" i="13"/>
  <c r="H6" i="13"/>
  <c r="C12" i="13"/>
  <c r="I36" i="13"/>
  <c r="E31" i="13"/>
  <c r="F53" i="13"/>
  <c r="C14" i="13"/>
  <c r="D30" i="13"/>
  <c r="J18" i="13"/>
  <c r="C49" i="13"/>
  <c r="C29" i="13"/>
  <c r="G14" i="13"/>
  <c r="C54" i="13"/>
  <c r="D11" i="13"/>
  <c r="C43" i="13"/>
  <c r="K39" i="12"/>
  <c r="I6" i="12"/>
  <c r="J47" i="12"/>
  <c r="D7" i="12"/>
  <c r="E55" i="12"/>
  <c r="I19" i="12"/>
  <c r="F41" i="12"/>
  <c r="K34" i="12"/>
  <c r="L20" i="12"/>
  <c r="L32" i="12"/>
  <c r="C9" i="12"/>
  <c r="E8" i="12"/>
  <c r="J46" i="12"/>
  <c r="G47" i="12"/>
  <c r="C31" i="12"/>
  <c r="CZ45" i="4"/>
  <c r="K15" i="14"/>
  <c r="E32" i="14"/>
  <c r="F41" i="14"/>
  <c r="E44" i="14"/>
  <c r="I32" i="14"/>
  <c r="G13" i="14"/>
  <c r="D27" i="14"/>
  <c r="F25" i="14"/>
  <c r="F35" i="14"/>
  <c r="K41" i="14"/>
  <c r="L41" i="14"/>
  <c r="I50" i="13"/>
  <c r="C7" i="14"/>
  <c r="G42" i="14"/>
  <c r="C15" i="14"/>
  <c r="E43" i="14"/>
  <c r="H46" i="14"/>
  <c r="J52" i="14"/>
  <c r="I34" i="14"/>
  <c r="C38" i="13"/>
  <c r="C15" i="13"/>
  <c r="C9" i="13"/>
  <c r="G20" i="13"/>
  <c r="E54" i="13"/>
  <c r="J37" i="13"/>
  <c r="L49" i="13"/>
  <c r="H30" i="13"/>
  <c r="E40" i="13"/>
  <c r="L42" i="13"/>
  <c r="I16" i="13"/>
  <c r="G10" i="13"/>
  <c r="G48" i="13"/>
  <c r="D48" i="13"/>
  <c r="K43" i="13"/>
  <c r="F34" i="12"/>
  <c r="H52" i="12"/>
  <c r="L19" i="12"/>
  <c r="L9" i="12"/>
  <c r="D6" i="12"/>
  <c r="L7" i="12"/>
  <c r="K42" i="12"/>
  <c r="C19" i="12"/>
  <c r="I34" i="12"/>
  <c r="L13" i="12"/>
  <c r="I53" i="12"/>
  <c r="D52" i="12"/>
  <c r="K38" i="12"/>
  <c r="F23" i="12"/>
  <c r="J27" i="12"/>
  <c r="K43" i="12"/>
  <c r="F42" i="12"/>
  <c r="CE44" i="4"/>
  <c r="D49" i="13"/>
  <c r="F8" i="12"/>
  <c r="K25" i="12"/>
  <c r="F36" i="12"/>
  <c r="C16" i="12"/>
  <c r="L46" i="14"/>
  <c r="L34" i="13"/>
  <c r="J34" i="13"/>
  <c r="I27" i="13"/>
  <c r="L45" i="13"/>
  <c r="D31" i="12"/>
  <c r="E19" i="12"/>
  <c r="H11" i="12"/>
  <c r="D39" i="12"/>
  <c r="H41" i="14"/>
  <c r="K42" i="14"/>
  <c r="C50" i="14"/>
  <c r="K34" i="14"/>
  <c r="L11" i="14"/>
  <c r="K30" i="14"/>
  <c r="E51" i="14"/>
  <c r="J8" i="13"/>
  <c r="F17" i="13"/>
  <c r="J6" i="13"/>
  <c r="H25" i="13"/>
  <c r="D33" i="13"/>
  <c r="E24" i="13"/>
  <c r="F46" i="13"/>
  <c r="H11" i="13"/>
  <c r="C23" i="13"/>
  <c r="L53" i="13"/>
  <c r="I32" i="13"/>
  <c r="K24" i="13"/>
  <c r="J51" i="13"/>
  <c r="H37" i="13"/>
  <c r="I44" i="13"/>
  <c r="J53" i="12"/>
  <c r="L38" i="12"/>
  <c r="D12" i="12"/>
  <c r="C25" i="12"/>
  <c r="G41" i="12"/>
  <c r="G55" i="12"/>
  <c r="C20" i="12"/>
  <c r="K44" i="12"/>
  <c r="H15" i="12"/>
  <c r="K55" i="12"/>
  <c r="D29" i="12"/>
  <c r="L30" i="12"/>
  <c r="F49" i="12"/>
  <c r="L47" i="12"/>
  <c r="E12" i="12"/>
  <c r="F11" i="12"/>
  <c r="J42" i="12"/>
  <c r="CZ44" i="4"/>
  <c r="J19" i="13"/>
  <c r="C44" i="12"/>
  <c r="K30" i="12"/>
  <c r="J7" i="12"/>
  <c r="C38" i="12"/>
  <c r="H53" i="14"/>
  <c r="F55" i="13"/>
  <c r="I38" i="13"/>
  <c r="E35" i="13"/>
  <c r="K21" i="13"/>
  <c r="H17" i="12"/>
  <c r="G9" i="12"/>
  <c r="D54" i="12"/>
  <c r="G46" i="14"/>
  <c r="I36" i="14"/>
  <c r="E6" i="14"/>
  <c r="K23" i="14"/>
  <c r="F37" i="14"/>
  <c r="L33" i="14"/>
  <c r="K18" i="14"/>
  <c r="E55" i="13"/>
  <c r="H14" i="13"/>
  <c r="C21" i="13"/>
  <c r="E15" i="13"/>
  <c r="K27" i="13"/>
  <c r="H16" i="13"/>
  <c r="J36" i="13"/>
  <c r="K34" i="13"/>
  <c r="I52" i="13"/>
  <c r="D45" i="13"/>
  <c r="E18" i="13"/>
  <c r="L24" i="13"/>
  <c r="H10" i="13"/>
  <c r="L46" i="13"/>
  <c r="G17" i="13"/>
  <c r="C46" i="12"/>
  <c r="H23" i="12"/>
  <c r="L25" i="12"/>
  <c r="D35" i="12"/>
  <c r="L40" i="12"/>
  <c r="H51" i="12"/>
  <c r="K45" i="12"/>
  <c r="C24" i="12"/>
  <c r="L39" i="12"/>
  <c r="C41" i="12"/>
  <c r="C7" i="12"/>
  <c r="I15" i="12"/>
  <c r="J25" i="12"/>
  <c r="C29" i="12"/>
  <c r="L28" i="12"/>
  <c r="L45" i="12"/>
  <c r="I25" i="12"/>
  <c r="CT44" i="4"/>
  <c r="C36" i="12"/>
  <c r="CK44" i="4"/>
  <c r="K6" i="14"/>
  <c r="E8" i="14"/>
  <c r="F12" i="13"/>
  <c r="G24" i="13"/>
  <c r="D22" i="13"/>
  <c r="D8" i="13"/>
  <c r="J44" i="13"/>
  <c r="D29" i="13"/>
  <c r="L44" i="13"/>
  <c r="H23" i="13"/>
  <c r="H18" i="12"/>
  <c r="J30" i="12"/>
  <c r="L49" i="12"/>
  <c r="E41" i="12"/>
  <c r="H41" i="12"/>
  <c r="I54" i="12"/>
  <c r="D13" i="12"/>
  <c r="D44" i="12"/>
  <c r="K27" i="12"/>
  <c r="CN44" i="4"/>
  <c r="C54" i="14"/>
  <c r="G38" i="14"/>
  <c r="E29" i="14"/>
  <c r="J42" i="13"/>
  <c r="L39" i="13"/>
  <c r="F9" i="13"/>
  <c r="G26" i="13"/>
  <c r="D50" i="13"/>
  <c r="L55" i="13"/>
  <c r="F14" i="13"/>
  <c r="F43" i="12"/>
  <c r="G53" i="12"/>
  <c r="I55" i="12"/>
  <c r="L6" i="12"/>
  <c r="F33" i="12"/>
  <c r="H48" i="12"/>
  <c r="I48" i="12"/>
  <c r="F10" i="12"/>
  <c r="CN45" i="4"/>
  <c r="F13" i="14"/>
  <c r="H38" i="14"/>
  <c r="C34" i="14"/>
  <c r="G43" i="13"/>
  <c r="J45" i="13"/>
  <c r="J21" i="13"/>
  <c r="F13" i="13"/>
  <c r="F32" i="13"/>
  <c r="C51" i="13"/>
  <c r="D7" i="13"/>
  <c r="L37" i="12"/>
  <c r="L51" i="12"/>
  <c r="C49" i="12"/>
  <c r="K22" i="12"/>
  <c r="E9" i="12"/>
  <c r="F8" i="14"/>
  <c r="E49" i="14"/>
  <c r="D43" i="14"/>
  <c r="H54" i="13"/>
  <c r="E32" i="13"/>
  <c r="J48" i="13"/>
  <c r="F42" i="13"/>
  <c r="G50" i="12"/>
  <c r="C43" i="12"/>
  <c r="H13" i="12"/>
  <c r="F22" i="12"/>
  <c r="G49" i="12"/>
  <c r="G45" i="12"/>
  <c r="J17" i="14"/>
  <c r="C31" i="14"/>
  <c r="I16" i="14"/>
  <c r="C36" i="14"/>
  <c r="C26" i="14"/>
  <c r="D31" i="14"/>
  <c r="F49" i="14"/>
  <c r="D35" i="13"/>
  <c r="J20" i="13"/>
  <c r="D55" i="13"/>
  <c r="C18" i="13"/>
  <c r="J17" i="13"/>
  <c r="E38" i="13"/>
  <c r="I10" i="13"/>
  <c r="K15" i="13"/>
  <c r="L28" i="13"/>
  <c r="G9" i="13"/>
  <c r="L31" i="13"/>
  <c r="I12" i="13"/>
  <c r="I41" i="13"/>
  <c r="H50" i="13"/>
  <c r="H53" i="12"/>
  <c r="J18" i="12"/>
  <c r="J12" i="12"/>
  <c r="C23" i="12"/>
  <c r="I45" i="12"/>
  <c r="H55" i="12"/>
  <c r="D34" i="12"/>
  <c r="F51" i="12"/>
  <c r="C14" i="12"/>
  <c r="K49" i="12"/>
  <c r="H33" i="12"/>
  <c r="G37" i="12"/>
  <c r="C26" i="12"/>
  <c r="F14" i="12"/>
  <c r="H27" i="12"/>
  <c r="H43" i="12"/>
  <c r="G8" i="12"/>
  <c r="C28" i="14"/>
  <c r="K25" i="14"/>
  <c r="H9" i="14"/>
  <c r="H32" i="14"/>
  <c r="E45" i="13"/>
  <c r="D16" i="13"/>
  <c r="D14" i="13"/>
  <c r="K22" i="13"/>
  <c r="K51" i="13"/>
  <c r="D12" i="13"/>
  <c r="E19" i="13"/>
  <c r="J13" i="12"/>
  <c r="K36" i="12"/>
  <c r="E52" i="12"/>
  <c r="C15" i="12"/>
  <c r="F13" i="12"/>
  <c r="H34" i="12"/>
  <c r="K21" i="12"/>
  <c r="J41" i="12"/>
  <c r="K23" i="12"/>
  <c r="G45" i="14"/>
  <c r="I14" i="14"/>
  <c r="J19" i="14"/>
  <c r="C34" i="13"/>
  <c r="D40" i="13"/>
  <c r="L35" i="13"/>
  <c r="K53" i="13"/>
  <c r="K25" i="13"/>
  <c r="I7" i="13"/>
  <c r="L33" i="13"/>
  <c r="C22" i="13"/>
  <c r="G11" i="12"/>
  <c r="E11" i="12"/>
  <c r="E44" i="12"/>
  <c r="J55" i="12"/>
  <c r="G52" i="12"/>
  <c r="K18" i="12"/>
  <c r="E53" i="12"/>
  <c r="J28" i="12"/>
  <c r="E45" i="12"/>
  <c r="C35" i="12"/>
  <c r="F45" i="14"/>
  <c r="C6" i="14"/>
  <c r="E52" i="14"/>
  <c r="C44" i="13"/>
  <c r="E53" i="13"/>
  <c r="G11" i="13"/>
  <c r="D51" i="13"/>
  <c r="L43" i="13"/>
  <c r="F22" i="13"/>
  <c r="L53" i="12"/>
  <c r="I39" i="12"/>
  <c r="E36" i="12"/>
  <c r="G35" i="12"/>
  <c r="J8" i="12"/>
  <c r="CQ44" i="4"/>
  <c r="K32" i="14"/>
  <c r="J24" i="13"/>
  <c r="L23" i="13"/>
  <c r="I29" i="13"/>
  <c r="G18" i="12"/>
  <c r="J51" i="12"/>
  <c r="L11" i="12"/>
  <c r="I8" i="12"/>
  <c r="K9" i="12"/>
  <c r="G23" i="11"/>
  <c r="J14" i="11"/>
  <c r="F24" i="11"/>
  <c r="D31" i="11"/>
  <c r="L47" i="11"/>
  <c r="C20" i="11"/>
  <c r="K45" i="11"/>
  <c r="H24" i="11"/>
  <c r="K33" i="11"/>
  <c r="G41" i="11"/>
  <c r="K15" i="11"/>
  <c r="L24" i="11"/>
  <c r="G37" i="11"/>
  <c r="J21" i="11"/>
  <c r="G54" i="11"/>
  <c r="K53" i="11"/>
  <c r="J25" i="11"/>
  <c r="K29" i="11"/>
  <c r="L19" i="11"/>
  <c r="G6" i="11"/>
  <c r="D52" i="11"/>
  <c r="K43" i="11"/>
  <c r="I55" i="11"/>
  <c r="J13" i="11"/>
  <c r="I45" i="11"/>
  <c r="E40" i="11"/>
  <c r="H14" i="11"/>
  <c r="C24" i="11"/>
  <c r="L38" i="11"/>
  <c r="H40" i="11"/>
  <c r="K41" i="11"/>
  <c r="K35" i="11"/>
  <c r="H54" i="11"/>
  <c r="H7" i="11"/>
  <c r="I25" i="11"/>
  <c r="D7" i="11"/>
  <c r="L33" i="11"/>
  <c r="F42" i="11"/>
  <c r="G53" i="11"/>
  <c r="H9" i="11"/>
  <c r="H30" i="11"/>
  <c r="C8" i="11"/>
  <c r="K12" i="11"/>
  <c r="D33" i="11"/>
  <c r="H46" i="11"/>
  <c r="H28" i="11"/>
  <c r="F11" i="11"/>
  <c r="K6" i="11"/>
  <c r="H31" i="11"/>
  <c r="K7" i="11"/>
  <c r="I38" i="11"/>
  <c r="J19" i="11"/>
  <c r="I18" i="11"/>
  <c r="I11" i="11"/>
  <c r="I28" i="11"/>
  <c r="H50" i="11"/>
  <c r="L25" i="11"/>
  <c r="J47" i="11"/>
  <c r="E22" i="11"/>
  <c r="G26" i="11"/>
  <c r="K32" i="11"/>
  <c r="E49" i="11"/>
  <c r="C29" i="11"/>
  <c r="G22" i="10"/>
  <c r="K24" i="10"/>
  <c r="G47" i="10"/>
  <c r="J45" i="10"/>
  <c r="K19" i="10"/>
  <c r="F47" i="10"/>
  <c r="H23" i="10"/>
  <c r="C22" i="10"/>
  <c r="H40" i="10"/>
  <c r="C24" i="10"/>
  <c r="G14" i="10"/>
  <c r="D28" i="10"/>
  <c r="L17" i="10"/>
  <c r="H43" i="10"/>
  <c r="G11" i="10"/>
  <c r="G6" i="10"/>
  <c r="F44" i="10"/>
  <c r="J47" i="10"/>
  <c r="D36" i="10"/>
  <c r="C8" i="10"/>
  <c r="J8" i="10"/>
  <c r="F43" i="10"/>
  <c r="J17" i="10"/>
  <c r="H15" i="10"/>
  <c r="I41" i="10"/>
  <c r="D44" i="10"/>
  <c r="D40" i="10"/>
  <c r="C37" i="10"/>
  <c r="E15" i="10"/>
  <c r="J23" i="10"/>
  <c r="L12" i="10"/>
  <c r="G35" i="10"/>
  <c r="F39" i="10"/>
  <c r="J30" i="10"/>
  <c r="J33" i="10"/>
  <c r="J29" i="10"/>
  <c r="K29" i="10"/>
  <c r="H22" i="10"/>
  <c r="L7" i="10"/>
  <c r="C48" i="10"/>
  <c r="C7" i="10"/>
  <c r="G30" i="10"/>
  <c r="G28" i="10"/>
  <c r="D46" i="10"/>
  <c r="I52" i="10"/>
  <c r="F23" i="10"/>
  <c r="J27" i="10"/>
  <c r="K54" i="10"/>
  <c r="E54" i="10"/>
  <c r="E46" i="10"/>
  <c r="E40" i="10"/>
  <c r="D33" i="10"/>
  <c r="F54" i="10"/>
  <c r="L31" i="10"/>
  <c r="I50" i="10"/>
  <c r="K38" i="10"/>
  <c r="E33" i="10"/>
  <c r="H32" i="10"/>
  <c r="G36" i="10"/>
  <c r="D25" i="10"/>
  <c r="G32" i="10"/>
  <c r="L28" i="10"/>
  <c r="E20" i="9"/>
  <c r="K15" i="9"/>
  <c r="G9" i="9"/>
  <c r="L12" i="9"/>
  <c r="G45" i="9"/>
  <c r="H8" i="9"/>
  <c r="K39" i="9"/>
  <c r="F45" i="9"/>
  <c r="G41" i="9"/>
  <c r="K54" i="9"/>
  <c r="L38" i="9"/>
  <c r="G29" i="9"/>
  <c r="L29" i="9"/>
  <c r="H42" i="9"/>
  <c r="H32" i="9"/>
  <c r="J49" i="9"/>
  <c r="G26" i="9"/>
  <c r="E52" i="9"/>
  <c r="I22" i="9"/>
  <c r="J55" i="9"/>
  <c r="J28" i="9"/>
  <c r="G52" i="9"/>
  <c r="J32" i="9"/>
  <c r="D38" i="9"/>
  <c r="I21" i="9"/>
  <c r="D53" i="9"/>
  <c r="E35" i="9"/>
  <c r="I11" i="9"/>
  <c r="I30" i="9"/>
  <c r="C50" i="9"/>
  <c r="I20" i="9"/>
  <c r="E53" i="9"/>
  <c r="K37" i="9"/>
  <c r="L33" i="9"/>
  <c r="C38" i="9"/>
  <c r="C23" i="9"/>
  <c r="C39" i="9"/>
  <c r="C42" i="9"/>
  <c r="I50" i="9"/>
  <c r="D42" i="9"/>
  <c r="D21" i="9"/>
  <c r="C13" i="9"/>
  <c r="K25" i="9"/>
  <c r="I25" i="9"/>
  <c r="L40" i="9"/>
  <c r="L52" i="9"/>
  <c r="H22" i="9"/>
  <c r="H48" i="9"/>
  <c r="F54" i="9"/>
  <c r="I27" i="9"/>
  <c r="J36" i="9"/>
  <c r="H49" i="9"/>
  <c r="I40" i="9"/>
  <c r="G8" i="9"/>
  <c r="J42" i="9"/>
  <c r="H44" i="9"/>
  <c r="G47" i="9"/>
  <c r="K14" i="9"/>
  <c r="D10" i="9"/>
  <c r="K45" i="9"/>
  <c r="D7" i="9"/>
  <c r="H39" i="9"/>
  <c r="C9" i="9"/>
  <c r="D32" i="8"/>
  <c r="H46" i="8"/>
  <c r="D53" i="8"/>
  <c r="H35" i="8"/>
  <c r="I19" i="8"/>
  <c r="I51" i="8"/>
  <c r="L44" i="8"/>
  <c r="D44" i="8"/>
  <c r="H13" i="8"/>
  <c r="F36" i="8"/>
  <c r="C9" i="8"/>
  <c r="L19" i="8"/>
  <c r="D16" i="8"/>
  <c r="K47" i="8"/>
  <c r="K22" i="8"/>
  <c r="D33" i="8"/>
  <c r="F45" i="8"/>
  <c r="E50" i="8"/>
  <c r="F16" i="8"/>
  <c r="D7" i="8"/>
  <c r="E22" i="8"/>
  <c r="I10" i="8"/>
  <c r="F52" i="11"/>
  <c r="I8" i="11"/>
  <c r="G25" i="11"/>
  <c r="E45" i="11"/>
  <c r="L36" i="11"/>
  <c r="K48" i="11"/>
  <c r="K24" i="11"/>
  <c r="K17" i="11"/>
  <c r="E26" i="11"/>
  <c r="H15" i="11"/>
  <c r="K23" i="11"/>
  <c r="F54" i="11"/>
  <c r="L9" i="11"/>
  <c r="C46" i="11"/>
  <c r="C47" i="11"/>
  <c r="K55" i="11"/>
  <c r="E38" i="11"/>
  <c r="K26" i="11"/>
  <c r="E44" i="11"/>
  <c r="F17" i="11"/>
  <c r="J11" i="11"/>
  <c r="E31" i="11"/>
  <c r="C39" i="11"/>
  <c r="I22" i="11"/>
  <c r="F20" i="11"/>
  <c r="C30" i="11"/>
  <c r="G18" i="11"/>
  <c r="K54" i="11"/>
  <c r="J20" i="11"/>
  <c r="I13" i="11"/>
  <c r="F10" i="11"/>
  <c r="F13" i="11"/>
  <c r="C33" i="11"/>
  <c r="C13" i="11"/>
  <c r="H33" i="11"/>
  <c r="C36" i="11"/>
  <c r="I53" i="11"/>
  <c r="I36" i="11"/>
  <c r="G55" i="11"/>
  <c r="I43" i="11"/>
  <c r="G49" i="11"/>
  <c r="L39" i="11"/>
  <c r="L42" i="11"/>
  <c r="L22" i="11"/>
  <c r="I32" i="11"/>
  <c r="G31" i="11"/>
  <c r="D17" i="11"/>
  <c r="C6" i="11"/>
  <c r="E17" i="11"/>
  <c r="I6" i="11"/>
  <c r="E47" i="11"/>
  <c r="I16" i="11"/>
  <c r="I51" i="11"/>
  <c r="G30" i="11"/>
  <c r="F55" i="11"/>
  <c r="G28" i="11"/>
  <c r="K9" i="11"/>
  <c r="G34" i="11"/>
  <c r="H23" i="11"/>
  <c r="E42" i="11"/>
  <c r="G51" i="11"/>
  <c r="G47" i="11"/>
  <c r="G46" i="11"/>
  <c r="J28" i="10"/>
  <c r="D34" i="10"/>
  <c r="E26" i="10"/>
  <c r="E51" i="10"/>
  <c r="F17" i="10"/>
  <c r="K43" i="10"/>
  <c r="I14" i="10"/>
  <c r="L25" i="10"/>
  <c r="F12" i="10"/>
  <c r="F36" i="10"/>
  <c r="D35" i="10"/>
  <c r="C12" i="10"/>
  <c r="J43" i="10"/>
  <c r="G26" i="10"/>
  <c r="C27" i="10"/>
  <c r="F22" i="10"/>
  <c r="H24" i="10"/>
  <c r="G34" i="10"/>
  <c r="I11" i="10"/>
  <c r="H17" i="10"/>
  <c r="H49" i="10"/>
  <c r="J38" i="10"/>
  <c r="E52" i="10"/>
  <c r="C13" i="10"/>
  <c r="E31" i="10"/>
  <c r="D9" i="10"/>
  <c r="F13" i="10"/>
  <c r="F26" i="10"/>
  <c r="C26" i="10"/>
  <c r="C18" i="10"/>
  <c r="I10" i="10"/>
  <c r="L33" i="10"/>
  <c r="H18" i="10"/>
  <c r="H26" i="10"/>
  <c r="E6" i="10"/>
  <c r="G54" i="10"/>
  <c r="C36" i="10"/>
  <c r="L54" i="10"/>
  <c r="G12" i="10"/>
  <c r="K42" i="10"/>
  <c r="F20" i="10"/>
  <c r="D10" i="10"/>
  <c r="I54" i="10"/>
  <c r="J48" i="10"/>
  <c r="J11" i="10"/>
  <c r="C28" i="10"/>
  <c r="K9" i="10"/>
  <c r="F9" i="10"/>
  <c r="D37" i="10"/>
  <c r="D21" i="10"/>
  <c r="I38" i="10"/>
  <c r="I9" i="10"/>
  <c r="K6" i="10"/>
  <c r="E44" i="10"/>
  <c r="K25" i="10"/>
  <c r="F46" i="10"/>
  <c r="G33" i="10"/>
  <c r="L46" i="10"/>
  <c r="J42" i="10"/>
  <c r="I31" i="10"/>
  <c r="D43" i="10"/>
  <c r="G43" i="10"/>
  <c r="L19" i="9"/>
  <c r="E13" i="9"/>
  <c r="E40" i="9"/>
  <c r="K52" i="9"/>
  <c r="C47" i="9"/>
  <c r="C32" i="9"/>
  <c r="G48" i="9"/>
  <c r="L48" i="9"/>
  <c r="K12" i="9"/>
  <c r="D50" i="9"/>
  <c r="G43" i="9"/>
  <c r="L34" i="9"/>
  <c r="K29" i="9"/>
  <c r="D37" i="9"/>
  <c r="L39" i="9"/>
  <c r="F49" i="9"/>
  <c r="E22" i="9"/>
  <c r="G37" i="9"/>
  <c r="I53" i="9"/>
  <c r="F35" i="9"/>
  <c r="J25" i="9"/>
  <c r="K6" i="9"/>
  <c r="G55" i="9"/>
  <c r="L28" i="9"/>
  <c r="E32" i="9"/>
  <c r="C43" i="9"/>
  <c r="E28" i="9"/>
  <c r="E39" i="9"/>
  <c r="E50" i="9"/>
  <c r="L41" i="9"/>
  <c r="C31" i="9"/>
  <c r="D26" i="9"/>
  <c r="J21" i="9"/>
  <c r="J51" i="9"/>
  <c r="C48" i="9"/>
  <c r="E16" i="9"/>
  <c r="E42" i="9"/>
  <c r="G35" i="9"/>
  <c r="D17" i="9"/>
  <c r="F53" i="9"/>
  <c r="D27" i="9"/>
  <c r="L25" i="9"/>
  <c r="C16" i="9"/>
  <c r="H6" i="9"/>
  <c r="F43" i="9"/>
  <c r="D24" i="9"/>
  <c r="K34" i="9"/>
  <c r="G14" i="9"/>
  <c r="C34" i="9"/>
  <c r="H36" i="9"/>
  <c r="F20" i="9"/>
  <c r="E14" i="9"/>
  <c r="J44" i="9"/>
  <c r="L45" i="9"/>
  <c r="L24" i="9"/>
  <c r="L6" i="9"/>
  <c r="J18" i="9"/>
  <c r="C55" i="9"/>
  <c r="D31" i="9"/>
  <c r="E43" i="9"/>
  <c r="F12" i="9"/>
  <c r="C10" i="9"/>
  <c r="L11" i="9"/>
  <c r="J53" i="8"/>
  <c r="C14" i="8"/>
  <c r="D13" i="8"/>
  <c r="G43" i="8"/>
  <c r="J44" i="8"/>
  <c r="J28" i="8"/>
  <c r="F34" i="8"/>
  <c r="D22" i="8"/>
  <c r="L15" i="8"/>
  <c r="J49" i="8"/>
  <c r="J34" i="8"/>
  <c r="G35" i="8"/>
  <c r="J47" i="8"/>
  <c r="K38" i="11"/>
  <c r="L12" i="11"/>
  <c r="I12" i="11"/>
  <c r="C52" i="11"/>
  <c r="L26" i="11"/>
  <c r="L10" i="11"/>
  <c r="H27" i="11"/>
  <c r="F41" i="11"/>
  <c r="D46" i="11"/>
  <c r="E52" i="11"/>
  <c r="C9" i="11"/>
  <c r="K42" i="11"/>
  <c r="F23" i="11"/>
  <c r="H34" i="11"/>
  <c r="L23" i="11"/>
  <c r="E39" i="11"/>
  <c r="H44" i="11"/>
  <c r="D16" i="11"/>
  <c r="J34" i="11"/>
  <c r="G38" i="11"/>
  <c r="L16" i="11"/>
  <c r="C40" i="11"/>
  <c r="L52" i="11"/>
  <c r="E12" i="11"/>
  <c r="F19" i="11"/>
  <c r="K31" i="11"/>
  <c r="E43" i="11"/>
  <c r="G40" i="11"/>
  <c r="F8" i="11"/>
  <c r="D19" i="11"/>
  <c r="J7" i="11"/>
  <c r="L43" i="11"/>
  <c r="J44" i="11"/>
  <c r="F37" i="11"/>
  <c r="E15" i="11"/>
  <c r="C49" i="11"/>
  <c r="G14" i="11"/>
  <c r="D29" i="11"/>
  <c r="E35" i="11"/>
  <c r="F27" i="11"/>
  <c r="F33" i="11"/>
  <c r="F25" i="11"/>
  <c r="G39" i="11"/>
  <c r="D54" i="11"/>
  <c r="E7" i="11"/>
  <c r="H41" i="11"/>
  <c r="C12" i="11"/>
  <c r="J10" i="11"/>
  <c r="D28" i="11"/>
  <c r="G44" i="11"/>
  <c r="J36" i="11"/>
  <c r="E19" i="11"/>
  <c r="K18" i="11"/>
  <c r="E23" i="11"/>
  <c r="I35" i="11"/>
  <c r="E33" i="11"/>
  <c r="L48" i="11"/>
  <c r="C22" i="11"/>
  <c r="K36" i="11"/>
  <c r="F39" i="11"/>
  <c r="I54" i="11"/>
  <c r="D36" i="11"/>
  <c r="C52" i="10"/>
  <c r="J20" i="10"/>
  <c r="K22" i="10"/>
  <c r="E32" i="10"/>
  <c r="L55" i="10"/>
  <c r="C42" i="10"/>
  <c r="I26" i="10"/>
  <c r="E28" i="10"/>
  <c r="G20" i="10"/>
  <c r="E10" i="10"/>
  <c r="F49" i="10"/>
  <c r="I49" i="10"/>
  <c r="I15" i="10"/>
  <c r="K21" i="10"/>
  <c r="K35" i="10"/>
  <c r="H28" i="10"/>
  <c r="D13" i="10"/>
  <c r="F19" i="10"/>
  <c r="L35" i="10"/>
  <c r="G38" i="10"/>
  <c r="E42" i="10"/>
  <c r="E8" i="10"/>
  <c r="J16" i="10"/>
  <c r="I8" i="10"/>
  <c r="G18" i="10"/>
  <c r="C41" i="10"/>
  <c r="D49" i="10"/>
  <c r="D20" i="10"/>
  <c r="C21" i="10"/>
  <c r="C30" i="10"/>
  <c r="H35" i="10"/>
  <c r="L51" i="10"/>
  <c r="L49" i="10"/>
  <c r="H8" i="10"/>
  <c r="C33" i="10"/>
  <c r="H12" i="10"/>
  <c r="J52" i="10"/>
  <c r="D19" i="10"/>
  <c r="K28" i="10"/>
  <c r="L21" i="10"/>
  <c r="H46" i="10"/>
  <c r="K27" i="10"/>
  <c r="I28" i="10"/>
  <c r="C53" i="10"/>
  <c r="I20" i="10"/>
  <c r="I29" i="10"/>
  <c r="J55" i="10"/>
  <c r="K47" i="10"/>
  <c r="F15" i="10"/>
  <c r="I34" i="10"/>
  <c r="E36" i="10"/>
  <c r="G13" i="10"/>
  <c r="C11" i="10"/>
  <c r="F14" i="10"/>
  <c r="I27" i="10"/>
  <c r="H29" i="10"/>
  <c r="H48" i="10"/>
  <c r="K46" i="10"/>
  <c r="I55" i="10"/>
  <c r="L44" i="10"/>
  <c r="E55" i="10"/>
  <c r="I16" i="10"/>
  <c r="F37" i="10"/>
  <c r="I12" i="9"/>
  <c r="D55" i="9"/>
  <c r="G53" i="9"/>
  <c r="G10" i="9"/>
  <c r="E19" i="9"/>
  <c r="L36" i="9"/>
  <c r="J10" i="9"/>
  <c r="E54" i="9"/>
  <c r="D23" i="9"/>
  <c r="L18" i="9"/>
  <c r="C8" i="9"/>
  <c r="C26" i="9"/>
  <c r="D49" i="9"/>
  <c r="C35" i="9"/>
  <c r="H18" i="9"/>
  <c r="G19" i="9"/>
  <c r="H37" i="9"/>
  <c r="I32" i="9"/>
  <c r="F7" i="9"/>
  <c r="L30" i="9"/>
  <c r="L54" i="9"/>
  <c r="L14" i="9"/>
  <c r="D9" i="9"/>
  <c r="I49" i="9"/>
  <c r="E47" i="9"/>
  <c r="H35" i="9"/>
  <c r="G12" i="9"/>
  <c r="H26" i="9"/>
  <c r="L55" i="9"/>
  <c r="K41" i="9"/>
  <c r="D40" i="9"/>
  <c r="I52" i="9"/>
  <c r="J30" i="9"/>
  <c r="F23" i="9"/>
  <c r="D12" i="9"/>
  <c r="F38" i="9"/>
  <c r="K20" i="9"/>
  <c r="I46" i="9"/>
  <c r="K35" i="9"/>
  <c r="I31" i="9"/>
  <c r="L32" i="9"/>
  <c r="L46" i="9"/>
  <c r="H31" i="9"/>
  <c r="H15" i="9"/>
  <c r="E44" i="9"/>
  <c r="F29" i="9"/>
  <c r="J29" i="9"/>
  <c r="G28" i="9"/>
  <c r="C44" i="9"/>
  <c r="K47" i="9"/>
  <c r="H46" i="9"/>
  <c r="G6" i="9"/>
  <c r="E48" i="9"/>
  <c r="K23" i="9"/>
  <c r="E37" i="9"/>
  <c r="G33" i="9"/>
  <c r="K24" i="9"/>
  <c r="K53" i="9"/>
  <c r="J46" i="9"/>
  <c r="E9" i="9"/>
  <c r="D52" i="9"/>
  <c r="H53" i="9"/>
  <c r="J46" i="8"/>
  <c r="E53" i="8"/>
  <c r="I26" i="8"/>
  <c r="H32" i="8"/>
  <c r="C53" i="8"/>
  <c r="C8" i="8"/>
  <c r="G33" i="8"/>
  <c r="E41" i="8"/>
  <c r="G45" i="8"/>
  <c r="E44" i="8"/>
  <c r="G10" i="8"/>
  <c r="J36" i="8"/>
  <c r="L29" i="8"/>
  <c r="F52" i="8"/>
  <c r="H55" i="8"/>
  <c r="E12" i="8"/>
  <c r="F11" i="8"/>
  <c r="L27" i="8"/>
  <c r="J31" i="8"/>
  <c r="E24" i="8"/>
  <c r="C51" i="8"/>
  <c r="K44" i="8"/>
  <c r="K36" i="8"/>
  <c r="E26" i="8"/>
  <c r="F28" i="8"/>
  <c r="E9" i="8"/>
  <c r="L42" i="8"/>
  <c r="L11" i="8"/>
  <c r="K29" i="8"/>
  <c r="F24" i="8"/>
  <c r="F31" i="8"/>
  <c r="J48" i="8"/>
  <c r="H22" i="8"/>
  <c r="F44" i="8"/>
  <c r="F42" i="8"/>
  <c r="H47" i="8"/>
  <c r="D6" i="8"/>
  <c r="F38" i="8"/>
  <c r="L55" i="8"/>
  <c r="D11" i="8"/>
  <c r="F23" i="8"/>
  <c r="F27" i="8"/>
  <c r="J10" i="8"/>
  <c r="K11" i="8"/>
  <c r="L20" i="8"/>
  <c r="D27" i="8"/>
  <c r="L26" i="8"/>
  <c r="I31" i="8"/>
  <c r="F41" i="8"/>
  <c r="I46" i="8"/>
  <c r="K19" i="8"/>
  <c r="L48" i="8"/>
  <c r="J51" i="8"/>
  <c r="H39" i="8"/>
  <c r="L8" i="8"/>
  <c r="K18" i="8"/>
  <c r="F35" i="8"/>
  <c r="C33" i="8"/>
  <c r="H18" i="8"/>
  <c r="L10" i="8"/>
  <c r="I42" i="8"/>
  <c r="H43" i="8"/>
  <c r="J9" i="8"/>
  <c r="I49" i="11"/>
  <c r="K50" i="11"/>
  <c r="I26" i="11"/>
  <c r="D32" i="11"/>
  <c r="F16" i="11"/>
  <c r="J54" i="11"/>
  <c r="G36" i="11"/>
  <c r="J52" i="11"/>
  <c r="J51" i="11"/>
  <c r="D21" i="11"/>
  <c r="D14" i="11"/>
  <c r="C17" i="11"/>
  <c r="G43" i="11"/>
  <c r="C54" i="11"/>
  <c r="L20" i="11"/>
  <c r="E34" i="11"/>
  <c r="C43" i="11"/>
  <c r="J48" i="11"/>
  <c r="H21" i="11"/>
  <c r="F29" i="11"/>
  <c r="J42" i="11"/>
  <c r="J46" i="11"/>
  <c r="D10" i="11"/>
  <c r="G45" i="11"/>
  <c r="I9" i="11"/>
  <c r="D37" i="11"/>
  <c r="F14" i="11"/>
  <c r="G10" i="11"/>
  <c r="E18" i="11"/>
  <c r="G17" i="11"/>
  <c r="C55" i="11"/>
  <c r="C25" i="11"/>
  <c r="G50" i="11"/>
  <c r="J55" i="11"/>
  <c r="J22" i="11"/>
  <c r="D27" i="11"/>
  <c r="G42" i="11"/>
  <c r="H48" i="11"/>
  <c r="L29" i="11"/>
  <c r="L55" i="11"/>
  <c r="F32" i="11"/>
  <c r="E13" i="11"/>
  <c r="E36" i="11"/>
  <c r="H6" i="11"/>
  <c r="F22" i="11"/>
  <c r="H55" i="11"/>
  <c r="I30" i="11"/>
  <c r="K46" i="11"/>
  <c r="J40" i="11"/>
  <c r="J35" i="11"/>
  <c r="H19" i="11"/>
  <c r="C19" i="11"/>
  <c r="J12" i="11"/>
  <c r="F40" i="11"/>
  <c r="I29" i="11"/>
  <c r="C10" i="11"/>
  <c r="F15" i="11"/>
  <c r="C31" i="11"/>
  <c r="E32" i="11"/>
  <c r="F26" i="11"/>
  <c r="C44" i="11"/>
  <c r="G19" i="11"/>
  <c r="E34" i="10"/>
  <c r="H27" i="10"/>
  <c r="H39" i="10"/>
  <c r="C55" i="10"/>
  <c r="C47" i="10"/>
  <c r="G51" i="10"/>
  <c r="G53" i="10"/>
  <c r="F51" i="10"/>
  <c r="L39" i="10"/>
  <c r="J41" i="10"/>
  <c r="G17" i="10"/>
  <c r="L34" i="10"/>
  <c r="E53" i="10"/>
  <c r="J14" i="10"/>
  <c r="D51" i="10"/>
  <c r="K12" i="10"/>
  <c r="I17" i="10"/>
  <c r="E12" i="10"/>
  <c r="J49" i="10"/>
  <c r="E48" i="10"/>
  <c r="D45" i="10"/>
  <c r="H38" i="10"/>
  <c r="I21" i="10"/>
  <c r="K20" i="10"/>
  <c r="L19" i="10"/>
  <c r="C43" i="10"/>
  <c r="L37" i="10"/>
  <c r="D39" i="10"/>
  <c r="G8" i="10"/>
  <c r="H7" i="10"/>
  <c r="G48" i="10"/>
  <c r="L48" i="10"/>
  <c r="J12" i="10"/>
  <c r="K45" i="10"/>
  <c r="K48" i="10"/>
  <c r="F41" i="10"/>
  <c r="L50" i="10"/>
  <c r="C17" i="10"/>
  <c r="D42" i="10"/>
  <c r="D41" i="10"/>
  <c r="I6" i="10"/>
  <c r="C31" i="10"/>
  <c r="I46" i="10"/>
  <c r="C6" i="10"/>
  <c r="C16" i="10"/>
  <c r="F50" i="10"/>
  <c r="L15" i="10"/>
  <c r="H20" i="10"/>
  <c r="K15" i="10"/>
  <c r="C14" i="10"/>
  <c r="J44" i="10"/>
  <c r="K41" i="10"/>
  <c r="F21" i="10"/>
  <c r="G9" i="10"/>
  <c r="H30" i="10"/>
  <c r="I40" i="10"/>
  <c r="G37" i="10"/>
  <c r="D8" i="10"/>
  <c r="L41" i="10"/>
  <c r="F33" i="10"/>
  <c r="L6" i="10"/>
  <c r="K44" i="10"/>
  <c r="I19" i="10"/>
  <c r="I17" i="9"/>
  <c r="I29" i="9"/>
  <c r="D41" i="9"/>
  <c r="G24" i="9"/>
  <c r="C54" i="9"/>
  <c r="K51" i="9"/>
  <c r="H38" i="9"/>
  <c r="F41" i="9"/>
  <c r="E29" i="9"/>
  <c r="C46" i="9"/>
  <c r="I26" i="9"/>
  <c r="K8" i="9"/>
  <c r="C7" i="9"/>
  <c r="D30" i="9"/>
  <c r="J52" i="9"/>
  <c r="J31" i="9"/>
  <c r="E10" i="9"/>
  <c r="J53" i="9"/>
  <c r="F22" i="9"/>
  <c r="E55" i="9"/>
  <c r="G51" i="9"/>
  <c r="K44" i="9"/>
  <c r="H54" i="9"/>
  <c r="C19" i="9"/>
  <c r="E24" i="9"/>
  <c r="L51" i="9"/>
  <c r="K22" i="9"/>
  <c r="K27" i="9"/>
  <c r="F37" i="9"/>
  <c r="J20" i="9"/>
  <c r="G39" i="9"/>
  <c r="I9" i="9"/>
  <c r="C36" i="9"/>
  <c r="L10" i="9"/>
  <c r="G46" i="9"/>
  <c r="E6" i="9"/>
  <c r="E46" i="9"/>
  <c r="E38" i="9"/>
  <c r="L37" i="9"/>
  <c r="H29" i="9"/>
  <c r="F10" i="9"/>
  <c r="F46" i="9"/>
  <c r="H17" i="9"/>
  <c r="F15" i="9"/>
  <c r="C21" i="9"/>
  <c r="K32" i="9"/>
  <c r="F9" i="9"/>
  <c r="K17" i="9"/>
  <c r="G54" i="9"/>
  <c r="H24" i="9"/>
  <c r="C45" i="9"/>
  <c r="C41" i="9"/>
  <c r="H55" i="9"/>
  <c r="G42" i="9"/>
  <c r="K28" i="9"/>
  <c r="F44" i="9"/>
  <c r="L44" i="9"/>
  <c r="L31" i="9"/>
  <c r="J48" i="9"/>
  <c r="F6" i="9"/>
  <c r="H51" i="9"/>
  <c r="C11" i="9"/>
  <c r="C24" i="8"/>
  <c r="K34" i="8"/>
  <c r="K10" i="8"/>
  <c r="J52" i="8"/>
  <c r="L25" i="8"/>
  <c r="D50" i="8"/>
  <c r="D41" i="8"/>
  <c r="H42" i="8"/>
  <c r="H9" i="8"/>
  <c r="H37" i="8"/>
  <c r="C38" i="8"/>
  <c r="L18" i="8"/>
  <c r="J23" i="8"/>
  <c r="D21" i="8"/>
  <c r="I28" i="8"/>
  <c r="G41" i="8"/>
  <c r="C15" i="8"/>
  <c r="J25" i="8"/>
  <c r="L38" i="8"/>
  <c r="H54" i="8"/>
  <c r="E37" i="8"/>
  <c r="E40" i="8"/>
  <c r="K8" i="8"/>
  <c r="H16" i="8"/>
  <c r="I30" i="8"/>
  <c r="K30" i="8"/>
  <c r="I35" i="8"/>
  <c r="F39" i="8"/>
  <c r="I15" i="8"/>
  <c r="H34" i="8"/>
  <c r="G49" i="8"/>
  <c r="I24" i="8"/>
  <c r="K7" i="8"/>
  <c r="K27" i="8"/>
  <c r="E6" i="8"/>
  <c r="C44" i="8"/>
  <c r="E38" i="8"/>
  <c r="J45" i="8"/>
  <c r="E48" i="8"/>
  <c r="K51" i="8"/>
  <c r="L30" i="8"/>
  <c r="F18" i="8"/>
  <c r="L53" i="8"/>
  <c r="H33" i="8"/>
  <c r="H30" i="8"/>
  <c r="E49" i="8"/>
  <c r="E54" i="8"/>
  <c r="H14" i="8"/>
  <c r="E13" i="8"/>
  <c r="C6" i="8"/>
  <c r="I47" i="8"/>
  <c r="F19" i="8"/>
  <c r="J21" i="8"/>
  <c r="F51" i="8"/>
  <c r="H41" i="8"/>
  <c r="H38" i="8"/>
  <c r="D28" i="8"/>
  <c r="D20" i="8"/>
  <c r="F50" i="8"/>
  <c r="K13" i="8"/>
  <c r="E7" i="8"/>
  <c r="D30" i="8"/>
  <c r="C39" i="8"/>
  <c r="K21" i="7"/>
  <c r="K38" i="7"/>
  <c r="G52" i="7"/>
  <c r="G22" i="7"/>
  <c r="D23" i="11"/>
  <c r="F30" i="11"/>
  <c r="K14" i="11"/>
  <c r="C32" i="11"/>
  <c r="H53" i="11"/>
  <c r="F28" i="11"/>
  <c r="L15" i="11"/>
  <c r="L35" i="11"/>
  <c r="I23" i="11"/>
  <c r="K47" i="11"/>
  <c r="F47" i="11"/>
  <c r="F21" i="11"/>
  <c r="G11" i="11"/>
  <c r="L46" i="11"/>
  <c r="C51" i="11"/>
  <c r="L49" i="11"/>
  <c r="C16" i="11"/>
  <c r="E21" i="11"/>
  <c r="H25" i="11"/>
  <c r="L31" i="11"/>
  <c r="D53" i="11"/>
  <c r="F44" i="11"/>
  <c r="F34" i="11"/>
  <c r="H35" i="11"/>
  <c r="H49" i="11"/>
  <c r="C41" i="11"/>
  <c r="C28" i="11"/>
  <c r="D41" i="11"/>
  <c r="J39" i="11"/>
  <c r="K27" i="11"/>
  <c r="C37" i="11"/>
  <c r="D38" i="10"/>
  <c r="J31" i="10"/>
  <c r="F35" i="10"/>
  <c r="D24" i="10"/>
  <c r="E35" i="10"/>
  <c r="E45" i="10"/>
  <c r="I43" i="10"/>
  <c r="G44" i="10"/>
  <c r="J50" i="10"/>
  <c r="L18" i="10"/>
  <c r="J39" i="10"/>
  <c r="I24" i="10"/>
  <c r="K8" i="10"/>
  <c r="G29" i="10"/>
  <c r="K31" i="10"/>
  <c r="D53" i="10"/>
  <c r="J19" i="10"/>
  <c r="E50" i="10"/>
  <c r="E11" i="10"/>
  <c r="E43" i="10"/>
  <c r="L16" i="10"/>
  <c r="D31" i="10"/>
  <c r="K53" i="10"/>
  <c r="L22" i="10"/>
  <c r="G27" i="10"/>
  <c r="J22" i="10"/>
  <c r="J9" i="10"/>
  <c r="I47" i="10"/>
  <c r="D6" i="10"/>
  <c r="E16" i="10"/>
  <c r="L36" i="10"/>
  <c r="L47" i="9"/>
  <c r="K11" i="9"/>
  <c r="H14" i="9"/>
  <c r="I36" i="9"/>
  <c r="I45" i="9"/>
  <c r="E45" i="9"/>
  <c r="J27" i="9"/>
  <c r="F51" i="9"/>
  <c r="E11" i="9"/>
  <c r="D29" i="9"/>
  <c r="J15" i="9"/>
  <c r="I18" i="9"/>
  <c r="J16" i="9"/>
  <c r="I10" i="9"/>
  <c r="G30" i="9"/>
  <c r="E15" i="9"/>
  <c r="F31" i="9"/>
  <c r="E49" i="9"/>
  <c r="J7" i="9"/>
  <c r="H27" i="9"/>
  <c r="H41" i="9"/>
  <c r="E36" i="9"/>
  <c r="I54" i="9"/>
  <c r="F48" i="9"/>
  <c r="E26" i="9"/>
  <c r="C30" i="9"/>
  <c r="G22" i="9"/>
  <c r="C20" i="9"/>
  <c r="F11" i="9"/>
  <c r="J54" i="9"/>
  <c r="K30" i="9"/>
  <c r="J7" i="8"/>
  <c r="G20" i="8"/>
  <c r="H49" i="8"/>
  <c r="K38" i="8"/>
  <c r="G34" i="8"/>
  <c r="E20" i="8"/>
  <c r="D55" i="8"/>
  <c r="J6" i="8"/>
  <c r="K31" i="8"/>
  <c r="I45" i="8"/>
  <c r="E29" i="8"/>
  <c r="J43" i="8"/>
  <c r="L41" i="8"/>
  <c r="H27" i="8"/>
  <c r="I39" i="8"/>
  <c r="I48" i="8"/>
  <c r="J13" i="8"/>
  <c r="K33" i="8"/>
  <c r="H8" i="8"/>
  <c r="L35" i="8"/>
  <c r="E43" i="8"/>
  <c r="F21" i="8"/>
  <c r="K46" i="8"/>
  <c r="J16" i="8"/>
  <c r="K45" i="8"/>
  <c r="G51" i="8"/>
  <c r="L39" i="8"/>
  <c r="K16" i="8"/>
  <c r="I14" i="8"/>
  <c r="E18" i="8"/>
  <c r="D38" i="8"/>
  <c r="G24" i="8"/>
  <c r="L36" i="8"/>
  <c r="C13" i="8"/>
  <c r="C26" i="8"/>
  <c r="H17" i="8"/>
  <c r="K55" i="8"/>
  <c r="I12" i="8"/>
  <c r="F17" i="8"/>
  <c r="H24" i="8"/>
  <c r="E11" i="8"/>
  <c r="D36" i="8"/>
  <c r="G11" i="8"/>
  <c r="L53" i="7"/>
  <c r="J34" i="7"/>
  <c r="L48" i="7"/>
  <c r="G24" i="7"/>
  <c r="C10" i="7"/>
  <c r="J33" i="7"/>
  <c r="F37" i="7"/>
  <c r="I7" i="7"/>
  <c r="G48" i="7"/>
  <c r="J37" i="7"/>
  <c r="G28" i="7"/>
  <c r="L30" i="7"/>
  <c r="H35" i="7"/>
  <c r="J11" i="7"/>
  <c r="L37" i="7"/>
  <c r="D33" i="7"/>
  <c r="E40" i="7"/>
  <c r="F12" i="7"/>
  <c r="D32" i="7"/>
  <c r="H21" i="7"/>
  <c r="L50" i="7"/>
  <c r="H17" i="7"/>
  <c r="I31" i="7"/>
  <c r="C34" i="7"/>
  <c r="F43" i="7"/>
  <c r="I30" i="7"/>
  <c r="H25" i="7"/>
  <c r="J18" i="7"/>
  <c r="F9" i="7"/>
  <c r="I25" i="7"/>
  <c r="G29" i="7"/>
  <c r="E49" i="7"/>
  <c r="C16" i="7"/>
  <c r="G44" i="7"/>
  <c r="I35" i="7"/>
  <c r="I53" i="7"/>
  <c r="H29" i="7"/>
  <c r="E14" i="7"/>
  <c r="D8" i="7"/>
  <c r="K27" i="7"/>
  <c r="D19" i="7"/>
  <c r="K50" i="7"/>
  <c r="H54" i="7"/>
  <c r="D12" i="7"/>
  <c r="E33" i="7"/>
  <c r="H13" i="7"/>
  <c r="H15" i="7"/>
  <c r="I21" i="7"/>
  <c r="F19" i="7"/>
  <c r="I27" i="7"/>
  <c r="G9" i="7"/>
  <c r="C35" i="7"/>
  <c r="J26" i="7"/>
  <c r="J13" i="7"/>
  <c r="J45" i="7"/>
  <c r="G23" i="7"/>
  <c r="K24" i="7"/>
  <c r="J53" i="7"/>
  <c r="F51" i="7"/>
  <c r="G36" i="7"/>
  <c r="J36" i="7"/>
  <c r="G55" i="7"/>
  <c r="E29" i="7"/>
  <c r="E22" i="7"/>
  <c r="J12" i="7"/>
  <c r="I17" i="7"/>
  <c r="K45" i="7"/>
  <c r="L13" i="8"/>
  <c r="C50" i="8"/>
  <c r="L28" i="7"/>
  <c r="K19" i="11"/>
  <c r="K13" i="11"/>
  <c r="I27" i="11"/>
  <c r="L54" i="11"/>
  <c r="L32" i="11"/>
  <c r="G12" i="11"/>
  <c r="H17" i="11"/>
  <c r="C23" i="11"/>
  <c r="D25" i="11"/>
  <c r="C18" i="11"/>
  <c r="E10" i="11"/>
  <c r="K8" i="11"/>
  <c r="F7" i="11"/>
  <c r="H20" i="11"/>
  <c r="J41" i="11"/>
  <c r="L37" i="11"/>
  <c r="D18" i="11"/>
  <c r="H18" i="11"/>
  <c r="G8" i="11"/>
  <c r="D12" i="11"/>
  <c r="F6" i="11"/>
  <c r="G21" i="11"/>
  <c r="D55" i="11"/>
  <c r="J30" i="11"/>
  <c r="C26" i="11"/>
  <c r="H39" i="11"/>
  <c r="G15" i="11"/>
  <c r="C35" i="11"/>
  <c r="I40" i="11"/>
  <c r="D48" i="11"/>
  <c r="F50" i="11"/>
  <c r="C25" i="10"/>
  <c r="L11" i="10"/>
  <c r="E25" i="10"/>
  <c r="J37" i="10"/>
  <c r="E19" i="10"/>
  <c r="J36" i="10"/>
  <c r="E41" i="10"/>
  <c r="K18" i="10"/>
  <c r="E7" i="10"/>
  <c r="F24" i="10"/>
  <c r="G21" i="10"/>
  <c r="H36" i="10"/>
  <c r="H34" i="10"/>
  <c r="L26" i="10"/>
  <c r="F42" i="10"/>
  <c r="E49" i="10"/>
  <c r="H31" i="10"/>
  <c r="H55" i="10"/>
  <c r="K33" i="10"/>
  <c r="H54" i="10"/>
  <c r="G55" i="10"/>
  <c r="K13" i="10"/>
  <c r="H14" i="10"/>
  <c r="J10" i="10"/>
  <c r="E17" i="10"/>
  <c r="C32" i="10"/>
  <c r="H41" i="10"/>
  <c r="D15" i="10"/>
  <c r="L20" i="10"/>
  <c r="K40" i="10"/>
  <c r="E38" i="10"/>
  <c r="J14" i="9"/>
  <c r="L49" i="9"/>
  <c r="I15" i="9"/>
  <c r="G36" i="9"/>
  <c r="F34" i="9"/>
  <c r="G32" i="9"/>
  <c r="F42" i="9"/>
  <c r="K18" i="9"/>
  <c r="I24" i="9"/>
  <c r="H7" i="9"/>
  <c r="F30" i="9"/>
  <c r="K10" i="9"/>
  <c r="G16" i="9"/>
  <c r="C25" i="9"/>
  <c r="F16" i="9"/>
  <c r="I41" i="9"/>
  <c r="J13" i="9"/>
  <c r="K48" i="9"/>
  <c r="E8" i="9"/>
  <c r="G20" i="9"/>
  <c r="L16" i="9"/>
  <c r="H20" i="9"/>
  <c r="C12" i="9"/>
  <c r="H50" i="9"/>
  <c r="G50" i="9"/>
  <c r="D22" i="9"/>
  <c r="J33" i="9"/>
  <c r="D51" i="9"/>
  <c r="D33" i="9"/>
  <c r="G25" i="9"/>
  <c r="C49" i="9"/>
  <c r="K14" i="8"/>
  <c r="K28" i="8"/>
  <c r="C16" i="8"/>
  <c r="F33" i="8"/>
  <c r="H50" i="8"/>
  <c r="J37" i="8"/>
  <c r="E30" i="8"/>
  <c r="G16" i="8"/>
  <c r="L49" i="8"/>
  <c r="D35" i="8"/>
  <c r="F43" i="8"/>
  <c r="K37" i="8"/>
  <c r="H6" i="8"/>
  <c r="G31" i="8"/>
  <c r="C27" i="8"/>
  <c r="J30" i="8"/>
  <c r="K15" i="8"/>
  <c r="F12" i="8"/>
  <c r="D18" i="8"/>
  <c r="L50" i="8"/>
  <c r="I43" i="8"/>
  <c r="G7" i="8"/>
  <c r="J33" i="8"/>
  <c r="G38" i="8"/>
  <c r="J15" i="8"/>
  <c r="J8" i="8"/>
  <c r="I7" i="8"/>
  <c r="L43" i="8"/>
  <c r="H15" i="8"/>
  <c r="I33" i="8"/>
  <c r="I37" i="8"/>
  <c r="L23" i="8"/>
  <c r="I27" i="8"/>
  <c r="J38" i="8"/>
  <c r="J18" i="8"/>
  <c r="H12" i="8"/>
  <c r="H28" i="8"/>
  <c r="F8" i="8"/>
  <c r="F6" i="8"/>
  <c r="F40" i="8"/>
  <c r="J32" i="8"/>
  <c r="K24" i="8"/>
  <c r="L54" i="8"/>
  <c r="E16" i="7"/>
  <c r="J52" i="7"/>
  <c r="J38" i="7"/>
  <c r="D11" i="7"/>
  <c r="K25" i="7"/>
  <c r="G20" i="7"/>
  <c r="I18" i="7"/>
  <c r="L15" i="7"/>
  <c r="C44" i="7"/>
  <c r="I40" i="7"/>
  <c r="L52" i="7"/>
  <c r="E38" i="7"/>
  <c r="D42" i="7"/>
  <c r="C23" i="7"/>
  <c r="E13" i="7"/>
  <c r="J40" i="7"/>
  <c r="K12" i="7"/>
  <c r="L13" i="7"/>
  <c r="I22" i="7"/>
  <c r="F18" i="7"/>
  <c r="C19" i="7"/>
  <c r="H53" i="7"/>
  <c r="CN49" i="4"/>
  <c r="I41" i="7"/>
  <c r="H6" i="7"/>
  <c r="C50" i="7"/>
  <c r="K15" i="7"/>
  <c r="C40" i="7"/>
  <c r="C11" i="7"/>
  <c r="C18" i="7"/>
  <c r="C12" i="7"/>
  <c r="J50" i="7"/>
  <c r="L39" i="7"/>
  <c r="L26" i="7"/>
  <c r="E46" i="7"/>
  <c r="E18" i="7"/>
  <c r="I16" i="7"/>
  <c r="D28" i="7"/>
  <c r="H30" i="7"/>
  <c r="E51" i="7"/>
  <c r="L20" i="7"/>
  <c r="H55" i="7"/>
  <c r="L19" i="7"/>
  <c r="E27" i="7"/>
  <c r="L55" i="7"/>
  <c r="H52" i="7"/>
  <c r="L16" i="7"/>
  <c r="E10" i="7"/>
  <c r="E45" i="7"/>
  <c r="J23" i="7"/>
  <c r="E20" i="7"/>
  <c r="E15" i="7"/>
  <c r="D46" i="7"/>
  <c r="K49" i="7"/>
  <c r="D23" i="7"/>
  <c r="I9" i="7"/>
  <c r="K8" i="7"/>
  <c r="L37" i="8"/>
  <c r="K54" i="8"/>
  <c r="D27" i="7"/>
  <c r="C32" i="7"/>
  <c r="F15" i="7"/>
  <c r="H12" i="7"/>
  <c r="I52" i="11"/>
  <c r="H13" i="11"/>
  <c r="F18" i="11"/>
  <c r="J49" i="11"/>
  <c r="E30" i="11"/>
  <c r="E20" i="11"/>
  <c r="I15" i="11"/>
  <c r="I24" i="11"/>
  <c r="C7" i="11"/>
  <c r="K39" i="11"/>
  <c r="D11" i="11"/>
  <c r="K44" i="11"/>
  <c r="J53" i="11"/>
  <c r="K11" i="11"/>
  <c r="K22" i="11"/>
  <c r="H43" i="11"/>
  <c r="G48" i="11"/>
  <c r="L41" i="11"/>
  <c r="F45" i="11"/>
  <c r="L51" i="11"/>
  <c r="L27" i="11"/>
  <c r="L40" i="11"/>
  <c r="D9" i="11"/>
  <c r="E9" i="11"/>
  <c r="D13" i="11"/>
  <c r="H10" i="11"/>
  <c r="L11" i="11"/>
  <c r="I46" i="11"/>
  <c r="I44" i="11"/>
  <c r="H38" i="11"/>
  <c r="J29" i="11"/>
  <c r="I19" i="11"/>
  <c r="F6" i="10"/>
  <c r="D47" i="10"/>
  <c r="C54" i="10"/>
  <c r="L47" i="10"/>
  <c r="J54" i="10"/>
  <c r="F11" i="10"/>
  <c r="C19" i="10"/>
  <c r="J46" i="10"/>
  <c r="I18" i="10"/>
  <c r="H13" i="10"/>
  <c r="C15" i="10"/>
  <c r="H52" i="10"/>
  <c r="F38" i="10"/>
  <c r="G15" i="10"/>
  <c r="H50" i="10"/>
  <c r="I35" i="10"/>
  <c r="C44" i="10"/>
  <c r="G41" i="10"/>
  <c r="I32" i="10"/>
  <c r="E29" i="10"/>
  <c r="H25" i="10"/>
  <c r="F52" i="10"/>
  <c r="I39" i="10"/>
  <c r="E18" i="10"/>
  <c r="D55" i="10"/>
  <c r="K51" i="10"/>
  <c r="K23" i="10"/>
  <c r="G31" i="10"/>
  <c r="L23" i="10"/>
  <c r="L24" i="10"/>
  <c r="K39" i="10"/>
  <c r="K38" i="9"/>
  <c r="J9" i="9"/>
  <c r="G44" i="9"/>
  <c r="I39" i="9"/>
  <c r="F26" i="9"/>
  <c r="J41" i="9"/>
  <c r="E30" i="9"/>
  <c r="K13" i="9"/>
  <c r="C27" i="9"/>
  <c r="G11" i="9"/>
  <c r="I37" i="9"/>
  <c r="D18" i="9"/>
  <c r="C17" i="9"/>
  <c r="L27" i="9"/>
  <c r="L43" i="9"/>
  <c r="E7" i="9"/>
  <c r="J17" i="9"/>
  <c r="J24" i="9"/>
  <c r="F28" i="9"/>
  <c r="J45" i="9"/>
  <c r="L50" i="9"/>
  <c r="E21" i="9"/>
  <c r="J38" i="9"/>
  <c r="C51" i="9"/>
  <c r="G40" i="9"/>
  <c r="D47" i="9"/>
  <c r="C18" i="9"/>
  <c r="C33" i="9"/>
  <c r="I33" i="9"/>
  <c r="J40" i="9"/>
  <c r="H52" i="9"/>
  <c r="J54" i="8"/>
  <c r="C43" i="8"/>
  <c r="J14" i="8"/>
  <c r="E36" i="8"/>
  <c r="C55" i="8"/>
  <c r="F55" i="8"/>
  <c r="G8" i="8"/>
  <c r="E16" i="8"/>
  <c r="L22" i="8"/>
  <c r="C34" i="8"/>
  <c r="L40" i="8"/>
  <c r="H52" i="8"/>
  <c r="E19" i="8"/>
  <c r="D37" i="8"/>
  <c r="D17" i="8"/>
  <c r="C35" i="8"/>
  <c r="G40" i="8"/>
  <c r="C49" i="8"/>
  <c r="F14" i="8"/>
  <c r="K50" i="8"/>
  <c r="C36" i="8"/>
  <c r="K32" i="8"/>
  <c r="K6" i="8"/>
  <c r="C20" i="8"/>
  <c r="I44" i="8"/>
  <c r="G29" i="8"/>
  <c r="E27" i="8"/>
  <c r="L12" i="8"/>
  <c r="E32" i="8"/>
  <c r="E45" i="8"/>
  <c r="L14" i="8"/>
  <c r="J55" i="8"/>
  <c r="C32" i="8"/>
  <c r="D49" i="8"/>
  <c r="E51" i="8"/>
  <c r="C54" i="8"/>
  <c r="C18" i="8"/>
  <c r="D23" i="8"/>
  <c r="F37" i="8"/>
  <c r="J40" i="8"/>
  <c r="E34" i="8"/>
  <c r="I50" i="8"/>
  <c r="D52" i="8"/>
  <c r="C37" i="7"/>
  <c r="J51" i="7"/>
  <c r="K47" i="7"/>
  <c r="K33" i="7"/>
  <c r="E50" i="7"/>
  <c r="C14" i="7"/>
  <c r="K54" i="7"/>
  <c r="K28" i="7"/>
  <c r="L17" i="7"/>
  <c r="E54" i="7"/>
  <c r="L42" i="7"/>
  <c r="J44" i="7"/>
  <c r="L10" i="7"/>
  <c r="F53" i="7"/>
  <c r="K35" i="7"/>
  <c r="I15" i="7"/>
  <c r="C9" i="7"/>
  <c r="G50" i="7"/>
  <c r="J20" i="7"/>
  <c r="G17" i="7"/>
  <c r="E25" i="7"/>
  <c r="G35" i="7"/>
  <c r="G15" i="7"/>
  <c r="C52" i="7"/>
  <c r="I20" i="7"/>
  <c r="G7" i="7"/>
  <c r="D25" i="7"/>
  <c r="C30" i="7"/>
  <c r="F23" i="7"/>
  <c r="F24" i="7"/>
  <c r="I29" i="7"/>
  <c r="K52" i="7"/>
  <c r="E6" i="7"/>
  <c r="C51" i="7"/>
  <c r="G42" i="7"/>
  <c r="L49" i="7"/>
  <c r="H39" i="7"/>
  <c r="G19" i="7"/>
  <c r="H37" i="7"/>
  <c r="C28" i="7"/>
  <c r="J24" i="7"/>
  <c r="L12" i="7"/>
  <c r="J15" i="7"/>
  <c r="E31" i="7"/>
  <c r="E7" i="7"/>
  <c r="I23" i="7"/>
  <c r="I33" i="7"/>
  <c r="E23" i="7"/>
  <c r="F35" i="7"/>
  <c r="H36" i="7"/>
  <c r="L35" i="7"/>
  <c r="F46" i="7"/>
  <c r="J28" i="7"/>
  <c r="C17" i="7"/>
  <c r="L31" i="7"/>
  <c r="E32" i="7"/>
  <c r="G53" i="7"/>
  <c r="J6" i="7"/>
  <c r="C36" i="7"/>
  <c r="I55" i="7"/>
  <c r="L24" i="7"/>
  <c r="H8" i="7"/>
  <c r="K25" i="11"/>
  <c r="E29" i="11"/>
  <c r="C14" i="11"/>
  <c r="G24" i="11"/>
  <c r="E37" i="11"/>
  <c r="I44" i="10"/>
  <c r="F48" i="10"/>
  <c r="E47" i="10"/>
  <c r="K50" i="10"/>
  <c r="H42" i="10"/>
  <c r="G23" i="10"/>
  <c r="K55" i="10"/>
  <c r="K11" i="10"/>
  <c r="L29" i="10"/>
  <c r="J13" i="10"/>
  <c r="E9" i="10"/>
  <c r="D23" i="10"/>
  <c r="E23" i="10"/>
  <c r="D7" i="10"/>
  <c r="L52" i="10"/>
  <c r="L9" i="9"/>
  <c r="E27" i="9"/>
  <c r="G38" i="9"/>
  <c r="D44" i="9"/>
  <c r="J23" i="9"/>
  <c r="L21" i="9"/>
  <c r="J39" i="9"/>
  <c r="I38" i="9"/>
  <c r="E51" i="9"/>
  <c r="D8" i="9"/>
  <c r="H21" i="9"/>
  <c r="L7" i="9"/>
  <c r="H10" i="9"/>
  <c r="F27" i="9"/>
  <c r="I25" i="8"/>
  <c r="D42" i="8"/>
  <c r="J27" i="8"/>
  <c r="L47" i="8"/>
  <c r="I41" i="8"/>
  <c r="H21" i="8"/>
  <c r="L31" i="8"/>
  <c r="I40" i="8"/>
  <c r="I54" i="8"/>
  <c r="D24" i="8"/>
  <c r="C19" i="8"/>
  <c r="H7" i="8"/>
  <c r="J17" i="8"/>
  <c r="F22" i="8"/>
  <c r="G50" i="8"/>
  <c r="D51" i="8"/>
  <c r="F48" i="8"/>
  <c r="H25" i="8"/>
  <c r="E42" i="8"/>
  <c r="K34" i="7"/>
  <c r="H41" i="7"/>
  <c r="C15" i="7"/>
  <c r="D38" i="11"/>
  <c r="I48" i="11"/>
  <c r="H37" i="11"/>
  <c r="G52" i="11"/>
  <c r="K34" i="11"/>
  <c r="G7" i="11"/>
  <c r="J24" i="11"/>
  <c r="C50" i="11"/>
  <c r="I42" i="11"/>
  <c r="D15" i="11"/>
  <c r="C11" i="11"/>
  <c r="D35" i="11"/>
  <c r="K10" i="11"/>
  <c r="H12" i="11"/>
  <c r="D24" i="11"/>
  <c r="C45" i="11"/>
  <c r="L14" i="11"/>
  <c r="J15" i="11"/>
  <c r="I37" i="11"/>
  <c r="D26" i="11"/>
  <c r="L6" i="11"/>
  <c r="D44" i="11"/>
  <c r="F49" i="11"/>
  <c r="D6" i="11"/>
  <c r="D49" i="11"/>
  <c r="C53" i="11"/>
  <c r="I34" i="11"/>
  <c r="F36" i="11"/>
  <c r="K37" i="11"/>
  <c r="J16" i="11"/>
  <c r="G20" i="11"/>
  <c r="H11" i="11"/>
  <c r="C34" i="10"/>
  <c r="J51" i="10"/>
  <c r="D17" i="10"/>
  <c r="J32" i="10"/>
  <c r="H33" i="10"/>
  <c r="G39" i="10"/>
  <c r="I36" i="10"/>
  <c r="G25" i="10"/>
  <c r="I48" i="10"/>
  <c r="F40" i="10"/>
  <c r="L45" i="10"/>
  <c r="I13" i="10"/>
  <c r="L9" i="10"/>
  <c r="H19" i="10"/>
  <c r="K36" i="10"/>
  <c r="G40" i="10"/>
  <c r="J35" i="10"/>
  <c r="I45" i="10"/>
  <c r="C35" i="10"/>
  <c r="G16" i="10"/>
  <c r="J24" i="10"/>
  <c r="F29" i="10"/>
  <c r="I37" i="10"/>
  <c r="I30" i="10"/>
  <c r="C46" i="10"/>
  <c r="F10" i="10"/>
  <c r="D27" i="10"/>
  <c r="C9" i="10"/>
  <c r="G46" i="10"/>
  <c r="L27" i="10"/>
  <c r="C38" i="10"/>
  <c r="L20" i="9"/>
  <c r="F19" i="9"/>
  <c r="D14" i="9"/>
  <c r="H12" i="9"/>
  <c r="I51" i="9"/>
  <c r="D32" i="9"/>
  <c r="J35" i="9"/>
  <c r="C22" i="9"/>
  <c r="K40" i="9"/>
  <c r="G15" i="9"/>
  <c r="E12" i="9"/>
  <c r="D6" i="9"/>
  <c r="H23" i="9"/>
  <c r="J6" i="9"/>
  <c r="I42" i="9"/>
  <c r="K42" i="9"/>
  <c r="I43" i="9"/>
  <c r="D48" i="9"/>
  <c r="H9" i="9"/>
  <c r="I35" i="9"/>
  <c r="D20" i="9"/>
  <c r="K19" i="9"/>
  <c r="D28" i="9"/>
  <c r="K43" i="9"/>
  <c r="F8" i="9"/>
  <c r="I14" i="9"/>
  <c r="D16" i="9"/>
  <c r="L35" i="9"/>
  <c r="C52" i="9"/>
  <c r="F33" i="9"/>
  <c r="I16" i="9"/>
  <c r="E10" i="8"/>
  <c r="G26" i="8"/>
  <c r="K43" i="8"/>
  <c r="J41" i="8"/>
  <c r="C52" i="8"/>
  <c r="G36" i="8"/>
  <c r="G9" i="8"/>
  <c r="F49" i="8"/>
  <c r="L28" i="8"/>
  <c r="H51" i="8"/>
  <c r="F54" i="8"/>
  <c r="G12" i="8"/>
  <c r="E46" i="8"/>
  <c r="C31" i="8"/>
  <c r="G32" i="8"/>
  <c r="K9" i="8"/>
  <c r="K41" i="8"/>
  <c r="F30" i="8"/>
  <c r="D29" i="8"/>
  <c r="E25" i="8"/>
  <c r="J42" i="8"/>
  <c r="K40" i="8"/>
  <c r="I21" i="8"/>
  <c r="L21" i="8"/>
  <c r="L24" i="8"/>
  <c r="K20" i="8"/>
  <c r="C21" i="8"/>
  <c r="F7" i="8"/>
  <c r="D39" i="8"/>
  <c r="J35" i="8"/>
  <c r="H26" i="8"/>
  <c r="F10" i="8"/>
  <c r="I8" i="8"/>
  <c r="E52" i="8"/>
  <c r="L32" i="8"/>
  <c r="G28" i="8"/>
  <c r="F47" i="8"/>
  <c r="G48" i="8"/>
  <c r="C10" i="8"/>
  <c r="I53" i="8"/>
  <c r="K42" i="8"/>
  <c r="H31" i="8"/>
  <c r="F22" i="7"/>
  <c r="D45" i="7"/>
  <c r="C46" i="7"/>
  <c r="G8" i="7"/>
  <c r="H26" i="7"/>
  <c r="H45" i="7"/>
  <c r="F28" i="7"/>
  <c r="G38" i="7"/>
  <c r="D21" i="7"/>
  <c r="G37" i="7"/>
  <c r="I32" i="7"/>
  <c r="C21" i="7"/>
  <c r="E55" i="7"/>
  <c r="C7" i="7"/>
  <c r="F31" i="7"/>
  <c r="C53" i="7"/>
  <c r="G27" i="7"/>
  <c r="L8" i="7"/>
  <c r="I19" i="7"/>
  <c r="G26" i="7"/>
  <c r="E44" i="7"/>
  <c r="G12" i="7"/>
  <c r="L51" i="7"/>
  <c r="F7" i="7"/>
  <c r="G21" i="7"/>
  <c r="D26" i="7"/>
  <c r="J30" i="7"/>
  <c r="K13" i="7"/>
  <c r="J17" i="7"/>
  <c r="H28" i="7"/>
  <c r="J7" i="7"/>
  <c r="H47" i="7"/>
  <c r="K10" i="7"/>
  <c r="D48" i="7"/>
  <c r="H22" i="7"/>
  <c r="F50" i="7"/>
  <c r="H44" i="7"/>
  <c r="H43" i="7"/>
  <c r="J22" i="7"/>
  <c r="C47" i="7"/>
  <c r="G16" i="7"/>
  <c r="K17" i="7"/>
  <c r="F21" i="7"/>
  <c r="G13" i="7"/>
  <c r="E37" i="7"/>
  <c r="K53" i="7"/>
  <c r="K51" i="7"/>
  <c r="K55" i="7"/>
  <c r="F54" i="7"/>
  <c r="I38" i="7"/>
  <c r="D18" i="7"/>
  <c r="K37" i="7"/>
  <c r="H42" i="7"/>
  <c r="D38" i="7"/>
  <c r="C43" i="7"/>
  <c r="L38" i="7"/>
  <c r="D17" i="7"/>
  <c r="K19" i="7"/>
  <c r="D37" i="7"/>
  <c r="H14" i="7"/>
  <c r="F32" i="7"/>
  <c r="I39" i="7"/>
  <c r="D13" i="7"/>
  <c r="F43" i="11"/>
  <c r="H32" i="11"/>
  <c r="K16" i="11"/>
  <c r="F38" i="11"/>
  <c r="C15" i="11"/>
  <c r="G35" i="11"/>
  <c r="I31" i="11"/>
  <c r="K52" i="11"/>
  <c r="J9" i="11"/>
  <c r="J50" i="11"/>
  <c r="E51" i="11"/>
  <c r="L13" i="11"/>
  <c r="C27" i="11"/>
  <c r="H26" i="11"/>
  <c r="G16" i="11"/>
  <c r="K49" i="11"/>
  <c r="D40" i="11"/>
  <c r="C48" i="11"/>
  <c r="J18" i="11"/>
  <c r="J32" i="11"/>
  <c r="J17" i="11"/>
  <c r="J45" i="11"/>
  <c r="I17" i="11"/>
  <c r="D22" i="11"/>
  <c r="F12" i="11"/>
  <c r="L45" i="11"/>
  <c r="L10" i="10"/>
  <c r="K26" i="10"/>
  <c r="D50" i="10"/>
  <c r="I25" i="10"/>
  <c r="K32" i="10"/>
  <c r="D18" i="10"/>
  <c r="F28" i="10"/>
  <c r="D26" i="10"/>
  <c r="D32" i="10"/>
  <c r="H21" i="10"/>
  <c r="D16" i="10"/>
  <c r="F7" i="10"/>
  <c r="J18" i="10"/>
  <c r="E14" i="10"/>
  <c r="C29" i="10"/>
  <c r="F27" i="10"/>
  <c r="F34" i="10"/>
  <c r="L17" i="9"/>
  <c r="I13" i="9"/>
  <c r="E34" i="9"/>
  <c r="F17" i="9"/>
  <c r="H40" i="9"/>
  <c r="F55" i="9"/>
  <c r="K50" i="9"/>
  <c r="D11" i="9"/>
  <c r="I7" i="9"/>
  <c r="L23" i="9"/>
  <c r="K46" i="9"/>
  <c r="F36" i="9"/>
  <c r="L26" i="9"/>
  <c r="J37" i="9"/>
  <c r="J50" i="9"/>
  <c r="F47" i="9"/>
  <c r="J11" i="9"/>
  <c r="K23" i="8"/>
  <c r="I17" i="8"/>
  <c r="G37" i="8"/>
  <c r="D19" i="8"/>
  <c r="E14" i="8"/>
  <c r="C48" i="8"/>
  <c r="I38" i="8"/>
  <c r="I55" i="8"/>
  <c r="D45" i="8"/>
  <c r="I34" i="8"/>
  <c r="D12" i="8"/>
  <c r="D14" i="8"/>
  <c r="L7" i="8"/>
  <c r="I49" i="8"/>
  <c r="I29" i="8"/>
  <c r="C23" i="8"/>
  <c r="G15" i="8"/>
  <c r="E31" i="8"/>
  <c r="G44" i="8"/>
  <c r="F36" i="7"/>
  <c r="G6" i="7"/>
  <c r="K39" i="7"/>
  <c r="E46" i="11"/>
  <c r="F51" i="11"/>
  <c r="I33" i="11"/>
  <c r="E28" i="11"/>
  <c r="L28" i="11"/>
  <c r="J43" i="11"/>
  <c r="K21" i="11"/>
  <c r="E55" i="11"/>
  <c r="K51" i="11"/>
  <c r="L30" i="11"/>
  <c r="J38" i="11"/>
  <c r="D43" i="11"/>
  <c r="H47" i="10"/>
  <c r="K37" i="10"/>
  <c r="K49" i="10"/>
  <c r="D30" i="10"/>
  <c r="K52" i="10"/>
  <c r="D48" i="10"/>
  <c r="L13" i="10"/>
  <c r="E20" i="10"/>
  <c r="H9" i="10"/>
  <c r="C20" i="10"/>
  <c r="H45" i="10"/>
  <c r="G42" i="10"/>
  <c r="D25" i="9"/>
  <c r="H25" i="9"/>
  <c r="I34" i="9"/>
  <c r="D45" i="9"/>
  <c r="D39" i="9"/>
  <c r="G21" i="9"/>
  <c r="H11" i="9"/>
  <c r="D13" i="9"/>
  <c r="D19" i="9"/>
  <c r="L53" i="9"/>
  <c r="I55" i="9"/>
  <c r="J19" i="9"/>
  <c r="D46" i="8"/>
  <c r="E35" i="8"/>
  <c r="I36" i="8"/>
  <c r="H29" i="8"/>
  <c r="J24" i="8"/>
  <c r="L46" i="8"/>
  <c r="D34" i="8"/>
  <c r="L33" i="8"/>
  <c r="C17" i="8"/>
  <c r="I18" i="8"/>
  <c r="J20" i="8"/>
  <c r="C7" i="8"/>
  <c r="G39" i="8"/>
  <c r="K17" i="8"/>
  <c r="G25" i="8"/>
  <c r="L11" i="7"/>
  <c r="E36" i="7"/>
  <c r="L9" i="7"/>
  <c r="H31" i="7"/>
  <c r="D9" i="7"/>
  <c r="H49" i="7"/>
  <c r="H48" i="7"/>
  <c r="J31" i="7"/>
  <c r="C54" i="7"/>
  <c r="K18" i="7"/>
  <c r="K16" i="7"/>
  <c r="L44" i="7"/>
  <c r="CQ49" i="4"/>
  <c r="E52" i="7"/>
  <c r="K41" i="7"/>
  <c r="E9" i="7"/>
  <c r="D52" i="7"/>
  <c r="H40" i="7"/>
  <c r="C27" i="7"/>
  <c r="K29" i="7"/>
  <c r="K42" i="7"/>
  <c r="L21" i="7"/>
  <c r="I28" i="7"/>
  <c r="H38" i="7"/>
  <c r="I12" i="7"/>
  <c r="E11" i="7"/>
  <c r="E21" i="7"/>
  <c r="J10" i="7"/>
  <c r="I47" i="7"/>
  <c r="K36" i="7"/>
  <c r="L43" i="7"/>
  <c r="J39" i="7"/>
  <c r="D42" i="11"/>
  <c r="L32" i="10"/>
  <c r="E21" i="10"/>
  <c r="G7" i="9"/>
  <c r="J47" i="9"/>
  <c r="H16" i="9"/>
  <c r="E23" i="8"/>
  <c r="D15" i="8"/>
  <c r="D25" i="8"/>
  <c r="I14" i="7"/>
  <c r="J9" i="7"/>
  <c r="G43" i="7"/>
  <c r="E47" i="7"/>
  <c r="F27" i="7"/>
  <c r="E30" i="7"/>
  <c r="E11" i="11"/>
  <c r="F32" i="10"/>
  <c r="D54" i="10"/>
  <c r="J21" i="10"/>
  <c r="H34" i="9"/>
  <c r="H47" i="9"/>
  <c r="F29" i="8"/>
  <c r="H53" i="8"/>
  <c r="J19" i="8"/>
  <c r="C47" i="8"/>
  <c r="L6" i="7"/>
  <c r="E8" i="7"/>
  <c r="L23" i="7"/>
  <c r="D54" i="7"/>
  <c r="E34" i="7"/>
  <c r="L7" i="7"/>
  <c r="L18" i="11"/>
  <c r="D14" i="10"/>
  <c r="E13" i="10"/>
  <c r="E27" i="10"/>
  <c r="F24" i="9"/>
  <c r="G23" i="9"/>
  <c r="J22" i="9"/>
  <c r="K25" i="8"/>
  <c r="H23" i="8"/>
  <c r="C40" i="8"/>
  <c r="G32" i="7"/>
  <c r="CK49" i="4"/>
  <c r="I26" i="7"/>
  <c r="K20" i="7"/>
  <c r="D50" i="7"/>
  <c r="C41" i="7"/>
  <c r="J37" i="11"/>
  <c r="I39" i="11"/>
  <c r="J23" i="11"/>
  <c r="H16" i="11"/>
  <c r="H8" i="11"/>
  <c r="F9" i="11"/>
  <c r="H36" i="11"/>
  <c r="H42" i="11"/>
  <c r="G27" i="11"/>
  <c r="K28" i="11"/>
  <c r="E14" i="11"/>
  <c r="J28" i="11"/>
  <c r="E22" i="10"/>
  <c r="I22" i="10"/>
  <c r="E37" i="10"/>
  <c r="H44" i="10"/>
  <c r="J26" i="10"/>
  <c r="E30" i="10"/>
  <c r="J15" i="10"/>
  <c r="L14" i="10"/>
  <c r="I51" i="10"/>
  <c r="F31" i="10"/>
  <c r="K10" i="10"/>
  <c r="J7" i="10"/>
  <c r="G17" i="9"/>
  <c r="K49" i="9"/>
  <c r="D34" i="9"/>
  <c r="J8" i="9"/>
  <c r="H45" i="9"/>
  <c r="J12" i="9"/>
  <c r="F32" i="9"/>
  <c r="C53" i="9"/>
  <c r="C24" i="9"/>
  <c r="E18" i="9"/>
  <c r="G31" i="9"/>
  <c r="C29" i="9"/>
  <c r="L6" i="8"/>
  <c r="L17" i="8"/>
  <c r="G53" i="8"/>
  <c r="K26" i="8"/>
  <c r="C11" i="8"/>
  <c r="J11" i="8"/>
  <c r="E8" i="8"/>
  <c r="I16" i="8"/>
  <c r="F15" i="8"/>
  <c r="E15" i="8"/>
  <c r="D31" i="8"/>
  <c r="G55" i="8"/>
  <c r="G14" i="8"/>
  <c r="L52" i="8"/>
  <c r="E17" i="8"/>
  <c r="D43" i="7"/>
  <c r="C13" i="7"/>
  <c r="D36" i="7"/>
  <c r="J8" i="7"/>
  <c r="F47" i="7"/>
  <c r="D10" i="7"/>
  <c r="E39" i="7"/>
  <c r="G46" i="7"/>
  <c r="G14" i="7"/>
  <c r="E48" i="7"/>
  <c r="I48" i="7"/>
  <c r="H27" i="7"/>
  <c r="C55" i="7"/>
  <c r="K22" i="7"/>
  <c r="L41" i="7"/>
  <c r="H33" i="7"/>
  <c r="E41" i="7"/>
  <c r="E26" i="7"/>
  <c r="D14" i="7"/>
  <c r="D24" i="7"/>
  <c r="L36" i="7"/>
  <c r="C24" i="7"/>
  <c r="K23" i="7"/>
  <c r="K14" i="7"/>
  <c r="J21" i="7"/>
  <c r="G45" i="7"/>
  <c r="D22" i="7"/>
  <c r="H24" i="7"/>
  <c r="H34" i="7"/>
  <c r="I23" i="9"/>
  <c r="D10" i="8"/>
  <c r="I11" i="8"/>
  <c r="C41" i="8"/>
  <c r="G22" i="8"/>
  <c r="G19" i="8"/>
  <c r="F26" i="8"/>
  <c r="I52" i="8"/>
  <c r="G54" i="8"/>
  <c r="F29" i="7"/>
  <c r="F34" i="7"/>
  <c r="H9" i="7"/>
  <c r="E12" i="7"/>
  <c r="H32" i="7"/>
  <c r="K7" i="7"/>
  <c r="D51" i="7"/>
  <c r="F38" i="7"/>
  <c r="I13" i="7"/>
  <c r="E53" i="7"/>
  <c r="G31" i="7"/>
  <c r="F41" i="7"/>
  <c r="G39" i="7"/>
  <c r="I37" i="7"/>
  <c r="G25" i="7"/>
  <c r="G34" i="7"/>
  <c r="F13" i="8"/>
  <c r="H36" i="8"/>
  <c r="L16" i="8"/>
  <c r="I32" i="8"/>
  <c r="G47" i="8"/>
  <c r="J55" i="7"/>
  <c r="C22" i="7"/>
  <c r="F30" i="7"/>
  <c r="E42" i="7"/>
  <c r="C31" i="7"/>
  <c r="D53" i="7"/>
  <c r="F44" i="7"/>
  <c r="D40" i="7"/>
  <c r="F14" i="7"/>
  <c r="C38" i="11"/>
  <c r="I14" i="11"/>
  <c r="E27" i="11"/>
  <c r="J8" i="11"/>
  <c r="J34" i="10"/>
  <c r="H11" i="10"/>
  <c r="C49" i="10"/>
  <c r="J43" i="9"/>
  <c r="I6" i="9"/>
  <c r="I28" i="9"/>
  <c r="C30" i="8"/>
  <c r="C25" i="8"/>
  <c r="K49" i="8"/>
  <c r="E55" i="8"/>
  <c r="L14" i="7"/>
  <c r="L47" i="7"/>
  <c r="F52" i="7"/>
  <c r="I11" i="7"/>
  <c r="I46" i="7"/>
  <c r="L54" i="7"/>
  <c r="J43" i="7"/>
  <c r="K43" i="7"/>
  <c r="E53" i="11"/>
  <c r="I10" i="11"/>
  <c r="L17" i="11"/>
  <c r="H51" i="11"/>
  <c r="I50" i="11"/>
  <c r="C23" i="10"/>
  <c r="J53" i="10"/>
  <c r="G19" i="10"/>
  <c r="F25" i="9"/>
  <c r="C37" i="9"/>
  <c r="H13" i="9"/>
  <c r="J26" i="8"/>
  <c r="L51" i="8"/>
  <c r="G30" i="8"/>
  <c r="F32" i="8"/>
  <c r="F11" i="7"/>
  <c r="F10" i="7"/>
  <c r="C33" i="7"/>
  <c r="G33" i="7"/>
  <c r="G47" i="7"/>
  <c r="K48" i="7"/>
  <c r="E19" i="7"/>
  <c r="I49" i="7"/>
  <c r="L34" i="11"/>
  <c r="D20" i="11"/>
  <c r="E25" i="11"/>
  <c r="G29" i="11"/>
  <c r="J6" i="10"/>
  <c r="C51" i="10"/>
  <c r="D36" i="9"/>
  <c r="E31" i="9"/>
  <c r="K9" i="9"/>
  <c r="G27" i="8"/>
  <c r="D9" i="8"/>
  <c r="K35" i="8"/>
  <c r="E28" i="8"/>
  <c r="K30" i="7"/>
  <c r="G11" i="7"/>
  <c r="I42" i="7"/>
  <c r="J54" i="7"/>
  <c r="L32" i="7"/>
  <c r="E28" i="7"/>
  <c r="J19" i="7"/>
  <c r="K46" i="7"/>
  <c r="I41" i="11"/>
  <c r="E54" i="11"/>
  <c r="J31" i="11"/>
  <c r="E41" i="11"/>
  <c r="E50" i="11"/>
  <c r="D51" i="11"/>
  <c r="H47" i="11"/>
  <c r="K30" i="11"/>
  <c r="F53" i="11"/>
  <c r="L21" i="11"/>
  <c r="J6" i="11"/>
  <c r="F35" i="11"/>
  <c r="H10" i="10"/>
  <c r="I12" i="10"/>
  <c r="K16" i="10"/>
  <c r="L42" i="10"/>
  <c r="F55" i="10"/>
  <c r="G10" i="10"/>
  <c r="G52" i="10"/>
  <c r="F45" i="10"/>
  <c r="I53" i="10"/>
  <c r="F8" i="10"/>
  <c r="D22" i="10"/>
  <c r="K30" i="10"/>
  <c r="D54" i="9"/>
  <c r="H30" i="9"/>
  <c r="K7" i="9"/>
  <c r="K55" i="9"/>
  <c r="E17" i="9"/>
  <c r="I19" i="9"/>
  <c r="K26" i="9"/>
  <c r="I8" i="9"/>
  <c r="K33" i="9"/>
  <c r="I44" i="9"/>
  <c r="G42" i="8"/>
  <c r="L9" i="8"/>
  <c r="D48" i="8"/>
  <c r="G13" i="8"/>
  <c r="K48" i="8"/>
  <c r="I9" i="8"/>
  <c r="D54" i="8"/>
  <c r="L34" i="8"/>
  <c r="D15" i="7"/>
  <c r="D31" i="7"/>
  <c r="L27" i="7"/>
  <c r="H18" i="7"/>
  <c r="C6" i="7"/>
  <c r="L45" i="7"/>
  <c r="C45" i="7"/>
  <c r="D41" i="7"/>
  <c r="H23" i="7"/>
  <c r="C42" i="7"/>
  <c r="K6" i="7"/>
  <c r="F48" i="7"/>
  <c r="D35" i="7"/>
  <c r="J35" i="7"/>
  <c r="G21" i="8"/>
  <c r="H44" i="8"/>
  <c r="F20" i="8"/>
  <c r="J16" i="7"/>
  <c r="H7" i="7"/>
  <c r="D7" i="7"/>
  <c r="F25" i="7"/>
  <c r="I43" i="7"/>
  <c r="L29" i="7"/>
  <c r="H46" i="7"/>
  <c r="L46" i="7"/>
  <c r="D16" i="7"/>
  <c r="L50" i="11"/>
  <c r="E24" i="10"/>
  <c r="L8" i="10"/>
  <c r="C39" i="10"/>
  <c r="L15" i="9"/>
  <c r="K16" i="9"/>
  <c r="G18" i="9"/>
  <c r="I22" i="8"/>
  <c r="C45" i="8"/>
  <c r="F53" i="8"/>
  <c r="H48" i="8"/>
  <c r="H19" i="7"/>
  <c r="F13" i="7"/>
  <c r="F16" i="7"/>
  <c r="F8" i="7"/>
  <c r="E35" i="7"/>
  <c r="L25" i="7"/>
  <c r="K44" i="7"/>
  <c r="G13" i="11"/>
  <c r="K14" i="10"/>
  <c r="F53" i="10"/>
  <c r="F25" i="10"/>
  <c r="D15" i="9"/>
  <c r="J34" i="9"/>
  <c r="G34" i="9"/>
  <c r="I6" i="8"/>
  <c r="J39" i="8"/>
  <c r="H11" i="8"/>
  <c r="F39" i="7"/>
  <c r="F20" i="7"/>
  <c r="C8" i="7"/>
  <c r="L33" i="7"/>
  <c r="H50" i="7"/>
  <c r="L40" i="7"/>
  <c r="K26" i="7"/>
  <c r="D39" i="11"/>
  <c r="K17" i="10"/>
  <c r="H6" i="10"/>
  <c r="G49" i="10"/>
  <c r="J26" i="9"/>
  <c r="I48" i="9"/>
  <c r="F14" i="9"/>
  <c r="C29" i="8"/>
  <c r="G46" i="8"/>
  <c r="G6" i="8"/>
  <c r="CH49" i="4" s="1"/>
  <c r="J29" i="8"/>
  <c r="D49" i="7"/>
  <c r="J27" i="7"/>
  <c r="K32" i="7"/>
  <c r="F55" i="7"/>
  <c r="J25" i="7"/>
  <c r="G40" i="7"/>
  <c r="D34" i="7"/>
  <c r="H10" i="7"/>
  <c r="D47" i="11"/>
  <c r="L53" i="11"/>
  <c r="L7" i="11"/>
  <c r="F48" i="11"/>
  <c r="G32" i="11"/>
  <c r="K20" i="11"/>
  <c r="F46" i="11"/>
  <c r="H22" i="11"/>
  <c r="C42" i="11"/>
  <c r="I21" i="11"/>
  <c r="I47" i="11"/>
  <c r="J27" i="11"/>
  <c r="F16" i="10"/>
  <c r="I42" i="10"/>
  <c r="C45" i="10"/>
  <c r="J25" i="10"/>
  <c r="F30" i="10"/>
  <c r="K7" i="10"/>
  <c r="C50" i="10"/>
  <c r="H37" i="10"/>
  <c r="L38" i="10"/>
  <c r="L43" i="10"/>
  <c r="D52" i="10"/>
  <c r="F13" i="9"/>
  <c r="L22" i="9"/>
  <c r="F52" i="9"/>
  <c r="D43" i="9"/>
  <c r="C6" i="9"/>
  <c r="D35" i="9"/>
  <c r="C28" i="9"/>
  <c r="C14" i="9"/>
  <c r="L42" i="9"/>
  <c r="G49" i="9"/>
  <c r="F18" i="9"/>
  <c r="H43" i="9"/>
  <c r="J12" i="8"/>
  <c r="F46" i="8"/>
  <c r="C37" i="8"/>
  <c r="E39" i="8"/>
  <c r="E47" i="8"/>
  <c r="G52" i="8"/>
  <c r="C46" i="8"/>
  <c r="K12" i="8"/>
  <c r="G23" i="8"/>
  <c r="K52" i="8"/>
  <c r="E21" i="8"/>
  <c r="F9" i="8"/>
  <c r="C22" i="8"/>
  <c r="H45" i="8"/>
  <c r="C12" i="8"/>
  <c r="I23" i="8"/>
  <c r="I52" i="7"/>
  <c r="J41" i="7"/>
  <c r="I36" i="7"/>
  <c r="H11" i="7"/>
  <c r="F49" i="7"/>
  <c r="C39" i="7"/>
  <c r="D29" i="7"/>
  <c r="C48" i="7"/>
  <c r="J49" i="7"/>
  <c r="F6" i="7"/>
  <c r="F17" i="7"/>
  <c r="D20" i="7"/>
  <c r="E24" i="7"/>
  <c r="C25" i="7"/>
  <c r="H20" i="7"/>
  <c r="J48" i="7"/>
  <c r="G41" i="7"/>
  <c r="G10" i="7"/>
  <c r="I50" i="7"/>
  <c r="C38" i="7"/>
  <c r="L22" i="7"/>
  <c r="K9" i="7"/>
  <c r="D6" i="7"/>
  <c r="J29" i="7"/>
  <c r="I51" i="7"/>
  <c r="D47" i="7"/>
  <c r="F26" i="7"/>
  <c r="K40" i="7"/>
  <c r="E17" i="7"/>
  <c r="J14" i="7"/>
  <c r="I20" i="11"/>
  <c r="J33" i="11"/>
  <c r="D45" i="11"/>
  <c r="H29" i="11"/>
  <c r="G9" i="11"/>
  <c r="G33" i="11"/>
  <c r="H52" i="11"/>
  <c r="D8" i="11"/>
  <c r="E8" i="11"/>
  <c r="E16" i="11"/>
  <c r="D30" i="11"/>
  <c r="H45" i="11"/>
  <c r="L40" i="10"/>
  <c r="L53" i="10"/>
  <c r="C10" i="10"/>
  <c r="I23" i="10"/>
  <c r="C40" i="10"/>
  <c r="K34" i="10"/>
  <c r="F18" i="10"/>
  <c r="H51" i="10"/>
  <c r="H53" i="10"/>
  <c r="D29" i="10"/>
  <c r="I33" i="10"/>
  <c r="K31" i="9"/>
  <c r="H19" i="9"/>
  <c r="E33" i="9"/>
  <c r="H33" i="9"/>
  <c r="I47" i="9"/>
  <c r="K21" i="9"/>
  <c r="E25" i="9"/>
  <c r="K36" i="9"/>
  <c r="L13" i="9"/>
  <c r="L8" i="9"/>
  <c r="F50" i="9"/>
  <c r="H28" i="9"/>
  <c r="C42" i="8"/>
  <c r="D8" i="8"/>
  <c r="K21" i="8"/>
  <c r="L45" i="8"/>
  <c r="I20" i="8"/>
  <c r="F25" i="8"/>
  <c r="K53" i="8"/>
  <c r="H40" i="8"/>
  <c r="I54" i="7"/>
  <c r="E43" i="7"/>
  <c r="G54" i="7"/>
  <c r="H51" i="7"/>
  <c r="J42" i="7"/>
  <c r="D30" i="7"/>
  <c r="K11" i="7"/>
  <c r="I10" i="7"/>
  <c r="G49" i="7"/>
  <c r="D55" i="7"/>
  <c r="I7" i="11"/>
  <c r="D34" i="11"/>
  <c r="D50" i="11"/>
  <c r="E48" i="11"/>
  <c r="K40" i="11"/>
  <c r="G7" i="10"/>
  <c r="E39" i="10"/>
  <c r="G50" i="10"/>
  <c r="I7" i="10"/>
  <c r="D46" i="9"/>
  <c r="F21" i="9"/>
  <c r="E23" i="9"/>
  <c r="J22" i="8"/>
  <c r="H20" i="8"/>
  <c r="D26" i="8"/>
  <c r="D43" i="8"/>
  <c r="I13" i="8"/>
  <c r="F45" i="7"/>
  <c r="I34" i="7"/>
  <c r="C20" i="7"/>
  <c r="J46" i="7"/>
  <c r="G51" i="7"/>
  <c r="C49" i="7"/>
  <c r="F33" i="7"/>
  <c r="F40" i="7"/>
  <c r="I45" i="7"/>
  <c r="C21" i="11"/>
  <c r="L44" i="11"/>
  <c r="E24" i="11"/>
  <c r="G22" i="11"/>
  <c r="H16" i="10"/>
  <c r="J40" i="10"/>
  <c r="G24" i="10"/>
  <c r="F40" i="9"/>
  <c r="F39" i="9"/>
  <c r="G13" i="9"/>
  <c r="G27" i="9"/>
  <c r="D47" i="8"/>
  <c r="E33" i="8"/>
  <c r="D40" i="8"/>
  <c r="H10" i="8"/>
  <c r="C28" i="8"/>
  <c r="H16" i="7"/>
  <c r="L18" i="7"/>
  <c r="F42" i="7"/>
  <c r="C29" i="7"/>
  <c r="K31" i="7"/>
  <c r="I44" i="7"/>
  <c r="G18" i="7"/>
  <c r="I8" i="7"/>
  <c r="D39" i="7"/>
  <c r="F31" i="11"/>
  <c r="J26" i="11"/>
  <c r="L8" i="11"/>
  <c r="E6" i="11"/>
  <c r="C34" i="11"/>
  <c r="D11" i="10"/>
  <c r="D12" i="10"/>
  <c r="G45" i="10"/>
  <c r="L30" i="10"/>
  <c r="C40" i="9"/>
  <c r="C15" i="9"/>
  <c r="E41" i="9"/>
  <c r="G18" i="8"/>
  <c r="G17" i="8"/>
  <c r="H19" i="8"/>
  <c r="K39" i="8"/>
  <c r="J50" i="8"/>
  <c r="C26" i="7"/>
  <c r="G30" i="7"/>
  <c r="J47" i="7"/>
  <c r="I6" i="7"/>
  <c r="L34" i="7"/>
  <c r="I24" i="7"/>
  <c r="D44" i="7"/>
  <c r="J32" i="7"/>
  <c r="CG13" i="4" l="1"/>
  <c r="CE11" i="4"/>
  <c r="CE9" i="4"/>
  <c r="CG9" i="4"/>
  <c r="CE10" i="4"/>
  <c r="CG10" i="4"/>
  <c r="CG11" i="4"/>
  <c r="CE12" i="4"/>
  <c r="CG12" i="4"/>
  <c r="CE13" i="4"/>
  <c r="CE16" i="4"/>
  <c r="CG16" i="4"/>
  <c r="CE14" i="4"/>
  <c r="CG15" i="4"/>
  <c r="CG14" i="4"/>
  <c r="CE15" i="4"/>
  <c r="CH61" i="4"/>
  <c r="CE54" i="4"/>
  <c r="CE66" i="4"/>
  <c r="CK61" i="4"/>
  <c r="CQ61" i="4"/>
  <c r="CH54" i="4"/>
  <c r="CN61" i="4"/>
  <c r="CQ56" i="4"/>
  <c r="CK68" i="4"/>
  <c r="CK66" i="4"/>
  <c r="CK64" i="4"/>
  <c r="CQ64" i="4"/>
  <c r="CQ68" i="4"/>
  <c r="CQ66" i="4"/>
  <c r="CT55" i="4"/>
  <c r="CN66" i="4"/>
  <c r="CN64" i="4"/>
  <c r="CN68" i="4"/>
  <c r="CT65" i="4"/>
  <c r="CT68" i="4"/>
  <c r="CT61" i="4"/>
  <c r="CT67" i="4" s="1"/>
  <c r="CT64" i="4"/>
  <c r="CT63" i="4"/>
  <c r="CT66" i="4"/>
  <c r="CH68" i="4"/>
  <c r="CT56" i="4"/>
  <c r="CZ56" i="4"/>
  <c r="CH66" i="4"/>
  <c r="CH64" i="4"/>
  <c r="CK54" i="4"/>
  <c r="CZ61" i="4"/>
  <c r="CZ65" i="4"/>
  <c r="CZ64" i="4"/>
  <c r="CZ63" i="4"/>
  <c r="CZ66" i="4"/>
  <c r="CZ68" i="4"/>
  <c r="CW68" i="4"/>
  <c r="CW63" i="4"/>
  <c r="CW66" i="4"/>
  <c r="CW61" i="4"/>
  <c r="CW67" i="4" s="1"/>
  <c r="CW65" i="4"/>
  <c r="CW64" i="4"/>
  <c r="CK55" i="4"/>
  <c r="CK56" i="4"/>
  <c r="CW55" i="4"/>
  <c r="CN56" i="4"/>
  <c r="CH56" i="4"/>
  <c r="CW56" i="4"/>
  <c r="CB66" i="4"/>
  <c r="CE64" i="4"/>
  <c r="CB64" i="4"/>
  <c r="CB55" i="4"/>
  <c r="CE55" i="4"/>
  <c r="CB54" i="4"/>
  <c r="CE68" i="4"/>
  <c r="CB68" i="4"/>
  <c r="CQ67" i="4"/>
  <c r="CN67" i="4"/>
  <c r="CK67" i="4"/>
  <c r="CB61" i="4"/>
  <c r="CE61" i="4"/>
  <c r="CH67" i="4"/>
  <c r="I11" i="6"/>
  <c r="H32" i="6"/>
  <c r="C9" i="6"/>
  <c r="E34" i="6"/>
  <c r="F49" i="6"/>
  <c r="L47" i="6"/>
  <c r="H36" i="6"/>
  <c r="K27" i="6"/>
  <c r="E51" i="6"/>
  <c r="J33" i="6"/>
  <c r="J12" i="6"/>
  <c r="D18" i="6"/>
  <c r="L52" i="6"/>
  <c r="E22" i="6"/>
  <c r="F35" i="6"/>
  <c r="I20" i="6"/>
  <c r="J29" i="6"/>
  <c r="I47" i="6"/>
  <c r="I27" i="6"/>
  <c r="C35" i="6"/>
  <c r="F25" i="6"/>
  <c r="I6" i="6"/>
  <c r="K26" i="6"/>
  <c r="L22" i="6"/>
  <c r="CE49" i="4"/>
  <c r="CT48" i="4"/>
  <c r="H37" i="6"/>
  <c r="G17" i="6"/>
  <c r="I16" i="6"/>
  <c r="J15" i="6"/>
  <c r="I36" i="6"/>
  <c r="I49" i="6"/>
  <c r="H46" i="6"/>
  <c r="E44" i="6"/>
  <c r="J30" i="6"/>
  <c r="H43" i="6"/>
  <c r="K11" i="6"/>
  <c r="K48" i="6"/>
  <c r="K16" i="6"/>
  <c r="G20" i="6"/>
  <c r="K34" i="6"/>
  <c r="K50" i="6"/>
  <c r="C26" i="6"/>
  <c r="L10" i="6"/>
  <c r="E18" i="6"/>
  <c r="C21" i="6"/>
  <c r="H55" i="6"/>
  <c r="I33" i="6"/>
  <c r="C7" i="6"/>
  <c r="D37" i="6"/>
  <c r="F39" i="6"/>
  <c r="H24" i="6"/>
  <c r="CN50" i="4"/>
  <c r="E16" i="6"/>
  <c r="G13" i="6"/>
  <c r="D53" i="6"/>
  <c r="J14" i="6"/>
  <c r="J51" i="6"/>
  <c r="G40" i="6"/>
  <c r="I19" i="6"/>
  <c r="C28" i="6"/>
  <c r="J52" i="6"/>
  <c r="G34" i="6"/>
  <c r="G31" i="6"/>
  <c r="D42" i="6"/>
  <c r="G27" i="6"/>
  <c r="G46" i="6"/>
  <c r="J18" i="6"/>
  <c r="C20" i="6"/>
  <c r="F40" i="6"/>
  <c r="CE50" i="4"/>
  <c r="L28" i="6"/>
  <c r="J13" i="6"/>
  <c r="J42" i="6"/>
  <c r="H8" i="6"/>
  <c r="L30" i="6"/>
  <c r="L32" i="6"/>
  <c r="J34" i="6"/>
  <c r="H33" i="6"/>
  <c r="L13" i="6"/>
  <c r="C40" i="6"/>
  <c r="F44" i="6"/>
  <c r="D8" i="6"/>
  <c r="D22" i="6"/>
  <c r="K39" i="6"/>
  <c r="H47" i="6"/>
  <c r="F24" i="6"/>
  <c r="E7" i="6"/>
  <c r="C31" i="6"/>
  <c r="I42" i="6"/>
  <c r="K55" i="6"/>
  <c r="H29" i="6"/>
  <c r="G32" i="6"/>
  <c r="G45" i="6"/>
  <c r="F42" i="6"/>
  <c r="E27" i="6"/>
  <c r="I13" i="6"/>
  <c r="D25" i="6"/>
  <c r="K37" i="6"/>
  <c r="F20" i="6"/>
  <c r="F32" i="6"/>
  <c r="F19" i="6"/>
  <c r="L31" i="6"/>
  <c r="C51" i="6"/>
  <c r="H48" i="6"/>
  <c r="H31" i="6"/>
  <c r="H16" i="6"/>
  <c r="L42" i="6"/>
  <c r="D17" i="6"/>
  <c r="I53" i="6"/>
  <c r="L33" i="6"/>
  <c r="E47" i="6"/>
  <c r="F38" i="6"/>
  <c r="I8" i="6"/>
  <c r="CH48" i="4"/>
  <c r="D9" i="6"/>
  <c r="I44" i="6"/>
  <c r="F26" i="6"/>
  <c r="F46" i="6"/>
  <c r="E21" i="6"/>
  <c r="C41" i="6"/>
  <c r="F18" i="6"/>
  <c r="C11" i="6"/>
  <c r="CK46" i="4"/>
  <c r="C33" i="6"/>
  <c r="H19" i="6"/>
  <c r="J19" i="6"/>
  <c r="G36" i="6"/>
  <c r="F16" i="6"/>
  <c r="G24" i="6"/>
  <c r="J27" i="6"/>
  <c r="CK48" i="4"/>
  <c r="L49" i="6"/>
  <c r="E54" i="6"/>
  <c r="H11" i="6"/>
  <c r="I38" i="6"/>
  <c r="I14" i="6"/>
  <c r="I46" i="6"/>
  <c r="L19" i="6"/>
  <c r="H34" i="6"/>
  <c r="C23" i="6"/>
  <c r="E40" i="6"/>
  <c r="J48" i="6"/>
  <c r="L50" i="6"/>
  <c r="I35" i="6"/>
  <c r="K49" i="6"/>
  <c r="G7" i="6"/>
  <c r="C8" i="6"/>
  <c r="I50" i="6"/>
  <c r="G12" i="6"/>
  <c r="C32" i="6"/>
  <c r="E35" i="6"/>
  <c r="J25" i="6"/>
  <c r="L45" i="6"/>
  <c r="G22" i="6"/>
  <c r="D32" i="6"/>
  <c r="I43" i="6"/>
  <c r="CZ48" i="4"/>
  <c r="I17" i="6"/>
  <c r="G21" i="6"/>
  <c r="C30" i="6"/>
  <c r="K46" i="6"/>
  <c r="I24" i="6"/>
  <c r="C15" i="6"/>
  <c r="I30" i="6"/>
  <c r="L12" i="6"/>
  <c r="K51" i="6"/>
  <c r="L20" i="6"/>
  <c r="D33" i="6"/>
  <c r="G54" i="6"/>
  <c r="CH50" i="4"/>
  <c r="G52" i="6"/>
  <c r="K20" i="6"/>
  <c r="L35" i="6"/>
  <c r="F43" i="6"/>
  <c r="G43" i="6"/>
  <c r="D47" i="6"/>
  <c r="G23" i="6"/>
  <c r="K6" i="6"/>
  <c r="L39" i="6"/>
  <c r="C55" i="6"/>
  <c r="D21" i="6"/>
  <c r="E17" i="6"/>
  <c r="C45" i="6"/>
  <c r="J44" i="6"/>
  <c r="C18" i="6"/>
  <c r="J16" i="6"/>
  <c r="I34" i="6"/>
  <c r="E9" i="6"/>
  <c r="D10" i="6"/>
  <c r="H42" i="6"/>
  <c r="K21" i="6"/>
  <c r="K18" i="6"/>
  <c r="L8" i="6"/>
  <c r="F23" i="6"/>
  <c r="D36" i="6"/>
  <c r="CQ48" i="4"/>
  <c r="I29" i="6"/>
  <c r="J8" i="6"/>
  <c r="F15" i="6"/>
  <c r="H21" i="6"/>
  <c r="L54" i="6"/>
  <c r="K23" i="6"/>
  <c r="H10" i="6"/>
  <c r="F27" i="6"/>
  <c r="F22" i="6"/>
  <c r="CB46" i="4"/>
  <c r="J36" i="6"/>
  <c r="E46" i="6"/>
  <c r="K9" i="6"/>
  <c r="C43" i="6"/>
  <c r="I12" i="6"/>
  <c r="G39" i="6"/>
  <c r="L51" i="6"/>
  <c r="D15" i="6"/>
  <c r="F11" i="6"/>
  <c r="CN46" i="4"/>
  <c r="K28" i="6"/>
  <c r="D6" i="6"/>
  <c r="CQ46" i="4"/>
  <c r="K17" i="6"/>
  <c r="C29" i="6"/>
  <c r="I26" i="6"/>
  <c r="K47" i="6"/>
  <c r="L27" i="6"/>
  <c r="L25" i="6"/>
  <c r="G9" i="6"/>
  <c r="J20" i="6"/>
  <c r="J50" i="6"/>
  <c r="I41" i="6"/>
  <c r="G49" i="6"/>
  <c r="J24" i="6"/>
  <c r="J35" i="6"/>
  <c r="H13" i="6"/>
  <c r="E30" i="6"/>
  <c r="E13" i="6"/>
  <c r="D55" i="6"/>
  <c r="K41" i="6"/>
  <c r="CE46" i="4"/>
  <c r="CW50" i="4"/>
  <c r="D20" i="6"/>
  <c r="K44" i="6"/>
  <c r="I18" i="6"/>
  <c r="D14" i="6"/>
  <c r="I31" i="6"/>
  <c r="I22" i="6"/>
  <c r="H39" i="6"/>
  <c r="F13" i="6"/>
  <c r="I21" i="6"/>
  <c r="J55" i="6"/>
  <c r="G44" i="6"/>
  <c r="I32" i="6"/>
  <c r="C27" i="6"/>
  <c r="I7" i="6"/>
  <c r="D39" i="6"/>
  <c r="H26" i="6"/>
  <c r="E10" i="6"/>
  <c r="K38" i="6"/>
  <c r="G33" i="6"/>
  <c r="J21" i="6"/>
  <c r="G19" i="6"/>
  <c r="E23" i="6"/>
  <c r="F9" i="6"/>
  <c r="D27" i="6"/>
  <c r="F28" i="6"/>
  <c r="H20" i="6"/>
  <c r="C53" i="6"/>
  <c r="H50" i="6"/>
  <c r="K54" i="6"/>
  <c r="L38" i="6"/>
  <c r="D34" i="6"/>
  <c r="D29" i="6"/>
  <c r="D43" i="6"/>
  <c r="K43" i="6"/>
  <c r="K32" i="6"/>
  <c r="L29" i="6"/>
  <c r="H38" i="6"/>
  <c r="H45" i="6"/>
  <c r="L53" i="6"/>
  <c r="H7" i="6"/>
  <c r="H52" i="6"/>
  <c r="F52" i="6"/>
  <c r="I55" i="6"/>
  <c r="J17" i="6"/>
  <c r="J45" i="6"/>
  <c r="L36" i="6"/>
  <c r="H54" i="6"/>
  <c r="C13" i="6"/>
  <c r="F30" i="6"/>
  <c r="I40" i="6"/>
  <c r="E28" i="6"/>
  <c r="L18" i="6"/>
  <c r="D28" i="6"/>
  <c r="E39" i="6"/>
  <c r="G35" i="6"/>
  <c r="G51" i="6"/>
  <c r="G48" i="6"/>
  <c r="D23" i="6"/>
  <c r="L41" i="6"/>
  <c r="C42" i="6"/>
  <c r="G8" i="6"/>
  <c r="C17" i="6"/>
  <c r="C10" i="6"/>
  <c r="D7" i="6"/>
  <c r="E48" i="6"/>
  <c r="D41" i="6"/>
  <c r="K8" i="6"/>
  <c r="H9" i="6"/>
  <c r="K35" i="6"/>
  <c r="CE48" i="4"/>
  <c r="E12" i="6"/>
  <c r="H18" i="6"/>
  <c r="E15" i="6"/>
  <c r="C25" i="6"/>
  <c r="L7" i="6"/>
  <c r="K10" i="6"/>
  <c r="E19" i="6"/>
  <c r="C38" i="6"/>
  <c r="C16" i="6"/>
  <c r="F33" i="6"/>
  <c r="D24" i="6"/>
  <c r="H30" i="6"/>
  <c r="L6" i="6"/>
  <c r="H12" i="6"/>
  <c r="K22" i="6"/>
  <c r="F8" i="6"/>
  <c r="C46" i="6"/>
  <c r="CK50" i="4"/>
  <c r="F55" i="6"/>
  <c r="J38" i="6"/>
  <c r="D16" i="6"/>
  <c r="E43" i="6"/>
  <c r="H44" i="6"/>
  <c r="I52" i="6"/>
  <c r="C12" i="6"/>
  <c r="E24" i="6"/>
  <c r="E49" i="6"/>
  <c r="D11" i="6"/>
  <c r="L44" i="6"/>
  <c r="C39" i="6"/>
  <c r="E14" i="6"/>
  <c r="G55" i="6"/>
  <c r="G30" i="6"/>
  <c r="G28" i="6"/>
  <c r="I15" i="6"/>
  <c r="D13" i="6"/>
  <c r="I28" i="6"/>
  <c r="F37" i="6"/>
  <c r="C22" i="6"/>
  <c r="C44" i="6"/>
  <c r="K14" i="6"/>
  <c r="E36" i="6"/>
  <c r="F7" i="6"/>
  <c r="G10" i="6"/>
  <c r="F47" i="6"/>
  <c r="J23" i="6"/>
  <c r="K13" i="6"/>
  <c r="C54" i="6"/>
  <c r="E20" i="6"/>
  <c r="E55" i="6"/>
  <c r="K12" i="6"/>
  <c r="I10" i="6"/>
  <c r="E41" i="6"/>
  <c r="J54" i="6"/>
  <c r="J31" i="6"/>
  <c r="G37" i="6"/>
  <c r="E45" i="6"/>
  <c r="L24" i="6"/>
  <c r="CZ46" i="4"/>
  <c r="CQ50" i="4"/>
  <c r="G53" i="6"/>
  <c r="H35" i="6"/>
  <c r="K25" i="6"/>
  <c r="C36" i="6"/>
  <c r="K29" i="6"/>
  <c r="I9" i="6"/>
  <c r="F21" i="6"/>
  <c r="D31" i="6"/>
  <c r="F14" i="6"/>
  <c r="F54" i="6"/>
  <c r="J11" i="6"/>
  <c r="J49" i="6"/>
  <c r="C24" i="6"/>
  <c r="E29" i="6"/>
  <c r="G26" i="6"/>
  <c r="D35" i="6"/>
  <c r="F17" i="6"/>
  <c r="K45" i="6"/>
  <c r="J22" i="6"/>
  <c r="H22" i="6"/>
  <c r="J28" i="6"/>
  <c r="I54" i="6"/>
  <c r="L17" i="6"/>
  <c r="D38" i="6"/>
  <c r="K31" i="6"/>
  <c r="D26" i="6"/>
  <c r="E26" i="6"/>
  <c r="E38" i="6"/>
  <c r="G16" i="6"/>
  <c r="K36" i="6"/>
  <c r="L26" i="6"/>
  <c r="D12" i="6"/>
  <c r="K33" i="6"/>
  <c r="L21" i="6"/>
  <c r="J41" i="6"/>
  <c r="H41" i="6"/>
  <c r="G50" i="6"/>
  <c r="C34" i="6"/>
  <c r="CH46" i="4"/>
  <c r="CT50" i="4"/>
  <c r="G15" i="6"/>
  <c r="H14" i="6"/>
  <c r="E8" i="6"/>
  <c r="E6" i="6"/>
  <c r="G47" i="6"/>
  <c r="E33" i="6"/>
  <c r="K40" i="6"/>
  <c r="H15" i="6"/>
  <c r="E37" i="6"/>
  <c r="F48" i="6"/>
  <c r="D49" i="6"/>
  <c r="J39" i="6"/>
  <c r="I23" i="6"/>
  <c r="K42" i="6"/>
  <c r="F6" i="6"/>
  <c r="D50" i="6"/>
  <c r="CW46" i="4"/>
  <c r="K24" i="6"/>
  <c r="D30" i="6"/>
  <c r="F41" i="6"/>
  <c r="H53" i="6"/>
  <c r="H25" i="6"/>
  <c r="L40" i="6"/>
  <c r="E53" i="6"/>
  <c r="E25" i="6"/>
  <c r="H28" i="6"/>
  <c r="F34" i="6"/>
  <c r="I25" i="6"/>
  <c r="C14" i="6"/>
  <c r="H17" i="6"/>
  <c r="I45" i="6"/>
  <c r="L34" i="6"/>
  <c r="F29" i="6"/>
  <c r="H23" i="6"/>
  <c r="K53" i="6"/>
  <c r="K52" i="6"/>
  <c r="CZ50" i="4"/>
  <c r="L16" i="6"/>
  <c r="C50" i="6"/>
  <c r="F10" i="6"/>
  <c r="F12" i="6"/>
  <c r="H40" i="6"/>
  <c r="G6" i="6"/>
  <c r="J6" i="6"/>
  <c r="F45" i="6"/>
  <c r="J43" i="6"/>
  <c r="I39" i="6"/>
  <c r="E42" i="6"/>
  <c r="J9" i="6"/>
  <c r="J47" i="6"/>
  <c r="D40" i="6"/>
  <c r="G41" i="6"/>
  <c r="J53" i="6"/>
  <c r="C49" i="6"/>
  <c r="E11" i="6"/>
  <c r="D51" i="6"/>
  <c r="J10" i="6"/>
  <c r="J37" i="6"/>
  <c r="H27" i="6"/>
  <c r="J40" i="6"/>
  <c r="F50" i="6"/>
  <c r="F53" i="6"/>
  <c r="K7" i="6"/>
  <c r="D52" i="6"/>
  <c r="G18" i="6"/>
  <c r="E32" i="6"/>
  <c r="J7" i="6"/>
  <c r="C37" i="6"/>
  <c r="D46" i="6"/>
  <c r="C52" i="6"/>
  <c r="J32" i="6"/>
  <c r="F36" i="6"/>
  <c r="E52" i="6"/>
  <c r="H49" i="6"/>
  <c r="G11" i="6"/>
  <c r="L46" i="6"/>
  <c r="C48" i="6"/>
  <c r="CN48" i="4"/>
  <c r="CT46" i="4"/>
  <c r="C47" i="6"/>
  <c r="G42" i="6"/>
  <c r="D19" i="6"/>
  <c r="G25" i="6"/>
  <c r="L37" i="6"/>
  <c r="K19" i="6"/>
  <c r="L23" i="6"/>
  <c r="I51" i="6"/>
  <c r="E31" i="6"/>
  <c r="F51" i="6"/>
  <c r="I37" i="6"/>
  <c r="D44" i="6"/>
  <c r="I48" i="6"/>
  <c r="F31" i="6"/>
  <c r="L9" i="6"/>
  <c r="D45" i="6"/>
  <c r="CW48" i="4"/>
  <c r="C6" i="6"/>
  <c r="J46" i="6"/>
  <c r="H51" i="6"/>
  <c r="L11" i="6"/>
  <c r="G29" i="6"/>
  <c r="D54" i="6"/>
  <c r="J26" i="6"/>
  <c r="L14" i="6"/>
  <c r="E50" i="6"/>
  <c r="L15" i="6"/>
  <c r="K15" i="6"/>
  <c r="L48" i="6"/>
  <c r="C19" i="6"/>
  <c r="H6" i="6"/>
  <c r="CB50" i="4" s="1"/>
  <c r="G14" i="6"/>
  <c r="G38" i="6"/>
  <c r="L55" i="6"/>
  <c r="K30" i="6"/>
  <c r="D48" i="6"/>
  <c r="L43" i="6"/>
  <c r="CB49" i="4"/>
  <c r="CB48" i="4"/>
  <c r="CG8" i="4" l="1"/>
  <c r="CG20" i="4" s="1"/>
  <c r="CE8" i="4"/>
  <c r="CE20" i="4" s="1"/>
  <c r="CZ67" i="4"/>
  <c r="CE67" i="4"/>
  <c r="CB67" i="4"/>
  <c r="P19" i="4" l="1"/>
  <c r="P38" i="4" s="1"/>
  <c r="P44" i="4" s="1"/>
  <c r="CZ60" i="4" s="1"/>
  <c r="CB52" i="4" l="1"/>
  <c r="CT51" i="4"/>
  <c r="CZ52" i="4"/>
  <c r="CN52" i="4"/>
  <c r="CK52" i="4"/>
  <c r="CH60" i="4"/>
  <c r="CE58" i="4"/>
  <c r="CN60" i="4"/>
  <c r="CT59" i="4"/>
  <c r="CW59" i="4"/>
  <c r="CW60" i="4"/>
  <c r="CH51" i="4"/>
  <c r="CW52" i="4"/>
  <c r="CB60" i="4"/>
  <c r="CH52" i="4"/>
  <c r="CH58" i="4"/>
  <c r="CB51" i="4"/>
  <c r="CH59" i="4"/>
  <c r="CQ59" i="4"/>
  <c r="CN51" i="4"/>
  <c r="CT60" i="4"/>
  <c r="CQ60" i="4"/>
  <c r="CW51" i="4"/>
  <c r="CB58" i="4"/>
  <c r="CE59" i="4"/>
  <c r="CZ59" i="4"/>
  <c r="CQ51" i="4"/>
  <c r="CN59" i="4"/>
  <c r="CK59" i="4"/>
  <c r="CE52" i="4"/>
  <c r="CE51" i="4"/>
  <c r="CK58" i="4"/>
  <c r="CQ58" i="4"/>
  <c r="CN58" i="4"/>
  <c r="CQ52" i="4"/>
  <c r="CZ51" i="4"/>
  <c r="CK60" i="4"/>
  <c r="CE60" i="4"/>
  <c r="CB59" i="4"/>
  <c r="CT52" i="4"/>
  <c r="CK51" i="4"/>
  <c r="CQ63" i="4"/>
  <c r="CQ65" i="4"/>
  <c r="CN63" i="4"/>
  <c r="CN65" i="4"/>
  <c r="CK63" i="4"/>
  <c r="CK65" i="4"/>
  <c r="CH63" i="4"/>
  <c r="CH65" i="4"/>
  <c r="CE63" i="4"/>
  <c r="CE65" i="4"/>
  <c r="CB65" i="4"/>
  <c r="CB63" i="4"/>
</calcChain>
</file>

<file path=xl/sharedStrings.xml><?xml version="1.0" encoding="utf-8"?>
<sst xmlns="http://schemas.openxmlformats.org/spreadsheetml/2006/main" count="1434" uniqueCount="290">
  <si>
    <t>PROJECT:</t>
  </si>
  <si>
    <t>PROJECT NO:</t>
  </si>
  <si>
    <t>COMPANY:</t>
  </si>
  <si>
    <t>DOCUMENT NUMBER:</t>
  </si>
  <si>
    <t>GREATER STELLA AREA DEVELOPMENT</t>
  </si>
  <si>
    <t>ITHACA ENERGY</t>
  </si>
  <si>
    <t>DOCUMENT TITLE:</t>
  </si>
  <si>
    <t>ORIGINATOR:</t>
  </si>
  <si>
    <t>REV:</t>
  </si>
  <si>
    <t>DATE:</t>
  </si>
  <si>
    <t>PAGE NO:</t>
  </si>
  <si>
    <t>JU11805D</t>
  </si>
  <si>
    <t>Piping Stress</t>
  </si>
  <si>
    <t>Ref</t>
  </si>
  <si>
    <t>Rev</t>
  </si>
  <si>
    <t>=</t>
  </si>
  <si>
    <t>i)</t>
  </si>
  <si>
    <t>ii)</t>
  </si>
  <si>
    <t>NOTES</t>
  </si>
  <si>
    <t>Nominal Pipe Size, NPS</t>
  </si>
  <si>
    <t>STANDARD PIPE WALL THICKNESS AS PER B36.10 &amp; B36.19</t>
  </si>
  <si>
    <t>(SCHEDULED THICKNESSES)</t>
  </si>
  <si>
    <t>SCHEDULE NO</t>
  </si>
  <si>
    <t>NS</t>
  </si>
  <si>
    <t>OD</t>
  </si>
  <si>
    <t>5S</t>
  </si>
  <si>
    <t>10S</t>
  </si>
  <si>
    <t>STD</t>
  </si>
  <si>
    <t>40S</t>
  </si>
  <si>
    <t>XS</t>
  </si>
  <si>
    <t>80S</t>
  </si>
  <si>
    <t>XXS</t>
  </si>
  <si>
    <t xml:space="preserve"> </t>
  </si>
  <si>
    <t>½</t>
  </si>
  <si>
    <t>1½</t>
  </si>
  <si>
    <t>2½</t>
  </si>
  <si>
    <t>3½</t>
  </si>
  <si>
    <t>¾</t>
  </si>
  <si>
    <r>
      <t>1</t>
    </r>
    <r>
      <rPr>
        <sz val="10"/>
        <rFont val="Calibri"/>
        <family val="2"/>
      </rPr>
      <t>¼</t>
    </r>
  </si>
  <si>
    <t>All dimensions are in mm, UNO</t>
  </si>
  <si>
    <t>barg</t>
  </si>
  <si>
    <t>°C</t>
  </si>
  <si>
    <t>N</t>
  </si>
  <si>
    <t>mm²</t>
  </si>
  <si>
    <t>Pipe Data</t>
  </si>
  <si>
    <t>Nm</t>
  </si>
  <si>
    <t>ELEMENT</t>
  </si>
  <si>
    <t>AXIAL</t>
  </si>
  <si>
    <t>SHEAR</t>
  </si>
  <si>
    <t>BENDING</t>
  </si>
  <si>
    <t>TORSION</t>
  </si>
  <si>
    <t>-----------Forces(N.</t>
  </si>
  <si>
    <t>)-----------</t>
  </si>
  <si>
    <t>---------Moments(N.m.</t>
  </si>
  <si>
    <t>)------</t>
  </si>
  <si>
    <t>NODES:</t>
  </si>
  <si>
    <t>FORCE</t>
  </si>
  <si>
    <t>MOMENT</t>
  </si>
  <si>
    <t>FX</t>
  </si>
  <si>
    <t>FY</t>
  </si>
  <si>
    <t>FZ</t>
  </si>
  <si>
    <t>MX</t>
  </si>
  <si>
    <t>MY</t>
  </si>
  <si>
    <t>MZ</t>
  </si>
  <si>
    <t>CASE</t>
  </si>
  <si>
    <t>Node</t>
  </si>
  <si>
    <t>NPS</t>
  </si>
  <si>
    <t>Node No.</t>
  </si>
  <si>
    <t>Calculation No.</t>
  </si>
  <si>
    <t>Flange Class</t>
  </si>
  <si>
    <t>1.2</t>
  </si>
  <si>
    <t>1.3</t>
  </si>
  <si>
    <t>1.4</t>
  </si>
  <si>
    <t>1.5</t>
  </si>
  <si>
    <t>1.7</t>
  </si>
  <si>
    <t>1.9</t>
  </si>
  <si>
    <t>1.10</t>
  </si>
  <si>
    <t>1.13</t>
  </si>
  <si>
    <t>1.14</t>
  </si>
  <si>
    <t>2.1</t>
  </si>
  <si>
    <t>2.2</t>
  </si>
  <si>
    <t>2.3</t>
  </si>
  <si>
    <t>2.4</t>
  </si>
  <si>
    <t>2.5</t>
  </si>
  <si>
    <t>2.6</t>
  </si>
  <si>
    <t>2.7</t>
  </si>
  <si>
    <t>3.1</t>
  </si>
  <si>
    <t>3.2</t>
  </si>
  <si>
    <t>3.3</t>
  </si>
  <si>
    <t>3.4</t>
  </si>
  <si>
    <t>3.5</t>
  </si>
  <si>
    <t>3.6</t>
  </si>
  <si>
    <t>3.7</t>
  </si>
  <si>
    <t>3.8</t>
  </si>
  <si>
    <t>3.9</t>
  </si>
  <si>
    <t>3.10</t>
  </si>
  <si>
    <t>3.11</t>
  </si>
  <si>
    <t>3.12</t>
  </si>
  <si>
    <t>3.13</t>
  </si>
  <si>
    <t>3.14</t>
  </si>
  <si>
    <t>3.15</t>
  </si>
  <si>
    <t>3.16</t>
  </si>
  <si>
    <t>ASME B16.5 Material Group</t>
  </si>
  <si>
    <r>
      <t>Design Temperature, T</t>
    </r>
    <r>
      <rPr>
        <vertAlign val="subscript"/>
        <sz val="10"/>
        <color theme="1"/>
        <rFont val="Calibri"/>
        <family val="2"/>
        <scheme val="minor"/>
      </rPr>
      <t>D</t>
    </r>
  </si>
  <si>
    <t>Material Group #</t>
  </si>
  <si>
    <t>Temperature</t>
  </si>
  <si>
    <t>Rating Pressure</t>
  </si>
  <si>
    <t xml:space="preserve">Rating Pressure </t>
  </si>
  <si>
    <t>Temperature (F)</t>
  </si>
  <si>
    <t>at temperature</t>
  </si>
  <si>
    <t>at ambient</t>
  </si>
  <si>
    <t>This sheet copied (&amp; modified from) KPGI spreadsheet.</t>
  </si>
  <si>
    <t>Updated July 2002 &amp; checked SEB Sept 2002 to data in these codes :</t>
  </si>
  <si>
    <t>B16.5 - 1998 for material 1.1, 1.2, 1.5, 1.7, 2.1, 2.2, 2.3, 2.4, 2.7, 3.1, 3.2, 3.3, 3.4, 3.5, 3.6, 3.7, 3.8, 3.15, 3.16</t>
  </si>
  <si>
    <t>B16.5 - 1996 for material 1.3, 1.4, 1.9, 1.10, 1.13, 1.14, 2.5, 2.6, 3.9, 3.10, 3.11, 3.12, 3.13, 3.14</t>
  </si>
  <si>
    <t>Bolts &amp; Gasket Data Table</t>
  </si>
  <si>
    <t>Bolt areas</t>
  </si>
  <si>
    <t xml:space="preserve">   key1 = rtg*1000+size*10 =</t>
  </si>
  <si>
    <t>UNC up to 1", UN8 above 1"</t>
  </si>
  <si>
    <t>key1</t>
  </si>
  <si>
    <t>n</t>
  </si>
  <si>
    <t>d</t>
  </si>
  <si>
    <t>G</t>
  </si>
  <si>
    <t>b</t>
  </si>
  <si>
    <t>a</t>
  </si>
  <si>
    <t>Notes :</t>
  </si>
  <si>
    <t>1. Gasket data from ASME B16.20-1998, Spiral wound &lt;= 900#, RTJ &gt;= 1500#</t>
  </si>
  <si>
    <t>2. G &amp; b for RTJ calculated as : b=A/8, G=P</t>
  </si>
  <si>
    <t>Gasket Reaction Diameter, G</t>
  </si>
  <si>
    <t>in</t>
  </si>
  <si>
    <t>Bolt Data</t>
  </si>
  <si>
    <r>
      <t>Initial Bolt Stress, S</t>
    </r>
    <r>
      <rPr>
        <vertAlign val="subscript"/>
        <sz val="10"/>
        <color theme="1"/>
        <rFont val="Calibri"/>
        <family val="2"/>
        <scheme val="minor"/>
      </rPr>
      <t>bi</t>
    </r>
  </si>
  <si>
    <t>N/mm²</t>
  </si>
  <si>
    <r>
      <t>Area of bolt, A</t>
    </r>
    <r>
      <rPr>
        <vertAlign val="subscript"/>
        <sz val="10"/>
        <color theme="1"/>
        <rFont val="Calibri"/>
        <family val="2"/>
        <scheme val="minor"/>
      </rPr>
      <t>b</t>
    </r>
  </si>
  <si>
    <r>
      <t>Correction Factor, C</t>
    </r>
    <r>
      <rPr>
        <vertAlign val="subscript"/>
        <sz val="10"/>
        <color theme="1"/>
        <rFont val="Calibri"/>
        <family val="2"/>
        <scheme val="minor"/>
      </rPr>
      <t>f</t>
    </r>
  </si>
  <si>
    <t>Gasket Data</t>
  </si>
  <si>
    <t>Gasket Effective Width, b</t>
  </si>
  <si>
    <t>Gasket Pressure Ratio, m</t>
  </si>
  <si>
    <t>Bending Moments</t>
  </si>
  <si>
    <t xml:space="preserve">Bending Moment limited by the load which the bolting applies to the gasket to enable it to </t>
  </si>
  <si>
    <r>
      <t>M</t>
    </r>
    <r>
      <rPr>
        <vertAlign val="subscript"/>
        <sz val="10"/>
        <color theme="1"/>
        <rFont val="Calibri"/>
        <family val="2"/>
        <scheme val="minor"/>
      </rPr>
      <t>b</t>
    </r>
  </si>
  <si>
    <t>Bending Moment limited by the load which the bolting applies to the gasket tending to</t>
  </si>
  <si>
    <t>Flange Leakage Check</t>
  </si>
  <si>
    <t>resist the pressure :</t>
  </si>
  <si>
    <t>cause it to crush :</t>
  </si>
  <si>
    <t>1.1</t>
  </si>
  <si>
    <t>Temperature Column</t>
  </si>
  <si>
    <t>Material Group Row</t>
  </si>
  <si>
    <t>Bending Moment should be limited to :</t>
  </si>
  <si>
    <t>≤</t>
  </si>
  <si>
    <r>
      <t>Total Area of bolts, A</t>
    </r>
    <r>
      <rPr>
        <vertAlign val="subscript"/>
        <sz val="10"/>
        <color theme="1"/>
        <rFont val="Calibri"/>
        <family val="2"/>
        <scheme val="minor"/>
      </rPr>
      <t>B</t>
    </r>
  </si>
  <si>
    <r>
      <t>Operating Bolt Stress, S</t>
    </r>
    <r>
      <rPr>
        <vertAlign val="subscript"/>
        <sz val="10"/>
        <color theme="1"/>
        <rFont val="Calibri"/>
        <family val="2"/>
        <scheme val="minor"/>
      </rPr>
      <t>op</t>
    </r>
  </si>
  <si>
    <r>
      <t>C</t>
    </r>
    <r>
      <rPr>
        <vertAlign val="subscript"/>
        <sz val="10"/>
        <color theme="1"/>
        <rFont val="Calibri"/>
        <family val="2"/>
        <scheme val="minor"/>
      </rPr>
      <t>f</t>
    </r>
    <r>
      <rPr>
        <sz val="10"/>
        <color theme="1"/>
        <rFont val="Calibri"/>
        <family val="2"/>
        <scheme val="minor"/>
      </rPr>
      <t xml:space="preserve"> </t>
    </r>
    <r>
      <rPr>
        <sz val="10"/>
        <color theme="1"/>
        <rFont val="Calibri"/>
        <family val="2"/>
      </rPr>
      <t>· ( G · A</t>
    </r>
    <r>
      <rPr>
        <vertAlign val="subscript"/>
        <sz val="10"/>
        <color theme="1"/>
        <rFont val="Calibri"/>
        <family val="2"/>
      </rPr>
      <t>B</t>
    </r>
    <r>
      <rPr>
        <sz val="10"/>
        <color theme="1"/>
        <rFont val="Calibri"/>
        <family val="2"/>
      </rPr>
      <t xml:space="preserve"> · S</t>
    </r>
    <r>
      <rPr>
        <vertAlign val="subscript"/>
        <sz val="10"/>
        <color theme="1"/>
        <rFont val="Calibri"/>
        <family val="2"/>
      </rPr>
      <t>op</t>
    </r>
    <r>
      <rPr>
        <sz val="10"/>
        <color theme="1"/>
        <rFont val="Calibri"/>
        <family val="2"/>
      </rPr>
      <t xml:space="preserve"> / 4 - p · π · G² / 2 · ( G / 8 + b · m ) )</t>
    </r>
  </si>
  <si>
    <t>Notes</t>
  </si>
  <si>
    <t>Gasket Seating Stress, y</t>
  </si>
  <si>
    <t>PCD</t>
  </si>
  <si>
    <t>Gasket Width, n</t>
  </si>
  <si>
    <t>Bolt Load Factor, 1/K</t>
  </si>
  <si>
    <t>iii)</t>
  </si>
  <si>
    <r>
      <t>p</t>
    </r>
    <r>
      <rPr>
        <vertAlign val="subscript"/>
        <sz val="10"/>
        <color theme="1"/>
        <rFont val="Calibri"/>
        <family val="2"/>
      </rPr>
      <t>0</t>
    </r>
    <r>
      <rPr>
        <sz val="10"/>
        <color theme="1"/>
        <rFont val="Calibri"/>
        <family val="2"/>
      </rPr>
      <t xml:space="preserve"> · π · G³ / 16 + π · G² · y · n / 2 - G · A</t>
    </r>
    <r>
      <rPr>
        <vertAlign val="subscript"/>
        <sz val="10"/>
        <color theme="1"/>
        <rFont val="Calibri"/>
        <family val="2"/>
      </rPr>
      <t>B</t>
    </r>
    <r>
      <rPr>
        <sz val="10"/>
        <color theme="1"/>
        <rFont val="Calibri"/>
        <family val="2"/>
      </rPr>
      <t xml:space="preserve"> · S</t>
    </r>
    <r>
      <rPr>
        <vertAlign val="subscript"/>
        <sz val="10"/>
        <color theme="1"/>
        <rFont val="Calibri"/>
        <family val="2"/>
      </rPr>
      <t>op</t>
    </r>
    <r>
      <rPr>
        <sz val="10"/>
        <color theme="1"/>
        <rFont val="Calibri"/>
        <family val="2"/>
      </rPr>
      <t xml:space="preserve"> / 4</t>
    </r>
  </si>
  <si>
    <r>
      <t>Bending Moment causing gasket to crush is based upon initial bolting when pressure, p</t>
    </r>
    <r>
      <rPr>
        <vertAlign val="subscript"/>
        <sz val="8"/>
        <color theme="1"/>
        <rFont val="Calibri"/>
        <family val="2"/>
        <scheme val="minor"/>
      </rPr>
      <t>0</t>
    </r>
    <r>
      <rPr>
        <sz val="8"/>
        <color theme="1"/>
        <rFont val="Calibri"/>
        <family val="2"/>
        <scheme val="minor"/>
      </rPr>
      <t>, is zero.</t>
    </r>
  </si>
  <si>
    <t>Pipe Wall Schedule</t>
  </si>
  <si>
    <t>Nominal Pipe Wall Thickness, t</t>
  </si>
  <si>
    <r>
      <t>Number of bolts, n</t>
    </r>
    <r>
      <rPr>
        <vertAlign val="subscript"/>
        <sz val="10"/>
        <color theme="1"/>
        <rFont val="Calibri"/>
        <family val="2"/>
        <scheme val="minor"/>
      </rPr>
      <t>B</t>
    </r>
  </si>
  <si>
    <r>
      <t>Size of bolt, d</t>
    </r>
    <r>
      <rPr>
        <vertAlign val="subscript"/>
        <sz val="10"/>
        <color theme="1"/>
        <rFont val="Calibri"/>
        <family val="2"/>
        <scheme val="minor"/>
      </rPr>
      <t>b</t>
    </r>
  </si>
  <si>
    <t>iv)</t>
  </si>
  <si>
    <t>This method has been used to allow the determination of allowable bending moments for flanges using 'Low Stress Type' minimum seating stress gaskets.</t>
  </si>
  <si>
    <t>This Flange Leakage Check utilises RG Blick's formulae derived in his paper entitled 'Bending Moments and Leakage at Flanged Joints' published in the Petroleum Refiner, Volume 29, 1953.</t>
  </si>
  <si>
    <t>A correction factor has been used to compensate for the unequal distribution of the stress across the gasket due to the bolts.  This was based upon WP Kerkhof's paper entitled 'New Stress Calculations and Temperature Curves for Integral Flanges' published at the Third World Petroleum Congress The Hague, 1951.</t>
  </si>
  <si>
    <t>Formula (6) and Formula (7) from Blick's paper have been used to determine the limiting bending moments, but have been corrected for changes in Bolt-Load by utilising the factor 1/K as detailed in Blick's paper.</t>
  </si>
  <si>
    <t>For flanges with 4 bolts a correction factor of 0.5 has been used, for flanges with 8 bolts a factor of 0.8 has been used and for all other flanges a factor of 1 has been used.</t>
  </si>
  <si>
    <t>References:</t>
  </si>
  <si>
    <t>'New Stress Calculations and Temperature Curves for Integral Flanges' by WP Kerkhof, Third World Petroleum Congress, The Hague, 1951.</t>
  </si>
  <si>
    <r>
      <t>Bolt Load Factor based upon L</t>
    </r>
    <r>
      <rPr>
        <vertAlign val="subscript"/>
        <sz val="8"/>
        <color theme="1"/>
        <rFont val="Calibri"/>
        <family val="2"/>
        <scheme val="minor"/>
      </rPr>
      <t>2</t>
    </r>
    <r>
      <rPr>
        <sz val="8"/>
        <color theme="1"/>
        <rFont val="Calibri"/>
        <family val="2"/>
        <scheme val="minor"/>
      </rPr>
      <t>/L</t>
    </r>
    <r>
      <rPr>
        <vertAlign val="subscript"/>
        <sz val="8"/>
        <color theme="1"/>
        <rFont val="Calibri"/>
        <family val="2"/>
        <scheme val="minor"/>
      </rPr>
      <t>1</t>
    </r>
    <r>
      <rPr>
        <sz val="8"/>
        <color theme="1"/>
        <rFont val="Calibri"/>
        <family val="2"/>
        <scheme val="minor"/>
      </rPr>
      <t>, Reference i).  (G-(OD-t))/(PCD-G)/2</t>
    </r>
  </si>
  <si>
    <t>v)</t>
  </si>
  <si>
    <t>Reference i), Formula (6).</t>
  </si>
  <si>
    <t>Reference i), Formula (7).</t>
  </si>
  <si>
    <t>'The Ring Joint - its relative merit and application' by EC Petrie, Heating Piping and Air Conditioning, April 1937.</t>
  </si>
  <si>
    <r>
      <t>The Initial Bolt Stress is determined using the Petrie formula</t>
    </r>
    <r>
      <rPr>
        <vertAlign val="superscript"/>
        <sz val="10"/>
        <color rgb="FF000000"/>
        <rFont val="Calibri"/>
        <family val="2"/>
        <scheme val="minor"/>
      </rPr>
      <t>[iii)]</t>
    </r>
    <r>
      <rPr>
        <sz val="11"/>
        <color rgb="FF000000"/>
        <rFont val="Calibri"/>
        <family val="2"/>
        <scheme val="minor"/>
      </rPr>
      <t xml:space="preserve"> as detailed in ASME VIII Appendix S.  Research has shown that manual bolt tightening can vary as much as </t>
    </r>
    <r>
      <rPr>
        <sz val="11"/>
        <color rgb="FF000000"/>
        <rFont val="Calibri"/>
        <family val="2"/>
      </rPr>
      <t>±50% and a more realistic formula would be 45000/D</t>
    </r>
    <r>
      <rPr>
        <vertAlign val="subscript"/>
        <sz val="11"/>
        <color rgb="FF000000"/>
        <rFont val="Calibri"/>
        <family val="2"/>
      </rPr>
      <t>b</t>
    </r>
    <r>
      <rPr>
        <sz val="11"/>
        <color rgb="FF000000"/>
        <rFont val="Calibri"/>
        <family val="2"/>
      </rPr>
      <t>.  However it is considered that the original formula will give more conservative results and has been used for this calculation.</t>
    </r>
  </si>
  <si>
    <t>If the Axial Force is tensile across the flange then the Design Pressure has to be increased to compensate by converting the force to an equivalent pressure.</t>
  </si>
  <si>
    <r>
      <t>Initial Bolt Stress based upon Petrie formula 45000/</t>
    </r>
    <r>
      <rPr>
        <sz val="8"/>
        <color theme="1"/>
        <rFont val="Calibri"/>
        <family val="2"/>
      </rPr>
      <t>√d</t>
    </r>
    <r>
      <rPr>
        <vertAlign val="subscript"/>
        <sz val="8"/>
        <color theme="1"/>
        <rFont val="Calibri"/>
        <family val="2"/>
      </rPr>
      <t>b</t>
    </r>
    <r>
      <rPr>
        <sz val="8"/>
        <color theme="1"/>
        <rFont val="Calibri"/>
        <family val="2"/>
      </rPr>
      <t>, Reference iii).</t>
    </r>
  </si>
  <si>
    <r>
      <t>Axial Force, F</t>
    </r>
    <r>
      <rPr>
        <vertAlign val="subscript"/>
        <sz val="10"/>
        <color theme="1"/>
        <rFont val="Calibri"/>
        <family val="2"/>
        <scheme val="minor"/>
      </rPr>
      <t>A</t>
    </r>
  </si>
  <si>
    <r>
      <t>Design Pressure, p</t>
    </r>
    <r>
      <rPr>
        <vertAlign val="subscript"/>
        <sz val="10"/>
        <color theme="1"/>
        <rFont val="Calibri"/>
        <family val="2"/>
        <scheme val="minor"/>
      </rPr>
      <t>D</t>
    </r>
  </si>
  <si>
    <t>Equivalent Pressure, p</t>
  </si>
  <si>
    <r>
      <t>Rating Pressure at Ambient Temp, p</t>
    </r>
    <r>
      <rPr>
        <vertAlign val="subscript"/>
        <sz val="10"/>
        <color theme="1"/>
        <rFont val="Calibri"/>
        <family val="2"/>
        <scheme val="minor"/>
      </rPr>
      <t>Ra</t>
    </r>
  </si>
  <si>
    <r>
      <t>Rating Pressure at Design Temp, p</t>
    </r>
    <r>
      <rPr>
        <vertAlign val="subscript"/>
        <sz val="10"/>
        <color theme="1"/>
        <rFont val="Calibri"/>
        <family val="2"/>
        <scheme val="minor"/>
      </rPr>
      <t>Rt</t>
    </r>
  </si>
  <si>
    <t>A factor of safety of 0.75 has been used to determine the Operating Bolt Stress.</t>
  </si>
  <si>
    <t>1.11</t>
  </si>
  <si>
    <t>1.17</t>
  </si>
  <si>
    <t>1.18</t>
  </si>
  <si>
    <t>1.19</t>
  </si>
  <si>
    <t>1.15</t>
  </si>
  <si>
    <t>1.01</t>
  </si>
  <si>
    <t>1.02</t>
  </si>
  <si>
    <t>1.03</t>
  </si>
  <si>
    <t>1.04</t>
  </si>
  <si>
    <t>1.05</t>
  </si>
  <si>
    <t>1.07</t>
  </si>
  <si>
    <t>1.09</t>
  </si>
  <si>
    <t>2.8</t>
  </si>
  <si>
    <t>2.9</t>
  </si>
  <si>
    <t>2.10</t>
  </si>
  <si>
    <t>2.11</t>
  </si>
  <si>
    <t>2.12</t>
  </si>
  <si>
    <t>2.01</t>
  </si>
  <si>
    <t>2.02</t>
  </si>
  <si>
    <t>2.03</t>
  </si>
  <si>
    <t>2.04</t>
  </si>
  <si>
    <t>2.05</t>
  </si>
  <si>
    <t>2.06</t>
  </si>
  <si>
    <t>2.07</t>
  </si>
  <si>
    <t>2.08</t>
  </si>
  <si>
    <t>2.09</t>
  </si>
  <si>
    <t>3.17</t>
  </si>
  <si>
    <t>3.19</t>
  </si>
  <si>
    <t>3.01</t>
  </si>
  <si>
    <t>3.02</t>
  </si>
  <si>
    <t>3.03</t>
  </si>
  <si>
    <t>3.04</t>
  </si>
  <si>
    <t>3.05</t>
  </si>
  <si>
    <t>3.06</t>
  </si>
  <si>
    <t>3.07</t>
  </si>
  <si>
    <t>3.08</t>
  </si>
  <si>
    <t>3.09</t>
  </si>
  <si>
    <t>ASME B16.5 - 2009</t>
  </si>
  <si>
    <t>Updated December 2012 &amp; checked CNW December 2012 to data in this code :</t>
  </si>
  <si>
    <t>This method only checks the Flange Leakage.  It does not check the stresses within the body of the flange.</t>
  </si>
  <si>
    <t>FPF1-HC-008</t>
  </si>
  <si>
    <t>Spec</t>
  </si>
  <si>
    <t>Pipe Material</t>
  </si>
  <si>
    <t>Flange Material</t>
  </si>
  <si>
    <t>Material Group</t>
  </si>
  <si>
    <t>Corrosion Allowance</t>
  </si>
  <si>
    <t>Pipe Schedule</t>
  </si>
  <si>
    <t>NB</t>
  </si>
  <si>
    <t>A1A</t>
  </si>
  <si>
    <t>ASTM A105N</t>
  </si>
  <si>
    <t>A1B</t>
  </si>
  <si>
    <t>A3A</t>
  </si>
  <si>
    <t>A3B</t>
  </si>
  <si>
    <t>A15A</t>
  </si>
  <si>
    <t>B1A</t>
  </si>
  <si>
    <t>B3A</t>
  </si>
  <si>
    <t>B6A</t>
  </si>
  <si>
    <t>B6B</t>
  </si>
  <si>
    <t>B9A</t>
  </si>
  <si>
    <t>B15A</t>
  </si>
  <si>
    <t>B25A</t>
  </si>
  <si>
    <t>D1A</t>
  </si>
  <si>
    <t>ASTM A350 LF2 CL 1</t>
  </si>
  <si>
    <t>D3A</t>
  </si>
  <si>
    <t>D3B</t>
  </si>
  <si>
    <t>D6A</t>
  </si>
  <si>
    <t>D6B</t>
  </si>
  <si>
    <t>D9B</t>
  </si>
  <si>
    <t>D15B</t>
  </si>
  <si>
    <t>D15C</t>
  </si>
  <si>
    <t>D25B</t>
  </si>
  <si>
    <t>G1C</t>
  </si>
  <si>
    <t>S1A</t>
  </si>
  <si>
    <t>ASTM A182 F316/316L</t>
  </si>
  <si>
    <t>S1B</t>
  </si>
  <si>
    <t>ASTM A182 F53 UNS S32750</t>
  </si>
  <si>
    <t>S1C</t>
  </si>
  <si>
    <t>ASTM A182 F51</t>
  </si>
  <si>
    <t>S1D</t>
  </si>
  <si>
    <t>S3A</t>
  </si>
  <si>
    <t>S3B</t>
  </si>
  <si>
    <t>S3C</t>
  </si>
  <si>
    <t>S6A</t>
  </si>
  <si>
    <t>S6B</t>
  </si>
  <si>
    <t>S9A</t>
  </si>
  <si>
    <t>S15A</t>
  </si>
  <si>
    <t>S25A</t>
  </si>
  <si>
    <t>S25B</t>
  </si>
  <si>
    <t>S100B</t>
  </si>
  <si>
    <t>API 10,000</t>
  </si>
  <si>
    <t>T1A</t>
  </si>
  <si>
    <t>ASTM B381 F2</t>
  </si>
  <si>
    <t>X1A</t>
  </si>
  <si>
    <t>90/10 Cu/Ni Stub End</t>
  </si>
  <si>
    <t>ASTM A105N-HDG Back. Flg.</t>
  </si>
  <si>
    <t>Class</t>
  </si>
  <si>
    <t>0</t>
  </si>
  <si>
    <t>Pipe Material Class</t>
  </si>
  <si>
    <t>C</t>
  </si>
  <si>
    <t>Design Press</t>
  </si>
  <si>
    <t>Bending Moment, M</t>
  </si>
  <si>
    <t>E</t>
  </si>
  <si>
    <t>Design Temp</t>
  </si>
</sst>
</file>

<file path=xl/styles.xml><?xml version="1.0" encoding="utf-8"?>
<styleSheet xmlns="http://schemas.openxmlformats.org/spreadsheetml/2006/main" xmlns:mc="http://schemas.openxmlformats.org/markup-compatibility/2006" xmlns:x14ac="http://schemas.microsoft.com/office/spreadsheetml/2009/9/ac" mc:Ignorable="x14ac">
  <numFmts count="24">
    <numFmt numFmtId="6" formatCode="&quot;£&quot;#,##0;[Red]\-&quot;£&quot;#,##0"/>
    <numFmt numFmtId="8" formatCode="&quot;£&quot;#,##0.00;[Red]\-&quot;£&quot;#,##0.00"/>
    <numFmt numFmtId="41" formatCode="_-* #,##0_-;\-* #,##0_-;_-* &quot;-&quot;_-;_-@_-"/>
    <numFmt numFmtId="43" formatCode="_-* #,##0.00_-;\-* #,##0.00_-;_-* &quot;-&quot;??_-;_-@_-"/>
    <numFmt numFmtId="164" formatCode="&quot;$&quot;#,##0_);[Red]\(&quot;$&quot;#,##0\)"/>
    <numFmt numFmtId="165" formatCode="&quot;$&quot;#,##0.00_);[Red]\(&quot;$&quot;#,##0.00\)"/>
    <numFmt numFmtId="166" formatCode="_(&quot;$&quot;* #,##0_);_(&quot;$&quot;* \(#,##0\);_(&quot;$&quot;* &quot;-&quot;_);_(@_)"/>
    <numFmt numFmtId="167" formatCode="#,##0.00_);\(#,##0.00\);&quot;- &quot;"/>
    <numFmt numFmtId="168" formatCode="&quot;$&quot;#,##0.0000_);\(&quot;$&quot;#,##0.0000\)"/>
    <numFmt numFmtId="169" formatCode="&quot;$&quot;\ \ \ \ \ #,##0_);\(&quot;$&quot;\ \ \ \ #,##0\)"/>
    <numFmt numFmtId="170" formatCode="_(&quot;$&quot;* #,##0.00_);_(&quot;$&quot;* \(#,##0.00\);_(&quot;$&quot;* &quot;-&quot;_);_(@_)"/>
    <numFmt numFmtId="171" formatCode="#,##0.0_);\(#,##0.0\)"/>
    <numFmt numFmtId="172" formatCode="_-* #,##0\ _F_-;\-* #,##0\ _F_-;_-* &quot;-&quot;\ _F_-;_-@_-"/>
    <numFmt numFmtId="173" formatCode="_-* #,##0.00\ _F_-;\-* #,##0.00\ _F_-;_-* &quot;-&quot;??\ _F_-;_-@_-"/>
    <numFmt numFmtId="174" formatCode="_-* #,##0\ &quot;F&quot;_-;\-* #,##0\ &quot;F&quot;_-;_-* &quot;-&quot;\ &quot;F&quot;_-;_-@_-"/>
    <numFmt numFmtId="175" formatCode="_-* #,##0.00\ &quot;F&quot;_-;\-* #,##0.00\ &quot;F&quot;_-;_-* &quot;-&quot;??\ &quot;F&quot;_-;_-@_-"/>
    <numFmt numFmtId="176" formatCode="0.0"/>
    <numFmt numFmtId="177" formatCode="\ \ \ &quot;$&quot;\ \ \ \ \ \ \ #,##0_);\(&quot;$&quot;#,##0\)"/>
    <numFmt numFmtId="178" formatCode="&quot;$&quot;#,##0;\-&quot;$&quot;#,##0"/>
    <numFmt numFmtId="179" formatCode="mm/dd/yy"/>
    <numFmt numFmtId="180" formatCode="??,??0.??"/>
    <numFmt numFmtId="181" formatCode="[$-409]d\-mmm\-yy;@"/>
    <numFmt numFmtId="182" formatCode="0&quot;''&quot;;@&quot;''&quot;"/>
    <numFmt numFmtId="183" formatCode="0&quot;''&quot;"/>
  </numFmts>
  <fonts count="70">
    <font>
      <sz val="11"/>
      <color theme="1"/>
      <name val="Calibri"/>
      <family val="2"/>
      <scheme val="minor"/>
    </font>
    <font>
      <sz val="8"/>
      <color theme="1"/>
      <name val="Calibri"/>
      <family val="2"/>
      <scheme val="minor"/>
    </font>
    <font>
      <sz val="8"/>
      <color theme="1"/>
      <name val="Calibri"/>
      <family val="2"/>
      <scheme val="minor"/>
    </font>
    <font>
      <sz val="8"/>
      <color theme="1"/>
      <name val="Calibri"/>
      <family val="2"/>
      <scheme val="minor"/>
    </font>
    <font>
      <sz val="8"/>
      <color theme="1"/>
      <name val="Calibri"/>
      <family val="2"/>
      <scheme val="minor"/>
    </font>
    <font>
      <sz val="8"/>
      <color theme="1"/>
      <name val="Calibri"/>
      <family val="2"/>
      <scheme val="minor"/>
    </font>
    <font>
      <sz val="8"/>
      <color theme="1"/>
      <name val="Calibri"/>
      <family val="2"/>
      <scheme val="minor"/>
    </font>
    <font>
      <sz val="11"/>
      <color theme="1"/>
      <name val="Calibri"/>
      <family val="2"/>
      <scheme val="minor"/>
    </font>
    <font>
      <b/>
      <sz val="11"/>
      <color theme="1"/>
      <name val="Calibri"/>
      <family val="2"/>
      <scheme val="minor"/>
    </font>
    <font>
      <sz val="10"/>
      <name val="Arial"/>
      <family val="2"/>
    </font>
    <font>
      <sz val="10"/>
      <name val="MS Sans Serif"/>
      <family val="2"/>
    </font>
    <font>
      <sz val="7"/>
      <name val="Small Fonts"/>
      <family val="2"/>
    </font>
    <font>
      <sz val="14"/>
      <color indexed="8"/>
      <name val="Arial Narrow"/>
      <family val="2"/>
    </font>
    <font>
      <sz val="10"/>
      <color indexed="18"/>
      <name val="Arial"/>
      <family val="2"/>
    </font>
    <font>
      <b/>
      <sz val="14"/>
      <color indexed="8"/>
      <name val="Arial"/>
      <family val="2"/>
    </font>
    <font>
      <sz val="10"/>
      <name val="Times New Roman"/>
      <family val="1"/>
    </font>
    <font>
      <b/>
      <sz val="18"/>
      <color indexed="12"/>
      <name val="Arial Narrow"/>
      <family val="2"/>
    </font>
    <font>
      <sz val="16"/>
      <color indexed="12"/>
      <name val="Arial Narrow"/>
      <family val="2"/>
    </font>
    <font>
      <b/>
      <sz val="14"/>
      <color indexed="8"/>
      <name val="Arial Narrow"/>
      <family val="2"/>
    </font>
    <font>
      <b/>
      <sz val="12"/>
      <name val="Arial"/>
      <family val="2"/>
    </font>
    <font>
      <b/>
      <sz val="16"/>
      <name val="Arial"/>
      <family val="2"/>
    </font>
    <font>
      <b/>
      <sz val="20"/>
      <name val="Arial"/>
      <family val="2"/>
    </font>
    <font>
      <b/>
      <sz val="16"/>
      <color indexed="8"/>
      <name val="Arial Narrow"/>
      <family val="2"/>
    </font>
    <font>
      <b/>
      <sz val="12"/>
      <color indexed="18"/>
      <name val="Arial"/>
      <family val="2"/>
    </font>
    <font>
      <sz val="9"/>
      <name val="Arial"/>
      <family val="2"/>
    </font>
    <font>
      <sz val="16"/>
      <color indexed="8"/>
      <name val="Arial Narrow"/>
      <family val="2"/>
    </font>
    <font>
      <sz val="14"/>
      <name val="Arial"/>
      <family val="2"/>
    </font>
    <font>
      <sz val="12"/>
      <color indexed="18"/>
      <name val="Arial"/>
      <family val="2"/>
    </font>
    <font>
      <sz val="8"/>
      <name val="Arial"/>
      <family val="2"/>
    </font>
    <font>
      <b/>
      <sz val="10"/>
      <name val="Arial"/>
      <family val="2"/>
    </font>
    <font>
      <sz val="10"/>
      <color indexed="8"/>
      <name val="Times New Roman"/>
      <family val="1"/>
    </font>
    <font>
      <sz val="8"/>
      <name val="Times New Roman"/>
      <family val="1"/>
    </font>
    <font>
      <b/>
      <sz val="14"/>
      <name val="Arial"/>
      <family val="2"/>
    </font>
    <font>
      <sz val="10"/>
      <name val="MS Serif"/>
      <family val="1"/>
    </font>
    <font>
      <sz val="10"/>
      <name val="Courier"/>
      <family val="3"/>
    </font>
    <font>
      <b/>
      <sz val="10"/>
      <name val="Times New Roman"/>
      <family val="1"/>
    </font>
    <font>
      <sz val="8"/>
      <color indexed="18"/>
      <name val="Arial"/>
      <family val="2"/>
    </font>
    <font>
      <b/>
      <sz val="10"/>
      <color indexed="18"/>
      <name val="Arial"/>
      <family val="2"/>
    </font>
    <font>
      <sz val="10"/>
      <color indexed="16"/>
      <name val="MS Serif"/>
      <family val="1"/>
    </font>
    <font>
      <sz val="12"/>
      <name val="Helv"/>
    </font>
    <font>
      <sz val="12"/>
      <color indexed="9"/>
      <name val="Helv"/>
    </font>
    <font>
      <b/>
      <sz val="14"/>
      <color indexed="17"/>
      <name val="Arial"/>
      <family val="2"/>
    </font>
    <font>
      <sz val="18"/>
      <color indexed="14"/>
      <name val="Arial"/>
      <family val="2"/>
    </font>
    <font>
      <sz val="10"/>
      <name val="Tms Rmn"/>
    </font>
    <font>
      <sz val="8"/>
      <name val="Helv"/>
    </font>
    <font>
      <sz val="8"/>
      <name val="Arial MT"/>
    </font>
    <font>
      <b/>
      <sz val="8"/>
      <color indexed="8"/>
      <name val="Helv"/>
    </font>
    <font>
      <b/>
      <sz val="16"/>
      <color indexed="17"/>
      <name val="Arial"/>
      <family val="2"/>
    </font>
    <font>
      <sz val="10"/>
      <color theme="1"/>
      <name val="Calibri"/>
      <family val="2"/>
      <scheme val="minor"/>
    </font>
    <font>
      <sz val="10"/>
      <name val="Calibri"/>
      <family val="2"/>
      <scheme val="minor"/>
    </font>
    <font>
      <sz val="11"/>
      <color theme="1"/>
      <name val="Calibri"/>
      <family val="2"/>
    </font>
    <font>
      <sz val="11"/>
      <color rgb="FF000000"/>
      <name val="Calibri"/>
      <family val="2"/>
      <scheme val="minor"/>
    </font>
    <font>
      <b/>
      <i/>
      <sz val="10"/>
      <name val="Arial"/>
      <family val="2"/>
    </font>
    <font>
      <sz val="10"/>
      <name val="Calibri"/>
      <family val="2"/>
    </font>
    <font>
      <vertAlign val="subscript"/>
      <sz val="8"/>
      <color theme="1"/>
      <name val="Calibri"/>
      <family val="2"/>
      <scheme val="minor"/>
    </font>
    <font>
      <sz val="8"/>
      <name val="Arial"/>
      <family val="2"/>
    </font>
    <font>
      <sz val="10"/>
      <name val="Arial"/>
      <family val="2"/>
    </font>
    <font>
      <sz val="8"/>
      <name val="Calibri"/>
      <family val="2"/>
      <scheme val="minor"/>
    </font>
    <font>
      <b/>
      <u/>
      <sz val="10"/>
      <color theme="1"/>
      <name val="Calibri"/>
      <family val="2"/>
      <scheme val="minor"/>
    </font>
    <font>
      <vertAlign val="subscript"/>
      <sz val="10"/>
      <color theme="1"/>
      <name val="Calibri"/>
      <family val="2"/>
      <scheme val="minor"/>
    </font>
    <font>
      <u/>
      <sz val="10"/>
      <name val="Arial"/>
      <family val="2"/>
    </font>
    <font>
      <sz val="10"/>
      <color theme="1"/>
      <name val="Calibri"/>
      <family val="2"/>
    </font>
    <font>
      <vertAlign val="subscript"/>
      <sz val="10"/>
      <color theme="1"/>
      <name val="Calibri"/>
      <family val="2"/>
    </font>
    <font>
      <sz val="8"/>
      <color theme="1"/>
      <name val="Calibri"/>
      <family val="2"/>
    </font>
    <font>
      <vertAlign val="subscript"/>
      <sz val="8"/>
      <color theme="1"/>
      <name val="Calibri"/>
      <family val="2"/>
    </font>
    <font>
      <sz val="11"/>
      <color rgb="FF000000"/>
      <name val="Calibri"/>
      <family val="2"/>
    </font>
    <font>
      <vertAlign val="subscript"/>
      <sz val="11"/>
      <color rgb="FF000000"/>
      <name val="Calibri"/>
      <family val="2"/>
    </font>
    <font>
      <b/>
      <u/>
      <sz val="11"/>
      <color theme="1"/>
      <name val="Calibri"/>
      <family val="2"/>
      <scheme val="minor"/>
    </font>
    <font>
      <vertAlign val="superscript"/>
      <sz val="10"/>
      <color rgb="FF000000"/>
      <name val="Calibri"/>
      <family val="2"/>
      <scheme val="minor"/>
    </font>
    <font>
      <sz val="8"/>
      <color theme="0"/>
      <name val="Calibri"/>
      <family val="2"/>
      <scheme val="minor"/>
    </font>
  </fonts>
  <fills count="11">
    <fill>
      <patternFill patternType="none"/>
    </fill>
    <fill>
      <patternFill patternType="gray125"/>
    </fill>
    <fill>
      <patternFill patternType="solid">
        <fgColor indexed="43"/>
        <bgColor indexed="64"/>
      </patternFill>
    </fill>
    <fill>
      <patternFill patternType="solid">
        <fgColor indexed="26"/>
        <bgColor indexed="64"/>
      </patternFill>
    </fill>
    <fill>
      <patternFill patternType="solid">
        <fgColor indexed="22"/>
        <bgColor indexed="64"/>
      </patternFill>
    </fill>
    <fill>
      <patternFill patternType="solid">
        <fgColor indexed="15"/>
      </patternFill>
    </fill>
    <fill>
      <patternFill patternType="solid">
        <fgColor indexed="12"/>
      </patternFill>
    </fill>
    <fill>
      <patternFill patternType="solid">
        <fgColor indexed="9"/>
        <bgColor indexed="64"/>
      </patternFill>
    </fill>
    <fill>
      <patternFill patternType="solid">
        <fgColor rgb="FFFFFFCC"/>
        <bgColor indexed="64"/>
      </patternFill>
    </fill>
    <fill>
      <patternFill patternType="solid">
        <fgColor indexed="41"/>
        <bgColor indexed="64"/>
      </patternFill>
    </fill>
    <fill>
      <patternFill patternType="solid">
        <fgColor indexed="13"/>
        <bgColor indexed="64"/>
      </patternFill>
    </fill>
  </fills>
  <borders count="99">
    <border>
      <left/>
      <right/>
      <top/>
      <bottom/>
      <diagonal/>
    </border>
    <border>
      <left style="thin">
        <color indexed="64"/>
      </left>
      <right/>
      <top/>
      <bottom/>
      <diagonal/>
    </border>
    <border>
      <left/>
      <right/>
      <top/>
      <bottom style="hair">
        <color indexed="64"/>
      </bottom>
      <diagonal/>
    </border>
    <border>
      <left style="thick">
        <color indexed="64"/>
      </left>
      <right style="thin">
        <color indexed="64"/>
      </right>
      <top/>
      <bottom/>
      <diagonal/>
    </border>
    <border>
      <left style="thick">
        <color indexed="64"/>
      </left>
      <right/>
      <top/>
      <bottom/>
      <diagonal/>
    </border>
    <border>
      <left style="thin">
        <color indexed="64"/>
      </left>
      <right/>
      <top/>
      <bottom style="thin">
        <color indexed="64"/>
      </bottom>
      <diagonal/>
    </border>
    <border>
      <left/>
      <right style="medium">
        <color indexed="64"/>
      </right>
      <top/>
      <bottom/>
      <diagonal/>
    </border>
    <border>
      <left style="thick">
        <color indexed="64"/>
      </left>
      <right style="thick">
        <color indexed="64"/>
      </right>
      <top style="thick">
        <color indexed="64"/>
      </top>
      <bottom/>
      <diagonal/>
    </border>
    <border>
      <left style="thick">
        <color indexed="64"/>
      </left>
      <right/>
      <top style="medium">
        <color indexed="64"/>
      </top>
      <bottom style="medium">
        <color indexed="64"/>
      </bottom>
      <diagonal/>
    </border>
    <border>
      <left style="thick">
        <color indexed="64"/>
      </left>
      <right style="thin">
        <color indexed="64"/>
      </right>
      <top/>
      <bottom style="thin">
        <color indexed="64"/>
      </bottom>
      <diagonal/>
    </border>
    <border>
      <left/>
      <right/>
      <top style="hair">
        <color indexed="64"/>
      </top>
      <bottom style="hair">
        <color indexed="64"/>
      </bottom>
      <diagonal/>
    </border>
    <border>
      <left style="thick">
        <color indexed="64"/>
      </left>
      <right/>
      <top style="thick">
        <color indexed="64"/>
      </top>
      <bottom style="double">
        <color indexed="64"/>
      </bottom>
      <diagonal/>
    </border>
    <border>
      <left/>
      <right/>
      <top style="thick">
        <color indexed="64"/>
      </top>
      <bottom style="double">
        <color indexed="64"/>
      </bottom>
      <diagonal/>
    </border>
    <border>
      <left/>
      <right/>
      <top style="medium">
        <color indexed="64"/>
      </top>
      <bottom style="medium">
        <color indexed="64"/>
      </bottom>
      <diagonal/>
    </border>
    <border>
      <left style="thick">
        <color indexed="64"/>
      </left>
      <right/>
      <top style="thick">
        <color indexed="64"/>
      </top>
      <bottom style="thin">
        <color indexed="64"/>
      </bottom>
      <diagonal/>
    </border>
    <border>
      <left style="medium">
        <color indexed="64"/>
      </left>
      <right style="thick">
        <color indexed="64"/>
      </right>
      <top/>
      <bottom style="thin">
        <color indexed="64"/>
      </bottom>
      <diagonal/>
    </border>
    <border>
      <left style="medium">
        <color indexed="64"/>
      </left>
      <right/>
      <top/>
      <bottom/>
      <diagonal/>
    </border>
    <border>
      <left/>
      <right/>
      <top style="thin">
        <color indexed="64"/>
      </top>
      <bottom style="thin">
        <color indexed="64"/>
      </bottom>
      <diagonal/>
    </border>
    <border>
      <left style="thin">
        <color indexed="64"/>
      </left>
      <right/>
      <top style="hair">
        <color indexed="64"/>
      </top>
      <bottom style="hair">
        <color indexed="64"/>
      </bottom>
      <diagonal/>
    </border>
    <border>
      <left/>
      <right style="hair">
        <color indexed="64"/>
      </right>
      <top style="hair">
        <color indexed="64"/>
      </top>
      <bottom style="hair">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thick">
        <color indexed="8"/>
      </left>
      <right/>
      <top style="thick">
        <color indexed="8"/>
      </top>
      <bottom/>
      <diagonal/>
    </border>
    <border>
      <left/>
      <right/>
      <top/>
      <bottom style="double">
        <color indexed="8"/>
      </bottom>
      <diagonal/>
    </border>
    <border>
      <left style="thick">
        <color indexed="64"/>
      </left>
      <right/>
      <top style="hair">
        <color indexed="64"/>
      </top>
      <bottom style="hair">
        <color indexed="64"/>
      </bottom>
      <diagonal/>
    </border>
    <border>
      <left/>
      <right/>
      <top style="thick">
        <color indexed="64"/>
      </top>
      <bottom style="thin">
        <color indexed="64"/>
      </bottom>
      <diagonal/>
    </border>
    <border>
      <left style="thick">
        <color indexed="64"/>
      </left>
      <right/>
      <top style="double">
        <color indexed="64"/>
      </top>
      <bottom style="hair">
        <color indexed="64"/>
      </bottom>
      <diagonal/>
    </border>
    <border>
      <left/>
      <right/>
      <top style="thick">
        <color indexed="64"/>
      </top>
      <bottom style="hair">
        <color indexed="64"/>
      </bottom>
      <diagonal/>
    </border>
    <border>
      <left/>
      <right style="thin">
        <color indexed="64"/>
      </right>
      <top/>
      <bottom style="hair">
        <color indexed="64"/>
      </bottom>
      <diagonal/>
    </border>
    <border>
      <left/>
      <right style="thick">
        <color indexed="64"/>
      </right>
      <top/>
      <bottom style="hair">
        <color indexed="64"/>
      </bottom>
      <diagonal/>
    </border>
    <border>
      <left/>
      <right/>
      <top style="double">
        <color indexed="64"/>
      </top>
      <bottom style="hair">
        <color indexed="64"/>
      </bottom>
      <diagonal/>
    </border>
    <border>
      <left/>
      <right style="thick">
        <color indexed="64"/>
      </right>
      <top style="double">
        <color indexed="64"/>
      </top>
      <bottom style="hair">
        <color indexed="64"/>
      </bottom>
      <diagonal/>
    </border>
    <border>
      <left/>
      <right/>
      <top style="medium">
        <color indexed="64"/>
      </top>
      <bottom style="thin">
        <color auto="1"/>
      </bottom>
      <diagonal/>
    </border>
    <border>
      <left style="medium">
        <color auto="1"/>
      </left>
      <right/>
      <top style="medium">
        <color indexed="64"/>
      </top>
      <bottom style="thin">
        <color auto="1"/>
      </bottom>
      <diagonal/>
    </border>
    <border>
      <left/>
      <right style="medium">
        <color auto="1"/>
      </right>
      <top style="medium">
        <color indexed="64"/>
      </top>
      <bottom style="thin">
        <color auto="1"/>
      </bottom>
      <diagonal/>
    </border>
    <border>
      <left style="thin">
        <color auto="1"/>
      </left>
      <right/>
      <top style="medium">
        <color indexed="64"/>
      </top>
      <bottom style="thin">
        <color auto="1"/>
      </bottom>
      <diagonal/>
    </border>
    <border>
      <left/>
      <right style="thin">
        <color auto="1"/>
      </right>
      <top style="medium">
        <color indexed="64"/>
      </top>
      <bottom style="thin">
        <color auto="1"/>
      </bottom>
      <diagonal/>
    </border>
    <border>
      <left/>
      <right/>
      <top style="thin">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double">
        <color indexed="64"/>
      </bottom>
      <diagonal/>
    </border>
    <border>
      <left style="medium">
        <color indexed="64"/>
      </left>
      <right style="double">
        <color indexed="64"/>
      </right>
      <top style="medium">
        <color indexed="64"/>
      </top>
      <bottom style="double">
        <color indexed="64"/>
      </bottom>
      <diagonal/>
    </border>
    <border>
      <left style="double">
        <color indexed="64"/>
      </left>
      <right style="thin">
        <color indexed="64"/>
      </right>
      <top style="medium">
        <color indexed="64"/>
      </top>
      <bottom style="double">
        <color indexed="64"/>
      </bottom>
      <diagonal/>
    </border>
    <border>
      <left/>
      <right style="thin">
        <color indexed="64"/>
      </right>
      <top style="medium">
        <color indexed="64"/>
      </top>
      <bottom style="double">
        <color indexed="64"/>
      </bottom>
      <diagonal/>
    </border>
    <border>
      <left style="thin">
        <color indexed="64"/>
      </left>
      <right style="thin">
        <color indexed="64"/>
      </right>
      <top style="medium">
        <color indexed="64"/>
      </top>
      <bottom style="double">
        <color indexed="64"/>
      </bottom>
      <diagonal/>
    </border>
    <border>
      <left style="thin">
        <color indexed="64"/>
      </left>
      <right style="medium">
        <color indexed="64"/>
      </right>
      <top style="medium">
        <color indexed="64"/>
      </top>
      <bottom style="double">
        <color indexed="64"/>
      </bottom>
      <diagonal/>
    </border>
    <border>
      <left style="medium">
        <color indexed="64"/>
      </left>
      <right style="medium">
        <color indexed="64"/>
      </right>
      <top/>
      <bottom style="thin">
        <color indexed="64"/>
      </bottom>
      <diagonal/>
    </border>
    <border>
      <left style="medium">
        <color indexed="64"/>
      </left>
      <right style="double">
        <color indexed="64"/>
      </right>
      <top/>
      <bottom style="thin">
        <color indexed="64"/>
      </bottom>
      <diagonal/>
    </border>
    <border>
      <left style="double">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double">
        <color indexed="64"/>
      </right>
      <top style="thin">
        <color indexed="64"/>
      </top>
      <bottom style="thin">
        <color indexed="64"/>
      </bottom>
      <diagonal/>
    </border>
    <border>
      <left style="double">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double">
        <color indexed="64"/>
      </right>
      <top/>
      <bottom/>
      <diagonal/>
    </border>
    <border>
      <left style="double">
        <color indexed="64"/>
      </left>
      <right style="thin">
        <color indexed="64"/>
      </right>
      <top/>
      <bottom/>
      <diagonal/>
    </border>
    <border>
      <left style="medium">
        <color indexed="64"/>
      </left>
      <right style="medium">
        <color indexed="64"/>
      </right>
      <top style="thin">
        <color indexed="64"/>
      </top>
      <bottom style="medium">
        <color indexed="64"/>
      </bottom>
      <diagonal/>
    </border>
    <border>
      <left style="medium">
        <color indexed="64"/>
      </left>
      <right style="double">
        <color indexed="64"/>
      </right>
      <top style="thin">
        <color indexed="64"/>
      </top>
      <bottom style="medium">
        <color indexed="64"/>
      </bottom>
      <diagonal/>
    </border>
    <border>
      <left style="double">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auto="1"/>
      </left>
      <right/>
      <top style="thin">
        <color auto="1"/>
      </top>
      <bottom style="hair">
        <color auto="1"/>
      </bottom>
      <diagonal/>
    </border>
    <border>
      <left/>
      <right/>
      <top style="thin">
        <color auto="1"/>
      </top>
      <bottom style="hair">
        <color auto="1"/>
      </bottom>
      <diagonal/>
    </border>
    <border>
      <left style="thin">
        <color auto="1"/>
      </left>
      <right/>
      <top style="hair">
        <color auto="1"/>
      </top>
      <bottom style="thin">
        <color auto="1"/>
      </bottom>
      <diagonal/>
    </border>
    <border>
      <left/>
      <right/>
      <top style="hair">
        <color auto="1"/>
      </top>
      <bottom style="thin">
        <color auto="1"/>
      </bottom>
      <diagonal/>
    </border>
    <border>
      <left/>
      <right style="thin">
        <color auto="1"/>
      </right>
      <top style="hair">
        <color indexed="64"/>
      </top>
      <bottom style="hair">
        <color indexed="64"/>
      </bottom>
      <diagonal/>
    </border>
    <border>
      <left style="thin">
        <color auto="1"/>
      </left>
      <right/>
      <top style="hair">
        <color auto="1"/>
      </top>
      <bottom/>
      <diagonal/>
    </border>
    <border>
      <left/>
      <right/>
      <top style="hair">
        <color auto="1"/>
      </top>
      <bottom/>
      <diagonal/>
    </border>
    <border>
      <left/>
      <right style="thin">
        <color auto="1"/>
      </right>
      <top style="hair">
        <color auto="1"/>
      </top>
      <bottom style="thin">
        <color auto="1"/>
      </bottom>
      <diagonal/>
    </border>
    <border>
      <left style="thin">
        <color auto="1"/>
      </left>
      <right/>
      <top style="thin">
        <color auto="1"/>
      </top>
      <bottom/>
      <diagonal/>
    </border>
    <border>
      <left/>
      <right style="thin">
        <color indexed="64"/>
      </right>
      <top/>
      <bottom/>
      <diagonal/>
    </border>
    <border>
      <left/>
      <right style="thin">
        <color indexed="64"/>
      </right>
      <top style="thin">
        <color auto="1"/>
      </top>
      <bottom/>
      <diagonal/>
    </border>
    <border>
      <left/>
      <right style="thin">
        <color indexed="64"/>
      </right>
      <top style="thin">
        <color auto="1"/>
      </top>
      <bottom style="hair">
        <color auto="1"/>
      </bottom>
      <diagonal/>
    </border>
    <border>
      <left/>
      <right style="thin">
        <color auto="1"/>
      </right>
      <top style="hair">
        <color indexed="64"/>
      </top>
      <bottom/>
      <diagonal/>
    </border>
    <border>
      <left/>
      <right style="thin">
        <color auto="1"/>
      </right>
      <top/>
      <bottom style="medium">
        <color auto="1"/>
      </bottom>
      <diagonal/>
    </border>
    <border>
      <left style="medium">
        <color auto="1"/>
      </left>
      <right/>
      <top style="thin">
        <color auto="1"/>
      </top>
      <bottom/>
      <diagonal/>
    </border>
    <border>
      <left/>
      <right style="medium">
        <color auto="1"/>
      </right>
      <top style="thin">
        <color auto="1"/>
      </top>
      <bottom/>
      <diagonal/>
    </border>
    <border>
      <left style="thin">
        <color auto="1"/>
      </left>
      <right/>
      <top/>
      <bottom style="medium">
        <color auto="1"/>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top/>
      <bottom style="thin">
        <color indexed="64"/>
      </bottom>
      <diagonal/>
    </border>
    <border>
      <left style="thin">
        <color auto="1"/>
      </left>
      <right/>
      <top/>
      <bottom style="hair">
        <color auto="1"/>
      </bottom>
      <diagonal/>
    </border>
    <border>
      <left style="thin">
        <color auto="1"/>
      </left>
      <right/>
      <top style="thin">
        <color auto="1"/>
      </top>
      <bottom style="thin">
        <color auto="1"/>
      </bottom>
      <diagonal/>
    </border>
    <border>
      <left style="thin">
        <color indexed="64"/>
      </left>
      <right style="thin">
        <color indexed="64"/>
      </right>
      <top style="thin">
        <color indexed="64"/>
      </top>
      <bottom/>
      <diagonal/>
    </border>
    <border>
      <left style="thin">
        <color auto="1"/>
      </left>
      <right style="thin">
        <color auto="1"/>
      </right>
      <top style="thin">
        <color auto="1"/>
      </top>
      <bottom style="hair">
        <color auto="1"/>
      </bottom>
      <diagonal/>
    </border>
    <border>
      <left style="thin">
        <color auto="1"/>
      </left>
      <right style="thin">
        <color auto="1"/>
      </right>
      <top style="hair">
        <color auto="1"/>
      </top>
      <bottom style="hair">
        <color auto="1"/>
      </bottom>
      <diagonal/>
    </border>
    <border>
      <left style="thin">
        <color auto="1"/>
      </left>
      <right style="thin">
        <color auto="1"/>
      </right>
      <top style="hair">
        <color auto="1"/>
      </top>
      <bottom style="thin">
        <color auto="1"/>
      </bottom>
      <diagonal/>
    </border>
  </borders>
  <cellStyleXfs count="118">
    <xf numFmtId="0" fontId="0" fillId="0" borderId="0"/>
    <xf numFmtId="0" fontId="9" fillId="0" borderId="0"/>
    <xf numFmtId="0" fontId="11" fillId="0" borderId="1">
      <alignment vertical="top"/>
    </xf>
    <xf numFmtId="0" fontId="12" fillId="0" borderId="0" applyBorder="0" applyAlignment="0">
      <alignment horizontal="centerContinuous" vertical="center"/>
      <protection locked="0"/>
    </xf>
    <xf numFmtId="0" fontId="13" fillId="0" borderId="2" applyBorder="0" applyAlignment="0">
      <alignment vertical="center"/>
    </xf>
    <xf numFmtId="0" fontId="14" fillId="2" borderId="3" applyNumberFormat="0" applyFont="0" applyBorder="0" applyAlignment="0">
      <alignment vertical="center"/>
      <protection locked="0"/>
    </xf>
    <xf numFmtId="0" fontId="13" fillId="0" borderId="4" applyBorder="0" applyAlignment="0">
      <alignment horizontal="right" vertical="center"/>
    </xf>
    <xf numFmtId="15" fontId="12" fillId="0" borderId="5" applyBorder="0">
      <alignment horizontal="center" vertical="center"/>
      <protection locked="0"/>
    </xf>
    <xf numFmtId="0" fontId="15" fillId="0" borderId="6" applyNumberFormat="0" applyFill="0" applyBorder="0" applyAlignment="0" applyProtection="0">
      <protection locked="0"/>
    </xf>
    <xf numFmtId="0" fontId="16" fillId="0" borderId="7" applyNumberFormat="0" applyFont="0" applyBorder="0" applyAlignment="0">
      <alignment horizontal="centerContinuous" vertical="center"/>
    </xf>
    <xf numFmtId="0" fontId="17" fillId="0" borderId="8" applyBorder="0" applyProtection="0">
      <alignment horizontal="centerContinuous" vertical="center"/>
      <protection hidden="1"/>
    </xf>
    <xf numFmtId="0" fontId="18" fillId="0" borderId="9" applyBorder="0">
      <alignment horizontal="center" vertical="center" wrapText="1"/>
      <protection locked="0"/>
    </xf>
    <xf numFmtId="0" fontId="19" fillId="0" borderId="10" applyFont="0" applyBorder="0" applyAlignment="0">
      <alignment vertical="center"/>
    </xf>
    <xf numFmtId="0" fontId="20" fillId="0" borderId="11" applyBorder="0">
      <alignment horizontal="center" vertical="center"/>
    </xf>
    <xf numFmtId="0" fontId="21" fillId="0" borderId="12" applyBorder="0">
      <alignment horizontal="center" vertical="center"/>
    </xf>
    <xf numFmtId="38" fontId="10" fillId="0" borderId="0" applyFont="0" applyFill="0" applyBorder="0" applyAlignment="0" applyProtection="0"/>
    <xf numFmtId="40" fontId="10" fillId="0" borderId="0" applyFont="0" applyFill="0" applyBorder="0" applyAlignment="0" applyProtection="0"/>
    <xf numFmtId="0" fontId="10" fillId="0" borderId="0"/>
    <xf numFmtId="0" fontId="22" fillId="0" borderId="0" applyBorder="0" applyAlignment="0">
      <alignment horizontal="centerContinuous" vertical="center"/>
      <protection locked="0"/>
    </xf>
    <xf numFmtId="0" fontId="23" fillId="0" borderId="13" applyBorder="0" applyAlignment="0">
      <alignment horizontal="centerContinuous" vertical="center"/>
    </xf>
    <xf numFmtId="0" fontId="24" fillId="3" borderId="14" applyNumberFormat="0" applyBorder="0" applyAlignment="0">
      <alignment horizontal="left" vertical="center" indent="1"/>
    </xf>
    <xf numFmtId="0" fontId="25" fillId="0" borderId="15" applyBorder="0">
      <alignment horizontal="left" vertical="center"/>
      <protection locked="0"/>
    </xf>
    <xf numFmtId="0" fontId="26" fillId="0" borderId="0" applyFont="0" applyBorder="0" applyAlignment="0">
      <alignment horizontal="center" vertical="center"/>
    </xf>
    <xf numFmtId="0" fontId="11" fillId="0" borderId="1">
      <alignment vertical="top"/>
    </xf>
    <xf numFmtId="0" fontId="27" fillId="0" borderId="10" applyFill="0" applyBorder="0" applyAlignment="0">
      <alignment vertical="center"/>
    </xf>
    <xf numFmtId="164" fontId="10" fillId="0" borderId="0" applyFont="0" applyFill="0" applyBorder="0" applyAlignment="0" applyProtection="0"/>
    <xf numFmtId="165" fontId="10" fillId="0" borderId="0" applyFont="0" applyFill="0" applyBorder="0" applyAlignment="0" applyProtection="0"/>
    <xf numFmtId="0" fontId="7" fillId="0" borderId="0"/>
    <xf numFmtId="0" fontId="9" fillId="0" borderId="0"/>
    <xf numFmtId="0" fontId="10" fillId="0" borderId="0"/>
    <xf numFmtId="0" fontId="7" fillId="0" borderId="0"/>
    <xf numFmtId="0" fontId="9" fillId="0" borderId="0"/>
    <xf numFmtId="167" fontId="30" fillId="0" borderId="0" applyProtection="0">
      <protection locked="0"/>
    </xf>
    <xf numFmtId="0" fontId="31" fillId="0" borderId="0">
      <alignment horizontal="center" wrapText="1"/>
      <protection locked="0"/>
    </xf>
    <xf numFmtId="0" fontId="32" fillId="0" borderId="21" applyFill="0" applyBorder="0"/>
    <xf numFmtId="0" fontId="9" fillId="0" borderId="0" applyFill="0" applyBorder="0"/>
    <xf numFmtId="168" fontId="9" fillId="0" borderId="0" applyFill="0" applyBorder="0" applyAlignment="0"/>
    <xf numFmtId="169" fontId="24" fillId="0" borderId="0"/>
    <xf numFmtId="169" fontId="24" fillId="0" borderId="0"/>
    <xf numFmtId="169" fontId="24" fillId="0" borderId="0"/>
    <xf numFmtId="169" fontId="24" fillId="0" borderId="0"/>
    <xf numFmtId="169" fontId="24" fillId="0" borderId="0"/>
    <xf numFmtId="169" fontId="24" fillId="0" borderId="0"/>
    <xf numFmtId="169" fontId="24" fillId="0" borderId="0"/>
    <xf numFmtId="169" fontId="24" fillId="0" borderId="0"/>
    <xf numFmtId="0" fontId="33" fillId="0" borderId="0" applyNumberFormat="0" applyAlignment="0">
      <alignment horizontal="left"/>
    </xf>
    <xf numFmtId="0" fontId="34" fillId="0" borderId="0" applyNumberFormat="0" applyAlignment="0"/>
    <xf numFmtId="0" fontId="9" fillId="0" borderId="28" applyFont="0" applyBorder="0" applyAlignment="0"/>
    <xf numFmtId="166" fontId="35" fillId="0" borderId="29" applyBorder="0"/>
    <xf numFmtId="170" fontId="30" fillId="0" borderId="0">
      <protection locked="0"/>
    </xf>
    <xf numFmtId="0" fontId="36" fillId="0" borderId="30" applyBorder="0" applyAlignment="0">
      <alignment vertical="center"/>
    </xf>
    <xf numFmtId="0" fontId="37" fillId="0" borderId="31" applyBorder="0" applyAlignment="0">
      <alignment horizontal="center" vertical="center"/>
    </xf>
    <xf numFmtId="0" fontId="13" fillId="0" borderId="32" applyBorder="0" applyAlignment="0">
      <alignment vertical="center"/>
    </xf>
    <xf numFmtId="8" fontId="9" fillId="0" borderId="0" applyFill="0" applyBorder="0" applyAlignment="0" applyProtection="0"/>
    <xf numFmtId="6" fontId="9" fillId="0" borderId="0" applyFill="0" applyBorder="0" applyAlignment="0" applyProtection="0"/>
    <xf numFmtId="0" fontId="38" fillId="0" borderId="0" applyNumberFormat="0" applyAlignment="0">
      <alignment horizontal="left"/>
    </xf>
    <xf numFmtId="38" fontId="28" fillId="4" borderId="0" applyNumberFormat="0" applyBorder="0" applyAlignment="0" applyProtection="0"/>
    <xf numFmtId="0" fontId="19" fillId="0" borderId="13" applyNumberFormat="0" applyAlignment="0" applyProtection="0">
      <alignment horizontal="left" vertical="center"/>
    </xf>
    <xf numFmtId="0" fontId="19" fillId="0" borderId="17">
      <alignment horizontal="left" vertical="center"/>
    </xf>
    <xf numFmtId="0" fontId="19" fillId="0" borderId="0"/>
    <xf numFmtId="0" fontId="23" fillId="0" borderId="11" applyFont="0" applyBorder="0" applyAlignment="0">
      <alignment horizontal="center" vertical="center"/>
      <protection locked="0"/>
    </xf>
    <xf numFmtId="10" fontId="28" fillId="3" borderId="20" applyNumberFormat="0" applyBorder="0" applyAlignment="0" applyProtection="0"/>
    <xf numFmtId="171" fontId="39" fillId="5" borderId="0"/>
    <xf numFmtId="0" fontId="29" fillId="0" borderId="0" applyFont="0" applyBorder="0" applyAlignment="0"/>
    <xf numFmtId="171" fontId="40" fillId="6" borderId="0"/>
    <xf numFmtId="0" fontId="29" fillId="0" borderId="33" applyNumberFormat="0" applyFont="0" applyBorder="0" applyAlignment="0">
      <alignment vertical="center"/>
    </xf>
    <xf numFmtId="2" fontId="41" fillId="0" borderId="34" applyBorder="0">
      <alignment horizontal="center" vertical="center"/>
    </xf>
    <xf numFmtId="172" fontId="9" fillId="0" borderId="0" applyFont="0" applyFill="0" applyBorder="0" applyAlignment="0" applyProtection="0"/>
    <xf numFmtId="173" fontId="9" fillId="0" borderId="0" applyFont="0" applyFill="0" applyBorder="0" applyAlignment="0" applyProtection="0"/>
    <xf numFmtId="174" fontId="9" fillId="0" borderId="0" applyFont="0" applyFill="0" applyBorder="0" applyAlignment="0" applyProtection="0"/>
    <xf numFmtId="175" fontId="9" fillId="0" borderId="0" applyFont="0" applyFill="0" applyBorder="0" applyAlignment="0" applyProtection="0"/>
    <xf numFmtId="176" fontId="42" fillId="0" borderId="35">
      <alignment horizontal="center" vertical="center"/>
      <protection locked="0"/>
    </xf>
    <xf numFmtId="177" fontId="24" fillId="0" borderId="0"/>
    <xf numFmtId="0" fontId="7" fillId="0" borderId="0"/>
    <xf numFmtId="43" fontId="9" fillId="0" borderId="0" applyFont="0" applyFill="0" applyBorder="0" applyAlignment="0" applyProtection="0"/>
    <xf numFmtId="41" fontId="9" fillId="0" borderId="0" applyFont="0" applyFill="0" applyBorder="0" applyAlignment="0" applyProtection="0"/>
    <xf numFmtId="0" fontId="36" fillId="0" borderId="36" applyBorder="0" applyAlignment="0">
      <alignment vertical="center"/>
    </xf>
    <xf numFmtId="14" fontId="31" fillId="0" borderId="0">
      <alignment horizontal="center" wrapText="1"/>
      <protection locked="0"/>
    </xf>
    <xf numFmtId="10" fontId="9" fillId="0" borderId="0" applyFont="0" applyFill="0" applyBorder="0" applyAlignment="0" applyProtection="0"/>
    <xf numFmtId="178" fontId="43" fillId="0" borderId="0"/>
    <xf numFmtId="0" fontId="10" fillId="0" borderId="0" applyNumberFormat="0" applyFont="0" applyFill="0" applyBorder="0" applyAlignment="0" applyProtection="0">
      <alignment horizontal="left"/>
    </xf>
    <xf numFmtId="179" fontId="44" fillId="0" borderId="0" applyNumberFormat="0" applyFill="0" applyBorder="0" applyAlignment="0" applyProtection="0">
      <alignment horizontal="left"/>
    </xf>
    <xf numFmtId="0" fontId="45" fillId="0" borderId="18" applyBorder="0" applyAlignment="0">
      <alignment horizontal="left"/>
    </xf>
    <xf numFmtId="40" fontId="46" fillId="0" borderId="0" applyBorder="0">
      <alignment horizontal="right"/>
    </xf>
    <xf numFmtId="180" fontId="47" fillId="7" borderId="19" applyNumberFormat="0">
      <alignment horizontal="center" vertical="center"/>
    </xf>
    <xf numFmtId="0" fontId="36" fillId="0" borderId="37" applyNumberFormat="0" applyBorder="0" applyAlignment="0">
      <alignment horizontal="center" vertical="center"/>
    </xf>
    <xf numFmtId="0" fontId="10" fillId="0" borderId="0"/>
    <xf numFmtId="0" fontId="9" fillId="0" borderId="0"/>
    <xf numFmtId="0" fontId="9" fillId="0" borderId="0"/>
    <xf numFmtId="0" fontId="9" fillId="0" borderId="0"/>
    <xf numFmtId="0" fontId="7" fillId="0" borderId="0"/>
    <xf numFmtId="0" fontId="9" fillId="0" borderId="0"/>
    <xf numFmtId="0" fontId="55" fillId="0" borderId="0"/>
    <xf numFmtId="0" fontId="56" fillId="0" borderId="0"/>
    <xf numFmtId="0" fontId="56" fillId="0" borderId="0"/>
    <xf numFmtId="0" fontId="28" fillId="0" borderId="0"/>
    <xf numFmtId="0" fontId="6" fillId="0" borderId="0"/>
    <xf numFmtId="0" fontId="6" fillId="0" borderId="0"/>
    <xf numFmtId="0" fontId="6" fillId="0" borderId="0"/>
    <xf numFmtId="0" fontId="6" fillId="0" borderId="0"/>
    <xf numFmtId="0" fontId="9" fillId="0" borderId="0"/>
    <xf numFmtId="0" fontId="9" fillId="0" borderId="0"/>
    <xf numFmtId="0" fontId="9"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cellStyleXfs>
  <cellXfs count="436">
    <xf numFmtId="0" fontId="0" fillId="0" borderId="0" xfId="0"/>
    <xf numFmtId="0" fontId="48" fillId="0" borderId="21" xfId="30" applyFont="1" applyBorder="1" applyAlignment="1">
      <alignment vertical="center"/>
    </xf>
    <xf numFmtId="0" fontId="48" fillId="0" borderId="23" xfId="30" applyFont="1" applyBorder="1" applyAlignment="1">
      <alignment vertical="center"/>
    </xf>
    <xf numFmtId="0" fontId="48" fillId="0" borderId="27" xfId="30" applyFont="1" applyBorder="1" applyAlignment="1">
      <alignment vertical="center"/>
    </xf>
    <xf numFmtId="0" fontId="48" fillId="0" borderId="21" xfId="30" applyFont="1" applyBorder="1" applyAlignment="1">
      <alignment horizontal="left" vertical="center"/>
    </xf>
    <xf numFmtId="0" fontId="49" fillId="0" borderId="22" xfId="1" applyFont="1" applyBorder="1" applyAlignment="1">
      <alignment vertical="center"/>
    </xf>
    <xf numFmtId="0" fontId="48" fillId="0" borderId="22" xfId="30" applyFont="1" applyBorder="1" applyAlignment="1">
      <alignment vertical="center"/>
    </xf>
    <xf numFmtId="0" fontId="48" fillId="0" borderId="22" xfId="0" applyFont="1" applyBorder="1" applyAlignment="1">
      <alignment vertical="center"/>
    </xf>
    <xf numFmtId="0" fontId="48" fillId="0" borderId="23" xfId="0" applyFont="1" applyBorder="1" applyAlignment="1">
      <alignment vertical="center"/>
    </xf>
    <xf numFmtId="0" fontId="48" fillId="0" borderId="22" xfId="30" applyFont="1" applyBorder="1" applyAlignment="1">
      <alignment horizontal="left" vertical="center"/>
    </xf>
    <xf numFmtId="0" fontId="50" fillId="0" borderId="0" xfId="0" applyFont="1"/>
    <xf numFmtId="12" fontId="52" fillId="0" borderId="46" xfId="91" applyNumberFormat="1" applyFont="1" applyBorder="1" applyAlignment="1" applyProtection="1">
      <alignment horizontal="center"/>
      <protection hidden="1"/>
    </xf>
    <xf numFmtId="0" fontId="52" fillId="0" borderId="47" xfId="91" applyFont="1" applyBorder="1" applyAlignment="1" applyProtection="1">
      <alignment horizontal="center"/>
      <protection hidden="1"/>
    </xf>
    <xf numFmtId="0" fontId="52" fillId="0" borderId="48" xfId="91" applyFont="1" applyBorder="1" applyAlignment="1" applyProtection="1">
      <alignment horizontal="right"/>
      <protection hidden="1"/>
    </xf>
    <xf numFmtId="0" fontId="52" fillId="0" borderId="49" xfId="91" applyFont="1" applyBorder="1" applyAlignment="1" applyProtection="1">
      <alignment horizontal="center"/>
      <protection hidden="1"/>
    </xf>
    <xf numFmtId="0" fontId="29" fillId="0" borderId="50" xfId="91" applyFont="1" applyBorder="1" applyAlignment="1" applyProtection="1">
      <alignment horizontal="center"/>
      <protection hidden="1"/>
    </xf>
    <xf numFmtId="0" fontId="29" fillId="0" borderId="51" xfId="91" applyFont="1" applyBorder="1" applyAlignment="1" applyProtection="1">
      <alignment horizontal="center"/>
      <protection hidden="1"/>
    </xf>
    <xf numFmtId="0" fontId="9" fillId="0" borderId="53" xfId="91" applyFont="1" applyBorder="1" applyProtection="1">
      <protection hidden="1"/>
    </xf>
    <xf numFmtId="0" fontId="9" fillId="0" borderId="54" xfId="91" applyFont="1" applyBorder="1" applyAlignment="1" applyProtection="1">
      <alignment horizontal="right"/>
      <protection hidden="1"/>
    </xf>
    <xf numFmtId="0" fontId="9" fillId="0" borderId="55" xfId="91" applyFont="1" applyBorder="1" applyProtection="1">
      <protection hidden="1"/>
    </xf>
    <xf numFmtId="0" fontId="9" fillId="0" borderId="56" xfId="91" applyFont="1" applyBorder="1" applyProtection="1">
      <protection hidden="1"/>
    </xf>
    <xf numFmtId="0" fontId="9" fillId="0" borderId="56" xfId="91" applyFont="1" applyFill="1" applyBorder="1" applyProtection="1">
      <protection hidden="1"/>
    </xf>
    <xf numFmtId="0" fontId="9" fillId="0" borderId="57" xfId="91" applyFont="1" applyBorder="1" applyProtection="1">
      <protection hidden="1"/>
    </xf>
    <xf numFmtId="0" fontId="9" fillId="0" borderId="59" xfId="91" applyFont="1" applyBorder="1" applyProtection="1">
      <protection hidden="1"/>
    </xf>
    <xf numFmtId="0" fontId="9" fillId="0" borderId="60" xfId="91" applyFont="1" applyBorder="1" applyAlignment="1" applyProtection="1">
      <alignment horizontal="right"/>
      <protection hidden="1"/>
    </xf>
    <xf numFmtId="0" fontId="9" fillId="0" borderId="61" xfId="91" applyFont="1" applyBorder="1" applyProtection="1">
      <protection hidden="1"/>
    </xf>
    <xf numFmtId="0" fontId="9" fillId="0" borderId="20" xfId="91" applyFont="1" applyBorder="1" applyProtection="1">
      <protection hidden="1"/>
    </xf>
    <xf numFmtId="0" fontId="9" fillId="0" borderId="20" xfId="91" applyFont="1" applyFill="1" applyBorder="1" applyProtection="1">
      <protection hidden="1"/>
    </xf>
    <xf numFmtId="0" fontId="9" fillId="0" borderId="62" xfId="91" applyFont="1" applyBorder="1" applyProtection="1">
      <protection hidden="1"/>
    </xf>
    <xf numFmtId="2" fontId="9" fillId="0" borderId="20" xfId="91" applyNumberFormat="1" applyFont="1" applyFill="1" applyBorder="1" applyProtection="1">
      <protection hidden="1"/>
    </xf>
    <xf numFmtId="2" fontId="9" fillId="0" borderId="62" xfId="91" applyNumberFormat="1" applyFont="1" applyBorder="1" applyProtection="1">
      <protection hidden="1"/>
    </xf>
    <xf numFmtId="12" fontId="9" fillId="0" borderId="58" xfId="91" applyNumberFormat="1" applyFont="1" applyBorder="1" applyAlignment="1" applyProtection="1">
      <alignment horizontal="right"/>
      <protection hidden="1"/>
    </xf>
    <xf numFmtId="2" fontId="9" fillId="0" borderId="20" xfId="91" applyNumberFormat="1" applyFont="1" applyBorder="1" applyProtection="1">
      <protection hidden="1"/>
    </xf>
    <xf numFmtId="2" fontId="9" fillId="0" borderId="60" xfId="91" applyNumberFormat="1" applyFont="1" applyBorder="1" applyAlignment="1" applyProtection="1">
      <alignment horizontal="right"/>
      <protection hidden="1"/>
    </xf>
    <xf numFmtId="2" fontId="9" fillId="0" borderId="61" xfId="91" applyNumberFormat="1" applyFont="1" applyBorder="1" applyProtection="1">
      <protection hidden="1"/>
    </xf>
    <xf numFmtId="12" fontId="9" fillId="0" borderId="63" xfId="91" applyNumberFormat="1" applyFont="1" applyBorder="1" applyAlignment="1" applyProtection="1">
      <alignment horizontal="right"/>
      <protection hidden="1"/>
    </xf>
    <xf numFmtId="0" fontId="9" fillId="0" borderId="64" xfId="91" applyFont="1" applyBorder="1" applyProtection="1">
      <protection hidden="1"/>
    </xf>
    <xf numFmtId="0" fontId="9" fillId="0" borderId="65" xfId="91" applyFont="1" applyBorder="1" applyAlignment="1" applyProtection="1">
      <alignment horizontal="right"/>
      <protection hidden="1"/>
    </xf>
    <xf numFmtId="0" fontId="9" fillId="0" borderId="61" xfId="0" applyFont="1" applyBorder="1" applyProtection="1"/>
    <xf numFmtId="0" fontId="9" fillId="0" borderId="20" xfId="0" applyFont="1" applyBorder="1" applyProtection="1"/>
    <xf numFmtId="0" fontId="9" fillId="0" borderId="62" xfId="0" applyFont="1" applyBorder="1" applyProtection="1"/>
    <xf numFmtId="12" fontId="9" fillId="0" borderId="66" xfId="91" applyNumberFormat="1" applyFont="1" applyBorder="1" applyAlignment="1" applyProtection="1">
      <alignment horizontal="right"/>
      <protection hidden="1"/>
    </xf>
    <xf numFmtId="0" fontId="9" fillId="0" borderId="67" xfId="91" applyFont="1" applyBorder="1" applyProtection="1">
      <protection hidden="1"/>
    </xf>
    <xf numFmtId="0" fontId="9" fillId="0" borderId="68" xfId="91" applyFont="1" applyBorder="1" applyAlignment="1" applyProtection="1">
      <alignment horizontal="right"/>
      <protection hidden="1"/>
    </xf>
    <xf numFmtId="0" fontId="9" fillId="0" borderId="69" xfId="0" applyFont="1" applyBorder="1" applyProtection="1"/>
    <xf numFmtId="0" fontId="9" fillId="0" borderId="70" xfId="0" applyFont="1" applyBorder="1" applyProtection="1"/>
    <xf numFmtId="0" fontId="9" fillId="0" borderId="71" xfId="0" applyFont="1" applyBorder="1" applyProtection="1"/>
    <xf numFmtId="12" fontId="9" fillId="0" borderId="52" xfId="91" quotePrefix="1" applyNumberFormat="1" applyFont="1" applyBorder="1" applyAlignment="1" applyProtection="1">
      <alignment horizontal="center"/>
      <protection hidden="1"/>
    </xf>
    <xf numFmtId="12" fontId="9" fillId="0" borderId="58" xfId="91" quotePrefix="1" applyNumberFormat="1" applyFont="1" applyBorder="1" applyAlignment="1" applyProtection="1">
      <protection hidden="1"/>
    </xf>
    <xf numFmtId="12" fontId="9" fillId="0" borderId="58" xfId="91" applyNumberFormat="1" applyFont="1" applyBorder="1" applyAlignment="1" applyProtection="1">
      <protection hidden="1"/>
    </xf>
    <xf numFmtId="12" fontId="53" fillId="0" borderId="58" xfId="91" quotePrefix="1" applyNumberFormat="1" applyFont="1" applyBorder="1" applyAlignment="1" applyProtection="1">
      <alignment horizontal="center"/>
      <protection hidden="1"/>
    </xf>
    <xf numFmtId="12" fontId="9" fillId="0" borderId="58" xfId="91" quotePrefix="1" applyNumberFormat="1" applyFont="1" applyBorder="1" applyAlignment="1" applyProtection="1">
      <alignment horizontal="center"/>
      <protection hidden="1"/>
    </xf>
    <xf numFmtId="12" fontId="9" fillId="0" borderId="58" xfId="91" applyNumberFormat="1" applyFont="1" applyBorder="1" applyAlignment="1" applyProtection="1">
      <alignment horizontal="center"/>
      <protection hidden="1"/>
    </xf>
    <xf numFmtId="0" fontId="9" fillId="0" borderId="1" xfId="91" applyNumberFormat="1" applyFont="1" applyFill="1" applyBorder="1" applyProtection="1">
      <protection hidden="1"/>
    </xf>
    <xf numFmtId="0" fontId="57" fillId="0" borderId="0" xfId="92" applyFont="1" applyProtection="1">
      <protection hidden="1"/>
    </xf>
    <xf numFmtId="0" fontId="57" fillId="9" borderId="0" xfId="92" applyFont="1" applyFill="1" applyProtection="1">
      <protection hidden="1"/>
    </xf>
    <xf numFmtId="0" fontId="57" fillId="9" borderId="0" xfId="94" applyFont="1" applyFill="1" applyProtection="1">
      <protection hidden="1"/>
    </xf>
    <xf numFmtId="0" fontId="57" fillId="0" borderId="0" xfId="95" applyFont="1" applyProtection="1">
      <protection hidden="1"/>
    </xf>
    <xf numFmtId="0" fontId="57" fillId="9" borderId="0" xfId="89" applyFont="1" applyFill="1" applyProtection="1">
      <protection hidden="1"/>
    </xf>
    <xf numFmtId="0" fontId="48" fillId="0" borderId="21" xfId="30" applyFont="1" applyBorder="1" applyAlignment="1" applyProtection="1">
      <alignment vertical="center"/>
      <protection hidden="1"/>
    </xf>
    <xf numFmtId="0" fontId="48" fillId="0" borderId="23" xfId="30" applyFont="1" applyBorder="1" applyAlignment="1" applyProtection="1">
      <alignment vertical="center"/>
      <protection hidden="1"/>
    </xf>
    <xf numFmtId="0" fontId="48" fillId="0" borderId="22" xfId="0" applyFont="1" applyBorder="1" applyAlignment="1" applyProtection="1">
      <alignment vertical="center"/>
      <protection hidden="1"/>
    </xf>
    <xf numFmtId="0" fontId="49" fillId="0" borderId="22" xfId="1" applyFont="1" applyBorder="1" applyAlignment="1" applyProtection="1">
      <alignment vertical="center"/>
      <protection hidden="1"/>
    </xf>
    <xf numFmtId="0" fontId="48" fillId="0" borderId="27" xfId="30" applyFont="1" applyBorder="1" applyAlignment="1" applyProtection="1">
      <alignment vertical="center"/>
      <protection hidden="1"/>
    </xf>
    <xf numFmtId="0" fontId="48" fillId="0" borderId="21" xfId="30" applyFont="1" applyBorder="1" applyAlignment="1" applyProtection="1">
      <alignment horizontal="left" vertical="center"/>
      <protection hidden="1"/>
    </xf>
    <xf numFmtId="0" fontId="48" fillId="0" borderId="22" xfId="30" applyFont="1" applyBorder="1" applyAlignment="1" applyProtection="1">
      <alignment horizontal="left" vertical="center"/>
      <protection hidden="1"/>
    </xf>
    <xf numFmtId="0" fontId="48" fillId="0" borderId="23" xfId="0" applyFont="1" applyBorder="1" applyAlignment="1" applyProtection="1">
      <alignment vertical="center"/>
      <protection hidden="1"/>
    </xf>
    <xf numFmtId="0" fontId="48" fillId="0" borderId="22" xfId="30" applyFont="1" applyBorder="1" applyAlignment="1" applyProtection="1">
      <alignment vertical="center"/>
      <protection hidden="1"/>
    </xf>
    <xf numFmtId="0" fontId="28" fillId="0" borderId="0" xfId="89" applyFont="1" applyProtection="1">
      <protection locked="0"/>
    </xf>
    <xf numFmtId="0" fontId="48" fillId="0" borderId="0" xfId="0" applyFont="1" applyProtection="1">
      <protection hidden="1"/>
    </xf>
    <xf numFmtId="0" fontId="48" fillId="0" borderId="38" xfId="0" applyFont="1" applyBorder="1" applyAlignment="1" applyProtection="1">
      <alignment horizontal="right" indent="1"/>
      <protection hidden="1"/>
    </xf>
    <xf numFmtId="0" fontId="48" fillId="0" borderId="38" xfId="0" applyFont="1" applyBorder="1" applyAlignment="1" applyProtection="1">
      <protection hidden="1"/>
    </xf>
    <xf numFmtId="0" fontId="48" fillId="0" borderId="41" xfId="0" applyFont="1" applyBorder="1" applyAlignment="1" applyProtection="1">
      <protection hidden="1"/>
    </xf>
    <xf numFmtId="0" fontId="0" fillId="0" borderId="0" xfId="0"/>
    <xf numFmtId="0" fontId="48" fillId="0" borderId="82" xfId="0" applyFont="1" applyBorder="1" applyAlignment="1" applyProtection="1">
      <alignment horizontal="right"/>
      <protection hidden="1"/>
    </xf>
    <xf numFmtId="0" fontId="48" fillId="0" borderId="86" xfId="0" applyFont="1" applyBorder="1" applyProtection="1">
      <protection hidden="1"/>
    </xf>
    <xf numFmtId="0" fontId="48" fillId="0" borderId="82" xfId="0" applyFont="1" applyBorder="1" applyProtection="1">
      <protection hidden="1"/>
    </xf>
    <xf numFmtId="0" fontId="48" fillId="0" borderId="80" xfId="0" applyFont="1" applyBorder="1" applyProtection="1">
      <protection hidden="1"/>
    </xf>
    <xf numFmtId="0" fontId="48" fillId="0" borderId="43" xfId="0" applyFont="1" applyBorder="1" applyProtection="1">
      <protection hidden="1"/>
    </xf>
    <xf numFmtId="0" fontId="48" fillId="0" borderId="90" xfId="0" applyFont="1" applyBorder="1" applyProtection="1">
      <protection hidden="1"/>
    </xf>
    <xf numFmtId="0" fontId="48" fillId="0" borderId="43" xfId="0" applyFont="1" applyBorder="1" applyAlignment="1" applyProtection="1">
      <alignment horizontal="right"/>
      <protection hidden="1"/>
    </xf>
    <xf numFmtId="0" fontId="48" fillId="0" borderId="87" xfId="0" applyFont="1" applyBorder="1" applyProtection="1">
      <protection hidden="1"/>
    </xf>
    <xf numFmtId="0" fontId="48" fillId="0" borderId="16" xfId="0" applyFont="1" applyBorder="1" applyProtection="1">
      <protection hidden="1"/>
    </xf>
    <xf numFmtId="0" fontId="48" fillId="0" borderId="81" xfId="0" applyFont="1" applyBorder="1" applyProtection="1">
      <protection hidden="1"/>
    </xf>
    <xf numFmtId="0" fontId="48" fillId="0" borderId="1" xfId="0" applyFont="1" applyBorder="1" applyProtection="1">
      <protection hidden="1"/>
    </xf>
    <xf numFmtId="0" fontId="58" fillId="0" borderId="0" xfId="0" applyFont="1" applyBorder="1" applyProtection="1">
      <protection hidden="1"/>
    </xf>
    <xf numFmtId="0" fontId="48" fillId="0" borderId="0" xfId="0" applyFont="1" applyBorder="1" applyProtection="1">
      <protection hidden="1"/>
    </xf>
    <xf numFmtId="0" fontId="48" fillId="0" borderId="6" xfId="0" applyFont="1" applyBorder="1" applyProtection="1">
      <protection hidden="1"/>
    </xf>
    <xf numFmtId="0" fontId="48" fillId="0" borderId="0" xfId="0" applyFont="1" applyBorder="1" applyAlignment="1" applyProtection="1">
      <alignment horizontal="right"/>
      <protection hidden="1"/>
    </xf>
    <xf numFmtId="182" fontId="48" fillId="0" borderId="0" xfId="0" applyNumberFormat="1" applyFont="1" applyBorder="1" applyAlignment="1" applyProtection="1">
      <alignment horizontal="center"/>
      <protection hidden="1"/>
    </xf>
    <xf numFmtId="0" fontId="48" fillId="0" borderId="0" xfId="0" applyFont="1" applyAlignment="1" applyProtection="1">
      <protection hidden="1"/>
    </xf>
    <xf numFmtId="0" fontId="48" fillId="0" borderId="0" xfId="0" applyFont="1" applyBorder="1" applyAlignment="1" applyProtection="1">
      <protection hidden="1"/>
    </xf>
    <xf numFmtId="0" fontId="9" fillId="0" borderId="0" xfId="100"/>
    <xf numFmtId="0" fontId="60" fillId="0" borderId="0" xfId="100" applyFont="1"/>
    <xf numFmtId="0" fontId="9" fillId="0" borderId="0" xfId="100" applyFont="1"/>
    <xf numFmtId="0" fontId="9" fillId="0" borderId="0" xfId="100" applyAlignment="1">
      <alignment horizontal="center" vertical="center"/>
    </xf>
    <xf numFmtId="0" fontId="9" fillId="0" borderId="0" xfId="100" applyNumberFormat="1" applyAlignment="1">
      <alignment horizontal="center" vertical="center"/>
    </xf>
    <xf numFmtId="1" fontId="9" fillId="0" borderId="0" xfId="100" applyNumberFormat="1" applyAlignment="1">
      <alignment horizontal="left" vertical="center"/>
    </xf>
    <xf numFmtId="1" fontId="9" fillId="0" borderId="0" xfId="100" applyNumberFormat="1" applyAlignment="1">
      <alignment horizontal="center" vertical="center"/>
    </xf>
    <xf numFmtId="49" fontId="9" fillId="0" borderId="0" xfId="100" applyNumberFormat="1" applyAlignment="1">
      <alignment horizontal="center" vertical="center"/>
    </xf>
    <xf numFmtId="176" fontId="9" fillId="0" borderId="0" xfId="100" applyNumberFormat="1" applyAlignment="1">
      <alignment horizontal="center" vertical="center"/>
    </xf>
    <xf numFmtId="0" fontId="9" fillId="0" borderId="0" xfId="100" applyNumberFormat="1"/>
    <xf numFmtId="1" fontId="60" fillId="0" borderId="0" xfId="100" applyNumberFormat="1" applyFont="1" applyAlignment="1">
      <alignment horizontal="left" vertical="center"/>
    </xf>
    <xf numFmtId="49" fontId="9" fillId="0" borderId="0" xfId="100" applyNumberFormat="1" applyAlignment="1">
      <alignment horizontal="left" vertical="center"/>
    </xf>
    <xf numFmtId="0" fontId="9" fillId="0" borderId="0" xfId="100" applyNumberFormat="1" applyAlignment="1">
      <alignment horizontal="left" vertical="center"/>
    </xf>
    <xf numFmtId="0" fontId="60" fillId="0" borderId="90" xfId="100" applyFont="1" applyBorder="1"/>
    <xf numFmtId="0" fontId="9" fillId="0" borderId="90" xfId="100" applyBorder="1"/>
    <xf numFmtId="0" fontId="9" fillId="0" borderId="91" xfId="100" applyBorder="1"/>
    <xf numFmtId="0" fontId="9" fillId="0" borderId="1" xfId="100" applyBorder="1"/>
    <xf numFmtId="0" fontId="9" fillId="0" borderId="0" xfId="100" applyBorder="1"/>
    <xf numFmtId="2" fontId="9" fillId="0" borderId="81" xfId="100" applyNumberFormat="1" applyBorder="1"/>
    <xf numFmtId="2" fontId="9" fillId="0" borderId="81" xfId="100" applyNumberFormat="1" applyFill="1" applyBorder="1"/>
    <xf numFmtId="0" fontId="9" fillId="0" borderId="1" xfId="100" applyFill="1" applyBorder="1"/>
    <xf numFmtId="0" fontId="9" fillId="0" borderId="5" xfId="100" applyBorder="1"/>
    <xf numFmtId="0" fontId="9" fillId="0" borderId="92" xfId="100" applyBorder="1"/>
    <xf numFmtId="0" fontId="60" fillId="0" borderId="89" xfId="100" quotePrefix="1" applyFont="1" applyBorder="1"/>
    <xf numFmtId="0" fontId="9" fillId="0" borderId="0" xfId="100" quotePrefix="1" applyAlignment="1">
      <alignment horizontal="left"/>
    </xf>
    <xf numFmtId="1" fontId="9" fillId="10" borderId="0" xfId="100" applyNumberFormat="1" applyFill="1" applyAlignment="1">
      <alignment horizontal="center" vertical="center"/>
    </xf>
    <xf numFmtId="0" fontId="0" fillId="0" borderId="0" xfId="0" applyAlignment="1">
      <alignment horizontal="center"/>
    </xf>
    <xf numFmtId="0" fontId="48" fillId="0" borderId="0" xfId="0" applyNumberFormat="1" applyFont="1" applyBorder="1" applyAlignment="1" applyProtection="1">
      <protection hidden="1"/>
    </xf>
    <xf numFmtId="0" fontId="48" fillId="0" borderId="92" xfId="0" applyFont="1" applyBorder="1" applyProtection="1">
      <protection hidden="1"/>
    </xf>
    <xf numFmtId="0" fontId="48" fillId="0" borderId="0" xfId="0" applyFont="1" applyFill="1" applyBorder="1" applyAlignment="1" applyProtection="1">
      <protection hidden="1"/>
    </xf>
    <xf numFmtId="0" fontId="48" fillId="0" borderId="0" xfId="0" applyFont="1" applyAlignment="1" applyProtection="1">
      <alignment horizontal="right"/>
      <protection hidden="1"/>
    </xf>
    <xf numFmtId="0" fontId="48" fillId="0" borderId="0" xfId="0" applyFont="1" applyAlignment="1" applyProtection="1">
      <alignment horizontal="left"/>
      <protection hidden="1"/>
    </xf>
    <xf numFmtId="0" fontId="48" fillId="0" borderId="90" xfId="0" applyFont="1" applyBorder="1" applyAlignment="1" applyProtection="1">
      <protection hidden="1"/>
    </xf>
    <xf numFmtId="49" fontId="9" fillId="0" borderId="0" xfId="100" quotePrefix="1" applyNumberFormat="1" applyAlignment="1">
      <alignment horizontal="center" vertical="center"/>
    </xf>
    <xf numFmtId="0" fontId="9" fillId="0" borderId="0" xfId="100" quotePrefix="1" applyNumberFormat="1" applyAlignment="1">
      <alignment horizontal="center" vertical="center"/>
    </xf>
    <xf numFmtId="0" fontId="48" fillId="0" borderId="81" xfId="0" applyFont="1" applyBorder="1" applyAlignment="1" applyProtection="1">
      <alignment horizontal="center"/>
      <protection hidden="1"/>
    </xf>
    <xf numFmtId="0" fontId="61" fillId="0" borderId="0" xfId="0" applyFont="1" applyBorder="1" applyAlignment="1" applyProtection="1">
      <alignment horizontal="center"/>
      <protection hidden="1"/>
    </xf>
    <xf numFmtId="0" fontId="5" fillId="0" borderId="0" xfId="0" applyFont="1" applyBorder="1" applyProtection="1">
      <protection hidden="1"/>
    </xf>
    <xf numFmtId="0" fontId="48" fillId="0" borderId="0" xfId="0" applyFont="1" applyFill="1" applyBorder="1" applyProtection="1">
      <protection hidden="1"/>
    </xf>
    <xf numFmtId="0" fontId="48" fillId="0" borderId="0" xfId="0" applyFont="1" applyFill="1" applyBorder="1" applyAlignment="1" applyProtection="1">
      <alignment horizontal="right"/>
      <protection hidden="1"/>
    </xf>
    <xf numFmtId="0" fontId="48" fillId="0" borderId="0" xfId="0" applyFont="1" applyFill="1" applyBorder="1" applyAlignment="1" applyProtection="1">
      <alignment horizontal="center"/>
      <protection hidden="1"/>
    </xf>
    <xf numFmtId="0" fontId="61" fillId="0" borderId="0" xfId="0" applyFont="1" applyProtection="1">
      <protection hidden="1"/>
    </xf>
    <xf numFmtId="0" fontId="5" fillId="0" borderId="16" xfId="0" applyFont="1" applyBorder="1" applyProtection="1">
      <protection hidden="1"/>
    </xf>
    <xf numFmtId="0" fontId="5" fillId="0" borderId="81" xfId="0" applyFont="1" applyBorder="1" applyProtection="1">
      <protection hidden="1"/>
    </xf>
    <xf numFmtId="0" fontId="5" fillId="0" borderId="1" xfId="0" applyFont="1" applyBorder="1" applyProtection="1">
      <protection hidden="1"/>
    </xf>
    <xf numFmtId="0" fontId="5" fillId="0" borderId="0" xfId="0" applyFont="1" applyFill="1" applyBorder="1" applyProtection="1">
      <protection hidden="1"/>
    </xf>
    <xf numFmtId="0" fontId="5" fillId="0" borderId="0" xfId="0" applyFont="1" applyFill="1" applyBorder="1" applyAlignment="1" applyProtection="1">
      <alignment horizontal="right"/>
      <protection hidden="1"/>
    </xf>
    <xf numFmtId="0" fontId="5" fillId="0" borderId="6" xfId="0" applyFont="1" applyBorder="1" applyProtection="1">
      <protection hidden="1"/>
    </xf>
    <xf numFmtId="0" fontId="5" fillId="0" borderId="0" xfId="0" applyFont="1" applyProtection="1">
      <protection hidden="1"/>
    </xf>
    <xf numFmtId="16" fontId="9" fillId="0" borderId="0" xfId="100" applyNumberFormat="1"/>
    <xf numFmtId="16" fontId="9" fillId="0" borderId="0" xfId="100" applyNumberFormat="1" applyAlignment="1">
      <alignment horizontal="right"/>
    </xf>
    <xf numFmtId="0" fontId="4" fillId="0" borderId="16" xfId="0" applyFont="1" applyBorder="1" applyProtection="1">
      <protection hidden="1"/>
    </xf>
    <xf numFmtId="0" fontId="4" fillId="0" borderId="81" xfId="0" applyFont="1" applyBorder="1" applyProtection="1">
      <protection hidden="1"/>
    </xf>
    <xf numFmtId="0" fontId="4" fillId="0" borderId="1" xfId="0" applyFont="1" applyBorder="1" applyProtection="1">
      <protection hidden="1"/>
    </xf>
    <xf numFmtId="0" fontId="4" fillId="0" borderId="0" xfId="0" applyFont="1" applyFill="1" applyBorder="1" applyAlignment="1" applyProtection="1">
      <alignment horizontal="right"/>
      <protection hidden="1"/>
    </xf>
    <xf numFmtId="0" fontId="4" fillId="0" borderId="0" xfId="0" applyFont="1" applyFill="1" applyBorder="1" applyProtection="1">
      <protection hidden="1"/>
    </xf>
    <xf numFmtId="0" fontId="4" fillId="0" borderId="6" xfId="0" applyFont="1" applyBorder="1" applyProtection="1">
      <protection hidden="1"/>
    </xf>
    <xf numFmtId="0" fontId="4" fillId="0" borderId="0" xfId="0" applyFont="1" applyBorder="1" applyProtection="1">
      <protection hidden="1"/>
    </xf>
    <xf numFmtId="0" fontId="4" fillId="0" borderId="0" xfId="0" applyFont="1" applyProtection="1">
      <protection hidden="1"/>
    </xf>
    <xf numFmtId="0" fontId="4" fillId="0" borderId="0" xfId="0" applyFont="1" applyFill="1" applyBorder="1" applyAlignment="1" applyProtection="1">
      <protection hidden="1"/>
    </xf>
    <xf numFmtId="0" fontId="4" fillId="0" borderId="24" xfId="0" applyFont="1" applyBorder="1" applyProtection="1">
      <protection hidden="1"/>
    </xf>
    <xf numFmtId="0" fontId="4" fillId="0" borderId="85" xfId="0" applyFont="1" applyBorder="1" applyProtection="1">
      <protection hidden="1"/>
    </xf>
    <xf numFmtId="0" fontId="4" fillId="0" borderId="88" xfId="0" applyFont="1" applyBorder="1" applyProtection="1">
      <protection hidden="1"/>
    </xf>
    <xf numFmtId="0" fontId="4" fillId="0" borderId="26" xfId="0" applyFont="1" applyBorder="1" applyProtection="1">
      <protection hidden="1"/>
    </xf>
    <xf numFmtId="0" fontId="4" fillId="0" borderId="26" xfId="0" applyFont="1" applyBorder="1" applyAlignment="1" applyProtection="1">
      <alignment horizontal="center"/>
      <protection hidden="1"/>
    </xf>
    <xf numFmtId="0" fontId="4" fillId="0" borderId="25" xfId="0" applyFont="1" applyBorder="1" applyProtection="1">
      <protection hidden="1"/>
    </xf>
    <xf numFmtId="0" fontId="4" fillId="0" borderId="0" xfId="0" applyFont="1" applyBorder="1" applyAlignment="1" applyProtection="1">
      <alignment horizontal="right"/>
      <protection hidden="1"/>
    </xf>
    <xf numFmtId="0" fontId="48" fillId="0" borderId="0" xfId="0" applyFont="1" applyBorder="1" applyAlignment="1" applyProtection="1">
      <alignment horizontal="center"/>
      <protection hidden="1"/>
    </xf>
    <xf numFmtId="0" fontId="0" fillId="0" borderId="0" xfId="0" applyBorder="1" applyAlignment="1"/>
    <xf numFmtId="0" fontId="48" fillId="0" borderId="0" xfId="0" applyFont="1" applyBorder="1" applyAlignment="1" applyProtection="1">
      <alignment horizontal="center"/>
      <protection hidden="1"/>
    </xf>
    <xf numFmtId="0" fontId="3" fillId="0" borderId="0" xfId="0" applyFont="1"/>
    <xf numFmtId="0" fontId="3" fillId="0" borderId="0" xfId="0" applyFont="1" applyFill="1" applyBorder="1" applyAlignment="1" applyProtection="1">
      <alignment horizontal="right"/>
      <protection hidden="1"/>
    </xf>
    <xf numFmtId="10" fontId="48" fillId="0" borderId="92" xfId="0" applyNumberFormat="1" applyFont="1" applyFill="1" applyBorder="1" applyAlignment="1" applyProtection="1">
      <protection hidden="1"/>
    </xf>
    <xf numFmtId="0" fontId="48" fillId="0" borderId="1" xfId="0" applyNumberFormat="1" applyFont="1" applyFill="1" applyBorder="1" applyAlignment="1" applyProtection="1">
      <protection hidden="1"/>
    </xf>
    <xf numFmtId="0" fontId="48" fillId="0" borderId="0" xfId="0" applyNumberFormat="1" applyFont="1" applyFill="1" applyBorder="1" applyAlignment="1" applyProtection="1">
      <protection hidden="1"/>
    </xf>
    <xf numFmtId="0" fontId="61" fillId="0" borderId="92" xfId="0" applyFont="1" applyFill="1" applyBorder="1" applyAlignment="1" applyProtection="1">
      <protection hidden="1"/>
    </xf>
    <xf numFmtId="0" fontId="48" fillId="0" borderId="92" xfId="0" applyFont="1" applyFill="1" applyBorder="1" applyAlignment="1" applyProtection="1">
      <protection hidden="1"/>
    </xf>
    <xf numFmtId="9" fontId="48" fillId="0" borderId="92" xfId="0" applyNumberFormat="1" applyFont="1" applyBorder="1" applyAlignment="1" applyProtection="1">
      <protection hidden="1"/>
    </xf>
    <xf numFmtId="0" fontId="48" fillId="0" borderId="92" xfId="0" applyFont="1" applyBorder="1" applyAlignment="1" applyProtection="1">
      <protection hidden="1"/>
    </xf>
    <xf numFmtId="0" fontId="5" fillId="0" borderId="0" xfId="0" applyFont="1" applyFill="1" applyBorder="1" applyAlignment="1" applyProtection="1">
      <protection hidden="1"/>
    </xf>
    <xf numFmtId="0" fontId="0" fillId="0" borderId="86" xfId="0" applyBorder="1"/>
    <xf numFmtId="0" fontId="0" fillId="0" borderId="91" xfId="0" applyBorder="1"/>
    <xf numFmtId="0" fontId="0" fillId="0" borderId="89" xfId="0" applyBorder="1"/>
    <xf numFmtId="0" fontId="0" fillId="0" borderId="87" xfId="0" applyBorder="1"/>
    <xf numFmtId="0" fontId="0" fillId="0" borderId="16" xfId="0" applyBorder="1"/>
    <xf numFmtId="0" fontId="0" fillId="0" borderId="81" xfId="0" applyBorder="1"/>
    <xf numFmtId="0" fontId="0" fillId="0" borderId="1" xfId="0" applyBorder="1"/>
    <xf numFmtId="0" fontId="0" fillId="0" borderId="6" xfId="0" applyBorder="1"/>
    <xf numFmtId="0" fontId="3" fillId="0" borderId="16" xfId="0" applyFont="1" applyBorder="1"/>
    <xf numFmtId="0" fontId="3" fillId="0" borderId="81" xfId="0" applyFont="1" applyBorder="1"/>
    <xf numFmtId="0" fontId="3" fillId="0" borderId="1" xfId="0" applyFont="1" applyBorder="1"/>
    <xf numFmtId="0" fontId="3" fillId="0" borderId="6" xfId="0" applyFont="1" applyBorder="1"/>
    <xf numFmtId="0" fontId="3" fillId="0" borderId="24" xfId="0" applyFont="1" applyBorder="1"/>
    <xf numFmtId="0" fontId="3" fillId="0" borderId="85" xfId="0" applyFont="1" applyBorder="1"/>
    <xf numFmtId="0" fontId="3" fillId="0" borderId="88" xfId="0" applyFont="1" applyBorder="1"/>
    <xf numFmtId="0" fontId="3" fillId="0" borderId="25" xfId="0" applyFont="1" applyBorder="1"/>
    <xf numFmtId="0" fontId="0" fillId="0" borderId="90" xfId="0" applyBorder="1"/>
    <xf numFmtId="0" fontId="0" fillId="0" borderId="0" xfId="0" applyBorder="1"/>
    <xf numFmtId="0" fontId="0" fillId="0" borderId="0" xfId="0" applyBorder="1" applyAlignment="1">
      <alignment horizontal="center"/>
    </xf>
    <xf numFmtId="0" fontId="0" fillId="0" borderId="0" xfId="0" applyBorder="1" applyAlignment="1">
      <alignment horizontal="left" indent="1"/>
    </xf>
    <xf numFmtId="0" fontId="0" fillId="0" borderId="0" xfId="0" applyBorder="1" applyAlignment="1">
      <alignment horizontal="right" indent="1"/>
    </xf>
    <xf numFmtId="0" fontId="0" fillId="0" borderId="0" xfId="0" applyFont="1" applyBorder="1"/>
    <xf numFmtId="0" fontId="67" fillId="0" borderId="0" xfId="0" applyFont="1" applyBorder="1"/>
    <xf numFmtId="0" fontId="3" fillId="0" borderId="0" xfId="0" applyFont="1" applyBorder="1" applyAlignment="1">
      <alignment horizontal="right"/>
    </xf>
    <xf numFmtId="0" fontId="3" fillId="0" borderId="0" xfId="0" quotePrefix="1" applyFont="1" applyBorder="1"/>
    <xf numFmtId="0" fontId="3" fillId="0" borderId="0" xfId="0" applyFont="1" applyBorder="1"/>
    <xf numFmtId="0" fontId="3" fillId="0" borderId="26" xfId="0" applyFont="1" applyBorder="1"/>
    <xf numFmtId="2" fontId="9" fillId="0" borderId="55" xfId="100" applyNumberFormat="1" applyBorder="1"/>
    <xf numFmtId="0" fontId="3" fillId="0" borderId="26" xfId="0" applyFont="1" applyFill="1" applyBorder="1" applyAlignment="1" applyProtection="1">
      <alignment horizontal="right"/>
      <protection hidden="1"/>
    </xf>
    <xf numFmtId="0" fontId="60" fillId="0" borderId="0" xfId="100" applyFont="1" applyBorder="1"/>
    <xf numFmtId="3" fontId="9" fillId="0" borderId="0" xfId="100" applyNumberFormat="1"/>
    <xf numFmtId="0" fontId="9" fillId="0" borderId="0" xfId="100" applyAlignment="1">
      <alignment horizontal="right"/>
    </xf>
    <xf numFmtId="1" fontId="9" fillId="0" borderId="0" xfId="100" quotePrefix="1" applyNumberFormat="1" applyAlignment="1">
      <alignment horizontal="center" vertical="center"/>
    </xf>
    <xf numFmtId="1" fontId="9" fillId="0" borderId="0" xfId="100" applyNumberFormat="1" applyAlignment="1">
      <alignment vertical="center"/>
    </xf>
    <xf numFmtId="0" fontId="9" fillId="0" borderId="0" xfId="100" applyNumberFormat="1" applyAlignment="1">
      <alignment vertical="center"/>
    </xf>
    <xf numFmtId="0" fontId="9" fillId="0" borderId="0" xfId="100" applyAlignment="1">
      <alignment shrinkToFit="1"/>
    </xf>
    <xf numFmtId="0" fontId="48" fillId="0" borderId="0" xfId="0" applyFont="1" applyBorder="1" applyAlignment="1" applyProtection="1">
      <alignment horizontal="center"/>
      <protection hidden="1"/>
    </xf>
    <xf numFmtId="0" fontId="0" fillId="0" borderId="0" xfId="0" applyAlignment="1">
      <alignment horizontal="center" vertical="center"/>
    </xf>
    <xf numFmtId="16" fontId="0" fillId="0" borderId="20" xfId="0" applyNumberFormat="1" applyBorder="1" applyAlignment="1">
      <alignment horizontal="center" vertical="center"/>
    </xf>
    <xf numFmtId="0" fontId="0" fillId="0" borderId="20" xfId="0" applyBorder="1" applyAlignment="1">
      <alignment horizontal="center" vertical="center"/>
    </xf>
    <xf numFmtId="0" fontId="0" fillId="0" borderId="95" xfId="0" applyBorder="1" applyAlignment="1">
      <alignment vertical="center"/>
    </xf>
    <xf numFmtId="0" fontId="0" fillId="0" borderId="56" xfId="0" applyBorder="1" applyAlignment="1">
      <alignment vertical="center"/>
    </xf>
    <xf numFmtId="176" fontId="0" fillId="0" borderId="56" xfId="0" applyNumberFormat="1" applyBorder="1" applyAlignment="1">
      <alignment vertical="center"/>
    </xf>
    <xf numFmtId="0" fontId="0" fillId="0" borderId="95" xfId="0" applyBorder="1" applyAlignment="1">
      <alignment horizontal="center" vertical="center"/>
    </xf>
    <xf numFmtId="0" fontId="0" fillId="0" borderId="20" xfId="0" applyBorder="1" applyAlignment="1">
      <alignment vertical="center"/>
    </xf>
    <xf numFmtId="0" fontId="0" fillId="0" borderId="0" xfId="0" applyAlignment="1">
      <alignment vertical="center"/>
    </xf>
    <xf numFmtId="49" fontId="0" fillId="0" borderId="56" xfId="0" applyNumberFormat="1" applyBorder="1" applyAlignment="1">
      <alignment vertical="center"/>
    </xf>
    <xf numFmtId="49" fontId="0" fillId="0" borderId="95" xfId="0" quotePrefix="1" applyNumberFormat="1" applyBorder="1" applyAlignment="1">
      <alignment horizontal="center" vertical="center"/>
    </xf>
    <xf numFmtId="49" fontId="0" fillId="0" borderId="20" xfId="0" quotePrefix="1" applyNumberFormat="1" applyBorder="1" applyAlignment="1">
      <alignment horizontal="center" vertical="center"/>
    </xf>
    <xf numFmtId="0" fontId="48" fillId="0" borderId="43" xfId="0" applyFont="1" applyBorder="1" applyProtection="1"/>
    <xf numFmtId="0" fontId="48" fillId="0" borderId="43" xfId="0" applyFont="1" applyBorder="1" applyAlignment="1" applyProtection="1">
      <alignment horizontal="right"/>
    </xf>
    <xf numFmtId="0" fontId="48" fillId="0" borderId="0" xfId="0" applyFont="1"/>
    <xf numFmtId="0" fontId="48" fillId="0" borderId="0" xfId="0" applyFont="1" applyProtection="1"/>
    <xf numFmtId="0" fontId="48" fillId="0" borderId="0" xfId="0" applyFont="1" applyAlignment="1" applyProtection="1">
      <alignment horizontal="right"/>
    </xf>
    <xf numFmtId="0" fontId="9" fillId="0" borderId="0" xfId="91" applyFont="1" applyProtection="1">
      <protection hidden="1"/>
    </xf>
    <xf numFmtId="0" fontId="9" fillId="0" borderId="0" xfId="91" applyFont="1" applyAlignment="1" applyProtection="1">
      <alignment horizontal="right"/>
      <protection hidden="1"/>
    </xf>
    <xf numFmtId="0" fontId="48" fillId="0" borderId="0" xfId="0" applyNumberFormat="1" applyFont="1"/>
    <xf numFmtId="0" fontId="48" fillId="0" borderId="0" xfId="0" applyNumberFormat="1" applyFont="1" applyAlignment="1">
      <alignment horizontal="right"/>
    </xf>
    <xf numFmtId="0" fontId="3" fillId="0" borderId="0" xfId="0" applyFont="1" applyFill="1" applyBorder="1" applyAlignment="1" applyProtection="1">
      <alignment vertical="center"/>
      <protection hidden="1"/>
    </xf>
    <xf numFmtId="0" fontId="3" fillId="0" borderId="0" xfId="0" quotePrefix="1" applyFont="1" applyFill="1" applyBorder="1" applyAlignment="1" applyProtection="1">
      <alignment vertical="center"/>
      <protection hidden="1"/>
    </xf>
    <xf numFmtId="0" fontId="4" fillId="0" borderId="26" xfId="0" applyFont="1" applyFill="1" applyBorder="1" applyAlignment="1" applyProtection="1">
      <alignment vertical="center"/>
      <protection hidden="1"/>
    </xf>
    <xf numFmtId="0" fontId="0" fillId="0" borderId="0" xfId="0" applyProtection="1">
      <protection hidden="1"/>
    </xf>
    <xf numFmtId="0" fontId="57" fillId="9" borderId="0" xfId="95" applyFont="1" applyFill="1" applyProtection="1">
      <protection hidden="1"/>
    </xf>
    <xf numFmtId="0" fontId="28" fillId="0" borderId="0" xfId="93" applyFont="1" applyProtection="1">
      <protection locked="0"/>
    </xf>
    <xf numFmtId="0" fontId="5" fillId="0" borderId="0" xfId="0" applyFont="1" applyAlignment="1" applyProtection="1">
      <alignment horizontal="center"/>
      <protection hidden="1"/>
    </xf>
    <xf numFmtId="0" fontId="48" fillId="0" borderId="0" xfId="0" applyFont="1" applyAlignment="1" applyProtection="1">
      <alignment horizontal="center"/>
      <protection hidden="1"/>
    </xf>
    <xf numFmtId="0" fontId="48" fillId="0" borderId="0" xfId="0" applyFont="1" applyBorder="1" applyAlignment="1" applyProtection="1">
      <alignment horizontal="center"/>
      <protection hidden="1"/>
    </xf>
    <xf numFmtId="0" fontId="4" fillId="0" borderId="0" xfId="0" applyFont="1" applyAlignment="1" applyProtection="1">
      <alignment horizontal="center"/>
      <protection hidden="1"/>
    </xf>
    <xf numFmtId="0" fontId="48" fillId="0" borderId="0" xfId="0" applyNumberFormat="1" applyFont="1" applyProtection="1">
      <protection hidden="1"/>
    </xf>
    <xf numFmtId="0" fontId="57" fillId="0" borderId="0" xfId="89" applyFont="1" applyProtection="1">
      <protection locked="0"/>
    </xf>
    <xf numFmtId="0" fontId="2" fillId="0" borderId="0" xfId="117" applyProtection="1">
      <protection locked="0"/>
    </xf>
    <xf numFmtId="0" fontId="57" fillId="0" borderId="0" xfId="95" applyFont="1" applyProtection="1">
      <protection locked="0"/>
    </xf>
    <xf numFmtId="0" fontId="2" fillId="0" borderId="0" xfId="116" applyProtection="1">
      <protection locked="0"/>
    </xf>
    <xf numFmtId="0" fontId="2" fillId="0" borderId="0" xfId="115" applyProtection="1">
      <protection locked="0"/>
    </xf>
    <xf numFmtId="0" fontId="2" fillId="0" borderId="0" xfId="114" applyProtection="1">
      <protection locked="0"/>
    </xf>
    <xf numFmtId="0" fontId="2" fillId="0" borderId="0" xfId="112" applyProtection="1">
      <protection locked="0"/>
    </xf>
    <xf numFmtId="0" fontId="2" fillId="0" borderId="0" xfId="111" applyProtection="1">
      <protection locked="0"/>
    </xf>
    <xf numFmtId="0" fontId="2" fillId="0" borderId="0" xfId="110" applyProtection="1">
      <protection locked="0"/>
    </xf>
    <xf numFmtId="0" fontId="2" fillId="0" borderId="0" xfId="109" applyProtection="1">
      <protection locked="0"/>
    </xf>
    <xf numFmtId="0" fontId="2" fillId="0" borderId="0" xfId="108" applyProtection="1">
      <protection locked="0"/>
    </xf>
    <xf numFmtId="0" fontId="2" fillId="0" borderId="0" xfId="107" applyProtection="1">
      <protection locked="0"/>
    </xf>
    <xf numFmtId="0" fontId="2" fillId="0" borderId="0" xfId="106" applyProtection="1">
      <protection locked="0"/>
    </xf>
    <xf numFmtId="0" fontId="57" fillId="0" borderId="0" xfId="93" applyFont="1" applyProtection="1">
      <protection locked="0"/>
    </xf>
    <xf numFmtId="0" fontId="49" fillId="0" borderId="0" xfId="93" applyFont="1" applyProtection="1">
      <protection locked="0"/>
    </xf>
    <xf numFmtId="0" fontId="2" fillId="0" borderId="0" xfId="105" applyProtection="1">
      <protection locked="0"/>
    </xf>
    <xf numFmtId="0" fontId="0" fillId="0" borderId="41" xfId="0" applyBorder="1" applyAlignment="1">
      <alignment horizontal="center"/>
    </xf>
    <xf numFmtId="0" fontId="0" fillId="0" borderId="40" xfId="0" applyBorder="1" applyAlignment="1">
      <alignment horizontal="center"/>
    </xf>
    <xf numFmtId="14" fontId="8" fillId="0" borderId="24" xfId="30" applyNumberFormat="1" applyFont="1" applyBorder="1" applyAlignment="1">
      <alignment horizontal="center" vertical="center"/>
    </xf>
    <xf numFmtId="14" fontId="8" fillId="0" borderId="26" xfId="30" applyNumberFormat="1" applyFont="1" applyBorder="1" applyAlignment="1">
      <alignment horizontal="center" vertical="center"/>
    </xf>
    <xf numFmtId="14" fontId="8" fillId="0" borderId="25" xfId="30" applyNumberFormat="1" applyFont="1" applyBorder="1" applyAlignment="1">
      <alignment horizontal="center" vertical="center"/>
    </xf>
    <xf numFmtId="181" fontId="8" fillId="0" borderId="24" xfId="30" applyNumberFormat="1" applyFont="1" applyBorder="1" applyAlignment="1">
      <alignment horizontal="center" vertical="center" shrinkToFit="1"/>
    </xf>
    <xf numFmtId="181" fontId="8" fillId="0" borderId="26" xfId="30" applyNumberFormat="1" applyFont="1" applyBorder="1" applyAlignment="1">
      <alignment horizontal="center" vertical="center" shrinkToFit="1"/>
    </xf>
    <xf numFmtId="181" fontId="8" fillId="0" borderId="25" xfId="30" applyNumberFormat="1" applyFont="1" applyBorder="1" applyAlignment="1">
      <alignment horizontal="center" vertical="center" shrinkToFit="1"/>
    </xf>
    <xf numFmtId="0" fontId="8" fillId="0" borderId="24" xfId="30" applyFont="1" applyBorder="1" applyAlignment="1">
      <alignment horizontal="center" vertical="center"/>
    </xf>
    <xf numFmtId="0" fontId="8" fillId="0" borderId="26" xfId="30" applyFont="1" applyBorder="1" applyAlignment="1">
      <alignment horizontal="center" vertical="center"/>
    </xf>
    <xf numFmtId="0" fontId="8" fillId="0" borderId="25" xfId="30" applyFont="1" applyBorder="1" applyAlignment="1">
      <alignment horizontal="center" vertical="center"/>
    </xf>
    <xf numFmtId="0" fontId="8" fillId="0" borderId="24" xfId="30" applyFont="1" applyBorder="1" applyAlignment="1">
      <alignment horizontal="center" vertical="center" wrapText="1"/>
    </xf>
    <xf numFmtId="0" fontId="8" fillId="0" borderId="26" xfId="30" applyFont="1" applyBorder="1" applyAlignment="1">
      <alignment horizontal="center" vertical="center" wrapText="1"/>
    </xf>
    <xf numFmtId="0" fontId="8" fillId="0" borderId="25" xfId="30" applyFont="1" applyBorder="1" applyAlignment="1">
      <alignment horizontal="center" vertical="center" wrapText="1"/>
    </xf>
    <xf numFmtId="0" fontId="0" fillId="0" borderId="38" xfId="0" applyBorder="1" applyAlignment="1">
      <alignment horizontal="center"/>
    </xf>
    <xf numFmtId="0" fontId="0" fillId="0" borderId="42" xfId="0" applyBorder="1" applyAlignment="1">
      <alignment horizontal="center"/>
    </xf>
    <xf numFmtId="0" fontId="51" fillId="0" borderId="0" xfId="0" applyFont="1" applyBorder="1" applyAlignment="1">
      <alignment vertical="center" wrapText="1"/>
    </xf>
    <xf numFmtId="0" fontId="0" fillId="0" borderId="0" xfId="0" applyBorder="1" applyAlignment="1">
      <alignment vertical="center" wrapText="1"/>
    </xf>
    <xf numFmtId="0" fontId="7" fillId="0" borderId="21" xfId="30" applyFont="1" applyBorder="1" applyAlignment="1">
      <alignment horizontal="center"/>
    </xf>
    <xf numFmtId="0" fontId="7" fillId="0" borderId="22" xfId="30" applyFont="1" applyBorder="1" applyAlignment="1">
      <alignment horizontal="center"/>
    </xf>
    <xf numFmtId="0" fontId="0" fillId="0" borderId="22" xfId="0" applyBorder="1" applyAlignment="1"/>
    <xf numFmtId="0" fontId="0" fillId="0" borderId="23" xfId="0" applyBorder="1" applyAlignment="1"/>
    <xf numFmtId="0" fontId="7" fillId="0" borderId="16" xfId="30" applyFont="1" applyBorder="1" applyAlignment="1">
      <alignment horizontal="center"/>
    </xf>
    <xf numFmtId="0" fontId="7" fillId="0" borderId="0" xfId="30" applyFont="1" applyBorder="1" applyAlignment="1">
      <alignment horizontal="center"/>
    </xf>
    <xf numFmtId="0" fontId="0" fillId="0" borderId="0" xfId="0" applyBorder="1" applyAlignment="1"/>
    <xf numFmtId="0" fontId="0" fillId="0" borderId="6" xfId="0" applyBorder="1" applyAlignment="1"/>
    <xf numFmtId="0" fontId="7" fillId="0" borderId="24" xfId="30" applyFont="1" applyBorder="1" applyAlignment="1">
      <alignment horizontal="center"/>
    </xf>
    <xf numFmtId="0" fontId="7" fillId="0" borderId="26" xfId="30" applyFont="1" applyBorder="1" applyAlignment="1">
      <alignment horizontal="center"/>
    </xf>
    <xf numFmtId="0" fontId="0" fillId="0" borderId="26" xfId="0" applyBorder="1" applyAlignment="1"/>
    <xf numFmtId="0" fontId="0" fillId="0" borderId="25" xfId="0" applyBorder="1" applyAlignment="1"/>
    <xf numFmtId="0" fontId="0" fillId="0" borderId="39" xfId="0" applyBorder="1" applyAlignment="1">
      <alignment horizontal="center"/>
    </xf>
    <xf numFmtId="0" fontId="7" fillId="0" borderId="26" xfId="0" applyFont="1" applyBorder="1" applyAlignment="1">
      <alignment horizontal="center" vertical="center" wrapText="1"/>
    </xf>
    <xf numFmtId="0" fontId="7" fillId="0" borderId="25" xfId="0" applyFont="1" applyBorder="1" applyAlignment="1">
      <alignment horizontal="center" vertical="center" wrapText="1"/>
    </xf>
    <xf numFmtId="49" fontId="8" fillId="0" borderId="24" xfId="30" applyNumberFormat="1" applyFont="1" applyBorder="1" applyAlignment="1">
      <alignment horizontal="center" vertical="center"/>
    </xf>
    <xf numFmtId="49" fontId="8" fillId="0" borderId="26" xfId="30" applyNumberFormat="1" applyFont="1" applyBorder="1" applyAlignment="1">
      <alignment horizontal="center" vertical="center"/>
    </xf>
    <xf numFmtId="49" fontId="8" fillId="0" borderId="25" xfId="30" applyNumberFormat="1" applyFont="1" applyBorder="1" applyAlignment="1">
      <alignment horizontal="center" vertical="center"/>
    </xf>
    <xf numFmtId="0" fontId="0" fillId="0" borderId="0" xfId="0" applyBorder="1" applyAlignment="1">
      <alignment wrapText="1"/>
    </xf>
    <xf numFmtId="0" fontId="3" fillId="0" borderId="0" xfId="0" quotePrefix="1" applyFont="1" applyBorder="1" applyAlignment="1">
      <alignment wrapText="1"/>
    </xf>
    <xf numFmtId="0" fontId="48" fillId="8" borderId="94" xfId="0" applyNumberFormat="1" applyFont="1" applyFill="1" applyBorder="1" applyAlignment="1" applyProtection="1">
      <alignment horizontal="center"/>
      <protection locked="0" hidden="1"/>
    </xf>
    <xf numFmtId="0" fontId="48" fillId="8" borderId="17" xfId="0" applyNumberFormat="1" applyFont="1" applyFill="1" applyBorder="1" applyAlignment="1" applyProtection="1">
      <alignment horizontal="center"/>
      <protection locked="0" hidden="1"/>
    </xf>
    <xf numFmtId="0" fontId="48" fillId="8" borderId="61" xfId="0" applyNumberFormat="1" applyFont="1" applyFill="1" applyBorder="1" applyAlignment="1" applyProtection="1">
      <alignment horizontal="center"/>
      <protection locked="0" hidden="1"/>
    </xf>
    <xf numFmtId="0" fontId="48" fillId="0" borderId="0" xfId="0" applyFont="1" applyAlignment="1" applyProtection="1">
      <alignment horizontal="center"/>
      <protection hidden="1"/>
    </xf>
    <xf numFmtId="0" fontId="48" fillId="0" borderId="0" xfId="0" applyFont="1" applyAlignment="1" applyProtection="1">
      <alignment horizontal="center" shrinkToFit="1"/>
      <protection hidden="1"/>
    </xf>
    <xf numFmtId="0" fontId="48" fillId="0" borderId="94" xfId="0" applyFont="1" applyBorder="1" applyAlignment="1" applyProtection="1">
      <alignment horizontal="center"/>
      <protection hidden="1"/>
    </xf>
    <xf numFmtId="0" fontId="48" fillId="0" borderId="17" xfId="0" applyFont="1" applyBorder="1" applyAlignment="1" applyProtection="1">
      <alignment horizontal="center"/>
      <protection hidden="1"/>
    </xf>
    <xf numFmtId="0" fontId="48" fillId="0" borderId="61" xfId="0" applyFont="1" applyBorder="1" applyAlignment="1" applyProtection="1">
      <alignment horizontal="center"/>
      <protection hidden="1"/>
    </xf>
    <xf numFmtId="0" fontId="5" fillId="0" borderId="0" xfId="0" applyFont="1" applyAlignment="1" applyProtection="1">
      <alignment horizontal="center"/>
      <protection hidden="1"/>
    </xf>
    <xf numFmtId="0" fontId="48" fillId="0" borderId="74" xfId="0" applyNumberFormat="1" applyFont="1" applyFill="1" applyBorder="1" applyAlignment="1" applyProtection="1">
      <alignment horizontal="center"/>
      <protection hidden="1"/>
    </xf>
    <xf numFmtId="0" fontId="48" fillId="0" borderId="75" xfId="0" applyNumberFormat="1" applyFont="1" applyFill="1" applyBorder="1" applyAlignment="1" applyProtection="1">
      <alignment horizontal="center"/>
      <protection hidden="1"/>
    </xf>
    <xf numFmtId="0" fontId="48" fillId="0" borderId="79" xfId="0" applyNumberFormat="1" applyFont="1" applyFill="1" applyBorder="1" applyAlignment="1" applyProtection="1">
      <alignment horizontal="center"/>
      <protection hidden="1"/>
    </xf>
    <xf numFmtId="0" fontId="48" fillId="0" borderId="18" xfId="0" applyNumberFormat="1" applyFont="1" applyFill="1" applyBorder="1" applyAlignment="1" applyProtection="1">
      <alignment horizontal="center"/>
      <protection hidden="1"/>
    </xf>
    <xf numFmtId="0" fontId="48" fillId="0" borderId="10" xfId="0" applyNumberFormat="1" applyFont="1" applyFill="1" applyBorder="1" applyAlignment="1" applyProtection="1">
      <alignment horizontal="center"/>
      <protection hidden="1"/>
    </xf>
    <xf numFmtId="0" fontId="48" fillId="0" borderId="76" xfId="0" applyNumberFormat="1" applyFont="1" applyFill="1" applyBorder="1" applyAlignment="1" applyProtection="1">
      <alignment horizontal="center"/>
      <protection hidden="1"/>
    </xf>
    <xf numFmtId="0" fontId="48" fillId="8" borderId="77" xfId="0" applyNumberFormat="1" applyFont="1" applyFill="1" applyBorder="1" applyAlignment="1" applyProtection="1">
      <alignment horizontal="center"/>
      <protection locked="0" hidden="1"/>
    </xf>
    <xf numFmtId="0" fontId="48" fillId="8" borderId="78" xfId="0" applyNumberFormat="1" applyFont="1" applyFill="1" applyBorder="1" applyAlignment="1" applyProtection="1">
      <alignment horizontal="center"/>
      <protection locked="0" hidden="1"/>
    </xf>
    <xf numFmtId="0" fontId="48" fillId="8" borderId="84" xfId="0" applyNumberFormat="1" applyFont="1" applyFill="1" applyBorder="1" applyAlignment="1" applyProtection="1">
      <alignment horizontal="center"/>
      <protection locked="0" hidden="1"/>
    </xf>
    <xf numFmtId="0" fontId="49" fillId="0" borderId="90" xfId="0" applyNumberFormat="1" applyFont="1" applyBorder="1" applyAlignment="1" applyProtection="1">
      <alignment horizontal="center" vertical="center" wrapText="1"/>
      <protection hidden="1"/>
    </xf>
    <xf numFmtId="0" fontId="48" fillId="0" borderId="90" xfId="0" applyNumberFormat="1" applyFont="1" applyBorder="1" applyAlignment="1" applyProtection="1">
      <alignment vertical="center" wrapText="1"/>
      <protection hidden="1"/>
    </xf>
    <xf numFmtId="0" fontId="48" fillId="0" borderId="92" xfId="0" applyNumberFormat="1" applyFont="1" applyBorder="1" applyAlignment="1" applyProtection="1">
      <alignment vertical="center" wrapText="1"/>
      <protection hidden="1"/>
    </xf>
    <xf numFmtId="0" fontId="48" fillId="0" borderId="91" xfId="0" applyNumberFormat="1" applyFont="1" applyBorder="1" applyAlignment="1" applyProtection="1">
      <alignment vertical="center" wrapText="1"/>
      <protection hidden="1"/>
    </xf>
    <xf numFmtId="0" fontId="48" fillId="0" borderId="55" xfId="0" applyNumberFormat="1" applyFont="1" applyBorder="1" applyAlignment="1" applyProtection="1">
      <alignment vertical="center" wrapText="1"/>
      <protection hidden="1"/>
    </xf>
    <xf numFmtId="0" fontId="8" fillId="0" borderId="24" xfId="30" applyFont="1" applyBorder="1" applyAlignment="1" applyProtection="1">
      <alignment horizontal="center" vertical="center" wrapText="1"/>
      <protection hidden="1"/>
    </xf>
    <xf numFmtId="0" fontId="8" fillId="0" borderId="26" xfId="30" applyFont="1" applyBorder="1" applyAlignment="1" applyProtection="1">
      <alignment horizontal="center" vertical="center" wrapText="1"/>
      <protection hidden="1"/>
    </xf>
    <xf numFmtId="0" fontId="8" fillId="0" borderId="25" xfId="30" applyFont="1" applyBorder="1" applyAlignment="1" applyProtection="1">
      <alignment horizontal="center" vertical="center" wrapText="1"/>
      <protection hidden="1"/>
    </xf>
    <xf numFmtId="49" fontId="8" fillId="0" borderId="24" xfId="30" applyNumberFormat="1" applyFont="1" applyBorder="1" applyAlignment="1" applyProtection="1">
      <alignment horizontal="center" vertical="center"/>
      <protection hidden="1"/>
    </xf>
    <xf numFmtId="49" fontId="8" fillId="0" borderId="26" xfId="30" applyNumberFormat="1" applyFont="1" applyBorder="1" applyAlignment="1" applyProtection="1">
      <alignment horizontal="center" vertical="center"/>
      <protection hidden="1"/>
    </xf>
    <xf numFmtId="49" fontId="8" fillId="0" borderId="25" xfId="30" applyNumberFormat="1" applyFont="1" applyBorder="1" applyAlignment="1" applyProtection="1">
      <alignment horizontal="center" vertical="center"/>
      <protection hidden="1"/>
    </xf>
    <xf numFmtId="0" fontId="48" fillId="0" borderId="41" xfId="0" applyFont="1" applyBorder="1" applyAlignment="1" applyProtection="1">
      <alignment horizontal="right"/>
      <protection hidden="1"/>
    </xf>
    <xf numFmtId="0" fontId="48" fillId="0" borderId="38" xfId="0" applyFont="1" applyBorder="1" applyAlignment="1" applyProtection="1">
      <alignment horizontal="right"/>
      <protection hidden="1"/>
    </xf>
    <xf numFmtId="0" fontId="48" fillId="0" borderId="42" xfId="0" applyFont="1" applyBorder="1" applyAlignment="1" applyProtection="1">
      <alignment horizontal="right"/>
      <protection hidden="1"/>
    </xf>
    <xf numFmtId="181" fontId="8" fillId="0" borderId="24" xfId="30" applyNumberFormat="1" applyFont="1" applyBorder="1" applyAlignment="1" applyProtection="1">
      <alignment horizontal="center" vertical="center" shrinkToFit="1"/>
      <protection hidden="1"/>
    </xf>
    <xf numFmtId="181" fontId="8" fillId="0" borderId="26" xfId="30" applyNumberFormat="1" applyFont="1" applyBorder="1" applyAlignment="1" applyProtection="1">
      <alignment horizontal="center" vertical="center" shrinkToFit="1"/>
      <protection hidden="1"/>
    </xf>
    <xf numFmtId="181" fontId="8" fillId="0" borderId="25" xfId="30" applyNumberFormat="1" applyFont="1" applyBorder="1" applyAlignment="1" applyProtection="1">
      <alignment horizontal="center" vertical="center" shrinkToFit="1"/>
      <protection hidden="1"/>
    </xf>
    <xf numFmtId="14" fontId="8" fillId="0" borderId="24" xfId="30" applyNumberFormat="1" applyFont="1" applyBorder="1" applyAlignment="1" applyProtection="1">
      <alignment horizontal="center" vertical="center"/>
      <protection hidden="1"/>
    </xf>
    <xf numFmtId="14" fontId="8" fillId="0" borderId="26" xfId="30" applyNumberFormat="1" applyFont="1" applyBorder="1" applyAlignment="1" applyProtection="1">
      <alignment horizontal="center" vertical="center"/>
      <protection hidden="1"/>
    </xf>
    <xf numFmtId="14" fontId="8" fillId="0" borderId="25" xfId="30" applyNumberFormat="1" applyFont="1" applyBorder="1" applyAlignment="1" applyProtection="1">
      <alignment horizontal="center" vertical="center"/>
      <protection hidden="1"/>
    </xf>
    <xf numFmtId="0" fontId="8" fillId="0" borderId="24" xfId="30" applyFont="1" applyBorder="1" applyAlignment="1" applyProtection="1">
      <alignment horizontal="center" vertical="center"/>
      <protection hidden="1"/>
    </xf>
    <xf numFmtId="0" fontId="8" fillId="0" borderId="26" xfId="30" applyFont="1" applyBorder="1" applyAlignment="1" applyProtection="1">
      <alignment horizontal="center" vertical="center"/>
      <protection hidden="1"/>
    </xf>
    <xf numFmtId="0" fontId="8" fillId="0" borderId="25" xfId="30" applyFont="1" applyBorder="1" applyAlignment="1" applyProtection="1">
      <alignment horizontal="center" vertical="center"/>
      <protection hidden="1"/>
    </xf>
    <xf numFmtId="0" fontId="48" fillId="0" borderId="39" xfId="0" applyFont="1" applyBorder="1" applyAlignment="1" applyProtection="1">
      <alignment horizontal="center"/>
      <protection hidden="1"/>
    </xf>
    <xf numFmtId="0" fontId="48" fillId="0" borderId="42" xfId="0" applyFont="1" applyBorder="1" applyAlignment="1" applyProtection="1">
      <alignment horizontal="center"/>
      <protection hidden="1"/>
    </xf>
    <xf numFmtId="0" fontId="48" fillId="8" borderId="18" xfId="0" applyNumberFormat="1" applyFont="1" applyFill="1" applyBorder="1" applyAlignment="1" applyProtection="1">
      <alignment horizontal="center"/>
      <protection locked="0" hidden="1"/>
    </xf>
    <xf numFmtId="0" fontId="48" fillId="8" borderId="10" xfId="0" applyNumberFormat="1" applyFont="1" applyFill="1" applyBorder="1" applyAlignment="1" applyProtection="1">
      <alignment horizontal="center"/>
      <protection locked="0" hidden="1"/>
    </xf>
    <xf numFmtId="0" fontId="48" fillId="0" borderId="41" xfId="0" applyFont="1" applyBorder="1" applyAlignment="1" applyProtection="1">
      <alignment horizontal="center"/>
      <protection hidden="1"/>
    </xf>
    <xf numFmtId="0" fontId="48" fillId="0" borderId="40" xfId="0" applyFont="1" applyBorder="1" applyAlignment="1" applyProtection="1">
      <alignment horizontal="center"/>
      <protection hidden="1"/>
    </xf>
    <xf numFmtId="182" fontId="48" fillId="8" borderId="93" xfId="0" applyNumberFormat="1" applyFont="1" applyFill="1" applyBorder="1" applyAlignment="1" applyProtection="1">
      <alignment horizontal="center"/>
      <protection locked="0" hidden="1"/>
    </xf>
    <xf numFmtId="182" fontId="48" fillId="8" borderId="2" xfId="0" applyNumberFormat="1" applyFont="1" applyFill="1" applyBorder="1" applyAlignment="1" applyProtection="1">
      <alignment horizontal="center"/>
      <protection locked="0" hidden="1"/>
    </xf>
    <xf numFmtId="182" fontId="48" fillId="8" borderId="34" xfId="0" applyNumberFormat="1" applyFont="1" applyFill="1" applyBorder="1" applyAlignment="1" applyProtection="1">
      <alignment horizontal="center"/>
      <protection locked="0" hidden="1"/>
    </xf>
    <xf numFmtId="0" fontId="48" fillId="8" borderId="76" xfId="0" applyNumberFormat="1" applyFont="1" applyFill="1" applyBorder="1" applyAlignment="1" applyProtection="1">
      <alignment horizontal="center"/>
      <protection locked="0" hidden="1"/>
    </xf>
    <xf numFmtId="0" fontId="48" fillId="8" borderId="18" xfId="0" applyFont="1" applyFill="1" applyBorder="1" applyAlignment="1" applyProtection="1">
      <alignment horizontal="center"/>
      <protection hidden="1"/>
    </xf>
    <xf numFmtId="0" fontId="48" fillId="8" borderId="10" xfId="0" applyFont="1" applyFill="1" applyBorder="1" applyAlignment="1" applyProtection="1">
      <alignment horizontal="center"/>
      <protection hidden="1"/>
    </xf>
    <xf numFmtId="0" fontId="48" fillId="8" borderId="76" xfId="0" applyFont="1" applyFill="1" applyBorder="1" applyAlignment="1" applyProtection="1">
      <alignment horizontal="center"/>
      <protection hidden="1"/>
    </xf>
    <xf numFmtId="0" fontId="48" fillId="8" borderId="18" xfId="0" applyFont="1" applyFill="1" applyBorder="1" applyAlignment="1" applyProtection="1">
      <alignment horizontal="center"/>
      <protection locked="0" hidden="1"/>
    </xf>
    <xf numFmtId="0" fontId="48" fillId="8" borderId="10" xfId="0" applyFont="1" applyFill="1" applyBorder="1" applyAlignment="1" applyProtection="1">
      <alignment horizontal="center"/>
      <protection locked="0" hidden="1"/>
    </xf>
    <xf numFmtId="0" fontId="48" fillId="8" borderId="76" xfId="0" applyFont="1" applyFill="1" applyBorder="1" applyAlignment="1" applyProtection="1">
      <alignment horizontal="center"/>
      <protection locked="0" hidden="1"/>
    </xf>
    <xf numFmtId="49" fontId="48" fillId="8" borderId="18" xfId="0" applyNumberFormat="1" applyFont="1" applyFill="1" applyBorder="1" applyAlignment="1" applyProtection="1">
      <alignment horizontal="center"/>
      <protection locked="0" hidden="1"/>
    </xf>
    <xf numFmtId="49" fontId="48" fillId="8" borderId="10" xfId="0" applyNumberFormat="1" applyFont="1" applyFill="1" applyBorder="1" applyAlignment="1" applyProtection="1">
      <alignment horizontal="center"/>
      <protection locked="0" hidden="1"/>
    </xf>
    <xf numFmtId="49" fontId="48" fillId="8" borderId="76" xfId="0" applyNumberFormat="1" applyFont="1" applyFill="1" applyBorder="1" applyAlignment="1" applyProtection="1">
      <alignment horizontal="center"/>
      <protection locked="0" hidden="1"/>
    </xf>
    <xf numFmtId="0" fontId="48" fillId="0" borderId="89" xfId="0" applyNumberFormat="1" applyFont="1" applyFill="1" applyBorder="1" applyAlignment="1" applyProtection="1">
      <alignment horizontal="center"/>
      <protection hidden="1"/>
    </xf>
    <xf numFmtId="0" fontId="48" fillId="0" borderId="90" xfId="0" applyNumberFormat="1" applyFont="1" applyFill="1" applyBorder="1" applyAlignment="1" applyProtection="1">
      <alignment horizontal="center"/>
      <protection hidden="1"/>
    </xf>
    <xf numFmtId="0" fontId="48" fillId="0" borderId="91" xfId="0" applyNumberFormat="1" applyFont="1" applyFill="1" applyBorder="1" applyAlignment="1" applyProtection="1">
      <alignment horizontal="center"/>
      <protection hidden="1"/>
    </xf>
    <xf numFmtId="0" fontId="48" fillId="0" borderId="93" xfId="0" applyNumberFormat="1" applyFont="1" applyFill="1" applyBorder="1" applyAlignment="1" applyProtection="1">
      <alignment horizontal="center"/>
      <protection hidden="1"/>
    </xf>
    <xf numFmtId="0" fontId="48" fillId="0" borderId="2" xfId="0" applyNumberFormat="1" applyFont="1" applyFill="1" applyBorder="1" applyAlignment="1" applyProtection="1">
      <alignment horizontal="center"/>
      <protection hidden="1"/>
    </xf>
    <xf numFmtId="0" fontId="48" fillId="0" borderId="34" xfId="0" applyNumberFormat="1" applyFont="1" applyFill="1" applyBorder="1" applyAlignment="1" applyProtection="1">
      <alignment horizontal="center"/>
      <protection hidden="1"/>
    </xf>
    <xf numFmtId="0" fontId="48" fillId="0" borderId="77" xfId="0" quotePrefix="1" applyFont="1" applyFill="1" applyBorder="1" applyAlignment="1" applyProtection="1">
      <alignment horizontal="center"/>
      <protection locked="0" hidden="1"/>
    </xf>
    <xf numFmtId="0" fontId="48" fillId="0" borderId="78" xfId="0" applyFont="1" applyFill="1" applyBorder="1" applyAlignment="1" applyProtection="1">
      <alignment horizontal="center"/>
      <protection locked="0" hidden="1"/>
    </xf>
    <xf numFmtId="0" fontId="48" fillId="0" borderId="84" xfId="0" applyFont="1" applyFill="1" applyBorder="1" applyAlignment="1" applyProtection="1">
      <alignment horizontal="center"/>
      <protection locked="0" hidden="1"/>
    </xf>
    <xf numFmtId="0" fontId="48" fillId="0" borderId="77" xfId="0" applyNumberFormat="1" applyFont="1" applyFill="1" applyBorder="1" applyAlignment="1" applyProtection="1">
      <alignment horizontal="center"/>
      <protection hidden="1"/>
    </xf>
    <xf numFmtId="0" fontId="48" fillId="0" borderId="78" xfId="0" applyNumberFormat="1" applyFont="1" applyFill="1" applyBorder="1" applyAlignment="1" applyProtection="1">
      <alignment horizontal="center"/>
      <protection hidden="1"/>
    </xf>
    <xf numFmtId="0" fontId="48" fillId="0" borderId="84" xfId="0" applyNumberFormat="1" applyFont="1" applyFill="1" applyBorder="1" applyAlignment="1" applyProtection="1">
      <alignment horizontal="center"/>
      <protection hidden="1"/>
    </xf>
    <xf numFmtId="0" fontId="49" fillId="0" borderId="5" xfId="0" applyFont="1" applyBorder="1" applyAlignment="1" applyProtection="1">
      <alignment horizontal="center"/>
      <protection hidden="1"/>
    </xf>
    <xf numFmtId="0" fontId="49" fillId="0" borderId="92" xfId="0" applyFont="1" applyBorder="1" applyAlignment="1" applyProtection="1">
      <alignment horizontal="center"/>
      <protection hidden="1"/>
    </xf>
    <xf numFmtId="183" fontId="49" fillId="0" borderId="92" xfId="0" applyNumberFormat="1" applyFont="1" applyBorder="1" applyAlignment="1" applyProtection="1">
      <alignment horizontal="center"/>
      <protection hidden="1"/>
    </xf>
    <xf numFmtId="0" fontId="49" fillId="0" borderId="92" xfId="0" applyNumberFormat="1" applyFont="1" applyBorder="1" applyAlignment="1" applyProtection="1">
      <alignment horizontal="center"/>
      <protection hidden="1"/>
    </xf>
    <xf numFmtId="0" fontId="49" fillId="0" borderId="55" xfId="0" applyNumberFormat="1" applyFont="1" applyBorder="1" applyAlignment="1" applyProtection="1">
      <alignment horizontal="center"/>
      <protection hidden="1"/>
    </xf>
    <xf numFmtId="0" fontId="49" fillId="0" borderId="1" xfId="0" applyFont="1" applyBorder="1" applyAlignment="1" applyProtection="1">
      <alignment horizontal="center"/>
      <protection hidden="1"/>
    </xf>
    <xf numFmtId="0" fontId="49" fillId="0" borderId="0" xfId="0" applyFont="1" applyBorder="1" applyAlignment="1" applyProtection="1">
      <alignment horizontal="center"/>
      <protection hidden="1"/>
    </xf>
    <xf numFmtId="183" fontId="49" fillId="0" borderId="0" xfId="0" applyNumberFormat="1" applyFont="1" applyBorder="1" applyAlignment="1" applyProtection="1">
      <alignment horizontal="center"/>
      <protection hidden="1"/>
    </xf>
    <xf numFmtId="0" fontId="49" fillId="0" borderId="0" xfId="0" applyNumberFormat="1" applyFont="1" applyBorder="1" applyAlignment="1" applyProtection="1">
      <alignment horizontal="center"/>
      <protection hidden="1"/>
    </xf>
    <xf numFmtId="0" fontId="49" fillId="0" borderId="81" xfId="0" applyNumberFormat="1" applyFont="1" applyBorder="1" applyAlignment="1" applyProtection="1">
      <alignment horizontal="center"/>
      <protection hidden="1"/>
    </xf>
    <xf numFmtId="0" fontId="48" fillId="0" borderId="0" xfId="0" applyFont="1" applyBorder="1" applyAlignment="1" applyProtection="1">
      <alignment horizontal="center"/>
      <protection hidden="1"/>
    </xf>
    <xf numFmtId="0" fontId="4" fillId="0" borderId="0" xfId="0" applyFont="1" applyAlignment="1" applyProtection="1">
      <alignment horizontal="center"/>
      <protection hidden="1"/>
    </xf>
    <xf numFmtId="0" fontId="48" fillId="0" borderId="21" xfId="30" applyFont="1" applyBorder="1" applyAlignment="1" applyProtection="1">
      <alignment horizontal="center"/>
      <protection hidden="1"/>
    </xf>
    <xf numFmtId="0" fontId="48" fillId="0" borderId="22" xfId="30" applyFont="1" applyBorder="1" applyAlignment="1" applyProtection="1">
      <alignment horizontal="center"/>
      <protection hidden="1"/>
    </xf>
    <xf numFmtId="0" fontId="48" fillId="0" borderId="23" xfId="30" applyFont="1" applyBorder="1" applyAlignment="1" applyProtection="1">
      <alignment horizontal="center"/>
      <protection hidden="1"/>
    </xf>
    <xf numFmtId="0" fontId="48" fillId="0" borderId="16" xfId="30" applyFont="1" applyBorder="1" applyAlignment="1" applyProtection="1">
      <alignment horizontal="center"/>
      <protection hidden="1"/>
    </xf>
    <xf numFmtId="0" fontId="48" fillId="0" borderId="0" xfId="30" applyFont="1" applyBorder="1" applyAlignment="1" applyProtection="1">
      <alignment horizontal="center"/>
      <protection hidden="1"/>
    </xf>
    <xf numFmtId="0" fontId="48" fillId="0" borderId="6" xfId="30" applyFont="1" applyBorder="1" applyAlignment="1" applyProtection="1">
      <alignment horizontal="center"/>
      <protection hidden="1"/>
    </xf>
    <xf numFmtId="0" fontId="48" fillId="0" borderId="24" xfId="30" applyFont="1" applyBorder="1" applyAlignment="1" applyProtection="1">
      <alignment horizontal="center"/>
      <protection hidden="1"/>
    </xf>
    <xf numFmtId="0" fontId="48" fillId="0" borderId="26" xfId="30" applyFont="1" applyBorder="1" applyAlignment="1" applyProtection="1">
      <alignment horizontal="center"/>
      <protection hidden="1"/>
    </xf>
    <xf numFmtId="0" fontId="48" fillId="0" borderId="25" xfId="30" applyFont="1" applyBorder="1" applyAlignment="1" applyProtection="1">
      <alignment horizontal="center"/>
      <protection hidden="1"/>
    </xf>
    <xf numFmtId="0" fontId="48" fillId="8" borderId="72" xfId="0" applyFont="1" applyFill="1" applyBorder="1" applyAlignment="1" applyProtection="1">
      <alignment horizontal="center"/>
      <protection locked="0" hidden="1"/>
    </xf>
    <xf numFmtId="0" fontId="48" fillId="8" borderId="73" xfId="0" applyFont="1" applyFill="1" applyBorder="1" applyAlignment="1" applyProtection="1">
      <alignment horizontal="center"/>
      <protection locked="0" hidden="1"/>
    </xf>
    <xf numFmtId="0" fontId="48" fillId="8" borderId="83" xfId="0" applyFont="1" applyFill="1" applyBorder="1" applyAlignment="1" applyProtection="1">
      <alignment horizontal="center"/>
      <protection locked="0" hidden="1"/>
    </xf>
    <xf numFmtId="0" fontId="48" fillId="8" borderId="72" xfId="0" applyFont="1" applyFill="1" applyBorder="1" applyAlignment="1" applyProtection="1">
      <alignment horizontal="center"/>
      <protection hidden="1"/>
    </xf>
    <xf numFmtId="0" fontId="48" fillId="8" borderId="73" xfId="0" applyFont="1" applyFill="1" applyBorder="1" applyAlignment="1" applyProtection="1">
      <alignment horizontal="center"/>
      <protection hidden="1"/>
    </xf>
    <xf numFmtId="0" fontId="48" fillId="8" borderId="83" xfId="0" applyFont="1" applyFill="1" applyBorder="1" applyAlignment="1" applyProtection="1">
      <alignment horizontal="center"/>
      <protection hidden="1"/>
    </xf>
    <xf numFmtId="0" fontId="48" fillId="0" borderId="78" xfId="0" applyFont="1" applyBorder="1" applyAlignment="1" applyProtection="1">
      <alignment horizontal="center"/>
      <protection hidden="1"/>
    </xf>
    <xf numFmtId="0" fontId="29" fillId="0" borderId="0" xfId="0" applyFont="1" applyAlignment="1" applyProtection="1">
      <alignment horizontal="center" vertical="center" wrapText="1"/>
    </xf>
    <xf numFmtId="0" fontId="52" fillId="0" borderId="44" xfId="91" applyFont="1" applyBorder="1" applyAlignment="1" applyProtection="1">
      <alignment horizontal="center" vertical="center" wrapText="1"/>
      <protection hidden="1"/>
    </xf>
    <xf numFmtId="0" fontId="9" fillId="0" borderId="13" xfId="0" applyFont="1" applyBorder="1" applyAlignment="1" applyProtection="1">
      <alignment horizontal="center" vertical="center" wrapText="1"/>
    </xf>
    <xf numFmtId="0" fontId="9" fillId="0" borderId="45" xfId="0" applyFont="1" applyBorder="1" applyAlignment="1" applyProtection="1">
      <alignment horizontal="center" vertical="center" wrapText="1"/>
    </xf>
    <xf numFmtId="0" fontId="0" fillId="0" borderId="20" xfId="0" applyBorder="1" applyAlignment="1">
      <alignment horizontal="center" vertical="center"/>
    </xf>
    <xf numFmtId="0" fontId="0" fillId="0" borderId="20" xfId="0" applyBorder="1" applyAlignment="1">
      <alignment horizontal="center" vertical="center" wrapText="1"/>
    </xf>
    <xf numFmtId="0" fontId="0" fillId="0" borderId="95" xfId="0" applyBorder="1" applyAlignment="1">
      <alignment horizontal="center" vertical="center" wrapText="1"/>
    </xf>
    <xf numFmtId="0" fontId="0" fillId="0" borderId="56" xfId="0" applyBorder="1" applyAlignment="1">
      <alignment horizontal="center" vertical="center" wrapText="1"/>
    </xf>
    <xf numFmtId="1" fontId="9" fillId="0" borderId="0" xfId="100" applyNumberFormat="1" applyAlignment="1">
      <alignment horizontal="center" vertical="center" shrinkToFit="1"/>
    </xf>
    <xf numFmtId="0" fontId="0" fillId="0" borderId="0" xfId="0" applyAlignment="1">
      <alignment horizontal="center" vertical="center" shrinkToFit="1"/>
    </xf>
    <xf numFmtId="0" fontId="69" fillId="0" borderId="0" xfId="0" applyNumberFormat="1" applyFont="1" applyProtection="1">
      <protection hidden="1"/>
    </xf>
    <xf numFmtId="0" fontId="48" fillId="8" borderId="41" xfId="0" applyFont="1" applyFill="1" applyBorder="1" applyAlignment="1" applyProtection="1">
      <alignment horizontal="center" shrinkToFit="1"/>
      <protection locked="0" hidden="1"/>
    </xf>
    <xf numFmtId="0" fontId="48" fillId="8" borderId="38" xfId="0" applyFont="1" applyFill="1" applyBorder="1" applyAlignment="1" applyProtection="1">
      <alignment horizontal="center" shrinkToFit="1"/>
      <protection locked="0" hidden="1"/>
    </xf>
    <xf numFmtId="0" fontId="48" fillId="8" borderId="42" xfId="0" applyFont="1" applyFill="1" applyBorder="1" applyAlignment="1" applyProtection="1">
      <alignment horizontal="center" shrinkToFit="1"/>
      <protection locked="0" hidden="1"/>
    </xf>
    <xf numFmtId="0" fontId="49" fillId="0" borderId="73" xfId="0" applyNumberFormat="1" applyFont="1" applyBorder="1" applyAlignment="1" applyProtection="1">
      <alignment horizontal="center"/>
      <protection locked="0" hidden="1"/>
    </xf>
    <xf numFmtId="0" fontId="49" fillId="0" borderId="83" xfId="0" applyNumberFormat="1" applyFont="1" applyBorder="1" applyAlignment="1" applyProtection="1">
      <alignment horizontal="center"/>
      <protection locked="0" hidden="1"/>
    </xf>
    <xf numFmtId="0" fontId="49" fillId="0" borderId="10" xfId="0" applyNumberFormat="1" applyFont="1" applyBorder="1" applyAlignment="1" applyProtection="1">
      <alignment horizontal="center"/>
      <protection locked="0" hidden="1"/>
    </xf>
    <xf numFmtId="0" fontId="49" fillId="0" borderId="76" xfId="0" applyNumberFormat="1" applyFont="1" applyBorder="1" applyAlignment="1" applyProtection="1">
      <alignment horizontal="center"/>
      <protection locked="0" hidden="1"/>
    </xf>
    <xf numFmtId="0" fontId="57" fillId="0" borderId="10" xfId="0" applyNumberFormat="1" applyFont="1" applyBorder="1" applyAlignment="1" applyProtection="1">
      <alignment horizontal="center"/>
      <protection locked="0" hidden="1"/>
    </xf>
    <xf numFmtId="0" fontId="57" fillId="0" borderId="76" xfId="0" applyNumberFormat="1" applyFont="1" applyBorder="1" applyAlignment="1" applyProtection="1">
      <alignment horizontal="center"/>
      <protection locked="0" hidden="1"/>
    </xf>
    <xf numFmtId="0" fontId="49" fillId="0" borderId="75" xfId="0" applyNumberFormat="1" applyFont="1" applyBorder="1" applyAlignment="1" applyProtection="1">
      <alignment horizontal="center"/>
      <protection locked="0" hidden="1"/>
    </xf>
    <xf numFmtId="0" fontId="49" fillId="0" borderId="79" xfId="0" applyNumberFormat="1" applyFont="1" applyBorder="1" applyAlignment="1" applyProtection="1">
      <alignment horizontal="center"/>
      <protection locked="0" hidden="1"/>
    </xf>
    <xf numFmtId="0" fontId="49" fillId="0" borderId="96" xfId="0" applyFont="1" applyBorder="1" applyAlignment="1" applyProtection="1">
      <alignment horizontal="center"/>
      <protection locked="0" hidden="1"/>
    </xf>
    <xf numFmtId="183" fontId="49" fillId="0" borderId="96" xfId="0" applyNumberFormat="1" applyFont="1" applyBorder="1" applyAlignment="1" applyProtection="1">
      <alignment horizontal="center"/>
      <protection locked="0" hidden="1"/>
    </xf>
    <xf numFmtId="0" fontId="49" fillId="0" borderId="96" xfId="0" applyNumberFormat="1" applyFont="1" applyBorder="1" applyAlignment="1" applyProtection="1">
      <alignment horizontal="center"/>
      <protection locked="0" hidden="1"/>
    </xf>
    <xf numFmtId="0" fontId="49" fillId="0" borderId="97" xfId="0" applyFont="1" applyBorder="1" applyAlignment="1" applyProtection="1">
      <alignment horizontal="center"/>
      <protection locked="0" hidden="1"/>
    </xf>
    <xf numFmtId="183" fontId="49" fillId="0" borderId="97" xfId="0" applyNumberFormat="1" applyFont="1" applyBorder="1" applyAlignment="1" applyProtection="1">
      <alignment horizontal="center"/>
      <protection locked="0" hidden="1"/>
    </xf>
    <xf numFmtId="0" fontId="49" fillId="0" borderId="97" xfId="0" applyNumberFormat="1" applyFont="1" applyBorder="1" applyAlignment="1" applyProtection="1">
      <alignment horizontal="center"/>
      <protection locked="0" hidden="1"/>
    </xf>
    <xf numFmtId="0" fontId="57" fillId="0" borderId="97" xfId="0" applyFont="1" applyBorder="1" applyAlignment="1" applyProtection="1">
      <alignment horizontal="center"/>
      <protection locked="0" hidden="1"/>
    </xf>
    <xf numFmtId="183" fontId="57" fillId="0" borderId="97" xfId="0" applyNumberFormat="1" applyFont="1" applyBorder="1" applyAlignment="1" applyProtection="1">
      <alignment horizontal="center"/>
      <protection locked="0" hidden="1"/>
    </xf>
    <xf numFmtId="0" fontId="57" fillId="0" borderId="97" xfId="0" applyNumberFormat="1" applyFont="1" applyBorder="1" applyAlignment="1" applyProtection="1">
      <alignment horizontal="center"/>
      <protection locked="0" hidden="1"/>
    </xf>
    <xf numFmtId="0" fontId="49" fillId="0" borderId="98" xfId="0" applyFont="1" applyBorder="1" applyAlignment="1" applyProtection="1">
      <alignment horizontal="center"/>
      <protection locked="0" hidden="1"/>
    </xf>
    <xf numFmtId="183" fontId="49" fillId="0" borderId="98" xfId="0" applyNumberFormat="1" applyFont="1" applyBorder="1" applyAlignment="1" applyProtection="1">
      <alignment horizontal="center"/>
      <protection locked="0" hidden="1"/>
    </xf>
    <xf numFmtId="0" fontId="49" fillId="0" borderId="98" xfId="0" applyNumberFormat="1" applyFont="1" applyBorder="1" applyAlignment="1" applyProtection="1">
      <alignment horizontal="center"/>
      <protection locked="0" hidden="1"/>
    </xf>
    <xf numFmtId="0" fontId="49" fillId="0" borderId="95" xfId="0" applyFont="1" applyBorder="1" applyAlignment="1" applyProtection="1">
      <alignment horizontal="center" vertical="center" wrapText="1"/>
      <protection hidden="1"/>
    </xf>
    <xf numFmtId="0" fontId="48" fillId="0" borderId="95" xfId="0" applyFont="1" applyBorder="1" applyAlignment="1" applyProtection="1">
      <alignment vertical="center" wrapText="1"/>
      <protection hidden="1"/>
    </xf>
    <xf numFmtId="0" fontId="49" fillId="0" borderId="95" xfId="0" applyNumberFormat="1" applyFont="1" applyBorder="1" applyAlignment="1" applyProtection="1">
      <alignment horizontal="center" vertical="center" wrapText="1"/>
      <protection hidden="1"/>
    </xf>
    <xf numFmtId="0" fontId="48" fillId="0" borderId="95" xfId="0" applyNumberFormat="1" applyFont="1" applyBorder="1" applyAlignment="1" applyProtection="1">
      <alignment vertical="center" wrapText="1"/>
      <protection hidden="1"/>
    </xf>
    <xf numFmtId="0" fontId="48" fillId="0" borderId="56" xfId="0" applyFont="1" applyBorder="1" applyAlignment="1" applyProtection="1">
      <alignment vertical="center" wrapText="1"/>
      <protection hidden="1"/>
    </xf>
    <xf numFmtId="0" fontId="49" fillId="0" borderId="56" xfId="0" applyNumberFormat="1" applyFont="1" applyBorder="1" applyAlignment="1" applyProtection="1">
      <alignment horizontal="center" vertical="center" wrapText="1"/>
      <protection hidden="1"/>
    </xf>
    <xf numFmtId="0" fontId="48" fillId="0" borderId="56" xfId="0" applyNumberFormat="1" applyFont="1" applyBorder="1" applyAlignment="1" applyProtection="1">
      <alignment vertical="center" wrapText="1"/>
      <protection hidden="1"/>
    </xf>
  </cellXfs>
  <cellStyles count="118">
    <cellStyle name="2decimal" xfId="32"/>
    <cellStyle name="args.style" xfId="33"/>
    <cellStyle name="ARIAL" xfId="34"/>
    <cellStyle name="Arial10" xfId="35"/>
    <cellStyle name="BOTT" xfId="2"/>
    <cellStyle name="Calc Currency (0)" xfId="36"/>
    <cellStyle name="Comma  - Style1" xfId="37"/>
    <cellStyle name="Comma  - Style2" xfId="38"/>
    <cellStyle name="Comma  - Style3" xfId="39"/>
    <cellStyle name="Comma  - Style4" xfId="40"/>
    <cellStyle name="Comma  - Style5" xfId="41"/>
    <cellStyle name="Comma  - Style6" xfId="42"/>
    <cellStyle name="Comma  - Style7" xfId="43"/>
    <cellStyle name="Comma  - Style8" xfId="44"/>
    <cellStyle name="CONSIGNEE" xfId="3"/>
    <cellStyle name="Copied" xfId="45"/>
    <cellStyle name="COST1" xfId="46"/>
    <cellStyle name="Cover Sheet" xfId="47"/>
    <cellStyle name="Currency [0]b" xfId="48"/>
    <cellStyle name="currency(2)" xfId="49"/>
    <cellStyle name="Data Labels" xfId="4"/>
    <cellStyle name="DATA_ENTRY" xfId="5"/>
    <cellStyle name="DataLabels" xfId="6"/>
    <cellStyle name="DataLabelsForUPS" xfId="50"/>
    <cellStyle name="DATE" xfId="7"/>
    <cellStyle name="dcDataSheetHeadings" xfId="51"/>
    <cellStyle name="dcDataSheetLabels" xfId="52"/>
    <cellStyle name="Dollars" xfId="53"/>
    <cellStyle name="Dollars(0)" xfId="54"/>
    <cellStyle name="Entered" xfId="55"/>
    <cellStyle name="FORM" xfId="8"/>
    <cellStyle name="Grey" xfId="56"/>
    <cellStyle name="Header1" xfId="57"/>
    <cellStyle name="Header2" xfId="58"/>
    <cellStyle name="header3" xfId="59"/>
    <cellStyle name="HEADINGS" xfId="9"/>
    <cellStyle name="Index Sheet" xfId="60"/>
    <cellStyle name="Input [yellow]" xfId="61"/>
    <cellStyle name="Input Cells" xfId="62"/>
    <cellStyle name="JOB_DATA" xfId="10"/>
    <cellStyle name="LABEL" xfId="11"/>
    <cellStyle name="Link to Cover" xfId="63"/>
    <cellStyle name="Linked Cells" xfId="64"/>
    <cellStyle name="Linked data" xfId="65"/>
    <cellStyle name="Links to Cover" xfId="12"/>
    <cellStyle name="LOOKUP" xfId="66"/>
    <cellStyle name="MainHeading" xfId="13"/>
    <cellStyle name="MainHeadingTwo" xfId="14"/>
    <cellStyle name="Migliaia (0)_COVER - SH. 1" xfId="15"/>
    <cellStyle name="Migliaia_COVER - SH. 1" xfId="16"/>
    <cellStyle name="Milliers [0]_!!!GO" xfId="67"/>
    <cellStyle name="Milliers_!!!GO" xfId="68"/>
    <cellStyle name="Monétaire [0]_!!!GO" xfId="69"/>
    <cellStyle name="Monétaire_!!!GO" xfId="70"/>
    <cellStyle name="NewKw" xfId="71"/>
    <cellStyle name="Normal" xfId="0" builtinId="0"/>
    <cellStyle name="Normal - Style1" xfId="72"/>
    <cellStyle name="Normal 10" xfId="93"/>
    <cellStyle name="Normal 11" xfId="96"/>
    <cellStyle name="Normal 12" xfId="97"/>
    <cellStyle name="Normal 13" xfId="98"/>
    <cellStyle name="Normal 14" xfId="99"/>
    <cellStyle name="Normal 15" xfId="100"/>
    <cellStyle name="Normal 16" xfId="101"/>
    <cellStyle name="Normal 17" xfId="102"/>
    <cellStyle name="Normal 18" xfId="103"/>
    <cellStyle name="Normal 19" xfId="104"/>
    <cellStyle name="Normal 2" xfId="27"/>
    <cellStyle name="Normal 2 2" xfId="89"/>
    <cellStyle name="Normal 20" xfId="105"/>
    <cellStyle name="Normal 21" xfId="106"/>
    <cellStyle name="Normal 22" xfId="107"/>
    <cellStyle name="Normal 23" xfId="108"/>
    <cellStyle name="Normal 24" xfId="109"/>
    <cellStyle name="Normal 25" xfId="110"/>
    <cellStyle name="Normal 26" xfId="111"/>
    <cellStyle name="Normal 27" xfId="112"/>
    <cellStyle name="Normal 28" xfId="113"/>
    <cellStyle name="Normal 29" xfId="114"/>
    <cellStyle name="Normal 3" xfId="28"/>
    <cellStyle name="Normal 3 2" xfId="88"/>
    <cellStyle name="Normal 30" xfId="115"/>
    <cellStyle name="Normal 31" xfId="116"/>
    <cellStyle name="Normal 32" xfId="117"/>
    <cellStyle name="Normal 4" xfId="29"/>
    <cellStyle name="Normal 4 2" xfId="31"/>
    <cellStyle name="Normal 4 3" xfId="87"/>
    <cellStyle name="Normal 5" xfId="73"/>
    <cellStyle name="Normal 6" xfId="30"/>
    <cellStyle name="Normal 7" xfId="86"/>
    <cellStyle name="Normal 8" xfId="90"/>
    <cellStyle name="Normal 9" xfId="1"/>
    <cellStyle name="Normal_Case 1" xfId="94"/>
    <cellStyle name="Normal_Master-PipeSpan-Stress-Defl" xfId="91"/>
    <cellStyle name="Normal_SARC-0020.R3.02.Techlok Loading Check" xfId="92"/>
    <cellStyle name="Normal_WB000 000.Equivalent Pressure Check 2" xfId="95"/>
    <cellStyle name="Normale_COVER - SH. 1" xfId="17"/>
    <cellStyle name="Œ…‹æØ‚è [0.00]_Region Orders (2)" xfId="74"/>
    <cellStyle name="Œ…‹æØ‚è_Region Orders (2)" xfId="75"/>
    <cellStyle name="ParameterLabelsForUPS" xfId="76"/>
    <cellStyle name="per.style" xfId="77"/>
    <cellStyle name="Percent [2]" xfId="78"/>
    <cellStyle name="pricing" xfId="79"/>
    <cellStyle name="PRICIPAL" xfId="18"/>
    <cellStyle name="PROJECT TITLE" xfId="19"/>
    <cellStyle name="PROTECTED CELLS" xfId="20"/>
    <cellStyle name="PSChar" xfId="80"/>
    <cellStyle name="REMARKS" xfId="21"/>
    <cellStyle name="RevList" xfId="81"/>
    <cellStyle name="STANDARD" xfId="82"/>
    <cellStyle name="Subtotal" xfId="83"/>
    <cellStyle name="SUBTOTALS" xfId="84"/>
    <cellStyle name="TitleBlock" xfId="22"/>
    <cellStyle name="TOP" xfId="23"/>
    <cellStyle name="Units" xfId="24"/>
    <cellStyle name="Valuta (0)_COVER - SH. 1" xfId="25"/>
    <cellStyle name="Valuta_COVER - SH. 1" xfId="26"/>
    <cellStyle name="VendorParametersForUPS" xfId="85"/>
  </cellStyles>
  <dxfs count="112">
    <dxf>
      <numFmt numFmtId="184" formatCode="0.000"/>
    </dxf>
    <dxf>
      <numFmt numFmtId="2" formatCode="0.00"/>
    </dxf>
    <dxf>
      <numFmt numFmtId="176" formatCode="0.0"/>
    </dxf>
    <dxf>
      <numFmt numFmtId="1" formatCode="0"/>
    </dxf>
    <dxf>
      <font>
        <b/>
        <i val="0"/>
        <color rgb="FFFF0000"/>
      </font>
    </dxf>
    <dxf>
      <font>
        <b/>
        <i val="0"/>
        <color theme="9" tint="-0.24994659260841701"/>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theme="9"/>
      </font>
    </dxf>
    <dxf>
      <font>
        <b/>
        <i val="0"/>
        <color rgb="FFFF0000"/>
      </font>
    </dxf>
    <dxf>
      <font>
        <b/>
        <i val="0"/>
        <color rgb="FFFF0000"/>
      </font>
    </dxf>
    <dxf>
      <numFmt numFmtId="184" formatCode="0.000"/>
    </dxf>
    <dxf>
      <numFmt numFmtId="2" formatCode="0.00"/>
    </dxf>
    <dxf>
      <numFmt numFmtId="176" formatCode="0.0"/>
    </dxf>
    <dxf>
      <numFmt numFmtId="1" formatCode="0"/>
    </dxf>
    <dxf>
      <numFmt numFmtId="184" formatCode="0.000"/>
    </dxf>
    <dxf>
      <numFmt numFmtId="2" formatCode="0.00"/>
    </dxf>
    <dxf>
      <numFmt numFmtId="176" formatCode="0.0"/>
    </dxf>
    <dxf>
      <numFmt numFmtId="1" formatCode="0"/>
    </dxf>
    <dxf>
      <numFmt numFmtId="176" formatCode="0.0"/>
    </dxf>
    <dxf>
      <numFmt numFmtId="2" formatCode="0.00"/>
    </dxf>
    <dxf>
      <numFmt numFmtId="184" formatCode="0.000"/>
    </dxf>
    <dxf>
      <numFmt numFmtId="2" formatCode="0.00"/>
    </dxf>
    <dxf>
      <numFmt numFmtId="176" formatCode="0.0"/>
    </dxf>
    <dxf>
      <numFmt numFmtId="1" formatCode="0"/>
    </dxf>
    <dxf>
      <numFmt numFmtId="1" formatCode="0"/>
    </dxf>
    <dxf>
      <font>
        <b/>
        <i val="0"/>
        <color rgb="FFFF0000"/>
      </font>
    </dxf>
    <dxf>
      <numFmt numFmtId="184" formatCode="0.000"/>
    </dxf>
    <dxf>
      <numFmt numFmtId="2" formatCode="0.00"/>
    </dxf>
    <dxf>
      <numFmt numFmtId="176" formatCode="0.0"/>
    </dxf>
    <dxf>
      <numFmt numFmtId="1" formatCode="0"/>
    </dxf>
    <dxf>
      <numFmt numFmtId="184" formatCode="0.000"/>
    </dxf>
    <dxf>
      <numFmt numFmtId="2" formatCode="0.00"/>
    </dxf>
    <dxf>
      <numFmt numFmtId="176" formatCode="0.0"/>
    </dxf>
    <dxf>
      <numFmt numFmtId="1" formatCode="0"/>
    </dxf>
    <dxf>
      <numFmt numFmtId="176" formatCode="0.0"/>
    </dxf>
    <dxf>
      <numFmt numFmtId="2" formatCode="0.00"/>
    </dxf>
    <dxf>
      <numFmt numFmtId="184" formatCode="0.000"/>
    </dxf>
    <dxf>
      <numFmt numFmtId="2" formatCode="0.00"/>
    </dxf>
    <dxf>
      <numFmt numFmtId="176" formatCode="0.0"/>
    </dxf>
    <dxf>
      <numFmt numFmtId="1" formatCode="0"/>
    </dxf>
    <dxf>
      <numFmt numFmtId="1" formatCode="0"/>
    </dxf>
    <dxf>
      <numFmt numFmtId="184" formatCode="0.000"/>
    </dxf>
    <dxf>
      <numFmt numFmtId="2" formatCode="0.00"/>
    </dxf>
    <dxf>
      <numFmt numFmtId="176" formatCode="0.0"/>
    </dxf>
    <dxf>
      <numFmt numFmtId="1" formatCode="0"/>
    </dxf>
    <dxf>
      <numFmt numFmtId="184" formatCode="0.000"/>
    </dxf>
    <dxf>
      <numFmt numFmtId="2" formatCode="0.00"/>
    </dxf>
    <dxf>
      <numFmt numFmtId="176" formatCode="0.0"/>
    </dxf>
    <dxf>
      <numFmt numFmtId="1" formatCode="0"/>
    </dxf>
    <dxf>
      <numFmt numFmtId="176" formatCode="0.0"/>
    </dxf>
    <dxf>
      <numFmt numFmtId="2" formatCode="0.00"/>
    </dxf>
    <dxf>
      <numFmt numFmtId="184" formatCode="0.000"/>
    </dxf>
    <dxf>
      <numFmt numFmtId="2" formatCode="0.00"/>
    </dxf>
    <dxf>
      <numFmt numFmtId="176" formatCode="0.0"/>
    </dxf>
    <dxf>
      <numFmt numFmtId="1" formatCode="0"/>
    </dxf>
    <dxf>
      <numFmt numFmtId="1" formatCode="0"/>
    </dxf>
    <dxf>
      <numFmt numFmtId="184" formatCode="0.000"/>
    </dxf>
    <dxf>
      <numFmt numFmtId="2" formatCode="0.00"/>
    </dxf>
    <dxf>
      <numFmt numFmtId="176" formatCode="0.0"/>
    </dxf>
    <dxf>
      <numFmt numFmtId="1" formatCode="0"/>
    </dxf>
    <dxf>
      <numFmt numFmtId="184" formatCode="0.000"/>
    </dxf>
    <dxf>
      <numFmt numFmtId="2" formatCode="0.00"/>
    </dxf>
    <dxf>
      <numFmt numFmtId="176" formatCode="0.0"/>
    </dxf>
    <dxf>
      <numFmt numFmtId="1" formatCode="0"/>
    </dxf>
    <dxf>
      <numFmt numFmtId="184" formatCode="0.000"/>
    </dxf>
    <dxf>
      <numFmt numFmtId="2" formatCode="0.00"/>
    </dxf>
    <dxf>
      <numFmt numFmtId="176" formatCode="0.0"/>
    </dxf>
    <dxf>
      <numFmt numFmtId="1" formatCode="0"/>
    </dxf>
    <dxf>
      <numFmt numFmtId="184" formatCode="0.000"/>
    </dxf>
    <dxf>
      <numFmt numFmtId="2" formatCode="0.00"/>
    </dxf>
    <dxf>
      <numFmt numFmtId="176" formatCode="0.0"/>
    </dxf>
    <dxf>
      <numFmt numFmtId="1" formatCode="0"/>
    </dxf>
    <dxf>
      <numFmt numFmtId="184" formatCode="0.000"/>
    </dxf>
    <dxf>
      <numFmt numFmtId="2" formatCode="0.00"/>
    </dxf>
    <dxf>
      <numFmt numFmtId="176" formatCode="0.0"/>
    </dxf>
    <dxf>
      <numFmt numFmtId="1" formatCode="0"/>
    </dxf>
    <dxf>
      <numFmt numFmtId="184" formatCode="0.000"/>
    </dxf>
    <dxf>
      <numFmt numFmtId="2" formatCode="0.00"/>
    </dxf>
    <dxf>
      <numFmt numFmtId="176" formatCode="0.0"/>
    </dxf>
    <dxf>
      <numFmt numFmtId="1" formatCode="0"/>
    </dxf>
    <dxf>
      <numFmt numFmtId="184" formatCode="0.000"/>
    </dxf>
    <dxf>
      <numFmt numFmtId="2" formatCode="0.00"/>
    </dxf>
    <dxf>
      <numFmt numFmtId="176" formatCode="0.0"/>
    </dxf>
    <dxf>
      <numFmt numFmtId="1" formatCode="0"/>
    </dxf>
    <dxf>
      <numFmt numFmtId="184" formatCode="0.000"/>
    </dxf>
    <dxf>
      <numFmt numFmtId="2" formatCode="0.00"/>
    </dxf>
    <dxf>
      <numFmt numFmtId="176" formatCode="0.0"/>
    </dxf>
    <dxf>
      <numFmt numFmtId="1" formatCode="0"/>
    </dxf>
    <dxf>
      <numFmt numFmtId="184" formatCode="0.000"/>
    </dxf>
    <dxf>
      <numFmt numFmtId="2" formatCode="0.00"/>
    </dxf>
    <dxf>
      <numFmt numFmtId="176" formatCode="0.0"/>
    </dxf>
    <dxf>
      <numFmt numFmtId="1" formatCode="0"/>
    </dxf>
    <dxf>
      <numFmt numFmtId="184" formatCode="0.000"/>
    </dxf>
    <dxf>
      <numFmt numFmtId="2" formatCode="0.00"/>
    </dxf>
    <dxf>
      <numFmt numFmtId="176" formatCode="0.0"/>
    </dxf>
    <dxf>
      <numFmt numFmtId="1" formatCode="0"/>
    </dxf>
    <dxf>
      <numFmt numFmtId="184" formatCode="0.000"/>
    </dxf>
    <dxf>
      <numFmt numFmtId="2" formatCode="0.00"/>
    </dxf>
    <dxf>
      <numFmt numFmtId="176" formatCode="0.0"/>
    </dxf>
    <dxf>
      <numFmt numFmtId="1" formatCode="0"/>
    </dxf>
  </dxfs>
  <tableStyles count="0" defaultTableStyle="TableStyleMedium2" defaultPivotStyle="PivotStyleLight16"/>
  <colors>
    <mruColors>
      <color rgb="FFFFFFCC"/>
      <color rgb="FFB1A0C7"/>
      <color rgb="FF99CCFF"/>
      <color rgb="FF66FF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0</xdr:col>
      <xdr:colOff>314325</xdr:colOff>
      <xdr:row>1</xdr:row>
      <xdr:rowOff>358865</xdr:rowOff>
    </xdr:from>
    <xdr:to>
      <xdr:col>0</xdr:col>
      <xdr:colOff>506001</xdr:colOff>
      <xdr:row>3</xdr:row>
      <xdr:rowOff>114300</xdr:rowOff>
    </xdr:to>
    <xdr:pic>
      <xdr:nvPicPr>
        <xdr:cNvPr id="8" name="Picture 12"/>
        <xdr:cNvPicPr>
          <a:picLocks noChangeAspect="1" noChangeArrowheads="1"/>
        </xdr:cNvPicPr>
      </xdr:nvPicPr>
      <xdr:blipFill>
        <a:blip xmlns:r="http://schemas.openxmlformats.org/officeDocument/2006/relationships" r:embed="rId1" cstate="print"/>
        <a:srcRect/>
        <a:stretch>
          <a:fillRect/>
        </a:stretch>
      </xdr:blipFill>
      <xdr:spPr bwMode="auto">
        <a:xfrm>
          <a:off x="314325" y="595085"/>
          <a:ext cx="191676" cy="486955"/>
        </a:xfrm>
        <a:prstGeom prst="rect">
          <a:avLst/>
        </a:prstGeom>
        <a:noFill/>
        <a:ln w="9525">
          <a:noFill/>
          <a:miter lim="800000"/>
          <a:headEnd/>
          <a:tailEnd/>
        </a:ln>
      </xdr:spPr>
    </xdr:pic>
    <xdr:clientData/>
  </xdr:twoCellAnchor>
  <xdr:twoCellAnchor editAs="oneCell">
    <xdr:from>
      <xdr:col>0</xdr:col>
      <xdr:colOff>167640</xdr:colOff>
      <xdr:row>0</xdr:row>
      <xdr:rowOff>121920</xdr:rowOff>
    </xdr:from>
    <xdr:to>
      <xdr:col>5</xdr:col>
      <xdr:colOff>21109</xdr:colOff>
      <xdr:row>1</xdr:row>
      <xdr:rowOff>85291</xdr:rowOff>
    </xdr:to>
    <xdr:pic>
      <xdr:nvPicPr>
        <xdr:cNvPr id="9" name="Picture 8" descr="ithaca_energy"/>
        <xdr:cNvPicPr/>
      </xdr:nvPicPr>
      <xdr:blipFill>
        <a:blip xmlns:r="http://schemas.openxmlformats.org/officeDocument/2006/relationships" r:embed="rId2" cstate="print"/>
        <a:srcRect/>
        <a:stretch>
          <a:fillRect/>
        </a:stretch>
      </xdr:blipFill>
      <xdr:spPr bwMode="auto">
        <a:xfrm>
          <a:off x="167640" y="121920"/>
          <a:ext cx="767869" cy="199591"/>
        </a:xfrm>
        <a:prstGeom prst="rect">
          <a:avLst/>
        </a:prstGeom>
        <a:noFill/>
        <a:ln w="9525">
          <a:noFill/>
          <a:miter lim="800000"/>
          <a:headEnd/>
          <a:tailEnd/>
        </a:ln>
      </xdr:spPr>
    </xdr:pic>
    <xdr:clientData/>
  </xdr:twoCellAnchor>
  <xdr:twoCellAnchor editAs="oneCell">
    <xdr:from>
      <xdr:col>0</xdr:col>
      <xdr:colOff>129540</xdr:colOff>
      <xdr:row>1</xdr:row>
      <xdr:rowOff>198120</xdr:rowOff>
    </xdr:from>
    <xdr:to>
      <xdr:col>5</xdr:col>
      <xdr:colOff>57437</xdr:colOff>
      <xdr:row>1</xdr:row>
      <xdr:rowOff>484376</xdr:rowOff>
    </xdr:to>
    <xdr:pic>
      <xdr:nvPicPr>
        <xdr:cNvPr id="10" name="Picture 9" descr="Stella_logo"/>
        <xdr:cNvPicPr/>
      </xdr:nvPicPr>
      <xdr:blipFill>
        <a:blip xmlns:r="http://schemas.openxmlformats.org/officeDocument/2006/relationships" r:embed="rId3" cstate="print"/>
        <a:srcRect/>
        <a:stretch>
          <a:fillRect/>
        </a:stretch>
      </xdr:blipFill>
      <xdr:spPr bwMode="auto">
        <a:xfrm>
          <a:off x="129540" y="434340"/>
          <a:ext cx="842297" cy="286256"/>
        </a:xfrm>
        <a:prstGeom prst="rect">
          <a:avLst/>
        </a:prstGeom>
        <a:noFill/>
        <a:ln w="9525">
          <a:noFill/>
          <a:miter lim="800000"/>
          <a:headEnd/>
          <a:tailEnd/>
        </a:ln>
      </xdr:spPr>
    </xdr:pic>
    <xdr:clientData/>
  </xdr:twoCellAnchor>
  <xdr:twoCellAnchor>
    <xdr:from>
      <xdr:col>2</xdr:col>
      <xdr:colOff>7619</xdr:colOff>
      <xdr:row>2</xdr:row>
      <xdr:rowOff>45720</xdr:rowOff>
    </xdr:from>
    <xdr:to>
      <xdr:col>3</xdr:col>
      <xdr:colOff>169734</xdr:colOff>
      <xdr:row>3</xdr:row>
      <xdr:rowOff>296455</xdr:rowOff>
    </xdr:to>
    <xdr:pic>
      <xdr:nvPicPr>
        <xdr:cNvPr id="14" name="Picture 12"/>
        <xdr:cNvPicPr>
          <a:picLocks noChangeAspect="1" noChangeArrowheads="1"/>
        </xdr:cNvPicPr>
      </xdr:nvPicPr>
      <xdr:blipFill>
        <a:blip xmlns:r="http://schemas.openxmlformats.org/officeDocument/2006/relationships" r:embed="rId1" cstate="print"/>
        <a:srcRect/>
        <a:stretch>
          <a:fillRect/>
        </a:stretch>
      </xdr:blipFill>
      <xdr:spPr bwMode="auto">
        <a:xfrm>
          <a:off x="373379" y="777240"/>
          <a:ext cx="344995" cy="486955"/>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175260</xdr:colOff>
      <xdr:row>0</xdr:row>
      <xdr:rowOff>121920</xdr:rowOff>
    </xdr:from>
    <xdr:to>
      <xdr:col>5</xdr:col>
      <xdr:colOff>8409</xdr:colOff>
      <xdr:row>1</xdr:row>
      <xdr:rowOff>85291</xdr:rowOff>
    </xdr:to>
    <xdr:pic>
      <xdr:nvPicPr>
        <xdr:cNvPr id="3" name="Picture 2" descr="ithaca_energy"/>
        <xdr:cNvPicPr/>
      </xdr:nvPicPr>
      <xdr:blipFill>
        <a:blip xmlns:r="http://schemas.openxmlformats.org/officeDocument/2006/relationships" r:embed="rId1" cstate="print"/>
        <a:srcRect/>
        <a:stretch>
          <a:fillRect/>
        </a:stretch>
      </xdr:blipFill>
      <xdr:spPr bwMode="auto">
        <a:xfrm>
          <a:off x="175260" y="121920"/>
          <a:ext cx="747549" cy="199591"/>
        </a:xfrm>
        <a:prstGeom prst="rect">
          <a:avLst/>
        </a:prstGeom>
        <a:noFill/>
        <a:ln w="9525">
          <a:noFill/>
          <a:miter lim="800000"/>
          <a:headEnd/>
          <a:tailEnd/>
        </a:ln>
      </xdr:spPr>
    </xdr:pic>
    <xdr:clientData/>
  </xdr:twoCellAnchor>
  <xdr:twoCellAnchor editAs="oneCell">
    <xdr:from>
      <xdr:col>0</xdr:col>
      <xdr:colOff>137160</xdr:colOff>
      <xdr:row>1</xdr:row>
      <xdr:rowOff>198120</xdr:rowOff>
    </xdr:from>
    <xdr:to>
      <xdr:col>5</xdr:col>
      <xdr:colOff>40927</xdr:colOff>
      <xdr:row>1</xdr:row>
      <xdr:rowOff>484376</xdr:rowOff>
    </xdr:to>
    <xdr:pic>
      <xdr:nvPicPr>
        <xdr:cNvPr id="4" name="Picture 3" descr="Stella_logo"/>
        <xdr:cNvPicPr/>
      </xdr:nvPicPr>
      <xdr:blipFill>
        <a:blip xmlns:r="http://schemas.openxmlformats.org/officeDocument/2006/relationships" r:embed="rId2" cstate="print"/>
        <a:srcRect/>
        <a:stretch>
          <a:fillRect/>
        </a:stretch>
      </xdr:blipFill>
      <xdr:spPr bwMode="auto">
        <a:xfrm>
          <a:off x="137160" y="434340"/>
          <a:ext cx="818167" cy="286256"/>
        </a:xfrm>
        <a:prstGeom prst="rect">
          <a:avLst/>
        </a:prstGeom>
        <a:noFill/>
        <a:ln w="9525">
          <a:noFill/>
          <a:miter lim="800000"/>
          <a:headEnd/>
          <a:tailEnd/>
        </a:ln>
      </xdr:spPr>
    </xdr:pic>
    <xdr:clientData/>
  </xdr:twoCellAnchor>
  <xdr:twoCellAnchor>
    <xdr:from>
      <xdr:col>2</xdr:col>
      <xdr:colOff>19050</xdr:colOff>
      <xdr:row>2</xdr:row>
      <xdr:rowOff>45719</xdr:rowOff>
    </xdr:from>
    <xdr:to>
      <xdr:col>3</xdr:col>
      <xdr:colOff>181165</xdr:colOff>
      <xdr:row>3</xdr:row>
      <xdr:rowOff>296769</xdr:rowOff>
    </xdr:to>
    <xdr:pic>
      <xdr:nvPicPr>
        <xdr:cNvPr id="5" name="Picture 12"/>
        <xdr:cNvPicPr>
          <a:picLocks noChangeAspect="1" noChangeArrowheads="1"/>
        </xdr:cNvPicPr>
      </xdr:nvPicPr>
      <xdr:blipFill>
        <a:blip xmlns:r="http://schemas.openxmlformats.org/officeDocument/2006/relationships" r:embed="rId3" cstate="print"/>
        <a:srcRect/>
        <a:stretch>
          <a:fillRect/>
        </a:stretch>
      </xdr:blipFill>
      <xdr:spPr bwMode="auto">
        <a:xfrm>
          <a:off x="384810" y="777239"/>
          <a:ext cx="344995" cy="487270"/>
        </a:xfrm>
        <a:prstGeom prst="rect">
          <a:avLst/>
        </a:prstGeom>
        <a:noFill/>
        <a:ln w="9525">
          <a:noFill/>
          <a:miter lim="800000"/>
          <a:headEnd/>
          <a:tailEnd/>
        </a:ln>
      </xdr:spPr>
    </xdr:pic>
    <xdr:clientData/>
  </xdr:twoCellAnchor>
  <xdr:twoCellAnchor>
    <xdr:from>
      <xdr:col>34</xdr:col>
      <xdr:colOff>0</xdr:colOff>
      <xdr:row>0</xdr:row>
      <xdr:rowOff>12700</xdr:rowOff>
    </xdr:from>
    <xdr:to>
      <xdr:col>73</xdr:col>
      <xdr:colOff>0</xdr:colOff>
      <xdr:row>5</xdr:row>
      <xdr:rowOff>76200</xdr:rowOff>
    </xdr:to>
    <xdr:sp macro="" textlink="">
      <xdr:nvSpPr>
        <xdr:cNvPr id="85" name="AutoShape 5"/>
        <xdr:cNvSpPr>
          <a:spLocks noChangeArrowheads="1"/>
        </xdr:cNvSpPr>
      </xdr:nvSpPr>
      <xdr:spPr bwMode="auto">
        <a:xfrm>
          <a:off x="6217920" y="12700"/>
          <a:ext cx="4389120" cy="1694180"/>
        </a:xfrm>
        <a:prstGeom prst="wedgeRectCallout">
          <a:avLst>
            <a:gd name="adj1" fmla="val -13314"/>
            <a:gd name="adj2" fmla="val 79927"/>
          </a:avLst>
        </a:prstGeom>
        <a:solidFill>
          <a:srgbClr xmlns:mc="http://schemas.openxmlformats.org/markup-compatibility/2006" xmlns:a14="http://schemas.microsoft.com/office/drawing/2010/main" val="C0C0C0" mc:Ignorable="a14" a14:legacySpreadsheetColorIndex="22"/>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marL="0" marR="0" indent="0" algn="l" defTabSz="914400" rtl="0" eaLnBrk="1" fontAlgn="auto" latinLnBrk="0" hangingPunct="1">
            <a:lnSpc>
              <a:spcPct val="100000"/>
            </a:lnSpc>
            <a:spcBef>
              <a:spcPts val="0"/>
            </a:spcBef>
            <a:spcAft>
              <a:spcPts val="0"/>
            </a:spcAft>
            <a:buClrTx/>
            <a:buSzTx/>
            <a:buFontTx/>
            <a:buNone/>
            <a:tabLst/>
            <a:defRPr sz="1000"/>
          </a:pPr>
          <a:r>
            <a:rPr lang="en-GB" sz="900" b="1" i="0" u="sng" baseline="0">
              <a:effectLst/>
              <a:latin typeface="+mn-lt"/>
              <a:ea typeface="+mn-ea"/>
              <a:cs typeface="+mn-cs"/>
            </a:rPr>
            <a:t>How to use this spreadsheet</a:t>
          </a:r>
        </a:p>
        <a:p>
          <a:pPr marL="0" marR="0" indent="0" algn="l" defTabSz="914400" rtl="0" eaLnBrk="1" fontAlgn="auto" latinLnBrk="0" hangingPunct="1">
            <a:lnSpc>
              <a:spcPct val="100000"/>
            </a:lnSpc>
            <a:spcBef>
              <a:spcPts val="0"/>
            </a:spcBef>
            <a:spcAft>
              <a:spcPts val="0"/>
            </a:spcAft>
            <a:buClrTx/>
            <a:buSzTx/>
            <a:buFontTx/>
            <a:buNone/>
            <a:tabLst/>
            <a:defRPr sz="1000"/>
          </a:pPr>
          <a:endParaRPr lang="en-GB" sz="800" b="0" i="0" baseline="0">
            <a:effectLst/>
            <a:latin typeface="+mn-lt"/>
            <a:ea typeface="+mn-ea"/>
            <a:cs typeface="+mn-cs"/>
          </a:endParaRPr>
        </a:p>
        <a:p>
          <a:pPr rtl="0"/>
          <a:r>
            <a:rPr lang="en-GB" sz="800" b="0" i="0" baseline="0">
              <a:effectLst/>
              <a:latin typeface="+mn-lt"/>
              <a:ea typeface="+mn-ea"/>
              <a:cs typeface="+mn-cs"/>
            </a:rPr>
            <a:t>The values can be input manually by selecting from the drop down boxes or overtyping with the required values in the yellow cells.</a:t>
          </a:r>
        </a:p>
        <a:p>
          <a:pPr rtl="0"/>
          <a:endParaRPr lang="en-GB" sz="300">
            <a:effectLst/>
          </a:endParaRPr>
        </a:p>
        <a:p>
          <a:pPr algn="l" rtl="0">
            <a:defRPr sz="1000"/>
          </a:pPr>
          <a:r>
            <a:rPr lang="en-GB" sz="800" b="0" i="0" u="none" strike="noStrike" baseline="0">
              <a:solidFill>
                <a:srgbClr val="000000"/>
              </a:solidFill>
              <a:latin typeface="+mn-lt"/>
              <a:cs typeface="Arial"/>
            </a:rPr>
            <a:t>Alternatively, if you have several nodes and/or cases to check, you can fill in the various Case Sheets by selecting the requisite case(s) in the '</a:t>
          </a:r>
          <a:r>
            <a:rPr lang="en-GB" sz="800" b="0" i="1" u="none" strike="noStrike" baseline="0">
              <a:solidFill>
                <a:srgbClr val="000000"/>
              </a:solidFill>
              <a:latin typeface="+mn-lt"/>
              <a:cs typeface="Arial"/>
            </a:rPr>
            <a:t>Load Cases Analyzed</a:t>
          </a:r>
          <a:r>
            <a:rPr lang="en-GB" sz="800" b="0" i="0" u="none" strike="noStrike" baseline="0">
              <a:solidFill>
                <a:srgbClr val="000000"/>
              </a:solidFill>
              <a:latin typeface="+mn-lt"/>
              <a:cs typeface="Arial"/>
            </a:rPr>
            <a:t>' in the </a:t>
          </a:r>
          <a:r>
            <a:rPr lang="en-GB" sz="800" b="1" i="0" u="none" strike="noStrike" baseline="0">
              <a:solidFill>
                <a:srgbClr val="000000"/>
              </a:solidFill>
              <a:latin typeface="+mn-lt"/>
              <a:cs typeface="Arial"/>
            </a:rPr>
            <a:t>Caesar Static Output Processor</a:t>
          </a:r>
          <a:r>
            <a:rPr lang="en-GB" sz="800" b="0" i="0" u="none" strike="noStrike" baseline="0">
              <a:solidFill>
                <a:srgbClr val="000000"/>
              </a:solidFill>
              <a:latin typeface="+mn-lt"/>
              <a:cs typeface="Arial"/>
            </a:rPr>
            <a:t>, selecting the '</a:t>
          </a:r>
          <a:r>
            <a:rPr lang="en-GB" sz="800" b="0" i="1" u="none" strike="noStrike" baseline="0">
              <a:solidFill>
                <a:srgbClr val="000000"/>
              </a:solidFill>
              <a:latin typeface="+mn-lt"/>
              <a:cs typeface="Arial"/>
            </a:rPr>
            <a:t>Global Element Forces Extended</a:t>
          </a:r>
          <a:r>
            <a:rPr lang="en-GB" sz="800" b="0" i="0" u="none" strike="noStrike" baseline="0">
              <a:solidFill>
                <a:srgbClr val="000000"/>
              </a:solidFill>
              <a:latin typeface="+mn-lt"/>
              <a:cs typeface="Arial"/>
            </a:rPr>
            <a:t>' in the 'Standard Reports' and then clicking the Excel icon.</a:t>
          </a:r>
        </a:p>
        <a:p>
          <a:pPr algn="l" rtl="0">
            <a:defRPr sz="1000"/>
          </a:pPr>
          <a:endParaRPr lang="en-GB" sz="300" b="0" i="0" u="none" strike="noStrike" baseline="0">
            <a:solidFill>
              <a:srgbClr val="000000"/>
            </a:solidFill>
            <a:latin typeface="+mn-lt"/>
            <a:cs typeface="Arial"/>
          </a:endParaRPr>
        </a:p>
        <a:p>
          <a:pPr algn="l" rtl="0">
            <a:defRPr sz="1000"/>
          </a:pPr>
          <a:r>
            <a:rPr lang="en-GB" sz="800" b="0" i="0" u="none" strike="noStrike" baseline="0">
              <a:solidFill>
                <a:srgbClr val="000000"/>
              </a:solidFill>
              <a:latin typeface="+mn-lt"/>
              <a:cs typeface="Arial"/>
            </a:rPr>
            <a:t>When the new Excel file appears, select Copy, paste into cell P1 on the appropriate Case worksheet and repeat for each load case selected.</a:t>
          </a:r>
        </a:p>
        <a:p>
          <a:pPr algn="l" rtl="0">
            <a:defRPr sz="1000"/>
          </a:pPr>
          <a:endParaRPr lang="en-GB" sz="300" b="0" i="0" u="none" strike="noStrike" baseline="0">
            <a:solidFill>
              <a:srgbClr val="000000"/>
            </a:solidFill>
            <a:latin typeface="+mn-lt"/>
            <a:cs typeface="Arial"/>
          </a:endParaRPr>
        </a:p>
        <a:p>
          <a:pPr algn="l" rtl="0">
            <a:defRPr sz="1000"/>
          </a:pPr>
          <a:r>
            <a:rPr lang="en-GB" sz="800" b="0" i="0" u="none" strike="noStrike" baseline="0">
              <a:solidFill>
                <a:srgbClr val="000000"/>
              </a:solidFill>
              <a:latin typeface="+mn-lt"/>
              <a:cs typeface="Arial"/>
            </a:rPr>
            <a:t>Fill in the </a:t>
          </a:r>
          <a:r>
            <a:rPr lang="en-GB" sz="800" b="1" i="1" u="none" strike="noStrike" baseline="0">
              <a:solidFill>
                <a:srgbClr val="000000"/>
              </a:solidFill>
              <a:latin typeface="+mn-lt"/>
              <a:cs typeface="Arial"/>
            </a:rPr>
            <a:t>Nodes</a:t>
          </a:r>
          <a:r>
            <a:rPr lang="en-GB" sz="800" b="0" i="0" u="none" strike="noStrike" baseline="0">
              <a:solidFill>
                <a:srgbClr val="000000"/>
              </a:solidFill>
              <a:latin typeface="+mn-lt"/>
              <a:cs typeface="Arial"/>
            </a:rPr>
            <a:t>, the </a:t>
          </a:r>
          <a:r>
            <a:rPr lang="en-GB" sz="800" b="1" i="1" u="none" strike="noStrike" baseline="0">
              <a:solidFill>
                <a:srgbClr val="000000"/>
              </a:solidFill>
              <a:latin typeface="+mn-lt"/>
              <a:cs typeface="Arial"/>
            </a:rPr>
            <a:t>NPS</a:t>
          </a:r>
          <a:r>
            <a:rPr lang="en-GB" sz="800" b="0" i="0" u="none" strike="noStrike" baseline="0">
              <a:solidFill>
                <a:srgbClr val="000000"/>
              </a:solidFill>
              <a:latin typeface="+mn-lt"/>
              <a:cs typeface="Arial"/>
            </a:rPr>
            <a:t>, the </a:t>
          </a:r>
          <a:r>
            <a:rPr lang="en-GB" sz="800" b="1" i="1" u="none" strike="noStrike" baseline="0">
              <a:solidFill>
                <a:srgbClr val="000000"/>
              </a:solidFill>
              <a:latin typeface="+mn-lt"/>
              <a:cs typeface="Arial"/>
            </a:rPr>
            <a:t>Design Temperature </a:t>
          </a:r>
          <a:r>
            <a:rPr lang="en-GB" sz="800" b="0" i="0" u="none" strike="noStrike" baseline="0">
              <a:solidFill>
                <a:srgbClr val="000000"/>
              </a:solidFill>
              <a:latin typeface="+mn-lt"/>
              <a:cs typeface="Arial"/>
            </a:rPr>
            <a:t>and the </a:t>
          </a:r>
          <a:r>
            <a:rPr lang="en-GB" sz="800" b="1" i="1" u="none" strike="noStrike" baseline="0">
              <a:solidFill>
                <a:srgbClr val="000000"/>
              </a:solidFill>
              <a:latin typeface="+mn-lt"/>
              <a:cs typeface="Arial"/>
            </a:rPr>
            <a:t>Design Pressure </a:t>
          </a:r>
          <a:r>
            <a:rPr lang="en-GB" sz="800" b="0" i="0" u="none" strike="noStrike" baseline="0">
              <a:solidFill>
                <a:srgbClr val="000000"/>
              </a:solidFill>
              <a:latin typeface="+mn-lt"/>
              <a:cs typeface="Arial"/>
            </a:rPr>
            <a:t>in the table below and the data in the cells to the left will be populated with the appropriate information when a </a:t>
          </a:r>
          <a:r>
            <a:rPr lang="en-GB" sz="800" b="1" i="1" u="none" strike="noStrike" baseline="0">
              <a:solidFill>
                <a:srgbClr val="000000"/>
              </a:solidFill>
              <a:latin typeface="+mn-lt"/>
              <a:cs typeface="Arial"/>
            </a:rPr>
            <a:t>Node No. </a:t>
          </a:r>
          <a:r>
            <a:rPr lang="en-GB" sz="800" b="0" i="0" u="none" strike="noStrike" baseline="0">
              <a:solidFill>
                <a:srgbClr val="000000"/>
              </a:solidFill>
              <a:latin typeface="+mn-lt"/>
              <a:cs typeface="Arial"/>
            </a:rPr>
            <a:t>is selected.</a:t>
          </a:r>
        </a:p>
      </xdr:txBody>
    </xdr:sp>
    <xdr:clientData fPrintsWithSheet="0"/>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Kvaerner/KPUK-flange-check.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Equiv' Pressure methods"/>
      <sheetName val="Sheet2 Bolt-stress method"/>
      <sheetName val="Sheet3 Rating Data"/>
      <sheetName val="Sheet4 Bolt &amp; Gasket Data"/>
      <sheetName val="Sheet5 Group Descriptions"/>
    </sheetNames>
    <sheetDataSet>
      <sheetData sheetId="0">
        <row r="10">
          <cell r="D10" t="str">
            <v>8" Verification example</v>
          </cell>
        </row>
        <row r="11">
          <cell r="D11">
            <v>8</v>
          </cell>
        </row>
        <row r="13">
          <cell r="F13">
            <v>150</v>
          </cell>
        </row>
        <row r="14">
          <cell r="F14" t="str">
            <v>1.1</v>
          </cell>
        </row>
        <row r="15">
          <cell r="F15">
            <v>100</v>
          </cell>
        </row>
        <row r="16">
          <cell r="F16">
            <v>10</v>
          </cell>
        </row>
        <row r="17">
          <cell r="F17">
            <v>17.678779999999996</v>
          </cell>
        </row>
        <row r="18">
          <cell r="F18">
            <v>249.8</v>
          </cell>
        </row>
      </sheetData>
      <sheetData sheetId="1">
        <row r="18">
          <cell r="F18">
            <v>19.650749999999999</v>
          </cell>
        </row>
        <row r="20">
          <cell r="F20">
            <v>8</v>
          </cell>
        </row>
        <row r="21">
          <cell r="F21">
            <v>0.75</v>
          </cell>
        </row>
        <row r="22">
          <cell r="F22">
            <v>1560</v>
          </cell>
        </row>
        <row r="23">
          <cell r="F23">
            <v>0.75</v>
          </cell>
        </row>
        <row r="26">
          <cell r="F26">
            <v>209.16842105263157</v>
          </cell>
        </row>
        <row r="27">
          <cell r="F27">
            <v>0.8</v>
          </cell>
        </row>
        <row r="29">
          <cell r="G29">
            <v>3</v>
          </cell>
        </row>
        <row r="30">
          <cell r="G30">
            <v>6.94</v>
          </cell>
        </row>
        <row r="32">
          <cell r="G32">
            <v>34</v>
          </cell>
        </row>
        <row r="37">
          <cell r="E37">
            <v>12221.020989878758</v>
          </cell>
        </row>
        <row r="42">
          <cell r="E42">
            <v>-4041.8916115811016</v>
          </cell>
        </row>
      </sheetData>
      <sheetData sheetId="2">
        <row r="2">
          <cell r="C2">
            <v>212</v>
          </cell>
          <cell r="D2">
            <v>256.39999999999998</v>
          </cell>
          <cell r="E2">
            <v>285</v>
          </cell>
        </row>
      </sheetData>
      <sheetData sheetId="3">
        <row r="2">
          <cell r="D2">
            <v>150080</v>
          </cell>
        </row>
      </sheetData>
      <sheetData sheetId="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lnDef>
      <a:spPr/>
      <a:bodyPr/>
      <a:lstStyle/>
      <a:style>
        <a:lnRef idx="1">
          <a:schemeClr val="dk1"/>
        </a:lnRef>
        <a:fillRef idx="0">
          <a:schemeClr val="dk1"/>
        </a:fillRef>
        <a:effectRef idx="0">
          <a:schemeClr val="dk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Y53"/>
  <sheetViews>
    <sheetView showGridLines="0" workbookViewId="0">
      <selection sqref="A1:F4"/>
    </sheetView>
  </sheetViews>
  <sheetFormatPr defaultColWidth="0" defaultRowHeight="14.4" zeroHeight="1"/>
  <cols>
    <col min="1" max="34" width="2.6640625" customWidth="1"/>
    <col min="35" max="51" width="0" hidden="1" customWidth="1"/>
    <col min="52" max="16384" width="8.88671875" hidden="1"/>
  </cols>
  <sheetData>
    <row r="1" spans="1:51" ht="18.600000000000001" customHeight="1">
      <c r="A1" s="275"/>
      <c r="B1" s="276"/>
      <c r="C1" s="277"/>
      <c r="D1" s="277"/>
      <c r="E1" s="277"/>
      <c r="F1" s="278"/>
      <c r="G1" s="1" t="s">
        <v>0</v>
      </c>
      <c r="H1" s="2"/>
      <c r="I1" s="7"/>
      <c r="J1" s="7"/>
      <c r="K1" s="5"/>
      <c r="L1" s="7"/>
      <c r="M1" s="7"/>
      <c r="N1" s="3" t="s">
        <v>1</v>
      </c>
      <c r="O1" s="7"/>
      <c r="P1" s="7"/>
      <c r="Q1" s="7"/>
      <c r="R1" s="4" t="s">
        <v>2</v>
      </c>
      <c r="S1" s="9"/>
      <c r="T1" s="7"/>
      <c r="U1" s="8"/>
      <c r="V1" s="1" t="s">
        <v>3</v>
      </c>
      <c r="W1" s="5"/>
      <c r="X1" s="5"/>
      <c r="Y1" s="7"/>
      <c r="Z1" s="7"/>
      <c r="AA1" s="7"/>
      <c r="AB1" s="7"/>
      <c r="AC1" s="7"/>
      <c r="AD1" s="7"/>
      <c r="AE1" s="7"/>
      <c r="AF1" s="7"/>
      <c r="AG1" s="8"/>
      <c r="AY1" s="10"/>
    </row>
    <row r="2" spans="1:51" ht="39" customHeight="1" thickBot="1">
      <c r="A2" s="279"/>
      <c r="B2" s="280"/>
      <c r="C2" s="281"/>
      <c r="D2" s="281"/>
      <c r="E2" s="281"/>
      <c r="F2" s="282"/>
      <c r="G2" s="268" t="s">
        <v>4</v>
      </c>
      <c r="H2" s="288"/>
      <c r="I2" s="288"/>
      <c r="J2" s="288"/>
      <c r="K2" s="288"/>
      <c r="L2" s="288"/>
      <c r="M2" s="289"/>
      <c r="N2" s="290" t="s">
        <v>11</v>
      </c>
      <c r="O2" s="291"/>
      <c r="P2" s="291"/>
      <c r="Q2" s="292"/>
      <c r="R2" s="268" t="s">
        <v>5</v>
      </c>
      <c r="S2" s="269"/>
      <c r="T2" s="269"/>
      <c r="U2" s="270"/>
      <c r="V2" s="265" t="s">
        <v>227</v>
      </c>
      <c r="W2" s="266"/>
      <c r="X2" s="266"/>
      <c r="Y2" s="266"/>
      <c r="Z2" s="266"/>
      <c r="AA2" s="266"/>
      <c r="AB2" s="266"/>
      <c r="AC2" s="266"/>
      <c r="AD2" s="266"/>
      <c r="AE2" s="266"/>
      <c r="AF2" s="266"/>
      <c r="AG2" s="267"/>
      <c r="AL2" s="10"/>
    </row>
    <row r="3" spans="1:51" ht="18.600000000000001" customHeight="1">
      <c r="A3" s="279"/>
      <c r="B3" s="280"/>
      <c r="C3" s="281"/>
      <c r="D3" s="281"/>
      <c r="E3" s="281"/>
      <c r="F3" s="282"/>
      <c r="G3" s="1" t="s">
        <v>6</v>
      </c>
      <c r="H3" s="6"/>
      <c r="I3" s="6"/>
      <c r="J3" s="6"/>
      <c r="K3" s="6"/>
      <c r="L3" s="6"/>
      <c r="M3" s="6"/>
      <c r="N3" s="6"/>
      <c r="O3" s="6"/>
      <c r="P3" s="6"/>
      <c r="Q3" s="2"/>
      <c r="R3" s="1" t="s">
        <v>7</v>
      </c>
      <c r="S3" s="6"/>
      <c r="T3" s="7"/>
      <c r="U3" s="8"/>
      <c r="V3" s="4" t="s">
        <v>8</v>
      </c>
      <c r="W3" s="7"/>
      <c r="X3" s="7"/>
      <c r="Y3" s="8"/>
      <c r="Z3" s="4" t="s">
        <v>9</v>
      </c>
      <c r="AA3" s="7"/>
      <c r="AB3" s="7"/>
      <c r="AC3" s="8"/>
      <c r="AD3" s="4" t="s">
        <v>10</v>
      </c>
      <c r="AE3" s="7"/>
      <c r="AF3" s="7"/>
      <c r="AG3" s="8"/>
    </row>
    <row r="4" spans="1:51" ht="37.200000000000003" customHeight="1" thickBot="1">
      <c r="A4" s="283"/>
      <c r="B4" s="284"/>
      <c r="C4" s="285"/>
      <c r="D4" s="285"/>
      <c r="E4" s="285"/>
      <c r="F4" s="286"/>
      <c r="G4" s="268" t="s">
        <v>142</v>
      </c>
      <c r="H4" s="266"/>
      <c r="I4" s="266"/>
      <c r="J4" s="266"/>
      <c r="K4" s="266"/>
      <c r="L4" s="266"/>
      <c r="M4" s="266"/>
      <c r="N4" s="266"/>
      <c r="O4" s="266"/>
      <c r="P4" s="266"/>
      <c r="Q4" s="267"/>
      <c r="R4" s="268" t="s">
        <v>12</v>
      </c>
      <c r="S4" s="269"/>
      <c r="T4" s="269"/>
      <c r="U4" s="270"/>
      <c r="V4" s="265" t="s">
        <v>285</v>
      </c>
      <c r="W4" s="266"/>
      <c r="X4" s="266"/>
      <c r="Y4" s="267"/>
      <c r="Z4" s="262">
        <v>41305</v>
      </c>
      <c r="AA4" s="263"/>
      <c r="AB4" s="263"/>
      <c r="AC4" s="264"/>
      <c r="AD4" s="259" t="s">
        <v>18</v>
      </c>
      <c r="AE4" s="260"/>
      <c r="AF4" s="260"/>
      <c r="AG4" s="261"/>
    </row>
    <row r="5" spans="1:51">
      <c r="A5" s="287" t="s">
        <v>13</v>
      </c>
      <c r="B5" s="272"/>
      <c r="C5" s="257" t="s">
        <v>153</v>
      </c>
      <c r="D5" s="271"/>
      <c r="E5" s="271"/>
      <c r="F5" s="271"/>
      <c r="G5" s="271"/>
      <c r="H5" s="271"/>
      <c r="I5" s="271"/>
      <c r="J5" s="271"/>
      <c r="K5" s="271"/>
      <c r="L5" s="271"/>
      <c r="M5" s="271"/>
      <c r="N5" s="271"/>
      <c r="O5" s="271"/>
      <c r="P5" s="271"/>
      <c r="Q5" s="271"/>
      <c r="R5" s="271"/>
      <c r="S5" s="271"/>
      <c r="T5" s="271"/>
      <c r="U5" s="271"/>
      <c r="V5" s="271"/>
      <c r="W5" s="271"/>
      <c r="X5" s="271"/>
      <c r="Y5" s="271"/>
      <c r="Z5" s="271"/>
      <c r="AA5" s="271"/>
      <c r="AB5" s="271"/>
      <c r="AC5" s="271"/>
      <c r="AD5" s="271"/>
      <c r="AE5" s="272"/>
      <c r="AF5" s="257" t="s">
        <v>14</v>
      </c>
      <c r="AG5" s="258"/>
    </row>
    <row r="6" spans="1:51">
      <c r="A6" s="172"/>
      <c r="B6" s="173"/>
      <c r="C6" s="174"/>
      <c r="D6" s="188"/>
      <c r="E6" s="188"/>
      <c r="F6" s="188"/>
      <c r="G6" s="188"/>
      <c r="H6" s="188"/>
      <c r="I6" s="188"/>
      <c r="J6" s="188"/>
      <c r="K6" s="188"/>
      <c r="L6" s="188"/>
      <c r="M6" s="188"/>
      <c r="N6" s="188"/>
      <c r="O6" s="188"/>
      <c r="P6" s="188"/>
      <c r="Q6" s="188"/>
      <c r="R6" s="188"/>
      <c r="S6" s="188"/>
      <c r="T6" s="188"/>
      <c r="U6" s="188"/>
      <c r="V6" s="188"/>
      <c r="W6" s="188"/>
      <c r="X6" s="188"/>
      <c r="Y6" s="188"/>
      <c r="Z6" s="188"/>
      <c r="AA6" s="188"/>
      <c r="AB6" s="188"/>
      <c r="AC6" s="188"/>
      <c r="AD6" s="188"/>
      <c r="AE6" s="173"/>
      <c r="AF6" s="174"/>
      <c r="AG6" s="175"/>
    </row>
    <row r="7" spans="1:51">
      <c r="A7" s="176"/>
      <c r="B7" s="177"/>
      <c r="C7" s="178"/>
      <c r="D7" s="273" t="s">
        <v>167</v>
      </c>
      <c r="E7" s="274"/>
      <c r="F7" s="274"/>
      <c r="G7" s="274"/>
      <c r="H7" s="274"/>
      <c r="I7" s="274"/>
      <c r="J7" s="274"/>
      <c r="K7" s="274"/>
      <c r="L7" s="274"/>
      <c r="M7" s="274"/>
      <c r="N7" s="274"/>
      <c r="O7" s="274"/>
      <c r="P7" s="274"/>
      <c r="Q7" s="274"/>
      <c r="R7" s="274"/>
      <c r="S7" s="274"/>
      <c r="T7" s="274"/>
      <c r="U7" s="274"/>
      <c r="V7" s="274"/>
      <c r="W7" s="274"/>
      <c r="X7" s="274"/>
      <c r="Y7" s="274"/>
      <c r="Z7" s="274"/>
      <c r="AA7" s="274"/>
      <c r="AB7" s="274"/>
      <c r="AC7" s="274"/>
      <c r="AD7" s="274"/>
      <c r="AE7" s="177"/>
      <c r="AF7" s="178"/>
      <c r="AG7" s="179"/>
    </row>
    <row r="8" spans="1:51">
      <c r="A8" s="176"/>
      <c r="B8" s="177"/>
      <c r="C8" s="178"/>
      <c r="D8" s="274"/>
      <c r="E8" s="274"/>
      <c r="F8" s="274"/>
      <c r="G8" s="274"/>
      <c r="H8" s="274"/>
      <c r="I8" s="274"/>
      <c r="J8" s="274"/>
      <c r="K8" s="274"/>
      <c r="L8" s="274"/>
      <c r="M8" s="274"/>
      <c r="N8" s="274"/>
      <c r="O8" s="274"/>
      <c r="P8" s="274"/>
      <c r="Q8" s="274"/>
      <c r="R8" s="274"/>
      <c r="S8" s="274"/>
      <c r="T8" s="274"/>
      <c r="U8" s="274"/>
      <c r="V8" s="274"/>
      <c r="W8" s="274"/>
      <c r="X8" s="274"/>
      <c r="Y8" s="274"/>
      <c r="Z8" s="274"/>
      <c r="AA8" s="274"/>
      <c r="AB8" s="274"/>
      <c r="AC8" s="274"/>
      <c r="AD8" s="274"/>
      <c r="AE8" s="177"/>
      <c r="AF8" s="178"/>
      <c r="AG8" s="179"/>
    </row>
    <row r="9" spans="1:51">
      <c r="A9" s="176"/>
      <c r="B9" s="177"/>
      <c r="C9" s="178"/>
      <c r="D9" s="274"/>
      <c r="E9" s="274"/>
      <c r="F9" s="274"/>
      <c r="G9" s="274"/>
      <c r="H9" s="274"/>
      <c r="I9" s="274"/>
      <c r="J9" s="274"/>
      <c r="K9" s="274"/>
      <c r="L9" s="274"/>
      <c r="M9" s="274"/>
      <c r="N9" s="274"/>
      <c r="O9" s="274"/>
      <c r="P9" s="274"/>
      <c r="Q9" s="274"/>
      <c r="R9" s="274"/>
      <c r="S9" s="274"/>
      <c r="T9" s="274"/>
      <c r="U9" s="274"/>
      <c r="V9" s="274"/>
      <c r="W9" s="274"/>
      <c r="X9" s="274"/>
      <c r="Y9" s="274"/>
      <c r="Z9" s="274"/>
      <c r="AA9" s="274"/>
      <c r="AB9" s="274"/>
      <c r="AC9" s="274"/>
      <c r="AD9" s="274"/>
      <c r="AE9" s="177"/>
      <c r="AF9" s="178"/>
      <c r="AG9" s="179"/>
    </row>
    <row r="10" spans="1:51">
      <c r="A10" s="176"/>
      <c r="B10" s="177"/>
      <c r="C10" s="178"/>
      <c r="D10" s="189"/>
      <c r="E10" s="189"/>
      <c r="F10" s="189"/>
      <c r="G10" s="189"/>
      <c r="H10" s="189"/>
      <c r="I10" s="189"/>
      <c r="J10" s="189"/>
      <c r="K10" s="189"/>
      <c r="L10" s="189"/>
      <c r="M10" s="189"/>
      <c r="N10" s="189"/>
      <c r="O10" s="189"/>
      <c r="P10" s="189"/>
      <c r="Q10" s="189"/>
      <c r="R10" s="189"/>
      <c r="S10" s="189"/>
      <c r="T10" s="189"/>
      <c r="U10" s="189"/>
      <c r="V10" s="189"/>
      <c r="W10" s="189"/>
      <c r="X10" s="189"/>
      <c r="Y10" s="189"/>
      <c r="Z10" s="189"/>
      <c r="AA10" s="189"/>
      <c r="AB10" s="189"/>
      <c r="AC10" s="189"/>
      <c r="AD10" s="189"/>
      <c r="AE10" s="177"/>
      <c r="AF10" s="178"/>
      <c r="AG10" s="179"/>
    </row>
    <row r="11" spans="1:51">
      <c r="A11" s="176"/>
      <c r="B11" s="177"/>
      <c r="C11" s="178"/>
      <c r="D11" s="273" t="s">
        <v>166</v>
      </c>
      <c r="E11" s="274"/>
      <c r="F11" s="274"/>
      <c r="G11" s="274"/>
      <c r="H11" s="274"/>
      <c r="I11" s="274"/>
      <c r="J11" s="274"/>
      <c r="K11" s="274"/>
      <c r="L11" s="274"/>
      <c r="M11" s="274"/>
      <c r="N11" s="274"/>
      <c r="O11" s="274"/>
      <c r="P11" s="274"/>
      <c r="Q11" s="274"/>
      <c r="R11" s="274"/>
      <c r="S11" s="274"/>
      <c r="T11" s="274"/>
      <c r="U11" s="274"/>
      <c r="V11" s="274"/>
      <c r="W11" s="274"/>
      <c r="X11" s="274"/>
      <c r="Y11" s="274"/>
      <c r="Z11" s="274"/>
      <c r="AA11" s="274"/>
      <c r="AB11" s="274"/>
      <c r="AC11" s="274"/>
      <c r="AD11" s="274"/>
      <c r="AE11" s="177"/>
      <c r="AF11" s="178"/>
      <c r="AG11" s="179"/>
    </row>
    <row r="12" spans="1:51">
      <c r="A12" s="176"/>
      <c r="B12" s="177"/>
      <c r="C12" s="178"/>
      <c r="D12" s="274"/>
      <c r="E12" s="274"/>
      <c r="F12" s="274"/>
      <c r="G12" s="274"/>
      <c r="H12" s="274"/>
      <c r="I12" s="274"/>
      <c r="J12" s="274"/>
      <c r="K12" s="274"/>
      <c r="L12" s="274"/>
      <c r="M12" s="274"/>
      <c r="N12" s="274"/>
      <c r="O12" s="274"/>
      <c r="P12" s="274"/>
      <c r="Q12" s="274"/>
      <c r="R12" s="274"/>
      <c r="S12" s="274"/>
      <c r="T12" s="274"/>
      <c r="U12" s="274"/>
      <c r="V12" s="274"/>
      <c r="W12" s="274"/>
      <c r="X12" s="274"/>
      <c r="Y12" s="274"/>
      <c r="Z12" s="274"/>
      <c r="AA12" s="274"/>
      <c r="AB12" s="274"/>
      <c r="AC12" s="274"/>
      <c r="AD12" s="274"/>
      <c r="AE12" s="177"/>
      <c r="AF12" s="178"/>
      <c r="AG12" s="179"/>
    </row>
    <row r="13" spans="1:51">
      <c r="A13" s="176"/>
      <c r="B13" s="177"/>
      <c r="C13" s="178"/>
      <c r="D13" s="189"/>
      <c r="E13" s="189"/>
      <c r="F13" s="189"/>
      <c r="G13" s="189"/>
      <c r="H13" s="189"/>
      <c r="I13" s="189"/>
      <c r="J13" s="189"/>
      <c r="K13" s="189"/>
      <c r="L13" s="189"/>
      <c r="M13" s="189"/>
      <c r="N13" s="189"/>
      <c r="O13" s="189"/>
      <c r="P13" s="189"/>
      <c r="Q13" s="189"/>
      <c r="R13" s="189"/>
      <c r="S13" s="189"/>
      <c r="T13" s="189"/>
      <c r="U13" s="189"/>
      <c r="V13" s="189"/>
      <c r="W13" s="189"/>
      <c r="X13" s="189"/>
      <c r="Y13" s="189"/>
      <c r="Z13" s="189"/>
      <c r="AA13" s="189"/>
      <c r="AB13" s="189"/>
      <c r="AC13" s="189"/>
      <c r="AD13" s="189"/>
      <c r="AE13" s="177"/>
      <c r="AF13" s="178"/>
      <c r="AG13" s="179"/>
    </row>
    <row r="14" spans="1:51" ht="14.4" customHeight="1">
      <c r="A14" s="176"/>
      <c r="B14" s="177"/>
      <c r="C14" s="178"/>
      <c r="D14" s="273" t="s">
        <v>178</v>
      </c>
      <c r="E14" s="273"/>
      <c r="F14" s="273"/>
      <c r="G14" s="273"/>
      <c r="H14" s="273"/>
      <c r="I14" s="273"/>
      <c r="J14" s="273"/>
      <c r="K14" s="273"/>
      <c r="L14" s="273"/>
      <c r="M14" s="273"/>
      <c r="N14" s="273"/>
      <c r="O14" s="273"/>
      <c r="P14" s="273"/>
      <c r="Q14" s="273"/>
      <c r="R14" s="273"/>
      <c r="S14" s="273"/>
      <c r="T14" s="273"/>
      <c r="U14" s="273"/>
      <c r="V14" s="273"/>
      <c r="W14" s="273"/>
      <c r="X14" s="273"/>
      <c r="Y14" s="273"/>
      <c r="Z14" s="273"/>
      <c r="AA14" s="273"/>
      <c r="AB14" s="273"/>
      <c r="AC14" s="273"/>
      <c r="AD14" s="273"/>
      <c r="AE14" s="177"/>
      <c r="AF14" s="178"/>
      <c r="AG14" s="179"/>
    </row>
    <row r="15" spans="1:51">
      <c r="A15" s="176"/>
      <c r="B15" s="177"/>
      <c r="C15" s="178"/>
      <c r="D15" s="273"/>
      <c r="E15" s="273"/>
      <c r="F15" s="273"/>
      <c r="G15" s="273"/>
      <c r="H15" s="273"/>
      <c r="I15" s="273"/>
      <c r="J15" s="273"/>
      <c r="K15" s="273"/>
      <c r="L15" s="273"/>
      <c r="M15" s="273"/>
      <c r="N15" s="273"/>
      <c r="O15" s="273"/>
      <c r="P15" s="273"/>
      <c r="Q15" s="273"/>
      <c r="R15" s="273"/>
      <c r="S15" s="273"/>
      <c r="T15" s="273"/>
      <c r="U15" s="273"/>
      <c r="V15" s="273"/>
      <c r="W15" s="273"/>
      <c r="X15" s="273"/>
      <c r="Y15" s="273"/>
      <c r="Z15" s="273"/>
      <c r="AA15" s="273"/>
      <c r="AB15" s="273"/>
      <c r="AC15" s="273"/>
      <c r="AD15" s="273"/>
      <c r="AE15" s="177"/>
      <c r="AF15" s="178"/>
      <c r="AG15" s="179"/>
    </row>
    <row r="16" spans="1:51">
      <c r="A16" s="176"/>
      <c r="B16" s="177"/>
      <c r="C16" s="178"/>
      <c r="D16" s="273"/>
      <c r="E16" s="273"/>
      <c r="F16" s="273"/>
      <c r="G16" s="273"/>
      <c r="H16" s="273"/>
      <c r="I16" s="273"/>
      <c r="J16" s="273"/>
      <c r="K16" s="273"/>
      <c r="L16" s="273"/>
      <c r="M16" s="273"/>
      <c r="N16" s="273"/>
      <c r="O16" s="273"/>
      <c r="P16" s="273"/>
      <c r="Q16" s="273"/>
      <c r="R16" s="273"/>
      <c r="S16" s="273"/>
      <c r="T16" s="273"/>
      <c r="U16" s="273"/>
      <c r="V16" s="273"/>
      <c r="W16" s="273"/>
      <c r="X16" s="273"/>
      <c r="Y16" s="273"/>
      <c r="Z16" s="273"/>
      <c r="AA16" s="273"/>
      <c r="AB16" s="273"/>
      <c r="AC16" s="273"/>
      <c r="AD16" s="273"/>
      <c r="AE16" s="177"/>
      <c r="AF16" s="178"/>
      <c r="AG16" s="179"/>
    </row>
    <row r="17" spans="1:33">
      <c r="A17" s="176"/>
      <c r="B17" s="177"/>
      <c r="C17" s="178"/>
      <c r="D17" s="273"/>
      <c r="E17" s="273"/>
      <c r="F17" s="273"/>
      <c r="G17" s="273"/>
      <c r="H17" s="273"/>
      <c r="I17" s="273"/>
      <c r="J17" s="273"/>
      <c r="K17" s="273"/>
      <c r="L17" s="273"/>
      <c r="M17" s="273"/>
      <c r="N17" s="273"/>
      <c r="O17" s="273"/>
      <c r="P17" s="273"/>
      <c r="Q17" s="273"/>
      <c r="R17" s="273"/>
      <c r="S17" s="273"/>
      <c r="T17" s="273"/>
      <c r="U17" s="273"/>
      <c r="V17" s="273"/>
      <c r="W17" s="273"/>
      <c r="X17" s="273"/>
      <c r="Y17" s="273"/>
      <c r="Z17" s="273"/>
      <c r="AA17" s="273"/>
      <c r="AB17" s="273"/>
      <c r="AC17" s="273"/>
      <c r="AD17" s="273"/>
      <c r="AE17" s="177"/>
      <c r="AF17" s="178"/>
      <c r="AG17" s="179"/>
    </row>
    <row r="18" spans="1:33">
      <c r="A18" s="176"/>
      <c r="B18" s="177"/>
      <c r="C18" s="178"/>
      <c r="D18" s="273"/>
      <c r="E18" s="273"/>
      <c r="F18" s="273"/>
      <c r="G18" s="273"/>
      <c r="H18" s="273"/>
      <c r="I18" s="273"/>
      <c r="J18" s="273"/>
      <c r="K18" s="273"/>
      <c r="L18" s="273"/>
      <c r="M18" s="273"/>
      <c r="N18" s="273"/>
      <c r="O18" s="273"/>
      <c r="P18" s="273"/>
      <c r="Q18" s="273"/>
      <c r="R18" s="273"/>
      <c r="S18" s="273"/>
      <c r="T18" s="273"/>
      <c r="U18" s="273"/>
      <c r="V18" s="273"/>
      <c r="W18" s="273"/>
      <c r="X18" s="273"/>
      <c r="Y18" s="273"/>
      <c r="Z18" s="273"/>
      <c r="AA18" s="273"/>
      <c r="AB18" s="273"/>
      <c r="AC18" s="273"/>
      <c r="AD18" s="273"/>
      <c r="AE18" s="177"/>
      <c r="AF18" s="178"/>
      <c r="AG18" s="179"/>
    </row>
    <row r="19" spans="1:33">
      <c r="A19" s="176"/>
      <c r="B19" s="177"/>
      <c r="C19" s="178"/>
      <c r="D19" s="189"/>
      <c r="E19" s="189"/>
      <c r="F19" s="189"/>
      <c r="G19" s="189"/>
      <c r="H19" s="189"/>
      <c r="I19" s="189"/>
      <c r="J19" s="189"/>
      <c r="K19" s="189"/>
      <c r="L19" s="189"/>
      <c r="M19" s="189"/>
      <c r="N19" s="189"/>
      <c r="O19" s="189"/>
      <c r="P19" s="189"/>
      <c r="Q19" s="189"/>
      <c r="R19" s="189"/>
      <c r="S19" s="189"/>
      <c r="T19" s="189"/>
      <c r="U19" s="189"/>
      <c r="V19" s="189"/>
      <c r="W19" s="189"/>
      <c r="X19" s="189"/>
      <c r="Y19" s="189"/>
      <c r="Z19" s="189"/>
      <c r="AA19" s="189"/>
      <c r="AB19" s="189"/>
      <c r="AC19" s="189"/>
      <c r="AD19" s="189"/>
      <c r="AE19" s="177"/>
      <c r="AF19" s="178"/>
      <c r="AG19" s="179"/>
    </row>
    <row r="20" spans="1:33" ht="14.4" customHeight="1">
      <c r="A20" s="176"/>
      <c r="B20" s="177"/>
      <c r="C20" s="178"/>
      <c r="D20" s="274" t="s">
        <v>169</v>
      </c>
      <c r="E20" s="274"/>
      <c r="F20" s="274"/>
      <c r="G20" s="274"/>
      <c r="H20" s="274"/>
      <c r="I20" s="274"/>
      <c r="J20" s="274"/>
      <c r="K20" s="274"/>
      <c r="L20" s="274"/>
      <c r="M20" s="274"/>
      <c r="N20" s="274"/>
      <c r="O20" s="274"/>
      <c r="P20" s="274"/>
      <c r="Q20" s="274"/>
      <c r="R20" s="274"/>
      <c r="S20" s="274"/>
      <c r="T20" s="274"/>
      <c r="U20" s="274"/>
      <c r="V20" s="274"/>
      <c r="W20" s="274"/>
      <c r="X20" s="274"/>
      <c r="Y20" s="274"/>
      <c r="Z20" s="274"/>
      <c r="AA20" s="274"/>
      <c r="AB20" s="274"/>
      <c r="AC20" s="274"/>
      <c r="AD20" s="274"/>
      <c r="AE20" s="177"/>
      <c r="AF20" s="178"/>
      <c r="AG20" s="179"/>
    </row>
    <row r="21" spans="1:33">
      <c r="A21" s="176"/>
      <c r="B21" s="177"/>
      <c r="C21" s="178"/>
      <c r="D21" s="274"/>
      <c r="E21" s="274"/>
      <c r="F21" s="274"/>
      <c r="G21" s="274"/>
      <c r="H21" s="274"/>
      <c r="I21" s="274"/>
      <c r="J21" s="274"/>
      <c r="K21" s="274"/>
      <c r="L21" s="274"/>
      <c r="M21" s="274"/>
      <c r="N21" s="274"/>
      <c r="O21" s="274"/>
      <c r="P21" s="274"/>
      <c r="Q21" s="274"/>
      <c r="R21" s="274"/>
      <c r="S21" s="274"/>
      <c r="T21" s="274"/>
      <c r="U21" s="274"/>
      <c r="V21" s="274"/>
      <c r="W21" s="274"/>
      <c r="X21" s="274"/>
      <c r="Y21" s="274"/>
      <c r="Z21" s="274"/>
      <c r="AA21" s="274"/>
      <c r="AB21" s="274"/>
      <c r="AC21" s="274"/>
      <c r="AD21" s="274"/>
      <c r="AE21" s="177"/>
      <c r="AF21" s="178"/>
      <c r="AG21" s="179"/>
    </row>
    <row r="22" spans="1:33" ht="14.4" customHeight="1">
      <c r="A22" s="176"/>
      <c r="B22" s="177"/>
      <c r="C22" s="178"/>
      <c r="D22" s="274"/>
      <c r="E22" s="274"/>
      <c r="F22" s="274"/>
      <c r="G22" s="274"/>
      <c r="H22" s="274"/>
      <c r="I22" s="274"/>
      <c r="J22" s="274"/>
      <c r="K22" s="274"/>
      <c r="L22" s="274"/>
      <c r="M22" s="274"/>
      <c r="N22" s="274"/>
      <c r="O22" s="274"/>
      <c r="P22" s="274"/>
      <c r="Q22" s="274"/>
      <c r="R22" s="274"/>
      <c r="S22" s="274"/>
      <c r="T22" s="274"/>
      <c r="U22" s="274"/>
      <c r="V22" s="274"/>
      <c r="W22" s="274"/>
      <c r="X22" s="274"/>
      <c r="Y22" s="274"/>
      <c r="Z22" s="274"/>
      <c r="AA22" s="274"/>
      <c r="AB22" s="274"/>
      <c r="AC22" s="274"/>
      <c r="AD22" s="274"/>
      <c r="AE22" s="177"/>
      <c r="AF22" s="178"/>
      <c r="AG22" s="179"/>
    </row>
    <row r="23" spans="1:33">
      <c r="A23" s="176"/>
      <c r="B23" s="177"/>
      <c r="C23" s="178"/>
      <c r="D23" s="189"/>
      <c r="E23" s="189"/>
      <c r="F23" s="189"/>
      <c r="G23" s="189"/>
      <c r="H23" s="190"/>
      <c r="I23" s="191"/>
      <c r="J23" s="189"/>
      <c r="K23" s="189"/>
      <c r="L23" s="189"/>
      <c r="M23" s="189"/>
      <c r="N23" s="189"/>
      <c r="O23" s="189"/>
      <c r="P23" s="189"/>
      <c r="Q23" s="189"/>
      <c r="R23" s="189"/>
      <c r="S23" s="189"/>
      <c r="T23" s="189"/>
      <c r="U23" s="189"/>
      <c r="V23" s="189"/>
      <c r="W23" s="189"/>
      <c r="X23" s="189"/>
      <c r="Y23" s="189"/>
      <c r="Z23" s="189"/>
      <c r="AA23" s="189"/>
      <c r="AB23" s="189"/>
      <c r="AC23" s="189"/>
      <c r="AD23" s="189"/>
      <c r="AE23" s="177"/>
      <c r="AF23" s="178"/>
      <c r="AG23" s="179"/>
    </row>
    <row r="24" spans="1:33" ht="14.4" customHeight="1">
      <c r="A24" s="176"/>
      <c r="B24" s="177"/>
      <c r="C24" s="178"/>
      <c r="D24" s="293" t="s">
        <v>168</v>
      </c>
      <c r="E24" s="293"/>
      <c r="F24" s="293"/>
      <c r="G24" s="293"/>
      <c r="H24" s="293"/>
      <c r="I24" s="293"/>
      <c r="J24" s="293"/>
      <c r="K24" s="293"/>
      <c r="L24" s="293"/>
      <c r="M24" s="293"/>
      <c r="N24" s="293"/>
      <c r="O24" s="293"/>
      <c r="P24" s="293"/>
      <c r="Q24" s="293"/>
      <c r="R24" s="293"/>
      <c r="S24" s="293"/>
      <c r="T24" s="293"/>
      <c r="U24" s="293"/>
      <c r="V24" s="293"/>
      <c r="W24" s="293"/>
      <c r="X24" s="293"/>
      <c r="Y24" s="293"/>
      <c r="Z24" s="293"/>
      <c r="AA24" s="293"/>
      <c r="AB24" s="293"/>
      <c r="AC24" s="293"/>
      <c r="AD24" s="293"/>
      <c r="AE24" s="177"/>
      <c r="AF24" s="178"/>
      <c r="AG24" s="179"/>
    </row>
    <row r="25" spans="1:33">
      <c r="A25" s="176"/>
      <c r="B25" s="177"/>
      <c r="C25" s="178"/>
      <c r="D25" s="293"/>
      <c r="E25" s="293"/>
      <c r="F25" s="293"/>
      <c r="G25" s="293"/>
      <c r="H25" s="293"/>
      <c r="I25" s="293"/>
      <c r="J25" s="293"/>
      <c r="K25" s="293"/>
      <c r="L25" s="293"/>
      <c r="M25" s="293"/>
      <c r="N25" s="293"/>
      <c r="O25" s="293"/>
      <c r="P25" s="293"/>
      <c r="Q25" s="293"/>
      <c r="R25" s="293"/>
      <c r="S25" s="293"/>
      <c r="T25" s="293"/>
      <c r="U25" s="293"/>
      <c r="V25" s="293"/>
      <c r="W25" s="293"/>
      <c r="X25" s="293"/>
      <c r="Y25" s="293"/>
      <c r="Z25" s="293"/>
      <c r="AA25" s="293"/>
      <c r="AB25" s="293"/>
      <c r="AC25" s="293"/>
      <c r="AD25" s="293"/>
      <c r="AE25" s="177"/>
      <c r="AF25" s="178"/>
      <c r="AG25" s="179"/>
    </row>
    <row r="26" spans="1:33" ht="14.4" customHeight="1">
      <c r="A26" s="176"/>
      <c r="B26" s="177"/>
      <c r="C26" s="178"/>
      <c r="D26" s="293"/>
      <c r="E26" s="293"/>
      <c r="F26" s="293"/>
      <c r="G26" s="293"/>
      <c r="H26" s="293"/>
      <c r="I26" s="293"/>
      <c r="J26" s="293"/>
      <c r="K26" s="293"/>
      <c r="L26" s="293"/>
      <c r="M26" s="293"/>
      <c r="N26" s="293"/>
      <c r="O26" s="293"/>
      <c r="P26" s="293"/>
      <c r="Q26" s="293"/>
      <c r="R26" s="293"/>
      <c r="S26" s="293"/>
      <c r="T26" s="293"/>
      <c r="U26" s="293"/>
      <c r="V26" s="293"/>
      <c r="W26" s="293"/>
      <c r="X26" s="293"/>
      <c r="Y26" s="293"/>
      <c r="Z26" s="293"/>
      <c r="AA26" s="293"/>
      <c r="AB26" s="293"/>
      <c r="AC26" s="293"/>
      <c r="AD26" s="293"/>
      <c r="AE26" s="177"/>
      <c r="AF26" s="178"/>
      <c r="AG26" s="179"/>
    </row>
    <row r="27" spans="1:33">
      <c r="A27" s="176"/>
      <c r="B27" s="177"/>
      <c r="C27" s="178"/>
      <c r="D27" s="293"/>
      <c r="E27" s="293"/>
      <c r="F27" s="293"/>
      <c r="G27" s="293"/>
      <c r="H27" s="293"/>
      <c r="I27" s="293"/>
      <c r="J27" s="293"/>
      <c r="K27" s="293"/>
      <c r="L27" s="293"/>
      <c r="M27" s="293"/>
      <c r="N27" s="293"/>
      <c r="O27" s="293"/>
      <c r="P27" s="293"/>
      <c r="Q27" s="293"/>
      <c r="R27" s="293"/>
      <c r="S27" s="293"/>
      <c r="T27" s="293"/>
      <c r="U27" s="293"/>
      <c r="V27" s="293"/>
      <c r="W27" s="293"/>
      <c r="X27" s="293"/>
      <c r="Y27" s="293"/>
      <c r="Z27" s="293"/>
      <c r="AA27" s="293"/>
      <c r="AB27" s="293"/>
      <c r="AC27" s="293"/>
      <c r="AD27" s="293"/>
      <c r="AE27" s="177"/>
      <c r="AF27" s="178"/>
      <c r="AG27" s="179"/>
    </row>
    <row r="28" spans="1:33">
      <c r="A28" s="176"/>
      <c r="B28" s="177"/>
      <c r="C28" s="178"/>
      <c r="D28" s="189"/>
      <c r="E28" s="189"/>
      <c r="F28" s="189"/>
      <c r="G28" s="189"/>
      <c r="H28" s="189"/>
      <c r="I28" s="189"/>
      <c r="J28" s="189"/>
      <c r="K28" s="189"/>
      <c r="L28" s="160"/>
      <c r="M28" s="160"/>
      <c r="N28" s="160"/>
      <c r="O28" s="189"/>
      <c r="P28" s="189"/>
      <c r="Q28" s="189"/>
      <c r="R28" s="189"/>
      <c r="S28" s="189"/>
      <c r="T28" s="189"/>
      <c r="U28" s="189"/>
      <c r="V28" s="189"/>
      <c r="W28" s="189"/>
      <c r="X28" s="189"/>
      <c r="Y28" s="189"/>
      <c r="Z28" s="189"/>
      <c r="AA28" s="189"/>
      <c r="AB28" s="189"/>
      <c r="AC28" s="189"/>
      <c r="AD28" s="189"/>
      <c r="AE28" s="177"/>
      <c r="AF28" s="178"/>
      <c r="AG28" s="179"/>
    </row>
    <row r="29" spans="1:33">
      <c r="A29" s="176"/>
      <c r="B29" s="177"/>
      <c r="C29" s="178"/>
      <c r="D29" s="293" t="s">
        <v>170</v>
      </c>
      <c r="E29" s="293"/>
      <c r="F29" s="293"/>
      <c r="G29" s="293"/>
      <c r="H29" s="293"/>
      <c r="I29" s="293"/>
      <c r="J29" s="293"/>
      <c r="K29" s="293"/>
      <c r="L29" s="293"/>
      <c r="M29" s="293"/>
      <c r="N29" s="293"/>
      <c r="O29" s="293"/>
      <c r="P29" s="293"/>
      <c r="Q29" s="293"/>
      <c r="R29" s="293"/>
      <c r="S29" s="293"/>
      <c r="T29" s="293"/>
      <c r="U29" s="293"/>
      <c r="V29" s="293"/>
      <c r="W29" s="293"/>
      <c r="X29" s="293"/>
      <c r="Y29" s="293"/>
      <c r="Z29" s="293"/>
      <c r="AA29" s="293"/>
      <c r="AB29" s="293"/>
      <c r="AC29" s="293"/>
      <c r="AD29" s="293"/>
      <c r="AE29" s="177"/>
      <c r="AF29" s="178"/>
      <c r="AG29" s="179"/>
    </row>
    <row r="30" spans="1:33">
      <c r="A30" s="176"/>
      <c r="B30" s="177"/>
      <c r="C30" s="178"/>
      <c r="D30" s="293"/>
      <c r="E30" s="293"/>
      <c r="F30" s="293"/>
      <c r="G30" s="293"/>
      <c r="H30" s="293"/>
      <c r="I30" s="293"/>
      <c r="J30" s="293"/>
      <c r="K30" s="293"/>
      <c r="L30" s="293"/>
      <c r="M30" s="293"/>
      <c r="N30" s="293"/>
      <c r="O30" s="293"/>
      <c r="P30" s="293"/>
      <c r="Q30" s="293"/>
      <c r="R30" s="293"/>
      <c r="S30" s="293"/>
      <c r="T30" s="293"/>
      <c r="U30" s="293"/>
      <c r="V30" s="293"/>
      <c r="W30" s="293"/>
      <c r="X30" s="293"/>
      <c r="Y30" s="293"/>
      <c r="Z30" s="293"/>
      <c r="AA30" s="293"/>
      <c r="AB30" s="293"/>
      <c r="AC30" s="293"/>
      <c r="AD30" s="293"/>
      <c r="AE30" s="177"/>
      <c r="AF30" s="178"/>
      <c r="AG30" s="179"/>
    </row>
    <row r="31" spans="1:33" ht="14.4" customHeight="1">
      <c r="A31" s="176"/>
      <c r="B31" s="177"/>
      <c r="C31" s="178"/>
      <c r="D31" s="189"/>
      <c r="E31" s="189"/>
      <c r="F31" s="189"/>
      <c r="G31" s="189"/>
      <c r="H31" s="189"/>
      <c r="I31" s="189"/>
      <c r="J31" s="189"/>
      <c r="K31" s="189"/>
      <c r="L31" s="189"/>
      <c r="M31" s="189"/>
      <c r="N31" s="189"/>
      <c r="O31" s="189"/>
      <c r="P31" s="189"/>
      <c r="Q31" s="189"/>
      <c r="R31" s="189"/>
      <c r="S31" s="189"/>
      <c r="T31" s="189"/>
      <c r="U31" s="189"/>
      <c r="V31" s="189"/>
      <c r="W31" s="189"/>
      <c r="X31" s="189"/>
      <c r="Y31" s="189"/>
      <c r="Z31" s="189"/>
      <c r="AA31" s="189"/>
      <c r="AB31" s="189"/>
      <c r="AC31" s="189"/>
      <c r="AD31" s="189"/>
      <c r="AE31" s="177"/>
      <c r="AF31" s="178"/>
      <c r="AG31" s="179"/>
    </row>
    <row r="32" spans="1:33" ht="14.4" customHeight="1">
      <c r="A32" s="176"/>
      <c r="B32" s="177"/>
      <c r="C32" s="178"/>
      <c r="D32" s="293" t="s">
        <v>179</v>
      </c>
      <c r="E32" s="293"/>
      <c r="F32" s="293"/>
      <c r="G32" s="293"/>
      <c r="H32" s="293"/>
      <c r="I32" s="293"/>
      <c r="J32" s="293"/>
      <c r="K32" s="293"/>
      <c r="L32" s="293"/>
      <c r="M32" s="293"/>
      <c r="N32" s="293"/>
      <c r="O32" s="293"/>
      <c r="P32" s="293"/>
      <c r="Q32" s="293"/>
      <c r="R32" s="293"/>
      <c r="S32" s="293"/>
      <c r="T32" s="293"/>
      <c r="U32" s="293"/>
      <c r="V32" s="293"/>
      <c r="W32" s="293"/>
      <c r="X32" s="293"/>
      <c r="Y32" s="293"/>
      <c r="Z32" s="293"/>
      <c r="AA32" s="293"/>
      <c r="AB32" s="293"/>
      <c r="AC32" s="293"/>
      <c r="AD32" s="293"/>
      <c r="AE32" s="177"/>
      <c r="AF32" s="178"/>
      <c r="AG32" s="179"/>
    </row>
    <row r="33" spans="1:33" ht="14.4" customHeight="1">
      <c r="A33" s="176"/>
      <c r="B33" s="177"/>
      <c r="C33" s="178"/>
      <c r="D33" s="293"/>
      <c r="E33" s="293"/>
      <c r="F33" s="293"/>
      <c r="G33" s="293"/>
      <c r="H33" s="293"/>
      <c r="I33" s="293"/>
      <c r="J33" s="293"/>
      <c r="K33" s="293"/>
      <c r="L33" s="293"/>
      <c r="M33" s="293"/>
      <c r="N33" s="293"/>
      <c r="O33" s="293"/>
      <c r="P33" s="293"/>
      <c r="Q33" s="293"/>
      <c r="R33" s="293"/>
      <c r="S33" s="293"/>
      <c r="T33" s="293"/>
      <c r="U33" s="293"/>
      <c r="V33" s="293"/>
      <c r="W33" s="293"/>
      <c r="X33" s="293"/>
      <c r="Y33" s="293"/>
      <c r="Z33" s="293"/>
      <c r="AA33" s="293"/>
      <c r="AB33" s="293"/>
      <c r="AC33" s="293"/>
      <c r="AD33" s="293"/>
      <c r="AE33" s="177"/>
      <c r="AF33" s="178"/>
      <c r="AG33" s="179"/>
    </row>
    <row r="34" spans="1:33">
      <c r="A34" s="176"/>
      <c r="B34" s="177"/>
      <c r="C34" s="178"/>
      <c r="D34" s="189"/>
      <c r="E34" s="189"/>
      <c r="F34" s="189"/>
      <c r="G34" s="189"/>
      <c r="H34" s="189"/>
      <c r="I34" s="189"/>
      <c r="J34" s="189"/>
      <c r="K34" s="189"/>
      <c r="L34" s="160"/>
      <c r="M34" s="160"/>
      <c r="N34" s="160"/>
      <c r="O34" s="189"/>
      <c r="P34" s="189"/>
      <c r="Q34" s="189"/>
      <c r="R34" s="189"/>
      <c r="S34" s="189"/>
      <c r="T34" s="189"/>
      <c r="U34" s="189"/>
      <c r="V34" s="189"/>
      <c r="W34" s="189"/>
      <c r="X34" s="189"/>
      <c r="Y34" s="189"/>
      <c r="Z34" s="189"/>
      <c r="AA34" s="189"/>
      <c r="AB34" s="189"/>
      <c r="AC34" s="189"/>
      <c r="AD34" s="189"/>
      <c r="AE34" s="177"/>
      <c r="AF34" s="178"/>
      <c r="AG34" s="179"/>
    </row>
    <row r="35" spans="1:33">
      <c r="A35" s="176"/>
      <c r="B35" s="177"/>
      <c r="C35" s="178"/>
      <c r="D35" s="189" t="s">
        <v>186</v>
      </c>
      <c r="E35" s="189"/>
      <c r="F35" s="189"/>
      <c r="G35" s="189"/>
      <c r="H35" s="189"/>
      <c r="I35" s="189"/>
      <c r="J35" s="189"/>
      <c r="K35" s="189"/>
      <c r="L35" s="189"/>
      <c r="M35" s="189"/>
      <c r="N35" s="189"/>
      <c r="O35" s="189"/>
      <c r="P35" s="189"/>
      <c r="Q35" s="189"/>
      <c r="R35" s="189"/>
      <c r="S35" s="189"/>
      <c r="T35" s="189"/>
      <c r="U35" s="189"/>
      <c r="V35" s="189"/>
      <c r="W35" s="189"/>
      <c r="X35" s="189"/>
      <c r="Y35" s="189"/>
      <c r="Z35" s="189"/>
      <c r="AA35" s="189"/>
      <c r="AB35" s="189"/>
      <c r="AC35" s="189"/>
      <c r="AD35" s="189"/>
      <c r="AE35" s="177"/>
      <c r="AF35" s="178"/>
      <c r="AG35" s="179"/>
    </row>
    <row r="36" spans="1:33">
      <c r="A36" s="176"/>
      <c r="B36" s="177"/>
      <c r="C36" s="178"/>
      <c r="D36" s="189"/>
      <c r="E36" s="189"/>
      <c r="F36" s="189"/>
      <c r="G36" s="189"/>
      <c r="H36" s="189"/>
      <c r="I36" s="189"/>
      <c r="J36" s="189"/>
      <c r="K36" s="189"/>
      <c r="L36" s="189"/>
      <c r="M36" s="189"/>
      <c r="N36" s="189"/>
      <c r="O36" s="189"/>
      <c r="P36" s="189"/>
      <c r="Q36" s="189"/>
      <c r="R36" s="189"/>
      <c r="S36" s="189"/>
      <c r="T36" s="189"/>
      <c r="U36" s="189"/>
      <c r="V36" s="189"/>
      <c r="W36" s="189"/>
      <c r="X36" s="189"/>
      <c r="Y36" s="189"/>
      <c r="Z36" s="189"/>
      <c r="AA36" s="189"/>
      <c r="AB36" s="189"/>
      <c r="AC36" s="189"/>
      <c r="AD36" s="189"/>
      <c r="AE36" s="177"/>
      <c r="AF36" s="178"/>
      <c r="AG36" s="179"/>
    </row>
    <row r="37" spans="1:33" ht="14.4" customHeight="1">
      <c r="A37" s="176"/>
      <c r="B37" s="177"/>
      <c r="C37" s="178"/>
      <c r="D37" s="293" t="s">
        <v>226</v>
      </c>
      <c r="E37" s="293"/>
      <c r="F37" s="293"/>
      <c r="G37" s="293"/>
      <c r="H37" s="293"/>
      <c r="I37" s="293"/>
      <c r="J37" s="293"/>
      <c r="K37" s="293"/>
      <c r="L37" s="293"/>
      <c r="M37" s="293"/>
      <c r="N37" s="293"/>
      <c r="O37" s="293"/>
      <c r="P37" s="293"/>
      <c r="Q37" s="293"/>
      <c r="R37" s="293"/>
      <c r="S37" s="293"/>
      <c r="T37" s="293"/>
      <c r="U37" s="293"/>
      <c r="V37" s="293"/>
      <c r="W37" s="293"/>
      <c r="X37" s="293"/>
      <c r="Y37" s="293"/>
      <c r="Z37" s="293"/>
      <c r="AA37" s="293"/>
      <c r="AB37" s="293"/>
      <c r="AC37" s="293"/>
      <c r="AD37" s="293"/>
      <c r="AE37" s="177"/>
      <c r="AF37" s="178"/>
      <c r="AG37" s="179"/>
    </row>
    <row r="38" spans="1:33" ht="14.4" customHeight="1">
      <c r="A38" s="176"/>
      <c r="B38" s="177"/>
      <c r="C38" s="178"/>
      <c r="D38" s="293"/>
      <c r="E38" s="293"/>
      <c r="F38" s="293"/>
      <c r="G38" s="293"/>
      <c r="H38" s="293"/>
      <c r="I38" s="293"/>
      <c r="J38" s="293"/>
      <c r="K38" s="293"/>
      <c r="L38" s="293"/>
      <c r="M38" s="293"/>
      <c r="N38" s="293"/>
      <c r="O38" s="293"/>
      <c r="P38" s="293"/>
      <c r="Q38" s="293"/>
      <c r="R38" s="293"/>
      <c r="S38" s="293"/>
      <c r="T38" s="293"/>
      <c r="U38" s="293"/>
      <c r="V38" s="293"/>
      <c r="W38" s="293"/>
      <c r="X38" s="293"/>
      <c r="Y38" s="293"/>
      <c r="Z38" s="293"/>
      <c r="AA38" s="293"/>
      <c r="AB38" s="293"/>
      <c r="AC38" s="293"/>
      <c r="AD38" s="293"/>
      <c r="AE38" s="177"/>
      <c r="AF38" s="178"/>
      <c r="AG38" s="179"/>
    </row>
    <row r="39" spans="1:33" ht="14.4" customHeight="1">
      <c r="A39" s="176"/>
      <c r="B39" s="177"/>
      <c r="C39" s="178"/>
      <c r="D39" s="189"/>
      <c r="E39" s="192"/>
      <c r="F39" s="190"/>
      <c r="G39" s="191"/>
      <c r="H39" s="189"/>
      <c r="I39" s="189"/>
      <c r="J39" s="160"/>
      <c r="K39" s="160"/>
      <c r="L39" s="160"/>
      <c r="M39" s="189"/>
      <c r="N39" s="189"/>
      <c r="O39" s="189"/>
      <c r="P39" s="189"/>
      <c r="Q39" s="189"/>
      <c r="R39" s="189"/>
      <c r="S39" s="189"/>
      <c r="T39" s="189"/>
      <c r="U39" s="189"/>
      <c r="V39" s="189"/>
      <c r="W39" s="189"/>
      <c r="X39" s="189"/>
      <c r="Y39" s="189"/>
      <c r="Z39" s="189"/>
      <c r="AA39" s="189"/>
      <c r="AB39" s="189"/>
      <c r="AC39" s="189"/>
      <c r="AD39" s="193"/>
      <c r="AE39" s="177"/>
      <c r="AF39" s="178"/>
      <c r="AG39" s="179"/>
    </row>
    <row r="40" spans="1:33" ht="14.4" customHeight="1">
      <c r="A40" s="176"/>
      <c r="B40" s="177"/>
      <c r="C40" s="178"/>
      <c r="D40" s="189"/>
      <c r="E40" s="189"/>
      <c r="F40" s="189"/>
      <c r="G40" s="189"/>
      <c r="H40" s="189"/>
      <c r="I40" s="189"/>
      <c r="J40" s="189"/>
      <c r="K40" s="189"/>
      <c r="L40" s="189"/>
      <c r="M40" s="189"/>
      <c r="N40" s="189"/>
      <c r="O40" s="189"/>
      <c r="P40" s="189"/>
      <c r="Q40" s="189"/>
      <c r="R40" s="189"/>
      <c r="S40" s="189"/>
      <c r="T40" s="189"/>
      <c r="U40" s="189"/>
      <c r="V40" s="189"/>
      <c r="W40" s="160"/>
      <c r="X40" s="160"/>
      <c r="Y40" s="160"/>
      <c r="Z40" s="189"/>
      <c r="AA40" s="189"/>
      <c r="AB40" s="189"/>
      <c r="AC40" s="189"/>
      <c r="AD40" s="189"/>
      <c r="AE40" s="177"/>
      <c r="AF40" s="178"/>
      <c r="AG40" s="179"/>
    </row>
    <row r="41" spans="1:33">
      <c r="A41" s="176"/>
      <c r="B41" s="177"/>
      <c r="C41" s="178"/>
      <c r="D41" s="189"/>
      <c r="E41" s="189"/>
      <c r="F41" s="189"/>
      <c r="G41" s="189"/>
      <c r="H41" s="189"/>
      <c r="I41" s="189"/>
      <c r="J41" s="189"/>
      <c r="K41" s="189"/>
      <c r="L41" s="189"/>
      <c r="M41" s="189"/>
      <c r="N41" s="189"/>
      <c r="O41" s="189"/>
      <c r="P41" s="189"/>
      <c r="Q41" s="189"/>
      <c r="R41" s="189"/>
      <c r="S41" s="189"/>
      <c r="T41" s="189"/>
      <c r="U41" s="189"/>
      <c r="V41" s="189"/>
      <c r="W41" s="160"/>
      <c r="X41" s="160"/>
      <c r="Y41" s="160"/>
      <c r="Z41" s="189"/>
      <c r="AA41" s="189"/>
      <c r="AB41" s="189"/>
      <c r="AC41" s="189"/>
      <c r="AD41" s="189"/>
      <c r="AE41" s="177"/>
      <c r="AF41" s="178"/>
      <c r="AG41" s="179"/>
    </row>
    <row r="42" spans="1:33">
      <c r="A42" s="176"/>
      <c r="B42" s="177"/>
      <c r="C42" s="178"/>
      <c r="D42" s="189"/>
      <c r="E42" s="189"/>
      <c r="F42" s="189"/>
      <c r="G42" s="189"/>
      <c r="H42" s="189"/>
      <c r="I42" s="189"/>
      <c r="J42" s="189"/>
      <c r="K42" s="189"/>
      <c r="L42" s="189"/>
      <c r="M42" s="189"/>
      <c r="N42" s="189"/>
      <c r="O42" s="189"/>
      <c r="P42" s="189"/>
      <c r="Q42" s="189"/>
      <c r="R42" s="189"/>
      <c r="S42" s="189"/>
      <c r="T42" s="189"/>
      <c r="U42" s="189"/>
      <c r="V42" s="189"/>
      <c r="W42" s="189"/>
      <c r="X42" s="189"/>
      <c r="Y42" s="189"/>
      <c r="Z42" s="189"/>
      <c r="AA42" s="189"/>
      <c r="AB42" s="189"/>
      <c r="AC42" s="189"/>
      <c r="AD42" s="189"/>
      <c r="AE42" s="177"/>
      <c r="AF42" s="178"/>
      <c r="AG42" s="179"/>
    </row>
    <row r="43" spans="1:33">
      <c r="A43" s="176"/>
      <c r="B43" s="177"/>
      <c r="C43" s="178"/>
      <c r="D43" s="189"/>
      <c r="E43" s="189"/>
      <c r="F43" s="189"/>
      <c r="G43" s="189"/>
      <c r="H43" s="189"/>
      <c r="I43" s="189"/>
      <c r="J43" s="189"/>
      <c r="K43" s="189"/>
      <c r="L43" s="189"/>
      <c r="M43" s="189"/>
      <c r="N43" s="189"/>
      <c r="O43" s="189"/>
      <c r="P43" s="189"/>
      <c r="Q43" s="189"/>
      <c r="R43" s="189"/>
      <c r="S43" s="189"/>
      <c r="T43" s="189"/>
      <c r="U43" s="189"/>
      <c r="V43" s="189"/>
      <c r="W43" s="189"/>
      <c r="X43" s="189"/>
      <c r="Y43" s="189"/>
      <c r="Z43" s="189"/>
      <c r="AA43" s="189"/>
      <c r="AB43" s="189"/>
      <c r="AC43" s="189"/>
      <c r="AD43" s="189"/>
      <c r="AE43" s="177"/>
      <c r="AF43" s="178"/>
      <c r="AG43" s="179"/>
    </row>
    <row r="44" spans="1:33">
      <c r="A44" s="176"/>
      <c r="B44" s="177"/>
      <c r="C44" s="178"/>
      <c r="D44" s="189"/>
      <c r="E44" s="189"/>
      <c r="F44" s="189"/>
      <c r="G44" s="189"/>
      <c r="H44" s="189"/>
      <c r="I44" s="189"/>
      <c r="J44" s="189"/>
      <c r="K44" s="189"/>
      <c r="L44" s="189"/>
      <c r="M44" s="189"/>
      <c r="N44" s="189"/>
      <c r="O44" s="189"/>
      <c r="P44" s="189"/>
      <c r="Q44" s="189"/>
      <c r="R44" s="189"/>
      <c r="S44" s="189"/>
      <c r="T44" s="189"/>
      <c r="U44" s="189"/>
      <c r="V44" s="189"/>
      <c r="W44" s="189"/>
      <c r="X44" s="189"/>
      <c r="Y44" s="189"/>
      <c r="Z44" s="189"/>
      <c r="AA44" s="189"/>
      <c r="AB44" s="189"/>
      <c r="AC44" s="189"/>
      <c r="AD44" s="189"/>
      <c r="AE44" s="177"/>
      <c r="AF44" s="178"/>
      <c r="AG44" s="179"/>
    </row>
    <row r="45" spans="1:33">
      <c r="A45" s="176"/>
      <c r="B45" s="177"/>
      <c r="C45" s="178"/>
      <c r="D45" s="189"/>
      <c r="E45" s="189"/>
      <c r="F45" s="189"/>
      <c r="G45" s="189"/>
      <c r="H45" s="189"/>
      <c r="I45" s="189"/>
      <c r="J45" s="189"/>
      <c r="K45" s="189"/>
      <c r="L45" s="189"/>
      <c r="M45" s="189"/>
      <c r="N45" s="189"/>
      <c r="O45" s="189"/>
      <c r="P45" s="189"/>
      <c r="Q45" s="189"/>
      <c r="R45" s="189"/>
      <c r="S45" s="189"/>
      <c r="T45" s="189"/>
      <c r="U45" s="189"/>
      <c r="V45" s="189"/>
      <c r="W45" s="189"/>
      <c r="X45" s="189"/>
      <c r="Y45" s="189"/>
      <c r="Z45" s="189"/>
      <c r="AA45" s="189"/>
      <c r="AB45" s="189"/>
      <c r="AC45" s="189"/>
      <c r="AD45" s="189"/>
      <c r="AE45" s="177"/>
      <c r="AF45" s="178"/>
      <c r="AG45" s="179"/>
    </row>
    <row r="46" spans="1:33">
      <c r="A46" s="176"/>
      <c r="B46" s="177"/>
      <c r="C46" s="178"/>
      <c r="D46" s="194" t="s">
        <v>171</v>
      </c>
      <c r="E46" s="189"/>
      <c r="F46" s="189"/>
      <c r="G46" s="189"/>
      <c r="H46" s="189"/>
      <c r="I46" s="189"/>
      <c r="J46" s="189"/>
      <c r="K46" s="189"/>
      <c r="L46" s="189"/>
      <c r="M46" s="189"/>
      <c r="N46" s="189"/>
      <c r="O46" s="189"/>
      <c r="P46" s="189"/>
      <c r="Q46" s="189"/>
      <c r="R46" s="189"/>
      <c r="S46" s="189"/>
      <c r="T46" s="189"/>
      <c r="U46" s="189"/>
      <c r="V46" s="189"/>
      <c r="W46" s="189"/>
      <c r="X46" s="189"/>
      <c r="Y46" s="189"/>
      <c r="Z46" s="189"/>
      <c r="AA46" s="189"/>
      <c r="AB46" s="189"/>
      <c r="AC46" s="189"/>
      <c r="AD46" s="189"/>
      <c r="AE46" s="177"/>
      <c r="AF46" s="178"/>
      <c r="AG46" s="179"/>
    </row>
    <row r="47" spans="1:33" s="162" customFormat="1" ht="10.199999999999999">
      <c r="A47" s="180"/>
      <c r="B47" s="181"/>
      <c r="C47" s="182"/>
      <c r="D47" s="195" t="s">
        <v>16</v>
      </c>
      <c r="E47" s="196" t="str">
        <f>"'Bending Moments &amp; Leakage at Flanged Joints' by RG Blick, Petroleum Refiner Vol 29, 1953."</f>
        <v>'Bending Moments &amp; Leakage at Flanged Joints' by RG Blick, Petroleum Refiner Vol 29, 1953.</v>
      </c>
      <c r="F47" s="197"/>
      <c r="G47" s="197"/>
      <c r="H47" s="197"/>
      <c r="I47" s="197"/>
      <c r="J47" s="197"/>
      <c r="K47" s="197"/>
      <c r="L47" s="197"/>
      <c r="M47" s="197"/>
      <c r="N47" s="197"/>
      <c r="O47" s="197"/>
      <c r="P47" s="197"/>
      <c r="Q47" s="197"/>
      <c r="R47" s="197"/>
      <c r="S47" s="197"/>
      <c r="T47" s="197"/>
      <c r="U47" s="197"/>
      <c r="V47" s="197"/>
      <c r="W47" s="197"/>
      <c r="X47" s="197"/>
      <c r="Y47" s="197"/>
      <c r="Z47" s="197"/>
      <c r="AA47" s="197"/>
      <c r="AB47" s="197"/>
      <c r="AC47" s="197"/>
      <c r="AD47" s="197"/>
      <c r="AE47" s="181"/>
      <c r="AF47" s="182"/>
      <c r="AG47" s="183"/>
    </row>
    <row r="48" spans="1:33" s="162" customFormat="1" ht="10.199999999999999">
      <c r="A48" s="180"/>
      <c r="B48" s="181"/>
      <c r="C48" s="182"/>
      <c r="D48" s="195" t="s">
        <v>17</v>
      </c>
      <c r="E48" s="294" t="s">
        <v>172</v>
      </c>
      <c r="F48" s="294"/>
      <c r="G48" s="294"/>
      <c r="H48" s="294"/>
      <c r="I48" s="294"/>
      <c r="J48" s="294"/>
      <c r="K48" s="294"/>
      <c r="L48" s="294"/>
      <c r="M48" s="294"/>
      <c r="N48" s="294"/>
      <c r="O48" s="294"/>
      <c r="P48" s="294"/>
      <c r="Q48" s="294"/>
      <c r="R48" s="294"/>
      <c r="S48" s="294"/>
      <c r="T48" s="294"/>
      <c r="U48" s="294"/>
      <c r="V48" s="294"/>
      <c r="W48" s="294"/>
      <c r="X48" s="294"/>
      <c r="Y48" s="294"/>
      <c r="Z48" s="294"/>
      <c r="AA48" s="294"/>
      <c r="AB48" s="294"/>
      <c r="AC48" s="294"/>
      <c r="AD48" s="294"/>
      <c r="AE48" s="181"/>
      <c r="AF48" s="182"/>
      <c r="AG48" s="183"/>
    </row>
    <row r="49" spans="1:33" s="162" customFormat="1" ht="10.199999999999999">
      <c r="A49" s="180"/>
      <c r="B49" s="181"/>
      <c r="C49" s="182"/>
      <c r="D49" s="197"/>
      <c r="E49" s="294"/>
      <c r="F49" s="294"/>
      <c r="G49" s="294"/>
      <c r="H49" s="294"/>
      <c r="I49" s="294"/>
      <c r="J49" s="294"/>
      <c r="K49" s="294"/>
      <c r="L49" s="294"/>
      <c r="M49" s="294"/>
      <c r="N49" s="294"/>
      <c r="O49" s="294"/>
      <c r="P49" s="294"/>
      <c r="Q49" s="294"/>
      <c r="R49" s="294"/>
      <c r="S49" s="294"/>
      <c r="T49" s="294"/>
      <c r="U49" s="294"/>
      <c r="V49" s="294"/>
      <c r="W49" s="294"/>
      <c r="X49" s="294"/>
      <c r="Y49" s="294"/>
      <c r="Z49" s="294"/>
      <c r="AA49" s="294"/>
      <c r="AB49" s="294"/>
      <c r="AC49" s="294"/>
      <c r="AD49" s="294"/>
      <c r="AE49" s="181"/>
      <c r="AF49" s="182"/>
      <c r="AG49" s="183"/>
    </row>
    <row r="50" spans="1:33" s="162" customFormat="1" ht="10.199999999999999">
      <c r="A50" s="180"/>
      <c r="B50" s="181"/>
      <c r="C50" s="182"/>
      <c r="D50" s="195" t="s">
        <v>158</v>
      </c>
      <c r="E50" s="196" t="s">
        <v>177</v>
      </c>
      <c r="F50" s="197"/>
      <c r="G50" s="197"/>
      <c r="H50" s="197"/>
      <c r="I50" s="197"/>
      <c r="J50" s="197"/>
      <c r="K50" s="197"/>
      <c r="L50" s="197"/>
      <c r="M50" s="197"/>
      <c r="N50" s="197"/>
      <c r="O50" s="197"/>
      <c r="P50" s="197"/>
      <c r="Q50" s="197"/>
      <c r="R50" s="197"/>
      <c r="S50" s="197"/>
      <c r="T50" s="197"/>
      <c r="U50" s="197"/>
      <c r="V50" s="197"/>
      <c r="W50" s="197"/>
      <c r="X50" s="197"/>
      <c r="Y50" s="197"/>
      <c r="Z50" s="197"/>
      <c r="AA50" s="197"/>
      <c r="AB50" s="197"/>
      <c r="AC50" s="197"/>
      <c r="AD50" s="197"/>
      <c r="AE50" s="181"/>
      <c r="AF50" s="182"/>
      <c r="AG50" s="183"/>
    </row>
    <row r="51" spans="1:33" s="162" customFormat="1" ht="10.199999999999999">
      <c r="A51" s="180"/>
      <c r="B51" s="181"/>
      <c r="C51" s="182"/>
      <c r="D51" s="197"/>
      <c r="E51" s="197"/>
      <c r="F51" s="197"/>
      <c r="G51" s="197"/>
      <c r="H51" s="197"/>
      <c r="I51" s="197"/>
      <c r="J51" s="197"/>
      <c r="K51" s="197"/>
      <c r="L51" s="197"/>
      <c r="M51" s="197"/>
      <c r="N51" s="197"/>
      <c r="O51" s="197"/>
      <c r="P51" s="197"/>
      <c r="Q51" s="197"/>
      <c r="R51" s="197"/>
      <c r="S51" s="197"/>
      <c r="T51" s="197"/>
      <c r="U51" s="197"/>
      <c r="V51" s="197"/>
      <c r="W51" s="197"/>
      <c r="X51" s="197"/>
      <c r="Y51" s="197"/>
      <c r="Z51" s="197"/>
      <c r="AA51" s="197"/>
      <c r="AB51" s="197"/>
      <c r="AC51" s="197"/>
      <c r="AD51" s="197"/>
      <c r="AE51" s="181"/>
      <c r="AF51" s="182"/>
      <c r="AG51" s="183"/>
    </row>
    <row r="52" spans="1:33" s="162" customFormat="1" ht="10.8" thickBot="1">
      <c r="A52" s="184"/>
      <c r="B52" s="185"/>
      <c r="C52" s="186"/>
      <c r="D52" s="198"/>
      <c r="E52" s="198"/>
      <c r="F52" s="198"/>
      <c r="G52" s="198"/>
      <c r="H52" s="198"/>
      <c r="I52" s="198"/>
      <c r="J52" s="198"/>
      <c r="K52" s="198"/>
      <c r="L52" s="198"/>
      <c r="M52" s="198"/>
      <c r="N52" s="198"/>
      <c r="O52" s="198"/>
      <c r="P52" s="198"/>
      <c r="Q52" s="198"/>
      <c r="R52" s="198"/>
      <c r="S52" s="198"/>
      <c r="T52" s="198"/>
      <c r="U52" s="198"/>
      <c r="V52" s="198"/>
      <c r="W52" s="198"/>
      <c r="X52" s="198"/>
      <c r="Y52" s="198"/>
      <c r="Z52" s="198"/>
      <c r="AA52" s="198"/>
      <c r="AB52" s="198"/>
      <c r="AC52" s="198"/>
      <c r="AD52" s="198"/>
      <c r="AE52" s="185"/>
      <c r="AF52" s="186"/>
      <c r="AG52" s="187"/>
    </row>
    <row r="53" spans="1:33" s="233" customFormat="1"/>
  </sheetData>
  <sheetProtection password="8C51" sheet="1" objects="1" scenarios="1" selectLockedCells="1"/>
  <mergeCells count="22">
    <mergeCell ref="D29:AD30"/>
    <mergeCell ref="E48:AD49"/>
    <mergeCell ref="D32:AD33"/>
    <mergeCell ref="D14:AD18"/>
    <mergeCell ref="D24:AD27"/>
    <mergeCell ref="D20:AD22"/>
    <mergeCell ref="D37:AD38"/>
    <mergeCell ref="D7:AD9"/>
    <mergeCell ref="D11:AD12"/>
    <mergeCell ref="A1:F4"/>
    <mergeCell ref="A5:B5"/>
    <mergeCell ref="G2:M2"/>
    <mergeCell ref="G4:Q4"/>
    <mergeCell ref="N2:Q2"/>
    <mergeCell ref="AF5:AG5"/>
    <mergeCell ref="AD4:AG4"/>
    <mergeCell ref="Z4:AC4"/>
    <mergeCell ref="V4:Y4"/>
    <mergeCell ref="R2:U2"/>
    <mergeCell ref="R4:U4"/>
    <mergeCell ref="V2:AG2"/>
    <mergeCell ref="C5:AE5"/>
  </mergeCells>
  <pageMargins left="1.1417322834645669" right="0.23" top="0.15748031496062992" bottom="0.55000000000000004" header="0" footer="0"/>
  <pageSetup paperSize="9" orientation="portrait" r:id="rId1"/>
  <headerFooter>
    <oddFooter xml:space="preserve">&amp;L&amp;07&amp;"Arial"Microsoft Excel Ver. 14.0 (Build 6024)
File: C:\Ithaca\FPF1-298\&amp;F
Licensed To: Microsoft&amp;R&amp;07&amp;"Arial"Date: &amp;D Time: &amp;T
</oddFooter>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AV81"/>
  <sheetViews>
    <sheetView showGridLines="0" tabSelected="1" zoomScaleNormal="100" workbookViewId="0">
      <selection activeCell="V5" sqref="V5:Y5"/>
    </sheetView>
  </sheetViews>
  <sheetFormatPr defaultColWidth="0" defaultRowHeight="0" customHeight="1" zeroHeight="1"/>
  <cols>
    <col min="1" max="34" width="2.6640625" style="69" customWidth="1"/>
    <col min="35" max="49" width="2.6640625" style="69" hidden="1" customWidth="1"/>
    <col min="50" max="60" width="2.6640625" style="69" customWidth="1"/>
    <col min="61" max="72" width="2.6640625" style="240" customWidth="1"/>
    <col min="73" max="74" width="2.6640625" style="69" customWidth="1"/>
    <col min="75" max="108" width="2.6640625" style="69" hidden="1" customWidth="1"/>
    <col min="109" max="129" width="10.6640625" style="69" hidden="1" customWidth="1"/>
    <col min="130" max="4102" width="2.6640625" style="69" hidden="1" customWidth="1"/>
    <col min="4103" max="4104" width="0" style="69" hidden="1" customWidth="1"/>
    <col min="4105" max="16384" width="2.6640625" style="69" hidden="1"/>
  </cols>
  <sheetData>
    <row r="1" spans="1:129" ht="18.600000000000001" customHeight="1">
      <c r="A1" s="379"/>
      <c r="B1" s="380"/>
      <c r="C1" s="380"/>
      <c r="D1" s="380"/>
      <c r="E1" s="380"/>
      <c r="F1" s="381"/>
      <c r="G1" s="59" t="s">
        <v>0</v>
      </c>
      <c r="H1" s="60"/>
      <c r="I1" s="61"/>
      <c r="J1" s="61"/>
      <c r="K1" s="61"/>
      <c r="L1" s="61"/>
      <c r="M1" s="61"/>
      <c r="N1" s="63" t="s">
        <v>1</v>
      </c>
      <c r="O1" s="61"/>
      <c r="P1" s="61"/>
      <c r="Q1" s="61"/>
      <c r="R1" s="64" t="s">
        <v>2</v>
      </c>
      <c r="S1" s="65"/>
      <c r="T1" s="61"/>
      <c r="U1" s="66"/>
      <c r="V1" s="59" t="s">
        <v>3</v>
      </c>
      <c r="W1" s="62"/>
      <c r="X1" s="62"/>
      <c r="Y1" s="61"/>
      <c r="Z1" s="61"/>
      <c r="AA1" s="61"/>
      <c r="AB1" s="61"/>
      <c r="AC1" s="61"/>
      <c r="AD1" s="61"/>
      <c r="AE1" s="61"/>
      <c r="AF1" s="61"/>
      <c r="AG1" s="66"/>
      <c r="DE1" s="221"/>
      <c r="DF1" s="221"/>
      <c r="DG1" s="222"/>
      <c r="DH1" s="221"/>
      <c r="DI1" s="221"/>
      <c r="DJ1" s="221"/>
      <c r="DK1" s="221"/>
      <c r="DL1" s="221"/>
      <c r="DM1" s="221"/>
      <c r="DN1" s="221"/>
      <c r="DO1" s="221"/>
      <c r="DP1" s="221"/>
      <c r="DQ1" s="221"/>
      <c r="DR1" s="221"/>
      <c r="DS1" s="221"/>
      <c r="DT1" s="221"/>
      <c r="DU1" s="221"/>
      <c r="DV1" s="221"/>
      <c r="DW1" s="221"/>
      <c r="DX1" s="221"/>
      <c r="DY1" s="223"/>
    </row>
    <row r="2" spans="1:129" ht="39" customHeight="1" thickBot="1">
      <c r="A2" s="382"/>
      <c r="B2" s="383"/>
      <c r="C2" s="383"/>
      <c r="D2" s="383"/>
      <c r="E2" s="383"/>
      <c r="F2" s="384"/>
      <c r="G2" s="318" t="str">
        <f>Notes!G2</f>
        <v>GREATER STELLA AREA DEVELOPMENT</v>
      </c>
      <c r="H2" s="319"/>
      <c r="I2" s="319"/>
      <c r="J2" s="319"/>
      <c r="K2" s="319"/>
      <c r="L2" s="319"/>
      <c r="M2" s="320"/>
      <c r="N2" s="321" t="str">
        <f>Notes!N2</f>
        <v>JU11805D</v>
      </c>
      <c r="O2" s="322"/>
      <c r="P2" s="322"/>
      <c r="Q2" s="323"/>
      <c r="R2" s="318" t="str">
        <f>Notes!R2</f>
        <v>ITHACA ENERGY</v>
      </c>
      <c r="S2" s="319"/>
      <c r="T2" s="319"/>
      <c r="U2" s="320"/>
      <c r="V2" s="333" t="str">
        <f>Notes!V2</f>
        <v>FPF1-HC-008</v>
      </c>
      <c r="W2" s="334"/>
      <c r="X2" s="334"/>
      <c r="Y2" s="334"/>
      <c r="Z2" s="334"/>
      <c r="AA2" s="334"/>
      <c r="AB2" s="334"/>
      <c r="AC2" s="334"/>
      <c r="AD2" s="334"/>
      <c r="AE2" s="334"/>
      <c r="AF2" s="334"/>
      <c r="AG2" s="335"/>
      <c r="AL2" s="133"/>
      <c r="DE2" s="224"/>
      <c r="DF2" s="224"/>
      <c r="DG2" s="225"/>
      <c r="DH2" s="395" t="s">
        <v>20</v>
      </c>
      <c r="DI2" s="395"/>
      <c r="DJ2" s="395"/>
      <c r="DK2" s="395"/>
      <c r="DL2" s="395"/>
      <c r="DM2" s="395"/>
      <c r="DN2" s="395"/>
      <c r="DO2" s="395"/>
      <c r="DP2" s="395"/>
      <c r="DQ2" s="395"/>
      <c r="DR2" s="395"/>
      <c r="DS2" s="395"/>
      <c r="DT2" s="395"/>
      <c r="DU2" s="395"/>
      <c r="DV2" s="395"/>
      <c r="DW2" s="395"/>
      <c r="DX2" s="395"/>
      <c r="DY2" s="223"/>
    </row>
    <row r="3" spans="1:129" ht="18.600000000000001" customHeight="1">
      <c r="A3" s="382"/>
      <c r="B3" s="383"/>
      <c r="C3" s="383"/>
      <c r="D3" s="383"/>
      <c r="E3" s="383"/>
      <c r="F3" s="384"/>
      <c r="G3" s="59" t="s">
        <v>6</v>
      </c>
      <c r="H3" s="67"/>
      <c r="I3" s="67"/>
      <c r="J3" s="67"/>
      <c r="K3" s="67"/>
      <c r="L3" s="67"/>
      <c r="M3" s="67"/>
      <c r="N3" s="67"/>
      <c r="O3" s="67"/>
      <c r="P3" s="67"/>
      <c r="Q3" s="60"/>
      <c r="R3" s="59" t="s">
        <v>7</v>
      </c>
      <c r="S3" s="67"/>
      <c r="T3" s="61"/>
      <c r="U3" s="66"/>
      <c r="V3" s="64" t="s">
        <v>8</v>
      </c>
      <c r="W3" s="61"/>
      <c r="X3" s="61"/>
      <c r="Y3" s="66"/>
      <c r="Z3" s="64" t="s">
        <v>9</v>
      </c>
      <c r="AA3" s="61"/>
      <c r="AB3" s="61"/>
      <c r="AC3" s="66"/>
      <c r="AD3" s="64" t="s">
        <v>10</v>
      </c>
      <c r="AE3" s="61"/>
      <c r="AF3" s="61"/>
      <c r="AG3" s="66"/>
      <c r="DE3" s="224"/>
      <c r="DF3" s="224"/>
      <c r="DG3" s="225"/>
      <c r="DH3" s="395" t="s">
        <v>21</v>
      </c>
      <c r="DI3" s="395"/>
      <c r="DJ3" s="395"/>
      <c r="DK3" s="395"/>
      <c r="DL3" s="395"/>
      <c r="DM3" s="395"/>
      <c r="DN3" s="395"/>
      <c r="DO3" s="395"/>
      <c r="DP3" s="395"/>
      <c r="DQ3" s="395"/>
      <c r="DR3" s="395"/>
      <c r="DS3" s="395"/>
      <c r="DT3" s="395"/>
      <c r="DU3" s="395"/>
      <c r="DV3" s="395"/>
      <c r="DW3" s="395"/>
      <c r="DX3" s="395"/>
      <c r="DY3" s="223"/>
    </row>
    <row r="4" spans="1:129" ht="37.200000000000003" customHeight="1" thickBot="1">
      <c r="A4" s="385"/>
      <c r="B4" s="386"/>
      <c r="C4" s="386"/>
      <c r="D4" s="386"/>
      <c r="E4" s="386"/>
      <c r="F4" s="387"/>
      <c r="G4" s="318" t="str">
        <f>Notes!G4</f>
        <v>Flange Leakage Check</v>
      </c>
      <c r="H4" s="319"/>
      <c r="I4" s="319"/>
      <c r="J4" s="319"/>
      <c r="K4" s="319"/>
      <c r="L4" s="319"/>
      <c r="M4" s="319"/>
      <c r="N4" s="319"/>
      <c r="O4" s="319"/>
      <c r="P4" s="319"/>
      <c r="Q4" s="320"/>
      <c r="R4" s="318" t="str">
        <f>Notes!R4</f>
        <v>Piping Stress</v>
      </c>
      <c r="S4" s="319"/>
      <c r="T4" s="319"/>
      <c r="U4" s="320"/>
      <c r="V4" s="333" t="s">
        <v>288</v>
      </c>
      <c r="W4" s="334"/>
      <c r="X4" s="334"/>
      <c r="Y4" s="335"/>
      <c r="Z4" s="327">
        <v>41600</v>
      </c>
      <c r="AA4" s="328"/>
      <c r="AB4" s="328"/>
      <c r="AC4" s="329"/>
      <c r="AD4" s="330" t="str">
        <f>IF(COUNT(BE11:BE59)=0,"1 of 1",BM7&amp;" of "&amp;COUNT(BE11:BE59))</f>
        <v>1 of 1</v>
      </c>
      <c r="AE4" s="331"/>
      <c r="AF4" s="331"/>
      <c r="AG4" s="332"/>
      <c r="DE4" s="224"/>
      <c r="DF4" s="224"/>
      <c r="DG4" s="225"/>
      <c r="DH4" s="224"/>
      <c r="DI4" s="224"/>
      <c r="DJ4" s="224"/>
      <c r="DK4" s="224"/>
      <c r="DL4" s="224"/>
      <c r="DM4" s="224"/>
      <c r="DN4" s="224"/>
      <c r="DO4" s="224"/>
      <c r="DP4" s="224"/>
      <c r="DQ4" s="224"/>
      <c r="DR4" s="224"/>
      <c r="DS4" s="224"/>
      <c r="DT4" s="224"/>
      <c r="DU4" s="224"/>
      <c r="DV4" s="224"/>
      <c r="DW4" s="224"/>
      <c r="DX4" s="224"/>
      <c r="DY4" s="223"/>
    </row>
    <row r="5" spans="1:129" ht="15" customHeight="1" thickBot="1">
      <c r="A5" s="336" t="s">
        <v>13</v>
      </c>
      <c r="B5" s="337"/>
      <c r="C5" s="72"/>
      <c r="D5" s="71"/>
      <c r="E5" s="71"/>
      <c r="F5" s="71"/>
      <c r="G5" s="71"/>
      <c r="H5" s="71"/>
      <c r="I5" s="71"/>
      <c r="J5" s="71"/>
      <c r="K5" s="71"/>
      <c r="L5" s="71"/>
      <c r="M5" s="71"/>
      <c r="N5" s="71"/>
      <c r="O5" s="71"/>
      <c r="P5" s="71"/>
      <c r="Q5" s="71"/>
      <c r="R5" s="71"/>
      <c r="S5" s="71"/>
      <c r="T5" s="71"/>
      <c r="U5" s="70" t="s">
        <v>68</v>
      </c>
      <c r="V5" s="406" t="str">
        <f>IF('Case 1'!P1="","FPF1-000-REV0",'Case 1'!J4)</f>
        <v>FPF1-000-REV0</v>
      </c>
      <c r="W5" s="407"/>
      <c r="X5" s="407"/>
      <c r="Y5" s="408"/>
      <c r="Z5" s="324" t="s">
        <v>67</v>
      </c>
      <c r="AA5" s="325"/>
      <c r="AB5" s="325"/>
      <c r="AC5" s="326"/>
      <c r="AD5" s="406"/>
      <c r="AE5" s="408"/>
      <c r="AF5" s="340" t="s">
        <v>14</v>
      </c>
      <c r="AG5" s="341"/>
      <c r="DE5" s="226"/>
      <c r="DF5" s="226"/>
      <c r="DG5" s="227"/>
      <c r="DH5" s="396" t="s">
        <v>22</v>
      </c>
      <c r="DI5" s="397"/>
      <c r="DJ5" s="397"/>
      <c r="DK5" s="397"/>
      <c r="DL5" s="397"/>
      <c r="DM5" s="397"/>
      <c r="DN5" s="397"/>
      <c r="DO5" s="397"/>
      <c r="DP5" s="397"/>
      <c r="DQ5" s="397"/>
      <c r="DR5" s="397"/>
      <c r="DS5" s="397"/>
      <c r="DT5" s="397"/>
      <c r="DU5" s="397"/>
      <c r="DV5" s="397"/>
      <c r="DW5" s="397"/>
      <c r="DX5" s="398"/>
      <c r="DY5" s="223"/>
    </row>
    <row r="6" spans="1:129" ht="15" customHeight="1" thickBot="1">
      <c r="A6" s="75"/>
      <c r="B6" s="76"/>
      <c r="C6" s="77"/>
      <c r="D6" s="78"/>
      <c r="E6" s="78"/>
      <c r="F6" s="78"/>
      <c r="G6" s="78"/>
      <c r="H6" s="78"/>
      <c r="I6" s="78"/>
      <c r="J6" s="78"/>
      <c r="K6" s="78"/>
      <c r="L6" s="78"/>
      <c r="M6" s="78"/>
      <c r="N6" s="78"/>
      <c r="O6" s="78"/>
      <c r="P6" s="78"/>
      <c r="Q6" s="78"/>
      <c r="R6" s="78"/>
      <c r="S6" s="78"/>
      <c r="T6" s="78"/>
      <c r="U6" s="78"/>
      <c r="V6" s="79"/>
      <c r="W6" s="78"/>
      <c r="X6" s="78"/>
      <c r="Y6" s="78"/>
      <c r="Z6" s="78"/>
      <c r="AA6" s="78"/>
      <c r="AB6" s="78"/>
      <c r="AC6" s="80"/>
      <c r="AD6" s="80"/>
      <c r="AE6" s="74" t="s">
        <v>39</v>
      </c>
      <c r="AF6" s="77"/>
      <c r="AG6" s="81"/>
      <c r="DE6" s="11" t="s">
        <v>23</v>
      </c>
      <c r="DF6" s="12" t="s">
        <v>24</v>
      </c>
      <c r="DG6" s="13">
        <v>5</v>
      </c>
      <c r="DH6" s="14" t="s">
        <v>25</v>
      </c>
      <c r="DI6" s="15">
        <v>10</v>
      </c>
      <c r="DJ6" s="15" t="s">
        <v>26</v>
      </c>
      <c r="DK6" s="15">
        <v>20</v>
      </c>
      <c r="DL6" s="15">
        <v>30</v>
      </c>
      <c r="DM6" s="15" t="s">
        <v>27</v>
      </c>
      <c r="DN6" s="15">
        <v>40</v>
      </c>
      <c r="DO6" s="15" t="s">
        <v>28</v>
      </c>
      <c r="DP6" s="15">
        <v>60</v>
      </c>
      <c r="DQ6" s="15" t="s">
        <v>29</v>
      </c>
      <c r="DR6" s="15">
        <v>80</v>
      </c>
      <c r="DS6" s="15" t="s">
        <v>30</v>
      </c>
      <c r="DT6" s="15">
        <v>100</v>
      </c>
      <c r="DU6" s="15">
        <v>120</v>
      </c>
      <c r="DV6" s="15">
        <v>140</v>
      </c>
      <c r="DW6" s="15">
        <v>160</v>
      </c>
      <c r="DX6" s="16" t="s">
        <v>31</v>
      </c>
      <c r="DY6" s="223"/>
    </row>
    <row r="7" spans="1:129" ht="15" customHeight="1" thickTop="1">
      <c r="A7" s="82"/>
      <c r="B7" s="83"/>
      <c r="C7" s="84"/>
      <c r="D7" s="85" t="s">
        <v>44</v>
      </c>
      <c r="E7" s="86"/>
      <c r="F7" s="86"/>
      <c r="G7" s="86"/>
      <c r="H7" s="86"/>
      <c r="I7" s="86"/>
      <c r="J7" s="86"/>
      <c r="K7" s="86"/>
      <c r="L7" s="86"/>
      <c r="M7" s="86"/>
      <c r="N7" s="86"/>
      <c r="O7" s="86"/>
      <c r="P7" s="120"/>
      <c r="Q7" s="120"/>
      <c r="R7" s="120"/>
      <c r="S7" s="86"/>
      <c r="T7" s="86"/>
      <c r="U7" s="86"/>
      <c r="V7" s="86"/>
      <c r="W7" s="86"/>
      <c r="X7" s="91"/>
      <c r="Y7" s="91"/>
      <c r="Z7" s="91"/>
      <c r="AA7" s="86"/>
      <c r="AB7" s="86"/>
      <c r="AC7" s="86"/>
      <c r="AD7" s="86"/>
      <c r="AE7" s="86"/>
      <c r="AF7" s="84"/>
      <c r="AG7" s="87"/>
      <c r="AH7" s="86"/>
      <c r="BM7" s="405">
        <f>IF(ISNA(MATCH(AD5,BE11:BE59,0)),0,MATCH(AD5,BE11:BE59,0))</f>
        <v>0</v>
      </c>
      <c r="CE7" s="298">
        <f>IF(ISNA(MATCH(AD5,BE11:BE60,0)),0,MATCH(AD5,BE11:BE60,0))</f>
        <v>0</v>
      </c>
      <c r="CF7" s="298"/>
      <c r="DE7" s="47" t="s">
        <v>33</v>
      </c>
      <c r="DF7" s="17">
        <v>21.34</v>
      </c>
      <c r="DG7" s="18">
        <v>1.65</v>
      </c>
      <c r="DH7" s="19">
        <v>1.65</v>
      </c>
      <c r="DI7" s="20">
        <v>2.11</v>
      </c>
      <c r="DJ7" s="20">
        <v>2.11</v>
      </c>
      <c r="DK7" s="20"/>
      <c r="DL7" s="21">
        <v>2.41</v>
      </c>
      <c r="DM7" s="20">
        <v>2.77</v>
      </c>
      <c r="DN7" s="20">
        <v>2.77</v>
      </c>
      <c r="DO7" s="20">
        <v>2.77</v>
      </c>
      <c r="DP7" s="20"/>
      <c r="DQ7" s="20">
        <v>3.73</v>
      </c>
      <c r="DR7" s="20">
        <v>3.73</v>
      </c>
      <c r="DS7" s="20">
        <v>3.73</v>
      </c>
      <c r="DT7" s="20"/>
      <c r="DU7" s="20"/>
      <c r="DV7" s="20"/>
      <c r="DW7" s="20">
        <v>4.78</v>
      </c>
      <c r="DX7" s="22">
        <v>7.47</v>
      </c>
      <c r="DY7" s="228">
        <v>0.5</v>
      </c>
    </row>
    <row r="8" spans="1:129" ht="15" customHeight="1">
      <c r="A8" s="82"/>
      <c r="B8" s="83"/>
      <c r="C8" s="84"/>
      <c r="D8" s="85"/>
      <c r="E8" s="86"/>
      <c r="F8" s="86"/>
      <c r="G8" s="86"/>
      <c r="H8" s="86"/>
      <c r="I8" s="86"/>
      <c r="J8" s="86"/>
      <c r="K8" s="86"/>
      <c r="L8" s="86"/>
      <c r="M8" s="86"/>
      <c r="N8" s="88" t="s">
        <v>284</v>
      </c>
      <c r="O8" s="208" t="s">
        <v>15</v>
      </c>
      <c r="P8" s="388" t="s">
        <v>235</v>
      </c>
      <c r="Q8" s="389"/>
      <c r="R8" s="390"/>
      <c r="S8" s="86"/>
      <c r="T8" s="86"/>
      <c r="U8" s="86"/>
      <c r="V8" s="86"/>
      <c r="W8" s="86"/>
      <c r="X8" s="86"/>
      <c r="Y8" s="86"/>
      <c r="Z8" s="86"/>
      <c r="AA8" s="86"/>
      <c r="AB8" s="86"/>
      <c r="AC8" s="86"/>
      <c r="AD8" s="86"/>
      <c r="AE8" s="83"/>
      <c r="AF8" s="84"/>
      <c r="AG8" s="87"/>
      <c r="AL8" s="391" t="s">
        <v>235</v>
      </c>
      <c r="AM8" s="392"/>
      <c r="AN8" s="393"/>
      <c r="CE8" s="299" t="e">
        <f>IF(VLOOKUP($AD$5,'Case 1'!$B$6:$L$55,2)="","",ABS(VLOOKUP($AD$5,'Case 1'!$B$6:$L$55,2)))</f>
        <v>#N/A</v>
      </c>
      <c r="CF8" s="299"/>
      <c r="CG8" s="299" t="e">
        <f>IF(VLOOKUP($AD$5,'Case 1'!$B$6:$L$55,4)="","",ABS(VLOOKUP($AD$5,'Case 1'!$B$6:$L$55,4)))</f>
        <v>#N/A</v>
      </c>
      <c r="CH8" s="299"/>
      <c r="DE8" s="50" t="s">
        <v>37</v>
      </c>
      <c r="DF8" s="23">
        <v>26.67</v>
      </c>
      <c r="DG8" s="24">
        <v>1.65</v>
      </c>
      <c r="DH8" s="25">
        <v>1.65</v>
      </c>
      <c r="DI8" s="26">
        <v>2.11</v>
      </c>
      <c r="DJ8" s="26">
        <v>2.11</v>
      </c>
      <c r="DK8" s="26"/>
      <c r="DL8" s="27">
        <v>2.41</v>
      </c>
      <c r="DM8" s="26">
        <v>2.87</v>
      </c>
      <c r="DN8" s="26">
        <v>2.87</v>
      </c>
      <c r="DO8" s="26">
        <v>2.87</v>
      </c>
      <c r="DP8" s="26"/>
      <c r="DQ8" s="26">
        <v>3.91</v>
      </c>
      <c r="DR8" s="26">
        <v>3.91</v>
      </c>
      <c r="DS8" s="26">
        <v>3.91</v>
      </c>
      <c r="DT8" s="26"/>
      <c r="DU8" s="26"/>
      <c r="DV8" s="26"/>
      <c r="DW8" s="26">
        <v>5.56</v>
      </c>
      <c r="DX8" s="28">
        <v>7.82</v>
      </c>
      <c r="DY8" s="228">
        <v>0.75</v>
      </c>
    </row>
    <row r="9" spans="1:129" ht="15" customHeight="1">
      <c r="A9" s="82"/>
      <c r="B9" s="83"/>
      <c r="C9" s="84"/>
      <c r="D9" s="86"/>
      <c r="E9" s="86"/>
      <c r="F9" s="86"/>
      <c r="G9" s="86"/>
      <c r="H9" s="86"/>
      <c r="I9" s="86"/>
      <c r="J9" s="86"/>
      <c r="K9" s="86"/>
      <c r="L9" s="86"/>
      <c r="M9" s="86"/>
      <c r="N9" s="88" t="s">
        <v>19</v>
      </c>
      <c r="O9" s="159" t="s">
        <v>15</v>
      </c>
      <c r="P9" s="342" t="s">
        <v>34</v>
      </c>
      <c r="Q9" s="343"/>
      <c r="R9" s="344"/>
      <c r="S9" s="86"/>
      <c r="T9" s="86"/>
      <c r="U9" s="89"/>
      <c r="V9" s="86"/>
      <c r="W9" s="86"/>
      <c r="X9" s="86"/>
      <c r="Y9" s="86"/>
      <c r="Z9" s="86"/>
      <c r="AA9" s="86"/>
      <c r="AB9" s="86"/>
      <c r="AC9" s="86"/>
      <c r="AD9" s="159"/>
      <c r="AE9" s="127"/>
      <c r="AF9" s="84"/>
      <c r="AG9" s="87"/>
      <c r="AI9" s="159"/>
      <c r="AJ9" s="159"/>
      <c r="AK9" s="88"/>
      <c r="AL9" s="394">
        <f>VLOOKUP(P9,$DE$7:$DY$48,21)</f>
        <v>1.5</v>
      </c>
      <c r="AM9" s="394"/>
      <c r="AN9" s="394"/>
      <c r="AO9" s="86"/>
      <c r="AP9" s="88"/>
      <c r="AQ9" s="159"/>
      <c r="AR9" s="159"/>
      <c r="AS9" s="159"/>
      <c r="AT9" s="159"/>
      <c r="AU9" s="159"/>
      <c r="AV9" s="159"/>
      <c r="AW9" s="86"/>
      <c r="BA9" s="90"/>
      <c r="BB9" s="90"/>
      <c r="BC9" s="90"/>
      <c r="BE9" s="429" t="s">
        <v>65</v>
      </c>
      <c r="BF9" s="430"/>
      <c r="BG9" s="429" t="s">
        <v>66</v>
      </c>
      <c r="BH9" s="430"/>
      <c r="BI9" s="431" t="s">
        <v>289</v>
      </c>
      <c r="BJ9" s="431"/>
      <c r="BK9" s="431"/>
      <c r="BL9" s="431" t="s">
        <v>286</v>
      </c>
      <c r="BM9" s="432"/>
      <c r="BN9" s="432"/>
      <c r="BO9" s="313"/>
      <c r="BP9" s="314"/>
      <c r="BQ9" s="314"/>
      <c r="BR9" s="313"/>
      <c r="BS9" s="314"/>
      <c r="BT9" s="316"/>
      <c r="CE9" s="299" t="e">
        <f>IF(VLOOKUP($AD$5,'Case 2'!$B$6:$L$55,2)="","",ABS(VLOOKUP($AD$5,'Case 2'!$B$6:$L$55,2)))</f>
        <v>#N/A</v>
      </c>
      <c r="CF9" s="299"/>
      <c r="CG9" s="299" t="e">
        <f>IF(VLOOKUP($AD$5,'Case 2'!$B$6:$L$55,4)="","",ABS(VLOOKUP($AD$5,'Case 2'!$B$6:$L$55,4)))</f>
        <v>#N/A</v>
      </c>
      <c r="CH9" s="299"/>
      <c r="DE9" s="48">
        <v>1</v>
      </c>
      <c r="DF9" s="23">
        <v>33.4</v>
      </c>
      <c r="DG9" s="24">
        <v>1.65</v>
      </c>
      <c r="DH9" s="25">
        <v>1.65</v>
      </c>
      <c r="DI9" s="26">
        <v>2.77</v>
      </c>
      <c r="DJ9" s="26">
        <v>2.77</v>
      </c>
      <c r="DK9" s="26"/>
      <c r="DL9" s="29">
        <v>2.9</v>
      </c>
      <c r="DM9" s="26">
        <v>3.38</v>
      </c>
      <c r="DN9" s="26">
        <v>3.38</v>
      </c>
      <c r="DO9" s="26">
        <v>3.38</v>
      </c>
      <c r="DP9" s="26"/>
      <c r="DQ9" s="26">
        <v>4.55</v>
      </c>
      <c r="DR9" s="26">
        <v>4.55</v>
      </c>
      <c r="DS9" s="26">
        <v>4.55</v>
      </c>
      <c r="DT9" s="26"/>
      <c r="DU9" s="26"/>
      <c r="DV9" s="26"/>
      <c r="DW9" s="26">
        <v>6.35</v>
      </c>
      <c r="DX9" s="28">
        <v>9.09</v>
      </c>
      <c r="DY9" s="228">
        <v>1</v>
      </c>
    </row>
    <row r="10" spans="1:129" ht="15" customHeight="1">
      <c r="A10" s="82"/>
      <c r="B10" s="83"/>
      <c r="C10" s="84"/>
      <c r="D10" s="131"/>
      <c r="E10" s="132"/>
      <c r="F10" s="130"/>
      <c r="G10" s="130"/>
      <c r="H10" s="130"/>
      <c r="I10" s="130"/>
      <c r="J10" s="130"/>
      <c r="K10" s="130"/>
      <c r="L10" s="130"/>
      <c r="M10" s="130"/>
      <c r="N10" s="131" t="s">
        <v>161</v>
      </c>
      <c r="O10" s="159" t="s">
        <v>15</v>
      </c>
      <c r="P10" s="349">
        <f>VLOOKUP(P8,Flanges!A3:AA40,MATCH(P9,Flanges!H2:AA2,0)+7,FALSE)</f>
        <v>160</v>
      </c>
      <c r="Q10" s="350"/>
      <c r="R10" s="351"/>
      <c r="S10" s="121"/>
      <c r="T10" s="121"/>
      <c r="U10" s="121"/>
      <c r="V10" s="121"/>
      <c r="W10" s="121"/>
      <c r="X10" s="121"/>
      <c r="Y10" s="121"/>
      <c r="Z10" s="121"/>
      <c r="AA10" s="121"/>
      <c r="AB10" s="121"/>
      <c r="AC10" s="121"/>
      <c r="AD10" s="121"/>
      <c r="AE10" s="121"/>
      <c r="AF10" s="84"/>
      <c r="AG10" s="87"/>
      <c r="AH10" s="159"/>
      <c r="AI10" s="159"/>
      <c r="AJ10" s="159"/>
      <c r="AK10" s="88"/>
      <c r="AL10" s="88"/>
      <c r="AM10" s="86"/>
      <c r="AN10" s="86"/>
      <c r="AO10" s="86"/>
      <c r="AP10" s="88"/>
      <c r="AQ10" s="159"/>
      <c r="AR10" s="159"/>
      <c r="AS10" s="159"/>
      <c r="AT10" s="159"/>
      <c r="AU10" s="159"/>
      <c r="AV10" s="159"/>
      <c r="AW10" s="86"/>
      <c r="BA10" s="91"/>
      <c r="BB10" s="91"/>
      <c r="BC10" s="91"/>
      <c r="BE10" s="433"/>
      <c r="BF10" s="433"/>
      <c r="BG10" s="433"/>
      <c r="BH10" s="433"/>
      <c r="BI10" s="434"/>
      <c r="BJ10" s="434"/>
      <c r="BK10" s="434"/>
      <c r="BL10" s="435"/>
      <c r="BM10" s="435"/>
      <c r="BN10" s="435"/>
      <c r="BO10" s="315"/>
      <c r="BP10" s="315"/>
      <c r="BQ10" s="315"/>
      <c r="BR10" s="315"/>
      <c r="BS10" s="315"/>
      <c r="BT10" s="317"/>
      <c r="CE10" s="299" t="e">
        <f>IF(VLOOKUP($AD$5,'Case 3'!$B$6:$L$55,2)="","",ABS(VLOOKUP($AD$5,'Case 3'!$B$6:$L$55,2)))</f>
        <v>#N/A</v>
      </c>
      <c r="CF10" s="299"/>
      <c r="CG10" s="299" t="e">
        <f>IF(VLOOKUP($AD$5,'Case 3'!$B$6:$L$55,4)="","",ABS(VLOOKUP($AD$5,'Case 3'!$B$6:$L$55,4)))</f>
        <v>#N/A</v>
      </c>
      <c r="CH10" s="299"/>
      <c r="DE10" s="51" t="s">
        <v>38</v>
      </c>
      <c r="DF10" s="23">
        <v>42.16</v>
      </c>
      <c r="DG10" s="24">
        <v>1.65</v>
      </c>
      <c r="DH10" s="25">
        <v>1.65</v>
      </c>
      <c r="DI10" s="26">
        <v>2.77</v>
      </c>
      <c r="DJ10" s="26">
        <v>2.77</v>
      </c>
      <c r="DK10" s="26"/>
      <c r="DL10" s="27">
        <v>2.97</v>
      </c>
      <c r="DM10" s="26">
        <v>3.56</v>
      </c>
      <c r="DN10" s="26">
        <v>3.56</v>
      </c>
      <c r="DO10" s="26">
        <v>3.56</v>
      </c>
      <c r="DP10" s="26"/>
      <c r="DQ10" s="26">
        <v>4.8499999999999996</v>
      </c>
      <c r="DR10" s="26">
        <v>4.8499999999999996</v>
      </c>
      <c r="DS10" s="26">
        <v>4.8499999999999996</v>
      </c>
      <c r="DT10" s="26"/>
      <c r="DU10" s="26"/>
      <c r="DV10" s="26"/>
      <c r="DW10" s="26">
        <v>6.35</v>
      </c>
      <c r="DX10" s="30">
        <v>9.6999999999999993</v>
      </c>
      <c r="DY10" s="228">
        <v>1.25</v>
      </c>
    </row>
    <row r="11" spans="1:129" ht="15" customHeight="1">
      <c r="A11" s="82"/>
      <c r="B11" s="83"/>
      <c r="C11" s="84"/>
      <c r="D11" s="86"/>
      <c r="E11" s="86"/>
      <c r="F11" s="86"/>
      <c r="G11" s="86"/>
      <c r="H11" s="86"/>
      <c r="I11" s="86"/>
      <c r="J11" s="86"/>
      <c r="K11" s="86"/>
      <c r="L11" s="86"/>
      <c r="M11" s="86"/>
      <c r="N11" s="88" t="s">
        <v>162</v>
      </c>
      <c r="O11" s="159" t="s">
        <v>15</v>
      </c>
      <c r="P11" s="361">
        <f>VLOOKUP(P$9,'Low Stress Type Gasket'!$DE$7:$DX$48,MATCH(P10,'Low Stress Type Gasket'!$DG$6:$DX$6,0)+2)</f>
        <v>7.14</v>
      </c>
      <c r="Q11" s="362"/>
      <c r="R11" s="363"/>
      <c r="S11" s="89"/>
      <c r="T11" s="89"/>
      <c r="U11" s="89"/>
      <c r="V11" s="89"/>
      <c r="W11" s="88"/>
      <c r="X11" s="88"/>
      <c r="Y11" s="86"/>
      <c r="Z11" s="86"/>
      <c r="AA11" s="86"/>
      <c r="AB11" s="88"/>
      <c r="AC11" s="159"/>
      <c r="AD11" s="159"/>
      <c r="AE11" s="159"/>
      <c r="AF11" s="84"/>
      <c r="AG11" s="87"/>
      <c r="AH11" s="159"/>
      <c r="AI11" s="159"/>
      <c r="AJ11" s="159"/>
      <c r="AK11" s="86"/>
      <c r="AL11" s="86"/>
      <c r="AM11" s="86"/>
      <c r="AN11" s="86"/>
      <c r="AO11" s="86"/>
      <c r="AP11" s="86"/>
      <c r="AQ11" s="86"/>
      <c r="AR11" s="86"/>
      <c r="AS11" s="86"/>
      <c r="AT11" s="86"/>
      <c r="AU11" s="86"/>
      <c r="AV11" s="86"/>
      <c r="AW11" s="86"/>
      <c r="BE11" s="417"/>
      <c r="BF11" s="417"/>
      <c r="BG11" s="418"/>
      <c r="BH11" s="418"/>
      <c r="BI11" s="419"/>
      <c r="BJ11" s="419"/>
      <c r="BK11" s="419"/>
      <c r="BL11" s="419"/>
      <c r="BM11" s="419"/>
      <c r="BN11" s="419"/>
      <c r="BO11" s="409"/>
      <c r="BP11" s="409"/>
      <c r="BQ11" s="409"/>
      <c r="BR11" s="409"/>
      <c r="BS11" s="409"/>
      <c r="BT11" s="410"/>
      <c r="CE11" s="299" t="e">
        <f>IF(VLOOKUP($AD$5,'Case 4'!$B$6:$L$55,2)="","",ABS(VLOOKUP($AD$5,'Case 4'!$B$6:$L$55,2)))</f>
        <v>#N/A</v>
      </c>
      <c r="CF11" s="299"/>
      <c r="CG11" s="299" t="e">
        <f>IF(VLOOKUP($AD$5,'Case 4'!$B$6:$L$55,4)="","",ABS(VLOOKUP($AD$5,'Case 4'!$B$6:$L$55,4)))</f>
        <v>#N/A</v>
      </c>
      <c r="CH11" s="299"/>
      <c r="DE11" s="51" t="s">
        <v>34</v>
      </c>
      <c r="DF11" s="23">
        <v>48.26</v>
      </c>
      <c r="DG11" s="24">
        <v>1.65</v>
      </c>
      <c r="DH11" s="25">
        <v>1.65</v>
      </c>
      <c r="DI11" s="26">
        <v>2.77</v>
      </c>
      <c r="DJ11" s="26">
        <v>2.77</v>
      </c>
      <c r="DK11" s="26"/>
      <c r="DL11" s="27">
        <v>3.18</v>
      </c>
      <c r="DM11" s="26">
        <v>3.68</v>
      </c>
      <c r="DN11" s="26">
        <v>3.68</v>
      </c>
      <c r="DO11" s="26">
        <v>3.68</v>
      </c>
      <c r="DP11" s="26"/>
      <c r="DQ11" s="26">
        <v>5.08</v>
      </c>
      <c r="DR11" s="26">
        <v>5.08</v>
      </c>
      <c r="DS11" s="26">
        <v>5.08</v>
      </c>
      <c r="DT11" s="26"/>
      <c r="DU11" s="26"/>
      <c r="DV11" s="26"/>
      <c r="DW11" s="26">
        <v>7.14</v>
      </c>
      <c r="DX11" s="28">
        <v>10.15</v>
      </c>
      <c r="DY11" s="228">
        <v>1.5</v>
      </c>
    </row>
    <row r="12" spans="1:129" ht="15" customHeight="1">
      <c r="A12" s="82"/>
      <c r="B12" s="83"/>
      <c r="C12" s="84"/>
      <c r="D12" s="86"/>
      <c r="E12" s="86"/>
      <c r="F12" s="86"/>
      <c r="G12" s="86"/>
      <c r="H12" s="86"/>
      <c r="I12" s="86"/>
      <c r="J12" s="86"/>
      <c r="K12" s="86"/>
      <c r="L12" s="86"/>
      <c r="M12" s="86"/>
      <c r="N12" s="88" t="s">
        <v>69</v>
      </c>
      <c r="O12" s="159" t="s">
        <v>15</v>
      </c>
      <c r="P12" s="346">
        <f>VLOOKUP(P8,Flanges!A3:B40,2,FALSE)</f>
        <v>150</v>
      </c>
      <c r="Q12" s="347"/>
      <c r="R12" s="348"/>
      <c r="S12" s="89"/>
      <c r="T12" s="89"/>
      <c r="U12" s="89"/>
      <c r="V12" s="89"/>
      <c r="W12" s="88"/>
      <c r="X12" s="88"/>
      <c r="Y12" s="86"/>
      <c r="Z12" s="86"/>
      <c r="AA12" s="86"/>
      <c r="AB12" s="88"/>
      <c r="AC12" s="159"/>
      <c r="AD12" s="159"/>
      <c r="AE12" s="159"/>
      <c r="AF12" s="84"/>
      <c r="AG12" s="87"/>
      <c r="AH12" s="86"/>
      <c r="AI12" s="159"/>
      <c r="AJ12" s="159"/>
      <c r="AK12" s="86"/>
      <c r="AL12" s="346">
        <v>150</v>
      </c>
      <c r="AM12" s="347"/>
      <c r="AN12" s="348"/>
      <c r="AO12" s="86"/>
      <c r="AP12" s="86"/>
      <c r="AQ12" s="86"/>
      <c r="AR12" s="86"/>
      <c r="AS12" s="86"/>
      <c r="AT12" s="86"/>
      <c r="AU12" s="86"/>
      <c r="AV12" s="86"/>
      <c r="AW12" s="86"/>
      <c r="BA12" s="90"/>
      <c r="BB12" s="90"/>
      <c r="BC12" s="90"/>
      <c r="BE12" s="420"/>
      <c r="BF12" s="420"/>
      <c r="BG12" s="421"/>
      <c r="BH12" s="421"/>
      <c r="BI12" s="422"/>
      <c r="BJ12" s="422"/>
      <c r="BK12" s="422"/>
      <c r="BL12" s="422"/>
      <c r="BM12" s="422"/>
      <c r="BN12" s="422"/>
      <c r="BO12" s="411"/>
      <c r="BP12" s="411"/>
      <c r="BQ12" s="411"/>
      <c r="BR12" s="411"/>
      <c r="BS12" s="411"/>
      <c r="BT12" s="412"/>
      <c r="CE12" s="299" t="e">
        <f>IF(VLOOKUP($AD$5,'Case 5'!$B$6:$L$55,2)="","",ABS(VLOOKUP($AD$5,'Case 5'!$B$6:$L$55,2)))</f>
        <v>#N/A</v>
      </c>
      <c r="CF12" s="299"/>
      <c r="CG12" s="299" t="e">
        <f>IF(VLOOKUP($AD$5,'Case 5'!$B$6:$L$55,4)="","",ABS(VLOOKUP($AD$5,'Case 5'!$B$6:$L$55,4)))</f>
        <v>#N/A</v>
      </c>
      <c r="CH12" s="299"/>
      <c r="DE12" s="48">
        <v>2</v>
      </c>
      <c r="DF12" s="23">
        <v>60.32</v>
      </c>
      <c r="DG12" s="24">
        <v>1.65</v>
      </c>
      <c r="DH12" s="25">
        <v>1.65</v>
      </c>
      <c r="DI12" s="26">
        <v>2.77</v>
      </c>
      <c r="DJ12" s="26">
        <v>2.77</v>
      </c>
      <c r="DK12" s="26"/>
      <c r="DL12" s="27">
        <v>3.18</v>
      </c>
      <c r="DM12" s="26">
        <v>3.91</v>
      </c>
      <c r="DN12" s="26">
        <v>3.91</v>
      </c>
      <c r="DO12" s="26">
        <v>3.91</v>
      </c>
      <c r="DP12" s="26"/>
      <c r="DQ12" s="26">
        <v>5.54</v>
      </c>
      <c r="DR12" s="26">
        <v>5.54</v>
      </c>
      <c r="DS12" s="26">
        <v>5.54</v>
      </c>
      <c r="DT12" s="26"/>
      <c r="DU12" s="26"/>
      <c r="DV12" s="26"/>
      <c r="DW12" s="26">
        <v>8.74</v>
      </c>
      <c r="DX12" s="28">
        <v>11.07</v>
      </c>
      <c r="DY12" s="228">
        <v>2</v>
      </c>
    </row>
    <row r="13" spans="1:129" ht="15" customHeight="1">
      <c r="A13" s="82"/>
      <c r="B13" s="83"/>
      <c r="C13" s="84"/>
      <c r="D13" s="86"/>
      <c r="E13" s="86"/>
      <c r="F13" s="86"/>
      <c r="G13" s="86"/>
      <c r="H13" s="86"/>
      <c r="I13" s="86"/>
      <c r="J13" s="86"/>
      <c r="K13" s="86"/>
      <c r="L13" s="86"/>
      <c r="M13" s="86"/>
      <c r="N13" s="88" t="s">
        <v>102</v>
      </c>
      <c r="O13" s="159" t="s">
        <v>15</v>
      </c>
      <c r="P13" s="352" t="str">
        <f>VLOOKUP(P8,Flanges!A3:AA40,5,FALSE)</f>
        <v>1.1</v>
      </c>
      <c r="Q13" s="353"/>
      <c r="R13" s="354"/>
      <c r="S13" s="159"/>
      <c r="T13" s="159"/>
      <c r="U13" s="86"/>
      <c r="V13" s="86"/>
      <c r="W13" s="88"/>
      <c r="X13" s="91"/>
      <c r="Y13" s="91"/>
      <c r="Z13" s="91"/>
      <c r="AA13" s="86"/>
      <c r="AB13" s="86"/>
      <c r="AC13" s="86"/>
      <c r="AD13" s="86"/>
      <c r="AE13" s="86"/>
      <c r="AF13" s="84"/>
      <c r="AG13" s="87"/>
      <c r="AH13" s="159"/>
      <c r="AI13" s="86"/>
      <c r="AJ13" s="86"/>
      <c r="AK13" s="86"/>
      <c r="AL13" s="352" t="s">
        <v>145</v>
      </c>
      <c r="AM13" s="353"/>
      <c r="AN13" s="354"/>
      <c r="AO13" s="86"/>
      <c r="AP13" s="86"/>
      <c r="AQ13" s="86"/>
      <c r="AR13" s="86"/>
      <c r="AS13" s="86"/>
      <c r="AT13" s="86"/>
      <c r="AU13" s="86"/>
      <c r="AV13" s="86"/>
      <c r="AW13" s="86"/>
      <c r="BE13" s="420"/>
      <c r="BF13" s="420"/>
      <c r="BG13" s="421"/>
      <c r="BH13" s="421"/>
      <c r="BI13" s="422"/>
      <c r="BJ13" s="422"/>
      <c r="BK13" s="422"/>
      <c r="BL13" s="422"/>
      <c r="BM13" s="422"/>
      <c r="BN13" s="422"/>
      <c r="BO13" s="411"/>
      <c r="BP13" s="411"/>
      <c r="BQ13" s="411"/>
      <c r="BR13" s="411"/>
      <c r="BS13" s="411"/>
      <c r="BT13" s="412"/>
      <c r="CE13" s="299" t="e">
        <f>IF(VLOOKUP($AD$5,'Case 6'!$B$6:$L$55,2)="","",ABS(VLOOKUP($AD$5,'Case 6'!$B$6:$L$55,2)))</f>
        <v>#N/A</v>
      </c>
      <c r="CF13" s="299"/>
      <c r="CG13" s="299" t="e">
        <f>IF(VLOOKUP($AD$5,'Case 6'!$B$6:$L$55,4)="","",ABS(VLOOKUP($AD$5,'Case 6'!$B$6:$L$55,4)))</f>
        <v>#N/A</v>
      </c>
      <c r="CH13" s="299"/>
      <c r="DE13" s="51" t="s">
        <v>35</v>
      </c>
      <c r="DF13" s="23">
        <v>73.02</v>
      </c>
      <c r="DG13" s="24">
        <v>2.11</v>
      </c>
      <c r="DH13" s="25">
        <v>2.11</v>
      </c>
      <c r="DI13" s="26">
        <v>3.05</v>
      </c>
      <c r="DJ13" s="26">
        <v>3.05</v>
      </c>
      <c r="DK13" s="26"/>
      <c r="DL13" s="27">
        <v>4.78</v>
      </c>
      <c r="DM13" s="26">
        <v>5.16</v>
      </c>
      <c r="DN13" s="26">
        <v>5.16</v>
      </c>
      <c r="DO13" s="26">
        <v>5.16</v>
      </c>
      <c r="DP13" s="26"/>
      <c r="DQ13" s="26">
        <v>7.01</v>
      </c>
      <c r="DR13" s="26">
        <v>7.01</v>
      </c>
      <c r="DS13" s="26">
        <v>7.01</v>
      </c>
      <c r="DT13" s="26"/>
      <c r="DU13" s="26"/>
      <c r="DV13" s="26"/>
      <c r="DW13" s="26">
        <v>9.5299999999999994</v>
      </c>
      <c r="DX13" s="28">
        <v>14.02</v>
      </c>
      <c r="DY13" s="228">
        <v>2.5</v>
      </c>
    </row>
    <row r="14" spans="1:129" ht="15" customHeight="1">
      <c r="A14" s="82"/>
      <c r="B14" s="83"/>
      <c r="C14" s="84"/>
      <c r="D14" s="86"/>
      <c r="E14" s="86"/>
      <c r="F14" s="86"/>
      <c r="G14" s="86"/>
      <c r="H14" s="86"/>
      <c r="I14" s="86"/>
      <c r="J14" s="86"/>
      <c r="K14" s="86"/>
      <c r="L14" s="86"/>
      <c r="M14" s="86"/>
      <c r="N14" s="88" t="s">
        <v>103</v>
      </c>
      <c r="O14" s="159" t="s">
        <v>15</v>
      </c>
      <c r="P14" s="338">
        <f>IF(AD5="",0,VLOOKUP(AD5,BE11:BT60,5))</f>
        <v>0</v>
      </c>
      <c r="Q14" s="339"/>
      <c r="R14" s="345"/>
      <c r="S14" s="91" t="s">
        <v>41</v>
      </c>
      <c r="T14" s="159"/>
      <c r="U14" s="86"/>
      <c r="V14" s="86"/>
      <c r="W14" s="88"/>
      <c r="X14" s="91"/>
      <c r="Y14" s="91"/>
      <c r="Z14" s="91"/>
      <c r="AA14" s="86"/>
      <c r="AB14" s="88"/>
      <c r="AC14" s="159"/>
      <c r="AD14" s="159"/>
      <c r="AE14" s="159"/>
      <c r="AF14" s="84"/>
      <c r="AG14" s="87"/>
      <c r="AH14" s="86"/>
      <c r="AI14" s="159"/>
      <c r="AJ14" s="159"/>
      <c r="AK14" s="88"/>
      <c r="AL14" s="88"/>
      <c r="AM14" s="86"/>
      <c r="AN14" s="86"/>
      <c r="AO14" s="86"/>
      <c r="AP14" s="88"/>
      <c r="AQ14" s="159"/>
      <c r="AR14" s="159"/>
      <c r="AS14" s="159"/>
      <c r="AT14" s="159"/>
      <c r="AU14" s="159"/>
      <c r="AV14" s="159"/>
      <c r="AW14" s="86"/>
      <c r="BA14" s="90"/>
      <c r="BB14" s="90"/>
      <c r="BC14" s="90"/>
      <c r="BE14" s="420"/>
      <c r="BF14" s="420"/>
      <c r="BG14" s="421"/>
      <c r="BH14" s="421"/>
      <c r="BI14" s="422"/>
      <c r="BJ14" s="422"/>
      <c r="BK14" s="422"/>
      <c r="BL14" s="422"/>
      <c r="BM14" s="422"/>
      <c r="BN14" s="422"/>
      <c r="BO14" s="411"/>
      <c r="BP14" s="411"/>
      <c r="BQ14" s="411"/>
      <c r="BR14" s="411"/>
      <c r="BS14" s="411"/>
      <c r="BT14" s="412"/>
      <c r="CE14" s="299" t="e">
        <f>IF(VLOOKUP($AD$5,'Case 7'!$B$6:$L$55,2)="","",ABS(VLOOKUP($AD$5,'Case 7'!$B$6:$L$55,2)))</f>
        <v>#N/A</v>
      </c>
      <c r="CF14" s="299"/>
      <c r="CG14" s="299" t="e">
        <f>IF(VLOOKUP($AD$5,'Case 7'!$B$6:$L$55,4)="","",ABS(VLOOKUP($AD$5,'Case 7'!$B$6:$L$55,4)))</f>
        <v>#N/A</v>
      </c>
      <c r="CH14" s="299"/>
      <c r="DE14" s="49">
        <v>3</v>
      </c>
      <c r="DF14" s="23">
        <v>88.9</v>
      </c>
      <c r="DG14" s="24">
        <v>2.11</v>
      </c>
      <c r="DH14" s="25">
        <v>2.11</v>
      </c>
      <c r="DI14" s="26">
        <v>3.05</v>
      </c>
      <c r="DJ14" s="26">
        <v>3.05</v>
      </c>
      <c r="DK14" s="26"/>
      <c r="DL14" s="27">
        <v>4.78</v>
      </c>
      <c r="DM14" s="26">
        <v>5.49</v>
      </c>
      <c r="DN14" s="26">
        <v>5.49</v>
      </c>
      <c r="DO14" s="26">
        <v>5.49</v>
      </c>
      <c r="DP14" s="26"/>
      <c r="DQ14" s="26">
        <v>7.62</v>
      </c>
      <c r="DR14" s="26">
        <v>7.62</v>
      </c>
      <c r="DS14" s="26">
        <v>7.62</v>
      </c>
      <c r="DT14" s="26"/>
      <c r="DU14" s="26"/>
      <c r="DV14" s="26"/>
      <c r="DW14" s="26">
        <v>11.13</v>
      </c>
      <c r="DX14" s="28">
        <v>15.24</v>
      </c>
      <c r="DY14" s="228">
        <v>3</v>
      </c>
    </row>
    <row r="15" spans="1:129" ht="15" customHeight="1">
      <c r="A15" s="82"/>
      <c r="B15" s="83"/>
      <c r="C15" s="84"/>
      <c r="D15" s="86"/>
      <c r="E15" s="86"/>
      <c r="F15" s="86"/>
      <c r="G15" s="86"/>
      <c r="H15" s="86"/>
      <c r="I15" s="86"/>
      <c r="J15" s="86"/>
      <c r="K15" s="86"/>
      <c r="L15" s="86"/>
      <c r="M15" s="86"/>
      <c r="N15" s="88" t="s">
        <v>181</v>
      </c>
      <c r="O15" s="159" t="s">
        <v>15</v>
      </c>
      <c r="P15" s="338">
        <f>IF(ISERROR(CE20),0,CE20)</f>
        <v>0</v>
      </c>
      <c r="Q15" s="339"/>
      <c r="R15" s="345"/>
      <c r="S15" s="86" t="s">
        <v>42</v>
      </c>
      <c r="T15" s="86"/>
      <c r="U15" s="86"/>
      <c r="V15" s="86"/>
      <c r="W15" s="86"/>
      <c r="X15" s="86"/>
      <c r="Y15" s="86"/>
      <c r="Z15" s="88" t="s">
        <v>287</v>
      </c>
      <c r="AA15" s="295">
        <f>IF(ISERROR(CG20),0,CG20)</f>
        <v>0</v>
      </c>
      <c r="AB15" s="296"/>
      <c r="AC15" s="297"/>
      <c r="AD15" s="86" t="s">
        <v>45</v>
      </c>
      <c r="AE15" s="86"/>
      <c r="AF15" s="84"/>
      <c r="AG15" s="87"/>
      <c r="AH15" s="159"/>
      <c r="AI15" s="86"/>
      <c r="AJ15" s="86"/>
      <c r="AK15" s="86"/>
      <c r="AL15" s="86"/>
      <c r="AM15" s="86"/>
      <c r="AN15" s="86"/>
      <c r="AO15" s="86"/>
      <c r="AP15" s="86"/>
      <c r="AQ15" s="86"/>
      <c r="AR15" s="86"/>
      <c r="AS15" s="86"/>
      <c r="AT15" s="86"/>
      <c r="AU15" s="86"/>
      <c r="AV15" s="86"/>
      <c r="AW15" s="86"/>
      <c r="BE15" s="420"/>
      <c r="BF15" s="420"/>
      <c r="BG15" s="421"/>
      <c r="BH15" s="421"/>
      <c r="BI15" s="422"/>
      <c r="BJ15" s="422"/>
      <c r="BK15" s="422"/>
      <c r="BL15" s="422"/>
      <c r="BM15" s="422"/>
      <c r="BN15" s="422"/>
      <c r="BO15" s="411"/>
      <c r="BP15" s="411"/>
      <c r="BQ15" s="411"/>
      <c r="BR15" s="411"/>
      <c r="BS15" s="411"/>
      <c r="BT15" s="412"/>
      <c r="CE15" s="299" t="e">
        <f>IF(VLOOKUP($AD$5,'Case 8'!$B$6:$L$55,2)="","",ABS(VLOOKUP($AD$5,'Case 8'!$B$6:$L$55,2)))</f>
        <v>#N/A</v>
      </c>
      <c r="CF15" s="299"/>
      <c r="CG15" s="299" t="e">
        <f>IF(VLOOKUP($AD$5,'Case 8'!$B$6:$L$55,4)="","",ABS(VLOOKUP($AD$5,'Case 8'!$B$6:$L$55,4)))</f>
        <v>#N/A</v>
      </c>
      <c r="CH15" s="299"/>
      <c r="DE15" s="52" t="s">
        <v>36</v>
      </c>
      <c r="DF15" s="23">
        <v>101.6</v>
      </c>
      <c r="DG15" s="24">
        <v>2.11</v>
      </c>
      <c r="DH15" s="25">
        <v>2.11</v>
      </c>
      <c r="DI15" s="26">
        <v>3.05</v>
      </c>
      <c r="DJ15" s="26">
        <v>3.05</v>
      </c>
      <c r="DK15" s="26"/>
      <c r="DL15" s="27">
        <v>4.78</v>
      </c>
      <c r="DM15" s="26">
        <v>5.74</v>
      </c>
      <c r="DN15" s="26">
        <v>5.74</v>
      </c>
      <c r="DO15" s="26">
        <v>5.74</v>
      </c>
      <c r="DP15" s="26"/>
      <c r="DQ15" s="26">
        <v>8.08</v>
      </c>
      <c r="DR15" s="26">
        <v>8.08</v>
      </c>
      <c r="DS15" s="26">
        <v>8.08</v>
      </c>
      <c r="DT15" s="26"/>
      <c r="DU15" s="26"/>
      <c r="DV15" s="26"/>
      <c r="DW15" s="26"/>
      <c r="DX15" s="28" t="s">
        <v>32</v>
      </c>
      <c r="DY15" s="228">
        <v>3.5</v>
      </c>
    </row>
    <row r="16" spans="1:129" ht="15" customHeight="1">
      <c r="A16" s="82"/>
      <c r="B16" s="83"/>
      <c r="C16" s="84"/>
      <c r="D16" s="86"/>
      <c r="E16" s="86"/>
      <c r="F16" s="86"/>
      <c r="G16" s="86"/>
      <c r="H16" s="86"/>
      <c r="I16" s="86"/>
      <c r="J16" s="86"/>
      <c r="K16" s="86"/>
      <c r="L16" s="86"/>
      <c r="M16" s="86"/>
      <c r="N16" s="88" t="s">
        <v>182</v>
      </c>
      <c r="O16" s="159" t="s">
        <v>15</v>
      </c>
      <c r="P16" s="338">
        <f>IF(AD5="",0,VLOOKUP(AD5,BE11:BT60,8))</f>
        <v>0</v>
      </c>
      <c r="Q16" s="339"/>
      <c r="R16" s="345"/>
      <c r="S16" s="91" t="s">
        <v>40</v>
      </c>
      <c r="T16" s="159"/>
      <c r="U16" s="86"/>
      <c r="V16" s="86"/>
      <c r="W16" s="86"/>
      <c r="X16" s="86"/>
      <c r="Y16" s="86"/>
      <c r="Z16" s="86"/>
      <c r="AA16" s="86"/>
      <c r="AB16" s="86"/>
      <c r="AC16" s="86"/>
      <c r="AD16" s="86"/>
      <c r="AE16" s="86"/>
      <c r="AF16" s="84"/>
      <c r="AG16" s="87"/>
      <c r="AH16" s="86"/>
      <c r="AI16" s="86"/>
      <c r="AJ16" s="86"/>
      <c r="AK16" s="86"/>
      <c r="AL16" s="86"/>
      <c r="AM16" s="86"/>
      <c r="AN16" s="86"/>
      <c r="AO16" s="86"/>
      <c r="AP16" s="86"/>
      <c r="AQ16" s="86"/>
      <c r="AR16" s="86"/>
      <c r="AS16" s="86"/>
      <c r="AT16" s="86"/>
      <c r="AU16" s="86"/>
      <c r="AV16" s="86"/>
      <c r="AW16" s="86"/>
      <c r="BE16" s="420"/>
      <c r="BF16" s="420"/>
      <c r="BG16" s="421"/>
      <c r="BH16" s="421"/>
      <c r="BI16" s="422"/>
      <c r="BJ16" s="422"/>
      <c r="BK16" s="422"/>
      <c r="BL16" s="422"/>
      <c r="BM16" s="422"/>
      <c r="BN16" s="422"/>
      <c r="BO16" s="411"/>
      <c r="BP16" s="411"/>
      <c r="BQ16" s="411"/>
      <c r="BR16" s="411"/>
      <c r="BS16" s="411"/>
      <c r="BT16" s="412"/>
      <c r="CE16" s="299" t="e">
        <f>IF(VLOOKUP($AD$5,'Case 9'!$B$6:$L$55,2)="","",ABS(VLOOKUP($AD$5,'Case 9'!$B$6:$L$55,2)))</f>
        <v>#N/A</v>
      </c>
      <c r="CF16" s="299"/>
      <c r="CG16" s="299" t="e">
        <f>IF(VLOOKUP($AD$5,'Case 9'!$B$6:$L$55,4)="","",ABS(VLOOKUP($AD$5,'Case 9'!$B$6:$L$55,4)))</f>
        <v>#N/A</v>
      </c>
      <c r="CH16" s="299"/>
      <c r="DE16" s="31">
        <v>4</v>
      </c>
      <c r="DF16" s="23">
        <v>114.3</v>
      </c>
      <c r="DG16" s="24">
        <v>2.11</v>
      </c>
      <c r="DH16" s="25">
        <v>2.11</v>
      </c>
      <c r="DI16" s="26">
        <v>3.05</v>
      </c>
      <c r="DJ16" s="26">
        <v>3.05</v>
      </c>
      <c r="DK16" s="26"/>
      <c r="DL16" s="27">
        <v>4.78</v>
      </c>
      <c r="DM16" s="26">
        <v>6.02</v>
      </c>
      <c r="DN16" s="26">
        <v>6.02</v>
      </c>
      <c r="DO16" s="26">
        <v>6.02</v>
      </c>
      <c r="DP16" s="26"/>
      <c r="DQ16" s="26">
        <v>8.56</v>
      </c>
      <c r="DR16" s="26">
        <v>8.56</v>
      </c>
      <c r="DS16" s="26">
        <v>8.56</v>
      </c>
      <c r="DT16" s="26"/>
      <c r="DU16" s="26">
        <v>11.13</v>
      </c>
      <c r="DV16" s="26"/>
      <c r="DW16" s="26">
        <v>13.49</v>
      </c>
      <c r="DX16" s="28">
        <v>17.12</v>
      </c>
      <c r="DY16" s="53">
        <v>4</v>
      </c>
    </row>
    <row r="17" spans="1:129" ht="15" customHeight="1">
      <c r="A17" s="82"/>
      <c r="B17" s="83"/>
      <c r="C17" s="84"/>
      <c r="D17" s="86"/>
      <c r="E17" s="86"/>
      <c r="F17" s="86"/>
      <c r="G17" s="86"/>
      <c r="H17" s="86"/>
      <c r="I17" s="86"/>
      <c r="J17" s="86"/>
      <c r="K17" s="86"/>
      <c r="L17" s="86"/>
      <c r="M17" s="86"/>
      <c r="N17" s="88" t="s">
        <v>185</v>
      </c>
      <c r="O17" s="159" t="s">
        <v>15</v>
      </c>
      <c r="P17" s="364">
        <f ca="1">'Rating Data'!D2*0.0689475728</f>
        <v>19.650058247999997</v>
      </c>
      <c r="Q17" s="365"/>
      <c r="R17" s="366"/>
      <c r="S17" s="91" t="s">
        <v>40</v>
      </c>
      <c r="T17" s="159"/>
      <c r="U17" s="86"/>
      <c r="V17" s="86"/>
      <c r="W17" s="88"/>
      <c r="X17" s="88"/>
      <c r="Y17" s="86"/>
      <c r="Z17" s="86"/>
      <c r="AA17" s="86"/>
      <c r="AB17" s="88"/>
      <c r="AC17" s="159"/>
      <c r="AD17" s="159"/>
      <c r="AE17" s="159"/>
      <c r="AF17" s="84"/>
      <c r="AG17" s="87"/>
      <c r="AH17" s="86"/>
      <c r="AI17" s="86"/>
      <c r="AJ17" s="86"/>
      <c r="AK17" s="86"/>
      <c r="AL17" s="86"/>
      <c r="AM17" s="86"/>
      <c r="AN17" s="86"/>
      <c r="AO17" s="86"/>
      <c r="AP17" s="86"/>
      <c r="AQ17" s="86"/>
      <c r="AR17" s="86"/>
      <c r="AS17" s="86"/>
      <c r="AT17" s="86"/>
      <c r="AU17" s="86"/>
      <c r="AV17" s="86"/>
      <c r="AW17" s="86"/>
      <c r="BE17" s="420"/>
      <c r="BF17" s="420"/>
      <c r="BG17" s="421"/>
      <c r="BH17" s="421"/>
      <c r="BI17" s="422"/>
      <c r="BJ17" s="422"/>
      <c r="BK17" s="422"/>
      <c r="BL17" s="422"/>
      <c r="BM17" s="422"/>
      <c r="BN17" s="422"/>
      <c r="BO17" s="411"/>
      <c r="BP17" s="411"/>
      <c r="BQ17" s="411"/>
      <c r="BR17" s="411"/>
      <c r="BS17" s="411"/>
      <c r="BT17" s="412"/>
      <c r="CE17" s="299" t="e">
        <f>IF(VLOOKUP($AD$5,'Case 10'!$B$6:$L$55,2)="","",ABS(VLOOKUP($AD$5,'Case 10'!$B$6:$L$55,2)))</f>
        <v>#N/A</v>
      </c>
      <c r="CF17" s="299"/>
      <c r="CG17" s="299" t="e">
        <f>IF(VLOOKUP($AD$5,'Case 10'!$B$6:$L$55,4)="","",ABS(VLOOKUP($AD$5,'Case 10'!$B$6:$L$55,4)))</f>
        <v>#N/A</v>
      </c>
      <c r="CH17" s="299"/>
      <c r="DE17" s="31">
        <v>5</v>
      </c>
      <c r="DF17" s="23">
        <v>141.30000000000001</v>
      </c>
      <c r="DG17" s="24">
        <v>2.77</v>
      </c>
      <c r="DH17" s="25">
        <v>2.77</v>
      </c>
      <c r="DI17" s="32">
        <v>3.4</v>
      </c>
      <c r="DJ17" s="32">
        <v>3.4</v>
      </c>
      <c r="DK17" s="26"/>
      <c r="DL17" s="26"/>
      <c r="DM17" s="26">
        <v>6.55</v>
      </c>
      <c r="DN17" s="26">
        <v>6.55</v>
      </c>
      <c r="DO17" s="26">
        <v>6.55</v>
      </c>
      <c r="DP17" s="26"/>
      <c r="DQ17" s="26">
        <v>9.5299999999999994</v>
      </c>
      <c r="DR17" s="26">
        <v>9.5299999999999994</v>
      </c>
      <c r="DS17" s="26">
        <v>9.5299999999999994</v>
      </c>
      <c r="DT17" s="26"/>
      <c r="DU17" s="32">
        <v>12.7</v>
      </c>
      <c r="DV17" s="26"/>
      <c r="DW17" s="26">
        <v>15.88</v>
      </c>
      <c r="DX17" s="28">
        <v>19.05</v>
      </c>
      <c r="DY17" s="53">
        <v>5</v>
      </c>
    </row>
    <row r="18" spans="1:129" ht="15" customHeight="1">
      <c r="A18" s="82"/>
      <c r="B18" s="83"/>
      <c r="C18" s="84"/>
      <c r="D18" s="140"/>
      <c r="E18" s="140"/>
      <c r="F18" s="86"/>
      <c r="G18" s="86"/>
      <c r="H18" s="86"/>
      <c r="I18" s="86"/>
      <c r="J18" s="86"/>
      <c r="K18" s="86"/>
      <c r="L18" s="86"/>
      <c r="M18" s="86"/>
      <c r="N18" s="88" t="s">
        <v>184</v>
      </c>
      <c r="O18" s="161" t="s">
        <v>15</v>
      </c>
      <c r="P18" s="364">
        <f ca="1">'Rating Data'!E2*0.0689475728</f>
        <v>19.650058247999997</v>
      </c>
      <c r="Q18" s="365"/>
      <c r="R18" s="366"/>
      <c r="S18" s="91" t="s">
        <v>40</v>
      </c>
      <c r="T18" s="86"/>
      <c r="U18" s="86"/>
      <c r="V18" s="86"/>
      <c r="W18" s="86"/>
      <c r="X18" s="86"/>
      <c r="Y18" s="86"/>
      <c r="Z18" s="86"/>
      <c r="AA18" s="86"/>
      <c r="AB18" s="86"/>
      <c r="AC18" s="86"/>
      <c r="AD18" s="86"/>
      <c r="AE18" s="86"/>
      <c r="AF18" s="84"/>
      <c r="AG18" s="87"/>
      <c r="AH18" s="86"/>
      <c r="AI18" s="159"/>
      <c r="AJ18" s="159"/>
      <c r="AK18" s="88"/>
      <c r="AL18" s="88"/>
      <c r="AM18" s="86"/>
      <c r="AN18" s="86"/>
      <c r="AO18" s="86"/>
      <c r="AP18" s="86"/>
      <c r="AQ18" s="86"/>
      <c r="AR18" s="86"/>
      <c r="AS18" s="86"/>
      <c r="AT18" s="86"/>
      <c r="AU18" s="159"/>
      <c r="AV18" s="159"/>
      <c r="AW18" s="86"/>
      <c r="BE18" s="420"/>
      <c r="BF18" s="420"/>
      <c r="BG18" s="421"/>
      <c r="BH18" s="421"/>
      <c r="BI18" s="422"/>
      <c r="BJ18" s="422"/>
      <c r="BK18" s="422"/>
      <c r="BL18" s="422"/>
      <c r="BM18" s="422"/>
      <c r="BN18" s="422"/>
      <c r="BO18" s="411"/>
      <c r="BP18" s="411"/>
      <c r="BQ18" s="411"/>
      <c r="BR18" s="411"/>
      <c r="BS18" s="411"/>
      <c r="BT18" s="412"/>
      <c r="CE18" s="299" t="e">
        <f>IF(VLOOKUP($AD$5,'Case 11'!$B$6:$L$55,2)="","",ABS(VLOOKUP($AD$5,'Case 11'!$B$6:$L$55,2)))</f>
        <v>#N/A</v>
      </c>
      <c r="CF18" s="299"/>
      <c r="CG18" s="299" t="e">
        <f>IF(VLOOKUP($AD$5,'Case 11'!$B$6:$L$55,4)="","",ABS(VLOOKUP($AD$5,'Case 11'!$B$6:$L$55,4)))</f>
        <v>#N/A</v>
      </c>
      <c r="CH18" s="299"/>
      <c r="DE18" s="31">
        <v>6</v>
      </c>
      <c r="DF18" s="23">
        <v>168.27</v>
      </c>
      <c r="DG18" s="24">
        <v>2.77</v>
      </c>
      <c r="DH18" s="25">
        <v>2.77</v>
      </c>
      <c r="DI18" s="32">
        <v>3.4</v>
      </c>
      <c r="DJ18" s="32">
        <v>3.4</v>
      </c>
      <c r="DK18" s="26"/>
      <c r="DL18" s="26"/>
      <c r="DM18" s="26">
        <v>7.11</v>
      </c>
      <c r="DN18" s="26">
        <v>7.11</v>
      </c>
      <c r="DO18" s="26">
        <v>7.11</v>
      </c>
      <c r="DP18" s="26"/>
      <c r="DQ18" s="26">
        <v>10.97</v>
      </c>
      <c r="DR18" s="26">
        <v>10.97</v>
      </c>
      <c r="DS18" s="26">
        <v>10.97</v>
      </c>
      <c r="DT18" s="26"/>
      <c r="DU18" s="26">
        <v>14.27</v>
      </c>
      <c r="DV18" s="26"/>
      <c r="DW18" s="26">
        <v>18.260000000000002</v>
      </c>
      <c r="DX18" s="28">
        <v>21.95</v>
      </c>
      <c r="DY18" s="53">
        <v>6</v>
      </c>
    </row>
    <row r="19" spans="1:129" ht="15" customHeight="1">
      <c r="A19" s="82"/>
      <c r="B19" s="83"/>
      <c r="C19" s="84"/>
      <c r="D19" s="86"/>
      <c r="E19" s="86"/>
      <c r="F19" s="86"/>
      <c r="G19" s="86"/>
      <c r="H19" s="86"/>
      <c r="I19" s="86"/>
      <c r="J19" s="86"/>
      <c r="K19" s="86"/>
      <c r="L19" s="86"/>
      <c r="M19" s="86"/>
      <c r="N19" s="131" t="s">
        <v>183</v>
      </c>
      <c r="O19" s="159" t="s">
        <v>15</v>
      </c>
      <c r="P19" s="304">
        <f>P16+ABS(P15)/(PI()*POWER((VLOOKUP(P9,'Low Stress Type Gasket'!$DE$7:$DF$48,2)-2*P11),2)/4)*10</f>
        <v>0</v>
      </c>
      <c r="Q19" s="305"/>
      <c r="R19" s="306"/>
      <c r="S19" s="91" t="s">
        <v>40</v>
      </c>
      <c r="T19" s="159"/>
      <c r="U19" s="86"/>
      <c r="V19" s="86"/>
      <c r="W19" s="86"/>
      <c r="X19" s="86"/>
      <c r="Y19" s="86"/>
      <c r="Z19" s="86"/>
      <c r="AA19" s="86"/>
      <c r="AB19" s="86"/>
      <c r="AC19" s="86"/>
      <c r="AD19" s="86"/>
      <c r="AE19" s="86"/>
      <c r="AF19" s="84"/>
      <c r="AG19" s="87"/>
      <c r="AH19" s="86"/>
      <c r="AI19" s="159"/>
      <c r="AJ19" s="159"/>
      <c r="AK19" s="88"/>
      <c r="AL19" s="88"/>
      <c r="AM19" s="86"/>
      <c r="AN19" s="86"/>
      <c r="AO19" s="86"/>
      <c r="AP19" s="88"/>
      <c r="AQ19" s="159"/>
      <c r="AR19" s="159"/>
      <c r="AS19" s="159"/>
      <c r="AT19" s="159"/>
      <c r="AU19" s="159"/>
      <c r="AV19" s="159"/>
      <c r="AW19" s="86"/>
      <c r="BA19" s="90"/>
      <c r="BB19" s="90"/>
      <c r="BC19" s="90"/>
      <c r="BE19" s="420"/>
      <c r="BF19" s="420"/>
      <c r="BG19" s="421"/>
      <c r="BH19" s="421"/>
      <c r="BI19" s="422"/>
      <c r="BJ19" s="422"/>
      <c r="BK19" s="422"/>
      <c r="BL19" s="422"/>
      <c r="BM19" s="422"/>
      <c r="BN19" s="422"/>
      <c r="BO19" s="411"/>
      <c r="BP19" s="411"/>
      <c r="BQ19" s="411"/>
      <c r="BR19" s="411"/>
      <c r="BS19" s="411"/>
      <c r="BT19" s="412"/>
      <c r="CE19" s="299" t="e">
        <f>IF(VLOOKUP($AD$5,'Case 12'!$B$6:$L$55,2)="","",ABS(VLOOKUP($AD$5,'Case 12'!$B$6:$L$55,2)))</f>
        <v>#N/A</v>
      </c>
      <c r="CF19" s="299"/>
      <c r="CG19" s="299" t="e">
        <f>IF(VLOOKUP($AD$5,'Case 12'!$B$6:$L$55,4)="","",ABS(VLOOKUP($AD$5,'Case 12'!$B$6:$L$55,4)))</f>
        <v>#N/A</v>
      </c>
      <c r="CH19" s="299"/>
      <c r="DE19" s="31">
        <v>8</v>
      </c>
      <c r="DF19" s="23">
        <v>219.07</v>
      </c>
      <c r="DG19" s="24">
        <v>2.77</v>
      </c>
      <c r="DH19" s="25">
        <v>2.77</v>
      </c>
      <c r="DI19" s="26">
        <v>3.76</v>
      </c>
      <c r="DJ19" s="26">
        <v>3.76</v>
      </c>
      <c r="DK19" s="26">
        <v>6.35</v>
      </c>
      <c r="DL19" s="26">
        <v>7.04</v>
      </c>
      <c r="DM19" s="26">
        <v>8.18</v>
      </c>
      <c r="DN19" s="26">
        <v>8.18</v>
      </c>
      <c r="DO19" s="26">
        <v>8.18</v>
      </c>
      <c r="DP19" s="26">
        <v>10.31</v>
      </c>
      <c r="DQ19" s="32">
        <v>12.7</v>
      </c>
      <c r="DR19" s="32">
        <v>12.7</v>
      </c>
      <c r="DS19" s="32">
        <v>12.7</v>
      </c>
      <c r="DT19" s="26">
        <v>15.09</v>
      </c>
      <c r="DU19" s="26">
        <v>18.260000000000002</v>
      </c>
      <c r="DV19" s="26">
        <v>20.62</v>
      </c>
      <c r="DW19" s="26">
        <v>23.01</v>
      </c>
      <c r="DX19" s="28">
        <v>22.23</v>
      </c>
      <c r="DY19" s="53">
        <v>8</v>
      </c>
    </row>
    <row r="20" spans="1:129" ht="15" customHeight="1">
      <c r="A20" s="82"/>
      <c r="B20" s="83"/>
      <c r="C20" s="84"/>
      <c r="D20" s="85" t="s">
        <v>130</v>
      </c>
      <c r="E20" s="86"/>
      <c r="F20" s="86"/>
      <c r="G20" s="86"/>
      <c r="H20" s="86"/>
      <c r="I20" s="86"/>
      <c r="J20" s="86"/>
      <c r="K20" s="86"/>
      <c r="L20" s="86"/>
      <c r="M20" s="86"/>
      <c r="N20" s="86"/>
      <c r="O20" s="86"/>
      <c r="P20" s="120"/>
      <c r="Q20" s="120"/>
      <c r="R20" s="120"/>
      <c r="S20" s="86"/>
      <c r="T20" s="86"/>
      <c r="U20" s="86"/>
      <c r="V20" s="86"/>
      <c r="W20" s="86"/>
      <c r="X20" s="86"/>
      <c r="Y20" s="86"/>
      <c r="Z20" s="86"/>
      <c r="AA20" s="86"/>
      <c r="AB20" s="86"/>
      <c r="AC20" s="86"/>
      <c r="AD20" s="86"/>
      <c r="AE20" s="86"/>
      <c r="AF20" s="84"/>
      <c r="AG20" s="87"/>
      <c r="AH20" s="159"/>
      <c r="AI20" s="159"/>
      <c r="AJ20" s="159"/>
      <c r="AK20" s="88"/>
      <c r="AL20" s="88"/>
      <c r="AM20" s="86"/>
      <c r="AN20" s="86"/>
      <c r="AO20" s="86"/>
      <c r="AP20" s="88"/>
      <c r="AQ20" s="159"/>
      <c r="AR20" s="159"/>
      <c r="AS20" s="159"/>
      <c r="AT20" s="159"/>
      <c r="AU20" s="159"/>
      <c r="AV20" s="159"/>
      <c r="AW20" s="86"/>
      <c r="BA20" s="91"/>
      <c r="BB20" s="91"/>
      <c r="BC20" s="91"/>
      <c r="BE20" s="420"/>
      <c r="BF20" s="420"/>
      <c r="BG20" s="421"/>
      <c r="BH20" s="421"/>
      <c r="BI20" s="422"/>
      <c r="BJ20" s="422"/>
      <c r="BK20" s="422"/>
      <c r="BL20" s="422"/>
      <c r="BM20" s="422"/>
      <c r="BN20" s="422"/>
      <c r="BO20" s="411"/>
      <c r="BP20" s="411"/>
      <c r="BQ20" s="411"/>
      <c r="BR20" s="411"/>
      <c r="BS20" s="411"/>
      <c r="BT20" s="412"/>
      <c r="CE20" s="299" t="e">
        <f>MAX(CE8:CF16)</f>
        <v>#N/A</v>
      </c>
      <c r="CF20" s="299"/>
      <c r="CG20" s="299" t="e">
        <f>MAX(CG8:CH16)</f>
        <v>#N/A</v>
      </c>
      <c r="CH20" s="299"/>
      <c r="DE20" s="31">
        <v>10</v>
      </c>
      <c r="DF20" s="23">
        <v>273.05</v>
      </c>
      <c r="DG20" s="33">
        <v>3.4</v>
      </c>
      <c r="DH20" s="34">
        <v>3.4</v>
      </c>
      <c r="DI20" s="26">
        <v>4.1900000000000004</v>
      </c>
      <c r="DJ20" s="26">
        <v>4.1900000000000004</v>
      </c>
      <c r="DK20" s="26">
        <v>6.35</v>
      </c>
      <c r="DL20" s="32">
        <v>7.8</v>
      </c>
      <c r="DM20" s="26">
        <v>9.27</v>
      </c>
      <c r="DN20" s="26">
        <v>9.27</v>
      </c>
      <c r="DO20" s="26">
        <v>9.27</v>
      </c>
      <c r="DP20" s="32">
        <v>12.7</v>
      </c>
      <c r="DQ20" s="32">
        <v>12.7</v>
      </c>
      <c r="DR20" s="26">
        <v>15.09</v>
      </c>
      <c r="DS20" s="32">
        <v>12.7</v>
      </c>
      <c r="DT20" s="26">
        <v>18.260000000000002</v>
      </c>
      <c r="DU20" s="26">
        <v>21.44</v>
      </c>
      <c r="DV20" s="32">
        <v>25.4</v>
      </c>
      <c r="DW20" s="26">
        <v>28.58</v>
      </c>
      <c r="DX20" s="30">
        <v>25.4</v>
      </c>
      <c r="DY20" s="53">
        <v>10</v>
      </c>
    </row>
    <row r="21" spans="1:129" ht="15" customHeight="1">
      <c r="A21" s="82"/>
      <c r="B21" s="83"/>
      <c r="C21" s="84"/>
      <c r="D21" s="86"/>
      <c r="E21" s="86"/>
      <c r="F21" s="86"/>
      <c r="G21" s="86"/>
      <c r="H21" s="86"/>
      <c r="I21" s="86"/>
      <c r="J21" s="86"/>
      <c r="K21" s="86"/>
      <c r="L21" s="86"/>
      <c r="M21" s="86"/>
      <c r="N21" s="88" t="s">
        <v>163</v>
      </c>
      <c r="O21" s="159" t="s">
        <v>15</v>
      </c>
      <c r="P21" s="358">
        <f>VLOOKUP('Bolt &amp; Gasket Data'!D$2,'Bolt &amp; Gasket Data'!$A$4:$H$102,2)</f>
        <v>4</v>
      </c>
      <c r="Q21" s="359"/>
      <c r="R21" s="360"/>
      <c r="S21" s="89"/>
      <c r="T21" s="89"/>
      <c r="U21" s="86"/>
      <c r="V21" s="86"/>
      <c r="W21" s="88"/>
      <c r="X21" s="88"/>
      <c r="Y21" s="86"/>
      <c r="Z21" s="86"/>
      <c r="AA21" s="86"/>
      <c r="AB21" s="86"/>
      <c r="AC21" s="86"/>
      <c r="AD21" s="86"/>
      <c r="AE21" s="86"/>
      <c r="AF21" s="84"/>
      <c r="AG21" s="87"/>
      <c r="AH21" s="159"/>
      <c r="AI21" s="159"/>
      <c r="AJ21" s="159"/>
      <c r="AK21" s="88"/>
      <c r="AL21" s="88"/>
      <c r="AM21" s="86"/>
      <c r="AN21" s="86"/>
      <c r="AO21" s="86"/>
      <c r="AP21" s="86"/>
      <c r="AQ21" s="86"/>
      <c r="AR21" s="86"/>
      <c r="AS21" s="86"/>
      <c r="AT21" s="86"/>
      <c r="AU21" s="159"/>
      <c r="AV21" s="159"/>
      <c r="AW21" s="86"/>
      <c r="BE21" s="420"/>
      <c r="BF21" s="420"/>
      <c r="BG21" s="421"/>
      <c r="BH21" s="421"/>
      <c r="BI21" s="422"/>
      <c r="BJ21" s="422"/>
      <c r="BK21" s="422"/>
      <c r="BL21" s="422"/>
      <c r="BM21" s="422"/>
      <c r="BN21" s="422"/>
      <c r="BO21" s="411"/>
      <c r="BP21" s="411"/>
      <c r="BQ21" s="411"/>
      <c r="BR21" s="411"/>
      <c r="BS21" s="411"/>
      <c r="BT21" s="412"/>
      <c r="DE21" s="31">
        <v>12</v>
      </c>
      <c r="DF21" s="23">
        <v>323.85000000000002</v>
      </c>
      <c r="DG21" s="24">
        <v>3.96</v>
      </c>
      <c r="DH21" s="25">
        <v>3.96</v>
      </c>
      <c r="DI21" s="26">
        <v>4.57</v>
      </c>
      <c r="DJ21" s="26">
        <v>4.57</v>
      </c>
      <c r="DK21" s="26">
        <v>6.35</v>
      </c>
      <c r="DL21" s="26">
        <v>8.3800000000000008</v>
      </c>
      <c r="DM21" s="26">
        <v>9.5299999999999994</v>
      </c>
      <c r="DN21" s="26">
        <v>10.31</v>
      </c>
      <c r="DO21" s="26">
        <v>9.5299999999999994</v>
      </c>
      <c r="DP21" s="26">
        <v>14.27</v>
      </c>
      <c r="DQ21" s="32">
        <v>12.7</v>
      </c>
      <c r="DR21" s="26">
        <v>17.48</v>
      </c>
      <c r="DS21" s="32">
        <v>12.7</v>
      </c>
      <c r="DT21" s="26">
        <v>21.44</v>
      </c>
      <c r="DU21" s="32">
        <v>25.4</v>
      </c>
      <c r="DV21" s="26">
        <v>28.58</v>
      </c>
      <c r="DW21" s="26">
        <v>33.32</v>
      </c>
      <c r="DX21" s="30">
        <v>25.4</v>
      </c>
      <c r="DY21" s="53">
        <v>12</v>
      </c>
    </row>
    <row r="22" spans="1:129" ht="15" customHeight="1">
      <c r="A22" s="82"/>
      <c r="B22" s="83"/>
      <c r="C22" s="84"/>
      <c r="D22" s="86"/>
      <c r="E22" s="86"/>
      <c r="F22" s="86"/>
      <c r="G22" s="86"/>
      <c r="H22" s="86"/>
      <c r="I22" s="86"/>
      <c r="J22" s="86"/>
      <c r="K22" s="86"/>
      <c r="L22" s="86"/>
      <c r="M22" s="86"/>
      <c r="N22" s="88" t="s">
        <v>164</v>
      </c>
      <c r="O22" s="159" t="s">
        <v>15</v>
      </c>
      <c r="P22" s="307">
        <f>VLOOKUP('Bolt &amp; Gasket Data'!D$2,'Bolt &amp; Gasket Data'!$A$4:$H$102,3)</f>
        <v>0.5</v>
      </c>
      <c r="Q22" s="308"/>
      <c r="R22" s="309"/>
      <c r="S22" s="119" t="s">
        <v>129</v>
      </c>
      <c r="T22" s="89"/>
      <c r="U22" s="86"/>
      <c r="V22" s="86"/>
      <c r="W22" s="88"/>
      <c r="X22" s="88"/>
      <c r="Y22" s="86"/>
      <c r="Z22" s="86"/>
      <c r="AA22" s="86"/>
      <c r="AB22" s="88"/>
      <c r="AC22" s="159"/>
      <c r="AD22" s="159"/>
      <c r="AE22" s="159"/>
      <c r="AF22" s="84"/>
      <c r="AG22" s="87"/>
      <c r="AH22" s="86"/>
      <c r="AI22" s="159"/>
      <c r="AJ22" s="159"/>
      <c r="AK22" s="88"/>
      <c r="AL22" s="88"/>
      <c r="AM22" s="86"/>
      <c r="AN22" s="86"/>
      <c r="AO22" s="86"/>
      <c r="AP22" s="88"/>
      <c r="AQ22" s="159"/>
      <c r="AR22" s="159"/>
      <c r="AS22" s="159"/>
      <c r="AT22" s="159"/>
      <c r="AU22" s="159"/>
      <c r="AV22" s="159"/>
      <c r="AW22" s="86"/>
      <c r="BA22" s="90"/>
      <c r="BB22" s="90"/>
      <c r="BC22" s="90"/>
      <c r="BE22" s="420"/>
      <c r="BF22" s="420"/>
      <c r="BG22" s="421"/>
      <c r="BH22" s="421"/>
      <c r="BI22" s="422"/>
      <c r="BJ22" s="422"/>
      <c r="BK22" s="422"/>
      <c r="BL22" s="422"/>
      <c r="BM22" s="422"/>
      <c r="BN22" s="422"/>
      <c r="BO22" s="411"/>
      <c r="BP22" s="411"/>
      <c r="BQ22" s="411"/>
      <c r="BR22" s="411"/>
      <c r="BS22" s="411"/>
      <c r="BT22" s="412"/>
      <c r="DE22" s="31">
        <v>14</v>
      </c>
      <c r="DF22" s="23">
        <v>355.6</v>
      </c>
      <c r="DG22" s="24">
        <v>3.96</v>
      </c>
      <c r="DH22" s="25">
        <v>3.96</v>
      </c>
      <c r="DI22" s="26">
        <v>6.35</v>
      </c>
      <c r="DJ22" s="26">
        <v>4.78</v>
      </c>
      <c r="DK22" s="26">
        <v>7.92</v>
      </c>
      <c r="DL22" s="26">
        <v>9.5299999999999994</v>
      </c>
      <c r="DM22" s="26">
        <v>9.5299999999999994</v>
      </c>
      <c r="DN22" s="26">
        <v>11.13</v>
      </c>
      <c r="DO22" s="26"/>
      <c r="DP22" s="26">
        <v>15.09</v>
      </c>
      <c r="DQ22" s="32">
        <v>12.7</v>
      </c>
      <c r="DR22" s="26">
        <v>19.05</v>
      </c>
      <c r="DS22" s="26"/>
      <c r="DT22" s="26">
        <v>23.83</v>
      </c>
      <c r="DU22" s="26">
        <v>27.79</v>
      </c>
      <c r="DV22" s="26">
        <v>31.75</v>
      </c>
      <c r="DW22" s="26">
        <v>35.71</v>
      </c>
      <c r="DX22" s="28"/>
      <c r="DY22" s="53">
        <v>14</v>
      </c>
    </row>
    <row r="23" spans="1:129" ht="15" customHeight="1">
      <c r="A23" s="82"/>
      <c r="B23" s="83"/>
      <c r="C23" s="84"/>
      <c r="D23" s="86"/>
      <c r="E23" s="86"/>
      <c r="F23" s="86"/>
      <c r="G23" s="86"/>
      <c r="H23" s="86"/>
      <c r="I23" s="86"/>
      <c r="J23" s="86"/>
      <c r="K23" s="86"/>
      <c r="L23" s="86"/>
      <c r="M23" s="86"/>
      <c r="N23" s="88" t="s">
        <v>133</v>
      </c>
      <c r="O23" s="159" t="s">
        <v>15</v>
      </c>
      <c r="P23" s="307">
        <f>VLOOKUP('Bolt &amp; Gasket Data'!$D$2,'Bolt &amp; Gasket Data'!$A$4:$H$102,4)</f>
        <v>81.3</v>
      </c>
      <c r="Q23" s="308"/>
      <c r="R23" s="309"/>
      <c r="S23" s="91" t="s">
        <v>43</v>
      </c>
      <c r="T23" s="159"/>
      <c r="U23" s="86"/>
      <c r="V23" s="86"/>
      <c r="W23" s="88"/>
      <c r="X23" s="88"/>
      <c r="Y23" s="86"/>
      <c r="Z23" s="86"/>
      <c r="AA23" s="86"/>
      <c r="AB23" s="88"/>
      <c r="AC23" s="159"/>
      <c r="AD23" s="159"/>
      <c r="AE23" s="159"/>
      <c r="AF23" s="84"/>
      <c r="AG23" s="87"/>
      <c r="AH23" s="159"/>
      <c r="AI23" s="86"/>
      <c r="AJ23" s="86"/>
      <c r="AK23" s="86"/>
      <c r="AL23" s="86"/>
      <c r="AM23" s="86"/>
      <c r="AN23" s="86"/>
      <c r="AO23" s="159"/>
      <c r="AP23" s="159"/>
      <c r="AQ23" s="86"/>
      <c r="AR23" s="86"/>
      <c r="AS23" s="86"/>
      <c r="AT23" s="86"/>
      <c r="AU23" s="86"/>
      <c r="AV23" s="86"/>
      <c r="AW23" s="86"/>
      <c r="BE23" s="420"/>
      <c r="BF23" s="420"/>
      <c r="BG23" s="421"/>
      <c r="BH23" s="421"/>
      <c r="BI23" s="422"/>
      <c r="BJ23" s="422"/>
      <c r="BK23" s="422"/>
      <c r="BL23" s="422"/>
      <c r="BM23" s="422"/>
      <c r="BN23" s="422"/>
      <c r="BO23" s="411"/>
      <c r="BP23" s="411"/>
      <c r="BQ23" s="411"/>
      <c r="BR23" s="411"/>
      <c r="BS23" s="411"/>
      <c r="BT23" s="412"/>
      <c r="DE23" s="31">
        <v>16</v>
      </c>
      <c r="DF23" s="23">
        <v>406.4</v>
      </c>
      <c r="DG23" s="24">
        <v>4.1900000000000004</v>
      </c>
      <c r="DH23" s="25">
        <v>4.1900000000000004</v>
      </c>
      <c r="DI23" s="26">
        <v>6.35</v>
      </c>
      <c r="DJ23" s="26">
        <v>4.78</v>
      </c>
      <c r="DK23" s="26">
        <v>7.92</v>
      </c>
      <c r="DL23" s="26">
        <v>9.5299999999999994</v>
      </c>
      <c r="DM23" s="26">
        <v>9.5299999999999994</v>
      </c>
      <c r="DN23" s="32">
        <v>12.7</v>
      </c>
      <c r="DO23" s="26"/>
      <c r="DP23" s="26">
        <v>16.66</v>
      </c>
      <c r="DQ23" s="32">
        <v>12.7</v>
      </c>
      <c r="DR23" s="26">
        <v>21.44</v>
      </c>
      <c r="DS23" s="26"/>
      <c r="DT23" s="26">
        <v>26.19</v>
      </c>
      <c r="DU23" s="26">
        <v>30.96</v>
      </c>
      <c r="DV23" s="26">
        <v>36.53</v>
      </c>
      <c r="DW23" s="26">
        <v>40.49</v>
      </c>
      <c r="DX23" s="28"/>
      <c r="DY23" s="53">
        <v>16</v>
      </c>
    </row>
    <row r="24" spans="1:129" ht="15" customHeight="1">
      <c r="A24" s="82"/>
      <c r="B24" s="83"/>
      <c r="C24" s="84"/>
      <c r="D24" s="86"/>
      <c r="E24" s="86"/>
      <c r="F24" s="86"/>
      <c r="G24" s="86"/>
      <c r="H24" s="86"/>
      <c r="I24" s="86"/>
      <c r="J24" s="86"/>
      <c r="K24" s="86"/>
      <c r="L24" s="86"/>
      <c r="M24" s="86"/>
      <c r="N24" s="88" t="s">
        <v>150</v>
      </c>
      <c r="O24" s="159" t="s">
        <v>15</v>
      </c>
      <c r="P24" s="307">
        <f>P21*P23</f>
        <v>325.2</v>
      </c>
      <c r="Q24" s="308"/>
      <c r="R24" s="309"/>
      <c r="S24" s="91" t="s">
        <v>43</v>
      </c>
      <c r="T24" s="159"/>
      <c r="U24" s="86"/>
      <c r="V24" s="86"/>
      <c r="W24" s="88"/>
      <c r="X24" s="88"/>
      <c r="Y24" s="86"/>
      <c r="Z24" s="86"/>
      <c r="AA24" s="86"/>
      <c r="AB24" s="86"/>
      <c r="AC24" s="86"/>
      <c r="AD24" s="86"/>
      <c r="AE24" s="86"/>
      <c r="AF24" s="84"/>
      <c r="AG24" s="87"/>
      <c r="AH24" s="86"/>
      <c r="AI24" s="86"/>
      <c r="AJ24" s="86"/>
      <c r="AK24" s="86"/>
      <c r="AL24" s="86"/>
      <c r="AM24" s="86"/>
      <c r="AN24" s="86"/>
      <c r="AO24" s="86"/>
      <c r="AP24" s="86"/>
      <c r="AQ24" s="86"/>
      <c r="AR24" s="86"/>
      <c r="AS24" s="86"/>
      <c r="AT24" s="86"/>
      <c r="AU24" s="86"/>
      <c r="AV24" s="86"/>
      <c r="AW24" s="86"/>
      <c r="BE24" s="420"/>
      <c r="BF24" s="420"/>
      <c r="BG24" s="421"/>
      <c r="BH24" s="421"/>
      <c r="BI24" s="422"/>
      <c r="BJ24" s="422"/>
      <c r="BK24" s="422"/>
      <c r="BL24" s="422"/>
      <c r="BM24" s="422"/>
      <c r="BN24" s="422"/>
      <c r="BO24" s="411"/>
      <c r="BP24" s="411"/>
      <c r="BQ24" s="411"/>
      <c r="BR24" s="411"/>
      <c r="BS24" s="411"/>
      <c r="BT24" s="412"/>
      <c r="DE24" s="31">
        <v>18</v>
      </c>
      <c r="DF24" s="23">
        <v>457.2</v>
      </c>
      <c r="DG24" s="24">
        <v>4.1900000000000004</v>
      </c>
      <c r="DH24" s="25">
        <v>4.1900000000000004</v>
      </c>
      <c r="DI24" s="26">
        <v>6.35</v>
      </c>
      <c r="DJ24" s="26">
        <v>4.78</v>
      </c>
      <c r="DK24" s="26">
        <v>7.92</v>
      </c>
      <c r="DL24" s="26">
        <v>11.13</v>
      </c>
      <c r="DM24" s="26">
        <v>9.5299999999999994</v>
      </c>
      <c r="DN24" s="26">
        <v>14.27</v>
      </c>
      <c r="DO24" s="26"/>
      <c r="DP24" s="26">
        <v>19.05</v>
      </c>
      <c r="DQ24" s="32">
        <v>12.7</v>
      </c>
      <c r="DR24" s="26">
        <v>23.83</v>
      </c>
      <c r="DS24" s="26"/>
      <c r="DT24" s="26">
        <v>29.36</v>
      </c>
      <c r="DU24" s="26">
        <v>34.93</v>
      </c>
      <c r="DV24" s="26">
        <v>39.67</v>
      </c>
      <c r="DW24" s="26">
        <v>45.24</v>
      </c>
      <c r="DX24" s="28"/>
      <c r="DY24" s="229">
        <v>18</v>
      </c>
    </row>
    <row r="25" spans="1:129" ht="15" customHeight="1">
      <c r="A25" s="82"/>
      <c r="B25" s="83"/>
      <c r="C25" s="84"/>
      <c r="D25" s="86"/>
      <c r="E25" s="86"/>
      <c r="F25" s="86"/>
      <c r="G25" s="86"/>
      <c r="H25" s="86"/>
      <c r="I25" s="86"/>
      <c r="J25" s="86"/>
      <c r="K25" s="86"/>
      <c r="L25" s="86"/>
      <c r="M25" s="86"/>
      <c r="N25" s="88" t="s">
        <v>131</v>
      </c>
      <c r="O25" s="159" t="s">
        <v>15</v>
      </c>
      <c r="P25" s="307">
        <f>IF(P22&lt;1,45000,45000/SQRT(P22))/2.2048*9.81/POWER(25.4,2)</f>
        <v>310.34509637959769</v>
      </c>
      <c r="Q25" s="308"/>
      <c r="R25" s="309"/>
      <c r="S25" s="91" t="s">
        <v>132</v>
      </c>
      <c r="T25" s="159"/>
      <c r="U25" s="86"/>
      <c r="V25" s="86"/>
      <c r="W25" s="91"/>
      <c r="X25" s="91"/>
      <c r="Y25" s="91"/>
      <c r="Z25" s="91"/>
      <c r="AA25" s="86"/>
      <c r="AB25" s="88"/>
      <c r="AC25" s="159"/>
      <c r="AD25" s="159"/>
      <c r="AE25" s="159"/>
      <c r="AF25" s="84"/>
      <c r="AG25" s="87"/>
      <c r="AH25" s="86"/>
      <c r="AI25" s="86"/>
      <c r="AJ25" s="86"/>
      <c r="AK25" s="88"/>
      <c r="AL25" s="88"/>
      <c r="AM25" s="86"/>
      <c r="AN25" s="86"/>
      <c r="AO25" s="86"/>
      <c r="AP25" s="86"/>
      <c r="AQ25" s="86"/>
      <c r="AR25" s="86"/>
      <c r="AS25" s="86"/>
      <c r="AT25" s="86"/>
      <c r="AU25" s="159"/>
      <c r="AV25" s="159"/>
      <c r="AW25" s="86"/>
      <c r="BE25" s="420"/>
      <c r="BF25" s="420"/>
      <c r="BG25" s="421"/>
      <c r="BH25" s="421"/>
      <c r="BI25" s="422"/>
      <c r="BJ25" s="422"/>
      <c r="BK25" s="422"/>
      <c r="BL25" s="422"/>
      <c r="BM25" s="422"/>
      <c r="BN25" s="422"/>
      <c r="BO25" s="411"/>
      <c r="BP25" s="411"/>
      <c r="BQ25" s="411"/>
      <c r="BR25" s="411"/>
      <c r="BS25" s="411"/>
      <c r="BT25" s="412"/>
      <c r="DE25" s="31">
        <v>20</v>
      </c>
      <c r="DF25" s="23">
        <v>508</v>
      </c>
      <c r="DG25" s="24">
        <v>4.78</v>
      </c>
      <c r="DH25" s="25">
        <v>4.78</v>
      </c>
      <c r="DI25" s="26">
        <v>6.35</v>
      </c>
      <c r="DJ25" s="26">
        <v>5.54</v>
      </c>
      <c r="DK25" s="26">
        <v>9.5299999999999994</v>
      </c>
      <c r="DL25" s="32">
        <v>12.7</v>
      </c>
      <c r="DM25" s="26">
        <v>9.5299999999999994</v>
      </c>
      <c r="DN25" s="26">
        <v>15.09</v>
      </c>
      <c r="DO25" s="26"/>
      <c r="DP25" s="26">
        <v>20.62</v>
      </c>
      <c r="DQ25" s="32">
        <v>12.7</v>
      </c>
      <c r="DR25" s="26">
        <v>26.19</v>
      </c>
      <c r="DS25" s="26"/>
      <c r="DT25" s="26">
        <v>32.54</v>
      </c>
      <c r="DU25" s="32">
        <v>38.1</v>
      </c>
      <c r="DV25" s="26">
        <v>44.45</v>
      </c>
      <c r="DW25" s="26">
        <v>50.01</v>
      </c>
      <c r="DX25" s="28"/>
      <c r="DY25" s="229">
        <v>20</v>
      </c>
    </row>
    <row r="26" spans="1:129" ht="15" customHeight="1">
      <c r="A26" s="82"/>
      <c r="B26" s="83"/>
      <c r="C26" s="84"/>
      <c r="D26" s="86"/>
      <c r="E26" s="86"/>
      <c r="F26" s="86"/>
      <c r="G26" s="86"/>
      <c r="H26" s="86"/>
      <c r="I26" s="86"/>
      <c r="J26" s="86"/>
      <c r="K26" s="86"/>
      <c r="L26" s="86"/>
      <c r="M26" s="86"/>
      <c r="N26" s="88" t="s">
        <v>151</v>
      </c>
      <c r="O26" s="159" t="s">
        <v>15</v>
      </c>
      <c r="P26" s="307">
        <f ca="1">0.75*P25*P17/P18</f>
        <v>232.75882228469831</v>
      </c>
      <c r="Q26" s="308"/>
      <c r="R26" s="309"/>
      <c r="S26" s="91" t="s">
        <v>132</v>
      </c>
      <c r="T26" s="159"/>
      <c r="U26" s="86"/>
      <c r="V26" s="86"/>
      <c r="W26" s="91"/>
      <c r="X26" s="91"/>
      <c r="Y26" s="91"/>
      <c r="Z26" s="86"/>
      <c r="AA26" s="86"/>
      <c r="AB26" s="86"/>
      <c r="AC26" s="86"/>
      <c r="AD26" s="86"/>
      <c r="AE26" s="86"/>
      <c r="AF26" s="84"/>
      <c r="AG26" s="87"/>
      <c r="AH26" s="86"/>
      <c r="AI26" s="86"/>
      <c r="AJ26" s="86"/>
      <c r="AK26" s="86"/>
      <c r="AL26" s="86"/>
      <c r="AM26" s="86"/>
      <c r="AN26" s="86"/>
      <c r="AO26" s="86"/>
      <c r="AP26" s="86"/>
      <c r="AQ26" s="86"/>
      <c r="AR26" s="86"/>
      <c r="AS26" s="86"/>
      <c r="AT26" s="86"/>
      <c r="AU26" s="86"/>
      <c r="AV26" s="86"/>
      <c r="AW26" s="86"/>
      <c r="BE26" s="420"/>
      <c r="BF26" s="420"/>
      <c r="BG26" s="421"/>
      <c r="BH26" s="421"/>
      <c r="BI26" s="422"/>
      <c r="BJ26" s="422"/>
      <c r="BK26" s="422"/>
      <c r="BL26" s="422"/>
      <c r="BM26" s="422"/>
      <c r="BN26" s="422"/>
      <c r="BO26" s="411"/>
      <c r="BP26" s="411"/>
      <c r="BQ26" s="411"/>
      <c r="BR26" s="411"/>
      <c r="BS26" s="411"/>
      <c r="BT26" s="412"/>
      <c r="DE26" s="31">
        <v>22</v>
      </c>
      <c r="DF26" s="23">
        <v>558.79999999999995</v>
      </c>
      <c r="DG26" s="24">
        <v>4.78</v>
      </c>
      <c r="DH26" s="25">
        <v>4.78</v>
      </c>
      <c r="DI26" s="26">
        <v>6.35</v>
      </c>
      <c r="DJ26" s="26">
        <v>5.54</v>
      </c>
      <c r="DK26" s="26">
        <v>9.5299999999999994</v>
      </c>
      <c r="DL26" s="32">
        <v>12.7</v>
      </c>
      <c r="DM26" s="26">
        <v>9.5299999999999994</v>
      </c>
      <c r="DN26" s="27"/>
      <c r="DO26" s="27"/>
      <c r="DP26" s="26">
        <v>22.23</v>
      </c>
      <c r="DQ26" s="32">
        <v>12.7</v>
      </c>
      <c r="DR26" s="26">
        <v>28.58</v>
      </c>
      <c r="DS26" s="26"/>
      <c r="DT26" s="26">
        <v>34.93</v>
      </c>
      <c r="DU26" s="26">
        <v>41.28</v>
      </c>
      <c r="DV26" s="26">
        <v>47.63</v>
      </c>
      <c r="DW26" s="26">
        <v>53.98</v>
      </c>
      <c r="DX26" s="28"/>
      <c r="DY26" s="229">
        <v>22</v>
      </c>
    </row>
    <row r="27" spans="1:129" ht="15" customHeight="1">
      <c r="A27" s="82"/>
      <c r="B27" s="83"/>
      <c r="C27" s="84"/>
      <c r="D27" s="86"/>
      <c r="E27" s="86"/>
      <c r="F27" s="86"/>
      <c r="G27" s="86"/>
      <c r="H27" s="86"/>
      <c r="I27" s="86"/>
      <c r="J27" s="86"/>
      <c r="K27" s="86"/>
      <c r="L27" s="86"/>
      <c r="M27" s="86"/>
      <c r="N27" s="88" t="s">
        <v>134</v>
      </c>
      <c r="O27" s="159" t="s">
        <v>15</v>
      </c>
      <c r="P27" s="304">
        <f>IF(P21&lt;8,0.5,IF(P21&gt;8,1,0.8))</f>
        <v>0.5</v>
      </c>
      <c r="Q27" s="305"/>
      <c r="R27" s="306"/>
      <c r="S27" s="159"/>
      <c r="T27" s="159"/>
      <c r="U27" s="86"/>
      <c r="V27" s="86"/>
      <c r="W27" s="86"/>
      <c r="X27" s="86"/>
      <c r="Y27" s="86"/>
      <c r="Z27" s="86"/>
      <c r="AA27" s="86"/>
      <c r="AB27" s="86"/>
      <c r="AC27" s="86"/>
      <c r="AD27" s="86"/>
      <c r="AE27" s="146" t="str">
        <f>"Note "&amp;D46</f>
        <v>Note i)</v>
      </c>
      <c r="AF27" s="84"/>
      <c r="AG27" s="87"/>
      <c r="AH27" s="86"/>
      <c r="AI27" s="86"/>
      <c r="AJ27" s="86"/>
      <c r="AK27" s="86"/>
      <c r="AL27" s="86"/>
      <c r="AM27" s="86"/>
      <c r="AN27" s="86"/>
      <c r="AO27" s="86"/>
      <c r="AP27" s="86"/>
      <c r="AQ27" s="86"/>
      <c r="AR27" s="86"/>
      <c r="AS27" s="86"/>
      <c r="AT27" s="86"/>
      <c r="AU27" s="86"/>
      <c r="AV27" s="86"/>
      <c r="AW27" s="86"/>
      <c r="BE27" s="420"/>
      <c r="BF27" s="420"/>
      <c r="BG27" s="421"/>
      <c r="BH27" s="421"/>
      <c r="BI27" s="422"/>
      <c r="BJ27" s="422"/>
      <c r="BK27" s="422"/>
      <c r="BL27" s="422"/>
      <c r="BM27" s="422"/>
      <c r="BN27" s="422"/>
      <c r="BO27" s="411"/>
      <c r="BP27" s="411"/>
      <c r="BQ27" s="411"/>
      <c r="BR27" s="411"/>
      <c r="BS27" s="411"/>
      <c r="BT27" s="412"/>
      <c r="DE27" s="31">
        <v>24</v>
      </c>
      <c r="DF27" s="23">
        <v>609.6</v>
      </c>
      <c r="DG27" s="24">
        <v>5.54</v>
      </c>
      <c r="DH27" s="25">
        <v>5.54</v>
      </c>
      <c r="DI27" s="26">
        <v>6.35</v>
      </c>
      <c r="DJ27" s="26">
        <v>6.35</v>
      </c>
      <c r="DK27" s="26">
        <v>9.5299999999999994</v>
      </c>
      <c r="DL27" s="26">
        <v>14.27</v>
      </c>
      <c r="DM27" s="26">
        <v>9.5299999999999994</v>
      </c>
      <c r="DN27" s="26">
        <v>17.48</v>
      </c>
      <c r="DO27" s="26"/>
      <c r="DP27" s="26">
        <v>24.61</v>
      </c>
      <c r="DQ27" s="32">
        <v>12.7</v>
      </c>
      <c r="DR27" s="26">
        <v>30.96</v>
      </c>
      <c r="DS27" s="26"/>
      <c r="DT27" s="26">
        <v>38.89</v>
      </c>
      <c r="DU27" s="26">
        <v>46.02</v>
      </c>
      <c r="DV27" s="26">
        <v>52.37</v>
      </c>
      <c r="DW27" s="26">
        <v>59.54</v>
      </c>
      <c r="DX27" s="28"/>
      <c r="DY27" s="229">
        <v>24</v>
      </c>
    </row>
    <row r="28" spans="1:129" ht="15" customHeight="1">
      <c r="A28" s="82"/>
      <c r="B28" s="83"/>
      <c r="C28" s="84"/>
      <c r="D28" s="85" t="s">
        <v>135</v>
      </c>
      <c r="E28" s="86"/>
      <c r="F28" s="86"/>
      <c r="G28" s="86"/>
      <c r="H28" s="86"/>
      <c r="I28" s="86"/>
      <c r="J28" s="86"/>
      <c r="K28" s="86"/>
      <c r="L28" s="86"/>
      <c r="M28" s="86"/>
      <c r="N28" s="121"/>
      <c r="O28" s="121"/>
      <c r="P28" s="164"/>
      <c r="Q28" s="164"/>
      <c r="R28" s="164"/>
      <c r="S28" s="159"/>
      <c r="T28" s="159"/>
      <c r="U28" s="86"/>
      <c r="V28" s="86"/>
      <c r="W28" s="86"/>
      <c r="X28" s="86"/>
      <c r="Y28" s="86"/>
      <c r="Z28" s="86"/>
      <c r="AA28" s="86"/>
      <c r="AB28" s="86"/>
      <c r="AC28" s="86"/>
      <c r="AD28" s="86"/>
      <c r="AE28" s="86"/>
      <c r="AF28" s="84"/>
      <c r="AG28" s="87"/>
      <c r="AH28" s="86"/>
      <c r="AI28" s="86"/>
      <c r="AJ28" s="86"/>
      <c r="AK28" s="86"/>
      <c r="AL28" s="86"/>
      <c r="AM28" s="86"/>
      <c r="AN28" s="86"/>
      <c r="AO28" s="86"/>
      <c r="AP28" s="86"/>
      <c r="AQ28" s="86"/>
      <c r="AR28" s="86"/>
      <c r="AS28" s="86"/>
      <c r="AT28" s="86"/>
      <c r="AU28" s="86"/>
      <c r="AV28" s="86"/>
      <c r="AW28" s="86"/>
      <c r="BE28" s="420"/>
      <c r="BF28" s="420"/>
      <c r="BG28" s="421"/>
      <c r="BH28" s="421"/>
      <c r="BI28" s="422"/>
      <c r="BJ28" s="422"/>
      <c r="BK28" s="422"/>
      <c r="BL28" s="422"/>
      <c r="BM28" s="422"/>
      <c r="BN28" s="422"/>
      <c r="BO28" s="411"/>
      <c r="BP28" s="411"/>
      <c r="BQ28" s="411"/>
      <c r="BR28" s="411"/>
      <c r="BS28" s="411"/>
      <c r="BT28" s="412"/>
      <c r="DE28" s="31">
        <v>26</v>
      </c>
      <c r="DF28" s="23">
        <v>660.4</v>
      </c>
      <c r="DG28" s="24"/>
      <c r="DH28" s="25"/>
      <c r="DI28" s="26">
        <v>7.92</v>
      </c>
      <c r="DJ28" s="26"/>
      <c r="DK28" s="32">
        <v>12.7</v>
      </c>
      <c r="DL28" s="26"/>
      <c r="DM28" s="26">
        <v>9.5299999999999994</v>
      </c>
      <c r="DN28" s="26"/>
      <c r="DO28" s="26"/>
      <c r="DP28" s="26"/>
      <c r="DQ28" s="32">
        <v>12.7</v>
      </c>
      <c r="DR28" s="26"/>
      <c r="DS28" s="26"/>
      <c r="DT28" s="26"/>
      <c r="DU28" s="26"/>
      <c r="DV28" s="26"/>
      <c r="DW28" s="26"/>
      <c r="DX28" s="28"/>
      <c r="DY28" s="229">
        <v>26</v>
      </c>
    </row>
    <row r="29" spans="1:129" ht="15" customHeight="1">
      <c r="A29" s="82"/>
      <c r="B29" s="83"/>
      <c r="C29" s="84"/>
      <c r="D29" s="86"/>
      <c r="E29" s="86"/>
      <c r="F29" s="86"/>
      <c r="G29" s="86"/>
      <c r="H29" s="86"/>
      <c r="I29" s="86"/>
      <c r="J29" s="86"/>
      <c r="K29" s="86"/>
      <c r="L29" s="86"/>
      <c r="M29" s="86"/>
      <c r="N29" s="88" t="s">
        <v>128</v>
      </c>
      <c r="O29" s="159" t="s">
        <v>15</v>
      </c>
      <c r="P29" s="355">
        <f>VLOOKUP('Bolt &amp; Gasket Data'!D$2,'Bolt &amp; Gasket Data'!$A$4:$H$102,5)</f>
        <v>62</v>
      </c>
      <c r="Q29" s="356"/>
      <c r="R29" s="357"/>
      <c r="S29" s="89"/>
      <c r="T29" s="89"/>
      <c r="U29" s="86"/>
      <c r="V29" s="86"/>
      <c r="W29" s="88"/>
      <c r="X29" s="91"/>
      <c r="Y29" s="91"/>
      <c r="Z29" s="91"/>
      <c r="AA29" s="86"/>
      <c r="AB29" s="86"/>
      <c r="AC29" s="86"/>
      <c r="AD29" s="86"/>
      <c r="AE29" s="86"/>
      <c r="AF29" s="84"/>
      <c r="AG29" s="87"/>
      <c r="AH29" s="86"/>
      <c r="AI29" s="86"/>
      <c r="AJ29" s="86"/>
      <c r="AK29" s="86"/>
      <c r="AL29" s="86"/>
      <c r="AM29" s="86"/>
      <c r="AN29" s="86"/>
      <c r="AO29" s="86"/>
      <c r="AP29" s="86"/>
      <c r="AQ29" s="86"/>
      <c r="AR29" s="86"/>
      <c r="AS29" s="86"/>
      <c r="AT29" s="86"/>
      <c r="AU29" s="86"/>
      <c r="AV29" s="86"/>
      <c r="AW29" s="86"/>
      <c r="BE29" s="420"/>
      <c r="BF29" s="420"/>
      <c r="BG29" s="421"/>
      <c r="BH29" s="421"/>
      <c r="BI29" s="422"/>
      <c r="BJ29" s="422"/>
      <c r="BK29" s="422"/>
      <c r="BL29" s="422"/>
      <c r="BM29" s="422"/>
      <c r="BN29" s="422"/>
      <c r="BO29" s="411"/>
      <c r="BP29" s="411"/>
      <c r="BQ29" s="411"/>
      <c r="BR29" s="411"/>
      <c r="BS29" s="411"/>
      <c r="BT29" s="412"/>
      <c r="CC29" s="122"/>
      <c r="CD29" s="123"/>
      <c r="DE29" s="31">
        <v>28</v>
      </c>
      <c r="DF29" s="23">
        <v>711.2</v>
      </c>
      <c r="DG29" s="24"/>
      <c r="DH29" s="25"/>
      <c r="DI29" s="26">
        <v>7.92</v>
      </c>
      <c r="DJ29" s="26"/>
      <c r="DK29" s="32">
        <v>12.7</v>
      </c>
      <c r="DL29" s="26">
        <v>15.88</v>
      </c>
      <c r="DM29" s="26">
        <v>9.5299999999999994</v>
      </c>
      <c r="DN29" s="26"/>
      <c r="DO29" s="26"/>
      <c r="DP29" s="26"/>
      <c r="DQ29" s="32">
        <v>12.7</v>
      </c>
      <c r="DR29" s="26"/>
      <c r="DS29" s="26"/>
      <c r="DT29" s="26"/>
      <c r="DU29" s="26"/>
      <c r="DV29" s="26"/>
      <c r="DW29" s="26"/>
      <c r="DX29" s="28"/>
      <c r="DY29" s="229">
        <v>28</v>
      </c>
    </row>
    <row r="30" spans="1:129" ht="15" customHeight="1">
      <c r="A30" s="82"/>
      <c r="B30" s="83"/>
      <c r="C30" s="84"/>
      <c r="D30" s="131"/>
      <c r="E30" s="132"/>
      <c r="F30" s="130"/>
      <c r="G30" s="130"/>
      <c r="H30" s="130"/>
      <c r="I30" s="130"/>
      <c r="J30" s="130"/>
      <c r="K30" s="130"/>
      <c r="L30" s="130"/>
      <c r="M30" s="130"/>
      <c r="N30" s="131" t="s">
        <v>156</v>
      </c>
      <c r="O30" s="159" t="s">
        <v>15</v>
      </c>
      <c r="P30" s="307">
        <f>VLOOKUP('Bolt &amp; Gasket Data'!D$2,'Bolt &amp; Gasket Data'!$A$4:$H$102,7)</f>
        <v>7.9500000000000028</v>
      </c>
      <c r="Q30" s="308"/>
      <c r="R30" s="309"/>
      <c r="S30" s="121"/>
      <c r="T30" s="121"/>
      <c r="U30" s="121"/>
      <c r="V30" s="121"/>
      <c r="W30" s="121"/>
      <c r="X30" s="121"/>
      <c r="Y30" s="121"/>
      <c r="Z30" s="121"/>
      <c r="AA30" s="121"/>
      <c r="AB30" s="121"/>
      <c r="AC30" s="121"/>
      <c r="AD30" s="121"/>
      <c r="AE30" s="121"/>
      <c r="AF30" s="84"/>
      <c r="AG30" s="87"/>
      <c r="AH30" s="86"/>
      <c r="AI30" s="86"/>
      <c r="AJ30" s="86"/>
      <c r="AK30" s="86"/>
      <c r="AL30" s="86"/>
      <c r="AM30" s="86"/>
      <c r="AN30" s="86"/>
      <c r="AO30" s="86"/>
      <c r="AP30" s="86"/>
      <c r="AQ30" s="86"/>
      <c r="AR30" s="86"/>
      <c r="AS30" s="86"/>
      <c r="AT30" s="86"/>
      <c r="AU30" s="86"/>
      <c r="AV30" s="86"/>
      <c r="AW30" s="86"/>
      <c r="BE30" s="420"/>
      <c r="BF30" s="420"/>
      <c r="BG30" s="421"/>
      <c r="BH30" s="421"/>
      <c r="BI30" s="422"/>
      <c r="BJ30" s="422"/>
      <c r="BK30" s="422"/>
      <c r="BL30" s="422"/>
      <c r="BM30" s="422"/>
      <c r="BN30" s="422"/>
      <c r="BO30" s="411"/>
      <c r="BP30" s="411"/>
      <c r="BQ30" s="411"/>
      <c r="BR30" s="411"/>
      <c r="BS30" s="411"/>
      <c r="BT30" s="412"/>
      <c r="CC30" s="122"/>
      <c r="CD30" s="90"/>
      <c r="CE30" s="90"/>
      <c r="DE30" s="31">
        <v>30</v>
      </c>
      <c r="DF30" s="23">
        <v>762</v>
      </c>
      <c r="DG30" s="24">
        <v>6.35</v>
      </c>
      <c r="DH30" s="25">
        <v>6.35</v>
      </c>
      <c r="DI30" s="26">
        <v>7.92</v>
      </c>
      <c r="DJ30" s="26">
        <v>7.92</v>
      </c>
      <c r="DK30" s="32">
        <v>12.7</v>
      </c>
      <c r="DL30" s="26">
        <v>15.88</v>
      </c>
      <c r="DM30" s="26">
        <v>9.5299999999999994</v>
      </c>
      <c r="DN30" s="26"/>
      <c r="DO30" s="26"/>
      <c r="DP30" s="26"/>
      <c r="DQ30" s="32">
        <v>12.7</v>
      </c>
      <c r="DR30" s="26"/>
      <c r="DS30" s="26"/>
      <c r="DT30" s="26"/>
      <c r="DU30" s="26"/>
      <c r="DV30" s="26"/>
      <c r="DW30" s="26"/>
      <c r="DX30" s="28"/>
      <c r="DY30" s="229">
        <v>30</v>
      </c>
    </row>
    <row r="31" spans="1:129" ht="15" customHeight="1">
      <c r="A31" s="82"/>
      <c r="B31" s="83"/>
      <c r="C31" s="84"/>
      <c r="D31" s="86"/>
      <c r="E31" s="86"/>
      <c r="F31" s="86"/>
      <c r="G31" s="91"/>
      <c r="H31" s="91"/>
      <c r="I31" s="91"/>
      <c r="J31" s="91"/>
      <c r="K31" s="91"/>
      <c r="L31" s="91"/>
      <c r="M31" s="91"/>
      <c r="N31" s="88" t="s">
        <v>136</v>
      </c>
      <c r="O31" s="159" t="s">
        <v>15</v>
      </c>
      <c r="P31" s="307">
        <f>VLOOKUP('Bolt &amp; Gasket Data'!D$2,'Bolt &amp; Gasket Data'!$A$4:$H$102,8)</f>
        <v>5.024067077577687</v>
      </c>
      <c r="Q31" s="308"/>
      <c r="R31" s="309"/>
      <c r="S31" s="86"/>
      <c r="T31" s="86"/>
      <c r="U31" s="91"/>
      <c r="V31" s="91"/>
      <c r="W31" s="91"/>
      <c r="X31" s="119"/>
      <c r="Y31" s="119"/>
      <c r="Z31" s="119"/>
      <c r="AA31" s="86"/>
      <c r="AB31" s="91"/>
      <c r="AC31" s="91"/>
      <c r="AD31" s="91"/>
      <c r="AE31" s="86"/>
      <c r="AF31" s="84"/>
      <c r="AG31" s="87"/>
      <c r="AH31" s="86"/>
      <c r="AI31" s="86"/>
      <c r="AJ31" s="86"/>
      <c r="AK31" s="86"/>
      <c r="AL31" s="86"/>
      <c r="AM31" s="86"/>
      <c r="AN31" s="86"/>
      <c r="AO31" s="86"/>
      <c r="AP31" s="86"/>
      <c r="AQ31" s="86"/>
      <c r="AR31" s="86"/>
      <c r="AS31" s="86"/>
      <c r="AT31" s="86"/>
      <c r="AU31" s="86"/>
      <c r="AV31" s="86"/>
      <c r="AW31" s="86"/>
      <c r="BA31" s="90"/>
      <c r="BB31" s="90"/>
      <c r="BC31" s="90"/>
      <c r="BE31" s="420"/>
      <c r="BF31" s="420"/>
      <c r="BG31" s="421"/>
      <c r="BH31" s="421"/>
      <c r="BI31" s="422"/>
      <c r="BJ31" s="422"/>
      <c r="BK31" s="422"/>
      <c r="BL31" s="422"/>
      <c r="BM31" s="422"/>
      <c r="BN31" s="422"/>
      <c r="BO31" s="411"/>
      <c r="BP31" s="411"/>
      <c r="BQ31" s="411"/>
      <c r="BR31" s="411"/>
      <c r="BS31" s="411"/>
      <c r="BT31" s="412"/>
      <c r="DE31" s="31">
        <v>32</v>
      </c>
      <c r="DF31" s="23">
        <v>812.8</v>
      </c>
      <c r="DG31" s="24"/>
      <c r="DH31" s="25"/>
      <c r="DI31" s="26">
        <v>7.92</v>
      </c>
      <c r="DJ31" s="26"/>
      <c r="DK31" s="32">
        <v>12.7</v>
      </c>
      <c r="DL31" s="26">
        <v>15.88</v>
      </c>
      <c r="DM31" s="26">
        <v>9.5299999999999994</v>
      </c>
      <c r="DN31" s="26">
        <v>17.48</v>
      </c>
      <c r="DO31" s="26"/>
      <c r="DP31" s="26"/>
      <c r="DQ31" s="32">
        <v>12.7</v>
      </c>
      <c r="DR31" s="26"/>
      <c r="DS31" s="26"/>
      <c r="DT31" s="26"/>
      <c r="DU31" s="26"/>
      <c r="DV31" s="26"/>
      <c r="DW31" s="26"/>
      <c r="DX31" s="28"/>
      <c r="DY31" s="229">
        <v>32</v>
      </c>
    </row>
    <row r="32" spans="1:129" ht="15" customHeight="1">
      <c r="A32" s="82"/>
      <c r="B32" s="83"/>
      <c r="C32" s="84"/>
      <c r="D32" s="86"/>
      <c r="E32" s="86"/>
      <c r="F32" s="86"/>
      <c r="G32" s="91"/>
      <c r="H32" s="91"/>
      <c r="I32" s="91"/>
      <c r="J32" s="91"/>
      <c r="K32" s="91"/>
      <c r="L32" s="91"/>
      <c r="M32" s="91"/>
      <c r="N32" s="88" t="s">
        <v>137</v>
      </c>
      <c r="O32" s="159" t="s">
        <v>15</v>
      </c>
      <c r="P32" s="338">
        <v>3</v>
      </c>
      <c r="Q32" s="339"/>
      <c r="R32" s="339"/>
      <c r="S32" s="165"/>
      <c r="T32" s="166"/>
      <c r="U32" s="166"/>
      <c r="V32" s="86"/>
      <c r="W32" s="159"/>
      <c r="AA32" s="86"/>
      <c r="AE32" s="86"/>
      <c r="AF32" s="84"/>
      <c r="AG32" s="87"/>
      <c r="AH32" s="86"/>
      <c r="AI32" s="86"/>
      <c r="AJ32" s="86"/>
      <c r="AK32" s="88"/>
      <c r="AL32" s="88"/>
      <c r="AM32" s="86"/>
      <c r="AN32" s="86"/>
      <c r="AO32" s="86"/>
      <c r="AP32" s="88"/>
      <c r="AQ32" s="159"/>
      <c r="AR32" s="159"/>
      <c r="AS32" s="159"/>
      <c r="AT32" s="159"/>
      <c r="AU32" s="159"/>
      <c r="AV32" s="159"/>
      <c r="AW32" s="86"/>
      <c r="BE32" s="420"/>
      <c r="BF32" s="420"/>
      <c r="BG32" s="421"/>
      <c r="BH32" s="421"/>
      <c r="BI32" s="422"/>
      <c r="BJ32" s="422"/>
      <c r="BK32" s="422"/>
      <c r="BL32" s="422"/>
      <c r="BM32" s="422"/>
      <c r="BN32" s="422"/>
      <c r="BO32" s="411"/>
      <c r="BP32" s="411"/>
      <c r="BQ32" s="411"/>
      <c r="BR32" s="411"/>
      <c r="BS32" s="411"/>
      <c r="BT32" s="412"/>
      <c r="CB32" s="90"/>
      <c r="CC32" s="90"/>
      <c r="CD32" s="90"/>
      <c r="DE32" s="31">
        <v>34</v>
      </c>
      <c r="DF32" s="23">
        <v>863.6</v>
      </c>
      <c r="DG32" s="24"/>
      <c r="DH32" s="25"/>
      <c r="DI32" s="26">
        <v>7.92</v>
      </c>
      <c r="DJ32" s="26"/>
      <c r="DK32" s="32">
        <v>12.7</v>
      </c>
      <c r="DL32" s="26">
        <v>15.88</v>
      </c>
      <c r="DM32" s="26">
        <v>9.5299999999999994</v>
      </c>
      <c r="DN32" s="26">
        <v>17.48</v>
      </c>
      <c r="DO32" s="26"/>
      <c r="DP32" s="26"/>
      <c r="DQ32" s="32">
        <v>12.7</v>
      </c>
      <c r="DR32" s="26"/>
      <c r="DS32" s="26"/>
      <c r="DT32" s="26"/>
      <c r="DU32" s="26"/>
      <c r="DV32" s="26"/>
      <c r="DW32" s="26"/>
      <c r="DX32" s="28"/>
      <c r="DY32" s="229">
        <v>34</v>
      </c>
    </row>
    <row r="33" spans="1:129" ht="15" customHeight="1">
      <c r="A33" s="82"/>
      <c r="B33" s="83"/>
      <c r="C33" s="84"/>
      <c r="D33" s="86"/>
      <c r="E33" s="86"/>
      <c r="F33" s="86"/>
      <c r="G33" s="91"/>
      <c r="H33" s="91"/>
      <c r="I33" s="91"/>
      <c r="J33" s="91"/>
      <c r="K33" s="91"/>
      <c r="L33" s="91"/>
      <c r="M33" s="91"/>
      <c r="N33" s="88" t="s">
        <v>154</v>
      </c>
      <c r="O33" s="159" t="s">
        <v>15</v>
      </c>
      <c r="P33" s="310">
        <v>34</v>
      </c>
      <c r="Q33" s="311"/>
      <c r="R33" s="312"/>
      <c r="S33" s="91" t="s">
        <v>132</v>
      </c>
      <c r="T33" s="86"/>
      <c r="U33" s="86"/>
      <c r="V33" s="86"/>
      <c r="W33" s="159"/>
      <c r="X33" s="159"/>
      <c r="Y33" s="86"/>
      <c r="Z33" s="86"/>
      <c r="AA33" s="86"/>
      <c r="AB33" s="86"/>
      <c r="AC33" s="86"/>
      <c r="AD33" s="86"/>
      <c r="AE33" s="86"/>
      <c r="AF33" s="84"/>
      <c r="AG33" s="87"/>
      <c r="AH33" s="86"/>
      <c r="AI33" s="86"/>
      <c r="AJ33" s="88"/>
      <c r="AK33" s="159"/>
      <c r="AL33" s="159"/>
      <c r="AM33" s="159"/>
      <c r="AN33" s="159"/>
      <c r="AO33" s="159"/>
      <c r="AP33" s="159"/>
      <c r="AQ33" s="86"/>
      <c r="AR33" s="86"/>
      <c r="AS33" s="86"/>
      <c r="AT33" s="86"/>
      <c r="AU33" s="86"/>
      <c r="AV33" s="86"/>
      <c r="AW33" s="86"/>
      <c r="BE33" s="420"/>
      <c r="BF33" s="420"/>
      <c r="BG33" s="421"/>
      <c r="BH33" s="421"/>
      <c r="BI33" s="422"/>
      <c r="BJ33" s="422"/>
      <c r="BK33" s="422"/>
      <c r="BL33" s="422"/>
      <c r="BM33" s="422"/>
      <c r="BN33" s="422"/>
      <c r="BO33" s="411"/>
      <c r="BP33" s="411"/>
      <c r="BQ33" s="411"/>
      <c r="BR33" s="411"/>
      <c r="BS33" s="411"/>
      <c r="BT33" s="412"/>
      <c r="CC33" s="122"/>
      <c r="CD33" s="90"/>
      <c r="CE33" s="90"/>
      <c r="DE33" s="31">
        <v>36</v>
      </c>
      <c r="DF33" s="23">
        <v>914.4</v>
      </c>
      <c r="DG33" s="24"/>
      <c r="DH33" s="25"/>
      <c r="DI33" s="26">
        <v>7.92</v>
      </c>
      <c r="DJ33" s="26"/>
      <c r="DK33" s="32">
        <v>12.7</v>
      </c>
      <c r="DL33" s="26">
        <v>15.88</v>
      </c>
      <c r="DM33" s="26">
        <v>9.5299999999999994</v>
      </c>
      <c r="DN33" s="26">
        <v>19.05</v>
      </c>
      <c r="DO33" s="26"/>
      <c r="DP33" s="26"/>
      <c r="DQ33" s="32">
        <v>12.7</v>
      </c>
      <c r="DR33" s="26"/>
      <c r="DS33" s="26"/>
      <c r="DT33" s="26"/>
      <c r="DU33" s="26"/>
      <c r="DV33" s="26"/>
      <c r="DW33" s="26"/>
      <c r="DX33" s="28"/>
      <c r="DY33" s="229">
        <v>36</v>
      </c>
    </row>
    <row r="34" spans="1:129" ht="15" customHeight="1">
      <c r="A34" s="82"/>
      <c r="B34" s="83"/>
      <c r="C34" s="84"/>
      <c r="D34" s="131"/>
      <c r="E34" s="130"/>
      <c r="F34" s="130"/>
      <c r="G34" s="130"/>
      <c r="H34" s="130"/>
      <c r="I34" s="130"/>
      <c r="J34" s="130"/>
      <c r="K34" s="130"/>
      <c r="L34" s="130"/>
      <c r="M34" s="130"/>
      <c r="N34" s="131" t="s">
        <v>157</v>
      </c>
      <c r="O34" s="159" t="s">
        <v>15</v>
      </c>
      <c r="P34" s="304">
        <f>(P29-(VLOOKUP(P9,'Low Stress Type Gasket'!$DE$7:$DF$48,2)-P11))/(VLOOKUP('Bolt &amp; Gasket Data'!D2,'Bolt &amp; Gasket Data'!$A$4:$H$102,6)-P29)/2</f>
        <v>0.28681318681318679</v>
      </c>
      <c r="Q34" s="305"/>
      <c r="R34" s="306"/>
      <c r="S34" s="121"/>
      <c r="T34" s="121"/>
      <c r="U34" s="121"/>
      <c r="V34" s="121"/>
      <c r="W34" s="121"/>
      <c r="X34" s="121"/>
      <c r="Y34" s="121"/>
      <c r="Z34" s="121"/>
      <c r="AA34" s="121"/>
      <c r="AB34" s="121"/>
      <c r="AC34" s="121"/>
      <c r="AD34" s="121"/>
      <c r="AE34" s="146" t="str">
        <f>"Note "&amp;D47</f>
        <v>Note ii)</v>
      </c>
      <c r="AF34" s="84"/>
      <c r="AG34" s="87"/>
      <c r="AH34" s="86"/>
      <c r="AI34" s="86"/>
      <c r="AJ34" s="86"/>
      <c r="AK34" s="86"/>
      <c r="AL34" s="86"/>
      <c r="AM34" s="86"/>
      <c r="AN34" s="86"/>
      <c r="AO34" s="86"/>
      <c r="AP34" s="86"/>
      <c r="AQ34" s="86"/>
      <c r="AR34" s="86"/>
      <c r="AS34" s="86"/>
      <c r="AT34" s="86"/>
      <c r="AU34" s="86"/>
      <c r="AV34" s="86"/>
      <c r="AW34" s="86"/>
      <c r="BE34" s="420"/>
      <c r="BF34" s="420"/>
      <c r="BG34" s="421"/>
      <c r="BH34" s="421"/>
      <c r="BI34" s="422"/>
      <c r="BJ34" s="422"/>
      <c r="BK34" s="422"/>
      <c r="BL34" s="422"/>
      <c r="BM34" s="422"/>
      <c r="BN34" s="422"/>
      <c r="BO34" s="411"/>
      <c r="BP34" s="411"/>
      <c r="BQ34" s="411"/>
      <c r="BR34" s="411"/>
      <c r="BS34" s="411"/>
      <c r="BT34" s="412"/>
      <c r="DE34" s="35">
        <v>38</v>
      </c>
      <c r="DF34" s="36">
        <v>965.2</v>
      </c>
      <c r="DG34" s="37"/>
      <c r="DH34" s="38"/>
      <c r="DI34" s="39"/>
      <c r="DJ34" s="39"/>
      <c r="DK34" s="39"/>
      <c r="DL34" s="39"/>
      <c r="DM34" s="26">
        <v>9.5299999999999994</v>
      </c>
      <c r="DN34" s="39"/>
      <c r="DO34" s="39"/>
      <c r="DP34" s="39"/>
      <c r="DQ34" s="32">
        <v>12.7</v>
      </c>
      <c r="DR34" s="39"/>
      <c r="DS34" s="39"/>
      <c r="DT34" s="39"/>
      <c r="DU34" s="39"/>
      <c r="DV34" s="39"/>
      <c r="DW34" s="39"/>
      <c r="DX34" s="40"/>
      <c r="DY34" s="229">
        <v>38</v>
      </c>
    </row>
    <row r="35" spans="1:129" ht="15" customHeight="1">
      <c r="A35" s="82"/>
      <c r="B35" s="83"/>
      <c r="C35" s="84"/>
      <c r="D35" s="85" t="s">
        <v>138</v>
      </c>
      <c r="E35" s="86"/>
      <c r="F35" s="86"/>
      <c r="G35" s="86"/>
      <c r="H35" s="86"/>
      <c r="I35" s="86"/>
      <c r="J35" s="86"/>
      <c r="K35" s="86"/>
      <c r="L35" s="86"/>
      <c r="M35" s="86"/>
      <c r="N35" s="86"/>
      <c r="O35" s="159"/>
      <c r="P35" s="166"/>
      <c r="Q35" s="166"/>
      <c r="R35" s="166"/>
      <c r="S35" s="86"/>
      <c r="T35" s="86"/>
      <c r="U35" s="86"/>
      <c r="V35" s="86"/>
      <c r="W35" s="86"/>
      <c r="X35" s="86"/>
      <c r="Y35" s="86"/>
      <c r="Z35" s="86"/>
      <c r="AA35" s="86"/>
      <c r="AB35" s="86"/>
      <c r="AC35" s="86"/>
      <c r="AD35" s="86"/>
      <c r="AE35" s="86"/>
      <c r="AF35" s="84"/>
      <c r="AG35" s="87"/>
      <c r="AH35" s="86"/>
      <c r="AI35" s="86"/>
      <c r="AJ35" s="86"/>
      <c r="AK35" s="86"/>
      <c r="AL35" s="86"/>
      <c r="AM35" s="86"/>
      <c r="AN35" s="86"/>
      <c r="AO35" s="86"/>
      <c r="AP35" s="86"/>
      <c r="AQ35" s="86"/>
      <c r="AR35" s="86"/>
      <c r="AS35" s="86"/>
      <c r="AT35" s="86"/>
      <c r="AU35" s="86"/>
      <c r="AV35" s="86"/>
      <c r="AW35" s="86"/>
      <c r="BA35" s="90"/>
      <c r="BB35" s="90"/>
      <c r="BC35" s="90"/>
      <c r="BE35" s="420"/>
      <c r="BF35" s="420"/>
      <c r="BG35" s="421"/>
      <c r="BH35" s="421"/>
      <c r="BI35" s="422"/>
      <c r="BJ35" s="422"/>
      <c r="BK35" s="422"/>
      <c r="BL35" s="422"/>
      <c r="BM35" s="422"/>
      <c r="BN35" s="422"/>
      <c r="BO35" s="411"/>
      <c r="BP35" s="411"/>
      <c r="BQ35" s="411"/>
      <c r="BR35" s="411"/>
      <c r="BS35" s="411"/>
      <c r="BT35" s="412"/>
      <c r="DE35" s="31">
        <v>40</v>
      </c>
      <c r="DF35" s="23">
        <v>1016</v>
      </c>
      <c r="DG35" s="24"/>
      <c r="DH35" s="38"/>
      <c r="DI35" s="39"/>
      <c r="DJ35" s="39"/>
      <c r="DK35" s="39"/>
      <c r="DL35" s="39"/>
      <c r="DM35" s="26">
        <v>9.5299999999999994</v>
      </c>
      <c r="DN35" s="39"/>
      <c r="DO35" s="39"/>
      <c r="DP35" s="39"/>
      <c r="DQ35" s="32">
        <v>12.7</v>
      </c>
      <c r="DR35" s="39"/>
      <c r="DS35" s="39"/>
      <c r="DT35" s="39"/>
      <c r="DU35" s="39"/>
      <c r="DV35" s="39"/>
      <c r="DW35" s="39"/>
      <c r="DX35" s="40"/>
      <c r="DY35" s="229">
        <v>40</v>
      </c>
    </row>
    <row r="36" spans="1:129" ht="15" customHeight="1">
      <c r="A36" s="82"/>
      <c r="B36" s="83"/>
      <c r="C36" s="84"/>
      <c r="D36" s="86"/>
      <c r="E36" s="86" t="s">
        <v>139</v>
      </c>
      <c r="F36" s="86"/>
      <c r="G36" s="86"/>
      <c r="H36" s="86"/>
      <c r="I36" s="86"/>
      <c r="J36" s="86"/>
      <c r="K36" s="86"/>
      <c r="L36" s="86"/>
      <c r="M36" s="86"/>
      <c r="N36" s="88"/>
      <c r="O36" s="159"/>
      <c r="P36" s="121"/>
      <c r="Q36" s="121"/>
      <c r="R36" s="121"/>
      <c r="S36" s="91"/>
      <c r="T36" s="91"/>
      <c r="U36" s="91"/>
      <c r="V36" s="91"/>
      <c r="W36" s="91"/>
      <c r="X36" s="86"/>
      <c r="Y36" s="86"/>
      <c r="Z36" s="88"/>
      <c r="AA36" s="88"/>
      <c r="AB36" s="86"/>
      <c r="AC36" s="86"/>
      <c r="AD36" s="86"/>
      <c r="AE36" s="86"/>
      <c r="AF36" s="84"/>
      <c r="AG36" s="87"/>
      <c r="AH36" s="86"/>
      <c r="AI36" s="86"/>
      <c r="AJ36" s="86"/>
      <c r="AK36" s="86"/>
      <c r="AL36" s="86"/>
      <c r="AM36" s="86"/>
      <c r="AN36" s="86"/>
      <c r="AO36" s="86"/>
      <c r="AP36" s="86"/>
      <c r="AQ36" s="86"/>
      <c r="AR36" s="86"/>
      <c r="AS36" s="86"/>
      <c r="AT36" s="86"/>
      <c r="AU36" s="86"/>
      <c r="AV36" s="86"/>
      <c r="AW36" s="86"/>
      <c r="BA36" s="90"/>
      <c r="BB36" s="90"/>
      <c r="BC36" s="90"/>
      <c r="BE36" s="420"/>
      <c r="BF36" s="420"/>
      <c r="BG36" s="421"/>
      <c r="BH36" s="421"/>
      <c r="BI36" s="422"/>
      <c r="BJ36" s="422"/>
      <c r="BK36" s="422"/>
      <c r="BL36" s="422"/>
      <c r="BM36" s="422"/>
      <c r="BN36" s="422"/>
      <c r="BO36" s="411"/>
      <c r="BP36" s="411"/>
      <c r="BQ36" s="411"/>
      <c r="BR36" s="411"/>
      <c r="BS36" s="411"/>
      <c r="BT36" s="412"/>
      <c r="DE36" s="31">
        <v>42</v>
      </c>
      <c r="DF36" s="23">
        <v>1066.8</v>
      </c>
      <c r="DG36" s="24"/>
      <c r="DH36" s="38"/>
      <c r="DI36" s="39"/>
      <c r="DJ36" s="39"/>
      <c r="DK36" s="39"/>
      <c r="DL36" s="39"/>
      <c r="DM36" s="26">
        <v>9.5299999999999994</v>
      </c>
      <c r="DN36" s="39"/>
      <c r="DO36" s="39"/>
      <c r="DP36" s="39"/>
      <c r="DQ36" s="32">
        <v>12.7</v>
      </c>
      <c r="DR36" s="39"/>
      <c r="DS36" s="39"/>
      <c r="DT36" s="39"/>
      <c r="DU36" s="39"/>
      <c r="DV36" s="39"/>
      <c r="DW36" s="39"/>
      <c r="DX36" s="40"/>
      <c r="DY36" s="229">
        <v>42</v>
      </c>
    </row>
    <row r="37" spans="1:129" ht="15" customHeight="1">
      <c r="A37" s="82"/>
      <c r="B37" s="83"/>
      <c r="C37" s="84"/>
      <c r="D37" s="86"/>
      <c r="E37" s="86" t="s">
        <v>143</v>
      </c>
      <c r="F37" s="86"/>
      <c r="G37" s="86"/>
      <c r="H37" s="86"/>
      <c r="I37" s="86"/>
      <c r="J37" s="86"/>
      <c r="K37" s="86"/>
      <c r="L37" s="86"/>
      <c r="M37" s="86"/>
      <c r="N37" s="88" t="s">
        <v>140</v>
      </c>
      <c r="O37" s="128" t="s">
        <v>149</v>
      </c>
      <c r="P37" s="166" t="s">
        <v>152</v>
      </c>
      <c r="Q37" s="166"/>
      <c r="R37" s="166"/>
      <c r="S37" s="86"/>
      <c r="T37" s="86"/>
      <c r="U37" s="86"/>
      <c r="V37" s="86"/>
      <c r="W37" s="86"/>
      <c r="X37" s="86"/>
      <c r="Y37" s="86"/>
      <c r="Z37" s="86"/>
      <c r="AA37" s="86"/>
      <c r="AB37" s="86"/>
      <c r="AC37" s="86"/>
      <c r="AD37" s="86"/>
      <c r="AE37" s="158" t="str">
        <f>"Note "&amp;D48</f>
        <v>Note iii)</v>
      </c>
      <c r="AF37" s="84"/>
      <c r="AG37" s="87"/>
      <c r="AH37" s="86"/>
      <c r="AI37" s="86"/>
      <c r="AJ37" s="86"/>
      <c r="AK37" s="86"/>
      <c r="AL37" s="86"/>
      <c r="AM37" s="86"/>
      <c r="AN37" s="86"/>
      <c r="AO37" s="159"/>
      <c r="AP37" s="159"/>
      <c r="AQ37" s="86"/>
      <c r="AR37" s="86"/>
      <c r="AS37" s="86"/>
      <c r="AT37" s="86"/>
      <c r="AU37" s="86"/>
      <c r="AV37" s="86"/>
      <c r="AW37" s="86"/>
      <c r="BE37" s="420"/>
      <c r="BF37" s="420"/>
      <c r="BG37" s="421"/>
      <c r="BH37" s="421"/>
      <c r="BI37" s="422"/>
      <c r="BJ37" s="422"/>
      <c r="BK37" s="422"/>
      <c r="BL37" s="422"/>
      <c r="BM37" s="422"/>
      <c r="BN37" s="422"/>
      <c r="BO37" s="411"/>
      <c r="BP37" s="411"/>
      <c r="BQ37" s="411"/>
      <c r="BR37" s="411"/>
      <c r="BS37" s="411"/>
      <c r="BT37" s="412"/>
      <c r="CC37" s="122"/>
      <c r="CD37" s="90"/>
      <c r="CE37" s="90"/>
      <c r="DE37" s="31">
        <v>44</v>
      </c>
      <c r="DF37" s="23">
        <v>1117.5999999999999</v>
      </c>
      <c r="DG37" s="24"/>
      <c r="DH37" s="38"/>
      <c r="DI37" s="39"/>
      <c r="DJ37" s="39"/>
      <c r="DK37" s="39"/>
      <c r="DL37" s="39"/>
      <c r="DM37" s="26">
        <v>9.5299999999999994</v>
      </c>
      <c r="DN37" s="39"/>
      <c r="DO37" s="39"/>
      <c r="DP37" s="39"/>
      <c r="DQ37" s="32">
        <v>12.7</v>
      </c>
      <c r="DR37" s="39"/>
      <c r="DS37" s="39"/>
      <c r="DT37" s="39"/>
      <c r="DU37" s="39"/>
      <c r="DV37" s="39"/>
      <c r="DW37" s="39"/>
      <c r="DX37" s="40"/>
      <c r="DY37" s="229">
        <v>44</v>
      </c>
    </row>
    <row r="38" spans="1:129" ht="15" customHeight="1">
      <c r="A38" s="82"/>
      <c r="B38" s="83"/>
      <c r="C38" s="84"/>
      <c r="D38" s="86"/>
      <c r="E38" s="86"/>
      <c r="F38" s="86"/>
      <c r="G38" s="86"/>
      <c r="H38" s="86"/>
      <c r="I38" s="86"/>
      <c r="J38" s="86"/>
      <c r="K38" s="86"/>
      <c r="L38" s="86"/>
      <c r="M38" s="86"/>
      <c r="N38" s="88" t="s">
        <v>140</v>
      </c>
      <c r="O38" s="128" t="s">
        <v>149</v>
      </c>
      <c r="P38" s="300">
        <f ca="1">P27*(P29*P24*P26/4-P19/10*PI()*POWER(P29,2)/2*(P29/8+P31*P32))/1000/(1+P34/PI())</f>
        <v>537.54649808254067</v>
      </c>
      <c r="Q38" s="301"/>
      <c r="R38" s="302"/>
      <c r="S38" s="86" t="s">
        <v>45</v>
      </c>
      <c r="T38" s="86"/>
      <c r="U38" s="86"/>
      <c r="V38" s="86"/>
      <c r="W38" s="86"/>
      <c r="X38" s="86"/>
      <c r="Y38" s="86"/>
      <c r="Z38" s="86"/>
      <c r="AA38" s="86"/>
      <c r="AB38" s="86"/>
      <c r="AC38" s="86"/>
      <c r="AD38" s="86"/>
      <c r="AE38" s="86"/>
      <c r="AF38" s="84"/>
      <c r="AG38" s="87"/>
      <c r="AH38" s="86"/>
      <c r="AI38" s="86"/>
      <c r="AJ38" s="86"/>
      <c r="AK38" s="86"/>
      <c r="AL38" s="86"/>
      <c r="AM38" s="91"/>
      <c r="AN38" s="91"/>
      <c r="AO38" s="91"/>
      <c r="AP38" s="91"/>
      <c r="AQ38" s="86"/>
      <c r="AR38" s="86"/>
      <c r="AS38" s="86"/>
      <c r="AT38" s="86"/>
      <c r="AU38" s="86"/>
      <c r="AV38" s="86"/>
      <c r="AW38" s="86"/>
      <c r="BE38" s="420"/>
      <c r="BF38" s="420"/>
      <c r="BG38" s="421"/>
      <c r="BH38" s="421"/>
      <c r="BI38" s="422"/>
      <c r="BJ38" s="422"/>
      <c r="BK38" s="422"/>
      <c r="BL38" s="422"/>
      <c r="BM38" s="422"/>
      <c r="BN38" s="422"/>
      <c r="BO38" s="411"/>
      <c r="BP38" s="411"/>
      <c r="BQ38" s="411"/>
      <c r="BR38" s="411"/>
      <c r="BS38" s="411"/>
      <c r="BT38" s="412"/>
      <c r="DE38" s="31">
        <v>46</v>
      </c>
      <c r="DF38" s="23">
        <v>1168.4000000000001</v>
      </c>
      <c r="DG38" s="24"/>
      <c r="DH38" s="38"/>
      <c r="DI38" s="39"/>
      <c r="DJ38" s="39"/>
      <c r="DK38" s="39"/>
      <c r="DL38" s="39"/>
      <c r="DM38" s="26">
        <v>9.5299999999999994</v>
      </c>
      <c r="DN38" s="39"/>
      <c r="DO38" s="39"/>
      <c r="DP38" s="39"/>
      <c r="DQ38" s="32">
        <v>12.7</v>
      </c>
      <c r="DR38" s="39"/>
      <c r="DS38" s="39"/>
      <c r="DT38" s="39"/>
      <c r="DU38" s="39"/>
      <c r="DV38" s="39"/>
      <c r="DW38" s="39"/>
      <c r="DX38" s="40"/>
      <c r="DY38" s="229">
        <v>46</v>
      </c>
    </row>
    <row r="39" spans="1:129" ht="15" customHeight="1">
      <c r="A39" s="82"/>
      <c r="B39" s="83"/>
      <c r="C39" s="84"/>
      <c r="D39" s="86"/>
      <c r="E39" s="86" t="s">
        <v>141</v>
      </c>
      <c r="F39" s="86"/>
      <c r="G39" s="86"/>
      <c r="H39" s="86"/>
      <c r="I39" s="86"/>
      <c r="J39" s="86"/>
      <c r="K39" s="86"/>
      <c r="L39" s="86"/>
      <c r="M39" s="86"/>
      <c r="N39" s="88"/>
      <c r="O39" s="159"/>
      <c r="P39" s="91"/>
      <c r="Q39" s="91"/>
      <c r="R39" s="91"/>
      <c r="S39" s="86"/>
      <c r="T39" s="86"/>
      <c r="U39" s="86"/>
      <c r="V39" s="86"/>
      <c r="W39" s="86"/>
      <c r="X39" s="86"/>
      <c r="Y39" s="86"/>
      <c r="Z39" s="86"/>
      <c r="AA39" s="86"/>
      <c r="AB39" s="86"/>
      <c r="AC39" s="86"/>
      <c r="AD39" s="86"/>
      <c r="AE39" s="86"/>
      <c r="AF39" s="84"/>
      <c r="AG39" s="87"/>
      <c r="AH39" s="86"/>
      <c r="AI39" s="86"/>
      <c r="AJ39" s="86"/>
      <c r="AK39" s="86"/>
      <c r="AL39" s="86"/>
      <c r="AM39" s="91"/>
      <c r="AN39" s="91"/>
      <c r="AO39" s="91"/>
      <c r="AP39" s="91"/>
      <c r="AQ39" s="86"/>
      <c r="AR39" s="86"/>
      <c r="AS39" s="86"/>
      <c r="AT39" s="86"/>
      <c r="AU39" s="86"/>
      <c r="AV39" s="86"/>
      <c r="AW39" s="86"/>
      <c r="BE39" s="420"/>
      <c r="BF39" s="420"/>
      <c r="BG39" s="421"/>
      <c r="BH39" s="421"/>
      <c r="BI39" s="422"/>
      <c r="BJ39" s="422"/>
      <c r="BK39" s="422"/>
      <c r="BL39" s="422"/>
      <c r="BM39" s="422"/>
      <c r="BN39" s="422"/>
      <c r="BO39" s="411"/>
      <c r="BP39" s="411"/>
      <c r="BQ39" s="411"/>
      <c r="BR39" s="411"/>
      <c r="BS39" s="411"/>
      <c r="BT39" s="412"/>
      <c r="DE39" s="31">
        <v>48</v>
      </c>
      <c r="DF39" s="23">
        <v>1219.2</v>
      </c>
      <c r="DG39" s="24"/>
      <c r="DH39" s="38"/>
      <c r="DI39" s="39"/>
      <c r="DJ39" s="39"/>
      <c r="DK39" s="39"/>
      <c r="DL39" s="39"/>
      <c r="DM39" s="26">
        <v>9.5299999999999994</v>
      </c>
      <c r="DN39" s="39"/>
      <c r="DO39" s="39"/>
      <c r="DP39" s="39"/>
      <c r="DQ39" s="32">
        <v>12.7</v>
      </c>
      <c r="DR39" s="39"/>
      <c r="DS39" s="39"/>
      <c r="DT39" s="39"/>
      <c r="DU39" s="39"/>
      <c r="DV39" s="39"/>
      <c r="DW39" s="39"/>
      <c r="DX39" s="40"/>
      <c r="DY39" s="229">
        <v>48</v>
      </c>
    </row>
    <row r="40" spans="1:129" ht="15" customHeight="1">
      <c r="A40" s="82"/>
      <c r="B40" s="83"/>
      <c r="C40" s="84"/>
      <c r="D40" s="86"/>
      <c r="E40" s="86" t="s">
        <v>144</v>
      </c>
      <c r="F40" s="86"/>
      <c r="G40" s="86"/>
      <c r="H40" s="86"/>
      <c r="I40" s="86"/>
      <c r="J40" s="86"/>
      <c r="K40" s="86"/>
      <c r="L40" s="86"/>
      <c r="M40" s="86"/>
      <c r="N40" s="88" t="s">
        <v>140</v>
      </c>
      <c r="O40" s="128" t="s">
        <v>149</v>
      </c>
      <c r="P40" s="167" t="s">
        <v>159</v>
      </c>
      <c r="Q40" s="168"/>
      <c r="R40" s="168"/>
      <c r="S40" s="121"/>
      <c r="T40" s="121"/>
      <c r="U40" s="91"/>
      <c r="V40" s="86"/>
      <c r="W40" s="86"/>
      <c r="X40" s="86"/>
      <c r="Y40" s="86"/>
      <c r="Z40" s="88"/>
      <c r="AA40" s="88"/>
      <c r="AB40" s="86"/>
      <c r="AC40" s="86"/>
      <c r="AD40" s="86"/>
      <c r="AE40" s="158" t="str">
        <f>"Notes "&amp;D49&amp;" &amp; "&amp;D50</f>
        <v>Notes iv) &amp; v)</v>
      </c>
      <c r="AF40" s="84"/>
      <c r="AG40" s="87"/>
      <c r="AH40" s="86"/>
      <c r="AI40" s="86"/>
      <c r="AJ40" s="86"/>
      <c r="AK40" s="86"/>
      <c r="AL40" s="86"/>
      <c r="AM40" s="86"/>
      <c r="AN40" s="86"/>
      <c r="AO40" s="86"/>
      <c r="AP40" s="86"/>
      <c r="AQ40" s="86"/>
      <c r="AR40" s="86"/>
      <c r="AS40" s="86"/>
      <c r="AT40" s="86"/>
      <c r="AU40" s="86"/>
      <c r="AV40" s="86"/>
      <c r="AW40" s="86"/>
      <c r="BE40" s="420"/>
      <c r="BF40" s="420"/>
      <c r="BG40" s="421"/>
      <c r="BH40" s="421"/>
      <c r="BI40" s="422"/>
      <c r="BJ40" s="422"/>
      <c r="BK40" s="422"/>
      <c r="BL40" s="422"/>
      <c r="BM40" s="422"/>
      <c r="BN40" s="422"/>
      <c r="BO40" s="411"/>
      <c r="BP40" s="411"/>
      <c r="BQ40" s="411"/>
      <c r="BR40" s="411"/>
      <c r="BS40" s="411"/>
      <c r="BT40" s="412"/>
      <c r="DE40" s="31">
        <v>52</v>
      </c>
      <c r="DF40" s="23">
        <v>1320.8</v>
      </c>
      <c r="DG40" s="24"/>
      <c r="DH40" s="38"/>
      <c r="DI40" s="39"/>
      <c r="DJ40" s="39"/>
      <c r="DK40" s="39"/>
      <c r="DL40" s="39"/>
      <c r="DM40" s="39"/>
      <c r="DN40" s="39"/>
      <c r="DO40" s="39"/>
      <c r="DP40" s="39"/>
      <c r="DQ40" s="39"/>
      <c r="DR40" s="39"/>
      <c r="DS40" s="39"/>
      <c r="DT40" s="39"/>
      <c r="DU40" s="39"/>
      <c r="DV40" s="39"/>
      <c r="DW40" s="39"/>
      <c r="DX40" s="40"/>
      <c r="DY40" s="229">
        <v>52</v>
      </c>
    </row>
    <row r="41" spans="1:129" ht="15" customHeight="1">
      <c r="A41" s="82"/>
      <c r="B41" s="83"/>
      <c r="C41" s="84"/>
      <c r="D41" s="86"/>
      <c r="E41" s="86"/>
      <c r="F41" s="86"/>
      <c r="G41" s="86"/>
      <c r="H41" s="86"/>
      <c r="I41" s="86"/>
      <c r="J41" s="86"/>
      <c r="K41" s="86"/>
      <c r="L41" s="86"/>
      <c r="M41" s="86"/>
      <c r="N41" s="88" t="s">
        <v>140</v>
      </c>
      <c r="O41" s="128" t="s">
        <v>149</v>
      </c>
      <c r="P41" s="300">
        <f ca="1">(0/10*PI()*POWER(P29,3)/16+PI()*POWER(P29,2)*P33*P30/2-P29*P24*P26/4)/1000</f>
        <v>458.86541436969748</v>
      </c>
      <c r="Q41" s="301"/>
      <c r="R41" s="302"/>
      <c r="S41" s="86" t="s">
        <v>45</v>
      </c>
      <c r="T41" s="86"/>
      <c r="U41" s="86"/>
      <c r="V41" s="86"/>
      <c r="W41" s="86"/>
      <c r="X41" s="86"/>
      <c r="Y41" s="86"/>
      <c r="Z41" s="86"/>
      <c r="AA41" s="86"/>
      <c r="AB41" s="86"/>
      <c r="AC41" s="86"/>
      <c r="AD41" s="86"/>
      <c r="AE41" s="86"/>
      <c r="AF41" s="84"/>
      <c r="AG41" s="87"/>
      <c r="AH41" s="86"/>
      <c r="AI41" s="86"/>
      <c r="AJ41" s="86"/>
      <c r="AK41" s="86"/>
      <c r="AL41" s="86"/>
      <c r="AM41" s="91"/>
      <c r="AN41" s="91"/>
      <c r="AO41" s="91"/>
      <c r="AP41" s="91"/>
      <c r="AQ41" s="86"/>
      <c r="AR41" s="86"/>
      <c r="AS41" s="86"/>
      <c r="AT41" s="86"/>
      <c r="AU41" s="86"/>
      <c r="AV41" s="86"/>
      <c r="AW41" s="86"/>
      <c r="BA41" s="90"/>
      <c r="BB41" s="90"/>
      <c r="BC41" s="90"/>
      <c r="BE41" s="420"/>
      <c r="BF41" s="420"/>
      <c r="BG41" s="421"/>
      <c r="BH41" s="421"/>
      <c r="BI41" s="422"/>
      <c r="BJ41" s="422"/>
      <c r="BK41" s="422"/>
      <c r="BL41" s="422"/>
      <c r="BM41" s="422"/>
      <c r="BN41" s="422"/>
      <c r="BO41" s="411"/>
      <c r="BP41" s="411"/>
      <c r="BQ41" s="411"/>
      <c r="BR41" s="411"/>
      <c r="BS41" s="411"/>
      <c r="BT41" s="412"/>
      <c r="DE41" s="31">
        <v>56</v>
      </c>
      <c r="DF41" s="23">
        <v>1422.4</v>
      </c>
      <c r="DG41" s="24"/>
      <c r="DH41" s="38"/>
      <c r="DI41" s="39"/>
      <c r="DJ41" s="39"/>
      <c r="DK41" s="39"/>
      <c r="DL41" s="39"/>
      <c r="DM41" s="39"/>
      <c r="DN41" s="39"/>
      <c r="DO41" s="39"/>
      <c r="DP41" s="39"/>
      <c r="DQ41" s="39"/>
      <c r="DR41" s="39"/>
      <c r="DS41" s="39"/>
      <c r="DT41" s="39"/>
      <c r="DU41" s="39"/>
      <c r="DV41" s="39"/>
      <c r="DW41" s="39"/>
      <c r="DX41" s="40"/>
      <c r="DY41" s="229">
        <v>56</v>
      </c>
    </row>
    <row r="42" spans="1:129" ht="15" customHeight="1">
      <c r="A42" s="82"/>
      <c r="B42" s="83"/>
      <c r="C42" s="84"/>
      <c r="D42" s="86"/>
      <c r="E42" s="86"/>
      <c r="F42" s="86"/>
      <c r="G42" s="86"/>
      <c r="H42" s="86"/>
      <c r="I42" s="86"/>
      <c r="J42" s="86"/>
      <c r="K42" s="86"/>
      <c r="L42" s="86"/>
      <c r="M42" s="86"/>
      <c r="N42" s="91"/>
      <c r="O42" s="91"/>
      <c r="P42" s="124"/>
      <c r="Q42" s="124"/>
      <c r="R42" s="124"/>
      <c r="S42" s="86"/>
      <c r="T42" s="86"/>
      <c r="U42" s="86"/>
      <c r="V42" s="86"/>
      <c r="W42" s="86"/>
      <c r="X42" s="86"/>
      <c r="Y42" s="86"/>
      <c r="Z42" s="86"/>
      <c r="AA42" s="86"/>
      <c r="AB42" s="86"/>
      <c r="AC42" s="86"/>
      <c r="AD42" s="86"/>
      <c r="AE42" s="86"/>
      <c r="AF42" s="84"/>
      <c r="AG42" s="87"/>
      <c r="AH42" s="86"/>
      <c r="AI42" s="86"/>
      <c r="AJ42" s="86"/>
      <c r="AK42" s="86"/>
      <c r="AL42" s="86"/>
      <c r="AM42" s="86"/>
      <c r="AN42" s="86"/>
      <c r="AO42" s="86"/>
      <c r="AP42" s="86"/>
      <c r="AQ42" s="86"/>
      <c r="AR42" s="86"/>
      <c r="AS42" s="86"/>
      <c r="AT42" s="86"/>
      <c r="AU42" s="86"/>
      <c r="AV42" s="86"/>
      <c r="AW42" s="86"/>
      <c r="BE42" s="420"/>
      <c r="BF42" s="420"/>
      <c r="BG42" s="421"/>
      <c r="BH42" s="421"/>
      <c r="BI42" s="422"/>
      <c r="BJ42" s="422"/>
      <c r="BK42" s="422"/>
      <c r="BL42" s="422"/>
      <c r="BM42" s="422"/>
      <c r="BN42" s="422"/>
      <c r="BO42" s="411"/>
      <c r="BP42" s="411"/>
      <c r="BQ42" s="411"/>
      <c r="BR42" s="411"/>
      <c r="BS42" s="411"/>
      <c r="BT42" s="412"/>
      <c r="CC42" s="122"/>
      <c r="CD42" s="90"/>
      <c r="CE42" s="90"/>
      <c r="DE42" s="31">
        <v>60</v>
      </c>
      <c r="DF42" s="23">
        <v>1524</v>
      </c>
      <c r="DG42" s="24"/>
      <c r="DH42" s="38"/>
      <c r="DI42" s="39"/>
      <c r="DJ42" s="39"/>
      <c r="DK42" s="39"/>
      <c r="DL42" s="39"/>
      <c r="DM42" s="39"/>
      <c r="DN42" s="39"/>
      <c r="DO42" s="39"/>
      <c r="DP42" s="39"/>
      <c r="DQ42" s="39"/>
      <c r="DR42" s="39"/>
      <c r="DS42" s="39"/>
      <c r="DT42" s="39"/>
      <c r="DU42" s="39"/>
      <c r="DV42" s="39"/>
      <c r="DW42" s="39"/>
      <c r="DX42" s="40"/>
      <c r="DY42" s="229">
        <v>60</v>
      </c>
    </row>
    <row r="43" spans="1:129" ht="15" customHeight="1">
      <c r="A43" s="82"/>
      <c r="B43" s="83"/>
      <c r="C43" s="84"/>
      <c r="D43" s="86"/>
      <c r="E43" s="86" t="s">
        <v>148</v>
      </c>
      <c r="F43" s="86"/>
      <c r="G43" s="86"/>
      <c r="H43" s="86"/>
      <c r="I43" s="86"/>
      <c r="J43" s="86"/>
      <c r="K43" s="86"/>
      <c r="L43" s="86"/>
      <c r="M43" s="86"/>
      <c r="N43" s="88"/>
      <c r="O43" s="159"/>
      <c r="P43" s="169"/>
      <c r="Q43" s="170"/>
      <c r="R43" s="170"/>
      <c r="S43" s="86"/>
      <c r="T43" s="86"/>
      <c r="U43" s="86"/>
      <c r="V43" s="86"/>
      <c r="W43" s="86"/>
      <c r="X43" s="86"/>
      <c r="Y43" s="86"/>
      <c r="Z43" s="86"/>
      <c r="AA43" s="86"/>
      <c r="AB43" s="86"/>
      <c r="AC43" s="86"/>
      <c r="AD43" s="86"/>
      <c r="AE43" s="86"/>
      <c r="AF43" s="84"/>
      <c r="AG43" s="87"/>
      <c r="AH43" s="86"/>
      <c r="AI43" s="86"/>
      <c r="AJ43" s="86"/>
      <c r="AK43" s="86"/>
      <c r="AL43" s="86"/>
      <c r="AM43" s="86"/>
      <c r="AN43" s="86"/>
      <c r="AO43" s="86"/>
      <c r="AP43" s="86"/>
      <c r="AQ43" s="86"/>
      <c r="AR43" s="86"/>
      <c r="AS43" s="86"/>
      <c r="AT43" s="86"/>
      <c r="AU43" s="86"/>
      <c r="AV43" s="86"/>
      <c r="AW43" s="86"/>
      <c r="BE43" s="420"/>
      <c r="BF43" s="420"/>
      <c r="BG43" s="421"/>
      <c r="BH43" s="421"/>
      <c r="BI43" s="422"/>
      <c r="BJ43" s="422"/>
      <c r="BK43" s="422"/>
      <c r="BL43" s="422"/>
      <c r="BM43" s="422"/>
      <c r="BN43" s="422"/>
      <c r="BO43" s="411"/>
      <c r="BP43" s="411"/>
      <c r="BQ43" s="411"/>
      <c r="BR43" s="411"/>
      <c r="BS43" s="411"/>
      <c r="BT43" s="412"/>
      <c r="DE43" s="31">
        <v>64</v>
      </c>
      <c r="DF43" s="23">
        <v>1625.6</v>
      </c>
      <c r="DG43" s="24"/>
      <c r="DH43" s="38"/>
      <c r="DI43" s="39"/>
      <c r="DJ43" s="39"/>
      <c r="DK43" s="39"/>
      <c r="DL43" s="39"/>
      <c r="DM43" s="39"/>
      <c r="DN43" s="39"/>
      <c r="DO43" s="39"/>
      <c r="DP43" s="39"/>
      <c r="DQ43" s="39"/>
      <c r="DR43" s="39"/>
      <c r="DS43" s="39"/>
      <c r="DT43" s="39"/>
      <c r="DU43" s="39"/>
      <c r="DV43" s="39"/>
      <c r="DW43" s="39"/>
      <c r="DX43" s="40"/>
      <c r="DY43" s="229">
        <v>64</v>
      </c>
    </row>
    <row r="44" spans="1:129" s="140" customFormat="1" ht="15">
      <c r="A44" s="82"/>
      <c r="B44" s="83"/>
      <c r="C44" s="84"/>
      <c r="D44" s="86"/>
      <c r="E44" s="86"/>
      <c r="F44" s="86"/>
      <c r="G44" s="86"/>
      <c r="H44" s="86"/>
      <c r="I44" s="86"/>
      <c r="J44" s="86"/>
      <c r="K44" s="86"/>
      <c r="L44" s="86"/>
      <c r="M44" s="86"/>
      <c r="N44" s="88" t="s">
        <v>140</v>
      </c>
      <c r="O44" s="128" t="s">
        <v>149</v>
      </c>
      <c r="P44" s="300">
        <f ca="1">MAX(0,MIN(P38,P41))</f>
        <v>458.86541436969748</v>
      </c>
      <c r="Q44" s="301"/>
      <c r="R44" s="302"/>
      <c r="S44" s="86" t="s">
        <v>45</v>
      </c>
      <c r="T44" s="86"/>
      <c r="U44" s="86"/>
      <c r="V44" s="86"/>
      <c r="W44" s="86"/>
      <c r="X44" s="86"/>
      <c r="Y44" s="86"/>
      <c r="Z44" s="86"/>
      <c r="AA44" s="86"/>
      <c r="AB44" s="86"/>
      <c r="AC44" s="86"/>
      <c r="AD44" s="86"/>
      <c r="AE44" s="86"/>
      <c r="AF44" s="84"/>
      <c r="AG44" s="87"/>
      <c r="AH44" s="171"/>
      <c r="AI44" s="171"/>
      <c r="AJ44" s="171"/>
      <c r="AK44" s="171"/>
      <c r="AL44" s="171"/>
      <c r="AM44" s="171"/>
      <c r="AN44" s="171"/>
      <c r="AO44" s="171"/>
      <c r="AP44" s="171"/>
      <c r="AQ44" s="171"/>
      <c r="AR44" s="171"/>
      <c r="AS44" s="171"/>
      <c r="AT44" s="171"/>
      <c r="AU44" s="171"/>
      <c r="AV44" s="129"/>
      <c r="AW44" s="129"/>
      <c r="BE44" s="423"/>
      <c r="BF44" s="423"/>
      <c r="BG44" s="424"/>
      <c r="BH44" s="424"/>
      <c r="BI44" s="425"/>
      <c r="BJ44" s="425"/>
      <c r="BK44" s="425"/>
      <c r="BL44" s="425"/>
      <c r="BM44" s="425"/>
      <c r="BN44" s="425"/>
      <c r="BO44" s="413"/>
      <c r="BP44" s="413"/>
      <c r="BQ44" s="413"/>
      <c r="BR44" s="413"/>
      <c r="BS44" s="413"/>
      <c r="BT44" s="414"/>
      <c r="CB44" s="303" t="str">
        <f ca="1">IF($BM$7=0,"",TRIM(INDIRECT("'Case "&amp;COLUMN()-79&amp;"'!R4C3",FALSE)))</f>
        <v/>
      </c>
      <c r="CC44" s="303"/>
      <c r="CD44" s="303"/>
      <c r="CE44" s="303" t="str">
        <f ca="1">IF($BM$7=0,"",TRIM(INDIRECT("'Case "&amp;COLUMN()-81&amp;"'!R4C3",FALSE)))</f>
        <v/>
      </c>
      <c r="CF44" s="303"/>
      <c r="CG44" s="303"/>
      <c r="CH44" s="236" t="str">
        <f ca="1">IF($BM$7=0,"",TRIM(INDIRECT("'Case "&amp;COLUMN()-83&amp;"'!R4C3",FALSE)))</f>
        <v/>
      </c>
      <c r="CI44" s="236"/>
      <c r="CJ44" s="236"/>
      <c r="CK44" s="303" t="str">
        <f ca="1">IF($BM$7=0,"",TRIM(INDIRECT("'Case "&amp;COLUMN()-85&amp;"'!R4C3",FALSE)))</f>
        <v/>
      </c>
      <c r="CL44" s="303"/>
      <c r="CM44" s="303"/>
      <c r="CN44" s="303" t="str">
        <f ca="1">IF($BM$7=0,"",TRIM(INDIRECT("'Case "&amp;COLUMN()-87&amp;"'!R4C3",FALSE)))</f>
        <v/>
      </c>
      <c r="CO44" s="303"/>
      <c r="CP44" s="303"/>
      <c r="CQ44" s="303" t="str">
        <f ca="1">IF($BM$7=0,"",TRIM(INDIRECT("'Case "&amp;COLUMN()-89&amp;"'!R4C3",FALSE)))</f>
        <v/>
      </c>
      <c r="CR44" s="303"/>
      <c r="CS44" s="303"/>
      <c r="CT44" s="303" t="str">
        <f ca="1">IF($BM$7=0,"",TRIM(INDIRECT("'Case "&amp;COLUMN()-91&amp;"'!R4C3",FALSE)))</f>
        <v/>
      </c>
      <c r="CU44" s="303"/>
      <c r="CV44" s="303"/>
      <c r="CW44" s="303" t="str">
        <f ca="1">IF($BM$7=0,"",TRIM(INDIRECT("'Case "&amp;COLUMN()-93&amp;"'!R4C3",FALSE)))</f>
        <v/>
      </c>
      <c r="CX44" s="303"/>
      <c r="CY44" s="303"/>
      <c r="CZ44" s="303" t="str">
        <f ca="1">IF($BM$7=0,"",TRIM(INDIRECT("'Case "&amp;COLUMN()-95&amp;"'!R4C3",FALSE)))</f>
        <v/>
      </c>
      <c r="DA44" s="303"/>
      <c r="DB44" s="303"/>
      <c r="DE44" s="31">
        <v>66</v>
      </c>
      <c r="DF44" s="23">
        <v>1676.4</v>
      </c>
      <c r="DG44" s="24"/>
      <c r="DH44" s="38"/>
      <c r="DI44" s="39"/>
      <c r="DJ44" s="39"/>
      <c r="DK44" s="39"/>
      <c r="DL44" s="39"/>
      <c r="DM44" s="39"/>
      <c r="DN44" s="39"/>
      <c r="DO44" s="39"/>
      <c r="DP44" s="39"/>
      <c r="DQ44" s="39"/>
      <c r="DR44" s="39"/>
      <c r="DS44" s="39"/>
      <c r="DT44" s="39"/>
      <c r="DU44" s="39"/>
      <c r="DV44" s="39"/>
      <c r="DW44" s="39"/>
      <c r="DX44" s="40"/>
      <c r="DY44" s="229">
        <v>66</v>
      </c>
    </row>
    <row r="45" spans="1:129" s="140" customFormat="1" ht="13.8">
      <c r="A45" s="82"/>
      <c r="B45" s="83"/>
      <c r="C45" s="84"/>
      <c r="D45" s="85" t="s">
        <v>153</v>
      </c>
      <c r="E45" s="86"/>
      <c r="F45" s="130"/>
      <c r="G45" s="130"/>
      <c r="H45" s="130"/>
      <c r="I45" s="130"/>
      <c r="J45" s="130"/>
      <c r="K45" s="130"/>
      <c r="L45" s="130"/>
      <c r="M45" s="130"/>
      <c r="N45" s="130"/>
      <c r="O45" s="130"/>
      <c r="P45" s="131"/>
      <c r="Q45" s="130"/>
      <c r="R45" s="131"/>
      <c r="S45" s="121"/>
      <c r="T45" s="121"/>
      <c r="U45" s="121"/>
      <c r="V45" s="121"/>
      <c r="W45" s="121"/>
      <c r="X45" s="121"/>
      <c r="Y45" s="121"/>
      <c r="Z45" s="121"/>
      <c r="AA45" s="121"/>
      <c r="AB45" s="121"/>
      <c r="AC45" s="121"/>
      <c r="AD45" s="121"/>
      <c r="AE45" s="121"/>
      <c r="AF45" s="84"/>
      <c r="AG45" s="87"/>
      <c r="AH45" s="86"/>
      <c r="AI45" s="171"/>
      <c r="AJ45" s="171"/>
      <c r="AK45" s="171"/>
      <c r="AL45" s="171"/>
      <c r="AM45" s="171"/>
      <c r="AN45" s="171"/>
      <c r="AO45" s="171"/>
      <c r="AP45" s="171"/>
      <c r="AQ45" s="171"/>
      <c r="AR45" s="171"/>
      <c r="AS45" s="171"/>
      <c r="AT45" s="171"/>
      <c r="AU45" s="171"/>
      <c r="AV45" s="129"/>
      <c r="AW45" s="129"/>
      <c r="BE45" s="423"/>
      <c r="BF45" s="423"/>
      <c r="BG45" s="424"/>
      <c r="BH45" s="424"/>
      <c r="BI45" s="425"/>
      <c r="BJ45" s="425"/>
      <c r="BK45" s="425"/>
      <c r="BL45" s="425"/>
      <c r="BM45" s="425"/>
      <c r="BN45" s="425"/>
      <c r="BO45" s="413"/>
      <c r="BP45" s="413"/>
      <c r="BQ45" s="413"/>
      <c r="BR45" s="413"/>
      <c r="BS45" s="413"/>
      <c r="BT45" s="414"/>
      <c r="CB45" s="303" t="str">
        <f ca="1">IF($BM$7=0,"",INDIRECT("'Case "&amp;COLUMN()-79&amp;"'!R4C4",FALSE))</f>
        <v/>
      </c>
      <c r="CC45" s="303"/>
      <c r="CD45" s="303"/>
      <c r="CE45" s="303" t="str">
        <f ca="1">IF($BM$7=0,"",INDIRECT("'Case "&amp;COLUMN()-81&amp;"'!R4C4",FALSE))</f>
        <v/>
      </c>
      <c r="CF45" s="303"/>
      <c r="CG45" s="303"/>
      <c r="CH45" s="236" t="str">
        <f ca="1">IF($BM$7=0,"",INDIRECT("'Case "&amp;COLUMN()-83&amp;"'!R4C4",FALSE))</f>
        <v/>
      </c>
      <c r="CI45" s="236"/>
      <c r="CJ45" s="236"/>
      <c r="CK45" s="303" t="str">
        <f ca="1">IF($BM$7=0,"",INDIRECT("'Case "&amp;COLUMN()-85&amp;"'!R4C4",FALSE))</f>
        <v/>
      </c>
      <c r="CL45" s="303"/>
      <c r="CM45" s="303"/>
      <c r="CN45" s="303" t="str">
        <f ca="1">IF($BM$7=0,"",INDIRECT("'Case "&amp;COLUMN()-87&amp;"'!R4C4",FALSE))</f>
        <v/>
      </c>
      <c r="CO45" s="303"/>
      <c r="CP45" s="303"/>
      <c r="CQ45" s="303" t="str">
        <f ca="1">IF($BM$7=0,"",INDIRECT("'Case "&amp;COLUMN()-89&amp;"'!R4C4",FALSE))</f>
        <v/>
      </c>
      <c r="CR45" s="303"/>
      <c r="CS45" s="303"/>
      <c r="CT45" s="303" t="str">
        <f ca="1">IF($BM$7=0,"",INDIRECT("'Case "&amp;COLUMN()-91&amp;"'!R4C4",FALSE))</f>
        <v/>
      </c>
      <c r="CU45" s="303"/>
      <c r="CV45" s="303"/>
      <c r="CW45" s="303" t="str">
        <f ca="1">IF($BM$7=0,"",INDIRECT("'Case "&amp;COLUMN()-93&amp;"'!R4C4",FALSE))</f>
        <v/>
      </c>
      <c r="CX45" s="303"/>
      <c r="CY45" s="303"/>
      <c r="CZ45" s="303" t="str">
        <f ca="1">IF($BM$7=0,"",INDIRECT("'Case "&amp;COLUMN()-95&amp;"'!R4C4",FALSE))</f>
        <v/>
      </c>
      <c r="DA45" s="303"/>
      <c r="DB45" s="303"/>
      <c r="DE45" s="31">
        <v>68</v>
      </c>
      <c r="DF45" s="23">
        <v>1727.2</v>
      </c>
      <c r="DG45" s="24"/>
      <c r="DH45" s="38"/>
      <c r="DI45" s="39"/>
      <c r="DJ45" s="39"/>
      <c r="DK45" s="39"/>
      <c r="DL45" s="39"/>
      <c r="DM45" s="39"/>
      <c r="DN45" s="39"/>
      <c r="DO45" s="39"/>
      <c r="DP45" s="39"/>
      <c r="DQ45" s="39"/>
      <c r="DR45" s="39"/>
      <c r="DS45" s="39"/>
      <c r="DT45" s="39"/>
      <c r="DU45" s="39"/>
      <c r="DV45" s="39"/>
      <c r="DW45" s="39"/>
      <c r="DX45" s="40"/>
      <c r="DY45" s="229">
        <v>68</v>
      </c>
    </row>
    <row r="46" spans="1:129" ht="13.8">
      <c r="A46" s="134"/>
      <c r="B46" s="135"/>
      <c r="C46" s="136"/>
      <c r="D46" s="163" t="s">
        <v>16</v>
      </c>
      <c r="E46" s="230" t="s">
        <v>180</v>
      </c>
      <c r="F46" s="137"/>
      <c r="G46" s="137"/>
      <c r="H46" s="137"/>
      <c r="I46" s="137"/>
      <c r="J46" s="137"/>
      <c r="K46" s="137"/>
      <c r="L46" s="137"/>
      <c r="M46" s="137"/>
      <c r="N46" s="137"/>
      <c r="O46" s="137"/>
      <c r="P46" s="138"/>
      <c r="Q46" s="137"/>
      <c r="R46" s="138"/>
      <c r="S46" s="171"/>
      <c r="T46" s="171"/>
      <c r="U46" s="171"/>
      <c r="V46" s="171"/>
      <c r="W46" s="171"/>
      <c r="X46" s="171"/>
      <c r="Y46" s="171"/>
      <c r="Z46" s="171"/>
      <c r="AA46" s="171"/>
      <c r="AB46" s="171"/>
      <c r="AC46" s="171"/>
      <c r="AD46" s="171"/>
      <c r="AE46" s="171"/>
      <c r="AF46" s="136"/>
      <c r="AG46" s="139"/>
      <c r="AH46" s="171"/>
      <c r="AI46" s="86"/>
      <c r="AJ46" s="86"/>
      <c r="AK46" s="86"/>
      <c r="AL46" s="86"/>
      <c r="AM46" s="86"/>
      <c r="AN46" s="86"/>
      <c r="AO46" s="86"/>
      <c r="AP46" s="86"/>
      <c r="AQ46" s="86"/>
      <c r="AR46" s="86"/>
      <c r="AS46" s="86"/>
      <c r="AT46" s="86"/>
      <c r="AU46" s="86"/>
      <c r="AV46" s="86"/>
      <c r="AW46" s="86"/>
      <c r="BE46" s="420"/>
      <c r="BF46" s="420"/>
      <c r="BG46" s="421"/>
      <c r="BH46" s="421"/>
      <c r="BI46" s="422"/>
      <c r="BJ46" s="422"/>
      <c r="BK46" s="422"/>
      <c r="BL46" s="422"/>
      <c r="BM46" s="422"/>
      <c r="BN46" s="422"/>
      <c r="BO46" s="411"/>
      <c r="BP46" s="411"/>
      <c r="BQ46" s="411"/>
      <c r="BR46" s="411"/>
      <c r="BS46" s="411"/>
      <c r="BT46" s="412"/>
      <c r="CB46" s="298" t="str">
        <f ca="1">IF($BM$7=0,"",INDIRECT("'Case "&amp;COLUMN()-79&amp;"'!R"&amp;5+$BM$7&amp;"C"&amp;(COLUMN()+19+IF(UPPER(INDIRECT("BO"&amp;10+$BM$7))="X",-22,IF(UPPER(INDIRECT("BO"&amp;10+$BM$7))="Y",-11,0)))/11,FALSE))</f>
        <v/>
      </c>
      <c r="CC46" s="298"/>
      <c r="CD46" s="298"/>
      <c r="CE46" s="298" t="str">
        <f ca="1">IF($BM$7=0,"",INDIRECT("'Case "&amp;COLUMN()-81&amp;"'!R"&amp;5+$BM$7&amp;"C"&amp;(COLUMN()+16+IF(UPPER(INDIRECT("BO"&amp;10+$BM$7))="X",-22,IF(UPPER(INDIRECT("BO"&amp;10+$BM$7))="Y",-11,0)))/11,FALSE))</f>
        <v/>
      </c>
      <c r="CF46" s="298"/>
      <c r="CG46" s="298"/>
      <c r="CH46" s="237" t="str">
        <f ca="1">IF($BM$7=0,"",INDIRECT("'Case "&amp;COLUMN()-83&amp;"'!R"&amp;5+$BM$7&amp;"C"&amp;(COLUMN()+13+IF(UPPER(INDIRECT("BO"&amp;10+$BM$7))="X",-22,IF(UPPER(INDIRECT("BO"&amp;10+$BM$7))="Y",-11,0)))/11,FALSE))</f>
        <v/>
      </c>
      <c r="CI46" s="237"/>
      <c r="CJ46" s="237"/>
      <c r="CK46" s="298" t="str">
        <f ca="1">IF($BM$7=0,"",INDIRECT("'Case "&amp;COLUMN()-85&amp;"'!R"&amp;5+$BM$7&amp;"C"&amp;(COLUMN()+10+IF(UPPER(INDIRECT("BO"&amp;10+$BM$7))="X",-22,IF(UPPER(INDIRECT("BO"&amp;10+$BM$7))="Y",-11,0)))/11,FALSE))</f>
        <v/>
      </c>
      <c r="CL46" s="298"/>
      <c r="CM46" s="298"/>
      <c r="CN46" s="298" t="str">
        <f ca="1">IF($BM$7=0,"",INDIRECT("'Case "&amp;COLUMN()-87&amp;"'!R"&amp;5+$BM$7&amp;"C"&amp;(COLUMN()+7+IF(UPPER(INDIRECT("BO"&amp;10+$BM$7))="X",-22,IF(UPPER(INDIRECT("BO"&amp;10+$BM$7))="Y",-11,0)))/11,FALSE))</f>
        <v/>
      </c>
      <c r="CO46" s="298"/>
      <c r="CP46" s="298"/>
      <c r="CQ46" s="298" t="str">
        <f ca="1">IF($BM$7=0,"",INDIRECT("'Case "&amp;COLUMN()-89&amp;"'!R"&amp;5+$BM$7&amp;"C"&amp;(COLUMN()+4+IF(UPPER(INDIRECT("BO"&amp;10+$BM$7))="X",-22,IF(UPPER(INDIRECT("BO"&amp;10+$BM$7))="Y",-11,0)))/11,FALSE))</f>
        <v/>
      </c>
      <c r="CR46" s="298"/>
      <c r="CS46" s="298"/>
      <c r="CT46" s="298" t="str">
        <f ca="1">IF($BM$7=0,"",INDIRECT("'Case "&amp;COLUMN()-91&amp;"'!R"&amp;5+$BM$7&amp;"C"&amp;(COLUMN()+1+IF(UPPER(INDIRECT("BO"&amp;10+$BM$7))="X",-22,IF(UPPER(INDIRECT("BO"&amp;10+$BM$7))="Y",-11,0)))/11,FALSE))</f>
        <v/>
      </c>
      <c r="CU46" s="298"/>
      <c r="CV46" s="298"/>
      <c r="CW46" s="298" t="str">
        <f ca="1">IF($BM$7=0,"",INDIRECT("'Case "&amp;COLUMN()-93&amp;"'!R"&amp;5+$BM$7&amp;"C"&amp;(COLUMN()-2+IF(UPPER(INDIRECT("BO"&amp;10+$BM$7))="X",-22,IF(UPPER(INDIRECT("BO"&amp;10+$BM$7))="Y",-11,0)))/11,FALSE))</f>
        <v/>
      </c>
      <c r="CX46" s="298"/>
      <c r="CY46" s="298"/>
      <c r="CZ46" s="298" t="str">
        <f ca="1">IF($BM$7=0,"",INDIRECT("'Case "&amp;COLUMN()-95&amp;"'!R"&amp;5+$BM$7&amp;"C"&amp;(COLUMN()-5+IF(UPPER(INDIRECT("BO"&amp;10+$BM$7))="X",-22,IF(UPPER(INDIRECT("BO"&amp;10+$BM$7))="Y",-11,0)))/11,FALSE))</f>
        <v/>
      </c>
      <c r="DA46" s="298"/>
      <c r="DB46" s="298"/>
      <c r="DE46" s="31">
        <v>72</v>
      </c>
      <c r="DF46" s="23">
        <v>1828.8</v>
      </c>
      <c r="DG46" s="24"/>
      <c r="DH46" s="38"/>
      <c r="DI46" s="39"/>
      <c r="DJ46" s="39"/>
      <c r="DK46" s="39"/>
      <c r="DL46" s="39"/>
      <c r="DM46" s="39"/>
      <c r="DN46" s="39"/>
      <c r="DO46" s="39"/>
      <c r="DP46" s="39"/>
      <c r="DQ46" s="39"/>
      <c r="DR46" s="39"/>
      <c r="DS46" s="39"/>
      <c r="DT46" s="39"/>
      <c r="DU46" s="39"/>
      <c r="DV46" s="39"/>
      <c r="DW46" s="39"/>
      <c r="DX46" s="40"/>
      <c r="DY46" s="229">
        <v>72</v>
      </c>
    </row>
    <row r="47" spans="1:129" s="140" customFormat="1" ht="10.199999999999999" customHeight="1">
      <c r="A47" s="134"/>
      <c r="B47" s="135"/>
      <c r="C47" s="136"/>
      <c r="D47" s="163" t="s">
        <v>17</v>
      </c>
      <c r="E47" s="230" t="s">
        <v>173</v>
      </c>
      <c r="F47" s="137"/>
      <c r="G47" s="137"/>
      <c r="H47" s="137"/>
      <c r="I47" s="137"/>
      <c r="J47" s="137"/>
      <c r="K47" s="137"/>
      <c r="L47" s="137"/>
      <c r="M47" s="137"/>
      <c r="N47" s="137"/>
      <c r="O47" s="137"/>
      <c r="P47" s="138"/>
      <c r="Q47" s="137"/>
      <c r="R47" s="137"/>
      <c r="S47" s="171"/>
      <c r="T47" s="171"/>
      <c r="U47" s="171"/>
      <c r="V47" s="171"/>
      <c r="W47" s="171"/>
      <c r="X47" s="171"/>
      <c r="Y47" s="171"/>
      <c r="Z47" s="171"/>
      <c r="AA47" s="171"/>
      <c r="AB47" s="171"/>
      <c r="AC47" s="171"/>
      <c r="AD47" s="171"/>
      <c r="AE47" s="171"/>
      <c r="AF47" s="136"/>
      <c r="AG47" s="139"/>
      <c r="AH47" s="171"/>
      <c r="AI47" s="171"/>
      <c r="AJ47" s="171"/>
      <c r="AK47" s="171"/>
      <c r="AL47" s="171"/>
      <c r="AM47" s="171"/>
      <c r="AN47" s="171"/>
      <c r="AO47" s="171"/>
      <c r="AP47" s="171"/>
      <c r="AQ47" s="171"/>
      <c r="AR47" s="171"/>
      <c r="AS47" s="171"/>
      <c r="AT47" s="171"/>
      <c r="AU47" s="171"/>
      <c r="AV47" s="129"/>
      <c r="AW47" s="129"/>
      <c r="BE47" s="423"/>
      <c r="BF47" s="423"/>
      <c r="BG47" s="424"/>
      <c r="BH47" s="424"/>
      <c r="BI47" s="425"/>
      <c r="BJ47" s="425"/>
      <c r="BK47" s="425"/>
      <c r="BL47" s="425"/>
      <c r="BM47" s="425"/>
      <c r="BN47" s="425"/>
      <c r="BO47" s="413"/>
      <c r="BP47" s="413"/>
      <c r="BQ47" s="413"/>
      <c r="BR47" s="413"/>
      <c r="BS47" s="413"/>
      <c r="BT47" s="414"/>
      <c r="DE47" s="31">
        <v>76</v>
      </c>
      <c r="DF47" s="23">
        <v>1930.4</v>
      </c>
      <c r="DG47" s="24"/>
      <c r="DH47" s="38"/>
      <c r="DI47" s="39"/>
      <c r="DJ47" s="39"/>
      <c r="DK47" s="39"/>
      <c r="DL47" s="39"/>
      <c r="DM47" s="39"/>
      <c r="DN47" s="39"/>
      <c r="DO47" s="39"/>
      <c r="DP47" s="39"/>
      <c r="DQ47" s="39"/>
      <c r="DR47" s="39"/>
      <c r="DS47" s="39"/>
      <c r="DT47" s="39"/>
      <c r="DU47" s="39"/>
      <c r="DV47" s="39"/>
      <c r="DW47" s="39"/>
      <c r="DX47" s="40"/>
      <c r="DY47" s="229">
        <v>76</v>
      </c>
    </row>
    <row r="48" spans="1:129" s="140" customFormat="1" ht="10.199999999999999" customHeight="1" thickBot="1">
      <c r="A48" s="134"/>
      <c r="B48" s="135"/>
      <c r="C48" s="136"/>
      <c r="D48" s="163" t="s">
        <v>158</v>
      </c>
      <c r="E48" s="231" t="s">
        <v>175</v>
      </c>
      <c r="F48" s="137"/>
      <c r="G48" s="137"/>
      <c r="H48" s="137"/>
      <c r="I48" s="137"/>
      <c r="J48" s="137"/>
      <c r="K48" s="137"/>
      <c r="L48" s="137"/>
      <c r="M48" s="137"/>
      <c r="N48" s="137"/>
      <c r="O48" s="137"/>
      <c r="P48" s="138"/>
      <c r="Q48" s="137"/>
      <c r="R48" s="137"/>
      <c r="S48" s="171"/>
      <c r="T48" s="171"/>
      <c r="U48" s="171"/>
      <c r="V48" s="171"/>
      <c r="W48" s="171"/>
      <c r="X48" s="171"/>
      <c r="Y48" s="171"/>
      <c r="Z48" s="171"/>
      <c r="AA48" s="171"/>
      <c r="AB48" s="171"/>
      <c r="AC48" s="171"/>
      <c r="AD48" s="171"/>
      <c r="AE48" s="171"/>
      <c r="AF48" s="136"/>
      <c r="AG48" s="139"/>
      <c r="AH48" s="171"/>
      <c r="AI48" s="171"/>
      <c r="AJ48" s="171"/>
      <c r="AK48" s="171"/>
      <c r="AL48" s="171"/>
      <c r="AM48" s="171"/>
      <c r="AN48" s="171"/>
      <c r="AO48" s="171"/>
      <c r="AP48" s="171"/>
      <c r="AQ48" s="171"/>
      <c r="AR48" s="171"/>
      <c r="AS48" s="171"/>
      <c r="AT48" s="171"/>
      <c r="AU48" s="171"/>
      <c r="AV48" s="129"/>
      <c r="AW48" s="129"/>
      <c r="BE48" s="423"/>
      <c r="BF48" s="423"/>
      <c r="BG48" s="424"/>
      <c r="BH48" s="424"/>
      <c r="BI48" s="425"/>
      <c r="BJ48" s="425"/>
      <c r="BK48" s="425"/>
      <c r="BL48" s="425"/>
      <c r="BM48" s="425"/>
      <c r="BN48" s="425"/>
      <c r="BO48" s="413"/>
      <c r="BP48" s="413"/>
      <c r="BQ48" s="413"/>
      <c r="BR48" s="413"/>
      <c r="BS48" s="413"/>
      <c r="BT48" s="414"/>
      <c r="CB48" s="303" t="str">
        <f ca="1">IF($BM$7=0,"",INDIRECT("'Case "&amp;COLUMN()-79&amp;"'!R"&amp;5+$BM$7&amp;"C"&amp;(COLUMN()-3+IF(UPPER(INDIRECT("BI"&amp;10+$BM$7))="Y",11,IF(UPPER(INDIRECT("BI"&amp;10+$BM$7))="Z",22,0)))/11,FALSE))</f>
        <v/>
      </c>
      <c r="CC48" s="303"/>
      <c r="CD48" s="303"/>
      <c r="CE48" s="303" t="str">
        <f ca="1">IF($BM$7=0,"",INDIRECT("'Case "&amp;COLUMN()-81&amp;"'!R"&amp;5+$BM$7&amp;"C"&amp;(COLUMN()-6+IF(UPPER(INDIRECT("BI"&amp;10+$BM$7))="Y",11,IF(UPPER(INDIRECT("BI"&amp;10+$BM$7))="Z",22,0)))/11,FALSE))</f>
        <v/>
      </c>
      <c r="CF48" s="303"/>
      <c r="CG48" s="303"/>
      <c r="CH48" s="236" t="str">
        <f ca="1">IF($BM$7=0,"",INDIRECT("'Case "&amp;COLUMN()-83&amp;"'!R"&amp;5+$BM$7&amp;"C"&amp;(COLUMN()-9+IF(UPPER(INDIRECT("BI"&amp;10+$BM$7))="Y",11,IF(UPPER(INDIRECT("BI"&amp;10+$BM$7))="Z",22,0)))/11,FALSE))</f>
        <v/>
      </c>
      <c r="CI48" s="236"/>
      <c r="CJ48" s="236"/>
      <c r="CK48" s="303" t="str">
        <f ca="1">IF($BM$7=0,"",INDIRECT("'Case "&amp;COLUMN()-85&amp;"'!R"&amp;5+$BM$7&amp;"C"&amp;(COLUMN()-12+IF(UPPER(INDIRECT("BI"&amp;10+$BM$7))="Y",11,IF(UPPER(INDIRECT("BI"&amp;10+$BM$7))="Z",22,0)))/11,FALSE))</f>
        <v/>
      </c>
      <c r="CL48" s="303"/>
      <c r="CM48" s="303"/>
      <c r="CN48" s="303" t="str">
        <f ca="1">IF($BM$7=0,"",INDIRECT("'Case "&amp;COLUMN()-87&amp;"'!R"&amp;5+$BM$7&amp;"C"&amp;(COLUMN()-15+IF(UPPER(INDIRECT("BI"&amp;10+$BM$7))="Y",11,IF(UPPER(INDIRECT("BI"&amp;10+$BM$7))="Z",22,0)))/11,FALSE))</f>
        <v/>
      </c>
      <c r="CO48" s="303"/>
      <c r="CP48" s="303"/>
      <c r="CQ48" s="303" t="str">
        <f ca="1">IF($BM$7=0,"",INDIRECT("'Case "&amp;COLUMN()-89&amp;"'!R"&amp;5+$BM$7&amp;"C"&amp;(COLUMN()-18+IF(UPPER(INDIRECT("BI"&amp;10+$BM$7))="Y",11,IF(UPPER(INDIRECT("BI"&amp;10+$BM$7))="Z",22,0)))/11,FALSE))</f>
        <v/>
      </c>
      <c r="CR48" s="303"/>
      <c r="CS48" s="303"/>
      <c r="CT48" s="303" t="str">
        <f ca="1">IF($BM$7=0,"",INDIRECT("'Case "&amp;COLUMN()-91&amp;"'!R"&amp;5+$BM$7&amp;"C"&amp;(COLUMN()-21+IF(UPPER(INDIRECT("BI"&amp;10+$BM$7))="Y",11,IF(UPPER(INDIRECT("BI"&amp;10+$BM$7))="Z",22,0)))/11,FALSE))</f>
        <v/>
      </c>
      <c r="CU48" s="303"/>
      <c r="CV48" s="303"/>
      <c r="CW48" s="303" t="str">
        <f ca="1">IF($BM$7=0,"",INDIRECT("'Case "&amp;COLUMN()-93&amp;"'!R"&amp;5+$BM$7&amp;"C"&amp;(COLUMN()-24+IF(UPPER(INDIRECT("BI"&amp;10+$BM$7))="Y",11,IF(UPPER(INDIRECT("BI"&amp;10+$BM$7))="Z",22,0)))/11,FALSE))</f>
        <v/>
      </c>
      <c r="CX48" s="303"/>
      <c r="CY48" s="303"/>
      <c r="CZ48" s="303" t="str">
        <f ca="1">IF($BM$7=0,"",INDIRECT("'Case "&amp;COLUMN()-95&amp;"'!R"&amp;5+$BM$7&amp;"C"&amp;(COLUMN()-27+IF(UPPER(INDIRECT("BI"&amp;10+$BM$7))="Y",11,IF(UPPER(INDIRECT("BI"&amp;10+$BM$7))="Z",22,0)))/11,FALSE))</f>
        <v/>
      </c>
      <c r="DA48" s="303"/>
      <c r="DB48" s="303"/>
      <c r="DE48" s="41">
        <v>80</v>
      </c>
      <c r="DF48" s="42">
        <v>2032</v>
      </c>
      <c r="DG48" s="43"/>
      <c r="DH48" s="44"/>
      <c r="DI48" s="45"/>
      <c r="DJ48" s="45"/>
      <c r="DK48" s="45"/>
      <c r="DL48" s="45"/>
      <c r="DM48" s="45"/>
      <c r="DN48" s="45"/>
      <c r="DO48" s="45"/>
      <c r="DP48" s="45"/>
      <c r="DQ48" s="45"/>
      <c r="DR48" s="45"/>
      <c r="DS48" s="45"/>
      <c r="DT48" s="45"/>
      <c r="DU48" s="45"/>
      <c r="DV48" s="45"/>
      <c r="DW48" s="45"/>
      <c r="DX48" s="46"/>
      <c r="DY48" s="229">
        <v>80</v>
      </c>
    </row>
    <row r="49" spans="1:129" s="140" customFormat="1" ht="10.199999999999999" customHeight="1">
      <c r="A49" s="143"/>
      <c r="B49" s="144"/>
      <c r="C49" s="145"/>
      <c r="D49" s="163" t="s">
        <v>165</v>
      </c>
      <c r="E49" s="231" t="s">
        <v>176</v>
      </c>
      <c r="F49" s="147"/>
      <c r="G49" s="147"/>
      <c r="H49" s="147"/>
      <c r="I49" s="147"/>
      <c r="J49" s="147"/>
      <c r="K49" s="147"/>
      <c r="L49" s="147"/>
      <c r="M49" s="147"/>
      <c r="N49" s="147"/>
      <c r="O49" s="147"/>
      <c r="P49" s="146"/>
      <c r="Q49" s="147"/>
      <c r="R49" s="146"/>
      <c r="S49" s="151"/>
      <c r="T49" s="151"/>
      <c r="U49" s="151"/>
      <c r="V49" s="151"/>
      <c r="W49" s="151"/>
      <c r="X49" s="151"/>
      <c r="Y49" s="151"/>
      <c r="Z49" s="151"/>
      <c r="AA49" s="151"/>
      <c r="AB49" s="151"/>
      <c r="AC49" s="151"/>
      <c r="AD49" s="151"/>
      <c r="AE49" s="151"/>
      <c r="AF49" s="145"/>
      <c r="AG49" s="148"/>
      <c r="AH49" s="151"/>
      <c r="AI49" s="171"/>
      <c r="AJ49" s="171"/>
      <c r="AK49" s="171"/>
      <c r="AL49" s="171"/>
      <c r="AM49" s="171"/>
      <c r="AN49" s="171"/>
      <c r="AO49" s="171"/>
      <c r="AP49" s="171"/>
      <c r="AQ49" s="171"/>
      <c r="AR49" s="171"/>
      <c r="AS49" s="171"/>
      <c r="AT49" s="171"/>
      <c r="AU49" s="171"/>
      <c r="AV49" s="129"/>
      <c r="AW49" s="129"/>
      <c r="BE49" s="423"/>
      <c r="BF49" s="423"/>
      <c r="BG49" s="424"/>
      <c r="BH49" s="424"/>
      <c r="BI49" s="425"/>
      <c r="BJ49" s="425"/>
      <c r="BK49" s="425"/>
      <c r="BL49" s="425"/>
      <c r="BM49" s="425"/>
      <c r="BN49" s="425"/>
      <c r="BO49" s="413"/>
      <c r="BP49" s="413"/>
      <c r="BQ49" s="413"/>
      <c r="BR49" s="413"/>
      <c r="BS49" s="413"/>
      <c r="BT49" s="414"/>
      <c r="CB49" s="303" t="str">
        <f ca="1">IF($BM$7=0,"",INDIRECT("'Case "&amp;COLUMN()-79&amp;"'!R"&amp;5+$BM$7&amp;"C"&amp;(COLUMN()-3+IF(UPPER(INDIRECT("BI"&amp;10+$BM$7))="Y",11,IF(UPPER(INDIRECT("BI"&amp;10+$BM$7))="Z",22,0)))/11,FALSE))</f>
        <v/>
      </c>
      <c r="CC49" s="303"/>
      <c r="CD49" s="303"/>
      <c r="CE49" s="303" t="str">
        <f ca="1">IF($BM$7=0,"",INDIRECT("'Case "&amp;COLUMN()-81&amp;"'!R"&amp;5+$BM$7&amp;"C"&amp;(COLUMN()-6+IF(UPPER(INDIRECT("BI"&amp;10+$BM$7))="Y",11,IF(UPPER(INDIRECT("BI"&amp;10+$BM$7))="Z",22,0)))/11,FALSE))</f>
        <v/>
      </c>
      <c r="CF49" s="303"/>
      <c r="CG49" s="303"/>
      <c r="CH49" s="236" t="str">
        <f ca="1">IF($BM$7=0,"",INDIRECT("'Case "&amp;COLUMN()-83&amp;"'!R"&amp;5+$BM$7&amp;"C"&amp;(COLUMN()-9+IF(UPPER(INDIRECT("BI"&amp;10+$BM$7))="Y",11,IF(UPPER(INDIRECT("BI"&amp;10+$BM$7))="Z",22,0)))/11,FALSE))</f>
        <v/>
      </c>
      <c r="CI49" s="236"/>
      <c r="CJ49" s="236"/>
      <c r="CK49" s="303" t="str">
        <f ca="1">IF($BM$7=0,"",INDIRECT("'Case "&amp;COLUMN()-85&amp;"'!R"&amp;5+$BM$7&amp;"C"&amp;(COLUMN()-12+IF(UPPER(INDIRECT("BI"&amp;10+$BM$7))="Y",11,IF(UPPER(INDIRECT("BI"&amp;10+$BM$7))="Z",22,0)))/11,FALSE))</f>
        <v/>
      </c>
      <c r="CL49" s="303"/>
      <c r="CM49" s="303"/>
      <c r="CN49" s="303" t="str">
        <f ca="1">IF($BM$7=0,"",INDIRECT("'Case "&amp;COLUMN()-87&amp;"'!R"&amp;5+$BM$7&amp;"C"&amp;(COLUMN()-15+IF(UPPER(INDIRECT("BI"&amp;10+$BM$7))="Y",11,IF(UPPER(INDIRECT("BI"&amp;10+$BM$7))="Z",22,0)))/11,FALSE))</f>
        <v/>
      </c>
      <c r="CO49" s="303"/>
      <c r="CP49" s="303"/>
      <c r="CQ49" s="303" t="str">
        <f ca="1">IF($BM$7=0,"",INDIRECT("'Case "&amp;COLUMN()-89&amp;"'!R"&amp;5+$BM$7&amp;"C"&amp;(COLUMN()-18+IF(UPPER(INDIRECT("BI"&amp;10+$BM$7))="Y",11,IF(UPPER(INDIRECT("BI"&amp;10+$BM$7))="Z",22,0)))/11,FALSE))</f>
        <v/>
      </c>
      <c r="CR49" s="303"/>
      <c r="CS49" s="303"/>
      <c r="CT49" s="303" t="str">
        <f ca="1">IF($BM$7=0,"",INDIRECT("'Case "&amp;COLUMN()-91&amp;"'!R"&amp;5+$BM$7&amp;"C"&amp;(COLUMN()-21+IF(UPPER(INDIRECT("BI"&amp;10+$BM$7))="Y",11,IF(UPPER(INDIRECT("BI"&amp;10+$BM$7))="Z",22,0)))/11,FALSE))</f>
        <v/>
      </c>
      <c r="CU49" s="303"/>
      <c r="CV49" s="303"/>
      <c r="CW49" s="303" t="str">
        <f ca="1">IF($BM$7=0,"",INDIRECT("'Case "&amp;COLUMN()-93&amp;"'!R"&amp;5+$BM$7&amp;"C"&amp;(COLUMN()-24+IF(UPPER(INDIRECT("BI"&amp;10+$BM$7))="Y",11,IF(UPPER(INDIRECT("BI"&amp;10+$BM$7))="Z",22,0)))/11,FALSE))</f>
        <v/>
      </c>
      <c r="CX49" s="303"/>
      <c r="CY49" s="303"/>
      <c r="CZ49" s="303" t="str">
        <f ca="1">IF($BM$7=0,"",INDIRECT("'Case "&amp;COLUMN()-95&amp;"'!R"&amp;5+$BM$7&amp;"C"&amp;(COLUMN()-27+IF(UPPER(INDIRECT("BI"&amp;10+$BM$7))="Y",11,IF(UPPER(INDIRECT("BI"&amp;10+$BM$7))="Z",22,0)))/11,FALSE))</f>
        <v/>
      </c>
      <c r="DA49" s="303"/>
      <c r="DB49" s="303"/>
      <c r="DE49" s="69"/>
      <c r="DF49" s="69"/>
      <c r="DG49" s="69"/>
      <c r="DH49" s="69"/>
      <c r="DI49" s="69"/>
      <c r="DJ49" s="69"/>
      <c r="DK49" s="69"/>
      <c r="DL49" s="69"/>
      <c r="DM49" s="69"/>
      <c r="DN49" s="69"/>
      <c r="DO49" s="69"/>
      <c r="DP49" s="69"/>
      <c r="DQ49" s="69"/>
      <c r="DR49" s="69"/>
      <c r="DS49" s="69"/>
      <c r="DT49" s="69"/>
      <c r="DU49" s="69"/>
      <c r="DV49" s="69"/>
      <c r="DW49" s="69"/>
      <c r="DX49" s="69"/>
      <c r="DY49" s="69"/>
    </row>
    <row r="50" spans="1:129" s="150" customFormat="1" ht="10.199999999999999" customHeight="1" thickBot="1">
      <c r="A50" s="152"/>
      <c r="B50" s="153"/>
      <c r="C50" s="154"/>
      <c r="D50" s="200" t="s">
        <v>174</v>
      </c>
      <c r="E50" s="232" t="s">
        <v>160</v>
      </c>
      <c r="F50" s="155"/>
      <c r="G50" s="155"/>
      <c r="H50" s="155"/>
      <c r="I50" s="155"/>
      <c r="J50" s="155"/>
      <c r="K50" s="155"/>
      <c r="L50" s="155"/>
      <c r="M50" s="155"/>
      <c r="N50" s="155"/>
      <c r="O50" s="155"/>
      <c r="P50" s="155"/>
      <c r="Q50" s="155"/>
      <c r="R50" s="155"/>
      <c r="S50" s="156"/>
      <c r="T50" s="155"/>
      <c r="U50" s="155"/>
      <c r="V50" s="155"/>
      <c r="W50" s="155"/>
      <c r="X50" s="155"/>
      <c r="Y50" s="155"/>
      <c r="Z50" s="155"/>
      <c r="AA50" s="155"/>
      <c r="AB50" s="155"/>
      <c r="AC50" s="155"/>
      <c r="AD50" s="155"/>
      <c r="AE50" s="155"/>
      <c r="AF50" s="154"/>
      <c r="AG50" s="157"/>
      <c r="AI50" s="151"/>
      <c r="AJ50" s="151"/>
      <c r="AK50" s="151"/>
      <c r="AL50" s="151"/>
      <c r="AM50" s="151"/>
      <c r="AN50" s="151"/>
      <c r="AO50" s="151"/>
      <c r="AP50" s="151"/>
      <c r="AQ50" s="151"/>
      <c r="AR50" s="151"/>
      <c r="AS50" s="151"/>
      <c r="AT50" s="151"/>
      <c r="AU50" s="151"/>
      <c r="AV50" s="149"/>
      <c r="AW50" s="149"/>
      <c r="BE50" s="423"/>
      <c r="BF50" s="423"/>
      <c r="BG50" s="424"/>
      <c r="BH50" s="424"/>
      <c r="BI50" s="425"/>
      <c r="BJ50" s="425"/>
      <c r="BK50" s="425"/>
      <c r="BL50" s="425"/>
      <c r="BM50" s="425"/>
      <c r="BN50" s="425"/>
      <c r="BO50" s="413"/>
      <c r="BP50" s="413"/>
      <c r="BQ50" s="413"/>
      <c r="BR50" s="413"/>
      <c r="BS50" s="413"/>
      <c r="BT50" s="414"/>
      <c r="CB50" s="378" t="str">
        <f ca="1">IF($BM$7=0,"",INDIRECT("'Case "&amp;COLUMN()-79&amp;"'!R"&amp;5+$BM$7&amp;"C"&amp;(COLUMN()+8+IF(UPPER(INDIRECT("BL"&amp;10+$BM$7))="X",-11,IF(UPPER(INDIRECT("BL"&amp;10+$BM$7))="Z",11,0)))/11,FALSE))</f>
        <v/>
      </c>
      <c r="CC50" s="378"/>
      <c r="CD50" s="378"/>
      <c r="CE50" s="378" t="str">
        <f ca="1">IF($BM$7=0,"",INDIRECT("'Case "&amp;COLUMN()-81&amp;"'!R"&amp;5+$BM$7&amp;"C"&amp;(COLUMN()+5+IF(UPPER(INDIRECT("BL"&amp;10+$BM$7))="X",-11,IF(UPPER(INDIRECT("BL"&amp;10+$BM$7))="Z",11,0)))/11,FALSE))</f>
        <v/>
      </c>
      <c r="CF50" s="378"/>
      <c r="CG50" s="378"/>
      <c r="CH50" s="239" t="str">
        <f ca="1">IF($BM$7=0,"",INDIRECT("'Case "&amp;COLUMN()-83&amp;"'!R"&amp;5+$BM$7&amp;"C"&amp;(COLUMN()+2+IF(UPPER(INDIRECT("BL"&amp;10+$BM$7))="X",-11,IF(UPPER(INDIRECT("BL"&amp;10+$BM$7))="Z",11,0)))/11,FALSE))</f>
        <v/>
      </c>
      <c r="CI50" s="239"/>
      <c r="CJ50" s="239"/>
      <c r="CK50" s="378" t="str">
        <f ca="1">IF($BM$7=0,"",INDIRECT("'Case "&amp;COLUMN()-85&amp;"'!R"&amp;5+$BM$7&amp;"C"&amp;(COLUMN()-1+IF(UPPER(INDIRECT("BL"&amp;10+$BM$7))="X",-11,IF(UPPER(INDIRECT("BL"&amp;10+$BM$7))="Z",11,0)))/11,FALSE))</f>
        <v/>
      </c>
      <c r="CL50" s="378"/>
      <c r="CM50" s="378"/>
      <c r="CN50" s="378" t="str">
        <f ca="1">IF($BM$7=0,"",INDIRECT("'Case "&amp;COLUMN()-87&amp;"'!R"&amp;5+$BM$7&amp;"C"&amp;(COLUMN()-4+IF(UPPER(INDIRECT("BL"&amp;10+$BM$7))="X",-11,IF(UPPER(INDIRECT("BL"&amp;10+$BM$7))="Z",11,0)))/11,FALSE))</f>
        <v/>
      </c>
      <c r="CO50" s="378"/>
      <c r="CP50" s="378"/>
      <c r="CQ50" s="378" t="str">
        <f ca="1">IF($BM$7=0,"",INDIRECT("'Case "&amp;COLUMN()-89&amp;"'!R"&amp;5+$BM$7&amp;"C"&amp;(COLUMN()-7+IF(UPPER(INDIRECT("BL"&amp;10+$BM$7))="X",-11,IF(UPPER(INDIRECT("BL"&amp;10+$BM$7))="Z",11,0)))/11,FALSE))</f>
        <v/>
      </c>
      <c r="CR50" s="378"/>
      <c r="CS50" s="378"/>
      <c r="CT50" s="378" t="str">
        <f ca="1">IF($BM$7=0,"",INDIRECT("'Case "&amp;COLUMN()-91&amp;"'!R"&amp;5+$BM$7&amp;"C"&amp;(COLUMN()-10+IF(UPPER(INDIRECT("BL"&amp;10+$BM$7))="X",-11,IF(UPPER(INDIRECT("BL"&amp;10+$BM$7))="Z",11,0)))/11,FALSE))</f>
        <v/>
      </c>
      <c r="CU50" s="378"/>
      <c r="CV50" s="378"/>
      <c r="CW50" s="378" t="str">
        <f ca="1">IF($BM$7=0,"",INDIRECT("'Case "&amp;COLUMN()-93&amp;"'!R"&amp;5+$BM$7&amp;"C"&amp;(COLUMN()-13+IF(UPPER(INDIRECT("BL"&amp;10+$BM$7))="X",-11,IF(UPPER(INDIRECT("BL"&amp;10+$BM$7))="Z",11,0)))/11,FALSE))</f>
        <v/>
      </c>
      <c r="CX50" s="378"/>
      <c r="CY50" s="378"/>
      <c r="CZ50" s="378" t="str">
        <f ca="1">IF($BM$7=0,"",INDIRECT("'Case "&amp;COLUMN()-95&amp;"'!R"&amp;5+$BM$7&amp;"C"&amp;(COLUMN()-16+IF(UPPER(INDIRECT("BL"&amp;10+$BM$7))="X",-11,IF(UPPER(INDIRECT("BL"&amp;10+$BM$7))="Z",11,0)))/11,FALSE))</f>
        <v/>
      </c>
      <c r="DA50" s="378"/>
      <c r="DB50" s="378"/>
      <c r="DE50" s="69"/>
      <c r="DF50" s="69"/>
      <c r="DG50" s="69"/>
      <c r="DH50" s="69"/>
      <c r="DI50" s="69"/>
      <c r="DJ50" s="69"/>
      <c r="DK50" s="69"/>
      <c r="DL50" s="69"/>
      <c r="DM50" s="69"/>
      <c r="DN50" s="69"/>
      <c r="DO50" s="69"/>
      <c r="DP50" s="69"/>
      <c r="DQ50" s="69"/>
      <c r="DR50" s="69"/>
      <c r="DS50" s="69"/>
      <c r="DT50" s="69"/>
      <c r="DU50" s="69"/>
      <c r="DV50" s="69"/>
      <c r="DW50" s="69"/>
      <c r="DX50" s="69"/>
      <c r="DY50" s="69"/>
    </row>
    <row r="51" spans="1:129" ht="15" customHeight="1">
      <c r="AW51" s="86"/>
      <c r="BE51" s="426"/>
      <c r="BF51" s="426"/>
      <c r="BG51" s="427"/>
      <c r="BH51" s="427"/>
      <c r="BI51" s="428"/>
      <c r="BJ51" s="428"/>
      <c r="BK51" s="428"/>
      <c r="BL51" s="428"/>
      <c r="BM51" s="428"/>
      <c r="BN51" s="428"/>
      <c r="BO51" s="415"/>
      <c r="BP51" s="415"/>
      <c r="BQ51" s="415"/>
      <c r="BR51" s="415"/>
      <c r="BS51" s="415"/>
      <c r="BT51" s="416"/>
      <c r="CB51" s="298">
        <f ca="1">IF(OR($P33="",$P44=""),"",IF(OR(UPPER(S46)="L15",UPPER(S46)="L23",UPPER(S46)="L24"),$S32,$P32)/10*$P13/(2*$P44)*IF(UPPER(S47="(HYD)"),1.5,IF(UPPER(S47="(FAT)"),0,1)))</f>
        <v>3.595825591402346E-4</v>
      </c>
      <c r="CC51" s="298"/>
      <c r="CD51" s="298"/>
      <c r="CE51" s="298">
        <f ca="1">IF(OR($P33="",$P44=""),"",IF(OR(UPPER(V46)="L15",UPPER(V46)="L23",UPPER(V46)="L24"),$S32,$P32)/10*$P13/(2*$P44)*IF(UPPER(V47="(HYD)"),1.5,IF(UPPER(V47="(FAT)"),0,1)))</f>
        <v>3.595825591402346E-4</v>
      </c>
      <c r="CF51" s="298"/>
      <c r="CG51" s="298"/>
      <c r="CH51" s="237">
        <f ca="1">IF(OR($P33="",$P44=""),"",IF(OR(UPPER(Y46)="L15",UPPER(Y46)="L23",UPPER(Y46)="L24"),$S32,$P32)/10*$P13/(2*$P44)*IF(UPPER(Y47="(HYD)"),1.5,IF(UPPER(Y47="(FAT)"),0,1)))</f>
        <v>3.595825591402346E-4</v>
      </c>
      <c r="CI51" s="237"/>
      <c r="CJ51" s="237"/>
      <c r="CK51" s="298">
        <f ca="1">IF(OR($P33="",$P44=""),"",IF(OR(UPPER(AB46)="L15",UPPER(AB46)="L23",UPPER(AB46)="L24"),$S32,$P32)/10*$P13/(2*$P44)*IF(UPPER(AB47="(HYD)"),1.5,IF(UPPER(AB47="(FAT)"),0,1)))</f>
        <v>3.595825591402346E-4</v>
      </c>
      <c r="CL51" s="298"/>
      <c r="CM51" s="298"/>
      <c r="CN51" s="298">
        <f ca="1">IF(OR($P33="",$P44=""),"",IF(OR(UPPER(AE46)="L15",UPPER(AE46)="L23",UPPER(AE46)="L24"),$S32,$P32)/10*$P13/(2*$P44)*IF(UPPER(AE47="(HYD)"),1.5,IF(UPPER(AE47="(FAT)"),0,1)))</f>
        <v>3.595825591402346E-4</v>
      </c>
      <c r="CO51" s="298"/>
      <c r="CP51" s="298"/>
      <c r="CQ51" s="298">
        <f ca="1">IF(OR($P33="",$P44=""),"",IF(OR(UPPER(AJ44)="L15",UPPER(AJ44)="L23",UPPER(AJ44)="L24"),$S32,$P32)/10*$P13/(2*$P44)*IF(UPPER(AJ45="(HYD)"),1.5,IF(UPPER(AJ45="(FAT)"),0,1)))</f>
        <v>3.595825591402346E-4</v>
      </c>
      <c r="CR51" s="298"/>
      <c r="CS51" s="298"/>
      <c r="CT51" s="298">
        <f ca="1">IF(OR($P33="",$P44=""),"",IF(OR(UPPER(AM44)="L15",UPPER(AM44)="L23",UPPER(AM44)="L24"),$S32,$P32)/10*$P13/(2*$P44)*IF(UPPER(AM45="(HYD)"),1.5,IF(UPPER(AM45="(FAT)"),0,1)))</f>
        <v>3.595825591402346E-4</v>
      </c>
      <c r="CU51" s="298"/>
      <c r="CV51" s="298"/>
      <c r="CW51" s="298">
        <f ca="1">IF(OR($P33="",$P44=""),"",IF(OR(UPPER(AP44)="L15",UPPER(AP44)="L23",UPPER(AP44)="L24"),$S32,$P32)/10*$P13/(2*$P44)*IF(UPPER(AP45="(HYD)"),1.5,IF(UPPER(AP45="(FAT)"),0,1)))</f>
        <v>3.595825591402346E-4</v>
      </c>
      <c r="CX51" s="298"/>
      <c r="CY51" s="298"/>
      <c r="CZ51" s="298">
        <f ca="1">IF(OR($P33="",$P44=""),"",IF(OR(UPPER(AS44)="L15",UPPER(AS44)="L23",UPPER(AS44)="L24"),$S32,$P32)/10*$P13/(2*$P44)*IF(UPPER(AS45="(HYD)"),1.5,IF(UPPER(AS45="(FAT)"),0,1)))</f>
        <v>3.595825591402346E-4</v>
      </c>
      <c r="DA51" s="298"/>
      <c r="DB51" s="298"/>
    </row>
    <row r="52" spans="1:129" ht="15" hidden="1" customHeight="1">
      <c r="AW52" s="86"/>
      <c r="BE52" s="372"/>
      <c r="BF52" s="373"/>
      <c r="BG52" s="374"/>
      <c r="BH52" s="374"/>
      <c r="BI52" s="375"/>
      <c r="BJ52" s="375"/>
      <c r="BK52" s="375"/>
      <c r="BL52" s="375"/>
      <c r="BM52" s="375"/>
      <c r="BN52" s="375"/>
      <c r="BO52" s="375"/>
      <c r="BP52" s="375"/>
      <c r="BQ52" s="375"/>
      <c r="BR52" s="375"/>
      <c r="BS52" s="375"/>
      <c r="BT52" s="376"/>
      <c r="CB52" s="298">
        <f ca="1">IF(OR($P33="",$P44=""),"",IF(OR(UPPER(S46)="L15",UPPER(S46)="L23",UPPER(S46)="L24"),$S32,$P32)/10*$P13/$P44*IF(UPPER(S47="(HYD)"),1.5,IF(UPPER(S47="(FAT)"),0,1)))</f>
        <v>7.191651182804692E-4</v>
      </c>
      <c r="CC52" s="298"/>
      <c r="CD52" s="298"/>
      <c r="CE52" s="298">
        <f ca="1">IF(OR($P33="",$P44=""),"",IF(OR(UPPER(V46)="L15",UPPER(V46)="L23",UPPER(V46)="L24"),$S32,$P32)/10*$P13/$P44*IF(UPPER(V47="(HYD)"),1.5,IF(UPPER(V47="(FAT)"),0,1)))</f>
        <v>7.191651182804692E-4</v>
      </c>
      <c r="CF52" s="298"/>
      <c r="CG52" s="298"/>
      <c r="CH52" s="237">
        <f ca="1">IF(OR($P33="",$P44=""),"",IF(OR(UPPER(Y46)="L15",UPPER(Y46)="L23",UPPER(Y46)="L24"),$S32,$P32)/10*$P13/$P44*IF(UPPER(Y47="(HYD)"),1.5,IF(UPPER(Y47="(FAT)"),0,1)))</f>
        <v>7.191651182804692E-4</v>
      </c>
      <c r="CI52" s="237"/>
      <c r="CJ52" s="237"/>
      <c r="CK52" s="298">
        <f ca="1">IF(OR($P33="",$P44=""),"",IF(OR(UPPER(AB46)="L15",UPPER(AB46)="L23",UPPER(AB46)="L24"),$S32,$P32)/10*$P13/$P44*IF(UPPER(AB47="(HYD)"),1.5,IF(UPPER(AB47="(FAT)"),0,1)))</f>
        <v>7.191651182804692E-4</v>
      </c>
      <c r="CL52" s="298"/>
      <c r="CM52" s="298"/>
      <c r="CN52" s="298">
        <f ca="1">IF(OR($P33="",$P44=""),"",IF(OR(UPPER(AE46)="L15",UPPER(AE46)="L23",UPPER(AE46)="L24"),$S32,$P32)/10*$P13/$P44*IF(UPPER(AE47="(HYD)"),1.5,IF(UPPER(AE47="(FAT)"),0,1)))</f>
        <v>7.191651182804692E-4</v>
      </c>
      <c r="CO52" s="298"/>
      <c r="CP52" s="298"/>
      <c r="CQ52" s="298">
        <f ca="1">IF(OR($P33="",$P44=""),"",IF(OR(UPPER(AJ44)="L15",UPPER(AJ44)="L23",UPPER(AJ44)="L24"),$S32,$P32)/10*$P13/$P44*IF(UPPER(AJ45="(HYD)"),1.5,IF(UPPER(AJ45="(FAT)"),0,1)))</f>
        <v>7.191651182804692E-4</v>
      </c>
      <c r="CR52" s="298"/>
      <c r="CS52" s="298"/>
      <c r="CT52" s="298">
        <f ca="1">IF(OR($P33="",$P44=""),"",IF(OR(UPPER(AM44)="L15",UPPER(AM44)="L23",UPPER(AM44)="L24"),$S32,$P32)/10*$P13/$P44*IF(UPPER(AM45="(HYD)"),1.5,IF(UPPER(AM45="(FAT)"),0,1)))</f>
        <v>7.191651182804692E-4</v>
      </c>
      <c r="CU52" s="298"/>
      <c r="CV52" s="298"/>
      <c r="CW52" s="298">
        <f ca="1">IF(OR($P33="",$P44=""),"",IF(OR(UPPER(AP44)="L15",UPPER(AP44)="L23",UPPER(AP44)="L24"),$S32,$P32)/10*$P13/$P44*IF(UPPER(AP45="(HYD)"),1.5,IF(UPPER(AP45="(FAT)"),0,1)))</f>
        <v>7.191651182804692E-4</v>
      </c>
      <c r="CX52" s="298"/>
      <c r="CY52" s="298"/>
      <c r="CZ52" s="298">
        <f ca="1">IF(OR($P33="",$P44=""),"",IF(OR(UPPER(AS44)="L15",UPPER(AS44)="L23",UPPER(AS44)="L24"),$S32,$P32)/10*$P13/$P44*IF(UPPER(AS45="(HYD)"),1.5,IF(UPPER(AS45="(FAT)"),0,1)))</f>
        <v>7.191651182804692E-4</v>
      </c>
      <c r="DA52" s="298"/>
      <c r="DB52" s="298"/>
    </row>
    <row r="53" spans="1:129" ht="15" hidden="1" customHeight="1">
      <c r="AW53" s="86"/>
      <c r="BE53" s="372"/>
      <c r="BF53" s="373"/>
      <c r="BG53" s="374"/>
      <c r="BH53" s="374"/>
      <c r="BI53" s="375"/>
      <c r="BJ53" s="375"/>
      <c r="BK53" s="375"/>
      <c r="BL53" s="375"/>
      <c r="BM53" s="375"/>
      <c r="BN53" s="375"/>
      <c r="BO53" s="375"/>
      <c r="BP53" s="375"/>
      <c r="BQ53" s="375"/>
      <c r="BR53" s="375"/>
      <c r="BS53" s="375"/>
      <c r="BT53" s="376"/>
    </row>
    <row r="54" spans="1:129" ht="15" hidden="1" customHeight="1">
      <c r="AW54" s="86"/>
      <c r="BE54" s="372"/>
      <c r="BF54" s="373"/>
      <c r="BG54" s="374"/>
      <c r="BH54" s="374"/>
      <c r="BI54" s="375"/>
      <c r="BJ54" s="375"/>
      <c r="BK54" s="375"/>
      <c r="BL54" s="375"/>
      <c r="BM54" s="375"/>
      <c r="BN54" s="375"/>
      <c r="BO54" s="375"/>
      <c r="BP54" s="375"/>
      <c r="BQ54" s="375"/>
      <c r="BR54" s="375"/>
      <c r="BS54" s="375"/>
      <c r="BT54" s="376"/>
      <c r="CB54" s="298" t="e">
        <f ca="1">#REF!/$P41</f>
        <v>#REF!</v>
      </c>
      <c r="CC54" s="298"/>
      <c r="CD54" s="298"/>
      <c r="CE54" s="298" t="e">
        <f ca="1">#REF!/$P41</f>
        <v>#REF!</v>
      </c>
      <c r="CF54" s="298"/>
      <c r="CG54" s="298"/>
      <c r="CH54" s="237" t="e">
        <f ca="1">#REF!/$P41</f>
        <v>#REF!</v>
      </c>
      <c r="CI54" s="237"/>
      <c r="CJ54" s="237"/>
      <c r="CK54" s="298" t="e">
        <f ca="1">#REF!/$P41</f>
        <v>#REF!</v>
      </c>
      <c r="CL54" s="298"/>
      <c r="CM54" s="298"/>
      <c r="CN54" s="298" t="e">
        <f ca="1">#REF!/$P41</f>
        <v>#REF!</v>
      </c>
      <c r="CO54" s="298"/>
      <c r="CP54" s="298"/>
      <c r="CQ54" s="298" t="e">
        <f ca="1">#REF!/$P41</f>
        <v>#REF!</v>
      </c>
      <c r="CR54" s="298"/>
      <c r="CS54" s="298"/>
      <c r="CT54" s="298" t="e">
        <f>IF(#REF!="",0,#REF!/$P41)</f>
        <v>#REF!</v>
      </c>
      <c r="CU54" s="298"/>
      <c r="CV54" s="298"/>
      <c r="CW54" s="298" t="e">
        <f>IF(#REF!="",0,#REF!/$P41)</f>
        <v>#REF!</v>
      </c>
      <c r="CX54" s="298"/>
      <c r="CY54" s="298"/>
      <c r="CZ54" s="298" t="e">
        <f>IF(#REF!="",0,#REF!/$P41)</f>
        <v>#REF!</v>
      </c>
      <c r="DA54" s="298"/>
      <c r="DB54" s="298"/>
    </row>
    <row r="55" spans="1:129" ht="15" hidden="1" customHeight="1">
      <c r="AW55" s="86"/>
      <c r="BE55" s="372"/>
      <c r="BF55" s="373"/>
      <c r="BG55" s="374"/>
      <c r="BH55" s="374"/>
      <c r="BI55" s="375"/>
      <c r="BJ55" s="375"/>
      <c r="BK55" s="375"/>
      <c r="BL55" s="375"/>
      <c r="BM55" s="375"/>
      <c r="BN55" s="375"/>
      <c r="BO55" s="375"/>
      <c r="BP55" s="375"/>
      <c r="BQ55" s="375"/>
      <c r="BR55" s="375"/>
      <c r="BS55" s="375"/>
      <c r="BT55" s="376"/>
      <c r="CB55" s="377" t="e">
        <f ca="1">#REF!/$P41</f>
        <v>#REF!</v>
      </c>
      <c r="CC55" s="377"/>
      <c r="CD55" s="377"/>
      <c r="CE55" s="377" t="e">
        <f ca="1">#REF!/$P41</f>
        <v>#REF!</v>
      </c>
      <c r="CF55" s="377"/>
      <c r="CG55" s="377"/>
      <c r="CH55" s="238" t="e">
        <f ca="1">#REF!/$P41</f>
        <v>#REF!</v>
      </c>
      <c r="CI55" s="238"/>
      <c r="CJ55" s="238"/>
      <c r="CK55" s="377" t="e">
        <f ca="1">#REF!/$P41</f>
        <v>#REF!</v>
      </c>
      <c r="CL55" s="377"/>
      <c r="CM55" s="377"/>
      <c r="CN55" s="377" t="e">
        <f ca="1">#REF!/$P41</f>
        <v>#REF!</v>
      </c>
      <c r="CO55" s="377"/>
      <c r="CP55" s="377"/>
      <c r="CQ55" s="377" t="e">
        <f ca="1">#REF!/$P41</f>
        <v>#REF!</v>
      </c>
      <c r="CR55" s="377"/>
      <c r="CS55" s="377"/>
      <c r="CT55" s="377" t="e">
        <f>IF(#REF!="",0,#REF!/$P41)</f>
        <v>#REF!</v>
      </c>
      <c r="CU55" s="377"/>
      <c r="CV55" s="377"/>
      <c r="CW55" s="377" t="e">
        <f>IF(#REF!="",0,#REF!/$P41)</f>
        <v>#REF!</v>
      </c>
      <c r="CX55" s="377"/>
      <c r="CY55" s="377"/>
      <c r="CZ55" s="377" t="e">
        <f>IF(#REF!="",0,#REF!/$P41)</f>
        <v>#REF!</v>
      </c>
      <c r="DA55" s="377"/>
      <c r="DB55" s="377"/>
    </row>
    <row r="56" spans="1:129" ht="15" hidden="1" customHeight="1">
      <c r="AW56" s="86"/>
      <c r="BE56" s="372"/>
      <c r="BF56" s="373"/>
      <c r="BG56" s="374"/>
      <c r="BH56" s="374"/>
      <c r="BI56" s="375"/>
      <c r="BJ56" s="375"/>
      <c r="BK56" s="375"/>
      <c r="BL56" s="375"/>
      <c r="BM56" s="375"/>
      <c r="BN56" s="375"/>
      <c r="BO56" s="375"/>
      <c r="BP56" s="375"/>
      <c r="BQ56" s="375"/>
      <c r="BR56" s="375"/>
      <c r="BS56" s="375"/>
      <c r="BT56" s="376"/>
      <c r="CB56" s="377">
        <f>IF(S30="",0,S30/$P42)</f>
        <v>0</v>
      </c>
      <c r="CC56" s="377"/>
      <c r="CD56" s="377"/>
      <c r="CE56" s="377">
        <f>IF(V30="",0,V30/$P42)</f>
        <v>0</v>
      </c>
      <c r="CF56" s="377"/>
      <c r="CG56" s="377"/>
      <c r="CH56" s="238">
        <f>IF(Y30="",0,Y30/$P42)</f>
        <v>0</v>
      </c>
      <c r="CI56" s="238"/>
      <c r="CJ56" s="238"/>
      <c r="CK56" s="377">
        <f>IF(AB30="",0,AB30/$P42)</f>
        <v>0</v>
      </c>
      <c r="CL56" s="377"/>
      <c r="CM56" s="377"/>
      <c r="CN56" s="377">
        <f>IF(AE30="",0,AE30/$P42)</f>
        <v>0</v>
      </c>
      <c r="CO56" s="377"/>
      <c r="CP56" s="377"/>
      <c r="CQ56" s="377">
        <f>IF(AJ48="",0,AJ48/$P42)</f>
        <v>0</v>
      </c>
      <c r="CR56" s="377"/>
      <c r="CS56" s="377"/>
      <c r="CT56" s="377">
        <f>IF(AM48="",0,AM48/$P42)</f>
        <v>0</v>
      </c>
      <c r="CU56" s="377"/>
      <c r="CV56" s="377"/>
      <c r="CW56" s="377">
        <f>IF(AP48="",0,AP48/$P42)</f>
        <v>0</v>
      </c>
      <c r="CX56" s="377"/>
      <c r="CY56" s="377"/>
      <c r="CZ56" s="377">
        <f>IF(AS48="",0,AS48/$P42)</f>
        <v>0</v>
      </c>
      <c r="DA56" s="377"/>
      <c r="DB56" s="377"/>
    </row>
    <row r="57" spans="1:129" ht="15" hidden="1" customHeight="1">
      <c r="AW57" s="86"/>
      <c r="BE57" s="372"/>
      <c r="BF57" s="373"/>
      <c r="BG57" s="374"/>
      <c r="BH57" s="374"/>
      <c r="BI57" s="375"/>
      <c r="BJ57" s="375"/>
      <c r="BK57" s="375"/>
      <c r="BL57" s="375"/>
      <c r="BM57" s="375"/>
      <c r="BN57" s="375"/>
      <c r="BO57" s="375"/>
      <c r="BP57" s="375"/>
      <c r="BQ57" s="375"/>
      <c r="BR57" s="375"/>
      <c r="BS57" s="375"/>
      <c r="BT57" s="376"/>
    </row>
    <row r="58" spans="1:129" ht="15" hidden="1" customHeight="1">
      <c r="AW58" s="86"/>
      <c r="BE58" s="372"/>
      <c r="BF58" s="373"/>
      <c r="BG58" s="374"/>
      <c r="BH58" s="374"/>
      <c r="BI58" s="375"/>
      <c r="BJ58" s="375"/>
      <c r="BK58" s="375"/>
      <c r="BL58" s="375"/>
      <c r="BM58" s="375"/>
      <c r="BN58" s="375"/>
      <c r="BO58" s="375"/>
      <c r="BP58" s="375"/>
      <c r="BQ58" s="375"/>
      <c r="BR58" s="375"/>
      <c r="BS58" s="375"/>
      <c r="BT58" s="376"/>
      <c r="CB58" s="298" t="e">
        <f ca="1">1.17*CB54*SQRT($P13)/POWER($P44,1.5)</f>
        <v>#REF!</v>
      </c>
      <c r="CC58" s="298"/>
      <c r="CD58" s="298"/>
      <c r="CE58" s="298" t="e">
        <f ca="1">1.17*CE54*SQRT($P13)/POWER($P44,1.5)</f>
        <v>#REF!</v>
      </c>
      <c r="CF58" s="298"/>
      <c r="CG58" s="298"/>
      <c r="CH58" s="237" t="e">
        <f ca="1">1.17*CH54*SQRT($P13)/POWER($P44,1.5)</f>
        <v>#REF!</v>
      </c>
      <c r="CI58" s="237"/>
      <c r="CJ58" s="237"/>
      <c r="CK58" s="298" t="e">
        <f ca="1">1.17*CK54*SQRT($P13)/POWER($P44,1.5)</f>
        <v>#REF!</v>
      </c>
      <c r="CL58" s="298"/>
      <c r="CM58" s="298"/>
      <c r="CN58" s="298" t="e">
        <f ca="1">1.17*CN54*SQRT($P13)/POWER($P44,1.5)</f>
        <v>#REF!</v>
      </c>
      <c r="CO58" s="298"/>
      <c r="CP58" s="298"/>
      <c r="CQ58" s="298" t="e">
        <f ca="1">1.17*CQ54*SQRT($P13)/POWER($P44,1.5)</f>
        <v>#REF!</v>
      </c>
      <c r="CR58" s="298"/>
      <c r="CS58" s="298"/>
      <c r="CT58" s="298" t="e">
        <f>IF(#REF!="",0,1.17*CT54*SQRT($P13)/POWER($P44,1.5))</f>
        <v>#REF!</v>
      </c>
      <c r="CU58" s="298"/>
      <c r="CV58" s="298"/>
      <c r="CW58" s="298" t="e">
        <f>IF(#REF!="",0,1.17*CW54*SQRT($P13)/POWER($P44,1.5))</f>
        <v>#REF!</v>
      </c>
      <c r="CX58" s="298"/>
      <c r="CY58" s="298"/>
      <c r="CZ58" s="298" t="e">
        <f>IF(#REF!="",0,1.17*CZ54*SQRT($P13)/POWER($P44,1.5))</f>
        <v>#REF!</v>
      </c>
      <c r="DA58" s="298"/>
      <c r="DB58" s="298"/>
    </row>
    <row r="59" spans="1:129" ht="15" hidden="1" customHeight="1">
      <c r="AW59" s="86"/>
      <c r="BE59" s="367"/>
      <c r="BF59" s="368"/>
      <c r="BG59" s="369"/>
      <c r="BH59" s="369"/>
      <c r="BI59" s="370"/>
      <c r="BJ59" s="370"/>
      <c r="BK59" s="370"/>
      <c r="BL59" s="370"/>
      <c r="BM59" s="370"/>
      <c r="BN59" s="370"/>
      <c r="BO59" s="370"/>
      <c r="BP59" s="370"/>
      <c r="BQ59" s="370"/>
      <c r="BR59" s="370"/>
      <c r="BS59" s="370"/>
      <c r="BT59" s="371"/>
      <c r="CB59" s="298" t="e">
        <f ca="1">2.34*CB55*SQRT($P13)/POWER($P44,1.5)</f>
        <v>#REF!</v>
      </c>
      <c r="CC59" s="298"/>
      <c r="CD59" s="298"/>
      <c r="CE59" s="298" t="e">
        <f ca="1">2.34*CE55*SQRT($P13)/POWER($P44,1.5)</f>
        <v>#REF!</v>
      </c>
      <c r="CF59" s="298"/>
      <c r="CG59" s="298"/>
      <c r="CH59" s="237" t="e">
        <f ca="1">2.34*CH55*SQRT($P13)/POWER($P44,1.5)</f>
        <v>#REF!</v>
      </c>
      <c r="CI59" s="237"/>
      <c r="CJ59" s="237"/>
      <c r="CK59" s="298" t="e">
        <f ca="1">2.34*CK55*SQRT($P13)/POWER($P44,1.5)</f>
        <v>#REF!</v>
      </c>
      <c r="CL59" s="298"/>
      <c r="CM59" s="298"/>
      <c r="CN59" s="298" t="e">
        <f ca="1">2.34*CN55*SQRT($P13)/POWER($P44,1.5)</f>
        <v>#REF!</v>
      </c>
      <c r="CO59" s="298"/>
      <c r="CP59" s="298"/>
      <c r="CQ59" s="298" t="e">
        <f ca="1">2.34*CQ55*SQRT($P13)/POWER($P44,1.5)</f>
        <v>#REF!</v>
      </c>
      <c r="CR59" s="298"/>
      <c r="CS59" s="298"/>
      <c r="CT59" s="298" t="e">
        <f ca="1">2.34*CT55*SQRT($P13)/POWER($P44,1.5)</f>
        <v>#REF!</v>
      </c>
      <c r="CU59" s="298"/>
      <c r="CV59" s="298"/>
      <c r="CW59" s="298" t="e">
        <f ca="1">2.34*CW55*SQRT($P13)/POWER($P44,1.5)</f>
        <v>#REF!</v>
      </c>
      <c r="CX59" s="298"/>
      <c r="CY59" s="298"/>
      <c r="CZ59" s="298" t="e">
        <f ca="1">2.34*CZ55*SQRT($P13)/POWER($P44,1.5)</f>
        <v>#REF!</v>
      </c>
      <c r="DA59" s="298"/>
      <c r="DB59" s="298"/>
    </row>
    <row r="60" spans="1:129" ht="15" hidden="1" customHeight="1">
      <c r="AW60" s="86"/>
      <c r="CB60" s="298">
        <f ca="1">1.5*1.17*CB56*SQRT($P13)/POWER($P44,1.5)</f>
        <v>0</v>
      </c>
      <c r="CC60" s="298"/>
      <c r="CD60" s="298"/>
      <c r="CE60" s="298">
        <f ca="1">1.5*1.17*CE56*SQRT($P13)/POWER($P44,1.5)</f>
        <v>0</v>
      </c>
      <c r="CF60" s="298"/>
      <c r="CG60" s="298"/>
      <c r="CH60" s="237">
        <f ca="1">1.5*1.17*CH56*SQRT($P13)/POWER($P44,1.5)</f>
        <v>0</v>
      </c>
      <c r="CI60" s="237"/>
      <c r="CJ60" s="237"/>
      <c r="CK60" s="298">
        <f ca="1">1.5*1.17*CK56*SQRT($P13)/POWER($P44,1.5)</f>
        <v>0</v>
      </c>
      <c r="CL60" s="298"/>
      <c r="CM60" s="298"/>
      <c r="CN60" s="298">
        <f ca="1">1.5*1.17*CN56*SQRT($P13)/POWER($P44,1.5)</f>
        <v>0</v>
      </c>
      <c r="CO60" s="298"/>
      <c r="CP60" s="298"/>
      <c r="CQ60" s="298">
        <f ca="1">1.5*1.17*CQ56*SQRT($P13)/POWER($P44,1.5)</f>
        <v>0</v>
      </c>
      <c r="CR60" s="298"/>
      <c r="CS60" s="298"/>
      <c r="CT60" s="298">
        <f ca="1">1.5*1.17*CT56*SQRT($P13)/POWER($P44,1.5)</f>
        <v>0</v>
      </c>
      <c r="CU60" s="298"/>
      <c r="CV60" s="298"/>
      <c r="CW60" s="298">
        <f ca="1">1.5*1.17*CW56*SQRT($P13)/POWER($P44,1.5)</f>
        <v>0</v>
      </c>
      <c r="CX60" s="298"/>
      <c r="CY60" s="298"/>
      <c r="CZ60" s="298">
        <f ca="1">1.5*1.17*CZ56*SQRT($P13)/POWER($P44,1.5)</f>
        <v>0</v>
      </c>
      <c r="DA60" s="298"/>
      <c r="DB60" s="298"/>
    </row>
    <row r="61" spans="1:129" ht="15" hidden="1" customHeight="1">
      <c r="AW61" s="86"/>
      <c r="CB61" s="298" t="e">
        <f>SQRT(POWER(#REF!,2)+POWER(#REF!,2))/((PI()*(POWER($P21,4)-POWER($P11,4))/32/$P21))</f>
        <v>#REF!</v>
      </c>
      <c r="CC61" s="298"/>
      <c r="CD61" s="298"/>
      <c r="CE61" s="298" t="e">
        <f>SQRT(POWER(#REF!,2)+POWER(#REF!,2))/((PI()*(POWER($P21,4)-POWER($P11,4))/32/$P21))</f>
        <v>#REF!</v>
      </c>
      <c r="CF61" s="298"/>
      <c r="CG61" s="298"/>
      <c r="CH61" s="237" t="e">
        <f>SQRT(POWER(#REF!,2)+POWER(#REF!,2))/((PI()*(POWER($P21,4)-POWER($P11,4))/32/$P21))</f>
        <v>#REF!</v>
      </c>
      <c r="CI61" s="237"/>
      <c r="CJ61" s="237"/>
      <c r="CK61" s="298" t="e">
        <f>SQRT(POWER(#REF!,2)+POWER(#REF!,2))/((PI()*(POWER($P21,4)-POWER($P11,4))/32/$P21))</f>
        <v>#REF!</v>
      </c>
      <c r="CL61" s="298"/>
      <c r="CM61" s="298"/>
      <c r="CN61" s="298" t="e">
        <f>SQRT(POWER(#REF!,2)+POWER(#REF!,2))/((PI()*(POWER($P21,4)-POWER($P11,4))/32/$P21))</f>
        <v>#REF!</v>
      </c>
      <c r="CO61" s="298"/>
      <c r="CP61" s="298"/>
      <c r="CQ61" s="298" t="e">
        <f>SQRT(POWER(#REF!,2)+POWER(#REF!,2))/((PI()*(POWER($P21,4)-POWER($P11,4))/32/$P21))</f>
        <v>#REF!</v>
      </c>
      <c r="CR61" s="298"/>
      <c r="CS61" s="298"/>
      <c r="CT61" s="298" t="e">
        <f>IF(OR(#REF!="",#REF!=""),0,SQRT(POWER(#REF!,2)+POWER(#REF!,2))/((PI()*(POWER($P21,4)-POWER($P11,4))/32/$P21)))</f>
        <v>#REF!</v>
      </c>
      <c r="CU61" s="298"/>
      <c r="CV61" s="298"/>
      <c r="CW61" s="298" t="e">
        <f>IF(OR(#REF!="",#REF!=""),0,SQRT(POWER(#REF!,2)+POWER(#REF!,2))/((PI()*(POWER($P21,4)-POWER($P11,4))/32/$P21)))</f>
        <v>#REF!</v>
      </c>
      <c r="CX61" s="298"/>
      <c r="CY61" s="298"/>
      <c r="CZ61" s="298" t="e">
        <f>IF(OR(#REF!="",#REF!=""),0,SQRT(POWER(#REF!,2)+POWER(#REF!,2))/((PI()*(POWER($P21,4)-POWER($P11,4))/32/$P21)))</f>
        <v>#REF!</v>
      </c>
      <c r="DA61" s="298"/>
      <c r="DB61" s="298"/>
    </row>
    <row r="62" spans="1:129" ht="15" hidden="1" customHeight="1">
      <c r="AW62" s="86"/>
    </row>
    <row r="63" spans="1:129" ht="15" hidden="1" customHeight="1">
      <c r="AW63" s="86"/>
      <c r="CB63" s="298" t="e">
        <f>IF(AND(#REF!=0,#REF!=0),0,CB58+CB60+CB51)</f>
        <v>#REF!</v>
      </c>
      <c r="CC63" s="298"/>
      <c r="CD63" s="298"/>
      <c r="CE63" s="298" t="e">
        <f>IF(AND(#REF!=0,#REF!=0),0,CE58+CE60+CE51)</f>
        <v>#REF!</v>
      </c>
      <c r="CF63" s="298"/>
      <c r="CG63" s="298"/>
      <c r="CH63" s="237" t="e">
        <f>IF(AND(#REF!=0,#REF!=0),0,CH58+CH60+CH51)</f>
        <v>#REF!</v>
      </c>
      <c r="CI63" s="237"/>
      <c r="CJ63" s="237"/>
      <c r="CK63" s="298" t="e">
        <f>IF(AND(#REF!=0,#REF!=0),0,CK58+CK60+CK51)</f>
        <v>#REF!</v>
      </c>
      <c r="CL63" s="298"/>
      <c r="CM63" s="298"/>
      <c r="CN63" s="298" t="e">
        <f>IF(AND(#REF!=0,#REF!=0),0,CN58+CN60+CN51)</f>
        <v>#REF!</v>
      </c>
      <c r="CO63" s="298"/>
      <c r="CP63" s="298"/>
      <c r="CQ63" s="298" t="e">
        <f>IF(AND(#REF!=0,#REF!=0),0,CQ58+CQ60+CQ51)</f>
        <v>#REF!</v>
      </c>
      <c r="CR63" s="298"/>
      <c r="CS63" s="298"/>
      <c r="CT63" s="298" t="e">
        <f>IF(OR(#REF!=0,#REF!=0),0,CT58+CT60+CT51)</f>
        <v>#REF!</v>
      </c>
      <c r="CU63" s="298"/>
      <c r="CV63" s="298"/>
      <c r="CW63" s="298" t="e">
        <f>IF(OR(#REF!=0,#REF!=0),0,CW58+CW60+CW51)</f>
        <v>#REF!</v>
      </c>
      <c r="CX63" s="298"/>
      <c r="CY63" s="298"/>
      <c r="CZ63" s="298" t="e">
        <f>IF(OR(#REF!=0,#REF!=0),0,CZ58+CZ60+CZ51)</f>
        <v>#REF!</v>
      </c>
      <c r="DA63" s="298"/>
      <c r="DB63" s="298"/>
    </row>
    <row r="64" spans="1:129" ht="15" hidden="1" customHeight="1">
      <c r="AW64" s="86"/>
      <c r="CB64" s="298" t="e">
        <f>IF(OR(#REF!=0,#REF!=0),0,IF(S47="(HYD)",2.4*$P$33,IF(S47="(FAT)",S34,IF(S47="(OCC)",1.5*1.33*$P$33,1.5*$P$33))))</f>
        <v>#REF!</v>
      </c>
      <c r="CC64" s="298"/>
      <c r="CD64" s="298"/>
      <c r="CE64" s="298" t="e">
        <f>IF(OR(#REF!=0,#REF!=0),0,IF(V47="(HYD)",2.4*$P$33,IF(V47="(FAT)",V34,IF(V47="(OCC)",1.5*1.33*$P$33,1.5*$P$33))))</f>
        <v>#REF!</v>
      </c>
      <c r="CF64" s="298"/>
      <c r="CG64" s="298"/>
      <c r="CH64" s="237" t="e">
        <f>IF(OR(#REF!=0,#REF!=0),0,IF(Y47="(HYD)",2.4*$P$33,IF(Y47="(FAT)",Y34,IF(Y47="(OCC)",1.5*1.33*$P$33,1.5*$P$33))))</f>
        <v>#REF!</v>
      </c>
      <c r="CI64" s="237"/>
      <c r="CJ64" s="237"/>
      <c r="CK64" s="298" t="e">
        <f>IF(OR(#REF!=0,#REF!=0),0,IF(AB47="(HYD)",2.4*$P$33,IF(AB47="(FAT)",AB34,IF(AB47="(OCC)",1.5*1.33*$P$33,1.5*$P$33))))</f>
        <v>#REF!</v>
      </c>
      <c r="CL64" s="298"/>
      <c r="CM64" s="298"/>
      <c r="CN64" s="298" t="e">
        <f>IF(OR(#REF!=0,#REF!=0),0,IF(AE47="(HYD)",2.4*$P$33,IF(AE47="(FAT)",AE34,IF(AE47="(OCC)",1.5*1.33*$P$33,1.5*$P$33))))</f>
        <v>#REF!</v>
      </c>
      <c r="CO64" s="298"/>
      <c r="CP64" s="298"/>
      <c r="CQ64" s="298" t="e">
        <f>IF(OR(#REF!=0,#REF!=0),0,IF(AJ45="(HYD)",2.4*$P$33,IF(AJ45="(FAT)",AJ47,IF(AJ45="(OCC)",1.5*1.33*$P$33,1.5*$P$33))))</f>
        <v>#REF!</v>
      </c>
      <c r="CR64" s="298"/>
      <c r="CS64" s="298"/>
      <c r="CT64" s="298" t="e">
        <f>IF(OR(#REF!=0,#REF!=0),0,IF(AM45="(HYD)",2.4*$P$33,IF(AM45="(FAT)",AM47,IF(AM45="(OCC)",1.5*1.33*$P$33,1.5*$P$33))))</f>
        <v>#REF!</v>
      </c>
      <c r="CU64" s="298"/>
      <c r="CV64" s="298"/>
      <c r="CW64" s="298" t="e">
        <f>IF(OR(#REF!=0,#REF!=0),0,IF(AP45="(HYD)",2.4*$P$33,IF(AP45="(FAT)",AP47,IF(AP45="(OCC)",1.5*1.33*$P$33,1.5*$P$33))))</f>
        <v>#REF!</v>
      </c>
      <c r="CX64" s="298"/>
      <c r="CY64" s="298"/>
      <c r="CZ64" s="298" t="e">
        <f>IF(OR(#REF!=0,#REF!=0),0,IF(AS45="(HYD)",2.4*$P$33,IF(AS45="(FAT)",AS47,IF(AS45="(OCC)",1.5*1.33*$P$33,1.5*$P$33))))</f>
        <v>#REF!</v>
      </c>
      <c r="DA64" s="298"/>
      <c r="DB64" s="298"/>
    </row>
    <row r="65" spans="49:106" ht="15" hidden="1" customHeight="1">
      <c r="AW65" s="86"/>
      <c r="CB65" s="298" t="e">
        <f>IF(AND(#REF!=0,#REF!=0),0,CB59+CB60+CB52)</f>
        <v>#REF!</v>
      </c>
      <c r="CC65" s="298"/>
      <c r="CD65" s="298"/>
      <c r="CE65" s="298" t="e">
        <f>IF(AND(#REF!=0,#REF!=0),0,CE59+CE60+CE52)</f>
        <v>#REF!</v>
      </c>
      <c r="CF65" s="298"/>
      <c r="CG65" s="298"/>
      <c r="CH65" s="237" t="e">
        <f>IF(AND(#REF!=0,#REF!=0),0,CH59+CH60+CH52)</f>
        <v>#REF!</v>
      </c>
      <c r="CI65" s="237"/>
      <c r="CJ65" s="237"/>
      <c r="CK65" s="298" t="e">
        <f>IF(AND(#REF!=0,#REF!=0),0,CK59+CK60+CK52)</f>
        <v>#REF!</v>
      </c>
      <c r="CL65" s="298"/>
      <c r="CM65" s="298"/>
      <c r="CN65" s="298" t="e">
        <f>IF(AND(#REF!=0,#REF!=0),0,CN59+CN60+CN52)</f>
        <v>#REF!</v>
      </c>
      <c r="CO65" s="298"/>
      <c r="CP65" s="298"/>
      <c r="CQ65" s="298" t="e">
        <f>IF(AND(#REF!=0,#REF!=0),0,CQ59+CQ60+CQ52)</f>
        <v>#REF!</v>
      </c>
      <c r="CR65" s="298"/>
      <c r="CS65" s="298"/>
      <c r="CT65" s="298" t="e">
        <f>IF(OR(#REF!=0,#REF!=0),0,CT59+CT60+CT52)</f>
        <v>#REF!</v>
      </c>
      <c r="CU65" s="298"/>
      <c r="CV65" s="298"/>
      <c r="CW65" s="298" t="e">
        <f>IF(OR(#REF!=0,#REF!=0),0,CW59+CW60+CW52)</f>
        <v>#REF!</v>
      </c>
      <c r="CX65" s="298"/>
      <c r="CY65" s="298"/>
      <c r="CZ65" s="298" t="e">
        <f>IF(OR(#REF!=0,#REF!=0),0,CZ59+CZ60+CZ52)</f>
        <v>#REF!</v>
      </c>
      <c r="DA65" s="298"/>
      <c r="DB65" s="298"/>
    </row>
    <row r="66" spans="49:106" ht="15" hidden="1" customHeight="1">
      <c r="AW66" s="86"/>
      <c r="CB66" s="298" t="e">
        <f>IF(OR(#REF!=0,#REF!=0),0,IF(S47="(HYD)",2.4*$P$33,IF(S47="(FAT)",S34,IF(S47="(OCC)",1.33*1.5*$P$33,1.5*$P$33))))</f>
        <v>#REF!</v>
      </c>
      <c r="CC66" s="298"/>
      <c r="CD66" s="298"/>
      <c r="CE66" s="298" t="e">
        <f>IF(OR(#REF!=0,#REF!=0),0,IF(V47="(HYD)",2.4*$P$33,IF(V47="(FAT)",V34,IF(V47="(OCC)",1.33*1.5*$P$33,1.5*$P$33))))</f>
        <v>#REF!</v>
      </c>
      <c r="CF66" s="298"/>
      <c r="CG66" s="298"/>
      <c r="CH66" s="237" t="e">
        <f>IF(OR(#REF!=0,#REF!=0),0,IF(Y47="(HYD)",2.4*$P$33,IF(Y47="(FAT)",Y34,IF(Y47="(OCC)",1.33*1.5*$P$33,1.5*$P$33))))</f>
        <v>#REF!</v>
      </c>
      <c r="CI66" s="237"/>
      <c r="CJ66" s="237"/>
      <c r="CK66" s="298" t="e">
        <f>IF(OR(#REF!=0,#REF!=0),0,IF(AB47="(HYD)",2.4*$P$33,IF(AB47="(FAT)",AB34,IF(AB47="(OCC)",1.33*1.5*$P$33,1.5*$P$33))))</f>
        <v>#REF!</v>
      </c>
      <c r="CL66" s="298"/>
      <c r="CM66" s="298"/>
      <c r="CN66" s="298" t="e">
        <f>IF(OR(#REF!=0,#REF!=0),0,IF(AE47="(HYD)",2.4*$P$33,IF(AE47="(FAT)",AE34,IF(AE47="(OCC)",1.33*1.5*$P$33,1.5*$P$33))))</f>
        <v>#REF!</v>
      </c>
      <c r="CO66" s="298"/>
      <c r="CP66" s="298"/>
      <c r="CQ66" s="298" t="e">
        <f>IF(OR(#REF!=0,#REF!=0),0,IF(AJ45="(HYD)",2.4*$P$33,IF(AJ45="(FAT)",AJ47,IF(AJ45="(OCC)",1.33*1.5*$P$33,1.5*$P$33))))</f>
        <v>#REF!</v>
      </c>
      <c r="CR66" s="298"/>
      <c r="CS66" s="298"/>
      <c r="CT66" s="298" t="e">
        <f>IF(OR(#REF!=0,#REF!=0),0,IF(AM45="(HYD)",2.4*$P$33,IF(AM45="(FAT)",AM47,IF(AM45="(OCC)",1.33*1.5*$P$33,1.5*$P$33))))</f>
        <v>#REF!</v>
      </c>
      <c r="CU66" s="298"/>
      <c r="CV66" s="298"/>
      <c r="CW66" s="298" t="e">
        <f>IF(OR(#REF!=0,#REF!=0),0,IF(AP45="(HYD)",2.4*$P$33,IF(AP45="(FAT)",AP47,IF(AP45="(OCC)",1.33*1.5*$P$33,1.5*$P$33))))</f>
        <v>#REF!</v>
      </c>
      <c r="CX66" s="298"/>
      <c r="CY66" s="298"/>
      <c r="CZ66" s="298" t="e">
        <f>IF(OR(#REF!=0,#REF!=0),0,IF(AS45="(HYD)",2.4*$P$33,IF(AS45="(FAT)",AS47,IF(AS45="(OCC)",1.33*1.5*$P$33,1.5*$P$33))))</f>
        <v>#REF!</v>
      </c>
      <c r="DA66" s="298"/>
      <c r="DB66" s="298"/>
    </row>
    <row r="67" spans="49:106" ht="15" hidden="1" customHeight="1">
      <c r="AW67" s="86"/>
      <c r="CB67" s="298" t="e">
        <f>IF(AND(#REF!=0,#REF!=0),0,CB61)</f>
        <v>#REF!</v>
      </c>
      <c r="CC67" s="298"/>
      <c r="CD67" s="298"/>
      <c r="CE67" s="298" t="e">
        <f>IF(AND(#REF!=0,#REF!=0),0,CE61)</f>
        <v>#REF!</v>
      </c>
      <c r="CF67" s="298"/>
      <c r="CG67" s="298"/>
      <c r="CH67" s="237" t="e">
        <f>IF(AND(#REF!=0,#REF!=0),0,CH61)</f>
        <v>#REF!</v>
      </c>
      <c r="CI67" s="237"/>
      <c r="CJ67" s="237"/>
      <c r="CK67" s="298" t="e">
        <f>IF(AND(#REF!=0,#REF!=0),0,CK61)</f>
        <v>#REF!</v>
      </c>
      <c r="CL67" s="298"/>
      <c r="CM67" s="298"/>
      <c r="CN67" s="298" t="e">
        <f>IF(AND(#REF!=0,#REF!=0),0,CN61)</f>
        <v>#REF!</v>
      </c>
      <c r="CO67" s="298"/>
      <c r="CP67" s="298"/>
      <c r="CQ67" s="298" t="e">
        <f>IF(AND(#REF!=0,#REF!=0),0,CQ61)</f>
        <v>#REF!</v>
      </c>
      <c r="CR67" s="298"/>
      <c r="CS67" s="298"/>
      <c r="CT67" s="298" t="e">
        <f>IF(OR(#REF!="",#REF!=""),0,CT61)</f>
        <v>#REF!</v>
      </c>
      <c r="CU67" s="298"/>
      <c r="CV67" s="298"/>
      <c r="CW67" s="298" t="e">
        <f>IF(OR(#REF!="",#REF!=""),0,CW61)</f>
        <v>#REF!</v>
      </c>
      <c r="CX67" s="298"/>
      <c r="CY67" s="298"/>
      <c r="CZ67" s="298" t="e">
        <f>IF(OR(#REF!="",#REF!=""),0,CZ61)</f>
        <v>#REF!</v>
      </c>
      <c r="DA67" s="298"/>
      <c r="DB67" s="298"/>
    </row>
    <row r="68" spans="49:106" ht="15" hidden="1" customHeight="1">
      <c r="AW68" s="86"/>
      <c r="CB68" s="298" t="e">
        <f>IF(AND(#REF!=0,#REF!=0),0,S34)</f>
        <v>#REF!</v>
      </c>
      <c r="CC68" s="298"/>
      <c r="CD68" s="298"/>
      <c r="CE68" s="298" t="e">
        <f>IF(AND(#REF!=0,#REF!=0),0,V34)</f>
        <v>#REF!</v>
      </c>
      <c r="CF68" s="298"/>
      <c r="CG68" s="298"/>
      <c r="CH68" s="237" t="e">
        <f>IF(AND(#REF!=0,#REF!=0),0,Y34)</f>
        <v>#REF!</v>
      </c>
      <c r="CI68" s="237"/>
      <c r="CJ68" s="237"/>
      <c r="CK68" s="298" t="e">
        <f>IF(AND(#REF!=0,#REF!=0),0,AB34)</f>
        <v>#REF!</v>
      </c>
      <c r="CL68" s="298"/>
      <c r="CM68" s="298"/>
      <c r="CN68" s="298" t="e">
        <f>IF(AND(#REF!=0,#REF!=0),0,AE34)</f>
        <v>#REF!</v>
      </c>
      <c r="CO68" s="298"/>
      <c r="CP68" s="298"/>
      <c r="CQ68" s="298" t="e">
        <f>IF(AND(#REF!=0,#REF!=0),0,AJ47)</f>
        <v>#REF!</v>
      </c>
      <c r="CR68" s="298"/>
      <c r="CS68" s="298"/>
      <c r="CT68" s="298" t="e">
        <f>IF(OR(#REF!=0,#REF!=0),0,AM47)</f>
        <v>#REF!</v>
      </c>
      <c r="CU68" s="298"/>
      <c r="CV68" s="298"/>
      <c r="CW68" s="298" t="e">
        <f>IF(OR(#REF!=0,#REF!=0),0,AP47)</f>
        <v>#REF!</v>
      </c>
      <c r="CX68" s="298"/>
      <c r="CY68" s="298"/>
      <c r="CZ68" s="298" t="e">
        <f>IF(OR(#REF!=0,#REF!=0),0,AS47)</f>
        <v>#REF!</v>
      </c>
      <c r="DA68" s="298"/>
      <c r="DB68" s="298"/>
    </row>
    <row r="69" spans="49:106" ht="15" hidden="1" customHeight="1">
      <c r="AW69" s="86"/>
    </row>
    <row r="70" spans="49:106" ht="15" hidden="1" customHeight="1">
      <c r="AW70" s="86"/>
    </row>
    <row r="71" spans="49:106" ht="15" hidden="1" customHeight="1"/>
    <row r="72" spans="49:106" ht="15" hidden="1" customHeight="1"/>
    <row r="73" spans="49:106" ht="15" hidden="1" customHeight="1"/>
    <row r="74" spans="49:106" ht="15" hidden="1" customHeight="1"/>
    <row r="75" spans="49:106" ht="15" hidden="1" customHeight="1"/>
    <row r="76" spans="49:106" ht="15" hidden="1" customHeight="1"/>
    <row r="77" spans="49:106" ht="0" hidden="1" customHeight="1"/>
    <row r="78" spans="49:106" ht="0" hidden="1" customHeight="1"/>
    <row r="79" spans="49:106" ht="0" hidden="1" customHeight="1"/>
    <row r="80" spans="49:106" ht="0" hidden="1" customHeight="1"/>
    <row r="81" ht="0" hidden="1" customHeight="1"/>
  </sheetData>
  <sheetProtection password="83B1" sheet="1" objects="1" scenarios="1" selectLockedCells="1"/>
  <dataConsolidate/>
  <mergeCells count="546">
    <mergeCell ref="BO15:BQ15"/>
    <mergeCell ref="BR15:BT15"/>
    <mergeCell ref="BO16:BQ16"/>
    <mergeCell ref="BR16:BT16"/>
    <mergeCell ref="DH2:DX2"/>
    <mergeCell ref="DH3:DX3"/>
    <mergeCell ref="DH5:DX5"/>
    <mergeCell ref="CZ45:DB45"/>
    <mergeCell ref="CW45:CY45"/>
    <mergeCell ref="CT45:CV45"/>
    <mergeCell ref="CQ45:CS45"/>
    <mergeCell ref="CN45:CP45"/>
    <mergeCell ref="CK45:CM45"/>
    <mergeCell ref="CB48:CD48"/>
    <mergeCell ref="CE46:CG46"/>
    <mergeCell ref="A1:F4"/>
    <mergeCell ref="P8:R8"/>
    <mergeCell ref="AL8:AN8"/>
    <mergeCell ref="BO47:BQ47"/>
    <mergeCell ref="BR47:BT47"/>
    <mergeCell ref="BG44:BH44"/>
    <mergeCell ref="BR42:BT42"/>
    <mergeCell ref="BE36:BF36"/>
    <mergeCell ref="BG36:BH36"/>
    <mergeCell ref="BI36:BK36"/>
    <mergeCell ref="BL36:BN36"/>
    <mergeCell ref="BO36:BQ36"/>
    <mergeCell ref="BR36:BT36"/>
    <mergeCell ref="BE38:BF38"/>
    <mergeCell ref="BG38:BH38"/>
    <mergeCell ref="BI38:BK38"/>
    <mergeCell ref="BL38:BN38"/>
    <mergeCell ref="AL9:AN9"/>
    <mergeCell ref="AL12:AN12"/>
    <mergeCell ref="AL13:AN13"/>
    <mergeCell ref="BR41:BT41"/>
    <mergeCell ref="BE40:BF40"/>
    <mergeCell ref="BE45:BF45"/>
    <mergeCell ref="BG45:BH45"/>
    <mergeCell ref="BI45:BK45"/>
    <mergeCell ref="BL45:BN45"/>
    <mergeCell ref="BI44:BK44"/>
    <mergeCell ref="BL44:BN44"/>
    <mergeCell ref="BO44:BQ44"/>
    <mergeCell ref="BR44:BT44"/>
    <mergeCell ref="CK46:CM46"/>
    <mergeCell ref="BE46:BF46"/>
    <mergeCell ref="BG46:BH46"/>
    <mergeCell ref="BI46:BK46"/>
    <mergeCell ref="BL46:BN46"/>
    <mergeCell ref="BO46:BQ46"/>
    <mergeCell ref="BR46:BT46"/>
    <mergeCell ref="CB45:CD45"/>
    <mergeCell ref="CB44:CD44"/>
    <mergeCell ref="CE44:CG44"/>
    <mergeCell ref="BO45:BQ45"/>
    <mergeCell ref="BR45:BT45"/>
    <mergeCell ref="CB46:CD46"/>
    <mergeCell ref="BE44:BF44"/>
    <mergeCell ref="CE45:CG45"/>
    <mergeCell ref="CB50:CD50"/>
    <mergeCell ref="BE47:BF47"/>
    <mergeCell ref="BG47:BH47"/>
    <mergeCell ref="BI47:BK47"/>
    <mergeCell ref="BL47:BN47"/>
    <mergeCell ref="BE49:BF49"/>
    <mergeCell ref="BG49:BH49"/>
    <mergeCell ref="BI49:BK49"/>
    <mergeCell ref="BL49:BN49"/>
    <mergeCell ref="BO49:BQ49"/>
    <mergeCell ref="BR49:BT49"/>
    <mergeCell ref="CB49:CD49"/>
    <mergeCell ref="BE50:BF50"/>
    <mergeCell ref="BG50:BH50"/>
    <mergeCell ref="BI50:BK50"/>
    <mergeCell ref="BL50:BN50"/>
    <mergeCell ref="BO50:BQ50"/>
    <mergeCell ref="BR50:BT50"/>
    <mergeCell ref="BE48:BF48"/>
    <mergeCell ref="BG48:BH48"/>
    <mergeCell ref="BI48:BK48"/>
    <mergeCell ref="BL48:BN48"/>
    <mergeCell ref="BO48:BQ48"/>
    <mergeCell ref="BR48:BT48"/>
    <mergeCell ref="BE37:BF37"/>
    <mergeCell ref="BG37:BH37"/>
    <mergeCell ref="BI37:BK37"/>
    <mergeCell ref="BL37:BN37"/>
    <mergeCell ref="BO37:BQ37"/>
    <mergeCell ref="BR37:BT37"/>
    <mergeCell ref="BE43:BF43"/>
    <mergeCell ref="BG43:BH43"/>
    <mergeCell ref="BI43:BK43"/>
    <mergeCell ref="BL43:BN43"/>
    <mergeCell ref="BR43:BT43"/>
    <mergeCell ref="BE39:BF39"/>
    <mergeCell ref="BG39:BH39"/>
    <mergeCell ref="BI39:BK39"/>
    <mergeCell ref="BL39:BN39"/>
    <mergeCell ref="BO39:BQ39"/>
    <mergeCell ref="BR39:BT39"/>
    <mergeCell ref="BE41:BF41"/>
    <mergeCell ref="BG41:BH41"/>
    <mergeCell ref="BI41:BK41"/>
    <mergeCell ref="BL41:BN41"/>
    <mergeCell ref="BO41:BQ41"/>
    <mergeCell ref="BL40:BN40"/>
    <mergeCell ref="BO40:BQ40"/>
    <mergeCell ref="CZ46:DB46"/>
    <mergeCell ref="BE17:BF17"/>
    <mergeCell ref="BG17:BH17"/>
    <mergeCell ref="BI17:BK17"/>
    <mergeCell ref="BL17:BN17"/>
    <mergeCell ref="BO17:BQ17"/>
    <mergeCell ref="BR17:BT17"/>
    <mergeCell ref="BE28:BF28"/>
    <mergeCell ref="BG28:BH28"/>
    <mergeCell ref="BI28:BK28"/>
    <mergeCell ref="BL28:BN28"/>
    <mergeCell ref="BO28:BQ28"/>
    <mergeCell ref="BR28:BT28"/>
    <mergeCell ref="BE29:BF29"/>
    <mergeCell ref="BG29:BH29"/>
    <mergeCell ref="BI29:BK29"/>
    <mergeCell ref="BL29:BN29"/>
    <mergeCell ref="BO29:BQ29"/>
    <mergeCell ref="BE33:BF33"/>
    <mergeCell ref="BG33:BH33"/>
    <mergeCell ref="BI33:BK33"/>
    <mergeCell ref="BL33:BN33"/>
    <mergeCell ref="BO33:BQ33"/>
    <mergeCell ref="BR33:BT33"/>
    <mergeCell ref="BE42:BF42"/>
    <mergeCell ref="BE32:BF32"/>
    <mergeCell ref="BG32:BH32"/>
    <mergeCell ref="BE31:BF31"/>
    <mergeCell ref="BG31:BH31"/>
    <mergeCell ref="BI31:BK31"/>
    <mergeCell ref="BL31:BN31"/>
    <mergeCell ref="BO31:BQ31"/>
    <mergeCell ref="BR31:BT31"/>
    <mergeCell ref="BI42:BK42"/>
    <mergeCell ref="BL42:BN42"/>
    <mergeCell ref="BO42:BQ42"/>
    <mergeCell ref="BE35:BF35"/>
    <mergeCell ref="BG35:BH35"/>
    <mergeCell ref="BI35:BK35"/>
    <mergeCell ref="BL35:BN35"/>
    <mergeCell ref="BO35:BQ35"/>
    <mergeCell ref="BR35:BT35"/>
    <mergeCell ref="BE34:BF34"/>
    <mergeCell ref="BG34:BH34"/>
    <mergeCell ref="BI34:BK34"/>
    <mergeCell ref="BL34:BN34"/>
    <mergeCell ref="BO34:BQ34"/>
    <mergeCell ref="BR34:BT34"/>
    <mergeCell ref="BI30:BK30"/>
    <mergeCell ref="BL30:BN30"/>
    <mergeCell ref="BG42:BH42"/>
    <mergeCell ref="BI32:BK32"/>
    <mergeCell ref="BL32:BN32"/>
    <mergeCell ref="BO32:BQ32"/>
    <mergeCell ref="BR32:BT32"/>
    <mergeCell ref="BO30:BQ30"/>
    <mergeCell ref="BR30:BT30"/>
    <mergeCell ref="BO38:BQ38"/>
    <mergeCell ref="BR38:BT38"/>
    <mergeCell ref="BR40:BT40"/>
    <mergeCell ref="BG40:BH40"/>
    <mergeCell ref="BI40:BK40"/>
    <mergeCell ref="CW48:CY48"/>
    <mergeCell ref="CZ48:DB48"/>
    <mergeCell ref="CE50:CG50"/>
    <mergeCell ref="CK50:CM50"/>
    <mergeCell ref="CN50:CP50"/>
    <mergeCell ref="CQ50:CS50"/>
    <mergeCell ref="CT50:CV50"/>
    <mergeCell ref="CW50:CY50"/>
    <mergeCell ref="CZ50:DB50"/>
    <mergeCell ref="CE48:CG48"/>
    <mergeCell ref="CK48:CM48"/>
    <mergeCell ref="CN48:CP48"/>
    <mergeCell ref="CQ48:CS48"/>
    <mergeCell ref="CT48:CV48"/>
    <mergeCell ref="CK49:CM49"/>
    <mergeCell ref="CN49:CP49"/>
    <mergeCell ref="CQ49:CS49"/>
    <mergeCell ref="CT49:CV49"/>
    <mergeCell ref="CW49:CY49"/>
    <mergeCell ref="CZ49:DB49"/>
    <mergeCell ref="CE49:CG49"/>
    <mergeCell ref="CW46:CY46"/>
    <mergeCell ref="CN46:CP46"/>
    <mergeCell ref="CQ46:CS46"/>
    <mergeCell ref="CT46:CV46"/>
    <mergeCell ref="BE15:BF15"/>
    <mergeCell ref="BG15:BH15"/>
    <mergeCell ref="BI15:BK15"/>
    <mergeCell ref="BL15:BN15"/>
    <mergeCell ref="BE26:BF26"/>
    <mergeCell ref="BG26:BH26"/>
    <mergeCell ref="BI26:BK26"/>
    <mergeCell ref="BL26:BN26"/>
    <mergeCell ref="BO26:BQ26"/>
    <mergeCell ref="BR26:BT26"/>
    <mergeCell ref="BE24:BF24"/>
    <mergeCell ref="BG24:BH24"/>
    <mergeCell ref="BI24:BK24"/>
    <mergeCell ref="BL24:BN24"/>
    <mergeCell ref="BO24:BQ24"/>
    <mergeCell ref="BR24:BT24"/>
    <mergeCell ref="BE25:BF25"/>
    <mergeCell ref="BR29:BT29"/>
    <mergeCell ref="BE30:BF30"/>
    <mergeCell ref="BG30:BH30"/>
    <mergeCell ref="BG25:BH25"/>
    <mergeCell ref="BI25:BK25"/>
    <mergeCell ref="BL25:BN25"/>
    <mergeCell ref="BO25:BQ25"/>
    <mergeCell ref="BR25:BT25"/>
    <mergeCell ref="BE22:BF22"/>
    <mergeCell ref="BG22:BH22"/>
    <mergeCell ref="BI22:BK22"/>
    <mergeCell ref="BL22:BN22"/>
    <mergeCell ref="BO22:BQ22"/>
    <mergeCell ref="BR22:BT22"/>
    <mergeCell ref="BE23:BF23"/>
    <mergeCell ref="BG23:BH23"/>
    <mergeCell ref="BI23:BK23"/>
    <mergeCell ref="BL23:BN23"/>
    <mergeCell ref="BO23:BQ23"/>
    <mergeCell ref="BR23:BT23"/>
    <mergeCell ref="BG19:BH19"/>
    <mergeCell ref="BI19:BK19"/>
    <mergeCell ref="BL19:BN19"/>
    <mergeCell ref="BO19:BQ19"/>
    <mergeCell ref="BR19:BT19"/>
    <mergeCell ref="BE20:BF20"/>
    <mergeCell ref="BG20:BH20"/>
    <mergeCell ref="BI20:BK20"/>
    <mergeCell ref="BL20:BN20"/>
    <mergeCell ref="BO20:BQ20"/>
    <mergeCell ref="BR20:BT20"/>
    <mergeCell ref="CZ65:DB65"/>
    <mergeCell ref="CZ66:DB66"/>
    <mergeCell ref="CZ67:DB67"/>
    <mergeCell ref="CZ68:DB68"/>
    <mergeCell ref="CW66:CY66"/>
    <mergeCell ref="CW67:CY67"/>
    <mergeCell ref="CW68:CY68"/>
    <mergeCell ref="CZ51:DB51"/>
    <mergeCell ref="CZ52:DB52"/>
    <mergeCell ref="CZ54:DB54"/>
    <mergeCell ref="CZ55:DB55"/>
    <mergeCell ref="CZ56:DB56"/>
    <mergeCell ref="CZ58:DB58"/>
    <mergeCell ref="CZ59:DB59"/>
    <mergeCell ref="CZ60:DB60"/>
    <mergeCell ref="CZ61:DB61"/>
    <mergeCell ref="CZ63:DB63"/>
    <mergeCell ref="CZ64:DB64"/>
    <mergeCell ref="CW65:CY65"/>
    <mergeCell ref="CT51:CV51"/>
    <mergeCell ref="CT52:CV52"/>
    <mergeCell ref="CT54:CV54"/>
    <mergeCell ref="CW60:CY60"/>
    <mergeCell ref="CW61:CY61"/>
    <mergeCell ref="CW63:CY63"/>
    <mergeCell ref="CW64:CY64"/>
    <mergeCell ref="CW51:CY51"/>
    <mergeCell ref="CW52:CY52"/>
    <mergeCell ref="CW54:CY54"/>
    <mergeCell ref="CW55:CY55"/>
    <mergeCell ref="CW56:CY56"/>
    <mergeCell ref="CW58:CY58"/>
    <mergeCell ref="CW59:CY59"/>
    <mergeCell ref="CT66:CV66"/>
    <mergeCell ref="CT55:CV55"/>
    <mergeCell ref="CT56:CV56"/>
    <mergeCell ref="CT58:CV58"/>
    <mergeCell ref="CT59:CV59"/>
    <mergeCell ref="CT60:CV60"/>
    <mergeCell ref="CT67:CV67"/>
    <mergeCell ref="CT68:CV68"/>
    <mergeCell ref="CQ55:CS55"/>
    <mergeCell ref="CQ56:CS56"/>
    <mergeCell ref="CQ58:CS58"/>
    <mergeCell ref="CQ59:CS59"/>
    <mergeCell ref="CQ64:CS64"/>
    <mergeCell ref="CQ65:CS65"/>
    <mergeCell ref="CQ66:CS66"/>
    <mergeCell ref="CQ67:CS67"/>
    <mergeCell ref="CQ68:CS68"/>
    <mergeCell ref="CQ60:CS60"/>
    <mergeCell ref="CQ61:CS61"/>
    <mergeCell ref="CQ63:CS63"/>
    <mergeCell ref="CT61:CV61"/>
    <mergeCell ref="CT63:CV63"/>
    <mergeCell ref="CT64:CV64"/>
    <mergeCell ref="CT65:CV65"/>
    <mergeCell ref="CN59:CP59"/>
    <mergeCell ref="CN60:CP60"/>
    <mergeCell ref="CN61:CP61"/>
    <mergeCell ref="CN63:CP63"/>
    <mergeCell ref="CN64:CP64"/>
    <mergeCell ref="CN65:CP65"/>
    <mergeCell ref="CN66:CP66"/>
    <mergeCell ref="CN67:CP67"/>
    <mergeCell ref="CN68:CP68"/>
    <mergeCell ref="CK59:CM59"/>
    <mergeCell ref="CK60:CM60"/>
    <mergeCell ref="CK61:CM61"/>
    <mergeCell ref="CK63:CM63"/>
    <mergeCell ref="CK64:CM64"/>
    <mergeCell ref="CK65:CM65"/>
    <mergeCell ref="CK66:CM66"/>
    <mergeCell ref="CK67:CM67"/>
    <mergeCell ref="CK68:CM68"/>
    <mergeCell ref="CQ51:CS51"/>
    <mergeCell ref="CQ52:CS52"/>
    <mergeCell ref="CQ54:CS54"/>
    <mergeCell ref="CK51:CM51"/>
    <mergeCell ref="CK52:CM52"/>
    <mergeCell ref="CK54:CM54"/>
    <mergeCell ref="CK55:CM55"/>
    <mergeCell ref="CK56:CM56"/>
    <mergeCell ref="CK58:CM58"/>
    <mergeCell ref="CN51:CP51"/>
    <mergeCell ref="CN52:CP52"/>
    <mergeCell ref="CN54:CP54"/>
    <mergeCell ref="CN55:CP55"/>
    <mergeCell ref="CN56:CP56"/>
    <mergeCell ref="CN58:CP58"/>
    <mergeCell ref="CE56:CG56"/>
    <mergeCell ref="CE58:CG58"/>
    <mergeCell ref="CE59:CG59"/>
    <mergeCell ref="CE60:CG60"/>
    <mergeCell ref="CE61:CG61"/>
    <mergeCell ref="CE64:CG64"/>
    <mergeCell ref="CE65:CG65"/>
    <mergeCell ref="CB63:CD63"/>
    <mergeCell ref="CB61:CD61"/>
    <mergeCell ref="CB68:CD68"/>
    <mergeCell ref="CB67:CD67"/>
    <mergeCell ref="CB66:CD66"/>
    <mergeCell ref="CE66:CG66"/>
    <mergeCell ref="CE67:CG67"/>
    <mergeCell ref="CE68:CG68"/>
    <mergeCell ref="CE63:CG63"/>
    <mergeCell ref="CB65:CD65"/>
    <mergeCell ref="CB64:CD64"/>
    <mergeCell ref="CE55:CG55"/>
    <mergeCell ref="BG53:BH53"/>
    <mergeCell ref="BI53:BK53"/>
    <mergeCell ref="BL53:BN53"/>
    <mergeCell ref="BO53:BQ53"/>
    <mergeCell ref="BR53:BT53"/>
    <mergeCell ref="BE52:BF52"/>
    <mergeCell ref="BG52:BH52"/>
    <mergeCell ref="BI52:BK52"/>
    <mergeCell ref="BL52:BN52"/>
    <mergeCell ref="BO52:BQ52"/>
    <mergeCell ref="BR52:BT52"/>
    <mergeCell ref="CB54:CD54"/>
    <mergeCell ref="CB52:CD52"/>
    <mergeCell ref="BL54:BN54"/>
    <mergeCell ref="BO54:BQ54"/>
    <mergeCell ref="BR54:BT54"/>
    <mergeCell ref="BE54:BF54"/>
    <mergeCell ref="BE53:BF53"/>
    <mergeCell ref="CE51:CG51"/>
    <mergeCell ref="CE52:CG52"/>
    <mergeCell ref="CE54:CG54"/>
    <mergeCell ref="BE51:BF51"/>
    <mergeCell ref="BG51:BH51"/>
    <mergeCell ref="BI51:BK51"/>
    <mergeCell ref="BL51:BN51"/>
    <mergeCell ref="BO51:BQ51"/>
    <mergeCell ref="BR51:BT51"/>
    <mergeCell ref="CB51:CD51"/>
    <mergeCell ref="BG54:BH54"/>
    <mergeCell ref="BI54:BK54"/>
    <mergeCell ref="CB56:CD56"/>
    <mergeCell ref="BL58:BN58"/>
    <mergeCell ref="BO58:BQ58"/>
    <mergeCell ref="BR58:BT58"/>
    <mergeCell ref="CB58:CD58"/>
    <mergeCell ref="BL56:BN56"/>
    <mergeCell ref="BO56:BQ56"/>
    <mergeCell ref="BR56:BT56"/>
    <mergeCell ref="BL57:BN57"/>
    <mergeCell ref="BO57:BQ57"/>
    <mergeCell ref="BR57:BT57"/>
    <mergeCell ref="CB59:CD59"/>
    <mergeCell ref="CB60:CD60"/>
    <mergeCell ref="BE59:BF59"/>
    <mergeCell ref="BG59:BH59"/>
    <mergeCell ref="BI59:BK59"/>
    <mergeCell ref="BL59:BN59"/>
    <mergeCell ref="BO59:BQ59"/>
    <mergeCell ref="BR59:BT59"/>
    <mergeCell ref="BE55:BF55"/>
    <mergeCell ref="BG55:BH55"/>
    <mergeCell ref="BI55:BK55"/>
    <mergeCell ref="BL55:BN55"/>
    <mergeCell ref="BO55:BQ55"/>
    <mergeCell ref="BR55:BT55"/>
    <mergeCell ref="BE56:BF56"/>
    <mergeCell ref="BG56:BH56"/>
    <mergeCell ref="BI56:BK56"/>
    <mergeCell ref="BE57:BF57"/>
    <mergeCell ref="BG57:BH57"/>
    <mergeCell ref="BI57:BK57"/>
    <mergeCell ref="BE58:BF58"/>
    <mergeCell ref="BG58:BH58"/>
    <mergeCell ref="BI58:BK58"/>
    <mergeCell ref="CB55:CD55"/>
    <mergeCell ref="A5:B5"/>
    <mergeCell ref="P31:R31"/>
    <mergeCell ref="P32:R32"/>
    <mergeCell ref="P25:R25"/>
    <mergeCell ref="P26:R26"/>
    <mergeCell ref="AF5:AG5"/>
    <mergeCell ref="P9:R9"/>
    <mergeCell ref="P14:R14"/>
    <mergeCell ref="P12:R12"/>
    <mergeCell ref="P10:R10"/>
    <mergeCell ref="P16:R16"/>
    <mergeCell ref="P13:R13"/>
    <mergeCell ref="P29:R29"/>
    <mergeCell ref="P21:R21"/>
    <mergeCell ref="P22:R22"/>
    <mergeCell ref="P23:R23"/>
    <mergeCell ref="P24:R24"/>
    <mergeCell ref="P11:R11"/>
    <mergeCell ref="P17:R17"/>
    <mergeCell ref="P27:R27"/>
    <mergeCell ref="P15:R15"/>
    <mergeCell ref="P19:R19"/>
    <mergeCell ref="P18:R18"/>
    <mergeCell ref="BI11:BK11"/>
    <mergeCell ref="BL11:BN11"/>
    <mergeCell ref="BO11:BQ11"/>
    <mergeCell ref="BR11:BT11"/>
    <mergeCell ref="G2:M2"/>
    <mergeCell ref="N2:Q2"/>
    <mergeCell ref="G4:Q4"/>
    <mergeCell ref="R2:U2"/>
    <mergeCell ref="R4:U4"/>
    <mergeCell ref="AD5:AE5"/>
    <mergeCell ref="Z5:AC5"/>
    <mergeCell ref="V5:Y5"/>
    <mergeCell ref="Z4:AC4"/>
    <mergeCell ref="AD4:AG4"/>
    <mergeCell ref="V4:Y4"/>
    <mergeCell ref="V2:AG2"/>
    <mergeCell ref="P34:R34"/>
    <mergeCell ref="P30:R30"/>
    <mergeCell ref="P33:R33"/>
    <mergeCell ref="BG27:BH27"/>
    <mergeCell ref="BI27:BK27"/>
    <mergeCell ref="BL27:BN27"/>
    <mergeCell ref="BO27:BQ27"/>
    <mergeCell ref="BR27:BT27"/>
    <mergeCell ref="BO12:BQ12"/>
    <mergeCell ref="BR12:BT12"/>
    <mergeCell ref="BE13:BF13"/>
    <mergeCell ref="BG13:BH13"/>
    <mergeCell ref="BI13:BK13"/>
    <mergeCell ref="BL13:BN13"/>
    <mergeCell ref="BO13:BQ13"/>
    <mergeCell ref="BR13:BT13"/>
    <mergeCell ref="BE16:BF16"/>
    <mergeCell ref="BG16:BH16"/>
    <mergeCell ref="BI16:BK16"/>
    <mergeCell ref="BL16:BN16"/>
    <mergeCell ref="BE14:BF14"/>
    <mergeCell ref="BG14:BH14"/>
    <mergeCell ref="BI14:BK14"/>
    <mergeCell ref="BL14:BN14"/>
    <mergeCell ref="P44:R44"/>
    <mergeCell ref="BE18:BF18"/>
    <mergeCell ref="BG18:BH18"/>
    <mergeCell ref="BI18:BK18"/>
    <mergeCell ref="BL18:BN18"/>
    <mergeCell ref="P41:R41"/>
    <mergeCell ref="CZ44:DB44"/>
    <mergeCell ref="CK44:CM44"/>
    <mergeCell ref="CN44:CP44"/>
    <mergeCell ref="CQ44:CS44"/>
    <mergeCell ref="CT44:CV44"/>
    <mergeCell ref="CW44:CY44"/>
    <mergeCell ref="P38:R38"/>
    <mergeCell ref="BO18:BQ18"/>
    <mergeCell ref="BR18:BT18"/>
    <mergeCell ref="BO43:BQ43"/>
    <mergeCell ref="BE21:BF21"/>
    <mergeCell ref="BG21:BH21"/>
    <mergeCell ref="BI21:BK21"/>
    <mergeCell ref="BL21:BN21"/>
    <mergeCell ref="BO21:BQ21"/>
    <mergeCell ref="BR21:BT21"/>
    <mergeCell ref="BE19:BF19"/>
    <mergeCell ref="BE27:BF27"/>
    <mergeCell ref="CE20:CF20"/>
    <mergeCell ref="CG20:CH20"/>
    <mergeCell ref="CG9:CH9"/>
    <mergeCell ref="CG10:CH10"/>
    <mergeCell ref="CG11:CH11"/>
    <mergeCell ref="CG12:CH12"/>
    <mergeCell ref="CG13:CH13"/>
    <mergeCell ref="CG14:CH14"/>
    <mergeCell ref="CG15:CH15"/>
    <mergeCell ref="CG16:CH16"/>
    <mergeCell ref="CE9:CF9"/>
    <mergeCell ref="CE10:CF10"/>
    <mergeCell ref="CE11:CF11"/>
    <mergeCell ref="CE12:CF12"/>
    <mergeCell ref="CE13:CF13"/>
    <mergeCell ref="CE14:CF14"/>
    <mergeCell ref="CE15:CF15"/>
    <mergeCell ref="CE16:CF16"/>
    <mergeCell ref="AA15:AC15"/>
    <mergeCell ref="CE7:CF7"/>
    <mergeCell ref="CE17:CF17"/>
    <mergeCell ref="CG17:CH17"/>
    <mergeCell ref="CE18:CF18"/>
    <mergeCell ref="CG18:CH18"/>
    <mergeCell ref="CE19:CF19"/>
    <mergeCell ref="CG19:CH19"/>
    <mergeCell ref="CG8:CH8"/>
    <mergeCell ref="CE8:CF8"/>
    <mergeCell ref="BE12:BF12"/>
    <mergeCell ref="BG12:BH12"/>
    <mergeCell ref="BI12:BK12"/>
    <mergeCell ref="BL12:BN12"/>
    <mergeCell ref="BO14:BQ14"/>
    <mergeCell ref="BR14:BT14"/>
    <mergeCell ref="BE9:BF10"/>
    <mergeCell ref="BG9:BH10"/>
    <mergeCell ref="BI9:BK10"/>
    <mergeCell ref="BL9:BN10"/>
    <mergeCell ref="BO9:BQ10"/>
    <mergeCell ref="BR9:BT10"/>
    <mergeCell ref="BE11:BF11"/>
    <mergeCell ref="BG11:BH11"/>
  </mergeCells>
  <conditionalFormatting sqref="P37:R37 S32:U32">
    <cfRule type="cellIs" dxfId="111" priority="1623" operator="greaterThanOrEqual">
      <formula>1000</formula>
    </cfRule>
    <cfRule type="cellIs" dxfId="110" priority="1624" operator="greaterThanOrEqual">
      <formula>100</formula>
    </cfRule>
    <cfRule type="cellIs" dxfId="109" priority="1625" operator="greaterThanOrEqual">
      <formula>10</formula>
    </cfRule>
    <cfRule type="cellIs" dxfId="108" priority="1626" operator="lessThan">
      <formula>10</formula>
    </cfRule>
  </conditionalFormatting>
  <conditionalFormatting sqref="P16:R16">
    <cfRule type="cellIs" dxfId="107" priority="1663" operator="greaterThanOrEqual">
      <formula>1000</formula>
    </cfRule>
    <cfRule type="cellIs" dxfId="106" priority="1664" operator="greaterThanOrEqual">
      <formula>100</formula>
    </cfRule>
    <cfRule type="cellIs" dxfId="105" priority="1665" operator="greaterThanOrEqual">
      <formula>10</formula>
    </cfRule>
    <cfRule type="cellIs" dxfId="104" priority="1666" operator="lessThan">
      <formula>10</formula>
    </cfRule>
  </conditionalFormatting>
  <conditionalFormatting sqref="P17:R17">
    <cfRule type="cellIs" dxfId="103" priority="1659" operator="greaterThanOrEqual">
      <formula>1000</formula>
    </cfRule>
    <cfRule type="cellIs" dxfId="102" priority="1660" operator="greaterThanOrEqual">
      <formula>100</formula>
    </cfRule>
    <cfRule type="cellIs" dxfId="101" priority="1661" operator="greaterThanOrEqual">
      <formula>10</formula>
    </cfRule>
    <cfRule type="cellIs" dxfId="100" priority="1662" operator="lessThan">
      <formula>10</formula>
    </cfRule>
  </conditionalFormatting>
  <conditionalFormatting sqref="P11:R11">
    <cfRule type="cellIs" dxfId="99" priority="1631" operator="greaterThanOrEqual">
      <formula>1000</formula>
    </cfRule>
    <cfRule type="cellIs" dxfId="98" priority="1632" operator="greaterThanOrEqual">
      <formula>100</formula>
    </cfRule>
    <cfRule type="cellIs" dxfId="97" priority="1633" operator="greaterThanOrEqual">
      <formula>10</formula>
    </cfRule>
    <cfRule type="cellIs" dxfId="96" priority="1634" operator="lessThan">
      <formula>10</formula>
    </cfRule>
  </conditionalFormatting>
  <conditionalFormatting sqref="P32:R33">
    <cfRule type="cellIs" dxfId="95" priority="1627" operator="greaterThanOrEqual">
      <formula>1000</formula>
    </cfRule>
    <cfRule type="cellIs" dxfId="94" priority="1628" operator="greaterThanOrEqual">
      <formula>100</formula>
    </cfRule>
    <cfRule type="cellIs" dxfId="93" priority="1629" operator="greaterThanOrEqual">
      <formula>10</formula>
    </cfRule>
    <cfRule type="cellIs" dxfId="92" priority="1630" operator="lessThan">
      <formula>10</formula>
    </cfRule>
  </conditionalFormatting>
  <conditionalFormatting sqref="P25:R25">
    <cfRule type="cellIs" dxfId="91" priority="99" operator="greaterThanOrEqual">
      <formula>1000</formula>
    </cfRule>
    <cfRule type="cellIs" dxfId="90" priority="100" operator="greaterThanOrEqual">
      <formula>100</formula>
    </cfRule>
    <cfRule type="cellIs" dxfId="89" priority="101" operator="greaterThanOrEqual">
      <formula>10</formula>
    </cfRule>
    <cfRule type="cellIs" dxfId="88" priority="102" operator="lessThan">
      <formula>10</formula>
    </cfRule>
  </conditionalFormatting>
  <conditionalFormatting sqref="P26:R26">
    <cfRule type="cellIs" dxfId="87" priority="95" operator="greaterThanOrEqual">
      <formula>1000</formula>
    </cfRule>
    <cfRule type="cellIs" dxfId="86" priority="96" operator="greaterThanOrEqual">
      <formula>100</formula>
    </cfRule>
    <cfRule type="cellIs" dxfId="85" priority="97" operator="greaterThanOrEqual">
      <formula>10</formula>
    </cfRule>
    <cfRule type="cellIs" dxfId="84" priority="98" operator="lessThan">
      <formula>10</formula>
    </cfRule>
  </conditionalFormatting>
  <conditionalFormatting sqref="P27:R27">
    <cfRule type="cellIs" dxfId="83" priority="91" operator="greaterThanOrEqual">
      <formula>1000</formula>
    </cfRule>
    <cfRule type="cellIs" dxfId="82" priority="92" operator="greaterThanOrEqual">
      <formula>100</formula>
    </cfRule>
    <cfRule type="cellIs" dxfId="81" priority="93" operator="greaterThanOrEqual">
      <formula>10</formula>
    </cfRule>
    <cfRule type="cellIs" dxfId="80" priority="94" operator="lessThan">
      <formula>10</formula>
    </cfRule>
  </conditionalFormatting>
  <conditionalFormatting sqref="P14:R14">
    <cfRule type="cellIs" dxfId="79" priority="83" operator="greaterThanOrEqual">
      <formula>1000</formula>
    </cfRule>
    <cfRule type="cellIs" dxfId="78" priority="84" operator="greaterThanOrEqual">
      <formula>100</formula>
    </cfRule>
    <cfRule type="cellIs" dxfId="77" priority="85" operator="greaterThanOrEqual">
      <formula>10</formula>
    </cfRule>
    <cfRule type="cellIs" dxfId="76" priority="86" operator="lessThan">
      <formula>10</formula>
    </cfRule>
  </conditionalFormatting>
  <conditionalFormatting sqref="P29:R29">
    <cfRule type="cellIs" dxfId="75" priority="79" operator="greaterThanOrEqual">
      <formula>1000</formula>
    </cfRule>
    <cfRule type="cellIs" dxfId="74" priority="80" operator="greaterThanOrEqual">
      <formula>100</formula>
    </cfRule>
    <cfRule type="cellIs" dxfId="73" priority="81" operator="greaterThanOrEqual">
      <formula>10</formula>
    </cfRule>
    <cfRule type="cellIs" dxfId="72" priority="82" operator="lessThan">
      <formula>10</formula>
    </cfRule>
  </conditionalFormatting>
  <conditionalFormatting sqref="P31:R31">
    <cfRule type="cellIs" dxfId="71" priority="67" operator="greaterThanOrEqual">
      <formula>1000</formula>
    </cfRule>
    <cfRule type="cellIs" dxfId="70" priority="68" operator="greaterThanOrEqual">
      <formula>100</formula>
    </cfRule>
    <cfRule type="cellIs" dxfId="69" priority="69" operator="greaterThanOrEqual">
      <formula>10</formula>
    </cfRule>
    <cfRule type="cellIs" dxfId="68" priority="70" operator="lessThan">
      <formula>10</formula>
    </cfRule>
  </conditionalFormatting>
  <conditionalFormatting sqref="P38:R38">
    <cfRule type="cellIs" dxfId="67" priority="56" operator="lessThan">
      <formula>-1000</formula>
    </cfRule>
    <cfRule type="cellIs" dxfId="66" priority="57" operator="greaterThanOrEqual">
      <formula>1000</formula>
    </cfRule>
    <cfRule type="cellIs" dxfId="65" priority="58" operator="greaterThanOrEqual">
      <formula>100</formula>
    </cfRule>
    <cfRule type="cellIs" dxfId="64" priority="1619" operator="greaterThanOrEqual">
      <formula>10</formula>
    </cfRule>
    <cfRule type="cellIs" dxfId="63" priority="1620" operator="lessThan">
      <formula>10</formula>
    </cfRule>
    <cfRule type="cellIs" dxfId="62" priority="1621" operator="lessThan">
      <formula>-10</formula>
    </cfRule>
    <cfRule type="cellIs" dxfId="61" priority="1622" operator="lessThan">
      <formula>-100</formula>
    </cfRule>
  </conditionalFormatting>
  <conditionalFormatting sqref="P30:R30">
    <cfRule type="cellIs" dxfId="60" priority="63" operator="greaterThanOrEqual">
      <formula>1000</formula>
    </cfRule>
    <cfRule type="cellIs" dxfId="59" priority="64" operator="greaterThanOrEqual">
      <formula>100</formula>
    </cfRule>
    <cfRule type="cellIs" dxfId="58" priority="65" operator="greaterThanOrEqual">
      <formula>10</formula>
    </cfRule>
    <cfRule type="cellIs" dxfId="57" priority="66" operator="lessThan">
      <formula>10</formula>
    </cfRule>
  </conditionalFormatting>
  <conditionalFormatting sqref="P34:R34">
    <cfRule type="cellIs" dxfId="56" priority="59" operator="greaterThanOrEqual">
      <formula>1000</formula>
    </cfRule>
    <cfRule type="cellIs" dxfId="55" priority="60" operator="greaterThanOrEqual">
      <formula>100</formula>
    </cfRule>
    <cfRule type="cellIs" dxfId="54" priority="61" operator="greaterThanOrEqual">
      <formula>10</formula>
    </cfRule>
    <cfRule type="cellIs" dxfId="53" priority="62" operator="lessThan">
      <formula>10</formula>
    </cfRule>
  </conditionalFormatting>
  <conditionalFormatting sqref="P41:R41">
    <cfRule type="cellIs" dxfId="52" priority="49" operator="lessThan">
      <formula>-1000</formula>
    </cfRule>
    <cfRule type="cellIs" dxfId="51" priority="50" operator="greaterThanOrEqual">
      <formula>1000</formula>
    </cfRule>
    <cfRule type="cellIs" dxfId="50" priority="51" operator="greaterThanOrEqual">
      <formula>100</formula>
    </cfRule>
    <cfRule type="cellIs" dxfId="49" priority="52" operator="greaterThanOrEqual">
      <formula>10</formula>
    </cfRule>
    <cfRule type="cellIs" dxfId="48" priority="53" operator="lessThan">
      <formula>10</formula>
    </cfRule>
    <cfRule type="cellIs" dxfId="47" priority="54" operator="lessThan">
      <formula>-10</formula>
    </cfRule>
    <cfRule type="cellIs" dxfId="46" priority="55" operator="lessThan">
      <formula>-100</formula>
    </cfRule>
  </conditionalFormatting>
  <conditionalFormatting sqref="P15:R15">
    <cfRule type="cellIs" dxfId="45" priority="45" operator="greaterThanOrEqual">
      <formula>1000</formula>
    </cfRule>
    <cfRule type="cellIs" dxfId="44" priority="46" operator="greaterThanOrEqual">
      <formula>100</formula>
    </cfRule>
    <cfRule type="cellIs" dxfId="43" priority="47" operator="greaterThanOrEqual">
      <formula>10</formula>
    </cfRule>
    <cfRule type="cellIs" dxfId="42" priority="48" operator="lessThan">
      <formula>10</formula>
    </cfRule>
  </conditionalFormatting>
  <conditionalFormatting sqref="P19:R19">
    <cfRule type="cellIs" dxfId="41" priority="41" operator="greaterThanOrEqual">
      <formula>1000</formula>
    </cfRule>
    <cfRule type="cellIs" dxfId="40" priority="42" operator="greaterThanOrEqual">
      <formula>100</formula>
    </cfRule>
    <cfRule type="cellIs" dxfId="39" priority="43" operator="greaterThanOrEqual">
      <formula>10</formula>
    </cfRule>
    <cfRule type="cellIs" dxfId="38" priority="44" operator="lessThan">
      <formula>10</formula>
    </cfRule>
  </conditionalFormatting>
  <conditionalFormatting sqref="P44:R44">
    <cfRule type="expression" dxfId="37" priority="9">
      <formula>$P$44=0</formula>
    </cfRule>
    <cfRule type="cellIs" dxfId="36" priority="34" operator="lessThan">
      <formula>-1000</formula>
    </cfRule>
    <cfRule type="cellIs" dxfId="35" priority="35" operator="greaterThanOrEqual">
      <formula>1000</formula>
    </cfRule>
    <cfRule type="cellIs" dxfId="34" priority="36" operator="greaterThanOrEqual">
      <formula>100</formula>
    </cfRule>
    <cfRule type="cellIs" dxfId="33" priority="37" operator="greaterThanOrEqual">
      <formula>10</formula>
    </cfRule>
    <cfRule type="cellIs" dxfId="32" priority="38" operator="lessThan">
      <formula>10</formula>
    </cfRule>
    <cfRule type="cellIs" dxfId="31" priority="39" operator="lessThan">
      <formula>-10</formula>
    </cfRule>
    <cfRule type="cellIs" dxfId="30" priority="40" operator="lessThan">
      <formula>-100</formula>
    </cfRule>
  </conditionalFormatting>
  <conditionalFormatting sqref="P22:R24">
    <cfRule type="cellIs" dxfId="29" priority="30" operator="greaterThanOrEqual">
      <formula>1000</formula>
    </cfRule>
    <cfRule type="cellIs" dxfId="28" priority="31" operator="greaterThanOrEqual">
      <formula>100</formula>
    </cfRule>
    <cfRule type="cellIs" dxfId="27" priority="32" operator="greaterThanOrEqual">
      <formula>10</formula>
    </cfRule>
    <cfRule type="cellIs" dxfId="26" priority="33" operator="lessThan">
      <formula>10</formula>
    </cfRule>
  </conditionalFormatting>
  <conditionalFormatting sqref="P18:R18">
    <cfRule type="cellIs" dxfId="25" priority="26" operator="greaterThanOrEqual">
      <formula>1000</formula>
    </cfRule>
    <cfRule type="cellIs" dxfId="24" priority="27" operator="greaterThanOrEqual">
      <formula>100</formula>
    </cfRule>
    <cfRule type="cellIs" dxfId="23" priority="28" operator="greaterThanOrEqual">
      <formula>10</formula>
    </cfRule>
    <cfRule type="cellIs" dxfId="22" priority="29" operator="lessThan">
      <formula>10</formula>
    </cfRule>
  </conditionalFormatting>
  <conditionalFormatting sqref="N11">
    <cfRule type="expression" dxfId="21" priority="24">
      <formula>$P$11&lt;=0</formula>
    </cfRule>
  </conditionalFormatting>
  <conditionalFormatting sqref="N16">
    <cfRule type="expression" dxfId="20" priority="22">
      <formula>$P$16&lt;0</formula>
    </cfRule>
    <cfRule type="expression" dxfId="19" priority="23">
      <formula>$P$16=0</formula>
    </cfRule>
  </conditionalFormatting>
  <conditionalFormatting sqref="N21">
    <cfRule type="expression" dxfId="18" priority="21">
      <formula>$P$21&lt;4</formula>
    </cfRule>
  </conditionalFormatting>
  <conditionalFormatting sqref="N22">
    <cfRule type="expression" dxfId="17" priority="20">
      <formula>$P$22&lt;=0</formula>
    </cfRule>
  </conditionalFormatting>
  <conditionalFormatting sqref="N23">
    <cfRule type="expression" dxfId="16" priority="19">
      <formula>$P$23&lt;=0</formula>
    </cfRule>
  </conditionalFormatting>
  <conditionalFormatting sqref="N25">
    <cfRule type="expression" dxfId="15" priority="18">
      <formula>$P$25&lt;=0</formula>
    </cfRule>
  </conditionalFormatting>
  <conditionalFormatting sqref="N26">
    <cfRule type="expression" dxfId="14" priority="17">
      <formula>$P$26&lt;=0</formula>
    </cfRule>
  </conditionalFormatting>
  <conditionalFormatting sqref="N29">
    <cfRule type="expression" dxfId="13" priority="16">
      <formula>$P$29&lt;=0</formula>
    </cfRule>
  </conditionalFormatting>
  <conditionalFormatting sqref="N30">
    <cfRule type="expression" dxfId="12" priority="15">
      <formula>$P$30&lt;=0</formula>
    </cfRule>
  </conditionalFormatting>
  <conditionalFormatting sqref="N31">
    <cfRule type="expression" dxfId="11" priority="14">
      <formula>$P$31&lt;=0</formula>
    </cfRule>
  </conditionalFormatting>
  <conditionalFormatting sqref="N32">
    <cfRule type="expression" dxfId="10" priority="13">
      <formula>$P$32&lt;=0</formula>
    </cfRule>
  </conditionalFormatting>
  <conditionalFormatting sqref="N33">
    <cfRule type="expression" dxfId="9" priority="12">
      <formula>$P$33&lt;=0</formula>
    </cfRule>
  </conditionalFormatting>
  <conditionalFormatting sqref="N44">
    <cfRule type="expression" dxfId="8" priority="11">
      <formula>$P$44=0</formula>
    </cfRule>
  </conditionalFormatting>
  <conditionalFormatting sqref="O44">
    <cfRule type="expression" dxfId="7" priority="10">
      <formula>$P$44=0</formula>
    </cfRule>
  </conditionalFormatting>
  <conditionalFormatting sqref="S44">
    <cfRule type="expression" dxfId="6" priority="8">
      <formula>$P$44=0</formula>
    </cfRule>
  </conditionalFormatting>
  <conditionalFormatting sqref="N9">
    <cfRule type="expression" dxfId="5" priority="7">
      <formula>$AL$9&gt;48</formula>
    </cfRule>
  </conditionalFormatting>
  <conditionalFormatting sqref="AA15:AC15">
    <cfRule type="expression" dxfId="4" priority="1">
      <formula>$AA$15&gt;$P$44</formula>
    </cfRule>
    <cfRule type="cellIs" dxfId="3" priority="3" operator="greaterThanOrEqual">
      <formula>1000</formula>
    </cfRule>
    <cfRule type="cellIs" dxfId="2" priority="4" operator="greaterThanOrEqual">
      <formula>100</formula>
    </cfRule>
    <cfRule type="cellIs" dxfId="1" priority="5" operator="greaterThanOrEqual">
      <formula>10</formula>
    </cfRule>
    <cfRule type="cellIs" dxfId="0" priority="6" operator="lessThan">
      <formula>10</formula>
    </cfRule>
  </conditionalFormatting>
  <dataValidations count="9">
    <dataValidation type="list" allowBlank="1" showInputMessage="1" showErrorMessage="1" sqref="AO37:AP37 AL33:AP33">
      <formula1>$CC$30:$CC$33</formula1>
    </dataValidation>
    <dataValidation type="list" allowBlank="1" showInputMessage="1" showErrorMessage="1" sqref="S47:AE48 AI45:AU45">
      <formula1>"(EXP),(SUS),(OCC),(OPE),(FAT),(HYD)"</formula1>
    </dataValidation>
    <dataValidation type="list" allowBlank="1" showInputMessage="1" showErrorMessage="1" sqref="S46:AE46 AH44:AU44">
      <formula1>"L3,L90,L91,L97,L98,L99,L100,L23,L24,L15"</formula1>
    </dataValidation>
    <dataValidation type="list" allowBlank="1" showInputMessage="1" showErrorMessage="1" sqref="P8:R8">
      <formula1>"A1A,A1B,B1A,D1A,S1A,S1B,S1C,S1D"</formula1>
    </dataValidation>
    <dataValidation type="list" allowBlank="1" showInputMessage="1" showErrorMessage="1" sqref="P12:R12">
      <formula1>"150,300,600,900,1500,2500"</formula1>
    </dataValidation>
    <dataValidation type="list" allowBlank="1" showInputMessage="1" showErrorMessage="1" sqref="P13:R13">
      <formula1>"1.1,2.2,2.8,0"</formula1>
    </dataValidation>
    <dataValidation type="list" allowBlank="1" showInputMessage="1" showErrorMessage="1" sqref="T23:T24 T17 P10:R10">
      <formula1>$DG$6:$DX$6</formula1>
    </dataValidation>
    <dataValidation type="list" allowBlank="1" showInputMessage="1" showErrorMessage="1" sqref="S21 P9:R9 S29:T29 T21:T22">
      <formula1>$DE$7:$DE$48</formula1>
    </dataValidation>
    <dataValidation type="list" allowBlank="1" showInputMessage="1" showErrorMessage="1" sqref="AD5:AE5">
      <formula1>$BE$11:$BE$60</formula1>
    </dataValidation>
  </dataValidations>
  <pageMargins left="1.1417322834645669" right="0" top="0.15748031496062992" bottom="0.55118110236220474" header="0" footer="0"/>
  <pageSetup paperSize="9" orientation="portrait" r:id="rId1"/>
  <headerFooter>
    <oddFooter xml:space="preserve">&amp;L&amp;07&amp;"Arial"Microsoft Excel Ver. 14.0 (Build 6024)
File: C:\Ithaca\FPF1-298\&amp;F
Licensed To: Microsoft&amp;R&amp;07&amp;"Arial"Date: &amp;D Time: &amp;T
</oddFooter>
  </headerFooter>
  <drawing r:id="rId2"/>
  <extLst>
    <ext xmlns:x14="http://schemas.microsoft.com/office/spreadsheetml/2009/9/main" uri="{CCE6A557-97BC-4b89-ADB6-D9C93CAAB3DF}">
      <x14:dataValidations xmlns:xm="http://schemas.microsoft.com/office/excel/2006/main" count="3">
        <x14:dataValidation type="list" allowBlank="1" showInputMessage="1" showErrorMessage="1">
          <x14:formula1>
            <xm:f>'Pipe Classes'!$A$2:$A$7</xm:f>
          </x14:formula1>
          <xm:sqref>AL12:AN12</xm:sqref>
        </x14:dataValidation>
        <x14:dataValidation type="list" allowBlank="1" showInputMessage="1" showErrorMessage="1">
          <x14:formula1>
            <xm:f>Flanges!$A$3:$A$40</xm:f>
          </x14:formula1>
          <xm:sqref>AL8:AN8</xm:sqref>
        </x14:dataValidation>
        <x14:dataValidation type="list" allowBlank="1" showInputMessage="1" showErrorMessage="1">
          <x14:formula1>
            <xm:f>'Rating Data'!$S$4:$S$47</xm:f>
          </x14:formula1>
          <xm:sqref>AL13:AN13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AB41"/>
  <sheetViews>
    <sheetView zoomScale="80" zoomScaleNormal="80" workbookViewId="0">
      <pane xSplit="1" ySplit="2" topLeftCell="B3" activePane="bottomRight" state="frozenSplit"/>
      <selection pane="topRight" activeCell="B1" sqref="B1"/>
      <selection pane="bottomLeft" activeCell="A2" sqref="A2"/>
      <selection pane="bottomRight" sqref="A1:A2"/>
    </sheetView>
  </sheetViews>
  <sheetFormatPr defaultColWidth="9.109375" defaultRowHeight="14.4"/>
  <cols>
    <col min="1" max="1" width="8" style="209" customWidth="1"/>
    <col min="2" max="2" width="10.6640625" style="209" bestFit="1" customWidth="1"/>
    <col min="3" max="4" width="26.109375" style="209" customWidth="1"/>
    <col min="5" max="5" width="11.5546875" style="209" customWidth="1"/>
    <col min="6" max="6" width="11.44140625" style="209" customWidth="1"/>
    <col min="7" max="27" width="5.6640625" style="209" customWidth="1"/>
    <col min="28" max="28" width="8" style="209" customWidth="1"/>
    <col min="29" max="30" width="9.109375" style="209"/>
    <col min="31" max="56" width="2.6640625" style="209" customWidth="1"/>
    <col min="57" max="16384" width="9.109375" style="209"/>
  </cols>
  <sheetData>
    <row r="1" spans="1:28">
      <c r="A1" s="399" t="s">
        <v>228</v>
      </c>
      <c r="B1" s="399" t="s">
        <v>282</v>
      </c>
      <c r="C1" s="400" t="s">
        <v>229</v>
      </c>
      <c r="D1" s="400" t="s">
        <v>230</v>
      </c>
      <c r="E1" s="401" t="s">
        <v>231</v>
      </c>
      <c r="F1" s="400" t="s">
        <v>232</v>
      </c>
      <c r="G1" s="399" t="s">
        <v>233</v>
      </c>
      <c r="H1" s="399"/>
      <c r="I1" s="399"/>
      <c r="J1" s="399"/>
      <c r="K1" s="399"/>
      <c r="L1" s="399"/>
      <c r="M1" s="399"/>
      <c r="N1" s="399"/>
      <c r="O1" s="399"/>
      <c r="P1" s="399"/>
      <c r="Q1" s="399"/>
      <c r="R1" s="399"/>
      <c r="S1" s="399"/>
      <c r="T1" s="399"/>
      <c r="U1" s="399"/>
      <c r="V1" s="399"/>
      <c r="W1" s="399"/>
      <c r="X1" s="399"/>
      <c r="Y1" s="399"/>
      <c r="Z1" s="399"/>
      <c r="AA1" s="399"/>
      <c r="AB1" s="399" t="s">
        <v>14</v>
      </c>
    </row>
    <row r="2" spans="1:28">
      <c r="A2" s="399"/>
      <c r="B2" s="399"/>
      <c r="C2" s="400"/>
      <c r="D2" s="400"/>
      <c r="E2" s="402"/>
      <c r="F2" s="400"/>
      <c r="G2" s="210" t="s">
        <v>234</v>
      </c>
      <c r="H2" s="211" t="s">
        <v>33</v>
      </c>
      <c r="I2" s="211" t="s">
        <v>37</v>
      </c>
      <c r="J2" s="211">
        <v>1</v>
      </c>
      <c r="K2" s="211" t="s">
        <v>34</v>
      </c>
      <c r="L2" s="211">
        <v>2</v>
      </c>
      <c r="M2" s="211">
        <v>3</v>
      </c>
      <c r="N2" s="211">
        <v>4</v>
      </c>
      <c r="O2" s="211">
        <v>6</v>
      </c>
      <c r="P2" s="211">
        <v>8</v>
      </c>
      <c r="Q2" s="211">
        <v>10</v>
      </c>
      <c r="R2" s="211">
        <v>12</v>
      </c>
      <c r="S2" s="211">
        <v>14</v>
      </c>
      <c r="T2" s="211">
        <v>16</v>
      </c>
      <c r="U2" s="211">
        <v>18</v>
      </c>
      <c r="V2" s="211">
        <v>20</v>
      </c>
      <c r="W2" s="211">
        <v>24</v>
      </c>
      <c r="X2" s="211">
        <v>28</v>
      </c>
      <c r="Y2" s="211">
        <v>30</v>
      </c>
      <c r="Z2" s="211">
        <v>36</v>
      </c>
      <c r="AA2" s="211">
        <v>42</v>
      </c>
      <c r="AB2" s="399"/>
    </row>
    <row r="3" spans="1:28">
      <c r="A3" s="215" t="s">
        <v>235</v>
      </c>
      <c r="B3" s="215">
        <v>150</v>
      </c>
      <c r="C3" s="211"/>
      <c r="D3" s="211" t="s">
        <v>236</v>
      </c>
      <c r="E3" s="219" t="s">
        <v>145</v>
      </c>
      <c r="F3" s="215">
        <v>3</v>
      </c>
      <c r="G3" s="211"/>
      <c r="H3" s="211">
        <v>160</v>
      </c>
      <c r="I3" s="211">
        <v>160</v>
      </c>
      <c r="J3" s="211">
        <v>160</v>
      </c>
      <c r="K3" s="211">
        <v>160</v>
      </c>
      <c r="L3" s="211">
        <v>80</v>
      </c>
      <c r="M3" s="211">
        <v>40</v>
      </c>
      <c r="N3" s="211">
        <v>40</v>
      </c>
      <c r="O3" s="211">
        <v>40</v>
      </c>
      <c r="P3" s="211">
        <v>20</v>
      </c>
      <c r="Q3" s="211">
        <v>20</v>
      </c>
      <c r="R3" s="211">
        <v>20</v>
      </c>
      <c r="S3" s="211">
        <v>20</v>
      </c>
      <c r="T3" s="211">
        <v>20</v>
      </c>
      <c r="U3" s="211">
        <v>20</v>
      </c>
      <c r="V3" s="211">
        <v>20</v>
      </c>
      <c r="W3" s="211">
        <v>20</v>
      </c>
      <c r="X3" s="211">
        <v>20</v>
      </c>
      <c r="Y3" s="211">
        <v>20</v>
      </c>
      <c r="Z3" s="211">
        <v>20</v>
      </c>
      <c r="AA3" s="211">
        <v>0</v>
      </c>
      <c r="AB3" s="212">
        <v>4</v>
      </c>
    </row>
    <row r="4" spans="1:28">
      <c r="A4" s="215" t="s">
        <v>237</v>
      </c>
      <c r="B4" s="215">
        <v>150</v>
      </c>
      <c r="C4" s="211"/>
      <c r="D4" s="211" t="s">
        <v>236</v>
      </c>
      <c r="E4" s="219" t="s">
        <v>145</v>
      </c>
      <c r="F4" s="215">
        <v>1.5</v>
      </c>
      <c r="G4" s="211"/>
      <c r="H4" s="211">
        <v>80</v>
      </c>
      <c r="I4" s="211">
        <v>80</v>
      </c>
      <c r="J4" s="211">
        <v>80</v>
      </c>
      <c r="K4" s="211">
        <v>80</v>
      </c>
      <c r="L4" s="211">
        <v>40</v>
      </c>
      <c r="M4" s="211">
        <v>40</v>
      </c>
      <c r="N4" s="211">
        <v>40</v>
      </c>
      <c r="O4" s="211">
        <v>40</v>
      </c>
      <c r="P4" s="211">
        <v>20</v>
      </c>
      <c r="Q4" s="211">
        <v>20</v>
      </c>
      <c r="R4" s="211">
        <v>20</v>
      </c>
      <c r="S4" s="211">
        <v>20</v>
      </c>
      <c r="T4" s="211">
        <v>20</v>
      </c>
      <c r="U4" s="211">
        <v>20</v>
      </c>
      <c r="V4" s="211">
        <v>20</v>
      </c>
      <c r="W4" s="211">
        <v>20</v>
      </c>
      <c r="X4" s="211">
        <v>0</v>
      </c>
      <c r="Y4" s="211">
        <v>0</v>
      </c>
      <c r="Z4" s="211">
        <v>0</v>
      </c>
      <c r="AA4" s="211">
        <v>0</v>
      </c>
      <c r="AB4" s="212">
        <v>2</v>
      </c>
    </row>
    <row r="5" spans="1:28">
      <c r="A5" s="215" t="s">
        <v>238</v>
      </c>
      <c r="B5" s="215">
        <v>300</v>
      </c>
      <c r="C5" s="211"/>
      <c r="D5" s="211" t="s">
        <v>236</v>
      </c>
      <c r="E5" s="219" t="s">
        <v>145</v>
      </c>
      <c r="F5" s="215">
        <v>3</v>
      </c>
      <c r="G5" s="211"/>
      <c r="H5" s="211">
        <v>160</v>
      </c>
      <c r="I5" s="211">
        <v>160</v>
      </c>
      <c r="J5" s="211">
        <v>160</v>
      </c>
      <c r="K5" s="211">
        <v>160</v>
      </c>
      <c r="L5" s="211">
        <v>80</v>
      </c>
      <c r="M5" s="211">
        <v>40</v>
      </c>
      <c r="N5" s="211">
        <v>40</v>
      </c>
      <c r="O5" s="211">
        <v>40</v>
      </c>
      <c r="P5" s="211">
        <v>40</v>
      </c>
      <c r="Q5" s="211">
        <v>40</v>
      </c>
      <c r="R5" s="211">
        <v>40</v>
      </c>
      <c r="S5" s="211">
        <v>40</v>
      </c>
      <c r="T5" s="211">
        <v>40</v>
      </c>
      <c r="U5" s="211">
        <v>40</v>
      </c>
      <c r="V5" s="211">
        <v>40</v>
      </c>
      <c r="W5" s="211">
        <v>40</v>
      </c>
      <c r="X5" s="211">
        <v>0</v>
      </c>
      <c r="Y5" s="211">
        <v>0</v>
      </c>
      <c r="Z5" s="211">
        <v>0</v>
      </c>
      <c r="AA5" s="211">
        <v>0</v>
      </c>
      <c r="AB5" s="212">
        <v>3</v>
      </c>
    </row>
    <row r="6" spans="1:28">
      <c r="A6" s="215" t="s">
        <v>239</v>
      </c>
      <c r="B6" s="215">
        <v>300</v>
      </c>
      <c r="C6" s="211"/>
      <c r="D6" s="211" t="s">
        <v>236</v>
      </c>
      <c r="E6" s="219" t="s">
        <v>145</v>
      </c>
      <c r="F6" s="215">
        <v>1.5</v>
      </c>
      <c r="G6" s="211"/>
      <c r="H6" s="211">
        <v>80</v>
      </c>
      <c r="I6" s="211">
        <v>80</v>
      </c>
      <c r="J6" s="211">
        <v>80</v>
      </c>
      <c r="K6" s="211">
        <v>80</v>
      </c>
      <c r="L6" s="211">
        <v>80</v>
      </c>
      <c r="M6" s="211">
        <v>40</v>
      </c>
      <c r="N6" s="211">
        <v>40</v>
      </c>
      <c r="O6" s="211">
        <v>40</v>
      </c>
      <c r="P6" s="211">
        <v>40</v>
      </c>
      <c r="Q6" s="211">
        <v>40</v>
      </c>
      <c r="R6" s="211" t="s">
        <v>27</v>
      </c>
      <c r="S6" s="211">
        <v>40</v>
      </c>
      <c r="T6" s="211">
        <v>40</v>
      </c>
      <c r="U6" s="211" t="s">
        <v>29</v>
      </c>
      <c r="V6" s="211" t="s">
        <v>29</v>
      </c>
      <c r="W6" s="211">
        <v>40</v>
      </c>
      <c r="X6" s="211">
        <v>0</v>
      </c>
      <c r="Y6" s="211">
        <v>0</v>
      </c>
      <c r="Z6" s="211">
        <v>0</v>
      </c>
      <c r="AA6" s="211">
        <v>0</v>
      </c>
      <c r="AB6" s="212">
        <v>3</v>
      </c>
    </row>
    <row r="7" spans="1:28">
      <c r="A7" s="215" t="s">
        <v>240</v>
      </c>
      <c r="B7" s="215">
        <v>1500</v>
      </c>
      <c r="C7" s="211"/>
      <c r="D7" s="211" t="s">
        <v>236</v>
      </c>
      <c r="E7" s="219" t="s">
        <v>145</v>
      </c>
      <c r="F7" s="215">
        <v>3</v>
      </c>
      <c r="G7" s="211"/>
      <c r="H7" s="211" t="s">
        <v>31</v>
      </c>
      <c r="I7" s="211" t="s">
        <v>31</v>
      </c>
      <c r="J7" s="211" t="s">
        <v>31</v>
      </c>
      <c r="K7" s="211" t="s">
        <v>31</v>
      </c>
      <c r="L7" s="211" t="s">
        <v>31</v>
      </c>
      <c r="M7" s="211" t="s">
        <v>31</v>
      </c>
      <c r="N7" s="211" t="s">
        <v>31</v>
      </c>
      <c r="O7" s="211" t="s">
        <v>31</v>
      </c>
      <c r="P7" s="211">
        <v>25.4</v>
      </c>
      <c r="Q7" s="211">
        <v>31.75</v>
      </c>
      <c r="R7" s="211">
        <v>36.53</v>
      </c>
      <c r="S7" s="211">
        <v>39.67</v>
      </c>
      <c r="T7" s="211">
        <v>44.45</v>
      </c>
      <c r="U7" s="211">
        <v>50.8</v>
      </c>
      <c r="V7" s="211">
        <v>55.88</v>
      </c>
      <c r="W7" s="211">
        <v>66.040000000000006</v>
      </c>
      <c r="X7" s="211">
        <v>0</v>
      </c>
      <c r="Y7" s="211">
        <v>0</v>
      </c>
      <c r="Z7" s="211">
        <v>0</v>
      </c>
      <c r="AA7" s="211">
        <v>0</v>
      </c>
      <c r="AB7" s="212">
        <v>4</v>
      </c>
    </row>
    <row r="8" spans="1:28">
      <c r="A8" s="215" t="s">
        <v>241</v>
      </c>
      <c r="B8" s="215">
        <v>150</v>
      </c>
      <c r="C8" s="211"/>
      <c r="D8" s="211" t="s">
        <v>236</v>
      </c>
      <c r="E8" s="219" t="s">
        <v>145</v>
      </c>
      <c r="F8" s="215">
        <v>3</v>
      </c>
      <c r="G8" s="211"/>
      <c r="H8" s="211">
        <v>160</v>
      </c>
      <c r="I8" s="211">
        <v>160</v>
      </c>
      <c r="J8" s="211">
        <v>160</v>
      </c>
      <c r="K8" s="211">
        <v>160</v>
      </c>
      <c r="L8" s="211">
        <v>80</v>
      </c>
      <c r="M8" s="211">
        <v>40</v>
      </c>
      <c r="N8" s="211">
        <v>40</v>
      </c>
      <c r="O8" s="211">
        <v>40</v>
      </c>
      <c r="P8" s="211">
        <v>20</v>
      </c>
      <c r="Q8" s="211">
        <v>20</v>
      </c>
      <c r="R8" s="211">
        <v>20</v>
      </c>
      <c r="S8" s="211">
        <v>20</v>
      </c>
      <c r="T8" s="211">
        <v>20</v>
      </c>
      <c r="U8" s="211">
        <v>20</v>
      </c>
      <c r="V8" s="211">
        <v>20</v>
      </c>
      <c r="W8" s="211">
        <v>20</v>
      </c>
      <c r="X8" s="211">
        <v>20</v>
      </c>
      <c r="Y8" s="211">
        <v>20</v>
      </c>
      <c r="Z8" s="211">
        <v>20</v>
      </c>
      <c r="AA8" s="211">
        <v>0</v>
      </c>
      <c r="AB8" s="212">
        <v>3</v>
      </c>
    </row>
    <row r="9" spans="1:28">
      <c r="A9" s="215" t="s">
        <v>242</v>
      </c>
      <c r="B9" s="215">
        <v>300</v>
      </c>
      <c r="C9" s="211"/>
      <c r="D9" s="211" t="s">
        <v>236</v>
      </c>
      <c r="E9" s="219" t="s">
        <v>145</v>
      </c>
      <c r="F9" s="215">
        <v>3</v>
      </c>
      <c r="G9" s="211"/>
      <c r="H9" s="211">
        <v>160</v>
      </c>
      <c r="I9" s="211">
        <v>160</v>
      </c>
      <c r="J9" s="211">
        <v>160</v>
      </c>
      <c r="K9" s="211">
        <v>160</v>
      </c>
      <c r="L9" s="211">
        <v>80</v>
      </c>
      <c r="M9" s="211">
        <v>40</v>
      </c>
      <c r="N9" s="211">
        <v>40</v>
      </c>
      <c r="O9" s="211">
        <v>40</v>
      </c>
      <c r="P9" s="211">
        <v>40</v>
      </c>
      <c r="Q9" s="211">
        <v>40</v>
      </c>
      <c r="R9" s="211">
        <v>40</v>
      </c>
      <c r="S9" s="211">
        <v>40</v>
      </c>
      <c r="T9" s="211">
        <v>40</v>
      </c>
      <c r="U9" s="211">
        <v>40</v>
      </c>
      <c r="V9" s="211">
        <v>40</v>
      </c>
      <c r="W9" s="211">
        <v>40</v>
      </c>
      <c r="X9" s="211">
        <v>0</v>
      </c>
      <c r="Y9" s="211">
        <v>0</v>
      </c>
      <c r="Z9" s="211">
        <v>0</v>
      </c>
      <c r="AA9" s="211">
        <v>0</v>
      </c>
      <c r="AB9" s="212">
        <v>3</v>
      </c>
    </row>
    <row r="10" spans="1:28">
      <c r="A10" s="215" t="s">
        <v>243</v>
      </c>
      <c r="B10" s="215">
        <v>600</v>
      </c>
      <c r="C10" s="211"/>
      <c r="D10" s="211" t="s">
        <v>236</v>
      </c>
      <c r="E10" s="219" t="s">
        <v>145</v>
      </c>
      <c r="F10" s="215">
        <v>3</v>
      </c>
      <c r="G10" s="211"/>
      <c r="H10" s="211">
        <v>160</v>
      </c>
      <c r="I10" s="211">
        <v>160</v>
      </c>
      <c r="J10" s="211">
        <v>160</v>
      </c>
      <c r="K10" s="211">
        <v>160</v>
      </c>
      <c r="L10" s="211">
        <v>160</v>
      </c>
      <c r="M10" s="211">
        <v>80</v>
      </c>
      <c r="N10" s="211">
        <v>80</v>
      </c>
      <c r="O10" s="211">
        <v>80</v>
      </c>
      <c r="P10" s="211">
        <v>80</v>
      </c>
      <c r="Q10" s="211">
        <v>80</v>
      </c>
      <c r="R10" s="211">
        <v>80</v>
      </c>
      <c r="S10" s="211">
        <v>80</v>
      </c>
      <c r="T10" s="211">
        <v>80</v>
      </c>
      <c r="U10" s="211">
        <v>80</v>
      </c>
      <c r="V10" s="211">
        <v>80</v>
      </c>
      <c r="W10" s="211">
        <v>80</v>
      </c>
      <c r="X10" s="211">
        <v>0</v>
      </c>
      <c r="Y10" s="211">
        <v>0</v>
      </c>
      <c r="Z10" s="211">
        <v>0</v>
      </c>
      <c r="AA10" s="211">
        <v>0</v>
      </c>
      <c r="AB10" s="212">
        <v>3</v>
      </c>
    </row>
    <row r="11" spans="1:28">
      <c r="A11" s="215" t="s">
        <v>244</v>
      </c>
      <c r="B11" s="215">
        <v>600</v>
      </c>
      <c r="C11" s="211"/>
      <c r="D11" s="211" t="s">
        <v>236</v>
      </c>
      <c r="E11" s="219" t="s">
        <v>145</v>
      </c>
      <c r="F11" s="215">
        <v>1.5</v>
      </c>
      <c r="G11" s="211"/>
      <c r="H11" s="211">
        <v>80</v>
      </c>
      <c r="I11" s="211">
        <v>80</v>
      </c>
      <c r="J11" s="211">
        <v>80</v>
      </c>
      <c r="K11" s="211">
        <v>80</v>
      </c>
      <c r="L11" s="211">
        <v>80</v>
      </c>
      <c r="M11" s="211">
        <v>80</v>
      </c>
      <c r="N11" s="211">
        <v>80</v>
      </c>
      <c r="O11" s="211">
        <v>80</v>
      </c>
      <c r="P11" s="211">
        <v>80</v>
      </c>
      <c r="Q11" s="211">
        <v>80</v>
      </c>
      <c r="R11" s="211">
        <v>80</v>
      </c>
      <c r="S11" s="211">
        <v>80</v>
      </c>
      <c r="T11" s="211">
        <v>80</v>
      </c>
      <c r="U11" s="211">
        <v>80</v>
      </c>
      <c r="V11" s="211">
        <v>80</v>
      </c>
      <c r="W11" s="211">
        <v>80</v>
      </c>
      <c r="X11" s="211">
        <v>0</v>
      </c>
      <c r="Y11" s="211">
        <v>0</v>
      </c>
      <c r="Z11" s="211">
        <v>0</v>
      </c>
      <c r="AA11" s="211">
        <v>0</v>
      </c>
      <c r="AB11" s="212">
        <v>3</v>
      </c>
    </row>
    <row r="12" spans="1:28">
      <c r="A12" s="215" t="s">
        <v>245</v>
      </c>
      <c r="B12" s="215">
        <v>900</v>
      </c>
      <c r="C12" s="211"/>
      <c r="D12" s="211" t="s">
        <v>236</v>
      </c>
      <c r="E12" s="219" t="s">
        <v>145</v>
      </c>
      <c r="F12" s="215">
        <v>3</v>
      </c>
      <c r="G12" s="211"/>
      <c r="H12" s="211" t="s">
        <v>31</v>
      </c>
      <c r="I12" s="211">
        <v>160</v>
      </c>
      <c r="J12" s="211">
        <v>160</v>
      </c>
      <c r="K12" s="211">
        <v>160</v>
      </c>
      <c r="L12" s="211">
        <v>160</v>
      </c>
      <c r="M12" s="211">
        <v>160</v>
      </c>
      <c r="N12" s="211">
        <v>120</v>
      </c>
      <c r="O12" s="211">
        <v>120</v>
      </c>
      <c r="P12" s="211">
        <v>120</v>
      </c>
      <c r="Q12" s="211">
        <v>120</v>
      </c>
      <c r="R12" s="211">
        <v>120</v>
      </c>
      <c r="S12" s="211">
        <v>120</v>
      </c>
      <c r="T12" s="211">
        <v>120</v>
      </c>
      <c r="U12" s="211">
        <v>120</v>
      </c>
      <c r="V12" s="211">
        <v>120</v>
      </c>
      <c r="W12" s="211">
        <v>120</v>
      </c>
      <c r="X12" s="211">
        <v>0</v>
      </c>
      <c r="Y12" s="211">
        <v>0</v>
      </c>
      <c r="Z12" s="211">
        <v>0</v>
      </c>
      <c r="AA12" s="211">
        <v>0</v>
      </c>
      <c r="AB12" s="212">
        <v>3</v>
      </c>
    </row>
    <row r="13" spans="1:28">
      <c r="A13" s="215" t="s">
        <v>246</v>
      </c>
      <c r="B13" s="215">
        <v>1500</v>
      </c>
      <c r="C13" s="211"/>
      <c r="D13" s="211" t="s">
        <v>236</v>
      </c>
      <c r="E13" s="219" t="s">
        <v>145</v>
      </c>
      <c r="F13" s="215">
        <v>3</v>
      </c>
      <c r="G13" s="211"/>
      <c r="H13" s="211" t="s">
        <v>31</v>
      </c>
      <c r="I13" s="211" t="s">
        <v>31</v>
      </c>
      <c r="J13" s="211" t="s">
        <v>31</v>
      </c>
      <c r="K13" s="211" t="s">
        <v>31</v>
      </c>
      <c r="L13" s="211" t="s">
        <v>31</v>
      </c>
      <c r="M13" s="211" t="s">
        <v>31</v>
      </c>
      <c r="N13" s="211" t="s">
        <v>31</v>
      </c>
      <c r="O13" s="211" t="s">
        <v>31</v>
      </c>
      <c r="P13" s="211">
        <v>25.4</v>
      </c>
      <c r="Q13" s="211">
        <v>31.75</v>
      </c>
      <c r="R13" s="211">
        <v>36.53</v>
      </c>
      <c r="S13" s="211">
        <v>39.67</v>
      </c>
      <c r="T13" s="211">
        <v>44.45</v>
      </c>
      <c r="U13" s="211">
        <v>50.8</v>
      </c>
      <c r="V13" s="211">
        <v>55.88</v>
      </c>
      <c r="W13" s="211">
        <v>66.040000000000006</v>
      </c>
      <c r="X13" s="211">
        <v>0</v>
      </c>
      <c r="Y13" s="211">
        <v>0</v>
      </c>
      <c r="Z13" s="211">
        <v>0</v>
      </c>
      <c r="AA13" s="211">
        <v>0</v>
      </c>
      <c r="AB13" s="212">
        <v>4</v>
      </c>
    </row>
    <row r="14" spans="1:28">
      <c r="A14" s="215" t="s">
        <v>247</v>
      </c>
      <c r="B14" s="215">
        <v>2500</v>
      </c>
      <c r="C14" s="211"/>
      <c r="D14" s="211" t="s">
        <v>236</v>
      </c>
      <c r="E14" s="219" t="s">
        <v>145</v>
      </c>
      <c r="F14" s="215">
        <v>3</v>
      </c>
      <c r="G14" s="211"/>
      <c r="H14" s="211" t="s">
        <v>31</v>
      </c>
      <c r="I14" s="211" t="s">
        <v>31</v>
      </c>
      <c r="J14" s="211" t="s">
        <v>31</v>
      </c>
      <c r="K14" s="211" t="s">
        <v>31</v>
      </c>
      <c r="L14" s="211" t="s">
        <v>31</v>
      </c>
      <c r="M14" s="211" t="s">
        <v>31</v>
      </c>
      <c r="N14" s="211" t="s">
        <v>31</v>
      </c>
      <c r="O14" s="211" t="s">
        <v>31</v>
      </c>
      <c r="P14" s="211">
        <v>26.97</v>
      </c>
      <c r="Q14" s="211">
        <v>31.75</v>
      </c>
      <c r="R14" s="211">
        <v>36.53</v>
      </c>
      <c r="S14" s="211">
        <v>20</v>
      </c>
      <c r="T14" s="211">
        <v>20</v>
      </c>
      <c r="U14" s="211">
        <v>0</v>
      </c>
      <c r="V14" s="211">
        <v>0</v>
      </c>
      <c r="W14" s="211">
        <v>0</v>
      </c>
      <c r="X14" s="211">
        <v>0</v>
      </c>
      <c r="Y14" s="211">
        <v>0</v>
      </c>
      <c r="Z14" s="211">
        <v>0</v>
      </c>
      <c r="AA14" s="211">
        <v>0</v>
      </c>
      <c r="AB14" s="212">
        <v>2</v>
      </c>
    </row>
    <row r="15" spans="1:28">
      <c r="A15" s="215" t="s">
        <v>248</v>
      </c>
      <c r="B15" s="215">
        <v>150</v>
      </c>
      <c r="C15" s="211"/>
      <c r="D15" s="211" t="s">
        <v>249</v>
      </c>
      <c r="E15" s="219" t="s">
        <v>145</v>
      </c>
      <c r="F15" s="215">
        <v>3</v>
      </c>
      <c r="G15" s="211"/>
      <c r="H15" s="211">
        <v>160</v>
      </c>
      <c r="I15" s="211">
        <v>160</v>
      </c>
      <c r="J15" s="211">
        <v>160</v>
      </c>
      <c r="K15" s="211">
        <v>160</v>
      </c>
      <c r="L15" s="211">
        <v>80</v>
      </c>
      <c r="M15" s="211">
        <v>40</v>
      </c>
      <c r="N15" s="211">
        <v>40</v>
      </c>
      <c r="O15" s="211">
        <v>40</v>
      </c>
      <c r="P15" s="211">
        <v>20</v>
      </c>
      <c r="Q15" s="211">
        <v>20</v>
      </c>
      <c r="R15" s="211">
        <v>20</v>
      </c>
      <c r="S15" s="211">
        <v>20</v>
      </c>
      <c r="T15" s="211">
        <v>20</v>
      </c>
      <c r="U15" s="211">
        <v>20</v>
      </c>
      <c r="V15" s="211">
        <v>20</v>
      </c>
      <c r="W15" s="211">
        <v>20</v>
      </c>
      <c r="X15" s="211">
        <v>20</v>
      </c>
      <c r="Y15" s="211">
        <v>20</v>
      </c>
      <c r="Z15" s="211">
        <v>20</v>
      </c>
      <c r="AA15" s="211">
        <v>0</v>
      </c>
      <c r="AB15" s="212">
        <v>3</v>
      </c>
    </row>
    <row r="16" spans="1:28">
      <c r="A16" s="215" t="s">
        <v>250</v>
      </c>
      <c r="B16" s="215">
        <v>300</v>
      </c>
      <c r="C16" s="211"/>
      <c r="D16" s="211" t="s">
        <v>249</v>
      </c>
      <c r="E16" s="219" t="s">
        <v>145</v>
      </c>
      <c r="F16" s="215">
        <v>3</v>
      </c>
      <c r="G16" s="211"/>
      <c r="H16" s="211">
        <v>160</v>
      </c>
      <c r="I16" s="211">
        <v>160</v>
      </c>
      <c r="J16" s="211">
        <v>160</v>
      </c>
      <c r="K16" s="211">
        <v>160</v>
      </c>
      <c r="L16" s="211">
        <v>80</v>
      </c>
      <c r="M16" s="211">
        <v>40</v>
      </c>
      <c r="N16" s="211">
        <v>40</v>
      </c>
      <c r="O16" s="211">
        <v>40</v>
      </c>
      <c r="P16" s="211">
        <v>40</v>
      </c>
      <c r="Q16" s="211">
        <v>40</v>
      </c>
      <c r="R16" s="211">
        <v>40</v>
      </c>
      <c r="S16" s="211">
        <v>40</v>
      </c>
      <c r="T16" s="211">
        <v>40</v>
      </c>
      <c r="U16" s="211">
        <v>40</v>
      </c>
      <c r="V16" s="211">
        <v>40</v>
      </c>
      <c r="W16" s="211">
        <v>40</v>
      </c>
      <c r="X16" s="211">
        <v>0</v>
      </c>
      <c r="Y16" s="211">
        <v>0</v>
      </c>
      <c r="Z16" s="211">
        <v>0</v>
      </c>
      <c r="AA16" s="211">
        <v>0</v>
      </c>
      <c r="AB16" s="212">
        <v>3</v>
      </c>
    </row>
    <row r="17" spans="1:28">
      <c r="A17" s="215" t="s">
        <v>251</v>
      </c>
      <c r="B17" s="215">
        <v>300</v>
      </c>
      <c r="C17" s="211"/>
      <c r="D17" s="211" t="s">
        <v>249</v>
      </c>
      <c r="E17" s="219" t="s">
        <v>145</v>
      </c>
      <c r="F17" s="215">
        <v>1.5</v>
      </c>
      <c r="G17" s="211"/>
      <c r="H17" s="211">
        <v>80</v>
      </c>
      <c r="I17" s="211">
        <v>80</v>
      </c>
      <c r="J17" s="211">
        <v>80</v>
      </c>
      <c r="K17" s="211">
        <v>80</v>
      </c>
      <c r="L17" s="211">
        <v>80</v>
      </c>
      <c r="M17" s="211">
        <v>40</v>
      </c>
      <c r="N17" s="211">
        <v>40</v>
      </c>
      <c r="O17" s="211">
        <v>40</v>
      </c>
      <c r="P17" s="211">
        <v>40</v>
      </c>
      <c r="Q17" s="211">
        <v>40</v>
      </c>
      <c r="R17" s="211" t="s">
        <v>27</v>
      </c>
      <c r="S17" s="211">
        <v>40</v>
      </c>
      <c r="T17" s="211">
        <v>40</v>
      </c>
      <c r="U17" s="211" t="s">
        <v>29</v>
      </c>
      <c r="V17" s="211" t="s">
        <v>29</v>
      </c>
      <c r="W17" s="211">
        <v>40</v>
      </c>
      <c r="X17" s="211">
        <v>0</v>
      </c>
      <c r="Y17" s="211">
        <v>0</v>
      </c>
      <c r="Z17" s="211">
        <v>0</v>
      </c>
      <c r="AA17" s="211">
        <v>0</v>
      </c>
      <c r="AB17" s="212">
        <v>2</v>
      </c>
    </row>
    <row r="18" spans="1:28">
      <c r="A18" s="215" t="s">
        <v>252</v>
      </c>
      <c r="B18" s="215">
        <v>600</v>
      </c>
      <c r="C18" s="211"/>
      <c r="D18" s="211" t="s">
        <v>249</v>
      </c>
      <c r="E18" s="219" t="s">
        <v>145</v>
      </c>
      <c r="F18" s="215">
        <v>3</v>
      </c>
      <c r="G18" s="211"/>
      <c r="H18" s="211">
        <v>160</v>
      </c>
      <c r="I18" s="211">
        <v>160</v>
      </c>
      <c r="J18" s="211">
        <v>160</v>
      </c>
      <c r="K18" s="211">
        <v>160</v>
      </c>
      <c r="L18" s="211">
        <v>160</v>
      </c>
      <c r="M18" s="211">
        <v>80</v>
      </c>
      <c r="N18" s="211">
        <v>80</v>
      </c>
      <c r="O18" s="211">
        <v>80</v>
      </c>
      <c r="P18" s="211">
        <v>80</v>
      </c>
      <c r="Q18" s="211">
        <v>80</v>
      </c>
      <c r="R18" s="211">
        <v>80</v>
      </c>
      <c r="S18" s="211">
        <v>80</v>
      </c>
      <c r="T18" s="211">
        <v>80</v>
      </c>
      <c r="U18" s="211">
        <v>80</v>
      </c>
      <c r="V18" s="211">
        <v>80</v>
      </c>
      <c r="W18" s="211">
        <v>80</v>
      </c>
      <c r="X18" s="211">
        <v>0</v>
      </c>
      <c r="Y18" s="211">
        <v>0</v>
      </c>
      <c r="Z18" s="211">
        <v>0</v>
      </c>
      <c r="AA18" s="211">
        <v>0</v>
      </c>
      <c r="AB18" s="212">
        <v>4</v>
      </c>
    </row>
    <row r="19" spans="1:28">
      <c r="A19" s="215" t="s">
        <v>253</v>
      </c>
      <c r="B19" s="215">
        <v>600</v>
      </c>
      <c r="C19" s="211"/>
      <c r="D19" s="211" t="s">
        <v>249</v>
      </c>
      <c r="E19" s="219" t="s">
        <v>145</v>
      </c>
      <c r="F19" s="215">
        <v>1.5</v>
      </c>
      <c r="G19" s="211"/>
      <c r="H19" s="211">
        <v>80</v>
      </c>
      <c r="I19" s="211">
        <v>80</v>
      </c>
      <c r="J19" s="211">
        <v>80</v>
      </c>
      <c r="K19" s="211">
        <v>80</v>
      </c>
      <c r="L19" s="211">
        <v>80</v>
      </c>
      <c r="M19" s="211">
        <v>80</v>
      </c>
      <c r="N19" s="211">
        <v>80</v>
      </c>
      <c r="O19" s="211">
        <v>80</v>
      </c>
      <c r="P19" s="211">
        <v>80</v>
      </c>
      <c r="Q19" s="211">
        <v>80</v>
      </c>
      <c r="R19" s="211">
        <v>80</v>
      </c>
      <c r="S19" s="211">
        <v>80</v>
      </c>
      <c r="T19" s="211">
        <v>80</v>
      </c>
      <c r="U19" s="211">
        <v>22.23</v>
      </c>
      <c r="V19" s="211">
        <v>23.83</v>
      </c>
      <c r="W19" s="211">
        <v>28.58</v>
      </c>
      <c r="X19" s="211">
        <v>0</v>
      </c>
      <c r="Y19" s="211">
        <v>0</v>
      </c>
      <c r="Z19" s="211">
        <v>0</v>
      </c>
      <c r="AA19" s="211">
        <v>0</v>
      </c>
      <c r="AB19" s="212">
        <v>3</v>
      </c>
    </row>
    <row r="20" spans="1:28">
      <c r="A20" s="215" t="s">
        <v>254</v>
      </c>
      <c r="B20" s="215">
        <v>900</v>
      </c>
      <c r="C20" s="211"/>
      <c r="D20" s="211" t="s">
        <v>249</v>
      </c>
      <c r="E20" s="219" t="s">
        <v>145</v>
      </c>
      <c r="F20" s="215">
        <v>1.5</v>
      </c>
      <c r="G20" s="211"/>
      <c r="H20" s="211">
        <v>80</v>
      </c>
      <c r="I20" s="211">
        <v>80</v>
      </c>
      <c r="J20" s="211">
        <v>80</v>
      </c>
      <c r="K20" s="211">
        <v>80</v>
      </c>
      <c r="L20" s="211">
        <v>80</v>
      </c>
      <c r="M20" s="211">
        <v>80</v>
      </c>
      <c r="N20" s="211">
        <v>120</v>
      </c>
      <c r="O20" s="211">
        <v>120</v>
      </c>
      <c r="P20" s="211">
        <v>100</v>
      </c>
      <c r="Q20" s="211">
        <v>120</v>
      </c>
      <c r="R20" s="211">
        <v>100</v>
      </c>
      <c r="S20" s="211">
        <v>100</v>
      </c>
      <c r="T20" s="211">
        <v>120</v>
      </c>
      <c r="U20" s="211">
        <v>120</v>
      </c>
      <c r="V20" s="211">
        <v>120</v>
      </c>
      <c r="W20" s="211">
        <v>100</v>
      </c>
      <c r="X20" s="211">
        <v>0</v>
      </c>
      <c r="Y20" s="211">
        <v>0</v>
      </c>
      <c r="Z20" s="211">
        <v>0</v>
      </c>
      <c r="AA20" s="211">
        <v>0</v>
      </c>
      <c r="AB20" s="212">
        <v>3</v>
      </c>
    </row>
    <row r="21" spans="1:28">
      <c r="A21" s="215" t="s">
        <v>255</v>
      </c>
      <c r="B21" s="215">
        <v>1500</v>
      </c>
      <c r="C21" s="211"/>
      <c r="D21" s="211" t="s">
        <v>249</v>
      </c>
      <c r="E21" s="219" t="s">
        <v>145</v>
      </c>
      <c r="F21" s="215">
        <v>1.5</v>
      </c>
      <c r="G21" s="211"/>
      <c r="H21" s="211">
        <v>160</v>
      </c>
      <c r="I21" s="211">
        <v>160</v>
      </c>
      <c r="J21" s="211">
        <v>160</v>
      </c>
      <c r="K21" s="211">
        <v>160</v>
      </c>
      <c r="L21" s="211">
        <v>160</v>
      </c>
      <c r="M21" s="211">
        <v>160</v>
      </c>
      <c r="N21" s="211">
        <v>160</v>
      </c>
      <c r="O21" s="211" t="s">
        <v>31</v>
      </c>
      <c r="P21" s="211">
        <v>25.4</v>
      </c>
      <c r="Q21" s="211">
        <v>31.75</v>
      </c>
      <c r="R21" s="211">
        <v>36.53</v>
      </c>
      <c r="S21" s="211">
        <v>39.67</v>
      </c>
      <c r="T21" s="211">
        <v>44.45</v>
      </c>
      <c r="U21" s="211">
        <v>47.63</v>
      </c>
      <c r="V21" s="211">
        <v>52.37</v>
      </c>
      <c r="W21" s="211">
        <v>63.5</v>
      </c>
      <c r="X21" s="211">
        <v>0</v>
      </c>
      <c r="Y21" s="211">
        <v>0</v>
      </c>
      <c r="Z21" s="211">
        <v>0</v>
      </c>
      <c r="AA21" s="211">
        <v>0</v>
      </c>
      <c r="AB21" s="212">
        <v>3</v>
      </c>
    </row>
    <row r="22" spans="1:28">
      <c r="A22" s="215" t="s">
        <v>256</v>
      </c>
      <c r="B22" s="215">
        <v>1500</v>
      </c>
      <c r="C22" s="211"/>
      <c r="D22" s="211" t="s">
        <v>249</v>
      </c>
      <c r="E22" s="219" t="s">
        <v>145</v>
      </c>
      <c r="F22" s="215">
        <v>1.5</v>
      </c>
      <c r="G22" s="211"/>
      <c r="H22" s="211">
        <v>160</v>
      </c>
      <c r="I22" s="211">
        <v>160</v>
      </c>
      <c r="J22" s="211">
        <v>160</v>
      </c>
      <c r="K22" s="211">
        <v>160</v>
      </c>
      <c r="L22" s="211">
        <v>160</v>
      </c>
      <c r="M22" s="211">
        <v>160</v>
      </c>
      <c r="N22" s="211">
        <v>120</v>
      </c>
      <c r="O22" s="211">
        <v>160</v>
      </c>
      <c r="P22" s="211">
        <v>120</v>
      </c>
      <c r="Q22" s="211">
        <v>140</v>
      </c>
      <c r="R22" s="211">
        <v>140</v>
      </c>
      <c r="S22" s="211">
        <v>140</v>
      </c>
      <c r="T22" s="211">
        <v>140</v>
      </c>
      <c r="U22" s="211">
        <v>0</v>
      </c>
      <c r="V22" s="211">
        <v>0</v>
      </c>
      <c r="W22" s="211">
        <v>0</v>
      </c>
      <c r="X22" s="211">
        <v>0</v>
      </c>
      <c r="Y22" s="211">
        <v>0</v>
      </c>
      <c r="Z22" s="211">
        <v>0</v>
      </c>
      <c r="AA22" s="211">
        <v>0</v>
      </c>
      <c r="AB22" s="212">
        <v>0</v>
      </c>
    </row>
    <row r="23" spans="1:28">
      <c r="A23" s="215" t="s">
        <v>257</v>
      </c>
      <c r="B23" s="215">
        <v>2500</v>
      </c>
      <c r="C23" s="211"/>
      <c r="D23" s="211" t="s">
        <v>249</v>
      </c>
      <c r="E23" s="219" t="s">
        <v>145</v>
      </c>
      <c r="F23" s="215">
        <v>1.5</v>
      </c>
      <c r="G23" s="211"/>
      <c r="H23" s="211">
        <v>160</v>
      </c>
      <c r="I23" s="211">
        <v>160</v>
      </c>
      <c r="J23" s="211">
        <v>160</v>
      </c>
      <c r="K23" s="211">
        <v>160</v>
      </c>
      <c r="L23" s="211">
        <v>160</v>
      </c>
      <c r="M23" s="211">
        <v>160</v>
      </c>
      <c r="N23" s="211">
        <v>160</v>
      </c>
      <c r="O23" s="211">
        <v>160</v>
      </c>
      <c r="P23" s="211">
        <v>160</v>
      </c>
      <c r="Q23" s="211">
        <v>160</v>
      </c>
      <c r="R23" s="211">
        <v>160</v>
      </c>
      <c r="S23" s="211">
        <v>0</v>
      </c>
      <c r="T23" s="211">
        <v>0</v>
      </c>
      <c r="U23" s="211">
        <v>0</v>
      </c>
      <c r="V23" s="211">
        <v>0</v>
      </c>
      <c r="W23" s="211">
        <v>0</v>
      </c>
      <c r="X23" s="211">
        <v>0</v>
      </c>
      <c r="Y23" s="211">
        <v>0</v>
      </c>
      <c r="Z23" s="211">
        <v>0</v>
      </c>
      <c r="AA23" s="211">
        <v>0</v>
      </c>
      <c r="AB23" s="212">
        <v>3</v>
      </c>
    </row>
    <row r="24" spans="1:28">
      <c r="A24" s="215" t="s">
        <v>258</v>
      </c>
      <c r="B24" s="215">
        <v>150</v>
      </c>
      <c r="C24" s="211"/>
      <c r="D24" s="211" t="s">
        <v>236</v>
      </c>
      <c r="E24" s="219" t="s">
        <v>145</v>
      </c>
      <c r="F24" s="215">
        <v>1.5</v>
      </c>
      <c r="G24" s="211"/>
      <c r="H24" s="211">
        <v>80</v>
      </c>
      <c r="I24" s="211">
        <v>80</v>
      </c>
      <c r="J24" s="211">
        <v>80</v>
      </c>
      <c r="K24" s="211">
        <v>80</v>
      </c>
      <c r="L24" s="211">
        <v>80</v>
      </c>
      <c r="M24" s="211">
        <v>80</v>
      </c>
      <c r="N24" s="211">
        <v>40</v>
      </c>
      <c r="O24" s="211">
        <v>40</v>
      </c>
      <c r="P24" s="211">
        <v>40</v>
      </c>
      <c r="Q24" s="211">
        <v>40</v>
      </c>
      <c r="R24" s="211">
        <v>0</v>
      </c>
      <c r="S24" s="211">
        <v>0</v>
      </c>
      <c r="T24" s="211">
        <v>0</v>
      </c>
      <c r="U24" s="211">
        <v>0</v>
      </c>
      <c r="V24" s="211">
        <v>0</v>
      </c>
      <c r="W24" s="211">
        <v>0</v>
      </c>
      <c r="X24" s="211">
        <v>0</v>
      </c>
      <c r="Y24" s="211">
        <v>0</v>
      </c>
      <c r="Z24" s="211">
        <v>0</v>
      </c>
      <c r="AA24" s="211">
        <v>0</v>
      </c>
      <c r="AB24" s="212">
        <v>4</v>
      </c>
    </row>
    <row r="25" spans="1:28">
      <c r="A25" s="215" t="s">
        <v>259</v>
      </c>
      <c r="B25" s="215">
        <v>150</v>
      </c>
      <c r="C25" s="211"/>
      <c r="D25" s="211" t="s">
        <v>260</v>
      </c>
      <c r="E25" s="219" t="s">
        <v>80</v>
      </c>
      <c r="F25" s="215">
        <v>0</v>
      </c>
      <c r="G25" s="211"/>
      <c r="H25" s="211" t="s">
        <v>28</v>
      </c>
      <c r="I25" s="211" t="s">
        <v>28</v>
      </c>
      <c r="J25" s="211" t="s">
        <v>28</v>
      </c>
      <c r="K25" s="211" t="s">
        <v>28</v>
      </c>
      <c r="L25" s="211" t="s">
        <v>28</v>
      </c>
      <c r="M25" s="211" t="s">
        <v>26</v>
      </c>
      <c r="N25" s="211" t="s">
        <v>26</v>
      </c>
      <c r="O25" s="211" t="s">
        <v>26</v>
      </c>
      <c r="P25" s="211" t="s">
        <v>26</v>
      </c>
      <c r="Q25" s="211" t="s">
        <v>26</v>
      </c>
      <c r="R25" s="211" t="s">
        <v>26</v>
      </c>
      <c r="S25" s="211" t="s">
        <v>26</v>
      </c>
      <c r="T25" s="211" t="s">
        <v>26</v>
      </c>
      <c r="U25" s="211" t="s">
        <v>26</v>
      </c>
      <c r="V25" s="211" t="s">
        <v>26</v>
      </c>
      <c r="W25" s="211" t="s">
        <v>26</v>
      </c>
      <c r="X25" s="211">
        <v>0</v>
      </c>
      <c r="Y25" s="211">
        <v>0</v>
      </c>
      <c r="Z25" s="211">
        <v>0</v>
      </c>
      <c r="AA25" s="211">
        <v>0</v>
      </c>
      <c r="AB25" s="212">
        <v>3</v>
      </c>
    </row>
    <row r="26" spans="1:28">
      <c r="A26" s="215" t="s">
        <v>261</v>
      </c>
      <c r="B26" s="215">
        <v>150</v>
      </c>
      <c r="C26" s="211"/>
      <c r="D26" s="211" t="s">
        <v>262</v>
      </c>
      <c r="E26" s="219" t="s">
        <v>199</v>
      </c>
      <c r="F26" s="215">
        <v>0</v>
      </c>
      <c r="G26" s="211"/>
      <c r="H26" s="211" t="s">
        <v>28</v>
      </c>
      <c r="I26" s="211" t="s">
        <v>28</v>
      </c>
      <c r="J26" s="211" t="s">
        <v>28</v>
      </c>
      <c r="K26" s="211" t="s">
        <v>28</v>
      </c>
      <c r="L26" s="211" t="s">
        <v>28</v>
      </c>
      <c r="M26" s="211" t="s">
        <v>26</v>
      </c>
      <c r="N26" s="211" t="s">
        <v>26</v>
      </c>
      <c r="O26" s="211" t="s">
        <v>26</v>
      </c>
      <c r="P26" s="211" t="s">
        <v>26</v>
      </c>
      <c r="Q26" s="211" t="s">
        <v>26</v>
      </c>
      <c r="R26" s="211" t="s">
        <v>26</v>
      </c>
      <c r="S26" s="211" t="s">
        <v>26</v>
      </c>
      <c r="T26" s="211" t="s">
        <v>26</v>
      </c>
      <c r="U26" s="211" t="s">
        <v>26</v>
      </c>
      <c r="V26" s="211" t="s">
        <v>26</v>
      </c>
      <c r="W26" s="211" t="s">
        <v>26</v>
      </c>
      <c r="X26" s="211">
        <v>0</v>
      </c>
      <c r="Y26" s="211">
        <v>0</v>
      </c>
      <c r="Z26" s="211">
        <v>0</v>
      </c>
      <c r="AA26" s="211">
        <v>0</v>
      </c>
      <c r="AB26" s="212">
        <v>4</v>
      </c>
    </row>
    <row r="27" spans="1:28">
      <c r="A27" s="215" t="s">
        <v>263</v>
      </c>
      <c r="B27" s="215">
        <v>150</v>
      </c>
      <c r="C27" s="211"/>
      <c r="D27" s="211" t="s">
        <v>264</v>
      </c>
      <c r="E27" s="219" t="s">
        <v>199</v>
      </c>
      <c r="F27" s="215">
        <v>0</v>
      </c>
      <c r="G27" s="211"/>
      <c r="H27" s="211" t="s">
        <v>28</v>
      </c>
      <c r="I27" s="211" t="s">
        <v>28</v>
      </c>
      <c r="J27" s="211" t="s">
        <v>28</v>
      </c>
      <c r="K27" s="211" t="s">
        <v>28</v>
      </c>
      <c r="L27" s="211" t="s">
        <v>28</v>
      </c>
      <c r="M27" s="211" t="s">
        <v>26</v>
      </c>
      <c r="N27" s="211" t="s">
        <v>26</v>
      </c>
      <c r="O27" s="211" t="s">
        <v>26</v>
      </c>
      <c r="P27" s="211" t="s">
        <v>26</v>
      </c>
      <c r="Q27" s="211" t="s">
        <v>26</v>
      </c>
      <c r="R27" s="211" t="s">
        <v>26</v>
      </c>
      <c r="S27" s="211">
        <v>0</v>
      </c>
      <c r="T27" s="211">
        <v>0</v>
      </c>
      <c r="U27" s="211">
        <v>0</v>
      </c>
      <c r="V27" s="211">
        <v>0</v>
      </c>
      <c r="W27" s="211">
        <v>0</v>
      </c>
      <c r="X27" s="211">
        <v>0</v>
      </c>
      <c r="Y27" s="211">
        <v>0</v>
      </c>
      <c r="Z27" s="211">
        <v>0</v>
      </c>
      <c r="AA27" s="211">
        <v>0</v>
      </c>
      <c r="AB27" s="212">
        <v>4</v>
      </c>
    </row>
    <row r="28" spans="1:28">
      <c r="A28" s="215" t="s">
        <v>265</v>
      </c>
      <c r="B28" s="215">
        <v>150</v>
      </c>
      <c r="C28" s="211"/>
      <c r="D28" s="211" t="s">
        <v>260</v>
      </c>
      <c r="E28" s="219" t="s">
        <v>80</v>
      </c>
      <c r="F28" s="215">
        <v>0</v>
      </c>
      <c r="G28" s="211"/>
      <c r="H28" s="211" t="s">
        <v>28</v>
      </c>
      <c r="I28" s="211" t="s">
        <v>28</v>
      </c>
      <c r="J28" s="211" t="s">
        <v>28</v>
      </c>
      <c r="K28" s="211" t="s">
        <v>28</v>
      </c>
      <c r="L28" s="211" t="s">
        <v>28</v>
      </c>
      <c r="M28" s="211" t="s">
        <v>28</v>
      </c>
      <c r="N28" s="211" t="s">
        <v>28</v>
      </c>
      <c r="O28" s="211" t="s">
        <v>28</v>
      </c>
      <c r="P28" s="211">
        <v>20</v>
      </c>
      <c r="Q28" s="211">
        <v>20</v>
      </c>
      <c r="R28" s="211">
        <v>20</v>
      </c>
      <c r="S28" s="211">
        <v>20</v>
      </c>
      <c r="T28" s="211">
        <v>20</v>
      </c>
      <c r="U28" s="211">
        <v>20</v>
      </c>
      <c r="V28" s="211" t="s">
        <v>28</v>
      </c>
      <c r="W28" s="211" t="s">
        <v>28</v>
      </c>
      <c r="X28" s="211">
        <v>0</v>
      </c>
      <c r="Y28" s="211">
        <v>0</v>
      </c>
      <c r="Z28" s="211">
        <v>0</v>
      </c>
      <c r="AA28" s="211">
        <v>0</v>
      </c>
      <c r="AB28" s="212">
        <v>0</v>
      </c>
    </row>
    <row r="29" spans="1:28">
      <c r="A29" s="215" t="s">
        <v>266</v>
      </c>
      <c r="B29" s="215">
        <v>300</v>
      </c>
      <c r="C29" s="211"/>
      <c r="D29" s="211" t="s">
        <v>260</v>
      </c>
      <c r="E29" s="219" t="s">
        <v>80</v>
      </c>
      <c r="F29" s="215">
        <v>0</v>
      </c>
      <c r="G29" s="211"/>
      <c r="H29" s="211" t="s">
        <v>28</v>
      </c>
      <c r="I29" s="211" t="s">
        <v>28</v>
      </c>
      <c r="J29" s="211" t="s">
        <v>28</v>
      </c>
      <c r="K29" s="211" t="s">
        <v>28</v>
      </c>
      <c r="L29" s="211" t="s">
        <v>28</v>
      </c>
      <c r="M29" s="211" t="s">
        <v>26</v>
      </c>
      <c r="N29" s="211" t="s">
        <v>26</v>
      </c>
      <c r="O29" s="211" t="s">
        <v>28</v>
      </c>
      <c r="P29" s="211">
        <v>20</v>
      </c>
      <c r="Q29" s="211">
        <v>20</v>
      </c>
      <c r="R29" s="211">
        <v>30</v>
      </c>
      <c r="S29" s="211">
        <v>20</v>
      </c>
      <c r="T29" s="211">
        <v>30</v>
      </c>
      <c r="U29" s="211" t="s">
        <v>27</v>
      </c>
      <c r="V29" s="211">
        <v>30</v>
      </c>
      <c r="W29" s="211" t="s">
        <v>29</v>
      </c>
      <c r="X29" s="211">
        <v>0</v>
      </c>
      <c r="Y29" s="211">
        <v>0</v>
      </c>
      <c r="Z29" s="211">
        <v>0</v>
      </c>
      <c r="AA29" s="211">
        <v>0</v>
      </c>
      <c r="AB29" s="212">
        <v>4</v>
      </c>
    </row>
    <row r="30" spans="1:28">
      <c r="A30" s="215" t="s">
        <v>267</v>
      </c>
      <c r="B30" s="215">
        <v>300</v>
      </c>
      <c r="C30" s="211"/>
      <c r="D30" s="211" t="s">
        <v>262</v>
      </c>
      <c r="E30" s="219" t="s">
        <v>199</v>
      </c>
      <c r="F30" s="215">
        <v>0</v>
      </c>
      <c r="G30" s="211"/>
      <c r="H30" s="211" t="s">
        <v>28</v>
      </c>
      <c r="I30" s="211" t="s">
        <v>28</v>
      </c>
      <c r="J30" s="211" t="s">
        <v>28</v>
      </c>
      <c r="K30" s="211" t="s">
        <v>28</v>
      </c>
      <c r="L30" s="211" t="s">
        <v>28</v>
      </c>
      <c r="M30" s="211" t="s">
        <v>26</v>
      </c>
      <c r="N30" s="211" t="s">
        <v>26</v>
      </c>
      <c r="O30" s="211" t="s">
        <v>26</v>
      </c>
      <c r="P30" s="211" t="s">
        <v>26</v>
      </c>
      <c r="Q30" s="211" t="s">
        <v>26</v>
      </c>
      <c r="R30" s="211" t="s">
        <v>26</v>
      </c>
      <c r="S30" s="211" t="s">
        <v>26</v>
      </c>
      <c r="T30" s="211">
        <v>10</v>
      </c>
      <c r="U30" s="211">
        <v>10</v>
      </c>
      <c r="V30" s="211">
        <v>10</v>
      </c>
      <c r="W30" s="211">
        <v>20</v>
      </c>
      <c r="X30" s="211">
        <v>0</v>
      </c>
      <c r="Y30" s="211">
        <v>0</v>
      </c>
      <c r="Z30" s="211">
        <v>0</v>
      </c>
      <c r="AA30" s="211">
        <v>0</v>
      </c>
      <c r="AB30" s="212">
        <v>4</v>
      </c>
    </row>
    <row r="31" spans="1:28">
      <c r="A31" s="215" t="s">
        <v>268</v>
      </c>
      <c r="B31" s="215">
        <v>300</v>
      </c>
      <c r="C31" s="211"/>
      <c r="D31" s="211" t="s">
        <v>264</v>
      </c>
      <c r="E31" s="219" t="s">
        <v>199</v>
      </c>
      <c r="F31" s="215">
        <v>0</v>
      </c>
      <c r="G31" s="211"/>
      <c r="H31" s="211" t="s">
        <v>28</v>
      </c>
      <c r="I31" s="211" t="s">
        <v>28</v>
      </c>
      <c r="J31" s="211" t="s">
        <v>28</v>
      </c>
      <c r="K31" s="211" t="s">
        <v>28</v>
      </c>
      <c r="L31" s="211" t="s">
        <v>28</v>
      </c>
      <c r="M31" s="211" t="s">
        <v>26</v>
      </c>
      <c r="N31" s="211" t="s">
        <v>26</v>
      </c>
      <c r="O31" s="211" t="s">
        <v>26</v>
      </c>
      <c r="P31" s="211" t="s">
        <v>26</v>
      </c>
      <c r="Q31" s="211" t="s">
        <v>26</v>
      </c>
      <c r="R31" s="211" t="s">
        <v>26</v>
      </c>
      <c r="S31" s="211">
        <v>0</v>
      </c>
      <c r="T31" s="211">
        <v>0</v>
      </c>
      <c r="U31" s="211">
        <v>0</v>
      </c>
      <c r="V31" s="211">
        <v>0</v>
      </c>
      <c r="W31" s="211">
        <v>0</v>
      </c>
      <c r="X31" s="211">
        <v>0</v>
      </c>
      <c r="Y31" s="211">
        <v>0</v>
      </c>
      <c r="Z31" s="211">
        <v>0</v>
      </c>
      <c r="AA31" s="211">
        <v>0</v>
      </c>
      <c r="AB31" s="212">
        <v>0</v>
      </c>
    </row>
    <row r="32" spans="1:28">
      <c r="A32" s="215" t="s">
        <v>269</v>
      </c>
      <c r="B32" s="215">
        <v>600</v>
      </c>
      <c r="C32" s="211"/>
      <c r="D32" s="211" t="s">
        <v>260</v>
      </c>
      <c r="E32" s="219" t="s">
        <v>80</v>
      </c>
      <c r="F32" s="215">
        <v>0</v>
      </c>
      <c r="G32" s="211"/>
      <c r="H32" s="211" t="s">
        <v>28</v>
      </c>
      <c r="I32" s="211" t="s">
        <v>28</v>
      </c>
      <c r="J32" s="211" t="s">
        <v>28</v>
      </c>
      <c r="K32" s="211" t="s">
        <v>28</v>
      </c>
      <c r="L32" s="211" t="s">
        <v>28</v>
      </c>
      <c r="M32" s="211" t="s">
        <v>28</v>
      </c>
      <c r="N32" s="211" t="s">
        <v>28</v>
      </c>
      <c r="O32" s="211" t="s">
        <v>28</v>
      </c>
      <c r="P32" s="211">
        <v>60</v>
      </c>
      <c r="Q32" s="211" t="s">
        <v>30</v>
      </c>
      <c r="R32" s="211">
        <v>60</v>
      </c>
      <c r="S32" s="211">
        <v>60</v>
      </c>
      <c r="T32" s="211">
        <v>60</v>
      </c>
      <c r="U32" s="211">
        <v>60</v>
      </c>
      <c r="V32" s="211">
        <v>60</v>
      </c>
      <c r="W32" s="211">
        <v>60</v>
      </c>
      <c r="X32" s="211">
        <v>0</v>
      </c>
      <c r="Y32" s="211">
        <v>0</v>
      </c>
      <c r="Z32" s="211">
        <v>0</v>
      </c>
      <c r="AA32" s="211">
        <v>0</v>
      </c>
      <c r="AB32" s="212">
        <v>4</v>
      </c>
    </row>
    <row r="33" spans="1:28">
      <c r="A33" s="215" t="s">
        <v>270</v>
      </c>
      <c r="B33" s="215">
        <v>600</v>
      </c>
      <c r="C33" s="211"/>
      <c r="D33" s="211" t="s">
        <v>262</v>
      </c>
      <c r="E33" s="219" t="s">
        <v>199</v>
      </c>
      <c r="F33" s="215">
        <v>0</v>
      </c>
      <c r="G33" s="211"/>
      <c r="H33" s="211" t="s">
        <v>28</v>
      </c>
      <c r="I33" s="211" t="s">
        <v>28</v>
      </c>
      <c r="J33" s="211" t="s">
        <v>28</v>
      </c>
      <c r="K33" s="211" t="s">
        <v>28</v>
      </c>
      <c r="L33" s="211" t="s">
        <v>28</v>
      </c>
      <c r="M33" s="211" t="s">
        <v>28</v>
      </c>
      <c r="N33" s="211" t="s">
        <v>28</v>
      </c>
      <c r="O33" s="211" t="s">
        <v>28</v>
      </c>
      <c r="P33" s="211" t="s">
        <v>28</v>
      </c>
      <c r="Q33" s="211" t="s">
        <v>28</v>
      </c>
      <c r="R33" s="211" t="s">
        <v>28</v>
      </c>
      <c r="S33" s="211" t="s">
        <v>28</v>
      </c>
      <c r="T33" s="211" t="s">
        <v>28</v>
      </c>
      <c r="U33" s="211" t="s">
        <v>30</v>
      </c>
      <c r="V33" s="211" t="s">
        <v>30</v>
      </c>
      <c r="W33" s="211">
        <v>30</v>
      </c>
      <c r="X33" s="211">
        <v>0</v>
      </c>
      <c r="Y33" s="211">
        <v>0</v>
      </c>
      <c r="Z33" s="211">
        <v>0</v>
      </c>
      <c r="AA33" s="211">
        <v>0</v>
      </c>
      <c r="AB33" s="212">
        <v>3</v>
      </c>
    </row>
    <row r="34" spans="1:28">
      <c r="A34" s="215" t="s">
        <v>271</v>
      </c>
      <c r="B34" s="215">
        <v>900</v>
      </c>
      <c r="C34" s="211"/>
      <c r="D34" s="211" t="s">
        <v>260</v>
      </c>
      <c r="E34" s="219" t="s">
        <v>80</v>
      </c>
      <c r="F34" s="215">
        <v>0</v>
      </c>
      <c r="G34" s="211"/>
      <c r="H34" s="211" t="s">
        <v>30</v>
      </c>
      <c r="I34" s="211" t="s">
        <v>30</v>
      </c>
      <c r="J34" s="211" t="s">
        <v>30</v>
      </c>
      <c r="K34" s="211" t="s">
        <v>30</v>
      </c>
      <c r="L34" s="211" t="s">
        <v>28</v>
      </c>
      <c r="M34" s="211" t="s">
        <v>28</v>
      </c>
      <c r="N34" s="211" t="s">
        <v>30</v>
      </c>
      <c r="O34" s="211" t="s">
        <v>30</v>
      </c>
      <c r="P34" s="211">
        <v>100</v>
      </c>
      <c r="Q34" s="211">
        <v>100</v>
      </c>
      <c r="R34" s="211">
        <v>100</v>
      </c>
      <c r="S34" s="211">
        <v>100</v>
      </c>
      <c r="T34" s="211">
        <v>100</v>
      </c>
      <c r="U34" s="211">
        <v>100</v>
      </c>
      <c r="V34" s="211">
        <v>100</v>
      </c>
      <c r="W34" s="211">
        <v>100</v>
      </c>
      <c r="X34" s="211">
        <v>0</v>
      </c>
      <c r="Y34" s="211">
        <v>0</v>
      </c>
      <c r="Z34" s="211">
        <v>0</v>
      </c>
      <c r="AA34" s="211">
        <v>0</v>
      </c>
      <c r="AB34" s="212">
        <v>4</v>
      </c>
    </row>
    <row r="35" spans="1:28">
      <c r="A35" s="215" t="s">
        <v>272</v>
      </c>
      <c r="B35" s="215">
        <v>1500</v>
      </c>
      <c r="C35" s="211"/>
      <c r="D35" s="211" t="s">
        <v>260</v>
      </c>
      <c r="E35" s="219" t="s">
        <v>80</v>
      </c>
      <c r="F35" s="215">
        <v>0</v>
      </c>
      <c r="G35" s="211"/>
      <c r="H35" s="211" t="s">
        <v>30</v>
      </c>
      <c r="I35" s="211" t="s">
        <v>30</v>
      </c>
      <c r="J35" s="211" t="s">
        <v>30</v>
      </c>
      <c r="K35" s="211" t="s">
        <v>30</v>
      </c>
      <c r="L35" s="211">
        <v>160</v>
      </c>
      <c r="M35" s="211">
        <v>160</v>
      </c>
      <c r="N35" s="211">
        <v>120</v>
      </c>
      <c r="O35" s="211">
        <v>160</v>
      </c>
      <c r="P35" s="211" t="s">
        <v>31</v>
      </c>
      <c r="Q35" s="211">
        <v>160</v>
      </c>
      <c r="R35" s="211">
        <v>160</v>
      </c>
      <c r="S35" s="211">
        <v>160</v>
      </c>
      <c r="T35" s="211">
        <v>160</v>
      </c>
      <c r="U35" s="211">
        <v>160</v>
      </c>
      <c r="V35" s="211">
        <v>160</v>
      </c>
      <c r="W35" s="211">
        <v>160</v>
      </c>
      <c r="X35" s="211">
        <v>0</v>
      </c>
      <c r="Y35" s="211">
        <v>0</v>
      </c>
      <c r="Z35" s="211">
        <v>0</v>
      </c>
      <c r="AA35" s="211">
        <v>0</v>
      </c>
      <c r="AB35" s="212">
        <v>4</v>
      </c>
    </row>
    <row r="36" spans="1:28" s="217" customFormat="1">
      <c r="A36" s="211" t="s">
        <v>273</v>
      </c>
      <c r="B36" s="211">
        <v>2500</v>
      </c>
      <c r="C36" s="211"/>
      <c r="D36" s="211" t="s">
        <v>260</v>
      </c>
      <c r="E36" s="220" t="s">
        <v>80</v>
      </c>
      <c r="F36" s="211">
        <v>0</v>
      </c>
      <c r="G36" s="211"/>
      <c r="H36" s="211" t="s">
        <v>30</v>
      </c>
      <c r="I36" s="211" t="s">
        <v>30</v>
      </c>
      <c r="J36" s="211" t="s">
        <v>30</v>
      </c>
      <c r="K36" s="211" t="s">
        <v>30</v>
      </c>
      <c r="L36" s="211">
        <v>160</v>
      </c>
      <c r="M36" s="211">
        <v>160</v>
      </c>
      <c r="N36" s="211">
        <v>120</v>
      </c>
      <c r="O36" s="211">
        <v>160</v>
      </c>
      <c r="P36" s="211">
        <v>0</v>
      </c>
      <c r="Q36" s="211">
        <v>0</v>
      </c>
      <c r="R36" s="211">
        <v>0</v>
      </c>
      <c r="S36" s="211">
        <v>0</v>
      </c>
      <c r="T36" s="211">
        <v>0</v>
      </c>
      <c r="U36" s="211">
        <v>0</v>
      </c>
      <c r="V36" s="211">
        <v>0</v>
      </c>
      <c r="W36" s="211">
        <v>0</v>
      </c>
      <c r="X36" s="211">
        <v>0</v>
      </c>
      <c r="Y36" s="211">
        <v>0</v>
      </c>
      <c r="Z36" s="211">
        <v>0</v>
      </c>
      <c r="AA36" s="211">
        <v>0</v>
      </c>
      <c r="AB36" s="216">
        <v>0</v>
      </c>
    </row>
    <row r="37" spans="1:28">
      <c r="A37" s="211" t="s">
        <v>274</v>
      </c>
      <c r="B37" s="211">
        <v>2500</v>
      </c>
      <c r="C37" s="211"/>
      <c r="D37" s="211" t="s">
        <v>262</v>
      </c>
      <c r="E37" s="220" t="s">
        <v>199</v>
      </c>
      <c r="F37" s="211">
        <v>0</v>
      </c>
      <c r="G37" s="211"/>
      <c r="H37" s="211" t="s">
        <v>28</v>
      </c>
      <c r="I37" s="211" t="s">
        <v>28</v>
      </c>
      <c r="J37" s="211" t="s">
        <v>28</v>
      </c>
      <c r="K37" s="211" t="s">
        <v>30</v>
      </c>
      <c r="L37" s="211">
        <v>160</v>
      </c>
      <c r="M37" s="211">
        <v>160</v>
      </c>
      <c r="N37" s="211">
        <v>160</v>
      </c>
      <c r="O37" s="211">
        <v>160</v>
      </c>
      <c r="P37" s="211">
        <v>160</v>
      </c>
      <c r="Q37" s="211">
        <v>160</v>
      </c>
      <c r="R37" s="211">
        <v>160</v>
      </c>
      <c r="S37" s="211">
        <v>0</v>
      </c>
      <c r="T37" s="211">
        <v>0</v>
      </c>
      <c r="U37" s="211">
        <v>0</v>
      </c>
      <c r="V37" s="211">
        <v>0</v>
      </c>
      <c r="W37" s="211">
        <v>0</v>
      </c>
      <c r="X37" s="211">
        <v>0</v>
      </c>
      <c r="Y37" s="211">
        <v>0</v>
      </c>
      <c r="Z37" s="211">
        <v>0</v>
      </c>
      <c r="AA37" s="211">
        <v>0</v>
      </c>
      <c r="AB37" s="212">
        <v>4</v>
      </c>
    </row>
    <row r="38" spans="1:28">
      <c r="A38" s="211" t="s">
        <v>275</v>
      </c>
      <c r="B38" s="211" t="s">
        <v>276</v>
      </c>
      <c r="C38" s="211"/>
      <c r="D38" s="211" t="s">
        <v>262</v>
      </c>
      <c r="E38" s="220" t="s">
        <v>199</v>
      </c>
      <c r="F38" s="211">
        <v>0</v>
      </c>
      <c r="G38" s="211"/>
      <c r="H38" s="211">
        <v>0</v>
      </c>
      <c r="I38" s="211">
        <v>160</v>
      </c>
      <c r="J38" s="211">
        <v>160</v>
      </c>
      <c r="K38" s="211">
        <v>160</v>
      </c>
      <c r="L38" s="211">
        <v>160</v>
      </c>
      <c r="M38" s="211">
        <v>0</v>
      </c>
      <c r="N38" s="211">
        <v>0</v>
      </c>
      <c r="O38" s="211">
        <v>0</v>
      </c>
      <c r="P38" s="211">
        <v>0</v>
      </c>
      <c r="Q38" s="211">
        <v>0</v>
      </c>
      <c r="R38" s="211">
        <v>0</v>
      </c>
      <c r="S38" s="211">
        <v>0</v>
      </c>
      <c r="T38" s="211">
        <v>0</v>
      </c>
      <c r="U38" s="211">
        <v>0</v>
      </c>
      <c r="V38" s="211">
        <v>0</v>
      </c>
      <c r="W38" s="211">
        <v>0</v>
      </c>
      <c r="X38" s="211">
        <v>0</v>
      </c>
      <c r="Y38" s="211">
        <v>0</v>
      </c>
      <c r="Z38" s="211">
        <v>0</v>
      </c>
      <c r="AA38" s="211">
        <v>0</v>
      </c>
      <c r="AB38" s="216">
        <v>0</v>
      </c>
    </row>
    <row r="39" spans="1:28">
      <c r="A39" s="211" t="s">
        <v>277</v>
      </c>
      <c r="B39" s="211">
        <v>150</v>
      </c>
      <c r="C39" s="211"/>
      <c r="D39" s="211" t="s">
        <v>278</v>
      </c>
      <c r="E39" s="220" t="s">
        <v>283</v>
      </c>
      <c r="F39" s="211">
        <v>0</v>
      </c>
      <c r="G39" s="211"/>
      <c r="H39" s="211" t="s">
        <v>28</v>
      </c>
      <c r="I39" s="211" t="s">
        <v>28</v>
      </c>
      <c r="J39" s="211" t="s">
        <v>26</v>
      </c>
      <c r="K39" s="211" t="s">
        <v>26</v>
      </c>
      <c r="L39" s="211" t="s">
        <v>26</v>
      </c>
      <c r="M39" s="211" t="s">
        <v>26</v>
      </c>
      <c r="N39" s="211" t="s">
        <v>26</v>
      </c>
      <c r="O39" s="211">
        <v>0</v>
      </c>
      <c r="P39" s="211">
        <v>0</v>
      </c>
      <c r="Q39" s="211">
        <v>0</v>
      </c>
      <c r="R39" s="211">
        <v>0</v>
      </c>
      <c r="S39" s="211">
        <v>0</v>
      </c>
      <c r="T39" s="211">
        <v>0</v>
      </c>
      <c r="U39" s="211">
        <v>0</v>
      </c>
      <c r="V39" s="211">
        <v>0</v>
      </c>
      <c r="W39" s="211">
        <v>0</v>
      </c>
      <c r="X39" s="211">
        <v>0</v>
      </c>
      <c r="Y39" s="211">
        <v>0</v>
      </c>
      <c r="Z39" s="211">
        <v>0</v>
      </c>
      <c r="AA39" s="211">
        <v>0</v>
      </c>
      <c r="AB39" s="216">
        <v>4</v>
      </c>
    </row>
    <row r="40" spans="1:28">
      <c r="A40" s="211" t="s">
        <v>279</v>
      </c>
      <c r="B40" s="211">
        <v>150</v>
      </c>
      <c r="C40" s="211"/>
      <c r="D40" s="211" t="s">
        <v>280</v>
      </c>
      <c r="E40" s="220" t="s">
        <v>283</v>
      </c>
      <c r="F40" s="211">
        <v>0</v>
      </c>
      <c r="G40" s="211"/>
      <c r="H40" s="211">
        <v>2</v>
      </c>
      <c r="I40" s="211">
        <v>2</v>
      </c>
      <c r="J40" s="211">
        <v>2.5</v>
      </c>
      <c r="K40" s="211">
        <v>2.5</v>
      </c>
      <c r="L40" s="211">
        <v>2.5</v>
      </c>
      <c r="M40" s="211">
        <v>2.5</v>
      </c>
      <c r="N40" s="211">
        <v>3</v>
      </c>
      <c r="O40" s="211">
        <v>3</v>
      </c>
      <c r="P40" s="211">
        <v>4</v>
      </c>
      <c r="Q40" s="211">
        <v>4.5</v>
      </c>
      <c r="R40" s="211">
        <v>5.5</v>
      </c>
      <c r="S40" s="211">
        <v>6.5</v>
      </c>
      <c r="T40" s="211">
        <v>7</v>
      </c>
      <c r="U40" s="211">
        <v>8</v>
      </c>
      <c r="V40" s="211">
        <v>8.5</v>
      </c>
      <c r="W40" s="211">
        <v>10.5</v>
      </c>
      <c r="X40" s="211">
        <v>0</v>
      </c>
      <c r="Y40" s="211">
        <v>0</v>
      </c>
      <c r="Z40" s="211">
        <v>0</v>
      </c>
      <c r="AA40" s="211">
        <v>0</v>
      </c>
      <c r="AB40" s="216">
        <v>4</v>
      </c>
    </row>
    <row r="41" spans="1:28">
      <c r="A41" s="213"/>
      <c r="B41" s="213"/>
      <c r="C41" s="213"/>
      <c r="D41" s="211" t="s">
        <v>281</v>
      </c>
      <c r="E41" s="218"/>
      <c r="F41" s="213"/>
      <c r="G41" s="213"/>
      <c r="H41" s="213"/>
      <c r="I41" s="213"/>
      <c r="J41" s="213"/>
      <c r="K41" s="213"/>
      <c r="L41" s="213"/>
      <c r="M41" s="213"/>
      <c r="N41" s="213"/>
      <c r="O41" s="213"/>
      <c r="P41" s="213"/>
      <c r="Q41" s="213"/>
      <c r="R41" s="213"/>
      <c r="S41" s="213"/>
      <c r="T41" s="213"/>
      <c r="U41" s="213"/>
      <c r="V41" s="213"/>
      <c r="W41" s="214"/>
      <c r="X41" s="211"/>
      <c r="Y41" s="211"/>
      <c r="Z41" s="211"/>
      <c r="AA41" s="211"/>
      <c r="AB41" s="213"/>
    </row>
  </sheetData>
  <sheetProtection password="8C51" sheet="1" objects="1" scenarios="1" selectLockedCells="1" selectUnlockedCells="1"/>
  <mergeCells count="8">
    <mergeCell ref="G1:AA1"/>
    <mergeCell ref="AB1:AB2"/>
    <mergeCell ref="A1:A2"/>
    <mergeCell ref="B1:B2"/>
    <mergeCell ref="C1:C2"/>
    <mergeCell ref="D1:D2"/>
    <mergeCell ref="E1:E2"/>
    <mergeCell ref="F1:F2"/>
  </mergeCells>
  <pageMargins left="0.70866141732283472" right="0.70866141732283472" top="0.35433070866141736" bottom="0.35433070866141736" header="0.31496062992125984" footer="0.31496062992125984"/>
  <pageSetup paperSize="9" scale="48"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1:Z884"/>
  <sheetViews>
    <sheetView workbookViewId="0">
      <selection activeCell="P1" sqref="P1"/>
    </sheetView>
  </sheetViews>
  <sheetFormatPr defaultRowHeight="10.199999999999999" customHeight="1"/>
  <cols>
    <col min="1" max="15" width="8.88671875" style="54"/>
    <col min="16" max="17" width="8.88671875" style="255"/>
    <col min="18" max="18" width="8.88671875" style="255" customWidth="1"/>
    <col min="19" max="26" width="8.88671875" style="255"/>
    <col min="27" max="16384" width="8.88671875" style="54"/>
  </cols>
  <sheetData>
    <row r="1" spans="2:26" ht="10.199999999999999" customHeight="1">
      <c r="B1" s="54" t="s">
        <v>46</v>
      </c>
      <c r="C1" s="54" t="s">
        <v>47</v>
      </c>
      <c r="D1" s="54" t="s">
        <v>48</v>
      </c>
      <c r="E1" s="54" t="s">
        <v>49</v>
      </c>
      <c r="F1" s="54" t="s">
        <v>50</v>
      </c>
      <c r="G1" s="54" t="s">
        <v>51</v>
      </c>
      <c r="H1" s="54" t="s">
        <v>52</v>
      </c>
      <c r="I1" s="54" t="s">
        <v>53</v>
      </c>
      <c r="J1" s="54" t="s">
        <v>54</v>
      </c>
      <c r="P1" s="256"/>
      <c r="Q1" s="256"/>
      <c r="R1" s="256"/>
      <c r="S1" s="256"/>
      <c r="T1" s="256"/>
      <c r="U1" s="256"/>
      <c r="V1" s="256"/>
      <c r="W1" s="256"/>
      <c r="X1" s="256"/>
      <c r="Y1" s="256"/>
      <c r="Z1" s="256"/>
    </row>
    <row r="2" spans="2:26" ht="10.199999999999999" customHeight="1">
      <c r="B2" s="54" t="s">
        <v>55</v>
      </c>
      <c r="C2" s="54" t="s">
        <v>56</v>
      </c>
      <c r="D2" s="54" t="s">
        <v>56</v>
      </c>
      <c r="E2" s="54" t="s">
        <v>57</v>
      </c>
      <c r="F2" s="54" t="s">
        <v>57</v>
      </c>
      <c r="G2" s="54" t="s">
        <v>58</v>
      </c>
      <c r="H2" s="54" t="s">
        <v>59</v>
      </c>
      <c r="I2" s="54" t="s">
        <v>60</v>
      </c>
      <c r="J2" s="54" t="s">
        <v>61</v>
      </c>
      <c r="K2" s="54" t="s">
        <v>62</v>
      </c>
      <c r="L2" s="54" t="s">
        <v>63</v>
      </c>
      <c r="P2" s="256"/>
      <c r="Q2" s="256"/>
      <c r="R2" s="256"/>
      <c r="S2" s="256"/>
      <c r="T2" s="256"/>
      <c r="U2" s="256"/>
      <c r="V2" s="256"/>
      <c r="W2" s="256"/>
      <c r="X2" s="256"/>
      <c r="Y2" s="256"/>
      <c r="Z2" s="256"/>
    </row>
    <row r="3" spans="2:26" ht="10.199999999999999" customHeight="1">
      <c r="P3" s="256"/>
      <c r="Q3" s="256"/>
      <c r="R3" s="256"/>
      <c r="S3" s="256"/>
      <c r="T3" s="256"/>
      <c r="U3" s="256"/>
      <c r="V3" s="256"/>
      <c r="W3" s="256"/>
      <c r="X3" s="256"/>
      <c r="Y3" s="256"/>
      <c r="Z3" s="256"/>
    </row>
    <row r="4" spans="2:26" ht="10.199999999999999" customHeight="1">
      <c r="B4" s="54" t="s">
        <v>64</v>
      </c>
      <c r="C4" s="234" t="str">
        <f ca="1">IF(P1="","","L"&amp;MID(INDIRECT("P"&amp;L4),6,FIND(" ",INDIRECT("P"&amp;L4),6)-5))</f>
        <v/>
      </c>
      <c r="D4" s="234" t="str">
        <f ca="1">IF(P1="","",MID(INDIRECT("P"&amp;L4),SEARCH("(",INDIRECT("P"&amp;L4),1)+1,3))</f>
        <v/>
      </c>
      <c r="E4" s="234" t="str">
        <f ca="1">IF(P1="","",MID(INDIRECT("P"&amp;L4),SEARCH(")",INDIRECT("P"&amp;L4),1)+2,LEN(INDIRECT("P"&amp;L4))))</f>
        <v/>
      </c>
      <c r="F4" s="234"/>
      <c r="G4" s="234"/>
      <c r="H4" s="234" t="str">
        <f ca="1">IF(P1="","",instring(INDIRECT("P"&amp;I4),"\",TRUE))</f>
        <v/>
      </c>
      <c r="I4" s="234" t="str">
        <f>IF(P1="","",MATCH("Job:*",P1:P10,0))</f>
        <v/>
      </c>
      <c r="J4" s="234" t="str">
        <f ca="1">IF(P1="","",TRIM(MID(INDIRECT("P"&amp;I4),H4+1,LEN(INDIRECT("P"&amp;I4))-H4)))</f>
        <v/>
      </c>
      <c r="K4" s="234"/>
      <c r="L4" s="234" t="str">
        <f>IF(P1="","",MATCH("CASE*",P1:P10,0))</f>
        <v/>
      </c>
      <c r="M4" s="55">
        <f>ROUND(COUNT(P:P)*1.6,0)</f>
        <v>0</v>
      </c>
      <c r="P4" s="256"/>
      <c r="Q4" s="256"/>
      <c r="R4" s="256"/>
      <c r="S4" s="256"/>
      <c r="T4" s="256"/>
      <c r="U4" s="256"/>
      <c r="V4" s="256"/>
      <c r="W4" s="256"/>
      <c r="X4" s="256"/>
      <c r="Y4" s="256"/>
      <c r="Z4" s="256"/>
    </row>
    <row r="5" spans="2:26" ht="10.199999999999999" customHeight="1">
      <c r="P5" s="256"/>
      <c r="Q5" s="256"/>
      <c r="R5" s="256"/>
      <c r="S5" s="256"/>
      <c r="T5" s="256"/>
      <c r="U5" s="256"/>
      <c r="V5" s="256"/>
      <c r="W5" s="256"/>
      <c r="X5" s="256"/>
      <c r="Y5" s="256"/>
      <c r="Z5" s="256"/>
    </row>
    <row r="6" spans="2:26" ht="10.199999999999999" customHeight="1">
      <c r="B6" s="56" t="str">
        <f>IF('Low Stress Type Gasket'!BE11="","",'Low Stress Type Gasket'!BE11)</f>
        <v/>
      </c>
      <c r="C6" s="55" t="str">
        <f t="shared" ref="C6:L21" ca="1" si="0">IF($M$4=0,"",VLOOKUP($B6,INDIRECT("$P$1:$Z$"&amp;$M$4),COLUMN()-1,0))</f>
        <v/>
      </c>
      <c r="D6" s="55" t="str">
        <f t="shared" ca="1" si="0"/>
        <v/>
      </c>
      <c r="E6" s="55" t="str">
        <f t="shared" ca="1" si="0"/>
        <v/>
      </c>
      <c r="F6" s="55" t="str">
        <f t="shared" ca="1" si="0"/>
        <v/>
      </c>
      <c r="G6" s="55" t="str">
        <f t="shared" ca="1" si="0"/>
        <v/>
      </c>
      <c r="H6" s="55" t="str">
        <f t="shared" ca="1" si="0"/>
        <v/>
      </c>
      <c r="I6" s="55" t="str">
        <f t="shared" ca="1" si="0"/>
        <v/>
      </c>
      <c r="J6" s="55" t="str">
        <f t="shared" ca="1" si="0"/>
        <v/>
      </c>
      <c r="K6" s="55" t="str">
        <f t="shared" ca="1" si="0"/>
        <v/>
      </c>
      <c r="L6" s="55" t="str">
        <f t="shared" ca="1" si="0"/>
        <v/>
      </c>
      <c r="P6" s="256"/>
      <c r="Q6" s="256"/>
      <c r="R6" s="256"/>
      <c r="S6" s="256"/>
      <c r="T6" s="256"/>
      <c r="U6" s="256"/>
      <c r="V6" s="256"/>
      <c r="W6" s="256"/>
      <c r="X6" s="256"/>
      <c r="Y6" s="256"/>
      <c r="Z6" s="256"/>
    </row>
    <row r="7" spans="2:26" ht="10.199999999999999" customHeight="1">
      <c r="B7" s="56" t="str">
        <f>IF('Low Stress Type Gasket'!BE12="","",'Low Stress Type Gasket'!BE12)</f>
        <v/>
      </c>
      <c r="C7" s="55" t="str">
        <f t="shared" ca="1" si="0"/>
        <v/>
      </c>
      <c r="D7" s="55" t="str">
        <f t="shared" ca="1" si="0"/>
        <v/>
      </c>
      <c r="E7" s="55" t="str">
        <f t="shared" ca="1" si="0"/>
        <v/>
      </c>
      <c r="F7" s="55" t="str">
        <f t="shared" ca="1" si="0"/>
        <v/>
      </c>
      <c r="G7" s="55" t="str">
        <f t="shared" ca="1" si="0"/>
        <v/>
      </c>
      <c r="H7" s="55" t="str">
        <f t="shared" ca="1" si="0"/>
        <v/>
      </c>
      <c r="I7" s="55" t="str">
        <f t="shared" ca="1" si="0"/>
        <v/>
      </c>
      <c r="J7" s="55" t="str">
        <f t="shared" ca="1" si="0"/>
        <v/>
      </c>
      <c r="K7" s="55" t="str">
        <f t="shared" ca="1" si="0"/>
        <v/>
      </c>
      <c r="L7" s="55" t="str">
        <f t="shared" ca="1" si="0"/>
        <v/>
      </c>
      <c r="P7" s="256"/>
      <c r="Q7" s="256"/>
      <c r="R7" s="256"/>
      <c r="S7" s="256"/>
      <c r="T7" s="256"/>
      <c r="U7" s="256"/>
      <c r="V7" s="256"/>
      <c r="W7" s="256"/>
      <c r="X7" s="256"/>
      <c r="Y7" s="256"/>
      <c r="Z7" s="256"/>
    </row>
    <row r="8" spans="2:26" ht="10.199999999999999" customHeight="1">
      <c r="B8" s="56" t="str">
        <f>IF('Low Stress Type Gasket'!BE13="","",'Low Stress Type Gasket'!BE13)</f>
        <v/>
      </c>
      <c r="C8" s="55" t="str">
        <f t="shared" ca="1" si="0"/>
        <v/>
      </c>
      <c r="D8" s="55" t="str">
        <f t="shared" ca="1" si="0"/>
        <v/>
      </c>
      <c r="E8" s="55" t="str">
        <f t="shared" ca="1" si="0"/>
        <v/>
      </c>
      <c r="F8" s="55" t="str">
        <f t="shared" ca="1" si="0"/>
        <v/>
      </c>
      <c r="G8" s="55" t="str">
        <f t="shared" ca="1" si="0"/>
        <v/>
      </c>
      <c r="H8" s="55" t="str">
        <f t="shared" ca="1" si="0"/>
        <v/>
      </c>
      <c r="I8" s="55" t="str">
        <f t="shared" ca="1" si="0"/>
        <v/>
      </c>
      <c r="J8" s="55" t="str">
        <f t="shared" ca="1" si="0"/>
        <v/>
      </c>
      <c r="K8" s="55" t="str">
        <f t="shared" ca="1" si="0"/>
        <v/>
      </c>
      <c r="L8" s="55" t="str">
        <f t="shared" ca="1" si="0"/>
        <v/>
      </c>
      <c r="P8" s="235"/>
      <c r="Q8" s="235"/>
      <c r="R8" s="235"/>
      <c r="S8" s="235"/>
      <c r="T8" s="235"/>
      <c r="U8" s="235"/>
      <c r="V8" s="235"/>
      <c r="W8" s="235"/>
      <c r="X8" s="235"/>
      <c r="Y8" s="235"/>
      <c r="Z8" s="235"/>
    </row>
    <row r="9" spans="2:26" ht="10.199999999999999" customHeight="1">
      <c r="B9" s="56" t="str">
        <f>IF('Low Stress Type Gasket'!BE14="","",'Low Stress Type Gasket'!BE14)</f>
        <v/>
      </c>
      <c r="C9" s="55" t="str">
        <f t="shared" ca="1" si="0"/>
        <v/>
      </c>
      <c r="D9" s="55" t="str">
        <f t="shared" ca="1" si="0"/>
        <v/>
      </c>
      <c r="E9" s="55" t="str">
        <f t="shared" ca="1" si="0"/>
        <v/>
      </c>
      <c r="F9" s="55" t="str">
        <f t="shared" ca="1" si="0"/>
        <v/>
      </c>
      <c r="G9" s="55" t="str">
        <f t="shared" ca="1" si="0"/>
        <v/>
      </c>
      <c r="H9" s="55" t="str">
        <f t="shared" ca="1" si="0"/>
        <v/>
      </c>
      <c r="I9" s="55" t="str">
        <f t="shared" ca="1" si="0"/>
        <v/>
      </c>
      <c r="J9" s="55" t="str">
        <f t="shared" ca="1" si="0"/>
        <v/>
      </c>
      <c r="K9" s="55" t="str">
        <f t="shared" ca="1" si="0"/>
        <v/>
      </c>
      <c r="L9" s="55" t="str">
        <f t="shared" ca="1" si="0"/>
        <v/>
      </c>
      <c r="P9" s="256"/>
      <c r="Q9" s="256"/>
      <c r="R9" s="256"/>
      <c r="S9" s="256"/>
      <c r="T9" s="256"/>
      <c r="U9" s="256"/>
      <c r="V9" s="256"/>
      <c r="W9" s="256"/>
      <c r="X9" s="256"/>
      <c r="Y9" s="256"/>
      <c r="Z9" s="256"/>
    </row>
    <row r="10" spans="2:26" ht="10.199999999999999" customHeight="1">
      <c r="B10" s="56" t="str">
        <f>IF('Low Stress Type Gasket'!BE15="","",'Low Stress Type Gasket'!BE15)</f>
        <v/>
      </c>
      <c r="C10" s="55" t="str">
        <f t="shared" ca="1" si="0"/>
        <v/>
      </c>
      <c r="D10" s="55" t="str">
        <f t="shared" ca="1" si="0"/>
        <v/>
      </c>
      <c r="E10" s="55" t="str">
        <f t="shared" ca="1" si="0"/>
        <v/>
      </c>
      <c r="F10" s="55" t="str">
        <f t="shared" ca="1" si="0"/>
        <v/>
      </c>
      <c r="G10" s="55" t="str">
        <f t="shared" ca="1" si="0"/>
        <v/>
      </c>
      <c r="H10" s="55" t="str">
        <f t="shared" ca="1" si="0"/>
        <v/>
      </c>
      <c r="I10" s="55" t="str">
        <f t="shared" ca="1" si="0"/>
        <v/>
      </c>
      <c r="J10" s="55" t="str">
        <f t="shared" ca="1" si="0"/>
        <v/>
      </c>
      <c r="K10" s="55" t="str">
        <f t="shared" ca="1" si="0"/>
        <v/>
      </c>
      <c r="L10" s="55" t="str">
        <f t="shared" ca="1" si="0"/>
        <v/>
      </c>
      <c r="P10" s="256"/>
      <c r="Q10" s="256"/>
      <c r="R10" s="256"/>
      <c r="S10" s="256"/>
      <c r="T10" s="256"/>
      <c r="U10" s="256"/>
      <c r="V10" s="256"/>
      <c r="W10" s="256"/>
      <c r="X10" s="256"/>
      <c r="Y10" s="256"/>
      <c r="Z10" s="256"/>
    </row>
    <row r="11" spans="2:26" ht="10.199999999999999" customHeight="1">
      <c r="B11" s="56" t="str">
        <f>IF('Low Stress Type Gasket'!BE16="","",'Low Stress Type Gasket'!BE16)</f>
        <v/>
      </c>
      <c r="C11" s="55" t="str">
        <f t="shared" ca="1" si="0"/>
        <v/>
      </c>
      <c r="D11" s="55" t="str">
        <f t="shared" ca="1" si="0"/>
        <v/>
      </c>
      <c r="E11" s="55" t="str">
        <f t="shared" ca="1" si="0"/>
        <v/>
      </c>
      <c r="F11" s="55" t="str">
        <f t="shared" ca="1" si="0"/>
        <v/>
      </c>
      <c r="G11" s="55" t="str">
        <f t="shared" ca="1" si="0"/>
        <v/>
      </c>
      <c r="H11" s="55" t="str">
        <f t="shared" ca="1" si="0"/>
        <v/>
      </c>
      <c r="I11" s="55" t="str">
        <f t="shared" ca="1" si="0"/>
        <v/>
      </c>
      <c r="J11" s="55" t="str">
        <f t="shared" ca="1" si="0"/>
        <v/>
      </c>
      <c r="K11" s="55" t="str">
        <f t="shared" ca="1" si="0"/>
        <v/>
      </c>
      <c r="L11" s="55" t="str">
        <f t="shared" ca="1" si="0"/>
        <v/>
      </c>
      <c r="P11" s="256"/>
      <c r="Q11" s="256"/>
      <c r="R11" s="256"/>
      <c r="S11" s="256"/>
      <c r="T11" s="256"/>
      <c r="U11" s="256"/>
      <c r="V11" s="256"/>
      <c r="W11" s="256"/>
      <c r="X11" s="256"/>
      <c r="Y11" s="256"/>
      <c r="Z11" s="256"/>
    </row>
    <row r="12" spans="2:26" ht="10.199999999999999" customHeight="1">
      <c r="B12" s="56" t="str">
        <f>IF('Low Stress Type Gasket'!BE17="","",'Low Stress Type Gasket'!BE17)</f>
        <v/>
      </c>
      <c r="C12" s="55" t="str">
        <f t="shared" ca="1" si="0"/>
        <v/>
      </c>
      <c r="D12" s="55" t="str">
        <f t="shared" ca="1" si="0"/>
        <v/>
      </c>
      <c r="E12" s="55" t="str">
        <f t="shared" ca="1" si="0"/>
        <v/>
      </c>
      <c r="F12" s="55" t="str">
        <f t="shared" ca="1" si="0"/>
        <v/>
      </c>
      <c r="G12" s="55" t="str">
        <f t="shared" ca="1" si="0"/>
        <v/>
      </c>
      <c r="H12" s="55" t="str">
        <f t="shared" ca="1" si="0"/>
        <v/>
      </c>
      <c r="I12" s="55" t="str">
        <f t="shared" ca="1" si="0"/>
        <v/>
      </c>
      <c r="J12" s="55" t="str">
        <f t="shared" ca="1" si="0"/>
        <v/>
      </c>
      <c r="K12" s="55" t="str">
        <f t="shared" ca="1" si="0"/>
        <v/>
      </c>
      <c r="L12" s="55" t="str">
        <f t="shared" ca="1" si="0"/>
        <v/>
      </c>
      <c r="P12" s="235"/>
      <c r="Q12" s="235"/>
      <c r="R12" s="235"/>
      <c r="S12" s="235"/>
      <c r="T12" s="235"/>
      <c r="U12" s="235"/>
      <c r="V12" s="235"/>
      <c r="W12" s="235"/>
      <c r="X12" s="235"/>
      <c r="Y12" s="235"/>
      <c r="Z12" s="235"/>
    </row>
    <row r="13" spans="2:26" ht="10.199999999999999" customHeight="1">
      <c r="B13" s="56" t="str">
        <f>IF('Low Stress Type Gasket'!BE18="","",'Low Stress Type Gasket'!BE18)</f>
        <v/>
      </c>
      <c r="C13" s="55" t="str">
        <f t="shared" ca="1" si="0"/>
        <v/>
      </c>
      <c r="D13" s="55" t="str">
        <f t="shared" ca="1" si="0"/>
        <v/>
      </c>
      <c r="E13" s="55" t="str">
        <f t="shared" ca="1" si="0"/>
        <v/>
      </c>
      <c r="F13" s="55" t="str">
        <f t="shared" ca="1" si="0"/>
        <v/>
      </c>
      <c r="G13" s="55" t="str">
        <f t="shared" ca="1" si="0"/>
        <v/>
      </c>
      <c r="H13" s="55" t="str">
        <f t="shared" ca="1" si="0"/>
        <v/>
      </c>
      <c r="I13" s="55" t="str">
        <f t="shared" ca="1" si="0"/>
        <v/>
      </c>
      <c r="J13" s="55" t="str">
        <f t="shared" ca="1" si="0"/>
        <v/>
      </c>
      <c r="K13" s="55" t="str">
        <f t="shared" ca="1" si="0"/>
        <v/>
      </c>
      <c r="L13" s="55" t="str">
        <f t="shared" ca="1" si="0"/>
        <v/>
      </c>
      <c r="P13" s="256"/>
      <c r="Q13" s="256"/>
      <c r="R13" s="256"/>
      <c r="S13" s="256"/>
      <c r="T13" s="256"/>
      <c r="U13" s="256"/>
      <c r="V13" s="256"/>
      <c r="W13" s="256"/>
      <c r="X13" s="256"/>
      <c r="Y13" s="256"/>
      <c r="Z13" s="256"/>
    </row>
    <row r="14" spans="2:26" ht="10.199999999999999" customHeight="1">
      <c r="B14" s="56" t="str">
        <f>IF('Low Stress Type Gasket'!BE19="","",'Low Stress Type Gasket'!BE19)</f>
        <v/>
      </c>
      <c r="C14" s="55" t="str">
        <f t="shared" ca="1" si="0"/>
        <v/>
      </c>
      <c r="D14" s="55" t="str">
        <f t="shared" ca="1" si="0"/>
        <v/>
      </c>
      <c r="E14" s="55" t="str">
        <f t="shared" ca="1" si="0"/>
        <v/>
      </c>
      <c r="F14" s="55" t="str">
        <f t="shared" ca="1" si="0"/>
        <v/>
      </c>
      <c r="G14" s="55" t="str">
        <f t="shared" ca="1" si="0"/>
        <v/>
      </c>
      <c r="H14" s="55" t="str">
        <f t="shared" ca="1" si="0"/>
        <v/>
      </c>
      <c r="I14" s="55" t="str">
        <f t="shared" ca="1" si="0"/>
        <v/>
      </c>
      <c r="J14" s="55" t="str">
        <f t="shared" ca="1" si="0"/>
        <v/>
      </c>
      <c r="K14" s="55" t="str">
        <f t="shared" ca="1" si="0"/>
        <v/>
      </c>
      <c r="L14" s="55" t="str">
        <f t="shared" ca="1" si="0"/>
        <v/>
      </c>
      <c r="P14" s="256"/>
      <c r="Q14" s="256"/>
      <c r="R14" s="256"/>
      <c r="S14" s="256"/>
      <c r="T14" s="256"/>
      <c r="U14" s="256"/>
      <c r="V14" s="256"/>
      <c r="W14" s="256"/>
      <c r="X14" s="256"/>
      <c r="Y14" s="256"/>
      <c r="Z14" s="256"/>
    </row>
    <row r="15" spans="2:26" ht="10.199999999999999" customHeight="1">
      <c r="B15" s="56" t="str">
        <f>IF('Low Stress Type Gasket'!BE20="","",'Low Stress Type Gasket'!BE20)</f>
        <v/>
      </c>
      <c r="C15" s="55" t="str">
        <f t="shared" ca="1" si="0"/>
        <v/>
      </c>
      <c r="D15" s="55" t="str">
        <f t="shared" ca="1" si="0"/>
        <v/>
      </c>
      <c r="E15" s="55" t="str">
        <f t="shared" ca="1" si="0"/>
        <v/>
      </c>
      <c r="F15" s="55" t="str">
        <f t="shared" ca="1" si="0"/>
        <v/>
      </c>
      <c r="G15" s="55" t="str">
        <f t="shared" ca="1" si="0"/>
        <v/>
      </c>
      <c r="H15" s="55" t="str">
        <f t="shared" ca="1" si="0"/>
        <v/>
      </c>
      <c r="I15" s="55" t="str">
        <f t="shared" ca="1" si="0"/>
        <v/>
      </c>
      <c r="J15" s="55" t="str">
        <f t="shared" ca="1" si="0"/>
        <v/>
      </c>
      <c r="K15" s="55" t="str">
        <f t="shared" ca="1" si="0"/>
        <v/>
      </c>
      <c r="L15" s="55" t="str">
        <f t="shared" ca="1" si="0"/>
        <v/>
      </c>
      <c r="P15" s="235"/>
      <c r="Q15" s="235"/>
      <c r="R15" s="235"/>
      <c r="S15" s="235"/>
      <c r="T15" s="235"/>
      <c r="U15" s="235"/>
      <c r="V15" s="235"/>
      <c r="W15" s="235"/>
      <c r="X15" s="235"/>
      <c r="Y15" s="235"/>
      <c r="Z15" s="235"/>
    </row>
    <row r="16" spans="2:26" ht="10.199999999999999" customHeight="1">
      <c r="B16" s="56" t="str">
        <f>IF('Low Stress Type Gasket'!BE21="","",'Low Stress Type Gasket'!BE21)</f>
        <v/>
      </c>
      <c r="C16" s="55" t="str">
        <f t="shared" ca="1" si="0"/>
        <v/>
      </c>
      <c r="D16" s="55" t="str">
        <f t="shared" ca="1" si="0"/>
        <v/>
      </c>
      <c r="E16" s="55" t="str">
        <f t="shared" ca="1" si="0"/>
        <v/>
      </c>
      <c r="F16" s="55" t="str">
        <f t="shared" ca="1" si="0"/>
        <v/>
      </c>
      <c r="G16" s="55" t="str">
        <f t="shared" ca="1" si="0"/>
        <v/>
      </c>
      <c r="H16" s="55" t="str">
        <f t="shared" ca="1" si="0"/>
        <v/>
      </c>
      <c r="I16" s="55" t="str">
        <f t="shared" ca="1" si="0"/>
        <v/>
      </c>
      <c r="J16" s="55" t="str">
        <f t="shared" ca="1" si="0"/>
        <v/>
      </c>
      <c r="K16" s="55" t="str">
        <f t="shared" ca="1" si="0"/>
        <v/>
      </c>
      <c r="L16" s="55" t="str">
        <f t="shared" ca="1" si="0"/>
        <v/>
      </c>
      <c r="P16" s="256"/>
      <c r="Q16" s="256"/>
      <c r="R16" s="256"/>
      <c r="S16" s="256"/>
      <c r="T16" s="256"/>
      <c r="U16" s="256"/>
      <c r="V16" s="256"/>
      <c r="W16" s="256"/>
      <c r="X16" s="256"/>
      <c r="Y16" s="256"/>
      <c r="Z16" s="256"/>
    </row>
    <row r="17" spans="2:26" ht="10.199999999999999" customHeight="1">
      <c r="B17" s="56" t="str">
        <f>IF('Low Stress Type Gasket'!BE22="","",'Low Stress Type Gasket'!BE22)</f>
        <v/>
      </c>
      <c r="C17" s="55" t="str">
        <f t="shared" ca="1" si="0"/>
        <v/>
      </c>
      <c r="D17" s="55" t="str">
        <f t="shared" ca="1" si="0"/>
        <v/>
      </c>
      <c r="E17" s="55" t="str">
        <f t="shared" ca="1" si="0"/>
        <v/>
      </c>
      <c r="F17" s="55" t="str">
        <f t="shared" ca="1" si="0"/>
        <v/>
      </c>
      <c r="G17" s="55" t="str">
        <f t="shared" ca="1" si="0"/>
        <v/>
      </c>
      <c r="H17" s="55" t="str">
        <f t="shared" ca="1" si="0"/>
        <v/>
      </c>
      <c r="I17" s="55" t="str">
        <f t="shared" ca="1" si="0"/>
        <v/>
      </c>
      <c r="J17" s="55" t="str">
        <f t="shared" ca="1" si="0"/>
        <v/>
      </c>
      <c r="K17" s="55" t="str">
        <f t="shared" ca="1" si="0"/>
        <v/>
      </c>
      <c r="L17" s="55" t="str">
        <f t="shared" ca="1" si="0"/>
        <v/>
      </c>
      <c r="P17" s="256"/>
      <c r="Q17" s="256"/>
      <c r="R17" s="256"/>
      <c r="S17" s="256"/>
      <c r="T17" s="256"/>
      <c r="U17" s="256"/>
      <c r="V17" s="256"/>
      <c r="W17" s="256"/>
      <c r="X17" s="256"/>
      <c r="Y17" s="256"/>
      <c r="Z17" s="256"/>
    </row>
    <row r="18" spans="2:26" ht="10.199999999999999" customHeight="1">
      <c r="B18" s="56" t="str">
        <f>IF('Low Stress Type Gasket'!BE23="","",'Low Stress Type Gasket'!BE23)</f>
        <v/>
      </c>
      <c r="C18" s="55" t="str">
        <f t="shared" ca="1" si="0"/>
        <v/>
      </c>
      <c r="D18" s="55" t="str">
        <f t="shared" ca="1" si="0"/>
        <v/>
      </c>
      <c r="E18" s="55" t="str">
        <f t="shared" ca="1" si="0"/>
        <v/>
      </c>
      <c r="F18" s="55" t="str">
        <f t="shared" ca="1" si="0"/>
        <v/>
      </c>
      <c r="G18" s="55" t="str">
        <f t="shared" ca="1" si="0"/>
        <v/>
      </c>
      <c r="H18" s="55" t="str">
        <f t="shared" ca="1" si="0"/>
        <v/>
      </c>
      <c r="I18" s="55" t="str">
        <f t="shared" ca="1" si="0"/>
        <v/>
      </c>
      <c r="J18" s="55" t="str">
        <f t="shared" ca="1" si="0"/>
        <v/>
      </c>
      <c r="K18" s="55" t="str">
        <f t="shared" ca="1" si="0"/>
        <v/>
      </c>
      <c r="L18" s="55" t="str">
        <f t="shared" ca="1" si="0"/>
        <v/>
      </c>
      <c r="P18" s="235"/>
      <c r="Q18" s="235"/>
      <c r="R18" s="235"/>
      <c r="S18" s="235"/>
      <c r="T18" s="235"/>
      <c r="U18" s="235"/>
      <c r="V18" s="235"/>
      <c r="W18" s="235"/>
      <c r="X18" s="235"/>
      <c r="Y18" s="235"/>
      <c r="Z18" s="235"/>
    </row>
    <row r="19" spans="2:26" ht="10.199999999999999" customHeight="1">
      <c r="B19" s="56" t="str">
        <f>IF('Low Stress Type Gasket'!BE24="","",'Low Stress Type Gasket'!BE24)</f>
        <v/>
      </c>
      <c r="C19" s="55" t="str">
        <f t="shared" ca="1" si="0"/>
        <v/>
      </c>
      <c r="D19" s="55" t="str">
        <f t="shared" ca="1" si="0"/>
        <v/>
      </c>
      <c r="E19" s="55" t="str">
        <f t="shared" ca="1" si="0"/>
        <v/>
      </c>
      <c r="F19" s="55" t="str">
        <f t="shared" ca="1" si="0"/>
        <v/>
      </c>
      <c r="G19" s="55" t="str">
        <f t="shared" ca="1" si="0"/>
        <v/>
      </c>
      <c r="H19" s="55" t="str">
        <f t="shared" ca="1" si="0"/>
        <v/>
      </c>
      <c r="I19" s="55" t="str">
        <f t="shared" ca="1" si="0"/>
        <v/>
      </c>
      <c r="J19" s="55" t="str">
        <f t="shared" ca="1" si="0"/>
        <v/>
      </c>
      <c r="K19" s="55" t="str">
        <f t="shared" ca="1" si="0"/>
        <v/>
      </c>
      <c r="L19" s="55" t="str">
        <f t="shared" ca="1" si="0"/>
        <v/>
      </c>
      <c r="P19" s="256"/>
      <c r="Q19" s="256"/>
      <c r="R19" s="256"/>
      <c r="S19" s="256"/>
      <c r="T19" s="256"/>
      <c r="U19" s="256"/>
      <c r="V19" s="256"/>
      <c r="W19" s="256"/>
      <c r="X19" s="256"/>
      <c r="Y19" s="256"/>
      <c r="Z19" s="256"/>
    </row>
    <row r="20" spans="2:26" ht="10.199999999999999" customHeight="1">
      <c r="B20" s="56" t="str">
        <f>IF('Low Stress Type Gasket'!BE25="","",'Low Stress Type Gasket'!BE25)</f>
        <v/>
      </c>
      <c r="C20" s="55" t="str">
        <f t="shared" ca="1" si="0"/>
        <v/>
      </c>
      <c r="D20" s="55" t="str">
        <f t="shared" ca="1" si="0"/>
        <v/>
      </c>
      <c r="E20" s="55" t="str">
        <f t="shared" ca="1" si="0"/>
        <v/>
      </c>
      <c r="F20" s="55" t="str">
        <f t="shared" ca="1" si="0"/>
        <v/>
      </c>
      <c r="G20" s="55" t="str">
        <f t="shared" ca="1" si="0"/>
        <v/>
      </c>
      <c r="H20" s="55" t="str">
        <f t="shared" ca="1" si="0"/>
        <v/>
      </c>
      <c r="I20" s="55" t="str">
        <f t="shared" ca="1" si="0"/>
        <v/>
      </c>
      <c r="J20" s="55" t="str">
        <f t="shared" ca="1" si="0"/>
        <v/>
      </c>
      <c r="K20" s="55" t="str">
        <f t="shared" ca="1" si="0"/>
        <v/>
      </c>
      <c r="L20" s="55" t="str">
        <f t="shared" ca="1" si="0"/>
        <v/>
      </c>
      <c r="P20" s="256"/>
      <c r="Q20" s="256"/>
      <c r="R20" s="256"/>
      <c r="S20" s="256"/>
      <c r="T20" s="256"/>
      <c r="U20" s="256"/>
      <c r="V20" s="256"/>
      <c r="W20" s="256"/>
      <c r="X20" s="256"/>
      <c r="Y20" s="256"/>
      <c r="Z20" s="256"/>
    </row>
    <row r="21" spans="2:26" ht="10.199999999999999" customHeight="1">
      <c r="B21" s="56" t="str">
        <f>IF('Low Stress Type Gasket'!BE26="","",'Low Stress Type Gasket'!BE26)</f>
        <v/>
      </c>
      <c r="C21" s="55" t="str">
        <f t="shared" ca="1" si="0"/>
        <v/>
      </c>
      <c r="D21" s="55" t="str">
        <f t="shared" ca="1" si="0"/>
        <v/>
      </c>
      <c r="E21" s="55" t="str">
        <f t="shared" ca="1" si="0"/>
        <v/>
      </c>
      <c r="F21" s="55" t="str">
        <f t="shared" ca="1" si="0"/>
        <v/>
      </c>
      <c r="G21" s="55" t="str">
        <f t="shared" ca="1" si="0"/>
        <v/>
      </c>
      <c r="H21" s="55" t="str">
        <f t="shared" ca="1" si="0"/>
        <v/>
      </c>
      <c r="I21" s="55" t="str">
        <f t="shared" ca="1" si="0"/>
        <v/>
      </c>
      <c r="J21" s="55" t="str">
        <f t="shared" ca="1" si="0"/>
        <v/>
      </c>
      <c r="K21" s="55" t="str">
        <f t="shared" ca="1" si="0"/>
        <v/>
      </c>
      <c r="L21" s="55" t="str">
        <f t="shared" ca="1" si="0"/>
        <v/>
      </c>
      <c r="P21" s="235"/>
      <c r="Q21" s="235"/>
      <c r="R21" s="235"/>
      <c r="S21" s="235"/>
      <c r="T21" s="235"/>
      <c r="U21" s="235"/>
      <c r="V21" s="235"/>
      <c r="W21" s="235"/>
      <c r="X21" s="235"/>
      <c r="Y21" s="235"/>
      <c r="Z21" s="235"/>
    </row>
    <row r="22" spans="2:26" ht="10.199999999999999" customHeight="1">
      <c r="B22" s="56" t="str">
        <f>IF('Low Stress Type Gasket'!BE27="","",'Low Stress Type Gasket'!BE27)</f>
        <v/>
      </c>
      <c r="C22" s="55" t="str">
        <f t="shared" ref="C22:L37" ca="1" si="1">IF($M$4=0,"",VLOOKUP($B22,INDIRECT("$P$1:$Z$"&amp;$M$4),COLUMN()-1,0))</f>
        <v/>
      </c>
      <c r="D22" s="55" t="str">
        <f t="shared" ca="1" si="1"/>
        <v/>
      </c>
      <c r="E22" s="55" t="str">
        <f t="shared" ca="1" si="1"/>
        <v/>
      </c>
      <c r="F22" s="55" t="str">
        <f t="shared" ca="1" si="1"/>
        <v/>
      </c>
      <c r="G22" s="55" t="str">
        <f t="shared" ca="1" si="1"/>
        <v/>
      </c>
      <c r="H22" s="55" t="str">
        <f t="shared" ca="1" si="1"/>
        <v/>
      </c>
      <c r="I22" s="55" t="str">
        <f t="shared" ca="1" si="1"/>
        <v/>
      </c>
      <c r="J22" s="55" t="str">
        <f t="shared" ca="1" si="1"/>
        <v/>
      </c>
      <c r="K22" s="55" t="str">
        <f t="shared" ca="1" si="1"/>
        <v/>
      </c>
      <c r="L22" s="55" t="str">
        <f t="shared" ca="1" si="1"/>
        <v/>
      </c>
      <c r="P22" s="256"/>
      <c r="Q22" s="256"/>
      <c r="R22" s="256"/>
      <c r="S22" s="256"/>
      <c r="T22" s="256"/>
      <c r="U22" s="256"/>
      <c r="V22" s="256"/>
      <c r="W22" s="256"/>
      <c r="X22" s="256"/>
      <c r="Y22" s="256"/>
      <c r="Z22" s="256"/>
    </row>
    <row r="23" spans="2:26" ht="10.199999999999999" customHeight="1">
      <c r="B23" s="56" t="str">
        <f>IF('Low Stress Type Gasket'!BE28="","",'Low Stress Type Gasket'!BE28)</f>
        <v/>
      </c>
      <c r="C23" s="55" t="str">
        <f t="shared" ca="1" si="1"/>
        <v/>
      </c>
      <c r="D23" s="55" t="str">
        <f t="shared" ca="1" si="1"/>
        <v/>
      </c>
      <c r="E23" s="55" t="str">
        <f t="shared" ca="1" si="1"/>
        <v/>
      </c>
      <c r="F23" s="55" t="str">
        <f t="shared" ca="1" si="1"/>
        <v/>
      </c>
      <c r="G23" s="55" t="str">
        <f t="shared" ca="1" si="1"/>
        <v/>
      </c>
      <c r="H23" s="55" t="str">
        <f t="shared" ca="1" si="1"/>
        <v/>
      </c>
      <c r="I23" s="55" t="str">
        <f t="shared" ca="1" si="1"/>
        <v/>
      </c>
      <c r="J23" s="55" t="str">
        <f t="shared" ca="1" si="1"/>
        <v/>
      </c>
      <c r="K23" s="55" t="str">
        <f t="shared" ca="1" si="1"/>
        <v/>
      </c>
      <c r="L23" s="55" t="str">
        <f t="shared" ca="1" si="1"/>
        <v/>
      </c>
      <c r="P23" s="256"/>
      <c r="Q23" s="256"/>
      <c r="R23" s="256"/>
      <c r="S23" s="256"/>
      <c r="T23" s="256"/>
      <c r="U23" s="256"/>
      <c r="V23" s="256"/>
      <c r="W23" s="256"/>
      <c r="X23" s="256"/>
      <c r="Y23" s="256"/>
      <c r="Z23" s="256"/>
    </row>
    <row r="24" spans="2:26" ht="10.199999999999999" customHeight="1">
      <c r="B24" s="56" t="str">
        <f>IF('Low Stress Type Gasket'!BE29="","",'Low Stress Type Gasket'!BE29)</f>
        <v/>
      </c>
      <c r="C24" s="55" t="str">
        <f t="shared" ca="1" si="1"/>
        <v/>
      </c>
      <c r="D24" s="55" t="str">
        <f t="shared" ca="1" si="1"/>
        <v/>
      </c>
      <c r="E24" s="55" t="str">
        <f t="shared" ca="1" si="1"/>
        <v/>
      </c>
      <c r="F24" s="55" t="str">
        <f t="shared" ca="1" si="1"/>
        <v/>
      </c>
      <c r="G24" s="55" t="str">
        <f t="shared" ca="1" si="1"/>
        <v/>
      </c>
      <c r="H24" s="55" t="str">
        <f t="shared" ca="1" si="1"/>
        <v/>
      </c>
      <c r="I24" s="55" t="str">
        <f t="shared" ca="1" si="1"/>
        <v/>
      </c>
      <c r="J24" s="55" t="str">
        <f t="shared" ca="1" si="1"/>
        <v/>
      </c>
      <c r="K24" s="55" t="str">
        <f t="shared" ca="1" si="1"/>
        <v/>
      </c>
      <c r="L24" s="55" t="str">
        <f t="shared" ca="1" si="1"/>
        <v/>
      </c>
      <c r="P24" s="235"/>
      <c r="Q24" s="235"/>
      <c r="R24" s="235"/>
      <c r="S24" s="235"/>
      <c r="T24" s="235"/>
      <c r="U24" s="235"/>
      <c r="V24" s="235"/>
      <c r="W24" s="235"/>
      <c r="X24" s="235"/>
      <c r="Y24" s="235"/>
      <c r="Z24" s="235"/>
    </row>
    <row r="25" spans="2:26" ht="10.199999999999999" customHeight="1">
      <c r="B25" s="56" t="str">
        <f>IF('Low Stress Type Gasket'!BE30="","",'Low Stress Type Gasket'!BE30)</f>
        <v/>
      </c>
      <c r="C25" s="55" t="str">
        <f t="shared" ca="1" si="1"/>
        <v/>
      </c>
      <c r="D25" s="55" t="str">
        <f t="shared" ca="1" si="1"/>
        <v/>
      </c>
      <c r="E25" s="55" t="str">
        <f t="shared" ca="1" si="1"/>
        <v/>
      </c>
      <c r="F25" s="55" t="str">
        <f t="shared" ca="1" si="1"/>
        <v/>
      </c>
      <c r="G25" s="55" t="str">
        <f t="shared" ca="1" si="1"/>
        <v/>
      </c>
      <c r="H25" s="55" t="str">
        <f t="shared" ca="1" si="1"/>
        <v/>
      </c>
      <c r="I25" s="55" t="str">
        <f t="shared" ca="1" si="1"/>
        <v/>
      </c>
      <c r="J25" s="55" t="str">
        <f t="shared" ca="1" si="1"/>
        <v/>
      </c>
      <c r="K25" s="55" t="str">
        <f t="shared" ca="1" si="1"/>
        <v/>
      </c>
      <c r="L25" s="55" t="str">
        <f t="shared" ca="1" si="1"/>
        <v/>
      </c>
      <c r="P25" s="256"/>
      <c r="Q25" s="256"/>
      <c r="R25" s="256"/>
      <c r="S25" s="256"/>
      <c r="T25" s="256"/>
      <c r="U25" s="256"/>
      <c r="V25" s="256"/>
      <c r="W25" s="256"/>
      <c r="X25" s="256"/>
      <c r="Y25" s="256"/>
      <c r="Z25" s="256"/>
    </row>
    <row r="26" spans="2:26" ht="10.199999999999999" customHeight="1">
      <c r="B26" s="56" t="str">
        <f>IF('Low Stress Type Gasket'!BE31="","",'Low Stress Type Gasket'!BE31)</f>
        <v/>
      </c>
      <c r="C26" s="55" t="str">
        <f t="shared" ca="1" si="1"/>
        <v/>
      </c>
      <c r="D26" s="55" t="str">
        <f t="shared" ca="1" si="1"/>
        <v/>
      </c>
      <c r="E26" s="55" t="str">
        <f t="shared" ca="1" si="1"/>
        <v/>
      </c>
      <c r="F26" s="55" t="str">
        <f t="shared" ca="1" si="1"/>
        <v/>
      </c>
      <c r="G26" s="55" t="str">
        <f t="shared" ca="1" si="1"/>
        <v/>
      </c>
      <c r="H26" s="55" t="str">
        <f t="shared" ca="1" si="1"/>
        <v/>
      </c>
      <c r="I26" s="55" t="str">
        <f t="shared" ca="1" si="1"/>
        <v/>
      </c>
      <c r="J26" s="55" t="str">
        <f t="shared" ca="1" si="1"/>
        <v/>
      </c>
      <c r="K26" s="55" t="str">
        <f t="shared" ca="1" si="1"/>
        <v/>
      </c>
      <c r="L26" s="55" t="str">
        <f t="shared" ca="1" si="1"/>
        <v/>
      </c>
      <c r="P26" s="256"/>
      <c r="Q26" s="256"/>
      <c r="R26" s="256"/>
      <c r="S26" s="256"/>
      <c r="T26" s="256"/>
      <c r="U26" s="256"/>
      <c r="V26" s="256"/>
      <c r="W26" s="256"/>
      <c r="X26" s="256"/>
      <c r="Y26" s="256"/>
      <c r="Z26" s="256"/>
    </row>
    <row r="27" spans="2:26" ht="10.199999999999999" customHeight="1">
      <c r="B27" s="56" t="str">
        <f>IF('Low Stress Type Gasket'!BE32="","",'Low Stress Type Gasket'!BE32)</f>
        <v/>
      </c>
      <c r="C27" s="55" t="str">
        <f t="shared" ca="1" si="1"/>
        <v/>
      </c>
      <c r="D27" s="55" t="str">
        <f t="shared" ca="1" si="1"/>
        <v/>
      </c>
      <c r="E27" s="55" t="str">
        <f t="shared" ca="1" si="1"/>
        <v/>
      </c>
      <c r="F27" s="55" t="str">
        <f t="shared" ca="1" si="1"/>
        <v/>
      </c>
      <c r="G27" s="55" t="str">
        <f t="shared" ca="1" si="1"/>
        <v/>
      </c>
      <c r="H27" s="55" t="str">
        <f t="shared" ca="1" si="1"/>
        <v/>
      </c>
      <c r="I27" s="55" t="str">
        <f t="shared" ca="1" si="1"/>
        <v/>
      </c>
      <c r="J27" s="55" t="str">
        <f t="shared" ca="1" si="1"/>
        <v/>
      </c>
      <c r="K27" s="55" t="str">
        <f t="shared" ca="1" si="1"/>
        <v/>
      </c>
      <c r="L27" s="55" t="str">
        <f t="shared" ca="1" si="1"/>
        <v/>
      </c>
      <c r="P27" s="235"/>
      <c r="Q27" s="235"/>
      <c r="R27" s="235"/>
      <c r="S27" s="235"/>
      <c r="T27" s="235"/>
      <c r="U27" s="235"/>
      <c r="V27" s="235"/>
      <c r="W27" s="235"/>
      <c r="X27" s="235"/>
      <c r="Y27" s="235"/>
      <c r="Z27" s="235"/>
    </row>
    <row r="28" spans="2:26" ht="10.199999999999999" customHeight="1">
      <c r="B28" s="56" t="str">
        <f>IF('Low Stress Type Gasket'!BE33="","",'Low Stress Type Gasket'!BE33)</f>
        <v/>
      </c>
      <c r="C28" s="55" t="str">
        <f t="shared" ca="1" si="1"/>
        <v/>
      </c>
      <c r="D28" s="55" t="str">
        <f t="shared" ca="1" si="1"/>
        <v/>
      </c>
      <c r="E28" s="55" t="str">
        <f t="shared" ca="1" si="1"/>
        <v/>
      </c>
      <c r="F28" s="55" t="str">
        <f t="shared" ca="1" si="1"/>
        <v/>
      </c>
      <c r="G28" s="55" t="str">
        <f t="shared" ca="1" si="1"/>
        <v/>
      </c>
      <c r="H28" s="55" t="str">
        <f t="shared" ca="1" si="1"/>
        <v/>
      </c>
      <c r="I28" s="55" t="str">
        <f t="shared" ca="1" si="1"/>
        <v/>
      </c>
      <c r="J28" s="55" t="str">
        <f t="shared" ca="1" si="1"/>
        <v/>
      </c>
      <c r="K28" s="55" t="str">
        <f t="shared" ca="1" si="1"/>
        <v/>
      </c>
      <c r="L28" s="55" t="str">
        <f t="shared" ca="1" si="1"/>
        <v/>
      </c>
      <c r="P28" s="256"/>
      <c r="Q28" s="256"/>
      <c r="R28" s="256"/>
      <c r="S28" s="256"/>
      <c r="T28" s="256"/>
      <c r="U28" s="256"/>
      <c r="V28" s="256"/>
      <c r="W28" s="256"/>
      <c r="X28" s="256"/>
      <c r="Y28" s="256"/>
      <c r="Z28" s="256"/>
    </row>
    <row r="29" spans="2:26" ht="10.199999999999999" customHeight="1">
      <c r="B29" s="56" t="str">
        <f>IF('Low Stress Type Gasket'!BE34="","",'Low Stress Type Gasket'!BE34)</f>
        <v/>
      </c>
      <c r="C29" s="55" t="str">
        <f t="shared" ca="1" si="1"/>
        <v/>
      </c>
      <c r="D29" s="55" t="str">
        <f t="shared" ca="1" si="1"/>
        <v/>
      </c>
      <c r="E29" s="55" t="str">
        <f t="shared" ca="1" si="1"/>
        <v/>
      </c>
      <c r="F29" s="55" t="str">
        <f t="shared" ca="1" si="1"/>
        <v/>
      </c>
      <c r="G29" s="55" t="str">
        <f t="shared" ca="1" si="1"/>
        <v/>
      </c>
      <c r="H29" s="55" t="str">
        <f t="shared" ca="1" si="1"/>
        <v/>
      </c>
      <c r="I29" s="55" t="str">
        <f t="shared" ca="1" si="1"/>
        <v/>
      </c>
      <c r="J29" s="55" t="str">
        <f t="shared" ca="1" si="1"/>
        <v/>
      </c>
      <c r="K29" s="55" t="str">
        <f t="shared" ca="1" si="1"/>
        <v/>
      </c>
      <c r="L29" s="55" t="str">
        <f t="shared" ca="1" si="1"/>
        <v/>
      </c>
      <c r="P29" s="256"/>
      <c r="Q29" s="256"/>
      <c r="R29" s="256"/>
      <c r="S29" s="256"/>
      <c r="T29" s="256"/>
      <c r="U29" s="256"/>
      <c r="V29" s="256"/>
      <c r="W29" s="256"/>
      <c r="X29" s="256"/>
      <c r="Y29" s="256"/>
      <c r="Z29" s="256"/>
    </row>
    <row r="30" spans="2:26" ht="10.199999999999999" customHeight="1">
      <c r="B30" s="56" t="str">
        <f>IF('Low Stress Type Gasket'!BE35="","",'Low Stress Type Gasket'!BE35)</f>
        <v/>
      </c>
      <c r="C30" s="55" t="str">
        <f t="shared" ca="1" si="1"/>
        <v/>
      </c>
      <c r="D30" s="55" t="str">
        <f t="shared" ca="1" si="1"/>
        <v/>
      </c>
      <c r="E30" s="55" t="str">
        <f t="shared" ca="1" si="1"/>
        <v/>
      </c>
      <c r="F30" s="55" t="str">
        <f t="shared" ca="1" si="1"/>
        <v/>
      </c>
      <c r="G30" s="55" t="str">
        <f t="shared" ca="1" si="1"/>
        <v/>
      </c>
      <c r="H30" s="55" t="str">
        <f t="shared" ca="1" si="1"/>
        <v/>
      </c>
      <c r="I30" s="55" t="str">
        <f t="shared" ca="1" si="1"/>
        <v/>
      </c>
      <c r="J30" s="55" t="str">
        <f t="shared" ca="1" si="1"/>
        <v/>
      </c>
      <c r="K30" s="55" t="str">
        <f t="shared" ca="1" si="1"/>
        <v/>
      </c>
      <c r="L30" s="55" t="str">
        <f t="shared" ca="1" si="1"/>
        <v/>
      </c>
      <c r="P30" s="235"/>
      <c r="Q30" s="235"/>
      <c r="R30" s="235"/>
      <c r="S30" s="235"/>
      <c r="T30" s="235"/>
      <c r="U30" s="235"/>
      <c r="V30" s="235"/>
      <c r="W30" s="235"/>
      <c r="X30" s="235"/>
      <c r="Y30" s="235"/>
      <c r="Z30" s="235"/>
    </row>
    <row r="31" spans="2:26" ht="10.199999999999999" customHeight="1">
      <c r="B31" s="56" t="str">
        <f>IF('Low Stress Type Gasket'!BE36="","",'Low Stress Type Gasket'!BE36)</f>
        <v/>
      </c>
      <c r="C31" s="55" t="str">
        <f t="shared" ca="1" si="1"/>
        <v/>
      </c>
      <c r="D31" s="55" t="str">
        <f t="shared" ca="1" si="1"/>
        <v/>
      </c>
      <c r="E31" s="55" t="str">
        <f t="shared" ca="1" si="1"/>
        <v/>
      </c>
      <c r="F31" s="55" t="str">
        <f t="shared" ca="1" si="1"/>
        <v/>
      </c>
      <c r="G31" s="55" t="str">
        <f t="shared" ca="1" si="1"/>
        <v/>
      </c>
      <c r="H31" s="55" t="str">
        <f t="shared" ca="1" si="1"/>
        <v/>
      </c>
      <c r="I31" s="55" t="str">
        <f t="shared" ca="1" si="1"/>
        <v/>
      </c>
      <c r="J31" s="55" t="str">
        <f t="shared" ca="1" si="1"/>
        <v/>
      </c>
      <c r="K31" s="55" t="str">
        <f t="shared" ca="1" si="1"/>
        <v/>
      </c>
      <c r="L31" s="55" t="str">
        <f t="shared" ca="1" si="1"/>
        <v/>
      </c>
      <c r="P31" s="256"/>
      <c r="Q31" s="256"/>
      <c r="R31" s="256"/>
      <c r="S31" s="256"/>
      <c r="T31" s="256"/>
      <c r="U31" s="256"/>
      <c r="V31" s="256"/>
      <c r="W31" s="256"/>
      <c r="X31" s="256"/>
      <c r="Y31" s="256"/>
      <c r="Z31" s="256"/>
    </row>
    <row r="32" spans="2:26" ht="10.199999999999999" customHeight="1">
      <c r="B32" s="56" t="str">
        <f>IF('Low Stress Type Gasket'!BE37="","",'Low Stress Type Gasket'!BE37)</f>
        <v/>
      </c>
      <c r="C32" s="55" t="str">
        <f t="shared" ca="1" si="1"/>
        <v/>
      </c>
      <c r="D32" s="55" t="str">
        <f t="shared" ca="1" si="1"/>
        <v/>
      </c>
      <c r="E32" s="55" t="str">
        <f t="shared" ca="1" si="1"/>
        <v/>
      </c>
      <c r="F32" s="55" t="str">
        <f t="shared" ca="1" si="1"/>
        <v/>
      </c>
      <c r="G32" s="55" t="str">
        <f t="shared" ca="1" si="1"/>
        <v/>
      </c>
      <c r="H32" s="55" t="str">
        <f t="shared" ca="1" si="1"/>
        <v/>
      </c>
      <c r="I32" s="55" t="str">
        <f t="shared" ca="1" si="1"/>
        <v/>
      </c>
      <c r="J32" s="55" t="str">
        <f t="shared" ca="1" si="1"/>
        <v/>
      </c>
      <c r="K32" s="55" t="str">
        <f t="shared" ca="1" si="1"/>
        <v/>
      </c>
      <c r="L32" s="55" t="str">
        <f t="shared" ca="1" si="1"/>
        <v/>
      </c>
      <c r="P32" s="256"/>
      <c r="Q32" s="256"/>
      <c r="R32" s="256"/>
      <c r="S32" s="256"/>
      <c r="T32" s="256"/>
      <c r="U32" s="256"/>
      <c r="V32" s="256"/>
      <c r="W32" s="256"/>
      <c r="X32" s="256"/>
      <c r="Y32" s="256"/>
      <c r="Z32" s="256"/>
    </row>
    <row r="33" spans="2:26" ht="10.199999999999999" customHeight="1">
      <c r="B33" s="56" t="str">
        <f>IF('Low Stress Type Gasket'!BE38="","",'Low Stress Type Gasket'!BE38)</f>
        <v/>
      </c>
      <c r="C33" s="55" t="str">
        <f t="shared" ca="1" si="1"/>
        <v/>
      </c>
      <c r="D33" s="55" t="str">
        <f t="shared" ca="1" si="1"/>
        <v/>
      </c>
      <c r="E33" s="55" t="str">
        <f t="shared" ca="1" si="1"/>
        <v/>
      </c>
      <c r="F33" s="55" t="str">
        <f t="shared" ca="1" si="1"/>
        <v/>
      </c>
      <c r="G33" s="55" t="str">
        <f t="shared" ca="1" si="1"/>
        <v/>
      </c>
      <c r="H33" s="55" t="str">
        <f t="shared" ca="1" si="1"/>
        <v/>
      </c>
      <c r="I33" s="55" t="str">
        <f t="shared" ca="1" si="1"/>
        <v/>
      </c>
      <c r="J33" s="55" t="str">
        <f t="shared" ca="1" si="1"/>
        <v/>
      </c>
      <c r="K33" s="55" t="str">
        <f t="shared" ca="1" si="1"/>
        <v/>
      </c>
      <c r="L33" s="55" t="str">
        <f t="shared" ca="1" si="1"/>
        <v/>
      </c>
      <c r="P33" s="235"/>
      <c r="Q33" s="235"/>
      <c r="R33" s="235"/>
      <c r="S33" s="235"/>
      <c r="T33" s="235"/>
      <c r="U33" s="235"/>
      <c r="V33" s="235"/>
      <c r="W33" s="235"/>
      <c r="X33" s="235"/>
      <c r="Y33" s="235"/>
      <c r="Z33" s="235"/>
    </row>
    <row r="34" spans="2:26" ht="10.199999999999999" customHeight="1">
      <c r="B34" s="56" t="str">
        <f>IF('Low Stress Type Gasket'!BE39="","",'Low Stress Type Gasket'!BE39)</f>
        <v/>
      </c>
      <c r="C34" s="55" t="str">
        <f t="shared" ca="1" si="1"/>
        <v/>
      </c>
      <c r="D34" s="55" t="str">
        <f t="shared" ca="1" si="1"/>
        <v/>
      </c>
      <c r="E34" s="55" t="str">
        <f t="shared" ca="1" si="1"/>
        <v/>
      </c>
      <c r="F34" s="55" t="str">
        <f t="shared" ca="1" si="1"/>
        <v/>
      </c>
      <c r="G34" s="55" t="str">
        <f t="shared" ca="1" si="1"/>
        <v/>
      </c>
      <c r="H34" s="55" t="str">
        <f t="shared" ca="1" si="1"/>
        <v/>
      </c>
      <c r="I34" s="55" t="str">
        <f t="shared" ca="1" si="1"/>
        <v/>
      </c>
      <c r="J34" s="55" t="str">
        <f t="shared" ca="1" si="1"/>
        <v/>
      </c>
      <c r="K34" s="55" t="str">
        <f t="shared" ca="1" si="1"/>
        <v/>
      </c>
      <c r="L34" s="55" t="str">
        <f t="shared" ca="1" si="1"/>
        <v/>
      </c>
      <c r="P34" s="256"/>
      <c r="Q34" s="256"/>
      <c r="R34" s="256"/>
      <c r="S34" s="256"/>
      <c r="T34" s="256"/>
      <c r="U34" s="256"/>
      <c r="V34" s="256"/>
      <c r="W34" s="256"/>
      <c r="X34" s="256"/>
      <c r="Y34" s="256"/>
      <c r="Z34" s="256"/>
    </row>
    <row r="35" spans="2:26" ht="10.199999999999999" customHeight="1">
      <c r="B35" s="56" t="str">
        <f>IF('Low Stress Type Gasket'!BE40="","",'Low Stress Type Gasket'!BE40)</f>
        <v/>
      </c>
      <c r="C35" s="55" t="str">
        <f t="shared" ca="1" si="1"/>
        <v/>
      </c>
      <c r="D35" s="55" t="str">
        <f t="shared" ca="1" si="1"/>
        <v/>
      </c>
      <c r="E35" s="55" t="str">
        <f t="shared" ca="1" si="1"/>
        <v/>
      </c>
      <c r="F35" s="55" t="str">
        <f t="shared" ca="1" si="1"/>
        <v/>
      </c>
      <c r="G35" s="55" t="str">
        <f t="shared" ca="1" si="1"/>
        <v/>
      </c>
      <c r="H35" s="55" t="str">
        <f t="shared" ca="1" si="1"/>
        <v/>
      </c>
      <c r="I35" s="55" t="str">
        <f t="shared" ca="1" si="1"/>
        <v/>
      </c>
      <c r="J35" s="55" t="str">
        <f t="shared" ca="1" si="1"/>
        <v/>
      </c>
      <c r="K35" s="55" t="str">
        <f t="shared" ca="1" si="1"/>
        <v/>
      </c>
      <c r="L35" s="55" t="str">
        <f t="shared" ca="1" si="1"/>
        <v/>
      </c>
      <c r="P35" s="256"/>
      <c r="Q35" s="256"/>
      <c r="R35" s="256"/>
      <c r="S35" s="256"/>
      <c r="T35" s="256"/>
      <c r="U35" s="256"/>
      <c r="V35" s="256"/>
      <c r="W35" s="256"/>
      <c r="X35" s="256"/>
      <c r="Y35" s="256"/>
      <c r="Z35" s="256"/>
    </row>
    <row r="36" spans="2:26" ht="10.199999999999999" customHeight="1">
      <c r="B36" s="56" t="str">
        <f>IF('Low Stress Type Gasket'!BE41="","",'Low Stress Type Gasket'!BE41)</f>
        <v/>
      </c>
      <c r="C36" s="55" t="str">
        <f t="shared" ca="1" si="1"/>
        <v/>
      </c>
      <c r="D36" s="55" t="str">
        <f t="shared" ca="1" si="1"/>
        <v/>
      </c>
      <c r="E36" s="55" t="str">
        <f t="shared" ca="1" si="1"/>
        <v/>
      </c>
      <c r="F36" s="55" t="str">
        <f t="shared" ca="1" si="1"/>
        <v/>
      </c>
      <c r="G36" s="55" t="str">
        <f t="shared" ca="1" si="1"/>
        <v/>
      </c>
      <c r="H36" s="55" t="str">
        <f t="shared" ca="1" si="1"/>
        <v/>
      </c>
      <c r="I36" s="55" t="str">
        <f t="shared" ca="1" si="1"/>
        <v/>
      </c>
      <c r="J36" s="55" t="str">
        <f t="shared" ca="1" si="1"/>
        <v/>
      </c>
      <c r="K36" s="55" t="str">
        <f t="shared" ca="1" si="1"/>
        <v/>
      </c>
      <c r="L36" s="55" t="str">
        <f t="shared" ca="1" si="1"/>
        <v/>
      </c>
      <c r="P36" s="235"/>
      <c r="Q36" s="235"/>
      <c r="R36" s="235"/>
      <c r="S36" s="235"/>
      <c r="T36" s="235"/>
      <c r="U36" s="235"/>
      <c r="V36" s="235"/>
      <c r="W36" s="235"/>
      <c r="X36" s="235"/>
      <c r="Y36" s="235"/>
      <c r="Z36" s="235"/>
    </row>
    <row r="37" spans="2:26" ht="10.199999999999999" customHeight="1">
      <c r="B37" s="56" t="str">
        <f>IF('Low Stress Type Gasket'!BE42="","",'Low Stress Type Gasket'!BE42)</f>
        <v/>
      </c>
      <c r="C37" s="55" t="str">
        <f t="shared" ca="1" si="1"/>
        <v/>
      </c>
      <c r="D37" s="55" t="str">
        <f t="shared" ca="1" si="1"/>
        <v/>
      </c>
      <c r="E37" s="55" t="str">
        <f t="shared" ca="1" si="1"/>
        <v/>
      </c>
      <c r="F37" s="55" t="str">
        <f t="shared" ca="1" si="1"/>
        <v/>
      </c>
      <c r="G37" s="55" t="str">
        <f t="shared" ca="1" si="1"/>
        <v/>
      </c>
      <c r="H37" s="55" t="str">
        <f t="shared" ca="1" si="1"/>
        <v/>
      </c>
      <c r="I37" s="55" t="str">
        <f t="shared" ca="1" si="1"/>
        <v/>
      </c>
      <c r="J37" s="55" t="str">
        <f t="shared" ca="1" si="1"/>
        <v/>
      </c>
      <c r="K37" s="55" t="str">
        <f t="shared" ca="1" si="1"/>
        <v/>
      </c>
      <c r="L37" s="55" t="str">
        <f t="shared" ca="1" si="1"/>
        <v/>
      </c>
      <c r="P37" s="256"/>
      <c r="Q37" s="256"/>
      <c r="R37" s="256"/>
      <c r="S37" s="256"/>
      <c r="T37" s="256"/>
      <c r="U37" s="256"/>
      <c r="V37" s="256"/>
      <c r="W37" s="256"/>
      <c r="X37" s="256"/>
      <c r="Y37" s="256"/>
      <c r="Z37" s="256"/>
    </row>
    <row r="38" spans="2:26" ht="10.199999999999999" customHeight="1">
      <c r="B38" s="56" t="str">
        <f>IF('Low Stress Type Gasket'!BE43="","",'Low Stress Type Gasket'!BE43)</f>
        <v/>
      </c>
      <c r="C38" s="55" t="str">
        <f t="shared" ref="C38:L53" ca="1" si="2">IF($M$4=0,"",VLOOKUP($B38,INDIRECT("$P$1:$Z$"&amp;$M$4),COLUMN()-1,0))</f>
        <v/>
      </c>
      <c r="D38" s="55" t="str">
        <f t="shared" ca="1" si="2"/>
        <v/>
      </c>
      <c r="E38" s="55" t="str">
        <f t="shared" ca="1" si="2"/>
        <v/>
      </c>
      <c r="F38" s="55" t="str">
        <f t="shared" ca="1" si="2"/>
        <v/>
      </c>
      <c r="G38" s="55" t="str">
        <f t="shared" ca="1" si="2"/>
        <v/>
      </c>
      <c r="H38" s="55" t="str">
        <f t="shared" ca="1" si="2"/>
        <v/>
      </c>
      <c r="I38" s="55" t="str">
        <f t="shared" ca="1" si="2"/>
        <v/>
      </c>
      <c r="J38" s="55" t="str">
        <f t="shared" ca="1" si="2"/>
        <v/>
      </c>
      <c r="K38" s="55" t="str">
        <f t="shared" ca="1" si="2"/>
        <v/>
      </c>
      <c r="L38" s="55" t="str">
        <f t="shared" ca="1" si="2"/>
        <v/>
      </c>
      <c r="P38" s="256"/>
      <c r="Q38" s="256"/>
      <c r="R38" s="256"/>
      <c r="S38" s="256"/>
      <c r="T38" s="256"/>
      <c r="U38" s="256"/>
      <c r="V38" s="256"/>
      <c r="W38" s="256"/>
      <c r="X38" s="256"/>
      <c r="Y38" s="256"/>
      <c r="Z38" s="256"/>
    </row>
    <row r="39" spans="2:26" ht="10.199999999999999" customHeight="1">
      <c r="B39" s="56" t="str">
        <f>IF('Low Stress Type Gasket'!BE44="","",'Low Stress Type Gasket'!BE44)</f>
        <v/>
      </c>
      <c r="C39" s="55" t="str">
        <f t="shared" ca="1" si="2"/>
        <v/>
      </c>
      <c r="D39" s="55" t="str">
        <f t="shared" ca="1" si="2"/>
        <v/>
      </c>
      <c r="E39" s="55" t="str">
        <f t="shared" ca="1" si="2"/>
        <v/>
      </c>
      <c r="F39" s="55" t="str">
        <f t="shared" ca="1" si="2"/>
        <v/>
      </c>
      <c r="G39" s="55" t="str">
        <f t="shared" ca="1" si="2"/>
        <v/>
      </c>
      <c r="H39" s="55" t="str">
        <f t="shared" ca="1" si="2"/>
        <v/>
      </c>
      <c r="I39" s="55" t="str">
        <f t="shared" ca="1" si="2"/>
        <v/>
      </c>
      <c r="J39" s="55" t="str">
        <f t="shared" ca="1" si="2"/>
        <v/>
      </c>
      <c r="K39" s="55" t="str">
        <f t="shared" ca="1" si="2"/>
        <v/>
      </c>
      <c r="L39" s="55" t="str">
        <f t="shared" ca="1" si="2"/>
        <v/>
      </c>
      <c r="P39" s="235"/>
      <c r="Q39" s="235"/>
      <c r="R39" s="235"/>
      <c r="S39" s="235"/>
      <c r="T39" s="235"/>
      <c r="U39" s="235"/>
      <c r="V39" s="235"/>
      <c r="W39" s="235"/>
      <c r="X39" s="235"/>
      <c r="Y39" s="235"/>
      <c r="Z39" s="235"/>
    </row>
    <row r="40" spans="2:26" ht="10.199999999999999" customHeight="1">
      <c r="B40" s="56" t="str">
        <f>IF('Low Stress Type Gasket'!BE45="","",'Low Stress Type Gasket'!BE45)</f>
        <v/>
      </c>
      <c r="C40" s="55" t="str">
        <f t="shared" ca="1" si="2"/>
        <v/>
      </c>
      <c r="D40" s="55" t="str">
        <f t="shared" ca="1" si="2"/>
        <v/>
      </c>
      <c r="E40" s="55" t="str">
        <f t="shared" ca="1" si="2"/>
        <v/>
      </c>
      <c r="F40" s="55" t="str">
        <f t="shared" ca="1" si="2"/>
        <v/>
      </c>
      <c r="G40" s="55" t="str">
        <f t="shared" ca="1" si="2"/>
        <v/>
      </c>
      <c r="H40" s="55" t="str">
        <f t="shared" ca="1" si="2"/>
        <v/>
      </c>
      <c r="I40" s="55" t="str">
        <f t="shared" ca="1" si="2"/>
        <v/>
      </c>
      <c r="J40" s="55" t="str">
        <f t="shared" ca="1" si="2"/>
        <v/>
      </c>
      <c r="K40" s="55" t="str">
        <f t="shared" ca="1" si="2"/>
        <v/>
      </c>
      <c r="L40" s="55" t="str">
        <f t="shared" ca="1" si="2"/>
        <v/>
      </c>
      <c r="P40" s="256"/>
      <c r="Q40" s="256"/>
      <c r="R40" s="256"/>
      <c r="S40" s="256"/>
      <c r="T40" s="256"/>
      <c r="U40" s="256"/>
      <c r="V40" s="256"/>
      <c r="W40" s="256"/>
      <c r="X40" s="256"/>
      <c r="Y40" s="256"/>
      <c r="Z40" s="256"/>
    </row>
    <row r="41" spans="2:26" ht="10.199999999999999" customHeight="1">
      <c r="B41" s="56" t="str">
        <f>IF('Low Stress Type Gasket'!BE46="","",'Low Stress Type Gasket'!BE46)</f>
        <v/>
      </c>
      <c r="C41" s="55" t="str">
        <f t="shared" ca="1" si="2"/>
        <v/>
      </c>
      <c r="D41" s="55" t="str">
        <f t="shared" ca="1" si="2"/>
        <v/>
      </c>
      <c r="E41" s="55" t="str">
        <f t="shared" ca="1" si="2"/>
        <v/>
      </c>
      <c r="F41" s="55" t="str">
        <f t="shared" ca="1" si="2"/>
        <v/>
      </c>
      <c r="G41" s="55" t="str">
        <f t="shared" ca="1" si="2"/>
        <v/>
      </c>
      <c r="H41" s="55" t="str">
        <f t="shared" ca="1" si="2"/>
        <v/>
      </c>
      <c r="I41" s="55" t="str">
        <f t="shared" ca="1" si="2"/>
        <v/>
      </c>
      <c r="J41" s="55" t="str">
        <f t="shared" ca="1" si="2"/>
        <v/>
      </c>
      <c r="K41" s="55" t="str">
        <f t="shared" ca="1" si="2"/>
        <v/>
      </c>
      <c r="L41" s="55" t="str">
        <f t="shared" ca="1" si="2"/>
        <v/>
      </c>
      <c r="P41" s="256"/>
      <c r="Q41" s="256"/>
      <c r="R41" s="256"/>
      <c r="S41" s="256"/>
      <c r="T41" s="256"/>
      <c r="U41" s="256"/>
      <c r="V41" s="256"/>
      <c r="W41" s="256"/>
      <c r="X41" s="256"/>
      <c r="Y41" s="256"/>
      <c r="Z41" s="256"/>
    </row>
    <row r="42" spans="2:26" ht="10.199999999999999" customHeight="1">
      <c r="B42" s="56" t="str">
        <f>IF('Low Stress Type Gasket'!BE47="","",'Low Stress Type Gasket'!BE47)</f>
        <v/>
      </c>
      <c r="C42" s="55" t="str">
        <f t="shared" ca="1" si="2"/>
        <v/>
      </c>
      <c r="D42" s="55" t="str">
        <f t="shared" ca="1" si="2"/>
        <v/>
      </c>
      <c r="E42" s="55" t="str">
        <f t="shared" ca="1" si="2"/>
        <v/>
      </c>
      <c r="F42" s="55" t="str">
        <f t="shared" ca="1" si="2"/>
        <v/>
      </c>
      <c r="G42" s="55" t="str">
        <f t="shared" ca="1" si="2"/>
        <v/>
      </c>
      <c r="H42" s="55" t="str">
        <f t="shared" ca="1" si="2"/>
        <v/>
      </c>
      <c r="I42" s="55" t="str">
        <f t="shared" ca="1" si="2"/>
        <v/>
      </c>
      <c r="J42" s="55" t="str">
        <f t="shared" ca="1" si="2"/>
        <v/>
      </c>
      <c r="K42" s="55" t="str">
        <f t="shared" ca="1" si="2"/>
        <v/>
      </c>
      <c r="L42" s="55" t="str">
        <f t="shared" ca="1" si="2"/>
        <v/>
      </c>
      <c r="P42" s="235"/>
      <c r="Q42" s="235"/>
      <c r="R42" s="235"/>
      <c r="S42" s="235"/>
      <c r="T42" s="235"/>
      <c r="U42" s="235"/>
      <c r="V42" s="235"/>
      <c r="W42" s="235"/>
      <c r="X42" s="235"/>
      <c r="Y42" s="235"/>
      <c r="Z42" s="235"/>
    </row>
    <row r="43" spans="2:26" ht="10.199999999999999" customHeight="1">
      <c r="B43" s="56" t="str">
        <f>IF('Low Stress Type Gasket'!BE48="","",'Low Stress Type Gasket'!BE48)</f>
        <v/>
      </c>
      <c r="C43" s="55" t="str">
        <f t="shared" ca="1" si="2"/>
        <v/>
      </c>
      <c r="D43" s="55" t="str">
        <f t="shared" ca="1" si="2"/>
        <v/>
      </c>
      <c r="E43" s="55" t="str">
        <f t="shared" ca="1" si="2"/>
        <v/>
      </c>
      <c r="F43" s="55" t="str">
        <f t="shared" ca="1" si="2"/>
        <v/>
      </c>
      <c r="G43" s="55" t="str">
        <f t="shared" ca="1" si="2"/>
        <v/>
      </c>
      <c r="H43" s="55" t="str">
        <f t="shared" ca="1" si="2"/>
        <v/>
      </c>
      <c r="I43" s="55" t="str">
        <f t="shared" ca="1" si="2"/>
        <v/>
      </c>
      <c r="J43" s="55" t="str">
        <f t="shared" ca="1" si="2"/>
        <v/>
      </c>
      <c r="K43" s="55" t="str">
        <f t="shared" ca="1" si="2"/>
        <v/>
      </c>
      <c r="L43" s="55" t="str">
        <f t="shared" ca="1" si="2"/>
        <v/>
      </c>
      <c r="P43" s="256"/>
      <c r="Q43" s="256"/>
      <c r="R43" s="256"/>
      <c r="S43" s="256"/>
      <c r="T43" s="256"/>
      <c r="U43" s="256"/>
      <c r="V43" s="256"/>
      <c r="W43" s="256"/>
      <c r="X43" s="256"/>
      <c r="Y43" s="256"/>
      <c r="Z43" s="256"/>
    </row>
    <row r="44" spans="2:26" ht="10.199999999999999" customHeight="1">
      <c r="B44" s="56" t="str">
        <f>IF('Low Stress Type Gasket'!BE49="","",'Low Stress Type Gasket'!BE49)</f>
        <v/>
      </c>
      <c r="C44" s="55" t="str">
        <f t="shared" ca="1" si="2"/>
        <v/>
      </c>
      <c r="D44" s="55" t="str">
        <f t="shared" ca="1" si="2"/>
        <v/>
      </c>
      <c r="E44" s="55" t="str">
        <f t="shared" ca="1" si="2"/>
        <v/>
      </c>
      <c r="F44" s="55" t="str">
        <f t="shared" ca="1" si="2"/>
        <v/>
      </c>
      <c r="G44" s="55" t="str">
        <f t="shared" ca="1" si="2"/>
        <v/>
      </c>
      <c r="H44" s="55" t="str">
        <f t="shared" ca="1" si="2"/>
        <v/>
      </c>
      <c r="I44" s="55" t="str">
        <f t="shared" ca="1" si="2"/>
        <v/>
      </c>
      <c r="J44" s="55" t="str">
        <f t="shared" ca="1" si="2"/>
        <v/>
      </c>
      <c r="K44" s="55" t="str">
        <f t="shared" ca="1" si="2"/>
        <v/>
      </c>
      <c r="L44" s="55" t="str">
        <f t="shared" ca="1" si="2"/>
        <v/>
      </c>
      <c r="P44" s="256"/>
      <c r="Q44" s="256"/>
      <c r="R44" s="256"/>
      <c r="S44" s="256"/>
      <c r="T44" s="256"/>
      <c r="U44" s="256"/>
      <c r="V44" s="256"/>
      <c r="W44" s="256"/>
      <c r="X44" s="256"/>
      <c r="Y44" s="256"/>
      <c r="Z44" s="256"/>
    </row>
    <row r="45" spans="2:26" ht="10.199999999999999" customHeight="1">
      <c r="B45" s="56" t="str">
        <f>IF('Low Stress Type Gasket'!BE50="","",'Low Stress Type Gasket'!BE50)</f>
        <v/>
      </c>
      <c r="C45" s="55" t="str">
        <f t="shared" ca="1" si="2"/>
        <v/>
      </c>
      <c r="D45" s="55" t="str">
        <f t="shared" ca="1" si="2"/>
        <v/>
      </c>
      <c r="E45" s="55" t="str">
        <f t="shared" ca="1" si="2"/>
        <v/>
      </c>
      <c r="F45" s="55" t="str">
        <f t="shared" ca="1" si="2"/>
        <v/>
      </c>
      <c r="G45" s="55" t="str">
        <f t="shared" ca="1" si="2"/>
        <v/>
      </c>
      <c r="H45" s="55" t="str">
        <f t="shared" ca="1" si="2"/>
        <v/>
      </c>
      <c r="I45" s="55" t="str">
        <f t="shared" ca="1" si="2"/>
        <v/>
      </c>
      <c r="J45" s="55" t="str">
        <f t="shared" ca="1" si="2"/>
        <v/>
      </c>
      <c r="K45" s="55" t="str">
        <f t="shared" ca="1" si="2"/>
        <v/>
      </c>
      <c r="L45" s="55" t="str">
        <f t="shared" ca="1" si="2"/>
        <v/>
      </c>
      <c r="P45" s="235"/>
      <c r="Q45" s="235"/>
      <c r="R45" s="235"/>
      <c r="S45" s="235"/>
      <c r="T45" s="235"/>
      <c r="U45" s="235"/>
      <c r="V45" s="235"/>
      <c r="W45" s="235"/>
      <c r="X45" s="235"/>
      <c r="Y45" s="235"/>
      <c r="Z45" s="235"/>
    </row>
    <row r="46" spans="2:26" ht="10.199999999999999" customHeight="1">
      <c r="B46" s="56" t="str">
        <f>IF('Low Stress Type Gasket'!BE51="","",'Low Stress Type Gasket'!BE51)</f>
        <v/>
      </c>
      <c r="C46" s="55" t="str">
        <f t="shared" ca="1" si="2"/>
        <v/>
      </c>
      <c r="D46" s="55" t="str">
        <f t="shared" ca="1" si="2"/>
        <v/>
      </c>
      <c r="E46" s="55" t="str">
        <f t="shared" ca="1" si="2"/>
        <v/>
      </c>
      <c r="F46" s="55" t="str">
        <f t="shared" ca="1" si="2"/>
        <v/>
      </c>
      <c r="G46" s="55" t="str">
        <f t="shared" ca="1" si="2"/>
        <v/>
      </c>
      <c r="H46" s="55" t="str">
        <f t="shared" ca="1" si="2"/>
        <v/>
      </c>
      <c r="I46" s="55" t="str">
        <f t="shared" ca="1" si="2"/>
        <v/>
      </c>
      <c r="J46" s="55" t="str">
        <f t="shared" ca="1" si="2"/>
        <v/>
      </c>
      <c r="K46" s="55" t="str">
        <f t="shared" ca="1" si="2"/>
        <v/>
      </c>
      <c r="L46" s="55" t="str">
        <f t="shared" ca="1" si="2"/>
        <v/>
      </c>
      <c r="P46" s="256"/>
      <c r="Q46" s="256"/>
      <c r="R46" s="256"/>
      <c r="S46" s="256"/>
      <c r="T46" s="256"/>
      <c r="U46" s="256"/>
      <c r="V46" s="256"/>
      <c r="W46" s="256"/>
      <c r="X46" s="256"/>
      <c r="Y46" s="256"/>
      <c r="Z46" s="256"/>
    </row>
    <row r="47" spans="2:26" ht="10.199999999999999" customHeight="1">
      <c r="B47" s="56" t="str">
        <f>IF('Low Stress Type Gasket'!BE52="","",'Low Stress Type Gasket'!BE52)</f>
        <v/>
      </c>
      <c r="C47" s="55" t="str">
        <f t="shared" ca="1" si="2"/>
        <v/>
      </c>
      <c r="D47" s="55" t="str">
        <f t="shared" ca="1" si="2"/>
        <v/>
      </c>
      <c r="E47" s="55" t="str">
        <f t="shared" ca="1" si="2"/>
        <v/>
      </c>
      <c r="F47" s="55" t="str">
        <f t="shared" ca="1" si="2"/>
        <v/>
      </c>
      <c r="G47" s="55" t="str">
        <f t="shared" ca="1" si="2"/>
        <v/>
      </c>
      <c r="H47" s="55" t="str">
        <f t="shared" ca="1" si="2"/>
        <v/>
      </c>
      <c r="I47" s="55" t="str">
        <f t="shared" ca="1" si="2"/>
        <v/>
      </c>
      <c r="J47" s="55" t="str">
        <f t="shared" ca="1" si="2"/>
        <v/>
      </c>
      <c r="K47" s="55" t="str">
        <f t="shared" ca="1" si="2"/>
        <v/>
      </c>
      <c r="L47" s="55" t="str">
        <f t="shared" ca="1" si="2"/>
        <v/>
      </c>
      <c r="P47" s="256"/>
      <c r="Q47" s="256"/>
      <c r="R47" s="256"/>
      <c r="S47" s="256"/>
      <c r="T47" s="256"/>
      <c r="U47" s="256"/>
      <c r="V47" s="256"/>
      <c r="W47" s="256"/>
      <c r="X47" s="256"/>
      <c r="Y47" s="256"/>
      <c r="Z47" s="256"/>
    </row>
    <row r="48" spans="2:26" ht="10.199999999999999" customHeight="1">
      <c r="B48" s="56" t="str">
        <f>IF('Low Stress Type Gasket'!BE53="","",'Low Stress Type Gasket'!BE53)</f>
        <v/>
      </c>
      <c r="C48" s="55" t="str">
        <f t="shared" ca="1" si="2"/>
        <v/>
      </c>
      <c r="D48" s="55" t="str">
        <f t="shared" ca="1" si="2"/>
        <v/>
      </c>
      <c r="E48" s="55" t="str">
        <f t="shared" ca="1" si="2"/>
        <v/>
      </c>
      <c r="F48" s="55" t="str">
        <f t="shared" ca="1" si="2"/>
        <v/>
      </c>
      <c r="G48" s="55" t="str">
        <f t="shared" ca="1" si="2"/>
        <v/>
      </c>
      <c r="H48" s="55" t="str">
        <f t="shared" ca="1" si="2"/>
        <v/>
      </c>
      <c r="I48" s="55" t="str">
        <f t="shared" ca="1" si="2"/>
        <v/>
      </c>
      <c r="J48" s="55" t="str">
        <f t="shared" ca="1" si="2"/>
        <v/>
      </c>
      <c r="K48" s="55" t="str">
        <f t="shared" ca="1" si="2"/>
        <v/>
      </c>
      <c r="L48" s="55" t="str">
        <f t="shared" ca="1" si="2"/>
        <v/>
      </c>
      <c r="P48" s="235"/>
      <c r="Q48" s="235"/>
      <c r="R48" s="235"/>
      <c r="S48" s="235"/>
      <c r="T48" s="235"/>
      <c r="U48" s="235"/>
      <c r="V48" s="235"/>
      <c r="W48" s="235"/>
      <c r="X48" s="235"/>
      <c r="Y48" s="235"/>
      <c r="Z48" s="235"/>
    </row>
    <row r="49" spans="2:26" ht="10.199999999999999" customHeight="1">
      <c r="B49" s="56" t="str">
        <f>IF('Low Stress Type Gasket'!BE54="","",'Low Stress Type Gasket'!BE54)</f>
        <v/>
      </c>
      <c r="C49" s="55" t="str">
        <f t="shared" ca="1" si="2"/>
        <v/>
      </c>
      <c r="D49" s="55" t="str">
        <f t="shared" ca="1" si="2"/>
        <v/>
      </c>
      <c r="E49" s="55" t="str">
        <f t="shared" ca="1" si="2"/>
        <v/>
      </c>
      <c r="F49" s="55" t="str">
        <f t="shared" ca="1" si="2"/>
        <v/>
      </c>
      <c r="G49" s="55" t="str">
        <f t="shared" ca="1" si="2"/>
        <v/>
      </c>
      <c r="H49" s="55" t="str">
        <f t="shared" ca="1" si="2"/>
        <v/>
      </c>
      <c r="I49" s="55" t="str">
        <f t="shared" ca="1" si="2"/>
        <v/>
      </c>
      <c r="J49" s="55" t="str">
        <f t="shared" ca="1" si="2"/>
        <v/>
      </c>
      <c r="K49" s="55" t="str">
        <f t="shared" ca="1" si="2"/>
        <v/>
      </c>
      <c r="L49" s="55" t="str">
        <f t="shared" ca="1" si="2"/>
        <v/>
      </c>
      <c r="P49" s="256"/>
      <c r="Q49" s="256"/>
      <c r="R49" s="256"/>
      <c r="S49" s="256"/>
      <c r="T49" s="256"/>
      <c r="U49" s="256"/>
      <c r="V49" s="256"/>
      <c r="W49" s="256"/>
      <c r="X49" s="256"/>
      <c r="Y49" s="256"/>
      <c r="Z49" s="256"/>
    </row>
    <row r="50" spans="2:26" ht="10.199999999999999" customHeight="1">
      <c r="B50" s="56" t="str">
        <f>IF('Low Stress Type Gasket'!BE55="","",'Low Stress Type Gasket'!BE55)</f>
        <v/>
      </c>
      <c r="C50" s="55" t="str">
        <f t="shared" ca="1" si="2"/>
        <v/>
      </c>
      <c r="D50" s="55" t="str">
        <f t="shared" ca="1" si="2"/>
        <v/>
      </c>
      <c r="E50" s="55" t="str">
        <f t="shared" ca="1" si="2"/>
        <v/>
      </c>
      <c r="F50" s="55" t="str">
        <f t="shared" ca="1" si="2"/>
        <v/>
      </c>
      <c r="G50" s="55" t="str">
        <f t="shared" ca="1" si="2"/>
        <v/>
      </c>
      <c r="H50" s="55" t="str">
        <f t="shared" ca="1" si="2"/>
        <v/>
      </c>
      <c r="I50" s="55" t="str">
        <f t="shared" ca="1" si="2"/>
        <v/>
      </c>
      <c r="J50" s="55" t="str">
        <f t="shared" ca="1" si="2"/>
        <v/>
      </c>
      <c r="K50" s="55" t="str">
        <f t="shared" ca="1" si="2"/>
        <v/>
      </c>
      <c r="L50" s="55" t="str">
        <f t="shared" ca="1" si="2"/>
        <v/>
      </c>
      <c r="P50" s="256"/>
      <c r="Q50" s="256"/>
      <c r="R50" s="256"/>
      <c r="S50" s="256"/>
      <c r="T50" s="256"/>
      <c r="U50" s="256"/>
      <c r="V50" s="256"/>
      <c r="W50" s="256"/>
      <c r="X50" s="256"/>
      <c r="Y50" s="256"/>
      <c r="Z50" s="256"/>
    </row>
    <row r="51" spans="2:26" ht="10.199999999999999" customHeight="1">
      <c r="B51" s="56" t="str">
        <f>IF('Low Stress Type Gasket'!BE56="","",'Low Stress Type Gasket'!BE56)</f>
        <v/>
      </c>
      <c r="C51" s="55" t="str">
        <f t="shared" ca="1" si="2"/>
        <v/>
      </c>
      <c r="D51" s="55" t="str">
        <f t="shared" ca="1" si="2"/>
        <v/>
      </c>
      <c r="E51" s="55" t="str">
        <f t="shared" ca="1" si="2"/>
        <v/>
      </c>
      <c r="F51" s="55" t="str">
        <f t="shared" ca="1" si="2"/>
        <v/>
      </c>
      <c r="G51" s="55" t="str">
        <f t="shared" ca="1" si="2"/>
        <v/>
      </c>
      <c r="H51" s="55" t="str">
        <f t="shared" ca="1" si="2"/>
        <v/>
      </c>
      <c r="I51" s="55" t="str">
        <f t="shared" ca="1" si="2"/>
        <v/>
      </c>
      <c r="J51" s="55" t="str">
        <f t="shared" ca="1" si="2"/>
        <v/>
      </c>
      <c r="K51" s="55" t="str">
        <f t="shared" ca="1" si="2"/>
        <v/>
      </c>
      <c r="L51" s="55" t="str">
        <f t="shared" ca="1" si="2"/>
        <v/>
      </c>
      <c r="P51" s="235"/>
      <c r="Q51" s="235"/>
      <c r="R51" s="235"/>
      <c r="S51" s="235"/>
      <c r="T51" s="235"/>
      <c r="U51" s="235"/>
      <c r="V51" s="235"/>
      <c r="W51" s="235"/>
      <c r="X51" s="235"/>
      <c r="Y51" s="235"/>
      <c r="Z51" s="235"/>
    </row>
    <row r="52" spans="2:26" ht="10.199999999999999" customHeight="1">
      <c r="B52" s="56" t="str">
        <f>IF('Low Stress Type Gasket'!BE57="","",'Low Stress Type Gasket'!BE57)</f>
        <v/>
      </c>
      <c r="C52" s="55" t="str">
        <f t="shared" ca="1" si="2"/>
        <v/>
      </c>
      <c r="D52" s="55" t="str">
        <f t="shared" ca="1" si="2"/>
        <v/>
      </c>
      <c r="E52" s="55" t="str">
        <f t="shared" ca="1" si="2"/>
        <v/>
      </c>
      <c r="F52" s="55" t="str">
        <f t="shared" ca="1" si="2"/>
        <v/>
      </c>
      <c r="G52" s="55" t="str">
        <f t="shared" ca="1" si="2"/>
        <v/>
      </c>
      <c r="H52" s="55" t="str">
        <f t="shared" ca="1" si="2"/>
        <v/>
      </c>
      <c r="I52" s="55" t="str">
        <f t="shared" ca="1" si="2"/>
        <v/>
      </c>
      <c r="J52" s="55" t="str">
        <f t="shared" ca="1" si="2"/>
        <v/>
      </c>
      <c r="K52" s="55" t="str">
        <f t="shared" ca="1" si="2"/>
        <v/>
      </c>
      <c r="L52" s="55" t="str">
        <f t="shared" ca="1" si="2"/>
        <v/>
      </c>
      <c r="P52" s="256"/>
      <c r="Q52" s="256"/>
      <c r="R52" s="256"/>
      <c r="S52" s="256"/>
      <c r="T52" s="256"/>
      <c r="U52" s="256"/>
      <c r="V52" s="256"/>
      <c r="W52" s="256"/>
      <c r="X52" s="256"/>
      <c r="Y52" s="256"/>
      <c r="Z52" s="256"/>
    </row>
    <row r="53" spans="2:26" ht="10.199999999999999" customHeight="1">
      <c r="B53" s="56" t="str">
        <f>IF('Low Stress Type Gasket'!BE58="","",'Low Stress Type Gasket'!BE58)</f>
        <v/>
      </c>
      <c r="C53" s="55" t="str">
        <f t="shared" ca="1" si="2"/>
        <v/>
      </c>
      <c r="D53" s="55" t="str">
        <f t="shared" ca="1" si="2"/>
        <v/>
      </c>
      <c r="E53" s="55" t="str">
        <f t="shared" ca="1" si="2"/>
        <v/>
      </c>
      <c r="F53" s="55" t="str">
        <f t="shared" ca="1" si="2"/>
        <v/>
      </c>
      <c r="G53" s="55" t="str">
        <f t="shared" ca="1" si="2"/>
        <v/>
      </c>
      <c r="H53" s="55" t="str">
        <f t="shared" ca="1" si="2"/>
        <v/>
      </c>
      <c r="I53" s="55" t="str">
        <f t="shared" ca="1" si="2"/>
        <v/>
      </c>
      <c r="J53" s="55" t="str">
        <f t="shared" ca="1" si="2"/>
        <v/>
      </c>
      <c r="K53" s="55" t="str">
        <f t="shared" ca="1" si="2"/>
        <v/>
      </c>
      <c r="L53" s="55" t="str">
        <f t="shared" ca="1" si="2"/>
        <v/>
      </c>
      <c r="P53" s="256"/>
      <c r="Q53" s="256"/>
      <c r="R53" s="256"/>
      <c r="S53" s="256"/>
      <c r="T53" s="256"/>
      <c r="U53" s="256"/>
      <c r="V53" s="256"/>
      <c r="W53" s="256"/>
      <c r="X53" s="256"/>
      <c r="Y53" s="256"/>
      <c r="Z53" s="256"/>
    </row>
    <row r="54" spans="2:26" ht="10.199999999999999" customHeight="1">
      <c r="B54" s="56" t="str">
        <f>IF('Low Stress Type Gasket'!BE59="","",'Low Stress Type Gasket'!BE59)</f>
        <v/>
      </c>
      <c r="C54" s="55" t="str">
        <f t="shared" ref="C54:L55" ca="1" si="3">IF($M$4=0,"",VLOOKUP($B54,INDIRECT("$P$1:$Z$"&amp;$M$4),COLUMN()-1,0))</f>
        <v/>
      </c>
      <c r="D54" s="55" t="str">
        <f t="shared" ca="1" si="3"/>
        <v/>
      </c>
      <c r="E54" s="55" t="str">
        <f t="shared" ca="1" si="3"/>
        <v/>
      </c>
      <c r="F54" s="55" t="str">
        <f t="shared" ca="1" si="3"/>
        <v/>
      </c>
      <c r="G54" s="55" t="str">
        <f t="shared" ca="1" si="3"/>
        <v/>
      </c>
      <c r="H54" s="55" t="str">
        <f t="shared" ca="1" si="3"/>
        <v/>
      </c>
      <c r="I54" s="55" t="str">
        <f t="shared" ca="1" si="3"/>
        <v/>
      </c>
      <c r="J54" s="55" t="str">
        <f t="shared" ca="1" si="3"/>
        <v/>
      </c>
      <c r="K54" s="55" t="str">
        <f t="shared" ca="1" si="3"/>
        <v/>
      </c>
      <c r="L54" s="55" t="str">
        <f t="shared" ca="1" si="3"/>
        <v/>
      </c>
      <c r="P54" s="235"/>
      <c r="Q54" s="235"/>
      <c r="R54" s="235"/>
      <c r="S54" s="235"/>
      <c r="T54" s="235"/>
      <c r="U54" s="235"/>
      <c r="V54" s="235"/>
      <c r="W54" s="235"/>
      <c r="X54" s="235"/>
      <c r="Y54" s="235"/>
      <c r="Z54" s="235"/>
    </row>
    <row r="55" spans="2:26" ht="10.199999999999999" customHeight="1">
      <c r="B55" s="56" t="str">
        <f>IF('Low Stress Type Gasket'!BE60="","",'Low Stress Type Gasket'!BE60)</f>
        <v/>
      </c>
      <c r="C55" s="55" t="str">
        <f t="shared" ca="1" si="3"/>
        <v/>
      </c>
      <c r="D55" s="55" t="str">
        <f t="shared" ca="1" si="3"/>
        <v/>
      </c>
      <c r="E55" s="55" t="str">
        <f t="shared" ca="1" si="3"/>
        <v/>
      </c>
      <c r="F55" s="55" t="str">
        <f t="shared" ca="1" si="3"/>
        <v/>
      </c>
      <c r="G55" s="55" t="str">
        <f t="shared" ca="1" si="3"/>
        <v/>
      </c>
      <c r="H55" s="55" t="str">
        <f t="shared" ca="1" si="3"/>
        <v/>
      </c>
      <c r="I55" s="55" t="str">
        <f t="shared" ca="1" si="3"/>
        <v/>
      </c>
      <c r="J55" s="55" t="str">
        <f t="shared" ca="1" si="3"/>
        <v/>
      </c>
      <c r="K55" s="55" t="str">
        <f t="shared" ca="1" si="3"/>
        <v/>
      </c>
      <c r="L55" s="55" t="str">
        <f t="shared" ca="1" si="3"/>
        <v/>
      </c>
      <c r="P55" s="256"/>
      <c r="Q55" s="256"/>
      <c r="R55" s="256"/>
      <c r="S55" s="256"/>
      <c r="T55" s="256"/>
      <c r="U55" s="256"/>
      <c r="V55" s="256"/>
      <c r="W55" s="256"/>
      <c r="X55" s="256"/>
      <c r="Y55" s="256"/>
      <c r="Z55" s="256"/>
    </row>
    <row r="56" spans="2:26" ht="10.199999999999999" customHeight="1">
      <c r="P56" s="256"/>
      <c r="Q56" s="256"/>
      <c r="R56" s="256"/>
      <c r="S56" s="256"/>
      <c r="T56" s="256"/>
      <c r="U56" s="256"/>
      <c r="V56" s="256"/>
      <c r="W56" s="256"/>
      <c r="X56" s="256"/>
      <c r="Y56" s="256"/>
      <c r="Z56" s="256"/>
    </row>
    <row r="57" spans="2:26" ht="10.199999999999999" customHeight="1">
      <c r="P57" s="235"/>
      <c r="Q57" s="235"/>
      <c r="R57" s="235"/>
      <c r="S57" s="235"/>
      <c r="T57" s="235"/>
      <c r="U57" s="235"/>
      <c r="V57" s="235"/>
      <c r="W57" s="235"/>
      <c r="X57" s="235"/>
      <c r="Y57" s="235"/>
      <c r="Z57" s="235"/>
    </row>
    <row r="58" spans="2:26" ht="10.199999999999999" customHeight="1">
      <c r="P58" s="256"/>
      <c r="Q58" s="256"/>
      <c r="R58" s="256"/>
      <c r="S58" s="256"/>
      <c r="T58" s="256"/>
      <c r="U58" s="256"/>
      <c r="V58" s="256"/>
      <c r="W58" s="256"/>
      <c r="X58" s="256"/>
      <c r="Y58" s="256"/>
      <c r="Z58" s="256"/>
    </row>
    <row r="59" spans="2:26" ht="10.199999999999999" customHeight="1">
      <c r="P59" s="256"/>
      <c r="Q59" s="256"/>
      <c r="R59" s="256"/>
      <c r="S59" s="256"/>
      <c r="T59" s="256"/>
      <c r="U59" s="256"/>
      <c r="V59" s="256"/>
      <c r="W59" s="256"/>
      <c r="X59" s="256"/>
      <c r="Y59" s="256"/>
      <c r="Z59" s="256"/>
    </row>
    <row r="60" spans="2:26" ht="10.199999999999999" customHeight="1">
      <c r="P60" s="235"/>
      <c r="Q60" s="235"/>
      <c r="R60" s="235"/>
      <c r="S60" s="235"/>
      <c r="T60" s="235"/>
      <c r="U60" s="235"/>
      <c r="V60" s="235"/>
      <c r="W60" s="235"/>
      <c r="X60" s="235"/>
      <c r="Y60" s="235"/>
      <c r="Z60" s="235"/>
    </row>
    <row r="61" spans="2:26" ht="10.199999999999999" customHeight="1">
      <c r="P61" s="256"/>
      <c r="Q61" s="256"/>
      <c r="R61" s="256"/>
      <c r="S61" s="256"/>
      <c r="T61" s="256"/>
      <c r="U61" s="256"/>
      <c r="V61" s="256"/>
      <c r="W61" s="256"/>
      <c r="X61" s="256"/>
      <c r="Y61" s="256"/>
      <c r="Z61" s="256"/>
    </row>
    <row r="62" spans="2:26" ht="10.199999999999999" customHeight="1">
      <c r="P62" s="256"/>
      <c r="Q62" s="256"/>
      <c r="R62" s="256"/>
      <c r="S62" s="256"/>
      <c r="T62" s="256"/>
      <c r="U62" s="256"/>
      <c r="V62" s="256"/>
      <c r="W62" s="256"/>
      <c r="X62" s="256"/>
      <c r="Y62" s="256"/>
      <c r="Z62" s="256"/>
    </row>
    <row r="63" spans="2:26" ht="10.199999999999999" customHeight="1">
      <c r="P63" s="235"/>
      <c r="Q63" s="235"/>
      <c r="R63" s="235"/>
      <c r="S63" s="235"/>
      <c r="T63" s="235"/>
      <c r="U63" s="235"/>
      <c r="V63" s="235"/>
      <c r="W63" s="235"/>
      <c r="X63" s="235"/>
      <c r="Y63" s="235"/>
      <c r="Z63" s="235"/>
    </row>
    <row r="64" spans="2:26" ht="10.199999999999999" customHeight="1">
      <c r="P64" s="256"/>
      <c r="Q64" s="256"/>
      <c r="R64" s="256"/>
      <c r="S64" s="256"/>
      <c r="T64" s="256"/>
      <c r="U64" s="256"/>
      <c r="V64" s="256"/>
      <c r="W64" s="256"/>
      <c r="X64" s="256"/>
      <c r="Y64" s="256"/>
      <c r="Z64" s="256"/>
    </row>
    <row r="65" spans="16:26" ht="10.199999999999999" customHeight="1">
      <c r="P65" s="256"/>
      <c r="Q65" s="256"/>
      <c r="R65" s="256"/>
      <c r="S65" s="256"/>
      <c r="T65" s="256"/>
      <c r="U65" s="256"/>
      <c r="V65" s="256"/>
      <c r="W65" s="256"/>
      <c r="X65" s="256"/>
      <c r="Y65" s="256"/>
      <c r="Z65" s="256"/>
    </row>
    <row r="66" spans="16:26" ht="10.199999999999999" customHeight="1">
      <c r="P66" s="235"/>
      <c r="Q66" s="235"/>
      <c r="R66" s="235"/>
      <c r="S66" s="235"/>
      <c r="T66" s="235"/>
      <c r="U66" s="235"/>
      <c r="V66" s="235"/>
      <c r="W66" s="235"/>
      <c r="X66" s="235"/>
      <c r="Y66" s="235"/>
      <c r="Z66" s="235"/>
    </row>
    <row r="67" spans="16:26" ht="10.199999999999999" customHeight="1">
      <c r="P67" s="256"/>
      <c r="Q67" s="256"/>
      <c r="R67" s="256"/>
      <c r="S67" s="256"/>
      <c r="T67" s="256"/>
      <c r="U67" s="256"/>
      <c r="V67" s="256"/>
      <c r="W67" s="256"/>
      <c r="X67" s="256"/>
      <c r="Y67" s="256"/>
      <c r="Z67" s="256"/>
    </row>
    <row r="68" spans="16:26" ht="10.199999999999999" customHeight="1">
      <c r="P68" s="256"/>
      <c r="Q68" s="256"/>
      <c r="R68" s="256"/>
      <c r="S68" s="256"/>
      <c r="T68" s="256"/>
      <c r="U68" s="256"/>
      <c r="V68" s="256"/>
      <c r="W68" s="256"/>
      <c r="X68" s="256"/>
      <c r="Y68" s="256"/>
      <c r="Z68" s="256"/>
    </row>
    <row r="69" spans="16:26" ht="10.199999999999999" customHeight="1">
      <c r="P69" s="235"/>
      <c r="Q69" s="235"/>
      <c r="R69" s="235"/>
      <c r="S69" s="235"/>
      <c r="T69" s="235"/>
      <c r="U69" s="235"/>
      <c r="V69" s="235"/>
      <c r="W69" s="235"/>
      <c r="X69" s="235"/>
      <c r="Y69" s="235"/>
      <c r="Z69" s="235"/>
    </row>
    <row r="70" spans="16:26" ht="10.199999999999999" customHeight="1">
      <c r="P70" s="256"/>
      <c r="Q70" s="256"/>
      <c r="R70" s="256"/>
      <c r="S70" s="256"/>
      <c r="T70" s="256"/>
      <c r="U70" s="256"/>
      <c r="V70" s="256"/>
      <c r="W70" s="256"/>
      <c r="X70" s="256"/>
      <c r="Y70" s="256"/>
      <c r="Z70" s="256"/>
    </row>
    <row r="71" spans="16:26" ht="10.199999999999999" customHeight="1">
      <c r="P71" s="256"/>
      <c r="Q71" s="256"/>
      <c r="R71" s="256"/>
      <c r="S71" s="256"/>
      <c r="T71" s="256"/>
      <c r="U71" s="256"/>
      <c r="V71" s="256"/>
      <c r="W71" s="256"/>
      <c r="X71" s="256"/>
      <c r="Y71" s="256"/>
      <c r="Z71" s="256"/>
    </row>
    <row r="72" spans="16:26" ht="10.199999999999999" customHeight="1">
      <c r="P72" s="235"/>
      <c r="Q72" s="235"/>
      <c r="R72" s="235"/>
      <c r="S72" s="235"/>
      <c r="T72" s="235"/>
      <c r="U72" s="235"/>
      <c r="V72" s="235"/>
      <c r="W72" s="235"/>
      <c r="X72" s="235"/>
      <c r="Y72" s="235"/>
      <c r="Z72" s="235"/>
    </row>
    <row r="73" spans="16:26" ht="10.199999999999999" customHeight="1">
      <c r="P73" s="256"/>
      <c r="Q73" s="256"/>
      <c r="R73" s="256"/>
      <c r="S73" s="256"/>
      <c r="T73" s="256"/>
      <c r="U73" s="256"/>
      <c r="V73" s="256"/>
      <c r="W73" s="256"/>
      <c r="X73" s="256"/>
      <c r="Y73" s="256"/>
      <c r="Z73" s="256"/>
    </row>
    <row r="74" spans="16:26" ht="10.199999999999999" customHeight="1">
      <c r="P74" s="256"/>
      <c r="Q74" s="256"/>
      <c r="R74" s="256"/>
      <c r="S74" s="256"/>
      <c r="T74" s="256"/>
      <c r="U74" s="256"/>
      <c r="V74" s="256"/>
      <c r="W74" s="256"/>
      <c r="X74" s="256"/>
      <c r="Y74" s="256"/>
      <c r="Z74" s="256"/>
    </row>
    <row r="75" spans="16:26" ht="10.199999999999999" customHeight="1">
      <c r="P75" s="235"/>
      <c r="Q75" s="235"/>
      <c r="R75" s="235"/>
      <c r="S75" s="235"/>
      <c r="T75" s="235"/>
      <c r="U75" s="235"/>
      <c r="V75" s="235"/>
      <c r="W75" s="235"/>
      <c r="X75" s="235"/>
      <c r="Y75" s="235"/>
      <c r="Z75" s="235"/>
    </row>
    <row r="76" spans="16:26" ht="10.199999999999999" customHeight="1">
      <c r="P76" s="256"/>
      <c r="Q76" s="256"/>
      <c r="R76" s="256"/>
      <c r="S76" s="256"/>
      <c r="T76" s="256"/>
      <c r="U76" s="256"/>
      <c r="V76" s="256"/>
      <c r="W76" s="256"/>
      <c r="X76" s="256"/>
      <c r="Y76" s="256"/>
      <c r="Z76" s="256"/>
    </row>
    <row r="77" spans="16:26" ht="10.199999999999999" customHeight="1">
      <c r="P77" s="256"/>
      <c r="Q77" s="256"/>
      <c r="R77" s="256"/>
      <c r="S77" s="256"/>
      <c r="T77" s="256"/>
      <c r="U77" s="256"/>
      <c r="V77" s="256"/>
      <c r="W77" s="256"/>
      <c r="X77" s="256"/>
      <c r="Y77" s="256"/>
      <c r="Z77" s="256"/>
    </row>
    <row r="78" spans="16:26" ht="10.199999999999999" customHeight="1">
      <c r="P78" s="235"/>
      <c r="Q78" s="235"/>
      <c r="R78" s="235"/>
      <c r="S78" s="235"/>
      <c r="T78" s="235"/>
      <c r="U78" s="235"/>
      <c r="V78" s="235"/>
      <c r="W78" s="235"/>
      <c r="X78" s="235"/>
      <c r="Y78" s="235"/>
      <c r="Z78" s="235"/>
    </row>
    <row r="79" spans="16:26" ht="10.199999999999999" customHeight="1">
      <c r="P79" s="256"/>
      <c r="Q79" s="256"/>
      <c r="R79" s="256"/>
      <c r="S79" s="256"/>
      <c r="T79" s="256"/>
      <c r="U79" s="256"/>
      <c r="V79" s="256"/>
      <c r="W79" s="256"/>
      <c r="X79" s="256"/>
      <c r="Y79" s="256"/>
      <c r="Z79" s="256"/>
    </row>
    <row r="80" spans="16:26" ht="10.199999999999999" customHeight="1">
      <c r="P80" s="256"/>
      <c r="Q80" s="256"/>
      <c r="R80" s="256"/>
      <c r="S80" s="256"/>
      <c r="T80" s="256"/>
      <c r="U80" s="256"/>
      <c r="V80" s="256"/>
      <c r="W80" s="256"/>
      <c r="X80" s="256"/>
      <c r="Y80" s="256"/>
      <c r="Z80" s="256"/>
    </row>
    <row r="81" spans="16:26" ht="10.199999999999999" customHeight="1">
      <c r="P81" s="235"/>
      <c r="Q81" s="235"/>
      <c r="R81" s="235"/>
      <c r="S81" s="235"/>
      <c r="T81" s="235"/>
      <c r="U81" s="235"/>
      <c r="V81" s="235"/>
      <c r="W81" s="235"/>
      <c r="X81" s="235"/>
      <c r="Y81" s="235"/>
      <c r="Z81" s="235"/>
    </row>
    <row r="82" spans="16:26" ht="10.199999999999999" customHeight="1">
      <c r="P82" s="256"/>
      <c r="Q82" s="256"/>
      <c r="R82" s="256"/>
      <c r="S82" s="256"/>
      <c r="T82" s="256"/>
      <c r="U82" s="256"/>
      <c r="V82" s="256"/>
      <c r="W82" s="256"/>
      <c r="X82" s="256"/>
      <c r="Y82" s="256"/>
      <c r="Z82" s="256"/>
    </row>
    <row r="83" spans="16:26" ht="10.199999999999999" customHeight="1">
      <c r="P83" s="256"/>
      <c r="Q83" s="256"/>
      <c r="R83" s="256"/>
      <c r="S83" s="256"/>
      <c r="T83" s="256"/>
      <c r="U83" s="256"/>
      <c r="V83" s="256"/>
      <c r="W83" s="256"/>
      <c r="X83" s="256"/>
      <c r="Y83" s="256"/>
      <c r="Z83" s="256"/>
    </row>
    <row r="84" spans="16:26" ht="10.199999999999999" customHeight="1">
      <c r="P84" s="235"/>
      <c r="Q84" s="235"/>
      <c r="R84" s="235"/>
      <c r="S84" s="235"/>
      <c r="T84" s="235"/>
      <c r="U84" s="235"/>
      <c r="V84" s="235"/>
      <c r="W84" s="235"/>
      <c r="X84" s="235"/>
      <c r="Y84" s="235"/>
      <c r="Z84" s="235"/>
    </row>
    <row r="85" spans="16:26" ht="10.199999999999999" customHeight="1">
      <c r="P85" s="256"/>
      <c r="Q85" s="256"/>
      <c r="R85" s="256"/>
      <c r="S85" s="256"/>
      <c r="T85" s="256"/>
      <c r="U85" s="256"/>
      <c r="V85" s="256"/>
      <c r="W85" s="256"/>
      <c r="X85" s="256"/>
      <c r="Y85" s="256"/>
      <c r="Z85" s="256"/>
    </row>
    <row r="86" spans="16:26" ht="10.199999999999999" customHeight="1">
      <c r="P86" s="256"/>
      <c r="Q86" s="256"/>
      <c r="R86" s="256"/>
      <c r="S86" s="256"/>
      <c r="T86" s="256"/>
      <c r="U86" s="256"/>
      <c r="V86" s="256"/>
      <c r="W86" s="256"/>
      <c r="X86" s="256"/>
      <c r="Y86" s="256"/>
      <c r="Z86" s="256"/>
    </row>
    <row r="87" spans="16:26" ht="10.199999999999999" customHeight="1">
      <c r="P87" s="235"/>
      <c r="Q87" s="235"/>
      <c r="R87" s="235"/>
      <c r="S87" s="235"/>
      <c r="T87" s="235"/>
      <c r="U87" s="235"/>
      <c r="V87" s="235"/>
      <c r="W87" s="235"/>
      <c r="X87" s="235"/>
      <c r="Y87" s="235"/>
      <c r="Z87" s="235"/>
    </row>
    <row r="88" spans="16:26" ht="10.199999999999999" customHeight="1">
      <c r="P88" s="256"/>
      <c r="Q88" s="256"/>
      <c r="R88" s="256"/>
      <c r="S88" s="256"/>
      <c r="T88" s="256"/>
      <c r="U88" s="256"/>
      <c r="V88" s="256"/>
      <c r="W88" s="256"/>
      <c r="X88" s="256"/>
      <c r="Y88" s="256"/>
      <c r="Z88" s="256"/>
    </row>
    <row r="89" spans="16:26" ht="10.199999999999999" customHeight="1">
      <c r="P89" s="256"/>
      <c r="Q89" s="256"/>
      <c r="R89" s="256"/>
      <c r="S89" s="256"/>
      <c r="T89" s="256"/>
      <c r="U89" s="256"/>
      <c r="V89" s="256"/>
      <c r="W89" s="256"/>
      <c r="X89" s="256"/>
      <c r="Y89" s="256"/>
      <c r="Z89" s="256"/>
    </row>
    <row r="90" spans="16:26" ht="10.199999999999999" customHeight="1">
      <c r="P90" s="235"/>
      <c r="Q90" s="235"/>
      <c r="R90" s="235"/>
      <c r="S90" s="235"/>
      <c r="T90" s="235"/>
      <c r="U90" s="235"/>
      <c r="V90" s="235"/>
      <c r="W90" s="235"/>
      <c r="X90" s="235"/>
      <c r="Y90" s="235"/>
      <c r="Z90" s="235"/>
    </row>
    <row r="91" spans="16:26" ht="10.199999999999999" customHeight="1">
      <c r="P91" s="256"/>
      <c r="Q91" s="256"/>
      <c r="R91" s="256"/>
      <c r="S91" s="256"/>
      <c r="T91" s="256"/>
      <c r="U91" s="256"/>
      <c r="V91" s="256"/>
      <c r="W91" s="256"/>
      <c r="X91" s="256"/>
      <c r="Y91" s="256"/>
      <c r="Z91" s="256"/>
    </row>
    <row r="92" spans="16:26" ht="10.199999999999999" customHeight="1">
      <c r="P92" s="256"/>
      <c r="Q92" s="256"/>
      <c r="R92" s="256"/>
      <c r="S92" s="256"/>
      <c r="T92" s="256"/>
      <c r="U92" s="256"/>
      <c r="V92" s="256"/>
      <c r="W92" s="256"/>
      <c r="X92" s="256"/>
      <c r="Y92" s="256"/>
      <c r="Z92" s="256"/>
    </row>
    <row r="93" spans="16:26" ht="10.199999999999999" customHeight="1">
      <c r="P93" s="235"/>
      <c r="Q93" s="235"/>
      <c r="R93" s="235"/>
      <c r="S93" s="235"/>
      <c r="T93" s="235"/>
      <c r="U93" s="235"/>
      <c r="V93" s="235"/>
      <c r="W93" s="235"/>
      <c r="X93" s="235"/>
      <c r="Y93" s="235"/>
      <c r="Z93" s="235"/>
    </row>
    <row r="94" spans="16:26" ht="10.199999999999999" customHeight="1">
      <c r="P94" s="256"/>
      <c r="Q94" s="256"/>
      <c r="R94" s="256"/>
      <c r="S94" s="256"/>
      <c r="T94" s="256"/>
      <c r="U94" s="256"/>
      <c r="V94" s="256"/>
      <c r="W94" s="256"/>
      <c r="X94" s="256"/>
      <c r="Y94" s="256"/>
      <c r="Z94" s="256"/>
    </row>
    <row r="95" spans="16:26" ht="10.199999999999999" customHeight="1">
      <c r="P95" s="256"/>
      <c r="Q95" s="256"/>
      <c r="R95" s="256"/>
      <c r="S95" s="256"/>
      <c r="T95" s="256"/>
      <c r="U95" s="256"/>
      <c r="V95" s="256"/>
      <c r="W95" s="256"/>
      <c r="X95" s="256"/>
      <c r="Y95" s="256"/>
      <c r="Z95" s="256"/>
    </row>
    <row r="96" spans="16:26" ht="10.199999999999999" customHeight="1">
      <c r="P96" s="235"/>
      <c r="Q96" s="235"/>
      <c r="R96" s="235"/>
      <c r="S96" s="235"/>
      <c r="T96" s="235"/>
      <c r="U96" s="235"/>
      <c r="V96" s="235"/>
      <c r="W96" s="235"/>
      <c r="X96" s="235"/>
      <c r="Y96" s="235"/>
      <c r="Z96" s="235"/>
    </row>
    <row r="97" spans="16:26" ht="10.199999999999999" customHeight="1">
      <c r="P97" s="256"/>
      <c r="Q97" s="256"/>
      <c r="R97" s="256"/>
      <c r="S97" s="256"/>
      <c r="T97" s="256"/>
      <c r="U97" s="256"/>
      <c r="V97" s="256"/>
      <c r="W97" s="256"/>
      <c r="X97" s="256"/>
      <c r="Y97" s="256"/>
      <c r="Z97" s="256"/>
    </row>
    <row r="98" spans="16:26" ht="10.199999999999999" customHeight="1">
      <c r="P98" s="256"/>
      <c r="Q98" s="256"/>
      <c r="R98" s="256"/>
      <c r="S98" s="256"/>
      <c r="T98" s="256"/>
      <c r="U98" s="256"/>
      <c r="V98" s="256"/>
      <c r="W98" s="256"/>
      <c r="X98" s="256"/>
      <c r="Y98" s="256"/>
      <c r="Z98" s="256"/>
    </row>
    <row r="99" spans="16:26" ht="10.199999999999999" customHeight="1">
      <c r="P99" s="235"/>
      <c r="Q99" s="235"/>
      <c r="R99" s="235"/>
      <c r="S99" s="235"/>
      <c r="T99" s="235"/>
      <c r="U99" s="235"/>
      <c r="V99" s="235"/>
      <c r="W99" s="235"/>
      <c r="X99" s="235"/>
      <c r="Y99" s="235"/>
      <c r="Z99" s="235"/>
    </row>
    <row r="100" spans="16:26" ht="10.199999999999999" customHeight="1">
      <c r="P100" s="256"/>
      <c r="Q100" s="256"/>
      <c r="R100" s="256"/>
      <c r="S100" s="256"/>
      <c r="T100" s="256"/>
      <c r="U100" s="256"/>
      <c r="V100" s="256"/>
      <c r="W100" s="256"/>
      <c r="X100" s="256"/>
      <c r="Y100" s="256"/>
      <c r="Z100" s="256"/>
    </row>
    <row r="101" spans="16:26" ht="10.199999999999999" customHeight="1">
      <c r="P101" s="256"/>
      <c r="Q101" s="256"/>
      <c r="R101" s="256"/>
      <c r="S101" s="256"/>
      <c r="T101" s="256"/>
      <c r="U101" s="256"/>
      <c r="V101" s="256"/>
      <c r="W101" s="256"/>
      <c r="X101" s="256"/>
      <c r="Y101" s="256"/>
      <c r="Z101" s="256"/>
    </row>
    <row r="102" spans="16:26" ht="10.199999999999999" customHeight="1">
      <c r="P102" s="235"/>
      <c r="Q102" s="235"/>
      <c r="R102" s="235"/>
      <c r="S102" s="235"/>
      <c r="T102" s="235"/>
      <c r="U102" s="235"/>
      <c r="V102" s="235"/>
      <c r="W102" s="235"/>
      <c r="X102" s="235"/>
      <c r="Y102" s="235"/>
      <c r="Z102" s="235"/>
    </row>
    <row r="103" spans="16:26" ht="10.199999999999999" customHeight="1">
      <c r="P103" s="256"/>
      <c r="Q103" s="256"/>
      <c r="R103" s="256"/>
      <c r="S103" s="256"/>
      <c r="T103" s="256"/>
      <c r="U103" s="256"/>
      <c r="V103" s="256"/>
      <c r="W103" s="256"/>
      <c r="X103" s="256"/>
      <c r="Y103" s="256"/>
      <c r="Z103" s="256"/>
    </row>
    <row r="104" spans="16:26" ht="10.199999999999999" customHeight="1">
      <c r="P104" s="256"/>
      <c r="Q104" s="256"/>
      <c r="R104" s="256"/>
      <c r="S104" s="256"/>
      <c r="T104" s="256"/>
      <c r="U104" s="256"/>
      <c r="V104" s="256"/>
      <c r="W104" s="256"/>
      <c r="X104" s="256"/>
      <c r="Y104" s="256"/>
      <c r="Z104" s="256"/>
    </row>
    <row r="105" spans="16:26" ht="10.199999999999999" customHeight="1">
      <c r="P105" s="235"/>
      <c r="Q105" s="235"/>
      <c r="R105" s="235"/>
      <c r="S105" s="235"/>
      <c r="T105" s="235"/>
      <c r="U105" s="235"/>
      <c r="V105" s="235"/>
      <c r="W105" s="235"/>
      <c r="X105" s="235"/>
      <c r="Y105" s="235"/>
      <c r="Z105" s="235"/>
    </row>
    <row r="106" spans="16:26" ht="10.199999999999999" customHeight="1">
      <c r="P106" s="256"/>
      <c r="Q106" s="256"/>
      <c r="R106" s="256"/>
      <c r="S106" s="256"/>
      <c r="T106" s="256"/>
      <c r="U106" s="256"/>
      <c r="V106" s="256"/>
      <c r="W106" s="256"/>
      <c r="X106" s="256"/>
      <c r="Y106" s="256"/>
      <c r="Z106" s="256"/>
    </row>
    <row r="107" spans="16:26" ht="10.199999999999999" customHeight="1">
      <c r="P107" s="256"/>
      <c r="Q107" s="256"/>
      <c r="R107" s="256"/>
      <c r="S107" s="256"/>
      <c r="T107" s="256"/>
      <c r="U107" s="256"/>
      <c r="V107" s="256"/>
      <c r="W107" s="256"/>
      <c r="X107" s="256"/>
      <c r="Y107" s="256"/>
      <c r="Z107" s="256"/>
    </row>
    <row r="108" spans="16:26" ht="10.199999999999999" customHeight="1">
      <c r="P108" s="235"/>
      <c r="Q108" s="235"/>
      <c r="R108" s="235"/>
      <c r="S108" s="235"/>
      <c r="T108" s="235"/>
      <c r="U108" s="235"/>
      <c r="V108" s="235"/>
      <c r="W108" s="235"/>
      <c r="X108" s="235"/>
      <c r="Y108" s="235"/>
      <c r="Z108" s="235"/>
    </row>
    <row r="109" spans="16:26" ht="10.199999999999999" customHeight="1">
      <c r="P109" s="256"/>
      <c r="Q109" s="256"/>
      <c r="R109" s="256"/>
      <c r="S109" s="256"/>
      <c r="T109" s="256"/>
      <c r="U109" s="256"/>
      <c r="V109" s="256"/>
      <c r="W109" s="256"/>
      <c r="X109" s="256"/>
      <c r="Y109" s="256"/>
      <c r="Z109" s="256"/>
    </row>
    <row r="110" spans="16:26" ht="10.199999999999999" customHeight="1">
      <c r="P110" s="256"/>
      <c r="Q110" s="256"/>
      <c r="R110" s="256"/>
      <c r="S110" s="256"/>
      <c r="T110" s="256"/>
      <c r="U110" s="256"/>
      <c r="V110" s="256"/>
      <c r="W110" s="256"/>
      <c r="X110" s="256"/>
      <c r="Y110" s="256"/>
      <c r="Z110" s="256"/>
    </row>
    <row r="111" spans="16:26" ht="10.199999999999999" customHeight="1">
      <c r="P111" s="235"/>
      <c r="Q111" s="235"/>
      <c r="R111" s="235"/>
      <c r="S111" s="235"/>
      <c r="T111" s="235"/>
      <c r="U111" s="235"/>
      <c r="V111" s="235"/>
      <c r="W111" s="235"/>
      <c r="X111" s="235"/>
      <c r="Y111" s="235"/>
      <c r="Z111" s="235"/>
    </row>
    <row r="112" spans="16:26" ht="10.199999999999999" customHeight="1">
      <c r="P112" s="256"/>
      <c r="Q112" s="256"/>
      <c r="R112" s="256"/>
      <c r="S112" s="256"/>
      <c r="T112" s="256"/>
      <c r="U112" s="256"/>
      <c r="V112" s="256"/>
      <c r="W112" s="256"/>
      <c r="X112" s="256"/>
      <c r="Y112" s="256"/>
      <c r="Z112" s="256"/>
    </row>
    <row r="113" spans="16:26" ht="10.199999999999999" customHeight="1">
      <c r="P113" s="256"/>
      <c r="Q113" s="256"/>
      <c r="R113" s="256"/>
      <c r="S113" s="256"/>
      <c r="T113" s="256"/>
      <c r="U113" s="256"/>
      <c r="V113" s="256"/>
      <c r="W113" s="256"/>
      <c r="X113" s="256"/>
      <c r="Y113" s="256"/>
      <c r="Z113" s="256"/>
    </row>
    <row r="114" spans="16:26" ht="10.199999999999999" customHeight="1">
      <c r="P114" s="235"/>
      <c r="Q114" s="235"/>
      <c r="R114" s="235"/>
      <c r="S114" s="235"/>
      <c r="T114" s="235"/>
      <c r="U114" s="235"/>
      <c r="V114" s="235"/>
      <c r="W114" s="235"/>
      <c r="X114" s="235"/>
      <c r="Y114" s="235"/>
      <c r="Z114" s="235"/>
    </row>
    <row r="115" spans="16:26" ht="10.199999999999999" customHeight="1">
      <c r="P115" s="256"/>
      <c r="Q115" s="256"/>
      <c r="R115" s="256"/>
      <c r="S115" s="256"/>
      <c r="T115" s="256"/>
      <c r="U115" s="256"/>
      <c r="V115" s="256"/>
      <c r="W115" s="256"/>
      <c r="X115" s="256"/>
      <c r="Y115" s="256"/>
      <c r="Z115" s="256"/>
    </row>
    <row r="116" spans="16:26" ht="10.199999999999999" customHeight="1">
      <c r="P116" s="256"/>
      <c r="Q116" s="256"/>
      <c r="R116" s="256"/>
      <c r="S116" s="256"/>
      <c r="T116" s="256"/>
      <c r="U116" s="256"/>
      <c r="V116" s="256"/>
      <c r="W116" s="256"/>
      <c r="X116" s="256"/>
      <c r="Y116" s="256"/>
      <c r="Z116" s="256"/>
    </row>
    <row r="117" spans="16:26" ht="10.199999999999999" customHeight="1">
      <c r="P117" s="235"/>
      <c r="Q117" s="235"/>
      <c r="R117" s="235"/>
      <c r="S117" s="235"/>
      <c r="T117" s="235"/>
      <c r="U117" s="235"/>
      <c r="V117" s="235"/>
      <c r="W117" s="235"/>
      <c r="X117" s="235"/>
      <c r="Y117" s="235"/>
      <c r="Z117" s="235"/>
    </row>
    <row r="118" spans="16:26" ht="10.199999999999999" customHeight="1">
      <c r="P118" s="256"/>
      <c r="Q118" s="256"/>
      <c r="R118" s="256"/>
      <c r="S118" s="256"/>
      <c r="T118" s="256"/>
      <c r="U118" s="256"/>
      <c r="V118" s="256"/>
      <c r="W118" s="256"/>
      <c r="X118" s="256"/>
      <c r="Y118" s="256"/>
      <c r="Z118" s="256"/>
    </row>
    <row r="119" spans="16:26" ht="10.199999999999999" customHeight="1">
      <c r="P119" s="256"/>
      <c r="Q119" s="256"/>
      <c r="R119" s="256"/>
      <c r="S119" s="256"/>
      <c r="T119" s="256"/>
      <c r="U119" s="256"/>
      <c r="V119" s="256"/>
      <c r="W119" s="256"/>
      <c r="X119" s="256"/>
      <c r="Y119" s="256"/>
      <c r="Z119" s="256"/>
    </row>
    <row r="120" spans="16:26" ht="10.199999999999999" customHeight="1">
      <c r="P120" s="235"/>
      <c r="Q120" s="235"/>
      <c r="R120" s="235"/>
      <c r="S120" s="235"/>
      <c r="T120" s="235"/>
      <c r="U120" s="235"/>
      <c r="V120" s="235"/>
      <c r="W120" s="235"/>
      <c r="X120" s="235"/>
      <c r="Y120" s="235"/>
      <c r="Z120" s="235"/>
    </row>
    <row r="121" spans="16:26" ht="10.199999999999999" customHeight="1">
      <c r="P121" s="256"/>
      <c r="Q121" s="256"/>
      <c r="R121" s="256"/>
      <c r="S121" s="256"/>
      <c r="T121" s="256"/>
      <c r="U121" s="256"/>
      <c r="V121" s="256"/>
      <c r="W121" s="256"/>
      <c r="X121" s="256"/>
      <c r="Y121" s="256"/>
      <c r="Z121" s="256"/>
    </row>
    <row r="122" spans="16:26" ht="10.199999999999999" customHeight="1">
      <c r="P122" s="256"/>
      <c r="Q122" s="256"/>
      <c r="R122" s="256"/>
      <c r="S122" s="256"/>
      <c r="T122" s="256"/>
      <c r="U122" s="256"/>
      <c r="V122" s="256"/>
      <c r="W122" s="256"/>
      <c r="X122" s="256"/>
      <c r="Y122" s="256"/>
      <c r="Z122" s="256"/>
    </row>
    <row r="123" spans="16:26" ht="10.199999999999999" customHeight="1">
      <c r="P123" s="235"/>
      <c r="Q123" s="235"/>
      <c r="R123" s="235"/>
      <c r="S123" s="235"/>
      <c r="T123" s="235"/>
      <c r="U123" s="235"/>
      <c r="V123" s="235"/>
      <c r="W123" s="235"/>
      <c r="X123" s="235"/>
      <c r="Y123" s="235"/>
      <c r="Z123" s="235"/>
    </row>
    <row r="124" spans="16:26" ht="10.199999999999999" customHeight="1">
      <c r="P124" s="256"/>
      <c r="Q124" s="256"/>
      <c r="R124" s="256"/>
      <c r="S124" s="256"/>
      <c r="T124" s="256"/>
      <c r="U124" s="256"/>
      <c r="V124" s="256"/>
      <c r="W124" s="256"/>
      <c r="X124" s="256"/>
      <c r="Y124" s="256"/>
      <c r="Z124" s="256"/>
    </row>
    <row r="125" spans="16:26" ht="10.199999999999999" customHeight="1">
      <c r="P125" s="256"/>
      <c r="Q125" s="256"/>
      <c r="R125" s="256"/>
      <c r="S125" s="256"/>
      <c r="T125" s="256"/>
      <c r="U125" s="256"/>
      <c r="V125" s="256"/>
      <c r="W125" s="256"/>
      <c r="X125" s="256"/>
      <c r="Y125" s="256"/>
      <c r="Z125" s="256"/>
    </row>
    <row r="126" spans="16:26" ht="10.199999999999999" customHeight="1">
      <c r="P126" s="235"/>
      <c r="Q126" s="235"/>
      <c r="R126" s="235"/>
      <c r="S126" s="235"/>
      <c r="T126" s="235"/>
      <c r="U126" s="235"/>
      <c r="V126" s="235"/>
      <c r="W126" s="235"/>
      <c r="X126" s="235"/>
      <c r="Y126" s="235"/>
      <c r="Z126" s="235"/>
    </row>
    <row r="127" spans="16:26" ht="10.199999999999999" customHeight="1">
      <c r="P127" s="256"/>
      <c r="Q127" s="256"/>
      <c r="R127" s="256"/>
      <c r="S127" s="256"/>
      <c r="T127" s="256"/>
      <c r="U127" s="256"/>
      <c r="V127" s="256"/>
      <c r="W127" s="256"/>
      <c r="X127" s="256"/>
      <c r="Y127" s="256"/>
      <c r="Z127" s="256"/>
    </row>
    <row r="128" spans="16:26" ht="10.199999999999999" customHeight="1">
      <c r="P128" s="256"/>
      <c r="Q128" s="256"/>
      <c r="R128" s="256"/>
      <c r="S128" s="256"/>
      <c r="T128" s="256"/>
      <c r="U128" s="256"/>
      <c r="V128" s="256"/>
      <c r="W128" s="256"/>
      <c r="X128" s="256"/>
      <c r="Y128" s="256"/>
      <c r="Z128" s="256"/>
    </row>
    <row r="129" spans="16:26" ht="10.199999999999999" customHeight="1">
      <c r="P129" s="235"/>
      <c r="Q129" s="235"/>
      <c r="R129" s="235"/>
      <c r="S129" s="235"/>
      <c r="T129" s="235"/>
      <c r="U129" s="235"/>
      <c r="V129" s="235"/>
      <c r="W129" s="235"/>
      <c r="X129" s="235"/>
      <c r="Y129" s="235"/>
      <c r="Z129" s="235"/>
    </row>
    <row r="130" spans="16:26" ht="10.199999999999999" customHeight="1">
      <c r="P130" s="256"/>
      <c r="Q130" s="256"/>
      <c r="R130" s="256"/>
      <c r="S130" s="256"/>
      <c r="T130" s="256"/>
      <c r="U130" s="256"/>
      <c r="V130" s="256"/>
      <c r="W130" s="256"/>
      <c r="X130" s="256"/>
      <c r="Y130" s="256"/>
      <c r="Z130" s="256"/>
    </row>
    <row r="131" spans="16:26" ht="10.199999999999999" customHeight="1">
      <c r="P131" s="256"/>
      <c r="Q131" s="256"/>
      <c r="R131" s="256"/>
      <c r="S131" s="256"/>
      <c r="T131" s="256"/>
      <c r="U131" s="256"/>
      <c r="V131" s="256"/>
      <c r="W131" s="256"/>
      <c r="X131" s="256"/>
      <c r="Y131" s="256"/>
      <c r="Z131" s="256"/>
    </row>
    <row r="132" spans="16:26" ht="10.199999999999999" customHeight="1">
      <c r="P132" s="235"/>
      <c r="Q132" s="235"/>
      <c r="R132" s="235"/>
      <c r="S132" s="235"/>
      <c r="T132" s="235"/>
      <c r="U132" s="235"/>
      <c r="V132" s="235"/>
      <c r="W132" s="235"/>
      <c r="X132" s="235"/>
      <c r="Y132" s="235"/>
      <c r="Z132" s="235"/>
    </row>
    <row r="133" spans="16:26" ht="10.199999999999999" customHeight="1">
      <c r="P133" s="256"/>
      <c r="Q133" s="256"/>
      <c r="R133" s="256"/>
      <c r="S133" s="256"/>
      <c r="T133" s="256"/>
      <c r="U133" s="256"/>
      <c r="V133" s="256"/>
      <c r="W133" s="256"/>
      <c r="X133" s="256"/>
      <c r="Y133" s="256"/>
      <c r="Z133" s="256"/>
    </row>
    <row r="134" spans="16:26" ht="10.199999999999999" customHeight="1">
      <c r="P134" s="256"/>
      <c r="Q134" s="256"/>
      <c r="R134" s="256"/>
      <c r="S134" s="256"/>
      <c r="T134" s="256"/>
      <c r="U134" s="256"/>
      <c r="V134" s="256"/>
      <c r="W134" s="256"/>
      <c r="X134" s="256"/>
      <c r="Y134" s="256"/>
      <c r="Z134" s="256"/>
    </row>
    <row r="135" spans="16:26" ht="10.199999999999999" customHeight="1">
      <c r="P135" s="235"/>
      <c r="Q135" s="235"/>
      <c r="R135" s="235"/>
      <c r="S135" s="235"/>
      <c r="T135" s="235"/>
      <c r="U135" s="235"/>
      <c r="V135" s="235"/>
      <c r="W135" s="235"/>
      <c r="X135" s="235"/>
      <c r="Y135" s="235"/>
      <c r="Z135" s="235"/>
    </row>
    <row r="136" spans="16:26" ht="10.199999999999999" customHeight="1">
      <c r="P136" s="256"/>
      <c r="Q136" s="256"/>
      <c r="R136" s="256"/>
      <c r="S136" s="256"/>
      <c r="T136" s="256"/>
      <c r="U136" s="256"/>
      <c r="V136" s="256"/>
      <c r="W136" s="256"/>
      <c r="X136" s="256"/>
      <c r="Y136" s="256"/>
      <c r="Z136" s="256"/>
    </row>
    <row r="137" spans="16:26" ht="10.199999999999999" customHeight="1">
      <c r="P137" s="256"/>
      <c r="Q137" s="256"/>
      <c r="R137" s="256"/>
      <c r="S137" s="256"/>
      <c r="T137" s="256"/>
      <c r="U137" s="256"/>
      <c r="V137" s="256"/>
      <c r="W137" s="256"/>
      <c r="X137" s="256"/>
      <c r="Y137" s="256"/>
      <c r="Z137" s="256"/>
    </row>
    <row r="138" spans="16:26" ht="10.199999999999999" customHeight="1">
      <c r="P138" s="235"/>
      <c r="Q138" s="235"/>
      <c r="R138" s="235"/>
      <c r="S138" s="235"/>
      <c r="T138" s="235"/>
      <c r="U138" s="235"/>
      <c r="V138" s="235"/>
      <c r="W138" s="235"/>
      <c r="X138" s="235"/>
      <c r="Y138" s="235"/>
      <c r="Z138" s="235"/>
    </row>
    <row r="139" spans="16:26" ht="10.199999999999999" customHeight="1">
      <c r="P139" s="256"/>
      <c r="Q139" s="256"/>
      <c r="R139" s="256"/>
      <c r="S139" s="256"/>
      <c r="T139" s="256"/>
      <c r="U139" s="256"/>
      <c r="V139" s="256"/>
      <c r="W139" s="256"/>
      <c r="X139" s="256"/>
      <c r="Y139" s="256"/>
      <c r="Z139" s="256"/>
    </row>
    <row r="140" spans="16:26" ht="10.199999999999999" customHeight="1">
      <c r="P140" s="256"/>
      <c r="Q140" s="256"/>
      <c r="R140" s="256"/>
      <c r="S140" s="256"/>
      <c r="T140" s="256"/>
      <c r="U140" s="256"/>
      <c r="V140" s="256"/>
      <c r="W140" s="256"/>
      <c r="X140" s="256"/>
      <c r="Y140" s="256"/>
      <c r="Z140" s="256"/>
    </row>
    <row r="141" spans="16:26" ht="10.199999999999999" customHeight="1">
      <c r="P141" s="235"/>
      <c r="Q141" s="235"/>
      <c r="R141" s="235"/>
      <c r="S141" s="235"/>
      <c r="T141" s="235"/>
      <c r="U141" s="235"/>
      <c r="V141" s="235"/>
      <c r="W141" s="235"/>
      <c r="X141" s="235"/>
      <c r="Y141" s="235"/>
      <c r="Z141" s="235"/>
    </row>
    <row r="142" spans="16:26" ht="10.199999999999999" customHeight="1">
      <c r="P142" s="256"/>
      <c r="Q142" s="256"/>
      <c r="R142" s="256"/>
      <c r="S142" s="256"/>
      <c r="T142" s="256"/>
      <c r="U142" s="256"/>
      <c r="V142" s="256"/>
      <c r="W142" s="256"/>
      <c r="X142" s="256"/>
      <c r="Y142" s="256"/>
      <c r="Z142" s="256"/>
    </row>
    <row r="143" spans="16:26" ht="10.199999999999999" customHeight="1">
      <c r="P143" s="256"/>
      <c r="Q143" s="256"/>
      <c r="R143" s="256"/>
      <c r="S143" s="256"/>
      <c r="T143" s="256"/>
      <c r="U143" s="256"/>
      <c r="V143" s="256"/>
      <c r="W143" s="256"/>
      <c r="X143" s="256"/>
      <c r="Y143" s="256"/>
      <c r="Z143" s="256"/>
    </row>
    <row r="144" spans="16:26" ht="10.199999999999999" customHeight="1">
      <c r="P144" s="235"/>
      <c r="Q144" s="235"/>
      <c r="R144" s="235"/>
      <c r="S144" s="235"/>
      <c r="T144" s="235"/>
      <c r="U144" s="235"/>
      <c r="V144" s="235"/>
      <c r="W144" s="235"/>
      <c r="X144" s="235"/>
      <c r="Y144" s="235"/>
      <c r="Z144" s="235"/>
    </row>
    <row r="145" spans="16:26" ht="10.199999999999999" customHeight="1">
      <c r="P145" s="256"/>
      <c r="Q145" s="256"/>
      <c r="R145" s="256"/>
      <c r="S145" s="256"/>
      <c r="T145" s="256"/>
      <c r="U145" s="256"/>
      <c r="V145" s="256"/>
      <c r="W145" s="256"/>
      <c r="X145" s="256"/>
      <c r="Y145" s="256"/>
      <c r="Z145" s="256"/>
    </row>
    <row r="146" spans="16:26" ht="10.199999999999999" customHeight="1">
      <c r="P146" s="256"/>
      <c r="Q146" s="256"/>
      <c r="R146" s="256"/>
      <c r="S146" s="256"/>
      <c r="T146" s="256"/>
      <c r="U146" s="256"/>
      <c r="V146" s="256"/>
      <c r="W146" s="256"/>
      <c r="X146" s="256"/>
      <c r="Y146" s="256"/>
      <c r="Z146" s="256"/>
    </row>
    <row r="147" spans="16:26" ht="10.199999999999999" customHeight="1">
      <c r="P147" s="235"/>
      <c r="Q147" s="235"/>
      <c r="R147" s="235"/>
      <c r="S147" s="235"/>
      <c r="T147" s="235"/>
      <c r="U147" s="235"/>
      <c r="V147" s="235"/>
      <c r="W147" s="235"/>
      <c r="X147" s="235"/>
      <c r="Y147" s="235"/>
      <c r="Z147" s="235"/>
    </row>
    <row r="148" spans="16:26" ht="10.199999999999999" customHeight="1">
      <c r="P148" s="256"/>
      <c r="Q148" s="256"/>
      <c r="R148" s="256"/>
      <c r="S148" s="256"/>
      <c r="T148" s="256"/>
      <c r="U148" s="256"/>
      <c r="V148" s="256"/>
      <c r="W148" s="256"/>
      <c r="X148" s="256"/>
      <c r="Y148" s="256"/>
      <c r="Z148" s="256"/>
    </row>
    <row r="149" spans="16:26" ht="10.199999999999999" customHeight="1">
      <c r="P149" s="256"/>
      <c r="Q149" s="256"/>
      <c r="R149" s="256"/>
      <c r="S149" s="256"/>
      <c r="T149" s="256"/>
      <c r="U149" s="256"/>
      <c r="V149" s="256"/>
      <c r="W149" s="256"/>
      <c r="X149" s="256"/>
      <c r="Y149" s="256"/>
      <c r="Z149" s="256"/>
    </row>
    <row r="150" spans="16:26" ht="10.199999999999999" customHeight="1">
      <c r="P150" s="235"/>
      <c r="Q150" s="235"/>
      <c r="R150" s="235"/>
      <c r="S150" s="235"/>
      <c r="T150" s="235"/>
      <c r="U150" s="235"/>
      <c r="V150" s="235"/>
      <c r="W150" s="235"/>
      <c r="X150" s="235"/>
      <c r="Y150" s="235"/>
      <c r="Z150" s="235"/>
    </row>
    <row r="151" spans="16:26" ht="10.199999999999999" customHeight="1">
      <c r="P151" s="256"/>
      <c r="Q151" s="256"/>
      <c r="R151" s="256"/>
      <c r="S151" s="256"/>
      <c r="T151" s="256"/>
      <c r="U151" s="256"/>
      <c r="V151" s="256"/>
      <c r="W151" s="256"/>
      <c r="X151" s="256"/>
      <c r="Y151" s="256"/>
      <c r="Z151" s="256"/>
    </row>
    <row r="152" spans="16:26" ht="10.199999999999999" customHeight="1">
      <c r="P152" s="256"/>
      <c r="Q152" s="256"/>
      <c r="R152" s="256"/>
      <c r="S152" s="256"/>
      <c r="T152" s="256"/>
      <c r="U152" s="256"/>
      <c r="V152" s="256"/>
      <c r="W152" s="256"/>
      <c r="X152" s="256"/>
      <c r="Y152" s="256"/>
      <c r="Z152" s="256"/>
    </row>
    <row r="153" spans="16:26" ht="10.199999999999999" customHeight="1">
      <c r="P153" s="235"/>
      <c r="Q153" s="235"/>
      <c r="R153" s="235"/>
      <c r="S153" s="235"/>
      <c r="T153" s="235"/>
      <c r="U153" s="235"/>
      <c r="V153" s="235"/>
      <c r="W153" s="235"/>
      <c r="X153" s="235"/>
      <c r="Y153" s="235"/>
      <c r="Z153" s="235"/>
    </row>
    <row r="154" spans="16:26" ht="10.199999999999999" customHeight="1">
      <c r="P154" s="256"/>
      <c r="Q154" s="256"/>
      <c r="R154" s="256"/>
      <c r="S154" s="256"/>
      <c r="T154" s="256"/>
      <c r="U154" s="256"/>
      <c r="V154" s="256"/>
      <c r="W154" s="256"/>
      <c r="X154" s="256"/>
      <c r="Y154" s="256"/>
      <c r="Z154" s="256"/>
    </row>
    <row r="155" spans="16:26" ht="10.199999999999999" customHeight="1">
      <c r="P155" s="256"/>
      <c r="Q155" s="256"/>
      <c r="R155" s="256"/>
      <c r="S155" s="256"/>
      <c r="T155" s="256"/>
      <c r="U155" s="256"/>
      <c r="V155" s="256"/>
      <c r="W155" s="256"/>
      <c r="X155" s="256"/>
      <c r="Y155" s="256"/>
      <c r="Z155" s="256"/>
    </row>
    <row r="156" spans="16:26" ht="10.199999999999999" customHeight="1">
      <c r="P156" s="235"/>
      <c r="Q156" s="235"/>
      <c r="R156" s="235"/>
      <c r="S156" s="235"/>
      <c r="T156" s="235"/>
      <c r="U156" s="235"/>
      <c r="V156" s="235"/>
      <c r="W156" s="235"/>
      <c r="X156" s="235"/>
      <c r="Y156" s="235"/>
      <c r="Z156" s="235"/>
    </row>
    <row r="157" spans="16:26" ht="10.199999999999999" customHeight="1">
      <c r="P157" s="256"/>
      <c r="Q157" s="256"/>
      <c r="R157" s="256"/>
      <c r="S157" s="256"/>
      <c r="T157" s="256"/>
      <c r="U157" s="256"/>
      <c r="V157" s="256"/>
      <c r="W157" s="256"/>
      <c r="X157" s="256"/>
      <c r="Y157" s="256"/>
      <c r="Z157" s="256"/>
    </row>
    <row r="158" spans="16:26" ht="10.199999999999999" customHeight="1">
      <c r="P158" s="256"/>
      <c r="Q158" s="256"/>
      <c r="R158" s="256"/>
      <c r="S158" s="256"/>
      <c r="T158" s="256"/>
      <c r="U158" s="256"/>
      <c r="V158" s="256"/>
      <c r="W158" s="256"/>
      <c r="X158" s="256"/>
      <c r="Y158" s="256"/>
      <c r="Z158" s="256"/>
    </row>
    <row r="159" spans="16:26" ht="10.199999999999999" customHeight="1">
      <c r="P159" s="235"/>
      <c r="Q159" s="235"/>
      <c r="R159" s="235"/>
      <c r="S159" s="235"/>
      <c r="T159" s="235"/>
      <c r="U159" s="235"/>
      <c r="V159" s="235"/>
      <c r="W159" s="235"/>
      <c r="X159" s="235"/>
      <c r="Y159" s="235"/>
      <c r="Z159" s="235"/>
    </row>
    <row r="160" spans="16:26" ht="10.199999999999999" customHeight="1">
      <c r="P160" s="256"/>
      <c r="Q160" s="256"/>
      <c r="R160" s="256"/>
      <c r="S160" s="256"/>
      <c r="T160" s="256"/>
      <c r="U160" s="256"/>
      <c r="V160" s="256"/>
      <c r="W160" s="256"/>
      <c r="X160" s="256"/>
      <c r="Y160" s="256"/>
      <c r="Z160" s="256"/>
    </row>
    <row r="161" spans="16:26" ht="10.199999999999999" customHeight="1">
      <c r="P161" s="256"/>
      <c r="Q161" s="256"/>
      <c r="R161" s="256"/>
      <c r="S161" s="256"/>
      <c r="T161" s="256"/>
      <c r="U161" s="256"/>
      <c r="V161" s="256"/>
      <c r="W161" s="256"/>
      <c r="X161" s="256"/>
      <c r="Y161" s="256"/>
      <c r="Z161" s="256"/>
    </row>
    <row r="162" spans="16:26" ht="10.199999999999999" customHeight="1">
      <c r="P162" s="235"/>
      <c r="Q162" s="235"/>
      <c r="R162" s="235"/>
      <c r="S162" s="235"/>
      <c r="T162" s="235"/>
      <c r="U162" s="235"/>
      <c r="V162" s="235"/>
      <c r="W162" s="235"/>
      <c r="X162" s="235"/>
      <c r="Y162" s="235"/>
      <c r="Z162" s="235"/>
    </row>
    <row r="163" spans="16:26" ht="10.199999999999999" customHeight="1">
      <c r="P163" s="256"/>
      <c r="Q163" s="256"/>
      <c r="R163" s="256"/>
      <c r="S163" s="256"/>
      <c r="T163" s="256"/>
      <c r="U163" s="256"/>
      <c r="V163" s="256"/>
      <c r="W163" s="256"/>
      <c r="X163" s="256"/>
      <c r="Y163" s="256"/>
      <c r="Z163" s="256"/>
    </row>
    <row r="164" spans="16:26" ht="10.199999999999999" customHeight="1">
      <c r="P164" s="256"/>
      <c r="Q164" s="256"/>
      <c r="R164" s="256"/>
      <c r="S164" s="256"/>
      <c r="T164" s="256"/>
      <c r="U164" s="256"/>
      <c r="V164" s="256"/>
      <c r="W164" s="256"/>
      <c r="X164" s="256"/>
      <c r="Y164" s="256"/>
      <c r="Z164" s="256"/>
    </row>
    <row r="165" spans="16:26" ht="10.199999999999999" customHeight="1">
      <c r="P165" s="235"/>
      <c r="Q165" s="235"/>
      <c r="R165" s="235"/>
      <c r="S165" s="235"/>
      <c r="T165" s="235"/>
      <c r="U165" s="235"/>
      <c r="V165" s="235"/>
      <c r="W165" s="235"/>
      <c r="X165" s="235"/>
      <c r="Y165" s="235"/>
      <c r="Z165" s="235"/>
    </row>
    <row r="166" spans="16:26" ht="10.199999999999999" customHeight="1">
      <c r="P166" s="256"/>
      <c r="Q166" s="256"/>
      <c r="R166" s="256"/>
      <c r="S166" s="256"/>
      <c r="T166" s="256"/>
      <c r="U166" s="256"/>
      <c r="V166" s="256"/>
      <c r="W166" s="256"/>
      <c r="X166" s="256"/>
      <c r="Y166" s="256"/>
      <c r="Z166" s="256"/>
    </row>
    <row r="167" spans="16:26" ht="10.199999999999999" customHeight="1">
      <c r="P167" s="256"/>
      <c r="Q167" s="256"/>
      <c r="R167" s="256"/>
      <c r="S167" s="256"/>
      <c r="T167" s="256"/>
      <c r="U167" s="256"/>
      <c r="V167" s="256"/>
      <c r="W167" s="256"/>
      <c r="X167" s="256"/>
      <c r="Y167" s="256"/>
      <c r="Z167" s="256"/>
    </row>
    <row r="168" spans="16:26" ht="10.199999999999999" customHeight="1">
      <c r="P168" s="235"/>
      <c r="Q168" s="235"/>
      <c r="R168" s="235"/>
      <c r="S168" s="235"/>
      <c r="T168" s="235"/>
      <c r="U168" s="235"/>
      <c r="V168" s="235"/>
      <c r="W168" s="235"/>
      <c r="X168" s="235"/>
      <c r="Y168" s="235"/>
      <c r="Z168" s="235"/>
    </row>
    <row r="169" spans="16:26" ht="10.199999999999999" customHeight="1">
      <c r="P169" s="256"/>
      <c r="Q169" s="256"/>
      <c r="R169" s="256"/>
      <c r="S169" s="256"/>
      <c r="T169" s="256"/>
      <c r="U169" s="256"/>
      <c r="V169" s="256"/>
      <c r="W169" s="256"/>
      <c r="X169" s="256"/>
      <c r="Y169" s="256"/>
      <c r="Z169" s="256"/>
    </row>
    <row r="170" spans="16:26" ht="10.199999999999999" customHeight="1">
      <c r="P170" s="256"/>
      <c r="Q170" s="256"/>
      <c r="R170" s="256"/>
      <c r="S170" s="256"/>
      <c r="T170" s="256"/>
      <c r="U170" s="256"/>
      <c r="V170" s="256"/>
      <c r="W170" s="256"/>
      <c r="X170" s="256"/>
      <c r="Y170" s="256"/>
      <c r="Z170" s="256"/>
    </row>
    <row r="171" spans="16:26" ht="10.199999999999999" customHeight="1">
      <c r="P171" s="235"/>
      <c r="Q171" s="235"/>
      <c r="R171" s="235"/>
      <c r="S171" s="235"/>
      <c r="T171" s="235"/>
      <c r="U171" s="235"/>
      <c r="V171" s="235"/>
      <c r="W171" s="235"/>
      <c r="X171" s="235"/>
      <c r="Y171" s="235"/>
      <c r="Z171" s="235"/>
    </row>
    <row r="172" spans="16:26" ht="10.199999999999999" customHeight="1">
      <c r="P172" s="256"/>
      <c r="Q172" s="256"/>
      <c r="R172" s="256"/>
      <c r="S172" s="256"/>
      <c r="T172" s="256"/>
      <c r="U172" s="256"/>
      <c r="V172" s="256"/>
      <c r="W172" s="256"/>
      <c r="X172" s="256"/>
      <c r="Y172" s="256"/>
      <c r="Z172" s="256"/>
    </row>
    <row r="173" spans="16:26" ht="10.199999999999999" customHeight="1">
      <c r="P173" s="256"/>
      <c r="Q173" s="256"/>
      <c r="R173" s="256"/>
      <c r="S173" s="256"/>
      <c r="T173" s="256"/>
      <c r="U173" s="256"/>
      <c r="V173" s="256"/>
      <c r="W173" s="256"/>
      <c r="X173" s="256"/>
      <c r="Y173" s="256"/>
      <c r="Z173" s="256"/>
    </row>
    <row r="174" spans="16:26" ht="10.199999999999999" customHeight="1">
      <c r="P174" s="235"/>
      <c r="Q174" s="235"/>
      <c r="R174" s="235"/>
      <c r="S174" s="235"/>
      <c r="T174" s="235"/>
      <c r="U174" s="235"/>
      <c r="V174" s="235"/>
      <c r="W174" s="235"/>
      <c r="X174" s="235"/>
      <c r="Y174" s="235"/>
      <c r="Z174" s="235"/>
    </row>
    <row r="175" spans="16:26" ht="10.199999999999999" customHeight="1">
      <c r="P175" s="256"/>
      <c r="Q175" s="256"/>
      <c r="R175" s="256"/>
      <c r="S175" s="256"/>
      <c r="T175" s="256"/>
      <c r="U175" s="256"/>
      <c r="V175" s="256"/>
      <c r="W175" s="256"/>
      <c r="X175" s="256"/>
      <c r="Y175" s="256"/>
      <c r="Z175" s="256"/>
    </row>
    <row r="176" spans="16:26" ht="10.199999999999999" customHeight="1">
      <c r="P176" s="256"/>
      <c r="Q176" s="256"/>
      <c r="R176" s="256"/>
      <c r="S176" s="256"/>
      <c r="T176" s="256"/>
      <c r="U176" s="256"/>
      <c r="V176" s="256"/>
      <c r="W176" s="256"/>
      <c r="X176" s="256"/>
      <c r="Y176" s="256"/>
      <c r="Z176" s="256"/>
    </row>
    <row r="177" spans="16:26" ht="10.199999999999999" customHeight="1">
      <c r="P177" s="235"/>
      <c r="Q177" s="235"/>
      <c r="R177" s="235"/>
      <c r="S177" s="235"/>
      <c r="T177" s="235"/>
      <c r="U177" s="235"/>
      <c r="V177" s="235"/>
      <c r="W177" s="235"/>
      <c r="X177" s="235"/>
      <c r="Y177" s="235"/>
      <c r="Z177" s="235"/>
    </row>
    <row r="178" spans="16:26" ht="10.199999999999999" customHeight="1">
      <c r="P178" s="256"/>
      <c r="Q178" s="256"/>
      <c r="R178" s="256"/>
      <c r="S178" s="256"/>
      <c r="T178" s="256"/>
      <c r="U178" s="256"/>
      <c r="V178" s="256"/>
      <c r="W178" s="256"/>
      <c r="X178" s="256"/>
      <c r="Y178" s="256"/>
      <c r="Z178" s="256"/>
    </row>
    <row r="179" spans="16:26" ht="10.199999999999999" customHeight="1">
      <c r="P179" s="256"/>
      <c r="Q179" s="256"/>
      <c r="R179" s="256"/>
      <c r="S179" s="256"/>
      <c r="T179" s="256"/>
      <c r="U179" s="256"/>
      <c r="V179" s="256"/>
      <c r="W179" s="256"/>
      <c r="X179" s="256"/>
      <c r="Y179" s="256"/>
      <c r="Z179" s="256"/>
    </row>
    <row r="180" spans="16:26" ht="10.199999999999999" customHeight="1">
      <c r="P180" s="235"/>
      <c r="Q180" s="235"/>
      <c r="R180" s="235"/>
      <c r="S180" s="235"/>
      <c r="T180" s="235"/>
      <c r="U180" s="235"/>
      <c r="V180" s="235"/>
      <c r="W180" s="235"/>
      <c r="X180" s="235"/>
      <c r="Y180" s="235"/>
      <c r="Z180" s="235"/>
    </row>
    <row r="181" spans="16:26" ht="10.199999999999999" customHeight="1">
      <c r="P181" s="256"/>
      <c r="Q181" s="256"/>
      <c r="R181" s="256"/>
      <c r="S181" s="256"/>
      <c r="T181" s="256"/>
      <c r="U181" s="256"/>
      <c r="V181" s="256"/>
      <c r="W181" s="256"/>
      <c r="X181" s="256"/>
      <c r="Y181" s="256"/>
      <c r="Z181" s="256"/>
    </row>
    <row r="182" spans="16:26" ht="10.199999999999999" customHeight="1">
      <c r="P182" s="256"/>
      <c r="Q182" s="256"/>
      <c r="R182" s="256"/>
      <c r="S182" s="256"/>
      <c r="T182" s="256"/>
      <c r="U182" s="256"/>
      <c r="V182" s="256"/>
      <c r="W182" s="256"/>
      <c r="X182" s="256"/>
      <c r="Y182" s="256"/>
      <c r="Z182" s="256"/>
    </row>
    <row r="183" spans="16:26" ht="10.199999999999999" customHeight="1">
      <c r="P183" s="235"/>
      <c r="Q183" s="235"/>
      <c r="R183" s="235"/>
      <c r="S183" s="235"/>
      <c r="T183" s="235"/>
      <c r="U183" s="235"/>
      <c r="V183" s="235"/>
      <c r="W183" s="235"/>
      <c r="X183" s="235"/>
      <c r="Y183" s="235"/>
      <c r="Z183" s="235"/>
    </row>
    <row r="184" spans="16:26" ht="10.199999999999999" customHeight="1">
      <c r="P184" s="256"/>
      <c r="Q184" s="256"/>
      <c r="R184" s="256"/>
      <c r="S184" s="256"/>
      <c r="T184" s="256"/>
      <c r="U184" s="256"/>
      <c r="V184" s="256"/>
      <c r="W184" s="256"/>
      <c r="X184" s="256"/>
      <c r="Y184" s="256"/>
      <c r="Z184" s="256"/>
    </row>
    <row r="185" spans="16:26" ht="10.199999999999999" customHeight="1">
      <c r="P185" s="256"/>
      <c r="Q185" s="256"/>
      <c r="R185" s="256"/>
      <c r="S185" s="256"/>
      <c r="T185" s="256"/>
      <c r="U185" s="256"/>
      <c r="V185" s="256"/>
      <c r="W185" s="256"/>
      <c r="X185" s="256"/>
      <c r="Y185" s="256"/>
      <c r="Z185" s="256"/>
    </row>
    <row r="186" spans="16:26" ht="10.199999999999999" customHeight="1">
      <c r="P186" s="235"/>
      <c r="Q186" s="235"/>
      <c r="R186" s="235"/>
      <c r="S186" s="235"/>
      <c r="T186" s="235"/>
      <c r="U186" s="235"/>
      <c r="V186" s="235"/>
      <c r="W186" s="235"/>
      <c r="X186" s="235"/>
      <c r="Y186" s="235"/>
      <c r="Z186" s="235"/>
    </row>
    <row r="187" spans="16:26" ht="10.199999999999999" customHeight="1">
      <c r="P187" s="256"/>
      <c r="Q187" s="256"/>
      <c r="R187" s="256"/>
      <c r="S187" s="256"/>
      <c r="T187" s="256"/>
      <c r="U187" s="256"/>
      <c r="V187" s="256"/>
      <c r="W187" s="256"/>
      <c r="X187" s="256"/>
      <c r="Y187" s="256"/>
      <c r="Z187" s="256"/>
    </row>
    <row r="188" spans="16:26" ht="10.199999999999999" customHeight="1">
      <c r="P188" s="256"/>
      <c r="Q188" s="256"/>
      <c r="R188" s="256"/>
      <c r="S188" s="256"/>
      <c r="T188" s="256"/>
      <c r="U188" s="256"/>
      <c r="V188" s="256"/>
      <c r="W188" s="256"/>
      <c r="X188" s="256"/>
      <c r="Y188" s="256"/>
      <c r="Z188" s="256"/>
    </row>
    <row r="189" spans="16:26" ht="10.199999999999999" customHeight="1">
      <c r="P189" s="235"/>
      <c r="Q189" s="235"/>
      <c r="R189" s="235"/>
      <c r="S189" s="235"/>
      <c r="T189" s="235"/>
      <c r="U189" s="235"/>
      <c r="V189" s="235"/>
      <c r="W189" s="235"/>
      <c r="X189" s="235"/>
      <c r="Y189" s="235"/>
      <c r="Z189" s="235"/>
    </row>
    <row r="190" spans="16:26" ht="10.199999999999999" customHeight="1">
      <c r="P190" s="256"/>
      <c r="Q190" s="256"/>
      <c r="R190" s="256"/>
      <c r="S190" s="256"/>
      <c r="T190" s="256"/>
      <c r="U190" s="256"/>
      <c r="V190" s="256"/>
      <c r="W190" s="256"/>
      <c r="X190" s="256"/>
      <c r="Y190" s="256"/>
      <c r="Z190" s="256"/>
    </row>
    <row r="191" spans="16:26" ht="10.199999999999999" customHeight="1">
      <c r="P191" s="256"/>
      <c r="Q191" s="256"/>
      <c r="R191" s="256"/>
      <c r="S191" s="256"/>
      <c r="T191" s="256"/>
      <c r="U191" s="256"/>
      <c r="V191" s="256"/>
      <c r="W191" s="256"/>
      <c r="X191" s="256"/>
      <c r="Y191" s="256"/>
      <c r="Z191" s="256"/>
    </row>
    <row r="192" spans="16:26" ht="10.199999999999999" customHeight="1">
      <c r="P192" s="235"/>
      <c r="Q192" s="235"/>
      <c r="R192" s="235"/>
      <c r="S192" s="235"/>
      <c r="T192" s="235"/>
      <c r="U192" s="235"/>
      <c r="V192" s="235"/>
      <c r="W192" s="235"/>
      <c r="X192" s="235"/>
      <c r="Y192" s="235"/>
      <c r="Z192" s="235"/>
    </row>
    <row r="193" spans="16:26" ht="10.199999999999999" customHeight="1">
      <c r="P193" s="256"/>
      <c r="Q193" s="256"/>
      <c r="R193" s="256"/>
      <c r="S193" s="256"/>
      <c r="T193" s="256"/>
      <c r="U193" s="256"/>
      <c r="V193" s="256"/>
      <c r="W193" s="256"/>
      <c r="X193" s="256"/>
      <c r="Y193" s="256"/>
      <c r="Z193" s="256"/>
    </row>
    <row r="194" spans="16:26" ht="10.199999999999999" customHeight="1">
      <c r="P194" s="256"/>
      <c r="Q194" s="256"/>
      <c r="R194" s="256"/>
      <c r="S194" s="256"/>
      <c r="T194" s="256"/>
      <c r="U194" s="256"/>
      <c r="V194" s="256"/>
      <c r="W194" s="256"/>
      <c r="X194" s="256"/>
      <c r="Y194" s="256"/>
      <c r="Z194" s="256"/>
    </row>
    <row r="195" spans="16:26" ht="10.199999999999999" customHeight="1">
      <c r="P195" s="235"/>
      <c r="Q195" s="235"/>
      <c r="R195" s="235"/>
      <c r="S195" s="235"/>
      <c r="T195" s="235"/>
      <c r="U195" s="235"/>
      <c r="V195" s="235"/>
      <c r="W195" s="235"/>
      <c r="X195" s="235"/>
      <c r="Y195" s="235"/>
      <c r="Z195" s="235"/>
    </row>
    <row r="196" spans="16:26" ht="10.199999999999999" customHeight="1">
      <c r="P196" s="256"/>
      <c r="Q196" s="256"/>
      <c r="R196" s="256"/>
      <c r="S196" s="256"/>
      <c r="T196" s="256"/>
      <c r="U196" s="256"/>
      <c r="V196" s="256"/>
      <c r="W196" s="256"/>
      <c r="X196" s="256"/>
      <c r="Y196" s="256"/>
      <c r="Z196" s="256"/>
    </row>
    <row r="197" spans="16:26" ht="10.199999999999999" customHeight="1">
      <c r="P197" s="256"/>
      <c r="Q197" s="256"/>
      <c r="R197" s="256"/>
      <c r="S197" s="256"/>
      <c r="T197" s="256"/>
      <c r="U197" s="256"/>
      <c r="V197" s="256"/>
      <c r="W197" s="256"/>
      <c r="X197" s="256"/>
      <c r="Y197" s="256"/>
      <c r="Z197" s="256"/>
    </row>
    <row r="198" spans="16:26" ht="10.199999999999999" customHeight="1">
      <c r="P198" s="235"/>
      <c r="Q198" s="235"/>
      <c r="R198" s="235"/>
      <c r="S198" s="235"/>
      <c r="T198" s="235"/>
      <c r="U198" s="235"/>
      <c r="V198" s="235"/>
      <c r="W198" s="235"/>
      <c r="X198" s="235"/>
      <c r="Y198" s="235"/>
      <c r="Z198" s="235"/>
    </row>
    <row r="199" spans="16:26" ht="10.199999999999999" customHeight="1">
      <c r="P199" s="256"/>
      <c r="Q199" s="256"/>
      <c r="R199" s="256"/>
      <c r="S199" s="256"/>
      <c r="T199" s="256"/>
      <c r="U199" s="256"/>
      <c r="V199" s="256"/>
      <c r="W199" s="256"/>
      <c r="X199" s="256"/>
      <c r="Y199" s="256"/>
      <c r="Z199" s="256"/>
    </row>
    <row r="200" spans="16:26" ht="10.199999999999999" customHeight="1">
      <c r="P200" s="256"/>
      <c r="Q200" s="256"/>
      <c r="R200" s="256"/>
      <c r="S200" s="256"/>
      <c r="T200" s="256"/>
      <c r="U200" s="256"/>
      <c r="V200" s="256"/>
      <c r="W200" s="256"/>
      <c r="X200" s="256"/>
      <c r="Y200" s="256"/>
      <c r="Z200" s="256"/>
    </row>
    <row r="201" spans="16:26" ht="10.199999999999999" customHeight="1">
      <c r="P201" s="235"/>
      <c r="Q201" s="235"/>
      <c r="R201" s="235"/>
      <c r="S201" s="235"/>
      <c r="T201" s="235"/>
      <c r="U201" s="235"/>
      <c r="V201" s="235"/>
      <c r="W201" s="235"/>
      <c r="X201" s="235"/>
      <c r="Y201" s="235"/>
      <c r="Z201" s="235"/>
    </row>
    <row r="202" spans="16:26" ht="10.199999999999999" customHeight="1">
      <c r="P202" s="256"/>
      <c r="Q202" s="256"/>
      <c r="R202" s="256"/>
      <c r="S202" s="256"/>
      <c r="T202" s="256"/>
      <c r="U202" s="256"/>
      <c r="V202" s="256"/>
      <c r="W202" s="256"/>
      <c r="X202" s="256"/>
      <c r="Y202" s="256"/>
      <c r="Z202" s="256"/>
    </row>
    <row r="203" spans="16:26" ht="10.199999999999999" customHeight="1">
      <c r="P203" s="256"/>
      <c r="Q203" s="256"/>
      <c r="R203" s="256"/>
      <c r="S203" s="256"/>
      <c r="T203" s="256"/>
      <c r="U203" s="256"/>
      <c r="V203" s="256"/>
      <c r="W203" s="256"/>
      <c r="X203" s="256"/>
      <c r="Y203" s="256"/>
      <c r="Z203" s="256"/>
    </row>
    <row r="204" spans="16:26" ht="10.199999999999999" customHeight="1">
      <c r="P204" s="235"/>
      <c r="Q204" s="235"/>
      <c r="R204" s="235"/>
      <c r="S204" s="235"/>
      <c r="T204" s="235"/>
      <c r="U204" s="235"/>
      <c r="V204" s="235"/>
      <c r="W204" s="235"/>
      <c r="X204" s="235"/>
      <c r="Y204" s="235"/>
      <c r="Z204" s="235"/>
    </row>
    <row r="205" spans="16:26" ht="10.199999999999999" customHeight="1">
      <c r="P205" s="256"/>
      <c r="Q205" s="256"/>
      <c r="R205" s="256"/>
      <c r="S205" s="256"/>
      <c r="T205" s="256"/>
      <c r="U205" s="256"/>
      <c r="V205" s="256"/>
      <c r="W205" s="256"/>
      <c r="X205" s="256"/>
      <c r="Y205" s="256"/>
      <c r="Z205" s="256"/>
    </row>
    <row r="206" spans="16:26" ht="10.199999999999999" customHeight="1">
      <c r="P206" s="256"/>
      <c r="Q206" s="256"/>
      <c r="R206" s="256"/>
      <c r="S206" s="256"/>
      <c r="T206" s="256"/>
      <c r="U206" s="256"/>
      <c r="V206" s="256"/>
      <c r="W206" s="256"/>
      <c r="X206" s="256"/>
      <c r="Y206" s="256"/>
      <c r="Z206" s="256"/>
    </row>
    <row r="207" spans="16:26" ht="10.199999999999999" customHeight="1">
      <c r="P207" s="235"/>
      <c r="Q207" s="235"/>
      <c r="R207" s="235"/>
      <c r="S207" s="235"/>
      <c r="T207" s="235"/>
      <c r="U207" s="235"/>
      <c r="V207" s="235"/>
      <c r="W207" s="235"/>
      <c r="X207" s="235"/>
      <c r="Y207" s="235"/>
      <c r="Z207" s="235"/>
    </row>
    <row r="208" spans="16:26" ht="10.199999999999999" customHeight="1">
      <c r="P208" s="256"/>
      <c r="Q208" s="256"/>
      <c r="R208" s="256"/>
      <c r="S208" s="256"/>
      <c r="T208" s="256"/>
      <c r="U208" s="256"/>
      <c r="V208" s="256"/>
      <c r="W208" s="256"/>
      <c r="X208" s="256"/>
      <c r="Y208" s="256"/>
      <c r="Z208" s="256"/>
    </row>
    <row r="209" spans="16:26" ht="10.199999999999999" customHeight="1">
      <c r="P209" s="256"/>
      <c r="Q209" s="256"/>
      <c r="R209" s="256"/>
      <c r="S209" s="256"/>
      <c r="T209" s="256"/>
      <c r="U209" s="256"/>
      <c r="V209" s="256"/>
      <c r="W209" s="256"/>
      <c r="X209" s="256"/>
      <c r="Y209" s="256"/>
      <c r="Z209" s="256"/>
    </row>
    <row r="210" spans="16:26" ht="10.199999999999999" customHeight="1">
      <c r="P210" s="235"/>
      <c r="Q210" s="235"/>
      <c r="R210" s="235"/>
      <c r="S210" s="235"/>
      <c r="T210" s="235"/>
      <c r="U210" s="235"/>
      <c r="V210" s="235"/>
      <c r="W210" s="235"/>
      <c r="X210" s="235"/>
      <c r="Y210" s="235"/>
      <c r="Z210" s="235"/>
    </row>
    <row r="211" spans="16:26" ht="10.199999999999999" customHeight="1">
      <c r="P211" s="256"/>
      <c r="Q211" s="256"/>
      <c r="R211" s="256"/>
      <c r="S211" s="256"/>
      <c r="T211" s="256"/>
      <c r="U211" s="256"/>
      <c r="V211" s="256"/>
      <c r="W211" s="256"/>
      <c r="X211" s="256"/>
      <c r="Y211" s="256"/>
      <c r="Z211" s="256"/>
    </row>
    <row r="212" spans="16:26" ht="10.199999999999999" customHeight="1">
      <c r="P212" s="256"/>
      <c r="Q212" s="256"/>
      <c r="R212" s="256"/>
      <c r="S212" s="256"/>
      <c r="T212" s="256"/>
      <c r="U212" s="256"/>
      <c r="V212" s="256"/>
      <c r="W212" s="256"/>
      <c r="X212" s="256"/>
      <c r="Y212" s="256"/>
      <c r="Z212" s="256"/>
    </row>
    <row r="213" spans="16:26" ht="10.199999999999999" customHeight="1">
      <c r="P213" s="235"/>
      <c r="Q213" s="235"/>
      <c r="R213" s="235"/>
      <c r="S213" s="235"/>
      <c r="T213" s="235"/>
      <c r="U213" s="235"/>
      <c r="V213" s="235"/>
      <c r="W213" s="235"/>
      <c r="X213" s="235"/>
      <c r="Y213" s="235"/>
      <c r="Z213" s="235"/>
    </row>
    <row r="214" spans="16:26" ht="10.199999999999999" customHeight="1">
      <c r="P214" s="256"/>
      <c r="Q214" s="256"/>
      <c r="R214" s="256"/>
      <c r="S214" s="256"/>
      <c r="T214" s="256"/>
      <c r="U214" s="256"/>
      <c r="V214" s="256"/>
      <c r="W214" s="256"/>
      <c r="X214" s="256"/>
      <c r="Y214" s="256"/>
      <c r="Z214" s="256"/>
    </row>
    <row r="215" spans="16:26" ht="10.199999999999999" customHeight="1">
      <c r="P215" s="256"/>
      <c r="Q215" s="256"/>
      <c r="R215" s="256"/>
      <c r="S215" s="256"/>
      <c r="T215" s="256"/>
      <c r="U215" s="256"/>
      <c r="V215" s="256"/>
      <c r="W215" s="256"/>
      <c r="X215" s="256"/>
      <c r="Y215" s="256"/>
      <c r="Z215" s="256"/>
    </row>
    <row r="216" spans="16:26" ht="10.199999999999999" customHeight="1">
      <c r="P216" s="235"/>
      <c r="Q216" s="235"/>
      <c r="R216" s="235"/>
      <c r="S216" s="235"/>
      <c r="T216" s="235"/>
      <c r="U216" s="235"/>
      <c r="V216" s="235"/>
      <c r="W216" s="235"/>
      <c r="X216" s="235"/>
      <c r="Y216" s="235"/>
      <c r="Z216" s="235"/>
    </row>
    <row r="217" spans="16:26" ht="10.199999999999999" customHeight="1">
      <c r="P217" s="256"/>
      <c r="Q217" s="256"/>
      <c r="R217" s="256"/>
      <c r="S217" s="256"/>
      <c r="T217" s="256"/>
      <c r="U217" s="256"/>
      <c r="V217" s="256"/>
      <c r="W217" s="256"/>
      <c r="X217" s="256"/>
      <c r="Y217" s="256"/>
      <c r="Z217" s="256"/>
    </row>
    <row r="218" spans="16:26" ht="10.199999999999999" customHeight="1">
      <c r="P218" s="256"/>
      <c r="Q218" s="256"/>
      <c r="R218" s="256"/>
      <c r="S218" s="256"/>
      <c r="T218" s="256"/>
      <c r="U218" s="256"/>
      <c r="V218" s="256"/>
      <c r="W218" s="256"/>
      <c r="X218" s="256"/>
      <c r="Y218" s="256"/>
      <c r="Z218" s="256"/>
    </row>
    <row r="219" spans="16:26" ht="10.199999999999999" customHeight="1">
      <c r="P219" s="235"/>
      <c r="Q219" s="235"/>
      <c r="R219" s="235"/>
      <c r="S219" s="235"/>
      <c r="T219" s="235"/>
      <c r="U219" s="235"/>
      <c r="V219" s="235"/>
      <c r="W219" s="235"/>
      <c r="X219" s="235"/>
      <c r="Y219" s="235"/>
      <c r="Z219" s="235"/>
    </row>
    <row r="220" spans="16:26" ht="10.199999999999999" customHeight="1">
      <c r="P220" s="256"/>
      <c r="Q220" s="256"/>
      <c r="R220" s="256"/>
      <c r="S220" s="256"/>
      <c r="T220" s="256"/>
      <c r="U220" s="256"/>
      <c r="V220" s="256"/>
      <c r="W220" s="256"/>
      <c r="X220" s="256"/>
      <c r="Y220" s="256"/>
      <c r="Z220" s="256"/>
    </row>
    <row r="221" spans="16:26" ht="10.199999999999999" customHeight="1">
      <c r="P221" s="256"/>
      <c r="Q221" s="256"/>
      <c r="R221" s="256"/>
      <c r="S221" s="256"/>
      <c r="T221" s="256"/>
      <c r="U221" s="256"/>
      <c r="V221" s="256"/>
      <c r="W221" s="256"/>
      <c r="X221" s="256"/>
      <c r="Y221" s="256"/>
      <c r="Z221" s="256"/>
    </row>
    <row r="222" spans="16:26" ht="10.199999999999999" customHeight="1">
      <c r="P222" s="235"/>
      <c r="Q222" s="235"/>
      <c r="R222" s="235"/>
      <c r="S222" s="235"/>
      <c r="T222" s="235"/>
      <c r="U222" s="235"/>
      <c r="V222" s="235"/>
      <c r="W222" s="235"/>
      <c r="X222" s="235"/>
      <c r="Y222" s="235"/>
      <c r="Z222" s="235"/>
    </row>
    <row r="223" spans="16:26" ht="10.199999999999999" customHeight="1">
      <c r="P223" s="256"/>
      <c r="Q223" s="256"/>
      <c r="R223" s="256"/>
      <c r="S223" s="256"/>
      <c r="T223" s="256"/>
      <c r="U223" s="256"/>
      <c r="V223" s="256"/>
      <c r="W223" s="256"/>
      <c r="X223" s="256"/>
      <c r="Y223" s="256"/>
      <c r="Z223" s="256"/>
    </row>
    <row r="224" spans="16:26" ht="10.199999999999999" customHeight="1">
      <c r="P224" s="256"/>
      <c r="Q224" s="256"/>
      <c r="R224" s="256"/>
      <c r="S224" s="256"/>
      <c r="T224" s="256"/>
      <c r="U224" s="256"/>
      <c r="V224" s="256"/>
      <c r="W224" s="256"/>
      <c r="X224" s="256"/>
      <c r="Y224" s="256"/>
      <c r="Z224" s="256"/>
    </row>
    <row r="225" spans="16:26" ht="10.199999999999999" customHeight="1">
      <c r="P225" s="235"/>
      <c r="Q225" s="235"/>
      <c r="R225" s="235"/>
      <c r="S225" s="235"/>
      <c r="T225" s="235"/>
      <c r="U225" s="235"/>
      <c r="V225" s="235"/>
      <c r="W225" s="235"/>
      <c r="X225" s="235"/>
      <c r="Y225" s="235"/>
      <c r="Z225" s="235"/>
    </row>
    <row r="226" spans="16:26" ht="10.199999999999999" customHeight="1">
      <c r="P226" s="256"/>
      <c r="Q226" s="256"/>
      <c r="R226" s="256"/>
      <c r="S226" s="256"/>
      <c r="T226" s="256"/>
      <c r="U226" s="256"/>
      <c r="V226" s="256"/>
      <c r="W226" s="256"/>
      <c r="X226" s="256"/>
      <c r="Y226" s="256"/>
      <c r="Z226" s="256"/>
    </row>
    <row r="227" spans="16:26" ht="10.199999999999999" customHeight="1">
      <c r="P227" s="256"/>
      <c r="Q227" s="256"/>
      <c r="R227" s="256"/>
      <c r="S227" s="256"/>
      <c r="T227" s="256"/>
      <c r="U227" s="256"/>
      <c r="V227" s="256"/>
      <c r="W227" s="256"/>
      <c r="X227" s="256"/>
      <c r="Y227" s="256"/>
      <c r="Z227" s="256"/>
    </row>
    <row r="228" spans="16:26" ht="10.199999999999999" customHeight="1">
      <c r="P228" s="235"/>
      <c r="Q228" s="235"/>
      <c r="R228" s="235"/>
      <c r="S228" s="235"/>
      <c r="T228" s="235"/>
      <c r="U228" s="235"/>
      <c r="V228" s="235"/>
      <c r="W228" s="235"/>
      <c r="X228" s="235"/>
      <c r="Y228" s="235"/>
      <c r="Z228" s="235"/>
    </row>
    <row r="229" spans="16:26" ht="10.199999999999999" customHeight="1">
      <c r="P229" s="256"/>
      <c r="Q229" s="256"/>
      <c r="R229" s="256"/>
      <c r="S229" s="256"/>
      <c r="T229" s="256"/>
      <c r="U229" s="256"/>
      <c r="V229" s="256"/>
      <c r="W229" s="256"/>
      <c r="X229" s="256"/>
      <c r="Y229" s="256"/>
      <c r="Z229" s="256"/>
    </row>
    <row r="230" spans="16:26" ht="10.199999999999999" customHeight="1">
      <c r="P230" s="256"/>
      <c r="Q230" s="256"/>
      <c r="R230" s="256"/>
      <c r="S230" s="256"/>
      <c r="T230" s="256"/>
      <c r="U230" s="256"/>
      <c r="V230" s="256"/>
      <c r="W230" s="256"/>
      <c r="X230" s="256"/>
      <c r="Y230" s="256"/>
      <c r="Z230" s="256"/>
    </row>
    <row r="231" spans="16:26" ht="10.199999999999999" customHeight="1">
      <c r="P231" s="235"/>
      <c r="Q231" s="235"/>
      <c r="R231" s="235"/>
      <c r="S231" s="235"/>
      <c r="T231" s="235"/>
      <c r="U231" s="235"/>
      <c r="V231" s="235"/>
      <c r="W231" s="235"/>
      <c r="X231" s="235"/>
      <c r="Y231" s="235"/>
      <c r="Z231" s="235"/>
    </row>
    <row r="232" spans="16:26" ht="10.199999999999999" customHeight="1">
      <c r="P232" s="256"/>
      <c r="Q232" s="256"/>
      <c r="R232" s="256"/>
      <c r="S232" s="256"/>
      <c r="T232" s="256"/>
      <c r="U232" s="256"/>
      <c r="V232" s="256"/>
      <c r="W232" s="256"/>
      <c r="X232" s="256"/>
      <c r="Y232" s="256"/>
      <c r="Z232" s="256"/>
    </row>
    <row r="233" spans="16:26" ht="10.199999999999999" customHeight="1">
      <c r="P233" s="256"/>
      <c r="Q233" s="256"/>
      <c r="R233" s="256"/>
      <c r="S233" s="256"/>
      <c r="T233" s="256"/>
      <c r="U233" s="256"/>
      <c r="V233" s="256"/>
      <c r="W233" s="256"/>
      <c r="X233" s="256"/>
      <c r="Y233" s="256"/>
      <c r="Z233" s="256"/>
    </row>
    <row r="234" spans="16:26" ht="10.199999999999999" customHeight="1">
      <c r="P234" s="235"/>
      <c r="Q234" s="235"/>
      <c r="R234" s="235"/>
      <c r="S234" s="235"/>
      <c r="T234" s="235"/>
      <c r="U234" s="235"/>
      <c r="V234" s="235"/>
      <c r="W234" s="235"/>
      <c r="X234" s="235"/>
      <c r="Y234" s="235"/>
      <c r="Z234" s="235"/>
    </row>
    <row r="235" spans="16:26" ht="10.199999999999999" customHeight="1">
      <c r="P235" s="256"/>
      <c r="Q235" s="256"/>
      <c r="R235" s="256"/>
      <c r="S235" s="256"/>
      <c r="T235" s="256"/>
      <c r="U235" s="256"/>
      <c r="V235" s="256"/>
      <c r="W235" s="256"/>
      <c r="X235" s="256"/>
      <c r="Y235" s="256"/>
      <c r="Z235" s="256"/>
    </row>
    <row r="236" spans="16:26" ht="10.199999999999999" customHeight="1">
      <c r="P236" s="256"/>
      <c r="Q236" s="256"/>
      <c r="R236" s="256"/>
      <c r="S236" s="256"/>
      <c r="T236" s="256"/>
      <c r="U236" s="256"/>
      <c r="V236" s="256"/>
      <c r="W236" s="256"/>
      <c r="X236" s="256"/>
      <c r="Y236" s="256"/>
      <c r="Z236" s="256"/>
    </row>
    <row r="237" spans="16:26" ht="10.199999999999999" customHeight="1">
      <c r="P237" s="235"/>
      <c r="Q237" s="235"/>
      <c r="R237" s="235"/>
      <c r="S237" s="235"/>
      <c r="T237" s="235"/>
      <c r="U237" s="235"/>
      <c r="V237" s="235"/>
      <c r="W237" s="235"/>
      <c r="X237" s="235"/>
      <c r="Y237" s="235"/>
      <c r="Z237" s="235"/>
    </row>
    <row r="238" spans="16:26" ht="10.199999999999999" customHeight="1">
      <c r="P238" s="256"/>
      <c r="Q238" s="256"/>
      <c r="R238" s="256"/>
      <c r="S238" s="256"/>
      <c r="T238" s="256"/>
      <c r="U238" s="256"/>
      <c r="V238" s="256"/>
      <c r="W238" s="256"/>
      <c r="X238" s="256"/>
      <c r="Y238" s="256"/>
      <c r="Z238" s="256"/>
    </row>
    <row r="239" spans="16:26" ht="10.199999999999999" customHeight="1">
      <c r="P239" s="256"/>
      <c r="Q239" s="256"/>
      <c r="R239" s="256"/>
      <c r="S239" s="256"/>
      <c r="T239" s="256"/>
      <c r="U239" s="256"/>
      <c r="V239" s="256"/>
      <c r="W239" s="256"/>
      <c r="X239" s="256"/>
      <c r="Y239" s="256"/>
      <c r="Z239" s="256"/>
    </row>
    <row r="240" spans="16:26" ht="10.199999999999999" customHeight="1">
      <c r="P240" s="235"/>
      <c r="Q240" s="235"/>
      <c r="R240" s="235"/>
      <c r="S240" s="235"/>
      <c r="T240" s="235"/>
      <c r="U240" s="235"/>
      <c r="V240" s="235"/>
      <c r="W240" s="235"/>
      <c r="X240" s="235"/>
      <c r="Y240" s="235"/>
      <c r="Z240" s="235"/>
    </row>
    <row r="241" spans="16:26" ht="10.199999999999999" customHeight="1">
      <c r="P241" s="256"/>
      <c r="Q241" s="256"/>
      <c r="R241" s="256"/>
      <c r="S241" s="256"/>
      <c r="T241" s="256"/>
      <c r="U241" s="256"/>
      <c r="V241" s="256"/>
      <c r="W241" s="256"/>
      <c r="X241" s="256"/>
      <c r="Y241" s="256"/>
      <c r="Z241" s="256"/>
    </row>
    <row r="242" spans="16:26" ht="10.199999999999999" customHeight="1">
      <c r="P242" s="256"/>
      <c r="Q242" s="256"/>
      <c r="R242" s="256"/>
      <c r="S242" s="256"/>
      <c r="T242" s="256"/>
      <c r="U242" s="256"/>
      <c r="V242" s="256"/>
      <c r="W242" s="256"/>
      <c r="X242" s="256"/>
      <c r="Y242" s="256"/>
      <c r="Z242" s="256"/>
    </row>
    <row r="243" spans="16:26" ht="10.199999999999999" customHeight="1">
      <c r="P243" s="235"/>
      <c r="Q243" s="235"/>
      <c r="R243" s="235"/>
      <c r="S243" s="235"/>
      <c r="T243" s="235"/>
      <c r="U243" s="235"/>
      <c r="V243" s="235"/>
      <c r="W243" s="235"/>
      <c r="X243" s="235"/>
      <c r="Y243" s="235"/>
      <c r="Z243" s="235"/>
    </row>
    <row r="244" spans="16:26" ht="10.199999999999999" customHeight="1">
      <c r="P244" s="256"/>
      <c r="Q244" s="256"/>
      <c r="R244" s="256"/>
      <c r="S244" s="256"/>
      <c r="T244" s="256"/>
      <c r="U244" s="256"/>
      <c r="V244" s="256"/>
      <c r="W244" s="256"/>
      <c r="X244" s="256"/>
      <c r="Y244" s="256"/>
      <c r="Z244" s="256"/>
    </row>
    <row r="245" spans="16:26" ht="10.199999999999999" customHeight="1">
      <c r="P245" s="256"/>
      <c r="Q245" s="256"/>
      <c r="R245" s="256"/>
      <c r="S245" s="256"/>
      <c r="T245" s="256"/>
      <c r="U245" s="256"/>
      <c r="V245" s="256"/>
      <c r="W245" s="256"/>
      <c r="X245" s="256"/>
      <c r="Y245" s="256"/>
      <c r="Z245" s="256"/>
    </row>
    <row r="246" spans="16:26" ht="10.199999999999999" customHeight="1">
      <c r="P246" s="235"/>
      <c r="Q246" s="235"/>
      <c r="R246" s="235"/>
      <c r="S246" s="235"/>
      <c r="T246" s="235"/>
      <c r="U246" s="235"/>
      <c r="V246" s="235"/>
      <c r="W246" s="235"/>
      <c r="X246" s="235"/>
      <c r="Y246" s="235"/>
      <c r="Z246" s="235"/>
    </row>
    <row r="247" spans="16:26" ht="10.199999999999999" customHeight="1">
      <c r="P247" s="256"/>
      <c r="Q247" s="256"/>
      <c r="R247" s="256"/>
      <c r="S247" s="256"/>
      <c r="T247" s="256"/>
      <c r="U247" s="256"/>
      <c r="V247" s="256"/>
      <c r="W247" s="256"/>
      <c r="X247" s="256"/>
      <c r="Y247" s="256"/>
      <c r="Z247" s="256"/>
    </row>
    <row r="248" spans="16:26" ht="10.199999999999999" customHeight="1">
      <c r="P248" s="256"/>
      <c r="Q248" s="256"/>
      <c r="R248" s="256"/>
      <c r="S248" s="256"/>
      <c r="T248" s="256"/>
      <c r="U248" s="256"/>
      <c r="V248" s="256"/>
      <c r="W248" s="256"/>
      <c r="X248" s="256"/>
      <c r="Y248" s="256"/>
      <c r="Z248" s="256"/>
    </row>
    <row r="249" spans="16:26" ht="10.199999999999999" customHeight="1">
      <c r="P249" s="235"/>
      <c r="Q249" s="235"/>
      <c r="R249" s="235"/>
      <c r="S249" s="235"/>
      <c r="T249" s="235"/>
      <c r="U249" s="235"/>
      <c r="V249" s="235"/>
      <c r="W249" s="235"/>
      <c r="X249" s="235"/>
      <c r="Y249" s="235"/>
      <c r="Z249" s="235"/>
    </row>
    <row r="250" spans="16:26" ht="10.199999999999999" customHeight="1">
      <c r="P250" s="256"/>
      <c r="Q250" s="256"/>
      <c r="R250" s="256"/>
      <c r="S250" s="256"/>
      <c r="T250" s="256"/>
      <c r="U250" s="256"/>
      <c r="V250" s="256"/>
      <c r="W250" s="256"/>
      <c r="X250" s="256"/>
      <c r="Y250" s="256"/>
      <c r="Z250" s="256"/>
    </row>
    <row r="251" spans="16:26" ht="10.199999999999999" customHeight="1">
      <c r="P251" s="256"/>
      <c r="Q251" s="256"/>
      <c r="R251" s="256"/>
      <c r="S251" s="256"/>
      <c r="T251" s="256"/>
      <c r="U251" s="256"/>
      <c r="V251" s="256"/>
      <c r="W251" s="256"/>
      <c r="X251" s="256"/>
      <c r="Y251" s="256"/>
      <c r="Z251" s="256"/>
    </row>
    <row r="252" spans="16:26" ht="10.199999999999999" customHeight="1">
      <c r="P252" s="235"/>
      <c r="Q252" s="235"/>
      <c r="R252" s="235"/>
      <c r="S252" s="235"/>
      <c r="T252" s="235"/>
      <c r="U252" s="235"/>
      <c r="V252" s="235"/>
      <c r="W252" s="235"/>
      <c r="X252" s="235"/>
      <c r="Y252" s="235"/>
      <c r="Z252" s="235"/>
    </row>
    <row r="253" spans="16:26" ht="10.199999999999999" customHeight="1">
      <c r="P253" s="256"/>
      <c r="Q253" s="256"/>
      <c r="R253" s="256"/>
      <c r="S253" s="256"/>
      <c r="T253" s="256"/>
      <c r="U253" s="256"/>
      <c r="V253" s="256"/>
      <c r="W253" s="256"/>
      <c r="X253" s="256"/>
      <c r="Y253" s="256"/>
      <c r="Z253" s="256"/>
    </row>
    <row r="254" spans="16:26" ht="10.199999999999999" customHeight="1">
      <c r="P254" s="256"/>
      <c r="Q254" s="256"/>
      <c r="R254" s="256"/>
      <c r="S254" s="256"/>
      <c r="T254" s="256"/>
      <c r="U254" s="256"/>
      <c r="V254" s="256"/>
      <c r="W254" s="256"/>
      <c r="X254" s="256"/>
      <c r="Y254" s="256"/>
      <c r="Z254" s="256"/>
    </row>
    <row r="255" spans="16:26" ht="10.199999999999999" customHeight="1">
      <c r="P255" s="235"/>
      <c r="Q255" s="235"/>
      <c r="R255" s="235"/>
      <c r="S255" s="235"/>
      <c r="T255" s="235"/>
      <c r="U255" s="235"/>
      <c r="V255" s="235"/>
      <c r="W255" s="235"/>
      <c r="X255" s="235"/>
      <c r="Y255" s="235"/>
      <c r="Z255" s="235"/>
    </row>
    <row r="256" spans="16:26" ht="10.199999999999999" customHeight="1">
      <c r="P256" s="256"/>
      <c r="Q256" s="256"/>
      <c r="R256" s="256"/>
      <c r="S256" s="256"/>
      <c r="T256" s="256"/>
      <c r="U256" s="256"/>
      <c r="V256" s="256"/>
      <c r="W256" s="256"/>
      <c r="X256" s="256"/>
      <c r="Y256" s="256"/>
      <c r="Z256" s="256"/>
    </row>
    <row r="257" spans="16:26" ht="10.199999999999999" customHeight="1">
      <c r="P257" s="256"/>
      <c r="Q257" s="256"/>
      <c r="R257" s="256"/>
      <c r="S257" s="256"/>
      <c r="T257" s="256"/>
      <c r="U257" s="256"/>
      <c r="V257" s="256"/>
      <c r="W257" s="256"/>
      <c r="X257" s="256"/>
      <c r="Y257" s="256"/>
      <c r="Z257" s="256"/>
    </row>
    <row r="258" spans="16:26" ht="10.199999999999999" customHeight="1">
      <c r="P258" s="235"/>
      <c r="Q258" s="235"/>
      <c r="R258" s="235"/>
      <c r="S258" s="235"/>
      <c r="T258" s="235"/>
      <c r="U258" s="235"/>
      <c r="V258" s="235"/>
      <c r="W258" s="235"/>
      <c r="X258" s="235"/>
      <c r="Y258" s="235"/>
      <c r="Z258" s="235"/>
    </row>
    <row r="259" spans="16:26" ht="10.199999999999999" customHeight="1">
      <c r="P259" s="256"/>
      <c r="Q259" s="256"/>
      <c r="R259" s="256"/>
      <c r="S259" s="256"/>
      <c r="T259" s="256"/>
      <c r="U259" s="256"/>
      <c r="V259" s="256"/>
      <c r="W259" s="256"/>
      <c r="X259" s="256"/>
      <c r="Y259" s="256"/>
      <c r="Z259" s="256"/>
    </row>
    <row r="260" spans="16:26" ht="10.199999999999999" customHeight="1">
      <c r="P260" s="256"/>
      <c r="Q260" s="256"/>
      <c r="R260" s="256"/>
      <c r="S260" s="256"/>
      <c r="T260" s="256"/>
      <c r="U260" s="256"/>
      <c r="V260" s="256"/>
      <c r="W260" s="256"/>
      <c r="X260" s="256"/>
      <c r="Y260" s="256"/>
      <c r="Z260" s="256"/>
    </row>
    <row r="261" spans="16:26" ht="10.199999999999999" customHeight="1">
      <c r="P261" s="235"/>
      <c r="Q261" s="235"/>
      <c r="R261" s="235"/>
      <c r="S261" s="235"/>
      <c r="T261" s="235"/>
      <c r="U261" s="235"/>
      <c r="V261" s="235"/>
      <c r="W261" s="235"/>
      <c r="X261" s="235"/>
      <c r="Y261" s="235"/>
      <c r="Z261" s="235"/>
    </row>
    <row r="262" spans="16:26" ht="10.199999999999999" customHeight="1">
      <c r="P262" s="256"/>
      <c r="Q262" s="256"/>
      <c r="R262" s="256"/>
      <c r="S262" s="256"/>
      <c r="T262" s="256"/>
      <c r="U262" s="256"/>
      <c r="V262" s="256"/>
      <c r="W262" s="256"/>
      <c r="X262" s="256"/>
      <c r="Y262" s="256"/>
      <c r="Z262" s="256"/>
    </row>
    <row r="263" spans="16:26" ht="10.199999999999999" customHeight="1">
      <c r="P263" s="256"/>
      <c r="Q263" s="256"/>
      <c r="R263" s="256"/>
      <c r="S263" s="256"/>
      <c r="T263" s="256"/>
      <c r="U263" s="256"/>
      <c r="V263" s="256"/>
      <c r="W263" s="256"/>
      <c r="X263" s="256"/>
      <c r="Y263" s="256"/>
      <c r="Z263" s="256"/>
    </row>
    <row r="264" spans="16:26" ht="10.199999999999999" customHeight="1">
      <c r="P264" s="235"/>
      <c r="Q264" s="235"/>
      <c r="R264" s="235"/>
      <c r="S264" s="235"/>
      <c r="T264" s="235"/>
      <c r="U264" s="235"/>
      <c r="V264" s="235"/>
      <c r="W264" s="235"/>
      <c r="X264" s="235"/>
      <c r="Y264" s="235"/>
      <c r="Z264" s="235"/>
    </row>
    <row r="265" spans="16:26" ht="10.199999999999999" customHeight="1">
      <c r="P265" s="256"/>
      <c r="Q265" s="256"/>
      <c r="R265" s="256"/>
      <c r="S265" s="256"/>
      <c r="T265" s="256"/>
      <c r="U265" s="256"/>
      <c r="V265" s="256"/>
      <c r="W265" s="256"/>
      <c r="X265" s="256"/>
      <c r="Y265" s="256"/>
      <c r="Z265" s="256"/>
    </row>
    <row r="266" spans="16:26" ht="10.199999999999999" customHeight="1">
      <c r="P266" s="256"/>
      <c r="Q266" s="256"/>
      <c r="R266" s="256"/>
      <c r="S266" s="256"/>
      <c r="T266" s="256"/>
      <c r="U266" s="256"/>
      <c r="V266" s="256"/>
      <c r="W266" s="256"/>
      <c r="X266" s="256"/>
      <c r="Y266" s="256"/>
      <c r="Z266" s="256"/>
    </row>
    <row r="267" spans="16:26" ht="10.199999999999999" customHeight="1">
      <c r="P267" s="254"/>
      <c r="Q267" s="254"/>
      <c r="R267" s="254"/>
      <c r="S267" s="254"/>
      <c r="T267" s="254"/>
      <c r="U267" s="254"/>
      <c r="V267" s="254"/>
      <c r="W267" s="254"/>
      <c r="X267" s="254"/>
      <c r="Y267" s="254"/>
      <c r="Z267" s="254"/>
    </row>
    <row r="268" spans="16:26" ht="10.199999999999999" customHeight="1">
      <c r="P268" s="256"/>
      <c r="Q268" s="256"/>
      <c r="R268" s="256"/>
      <c r="S268" s="256"/>
      <c r="T268" s="256"/>
      <c r="U268" s="256"/>
      <c r="V268" s="256"/>
      <c r="W268" s="256"/>
      <c r="X268" s="256"/>
      <c r="Y268" s="256"/>
      <c r="Z268" s="256"/>
    </row>
    <row r="269" spans="16:26" ht="10.199999999999999" customHeight="1">
      <c r="P269" s="256"/>
      <c r="Q269" s="256"/>
      <c r="R269" s="256"/>
      <c r="S269" s="256"/>
      <c r="T269" s="256"/>
      <c r="U269" s="256"/>
      <c r="V269" s="256"/>
      <c r="W269" s="256"/>
      <c r="X269" s="256"/>
      <c r="Y269" s="256"/>
      <c r="Z269" s="256"/>
    </row>
    <row r="270" spans="16:26" ht="10.199999999999999" customHeight="1">
      <c r="P270" s="254"/>
      <c r="Q270" s="254"/>
      <c r="R270" s="254"/>
      <c r="S270" s="254"/>
      <c r="T270" s="254"/>
      <c r="U270" s="254"/>
      <c r="V270" s="254"/>
      <c r="W270" s="254"/>
      <c r="X270" s="254"/>
      <c r="Y270" s="254"/>
      <c r="Z270" s="254"/>
    </row>
    <row r="271" spans="16:26" ht="10.199999999999999" customHeight="1">
      <c r="P271" s="256"/>
      <c r="Q271" s="256"/>
      <c r="R271" s="256"/>
      <c r="S271" s="256"/>
      <c r="T271" s="256"/>
      <c r="U271" s="256"/>
      <c r="V271" s="256"/>
      <c r="W271" s="256"/>
      <c r="X271" s="256"/>
      <c r="Y271" s="256"/>
      <c r="Z271" s="256"/>
    </row>
    <row r="272" spans="16:26" ht="10.199999999999999" customHeight="1">
      <c r="P272" s="256"/>
      <c r="Q272" s="256"/>
      <c r="R272" s="256"/>
      <c r="S272" s="256"/>
      <c r="T272" s="256"/>
      <c r="U272" s="256"/>
      <c r="V272" s="256"/>
      <c r="W272" s="256"/>
      <c r="X272" s="256"/>
      <c r="Y272" s="256"/>
      <c r="Z272" s="256"/>
    </row>
    <row r="273" spans="16:26" ht="10.199999999999999" customHeight="1">
      <c r="P273" s="254"/>
      <c r="Q273" s="254"/>
      <c r="R273" s="254"/>
      <c r="S273" s="254"/>
      <c r="T273" s="254"/>
      <c r="U273" s="254"/>
      <c r="V273" s="254"/>
      <c r="W273" s="254"/>
      <c r="X273" s="254"/>
      <c r="Y273" s="254"/>
      <c r="Z273" s="254"/>
    </row>
    <row r="274" spans="16:26" ht="10.199999999999999" customHeight="1">
      <c r="P274" s="256"/>
      <c r="Q274" s="256"/>
      <c r="R274" s="256"/>
      <c r="S274" s="256"/>
      <c r="T274" s="256"/>
      <c r="U274" s="256"/>
      <c r="V274" s="256"/>
      <c r="W274" s="256"/>
      <c r="X274" s="256"/>
      <c r="Y274" s="256"/>
      <c r="Z274" s="256"/>
    </row>
    <row r="275" spans="16:26" ht="10.199999999999999" customHeight="1">
      <c r="P275" s="256"/>
      <c r="Q275" s="256"/>
      <c r="R275" s="256"/>
      <c r="S275" s="256"/>
      <c r="T275" s="256"/>
      <c r="U275" s="256"/>
      <c r="V275" s="256"/>
      <c r="W275" s="256"/>
      <c r="X275" s="256"/>
      <c r="Y275" s="256"/>
      <c r="Z275" s="256"/>
    </row>
    <row r="276" spans="16:26" ht="10.199999999999999" customHeight="1">
      <c r="P276" s="254"/>
      <c r="Q276" s="254"/>
      <c r="R276" s="254"/>
      <c r="S276" s="254"/>
      <c r="T276" s="254"/>
      <c r="U276" s="254"/>
      <c r="V276" s="254"/>
      <c r="W276" s="254"/>
      <c r="X276" s="254"/>
      <c r="Y276" s="254"/>
      <c r="Z276" s="254"/>
    </row>
    <row r="277" spans="16:26" ht="10.199999999999999" customHeight="1">
      <c r="P277" s="256"/>
      <c r="Q277" s="256"/>
      <c r="R277" s="256"/>
      <c r="S277" s="256"/>
      <c r="T277" s="256"/>
      <c r="U277" s="256"/>
      <c r="V277" s="256"/>
      <c r="W277" s="256"/>
      <c r="X277" s="256"/>
      <c r="Y277" s="256"/>
      <c r="Z277" s="256"/>
    </row>
    <row r="278" spans="16:26" ht="10.199999999999999" customHeight="1">
      <c r="P278" s="256"/>
      <c r="Q278" s="256"/>
      <c r="R278" s="256"/>
      <c r="S278" s="256"/>
      <c r="T278" s="256"/>
      <c r="U278" s="256"/>
      <c r="V278" s="256"/>
      <c r="W278" s="256"/>
      <c r="X278" s="256"/>
      <c r="Y278" s="256"/>
      <c r="Z278" s="256"/>
    </row>
    <row r="279" spans="16:26" ht="10.199999999999999" customHeight="1">
      <c r="P279" s="254"/>
      <c r="Q279" s="254"/>
      <c r="R279" s="254"/>
      <c r="S279" s="254"/>
      <c r="T279" s="254"/>
      <c r="U279" s="254"/>
      <c r="V279" s="254"/>
      <c r="W279" s="254"/>
      <c r="X279" s="254"/>
      <c r="Y279" s="254"/>
      <c r="Z279" s="254"/>
    </row>
    <row r="280" spans="16:26" ht="10.199999999999999" customHeight="1">
      <c r="P280" s="256"/>
      <c r="Q280" s="256"/>
      <c r="R280" s="256"/>
      <c r="S280" s="256"/>
      <c r="T280" s="256"/>
      <c r="U280" s="256"/>
      <c r="V280" s="256"/>
      <c r="W280" s="256"/>
      <c r="X280" s="256"/>
      <c r="Y280" s="256"/>
      <c r="Z280" s="256"/>
    </row>
    <row r="281" spans="16:26" ht="10.199999999999999" customHeight="1">
      <c r="P281" s="256"/>
      <c r="Q281" s="256"/>
      <c r="R281" s="256"/>
      <c r="S281" s="256"/>
      <c r="T281" s="256"/>
      <c r="U281" s="256"/>
      <c r="V281" s="256"/>
      <c r="W281" s="256"/>
      <c r="X281" s="256"/>
      <c r="Y281" s="256"/>
      <c r="Z281" s="256"/>
    </row>
    <row r="282" spans="16:26" ht="10.199999999999999" customHeight="1">
      <c r="P282" s="254"/>
      <c r="Q282" s="254"/>
      <c r="R282" s="254"/>
      <c r="S282" s="254"/>
      <c r="T282" s="254"/>
      <c r="U282" s="254"/>
      <c r="V282" s="254"/>
      <c r="W282" s="254"/>
      <c r="X282" s="254"/>
      <c r="Y282" s="254"/>
      <c r="Z282" s="254"/>
    </row>
    <row r="283" spans="16:26" ht="10.199999999999999" customHeight="1">
      <c r="P283" s="256"/>
      <c r="Q283" s="256"/>
      <c r="R283" s="256"/>
      <c r="S283" s="256"/>
      <c r="T283" s="256"/>
      <c r="U283" s="256"/>
      <c r="V283" s="256"/>
      <c r="W283" s="256"/>
      <c r="X283" s="256"/>
      <c r="Y283" s="256"/>
      <c r="Z283" s="256"/>
    </row>
    <row r="284" spans="16:26" ht="10.199999999999999" customHeight="1">
      <c r="P284" s="256"/>
      <c r="Q284" s="256"/>
      <c r="R284" s="256"/>
      <c r="S284" s="256"/>
      <c r="T284" s="256"/>
      <c r="U284" s="256"/>
      <c r="V284" s="256"/>
      <c r="W284" s="256"/>
      <c r="X284" s="256"/>
      <c r="Y284" s="256"/>
      <c r="Z284" s="256"/>
    </row>
    <row r="285" spans="16:26" ht="10.199999999999999" customHeight="1">
      <c r="P285" s="254"/>
      <c r="Q285" s="254"/>
      <c r="R285" s="254"/>
      <c r="S285" s="254"/>
      <c r="T285" s="254"/>
      <c r="U285" s="254"/>
      <c r="V285" s="254"/>
      <c r="W285" s="254"/>
      <c r="X285" s="254"/>
      <c r="Y285" s="254"/>
      <c r="Z285" s="254"/>
    </row>
    <row r="286" spans="16:26" ht="10.199999999999999" customHeight="1">
      <c r="P286" s="256"/>
      <c r="Q286" s="256"/>
      <c r="R286" s="256"/>
      <c r="S286" s="256"/>
      <c r="T286" s="256"/>
      <c r="U286" s="256"/>
      <c r="V286" s="256"/>
      <c r="W286" s="256"/>
      <c r="X286" s="256"/>
      <c r="Y286" s="256"/>
      <c r="Z286" s="256"/>
    </row>
    <row r="287" spans="16:26" ht="10.199999999999999" customHeight="1">
      <c r="P287" s="256"/>
      <c r="Q287" s="256"/>
      <c r="R287" s="256"/>
      <c r="S287" s="256"/>
      <c r="T287" s="256"/>
      <c r="U287" s="256"/>
      <c r="V287" s="256"/>
      <c r="W287" s="256"/>
      <c r="X287" s="256"/>
      <c r="Y287" s="256"/>
      <c r="Z287" s="256"/>
    </row>
    <row r="288" spans="16:26" ht="10.199999999999999" customHeight="1">
      <c r="P288" s="254"/>
      <c r="Q288" s="254"/>
      <c r="R288" s="254"/>
      <c r="S288" s="254"/>
      <c r="T288" s="254"/>
      <c r="U288" s="254"/>
      <c r="V288" s="254"/>
      <c r="W288" s="254"/>
      <c r="X288" s="254"/>
      <c r="Y288" s="254"/>
      <c r="Z288" s="254"/>
    </row>
    <row r="289" spans="16:26" ht="10.199999999999999" customHeight="1">
      <c r="P289" s="256"/>
      <c r="Q289" s="256"/>
      <c r="R289" s="256"/>
      <c r="S289" s="256"/>
      <c r="T289" s="256"/>
      <c r="U289" s="256"/>
      <c r="V289" s="256"/>
      <c r="W289" s="256"/>
      <c r="X289" s="256"/>
      <c r="Y289" s="256"/>
      <c r="Z289" s="256"/>
    </row>
    <row r="290" spans="16:26" ht="10.199999999999999" customHeight="1">
      <c r="P290" s="256"/>
      <c r="Q290" s="256"/>
      <c r="R290" s="256"/>
      <c r="S290" s="256"/>
      <c r="T290" s="256"/>
      <c r="U290" s="256"/>
      <c r="V290" s="256"/>
      <c r="W290" s="256"/>
      <c r="X290" s="256"/>
      <c r="Y290" s="256"/>
      <c r="Z290" s="256"/>
    </row>
    <row r="291" spans="16:26" ht="10.199999999999999" customHeight="1">
      <c r="P291" s="254"/>
      <c r="Q291" s="254"/>
      <c r="R291" s="254"/>
      <c r="S291" s="254"/>
      <c r="T291" s="254"/>
      <c r="U291" s="254"/>
      <c r="V291" s="254"/>
      <c r="W291" s="254"/>
      <c r="X291" s="254"/>
      <c r="Y291" s="254"/>
      <c r="Z291" s="254"/>
    </row>
    <row r="292" spans="16:26" ht="10.199999999999999" customHeight="1">
      <c r="P292" s="256"/>
      <c r="Q292" s="256"/>
      <c r="R292" s="256"/>
      <c r="S292" s="256"/>
      <c r="T292" s="256"/>
      <c r="U292" s="256"/>
      <c r="V292" s="256"/>
      <c r="W292" s="256"/>
      <c r="X292" s="256"/>
      <c r="Y292" s="256"/>
      <c r="Z292" s="256"/>
    </row>
    <row r="293" spans="16:26" ht="10.199999999999999" customHeight="1">
      <c r="P293" s="256"/>
      <c r="Q293" s="256"/>
      <c r="R293" s="256"/>
      <c r="S293" s="256"/>
      <c r="T293" s="256"/>
      <c r="U293" s="256"/>
      <c r="V293" s="256"/>
      <c r="W293" s="256"/>
      <c r="X293" s="256"/>
      <c r="Y293" s="256"/>
      <c r="Z293" s="256"/>
    </row>
    <row r="294" spans="16:26" ht="10.199999999999999" customHeight="1">
      <c r="P294" s="254"/>
      <c r="Q294" s="254"/>
      <c r="R294" s="254"/>
      <c r="S294" s="254"/>
      <c r="T294" s="254"/>
      <c r="U294" s="254"/>
      <c r="V294" s="254"/>
      <c r="W294" s="254"/>
      <c r="X294" s="254"/>
      <c r="Y294" s="254"/>
      <c r="Z294" s="254"/>
    </row>
    <row r="295" spans="16:26" ht="10.199999999999999" customHeight="1">
      <c r="P295" s="256"/>
      <c r="Q295" s="256"/>
      <c r="R295" s="256"/>
      <c r="S295" s="256"/>
      <c r="T295" s="256"/>
      <c r="U295" s="256"/>
      <c r="V295" s="256"/>
      <c r="W295" s="256"/>
      <c r="X295" s="256"/>
      <c r="Y295" s="256"/>
      <c r="Z295" s="256"/>
    </row>
    <row r="296" spans="16:26" ht="10.199999999999999" customHeight="1">
      <c r="P296" s="256"/>
      <c r="Q296" s="256"/>
      <c r="R296" s="256"/>
      <c r="S296" s="256"/>
      <c r="T296" s="256"/>
      <c r="U296" s="256"/>
      <c r="V296" s="256"/>
      <c r="W296" s="256"/>
      <c r="X296" s="256"/>
      <c r="Y296" s="256"/>
      <c r="Z296" s="256"/>
    </row>
    <row r="297" spans="16:26" ht="10.199999999999999" customHeight="1">
      <c r="P297" s="254"/>
      <c r="Q297" s="254"/>
      <c r="R297" s="254"/>
      <c r="S297" s="254"/>
      <c r="T297" s="254"/>
      <c r="U297" s="254"/>
      <c r="V297" s="254"/>
      <c r="W297" s="254"/>
      <c r="X297" s="254"/>
      <c r="Y297" s="254"/>
      <c r="Z297" s="254"/>
    </row>
    <row r="298" spans="16:26" ht="10.199999999999999" customHeight="1">
      <c r="P298" s="256"/>
      <c r="Q298" s="256"/>
      <c r="R298" s="256"/>
      <c r="S298" s="256"/>
      <c r="T298" s="256"/>
      <c r="U298" s="256"/>
      <c r="V298" s="256"/>
      <c r="W298" s="256"/>
      <c r="X298" s="256"/>
      <c r="Y298" s="256"/>
      <c r="Z298" s="256"/>
    </row>
    <row r="299" spans="16:26" ht="10.199999999999999" customHeight="1">
      <c r="P299" s="256"/>
      <c r="Q299" s="256"/>
      <c r="R299" s="256"/>
      <c r="S299" s="256"/>
      <c r="T299" s="256"/>
      <c r="U299" s="256"/>
      <c r="V299" s="256"/>
      <c r="W299" s="256"/>
      <c r="X299" s="256"/>
      <c r="Y299" s="256"/>
      <c r="Z299" s="256"/>
    </row>
    <row r="300" spans="16:26" ht="10.199999999999999" customHeight="1">
      <c r="P300" s="254"/>
      <c r="Q300" s="254"/>
      <c r="R300" s="254"/>
      <c r="S300" s="254"/>
      <c r="T300" s="254"/>
      <c r="U300" s="254"/>
      <c r="V300" s="254"/>
      <c r="W300" s="254"/>
      <c r="X300" s="254"/>
      <c r="Y300" s="254"/>
      <c r="Z300" s="254"/>
    </row>
    <row r="301" spans="16:26" ht="10.199999999999999" customHeight="1">
      <c r="P301" s="256"/>
      <c r="Q301" s="256"/>
      <c r="R301" s="256"/>
      <c r="S301" s="256"/>
      <c r="T301" s="256"/>
      <c r="U301" s="256"/>
      <c r="V301" s="256"/>
      <c r="W301" s="256"/>
      <c r="X301" s="256"/>
      <c r="Y301" s="256"/>
      <c r="Z301" s="256"/>
    </row>
    <row r="302" spans="16:26" ht="10.199999999999999" customHeight="1">
      <c r="P302" s="256"/>
      <c r="Q302" s="256"/>
      <c r="R302" s="256"/>
      <c r="S302" s="256"/>
      <c r="T302" s="256"/>
      <c r="U302" s="256"/>
      <c r="V302" s="256"/>
      <c r="W302" s="256"/>
      <c r="X302" s="256"/>
      <c r="Y302" s="256"/>
      <c r="Z302" s="256"/>
    </row>
    <row r="303" spans="16:26" ht="10.199999999999999" customHeight="1">
      <c r="P303" s="254"/>
      <c r="Q303" s="254"/>
      <c r="R303" s="254"/>
      <c r="S303" s="254"/>
      <c r="T303" s="254"/>
      <c r="U303" s="254"/>
      <c r="V303" s="254"/>
      <c r="W303" s="254"/>
      <c r="X303" s="254"/>
      <c r="Y303" s="254"/>
      <c r="Z303" s="254"/>
    </row>
    <row r="304" spans="16:26" ht="10.199999999999999" customHeight="1">
      <c r="P304" s="256"/>
      <c r="Q304" s="256"/>
      <c r="R304" s="256"/>
      <c r="S304" s="256"/>
      <c r="T304" s="256"/>
      <c r="U304" s="256"/>
      <c r="V304" s="256"/>
      <c r="W304" s="256"/>
      <c r="X304" s="256"/>
      <c r="Y304" s="256"/>
      <c r="Z304" s="256"/>
    </row>
    <row r="305" spans="16:26" ht="10.199999999999999" customHeight="1">
      <c r="P305" s="256"/>
      <c r="Q305" s="256"/>
      <c r="R305" s="256"/>
      <c r="S305" s="256"/>
      <c r="T305" s="256"/>
      <c r="U305" s="256"/>
      <c r="V305" s="256"/>
      <c r="W305" s="256"/>
      <c r="X305" s="256"/>
      <c r="Y305" s="256"/>
      <c r="Z305" s="256"/>
    </row>
    <row r="306" spans="16:26" ht="10.199999999999999" customHeight="1">
      <c r="P306" s="254"/>
      <c r="Q306" s="254"/>
      <c r="R306" s="254"/>
      <c r="S306" s="254"/>
      <c r="T306" s="254"/>
      <c r="U306" s="254"/>
      <c r="V306" s="254"/>
      <c r="W306" s="254"/>
      <c r="X306" s="254"/>
      <c r="Y306" s="254"/>
      <c r="Z306" s="254"/>
    </row>
    <row r="307" spans="16:26" ht="10.199999999999999" customHeight="1">
      <c r="P307" s="256"/>
      <c r="Q307" s="256"/>
      <c r="R307" s="256"/>
      <c r="S307" s="256"/>
      <c r="T307" s="256"/>
      <c r="U307" s="256"/>
      <c r="V307" s="256"/>
      <c r="W307" s="256"/>
      <c r="X307" s="256"/>
      <c r="Y307" s="256"/>
      <c r="Z307" s="256"/>
    </row>
    <row r="308" spans="16:26" ht="10.199999999999999" customHeight="1">
      <c r="P308" s="256"/>
      <c r="Q308" s="256"/>
      <c r="R308" s="256"/>
      <c r="S308" s="256"/>
      <c r="T308" s="256"/>
      <c r="U308" s="256"/>
      <c r="V308" s="256"/>
      <c r="W308" s="256"/>
      <c r="X308" s="256"/>
      <c r="Y308" s="256"/>
      <c r="Z308" s="256"/>
    </row>
    <row r="309" spans="16:26" ht="10.199999999999999" customHeight="1">
      <c r="P309" s="254"/>
      <c r="Q309" s="254"/>
      <c r="R309" s="254"/>
      <c r="S309" s="254"/>
      <c r="T309" s="254"/>
      <c r="U309" s="254"/>
      <c r="V309" s="254"/>
      <c r="W309" s="254"/>
      <c r="X309" s="254"/>
      <c r="Y309" s="254"/>
      <c r="Z309" s="254"/>
    </row>
    <row r="310" spans="16:26" ht="10.199999999999999" customHeight="1">
      <c r="P310" s="256"/>
      <c r="Q310" s="256"/>
      <c r="R310" s="256"/>
      <c r="S310" s="256"/>
      <c r="T310" s="256"/>
      <c r="U310" s="256"/>
      <c r="V310" s="256"/>
      <c r="W310" s="256"/>
      <c r="X310" s="256"/>
      <c r="Y310" s="256"/>
      <c r="Z310" s="256"/>
    </row>
    <row r="311" spans="16:26" ht="10.199999999999999" customHeight="1">
      <c r="P311" s="256"/>
      <c r="Q311" s="256"/>
      <c r="R311" s="256"/>
      <c r="S311" s="256"/>
      <c r="T311" s="256"/>
      <c r="U311" s="256"/>
      <c r="V311" s="256"/>
      <c r="W311" s="256"/>
      <c r="X311" s="256"/>
      <c r="Y311" s="256"/>
      <c r="Z311" s="256"/>
    </row>
    <row r="312" spans="16:26" ht="10.199999999999999" customHeight="1">
      <c r="P312" s="254"/>
      <c r="Q312" s="254"/>
      <c r="R312" s="254"/>
      <c r="S312" s="254"/>
      <c r="T312" s="254"/>
      <c r="U312" s="254"/>
      <c r="V312" s="254"/>
      <c r="W312" s="254"/>
      <c r="X312" s="254"/>
      <c r="Y312" s="254"/>
      <c r="Z312" s="254"/>
    </row>
    <row r="313" spans="16:26" ht="10.199999999999999" customHeight="1">
      <c r="P313" s="256"/>
      <c r="Q313" s="256"/>
      <c r="R313" s="256"/>
      <c r="S313" s="256"/>
      <c r="T313" s="256"/>
      <c r="U313" s="256"/>
      <c r="V313" s="256"/>
      <c r="W313" s="256"/>
      <c r="X313" s="256"/>
      <c r="Y313" s="256"/>
      <c r="Z313" s="256"/>
    </row>
    <row r="314" spans="16:26" ht="10.199999999999999" customHeight="1">
      <c r="P314" s="256"/>
      <c r="Q314" s="256"/>
      <c r="R314" s="256"/>
      <c r="S314" s="256"/>
      <c r="T314" s="256"/>
      <c r="U314" s="256"/>
      <c r="V314" s="256"/>
      <c r="W314" s="256"/>
      <c r="X314" s="256"/>
      <c r="Y314" s="256"/>
      <c r="Z314" s="256"/>
    </row>
    <row r="315" spans="16:26" ht="10.199999999999999" customHeight="1">
      <c r="P315" s="254"/>
      <c r="Q315" s="254"/>
      <c r="R315" s="254"/>
      <c r="S315" s="254"/>
      <c r="T315" s="254"/>
      <c r="U315" s="254"/>
      <c r="V315" s="254"/>
      <c r="W315" s="254"/>
      <c r="X315" s="254"/>
      <c r="Y315" s="254"/>
      <c r="Z315" s="254"/>
    </row>
    <row r="316" spans="16:26" ht="10.199999999999999" customHeight="1">
      <c r="P316" s="256"/>
      <c r="Q316" s="256"/>
      <c r="R316" s="256"/>
      <c r="S316" s="256"/>
      <c r="T316" s="256"/>
      <c r="U316" s="256"/>
      <c r="V316" s="256"/>
      <c r="W316" s="256"/>
      <c r="X316" s="256"/>
      <c r="Y316" s="256"/>
      <c r="Z316" s="256"/>
    </row>
    <row r="317" spans="16:26" ht="10.199999999999999" customHeight="1">
      <c r="P317" s="256"/>
      <c r="Q317" s="256"/>
      <c r="R317" s="256"/>
      <c r="S317" s="256"/>
      <c r="T317" s="256"/>
      <c r="U317" s="256"/>
      <c r="V317" s="256"/>
      <c r="W317" s="256"/>
      <c r="X317" s="256"/>
      <c r="Y317" s="256"/>
      <c r="Z317" s="256"/>
    </row>
    <row r="318" spans="16:26" ht="10.199999999999999" customHeight="1">
      <c r="P318" s="254"/>
      <c r="Q318" s="254"/>
      <c r="R318" s="254"/>
      <c r="S318" s="254"/>
      <c r="T318" s="254"/>
      <c r="U318" s="254"/>
      <c r="V318" s="254"/>
      <c r="W318" s="254"/>
      <c r="X318" s="254"/>
      <c r="Y318" s="254"/>
      <c r="Z318" s="254"/>
    </row>
    <row r="319" spans="16:26" ht="10.199999999999999" customHeight="1">
      <c r="P319" s="256"/>
      <c r="Q319" s="256"/>
      <c r="R319" s="256"/>
      <c r="S319" s="256"/>
      <c r="T319" s="256"/>
      <c r="U319" s="256"/>
      <c r="V319" s="256"/>
      <c r="W319" s="256"/>
      <c r="X319" s="256"/>
      <c r="Y319" s="256"/>
      <c r="Z319" s="256"/>
    </row>
    <row r="320" spans="16:26" ht="10.199999999999999" customHeight="1">
      <c r="P320" s="256"/>
      <c r="Q320" s="256"/>
      <c r="R320" s="256"/>
      <c r="S320" s="256"/>
      <c r="T320" s="256"/>
      <c r="U320" s="256"/>
      <c r="V320" s="256"/>
      <c r="W320" s="256"/>
      <c r="X320" s="256"/>
      <c r="Y320" s="256"/>
      <c r="Z320" s="256"/>
    </row>
    <row r="321" spans="16:26" ht="10.199999999999999" customHeight="1">
      <c r="P321" s="254"/>
      <c r="Q321" s="254"/>
      <c r="R321" s="254"/>
      <c r="S321" s="254"/>
      <c r="T321" s="254"/>
      <c r="U321" s="254"/>
      <c r="V321" s="254"/>
      <c r="W321" s="254"/>
      <c r="X321" s="254"/>
      <c r="Y321" s="254"/>
      <c r="Z321" s="254"/>
    </row>
    <row r="322" spans="16:26" ht="10.199999999999999" customHeight="1">
      <c r="P322" s="256"/>
      <c r="Q322" s="256"/>
      <c r="R322" s="256"/>
      <c r="S322" s="256"/>
      <c r="T322" s="256"/>
      <c r="U322" s="256"/>
      <c r="V322" s="256"/>
      <c r="W322" s="256"/>
      <c r="X322" s="256"/>
      <c r="Y322" s="256"/>
      <c r="Z322" s="256"/>
    </row>
    <row r="323" spans="16:26" ht="10.199999999999999" customHeight="1">
      <c r="P323" s="256"/>
      <c r="Q323" s="256"/>
      <c r="R323" s="256"/>
      <c r="S323" s="256"/>
      <c r="T323" s="256"/>
      <c r="U323" s="256"/>
      <c r="V323" s="256"/>
      <c r="W323" s="256"/>
      <c r="X323" s="256"/>
      <c r="Y323" s="256"/>
      <c r="Z323" s="256"/>
    </row>
    <row r="324" spans="16:26" ht="10.199999999999999" customHeight="1">
      <c r="P324" s="254"/>
      <c r="Q324" s="254"/>
      <c r="R324" s="254"/>
      <c r="S324" s="254"/>
      <c r="T324" s="254"/>
      <c r="U324" s="254"/>
      <c r="V324" s="254"/>
      <c r="W324" s="254"/>
      <c r="X324" s="254"/>
      <c r="Y324" s="254"/>
      <c r="Z324" s="254"/>
    </row>
    <row r="325" spans="16:26" ht="10.199999999999999" customHeight="1">
      <c r="P325" s="256"/>
      <c r="Q325" s="256"/>
      <c r="R325" s="256"/>
      <c r="S325" s="256"/>
      <c r="T325" s="256"/>
      <c r="U325" s="256"/>
      <c r="V325" s="256"/>
      <c r="W325" s="256"/>
      <c r="X325" s="256"/>
      <c r="Y325" s="256"/>
      <c r="Z325" s="256"/>
    </row>
    <row r="326" spans="16:26" ht="10.199999999999999" customHeight="1">
      <c r="P326" s="256"/>
      <c r="Q326" s="256"/>
      <c r="R326" s="256"/>
      <c r="S326" s="256"/>
      <c r="T326" s="256"/>
      <c r="U326" s="256"/>
      <c r="V326" s="256"/>
      <c r="W326" s="256"/>
      <c r="X326" s="256"/>
      <c r="Y326" s="256"/>
      <c r="Z326" s="256"/>
    </row>
    <row r="327" spans="16:26" ht="10.199999999999999" customHeight="1">
      <c r="P327" s="254"/>
      <c r="Q327" s="254"/>
      <c r="R327" s="254"/>
      <c r="S327" s="254"/>
      <c r="T327" s="254"/>
      <c r="U327" s="254"/>
      <c r="V327" s="254"/>
      <c r="W327" s="254"/>
      <c r="X327" s="254"/>
      <c r="Y327" s="254"/>
      <c r="Z327" s="254"/>
    </row>
    <row r="328" spans="16:26" ht="10.199999999999999" customHeight="1">
      <c r="P328" s="256"/>
      <c r="Q328" s="256"/>
      <c r="R328" s="256"/>
      <c r="S328" s="256"/>
      <c r="T328" s="256"/>
      <c r="U328" s="256"/>
      <c r="V328" s="256"/>
      <c r="W328" s="256"/>
      <c r="X328" s="256"/>
      <c r="Y328" s="256"/>
      <c r="Z328" s="256"/>
    </row>
    <row r="329" spans="16:26" ht="10.199999999999999" customHeight="1">
      <c r="P329" s="256"/>
      <c r="Q329" s="256"/>
      <c r="R329" s="256"/>
      <c r="S329" s="256"/>
      <c r="T329" s="256"/>
      <c r="U329" s="256"/>
      <c r="V329" s="256"/>
      <c r="W329" s="256"/>
      <c r="X329" s="256"/>
      <c r="Y329" s="256"/>
      <c r="Z329" s="256"/>
    </row>
    <row r="330" spans="16:26" ht="10.199999999999999" customHeight="1">
      <c r="P330" s="254"/>
      <c r="Q330" s="254"/>
      <c r="R330" s="254"/>
      <c r="S330" s="254"/>
      <c r="T330" s="254"/>
      <c r="U330" s="254"/>
      <c r="V330" s="254"/>
      <c r="W330" s="254"/>
      <c r="X330" s="254"/>
      <c r="Y330" s="254"/>
      <c r="Z330" s="254"/>
    </row>
    <row r="331" spans="16:26" ht="10.199999999999999" customHeight="1">
      <c r="P331" s="256"/>
      <c r="Q331" s="256"/>
      <c r="R331" s="256"/>
      <c r="S331" s="256"/>
      <c r="T331" s="256"/>
      <c r="U331" s="256"/>
      <c r="V331" s="256"/>
      <c r="W331" s="256"/>
      <c r="X331" s="256"/>
      <c r="Y331" s="256"/>
      <c r="Z331" s="256"/>
    </row>
    <row r="332" spans="16:26" ht="10.199999999999999" customHeight="1">
      <c r="P332" s="256"/>
      <c r="Q332" s="256"/>
      <c r="R332" s="256"/>
      <c r="S332" s="256"/>
      <c r="T332" s="256"/>
      <c r="U332" s="256"/>
      <c r="V332" s="256"/>
      <c r="W332" s="256"/>
      <c r="X332" s="256"/>
      <c r="Y332" s="256"/>
      <c r="Z332" s="256"/>
    </row>
    <row r="333" spans="16:26" ht="10.199999999999999" customHeight="1">
      <c r="P333" s="254"/>
      <c r="Q333" s="254"/>
      <c r="R333" s="254"/>
      <c r="S333" s="254"/>
      <c r="T333" s="254"/>
      <c r="U333" s="254"/>
      <c r="V333" s="254"/>
      <c r="W333" s="254"/>
      <c r="X333" s="254"/>
      <c r="Y333" s="254"/>
      <c r="Z333" s="254"/>
    </row>
    <row r="334" spans="16:26" ht="10.199999999999999" customHeight="1">
      <c r="P334" s="256"/>
      <c r="Q334" s="256"/>
      <c r="R334" s="256"/>
      <c r="S334" s="256"/>
      <c r="T334" s="256"/>
      <c r="U334" s="256"/>
      <c r="V334" s="256"/>
      <c r="W334" s="256"/>
      <c r="X334" s="256"/>
      <c r="Y334" s="256"/>
      <c r="Z334" s="256"/>
    </row>
    <row r="335" spans="16:26" ht="10.199999999999999" customHeight="1">
      <c r="P335" s="256"/>
      <c r="Q335" s="256"/>
      <c r="R335" s="256"/>
      <c r="S335" s="256"/>
      <c r="T335" s="256"/>
      <c r="U335" s="256"/>
      <c r="V335" s="256"/>
      <c r="W335" s="256"/>
      <c r="X335" s="256"/>
      <c r="Y335" s="256"/>
      <c r="Z335" s="256"/>
    </row>
    <row r="336" spans="16:26" ht="10.199999999999999" customHeight="1">
      <c r="P336" s="254"/>
      <c r="Q336" s="254"/>
      <c r="R336" s="254"/>
      <c r="S336" s="254"/>
      <c r="T336" s="254"/>
      <c r="U336" s="254"/>
      <c r="V336" s="254"/>
      <c r="W336" s="254"/>
      <c r="X336" s="254"/>
      <c r="Y336" s="254"/>
      <c r="Z336" s="254"/>
    </row>
    <row r="337" spans="16:26" ht="10.199999999999999" customHeight="1">
      <c r="P337" s="256"/>
      <c r="Q337" s="256"/>
      <c r="R337" s="256"/>
      <c r="S337" s="256"/>
      <c r="T337" s="256"/>
      <c r="U337" s="256"/>
      <c r="V337" s="256"/>
      <c r="W337" s="256"/>
      <c r="X337" s="256"/>
      <c r="Y337" s="256"/>
      <c r="Z337" s="256"/>
    </row>
    <row r="338" spans="16:26" ht="10.199999999999999" customHeight="1">
      <c r="P338" s="256"/>
      <c r="Q338" s="256"/>
      <c r="R338" s="256"/>
      <c r="S338" s="256"/>
      <c r="T338" s="256"/>
      <c r="U338" s="256"/>
      <c r="V338" s="256"/>
      <c r="W338" s="256"/>
      <c r="X338" s="256"/>
      <c r="Y338" s="256"/>
      <c r="Z338" s="256"/>
    </row>
    <row r="339" spans="16:26" ht="10.199999999999999" customHeight="1">
      <c r="P339" s="254"/>
      <c r="Q339" s="254"/>
      <c r="R339" s="254"/>
      <c r="S339" s="254"/>
      <c r="T339" s="254"/>
      <c r="U339" s="254"/>
      <c r="V339" s="254"/>
      <c r="W339" s="254"/>
      <c r="X339" s="254"/>
      <c r="Y339" s="254"/>
      <c r="Z339" s="254"/>
    </row>
    <row r="340" spans="16:26" ht="10.199999999999999" customHeight="1">
      <c r="P340" s="256"/>
      <c r="Q340" s="256"/>
      <c r="R340" s="256"/>
      <c r="S340" s="256"/>
      <c r="T340" s="256"/>
      <c r="U340" s="256"/>
      <c r="V340" s="256"/>
      <c r="W340" s="256"/>
      <c r="X340" s="256"/>
      <c r="Y340" s="256"/>
      <c r="Z340" s="256"/>
    </row>
    <row r="341" spans="16:26" ht="10.199999999999999" customHeight="1">
      <c r="P341" s="256"/>
      <c r="Q341" s="256"/>
      <c r="R341" s="256"/>
      <c r="S341" s="256"/>
      <c r="T341" s="256"/>
      <c r="U341" s="256"/>
      <c r="V341" s="256"/>
      <c r="W341" s="256"/>
      <c r="X341" s="256"/>
      <c r="Y341" s="256"/>
      <c r="Z341" s="256"/>
    </row>
    <row r="342" spans="16:26" ht="10.199999999999999" customHeight="1">
      <c r="P342" s="254"/>
      <c r="Q342" s="254"/>
      <c r="R342" s="254"/>
      <c r="S342" s="254"/>
      <c r="T342" s="254"/>
      <c r="U342" s="254"/>
      <c r="V342" s="254"/>
      <c r="W342" s="254"/>
      <c r="X342" s="254"/>
      <c r="Y342" s="254"/>
      <c r="Z342" s="254"/>
    </row>
    <row r="343" spans="16:26" ht="10.199999999999999" customHeight="1">
      <c r="P343" s="256"/>
      <c r="Q343" s="256"/>
      <c r="R343" s="256"/>
      <c r="S343" s="256"/>
      <c r="T343" s="256"/>
      <c r="U343" s="256"/>
      <c r="V343" s="256"/>
      <c r="W343" s="256"/>
      <c r="X343" s="256"/>
      <c r="Y343" s="256"/>
      <c r="Z343" s="256"/>
    </row>
    <row r="344" spans="16:26" ht="10.199999999999999" customHeight="1">
      <c r="P344" s="256"/>
      <c r="Q344" s="256"/>
      <c r="R344" s="256"/>
      <c r="S344" s="256"/>
      <c r="T344" s="256"/>
      <c r="U344" s="256"/>
      <c r="V344" s="256"/>
      <c r="W344" s="256"/>
      <c r="X344" s="256"/>
      <c r="Y344" s="256"/>
      <c r="Z344" s="256"/>
    </row>
    <row r="345" spans="16:26" ht="10.199999999999999" customHeight="1">
      <c r="P345" s="254"/>
      <c r="Q345" s="254"/>
      <c r="R345" s="254"/>
      <c r="S345" s="254"/>
      <c r="T345" s="254"/>
      <c r="U345" s="254"/>
      <c r="V345" s="254"/>
      <c r="W345" s="254"/>
      <c r="X345" s="254"/>
      <c r="Y345" s="254"/>
      <c r="Z345" s="254"/>
    </row>
    <row r="346" spans="16:26" ht="10.199999999999999" customHeight="1">
      <c r="P346" s="256"/>
      <c r="Q346" s="256"/>
      <c r="R346" s="256"/>
      <c r="S346" s="256"/>
      <c r="T346" s="256"/>
      <c r="U346" s="256"/>
      <c r="V346" s="256"/>
      <c r="W346" s="256"/>
      <c r="X346" s="256"/>
      <c r="Y346" s="256"/>
      <c r="Z346" s="256"/>
    </row>
    <row r="347" spans="16:26" ht="10.199999999999999" customHeight="1">
      <c r="P347" s="256"/>
      <c r="Q347" s="256"/>
      <c r="R347" s="256"/>
      <c r="S347" s="256"/>
      <c r="T347" s="256"/>
      <c r="U347" s="256"/>
      <c r="V347" s="256"/>
      <c r="W347" s="256"/>
      <c r="X347" s="256"/>
      <c r="Y347" s="256"/>
      <c r="Z347" s="256"/>
    </row>
    <row r="348" spans="16:26" ht="10.199999999999999" customHeight="1">
      <c r="P348" s="254"/>
      <c r="Q348" s="254"/>
      <c r="R348" s="254"/>
      <c r="S348" s="254"/>
      <c r="T348" s="254"/>
      <c r="U348" s="254"/>
      <c r="V348" s="254"/>
      <c r="W348" s="254"/>
      <c r="X348" s="254"/>
      <c r="Y348" s="254"/>
      <c r="Z348" s="254"/>
    </row>
    <row r="349" spans="16:26" ht="10.199999999999999" customHeight="1">
      <c r="P349" s="256"/>
      <c r="Q349" s="256"/>
      <c r="R349" s="256"/>
      <c r="S349" s="256"/>
      <c r="T349" s="256"/>
      <c r="U349" s="256"/>
      <c r="V349" s="256"/>
      <c r="W349" s="256"/>
      <c r="X349" s="256"/>
      <c r="Y349" s="256"/>
      <c r="Z349" s="256"/>
    </row>
    <row r="350" spans="16:26" ht="10.199999999999999" customHeight="1">
      <c r="P350" s="256"/>
      <c r="Q350" s="256"/>
      <c r="R350" s="256"/>
      <c r="S350" s="256"/>
      <c r="T350" s="256"/>
      <c r="U350" s="256"/>
      <c r="V350" s="256"/>
      <c r="W350" s="256"/>
      <c r="X350" s="256"/>
      <c r="Y350" s="256"/>
      <c r="Z350" s="256"/>
    </row>
    <row r="351" spans="16:26" ht="10.199999999999999" customHeight="1">
      <c r="P351" s="254"/>
      <c r="Q351" s="254"/>
      <c r="R351" s="254"/>
      <c r="S351" s="254"/>
      <c r="T351" s="254"/>
      <c r="U351" s="254"/>
      <c r="V351" s="254"/>
      <c r="W351" s="254"/>
      <c r="X351" s="254"/>
      <c r="Y351" s="254"/>
      <c r="Z351" s="254"/>
    </row>
    <row r="352" spans="16:26" ht="10.199999999999999" customHeight="1">
      <c r="P352" s="256"/>
      <c r="Q352" s="256"/>
      <c r="R352" s="256"/>
      <c r="S352" s="256"/>
      <c r="T352" s="256"/>
      <c r="U352" s="256"/>
      <c r="V352" s="256"/>
      <c r="W352" s="256"/>
      <c r="X352" s="256"/>
      <c r="Y352" s="256"/>
      <c r="Z352" s="256"/>
    </row>
    <row r="353" spans="16:26" ht="10.199999999999999" customHeight="1">
      <c r="P353" s="256"/>
      <c r="Q353" s="256"/>
      <c r="R353" s="256"/>
      <c r="S353" s="256"/>
      <c r="T353" s="256"/>
      <c r="U353" s="256"/>
      <c r="V353" s="256"/>
      <c r="W353" s="256"/>
      <c r="X353" s="256"/>
      <c r="Y353" s="256"/>
      <c r="Z353" s="256"/>
    </row>
    <row r="354" spans="16:26" ht="10.199999999999999" customHeight="1">
      <c r="P354" s="254"/>
      <c r="Q354" s="254"/>
      <c r="R354" s="254"/>
      <c r="S354" s="254"/>
      <c r="T354" s="254"/>
      <c r="U354" s="254"/>
      <c r="V354" s="254"/>
      <c r="W354" s="254"/>
      <c r="X354" s="254"/>
      <c r="Y354" s="254"/>
      <c r="Z354" s="254"/>
    </row>
    <row r="355" spans="16:26" ht="10.199999999999999" customHeight="1">
      <c r="P355" s="256"/>
      <c r="Q355" s="256"/>
      <c r="R355" s="256"/>
      <c r="S355" s="256"/>
      <c r="T355" s="256"/>
      <c r="U355" s="256"/>
      <c r="V355" s="256"/>
      <c r="W355" s="256"/>
      <c r="X355" s="256"/>
      <c r="Y355" s="256"/>
      <c r="Z355" s="256"/>
    </row>
    <row r="356" spans="16:26" ht="10.199999999999999" customHeight="1">
      <c r="P356" s="256"/>
      <c r="Q356" s="256"/>
      <c r="R356" s="256"/>
      <c r="S356" s="256"/>
      <c r="T356" s="256"/>
      <c r="U356" s="256"/>
      <c r="V356" s="256"/>
      <c r="W356" s="256"/>
      <c r="X356" s="256"/>
      <c r="Y356" s="256"/>
      <c r="Z356" s="256"/>
    </row>
    <row r="357" spans="16:26" ht="10.199999999999999" customHeight="1">
      <c r="P357" s="254"/>
      <c r="Q357" s="254"/>
      <c r="R357" s="254"/>
      <c r="S357" s="254"/>
      <c r="T357" s="254"/>
      <c r="U357" s="254"/>
      <c r="V357" s="254"/>
      <c r="W357" s="254"/>
      <c r="X357" s="254"/>
      <c r="Y357" s="254"/>
      <c r="Z357" s="254"/>
    </row>
    <row r="358" spans="16:26" ht="10.199999999999999" customHeight="1">
      <c r="P358" s="256"/>
      <c r="Q358" s="256"/>
      <c r="R358" s="256"/>
      <c r="S358" s="256"/>
      <c r="T358" s="256"/>
      <c r="U358" s="256"/>
      <c r="V358" s="256"/>
      <c r="W358" s="256"/>
      <c r="X358" s="256"/>
      <c r="Y358" s="256"/>
      <c r="Z358" s="256"/>
    </row>
    <row r="359" spans="16:26" ht="10.199999999999999" customHeight="1">
      <c r="P359" s="256"/>
      <c r="Q359" s="256"/>
      <c r="R359" s="256"/>
      <c r="S359" s="256"/>
      <c r="T359" s="256"/>
      <c r="U359" s="256"/>
      <c r="V359" s="256"/>
      <c r="W359" s="256"/>
      <c r="X359" s="256"/>
      <c r="Y359" s="256"/>
      <c r="Z359" s="256"/>
    </row>
    <row r="360" spans="16:26" ht="10.199999999999999" customHeight="1">
      <c r="P360" s="254"/>
      <c r="Q360" s="254"/>
      <c r="R360" s="254"/>
      <c r="S360" s="254"/>
      <c r="T360" s="254"/>
      <c r="U360" s="254"/>
      <c r="V360" s="254"/>
      <c r="W360" s="254"/>
      <c r="X360" s="254"/>
      <c r="Y360" s="254"/>
      <c r="Z360" s="254"/>
    </row>
    <row r="361" spans="16:26" ht="10.199999999999999" customHeight="1">
      <c r="P361" s="256"/>
      <c r="Q361" s="256"/>
      <c r="R361" s="256"/>
      <c r="S361" s="256"/>
      <c r="T361" s="256"/>
      <c r="U361" s="256"/>
      <c r="V361" s="256"/>
      <c r="W361" s="256"/>
      <c r="X361" s="256"/>
      <c r="Y361" s="256"/>
      <c r="Z361" s="256"/>
    </row>
    <row r="362" spans="16:26" ht="10.199999999999999" customHeight="1">
      <c r="P362" s="256"/>
      <c r="Q362" s="256"/>
      <c r="R362" s="256"/>
      <c r="S362" s="256"/>
      <c r="T362" s="256"/>
      <c r="U362" s="256"/>
      <c r="V362" s="256"/>
      <c r="W362" s="256"/>
      <c r="X362" s="256"/>
      <c r="Y362" s="256"/>
      <c r="Z362" s="256"/>
    </row>
    <row r="363" spans="16:26" ht="10.199999999999999" customHeight="1">
      <c r="P363" s="254"/>
      <c r="Q363" s="254"/>
      <c r="R363" s="254"/>
      <c r="S363" s="254"/>
      <c r="T363" s="254"/>
      <c r="U363" s="254"/>
      <c r="V363" s="254"/>
      <c r="W363" s="254"/>
      <c r="X363" s="254"/>
      <c r="Y363" s="254"/>
      <c r="Z363" s="254"/>
    </row>
    <row r="364" spans="16:26" ht="10.199999999999999" customHeight="1">
      <c r="P364" s="256"/>
      <c r="Q364" s="256"/>
      <c r="R364" s="256"/>
      <c r="S364" s="256"/>
      <c r="T364" s="256"/>
      <c r="U364" s="256"/>
      <c r="V364" s="256"/>
      <c r="W364" s="256"/>
      <c r="X364" s="256"/>
      <c r="Y364" s="256"/>
      <c r="Z364" s="256"/>
    </row>
    <row r="365" spans="16:26" ht="10.199999999999999" customHeight="1">
      <c r="P365" s="256"/>
      <c r="Q365" s="256"/>
      <c r="R365" s="256"/>
      <c r="S365" s="256"/>
      <c r="T365" s="256"/>
      <c r="U365" s="256"/>
      <c r="V365" s="256"/>
      <c r="W365" s="256"/>
      <c r="X365" s="256"/>
      <c r="Y365" s="256"/>
      <c r="Z365" s="256"/>
    </row>
    <row r="366" spans="16:26" ht="10.199999999999999" customHeight="1">
      <c r="P366" s="254"/>
      <c r="Q366" s="254"/>
      <c r="R366" s="254"/>
      <c r="S366" s="254"/>
      <c r="T366" s="254"/>
      <c r="U366" s="254"/>
      <c r="V366" s="254"/>
      <c r="W366" s="254"/>
      <c r="X366" s="254"/>
      <c r="Y366" s="254"/>
      <c r="Z366" s="254"/>
    </row>
    <row r="367" spans="16:26" ht="10.199999999999999" customHeight="1">
      <c r="P367" s="256"/>
      <c r="Q367" s="256"/>
      <c r="R367" s="256"/>
      <c r="S367" s="256"/>
      <c r="T367" s="256"/>
      <c r="U367" s="256"/>
      <c r="V367" s="256"/>
      <c r="W367" s="256"/>
      <c r="X367" s="256"/>
      <c r="Y367" s="256"/>
      <c r="Z367" s="256"/>
    </row>
    <row r="368" spans="16:26" ht="10.199999999999999" customHeight="1">
      <c r="P368" s="256"/>
      <c r="Q368" s="256"/>
      <c r="R368" s="256"/>
      <c r="S368" s="256"/>
      <c r="T368" s="256"/>
      <c r="U368" s="256"/>
      <c r="V368" s="256"/>
      <c r="W368" s="256"/>
      <c r="X368" s="256"/>
      <c r="Y368" s="256"/>
      <c r="Z368" s="256"/>
    </row>
    <row r="369" spans="16:26" ht="10.199999999999999" customHeight="1">
      <c r="P369" s="254"/>
      <c r="Q369" s="254"/>
      <c r="R369" s="254"/>
      <c r="S369" s="254"/>
      <c r="T369" s="254"/>
      <c r="U369" s="254"/>
      <c r="V369" s="254"/>
      <c r="W369" s="254"/>
      <c r="X369" s="254"/>
      <c r="Y369" s="254"/>
      <c r="Z369" s="254"/>
    </row>
    <row r="370" spans="16:26" ht="10.199999999999999" customHeight="1">
      <c r="P370" s="256"/>
      <c r="Q370" s="256"/>
      <c r="R370" s="256"/>
      <c r="S370" s="256"/>
      <c r="T370" s="256"/>
      <c r="U370" s="256"/>
      <c r="V370" s="256"/>
      <c r="W370" s="256"/>
      <c r="X370" s="256"/>
      <c r="Y370" s="256"/>
      <c r="Z370" s="256"/>
    </row>
    <row r="371" spans="16:26" ht="10.199999999999999" customHeight="1">
      <c r="P371" s="256"/>
      <c r="Q371" s="256"/>
      <c r="R371" s="256"/>
      <c r="S371" s="256"/>
      <c r="T371" s="256"/>
      <c r="U371" s="256"/>
      <c r="V371" s="256"/>
      <c r="W371" s="256"/>
      <c r="X371" s="256"/>
      <c r="Y371" s="256"/>
      <c r="Z371" s="256"/>
    </row>
    <row r="372" spans="16:26" ht="10.199999999999999" customHeight="1">
      <c r="P372" s="254"/>
      <c r="Q372" s="254"/>
      <c r="R372" s="254"/>
      <c r="S372" s="254"/>
      <c r="T372" s="254"/>
      <c r="U372" s="254"/>
      <c r="V372" s="254"/>
      <c r="W372" s="254"/>
      <c r="X372" s="254"/>
      <c r="Y372" s="254"/>
      <c r="Z372" s="254"/>
    </row>
    <row r="373" spans="16:26" ht="10.199999999999999" customHeight="1">
      <c r="P373" s="256"/>
      <c r="Q373" s="256"/>
      <c r="R373" s="256"/>
      <c r="S373" s="256"/>
      <c r="T373" s="256"/>
      <c r="U373" s="256"/>
      <c r="V373" s="256"/>
      <c r="W373" s="256"/>
      <c r="X373" s="256"/>
      <c r="Y373" s="256"/>
      <c r="Z373" s="256"/>
    </row>
    <row r="374" spans="16:26" ht="10.199999999999999" customHeight="1">
      <c r="P374" s="256"/>
      <c r="Q374" s="256"/>
      <c r="R374" s="256"/>
      <c r="S374" s="256"/>
      <c r="T374" s="256"/>
      <c r="U374" s="256"/>
      <c r="V374" s="256"/>
      <c r="W374" s="256"/>
      <c r="X374" s="256"/>
      <c r="Y374" s="256"/>
      <c r="Z374" s="256"/>
    </row>
    <row r="375" spans="16:26" ht="10.199999999999999" customHeight="1">
      <c r="P375" s="254"/>
      <c r="Q375" s="254"/>
      <c r="R375" s="254"/>
      <c r="S375" s="254"/>
      <c r="T375" s="254"/>
      <c r="U375" s="254"/>
      <c r="V375" s="254"/>
      <c r="W375" s="254"/>
      <c r="X375" s="254"/>
      <c r="Y375" s="254"/>
      <c r="Z375" s="254"/>
    </row>
    <row r="376" spans="16:26" ht="10.199999999999999" customHeight="1">
      <c r="P376" s="256"/>
      <c r="Q376" s="256"/>
      <c r="R376" s="256"/>
      <c r="S376" s="256"/>
      <c r="T376" s="256"/>
      <c r="U376" s="256"/>
      <c r="V376" s="256"/>
      <c r="W376" s="256"/>
      <c r="X376" s="256"/>
      <c r="Y376" s="256"/>
      <c r="Z376" s="256"/>
    </row>
    <row r="377" spans="16:26" ht="10.199999999999999" customHeight="1">
      <c r="P377" s="256"/>
      <c r="Q377" s="256"/>
      <c r="R377" s="256"/>
      <c r="S377" s="256"/>
      <c r="T377" s="256"/>
      <c r="U377" s="256"/>
      <c r="V377" s="256"/>
      <c r="W377" s="256"/>
      <c r="X377" s="256"/>
      <c r="Y377" s="256"/>
      <c r="Z377" s="256"/>
    </row>
    <row r="378" spans="16:26" ht="10.199999999999999" customHeight="1">
      <c r="P378" s="254"/>
      <c r="Q378" s="254"/>
      <c r="R378" s="254"/>
      <c r="S378" s="254"/>
      <c r="T378" s="254"/>
      <c r="U378" s="254"/>
      <c r="V378" s="254"/>
      <c r="W378" s="254"/>
      <c r="X378" s="254"/>
      <c r="Y378" s="254"/>
      <c r="Z378" s="254"/>
    </row>
    <row r="379" spans="16:26" ht="10.199999999999999" customHeight="1">
      <c r="P379" s="256"/>
      <c r="Q379" s="256"/>
      <c r="R379" s="256"/>
      <c r="S379" s="256"/>
      <c r="T379" s="256"/>
      <c r="U379" s="256"/>
      <c r="V379" s="256"/>
      <c r="W379" s="256"/>
      <c r="X379" s="256"/>
      <c r="Y379" s="256"/>
      <c r="Z379" s="256"/>
    </row>
    <row r="380" spans="16:26" ht="10.199999999999999" customHeight="1">
      <c r="P380" s="256"/>
      <c r="Q380" s="256"/>
      <c r="R380" s="256"/>
      <c r="S380" s="256"/>
      <c r="T380" s="256"/>
      <c r="U380" s="256"/>
      <c r="V380" s="256"/>
      <c r="W380" s="256"/>
      <c r="X380" s="256"/>
      <c r="Y380" s="256"/>
      <c r="Z380" s="256"/>
    </row>
    <row r="381" spans="16:26" ht="10.199999999999999" customHeight="1">
      <c r="P381" s="254"/>
      <c r="Q381" s="254"/>
      <c r="R381" s="254"/>
      <c r="S381" s="254"/>
      <c r="T381" s="254"/>
      <c r="U381" s="254"/>
      <c r="V381" s="254"/>
      <c r="W381" s="254"/>
      <c r="X381" s="254"/>
      <c r="Y381" s="254"/>
      <c r="Z381" s="254"/>
    </row>
    <row r="382" spans="16:26" ht="10.199999999999999" customHeight="1">
      <c r="P382" s="256"/>
      <c r="Q382" s="256"/>
      <c r="R382" s="256"/>
      <c r="S382" s="256"/>
      <c r="T382" s="256"/>
      <c r="U382" s="256"/>
      <c r="V382" s="256"/>
      <c r="W382" s="256"/>
      <c r="X382" s="256"/>
      <c r="Y382" s="256"/>
      <c r="Z382" s="256"/>
    </row>
    <row r="383" spans="16:26" ht="10.199999999999999" customHeight="1">
      <c r="P383" s="256"/>
      <c r="Q383" s="256"/>
      <c r="R383" s="256"/>
      <c r="S383" s="256"/>
      <c r="T383" s="256"/>
      <c r="U383" s="256"/>
      <c r="V383" s="256"/>
      <c r="W383" s="256"/>
      <c r="X383" s="256"/>
      <c r="Y383" s="256"/>
      <c r="Z383" s="256"/>
    </row>
    <row r="384" spans="16:26" ht="10.199999999999999" customHeight="1">
      <c r="P384" s="254"/>
      <c r="Q384" s="254"/>
      <c r="R384" s="254"/>
      <c r="S384" s="254"/>
      <c r="T384" s="254"/>
      <c r="U384" s="254"/>
      <c r="V384" s="254"/>
      <c r="W384" s="254"/>
      <c r="X384" s="254"/>
      <c r="Y384" s="254"/>
      <c r="Z384" s="254"/>
    </row>
    <row r="385" spans="16:26" ht="10.199999999999999" customHeight="1">
      <c r="P385" s="256"/>
      <c r="Q385" s="256"/>
      <c r="R385" s="256"/>
      <c r="S385" s="256"/>
      <c r="T385" s="256"/>
      <c r="U385" s="256"/>
      <c r="V385" s="256"/>
      <c r="W385" s="256"/>
      <c r="X385" s="256"/>
      <c r="Y385" s="256"/>
      <c r="Z385" s="256"/>
    </row>
    <row r="386" spans="16:26" ht="10.199999999999999" customHeight="1">
      <c r="P386" s="256"/>
      <c r="Q386" s="256"/>
      <c r="R386" s="256"/>
      <c r="S386" s="256"/>
      <c r="T386" s="256"/>
      <c r="U386" s="256"/>
      <c r="V386" s="256"/>
      <c r="W386" s="256"/>
      <c r="X386" s="256"/>
      <c r="Y386" s="256"/>
      <c r="Z386" s="256"/>
    </row>
    <row r="387" spans="16:26" ht="10.199999999999999" customHeight="1">
      <c r="P387" s="254"/>
      <c r="Q387" s="254"/>
      <c r="R387" s="254"/>
      <c r="S387" s="254"/>
      <c r="T387" s="254"/>
      <c r="U387" s="254"/>
      <c r="V387" s="254"/>
      <c r="W387" s="254"/>
      <c r="X387" s="254"/>
      <c r="Y387" s="254"/>
      <c r="Z387" s="254"/>
    </row>
    <row r="388" spans="16:26" ht="10.199999999999999" customHeight="1">
      <c r="P388" s="256"/>
      <c r="Q388" s="256"/>
      <c r="R388" s="256"/>
      <c r="S388" s="256"/>
      <c r="T388" s="256"/>
      <c r="U388" s="256"/>
      <c r="V388" s="256"/>
      <c r="W388" s="256"/>
      <c r="X388" s="256"/>
      <c r="Y388" s="256"/>
      <c r="Z388" s="256"/>
    </row>
    <row r="389" spans="16:26" ht="10.199999999999999" customHeight="1">
      <c r="P389" s="256"/>
      <c r="Q389" s="256"/>
      <c r="R389" s="256"/>
      <c r="S389" s="256"/>
      <c r="T389" s="256"/>
      <c r="U389" s="256"/>
      <c r="V389" s="256"/>
      <c r="W389" s="256"/>
      <c r="X389" s="256"/>
      <c r="Y389" s="256"/>
      <c r="Z389" s="256"/>
    </row>
    <row r="390" spans="16:26" ht="10.199999999999999" customHeight="1">
      <c r="P390" s="254"/>
      <c r="Q390" s="254"/>
      <c r="R390" s="254"/>
      <c r="S390" s="254"/>
      <c r="T390" s="254"/>
      <c r="U390" s="254"/>
      <c r="V390" s="254"/>
      <c r="W390" s="254"/>
      <c r="X390" s="254"/>
      <c r="Y390" s="254"/>
      <c r="Z390" s="254"/>
    </row>
    <row r="391" spans="16:26" ht="10.199999999999999" customHeight="1">
      <c r="P391" s="256"/>
      <c r="Q391" s="256"/>
      <c r="R391" s="256"/>
      <c r="S391" s="256"/>
      <c r="T391" s="256"/>
      <c r="U391" s="256"/>
      <c r="V391" s="256"/>
      <c r="W391" s="256"/>
      <c r="X391" s="256"/>
      <c r="Y391" s="256"/>
      <c r="Z391" s="256"/>
    </row>
    <row r="392" spans="16:26" ht="10.199999999999999" customHeight="1">
      <c r="P392" s="256"/>
      <c r="Q392" s="256"/>
      <c r="R392" s="256"/>
      <c r="S392" s="256"/>
      <c r="T392" s="256"/>
      <c r="U392" s="256"/>
      <c r="V392" s="256"/>
      <c r="W392" s="256"/>
      <c r="X392" s="256"/>
      <c r="Y392" s="256"/>
      <c r="Z392" s="256"/>
    </row>
    <row r="393" spans="16:26" ht="10.199999999999999" customHeight="1">
      <c r="P393" s="254"/>
      <c r="Q393" s="254"/>
      <c r="R393" s="254"/>
      <c r="S393" s="254"/>
      <c r="T393" s="254"/>
      <c r="U393" s="254"/>
      <c r="V393" s="254"/>
      <c r="W393" s="254"/>
      <c r="X393" s="254"/>
      <c r="Y393" s="254"/>
      <c r="Z393" s="254"/>
    </row>
    <row r="394" spans="16:26" ht="10.199999999999999" customHeight="1">
      <c r="P394" s="256"/>
      <c r="Q394" s="256"/>
      <c r="R394" s="256"/>
      <c r="S394" s="256"/>
      <c r="T394" s="256"/>
      <c r="U394" s="256"/>
      <c r="V394" s="256"/>
      <c r="W394" s="256"/>
      <c r="X394" s="256"/>
      <c r="Y394" s="256"/>
      <c r="Z394" s="256"/>
    </row>
    <row r="395" spans="16:26" ht="10.199999999999999" customHeight="1">
      <c r="P395" s="256"/>
      <c r="Q395" s="256"/>
      <c r="R395" s="256"/>
      <c r="S395" s="256"/>
      <c r="T395" s="256"/>
      <c r="U395" s="256"/>
      <c r="V395" s="256"/>
      <c r="W395" s="256"/>
      <c r="X395" s="256"/>
      <c r="Y395" s="256"/>
      <c r="Z395" s="256"/>
    </row>
    <row r="396" spans="16:26" ht="10.199999999999999" customHeight="1">
      <c r="P396" s="254"/>
      <c r="Q396" s="254"/>
      <c r="R396" s="254"/>
      <c r="S396" s="254"/>
      <c r="T396" s="254"/>
      <c r="U396" s="254"/>
      <c r="V396" s="254"/>
      <c r="W396" s="254"/>
      <c r="X396" s="254"/>
      <c r="Y396" s="254"/>
      <c r="Z396" s="254"/>
    </row>
    <row r="397" spans="16:26" ht="10.199999999999999" customHeight="1">
      <c r="P397" s="256"/>
      <c r="Q397" s="256"/>
      <c r="R397" s="256"/>
      <c r="S397" s="256"/>
      <c r="T397" s="256"/>
      <c r="U397" s="256"/>
      <c r="V397" s="256"/>
      <c r="W397" s="256"/>
      <c r="X397" s="256"/>
      <c r="Y397" s="256"/>
      <c r="Z397" s="256"/>
    </row>
    <row r="398" spans="16:26" ht="10.199999999999999" customHeight="1">
      <c r="P398" s="256"/>
      <c r="Q398" s="256"/>
      <c r="R398" s="256"/>
      <c r="S398" s="256"/>
      <c r="T398" s="256"/>
      <c r="U398" s="256"/>
      <c r="V398" s="256"/>
      <c r="W398" s="256"/>
      <c r="X398" s="256"/>
      <c r="Y398" s="256"/>
      <c r="Z398" s="256"/>
    </row>
    <row r="399" spans="16:26" ht="10.199999999999999" customHeight="1">
      <c r="P399" s="254"/>
      <c r="Q399" s="254"/>
      <c r="R399" s="254"/>
      <c r="S399" s="254"/>
      <c r="T399" s="254"/>
      <c r="U399" s="254"/>
      <c r="V399" s="254"/>
      <c r="W399" s="254"/>
      <c r="X399" s="254"/>
      <c r="Y399" s="254"/>
      <c r="Z399" s="254"/>
    </row>
    <row r="400" spans="16:26" ht="10.199999999999999" customHeight="1">
      <c r="P400" s="256"/>
      <c r="Q400" s="256"/>
      <c r="R400" s="256"/>
      <c r="S400" s="256"/>
      <c r="T400" s="256"/>
      <c r="U400" s="256"/>
      <c r="V400" s="256"/>
      <c r="W400" s="256"/>
      <c r="X400" s="256"/>
      <c r="Y400" s="256"/>
      <c r="Z400" s="256"/>
    </row>
    <row r="401" spans="16:26" ht="10.199999999999999" customHeight="1">
      <c r="P401" s="256"/>
      <c r="Q401" s="256"/>
      <c r="R401" s="256"/>
      <c r="S401" s="256"/>
      <c r="T401" s="256"/>
      <c r="U401" s="256"/>
      <c r="V401" s="256"/>
      <c r="W401" s="256"/>
      <c r="X401" s="256"/>
      <c r="Y401" s="256"/>
      <c r="Z401" s="256"/>
    </row>
    <row r="402" spans="16:26" ht="10.199999999999999" customHeight="1">
      <c r="P402" s="254"/>
      <c r="Q402" s="254"/>
      <c r="R402" s="254"/>
      <c r="S402" s="254"/>
      <c r="T402" s="254"/>
      <c r="U402" s="254"/>
      <c r="V402" s="254"/>
      <c r="W402" s="254"/>
      <c r="X402" s="254"/>
      <c r="Y402" s="254"/>
      <c r="Z402" s="254"/>
    </row>
    <row r="403" spans="16:26" ht="10.199999999999999" customHeight="1">
      <c r="P403" s="256"/>
      <c r="Q403" s="256"/>
      <c r="R403" s="256"/>
      <c r="S403" s="256"/>
      <c r="T403" s="256"/>
      <c r="U403" s="256"/>
      <c r="V403" s="256"/>
      <c r="W403" s="256"/>
      <c r="X403" s="256"/>
      <c r="Y403" s="256"/>
      <c r="Z403" s="256"/>
    </row>
    <row r="404" spans="16:26" ht="10.199999999999999" customHeight="1">
      <c r="P404" s="256"/>
      <c r="Q404" s="256"/>
      <c r="R404" s="256"/>
      <c r="S404" s="256"/>
      <c r="T404" s="256"/>
      <c r="U404" s="256"/>
      <c r="V404" s="256"/>
      <c r="W404" s="256"/>
      <c r="X404" s="256"/>
      <c r="Y404" s="256"/>
      <c r="Z404" s="256"/>
    </row>
    <row r="405" spans="16:26" ht="10.199999999999999" customHeight="1">
      <c r="P405" s="254"/>
      <c r="Q405" s="254"/>
      <c r="R405" s="254"/>
      <c r="S405" s="254"/>
      <c r="T405" s="254"/>
      <c r="U405" s="254"/>
      <c r="V405" s="254"/>
      <c r="W405" s="254"/>
      <c r="X405" s="254"/>
      <c r="Y405" s="254"/>
      <c r="Z405" s="254"/>
    </row>
    <row r="406" spans="16:26" ht="10.199999999999999" customHeight="1">
      <c r="P406" s="256"/>
      <c r="Q406" s="256"/>
      <c r="R406" s="256"/>
      <c r="S406" s="256"/>
      <c r="T406" s="256"/>
      <c r="U406" s="256"/>
      <c r="V406" s="256"/>
      <c r="W406" s="256"/>
      <c r="X406" s="256"/>
      <c r="Y406" s="256"/>
      <c r="Z406" s="256"/>
    </row>
    <row r="407" spans="16:26" ht="10.199999999999999" customHeight="1">
      <c r="P407" s="256"/>
      <c r="Q407" s="256"/>
      <c r="R407" s="256"/>
      <c r="S407" s="256"/>
      <c r="T407" s="256"/>
      <c r="U407" s="256"/>
      <c r="V407" s="256"/>
      <c r="W407" s="256"/>
      <c r="X407" s="256"/>
      <c r="Y407" s="256"/>
      <c r="Z407" s="256"/>
    </row>
    <row r="408" spans="16:26" ht="10.199999999999999" customHeight="1">
      <c r="P408" s="254"/>
      <c r="Q408" s="254"/>
      <c r="R408" s="254"/>
      <c r="S408" s="254"/>
      <c r="T408" s="254"/>
      <c r="U408" s="254"/>
      <c r="V408" s="254"/>
      <c r="W408" s="254"/>
      <c r="X408" s="254"/>
      <c r="Y408" s="254"/>
      <c r="Z408" s="254"/>
    </row>
    <row r="409" spans="16:26" ht="10.199999999999999" customHeight="1">
      <c r="P409" s="256"/>
      <c r="Q409" s="256"/>
      <c r="R409" s="256"/>
      <c r="S409" s="256"/>
      <c r="T409" s="256"/>
      <c r="U409" s="256"/>
      <c r="V409" s="256"/>
      <c r="W409" s="256"/>
      <c r="X409" s="256"/>
      <c r="Y409" s="256"/>
      <c r="Z409" s="256"/>
    </row>
    <row r="410" spans="16:26" ht="10.199999999999999" customHeight="1">
      <c r="P410" s="256"/>
      <c r="Q410" s="256"/>
      <c r="R410" s="256"/>
      <c r="S410" s="256"/>
      <c r="T410" s="256"/>
      <c r="U410" s="256"/>
      <c r="V410" s="256"/>
      <c r="W410" s="256"/>
      <c r="X410" s="256"/>
      <c r="Y410" s="256"/>
      <c r="Z410" s="256"/>
    </row>
    <row r="411" spans="16:26" ht="10.199999999999999" customHeight="1">
      <c r="P411" s="254"/>
      <c r="Q411" s="254"/>
      <c r="R411" s="254"/>
      <c r="S411" s="254"/>
      <c r="T411" s="254"/>
      <c r="U411" s="254"/>
      <c r="V411" s="254"/>
      <c r="W411" s="254"/>
      <c r="X411" s="254"/>
      <c r="Y411" s="254"/>
      <c r="Z411" s="254"/>
    </row>
    <row r="412" spans="16:26" ht="10.199999999999999" customHeight="1">
      <c r="P412" s="256"/>
      <c r="Q412" s="256"/>
      <c r="R412" s="256"/>
      <c r="S412" s="256"/>
      <c r="T412" s="256"/>
      <c r="U412" s="256"/>
      <c r="V412" s="256"/>
      <c r="W412" s="256"/>
      <c r="X412" s="256"/>
      <c r="Y412" s="256"/>
      <c r="Z412" s="256"/>
    </row>
    <row r="413" spans="16:26" ht="10.199999999999999" customHeight="1">
      <c r="P413" s="256"/>
      <c r="Q413" s="256"/>
      <c r="R413" s="256"/>
      <c r="S413" s="256"/>
      <c r="T413" s="256"/>
      <c r="U413" s="256"/>
      <c r="V413" s="256"/>
      <c r="W413" s="256"/>
      <c r="X413" s="256"/>
      <c r="Y413" s="256"/>
      <c r="Z413" s="256"/>
    </row>
    <row r="414" spans="16:26" ht="10.199999999999999" customHeight="1">
      <c r="P414" s="254"/>
      <c r="Q414" s="254"/>
      <c r="R414" s="254"/>
      <c r="S414" s="254"/>
      <c r="T414" s="254"/>
      <c r="U414" s="254"/>
      <c r="V414" s="254"/>
      <c r="W414" s="254"/>
      <c r="X414" s="254"/>
      <c r="Y414" s="254"/>
      <c r="Z414" s="254"/>
    </row>
    <row r="415" spans="16:26" ht="10.199999999999999" customHeight="1">
      <c r="P415" s="256"/>
      <c r="Q415" s="256"/>
      <c r="R415" s="256"/>
      <c r="S415" s="256"/>
      <c r="T415" s="256"/>
      <c r="U415" s="256"/>
      <c r="V415" s="256"/>
      <c r="W415" s="256"/>
      <c r="X415" s="256"/>
      <c r="Y415" s="256"/>
      <c r="Z415" s="256"/>
    </row>
    <row r="416" spans="16:26" ht="10.199999999999999" customHeight="1">
      <c r="P416" s="256"/>
      <c r="Q416" s="256"/>
      <c r="R416" s="256"/>
      <c r="S416" s="256"/>
      <c r="T416" s="256"/>
      <c r="U416" s="256"/>
      <c r="V416" s="256"/>
      <c r="W416" s="256"/>
      <c r="X416" s="256"/>
      <c r="Y416" s="256"/>
      <c r="Z416" s="256"/>
    </row>
    <row r="417" spans="16:26" ht="10.199999999999999" customHeight="1">
      <c r="P417" s="254"/>
      <c r="Q417" s="254"/>
      <c r="R417" s="254"/>
      <c r="S417" s="254"/>
      <c r="T417" s="254"/>
      <c r="U417" s="254"/>
      <c r="V417" s="254"/>
      <c r="W417" s="254"/>
      <c r="X417" s="254"/>
      <c r="Y417" s="254"/>
      <c r="Z417" s="254"/>
    </row>
    <row r="418" spans="16:26" ht="10.199999999999999" customHeight="1">
      <c r="P418" s="256"/>
      <c r="Q418" s="256"/>
      <c r="R418" s="256"/>
      <c r="S418" s="256"/>
      <c r="T418" s="256"/>
      <c r="U418" s="256"/>
      <c r="V418" s="256"/>
      <c r="W418" s="256"/>
      <c r="X418" s="256"/>
      <c r="Y418" s="256"/>
      <c r="Z418" s="256"/>
    </row>
    <row r="419" spans="16:26" ht="10.199999999999999" customHeight="1">
      <c r="P419" s="256"/>
      <c r="Q419" s="256"/>
      <c r="R419" s="256"/>
      <c r="S419" s="256"/>
      <c r="T419" s="256"/>
      <c r="U419" s="256"/>
      <c r="V419" s="256"/>
      <c r="W419" s="256"/>
      <c r="X419" s="256"/>
      <c r="Y419" s="256"/>
      <c r="Z419" s="256"/>
    </row>
    <row r="420" spans="16:26" ht="10.199999999999999" customHeight="1">
      <c r="P420" s="254"/>
      <c r="Q420" s="254"/>
      <c r="R420" s="254"/>
      <c r="S420" s="254"/>
      <c r="T420" s="254"/>
      <c r="U420" s="254"/>
      <c r="V420" s="254"/>
      <c r="W420" s="254"/>
      <c r="X420" s="254"/>
      <c r="Y420" s="254"/>
      <c r="Z420" s="254"/>
    </row>
    <row r="421" spans="16:26" ht="10.199999999999999" customHeight="1">
      <c r="P421" s="256"/>
      <c r="Q421" s="256"/>
      <c r="R421" s="256"/>
      <c r="S421" s="256"/>
      <c r="T421" s="256"/>
      <c r="U421" s="256"/>
      <c r="V421" s="256"/>
      <c r="W421" s="256"/>
      <c r="X421" s="256"/>
      <c r="Y421" s="256"/>
      <c r="Z421" s="256"/>
    </row>
    <row r="422" spans="16:26" ht="10.199999999999999" customHeight="1">
      <c r="P422" s="256"/>
      <c r="Q422" s="256"/>
      <c r="R422" s="256"/>
      <c r="S422" s="256"/>
      <c r="T422" s="256"/>
      <c r="U422" s="256"/>
      <c r="V422" s="256"/>
      <c r="W422" s="256"/>
      <c r="X422" s="256"/>
      <c r="Y422" s="256"/>
      <c r="Z422" s="256"/>
    </row>
    <row r="423" spans="16:26" ht="10.199999999999999" customHeight="1">
      <c r="P423" s="254"/>
      <c r="Q423" s="254"/>
      <c r="R423" s="254"/>
      <c r="S423" s="254"/>
      <c r="T423" s="254"/>
      <c r="U423" s="254"/>
      <c r="V423" s="254"/>
      <c r="W423" s="254"/>
      <c r="X423" s="254"/>
      <c r="Y423" s="254"/>
      <c r="Z423" s="254"/>
    </row>
    <row r="424" spans="16:26" ht="10.199999999999999" customHeight="1">
      <c r="P424" s="256"/>
      <c r="Q424" s="256"/>
      <c r="R424" s="256"/>
      <c r="S424" s="256"/>
      <c r="T424" s="256"/>
      <c r="U424" s="256"/>
      <c r="V424" s="256"/>
      <c r="W424" s="256"/>
      <c r="X424" s="256"/>
      <c r="Y424" s="256"/>
      <c r="Z424" s="256"/>
    </row>
    <row r="425" spans="16:26" ht="10.199999999999999" customHeight="1">
      <c r="P425" s="256"/>
      <c r="Q425" s="256"/>
      <c r="R425" s="256"/>
      <c r="S425" s="256"/>
      <c r="T425" s="256"/>
      <c r="U425" s="256"/>
      <c r="V425" s="256"/>
      <c r="W425" s="256"/>
      <c r="X425" s="256"/>
      <c r="Y425" s="256"/>
      <c r="Z425" s="256"/>
    </row>
    <row r="426" spans="16:26" ht="10.199999999999999" customHeight="1">
      <c r="P426" s="254"/>
      <c r="Q426" s="254"/>
      <c r="R426" s="254"/>
      <c r="S426" s="254"/>
      <c r="T426" s="254"/>
      <c r="U426" s="254"/>
      <c r="V426" s="254"/>
      <c r="W426" s="254"/>
      <c r="X426" s="254"/>
      <c r="Y426" s="254"/>
      <c r="Z426" s="254"/>
    </row>
    <row r="427" spans="16:26" ht="10.199999999999999" customHeight="1">
      <c r="P427" s="256"/>
      <c r="Q427" s="256"/>
      <c r="R427" s="256"/>
      <c r="S427" s="256"/>
      <c r="T427" s="256"/>
      <c r="U427" s="256"/>
      <c r="V427" s="256"/>
      <c r="W427" s="256"/>
      <c r="X427" s="256"/>
      <c r="Y427" s="256"/>
      <c r="Z427" s="256"/>
    </row>
    <row r="428" spans="16:26" ht="10.199999999999999" customHeight="1">
      <c r="P428" s="256"/>
      <c r="Q428" s="256"/>
      <c r="R428" s="256"/>
      <c r="S428" s="256"/>
      <c r="T428" s="256"/>
      <c r="U428" s="256"/>
      <c r="V428" s="256"/>
      <c r="W428" s="256"/>
      <c r="X428" s="256"/>
      <c r="Y428" s="256"/>
      <c r="Z428" s="256"/>
    </row>
    <row r="429" spans="16:26" ht="10.199999999999999" customHeight="1">
      <c r="P429" s="254"/>
      <c r="Q429" s="254"/>
      <c r="R429" s="254"/>
      <c r="S429" s="254"/>
      <c r="T429" s="254"/>
      <c r="U429" s="254"/>
      <c r="V429" s="254"/>
      <c r="W429" s="254"/>
      <c r="X429" s="254"/>
      <c r="Y429" s="254"/>
      <c r="Z429" s="254"/>
    </row>
    <row r="430" spans="16:26" ht="10.199999999999999" customHeight="1">
      <c r="P430" s="256"/>
      <c r="Q430" s="256"/>
      <c r="R430" s="256"/>
      <c r="S430" s="256"/>
      <c r="T430" s="256"/>
      <c r="U430" s="256"/>
      <c r="V430" s="256"/>
      <c r="W430" s="256"/>
      <c r="X430" s="256"/>
      <c r="Y430" s="256"/>
      <c r="Z430" s="256"/>
    </row>
    <row r="431" spans="16:26" ht="10.199999999999999" customHeight="1">
      <c r="P431" s="256"/>
      <c r="Q431" s="256"/>
      <c r="R431" s="256"/>
      <c r="S431" s="256"/>
      <c r="T431" s="256"/>
      <c r="U431" s="256"/>
      <c r="V431" s="256"/>
      <c r="W431" s="256"/>
      <c r="X431" s="256"/>
      <c r="Y431" s="256"/>
      <c r="Z431" s="256"/>
    </row>
    <row r="432" spans="16:26" ht="10.199999999999999" customHeight="1">
      <c r="P432" s="254"/>
      <c r="Q432" s="254"/>
      <c r="R432" s="254"/>
      <c r="S432" s="254"/>
      <c r="T432" s="254"/>
      <c r="U432" s="254"/>
      <c r="V432" s="254"/>
      <c r="W432" s="254"/>
      <c r="X432" s="254"/>
      <c r="Y432" s="254"/>
      <c r="Z432" s="254"/>
    </row>
    <row r="433" spans="16:26" ht="10.199999999999999" customHeight="1">
      <c r="P433" s="256"/>
      <c r="Q433" s="256"/>
      <c r="R433" s="256"/>
      <c r="S433" s="256"/>
      <c r="T433" s="256"/>
      <c r="U433" s="256"/>
      <c r="V433" s="256"/>
      <c r="W433" s="256"/>
      <c r="X433" s="256"/>
      <c r="Y433" s="256"/>
      <c r="Z433" s="256"/>
    </row>
    <row r="434" spans="16:26" ht="10.199999999999999" customHeight="1">
      <c r="P434" s="256"/>
      <c r="Q434" s="256"/>
      <c r="R434" s="256"/>
      <c r="S434" s="256"/>
      <c r="T434" s="256"/>
      <c r="U434" s="256"/>
      <c r="V434" s="256"/>
      <c r="W434" s="256"/>
      <c r="X434" s="256"/>
      <c r="Y434" s="256"/>
      <c r="Z434" s="256"/>
    </row>
    <row r="435" spans="16:26" ht="10.199999999999999" customHeight="1">
      <c r="P435" s="254"/>
      <c r="Q435" s="254"/>
      <c r="R435" s="254"/>
      <c r="S435" s="254"/>
      <c r="T435" s="254"/>
      <c r="U435" s="254"/>
      <c r="V435" s="254"/>
      <c r="W435" s="254"/>
      <c r="X435" s="254"/>
      <c r="Y435" s="254"/>
      <c r="Z435" s="254"/>
    </row>
    <row r="436" spans="16:26" ht="10.199999999999999" customHeight="1">
      <c r="P436" s="256"/>
      <c r="Q436" s="256"/>
      <c r="R436" s="256"/>
      <c r="S436" s="256"/>
      <c r="T436" s="256"/>
      <c r="U436" s="256"/>
      <c r="V436" s="256"/>
      <c r="W436" s="256"/>
      <c r="X436" s="256"/>
      <c r="Y436" s="256"/>
      <c r="Z436" s="256"/>
    </row>
    <row r="437" spans="16:26" ht="10.199999999999999" customHeight="1">
      <c r="P437" s="256"/>
      <c r="Q437" s="256"/>
      <c r="R437" s="256"/>
      <c r="S437" s="256"/>
      <c r="T437" s="256"/>
      <c r="U437" s="256"/>
      <c r="V437" s="256"/>
      <c r="W437" s="256"/>
      <c r="X437" s="256"/>
      <c r="Y437" s="256"/>
      <c r="Z437" s="256"/>
    </row>
    <row r="438" spans="16:26" ht="10.199999999999999" customHeight="1">
      <c r="P438" s="254"/>
      <c r="Q438" s="254"/>
      <c r="R438" s="254"/>
      <c r="S438" s="254"/>
      <c r="T438" s="254"/>
      <c r="U438" s="254"/>
      <c r="V438" s="254"/>
      <c r="W438" s="254"/>
      <c r="X438" s="254"/>
      <c r="Y438" s="254"/>
      <c r="Z438" s="254"/>
    </row>
    <row r="439" spans="16:26" ht="10.199999999999999" customHeight="1">
      <c r="P439" s="256"/>
      <c r="Q439" s="256"/>
      <c r="R439" s="256"/>
      <c r="S439" s="256"/>
      <c r="T439" s="256"/>
      <c r="U439" s="256"/>
      <c r="V439" s="256"/>
      <c r="W439" s="256"/>
      <c r="X439" s="256"/>
      <c r="Y439" s="256"/>
      <c r="Z439" s="256"/>
    </row>
    <row r="440" spans="16:26" ht="10.199999999999999" customHeight="1">
      <c r="P440" s="256"/>
      <c r="Q440" s="256"/>
      <c r="R440" s="256"/>
      <c r="S440" s="256"/>
      <c r="T440" s="256"/>
      <c r="U440" s="256"/>
      <c r="V440" s="256"/>
      <c r="W440" s="256"/>
      <c r="X440" s="256"/>
      <c r="Y440" s="256"/>
      <c r="Z440" s="256"/>
    </row>
    <row r="441" spans="16:26" ht="10.199999999999999" customHeight="1">
      <c r="P441" s="254"/>
      <c r="Q441" s="254"/>
      <c r="R441" s="254"/>
      <c r="S441" s="254"/>
      <c r="T441" s="254"/>
      <c r="U441" s="254"/>
      <c r="V441" s="254"/>
      <c r="W441" s="254"/>
      <c r="X441" s="254"/>
      <c r="Y441" s="254"/>
      <c r="Z441" s="254"/>
    </row>
    <row r="442" spans="16:26" ht="10.199999999999999" customHeight="1">
      <c r="P442" s="256"/>
      <c r="Q442" s="256"/>
      <c r="R442" s="256"/>
      <c r="S442" s="256"/>
      <c r="T442" s="256"/>
      <c r="U442" s="256"/>
      <c r="V442" s="256"/>
      <c r="W442" s="256"/>
      <c r="X442" s="256"/>
      <c r="Y442" s="256"/>
      <c r="Z442" s="256"/>
    </row>
    <row r="443" spans="16:26" ht="10.199999999999999" customHeight="1">
      <c r="P443" s="256"/>
      <c r="Q443" s="256"/>
      <c r="R443" s="256"/>
      <c r="S443" s="256"/>
      <c r="T443" s="256"/>
      <c r="U443" s="256"/>
      <c r="V443" s="256"/>
      <c r="W443" s="256"/>
      <c r="X443" s="256"/>
      <c r="Y443" s="256"/>
      <c r="Z443" s="256"/>
    </row>
    <row r="444" spans="16:26" ht="10.199999999999999" customHeight="1">
      <c r="P444" s="254"/>
      <c r="Q444" s="254"/>
      <c r="R444" s="254"/>
      <c r="S444" s="254"/>
      <c r="T444" s="254"/>
      <c r="U444" s="254"/>
      <c r="V444" s="254"/>
      <c r="W444" s="254"/>
      <c r="X444" s="254"/>
      <c r="Y444" s="254"/>
      <c r="Z444" s="254"/>
    </row>
    <row r="445" spans="16:26" ht="10.199999999999999" customHeight="1">
      <c r="P445" s="256"/>
      <c r="Q445" s="256"/>
      <c r="R445" s="256"/>
      <c r="S445" s="256"/>
      <c r="T445" s="256"/>
      <c r="U445" s="256"/>
      <c r="V445" s="256"/>
      <c r="W445" s="256"/>
      <c r="X445" s="256"/>
      <c r="Y445" s="256"/>
      <c r="Z445" s="256"/>
    </row>
    <row r="446" spans="16:26" ht="10.199999999999999" customHeight="1">
      <c r="P446" s="256"/>
      <c r="Q446" s="256"/>
      <c r="R446" s="256"/>
      <c r="S446" s="256"/>
      <c r="T446" s="256"/>
      <c r="U446" s="256"/>
      <c r="V446" s="256"/>
      <c r="W446" s="256"/>
      <c r="X446" s="256"/>
      <c r="Y446" s="256"/>
      <c r="Z446" s="256"/>
    </row>
    <row r="447" spans="16:26" ht="10.199999999999999" customHeight="1">
      <c r="P447" s="254"/>
      <c r="Q447" s="254"/>
      <c r="R447" s="254"/>
      <c r="S447" s="254"/>
      <c r="T447" s="254"/>
      <c r="U447" s="254"/>
      <c r="V447" s="254"/>
      <c r="W447" s="254"/>
      <c r="X447" s="254"/>
      <c r="Y447" s="254"/>
      <c r="Z447" s="254"/>
    </row>
    <row r="448" spans="16:26" ht="10.199999999999999" customHeight="1">
      <c r="P448" s="256"/>
      <c r="Q448" s="256"/>
      <c r="R448" s="256"/>
      <c r="S448" s="256"/>
      <c r="T448" s="256"/>
      <c r="U448" s="256"/>
      <c r="V448" s="256"/>
      <c r="W448" s="256"/>
      <c r="X448" s="256"/>
      <c r="Y448" s="256"/>
      <c r="Z448" s="256"/>
    </row>
    <row r="449" spans="16:26" ht="10.199999999999999" customHeight="1">
      <c r="P449" s="256"/>
      <c r="Q449" s="256"/>
      <c r="R449" s="256"/>
      <c r="S449" s="256"/>
      <c r="T449" s="256"/>
      <c r="U449" s="256"/>
      <c r="V449" s="256"/>
      <c r="W449" s="256"/>
      <c r="X449" s="256"/>
      <c r="Y449" s="256"/>
      <c r="Z449" s="256"/>
    </row>
    <row r="450" spans="16:26" ht="10.199999999999999" customHeight="1">
      <c r="P450" s="254"/>
      <c r="Q450" s="254"/>
      <c r="R450" s="254"/>
      <c r="S450" s="254"/>
      <c r="T450" s="254"/>
      <c r="U450" s="254"/>
      <c r="V450" s="254"/>
      <c r="W450" s="254"/>
      <c r="X450" s="254"/>
      <c r="Y450" s="254"/>
      <c r="Z450" s="254"/>
    </row>
    <row r="451" spans="16:26" ht="10.199999999999999" customHeight="1">
      <c r="P451" s="256"/>
      <c r="Q451" s="256"/>
      <c r="R451" s="256"/>
      <c r="S451" s="256"/>
      <c r="T451" s="256"/>
      <c r="U451" s="256"/>
      <c r="V451" s="256"/>
      <c r="W451" s="256"/>
      <c r="X451" s="256"/>
      <c r="Y451" s="256"/>
      <c r="Z451" s="256"/>
    </row>
    <row r="452" spans="16:26" ht="10.199999999999999" customHeight="1">
      <c r="P452" s="256"/>
      <c r="Q452" s="256"/>
      <c r="R452" s="256"/>
      <c r="S452" s="256"/>
      <c r="T452" s="256"/>
      <c r="U452" s="256"/>
      <c r="V452" s="256"/>
      <c r="W452" s="256"/>
      <c r="X452" s="256"/>
      <c r="Y452" s="256"/>
      <c r="Z452" s="256"/>
    </row>
    <row r="453" spans="16:26" ht="10.199999999999999" customHeight="1">
      <c r="P453" s="254"/>
      <c r="Q453" s="254"/>
      <c r="R453" s="254"/>
      <c r="S453" s="254"/>
      <c r="T453" s="254"/>
      <c r="U453" s="254"/>
      <c r="V453" s="254"/>
      <c r="W453" s="254"/>
      <c r="X453" s="254"/>
      <c r="Y453" s="254"/>
      <c r="Z453" s="254"/>
    </row>
    <row r="454" spans="16:26" ht="10.199999999999999" customHeight="1">
      <c r="P454" s="256"/>
      <c r="Q454" s="256"/>
      <c r="R454" s="256"/>
      <c r="S454" s="256"/>
      <c r="T454" s="256"/>
      <c r="U454" s="256"/>
      <c r="V454" s="256"/>
      <c r="W454" s="256"/>
      <c r="X454" s="256"/>
      <c r="Y454" s="256"/>
      <c r="Z454" s="256"/>
    </row>
    <row r="455" spans="16:26" ht="10.199999999999999" customHeight="1">
      <c r="P455" s="256"/>
      <c r="Q455" s="256"/>
      <c r="R455" s="256"/>
      <c r="S455" s="256"/>
      <c r="T455" s="256"/>
      <c r="U455" s="256"/>
      <c r="V455" s="256"/>
      <c r="W455" s="256"/>
      <c r="X455" s="256"/>
      <c r="Y455" s="256"/>
      <c r="Z455" s="256"/>
    </row>
    <row r="456" spans="16:26" ht="10.199999999999999" customHeight="1">
      <c r="P456" s="254"/>
      <c r="Q456" s="254"/>
      <c r="R456" s="254"/>
      <c r="S456" s="254"/>
      <c r="T456" s="254"/>
      <c r="U456" s="254"/>
      <c r="V456" s="254"/>
      <c r="W456" s="254"/>
      <c r="X456" s="254"/>
      <c r="Y456" s="254"/>
      <c r="Z456" s="254"/>
    </row>
    <row r="457" spans="16:26" ht="10.199999999999999" customHeight="1">
      <c r="P457" s="256"/>
      <c r="Q457" s="256"/>
      <c r="R457" s="256"/>
      <c r="S457" s="256"/>
      <c r="T457" s="256"/>
      <c r="U457" s="256"/>
      <c r="V457" s="256"/>
      <c r="W457" s="256"/>
      <c r="X457" s="256"/>
      <c r="Y457" s="256"/>
      <c r="Z457" s="256"/>
    </row>
    <row r="458" spans="16:26" ht="10.199999999999999" customHeight="1">
      <c r="P458" s="256"/>
      <c r="Q458" s="256"/>
      <c r="R458" s="256"/>
      <c r="S458" s="256"/>
      <c r="T458" s="256"/>
      <c r="U458" s="256"/>
      <c r="V458" s="256"/>
      <c r="W458" s="256"/>
      <c r="X458" s="256"/>
      <c r="Y458" s="256"/>
      <c r="Z458" s="256"/>
    </row>
    <row r="459" spans="16:26" ht="10.199999999999999" customHeight="1">
      <c r="P459" s="254"/>
      <c r="Q459" s="254"/>
      <c r="R459" s="254"/>
      <c r="S459" s="254"/>
      <c r="T459" s="254"/>
      <c r="U459" s="254"/>
      <c r="V459" s="254"/>
      <c r="W459" s="254"/>
      <c r="X459" s="254"/>
      <c r="Y459" s="254"/>
      <c r="Z459" s="254"/>
    </row>
    <row r="460" spans="16:26" ht="10.199999999999999" customHeight="1">
      <c r="P460" s="256"/>
      <c r="Q460" s="256"/>
      <c r="R460" s="256"/>
      <c r="S460" s="256"/>
      <c r="T460" s="256"/>
      <c r="U460" s="256"/>
      <c r="V460" s="256"/>
      <c r="W460" s="256"/>
      <c r="X460" s="256"/>
      <c r="Y460" s="256"/>
      <c r="Z460" s="256"/>
    </row>
    <row r="461" spans="16:26" ht="10.199999999999999" customHeight="1">
      <c r="P461" s="256"/>
      <c r="Q461" s="256"/>
      <c r="R461" s="256"/>
      <c r="S461" s="256"/>
      <c r="T461" s="256"/>
      <c r="U461" s="256"/>
      <c r="V461" s="256"/>
      <c r="W461" s="256"/>
      <c r="X461" s="256"/>
      <c r="Y461" s="256"/>
      <c r="Z461" s="256"/>
    </row>
    <row r="462" spans="16:26" ht="10.199999999999999" customHeight="1">
      <c r="P462" s="254"/>
      <c r="Q462" s="254"/>
      <c r="R462" s="254"/>
      <c r="S462" s="254"/>
      <c r="T462" s="254"/>
      <c r="U462" s="254"/>
      <c r="V462" s="254"/>
      <c r="W462" s="254"/>
      <c r="X462" s="254"/>
      <c r="Y462" s="254"/>
      <c r="Z462" s="254"/>
    </row>
    <row r="463" spans="16:26" ht="10.199999999999999" customHeight="1">
      <c r="P463" s="256"/>
      <c r="Q463" s="256"/>
      <c r="R463" s="256"/>
      <c r="S463" s="256"/>
      <c r="T463" s="256"/>
      <c r="U463" s="256"/>
      <c r="V463" s="256"/>
      <c r="W463" s="256"/>
      <c r="X463" s="256"/>
      <c r="Y463" s="256"/>
      <c r="Z463" s="256"/>
    </row>
    <row r="464" spans="16:26" ht="10.199999999999999" customHeight="1">
      <c r="P464" s="256"/>
      <c r="Q464" s="256"/>
      <c r="R464" s="256"/>
      <c r="S464" s="256"/>
      <c r="T464" s="256"/>
      <c r="U464" s="256"/>
      <c r="V464" s="256"/>
      <c r="W464" s="256"/>
      <c r="X464" s="256"/>
      <c r="Y464" s="256"/>
      <c r="Z464" s="256"/>
    </row>
    <row r="465" spans="16:26" ht="10.199999999999999" customHeight="1">
      <c r="P465" s="254"/>
      <c r="Q465" s="254"/>
      <c r="R465" s="254"/>
      <c r="S465" s="254"/>
      <c r="T465" s="254"/>
      <c r="U465" s="254"/>
      <c r="V465" s="254"/>
      <c r="W465" s="254"/>
      <c r="X465" s="254"/>
      <c r="Y465" s="254"/>
      <c r="Z465" s="254"/>
    </row>
    <row r="466" spans="16:26" ht="10.199999999999999" customHeight="1">
      <c r="P466" s="256"/>
      <c r="Q466" s="256"/>
      <c r="R466" s="256"/>
      <c r="S466" s="256"/>
      <c r="T466" s="256"/>
      <c r="U466" s="256"/>
      <c r="V466" s="256"/>
      <c r="W466" s="256"/>
      <c r="X466" s="256"/>
      <c r="Y466" s="256"/>
      <c r="Z466" s="256"/>
    </row>
    <row r="467" spans="16:26" ht="10.199999999999999" customHeight="1">
      <c r="P467" s="256"/>
      <c r="Q467" s="256"/>
      <c r="R467" s="256"/>
      <c r="S467" s="256"/>
      <c r="T467" s="256"/>
      <c r="U467" s="256"/>
      <c r="V467" s="256"/>
      <c r="W467" s="256"/>
      <c r="X467" s="256"/>
      <c r="Y467" s="256"/>
      <c r="Z467" s="256"/>
    </row>
    <row r="468" spans="16:26" ht="10.199999999999999" customHeight="1">
      <c r="P468" s="254"/>
      <c r="Q468" s="254"/>
      <c r="R468" s="254"/>
      <c r="S468" s="254"/>
      <c r="T468" s="254"/>
      <c r="U468" s="254"/>
      <c r="V468" s="254"/>
      <c r="W468" s="254"/>
      <c r="X468" s="254"/>
      <c r="Y468" s="254"/>
      <c r="Z468" s="254"/>
    </row>
    <row r="469" spans="16:26" ht="10.199999999999999" customHeight="1">
      <c r="P469" s="256"/>
      <c r="Q469" s="256"/>
      <c r="R469" s="256"/>
      <c r="S469" s="256"/>
      <c r="T469" s="256"/>
      <c r="U469" s="256"/>
      <c r="V469" s="256"/>
      <c r="W469" s="256"/>
      <c r="X469" s="256"/>
      <c r="Y469" s="256"/>
      <c r="Z469" s="256"/>
    </row>
    <row r="470" spans="16:26" ht="10.199999999999999" customHeight="1">
      <c r="P470" s="256"/>
      <c r="Q470" s="256"/>
      <c r="R470" s="256"/>
      <c r="S470" s="256"/>
      <c r="T470" s="256"/>
      <c r="U470" s="256"/>
      <c r="V470" s="256"/>
      <c r="W470" s="256"/>
      <c r="X470" s="256"/>
      <c r="Y470" s="256"/>
      <c r="Z470" s="256"/>
    </row>
    <row r="471" spans="16:26" ht="10.199999999999999" customHeight="1">
      <c r="P471" s="254"/>
      <c r="Q471" s="254"/>
      <c r="R471" s="254"/>
      <c r="S471" s="254"/>
      <c r="T471" s="254"/>
      <c r="U471" s="254"/>
      <c r="V471" s="254"/>
      <c r="W471" s="254"/>
      <c r="X471" s="254"/>
      <c r="Y471" s="254"/>
      <c r="Z471" s="254"/>
    </row>
    <row r="472" spans="16:26" ht="10.199999999999999" customHeight="1">
      <c r="P472" s="256"/>
      <c r="Q472" s="256"/>
      <c r="R472" s="256"/>
      <c r="S472" s="256"/>
      <c r="T472" s="256"/>
      <c r="U472" s="256"/>
      <c r="V472" s="256"/>
      <c r="W472" s="256"/>
      <c r="X472" s="256"/>
      <c r="Y472" s="256"/>
      <c r="Z472" s="256"/>
    </row>
    <row r="473" spans="16:26" ht="10.199999999999999" customHeight="1">
      <c r="P473" s="256"/>
      <c r="Q473" s="256"/>
      <c r="R473" s="256"/>
      <c r="S473" s="256"/>
      <c r="T473" s="256"/>
      <c r="U473" s="256"/>
      <c r="V473" s="256"/>
      <c r="W473" s="256"/>
      <c r="X473" s="256"/>
      <c r="Y473" s="256"/>
      <c r="Z473" s="256"/>
    </row>
    <row r="474" spans="16:26" ht="10.199999999999999" customHeight="1">
      <c r="P474" s="254"/>
      <c r="Q474" s="254"/>
      <c r="R474" s="254"/>
      <c r="S474" s="254"/>
      <c r="T474" s="254"/>
      <c r="U474" s="254"/>
      <c r="V474" s="254"/>
      <c r="W474" s="254"/>
      <c r="X474" s="254"/>
      <c r="Y474" s="254"/>
      <c r="Z474" s="254"/>
    </row>
    <row r="475" spans="16:26" ht="10.199999999999999" customHeight="1">
      <c r="P475" s="256"/>
      <c r="Q475" s="256"/>
      <c r="R475" s="256"/>
      <c r="S475" s="256"/>
      <c r="T475" s="256"/>
      <c r="U475" s="256"/>
      <c r="V475" s="256"/>
      <c r="W475" s="256"/>
      <c r="X475" s="256"/>
      <c r="Y475" s="256"/>
      <c r="Z475" s="256"/>
    </row>
    <row r="476" spans="16:26" ht="10.199999999999999" customHeight="1">
      <c r="P476" s="256"/>
      <c r="Q476" s="256"/>
      <c r="R476" s="256"/>
      <c r="S476" s="256"/>
      <c r="T476" s="256"/>
      <c r="U476" s="256"/>
      <c r="V476" s="256"/>
      <c r="W476" s="256"/>
      <c r="X476" s="256"/>
      <c r="Y476" s="256"/>
      <c r="Z476" s="256"/>
    </row>
    <row r="477" spans="16:26" ht="10.199999999999999" customHeight="1">
      <c r="P477" s="254"/>
      <c r="Q477" s="254"/>
      <c r="R477" s="254"/>
      <c r="S477" s="254"/>
      <c r="T477" s="254"/>
      <c r="U477" s="254"/>
      <c r="V477" s="254"/>
      <c r="W477" s="254"/>
      <c r="X477" s="254"/>
      <c r="Y477" s="254"/>
      <c r="Z477" s="254"/>
    </row>
    <row r="478" spans="16:26" ht="10.199999999999999" customHeight="1">
      <c r="P478" s="256"/>
      <c r="Q478" s="256"/>
      <c r="R478" s="256"/>
      <c r="S478" s="256"/>
      <c r="T478" s="256"/>
      <c r="U478" s="256"/>
      <c r="V478" s="256"/>
      <c r="W478" s="256"/>
      <c r="X478" s="256"/>
      <c r="Y478" s="256"/>
      <c r="Z478" s="256"/>
    </row>
    <row r="479" spans="16:26" ht="10.199999999999999" customHeight="1">
      <c r="P479" s="256"/>
      <c r="Q479" s="256"/>
      <c r="R479" s="256"/>
      <c r="S479" s="256"/>
      <c r="T479" s="256"/>
      <c r="U479" s="256"/>
      <c r="V479" s="256"/>
      <c r="W479" s="256"/>
      <c r="X479" s="256"/>
      <c r="Y479" s="256"/>
      <c r="Z479" s="256"/>
    </row>
    <row r="480" spans="16:26" ht="10.199999999999999" customHeight="1">
      <c r="P480" s="254"/>
      <c r="Q480" s="254"/>
      <c r="R480" s="254"/>
      <c r="S480" s="254"/>
      <c r="T480" s="254"/>
      <c r="U480" s="254"/>
      <c r="V480" s="254"/>
      <c r="W480" s="254"/>
      <c r="X480" s="254"/>
      <c r="Y480" s="254"/>
      <c r="Z480" s="254"/>
    </row>
    <row r="481" spans="16:26" ht="10.199999999999999" customHeight="1">
      <c r="P481" s="256"/>
      <c r="Q481" s="256"/>
      <c r="R481" s="256"/>
      <c r="S481" s="256"/>
      <c r="T481" s="256"/>
      <c r="U481" s="256"/>
      <c r="V481" s="256"/>
      <c r="W481" s="256"/>
      <c r="X481" s="256"/>
      <c r="Y481" s="256"/>
      <c r="Z481" s="256"/>
    </row>
    <row r="482" spans="16:26" ht="10.199999999999999" customHeight="1">
      <c r="P482" s="256"/>
      <c r="Q482" s="256"/>
      <c r="R482" s="256"/>
      <c r="S482" s="256"/>
      <c r="T482" s="256"/>
      <c r="U482" s="256"/>
      <c r="V482" s="256"/>
      <c r="W482" s="256"/>
      <c r="X482" s="256"/>
      <c r="Y482" s="256"/>
      <c r="Z482" s="256"/>
    </row>
    <row r="483" spans="16:26" ht="10.199999999999999" customHeight="1">
      <c r="P483" s="254"/>
      <c r="Q483" s="254"/>
      <c r="R483" s="254"/>
      <c r="S483" s="254"/>
      <c r="T483" s="254"/>
      <c r="U483" s="254"/>
      <c r="V483" s="254"/>
      <c r="W483" s="254"/>
      <c r="X483" s="254"/>
      <c r="Y483" s="254"/>
      <c r="Z483" s="254"/>
    </row>
    <row r="484" spans="16:26" ht="10.199999999999999" customHeight="1">
      <c r="P484" s="256"/>
      <c r="Q484" s="256"/>
      <c r="R484" s="256"/>
      <c r="S484" s="256"/>
      <c r="T484" s="256"/>
      <c r="U484" s="256"/>
      <c r="V484" s="256"/>
      <c r="W484" s="256"/>
      <c r="X484" s="256"/>
      <c r="Y484" s="256"/>
      <c r="Z484" s="256"/>
    </row>
    <row r="485" spans="16:26" ht="10.199999999999999" customHeight="1">
      <c r="P485" s="256"/>
      <c r="Q485" s="256"/>
      <c r="R485" s="256"/>
      <c r="S485" s="256"/>
      <c r="T485" s="256"/>
      <c r="U485" s="256"/>
      <c r="V485" s="256"/>
      <c r="W485" s="256"/>
      <c r="X485" s="256"/>
      <c r="Y485" s="256"/>
      <c r="Z485" s="256"/>
    </row>
    <row r="486" spans="16:26" ht="10.199999999999999" customHeight="1">
      <c r="P486" s="254"/>
      <c r="Q486" s="254"/>
      <c r="R486" s="254"/>
      <c r="S486" s="254"/>
      <c r="T486" s="254"/>
      <c r="U486" s="254"/>
      <c r="V486" s="254"/>
      <c r="W486" s="254"/>
      <c r="X486" s="254"/>
      <c r="Y486" s="254"/>
      <c r="Z486" s="254"/>
    </row>
    <row r="487" spans="16:26" ht="10.199999999999999" customHeight="1">
      <c r="P487" s="256"/>
      <c r="Q487" s="256"/>
      <c r="R487" s="256"/>
      <c r="S487" s="256"/>
      <c r="T487" s="256"/>
      <c r="U487" s="256"/>
      <c r="V487" s="256"/>
      <c r="W487" s="256"/>
      <c r="X487" s="256"/>
      <c r="Y487" s="256"/>
      <c r="Z487" s="256"/>
    </row>
    <row r="488" spans="16:26" ht="10.199999999999999" customHeight="1">
      <c r="P488" s="256"/>
      <c r="Q488" s="256"/>
      <c r="R488" s="256"/>
      <c r="S488" s="256"/>
      <c r="T488" s="256"/>
      <c r="U488" s="256"/>
      <c r="V488" s="256"/>
      <c r="W488" s="256"/>
      <c r="X488" s="256"/>
      <c r="Y488" s="256"/>
      <c r="Z488" s="256"/>
    </row>
    <row r="489" spans="16:26" ht="10.199999999999999" customHeight="1">
      <c r="P489" s="254"/>
      <c r="Q489" s="254"/>
      <c r="R489" s="254"/>
      <c r="S489" s="254"/>
      <c r="T489" s="254"/>
      <c r="U489" s="254"/>
      <c r="V489" s="254"/>
      <c r="W489" s="254"/>
      <c r="X489" s="254"/>
      <c r="Y489" s="254"/>
      <c r="Z489" s="254"/>
    </row>
    <row r="490" spans="16:26" ht="10.199999999999999" customHeight="1">
      <c r="P490" s="256"/>
      <c r="Q490" s="256"/>
      <c r="R490" s="256"/>
      <c r="S490" s="256"/>
      <c r="T490" s="256"/>
      <c r="U490" s="256"/>
      <c r="V490" s="256"/>
      <c r="W490" s="256"/>
      <c r="X490" s="256"/>
      <c r="Y490" s="256"/>
      <c r="Z490" s="256"/>
    </row>
    <row r="491" spans="16:26" ht="10.199999999999999" customHeight="1">
      <c r="P491" s="256"/>
      <c r="Q491" s="256"/>
      <c r="R491" s="256"/>
      <c r="S491" s="256"/>
      <c r="T491" s="256"/>
      <c r="U491" s="256"/>
      <c r="V491" s="256"/>
      <c r="W491" s="256"/>
      <c r="X491" s="256"/>
      <c r="Y491" s="256"/>
      <c r="Z491" s="256"/>
    </row>
    <row r="492" spans="16:26" ht="10.199999999999999" customHeight="1">
      <c r="P492" s="254"/>
      <c r="Q492" s="254"/>
      <c r="R492" s="254"/>
      <c r="S492" s="254"/>
      <c r="T492" s="254"/>
      <c r="U492" s="254"/>
      <c r="V492" s="254"/>
      <c r="W492" s="254"/>
      <c r="X492" s="254"/>
      <c r="Y492" s="254"/>
      <c r="Z492" s="254"/>
    </row>
    <row r="493" spans="16:26" ht="10.199999999999999" customHeight="1">
      <c r="P493" s="256"/>
      <c r="Q493" s="256"/>
      <c r="R493" s="256"/>
      <c r="S493" s="256"/>
      <c r="T493" s="256"/>
      <c r="U493" s="256"/>
      <c r="V493" s="256"/>
      <c r="W493" s="256"/>
      <c r="X493" s="256"/>
      <c r="Y493" s="256"/>
      <c r="Z493" s="256"/>
    </row>
    <row r="494" spans="16:26" ht="10.199999999999999" customHeight="1">
      <c r="P494" s="256"/>
      <c r="Q494" s="256"/>
      <c r="R494" s="256"/>
      <c r="S494" s="256"/>
      <c r="T494" s="256"/>
      <c r="U494" s="256"/>
      <c r="V494" s="256"/>
      <c r="W494" s="256"/>
      <c r="X494" s="256"/>
      <c r="Y494" s="256"/>
      <c r="Z494" s="256"/>
    </row>
    <row r="495" spans="16:26" ht="10.199999999999999" customHeight="1">
      <c r="P495" s="254"/>
      <c r="Q495" s="254"/>
      <c r="R495" s="254"/>
      <c r="S495" s="254"/>
      <c r="T495" s="254"/>
      <c r="U495" s="254"/>
      <c r="V495" s="254"/>
      <c r="W495" s="254"/>
      <c r="X495" s="254"/>
      <c r="Y495" s="254"/>
      <c r="Z495" s="254"/>
    </row>
    <row r="496" spans="16:26" ht="10.199999999999999" customHeight="1">
      <c r="P496" s="256"/>
      <c r="Q496" s="256"/>
      <c r="R496" s="256"/>
      <c r="S496" s="256"/>
      <c r="T496" s="256"/>
      <c r="U496" s="256"/>
      <c r="V496" s="256"/>
      <c r="W496" s="256"/>
      <c r="X496" s="256"/>
      <c r="Y496" s="256"/>
      <c r="Z496" s="256"/>
    </row>
    <row r="497" spans="16:26" ht="10.199999999999999" customHeight="1">
      <c r="P497" s="256"/>
      <c r="Q497" s="256"/>
      <c r="R497" s="256"/>
      <c r="S497" s="256"/>
      <c r="T497" s="256"/>
      <c r="U497" s="256"/>
      <c r="V497" s="256"/>
      <c r="W497" s="256"/>
      <c r="X497" s="256"/>
      <c r="Y497" s="256"/>
      <c r="Z497" s="256"/>
    </row>
    <row r="498" spans="16:26" ht="10.199999999999999" customHeight="1">
      <c r="P498" s="254"/>
      <c r="Q498" s="254"/>
      <c r="R498" s="254"/>
      <c r="S498" s="254"/>
      <c r="T498" s="254"/>
      <c r="U498" s="254"/>
      <c r="V498" s="254"/>
      <c r="W498" s="254"/>
      <c r="X498" s="254"/>
      <c r="Y498" s="254"/>
      <c r="Z498" s="254"/>
    </row>
    <row r="499" spans="16:26" ht="10.199999999999999" customHeight="1">
      <c r="P499" s="256"/>
      <c r="Q499" s="256"/>
      <c r="R499" s="256"/>
      <c r="S499" s="256"/>
      <c r="T499" s="256"/>
      <c r="U499" s="256"/>
      <c r="V499" s="256"/>
      <c r="W499" s="256"/>
      <c r="X499" s="256"/>
      <c r="Y499" s="256"/>
      <c r="Z499" s="256"/>
    </row>
    <row r="500" spans="16:26" ht="10.199999999999999" customHeight="1">
      <c r="P500" s="256"/>
      <c r="Q500" s="256"/>
      <c r="R500" s="256"/>
      <c r="S500" s="256"/>
      <c r="T500" s="256"/>
      <c r="U500" s="256"/>
      <c r="V500" s="256"/>
      <c r="W500" s="256"/>
      <c r="X500" s="256"/>
      <c r="Y500" s="256"/>
      <c r="Z500" s="256"/>
    </row>
    <row r="501" spans="16:26" ht="10.199999999999999" customHeight="1">
      <c r="P501" s="254"/>
      <c r="Q501" s="254"/>
      <c r="R501" s="254"/>
      <c r="S501" s="254"/>
      <c r="T501" s="254"/>
      <c r="U501" s="254"/>
      <c r="V501" s="254"/>
      <c r="W501" s="254"/>
      <c r="X501" s="254"/>
      <c r="Y501" s="254"/>
      <c r="Z501" s="254"/>
    </row>
    <row r="502" spans="16:26" ht="10.199999999999999" customHeight="1">
      <c r="P502" s="256"/>
      <c r="Q502" s="256"/>
      <c r="R502" s="256"/>
      <c r="S502" s="256"/>
      <c r="T502" s="256"/>
      <c r="U502" s="256"/>
      <c r="V502" s="256"/>
      <c r="W502" s="256"/>
      <c r="X502" s="256"/>
      <c r="Y502" s="256"/>
      <c r="Z502" s="256"/>
    </row>
    <row r="503" spans="16:26" ht="10.199999999999999" customHeight="1">
      <c r="P503" s="256"/>
      <c r="Q503" s="256"/>
      <c r="R503" s="256"/>
      <c r="S503" s="256"/>
      <c r="T503" s="256"/>
      <c r="U503" s="256"/>
      <c r="V503" s="256"/>
      <c r="W503" s="256"/>
      <c r="X503" s="256"/>
      <c r="Y503" s="256"/>
      <c r="Z503" s="256"/>
    </row>
    <row r="504" spans="16:26" ht="10.199999999999999" customHeight="1">
      <c r="P504" s="254"/>
      <c r="Q504" s="254"/>
      <c r="R504" s="254"/>
      <c r="S504" s="254"/>
      <c r="T504" s="254"/>
      <c r="U504" s="254"/>
      <c r="V504" s="254"/>
      <c r="W504" s="254"/>
      <c r="X504" s="254"/>
      <c r="Y504" s="254"/>
      <c r="Z504" s="254"/>
    </row>
    <row r="505" spans="16:26" ht="10.199999999999999" customHeight="1">
      <c r="P505" s="256"/>
      <c r="Q505" s="256"/>
      <c r="R505" s="256"/>
      <c r="S505" s="256"/>
      <c r="T505" s="256"/>
      <c r="U505" s="256"/>
      <c r="V505" s="256"/>
      <c r="W505" s="256"/>
      <c r="X505" s="256"/>
      <c r="Y505" s="256"/>
      <c r="Z505" s="256"/>
    </row>
    <row r="506" spans="16:26" ht="10.199999999999999" customHeight="1">
      <c r="P506" s="256"/>
      <c r="Q506" s="256"/>
      <c r="R506" s="256"/>
      <c r="S506" s="256"/>
      <c r="T506" s="256"/>
      <c r="U506" s="256"/>
      <c r="V506" s="256"/>
      <c r="W506" s="256"/>
      <c r="X506" s="256"/>
      <c r="Y506" s="256"/>
      <c r="Z506" s="256"/>
    </row>
    <row r="507" spans="16:26" ht="10.199999999999999" customHeight="1">
      <c r="P507" s="254"/>
      <c r="Q507" s="254"/>
      <c r="R507" s="254"/>
      <c r="S507" s="254"/>
      <c r="T507" s="254"/>
      <c r="U507" s="254"/>
      <c r="V507" s="254"/>
      <c r="W507" s="254"/>
      <c r="X507" s="254"/>
      <c r="Y507" s="254"/>
      <c r="Z507" s="254"/>
    </row>
    <row r="508" spans="16:26" ht="10.199999999999999" customHeight="1">
      <c r="P508" s="256"/>
      <c r="Q508" s="256"/>
      <c r="R508" s="256"/>
      <c r="S508" s="256"/>
      <c r="T508" s="256"/>
      <c r="U508" s="256"/>
      <c r="V508" s="256"/>
      <c r="W508" s="256"/>
      <c r="X508" s="256"/>
      <c r="Y508" s="256"/>
      <c r="Z508" s="256"/>
    </row>
    <row r="509" spans="16:26" ht="10.199999999999999" customHeight="1">
      <c r="P509" s="256"/>
      <c r="Q509" s="256"/>
      <c r="R509" s="256"/>
      <c r="S509" s="256"/>
      <c r="T509" s="256"/>
      <c r="U509" s="256"/>
      <c r="V509" s="256"/>
      <c r="W509" s="256"/>
      <c r="X509" s="256"/>
      <c r="Y509" s="256"/>
      <c r="Z509" s="256"/>
    </row>
    <row r="510" spans="16:26" ht="10.199999999999999" customHeight="1">
      <c r="P510" s="254"/>
      <c r="Q510" s="254"/>
      <c r="R510" s="254"/>
      <c r="S510" s="254"/>
      <c r="T510" s="254"/>
      <c r="U510" s="254"/>
      <c r="V510" s="254"/>
      <c r="W510" s="254"/>
      <c r="X510" s="254"/>
      <c r="Y510" s="254"/>
      <c r="Z510" s="254"/>
    </row>
    <row r="511" spans="16:26" ht="10.199999999999999" customHeight="1">
      <c r="P511" s="256"/>
      <c r="Q511" s="256"/>
      <c r="R511" s="256"/>
      <c r="S511" s="256"/>
      <c r="T511" s="256"/>
      <c r="U511" s="256"/>
      <c r="V511" s="256"/>
      <c r="W511" s="256"/>
      <c r="X511" s="256"/>
      <c r="Y511" s="256"/>
      <c r="Z511" s="256"/>
    </row>
    <row r="512" spans="16:26" ht="10.199999999999999" customHeight="1">
      <c r="P512" s="256"/>
      <c r="Q512" s="256"/>
      <c r="R512" s="256"/>
      <c r="S512" s="256"/>
      <c r="T512" s="256"/>
      <c r="U512" s="256"/>
      <c r="V512" s="256"/>
      <c r="W512" s="256"/>
      <c r="X512" s="256"/>
      <c r="Y512" s="256"/>
      <c r="Z512" s="256"/>
    </row>
    <row r="513" spans="16:26" ht="10.199999999999999" customHeight="1">
      <c r="P513" s="254"/>
      <c r="Q513" s="254"/>
      <c r="R513" s="254"/>
      <c r="S513" s="254"/>
      <c r="T513" s="254"/>
      <c r="U513" s="254"/>
      <c r="V513" s="254"/>
      <c r="W513" s="254"/>
      <c r="X513" s="254"/>
      <c r="Y513" s="254"/>
      <c r="Z513" s="254"/>
    </row>
    <row r="514" spans="16:26" ht="10.199999999999999" customHeight="1">
      <c r="P514" s="256"/>
      <c r="Q514" s="256"/>
      <c r="R514" s="256"/>
      <c r="S514" s="256"/>
      <c r="T514" s="256"/>
      <c r="U514" s="256"/>
      <c r="V514" s="256"/>
      <c r="W514" s="256"/>
      <c r="X514" s="256"/>
      <c r="Y514" s="256"/>
      <c r="Z514" s="256"/>
    </row>
    <row r="515" spans="16:26" ht="10.199999999999999" customHeight="1">
      <c r="P515" s="256"/>
      <c r="Q515" s="256"/>
      <c r="R515" s="256"/>
      <c r="S515" s="256"/>
      <c r="T515" s="256"/>
      <c r="U515" s="256"/>
      <c r="V515" s="256"/>
      <c r="W515" s="256"/>
      <c r="X515" s="256"/>
      <c r="Y515" s="256"/>
      <c r="Z515" s="256"/>
    </row>
    <row r="516" spans="16:26" ht="10.199999999999999" customHeight="1">
      <c r="P516" s="254"/>
      <c r="Q516" s="254"/>
      <c r="R516" s="254"/>
      <c r="S516" s="254"/>
      <c r="T516" s="254"/>
      <c r="U516" s="254"/>
      <c r="V516" s="254"/>
      <c r="W516" s="254"/>
      <c r="X516" s="254"/>
      <c r="Y516" s="254"/>
      <c r="Z516" s="254"/>
    </row>
    <row r="517" spans="16:26" ht="10.199999999999999" customHeight="1">
      <c r="P517" s="256"/>
      <c r="Q517" s="256"/>
      <c r="R517" s="256"/>
      <c r="S517" s="256"/>
      <c r="T517" s="256"/>
      <c r="U517" s="256"/>
      <c r="V517" s="256"/>
      <c r="W517" s="256"/>
      <c r="X517" s="256"/>
      <c r="Y517" s="256"/>
      <c r="Z517" s="256"/>
    </row>
    <row r="518" spans="16:26" ht="10.199999999999999" customHeight="1">
      <c r="P518" s="256"/>
      <c r="Q518" s="256"/>
      <c r="R518" s="256"/>
      <c r="S518" s="256"/>
      <c r="T518" s="256"/>
      <c r="U518" s="256"/>
      <c r="V518" s="256"/>
      <c r="W518" s="256"/>
      <c r="X518" s="256"/>
      <c r="Y518" s="256"/>
      <c r="Z518" s="256"/>
    </row>
    <row r="519" spans="16:26" ht="10.199999999999999" customHeight="1">
      <c r="P519" s="254"/>
      <c r="Q519" s="254"/>
      <c r="R519" s="254"/>
      <c r="S519" s="254"/>
      <c r="T519" s="254"/>
      <c r="U519" s="254"/>
      <c r="V519" s="254"/>
      <c r="W519" s="254"/>
      <c r="X519" s="254"/>
      <c r="Y519" s="254"/>
      <c r="Z519" s="254"/>
    </row>
    <row r="520" spans="16:26" ht="10.199999999999999" customHeight="1">
      <c r="P520" s="256"/>
      <c r="Q520" s="256"/>
      <c r="R520" s="256"/>
      <c r="S520" s="256"/>
      <c r="T520" s="256"/>
      <c r="U520" s="256"/>
      <c r="V520" s="256"/>
      <c r="W520" s="256"/>
      <c r="X520" s="256"/>
      <c r="Y520" s="256"/>
      <c r="Z520" s="256"/>
    </row>
    <row r="521" spans="16:26" ht="10.199999999999999" customHeight="1">
      <c r="P521" s="256"/>
      <c r="Q521" s="256"/>
      <c r="R521" s="256"/>
      <c r="S521" s="256"/>
      <c r="T521" s="256"/>
      <c r="U521" s="256"/>
      <c r="V521" s="256"/>
      <c r="W521" s="256"/>
      <c r="X521" s="256"/>
      <c r="Y521" s="256"/>
      <c r="Z521" s="256"/>
    </row>
    <row r="522" spans="16:26" ht="10.199999999999999" customHeight="1">
      <c r="P522" s="254"/>
      <c r="Q522" s="254"/>
      <c r="R522" s="254"/>
      <c r="S522" s="254"/>
      <c r="T522" s="254"/>
      <c r="U522" s="254"/>
      <c r="V522" s="254"/>
      <c r="W522" s="254"/>
      <c r="X522" s="254"/>
      <c r="Y522" s="254"/>
      <c r="Z522" s="254"/>
    </row>
    <row r="523" spans="16:26" ht="10.199999999999999" customHeight="1">
      <c r="P523" s="256"/>
      <c r="Q523" s="256"/>
      <c r="R523" s="256"/>
      <c r="S523" s="256"/>
      <c r="T523" s="256"/>
      <c r="U523" s="256"/>
      <c r="V523" s="256"/>
      <c r="W523" s="256"/>
      <c r="X523" s="256"/>
      <c r="Y523" s="256"/>
      <c r="Z523" s="256"/>
    </row>
    <row r="524" spans="16:26" ht="10.199999999999999" customHeight="1">
      <c r="P524" s="256"/>
      <c r="Q524" s="256"/>
      <c r="R524" s="256"/>
      <c r="S524" s="256"/>
      <c r="T524" s="256"/>
      <c r="U524" s="256"/>
      <c r="V524" s="256"/>
      <c r="W524" s="256"/>
      <c r="X524" s="256"/>
      <c r="Y524" s="256"/>
      <c r="Z524" s="256"/>
    </row>
    <row r="525" spans="16:26" ht="10.199999999999999" customHeight="1">
      <c r="P525" s="254"/>
      <c r="Q525" s="254"/>
      <c r="R525" s="254"/>
      <c r="S525" s="254"/>
      <c r="T525" s="254"/>
      <c r="U525" s="254"/>
      <c r="V525" s="254"/>
      <c r="W525" s="254"/>
      <c r="X525" s="254"/>
      <c r="Y525" s="254"/>
      <c r="Z525" s="254"/>
    </row>
    <row r="526" spans="16:26" ht="10.199999999999999" customHeight="1">
      <c r="P526" s="256"/>
      <c r="Q526" s="256"/>
      <c r="R526" s="256"/>
      <c r="S526" s="256"/>
      <c r="T526" s="256"/>
      <c r="U526" s="256"/>
      <c r="V526" s="256"/>
      <c r="W526" s="256"/>
      <c r="X526" s="256"/>
      <c r="Y526" s="256"/>
      <c r="Z526" s="256"/>
    </row>
    <row r="527" spans="16:26" ht="10.199999999999999" customHeight="1">
      <c r="P527" s="256"/>
      <c r="Q527" s="256"/>
      <c r="R527" s="256"/>
      <c r="S527" s="256"/>
      <c r="T527" s="256"/>
      <c r="U527" s="256"/>
      <c r="V527" s="256"/>
      <c r="W527" s="256"/>
      <c r="X527" s="256"/>
      <c r="Y527" s="256"/>
      <c r="Z527" s="256"/>
    </row>
    <row r="528" spans="16:26" ht="10.199999999999999" customHeight="1">
      <c r="P528" s="254"/>
      <c r="Q528" s="254"/>
      <c r="R528" s="254"/>
      <c r="S528" s="254"/>
      <c r="T528" s="254"/>
      <c r="U528" s="254"/>
      <c r="V528" s="254"/>
      <c r="W528" s="254"/>
      <c r="X528" s="254"/>
      <c r="Y528" s="254"/>
      <c r="Z528" s="254"/>
    </row>
    <row r="529" spans="16:26" ht="10.199999999999999" customHeight="1">
      <c r="P529" s="256"/>
      <c r="Q529" s="256"/>
      <c r="R529" s="256"/>
      <c r="S529" s="256"/>
      <c r="T529" s="256"/>
      <c r="U529" s="256"/>
      <c r="V529" s="256"/>
      <c r="W529" s="256"/>
      <c r="X529" s="256"/>
      <c r="Y529" s="256"/>
      <c r="Z529" s="256"/>
    </row>
    <row r="530" spans="16:26" ht="10.199999999999999" customHeight="1">
      <c r="P530" s="256"/>
      <c r="Q530" s="256"/>
      <c r="R530" s="256"/>
      <c r="S530" s="256"/>
      <c r="T530" s="256"/>
      <c r="U530" s="256"/>
      <c r="V530" s="256"/>
      <c r="W530" s="256"/>
      <c r="X530" s="256"/>
      <c r="Y530" s="256"/>
      <c r="Z530" s="256"/>
    </row>
    <row r="531" spans="16:26" ht="10.199999999999999" customHeight="1">
      <c r="P531" s="254"/>
      <c r="Q531" s="254"/>
      <c r="R531" s="254"/>
      <c r="S531" s="254"/>
      <c r="T531" s="254"/>
      <c r="U531" s="254"/>
      <c r="V531" s="254"/>
      <c r="W531" s="254"/>
      <c r="X531" s="254"/>
      <c r="Y531" s="254"/>
      <c r="Z531" s="254"/>
    </row>
    <row r="532" spans="16:26" ht="10.199999999999999" customHeight="1">
      <c r="P532" s="256"/>
      <c r="Q532" s="256"/>
      <c r="R532" s="256"/>
      <c r="S532" s="256"/>
      <c r="T532" s="256"/>
      <c r="U532" s="256"/>
      <c r="V532" s="256"/>
      <c r="W532" s="256"/>
      <c r="X532" s="256"/>
      <c r="Y532" s="256"/>
      <c r="Z532" s="256"/>
    </row>
    <row r="533" spans="16:26" ht="10.199999999999999" customHeight="1">
      <c r="P533" s="256"/>
      <c r="Q533" s="256"/>
      <c r="R533" s="256"/>
      <c r="S533" s="256"/>
      <c r="T533" s="256"/>
      <c r="U533" s="256"/>
      <c r="V533" s="256"/>
      <c r="W533" s="256"/>
      <c r="X533" s="256"/>
      <c r="Y533" s="256"/>
      <c r="Z533" s="256"/>
    </row>
    <row r="534" spans="16:26" ht="10.199999999999999" customHeight="1">
      <c r="P534" s="254"/>
      <c r="Q534" s="254"/>
      <c r="R534" s="254"/>
      <c r="S534" s="254"/>
      <c r="T534" s="254"/>
      <c r="U534" s="254"/>
      <c r="V534" s="254"/>
      <c r="W534" s="254"/>
      <c r="X534" s="254"/>
      <c r="Y534" s="254"/>
      <c r="Z534" s="254"/>
    </row>
    <row r="535" spans="16:26" ht="10.199999999999999" customHeight="1">
      <c r="P535" s="256"/>
      <c r="Q535" s="256"/>
      <c r="R535" s="256"/>
      <c r="S535" s="256"/>
      <c r="T535" s="256"/>
      <c r="U535" s="256"/>
      <c r="V535" s="256"/>
      <c r="W535" s="256"/>
      <c r="X535" s="256"/>
      <c r="Y535" s="256"/>
      <c r="Z535" s="256"/>
    </row>
    <row r="536" spans="16:26" ht="10.199999999999999" customHeight="1">
      <c r="P536" s="256"/>
      <c r="Q536" s="256"/>
      <c r="R536" s="256"/>
      <c r="S536" s="256"/>
      <c r="T536" s="256"/>
      <c r="U536" s="256"/>
      <c r="V536" s="256"/>
      <c r="W536" s="256"/>
      <c r="X536" s="256"/>
      <c r="Y536" s="256"/>
      <c r="Z536" s="256"/>
    </row>
    <row r="537" spans="16:26" ht="10.199999999999999" customHeight="1">
      <c r="P537" s="254"/>
      <c r="Q537" s="254"/>
      <c r="R537" s="254"/>
      <c r="S537" s="254"/>
      <c r="T537" s="254"/>
      <c r="U537" s="254"/>
      <c r="V537" s="254"/>
      <c r="W537" s="254"/>
      <c r="X537" s="254"/>
      <c r="Y537" s="254"/>
      <c r="Z537" s="254"/>
    </row>
    <row r="538" spans="16:26" ht="10.199999999999999" customHeight="1">
      <c r="P538" s="256"/>
      <c r="Q538" s="256"/>
      <c r="R538" s="256"/>
      <c r="S538" s="256"/>
      <c r="T538" s="256"/>
      <c r="U538" s="256"/>
      <c r="V538" s="256"/>
      <c r="W538" s="256"/>
      <c r="X538" s="256"/>
      <c r="Y538" s="256"/>
      <c r="Z538" s="256"/>
    </row>
    <row r="539" spans="16:26" ht="10.199999999999999" customHeight="1">
      <c r="P539" s="256"/>
      <c r="Q539" s="256"/>
      <c r="R539" s="256"/>
      <c r="S539" s="256"/>
      <c r="T539" s="256"/>
      <c r="U539" s="256"/>
      <c r="V539" s="256"/>
      <c r="W539" s="256"/>
      <c r="X539" s="256"/>
      <c r="Y539" s="256"/>
      <c r="Z539" s="256"/>
    </row>
    <row r="540" spans="16:26" ht="10.199999999999999" customHeight="1">
      <c r="P540" s="254"/>
      <c r="Q540" s="254"/>
      <c r="R540" s="254"/>
      <c r="S540" s="254"/>
      <c r="T540" s="254"/>
      <c r="U540" s="254"/>
      <c r="V540" s="254"/>
      <c r="W540" s="254"/>
      <c r="X540" s="254"/>
      <c r="Y540" s="254"/>
      <c r="Z540" s="254"/>
    </row>
    <row r="541" spans="16:26" ht="10.199999999999999" customHeight="1">
      <c r="P541" s="256"/>
      <c r="Q541" s="256"/>
      <c r="R541" s="256"/>
      <c r="S541" s="256"/>
      <c r="T541" s="256"/>
      <c r="U541" s="256"/>
      <c r="V541" s="256"/>
      <c r="W541" s="256"/>
      <c r="X541" s="256"/>
      <c r="Y541" s="256"/>
      <c r="Z541" s="256"/>
    </row>
    <row r="542" spans="16:26" ht="10.199999999999999" customHeight="1">
      <c r="P542" s="256"/>
      <c r="Q542" s="256"/>
      <c r="R542" s="256"/>
      <c r="S542" s="256"/>
      <c r="T542" s="256"/>
      <c r="U542" s="256"/>
      <c r="V542" s="256"/>
      <c r="W542" s="256"/>
      <c r="X542" s="256"/>
      <c r="Y542" s="256"/>
      <c r="Z542" s="256"/>
    </row>
    <row r="543" spans="16:26" ht="10.199999999999999" customHeight="1">
      <c r="P543" s="254"/>
      <c r="Q543" s="254"/>
      <c r="R543" s="254"/>
      <c r="S543" s="254"/>
      <c r="T543" s="254"/>
      <c r="U543" s="254"/>
      <c r="V543" s="254"/>
      <c r="W543" s="254"/>
      <c r="X543" s="254"/>
      <c r="Y543" s="254"/>
      <c r="Z543" s="254"/>
    </row>
    <row r="544" spans="16:26" ht="10.199999999999999" customHeight="1">
      <c r="P544" s="256"/>
      <c r="Q544" s="256"/>
      <c r="R544" s="256"/>
      <c r="S544" s="256"/>
      <c r="T544" s="256"/>
      <c r="U544" s="256"/>
      <c r="V544" s="256"/>
      <c r="W544" s="256"/>
      <c r="X544" s="256"/>
      <c r="Y544" s="256"/>
      <c r="Z544" s="256"/>
    </row>
    <row r="545" spans="16:26" ht="10.199999999999999" customHeight="1">
      <c r="P545" s="256"/>
      <c r="Q545" s="256"/>
      <c r="R545" s="256"/>
      <c r="S545" s="256"/>
      <c r="T545" s="256"/>
      <c r="U545" s="256"/>
      <c r="V545" s="256"/>
      <c r="W545" s="256"/>
      <c r="X545" s="256"/>
      <c r="Y545" s="256"/>
      <c r="Z545" s="256"/>
    </row>
    <row r="546" spans="16:26" ht="10.199999999999999" customHeight="1">
      <c r="P546" s="254"/>
      <c r="Q546" s="254"/>
      <c r="R546" s="254"/>
      <c r="S546" s="254"/>
      <c r="T546" s="254"/>
      <c r="U546" s="254"/>
      <c r="V546" s="254"/>
      <c r="W546" s="254"/>
      <c r="X546" s="254"/>
      <c r="Y546" s="254"/>
      <c r="Z546" s="254"/>
    </row>
    <row r="547" spans="16:26" ht="10.199999999999999" customHeight="1">
      <c r="P547" s="256"/>
      <c r="Q547" s="256"/>
      <c r="R547" s="256"/>
      <c r="S547" s="256"/>
      <c r="T547" s="256"/>
      <c r="U547" s="256"/>
      <c r="V547" s="256"/>
      <c r="W547" s="256"/>
      <c r="X547" s="256"/>
      <c r="Y547" s="256"/>
      <c r="Z547" s="256"/>
    </row>
    <row r="548" spans="16:26" ht="10.199999999999999" customHeight="1">
      <c r="P548" s="256"/>
      <c r="Q548" s="256"/>
      <c r="R548" s="256"/>
      <c r="S548" s="256"/>
      <c r="T548" s="256"/>
      <c r="U548" s="256"/>
      <c r="V548" s="256"/>
      <c r="W548" s="256"/>
      <c r="X548" s="256"/>
      <c r="Y548" s="256"/>
      <c r="Z548" s="256"/>
    </row>
    <row r="549" spans="16:26" ht="10.199999999999999" customHeight="1">
      <c r="P549" s="254"/>
      <c r="Q549" s="254"/>
      <c r="R549" s="254"/>
      <c r="S549" s="254"/>
      <c r="T549" s="254"/>
      <c r="U549" s="254"/>
      <c r="V549" s="254"/>
      <c r="W549" s="254"/>
      <c r="X549" s="254"/>
      <c r="Y549" s="254"/>
      <c r="Z549" s="254"/>
    </row>
    <row r="550" spans="16:26" ht="10.199999999999999" customHeight="1">
      <c r="P550" s="256"/>
      <c r="Q550" s="256"/>
      <c r="R550" s="256"/>
      <c r="S550" s="256"/>
      <c r="T550" s="256"/>
      <c r="U550" s="256"/>
      <c r="V550" s="256"/>
      <c r="W550" s="256"/>
      <c r="X550" s="256"/>
      <c r="Y550" s="256"/>
      <c r="Z550" s="256"/>
    </row>
    <row r="551" spans="16:26" ht="10.199999999999999" customHeight="1">
      <c r="P551" s="256"/>
      <c r="Q551" s="256"/>
      <c r="R551" s="256"/>
      <c r="S551" s="256"/>
      <c r="T551" s="256"/>
      <c r="U551" s="256"/>
      <c r="V551" s="256"/>
      <c r="W551" s="256"/>
      <c r="X551" s="256"/>
      <c r="Y551" s="256"/>
      <c r="Z551" s="256"/>
    </row>
    <row r="552" spans="16:26" ht="10.199999999999999" customHeight="1">
      <c r="P552" s="254"/>
      <c r="Q552" s="254"/>
      <c r="R552" s="254"/>
      <c r="S552" s="254"/>
      <c r="T552" s="254"/>
      <c r="U552" s="254"/>
      <c r="V552" s="254"/>
      <c r="W552" s="254"/>
      <c r="X552" s="254"/>
      <c r="Y552" s="254"/>
      <c r="Z552" s="254"/>
    </row>
    <row r="553" spans="16:26" ht="10.199999999999999" customHeight="1">
      <c r="P553" s="256"/>
      <c r="Q553" s="256"/>
      <c r="R553" s="256"/>
      <c r="S553" s="256"/>
      <c r="T553" s="256"/>
      <c r="U553" s="256"/>
      <c r="V553" s="256"/>
      <c r="W553" s="256"/>
      <c r="X553" s="256"/>
      <c r="Y553" s="256"/>
      <c r="Z553" s="256"/>
    </row>
    <row r="554" spans="16:26" ht="10.199999999999999" customHeight="1">
      <c r="P554" s="256"/>
      <c r="Q554" s="256"/>
      <c r="R554" s="256"/>
      <c r="S554" s="256"/>
      <c r="T554" s="256"/>
      <c r="U554" s="256"/>
      <c r="V554" s="256"/>
      <c r="W554" s="256"/>
      <c r="X554" s="256"/>
      <c r="Y554" s="256"/>
      <c r="Z554" s="256"/>
    </row>
    <row r="555" spans="16:26" ht="10.199999999999999" customHeight="1">
      <c r="P555" s="254"/>
      <c r="Q555" s="254"/>
      <c r="R555" s="254"/>
      <c r="S555" s="254"/>
      <c r="T555" s="254"/>
      <c r="U555" s="254"/>
      <c r="V555" s="254"/>
      <c r="W555" s="254"/>
      <c r="X555" s="254"/>
      <c r="Y555" s="254"/>
      <c r="Z555" s="254"/>
    </row>
    <row r="556" spans="16:26" ht="10.199999999999999" customHeight="1">
      <c r="P556" s="256"/>
      <c r="Q556" s="256"/>
      <c r="R556" s="256"/>
      <c r="S556" s="256"/>
      <c r="T556" s="256"/>
      <c r="U556" s="256"/>
      <c r="V556" s="256"/>
      <c r="W556" s="256"/>
      <c r="X556" s="256"/>
      <c r="Y556" s="256"/>
      <c r="Z556" s="256"/>
    </row>
    <row r="557" spans="16:26" ht="10.199999999999999" customHeight="1">
      <c r="P557" s="256"/>
      <c r="Q557" s="256"/>
      <c r="R557" s="256"/>
      <c r="S557" s="256"/>
      <c r="T557" s="256"/>
      <c r="U557" s="256"/>
      <c r="V557" s="256"/>
      <c r="W557" s="256"/>
      <c r="X557" s="256"/>
      <c r="Y557" s="256"/>
      <c r="Z557" s="256"/>
    </row>
    <row r="558" spans="16:26" ht="10.199999999999999" customHeight="1">
      <c r="P558" s="254"/>
      <c r="Q558" s="254"/>
      <c r="R558" s="254"/>
      <c r="S558" s="254"/>
      <c r="T558" s="254"/>
      <c r="U558" s="254"/>
      <c r="V558" s="254"/>
      <c r="W558" s="254"/>
      <c r="X558" s="254"/>
      <c r="Y558" s="254"/>
      <c r="Z558" s="254"/>
    </row>
    <row r="559" spans="16:26" ht="10.199999999999999" customHeight="1">
      <c r="P559" s="256"/>
      <c r="Q559" s="256"/>
      <c r="R559" s="256"/>
      <c r="S559" s="256"/>
      <c r="T559" s="256"/>
      <c r="U559" s="256"/>
      <c r="V559" s="256"/>
      <c r="W559" s="256"/>
      <c r="X559" s="256"/>
      <c r="Y559" s="256"/>
      <c r="Z559" s="256"/>
    </row>
    <row r="560" spans="16:26" ht="10.199999999999999" customHeight="1">
      <c r="P560" s="256"/>
      <c r="Q560" s="256"/>
      <c r="R560" s="256"/>
      <c r="S560" s="256"/>
      <c r="T560" s="256"/>
      <c r="U560" s="256"/>
      <c r="V560" s="256"/>
      <c r="W560" s="256"/>
      <c r="X560" s="256"/>
      <c r="Y560" s="256"/>
      <c r="Z560" s="256"/>
    </row>
    <row r="561" spans="16:26" ht="10.199999999999999" customHeight="1">
      <c r="P561" s="254"/>
      <c r="Q561" s="254"/>
      <c r="R561" s="254"/>
      <c r="S561" s="254"/>
      <c r="T561" s="254"/>
      <c r="U561" s="254"/>
      <c r="V561" s="254"/>
      <c r="W561" s="254"/>
      <c r="X561" s="254"/>
      <c r="Y561" s="254"/>
      <c r="Z561" s="254"/>
    </row>
    <row r="562" spans="16:26" ht="10.199999999999999" customHeight="1">
      <c r="P562" s="256"/>
      <c r="Q562" s="256"/>
      <c r="R562" s="256"/>
      <c r="S562" s="256"/>
      <c r="T562" s="256"/>
      <c r="U562" s="256"/>
      <c r="V562" s="256"/>
      <c r="W562" s="256"/>
      <c r="X562" s="256"/>
      <c r="Y562" s="256"/>
      <c r="Z562" s="256"/>
    </row>
    <row r="563" spans="16:26" ht="10.199999999999999" customHeight="1">
      <c r="P563" s="256"/>
      <c r="Q563" s="256"/>
      <c r="R563" s="256"/>
      <c r="S563" s="256"/>
      <c r="T563" s="256"/>
      <c r="U563" s="256"/>
      <c r="V563" s="256"/>
      <c r="W563" s="256"/>
      <c r="X563" s="256"/>
      <c r="Y563" s="256"/>
      <c r="Z563" s="256"/>
    </row>
    <row r="564" spans="16:26" ht="10.199999999999999" customHeight="1">
      <c r="P564" s="254"/>
      <c r="Q564" s="254"/>
      <c r="R564" s="254"/>
      <c r="S564" s="254"/>
      <c r="T564" s="254"/>
      <c r="U564" s="254"/>
      <c r="V564" s="254"/>
      <c r="W564" s="254"/>
      <c r="X564" s="254"/>
      <c r="Y564" s="254"/>
      <c r="Z564" s="254"/>
    </row>
    <row r="565" spans="16:26" ht="10.199999999999999" customHeight="1">
      <c r="P565" s="256"/>
      <c r="Q565" s="256"/>
      <c r="R565" s="256"/>
      <c r="S565" s="256"/>
      <c r="T565" s="256"/>
      <c r="U565" s="256"/>
      <c r="V565" s="256"/>
      <c r="W565" s="256"/>
      <c r="X565" s="256"/>
      <c r="Y565" s="256"/>
      <c r="Z565" s="256"/>
    </row>
    <row r="566" spans="16:26" ht="10.199999999999999" customHeight="1">
      <c r="P566" s="256"/>
      <c r="Q566" s="256"/>
      <c r="R566" s="256"/>
      <c r="S566" s="256"/>
      <c r="T566" s="256"/>
      <c r="U566" s="256"/>
      <c r="V566" s="256"/>
      <c r="W566" s="256"/>
      <c r="X566" s="256"/>
      <c r="Y566" s="256"/>
      <c r="Z566" s="256"/>
    </row>
    <row r="567" spans="16:26" ht="10.199999999999999" customHeight="1">
      <c r="P567" s="254"/>
      <c r="Q567" s="254"/>
      <c r="R567" s="254"/>
      <c r="S567" s="254"/>
      <c r="T567" s="254"/>
      <c r="U567" s="254"/>
      <c r="V567" s="254"/>
      <c r="W567" s="254"/>
      <c r="X567" s="254"/>
      <c r="Y567" s="254"/>
      <c r="Z567" s="254"/>
    </row>
    <row r="568" spans="16:26" ht="10.199999999999999" customHeight="1">
      <c r="P568" s="256"/>
      <c r="Q568" s="256"/>
      <c r="R568" s="256"/>
      <c r="S568" s="256"/>
      <c r="T568" s="256"/>
      <c r="U568" s="256"/>
      <c r="V568" s="256"/>
      <c r="W568" s="256"/>
      <c r="X568" s="256"/>
      <c r="Y568" s="256"/>
      <c r="Z568" s="256"/>
    </row>
    <row r="569" spans="16:26" ht="10.199999999999999" customHeight="1">
      <c r="P569" s="256"/>
      <c r="Q569" s="256"/>
      <c r="R569" s="256"/>
      <c r="S569" s="256"/>
      <c r="T569" s="256"/>
      <c r="U569" s="256"/>
      <c r="V569" s="256"/>
      <c r="W569" s="256"/>
      <c r="X569" s="256"/>
      <c r="Y569" s="256"/>
      <c r="Z569" s="256"/>
    </row>
    <row r="570" spans="16:26" ht="10.199999999999999" customHeight="1">
      <c r="P570" s="254"/>
      <c r="Q570" s="254"/>
      <c r="R570" s="254"/>
      <c r="S570" s="254"/>
      <c r="T570" s="254"/>
      <c r="U570" s="254"/>
      <c r="V570" s="254"/>
      <c r="W570" s="254"/>
      <c r="X570" s="254"/>
      <c r="Y570" s="254"/>
      <c r="Z570" s="254"/>
    </row>
    <row r="571" spans="16:26" ht="10.199999999999999" customHeight="1">
      <c r="P571" s="256"/>
      <c r="Q571" s="256"/>
      <c r="R571" s="256"/>
      <c r="S571" s="256"/>
      <c r="T571" s="256"/>
      <c r="U571" s="256"/>
      <c r="V571" s="256"/>
      <c r="W571" s="256"/>
      <c r="X571" s="256"/>
      <c r="Y571" s="256"/>
      <c r="Z571" s="256"/>
    </row>
    <row r="572" spans="16:26" ht="10.199999999999999" customHeight="1">
      <c r="P572" s="256"/>
      <c r="Q572" s="256"/>
      <c r="R572" s="256"/>
      <c r="S572" s="256"/>
      <c r="T572" s="256"/>
      <c r="U572" s="256"/>
      <c r="V572" s="256"/>
      <c r="W572" s="256"/>
      <c r="X572" s="256"/>
      <c r="Y572" s="256"/>
      <c r="Z572" s="256"/>
    </row>
    <row r="573" spans="16:26" ht="10.199999999999999" customHeight="1">
      <c r="P573" s="254"/>
      <c r="Q573" s="254"/>
      <c r="R573" s="254"/>
      <c r="S573" s="254"/>
      <c r="T573" s="254"/>
      <c r="U573" s="254"/>
      <c r="V573" s="254"/>
      <c r="W573" s="254"/>
      <c r="X573" s="254"/>
      <c r="Y573" s="254"/>
      <c r="Z573" s="254"/>
    </row>
    <row r="574" spans="16:26" ht="10.199999999999999" customHeight="1">
      <c r="P574" s="256"/>
      <c r="Q574" s="256"/>
      <c r="R574" s="256"/>
      <c r="S574" s="256"/>
      <c r="T574" s="256"/>
      <c r="U574" s="256"/>
      <c r="V574" s="256"/>
      <c r="W574" s="256"/>
      <c r="X574" s="256"/>
      <c r="Y574" s="256"/>
      <c r="Z574" s="256"/>
    </row>
    <row r="575" spans="16:26" ht="10.199999999999999" customHeight="1">
      <c r="P575" s="256"/>
      <c r="Q575" s="256"/>
      <c r="R575" s="256"/>
      <c r="S575" s="256"/>
      <c r="T575" s="256"/>
      <c r="U575" s="256"/>
      <c r="V575" s="256"/>
      <c r="W575" s="256"/>
      <c r="X575" s="256"/>
      <c r="Y575" s="256"/>
      <c r="Z575" s="256"/>
    </row>
    <row r="576" spans="16:26" ht="10.199999999999999" customHeight="1">
      <c r="P576" s="254"/>
      <c r="Q576" s="254"/>
      <c r="R576" s="254"/>
      <c r="S576" s="254"/>
      <c r="T576" s="254"/>
      <c r="U576" s="254"/>
      <c r="V576" s="254"/>
      <c r="W576" s="254"/>
      <c r="X576" s="254"/>
      <c r="Y576" s="254"/>
      <c r="Z576" s="254"/>
    </row>
    <row r="577" spans="16:26" ht="10.199999999999999" customHeight="1">
      <c r="P577" s="256"/>
      <c r="Q577" s="256"/>
      <c r="R577" s="256"/>
      <c r="S577" s="256"/>
      <c r="T577" s="256"/>
      <c r="U577" s="256"/>
      <c r="V577" s="256"/>
      <c r="W577" s="256"/>
      <c r="X577" s="256"/>
      <c r="Y577" s="256"/>
      <c r="Z577" s="256"/>
    </row>
    <row r="578" spans="16:26" ht="10.199999999999999" customHeight="1">
      <c r="P578" s="256"/>
      <c r="Q578" s="256"/>
      <c r="R578" s="256"/>
      <c r="S578" s="256"/>
      <c r="T578" s="256"/>
      <c r="U578" s="256"/>
      <c r="V578" s="256"/>
      <c r="W578" s="256"/>
      <c r="X578" s="256"/>
      <c r="Y578" s="256"/>
      <c r="Z578" s="256"/>
    </row>
    <row r="579" spans="16:26" ht="10.199999999999999" customHeight="1">
      <c r="P579" s="254"/>
      <c r="Q579" s="254"/>
      <c r="R579" s="254"/>
      <c r="S579" s="254"/>
      <c r="T579" s="254"/>
      <c r="U579" s="254"/>
      <c r="V579" s="254"/>
      <c r="W579" s="254"/>
      <c r="X579" s="254"/>
      <c r="Y579" s="254"/>
      <c r="Z579" s="254"/>
    </row>
    <row r="580" spans="16:26" ht="10.199999999999999" customHeight="1">
      <c r="P580" s="256"/>
      <c r="Q580" s="256"/>
      <c r="R580" s="256"/>
      <c r="S580" s="256"/>
      <c r="T580" s="256"/>
      <c r="U580" s="256"/>
      <c r="V580" s="256"/>
      <c r="W580" s="256"/>
      <c r="X580" s="256"/>
      <c r="Y580" s="256"/>
      <c r="Z580" s="256"/>
    </row>
    <row r="581" spans="16:26" ht="10.199999999999999" customHeight="1">
      <c r="P581" s="256"/>
      <c r="Q581" s="256"/>
      <c r="R581" s="256"/>
      <c r="S581" s="256"/>
      <c r="T581" s="256"/>
      <c r="U581" s="256"/>
      <c r="V581" s="256"/>
      <c r="W581" s="256"/>
      <c r="X581" s="256"/>
      <c r="Y581" s="256"/>
      <c r="Z581" s="256"/>
    </row>
    <row r="582" spans="16:26" ht="10.199999999999999" customHeight="1">
      <c r="P582" s="254"/>
      <c r="Q582" s="254"/>
      <c r="R582" s="254"/>
      <c r="S582" s="254"/>
      <c r="T582" s="254"/>
      <c r="U582" s="254"/>
      <c r="V582" s="254"/>
      <c r="W582" s="254"/>
      <c r="X582" s="254"/>
      <c r="Y582" s="254"/>
      <c r="Z582" s="254"/>
    </row>
    <row r="583" spans="16:26" ht="10.199999999999999" customHeight="1">
      <c r="P583" s="256"/>
      <c r="Q583" s="256"/>
      <c r="R583" s="256"/>
      <c r="S583" s="256"/>
      <c r="T583" s="256"/>
      <c r="U583" s="256"/>
      <c r="V583" s="256"/>
      <c r="W583" s="256"/>
      <c r="X583" s="256"/>
      <c r="Y583" s="256"/>
      <c r="Z583" s="256"/>
    </row>
    <row r="584" spans="16:26" ht="10.199999999999999" customHeight="1">
      <c r="P584" s="256"/>
      <c r="Q584" s="256"/>
      <c r="R584" s="256"/>
      <c r="S584" s="256"/>
      <c r="T584" s="256"/>
      <c r="U584" s="256"/>
      <c r="V584" s="256"/>
      <c r="W584" s="256"/>
      <c r="X584" s="256"/>
      <c r="Y584" s="256"/>
      <c r="Z584" s="256"/>
    </row>
    <row r="585" spans="16:26" ht="10.199999999999999" customHeight="1">
      <c r="P585" s="254"/>
      <c r="Q585" s="254"/>
      <c r="R585" s="254"/>
      <c r="S585" s="254"/>
      <c r="T585" s="254"/>
      <c r="U585" s="254"/>
      <c r="V585" s="254"/>
      <c r="W585" s="254"/>
      <c r="X585" s="254"/>
      <c r="Y585" s="254"/>
      <c r="Z585" s="254"/>
    </row>
    <row r="586" spans="16:26" ht="10.199999999999999" customHeight="1">
      <c r="P586" s="256"/>
      <c r="Q586" s="256"/>
      <c r="R586" s="256"/>
      <c r="S586" s="256"/>
      <c r="T586" s="256"/>
      <c r="U586" s="256"/>
      <c r="V586" s="256"/>
      <c r="W586" s="256"/>
      <c r="X586" s="256"/>
      <c r="Y586" s="256"/>
      <c r="Z586" s="256"/>
    </row>
    <row r="587" spans="16:26" ht="10.199999999999999" customHeight="1">
      <c r="P587" s="256"/>
      <c r="Q587" s="256"/>
      <c r="R587" s="256"/>
      <c r="S587" s="256"/>
      <c r="T587" s="256"/>
      <c r="U587" s="256"/>
      <c r="V587" s="256"/>
      <c r="W587" s="256"/>
      <c r="X587" s="256"/>
      <c r="Y587" s="256"/>
      <c r="Z587" s="256"/>
    </row>
    <row r="588" spans="16:26" ht="10.199999999999999" customHeight="1">
      <c r="P588" s="254"/>
      <c r="Q588" s="254"/>
      <c r="R588" s="254"/>
      <c r="S588" s="254"/>
      <c r="T588" s="254"/>
      <c r="U588" s="254"/>
      <c r="V588" s="254"/>
      <c r="W588" s="254"/>
      <c r="X588" s="254"/>
      <c r="Y588" s="254"/>
      <c r="Z588" s="254"/>
    </row>
    <row r="589" spans="16:26" ht="10.199999999999999" customHeight="1">
      <c r="P589" s="256"/>
      <c r="Q589" s="256"/>
      <c r="R589" s="256"/>
      <c r="S589" s="256"/>
      <c r="T589" s="256"/>
      <c r="U589" s="256"/>
      <c r="V589" s="256"/>
      <c r="W589" s="256"/>
      <c r="X589" s="256"/>
      <c r="Y589" s="256"/>
      <c r="Z589" s="256"/>
    </row>
    <row r="590" spans="16:26" ht="10.199999999999999" customHeight="1">
      <c r="P590" s="256"/>
      <c r="Q590" s="256"/>
      <c r="R590" s="256"/>
      <c r="S590" s="256"/>
      <c r="T590" s="256"/>
      <c r="U590" s="256"/>
      <c r="V590" s="256"/>
      <c r="W590" s="256"/>
      <c r="X590" s="256"/>
      <c r="Y590" s="256"/>
      <c r="Z590" s="256"/>
    </row>
    <row r="591" spans="16:26" ht="10.199999999999999" customHeight="1">
      <c r="P591" s="254"/>
      <c r="Q591" s="254"/>
      <c r="R591" s="254"/>
      <c r="S591" s="254"/>
      <c r="T591" s="254"/>
      <c r="U591" s="254"/>
      <c r="V591" s="254"/>
      <c r="W591" s="254"/>
      <c r="X591" s="254"/>
      <c r="Y591" s="254"/>
      <c r="Z591" s="254"/>
    </row>
    <row r="592" spans="16:26" ht="10.199999999999999" customHeight="1">
      <c r="P592" s="256"/>
      <c r="Q592" s="256"/>
      <c r="R592" s="256"/>
      <c r="S592" s="256"/>
      <c r="T592" s="256"/>
      <c r="U592" s="256"/>
      <c r="V592" s="256"/>
      <c r="W592" s="256"/>
      <c r="X592" s="256"/>
      <c r="Y592" s="256"/>
      <c r="Z592" s="256"/>
    </row>
    <row r="593" spans="16:26" ht="10.199999999999999" customHeight="1">
      <c r="P593" s="256"/>
      <c r="Q593" s="256"/>
      <c r="R593" s="256"/>
      <c r="S593" s="256"/>
      <c r="T593" s="256"/>
      <c r="U593" s="256"/>
      <c r="V593" s="256"/>
      <c r="W593" s="256"/>
      <c r="X593" s="256"/>
      <c r="Y593" s="256"/>
      <c r="Z593" s="256"/>
    </row>
    <row r="594" spans="16:26" ht="10.199999999999999" customHeight="1">
      <c r="P594" s="254"/>
      <c r="Q594" s="254"/>
      <c r="R594" s="254"/>
      <c r="S594" s="254"/>
      <c r="T594" s="254"/>
      <c r="U594" s="254"/>
      <c r="V594" s="254"/>
      <c r="W594" s="254"/>
      <c r="X594" s="254"/>
      <c r="Y594" s="254"/>
      <c r="Z594" s="254"/>
    </row>
    <row r="595" spans="16:26" ht="10.199999999999999" customHeight="1">
      <c r="P595" s="256"/>
      <c r="Q595" s="256"/>
      <c r="R595" s="256"/>
      <c r="S595" s="256"/>
      <c r="T595" s="256"/>
      <c r="U595" s="256"/>
      <c r="V595" s="256"/>
      <c r="W595" s="256"/>
      <c r="X595" s="256"/>
      <c r="Y595" s="256"/>
      <c r="Z595" s="256"/>
    </row>
    <row r="596" spans="16:26" ht="10.199999999999999" customHeight="1">
      <c r="P596" s="256"/>
      <c r="Q596" s="256"/>
      <c r="R596" s="256"/>
      <c r="S596" s="256"/>
      <c r="T596" s="256"/>
      <c r="U596" s="256"/>
      <c r="V596" s="256"/>
      <c r="W596" s="256"/>
      <c r="X596" s="256"/>
      <c r="Y596" s="256"/>
      <c r="Z596" s="256"/>
    </row>
    <row r="597" spans="16:26" ht="10.199999999999999" customHeight="1">
      <c r="P597" s="254"/>
      <c r="Q597" s="254"/>
      <c r="R597" s="254"/>
      <c r="S597" s="254"/>
      <c r="T597" s="254"/>
      <c r="U597" s="254"/>
      <c r="V597" s="254"/>
      <c r="W597" s="254"/>
      <c r="X597" s="254"/>
      <c r="Y597" s="254"/>
      <c r="Z597" s="254"/>
    </row>
    <row r="598" spans="16:26" ht="10.199999999999999" customHeight="1">
      <c r="P598" s="256"/>
      <c r="Q598" s="256"/>
      <c r="R598" s="256"/>
      <c r="S598" s="256"/>
      <c r="T598" s="256"/>
      <c r="U598" s="256"/>
      <c r="V598" s="256"/>
      <c r="W598" s="256"/>
      <c r="X598" s="256"/>
      <c r="Y598" s="256"/>
      <c r="Z598" s="256"/>
    </row>
    <row r="599" spans="16:26" ht="10.199999999999999" customHeight="1">
      <c r="P599" s="256"/>
      <c r="Q599" s="256"/>
      <c r="R599" s="256"/>
      <c r="S599" s="256"/>
      <c r="T599" s="256"/>
      <c r="U599" s="256"/>
      <c r="V599" s="256"/>
      <c r="W599" s="256"/>
      <c r="X599" s="256"/>
      <c r="Y599" s="256"/>
      <c r="Z599" s="256"/>
    </row>
    <row r="600" spans="16:26" ht="10.199999999999999" customHeight="1">
      <c r="P600" s="254"/>
      <c r="Q600" s="254"/>
      <c r="R600" s="254"/>
      <c r="S600" s="254"/>
      <c r="T600" s="254"/>
      <c r="U600" s="254"/>
      <c r="V600" s="254"/>
      <c r="W600" s="254"/>
      <c r="X600" s="254"/>
      <c r="Y600" s="254"/>
      <c r="Z600" s="254"/>
    </row>
    <row r="601" spans="16:26" ht="10.199999999999999" customHeight="1">
      <c r="P601" s="256"/>
      <c r="Q601" s="256"/>
      <c r="R601" s="256"/>
      <c r="S601" s="256"/>
      <c r="T601" s="256"/>
      <c r="U601" s="256"/>
      <c r="V601" s="256"/>
      <c r="W601" s="256"/>
      <c r="X601" s="256"/>
      <c r="Y601" s="256"/>
      <c r="Z601" s="256"/>
    </row>
    <row r="602" spans="16:26" ht="10.199999999999999" customHeight="1">
      <c r="P602" s="256"/>
      <c r="Q602" s="256"/>
      <c r="R602" s="256"/>
      <c r="S602" s="256"/>
      <c r="T602" s="256"/>
      <c r="U602" s="256"/>
      <c r="V602" s="256"/>
      <c r="W602" s="256"/>
      <c r="X602" s="256"/>
      <c r="Y602" s="256"/>
      <c r="Z602" s="256"/>
    </row>
    <row r="603" spans="16:26" ht="10.199999999999999" customHeight="1">
      <c r="P603" s="254"/>
      <c r="Q603" s="254"/>
      <c r="R603" s="254"/>
      <c r="S603" s="254"/>
      <c r="T603" s="254"/>
      <c r="U603" s="254"/>
      <c r="V603" s="254"/>
      <c r="W603" s="254"/>
      <c r="X603" s="254"/>
      <c r="Y603" s="254"/>
      <c r="Z603" s="254"/>
    </row>
    <row r="604" spans="16:26" ht="10.199999999999999" customHeight="1">
      <c r="P604" s="256"/>
      <c r="Q604" s="256"/>
      <c r="R604" s="256"/>
      <c r="S604" s="256"/>
      <c r="T604" s="256"/>
      <c r="U604" s="256"/>
      <c r="V604" s="256"/>
      <c r="W604" s="256"/>
      <c r="X604" s="256"/>
      <c r="Y604" s="256"/>
      <c r="Z604" s="256"/>
    </row>
    <row r="605" spans="16:26" ht="10.199999999999999" customHeight="1">
      <c r="P605" s="256"/>
      <c r="Q605" s="256"/>
      <c r="R605" s="256"/>
      <c r="S605" s="256"/>
      <c r="T605" s="256"/>
      <c r="U605" s="256"/>
      <c r="V605" s="256"/>
      <c r="W605" s="256"/>
      <c r="X605" s="256"/>
      <c r="Y605" s="256"/>
      <c r="Z605" s="256"/>
    </row>
    <row r="606" spans="16:26" ht="10.199999999999999" customHeight="1">
      <c r="P606" s="254"/>
      <c r="Q606" s="254"/>
      <c r="R606" s="254"/>
      <c r="S606" s="254"/>
      <c r="T606" s="254"/>
      <c r="U606" s="254"/>
      <c r="V606" s="254"/>
      <c r="W606" s="254"/>
      <c r="X606" s="254"/>
      <c r="Y606" s="254"/>
      <c r="Z606" s="254"/>
    </row>
    <row r="607" spans="16:26" ht="10.199999999999999" customHeight="1">
      <c r="P607" s="256"/>
      <c r="Q607" s="256"/>
      <c r="R607" s="256"/>
      <c r="S607" s="256"/>
      <c r="T607" s="256"/>
      <c r="U607" s="256"/>
      <c r="V607" s="256"/>
      <c r="W607" s="256"/>
      <c r="X607" s="256"/>
      <c r="Y607" s="256"/>
      <c r="Z607" s="256"/>
    </row>
    <row r="608" spans="16:26" ht="10.199999999999999" customHeight="1">
      <c r="P608" s="256"/>
      <c r="Q608" s="256"/>
      <c r="R608" s="256"/>
      <c r="S608" s="256"/>
      <c r="T608" s="256"/>
      <c r="U608" s="256"/>
      <c r="V608" s="256"/>
      <c r="W608" s="256"/>
      <c r="X608" s="256"/>
      <c r="Y608" s="256"/>
      <c r="Z608" s="256"/>
    </row>
    <row r="609" spans="16:26" ht="10.199999999999999" customHeight="1">
      <c r="P609" s="254"/>
      <c r="Q609" s="254"/>
      <c r="R609" s="254"/>
      <c r="S609" s="254"/>
      <c r="T609" s="254"/>
      <c r="U609" s="254"/>
      <c r="V609" s="254"/>
      <c r="W609" s="254"/>
      <c r="X609" s="254"/>
      <c r="Y609" s="254"/>
      <c r="Z609" s="254"/>
    </row>
    <row r="610" spans="16:26" ht="10.199999999999999" customHeight="1">
      <c r="P610" s="256"/>
      <c r="Q610" s="256"/>
      <c r="R610" s="256"/>
      <c r="S610" s="256"/>
      <c r="T610" s="256"/>
      <c r="U610" s="256"/>
      <c r="V610" s="256"/>
      <c r="W610" s="256"/>
      <c r="X610" s="256"/>
      <c r="Y610" s="256"/>
      <c r="Z610" s="256"/>
    </row>
    <row r="611" spans="16:26" ht="10.199999999999999" customHeight="1">
      <c r="P611" s="256"/>
      <c r="Q611" s="256"/>
      <c r="R611" s="256"/>
      <c r="S611" s="256"/>
      <c r="T611" s="256"/>
      <c r="U611" s="256"/>
      <c r="V611" s="256"/>
      <c r="W611" s="256"/>
      <c r="X611" s="256"/>
      <c r="Y611" s="256"/>
      <c r="Z611" s="256"/>
    </row>
    <row r="612" spans="16:26" ht="10.199999999999999" customHeight="1">
      <c r="P612" s="254"/>
      <c r="Q612" s="254"/>
      <c r="R612" s="254"/>
      <c r="S612" s="254"/>
      <c r="T612" s="254"/>
      <c r="U612" s="254"/>
      <c r="V612" s="254"/>
      <c r="W612" s="254"/>
      <c r="X612" s="254"/>
      <c r="Y612" s="254"/>
      <c r="Z612" s="254"/>
    </row>
    <row r="613" spans="16:26" ht="10.199999999999999" customHeight="1">
      <c r="P613" s="256"/>
      <c r="Q613" s="256"/>
      <c r="R613" s="256"/>
      <c r="S613" s="256"/>
      <c r="T613" s="256"/>
      <c r="U613" s="256"/>
      <c r="V613" s="256"/>
      <c r="W613" s="256"/>
      <c r="X613" s="256"/>
      <c r="Y613" s="256"/>
      <c r="Z613" s="256"/>
    </row>
    <row r="614" spans="16:26" ht="10.199999999999999" customHeight="1">
      <c r="P614" s="256"/>
      <c r="Q614" s="256"/>
      <c r="R614" s="256"/>
      <c r="S614" s="256"/>
      <c r="T614" s="256"/>
      <c r="U614" s="256"/>
      <c r="V614" s="256"/>
      <c r="W614" s="256"/>
      <c r="X614" s="256"/>
      <c r="Y614" s="256"/>
      <c r="Z614" s="256"/>
    </row>
    <row r="615" spans="16:26" ht="10.199999999999999" customHeight="1">
      <c r="P615" s="254"/>
      <c r="Q615" s="254"/>
      <c r="R615" s="254"/>
      <c r="S615" s="254"/>
      <c r="T615" s="254"/>
      <c r="U615" s="254"/>
      <c r="V615" s="254"/>
      <c r="W615" s="254"/>
      <c r="X615" s="254"/>
      <c r="Y615" s="254"/>
      <c r="Z615" s="254"/>
    </row>
    <row r="616" spans="16:26" ht="10.199999999999999" customHeight="1">
      <c r="P616" s="256"/>
      <c r="Q616" s="256"/>
      <c r="R616" s="256"/>
      <c r="S616" s="256"/>
      <c r="T616" s="256"/>
      <c r="U616" s="256"/>
      <c r="V616" s="256"/>
      <c r="W616" s="256"/>
      <c r="X616" s="256"/>
      <c r="Y616" s="256"/>
      <c r="Z616" s="256"/>
    </row>
    <row r="617" spans="16:26" ht="10.199999999999999" customHeight="1">
      <c r="P617" s="256"/>
      <c r="Q617" s="256"/>
      <c r="R617" s="256"/>
      <c r="S617" s="256"/>
      <c r="T617" s="256"/>
      <c r="U617" s="256"/>
      <c r="V617" s="256"/>
      <c r="W617" s="256"/>
      <c r="X617" s="256"/>
      <c r="Y617" s="256"/>
      <c r="Z617" s="256"/>
    </row>
    <row r="618" spans="16:26" ht="10.199999999999999" customHeight="1">
      <c r="P618" s="254"/>
      <c r="Q618" s="254"/>
      <c r="R618" s="254"/>
      <c r="S618" s="254"/>
      <c r="T618" s="254"/>
      <c r="U618" s="254"/>
      <c r="V618" s="254"/>
      <c r="W618" s="254"/>
      <c r="X618" s="254"/>
      <c r="Y618" s="254"/>
      <c r="Z618" s="254"/>
    </row>
    <row r="619" spans="16:26" ht="10.199999999999999" customHeight="1">
      <c r="P619" s="256"/>
      <c r="Q619" s="256"/>
      <c r="R619" s="256"/>
      <c r="S619" s="256"/>
      <c r="T619" s="256"/>
      <c r="U619" s="256"/>
      <c r="V619" s="256"/>
      <c r="W619" s="256"/>
      <c r="X619" s="256"/>
      <c r="Y619" s="256"/>
      <c r="Z619" s="256"/>
    </row>
    <row r="620" spans="16:26" ht="10.199999999999999" customHeight="1">
      <c r="P620" s="256"/>
      <c r="Q620" s="256"/>
      <c r="R620" s="256"/>
      <c r="S620" s="256"/>
      <c r="T620" s="256"/>
      <c r="U620" s="256"/>
      <c r="V620" s="256"/>
      <c r="W620" s="256"/>
      <c r="X620" s="256"/>
      <c r="Y620" s="256"/>
      <c r="Z620" s="256"/>
    </row>
    <row r="621" spans="16:26" ht="10.199999999999999" customHeight="1">
      <c r="P621" s="254"/>
      <c r="Q621" s="254"/>
      <c r="R621" s="254"/>
      <c r="S621" s="254"/>
      <c r="T621" s="254"/>
      <c r="U621" s="254"/>
      <c r="V621" s="254"/>
      <c r="W621" s="254"/>
      <c r="X621" s="254"/>
      <c r="Y621" s="254"/>
      <c r="Z621" s="254"/>
    </row>
    <row r="622" spans="16:26" ht="10.199999999999999" customHeight="1">
      <c r="P622" s="256"/>
      <c r="Q622" s="256"/>
      <c r="R622" s="256"/>
      <c r="S622" s="256"/>
      <c r="T622" s="256"/>
      <c r="U622" s="256"/>
      <c r="V622" s="256"/>
      <c r="W622" s="256"/>
      <c r="X622" s="256"/>
      <c r="Y622" s="256"/>
      <c r="Z622" s="256"/>
    </row>
    <row r="623" spans="16:26" ht="10.199999999999999" customHeight="1">
      <c r="P623" s="256"/>
      <c r="Q623" s="256"/>
      <c r="R623" s="256"/>
      <c r="S623" s="256"/>
      <c r="T623" s="256"/>
      <c r="U623" s="256"/>
      <c r="V623" s="256"/>
      <c r="W623" s="256"/>
      <c r="X623" s="256"/>
      <c r="Y623" s="256"/>
      <c r="Z623" s="256"/>
    </row>
    <row r="624" spans="16:26" ht="10.199999999999999" customHeight="1">
      <c r="P624" s="254"/>
      <c r="Q624" s="254"/>
      <c r="R624" s="254"/>
      <c r="S624" s="254"/>
      <c r="T624" s="254"/>
      <c r="U624" s="254"/>
      <c r="V624" s="254"/>
      <c r="W624" s="254"/>
      <c r="X624" s="254"/>
      <c r="Y624" s="254"/>
      <c r="Z624" s="254"/>
    </row>
    <row r="625" spans="16:26" ht="10.199999999999999" customHeight="1">
      <c r="P625" s="256"/>
      <c r="Q625" s="256"/>
      <c r="R625" s="256"/>
      <c r="S625" s="256"/>
      <c r="T625" s="256"/>
      <c r="U625" s="256"/>
      <c r="V625" s="256"/>
      <c r="W625" s="256"/>
      <c r="X625" s="256"/>
      <c r="Y625" s="256"/>
      <c r="Z625" s="256"/>
    </row>
    <row r="626" spans="16:26" ht="10.199999999999999" customHeight="1">
      <c r="P626" s="256"/>
      <c r="Q626" s="256"/>
      <c r="R626" s="256"/>
      <c r="S626" s="256"/>
      <c r="T626" s="256"/>
      <c r="U626" s="256"/>
      <c r="V626" s="256"/>
      <c r="W626" s="256"/>
      <c r="X626" s="256"/>
      <c r="Y626" s="256"/>
      <c r="Z626" s="256"/>
    </row>
    <row r="627" spans="16:26" ht="10.199999999999999" customHeight="1">
      <c r="P627" s="254"/>
      <c r="Q627" s="254"/>
      <c r="R627" s="254"/>
      <c r="S627" s="254"/>
      <c r="T627" s="254"/>
      <c r="U627" s="254"/>
      <c r="V627" s="254"/>
      <c r="W627" s="254"/>
      <c r="X627" s="254"/>
      <c r="Y627" s="254"/>
      <c r="Z627" s="254"/>
    </row>
    <row r="628" spans="16:26" ht="10.199999999999999" customHeight="1">
      <c r="P628" s="256"/>
      <c r="Q628" s="256"/>
      <c r="R628" s="256"/>
      <c r="S628" s="256"/>
      <c r="T628" s="256"/>
      <c r="U628" s="256"/>
      <c r="V628" s="256"/>
      <c r="W628" s="256"/>
      <c r="X628" s="256"/>
      <c r="Y628" s="256"/>
      <c r="Z628" s="256"/>
    </row>
    <row r="629" spans="16:26" ht="10.199999999999999" customHeight="1">
      <c r="P629" s="256"/>
      <c r="Q629" s="256"/>
      <c r="R629" s="256"/>
      <c r="S629" s="256"/>
      <c r="T629" s="256"/>
      <c r="U629" s="256"/>
      <c r="V629" s="256"/>
      <c r="W629" s="256"/>
      <c r="X629" s="256"/>
      <c r="Y629" s="256"/>
      <c r="Z629" s="256"/>
    </row>
    <row r="630" spans="16:26" ht="10.199999999999999" customHeight="1">
      <c r="P630" s="254"/>
      <c r="Q630" s="254"/>
      <c r="R630" s="254"/>
      <c r="S630" s="254"/>
      <c r="T630" s="254"/>
      <c r="U630" s="254"/>
      <c r="V630" s="254"/>
      <c r="W630" s="254"/>
      <c r="X630" s="254"/>
      <c r="Y630" s="254"/>
      <c r="Z630" s="254"/>
    </row>
    <row r="631" spans="16:26" ht="10.199999999999999" customHeight="1">
      <c r="P631" s="256"/>
      <c r="Q631" s="256"/>
      <c r="R631" s="256"/>
      <c r="S631" s="256"/>
      <c r="T631" s="256"/>
      <c r="U631" s="256"/>
      <c r="V631" s="256"/>
      <c r="W631" s="256"/>
      <c r="X631" s="256"/>
      <c r="Y631" s="256"/>
      <c r="Z631" s="256"/>
    </row>
    <row r="632" spans="16:26" ht="10.199999999999999" customHeight="1">
      <c r="P632" s="256"/>
      <c r="Q632" s="256"/>
      <c r="R632" s="256"/>
      <c r="S632" s="256"/>
      <c r="T632" s="256"/>
      <c r="U632" s="256"/>
      <c r="V632" s="256"/>
      <c r="W632" s="256"/>
      <c r="X632" s="256"/>
      <c r="Y632" s="256"/>
      <c r="Z632" s="256"/>
    </row>
    <row r="633" spans="16:26" ht="10.199999999999999" customHeight="1">
      <c r="P633" s="254"/>
      <c r="Q633" s="254"/>
      <c r="R633" s="254"/>
      <c r="S633" s="254"/>
      <c r="T633" s="254"/>
      <c r="U633" s="254"/>
      <c r="V633" s="254"/>
      <c r="W633" s="254"/>
      <c r="X633" s="254"/>
      <c r="Y633" s="254"/>
      <c r="Z633" s="254"/>
    </row>
    <row r="634" spans="16:26" ht="10.199999999999999" customHeight="1">
      <c r="P634" s="256"/>
      <c r="Q634" s="256"/>
      <c r="R634" s="256"/>
      <c r="S634" s="256"/>
      <c r="T634" s="256"/>
      <c r="U634" s="256"/>
      <c r="V634" s="256"/>
      <c r="W634" s="256"/>
      <c r="X634" s="256"/>
      <c r="Y634" s="256"/>
      <c r="Z634" s="256"/>
    </row>
    <row r="635" spans="16:26" ht="10.199999999999999" customHeight="1">
      <c r="P635" s="256"/>
      <c r="Q635" s="256"/>
      <c r="R635" s="256"/>
      <c r="S635" s="256"/>
      <c r="T635" s="256"/>
      <c r="U635" s="256"/>
      <c r="V635" s="256"/>
      <c r="W635" s="256"/>
      <c r="X635" s="256"/>
      <c r="Y635" s="256"/>
      <c r="Z635" s="256"/>
    </row>
    <row r="636" spans="16:26" ht="10.199999999999999" customHeight="1">
      <c r="P636" s="254"/>
      <c r="Q636" s="254"/>
      <c r="R636" s="254"/>
      <c r="S636" s="254"/>
      <c r="T636" s="254"/>
      <c r="U636" s="254"/>
      <c r="V636" s="254"/>
      <c r="W636" s="254"/>
      <c r="X636" s="254"/>
      <c r="Y636" s="254"/>
      <c r="Z636" s="254"/>
    </row>
    <row r="637" spans="16:26" ht="10.199999999999999" customHeight="1">
      <c r="P637" s="256"/>
      <c r="Q637" s="256"/>
      <c r="R637" s="256"/>
      <c r="S637" s="256"/>
      <c r="T637" s="256"/>
      <c r="U637" s="256"/>
      <c r="V637" s="256"/>
      <c r="W637" s="256"/>
      <c r="X637" s="256"/>
      <c r="Y637" s="256"/>
      <c r="Z637" s="256"/>
    </row>
    <row r="638" spans="16:26" ht="10.199999999999999" customHeight="1">
      <c r="P638" s="256"/>
      <c r="Q638" s="256"/>
      <c r="R638" s="256"/>
      <c r="S638" s="256"/>
      <c r="T638" s="256"/>
      <c r="U638" s="256"/>
      <c r="V638" s="256"/>
      <c r="W638" s="256"/>
      <c r="X638" s="256"/>
      <c r="Y638" s="256"/>
      <c r="Z638" s="256"/>
    </row>
    <row r="639" spans="16:26" ht="10.199999999999999" customHeight="1">
      <c r="P639" s="254"/>
      <c r="Q639" s="254"/>
      <c r="R639" s="254"/>
      <c r="S639" s="254"/>
      <c r="T639" s="254"/>
      <c r="U639" s="254"/>
      <c r="V639" s="254"/>
      <c r="W639" s="254"/>
      <c r="X639" s="254"/>
      <c r="Y639" s="254"/>
      <c r="Z639" s="254"/>
    </row>
    <row r="640" spans="16:26" ht="10.199999999999999" customHeight="1">
      <c r="P640" s="256"/>
      <c r="Q640" s="256"/>
      <c r="R640" s="256"/>
      <c r="S640" s="256"/>
      <c r="T640" s="256"/>
      <c r="U640" s="256"/>
      <c r="V640" s="256"/>
      <c r="W640" s="256"/>
      <c r="X640" s="256"/>
      <c r="Y640" s="256"/>
      <c r="Z640" s="256"/>
    </row>
    <row r="641" spans="16:26" ht="10.199999999999999" customHeight="1">
      <c r="P641" s="256"/>
      <c r="Q641" s="256"/>
      <c r="R641" s="256"/>
      <c r="S641" s="256"/>
      <c r="T641" s="256"/>
      <c r="U641" s="256"/>
      <c r="V641" s="256"/>
      <c r="W641" s="256"/>
      <c r="X641" s="256"/>
      <c r="Y641" s="256"/>
      <c r="Z641" s="256"/>
    </row>
    <row r="642" spans="16:26" ht="10.199999999999999" customHeight="1">
      <c r="P642" s="254"/>
      <c r="Q642" s="254"/>
      <c r="R642" s="254"/>
      <c r="S642" s="254"/>
      <c r="T642" s="254"/>
      <c r="U642" s="254"/>
      <c r="V642" s="254"/>
      <c r="W642" s="254"/>
      <c r="X642" s="254"/>
      <c r="Y642" s="254"/>
      <c r="Z642" s="254"/>
    </row>
    <row r="643" spans="16:26" ht="10.199999999999999" customHeight="1">
      <c r="P643" s="254"/>
      <c r="Q643" s="254"/>
      <c r="R643" s="254"/>
      <c r="S643" s="254"/>
      <c r="T643" s="254"/>
      <c r="U643" s="254"/>
      <c r="V643" s="254"/>
      <c r="W643" s="254"/>
      <c r="X643" s="254"/>
      <c r="Y643" s="254"/>
      <c r="Z643" s="254"/>
    </row>
    <row r="644" spans="16:26" ht="10.199999999999999" customHeight="1">
      <c r="P644" s="254"/>
      <c r="Q644" s="254"/>
      <c r="R644" s="254"/>
      <c r="S644" s="254"/>
      <c r="T644" s="254"/>
      <c r="U644" s="254"/>
      <c r="V644" s="254"/>
      <c r="W644" s="254"/>
      <c r="X644" s="254"/>
      <c r="Y644" s="254"/>
      <c r="Z644" s="254"/>
    </row>
    <row r="645" spans="16:26" ht="10.199999999999999" customHeight="1">
      <c r="P645" s="254"/>
      <c r="Q645" s="254"/>
      <c r="R645" s="254"/>
      <c r="S645" s="254"/>
      <c r="T645" s="254"/>
      <c r="U645" s="254"/>
      <c r="V645" s="254"/>
      <c r="W645" s="254"/>
      <c r="X645" s="254"/>
      <c r="Y645" s="254"/>
      <c r="Z645" s="254"/>
    </row>
    <row r="646" spans="16:26" ht="10.199999999999999" customHeight="1">
      <c r="P646" s="254"/>
      <c r="Q646" s="254"/>
      <c r="R646" s="254"/>
      <c r="S646" s="254"/>
      <c r="T646" s="254"/>
      <c r="U646" s="254"/>
      <c r="V646" s="254"/>
      <c r="W646" s="254"/>
      <c r="X646" s="254"/>
      <c r="Y646" s="254"/>
      <c r="Z646" s="254"/>
    </row>
    <row r="647" spans="16:26" ht="10.199999999999999" customHeight="1">
      <c r="P647" s="254"/>
      <c r="Q647" s="254"/>
      <c r="R647" s="254"/>
      <c r="S647" s="254"/>
      <c r="T647" s="254"/>
      <c r="U647" s="254"/>
      <c r="V647" s="254"/>
      <c r="W647" s="254"/>
      <c r="X647" s="254"/>
      <c r="Y647" s="254"/>
      <c r="Z647" s="254"/>
    </row>
    <row r="648" spans="16:26" ht="10.199999999999999" customHeight="1">
      <c r="P648" s="254"/>
      <c r="Q648" s="254"/>
      <c r="R648" s="254"/>
      <c r="S648" s="254"/>
      <c r="T648" s="254"/>
      <c r="U648" s="254"/>
      <c r="V648" s="254"/>
      <c r="W648" s="254"/>
      <c r="X648" s="254"/>
      <c r="Y648" s="254"/>
      <c r="Z648" s="254"/>
    </row>
    <row r="649" spans="16:26" ht="10.199999999999999" customHeight="1">
      <c r="P649" s="254"/>
      <c r="Q649" s="254"/>
      <c r="R649" s="254"/>
      <c r="S649" s="254"/>
      <c r="T649" s="254"/>
      <c r="U649" s="254"/>
      <c r="V649" s="254"/>
      <c r="W649" s="254"/>
      <c r="X649" s="254"/>
      <c r="Y649" s="254"/>
      <c r="Z649" s="254"/>
    </row>
    <row r="650" spans="16:26" ht="10.199999999999999" customHeight="1">
      <c r="P650" s="254"/>
      <c r="Q650" s="254"/>
      <c r="R650" s="254"/>
      <c r="S650" s="254"/>
      <c r="T650" s="254"/>
      <c r="U650" s="254"/>
      <c r="V650" s="254"/>
      <c r="W650" s="254"/>
      <c r="X650" s="254"/>
      <c r="Y650" s="254"/>
      <c r="Z650" s="254"/>
    </row>
    <row r="651" spans="16:26" ht="10.199999999999999" customHeight="1">
      <c r="P651" s="254"/>
      <c r="Q651" s="254"/>
      <c r="R651" s="254"/>
      <c r="S651" s="254"/>
      <c r="T651" s="254"/>
      <c r="U651" s="254"/>
      <c r="V651" s="254"/>
      <c r="W651" s="254"/>
      <c r="X651" s="254"/>
      <c r="Y651" s="254"/>
      <c r="Z651" s="254"/>
    </row>
    <row r="652" spans="16:26" ht="10.199999999999999" customHeight="1">
      <c r="P652" s="254"/>
      <c r="Q652" s="254"/>
      <c r="R652" s="254"/>
      <c r="S652" s="254"/>
      <c r="T652" s="254"/>
      <c r="U652" s="254"/>
      <c r="V652" s="254"/>
      <c r="W652" s="254"/>
      <c r="X652" s="254"/>
      <c r="Y652" s="254"/>
      <c r="Z652" s="254"/>
    </row>
    <row r="653" spans="16:26" ht="10.199999999999999" customHeight="1">
      <c r="P653" s="254"/>
      <c r="Q653" s="254"/>
      <c r="R653" s="254"/>
      <c r="S653" s="254"/>
      <c r="T653" s="254"/>
      <c r="U653" s="254"/>
      <c r="V653" s="254"/>
      <c r="W653" s="254"/>
      <c r="X653" s="254"/>
      <c r="Y653" s="254"/>
      <c r="Z653" s="254"/>
    </row>
    <row r="654" spans="16:26" ht="10.199999999999999" customHeight="1">
      <c r="P654" s="254"/>
      <c r="Q654" s="254"/>
      <c r="R654" s="254"/>
      <c r="S654" s="254"/>
      <c r="T654" s="254"/>
      <c r="U654" s="254"/>
      <c r="V654" s="254"/>
      <c r="W654" s="254"/>
      <c r="X654" s="254"/>
      <c r="Y654" s="254"/>
      <c r="Z654" s="254"/>
    </row>
    <row r="655" spans="16:26" ht="10.199999999999999" customHeight="1">
      <c r="P655" s="254"/>
      <c r="Q655" s="254"/>
      <c r="R655" s="254"/>
      <c r="S655" s="254"/>
      <c r="T655" s="254"/>
      <c r="U655" s="254"/>
      <c r="V655" s="254"/>
      <c r="W655" s="254"/>
      <c r="X655" s="254"/>
      <c r="Y655" s="254"/>
      <c r="Z655" s="254"/>
    </row>
    <row r="656" spans="16:26" ht="10.199999999999999" customHeight="1">
      <c r="P656" s="254"/>
      <c r="Q656" s="254"/>
      <c r="R656" s="254"/>
      <c r="S656" s="254"/>
      <c r="T656" s="254"/>
      <c r="U656" s="254"/>
      <c r="V656" s="254"/>
      <c r="W656" s="254"/>
      <c r="X656" s="254"/>
      <c r="Y656" s="254"/>
      <c r="Z656" s="254"/>
    </row>
    <row r="657" spans="16:26" ht="10.199999999999999" customHeight="1">
      <c r="P657" s="254"/>
      <c r="Q657" s="254"/>
      <c r="R657" s="254"/>
      <c r="S657" s="254"/>
      <c r="T657" s="254"/>
      <c r="U657" s="254"/>
      <c r="V657" s="254"/>
      <c r="W657" s="254"/>
      <c r="X657" s="254"/>
      <c r="Y657" s="254"/>
      <c r="Z657" s="254"/>
    </row>
    <row r="658" spans="16:26" ht="10.199999999999999" customHeight="1">
      <c r="P658" s="254"/>
      <c r="Q658" s="254"/>
      <c r="R658" s="254"/>
      <c r="S658" s="254"/>
      <c r="T658" s="254"/>
      <c r="U658" s="254"/>
      <c r="V658" s="254"/>
      <c r="W658" s="254"/>
      <c r="X658" s="254"/>
      <c r="Y658" s="254"/>
      <c r="Z658" s="254"/>
    </row>
    <row r="659" spans="16:26" ht="10.199999999999999" customHeight="1">
      <c r="P659" s="254"/>
      <c r="Q659" s="254"/>
      <c r="R659" s="254"/>
      <c r="S659" s="254"/>
      <c r="T659" s="254"/>
      <c r="U659" s="254"/>
      <c r="V659" s="254"/>
      <c r="W659" s="254"/>
      <c r="X659" s="254"/>
      <c r="Y659" s="254"/>
      <c r="Z659" s="254"/>
    </row>
    <row r="660" spans="16:26" ht="10.199999999999999" customHeight="1">
      <c r="P660" s="254"/>
      <c r="Q660" s="254"/>
      <c r="R660" s="254"/>
      <c r="S660" s="254"/>
      <c r="T660" s="254"/>
      <c r="U660" s="254"/>
      <c r="V660" s="254"/>
      <c r="W660" s="254"/>
      <c r="X660" s="254"/>
      <c r="Y660" s="254"/>
      <c r="Z660" s="254"/>
    </row>
    <row r="661" spans="16:26" ht="10.199999999999999" customHeight="1">
      <c r="P661" s="254"/>
      <c r="Q661" s="254"/>
      <c r="R661" s="254"/>
      <c r="S661" s="254"/>
      <c r="T661" s="254"/>
      <c r="U661" s="254"/>
      <c r="V661" s="254"/>
      <c r="W661" s="254"/>
      <c r="X661" s="254"/>
      <c r="Y661" s="254"/>
      <c r="Z661" s="254"/>
    </row>
    <row r="662" spans="16:26" ht="10.199999999999999" customHeight="1">
      <c r="P662" s="254"/>
      <c r="Q662" s="254"/>
      <c r="R662" s="254"/>
      <c r="S662" s="254"/>
      <c r="T662" s="254"/>
      <c r="U662" s="254"/>
      <c r="V662" s="254"/>
      <c r="W662" s="254"/>
      <c r="X662" s="254"/>
      <c r="Y662" s="254"/>
      <c r="Z662" s="254"/>
    </row>
    <row r="663" spans="16:26" ht="10.199999999999999" customHeight="1">
      <c r="P663" s="254"/>
      <c r="Q663" s="254"/>
      <c r="R663" s="254"/>
      <c r="S663" s="254"/>
      <c r="T663" s="254"/>
      <c r="U663" s="254"/>
      <c r="V663" s="254"/>
      <c r="W663" s="254"/>
      <c r="X663" s="254"/>
      <c r="Y663" s="254"/>
      <c r="Z663" s="254"/>
    </row>
    <row r="664" spans="16:26" ht="10.199999999999999" customHeight="1">
      <c r="P664" s="254"/>
      <c r="Q664" s="254"/>
      <c r="R664" s="254"/>
      <c r="S664" s="254"/>
      <c r="T664" s="254"/>
      <c r="U664" s="254"/>
      <c r="V664" s="254"/>
      <c r="W664" s="254"/>
      <c r="X664" s="254"/>
      <c r="Y664" s="254"/>
      <c r="Z664" s="254"/>
    </row>
    <row r="665" spans="16:26" ht="10.199999999999999" customHeight="1">
      <c r="P665" s="254"/>
      <c r="Q665" s="254"/>
      <c r="R665" s="254"/>
      <c r="S665" s="254"/>
      <c r="T665" s="254"/>
      <c r="U665" s="254"/>
      <c r="V665" s="254"/>
      <c r="W665" s="254"/>
      <c r="X665" s="254"/>
      <c r="Y665" s="254"/>
      <c r="Z665" s="254"/>
    </row>
    <row r="666" spans="16:26" ht="10.199999999999999" customHeight="1">
      <c r="P666" s="254"/>
      <c r="Q666" s="254"/>
      <c r="R666" s="254"/>
      <c r="S666" s="254"/>
      <c r="T666" s="254"/>
      <c r="U666" s="254"/>
      <c r="V666" s="254"/>
      <c r="W666" s="254"/>
      <c r="X666" s="254"/>
      <c r="Y666" s="254"/>
      <c r="Z666" s="254"/>
    </row>
    <row r="667" spans="16:26" ht="10.199999999999999" customHeight="1">
      <c r="P667" s="254"/>
      <c r="Q667" s="254"/>
      <c r="R667" s="254"/>
      <c r="S667" s="254"/>
      <c r="T667" s="254"/>
      <c r="U667" s="254"/>
      <c r="V667" s="254"/>
      <c r="W667" s="254"/>
      <c r="X667" s="254"/>
      <c r="Y667" s="254"/>
      <c r="Z667" s="254"/>
    </row>
    <row r="668" spans="16:26" ht="10.199999999999999" customHeight="1">
      <c r="P668" s="254"/>
      <c r="Q668" s="254"/>
      <c r="R668" s="254"/>
      <c r="S668" s="254"/>
      <c r="T668" s="254"/>
      <c r="U668" s="254"/>
      <c r="V668" s="254"/>
      <c r="W668" s="254"/>
      <c r="X668" s="254"/>
      <c r="Y668" s="254"/>
      <c r="Z668" s="254"/>
    </row>
    <row r="669" spans="16:26" ht="10.199999999999999" customHeight="1">
      <c r="P669" s="254"/>
      <c r="Q669" s="254"/>
      <c r="R669" s="254"/>
      <c r="S669" s="254"/>
      <c r="T669" s="254"/>
      <c r="U669" s="254"/>
      <c r="V669" s="254"/>
      <c r="W669" s="254"/>
      <c r="X669" s="254"/>
      <c r="Y669" s="254"/>
      <c r="Z669" s="254"/>
    </row>
    <row r="670" spans="16:26" ht="10.199999999999999" customHeight="1">
      <c r="P670" s="254"/>
      <c r="Q670" s="254"/>
      <c r="R670" s="254"/>
      <c r="S670" s="254"/>
      <c r="T670" s="254"/>
      <c r="U670" s="254"/>
      <c r="V670" s="254"/>
      <c r="W670" s="254"/>
      <c r="X670" s="254"/>
      <c r="Y670" s="254"/>
      <c r="Z670" s="254"/>
    </row>
    <row r="671" spans="16:26" ht="10.199999999999999" customHeight="1">
      <c r="P671" s="254"/>
      <c r="Q671" s="254"/>
      <c r="R671" s="254"/>
      <c r="S671" s="254"/>
      <c r="T671" s="254"/>
      <c r="U671" s="254"/>
      <c r="V671" s="254"/>
      <c r="W671" s="254"/>
      <c r="X671" s="254"/>
      <c r="Y671" s="254"/>
      <c r="Z671" s="254"/>
    </row>
    <row r="672" spans="16:26" ht="10.199999999999999" customHeight="1">
      <c r="P672" s="254"/>
      <c r="Q672" s="254"/>
      <c r="R672" s="254"/>
      <c r="S672" s="254"/>
      <c r="T672" s="254"/>
      <c r="U672" s="254"/>
      <c r="V672" s="254"/>
      <c r="W672" s="254"/>
      <c r="X672" s="254"/>
      <c r="Y672" s="254"/>
      <c r="Z672" s="254"/>
    </row>
    <row r="673" spans="16:26" ht="10.199999999999999" customHeight="1">
      <c r="P673" s="254"/>
      <c r="Q673" s="254"/>
      <c r="R673" s="254"/>
      <c r="S673" s="254"/>
      <c r="T673" s="254"/>
      <c r="U673" s="254"/>
      <c r="V673" s="254"/>
      <c r="W673" s="254"/>
      <c r="X673" s="254"/>
      <c r="Y673" s="254"/>
      <c r="Z673" s="254"/>
    </row>
    <row r="674" spans="16:26" ht="10.199999999999999" customHeight="1">
      <c r="P674" s="254"/>
      <c r="Q674" s="254"/>
      <c r="R674" s="254"/>
      <c r="S674" s="254"/>
      <c r="T674" s="254"/>
      <c r="U674" s="254"/>
      <c r="V674" s="254"/>
      <c r="W674" s="254"/>
      <c r="X674" s="254"/>
      <c r="Y674" s="254"/>
      <c r="Z674" s="254"/>
    </row>
    <row r="675" spans="16:26" ht="10.199999999999999" customHeight="1">
      <c r="P675" s="254"/>
      <c r="Q675" s="254"/>
      <c r="R675" s="254"/>
      <c r="S675" s="254"/>
      <c r="T675" s="254"/>
      <c r="U675" s="254"/>
      <c r="V675" s="254"/>
      <c r="W675" s="254"/>
      <c r="X675" s="254"/>
      <c r="Y675" s="254"/>
      <c r="Z675" s="254"/>
    </row>
    <row r="676" spans="16:26" ht="10.199999999999999" customHeight="1">
      <c r="P676" s="254"/>
      <c r="Q676" s="254"/>
      <c r="R676" s="254"/>
      <c r="S676" s="254"/>
      <c r="T676" s="254"/>
      <c r="U676" s="254"/>
      <c r="V676" s="254"/>
      <c r="W676" s="254"/>
      <c r="X676" s="254"/>
      <c r="Y676" s="254"/>
      <c r="Z676" s="254"/>
    </row>
    <row r="677" spans="16:26" ht="10.199999999999999" customHeight="1">
      <c r="P677" s="254"/>
      <c r="Q677" s="254"/>
      <c r="R677" s="254"/>
      <c r="S677" s="254"/>
      <c r="T677" s="254"/>
      <c r="U677" s="254"/>
      <c r="V677" s="254"/>
      <c r="W677" s="254"/>
      <c r="X677" s="254"/>
      <c r="Y677" s="254"/>
      <c r="Z677" s="254"/>
    </row>
    <row r="678" spans="16:26" ht="10.199999999999999" customHeight="1">
      <c r="P678" s="254"/>
      <c r="Q678" s="254"/>
      <c r="R678" s="254"/>
      <c r="S678" s="254"/>
      <c r="T678" s="254"/>
      <c r="U678" s="254"/>
      <c r="V678" s="254"/>
      <c r="W678" s="254"/>
      <c r="X678" s="254"/>
      <c r="Y678" s="254"/>
      <c r="Z678" s="254"/>
    </row>
    <row r="679" spans="16:26" ht="10.199999999999999" customHeight="1">
      <c r="P679" s="254"/>
      <c r="Q679" s="254"/>
      <c r="R679" s="254"/>
      <c r="S679" s="254"/>
      <c r="T679" s="254"/>
      <c r="U679" s="254"/>
      <c r="V679" s="254"/>
      <c r="W679" s="254"/>
      <c r="X679" s="254"/>
      <c r="Y679" s="254"/>
      <c r="Z679" s="254"/>
    </row>
    <row r="680" spans="16:26" ht="10.199999999999999" customHeight="1">
      <c r="P680" s="254"/>
      <c r="Q680" s="254"/>
      <c r="R680" s="254"/>
      <c r="S680" s="254"/>
      <c r="T680" s="254"/>
      <c r="U680" s="254"/>
      <c r="V680" s="254"/>
      <c r="W680" s="254"/>
      <c r="X680" s="254"/>
      <c r="Y680" s="254"/>
      <c r="Z680" s="254"/>
    </row>
    <row r="681" spans="16:26" ht="10.199999999999999" customHeight="1">
      <c r="P681" s="254"/>
      <c r="Q681" s="254"/>
      <c r="R681" s="254"/>
      <c r="S681" s="254"/>
      <c r="T681" s="254"/>
      <c r="U681" s="254"/>
      <c r="V681" s="254"/>
      <c r="W681" s="254"/>
      <c r="X681" s="254"/>
      <c r="Y681" s="254"/>
      <c r="Z681" s="254"/>
    </row>
    <row r="682" spans="16:26" ht="10.199999999999999" customHeight="1">
      <c r="P682" s="254"/>
      <c r="Q682" s="254"/>
      <c r="R682" s="254"/>
      <c r="S682" s="254"/>
      <c r="T682" s="254"/>
      <c r="U682" s="254"/>
      <c r="V682" s="254"/>
      <c r="W682" s="254"/>
      <c r="X682" s="254"/>
      <c r="Y682" s="254"/>
      <c r="Z682" s="254"/>
    </row>
    <row r="683" spans="16:26" ht="10.199999999999999" customHeight="1">
      <c r="P683" s="254"/>
      <c r="Q683" s="254"/>
      <c r="R683" s="254"/>
      <c r="S683" s="254"/>
      <c r="T683" s="254"/>
      <c r="U683" s="254"/>
      <c r="V683" s="254"/>
      <c r="W683" s="254"/>
      <c r="X683" s="254"/>
      <c r="Y683" s="254"/>
      <c r="Z683" s="254"/>
    </row>
    <row r="684" spans="16:26" ht="10.199999999999999" customHeight="1">
      <c r="P684" s="254"/>
      <c r="Q684" s="254"/>
      <c r="R684" s="254"/>
      <c r="S684" s="254"/>
      <c r="T684" s="254"/>
      <c r="U684" s="254"/>
      <c r="V684" s="254"/>
      <c r="W684" s="254"/>
      <c r="X684" s="254"/>
      <c r="Y684" s="254"/>
      <c r="Z684" s="254"/>
    </row>
    <row r="685" spans="16:26" ht="10.199999999999999" customHeight="1">
      <c r="P685" s="254"/>
      <c r="Q685" s="254"/>
      <c r="R685" s="254"/>
      <c r="S685" s="254"/>
      <c r="T685" s="254"/>
      <c r="U685" s="254"/>
      <c r="V685" s="254"/>
      <c r="W685" s="254"/>
      <c r="X685" s="254"/>
      <c r="Y685" s="254"/>
      <c r="Z685" s="254"/>
    </row>
    <row r="686" spans="16:26" ht="10.199999999999999" customHeight="1">
      <c r="P686" s="254"/>
      <c r="Q686" s="254"/>
      <c r="R686" s="254"/>
      <c r="S686" s="254"/>
      <c r="T686" s="254"/>
      <c r="U686" s="254"/>
      <c r="V686" s="254"/>
      <c r="W686" s="254"/>
      <c r="X686" s="254"/>
      <c r="Y686" s="254"/>
      <c r="Z686" s="254"/>
    </row>
    <row r="687" spans="16:26" ht="10.199999999999999" customHeight="1">
      <c r="P687" s="254"/>
      <c r="Q687" s="254"/>
      <c r="R687" s="254"/>
      <c r="S687" s="254"/>
      <c r="T687" s="254"/>
      <c r="U687" s="254"/>
      <c r="V687" s="254"/>
      <c r="W687" s="254"/>
      <c r="X687" s="254"/>
      <c r="Y687" s="254"/>
      <c r="Z687" s="254"/>
    </row>
    <row r="688" spans="16:26" ht="10.199999999999999" customHeight="1">
      <c r="P688" s="254"/>
      <c r="Q688" s="254"/>
      <c r="R688" s="254"/>
      <c r="S688" s="254"/>
      <c r="T688" s="254"/>
      <c r="U688" s="254"/>
      <c r="V688" s="254"/>
      <c r="W688" s="254"/>
      <c r="X688" s="254"/>
      <c r="Y688" s="254"/>
      <c r="Z688" s="254"/>
    </row>
    <row r="689" spans="16:26" ht="10.199999999999999" customHeight="1">
      <c r="P689" s="254"/>
      <c r="Q689" s="254"/>
      <c r="R689" s="254"/>
      <c r="S689" s="254"/>
      <c r="T689" s="254"/>
      <c r="U689" s="254"/>
      <c r="V689" s="254"/>
      <c r="W689" s="254"/>
      <c r="X689" s="254"/>
      <c r="Y689" s="254"/>
      <c r="Z689" s="254"/>
    </row>
    <row r="690" spans="16:26" ht="10.199999999999999" customHeight="1">
      <c r="P690" s="254"/>
      <c r="Q690" s="254"/>
      <c r="R690" s="254"/>
      <c r="S690" s="254"/>
      <c r="T690" s="254"/>
      <c r="U690" s="254"/>
      <c r="V690" s="254"/>
      <c r="W690" s="254"/>
      <c r="X690" s="254"/>
      <c r="Y690" s="254"/>
      <c r="Z690" s="254"/>
    </row>
    <row r="691" spans="16:26" ht="10.199999999999999" customHeight="1">
      <c r="P691" s="254"/>
      <c r="Q691" s="254"/>
      <c r="R691" s="254"/>
      <c r="S691" s="254"/>
      <c r="T691" s="254"/>
      <c r="U691" s="254"/>
      <c r="V691" s="254"/>
      <c r="W691" s="254"/>
      <c r="X691" s="254"/>
      <c r="Y691" s="254"/>
      <c r="Z691" s="254"/>
    </row>
    <row r="692" spans="16:26" ht="10.199999999999999" customHeight="1">
      <c r="P692" s="254"/>
      <c r="Q692" s="254"/>
      <c r="R692" s="254"/>
      <c r="S692" s="254"/>
      <c r="T692" s="254"/>
      <c r="U692" s="254"/>
      <c r="V692" s="254"/>
      <c r="W692" s="254"/>
      <c r="X692" s="254"/>
      <c r="Y692" s="254"/>
      <c r="Z692" s="254"/>
    </row>
    <row r="693" spans="16:26" ht="10.199999999999999" customHeight="1">
      <c r="P693" s="254"/>
      <c r="Q693" s="254"/>
      <c r="R693" s="254"/>
      <c r="S693" s="254"/>
      <c r="T693" s="254"/>
      <c r="U693" s="254"/>
      <c r="V693" s="254"/>
      <c r="W693" s="254"/>
      <c r="X693" s="254"/>
      <c r="Y693" s="254"/>
      <c r="Z693" s="254"/>
    </row>
    <row r="694" spans="16:26" ht="10.199999999999999" customHeight="1">
      <c r="P694" s="254"/>
      <c r="Q694" s="254"/>
      <c r="R694" s="254"/>
      <c r="S694" s="254"/>
      <c r="T694" s="254"/>
      <c r="U694" s="254"/>
      <c r="V694" s="254"/>
      <c r="W694" s="254"/>
      <c r="X694" s="254"/>
      <c r="Y694" s="254"/>
      <c r="Z694" s="254"/>
    </row>
    <row r="695" spans="16:26" ht="10.199999999999999" customHeight="1">
      <c r="P695" s="254"/>
      <c r="Q695" s="254"/>
      <c r="R695" s="254"/>
      <c r="S695" s="254"/>
      <c r="T695" s="254"/>
      <c r="U695" s="254"/>
      <c r="V695" s="254"/>
      <c r="W695" s="254"/>
      <c r="X695" s="254"/>
      <c r="Y695" s="254"/>
      <c r="Z695" s="254"/>
    </row>
    <row r="696" spans="16:26" ht="10.199999999999999" customHeight="1">
      <c r="P696" s="254"/>
      <c r="Q696" s="254"/>
      <c r="R696" s="254"/>
      <c r="S696" s="254"/>
      <c r="T696" s="254"/>
      <c r="U696" s="254"/>
      <c r="V696" s="254"/>
      <c r="W696" s="254"/>
      <c r="X696" s="254"/>
      <c r="Y696" s="254"/>
      <c r="Z696" s="254"/>
    </row>
    <row r="697" spans="16:26" ht="10.199999999999999" customHeight="1">
      <c r="P697" s="254"/>
      <c r="Q697" s="254"/>
      <c r="R697" s="254"/>
      <c r="S697" s="254"/>
      <c r="T697" s="254"/>
      <c r="U697" s="254"/>
      <c r="V697" s="254"/>
      <c r="W697" s="254"/>
      <c r="X697" s="254"/>
      <c r="Y697" s="254"/>
      <c r="Z697" s="254"/>
    </row>
    <row r="698" spans="16:26" ht="10.199999999999999" customHeight="1">
      <c r="P698" s="254"/>
      <c r="Q698" s="254"/>
      <c r="R698" s="254"/>
      <c r="S698" s="254"/>
      <c r="T698" s="254"/>
      <c r="U698" s="254"/>
      <c r="V698" s="254"/>
      <c r="W698" s="254"/>
      <c r="X698" s="254"/>
      <c r="Y698" s="254"/>
      <c r="Z698" s="254"/>
    </row>
    <row r="699" spans="16:26" ht="10.199999999999999" customHeight="1">
      <c r="P699" s="254"/>
      <c r="Q699" s="254"/>
      <c r="R699" s="254"/>
      <c r="S699" s="254"/>
      <c r="T699" s="254"/>
      <c r="U699" s="254"/>
      <c r="V699" s="254"/>
      <c r="W699" s="254"/>
      <c r="X699" s="254"/>
      <c r="Y699" s="254"/>
      <c r="Z699" s="254"/>
    </row>
    <row r="700" spans="16:26" ht="10.199999999999999" customHeight="1">
      <c r="P700" s="254"/>
      <c r="Q700" s="254"/>
      <c r="R700" s="254"/>
      <c r="S700" s="254"/>
      <c r="T700" s="254"/>
      <c r="U700" s="254"/>
      <c r="V700" s="254"/>
      <c r="W700" s="254"/>
      <c r="X700" s="254"/>
      <c r="Y700" s="254"/>
      <c r="Z700" s="254"/>
    </row>
    <row r="701" spans="16:26" ht="10.199999999999999" customHeight="1">
      <c r="P701" s="254"/>
      <c r="Q701" s="254"/>
      <c r="R701" s="254"/>
      <c r="S701" s="254"/>
      <c r="T701" s="254"/>
      <c r="U701" s="254"/>
      <c r="V701" s="254"/>
      <c r="W701" s="254"/>
      <c r="X701" s="254"/>
      <c r="Y701" s="254"/>
      <c r="Z701" s="254"/>
    </row>
    <row r="702" spans="16:26" ht="10.199999999999999" customHeight="1">
      <c r="P702" s="254"/>
      <c r="Q702" s="254"/>
      <c r="R702" s="254"/>
      <c r="S702" s="254"/>
      <c r="T702" s="254"/>
      <c r="U702" s="254"/>
      <c r="V702" s="254"/>
      <c r="W702" s="254"/>
      <c r="X702" s="254"/>
      <c r="Y702" s="254"/>
      <c r="Z702" s="254"/>
    </row>
    <row r="703" spans="16:26" ht="10.199999999999999" customHeight="1">
      <c r="P703" s="254"/>
      <c r="Q703" s="254"/>
      <c r="R703" s="254"/>
      <c r="S703" s="254"/>
      <c r="T703" s="254"/>
      <c r="U703" s="254"/>
      <c r="V703" s="254"/>
      <c r="W703" s="254"/>
      <c r="X703" s="254"/>
      <c r="Y703" s="254"/>
      <c r="Z703" s="254"/>
    </row>
    <row r="704" spans="16:26" ht="10.199999999999999" customHeight="1">
      <c r="P704" s="254"/>
      <c r="Q704" s="254"/>
      <c r="R704" s="254"/>
      <c r="S704" s="254"/>
      <c r="T704" s="254"/>
      <c r="U704" s="254"/>
      <c r="V704" s="254"/>
      <c r="W704" s="254"/>
      <c r="X704" s="254"/>
      <c r="Y704" s="254"/>
      <c r="Z704" s="254"/>
    </row>
    <row r="705" spans="16:26" ht="10.199999999999999" customHeight="1">
      <c r="P705" s="254"/>
      <c r="Q705" s="254"/>
      <c r="R705" s="254"/>
      <c r="S705" s="254"/>
      <c r="T705" s="254"/>
      <c r="U705" s="254"/>
      <c r="V705" s="254"/>
      <c r="W705" s="254"/>
      <c r="X705" s="254"/>
      <c r="Y705" s="254"/>
      <c r="Z705" s="254"/>
    </row>
    <row r="706" spans="16:26" ht="10.199999999999999" customHeight="1">
      <c r="P706" s="254"/>
      <c r="Q706" s="254"/>
      <c r="R706" s="254"/>
      <c r="S706" s="254"/>
      <c r="T706" s="254"/>
      <c r="U706" s="254"/>
      <c r="V706" s="254"/>
      <c r="W706" s="254"/>
      <c r="X706" s="254"/>
      <c r="Y706" s="254"/>
      <c r="Z706" s="254"/>
    </row>
    <row r="707" spans="16:26" ht="10.199999999999999" customHeight="1">
      <c r="P707" s="254"/>
      <c r="Q707" s="254"/>
      <c r="R707" s="254"/>
      <c r="S707" s="254"/>
      <c r="T707" s="254"/>
      <c r="U707" s="254"/>
      <c r="V707" s="254"/>
      <c r="W707" s="254"/>
      <c r="X707" s="254"/>
      <c r="Y707" s="254"/>
      <c r="Z707" s="254"/>
    </row>
    <row r="708" spans="16:26" ht="10.199999999999999" customHeight="1">
      <c r="P708" s="254"/>
      <c r="Q708" s="254"/>
      <c r="R708" s="254"/>
      <c r="S708" s="254"/>
      <c r="T708" s="254"/>
      <c r="U708" s="254"/>
      <c r="V708" s="254"/>
      <c r="W708" s="254"/>
      <c r="X708" s="254"/>
      <c r="Y708" s="254"/>
      <c r="Z708" s="254"/>
    </row>
    <row r="709" spans="16:26" ht="10.199999999999999" customHeight="1">
      <c r="P709" s="254"/>
      <c r="Q709" s="254"/>
      <c r="R709" s="254"/>
      <c r="S709" s="254"/>
      <c r="T709" s="254"/>
      <c r="U709" s="254"/>
      <c r="V709" s="254"/>
      <c r="W709" s="254"/>
      <c r="X709" s="254"/>
      <c r="Y709" s="254"/>
      <c r="Z709" s="254"/>
    </row>
    <row r="710" spans="16:26" ht="10.199999999999999" customHeight="1">
      <c r="P710" s="254"/>
      <c r="Q710" s="254"/>
      <c r="R710" s="254"/>
      <c r="S710" s="254"/>
      <c r="T710" s="254"/>
      <c r="U710" s="254"/>
      <c r="V710" s="254"/>
      <c r="W710" s="254"/>
      <c r="X710" s="254"/>
      <c r="Y710" s="254"/>
      <c r="Z710" s="254"/>
    </row>
    <row r="711" spans="16:26" ht="10.199999999999999" customHeight="1">
      <c r="P711" s="254"/>
      <c r="Q711" s="254"/>
      <c r="R711" s="254"/>
      <c r="S711" s="254"/>
      <c r="T711" s="254"/>
      <c r="U711" s="254"/>
      <c r="V711" s="254"/>
      <c r="W711" s="254"/>
      <c r="X711" s="254"/>
      <c r="Y711" s="254"/>
      <c r="Z711" s="254"/>
    </row>
    <row r="712" spans="16:26" ht="10.199999999999999" customHeight="1">
      <c r="P712" s="254"/>
      <c r="Q712" s="254"/>
      <c r="R712" s="254"/>
      <c r="S712" s="254"/>
      <c r="T712" s="254"/>
      <c r="U712" s="254"/>
      <c r="V712" s="254"/>
      <c r="W712" s="254"/>
      <c r="X712" s="254"/>
      <c r="Y712" s="254"/>
      <c r="Z712" s="254"/>
    </row>
    <row r="713" spans="16:26" ht="10.199999999999999" customHeight="1">
      <c r="P713" s="254"/>
      <c r="Q713" s="254"/>
      <c r="R713" s="254"/>
      <c r="S713" s="254"/>
      <c r="T713" s="254"/>
      <c r="U713" s="254"/>
      <c r="V713" s="254"/>
      <c r="W713" s="254"/>
      <c r="X713" s="254"/>
      <c r="Y713" s="254"/>
      <c r="Z713" s="254"/>
    </row>
    <row r="714" spans="16:26" ht="10.199999999999999" customHeight="1">
      <c r="P714" s="254"/>
      <c r="Q714" s="254"/>
      <c r="R714" s="254"/>
      <c r="S714" s="254"/>
      <c r="T714" s="254"/>
      <c r="U714" s="254"/>
      <c r="V714" s="254"/>
      <c r="W714" s="254"/>
      <c r="X714" s="254"/>
      <c r="Y714" s="254"/>
      <c r="Z714" s="254"/>
    </row>
    <row r="715" spans="16:26" ht="10.199999999999999" customHeight="1">
      <c r="P715" s="254"/>
      <c r="Q715" s="254"/>
      <c r="R715" s="254"/>
      <c r="S715" s="254"/>
      <c r="T715" s="254"/>
      <c r="U715" s="254"/>
      <c r="V715" s="254"/>
      <c r="W715" s="254"/>
      <c r="X715" s="254"/>
      <c r="Y715" s="254"/>
      <c r="Z715" s="254"/>
    </row>
    <row r="716" spans="16:26" ht="10.199999999999999" customHeight="1">
      <c r="P716" s="254"/>
      <c r="Q716" s="254"/>
      <c r="R716" s="254"/>
      <c r="S716" s="254"/>
      <c r="T716" s="254"/>
      <c r="U716" s="254"/>
      <c r="V716" s="254"/>
      <c r="W716" s="254"/>
      <c r="X716" s="254"/>
      <c r="Y716" s="254"/>
      <c r="Z716" s="254"/>
    </row>
    <row r="717" spans="16:26" ht="10.199999999999999" customHeight="1">
      <c r="P717" s="254"/>
      <c r="Q717" s="254"/>
      <c r="R717" s="254"/>
      <c r="S717" s="254"/>
      <c r="T717" s="254"/>
      <c r="U717" s="254"/>
      <c r="V717" s="254"/>
      <c r="W717" s="254"/>
      <c r="X717" s="254"/>
      <c r="Y717" s="254"/>
      <c r="Z717" s="254"/>
    </row>
    <row r="718" spans="16:26" ht="10.199999999999999" customHeight="1">
      <c r="P718" s="254"/>
      <c r="Q718" s="254"/>
      <c r="R718" s="254"/>
      <c r="S718" s="254"/>
      <c r="T718" s="254"/>
      <c r="U718" s="254"/>
      <c r="V718" s="254"/>
      <c r="W718" s="254"/>
      <c r="X718" s="254"/>
      <c r="Y718" s="254"/>
      <c r="Z718" s="254"/>
    </row>
    <row r="719" spans="16:26" ht="10.199999999999999" customHeight="1">
      <c r="P719" s="254"/>
      <c r="Q719" s="254"/>
      <c r="R719" s="254"/>
      <c r="S719" s="254"/>
      <c r="T719" s="254"/>
      <c r="U719" s="254"/>
      <c r="V719" s="254"/>
      <c r="W719" s="254"/>
      <c r="X719" s="254"/>
      <c r="Y719" s="254"/>
      <c r="Z719" s="254"/>
    </row>
    <row r="720" spans="16:26" ht="10.199999999999999" customHeight="1">
      <c r="P720" s="254"/>
      <c r="Q720" s="254"/>
      <c r="R720" s="254"/>
      <c r="S720" s="254"/>
      <c r="T720" s="254"/>
      <c r="U720" s="254"/>
      <c r="V720" s="254"/>
      <c r="W720" s="254"/>
      <c r="X720" s="254"/>
      <c r="Y720" s="254"/>
      <c r="Z720" s="254"/>
    </row>
    <row r="721" spans="16:26" ht="10.199999999999999" customHeight="1">
      <c r="P721" s="254"/>
      <c r="Q721" s="254"/>
      <c r="R721" s="254"/>
      <c r="S721" s="254"/>
      <c r="T721" s="254"/>
      <c r="U721" s="254"/>
      <c r="V721" s="254"/>
      <c r="W721" s="254"/>
      <c r="X721" s="254"/>
      <c r="Y721" s="254"/>
      <c r="Z721" s="254"/>
    </row>
    <row r="722" spans="16:26" ht="10.199999999999999" customHeight="1">
      <c r="P722" s="254"/>
      <c r="Q722" s="254"/>
      <c r="R722" s="254"/>
      <c r="S722" s="254"/>
      <c r="T722" s="254"/>
      <c r="U722" s="254"/>
      <c r="V722" s="254"/>
      <c r="W722" s="254"/>
      <c r="X722" s="254"/>
      <c r="Y722" s="254"/>
      <c r="Z722" s="254"/>
    </row>
    <row r="723" spans="16:26" ht="10.199999999999999" customHeight="1">
      <c r="P723" s="254"/>
      <c r="Q723" s="254"/>
      <c r="R723" s="254"/>
      <c r="S723" s="254"/>
      <c r="T723" s="254"/>
      <c r="U723" s="254"/>
      <c r="V723" s="254"/>
      <c r="W723" s="254"/>
      <c r="X723" s="254"/>
      <c r="Y723" s="254"/>
      <c r="Z723" s="254"/>
    </row>
    <row r="724" spans="16:26" ht="10.199999999999999" customHeight="1">
      <c r="P724" s="254"/>
      <c r="Q724" s="254"/>
      <c r="R724" s="254"/>
      <c r="S724" s="254"/>
      <c r="T724" s="254"/>
      <c r="U724" s="254"/>
      <c r="V724" s="254"/>
      <c r="W724" s="254"/>
      <c r="X724" s="254"/>
      <c r="Y724" s="254"/>
      <c r="Z724" s="254"/>
    </row>
    <row r="725" spans="16:26" ht="10.199999999999999" customHeight="1">
      <c r="P725" s="254"/>
      <c r="Q725" s="254"/>
      <c r="R725" s="254"/>
      <c r="S725" s="254"/>
      <c r="T725" s="254"/>
      <c r="U725" s="254"/>
      <c r="V725" s="254"/>
      <c r="W725" s="254"/>
      <c r="X725" s="254"/>
      <c r="Y725" s="254"/>
      <c r="Z725" s="254"/>
    </row>
    <row r="726" spans="16:26" ht="10.199999999999999" customHeight="1">
      <c r="P726" s="254"/>
      <c r="Q726" s="254"/>
      <c r="R726" s="254"/>
      <c r="S726" s="254"/>
      <c r="T726" s="254"/>
      <c r="U726" s="254"/>
      <c r="V726" s="254"/>
      <c r="W726" s="254"/>
      <c r="X726" s="254"/>
      <c r="Y726" s="254"/>
      <c r="Z726" s="254"/>
    </row>
    <row r="727" spans="16:26" ht="10.199999999999999" customHeight="1">
      <c r="P727" s="254"/>
      <c r="Q727" s="254"/>
      <c r="R727" s="254"/>
      <c r="S727" s="254"/>
      <c r="T727" s="254"/>
      <c r="U727" s="254"/>
      <c r="V727" s="254"/>
      <c r="W727" s="254"/>
      <c r="X727" s="254"/>
      <c r="Y727" s="254"/>
      <c r="Z727" s="254"/>
    </row>
    <row r="728" spans="16:26" ht="10.199999999999999" customHeight="1">
      <c r="P728" s="254"/>
      <c r="Q728" s="254"/>
      <c r="R728" s="254"/>
      <c r="S728" s="254"/>
      <c r="T728" s="254"/>
      <c r="U728" s="254"/>
      <c r="V728" s="254"/>
      <c r="W728" s="254"/>
      <c r="X728" s="254"/>
      <c r="Y728" s="254"/>
      <c r="Z728" s="254"/>
    </row>
    <row r="729" spans="16:26" ht="10.199999999999999" customHeight="1">
      <c r="P729" s="254"/>
      <c r="Q729" s="254"/>
      <c r="R729" s="254"/>
      <c r="S729" s="254"/>
      <c r="T729" s="254"/>
      <c r="U729" s="254"/>
      <c r="V729" s="254"/>
      <c r="W729" s="254"/>
      <c r="X729" s="254"/>
      <c r="Y729" s="254"/>
      <c r="Z729" s="254"/>
    </row>
    <row r="730" spans="16:26" ht="10.199999999999999" customHeight="1">
      <c r="P730" s="254"/>
      <c r="Q730" s="254"/>
      <c r="R730" s="254"/>
      <c r="S730" s="254"/>
      <c r="T730" s="254"/>
      <c r="U730" s="254"/>
      <c r="V730" s="254"/>
      <c r="W730" s="254"/>
      <c r="X730" s="254"/>
      <c r="Y730" s="254"/>
      <c r="Z730" s="254"/>
    </row>
    <row r="731" spans="16:26" ht="10.199999999999999" customHeight="1">
      <c r="P731" s="254"/>
      <c r="Q731" s="254"/>
      <c r="R731" s="254"/>
      <c r="S731" s="254"/>
      <c r="T731" s="254"/>
      <c r="U731" s="254"/>
      <c r="V731" s="254"/>
      <c r="W731" s="254"/>
      <c r="X731" s="254"/>
      <c r="Y731" s="254"/>
      <c r="Z731" s="254"/>
    </row>
    <row r="732" spans="16:26" ht="10.199999999999999" customHeight="1">
      <c r="P732" s="254"/>
      <c r="Q732" s="254"/>
      <c r="R732" s="254"/>
      <c r="S732" s="254"/>
      <c r="T732" s="254"/>
      <c r="U732" s="254"/>
      <c r="V732" s="254"/>
      <c r="W732" s="254"/>
      <c r="X732" s="254"/>
      <c r="Y732" s="254"/>
      <c r="Z732" s="254"/>
    </row>
    <row r="733" spans="16:26" ht="10.199999999999999" customHeight="1">
      <c r="P733" s="254"/>
      <c r="Q733" s="254"/>
      <c r="R733" s="254"/>
      <c r="S733" s="254"/>
      <c r="T733" s="254"/>
      <c r="U733" s="254"/>
      <c r="V733" s="254"/>
      <c r="W733" s="254"/>
      <c r="X733" s="254"/>
      <c r="Y733" s="254"/>
      <c r="Z733" s="254"/>
    </row>
    <row r="734" spans="16:26" ht="10.199999999999999" customHeight="1">
      <c r="P734" s="254"/>
      <c r="Q734" s="254"/>
      <c r="R734" s="254"/>
      <c r="S734" s="254"/>
      <c r="T734" s="254"/>
      <c r="U734" s="254"/>
      <c r="V734" s="254"/>
      <c r="W734" s="254"/>
      <c r="X734" s="254"/>
      <c r="Y734" s="254"/>
      <c r="Z734" s="254"/>
    </row>
    <row r="735" spans="16:26" ht="10.199999999999999" customHeight="1">
      <c r="P735" s="254"/>
      <c r="Q735" s="254"/>
      <c r="R735" s="254"/>
      <c r="S735" s="254"/>
      <c r="T735" s="254"/>
      <c r="U735" s="254"/>
      <c r="V735" s="254"/>
      <c r="W735" s="254"/>
      <c r="X735" s="254"/>
      <c r="Y735" s="254"/>
      <c r="Z735" s="254"/>
    </row>
    <row r="736" spans="16:26" ht="10.199999999999999" customHeight="1">
      <c r="P736" s="254"/>
      <c r="Q736" s="254"/>
      <c r="R736" s="254"/>
      <c r="S736" s="254"/>
      <c r="T736" s="254"/>
      <c r="U736" s="254"/>
      <c r="V736" s="254"/>
      <c r="W736" s="254"/>
      <c r="X736" s="254"/>
      <c r="Y736" s="254"/>
      <c r="Z736" s="254"/>
    </row>
    <row r="737" spans="16:26" ht="10.199999999999999" customHeight="1">
      <c r="P737" s="254"/>
      <c r="Q737" s="254"/>
      <c r="R737" s="254"/>
      <c r="S737" s="254"/>
      <c r="T737" s="254"/>
      <c r="U737" s="254"/>
      <c r="V737" s="254"/>
      <c r="W737" s="254"/>
      <c r="X737" s="254"/>
      <c r="Y737" s="254"/>
      <c r="Z737" s="254"/>
    </row>
    <row r="738" spans="16:26" ht="10.199999999999999" customHeight="1">
      <c r="P738" s="254"/>
      <c r="Q738" s="254"/>
      <c r="R738" s="254"/>
      <c r="S738" s="254"/>
      <c r="T738" s="254"/>
      <c r="U738" s="254"/>
      <c r="V738" s="254"/>
      <c r="W738" s="254"/>
      <c r="X738" s="254"/>
      <c r="Y738" s="254"/>
      <c r="Z738" s="254"/>
    </row>
    <row r="739" spans="16:26" ht="10.199999999999999" customHeight="1">
      <c r="P739" s="254"/>
      <c r="Q739" s="254"/>
      <c r="R739" s="254"/>
      <c r="S739" s="254"/>
      <c r="T739" s="254"/>
      <c r="U739" s="254"/>
      <c r="V739" s="254"/>
      <c r="W739" s="254"/>
      <c r="X739" s="254"/>
      <c r="Y739" s="254"/>
      <c r="Z739" s="254"/>
    </row>
    <row r="740" spans="16:26" ht="10.199999999999999" customHeight="1">
      <c r="P740" s="254"/>
      <c r="Q740" s="254"/>
      <c r="R740" s="254"/>
      <c r="S740" s="254"/>
      <c r="T740" s="254"/>
      <c r="U740" s="254"/>
      <c r="V740" s="254"/>
      <c r="W740" s="254"/>
      <c r="X740" s="254"/>
      <c r="Y740" s="254"/>
      <c r="Z740" s="254"/>
    </row>
    <row r="741" spans="16:26" ht="10.199999999999999" customHeight="1">
      <c r="P741" s="254"/>
      <c r="Q741" s="254"/>
      <c r="R741" s="254"/>
      <c r="S741" s="254"/>
      <c r="T741" s="254"/>
      <c r="U741" s="254"/>
      <c r="V741" s="254"/>
      <c r="W741" s="254"/>
      <c r="X741" s="254"/>
      <c r="Y741" s="254"/>
      <c r="Z741" s="254"/>
    </row>
    <row r="742" spans="16:26" ht="10.199999999999999" customHeight="1">
      <c r="P742" s="254"/>
      <c r="Q742" s="254"/>
      <c r="R742" s="254"/>
      <c r="S742" s="254"/>
      <c r="T742" s="254"/>
      <c r="U742" s="254"/>
      <c r="V742" s="254"/>
      <c r="W742" s="254"/>
      <c r="X742" s="254"/>
      <c r="Y742" s="254"/>
      <c r="Z742" s="254"/>
    </row>
    <row r="743" spans="16:26" ht="10.199999999999999" customHeight="1">
      <c r="P743" s="254"/>
      <c r="Q743" s="254"/>
      <c r="R743" s="254"/>
      <c r="S743" s="254"/>
      <c r="T743" s="254"/>
      <c r="U743" s="254"/>
      <c r="V743" s="254"/>
      <c r="W743" s="254"/>
      <c r="X743" s="254"/>
      <c r="Y743" s="254"/>
      <c r="Z743" s="254"/>
    </row>
    <row r="744" spans="16:26" ht="10.199999999999999" customHeight="1">
      <c r="P744" s="254"/>
      <c r="Q744" s="254"/>
      <c r="R744" s="254"/>
      <c r="S744" s="254"/>
      <c r="T744" s="254"/>
      <c r="U744" s="254"/>
      <c r="V744" s="254"/>
      <c r="W744" s="254"/>
      <c r="X744" s="254"/>
      <c r="Y744" s="254"/>
      <c r="Z744" s="254"/>
    </row>
    <row r="745" spans="16:26" ht="10.199999999999999" customHeight="1">
      <c r="P745" s="254"/>
      <c r="Q745" s="254"/>
      <c r="R745" s="254"/>
      <c r="S745" s="254"/>
      <c r="T745" s="254"/>
      <c r="U745" s="254"/>
      <c r="V745" s="254"/>
      <c r="W745" s="254"/>
      <c r="X745" s="254"/>
      <c r="Y745" s="254"/>
      <c r="Z745" s="254"/>
    </row>
    <row r="746" spans="16:26" ht="10.199999999999999" customHeight="1">
      <c r="P746" s="254"/>
      <c r="Q746" s="254"/>
      <c r="R746" s="254"/>
      <c r="S746" s="254"/>
      <c r="T746" s="254"/>
      <c r="U746" s="254"/>
      <c r="V746" s="254"/>
      <c r="W746" s="254"/>
      <c r="X746" s="254"/>
      <c r="Y746" s="254"/>
      <c r="Z746" s="254"/>
    </row>
    <row r="747" spans="16:26" ht="10.199999999999999" customHeight="1">
      <c r="P747" s="254"/>
      <c r="Q747" s="254"/>
      <c r="R747" s="254"/>
      <c r="S747" s="254"/>
      <c r="T747" s="254"/>
      <c r="U747" s="254"/>
      <c r="V747" s="254"/>
      <c r="W747" s="254"/>
      <c r="X747" s="254"/>
      <c r="Y747" s="254"/>
      <c r="Z747" s="254"/>
    </row>
    <row r="748" spans="16:26" ht="10.199999999999999" customHeight="1">
      <c r="P748" s="254"/>
      <c r="Q748" s="254"/>
      <c r="R748" s="254"/>
      <c r="S748" s="254"/>
      <c r="T748" s="254"/>
      <c r="U748" s="254"/>
      <c r="V748" s="254"/>
      <c r="W748" s="254"/>
      <c r="X748" s="254"/>
      <c r="Y748" s="254"/>
      <c r="Z748" s="254"/>
    </row>
    <row r="749" spans="16:26" ht="10.199999999999999" customHeight="1">
      <c r="P749" s="254"/>
      <c r="Q749" s="254"/>
      <c r="R749" s="254"/>
      <c r="S749" s="254"/>
      <c r="T749" s="254"/>
      <c r="U749" s="254"/>
      <c r="V749" s="254"/>
      <c r="W749" s="254"/>
      <c r="X749" s="254"/>
      <c r="Y749" s="254"/>
      <c r="Z749" s="254"/>
    </row>
    <row r="750" spans="16:26" ht="10.199999999999999" customHeight="1">
      <c r="P750" s="254"/>
      <c r="Q750" s="254"/>
      <c r="R750" s="254"/>
      <c r="S750" s="254"/>
      <c r="T750" s="254"/>
      <c r="U750" s="254"/>
      <c r="V750" s="254"/>
      <c r="W750" s="254"/>
      <c r="X750" s="254"/>
      <c r="Y750" s="254"/>
      <c r="Z750" s="254"/>
    </row>
    <row r="751" spans="16:26" ht="10.199999999999999" customHeight="1">
      <c r="P751" s="254"/>
      <c r="Q751" s="254"/>
      <c r="R751" s="254"/>
      <c r="S751" s="254"/>
      <c r="T751" s="254"/>
      <c r="U751" s="254"/>
      <c r="V751" s="254"/>
      <c r="W751" s="254"/>
      <c r="X751" s="254"/>
      <c r="Y751" s="254"/>
      <c r="Z751" s="254"/>
    </row>
    <row r="752" spans="16:26" ht="10.199999999999999" customHeight="1">
      <c r="P752" s="254"/>
      <c r="Q752" s="254"/>
      <c r="R752" s="254"/>
      <c r="S752" s="254"/>
      <c r="T752" s="254"/>
      <c r="U752" s="254"/>
      <c r="V752" s="254"/>
      <c r="W752" s="254"/>
      <c r="X752" s="254"/>
      <c r="Y752" s="254"/>
      <c r="Z752" s="254"/>
    </row>
    <row r="753" spans="16:26" ht="10.199999999999999" customHeight="1">
      <c r="P753" s="254"/>
      <c r="Q753" s="254"/>
      <c r="R753" s="254"/>
      <c r="S753" s="254"/>
      <c r="T753" s="254"/>
      <c r="U753" s="254"/>
      <c r="V753" s="254"/>
      <c r="W753" s="254"/>
      <c r="X753" s="254"/>
      <c r="Y753" s="254"/>
      <c r="Z753" s="254"/>
    </row>
    <row r="754" spans="16:26" ht="10.199999999999999" customHeight="1">
      <c r="P754" s="254"/>
      <c r="Q754" s="254"/>
      <c r="R754" s="254"/>
      <c r="S754" s="254"/>
      <c r="T754" s="254"/>
      <c r="U754" s="254"/>
      <c r="V754" s="254"/>
      <c r="W754" s="254"/>
      <c r="X754" s="254"/>
      <c r="Y754" s="254"/>
      <c r="Z754" s="254"/>
    </row>
    <row r="755" spans="16:26" ht="10.199999999999999" customHeight="1">
      <c r="P755" s="254"/>
      <c r="Q755" s="254"/>
      <c r="R755" s="254"/>
      <c r="S755" s="254"/>
      <c r="T755" s="254"/>
      <c r="U755" s="254"/>
      <c r="V755" s="254"/>
      <c r="W755" s="254"/>
      <c r="X755" s="254"/>
      <c r="Y755" s="254"/>
      <c r="Z755" s="254"/>
    </row>
    <row r="756" spans="16:26" ht="10.199999999999999" customHeight="1">
      <c r="P756" s="254"/>
      <c r="Q756" s="254"/>
      <c r="R756" s="254"/>
      <c r="S756" s="254"/>
      <c r="T756" s="254"/>
      <c r="U756" s="254"/>
      <c r="V756" s="254"/>
      <c r="W756" s="254"/>
      <c r="X756" s="254"/>
      <c r="Y756" s="254"/>
      <c r="Z756" s="254"/>
    </row>
    <row r="757" spans="16:26" ht="10.199999999999999" customHeight="1">
      <c r="P757" s="254"/>
      <c r="Q757" s="254"/>
      <c r="R757" s="254"/>
      <c r="S757" s="254"/>
      <c r="T757" s="254"/>
      <c r="U757" s="254"/>
      <c r="V757" s="254"/>
      <c r="W757" s="254"/>
      <c r="X757" s="254"/>
      <c r="Y757" s="254"/>
      <c r="Z757" s="254"/>
    </row>
    <row r="758" spans="16:26" ht="10.199999999999999" customHeight="1">
      <c r="P758" s="254"/>
      <c r="Q758" s="254"/>
      <c r="R758" s="254"/>
      <c r="S758" s="254"/>
      <c r="T758" s="254"/>
      <c r="U758" s="254"/>
      <c r="V758" s="254"/>
      <c r="W758" s="254"/>
      <c r="X758" s="254"/>
      <c r="Y758" s="254"/>
      <c r="Z758" s="254"/>
    </row>
    <row r="759" spans="16:26" ht="10.199999999999999" customHeight="1">
      <c r="P759" s="254"/>
      <c r="Q759" s="254"/>
      <c r="R759" s="254"/>
      <c r="S759" s="254"/>
      <c r="T759" s="254"/>
      <c r="U759" s="254"/>
      <c r="V759" s="254"/>
      <c r="W759" s="254"/>
      <c r="X759" s="254"/>
      <c r="Y759" s="254"/>
      <c r="Z759" s="254"/>
    </row>
    <row r="760" spans="16:26" ht="10.199999999999999" customHeight="1">
      <c r="P760" s="254"/>
      <c r="Q760" s="254"/>
      <c r="R760" s="254"/>
      <c r="S760" s="254"/>
      <c r="T760" s="254"/>
      <c r="U760" s="254"/>
      <c r="V760" s="254"/>
      <c r="W760" s="254"/>
      <c r="X760" s="254"/>
      <c r="Y760" s="254"/>
      <c r="Z760" s="254"/>
    </row>
    <row r="761" spans="16:26" ht="10.199999999999999" customHeight="1">
      <c r="P761" s="254"/>
      <c r="Q761" s="254"/>
      <c r="R761" s="254"/>
      <c r="S761" s="254"/>
      <c r="T761" s="254"/>
      <c r="U761" s="254"/>
      <c r="V761" s="254"/>
      <c r="W761" s="254"/>
      <c r="X761" s="254"/>
      <c r="Y761" s="254"/>
      <c r="Z761" s="254"/>
    </row>
    <row r="762" spans="16:26" ht="10.199999999999999" customHeight="1">
      <c r="P762" s="254"/>
      <c r="Q762" s="254"/>
      <c r="R762" s="254"/>
      <c r="S762" s="254"/>
      <c r="T762" s="254"/>
      <c r="U762" s="254"/>
      <c r="V762" s="254"/>
      <c r="W762" s="254"/>
      <c r="X762" s="254"/>
      <c r="Y762" s="254"/>
      <c r="Z762" s="254"/>
    </row>
    <row r="763" spans="16:26" ht="10.199999999999999" customHeight="1">
      <c r="P763" s="254"/>
      <c r="Q763" s="254"/>
      <c r="R763" s="254"/>
      <c r="S763" s="254"/>
      <c r="T763" s="254"/>
      <c r="U763" s="254"/>
      <c r="V763" s="254"/>
      <c r="W763" s="254"/>
      <c r="X763" s="254"/>
      <c r="Y763" s="254"/>
      <c r="Z763" s="254"/>
    </row>
    <row r="764" spans="16:26" ht="10.199999999999999" customHeight="1">
      <c r="P764" s="254"/>
      <c r="Q764" s="254"/>
      <c r="R764" s="254"/>
      <c r="S764" s="254"/>
      <c r="T764" s="254"/>
      <c r="U764" s="254"/>
      <c r="V764" s="254"/>
      <c r="W764" s="254"/>
      <c r="X764" s="254"/>
      <c r="Y764" s="254"/>
      <c r="Z764" s="254"/>
    </row>
    <row r="765" spans="16:26" ht="10.199999999999999" customHeight="1">
      <c r="P765" s="254"/>
      <c r="Q765" s="254"/>
      <c r="R765" s="254"/>
      <c r="S765" s="254"/>
      <c r="T765" s="254"/>
      <c r="U765" s="254"/>
      <c r="V765" s="254"/>
      <c r="W765" s="254"/>
      <c r="X765" s="254"/>
      <c r="Y765" s="254"/>
      <c r="Z765" s="254"/>
    </row>
    <row r="766" spans="16:26" ht="10.199999999999999" customHeight="1">
      <c r="P766" s="254"/>
      <c r="Q766" s="254"/>
      <c r="R766" s="254"/>
      <c r="S766" s="254"/>
      <c r="T766" s="254"/>
      <c r="U766" s="254"/>
      <c r="V766" s="254"/>
      <c r="W766" s="254"/>
      <c r="X766" s="254"/>
      <c r="Y766" s="254"/>
      <c r="Z766" s="254"/>
    </row>
    <row r="767" spans="16:26" ht="10.199999999999999" customHeight="1">
      <c r="P767" s="254"/>
      <c r="Q767" s="254"/>
      <c r="R767" s="254"/>
      <c r="S767" s="254"/>
      <c r="T767" s="254"/>
      <c r="U767" s="254"/>
      <c r="V767" s="254"/>
      <c r="W767" s="254"/>
      <c r="X767" s="254"/>
      <c r="Y767" s="254"/>
      <c r="Z767" s="254"/>
    </row>
    <row r="768" spans="16:26" ht="10.199999999999999" customHeight="1">
      <c r="P768" s="254"/>
      <c r="Q768" s="254"/>
      <c r="R768" s="254"/>
      <c r="S768" s="254"/>
      <c r="T768" s="254"/>
      <c r="U768" s="254"/>
      <c r="V768" s="254"/>
      <c r="W768" s="254"/>
      <c r="X768" s="254"/>
      <c r="Y768" s="254"/>
      <c r="Z768" s="254"/>
    </row>
    <row r="769" spans="16:26" ht="10.199999999999999" customHeight="1">
      <c r="P769" s="254"/>
      <c r="Q769" s="254"/>
      <c r="R769" s="254"/>
      <c r="S769" s="254"/>
      <c r="T769" s="254"/>
      <c r="U769" s="254"/>
      <c r="V769" s="254"/>
      <c r="W769" s="254"/>
      <c r="X769" s="254"/>
      <c r="Y769" s="254"/>
      <c r="Z769" s="254"/>
    </row>
    <row r="770" spans="16:26" ht="10.199999999999999" customHeight="1">
      <c r="P770" s="254"/>
      <c r="Q770" s="254"/>
      <c r="R770" s="254"/>
      <c r="S770" s="254"/>
      <c r="T770" s="254"/>
      <c r="U770" s="254"/>
      <c r="V770" s="254"/>
      <c r="W770" s="254"/>
      <c r="X770" s="254"/>
      <c r="Y770" s="254"/>
      <c r="Z770" s="254"/>
    </row>
    <row r="771" spans="16:26" ht="10.199999999999999" customHeight="1">
      <c r="P771" s="254"/>
      <c r="Q771" s="254"/>
      <c r="R771" s="254"/>
      <c r="S771" s="254"/>
      <c r="T771" s="254"/>
      <c r="U771" s="254"/>
      <c r="V771" s="254"/>
      <c r="W771" s="254"/>
      <c r="X771" s="254"/>
      <c r="Y771" s="254"/>
      <c r="Z771" s="254"/>
    </row>
    <row r="772" spans="16:26" ht="10.199999999999999" customHeight="1">
      <c r="P772" s="254"/>
      <c r="Q772" s="254"/>
      <c r="R772" s="254"/>
      <c r="S772" s="254"/>
      <c r="T772" s="254"/>
      <c r="U772" s="254"/>
      <c r="V772" s="254"/>
      <c r="W772" s="254"/>
      <c r="X772" s="254"/>
      <c r="Y772" s="254"/>
      <c r="Z772" s="254"/>
    </row>
    <row r="773" spans="16:26" ht="10.199999999999999" customHeight="1">
      <c r="P773" s="254"/>
      <c r="Q773" s="254"/>
      <c r="R773" s="254"/>
      <c r="S773" s="254"/>
      <c r="T773" s="254"/>
      <c r="U773" s="254"/>
      <c r="V773" s="254"/>
      <c r="W773" s="254"/>
      <c r="X773" s="254"/>
      <c r="Y773" s="254"/>
      <c r="Z773" s="254"/>
    </row>
    <row r="774" spans="16:26" ht="10.199999999999999" customHeight="1">
      <c r="P774" s="254"/>
      <c r="Q774" s="254"/>
      <c r="R774" s="254"/>
      <c r="S774" s="254"/>
      <c r="T774" s="254"/>
      <c r="U774" s="254"/>
      <c r="V774" s="254"/>
      <c r="W774" s="254"/>
      <c r="X774" s="254"/>
      <c r="Y774" s="254"/>
      <c r="Z774" s="254"/>
    </row>
    <row r="775" spans="16:26" ht="10.199999999999999" customHeight="1">
      <c r="P775" s="254"/>
      <c r="Q775" s="254"/>
      <c r="R775" s="254"/>
      <c r="S775" s="254"/>
      <c r="T775" s="254"/>
      <c r="U775" s="254"/>
      <c r="V775" s="254"/>
      <c r="W775" s="254"/>
      <c r="X775" s="254"/>
      <c r="Y775" s="254"/>
      <c r="Z775" s="254"/>
    </row>
    <row r="776" spans="16:26" ht="10.199999999999999" customHeight="1">
      <c r="P776" s="254"/>
      <c r="Q776" s="254"/>
      <c r="R776" s="254"/>
      <c r="S776" s="254"/>
      <c r="T776" s="254"/>
      <c r="U776" s="254"/>
      <c r="V776" s="254"/>
      <c r="W776" s="254"/>
      <c r="X776" s="254"/>
      <c r="Y776" s="254"/>
      <c r="Z776" s="254"/>
    </row>
    <row r="777" spans="16:26" ht="10.199999999999999" customHeight="1">
      <c r="P777" s="254"/>
      <c r="Q777" s="254"/>
      <c r="R777" s="254"/>
      <c r="S777" s="254"/>
      <c r="T777" s="254"/>
      <c r="U777" s="254"/>
      <c r="V777" s="254"/>
      <c r="W777" s="254"/>
      <c r="X777" s="254"/>
      <c r="Y777" s="254"/>
      <c r="Z777" s="254"/>
    </row>
    <row r="778" spans="16:26" ht="10.199999999999999" customHeight="1">
      <c r="P778" s="254"/>
      <c r="Q778" s="254"/>
      <c r="R778" s="254"/>
      <c r="S778" s="254"/>
      <c r="T778" s="254"/>
      <c r="U778" s="254"/>
      <c r="V778" s="254"/>
      <c r="W778" s="254"/>
      <c r="X778" s="254"/>
      <c r="Y778" s="254"/>
      <c r="Z778" s="254"/>
    </row>
    <row r="779" spans="16:26" ht="10.199999999999999" customHeight="1">
      <c r="P779" s="254"/>
      <c r="Q779" s="254"/>
      <c r="R779" s="254"/>
      <c r="S779" s="254"/>
      <c r="T779" s="254"/>
      <c r="U779" s="254"/>
      <c r="V779" s="254"/>
      <c r="W779" s="254"/>
      <c r="X779" s="254"/>
      <c r="Y779" s="254"/>
      <c r="Z779" s="254"/>
    </row>
    <row r="780" spans="16:26" ht="10.199999999999999" customHeight="1">
      <c r="P780" s="254"/>
      <c r="Q780" s="254"/>
      <c r="R780" s="254"/>
      <c r="S780" s="254"/>
      <c r="T780" s="254"/>
      <c r="U780" s="254"/>
      <c r="V780" s="254"/>
      <c r="W780" s="254"/>
      <c r="X780" s="254"/>
      <c r="Y780" s="254"/>
      <c r="Z780" s="254"/>
    </row>
    <row r="781" spans="16:26" ht="10.199999999999999" customHeight="1">
      <c r="P781" s="254"/>
      <c r="Q781" s="254"/>
      <c r="R781" s="254"/>
      <c r="S781" s="254"/>
      <c r="T781" s="254"/>
      <c r="U781" s="254"/>
      <c r="V781" s="254"/>
      <c r="W781" s="254"/>
      <c r="X781" s="254"/>
      <c r="Y781" s="254"/>
      <c r="Z781" s="254"/>
    </row>
    <row r="782" spans="16:26" ht="10.199999999999999" customHeight="1">
      <c r="P782" s="254"/>
      <c r="Q782" s="254"/>
      <c r="R782" s="254"/>
      <c r="S782" s="254"/>
      <c r="T782" s="254"/>
      <c r="U782" s="254"/>
      <c r="V782" s="254"/>
      <c r="W782" s="254"/>
      <c r="X782" s="254"/>
      <c r="Y782" s="254"/>
      <c r="Z782" s="254"/>
    </row>
    <row r="783" spans="16:26" ht="10.199999999999999" customHeight="1">
      <c r="P783" s="254"/>
      <c r="Q783" s="254"/>
      <c r="R783" s="254"/>
      <c r="S783" s="254"/>
      <c r="T783" s="254"/>
      <c r="U783" s="254"/>
      <c r="V783" s="254"/>
      <c r="W783" s="254"/>
      <c r="X783" s="254"/>
      <c r="Y783" s="254"/>
      <c r="Z783" s="254"/>
    </row>
    <row r="784" spans="16:26" ht="10.199999999999999" customHeight="1">
      <c r="P784" s="254"/>
      <c r="Q784" s="254"/>
      <c r="R784" s="254"/>
      <c r="S784" s="254"/>
      <c r="T784" s="254"/>
      <c r="U784" s="254"/>
      <c r="V784" s="254"/>
      <c r="W784" s="254"/>
      <c r="X784" s="254"/>
      <c r="Y784" s="254"/>
      <c r="Z784" s="254"/>
    </row>
    <row r="785" spans="16:26" ht="10.199999999999999" customHeight="1">
      <c r="P785" s="254"/>
      <c r="Q785" s="254"/>
      <c r="R785" s="254"/>
      <c r="S785" s="254"/>
      <c r="T785" s="254"/>
      <c r="U785" s="254"/>
      <c r="V785" s="254"/>
      <c r="W785" s="254"/>
      <c r="X785" s="254"/>
      <c r="Y785" s="254"/>
      <c r="Z785" s="254"/>
    </row>
    <row r="786" spans="16:26" ht="10.199999999999999" customHeight="1">
      <c r="P786" s="254"/>
      <c r="Q786" s="254"/>
      <c r="R786" s="254"/>
      <c r="S786" s="254"/>
      <c r="T786" s="254"/>
      <c r="U786" s="254"/>
      <c r="V786" s="254"/>
      <c r="W786" s="254"/>
      <c r="X786" s="254"/>
      <c r="Y786" s="254"/>
      <c r="Z786" s="254"/>
    </row>
    <row r="787" spans="16:26" ht="10.199999999999999" customHeight="1">
      <c r="P787" s="254"/>
      <c r="Q787" s="254"/>
      <c r="R787" s="254"/>
      <c r="S787" s="254"/>
      <c r="T787" s="254"/>
      <c r="U787" s="254"/>
      <c r="V787" s="254"/>
      <c r="W787" s="254"/>
      <c r="X787" s="254"/>
      <c r="Y787" s="254"/>
      <c r="Z787" s="254"/>
    </row>
    <row r="788" spans="16:26" ht="10.199999999999999" customHeight="1">
      <c r="P788" s="254"/>
      <c r="Q788" s="254"/>
      <c r="R788" s="254"/>
      <c r="S788" s="254"/>
      <c r="T788" s="254"/>
      <c r="U788" s="254"/>
      <c r="V788" s="254"/>
      <c r="W788" s="254"/>
      <c r="X788" s="254"/>
      <c r="Y788" s="254"/>
      <c r="Z788" s="254"/>
    </row>
    <row r="789" spans="16:26" ht="10.199999999999999" customHeight="1">
      <c r="P789" s="254"/>
      <c r="Q789" s="254"/>
      <c r="R789" s="254"/>
      <c r="S789" s="254"/>
      <c r="T789" s="254"/>
      <c r="U789" s="254"/>
      <c r="V789" s="254"/>
      <c r="W789" s="254"/>
      <c r="X789" s="254"/>
      <c r="Y789" s="254"/>
      <c r="Z789" s="254"/>
    </row>
    <row r="790" spans="16:26" ht="10.199999999999999" customHeight="1">
      <c r="P790" s="254"/>
      <c r="Q790" s="254"/>
      <c r="R790" s="254"/>
      <c r="S790" s="254"/>
      <c r="T790" s="254"/>
      <c r="U790" s="254"/>
      <c r="V790" s="254"/>
      <c r="W790" s="254"/>
      <c r="X790" s="254"/>
      <c r="Y790" s="254"/>
      <c r="Z790" s="254"/>
    </row>
    <row r="791" spans="16:26" ht="10.199999999999999" customHeight="1">
      <c r="P791" s="254"/>
      <c r="Q791" s="254"/>
      <c r="R791" s="254"/>
      <c r="S791" s="254"/>
      <c r="T791" s="254"/>
      <c r="U791" s="254"/>
      <c r="V791" s="254"/>
      <c r="W791" s="254"/>
      <c r="X791" s="254"/>
      <c r="Y791" s="254"/>
      <c r="Z791" s="254"/>
    </row>
    <row r="792" spans="16:26" ht="10.199999999999999" customHeight="1">
      <c r="P792" s="254"/>
      <c r="Q792" s="254"/>
      <c r="R792" s="254"/>
      <c r="S792" s="254"/>
      <c r="T792" s="254"/>
      <c r="U792" s="254"/>
      <c r="V792" s="254"/>
      <c r="W792" s="254"/>
      <c r="X792" s="254"/>
      <c r="Y792" s="254"/>
      <c r="Z792" s="254"/>
    </row>
    <row r="793" spans="16:26" ht="10.199999999999999" customHeight="1">
      <c r="P793" s="254"/>
      <c r="Q793" s="254"/>
      <c r="R793" s="254"/>
      <c r="S793" s="254"/>
      <c r="T793" s="254"/>
      <c r="U793" s="254"/>
      <c r="V793" s="254"/>
      <c r="W793" s="254"/>
      <c r="X793" s="254"/>
      <c r="Y793" s="254"/>
      <c r="Z793" s="254"/>
    </row>
    <row r="794" spans="16:26" ht="10.199999999999999" customHeight="1">
      <c r="P794" s="254"/>
      <c r="Q794" s="254"/>
      <c r="R794" s="254"/>
      <c r="S794" s="254"/>
      <c r="T794" s="254"/>
      <c r="U794" s="254"/>
      <c r="V794" s="254"/>
      <c r="W794" s="254"/>
      <c r="X794" s="254"/>
      <c r="Y794" s="254"/>
      <c r="Z794" s="254"/>
    </row>
    <row r="795" spans="16:26" ht="10.199999999999999" customHeight="1">
      <c r="P795" s="254"/>
      <c r="Q795" s="254"/>
      <c r="R795" s="254"/>
      <c r="S795" s="254"/>
      <c r="T795" s="254"/>
      <c r="U795" s="254"/>
      <c r="V795" s="254"/>
      <c r="W795" s="254"/>
      <c r="X795" s="254"/>
      <c r="Y795" s="254"/>
      <c r="Z795" s="254"/>
    </row>
    <row r="796" spans="16:26" ht="10.199999999999999" customHeight="1">
      <c r="P796" s="254"/>
      <c r="Q796" s="254"/>
      <c r="R796" s="254"/>
      <c r="S796" s="254"/>
      <c r="T796" s="254"/>
      <c r="U796" s="254"/>
      <c r="V796" s="254"/>
      <c r="W796" s="254"/>
      <c r="X796" s="254"/>
      <c r="Y796" s="254"/>
      <c r="Z796" s="254"/>
    </row>
    <row r="797" spans="16:26" ht="10.199999999999999" customHeight="1">
      <c r="P797" s="254"/>
      <c r="Q797" s="254"/>
      <c r="R797" s="254"/>
      <c r="S797" s="254"/>
      <c r="T797" s="254"/>
      <c r="U797" s="254"/>
      <c r="V797" s="254"/>
      <c r="W797" s="254"/>
      <c r="X797" s="254"/>
      <c r="Y797" s="254"/>
      <c r="Z797" s="254"/>
    </row>
    <row r="798" spans="16:26" ht="10.199999999999999" customHeight="1">
      <c r="P798" s="254"/>
      <c r="Q798" s="254"/>
      <c r="R798" s="254"/>
      <c r="S798" s="254"/>
      <c r="T798" s="254"/>
      <c r="U798" s="254"/>
      <c r="V798" s="254"/>
      <c r="W798" s="254"/>
      <c r="X798" s="254"/>
      <c r="Y798" s="254"/>
      <c r="Z798" s="254"/>
    </row>
    <row r="799" spans="16:26" ht="10.199999999999999" customHeight="1">
      <c r="P799" s="254"/>
      <c r="Q799" s="254"/>
      <c r="R799" s="254"/>
      <c r="S799" s="254"/>
      <c r="T799" s="254"/>
      <c r="U799" s="254"/>
      <c r="V799" s="254"/>
      <c r="W799" s="254"/>
      <c r="X799" s="254"/>
      <c r="Y799" s="254"/>
      <c r="Z799" s="254"/>
    </row>
    <row r="800" spans="16:26" ht="10.199999999999999" customHeight="1">
      <c r="P800" s="254"/>
      <c r="Q800" s="254"/>
      <c r="R800" s="254"/>
      <c r="S800" s="254"/>
      <c r="T800" s="254"/>
      <c r="U800" s="254"/>
      <c r="V800" s="254"/>
      <c r="W800" s="254"/>
      <c r="X800" s="254"/>
      <c r="Y800" s="254"/>
      <c r="Z800" s="254"/>
    </row>
    <row r="801" spans="16:26" ht="10.199999999999999" customHeight="1">
      <c r="P801" s="254"/>
      <c r="Q801" s="254"/>
      <c r="R801" s="254"/>
      <c r="S801" s="254"/>
      <c r="T801" s="254"/>
      <c r="U801" s="254"/>
      <c r="V801" s="254"/>
      <c r="W801" s="254"/>
      <c r="X801" s="254"/>
      <c r="Y801" s="254"/>
      <c r="Z801" s="254"/>
    </row>
    <row r="802" spans="16:26" ht="10.199999999999999" customHeight="1">
      <c r="P802" s="254"/>
      <c r="Q802" s="254"/>
      <c r="R802" s="254"/>
      <c r="S802" s="254"/>
      <c r="T802" s="254"/>
      <c r="U802" s="254"/>
      <c r="V802" s="254"/>
      <c r="W802" s="254"/>
      <c r="X802" s="254"/>
      <c r="Y802" s="254"/>
      <c r="Z802" s="254"/>
    </row>
    <row r="803" spans="16:26" ht="10.199999999999999" customHeight="1">
      <c r="P803" s="254"/>
      <c r="Q803" s="254"/>
      <c r="R803" s="254"/>
      <c r="S803" s="254"/>
      <c r="T803" s="254"/>
      <c r="U803" s="254"/>
      <c r="V803" s="254"/>
      <c r="W803" s="254"/>
      <c r="X803" s="254"/>
      <c r="Y803" s="254"/>
      <c r="Z803" s="254"/>
    </row>
    <row r="804" spans="16:26" ht="10.199999999999999" customHeight="1">
      <c r="P804" s="254"/>
      <c r="Q804" s="254"/>
      <c r="R804" s="254"/>
      <c r="S804" s="254"/>
      <c r="T804" s="254"/>
      <c r="U804" s="254"/>
      <c r="V804" s="254"/>
      <c r="W804" s="254"/>
      <c r="X804" s="254"/>
      <c r="Y804" s="254"/>
      <c r="Z804" s="254"/>
    </row>
    <row r="805" spans="16:26" ht="10.199999999999999" customHeight="1">
      <c r="P805" s="254"/>
      <c r="Q805" s="254"/>
      <c r="R805" s="254"/>
      <c r="S805" s="254"/>
      <c r="T805" s="254"/>
      <c r="U805" s="254"/>
      <c r="V805" s="254"/>
      <c r="W805" s="254"/>
      <c r="X805" s="254"/>
      <c r="Y805" s="254"/>
      <c r="Z805" s="254"/>
    </row>
    <row r="806" spans="16:26" ht="10.199999999999999" customHeight="1">
      <c r="P806" s="254"/>
      <c r="Q806" s="254"/>
      <c r="R806" s="254"/>
      <c r="S806" s="254"/>
      <c r="T806" s="254"/>
      <c r="U806" s="254"/>
      <c r="V806" s="254"/>
      <c r="W806" s="254"/>
      <c r="X806" s="254"/>
      <c r="Y806" s="254"/>
      <c r="Z806" s="254"/>
    </row>
    <row r="807" spans="16:26" ht="10.199999999999999" customHeight="1">
      <c r="P807" s="254"/>
      <c r="Q807" s="254"/>
      <c r="R807" s="254"/>
      <c r="S807" s="254"/>
      <c r="T807" s="254"/>
      <c r="U807" s="254"/>
      <c r="V807" s="254"/>
      <c r="W807" s="254"/>
      <c r="X807" s="254"/>
      <c r="Y807" s="254"/>
      <c r="Z807" s="254"/>
    </row>
    <row r="808" spans="16:26" ht="10.199999999999999" customHeight="1">
      <c r="P808" s="254"/>
      <c r="Q808" s="254"/>
      <c r="R808" s="254"/>
      <c r="S808" s="254"/>
      <c r="T808" s="254"/>
      <c r="U808" s="254"/>
      <c r="V808" s="254"/>
      <c r="W808" s="254"/>
      <c r="X808" s="254"/>
      <c r="Y808" s="254"/>
      <c r="Z808" s="254"/>
    </row>
    <row r="809" spans="16:26" ht="10.199999999999999" customHeight="1">
      <c r="P809" s="254"/>
      <c r="Q809" s="254"/>
      <c r="R809" s="254"/>
      <c r="S809" s="254"/>
      <c r="T809" s="254"/>
      <c r="U809" s="254"/>
      <c r="V809" s="254"/>
      <c r="W809" s="254"/>
      <c r="X809" s="254"/>
      <c r="Y809" s="254"/>
      <c r="Z809" s="254"/>
    </row>
    <row r="810" spans="16:26" ht="10.199999999999999" customHeight="1">
      <c r="P810" s="254"/>
      <c r="Q810" s="254"/>
      <c r="R810" s="254"/>
      <c r="S810" s="254"/>
      <c r="T810" s="254"/>
      <c r="U810" s="254"/>
      <c r="V810" s="254"/>
      <c r="W810" s="254"/>
      <c r="X810" s="254"/>
      <c r="Y810" s="254"/>
      <c r="Z810" s="254"/>
    </row>
    <row r="811" spans="16:26" ht="10.199999999999999" customHeight="1">
      <c r="P811" s="254"/>
      <c r="Q811" s="254"/>
      <c r="R811" s="254"/>
      <c r="S811" s="254"/>
      <c r="T811" s="254"/>
      <c r="U811" s="254"/>
      <c r="V811" s="254"/>
      <c r="W811" s="254"/>
      <c r="X811" s="254"/>
      <c r="Y811" s="254"/>
      <c r="Z811" s="254"/>
    </row>
    <row r="812" spans="16:26" ht="10.199999999999999" customHeight="1">
      <c r="P812" s="254"/>
      <c r="Q812" s="254"/>
      <c r="R812" s="254"/>
      <c r="S812" s="254"/>
      <c r="T812" s="254"/>
      <c r="U812" s="254"/>
      <c r="V812" s="254"/>
      <c r="W812" s="254"/>
      <c r="X812" s="254"/>
      <c r="Y812" s="254"/>
      <c r="Z812" s="254"/>
    </row>
    <row r="813" spans="16:26" ht="10.199999999999999" customHeight="1">
      <c r="P813" s="254"/>
      <c r="Q813" s="254"/>
      <c r="R813" s="254"/>
      <c r="S813" s="254"/>
      <c r="T813" s="254"/>
      <c r="U813" s="254"/>
      <c r="V813" s="254"/>
      <c r="W813" s="254"/>
      <c r="X813" s="254"/>
      <c r="Y813" s="254"/>
      <c r="Z813" s="254"/>
    </row>
    <row r="814" spans="16:26" ht="10.199999999999999" customHeight="1">
      <c r="P814" s="254"/>
      <c r="Q814" s="254"/>
      <c r="R814" s="254"/>
      <c r="S814" s="254"/>
      <c r="T814" s="254"/>
      <c r="U814" s="254"/>
      <c r="V814" s="254"/>
      <c r="W814" s="254"/>
      <c r="X814" s="254"/>
      <c r="Y814" s="254"/>
      <c r="Z814" s="254"/>
    </row>
    <row r="815" spans="16:26" ht="10.199999999999999" customHeight="1">
      <c r="P815" s="254"/>
      <c r="Q815" s="254"/>
      <c r="R815" s="254"/>
      <c r="S815" s="254"/>
      <c r="T815" s="254"/>
      <c r="U815" s="254"/>
      <c r="V815" s="254"/>
      <c r="W815" s="254"/>
      <c r="X815" s="254"/>
      <c r="Y815" s="254"/>
      <c r="Z815" s="254"/>
    </row>
    <row r="816" spans="16:26" ht="10.199999999999999" customHeight="1">
      <c r="P816" s="254"/>
      <c r="Q816" s="254"/>
      <c r="R816" s="254"/>
      <c r="S816" s="254"/>
      <c r="T816" s="254"/>
      <c r="U816" s="254"/>
      <c r="V816" s="254"/>
      <c r="W816" s="254"/>
      <c r="X816" s="254"/>
      <c r="Y816" s="254"/>
      <c r="Z816" s="254"/>
    </row>
    <row r="817" spans="16:26" ht="10.199999999999999" customHeight="1">
      <c r="P817" s="254"/>
      <c r="Q817" s="254"/>
      <c r="R817" s="254"/>
      <c r="S817" s="254"/>
      <c r="T817" s="254"/>
      <c r="U817" s="254"/>
      <c r="V817" s="254"/>
      <c r="W817" s="254"/>
      <c r="X817" s="254"/>
      <c r="Y817" s="254"/>
      <c r="Z817" s="254"/>
    </row>
    <row r="818" spans="16:26" ht="10.199999999999999" customHeight="1">
      <c r="P818" s="254"/>
      <c r="Q818" s="254"/>
      <c r="R818" s="254"/>
      <c r="S818" s="254"/>
      <c r="T818" s="254"/>
      <c r="U818" s="254"/>
      <c r="V818" s="254"/>
      <c r="W818" s="254"/>
      <c r="X818" s="254"/>
      <c r="Y818" s="254"/>
      <c r="Z818" s="254"/>
    </row>
    <row r="819" spans="16:26" ht="10.199999999999999" customHeight="1">
      <c r="P819" s="254"/>
      <c r="Q819" s="254"/>
      <c r="R819" s="254"/>
      <c r="S819" s="254"/>
      <c r="T819" s="254"/>
      <c r="U819" s="254"/>
      <c r="V819" s="254"/>
      <c r="W819" s="254"/>
      <c r="X819" s="254"/>
      <c r="Y819" s="254"/>
      <c r="Z819" s="254"/>
    </row>
    <row r="820" spans="16:26" ht="10.199999999999999" customHeight="1">
      <c r="P820" s="254"/>
      <c r="Q820" s="254"/>
      <c r="R820" s="254"/>
      <c r="S820" s="254"/>
      <c r="T820" s="254"/>
      <c r="U820" s="254"/>
      <c r="V820" s="254"/>
      <c r="W820" s="254"/>
      <c r="X820" s="254"/>
      <c r="Y820" s="254"/>
      <c r="Z820" s="254"/>
    </row>
    <row r="821" spans="16:26" ht="10.199999999999999" customHeight="1">
      <c r="P821" s="254"/>
      <c r="Q821" s="254"/>
      <c r="R821" s="254"/>
      <c r="S821" s="254"/>
      <c r="T821" s="254"/>
      <c r="U821" s="254"/>
      <c r="V821" s="254"/>
      <c r="W821" s="254"/>
      <c r="X821" s="254"/>
      <c r="Y821" s="254"/>
      <c r="Z821" s="254"/>
    </row>
    <row r="822" spans="16:26" ht="10.199999999999999" customHeight="1">
      <c r="P822" s="254"/>
      <c r="Q822" s="254"/>
      <c r="R822" s="254"/>
      <c r="S822" s="254"/>
      <c r="T822" s="254"/>
      <c r="U822" s="254"/>
      <c r="V822" s="254"/>
      <c r="W822" s="254"/>
      <c r="X822" s="254"/>
      <c r="Y822" s="254"/>
      <c r="Z822" s="254"/>
    </row>
    <row r="823" spans="16:26" ht="10.199999999999999" customHeight="1">
      <c r="P823" s="254"/>
      <c r="Q823" s="254"/>
      <c r="R823" s="254"/>
      <c r="S823" s="254"/>
      <c r="T823" s="254"/>
      <c r="U823" s="254"/>
      <c r="V823" s="254"/>
      <c r="W823" s="254"/>
      <c r="X823" s="254"/>
      <c r="Y823" s="254"/>
      <c r="Z823" s="254"/>
    </row>
    <row r="824" spans="16:26" ht="10.199999999999999" customHeight="1">
      <c r="P824" s="254"/>
      <c r="Q824" s="254"/>
      <c r="R824" s="254"/>
      <c r="S824" s="254"/>
      <c r="T824" s="254"/>
      <c r="U824" s="254"/>
      <c r="V824" s="254"/>
      <c r="W824" s="254"/>
      <c r="X824" s="254"/>
      <c r="Y824" s="254"/>
      <c r="Z824" s="254"/>
    </row>
    <row r="825" spans="16:26" ht="10.199999999999999" customHeight="1">
      <c r="P825" s="254"/>
      <c r="Q825" s="254"/>
      <c r="R825" s="254"/>
      <c r="S825" s="254"/>
      <c r="T825" s="254"/>
      <c r="U825" s="254"/>
      <c r="V825" s="254"/>
      <c r="W825" s="254"/>
      <c r="X825" s="254"/>
      <c r="Y825" s="254"/>
      <c r="Z825" s="254"/>
    </row>
    <row r="826" spans="16:26" ht="10.199999999999999" customHeight="1">
      <c r="P826" s="254"/>
      <c r="Q826" s="254"/>
      <c r="R826" s="254"/>
      <c r="S826" s="254"/>
      <c r="T826" s="254"/>
      <c r="U826" s="254"/>
      <c r="V826" s="254"/>
      <c r="W826" s="254"/>
      <c r="X826" s="254"/>
      <c r="Y826" s="254"/>
      <c r="Z826" s="254"/>
    </row>
    <row r="827" spans="16:26" ht="10.199999999999999" customHeight="1">
      <c r="P827" s="254"/>
      <c r="Q827" s="254"/>
      <c r="R827" s="254"/>
      <c r="S827" s="254"/>
      <c r="T827" s="254"/>
      <c r="U827" s="254"/>
      <c r="V827" s="254"/>
      <c r="W827" s="254"/>
      <c r="X827" s="254"/>
      <c r="Y827" s="254"/>
      <c r="Z827" s="254"/>
    </row>
    <row r="828" spans="16:26" ht="10.199999999999999" customHeight="1">
      <c r="P828" s="254"/>
      <c r="Q828" s="254"/>
      <c r="R828" s="254"/>
      <c r="S828" s="254"/>
      <c r="T828" s="254"/>
      <c r="U828" s="254"/>
      <c r="V828" s="254"/>
      <c r="W828" s="254"/>
      <c r="X828" s="254"/>
      <c r="Y828" s="254"/>
      <c r="Z828" s="254"/>
    </row>
    <row r="829" spans="16:26" ht="10.199999999999999" customHeight="1">
      <c r="P829" s="254"/>
      <c r="Q829" s="254"/>
      <c r="R829" s="254"/>
      <c r="S829" s="254"/>
      <c r="T829" s="254"/>
      <c r="U829" s="254"/>
      <c r="V829" s="254"/>
      <c r="W829" s="254"/>
      <c r="X829" s="254"/>
      <c r="Y829" s="254"/>
      <c r="Z829" s="254"/>
    </row>
    <row r="830" spans="16:26" ht="10.199999999999999" customHeight="1">
      <c r="P830" s="254"/>
      <c r="Q830" s="254"/>
      <c r="R830" s="254"/>
      <c r="S830" s="254"/>
      <c r="T830" s="254"/>
      <c r="U830" s="254"/>
      <c r="V830" s="254"/>
      <c r="W830" s="254"/>
      <c r="X830" s="254"/>
      <c r="Y830" s="254"/>
      <c r="Z830" s="254"/>
    </row>
    <row r="831" spans="16:26" ht="10.199999999999999" customHeight="1">
      <c r="P831" s="254"/>
      <c r="Q831" s="254"/>
      <c r="R831" s="254"/>
      <c r="S831" s="254"/>
      <c r="T831" s="254"/>
      <c r="U831" s="254"/>
      <c r="V831" s="254"/>
      <c r="W831" s="254"/>
      <c r="X831" s="254"/>
      <c r="Y831" s="254"/>
      <c r="Z831" s="254"/>
    </row>
    <row r="832" spans="16:26" ht="10.199999999999999" customHeight="1">
      <c r="P832" s="254"/>
      <c r="Q832" s="254"/>
      <c r="R832" s="254"/>
      <c r="S832" s="254"/>
      <c r="T832" s="254"/>
      <c r="U832" s="254"/>
      <c r="V832" s="254"/>
      <c r="W832" s="254"/>
      <c r="X832" s="254"/>
      <c r="Y832" s="254"/>
      <c r="Z832" s="254"/>
    </row>
    <row r="833" spans="16:26" ht="10.199999999999999" customHeight="1">
      <c r="P833" s="254"/>
      <c r="Q833" s="254"/>
      <c r="R833" s="254"/>
      <c r="S833" s="254"/>
      <c r="T833" s="254"/>
      <c r="U833" s="254"/>
      <c r="V833" s="254"/>
      <c r="W833" s="254"/>
      <c r="X833" s="254"/>
      <c r="Y833" s="254"/>
      <c r="Z833" s="254"/>
    </row>
    <row r="834" spans="16:26" ht="10.199999999999999" customHeight="1">
      <c r="P834" s="254"/>
      <c r="Q834" s="254"/>
      <c r="R834" s="254"/>
      <c r="S834" s="254"/>
      <c r="T834" s="254"/>
      <c r="U834" s="254"/>
      <c r="V834" s="254"/>
      <c r="W834" s="254"/>
      <c r="X834" s="254"/>
      <c r="Y834" s="254"/>
      <c r="Z834" s="254"/>
    </row>
    <row r="835" spans="16:26" ht="10.199999999999999" customHeight="1">
      <c r="P835" s="254"/>
      <c r="Q835" s="254"/>
      <c r="R835" s="254"/>
      <c r="S835" s="254"/>
      <c r="T835" s="254"/>
      <c r="U835" s="254"/>
      <c r="V835" s="254"/>
      <c r="W835" s="254"/>
      <c r="X835" s="254"/>
      <c r="Y835" s="254"/>
      <c r="Z835" s="254"/>
    </row>
    <row r="836" spans="16:26" ht="10.199999999999999" customHeight="1">
      <c r="P836" s="254"/>
      <c r="Q836" s="254"/>
      <c r="R836" s="254"/>
      <c r="S836" s="254"/>
      <c r="T836" s="254"/>
      <c r="U836" s="254"/>
      <c r="V836" s="254"/>
      <c r="W836" s="254"/>
      <c r="X836" s="254"/>
      <c r="Y836" s="254"/>
      <c r="Z836" s="254"/>
    </row>
    <row r="837" spans="16:26" ht="10.199999999999999" customHeight="1">
      <c r="P837" s="254"/>
      <c r="Q837" s="254"/>
      <c r="R837" s="254"/>
      <c r="S837" s="254"/>
      <c r="T837" s="254"/>
      <c r="U837" s="254"/>
      <c r="V837" s="254"/>
      <c r="W837" s="254"/>
      <c r="X837" s="254"/>
      <c r="Y837" s="254"/>
      <c r="Z837" s="254"/>
    </row>
    <row r="838" spans="16:26" ht="10.199999999999999" customHeight="1">
      <c r="P838" s="254"/>
      <c r="Q838" s="254"/>
      <c r="R838" s="254"/>
      <c r="S838" s="254"/>
      <c r="T838" s="254"/>
      <c r="U838" s="254"/>
      <c r="V838" s="254"/>
      <c r="W838" s="254"/>
      <c r="X838" s="254"/>
      <c r="Y838" s="254"/>
      <c r="Z838" s="254"/>
    </row>
    <row r="839" spans="16:26" ht="10.199999999999999" customHeight="1">
      <c r="P839" s="254"/>
      <c r="Q839" s="254"/>
      <c r="R839" s="254"/>
      <c r="S839" s="254"/>
      <c r="T839" s="254"/>
      <c r="U839" s="254"/>
      <c r="V839" s="254"/>
      <c r="W839" s="254"/>
      <c r="X839" s="254"/>
      <c r="Y839" s="254"/>
      <c r="Z839" s="254"/>
    </row>
    <row r="840" spans="16:26" ht="10.199999999999999" customHeight="1">
      <c r="P840" s="254"/>
      <c r="Q840" s="254"/>
      <c r="R840" s="254"/>
      <c r="S840" s="254"/>
      <c r="T840" s="254"/>
      <c r="U840" s="254"/>
      <c r="V840" s="254"/>
      <c r="W840" s="254"/>
      <c r="X840" s="254"/>
      <c r="Y840" s="254"/>
      <c r="Z840" s="254"/>
    </row>
    <row r="841" spans="16:26" ht="10.199999999999999" customHeight="1">
      <c r="P841" s="254"/>
      <c r="Q841" s="254"/>
      <c r="R841" s="254"/>
      <c r="S841" s="254"/>
      <c r="T841" s="254"/>
      <c r="U841" s="254"/>
      <c r="V841" s="254"/>
      <c r="W841" s="254"/>
      <c r="X841" s="254"/>
      <c r="Y841" s="254"/>
      <c r="Z841" s="254"/>
    </row>
    <row r="842" spans="16:26" ht="10.199999999999999" customHeight="1">
      <c r="P842" s="254"/>
      <c r="Q842" s="254"/>
      <c r="R842" s="254"/>
      <c r="S842" s="254"/>
      <c r="T842" s="254"/>
      <c r="U842" s="254"/>
      <c r="V842" s="254"/>
      <c r="W842" s="254"/>
      <c r="X842" s="254"/>
      <c r="Y842" s="254"/>
      <c r="Z842" s="254"/>
    </row>
    <row r="843" spans="16:26" ht="10.199999999999999" customHeight="1">
      <c r="P843" s="254"/>
      <c r="Q843" s="254"/>
      <c r="R843" s="254"/>
      <c r="S843" s="254"/>
      <c r="T843" s="254"/>
      <c r="U843" s="254"/>
      <c r="V843" s="254"/>
      <c r="W843" s="254"/>
      <c r="X843" s="254"/>
      <c r="Y843" s="254"/>
      <c r="Z843" s="254"/>
    </row>
    <row r="844" spans="16:26" ht="10.199999999999999" customHeight="1">
      <c r="P844" s="254"/>
      <c r="Q844" s="254"/>
      <c r="R844" s="254"/>
      <c r="S844" s="254"/>
      <c r="T844" s="254"/>
      <c r="U844" s="254"/>
      <c r="V844" s="254"/>
      <c r="W844" s="254"/>
      <c r="X844" s="254"/>
      <c r="Y844" s="254"/>
      <c r="Z844" s="254"/>
    </row>
    <row r="845" spans="16:26" ht="10.199999999999999" customHeight="1">
      <c r="P845" s="254"/>
      <c r="Q845" s="254"/>
      <c r="R845" s="254"/>
      <c r="S845" s="254"/>
      <c r="T845" s="254"/>
      <c r="U845" s="254"/>
      <c r="V845" s="254"/>
      <c r="W845" s="254"/>
      <c r="X845" s="254"/>
      <c r="Y845" s="254"/>
      <c r="Z845" s="254"/>
    </row>
    <row r="846" spans="16:26" ht="10.199999999999999" customHeight="1">
      <c r="P846" s="254"/>
      <c r="Q846" s="254"/>
      <c r="R846" s="254"/>
      <c r="S846" s="254"/>
      <c r="T846" s="254"/>
      <c r="U846" s="254"/>
      <c r="V846" s="254"/>
      <c r="W846" s="254"/>
      <c r="X846" s="254"/>
      <c r="Y846" s="254"/>
      <c r="Z846" s="254"/>
    </row>
    <row r="847" spans="16:26" ht="10.199999999999999" customHeight="1">
      <c r="P847" s="254"/>
      <c r="Q847" s="254"/>
      <c r="R847" s="254"/>
      <c r="S847" s="254"/>
      <c r="T847" s="254"/>
      <c r="U847" s="254"/>
      <c r="V847" s="254"/>
      <c r="W847" s="254"/>
      <c r="X847" s="254"/>
      <c r="Y847" s="254"/>
      <c r="Z847" s="254"/>
    </row>
    <row r="848" spans="16:26" ht="10.199999999999999" customHeight="1">
      <c r="P848" s="254"/>
      <c r="Q848" s="254"/>
      <c r="R848" s="254"/>
      <c r="S848" s="254"/>
      <c r="T848" s="254"/>
      <c r="U848" s="254"/>
      <c r="V848" s="254"/>
      <c r="W848" s="254"/>
      <c r="X848" s="254"/>
      <c r="Y848" s="254"/>
      <c r="Z848" s="254"/>
    </row>
    <row r="849" spans="16:26" ht="10.199999999999999" customHeight="1">
      <c r="P849" s="254"/>
      <c r="Q849" s="254"/>
      <c r="R849" s="254"/>
      <c r="S849" s="254"/>
      <c r="T849" s="254"/>
      <c r="U849" s="254"/>
      <c r="V849" s="254"/>
      <c r="W849" s="254"/>
      <c r="X849" s="254"/>
      <c r="Y849" s="254"/>
      <c r="Z849" s="254"/>
    </row>
    <row r="850" spans="16:26" ht="10.199999999999999" customHeight="1">
      <c r="P850" s="254"/>
      <c r="Q850" s="254"/>
      <c r="R850" s="254"/>
      <c r="S850" s="254"/>
      <c r="T850" s="254"/>
      <c r="U850" s="254"/>
      <c r="V850" s="254"/>
      <c r="W850" s="254"/>
      <c r="X850" s="254"/>
      <c r="Y850" s="254"/>
      <c r="Z850" s="254"/>
    </row>
    <row r="851" spans="16:26" ht="10.199999999999999" customHeight="1">
      <c r="P851" s="254"/>
      <c r="Q851" s="254"/>
      <c r="R851" s="254"/>
      <c r="S851" s="254"/>
      <c r="T851" s="254"/>
      <c r="U851" s="254"/>
      <c r="V851" s="254"/>
      <c r="W851" s="254"/>
      <c r="X851" s="254"/>
      <c r="Y851" s="254"/>
      <c r="Z851" s="254"/>
    </row>
    <row r="852" spans="16:26" ht="10.199999999999999" customHeight="1">
      <c r="P852" s="254"/>
      <c r="Q852" s="254"/>
      <c r="R852" s="254"/>
      <c r="S852" s="254"/>
      <c r="T852" s="254"/>
      <c r="U852" s="254"/>
      <c r="V852" s="254"/>
      <c r="W852" s="254"/>
      <c r="X852" s="254"/>
      <c r="Y852" s="254"/>
      <c r="Z852" s="254"/>
    </row>
    <row r="853" spans="16:26" ht="10.199999999999999" customHeight="1">
      <c r="P853" s="254"/>
      <c r="Q853" s="254"/>
      <c r="R853" s="254"/>
      <c r="S853" s="254"/>
      <c r="T853" s="254"/>
      <c r="U853" s="254"/>
      <c r="V853" s="254"/>
      <c r="W853" s="254"/>
      <c r="X853" s="254"/>
      <c r="Y853" s="254"/>
      <c r="Z853" s="254"/>
    </row>
    <row r="854" spans="16:26" ht="10.199999999999999" customHeight="1">
      <c r="P854" s="254"/>
      <c r="Q854" s="254"/>
      <c r="R854" s="254"/>
      <c r="S854" s="254"/>
      <c r="T854" s="254"/>
      <c r="U854" s="254"/>
      <c r="V854" s="254"/>
      <c r="W854" s="254"/>
      <c r="X854" s="254"/>
      <c r="Y854" s="254"/>
      <c r="Z854" s="254"/>
    </row>
    <row r="855" spans="16:26" ht="10.199999999999999" customHeight="1">
      <c r="P855" s="254"/>
      <c r="Q855" s="254"/>
      <c r="R855" s="254"/>
      <c r="S855" s="254"/>
      <c r="T855" s="254"/>
      <c r="U855" s="254"/>
      <c r="V855" s="254"/>
      <c r="W855" s="254"/>
      <c r="X855" s="254"/>
      <c r="Y855" s="254"/>
      <c r="Z855" s="254"/>
    </row>
    <row r="856" spans="16:26" ht="10.199999999999999" customHeight="1">
      <c r="P856" s="254"/>
      <c r="Q856" s="254"/>
      <c r="R856" s="254"/>
      <c r="S856" s="254"/>
      <c r="T856" s="254"/>
      <c r="U856" s="254"/>
      <c r="V856" s="254"/>
      <c r="W856" s="254"/>
      <c r="X856" s="254"/>
      <c r="Y856" s="254"/>
      <c r="Z856" s="254"/>
    </row>
    <row r="857" spans="16:26" ht="10.199999999999999" customHeight="1">
      <c r="P857" s="254"/>
      <c r="Q857" s="254"/>
      <c r="R857" s="254"/>
      <c r="S857" s="254"/>
      <c r="T857" s="254"/>
      <c r="U857" s="254"/>
      <c r="V857" s="254"/>
      <c r="W857" s="254"/>
      <c r="X857" s="254"/>
      <c r="Y857" s="254"/>
      <c r="Z857" s="254"/>
    </row>
    <row r="858" spans="16:26" ht="10.199999999999999" customHeight="1">
      <c r="P858" s="254"/>
      <c r="Q858" s="254"/>
      <c r="R858" s="254"/>
      <c r="S858" s="254"/>
      <c r="T858" s="254"/>
      <c r="U858" s="254"/>
      <c r="V858" s="254"/>
      <c r="W858" s="254"/>
      <c r="X858" s="254"/>
      <c r="Y858" s="254"/>
      <c r="Z858" s="254"/>
    </row>
    <row r="859" spans="16:26" ht="10.199999999999999" customHeight="1">
      <c r="P859" s="254"/>
      <c r="Q859" s="254"/>
      <c r="R859" s="254"/>
      <c r="S859" s="254"/>
      <c r="T859" s="254"/>
      <c r="U859" s="254"/>
      <c r="V859" s="254"/>
      <c r="W859" s="254"/>
      <c r="X859" s="254"/>
      <c r="Y859" s="254"/>
      <c r="Z859" s="254"/>
    </row>
    <row r="860" spans="16:26" ht="10.199999999999999" customHeight="1">
      <c r="P860" s="254"/>
      <c r="Q860" s="254"/>
      <c r="R860" s="254"/>
      <c r="S860" s="254"/>
      <c r="T860" s="254"/>
      <c r="U860" s="254"/>
      <c r="V860" s="254"/>
      <c r="W860" s="254"/>
      <c r="X860" s="254"/>
      <c r="Y860" s="254"/>
      <c r="Z860" s="254"/>
    </row>
    <row r="861" spans="16:26" ht="10.199999999999999" customHeight="1">
      <c r="P861" s="254"/>
      <c r="Q861" s="254"/>
      <c r="R861" s="254"/>
      <c r="S861" s="254"/>
      <c r="T861" s="254"/>
      <c r="U861" s="254"/>
      <c r="V861" s="254"/>
      <c r="W861" s="254"/>
      <c r="X861" s="254"/>
      <c r="Y861" s="254"/>
      <c r="Z861" s="254"/>
    </row>
    <row r="862" spans="16:26" ht="10.199999999999999" customHeight="1">
      <c r="P862" s="254"/>
      <c r="Q862" s="254"/>
      <c r="R862" s="254"/>
      <c r="S862" s="254"/>
      <c r="T862" s="254"/>
      <c r="U862" s="254"/>
      <c r="V862" s="254"/>
      <c r="W862" s="254"/>
      <c r="X862" s="254"/>
      <c r="Y862" s="254"/>
      <c r="Z862" s="254"/>
    </row>
    <row r="863" spans="16:26" ht="10.199999999999999" customHeight="1">
      <c r="P863" s="254"/>
      <c r="Q863" s="254"/>
      <c r="R863" s="254"/>
      <c r="S863" s="254"/>
      <c r="T863" s="254"/>
      <c r="U863" s="254"/>
      <c r="V863" s="254"/>
      <c r="W863" s="254"/>
      <c r="X863" s="254"/>
      <c r="Y863" s="254"/>
      <c r="Z863" s="254"/>
    </row>
    <row r="864" spans="16:26" ht="10.199999999999999" customHeight="1">
      <c r="P864" s="254"/>
      <c r="Q864" s="254"/>
      <c r="R864" s="254"/>
      <c r="S864" s="254"/>
      <c r="T864" s="254"/>
      <c r="U864" s="254"/>
      <c r="V864" s="254"/>
      <c r="W864" s="254"/>
      <c r="X864" s="254"/>
      <c r="Y864" s="254"/>
      <c r="Z864" s="254"/>
    </row>
    <row r="865" spans="16:26" ht="10.199999999999999" customHeight="1">
      <c r="P865" s="254"/>
      <c r="Q865" s="254"/>
      <c r="R865" s="254"/>
      <c r="S865" s="254"/>
      <c r="T865" s="254"/>
      <c r="U865" s="254"/>
      <c r="V865" s="254"/>
      <c r="W865" s="254"/>
      <c r="X865" s="254"/>
      <c r="Y865" s="254"/>
      <c r="Z865" s="254"/>
    </row>
    <row r="866" spans="16:26" ht="10.199999999999999" customHeight="1">
      <c r="P866" s="254"/>
      <c r="Q866" s="254"/>
      <c r="R866" s="254"/>
      <c r="S866" s="254"/>
      <c r="T866" s="254"/>
      <c r="U866" s="254"/>
      <c r="V866" s="254"/>
      <c r="W866" s="254"/>
      <c r="X866" s="254"/>
      <c r="Y866" s="254"/>
      <c r="Z866" s="254"/>
    </row>
    <row r="867" spans="16:26" ht="10.199999999999999" customHeight="1">
      <c r="P867" s="254"/>
      <c r="Q867" s="254"/>
      <c r="R867" s="254"/>
      <c r="S867" s="254"/>
      <c r="T867" s="254"/>
      <c r="U867" s="254"/>
      <c r="V867" s="254"/>
      <c r="W867" s="254"/>
      <c r="X867" s="254"/>
      <c r="Y867" s="254"/>
      <c r="Z867" s="254"/>
    </row>
    <row r="868" spans="16:26" ht="10.199999999999999" customHeight="1">
      <c r="P868" s="254"/>
      <c r="Q868" s="254"/>
      <c r="R868" s="254"/>
      <c r="S868" s="254"/>
      <c r="T868" s="254"/>
      <c r="U868" s="254"/>
      <c r="V868" s="254"/>
      <c r="W868" s="254"/>
      <c r="X868" s="254"/>
      <c r="Y868" s="254"/>
      <c r="Z868" s="254"/>
    </row>
    <row r="869" spans="16:26" ht="10.199999999999999" customHeight="1">
      <c r="P869" s="254"/>
      <c r="Q869" s="254"/>
      <c r="R869" s="254"/>
      <c r="S869" s="254"/>
      <c r="T869" s="254"/>
      <c r="U869" s="254"/>
      <c r="V869" s="254"/>
      <c r="W869" s="254"/>
      <c r="X869" s="254"/>
      <c r="Y869" s="254"/>
      <c r="Z869" s="254"/>
    </row>
    <row r="870" spans="16:26" ht="10.199999999999999" customHeight="1">
      <c r="P870" s="254"/>
      <c r="Q870" s="254"/>
      <c r="R870" s="254"/>
      <c r="S870" s="254"/>
      <c r="T870" s="254"/>
      <c r="U870" s="254"/>
      <c r="V870" s="254"/>
      <c r="W870" s="254"/>
      <c r="X870" s="254"/>
      <c r="Y870" s="254"/>
      <c r="Z870" s="254"/>
    </row>
    <row r="871" spans="16:26" ht="10.199999999999999" customHeight="1">
      <c r="P871" s="254"/>
      <c r="Q871" s="254"/>
      <c r="R871" s="254"/>
      <c r="S871" s="254"/>
      <c r="T871" s="254"/>
      <c r="U871" s="254"/>
      <c r="V871" s="254"/>
      <c r="W871" s="254"/>
      <c r="X871" s="254"/>
      <c r="Y871" s="254"/>
      <c r="Z871" s="254"/>
    </row>
    <row r="872" spans="16:26" ht="10.199999999999999" customHeight="1">
      <c r="P872" s="254"/>
      <c r="Q872" s="254"/>
      <c r="R872" s="254"/>
      <c r="S872" s="254"/>
      <c r="T872" s="254"/>
      <c r="U872" s="254"/>
      <c r="V872" s="254"/>
      <c r="W872" s="254"/>
      <c r="X872" s="254"/>
      <c r="Y872" s="254"/>
      <c r="Z872" s="254"/>
    </row>
    <row r="873" spans="16:26" ht="10.199999999999999" customHeight="1">
      <c r="P873" s="254"/>
      <c r="Q873" s="254"/>
      <c r="R873" s="254"/>
      <c r="S873" s="254"/>
      <c r="T873" s="254"/>
      <c r="U873" s="254"/>
      <c r="V873" s="254"/>
      <c r="W873" s="254"/>
      <c r="X873" s="254"/>
      <c r="Y873" s="254"/>
      <c r="Z873" s="254"/>
    </row>
    <row r="874" spans="16:26" ht="10.199999999999999" customHeight="1">
      <c r="P874" s="254"/>
      <c r="Q874" s="254"/>
      <c r="R874" s="254"/>
      <c r="S874" s="254"/>
      <c r="T874" s="254"/>
      <c r="U874" s="254"/>
      <c r="V874" s="254"/>
      <c r="W874" s="254"/>
      <c r="X874" s="254"/>
      <c r="Y874" s="254"/>
      <c r="Z874" s="254"/>
    </row>
    <row r="875" spans="16:26" ht="10.199999999999999" customHeight="1">
      <c r="P875" s="254"/>
      <c r="Q875" s="254"/>
      <c r="R875" s="254"/>
      <c r="S875" s="254"/>
      <c r="T875" s="254"/>
      <c r="U875" s="254"/>
      <c r="V875" s="254"/>
      <c r="W875" s="254"/>
      <c r="X875" s="254"/>
      <c r="Y875" s="254"/>
      <c r="Z875" s="254"/>
    </row>
    <row r="876" spans="16:26" ht="10.199999999999999" customHeight="1">
      <c r="P876" s="254"/>
      <c r="Q876" s="254"/>
      <c r="R876" s="254"/>
      <c r="S876" s="254"/>
      <c r="T876" s="254"/>
      <c r="U876" s="254"/>
      <c r="V876" s="254"/>
      <c r="W876" s="254"/>
      <c r="X876" s="254"/>
      <c r="Y876" s="254"/>
      <c r="Z876" s="254"/>
    </row>
    <row r="877" spans="16:26" ht="10.199999999999999" customHeight="1">
      <c r="P877" s="254"/>
      <c r="Q877" s="254"/>
      <c r="R877" s="254"/>
      <c r="S877" s="254"/>
      <c r="T877" s="254"/>
      <c r="U877" s="254"/>
      <c r="V877" s="254"/>
      <c r="W877" s="254"/>
      <c r="X877" s="254"/>
      <c r="Y877" s="254"/>
      <c r="Z877" s="254"/>
    </row>
    <row r="878" spans="16:26" ht="10.199999999999999" customHeight="1">
      <c r="P878" s="254"/>
      <c r="Q878" s="254"/>
      <c r="R878" s="254"/>
      <c r="S878" s="254"/>
      <c r="T878" s="254"/>
      <c r="U878" s="254"/>
      <c r="V878" s="254"/>
      <c r="W878" s="254"/>
      <c r="X878" s="254"/>
      <c r="Y878" s="254"/>
      <c r="Z878" s="254"/>
    </row>
    <row r="879" spans="16:26" ht="10.199999999999999" customHeight="1">
      <c r="P879" s="254"/>
      <c r="Q879" s="254"/>
      <c r="R879" s="254"/>
      <c r="S879" s="254"/>
      <c r="T879" s="254"/>
      <c r="U879" s="254"/>
      <c r="V879" s="254"/>
      <c r="W879" s="254"/>
      <c r="X879" s="254"/>
      <c r="Y879" s="254"/>
      <c r="Z879" s="254"/>
    </row>
    <row r="880" spans="16:26" ht="10.199999999999999" customHeight="1">
      <c r="P880" s="254"/>
      <c r="Q880" s="254"/>
      <c r="R880" s="254"/>
      <c r="S880" s="254"/>
      <c r="T880" s="254"/>
      <c r="U880" s="254"/>
      <c r="V880" s="254"/>
      <c r="W880" s="254"/>
      <c r="X880" s="254"/>
      <c r="Y880" s="254"/>
      <c r="Z880" s="254"/>
    </row>
    <row r="881" spans="16:26" ht="10.199999999999999" customHeight="1">
      <c r="P881" s="254"/>
      <c r="Q881" s="254"/>
      <c r="R881" s="254"/>
      <c r="S881" s="254"/>
      <c r="T881" s="254"/>
      <c r="U881" s="254"/>
      <c r="V881" s="254"/>
      <c r="W881" s="254"/>
      <c r="X881" s="254"/>
      <c r="Y881" s="254"/>
      <c r="Z881" s="254"/>
    </row>
    <row r="882" spans="16:26" ht="10.199999999999999" customHeight="1">
      <c r="P882" s="254"/>
      <c r="Q882" s="254"/>
      <c r="R882" s="254"/>
      <c r="S882" s="254"/>
      <c r="T882" s="254"/>
      <c r="U882" s="254"/>
      <c r="V882" s="254"/>
      <c r="W882" s="254"/>
      <c r="X882" s="254"/>
      <c r="Y882" s="254"/>
      <c r="Z882" s="254"/>
    </row>
    <row r="883" spans="16:26" ht="10.199999999999999" customHeight="1">
      <c r="P883" s="254"/>
      <c r="Q883" s="254"/>
      <c r="R883" s="254"/>
      <c r="S883" s="254"/>
      <c r="T883" s="254"/>
      <c r="U883" s="254"/>
      <c r="V883" s="254"/>
      <c r="W883" s="254"/>
      <c r="X883" s="254"/>
      <c r="Y883" s="254"/>
      <c r="Z883" s="254"/>
    </row>
    <row r="884" spans="16:26" ht="10.199999999999999" customHeight="1">
      <c r="P884" s="254"/>
      <c r="Q884" s="254"/>
      <c r="R884" s="254"/>
      <c r="S884" s="254"/>
      <c r="T884" s="254"/>
      <c r="U884" s="254"/>
      <c r="V884" s="254"/>
      <c r="W884" s="254"/>
      <c r="X884" s="254"/>
      <c r="Y884" s="254"/>
      <c r="Z884" s="254"/>
    </row>
  </sheetData>
  <sheetProtection password="8C51" sheet="1" objects="1" scenarios="1" selectLockedCells="1"/>
  <pageMargins left="0.75" right="0.75" top="1" bottom="1" header="0.5" footer="0.5"/>
  <pageSetup paperSize="9"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1:Z884"/>
  <sheetViews>
    <sheetView workbookViewId="0">
      <selection activeCell="P1" sqref="P1"/>
    </sheetView>
  </sheetViews>
  <sheetFormatPr defaultRowHeight="10.199999999999999" customHeight="1"/>
  <cols>
    <col min="1" max="15" width="8.88671875" style="57"/>
    <col min="16" max="26" width="8.88671875" style="255"/>
    <col min="27" max="16384" width="8.88671875" style="57"/>
  </cols>
  <sheetData>
    <row r="1" spans="2:26" ht="10.199999999999999" customHeight="1">
      <c r="B1" s="57" t="s">
        <v>46</v>
      </c>
      <c r="C1" s="57" t="s">
        <v>47</v>
      </c>
      <c r="D1" s="57" t="s">
        <v>48</v>
      </c>
      <c r="E1" s="57" t="s">
        <v>49</v>
      </c>
      <c r="F1" s="57" t="s">
        <v>50</v>
      </c>
      <c r="G1" s="57" t="s">
        <v>51</v>
      </c>
      <c r="H1" s="57" t="s">
        <v>52</v>
      </c>
      <c r="I1" s="57" t="s">
        <v>53</v>
      </c>
      <c r="J1" s="57" t="s">
        <v>54</v>
      </c>
      <c r="P1" s="253"/>
      <c r="Q1" s="253"/>
      <c r="R1" s="253"/>
      <c r="S1" s="253"/>
      <c r="T1" s="253"/>
      <c r="U1" s="253"/>
      <c r="V1" s="253"/>
      <c r="W1" s="253"/>
      <c r="X1" s="253"/>
      <c r="Y1" s="253"/>
      <c r="Z1" s="253"/>
    </row>
    <row r="2" spans="2:26" ht="10.199999999999999" customHeight="1">
      <c r="B2" s="57" t="s">
        <v>55</v>
      </c>
      <c r="C2" s="57" t="s">
        <v>56</v>
      </c>
      <c r="D2" s="57" t="s">
        <v>56</v>
      </c>
      <c r="E2" s="57" t="s">
        <v>57</v>
      </c>
      <c r="F2" s="57" t="s">
        <v>57</v>
      </c>
      <c r="G2" s="57" t="s">
        <v>58</v>
      </c>
      <c r="H2" s="57" t="s">
        <v>59</v>
      </c>
      <c r="I2" s="57" t="s">
        <v>60</v>
      </c>
      <c r="J2" s="57" t="s">
        <v>61</v>
      </c>
      <c r="K2" s="57" t="s">
        <v>62</v>
      </c>
      <c r="L2" s="57" t="s">
        <v>63</v>
      </c>
      <c r="P2" s="253"/>
      <c r="Q2" s="253"/>
      <c r="R2" s="253"/>
      <c r="S2" s="253"/>
      <c r="T2" s="253"/>
      <c r="U2" s="253"/>
      <c r="V2" s="253"/>
      <c r="W2" s="253"/>
      <c r="X2" s="253"/>
      <c r="Y2" s="253"/>
      <c r="Z2" s="253"/>
    </row>
    <row r="3" spans="2:26" ht="10.199999999999999" customHeight="1">
      <c r="P3" s="253"/>
      <c r="Q3" s="253"/>
      <c r="R3" s="253"/>
      <c r="S3" s="253"/>
      <c r="T3" s="253"/>
      <c r="U3" s="253"/>
      <c r="V3" s="253"/>
      <c r="W3" s="253"/>
      <c r="X3" s="253"/>
      <c r="Y3" s="253"/>
      <c r="Z3" s="253"/>
    </row>
    <row r="4" spans="2:26" ht="10.199999999999999" customHeight="1">
      <c r="B4" s="57" t="s">
        <v>64</v>
      </c>
      <c r="C4" s="234" t="str">
        <f ca="1">IF(P1="","","L"&amp;MID(INDIRECT("P"&amp;L4),6,FIND(" ",INDIRECT("P"&amp;L4),6)-5))</f>
        <v/>
      </c>
      <c r="D4" s="234" t="str">
        <f ca="1">IF(P1="","",MID(INDIRECT("P"&amp;L4),SEARCH("(",INDIRECT("P"&amp;L4),1)+1,3))</f>
        <v/>
      </c>
      <c r="E4" s="234" t="str">
        <f ca="1">IF(P1="","",MID(INDIRECT("P"&amp;L4),SEARCH(")",INDIRECT("P"&amp;L4),1)+2,LEN(INDIRECT("P"&amp;L4))))</f>
        <v/>
      </c>
      <c r="F4" s="234"/>
      <c r="G4" s="234"/>
      <c r="H4" s="234"/>
      <c r="I4" s="234"/>
      <c r="J4" s="234"/>
      <c r="K4" s="234"/>
      <c r="L4" s="234" t="str">
        <f>IF(P1="","",MATCH("CASE*",P1:P10,0))</f>
        <v/>
      </c>
      <c r="M4" s="55">
        <f>ROUND(COUNT(P:P)*1.6,0)</f>
        <v>0</v>
      </c>
      <c r="P4" s="253"/>
      <c r="Q4" s="253"/>
      <c r="R4" s="253"/>
      <c r="S4" s="253"/>
      <c r="T4" s="253"/>
      <c r="U4" s="253"/>
      <c r="V4" s="253"/>
      <c r="W4" s="253"/>
      <c r="X4" s="253"/>
      <c r="Y4" s="253"/>
      <c r="Z4" s="253"/>
    </row>
    <row r="5" spans="2:26" ht="10.199999999999999" customHeight="1">
      <c r="P5" s="253"/>
      <c r="Q5" s="253"/>
      <c r="R5" s="253"/>
      <c r="S5" s="253"/>
      <c r="T5" s="253"/>
      <c r="U5" s="253"/>
      <c r="V5" s="253"/>
      <c r="W5" s="253"/>
      <c r="X5" s="253"/>
      <c r="Y5" s="253"/>
      <c r="Z5" s="253"/>
    </row>
    <row r="6" spans="2:26" ht="10.199999999999999" customHeight="1">
      <c r="B6" s="56" t="str">
        <f>IF('Low Stress Type Gasket'!BE11="","",'Low Stress Type Gasket'!BE11)</f>
        <v/>
      </c>
      <c r="C6" s="58" t="str">
        <f t="shared" ref="C6:L21" ca="1" si="0">IF($M$4=0,"",VLOOKUP($B6,INDIRECT("$P$1:$Z$"&amp;$M$4),COLUMN()-1,0))</f>
        <v/>
      </c>
      <c r="D6" s="58" t="str">
        <f t="shared" ca="1" si="0"/>
        <v/>
      </c>
      <c r="E6" s="58" t="str">
        <f t="shared" ca="1" si="0"/>
        <v/>
      </c>
      <c r="F6" s="58" t="str">
        <f t="shared" ca="1" si="0"/>
        <v/>
      </c>
      <c r="G6" s="58" t="str">
        <f t="shared" ca="1" si="0"/>
        <v/>
      </c>
      <c r="H6" s="58" t="str">
        <f t="shared" ca="1" si="0"/>
        <v/>
      </c>
      <c r="I6" s="58" t="str">
        <f t="shared" ca="1" si="0"/>
        <v/>
      </c>
      <c r="J6" s="58" t="str">
        <f t="shared" ca="1" si="0"/>
        <v/>
      </c>
      <c r="K6" s="58" t="str">
        <f t="shared" ca="1" si="0"/>
        <v/>
      </c>
      <c r="L6" s="58" t="str">
        <f t="shared" ca="1" si="0"/>
        <v/>
      </c>
      <c r="P6" s="253"/>
      <c r="Q6" s="253"/>
      <c r="R6" s="253"/>
      <c r="S6" s="253"/>
      <c r="T6" s="253"/>
      <c r="U6" s="253"/>
      <c r="V6" s="253"/>
      <c r="W6" s="253"/>
      <c r="X6" s="253"/>
      <c r="Y6" s="253"/>
      <c r="Z6" s="253"/>
    </row>
    <row r="7" spans="2:26" ht="10.199999999999999" customHeight="1">
      <c r="B7" s="56" t="str">
        <f>IF('Low Stress Type Gasket'!BE12="","",'Low Stress Type Gasket'!BE12)</f>
        <v/>
      </c>
      <c r="C7" s="58" t="str">
        <f t="shared" ca="1" si="0"/>
        <v/>
      </c>
      <c r="D7" s="58" t="str">
        <f t="shared" ca="1" si="0"/>
        <v/>
      </c>
      <c r="E7" s="58" t="str">
        <f t="shared" ca="1" si="0"/>
        <v/>
      </c>
      <c r="F7" s="58" t="str">
        <f t="shared" ca="1" si="0"/>
        <v/>
      </c>
      <c r="G7" s="58" t="str">
        <f t="shared" ca="1" si="0"/>
        <v/>
      </c>
      <c r="H7" s="58" t="str">
        <f t="shared" ca="1" si="0"/>
        <v/>
      </c>
      <c r="I7" s="58" t="str">
        <f t="shared" ca="1" si="0"/>
        <v/>
      </c>
      <c r="J7" s="58" t="str">
        <f t="shared" ca="1" si="0"/>
        <v/>
      </c>
      <c r="K7" s="58" t="str">
        <f t="shared" ca="1" si="0"/>
        <v/>
      </c>
      <c r="L7" s="58" t="str">
        <f t="shared" ca="1" si="0"/>
        <v/>
      </c>
      <c r="P7" s="253"/>
      <c r="Q7" s="253"/>
      <c r="R7" s="253"/>
      <c r="S7" s="253"/>
      <c r="T7" s="253"/>
      <c r="U7" s="253"/>
      <c r="V7" s="253"/>
      <c r="W7" s="253"/>
      <c r="X7" s="253"/>
      <c r="Y7" s="253"/>
      <c r="Z7" s="253"/>
    </row>
    <row r="8" spans="2:26" ht="10.199999999999999" customHeight="1">
      <c r="B8" s="56" t="str">
        <f>IF('Low Stress Type Gasket'!BE13="","",'Low Stress Type Gasket'!BE13)</f>
        <v/>
      </c>
      <c r="C8" s="58" t="str">
        <f t="shared" ca="1" si="0"/>
        <v/>
      </c>
      <c r="D8" s="58" t="str">
        <f t="shared" ca="1" si="0"/>
        <v/>
      </c>
      <c r="E8" s="58" t="str">
        <f t="shared" ca="1" si="0"/>
        <v/>
      </c>
      <c r="F8" s="58" t="str">
        <f t="shared" ca="1" si="0"/>
        <v/>
      </c>
      <c r="G8" s="58" t="str">
        <f t="shared" ca="1" si="0"/>
        <v/>
      </c>
      <c r="H8" s="58" t="str">
        <f t="shared" ca="1" si="0"/>
        <v/>
      </c>
      <c r="I8" s="58" t="str">
        <f t="shared" ca="1" si="0"/>
        <v/>
      </c>
      <c r="J8" s="58" t="str">
        <f t="shared" ca="1" si="0"/>
        <v/>
      </c>
      <c r="K8" s="58" t="str">
        <f t="shared" ca="1" si="0"/>
        <v/>
      </c>
      <c r="L8" s="58" t="str">
        <f t="shared" ca="1" si="0"/>
        <v/>
      </c>
      <c r="P8" s="235"/>
      <c r="Q8" s="235"/>
      <c r="R8" s="235"/>
      <c r="S8" s="235"/>
      <c r="T8" s="235"/>
      <c r="U8" s="235"/>
      <c r="V8" s="235"/>
      <c r="W8" s="235"/>
      <c r="X8" s="235"/>
      <c r="Y8" s="235"/>
      <c r="Z8" s="235"/>
    </row>
    <row r="9" spans="2:26" ht="10.199999999999999" customHeight="1">
      <c r="B9" s="56" t="str">
        <f>IF('Low Stress Type Gasket'!BE14="","",'Low Stress Type Gasket'!BE14)</f>
        <v/>
      </c>
      <c r="C9" s="58" t="str">
        <f t="shared" ca="1" si="0"/>
        <v/>
      </c>
      <c r="D9" s="58" t="str">
        <f t="shared" ca="1" si="0"/>
        <v/>
      </c>
      <c r="E9" s="58" t="str">
        <f t="shared" ca="1" si="0"/>
        <v/>
      </c>
      <c r="F9" s="58" t="str">
        <f t="shared" ca="1" si="0"/>
        <v/>
      </c>
      <c r="G9" s="58" t="str">
        <f t="shared" ca="1" si="0"/>
        <v/>
      </c>
      <c r="H9" s="58" t="str">
        <f t="shared" ca="1" si="0"/>
        <v/>
      </c>
      <c r="I9" s="58" t="str">
        <f t="shared" ca="1" si="0"/>
        <v/>
      </c>
      <c r="J9" s="58" t="str">
        <f t="shared" ca="1" si="0"/>
        <v/>
      </c>
      <c r="K9" s="58" t="str">
        <f t="shared" ca="1" si="0"/>
        <v/>
      </c>
      <c r="L9" s="58" t="str">
        <f t="shared" ca="1" si="0"/>
        <v/>
      </c>
      <c r="P9" s="253"/>
      <c r="Q9" s="253"/>
      <c r="R9" s="253"/>
      <c r="S9" s="253"/>
      <c r="T9" s="253"/>
      <c r="U9" s="253"/>
      <c r="V9" s="253"/>
      <c r="W9" s="253"/>
      <c r="X9" s="253"/>
      <c r="Y9" s="253"/>
      <c r="Z9" s="253"/>
    </row>
    <row r="10" spans="2:26" ht="10.199999999999999" customHeight="1">
      <c r="B10" s="56" t="str">
        <f>IF('Low Stress Type Gasket'!BE15="","",'Low Stress Type Gasket'!BE15)</f>
        <v/>
      </c>
      <c r="C10" s="58" t="str">
        <f t="shared" ca="1" si="0"/>
        <v/>
      </c>
      <c r="D10" s="58" t="str">
        <f t="shared" ca="1" si="0"/>
        <v/>
      </c>
      <c r="E10" s="58" t="str">
        <f t="shared" ca="1" si="0"/>
        <v/>
      </c>
      <c r="F10" s="58" t="str">
        <f t="shared" ca="1" si="0"/>
        <v/>
      </c>
      <c r="G10" s="58" t="str">
        <f t="shared" ca="1" si="0"/>
        <v/>
      </c>
      <c r="H10" s="58" t="str">
        <f t="shared" ca="1" si="0"/>
        <v/>
      </c>
      <c r="I10" s="58" t="str">
        <f t="shared" ca="1" si="0"/>
        <v/>
      </c>
      <c r="J10" s="58" t="str">
        <f t="shared" ca="1" si="0"/>
        <v/>
      </c>
      <c r="K10" s="58" t="str">
        <f t="shared" ca="1" si="0"/>
        <v/>
      </c>
      <c r="L10" s="58" t="str">
        <f t="shared" ca="1" si="0"/>
        <v/>
      </c>
      <c r="P10" s="253"/>
      <c r="Q10" s="253"/>
      <c r="R10" s="253"/>
      <c r="S10" s="253"/>
      <c r="T10" s="253"/>
      <c r="U10" s="253"/>
      <c r="V10" s="253"/>
      <c r="W10" s="253"/>
      <c r="X10" s="253"/>
      <c r="Y10" s="253"/>
      <c r="Z10" s="253"/>
    </row>
    <row r="11" spans="2:26" ht="10.199999999999999" customHeight="1">
      <c r="B11" s="56" t="str">
        <f>IF('Low Stress Type Gasket'!BE16="","",'Low Stress Type Gasket'!BE16)</f>
        <v/>
      </c>
      <c r="C11" s="58" t="str">
        <f t="shared" ca="1" si="0"/>
        <v/>
      </c>
      <c r="D11" s="58" t="str">
        <f t="shared" ca="1" si="0"/>
        <v/>
      </c>
      <c r="E11" s="58" t="str">
        <f t="shared" ca="1" si="0"/>
        <v/>
      </c>
      <c r="F11" s="58" t="str">
        <f t="shared" ca="1" si="0"/>
        <v/>
      </c>
      <c r="G11" s="58" t="str">
        <f t="shared" ca="1" si="0"/>
        <v/>
      </c>
      <c r="H11" s="58" t="str">
        <f t="shared" ca="1" si="0"/>
        <v/>
      </c>
      <c r="I11" s="58" t="str">
        <f t="shared" ca="1" si="0"/>
        <v/>
      </c>
      <c r="J11" s="58" t="str">
        <f t="shared" ca="1" si="0"/>
        <v/>
      </c>
      <c r="K11" s="58" t="str">
        <f t="shared" ca="1" si="0"/>
        <v/>
      </c>
      <c r="L11" s="58" t="str">
        <f t="shared" ca="1" si="0"/>
        <v/>
      </c>
      <c r="P11" s="253"/>
      <c r="Q11" s="253"/>
      <c r="R11" s="253"/>
      <c r="S11" s="253"/>
      <c r="T11" s="253"/>
      <c r="U11" s="253"/>
      <c r="V11" s="253"/>
      <c r="W11" s="253"/>
      <c r="X11" s="253"/>
      <c r="Y11" s="253"/>
      <c r="Z11" s="253"/>
    </row>
    <row r="12" spans="2:26" ht="10.199999999999999" customHeight="1">
      <c r="B12" s="56" t="str">
        <f>IF('Low Stress Type Gasket'!BE17="","",'Low Stress Type Gasket'!BE17)</f>
        <v/>
      </c>
      <c r="C12" s="58" t="str">
        <f t="shared" ca="1" si="0"/>
        <v/>
      </c>
      <c r="D12" s="58" t="str">
        <f t="shared" ca="1" si="0"/>
        <v/>
      </c>
      <c r="E12" s="58" t="str">
        <f t="shared" ca="1" si="0"/>
        <v/>
      </c>
      <c r="F12" s="58" t="str">
        <f t="shared" ca="1" si="0"/>
        <v/>
      </c>
      <c r="G12" s="58" t="str">
        <f t="shared" ca="1" si="0"/>
        <v/>
      </c>
      <c r="H12" s="58" t="str">
        <f t="shared" ca="1" si="0"/>
        <v/>
      </c>
      <c r="I12" s="58" t="str">
        <f t="shared" ca="1" si="0"/>
        <v/>
      </c>
      <c r="J12" s="58" t="str">
        <f t="shared" ca="1" si="0"/>
        <v/>
      </c>
      <c r="K12" s="58" t="str">
        <f t="shared" ca="1" si="0"/>
        <v/>
      </c>
      <c r="L12" s="58" t="str">
        <f t="shared" ca="1" si="0"/>
        <v/>
      </c>
      <c r="P12" s="235"/>
      <c r="Q12" s="235"/>
      <c r="R12" s="235"/>
      <c r="S12" s="235"/>
      <c r="T12" s="235"/>
      <c r="U12" s="235"/>
      <c r="V12" s="235"/>
      <c r="W12" s="235"/>
      <c r="X12" s="235"/>
      <c r="Y12" s="235"/>
      <c r="Z12" s="235"/>
    </row>
    <row r="13" spans="2:26" ht="10.199999999999999" customHeight="1">
      <c r="B13" s="56" t="str">
        <f>IF('Low Stress Type Gasket'!BE18="","",'Low Stress Type Gasket'!BE18)</f>
        <v/>
      </c>
      <c r="C13" s="58" t="str">
        <f t="shared" ca="1" si="0"/>
        <v/>
      </c>
      <c r="D13" s="58" t="str">
        <f t="shared" ca="1" si="0"/>
        <v/>
      </c>
      <c r="E13" s="58" t="str">
        <f t="shared" ca="1" si="0"/>
        <v/>
      </c>
      <c r="F13" s="58" t="str">
        <f t="shared" ca="1" si="0"/>
        <v/>
      </c>
      <c r="G13" s="58" t="str">
        <f t="shared" ca="1" si="0"/>
        <v/>
      </c>
      <c r="H13" s="58" t="str">
        <f t="shared" ca="1" si="0"/>
        <v/>
      </c>
      <c r="I13" s="58" t="str">
        <f t="shared" ca="1" si="0"/>
        <v/>
      </c>
      <c r="J13" s="58" t="str">
        <f t="shared" ca="1" si="0"/>
        <v/>
      </c>
      <c r="K13" s="58" t="str">
        <f t="shared" ca="1" si="0"/>
        <v/>
      </c>
      <c r="L13" s="58" t="str">
        <f t="shared" ca="1" si="0"/>
        <v/>
      </c>
      <c r="P13" s="253"/>
      <c r="Q13" s="253"/>
      <c r="R13" s="253"/>
      <c r="S13" s="253"/>
      <c r="T13" s="253"/>
      <c r="U13" s="253"/>
      <c r="V13" s="253"/>
      <c r="W13" s="253"/>
      <c r="X13" s="253"/>
      <c r="Y13" s="253"/>
      <c r="Z13" s="253"/>
    </row>
    <row r="14" spans="2:26" ht="10.199999999999999" customHeight="1">
      <c r="B14" s="56" t="str">
        <f>IF('Low Stress Type Gasket'!BE19="","",'Low Stress Type Gasket'!BE19)</f>
        <v/>
      </c>
      <c r="C14" s="58" t="str">
        <f t="shared" ca="1" si="0"/>
        <v/>
      </c>
      <c r="D14" s="58" t="str">
        <f t="shared" ca="1" si="0"/>
        <v/>
      </c>
      <c r="E14" s="58" t="str">
        <f t="shared" ca="1" si="0"/>
        <v/>
      </c>
      <c r="F14" s="58" t="str">
        <f t="shared" ca="1" si="0"/>
        <v/>
      </c>
      <c r="G14" s="58" t="str">
        <f t="shared" ca="1" si="0"/>
        <v/>
      </c>
      <c r="H14" s="58" t="str">
        <f t="shared" ca="1" si="0"/>
        <v/>
      </c>
      <c r="I14" s="58" t="str">
        <f t="shared" ca="1" si="0"/>
        <v/>
      </c>
      <c r="J14" s="58" t="str">
        <f t="shared" ca="1" si="0"/>
        <v/>
      </c>
      <c r="K14" s="58" t="str">
        <f t="shared" ca="1" si="0"/>
        <v/>
      </c>
      <c r="L14" s="58" t="str">
        <f t="shared" ca="1" si="0"/>
        <v/>
      </c>
      <c r="P14" s="253"/>
      <c r="Q14" s="253"/>
      <c r="R14" s="253"/>
      <c r="S14" s="253"/>
      <c r="T14" s="253"/>
      <c r="U14" s="253"/>
      <c r="V14" s="253"/>
      <c r="W14" s="253"/>
      <c r="X14" s="253"/>
      <c r="Y14" s="253"/>
      <c r="Z14" s="253"/>
    </row>
    <row r="15" spans="2:26" ht="10.199999999999999" customHeight="1">
      <c r="B15" s="56" t="str">
        <f>IF('Low Stress Type Gasket'!BE20="","",'Low Stress Type Gasket'!BE20)</f>
        <v/>
      </c>
      <c r="C15" s="58" t="str">
        <f t="shared" ca="1" si="0"/>
        <v/>
      </c>
      <c r="D15" s="58" t="str">
        <f t="shared" ca="1" si="0"/>
        <v/>
      </c>
      <c r="E15" s="58" t="str">
        <f t="shared" ca="1" si="0"/>
        <v/>
      </c>
      <c r="F15" s="58" t="str">
        <f t="shared" ca="1" si="0"/>
        <v/>
      </c>
      <c r="G15" s="58" t="str">
        <f t="shared" ca="1" si="0"/>
        <v/>
      </c>
      <c r="H15" s="58" t="str">
        <f t="shared" ca="1" si="0"/>
        <v/>
      </c>
      <c r="I15" s="58" t="str">
        <f t="shared" ca="1" si="0"/>
        <v/>
      </c>
      <c r="J15" s="58" t="str">
        <f t="shared" ca="1" si="0"/>
        <v/>
      </c>
      <c r="K15" s="58" t="str">
        <f t="shared" ca="1" si="0"/>
        <v/>
      </c>
      <c r="L15" s="58" t="str">
        <f t="shared" ca="1" si="0"/>
        <v/>
      </c>
      <c r="P15" s="235"/>
      <c r="Q15" s="235"/>
      <c r="R15" s="235"/>
      <c r="S15" s="235"/>
      <c r="T15" s="235"/>
      <c r="U15" s="235"/>
      <c r="V15" s="235"/>
      <c r="W15" s="235"/>
      <c r="X15" s="235"/>
      <c r="Y15" s="235"/>
      <c r="Z15" s="235"/>
    </row>
    <row r="16" spans="2:26" ht="10.199999999999999" customHeight="1">
      <c r="B16" s="56" t="str">
        <f>IF('Low Stress Type Gasket'!BE21="","",'Low Stress Type Gasket'!BE21)</f>
        <v/>
      </c>
      <c r="C16" s="58" t="str">
        <f t="shared" ca="1" si="0"/>
        <v/>
      </c>
      <c r="D16" s="58" t="str">
        <f t="shared" ca="1" si="0"/>
        <v/>
      </c>
      <c r="E16" s="58" t="str">
        <f t="shared" ca="1" si="0"/>
        <v/>
      </c>
      <c r="F16" s="58" t="str">
        <f t="shared" ca="1" si="0"/>
        <v/>
      </c>
      <c r="G16" s="58" t="str">
        <f t="shared" ca="1" si="0"/>
        <v/>
      </c>
      <c r="H16" s="58" t="str">
        <f t="shared" ca="1" si="0"/>
        <v/>
      </c>
      <c r="I16" s="58" t="str">
        <f t="shared" ca="1" si="0"/>
        <v/>
      </c>
      <c r="J16" s="58" t="str">
        <f t="shared" ca="1" si="0"/>
        <v/>
      </c>
      <c r="K16" s="58" t="str">
        <f t="shared" ca="1" si="0"/>
        <v/>
      </c>
      <c r="L16" s="58" t="str">
        <f t="shared" ca="1" si="0"/>
        <v/>
      </c>
      <c r="P16" s="253"/>
      <c r="Q16" s="253"/>
      <c r="R16" s="253"/>
      <c r="S16" s="253"/>
      <c r="T16" s="253"/>
      <c r="U16" s="253"/>
      <c r="V16" s="253"/>
      <c r="W16" s="253"/>
      <c r="X16" s="253"/>
      <c r="Y16" s="253"/>
      <c r="Z16" s="253"/>
    </row>
    <row r="17" spans="2:26" ht="10.199999999999999" customHeight="1">
      <c r="B17" s="56" t="str">
        <f>IF('Low Stress Type Gasket'!BE22="","",'Low Stress Type Gasket'!BE22)</f>
        <v/>
      </c>
      <c r="C17" s="58" t="str">
        <f t="shared" ca="1" si="0"/>
        <v/>
      </c>
      <c r="D17" s="58" t="str">
        <f t="shared" ca="1" si="0"/>
        <v/>
      </c>
      <c r="E17" s="58" t="str">
        <f t="shared" ca="1" si="0"/>
        <v/>
      </c>
      <c r="F17" s="58" t="str">
        <f t="shared" ca="1" si="0"/>
        <v/>
      </c>
      <c r="G17" s="58" t="str">
        <f t="shared" ca="1" si="0"/>
        <v/>
      </c>
      <c r="H17" s="58" t="str">
        <f t="shared" ca="1" si="0"/>
        <v/>
      </c>
      <c r="I17" s="58" t="str">
        <f t="shared" ca="1" si="0"/>
        <v/>
      </c>
      <c r="J17" s="58" t="str">
        <f t="shared" ca="1" si="0"/>
        <v/>
      </c>
      <c r="K17" s="58" t="str">
        <f t="shared" ca="1" si="0"/>
        <v/>
      </c>
      <c r="L17" s="58" t="str">
        <f t="shared" ca="1" si="0"/>
        <v/>
      </c>
      <c r="P17" s="253"/>
      <c r="Q17" s="253"/>
      <c r="R17" s="253"/>
      <c r="S17" s="253"/>
      <c r="T17" s="253"/>
      <c r="U17" s="253"/>
      <c r="V17" s="253"/>
      <c r="W17" s="253"/>
      <c r="X17" s="253"/>
      <c r="Y17" s="253"/>
      <c r="Z17" s="253"/>
    </row>
    <row r="18" spans="2:26" ht="10.199999999999999" customHeight="1">
      <c r="B18" s="56" t="str">
        <f>IF('Low Stress Type Gasket'!BE23="","",'Low Stress Type Gasket'!BE23)</f>
        <v/>
      </c>
      <c r="C18" s="58" t="str">
        <f t="shared" ca="1" si="0"/>
        <v/>
      </c>
      <c r="D18" s="58" t="str">
        <f t="shared" ca="1" si="0"/>
        <v/>
      </c>
      <c r="E18" s="58" t="str">
        <f t="shared" ca="1" si="0"/>
        <v/>
      </c>
      <c r="F18" s="58" t="str">
        <f t="shared" ca="1" si="0"/>
        <v/>
      </c>
      <c r="G18" s="58" t="str">
        <f t="shared" ca="1" si="0"/>
        <v/>
      </c>
      <c r="H18" s="58" t="str">
        <f t="shared" ca="1" si="0"/>
        <v/>
      </c>
      <c r="I18" s="58" t="str">
        <f t="shared" ca="1" si="0"/>
        <v/>
      </c>
      <c r="J18" s="58" t="str">
        <f t="shared" ca="1" si="0"/>
        <v/>
      </c>
      <c r="K18" s="58" t="str">
        <f t="shared" ca="1" si="0"/>
        <v/>
      </c>
      <c r="L18" s="58" t="str">
        <f t="shared" ca="1" si="0"/>
        <v/>
      </c>
      <c r="P18" s="235"/>
      <c r="Q18" s="235"/>
      <c r="R18" s="235"/>
      <c r="S18" s="235"/>
      <c r="T18" s="235"/>
      <c r="U18" s="235"/>
      <c r="V18" s="235"/>
      <c r="W18" s="235"/>
      <c r="X18" s="235"/>
      <c r="Y18" s="235"/>
      <c r="Z18" s="235"/>
    </row>
    <row r="19" spans="2:26" ht="10.199999999999999" customHeight="1">
      <c r="B19" s="56" t="str">
        <f>IF('Low Stress Type Gasket'!BE24="","",'Low Stress Type Gasket'!BE24)</f>
        <v/>
      </c>
      <c r="C19" s="58" t="str">
        <f t="shared" ca="1" si="0"/>
        <v/>
      </c>
      <c r="D19" s="58" t="str">
        <f t="shared" ca="1" si="0"/>
        <v/>
      </c>
      <c r="E19" s="58" t="str">
        <f t="shared" ca="1" si="0"/>
        <v/>
      </c>
      <c r="F19" s="58" t="str">
        <f t="shared" ca="1" si="0"/>
        <v/>
      </c>
      <c r="G19" s="58" t="str">
        <f t="shared" ca="1" si="0"/>
        <v/>
      </c>
      <c r="H19" s="58" t="str">
        <f t="shared" ca="1" si="0"/>
        <v/>
      </c>
      <c r="I19" s="58" t="str">
        <f t="shared" ca="1" si="0"/>
        <v/>
      </c>
      <c r="J19" s="58" t="str">
        <f t="shared" ca="1" si="0"/>
        <v/>
      </c>
      <c r="K19" s="58" t="str">
        <f t="shared" ca="1" si="0"/>
        <v/>
      </c>
      <c r="L19" s="58" t="str">
        <f t="shared" ca="1" si="0"/>
        <v/>
      </c>
      <c r="P19" s="253"/>
      <c r="Q19" s="253"/>
      <c r="R19" s="253"/>
      <c r="S19" s="253"/>
      <c r="T19" s="253"/>
      <c r="U19" s="253"/>
      <c r="V19" s="253"/>
      <c r="W19" s="253"/>
      <c r="X19" s="253"/>
      <c r="Y19" s="253"/>
      <c r="Z19" s="253"/>
    </row>
    <row r="20" spans="2:26" ht="10.199999999999999" customHeight="1">
      <c r="B20" s="56" t="str">
        <f>IF('Low Stress Type Gasket'!BE25="","",'Low Stress Type Gasket'!BE25)</f>
        <v/>
      </c>
      <c r="C20" s="58" t="str">
        <f t="shared" ca="1" si="0"/>
        <v/>
      </c>
      <c r="D20" s="58" t="str">
        <f t="shared" ca="1" si="0"/>
        <v/>
      </c>
      <c r="E20" s="58" t="str">
        <f t="shared" ca="1" si="0"/>
        <v/>
      </c>
      <c r="F20" s="58" t="str">
        <f t="shared" ca="1" si="0"/>
        <v/>
      </c>
      <c r="G20" s="58" t="str">
        <f t="shared" ca="1" si="0"/>
        <v/>
      </c>
      <c r="H20" s="58" t="str">
        <f t="shared" ca="1" si="0"/>
        <v/>
      </c>
      <c r="I20" s="58" t="str">
        <f t="shared" ca="1" si="0"/>
        <v/>
      </c>
      <c r="J20" s="58" t="str">
        <f t="shared" ca="1" si="0"/>
        <v/>
      </c>
      <c r="K20" s="58" t="str">
        <f t="shared" ca="1" si="0"/>
        <v/>
      </c>
      <c r="L20" s="58" t="str">
        <f t="shared" ca="1" si="0"/>
        <v/>
      </c>
      <c r="P20" s="253"/>
      <c r="Q20" s="253"/>
      <c r="R20" s="253"/>
      <c r="S20" s="253"/>
      <c r="T20" s="253"/>
      <c r="U20" s="253"/>
      <c r="V20" s="253"/>
      <c r="W20" s="253"/>
      <c r="X20" s="253"/>
      <c r="Y20" s="253"/>
      <c r="Z20" s="253"/>
    </row>
    <row r="21" spans="2:26" ht="10.199999999999999" customHeight="1">
      <c r="B21" s="56" t="str">
        <f>IF('Low Stress Type Gasket'!BE26="","",'Low Stress Type Gasket'!BE26)</f>
        <v/>
      </c>
      <c r="C21" s="58" t="str">
        <f t="shared" ca="1" si="0"/>
        <v/>
      </c>
      <c r="D21" s="58" t="str">
        <f t="shared" ca="1" si="0"/>
        <v/>
      </c>
      <c r="E21" s="58" t="str">
        <f t="shared" ca="1" si="0"/>
        <v/>
      </c>
      <c r="F21" s="58" t="str">
        <f t="shared" ca="1" si="0"/>
        <v/>
      </c>
      <c r="G21" s="58" t="str">
        <f t="shared" ca="1" si="0"/>
        <v/>
      </c>
      <c r="H21" s="58" t="str">
        <f t="shared" ca="1" si="0"/>
        <v/>
      </c>
      <c r="I21" s="58" t="str">
        <f t="shared" ca="1" si="0"/>
        <v/>
      </c>
      <c r="J21" s="58" t="str">
        <f t="shared" ca="1" si="0"/>
        <v/>
      </c>
      <c r="K21" s="58" t="str">
        <f t="shared" ca="1" si="0"/>
        <v/>
      </c>
      <c r="L21" s="58" t="str">
        <f t="shared" ca="1" si="0"/>
        <v/>
      </c>
      <c r="P21" s="235"/>
      <c r="Q21" s="235"/>
      <c r="R21" s="235"/>
      <c r="S21" s="235"/>
      <c r="T21" s="235"/>
      <c r="U21" s="235"/>
      <c r="V21" s="235"/>
      <c r="W21" s="235"/>
      <c r="X21" s="235"/>
      <c r="Y21" s="235"/>
      <c r="Z21" s="235"/>
    </row>
    <row r="22" spans="2:26" ht="10.199999999999999" customHeight="1">
      <c r="B22" s="56" t="str">
        <f>IF('Low Stress Type Gasket'!BE27="","",'Low Stress Type Gasket'!BE27)</f>
        <v/>
      </c>
      <c r="C22" s="58" t="str">
        <f t="shared" ref="C22:L37" ca="1" si="1">IF($M$4=0,"",VLOOKUP($B22,INDIRECT("$P$1:$Z$"&amp;$M$4),COLUMN()-1,0))</f>
        <v/>
      </c>
      <c r="D22" s="58" t="str">
        <f t="shared" ca="1" si="1"/>
        <v/>
      </c>
      <c r="E22" s="58" t="str">
        <f t="shared" ca="1" si="1"/>
        <v/>
      </c>
      <c r="F22" s="58" t="str">
        <f t="shared" ca="1" si="1"/>
        <v/>
      </c>
      <c r="G22" s="58" t="str">
        <f t="shared" ca="1" si="1"/>
        <v/>
      </c>
      <c r="H22" s="58" t="str">
        <f t="shared" ca="1" si="1"/>
        <v/>
      </c>
      <c r="I22" s="58" t="str">
        <f t="shared" ca="1" si="1"/>
        <v/>
      </c>
      <c r="J22" s="58" t="str">
        <f t="shared" ca="1" si="1"/>
        <v/>
      </c>
      <c r="K22" s="58" t="str">
        <f t="shared" ca="1" si="1"/>
        <v/>
      </c>
      <c r="L22" s="58" t="str">
        <f t="shared" ca="1" si="1"/>
        <v/>
      </c>
      <c r="P22" s="253"/>
      <c r="Q22" s="253"/>
      <c r="R22" s="253"/>
      <c r="S22" s="253"/>
      <c r="T22" s="253"/>
      <c r="U22" s="253"/>
      <c r="V22" s="253"/>
      <c r="W22" s="253"/>
      <c r="X22" s="253"/>
      <c r="Y22" s="253"/>
      <c r="Z22" s="253"/>
    </row>
    <row r="23" spans="2:26" ht="10.199999999999999" customHeight="1">
      <c r="B23" s="56" t="str">
        <f>IF('Low Stress Type Gasket'!BE28="","",'Low Stress Type Gasket'!BE28)</f>
        <v/>
      </c>
      <c r="C23" s="58" t="str">
        <f t="shared" ca="1" si="1"/>
        <v/>
      </c>
      <c r="D23" s="58" t="str">
        <f t="shared" ca="1" si="1"/>
        <v/>
      </c>
      <c r="E23" s="58" t="str">
        <f t="shared" ca="1" si="1"/>
        <v/>
      </c>
      <c r="F23" s="58" t="str">
        <f t="shared" ca="1" si="1"/>
        <v/>
      </c>
      <c r="G23" s="58" t="str">
        <f t="shared" ca="1" si="1"/>
        <v/>
      </c>
      <c r="H23" s="58" t="str">
        <f t="shared" ca="1" si="1"/>
        <v/>
      </c>
      <c r="I23" s="58" t="str">
        <f t="shared" ca="1" si="1"/>
        <v/>
      </c>
      <c r="J23" s="58" t="str">
        <f t="shared" ca="1" si="1"/>
        <v/>
      </c>
      <c r="K23" s="58" t="str">
        <f t="shared" ca="1" si="1"/>
        <v/>
      </c>
      <c r="L23" s="58" t="str">
        <f t="shared" ca="1" si="1"/>
        <v/>
      </c>
      <c r="P23" s="253"/>
      <c r="Q23" s="253"/>
      <c r="R23" s="253"/>
      <c r="S23" s="253"/>
      <c r="T23" s="253"/>
      <c r="U23" s="253"/>
      <c r="V23" s="253"/>
      <c r="W23" s="253"/>
      <c r="X23" s="253"/>
      <c r="Y23" s="253"/>
      <c r="Z23" s="253"/>
    </row>
    <row r="24" spans="2:26" ht="10.199999999999999" customHeight="1">
      <c r="B24" s="56" t="str">
        <f>IF('Low Stress Type Gasket'!BE29="","",'Low Stress Type Gasket'!BE29)</f>
        <v/>
      </c>
      <c r="C24" s="58" t="str">
        <f t="shared" ca="1" si="1"/>
        <v/>
      </c>
      <c r="D24" s="58" t="str">
        <f t="shared" ca="1" si="1"/>
        <v/>
      </c>
      <c r="E24" s="58" t="str">
        <f t="shared" ca="1" si="1"/>
        <v/>
      </c>
      <c r="F24" s="58" t="str">
        <f t="shared" ca="1" si="1"/>
        <v/>
      </c>
      <c r="G24" s="58" t="str">
        <f t="shared" ca="1" si="1"/>
        <v/>
      </c>
      <c r="H24" s="58" t="str">
        <f t="shared" ca="1" si="1"/>
        <v/>
      </c>
      <c r="I24" s="58" t="str">
        <f t="shared" ca="1" si="1"/>
        <v/>
      </c>
      <c r="J24" s="58" t="str">
        <f t="shared" ca="1" si="1"/>
        <v/>
      </c>
      <c r="K24" s="58" t="str">
        <f t="shared" ca="1" si="1"/>
        <v/>
      </c>
      <c r="L24" s="58" t="str">
        <f t="shared" ca="1" si="1"/>
        <v/>
      </c>
      <c r="P24" s="235"/>
      <c r="Q24" s="235"/>
      <c r="R24" s="235"/>
      <c r="S24" s="235"/>
      <c r="T24" s="235"/>
      <c r="U24" s="235"/>
      <c r="V24" s="235"/>
      <c r="W24" s="235"/>
      <c r="X24" s="235"/>
      <c r="Y24" s="235"/>
      <c r="Z24" s="235"/>
    </row>
    <row r="25" spans="2:26" ht="10.199999999999999" customHeight="1">
      <c r="B25" s="56" t="str">
        <f>IF('Low Stress Type Gasket'!BE30="","",'Low Stress Type Gasket'!BE30)</f>
        <v/>
      </c>
      <c r="C25" s="58" t="str">
        <f t="shared" ca="1" si="1"/>
        <v/>
      </c>
      <c r="D25" s="58" t="str">
        <f t="shared" ca="1" si="1"/>
        <v/>
      </c>
      <c r="E25" s="58" t="str">
        <f t="shared" ca="1" si="1"/>
        <v/>
      </c>
      <c r="F25" s="58" t="str">
        <f t="shared" ca="1" si="1"/>
        <v/>
      </c>
      <c r="G25" s="58" t="str">
        <f t="shared" ca="1" si="1"/>
        <v/>
      </c>
      <c r="H25" s="58" t="str">
        <f t="shared" ca="1" si="1"/>
        <v/>
      </c>
      <c r="I25" s="58" t="str">
        <f t="shared" ca="1" si="1"/>
        <v/>
      </c>
      <c r="J25" s="58" t="str">
        <f t="shared" ca="1" si="1"/>
        <v/>
      </c>
      <c r="K25" s="58" t="str">
        <f t="shared" ca="1" si="1"/>
        <v/>
      </c>
      <c r="L25" s="58" t="str">
        <f t="shared" ca="1" si="1"/>
        <v/>
      </c>
      <c r="P25" s="253"/>
      <c r="Q25" s="253"/>
      <c r="R25" s="253"/>
      <c r="S25" s="253"/>
      <c r="T25" s="253"/>
      <c r="U25" s="253"/>
      <c r="V25" s="253"/>
      <c r="W25" s="253"/>
      <c r="X25" s="253"/>
      <c r="Y25" s="253"/>
      <c r="Z25" s="253"/>
    </row>
    <row r="26" spans="2:26" ht="10.199999999999999" customHeight="1">
      <c r="B26" s="56" t="str">
        <f>IF('Low Stress Type Gasket'!BE31="","",'Low Stress Type Gasket'!BE31)</f>
        <v/>
      </c>
      <c r="C26" s="58" t="str">
        <f t="shared" ca="1" si="1"/>
        <v/>
      </c>
      <c r="D26" s="58" t="str">
        <f t="shared" ca="1" si="1"/>
        <v/>
      </c>
      <c r="E26" s="58" t="str">
        <f t="shared" ca="1" si="1"/>
        <v/>
      </c>
      <c r="F26" s="58" t="str">
        <f t="shared" ca="1" si="1"/>
        <v/>
      </c>
      <c r="G26" s="58" t="str">
        <f t="shared" ca="1" si="1"/>
        <v/>
      </c>
      <c r="H26" s="58" t="str">
        <f t="shared" ca="1" si="1"/>
        <v/>
      </c>
      <c r="I26" s="58" t="str">
        <f t="shared" ca="1" si="1"/>
        <v/>
      </c>
      <c r="J26" s="58" t="str">
        <f t="shared" ca="1" si="1"/>
        <v/>
      </c>
      <c r="K26" s="58" t="str">
        <f t="shared" ca="1" si="1"/>
        <v/>
      </c>
      <c r="L26" s="58" t="str">
        <f t="shared" ca="1" si="1"/>
        <v/>
      </c>
      <c r="P26" s="253"/>
      <c r="Q26" s="253"/>
      <c r="R26" s="253"/>
      <c r="S26" s="253"/>
      <c r="T26" s="253"/>
      <c r="U26" s="253"/>
      <c r="V26" s="253"/>
      <c r="W26" s="253"/>
      <c r="X26" s="253"/>
      <c r="Y26" s="253"/>
      <c r="Z26" s="253"/>
    </row>
    <row r="27" spans="2:26" ht="10.199999999999999" customHeight="1">
      <c r="B27" s="56" t="str">
        <f>IF('Low Stress Type Gasket'!BE32="","",'Low Stress Type Gasket'!BE32)</f>
        <v/>
      </c>
      <c r="C27" s="58" t="str">
        <f t="shared" ca="1" si="1"/>
        <v/>
      </c>
      <c r="D27" s="58" t="str">
        <f t="shared" ca="1" si="1"/>
        <v/>
      </c>
      <c r="E27" s="58" t="str">
        <f t="shared" ca="1" si="1"/>
        <v/>
      </c>
      <c r="F27" s="58" t="str">
        <f t="shared" ca="1" si="1"/>
        <v/>
      </c>
      <c r="G27" s="58" t="str">
        <f t="shared" ca="1" si="1"/>
        <v/>
      </c>
      <c r="H27" s="58" t="str">
        <f t="shared" ca="1" si="1"/>
        <v/>
      </c>
      <c r="I27" s="58" t="str">
        <f t="shared" ca="1" si="1"/>
        <v/>
      </c>
      <c r="J27" s="58" t="str">
        <f t="shared" ca="1" si="1"/>
        <v/>
      </c>
      <c r="K27" s="58" t="str">
        <f t="shared" ca="1" si="1"/>
        <v/>
      </c>
      <c r="L27" s="58" t="str">
        <f t="shared" ca="1" si="1"/>
        <v/>
      </c>
      <c r="P27" s="235"/>
      <c r="Q27" s="235"/>
      <c r="R27" s="235"/>
      <c r="S27" s="235"/>
      <c r="T27" s="235"/>
      <c r="U27" s="235"/>
      <c r="V27" s="235"/>
      <c r="W27" s="235"/>
      <c r="X27" s="235"/>
      <c r="Y27" s="235"/>
      <c r="Z27" s="235"/>
    </row>
    <row r="28" spans="2:26" ht="10.199999999999999" customHeight="1">
      <c r="B28" s="56" t="str">
        <f>IF('Low Stress Type Gasket'!BE33="","",'Low Stress Type Gasket'!BE33)</f>
        <v/>
      </c>
      <c r="C28" s="58" t="str">
        <f t="shared" ca="1" si="1"/>
        <v/>
      </c>
      <c r="D28" s="58" t="str">
        <f t="shared" ca="1" si="1"/>
        <v/>
      </c>
      <c r="E28" s="58" t="str">
        <f t="shared" ca="1" si="1"/>
        <v/>
      </c>
      <c r="F28" s="58" t="str">
        <f t="shared" ca="1" si="1"/>
        <v/>
      </c>
      <c r="G28" s="58" t="str">
        <f t="shared" ca="1" si="1"/>
        <v/>
      </c>
      <c r="H28" s="58" t="str">
        <f t="shared" ca="1" si="1"/>
        <v/>
      </c>
      <c r="I28" s="58" t="str">
        <f t="shared" ca="1" si="1"/>
        <v/>
      </c>
      <c r="J28" s="58" t="str">
        <f t="shared" ca="1" si="1"/>
        <v/>
      </c>
      <c r="K28" s="58" t="str">
        <f t="shared" ca="1" si="1"/>
        <v/>
      </c>
      <c r="L28" s="58" t="str">
        <f t="shared" ca="1" si="1"/>
        <v/>
      </c>
      <c r="P28" s="253"/>
      <c r="Q28" s="253"/>
      <c r="R28" s="253"/>
      <c r="S28" s="253"/>
      <c r="T28" s="253"/>
      <c r="U28" s="253"/>
      <c r="V28" s="253"/>
      <c r="W28" s="253"/>
      <c r="X28" s="253"/>
      <c r="Y28" s="253"/>
      <c r="Z28" s="253"/>
    </row>
    <row r="29" spans="2:26" ht="10.199999999999999" customHeight="1">
      <c r="B29" s="56" t="str">
        <f>IF('Low Stress Type Gasket'!BE34="","",'Low Stress Type Gasket'!BE34)</f>
        <v/>
      </c>
      <c r="C29" s="58" t="str">
        <f t="shared" ca="1" si="1"/>
        <v/>
      </c>
      <c r="D29" s="58" t="str">
        <f t="shared" ca="1" si="1"/>
        <v/>
      </c>
      <c r="E29" s="58" t="str">
        <f t="shared" ca="1" si="1"/>
        <v/>
      </c>
      <c r="F29" s="58" t="str">
        <f t="shared" ca="1" si="1"/>
        <v/>
      </c>
      <c r="G29" s="58" t="str">
        <f t="shared" ca="1" si="1"/>
        <v/>
      </c>
      <c r="H29" s="58" t="str">
        <f t="shared" ca="1" si="1"/>
        <v/>
      </c>
      <c r="I29" s="58" t="str">
        <f t="shared" ca="1" si="1"/>
        <v/>
      </c>
      <c r="J29" s="58" t="str">
        <f t="shared" ca="1" si="1"/>
        <v/>
      </c>
      <c r="K29" s="58" t="str">
        <f t="shared" ca="1" si="1"/>
        <v/>
      </c>
      <c r="L29" s="58" t="str">
        <f t="shared" ca="1" si="1"/>
        <v/>
      </c>
      <c r="P29" s="253"/>
      <c r="Q29" s="253"/>
      <c r="R29" s="253"/>
      <c r="S29" s="253"/>
      <c r="T29" s="253"/>
      <c r="U29" s="253"/>
      <c r="V29" s="253"/>
      <c r="W29" s="253"/>
      <c r="X29" s="253"/>
      <c r="Y29" s="253"/>
      <c r="Z29" s="253"/>
    </row>
    <row r="30" spans="2:26" ht="10.199999999999999" customHeight="1">
      <c r="B30" s="56" t="str">
        <f>IF('Low Stress Type Gasket'!BE35="","",'Low Stress Type Gasket'!BE35)</f>
        <v/>
      </c>
      <c r="C30" s="58" t="str">
        <f t="shared" ca="1" si="1"/>
        <v/>
      </c>
      <c r="D30" s="58" t="str">
        <f t="shared" ca="1" si="1"/>
        <v/>
      </c>
      <c r="E30" s="58" t="str">
        <f t="shared" ca="1" si="1"/>
        <v/>
      </c>
      <c r="F30" s="58" t="str">
        <f t="shared" ca="1" si="1"/>
        <v/>
      </c>
      <c r="G30" s="58" t="str">
        <f t="shared" ca="1" si="1"/>
        <v/>
      </c>
      <c r="H30" s="58" t="str">
        <f t="shared" ca="1" si="1"/>
        <v/>
      </c>
      <c r="I30" s="58" t="str">
        <f t="shared" ca="1" si="1"/>
        <v/>
      </c>
      <c r="J30" s="58" t="str">
        <f t="shared" ca="1" si="1"/>
        <v/>
      </c>
      <c r="K30" s="58" t="str">
        <f t="shared" ca="1" si="1"/>
        <v/>
      </c>
      <c r="L30" s="58" t="str">
        <f t="shared" ca="1" si="1"/>
        <v/>
      </c>
      <c r="P30" s="235"/>
      <c r="Q30" s="235"/>
      <c r="R30" s="235"/>
      <c r="S30" s="235"/>
      <c r="T30" s="235"/>
      <c r="U30" s="235"/>
      <c r="V30" s="235"/>
      <c r="W30" s="235"/>
      <c r="X30" s="235"/>
      <c r="Y30" s="235"/>
      <c r="Z30" s="235"/>
    </row>
    <row r="31" spans="2:26" ht="10.199999999999999" customHeight="1">
      <c r="B31" s="56" t="str">
        <f>IF('Low Stress Type Gasket'!BE36="","",'Low Stress Type Gasket'!BE36)</f>
        <v/>
      </c>
      <c r="C31" s="58" t="str">
        <f t="shared" ca="1" si="1"/>
        <v/>
      </c>
      <c r="D31" s="58" t="str">
        <f t="shared" ca="1" si="1"/>
        <v/>
      </c>
      <c r="E31" s="58" t="str">
        <f t="shared" ca="1" si="1"/>
        <v/>
      </c>
      <c r="F31" s="58" t="str">
        <f t="shared" ca="1" si="1"/>
        <v/>
      </c>
      <c r="G31" s="58" t="str">
        <f t="shared" ca="1" si="1"/>
        <v/>
      </c>
      <c r="H31" s="58" t="str">
        <f t="shared" ca="1" si="1"/>
        <v/>
      </c>
      <c r="I31" s="58" t="str">
        <f t="shared" ca="1" si="1"/>
        <v/>
      </c>
      <c r="J31" s="58" t="str">
        <f t="shared" ca="1" si="1"/>
        <v/>
      </c>
      <c r="K31" s="58" t="str">
        <f t="shared" ca="1" si="1"/>
        <v/>
      </c>
      <c r="L31" s="58" t="str">
        <f t="shared" ca="1" si="1"/>
        <v/>
      </c>
      <c r="P31" s="253"/>
      <c r="Q31" s="253"/>
      <c r="R31" s="253"/>
      <c r="S31" s="253"/>
      <c r="T31" s="253"/>
      <c r="U31" s="253"/>
      <c r="V31" s="253"/>
      <c r="W31" s="253"/>
      <c r="X31" s="253"/>
      <c r="Y31" s="253"/>
      <c r="Z31" s="253"/>
    </row>
    <row r="32" spans="2:26" ht="10.199999999999999" customHeight="1">
      <c r="B32" s="56" t="str">
        <f>IF('Low Stress Type Gasket'!BE37="","",'Low Stress Type Gasket'!BE37)</f>
        <v/>
      </c>
      <c r="C32" s="58" t="str">
        <f t="shared" ca="1" si="1"/>
        <v/>
      </c>
      <c r="D32" s="58" t="str">
        <f t="shared" ca="1" si="1"/>
        <v/>
      </c>
      <c r="E32" s="58" t="str">
        <f t="shared" ca="1" si="1"/>
        <v/>
      </c>
      <c r="F32" s="58" t="str">
        <f t="shared" ca="1" si="1"/>
        <v/>
      </c>
      <c r="G32" s="58" t="str">
        <f t="shared" ca="1" si="1"/>
        <v/>
      </c>
      <c r="H32" s="58" t="str">
        <f t="shared" ca="1" si="1"/>
        <v/>
      </c>
      <c r="I32" s="58" t="str">
        <f t="shared" ca="1" si="1"/>
        <v/>
      </c>
      <c r="J32" s="58" t="str">
        <f t="shared" ca="1" si="1"/>
        <v/>
      </c>
      <c r="K32" s="58" t="str">
        <f t="shared" ca="1" si="1"/>
        <v/>
      </c>
      <c r="L32" s="58" t="str">
        <f t="shared" ca="1" si="1"/>
        <v/>
      </c>
      <c r="P32" s="253"/>
      <c r="Q32" s="253"/>
      <c r="R32" s="253"/>
      <c r="S32" s="253"/>
      <c r="T32" s="253"/>
      <c r="U32" s="253"/>
      <c r="V32" s="253"/>
      <c r="W32" s="253"/>
      <c r="X32" s="253"/>
      <c r="Y32" s="253"/>
      <c r="Z32" s="253"/>
    </row>
    <row r="33" spans="2:26" ht="10.199999999999999" customHeight="1">
      <c r="B33" s="56" t="str">
        <f>IF('Low Stress Type Gasket'!BE38="","",'Low Stress Type Gasket'!BE38)</f>
        <v/>
      </c>
      <c r="C33" s="58" t="str">
        <f t="shared" ca="1" si="1"/>
        <v/>
      </c>
      <c r="D33" s="58" t="str">
        <f t="shared" ca="1" si="1"/>
        <v/>
      </c>
      <c r="E33" s="58" t="str">
        <f t="shared" ca="1" si="1"/>
        <v/>
      </c>
      <c r="F33" s="58" t="str">
        <f t="shared" ca="1" si="1"/>
        <v/>
      </c>
      <c r="G33" s="58" t="str">
        <f t="shared" ca="1" si="1"/>
        <v/>
      </c>
      <c r="H33" s="58" t="str">
        <f t="shared" ca="1" si="1"/>
        <v/>
      </c>
      <c r="I33" s="58" t="str">
        <f t="shared" ca="1" si="1"/>
        <v/>
      </c>
      <c r="J33" s="58" t="str">
        <f t="shared" ca="1" si="1"/>
        <v/>
      </c>
      <c r="K33" s="58" t="str">
        <f t="shared" ca="1" si="1"/>
        <v/>
      </c>
      <c r="L33" s="58" t="str">
        <f t="shared" ca="1" si="1"/>
        <v/>
      </c>
      <c r="P33" s="235"/>
      <c r="Q33" s="235"/>
      <c r="R33" s="235"/>
      <c r="S33" s="235"/>
      <c r="T33" s="235"/>
      <c r="U33" s="235"/>
      <c r="V33" s="235"/>
      <c r="W33" s="235"/>
      <c r="X33" s="235"/>
      <c r="Y33" s="235"/>
      <c r="Z33" s="235"/>
    </row>
    <row r="34" spans="2:26" ht="10.199999999999999" customHeight="1">
      <c r="B34" s="56" t="str">
        <f>IF('Low Stress Type Gasket'!BE39="","",'Low Stress Type Gasket'!BE39)</f>
        <v/>
      </c>
      <c r="C34" s="58" t="str">
        <f t="shared" ca="1" si="1"/>
        <v/>
      </c>
      <c r="D34" s="58" t="str">
        <f t="shared" ca="1" si="1"/>
        <v/>
      </c>
      <c r="E34" s="58" t="str">
        <f t="shared" ca="1" si="1"/>
        <v/>
      </c>
      <c r="F34" s="58" t="str">
        <f t="shared" ca="1" si="1"/>
        <v/>
      </c>
      <c r="G34" s="58" t="str">
        <f t="shared" ca="1" si="1"/>
        <v/>
      </c>
      <c r="H34" s="58" t="str">
        <f t="shared" ca="1" si="1"/>
        <v/>
      </c>
      <c r="I34" s="58" t="str">
        <f t="shared" ca="1" si="1"/>
        <v/>
      </c>
      <c r="J34" s="58" t="str">
        <f t="shared" ca="1" si="1"/>
        <v/>
      </c>
      <c r="K34" s="58" t="str">
        <f t="shared" ca="1" si="1"/>
        <v/>
      </c>
      <c r="L34" s="58" t="str">
        <f t="shared" ca="1" si="1"/>
        <v/>
      </c>
      <c r="P34" s="253"/>
      <c r="Q34" s="253"/>
      <c r="R34" s="253"/>
      <c r="S34" s="253"/>
      <c r="T34" s="253"/>
      <c r="U34" s="253"/>
      <c r="V34" s="253"/>
      <c r="W34" s="253"/>
      <c r="X34" s="253"/>
      <c r="Y34" s="253"/>
      <c r="Z34" s="253"/>
    </row>
    <row r="35" spans="2:26" ht="10.199999999999999" customHeight="1">
      <c r="B35" s="56" t="str">
        <f>IF('Low Stress Type Gasket'!BE40="","",'Low Stress Type Gasket'!BE40)</f>
        <v/>
      </c>
      <c r="C35" s="58" t="str">
        <f t="shared" ca="1" si="1"/>
        <v/>
      </c>
      <c r="D35" s="58" t="str">
        <f t="shared" ca="1" si="1"/>
        <v/>
      </c>
      <c r="E35" s="58" t="str">
        <f t="shared" ca="1" si="1"/>
        <v/>
      </c>
      <c r="F35" s="58" t="str">
        <f t="shared" ca="1" si="1"/>
        <v/>
      </c>
      <c r="G35" s="58" t="str">
        <f t="shared" ca="1" si="1"/>
        <v/>
      </c>
      <c r="H35" s="58" t="str">
        <f t="shared" ca="1" si="1"/>
        <v/>
      </c>
      <c r="I35" s="58" t="str">
        <f t="shared" ca="1" si="1"/>
        <v/>
      </c>
      <c r="J35" s="58" t="str">
        <f t="shared" ca="1" si="1"/>
        <v/>
      </c>
      <c r="K35" s="58" t="str">
        <f t="shared" ca="1" si="1"/>
        <v/>
      </c>
      <c r="L35" s="58" t="str">
        <f t="shared" ca="1" si="1"/>
        <v/>
      </c>
      <c r="P35" s="253"/>
      <c r="Q35" s="253"/>
      <c r="R35" s="253"/>
      <c r="S35" s="253"/>
      <c r="T35" s="253"/>
      <c r="U35" s="253"/>
      <c r="V35" s="253"/>
      <c r="W35" s="253"/>
      <c r="X35" s="253"/>
      <c r="Y35" s="253"/>
      <c r="Z35" s="253"/>
    </row>
    <row r="36" spans="2:26" ht="10.199999999999999" customHeight="1">
      <c r="B36" s="56" t="str">
        <f>IF('Low Stress Type Gasket'!BE41="","",'Low Stress Type Gasket'!BE41)</f>
        <v/>
      </c>
      <c r="C36" s="58" t="str">
        <f t="shared" ca="1" si="1"/>
        <v/>
      </c>
      <c r="D36" s="58" t="str">
        <f t="shared" ca="1" si="1"/>
        <v/>
      </c>
      <c r="E36" s="58" t="str">
        <f t="shared" ca="1" si="1"/>
        <v/>
      </c>
      <c r="F36" s="58" t="str">
        <f t="shared" ca="1" si="1"/>
        <v/>
      </c>
      <c r="G36" s="58" t="str">
        <f t="shared" ca="1" si="1"/>
        <v/>
      </c>
      <c r="H36" s="58" t="str">
        <f t="shared" ca="1" si="1"/>
        <v/>
      </c>
      <c r="I36" s="58" t="str">
        <f t="shared" ca="1" si="1"/>
        <v/>
      </c>
      <c r="J36" s="58" t="str">
        <f t="shared" ca="1" si="1"/>
        <v/>
      </c>
      <c r="K36" s="58" t="str">
        <f t="shared" ca="1" si="1"/>
        <v/>
      </c>
      <c r="L36" s="58" t="str">
        <f t="shared" ca="1" si="1"/>
        <v/>
      </c>
      <c r="P36" s="235"/>
      <c r="Q36" s="235"/>
      <c r="R36" s="235"/>
      <c r="S36" s="235"/>
      <c r="T36" s="235"/>
      <c r="U36" s="235"/>
      <c r="V36" s="235"/>
      <c r="W36" s="235"/>
      <c r="X36" s="235"/>
      <c r="Y36" s="235"/>
      <c r="Z36" s="235"/>
    </row>
    <row r="37" spans="2:26" ht="10.199999999999999" customHeight="1">
      <c r="B37" s="56" t="str">
        <f>IF('Low Stress Type Gasket'!BE42="","",'Low Stress Type Gasket'!BE42)</f>
        <v/>
      </c>
      <c r="C37" s="58" t="str">
        <f t="shared" ca="1" si="1"/>
        <v/>
      </c>
      <c r="D37" s="58" t="str">
        <f t="shared" ca="1" si="1"/>
        <v/>
      </c>
      <c r="E37" s="58" t="str">
        <f t="shared" ca="1" si="1"/>
        <v/>
      </c>
      <c r="F37" s="58" t="str">
        <f t="shared" ca="1" si="1"/>
        <v/>
      </c>
      <c r="G37" s="58" t="str">
        <f t="shared" ca="1" si="1"/>
        <v/>
      </c>
      <c r="H37" s="58" t="str">
        <f t="shared" ca="1" si="1"/>
        <v/>
      </c>
      <c r="I37" s="58" t="str">
        <f t="shared" ca="1" si="1"/>
        <v/>
      </c>
      <c r="J37" s="58" t="str">
        <f t="shared" ca="1" si="1"/>
        <v/>
      </c>
      <c r="K37" s="58" t="str">
        <f t="shared" ca="1" si="1"/>
        <v/>
      </c>
      <c r="L37" s="58" t="str">
        <f t="shared" ca="1" si="1"/>
        <v/>
      </c>
      <c r="P37" s="253"/>
      <c r="Q37" s="253"/>
      <c r="R37" s="253"/>
      <c r="S37" s="253"/>
      <c r="T37" s="253"/>
      <c r="U37" s="253"/>
      <c r="V37" s="253"/>
      <c r="W37" s="253"/>
      <c r="X37" s="253"/>
      <c r="Y37" s="253"/>
      <c r="Z37" s="253"/>
    </row>
    <row r="38" spans="2:26" ht="10.199999999999999" customHeight="1">
      <c r="B38" s="56" t="str">
        <f>IF('Low Stress Type Gasket'!BE43="","",'Low Stress Type Gasket'!BE43)</f>
        <v/>
      </c>
      <c r="C38" s="58" t="str">
        <f t="shared" ref="C38:L53" ca="1" si="2">IF($M$4=0,"",VLOOKUP($B38,INDIRECT("$P$1:$Z$"&amp;$M$4),COLUMN()-1,0))</f>
        <v/>
      </c>
      <c r="D38" s="58" t="str">
        <f t="shared" ca="1" si="2"/>
        <v/>
      </c>
      <c r="E38" s="58" t="str">
        <f t="shared" ca="1" si="2"/>
        <v/>
      </c>
      <c r="F38" s="58" t="str">
        <f t="shared" ca="1" si="2"/>
        <v/>
      </c>
      <c r="G38" s="58" t="str">
        <f t="shared" ca="1" si="2"/>
        <v/>
      </c>
      <c r="H38" s="58" t="str">
        <f t="shared" ca="1" si="2"/>
        <v/>
      </c>
      <c r="I38" s="58" t="str">
        <f t="shared" ca="1" si="2"/>
        <v/>
      </c>
      <c r="J38" s="58" t="str">
        <f t="shared" ca="1" si="2"/>
        <v/>
      </c>
      <c r="K38" s="58" t="str">
        <f t="shared" ca="1" si="2"/>
        <v/>
      </c>
      <c r="L38" s="58" t="str">
        <f t="shared" ca="1" si="2"/>
        <v/>
      </c>
      <c r="P38" s="253"/>
      <c r="Q38" s="253"/>
      <c r="R38" s="253"/>
      <c r="S38" s="253"/>
      <c r="T38" s="253"/>
      <c r="U38" s="253"/>
      <c r="V38" s="253"/>
      <c r="W38" s="253"/>
      <c r="X38" s="253"/>
      <c r="Y38" s="253"/>
      <c r="Z38" s="253"/>
    </row>
    <row r="39" spans="2:26" ht="10.199999999999999" customHeight="1">
      <c r="B39" s="56" t="str">
        <f>IF('Low Stress Type Gasket'!BE44="","",'Low Stress Type Gasket'!BE44)</f>
        <v/>
      </c>
      <c r="C39" s="58" t="str">
        <f t="shared" ca="1" si="2"/>
        <v/>
      </c>
      <c r="D39" s="58" t="str">
        <f t="shared" ca="1" si="2"/>
        <v/>
      </c>
      <c r="E39" s="58" t="str">
        <f t="shared" ca="1" si="2"/>
        <v/>
      </c>
      <c r="F39" s="58" t="str">
        <f t="shared" ca="1" si="2"/>
        <v/>
      </c>
      <c r="G39" s="58" t="str">
        <f t="shared" ca="1" si="2"/>
        <v/>
      </c>
      <c r="H39" s="58" t="str">
        <f t="shared" ca="1" si="2"/>
        <v/>
      </c>
      <c r="I39" s="58" t="str">
        <f t="shared" ca="1" si="2"/>
        <v/>
      </c>
      <c r="J39" s="58" t="str">
        <f t="shared" ca="1" si="2"/>
        <v/>
      </c>
      <c r="K39" s="58" t="str">
        <f t="shared" ca="1" si="2"/>
        <v/>
      </c>
      <c r="L39" s="58" t="str">
        <f t="shared" ca="1" si="2"/>
        <v/>
      </c>
      <c r="P39" s="235"/>
      <c r="Q39" s="235"/>
      <c r="R39" s="235"/>
      <c r="S39" s="235"/>
      <c r="T39" s="235"/>
      <c r="U39" s="235"/>
      <c r="V39" s="235"/>
      <c r="W39" s="235"/>
      <c r="X39" s="235"/>
      <c r="Y39" s="235"/>
      <c r="Z39" s="235"/>
    </row>
    <row r="40" spans="2:26" ht="10.199999999999999" customHeight="1">
      <c r="B40" s="56" t="str">
        <f>IF('Low Stress Type Gasket'!BE45="","",'Low Stress Type Gasket'!BE45)</f>
        <v/>
      </c>
      <c r="C40" s="58" t="str">
        <f t="shared" ca="1" si="2"/>
        <v/>
      </c>
      <c r="D40" s="58" t="str">
        <f t="shared" ca="1" si="2"/>
        <v/>
      </c>
      <c r="E40" s="58" t="str">
        <f t="shared" ca="1" si="2"/>
        <v/>
      </c>
      <c r="F40" s="58" t="str">
        <f t="shared" ca="1" si="2"/>
        <v/>
      </c>
      <c r="G40" s="58" t="str">
        <f t="shared" ca="1" si="2"/>
        <v/>
      </c>
      <c r="H40" s="58" t="str">
        <f t="shared" ca="1" si="2"/>
        <v/>
      </c>
      <c r="I40" s="58" t="str">
        <f t="shared" ca="1" si="2"/>
        <v/>
      </c>
      <c r="J40" s="58" t="str">
        <f t="shared" ca="1" si="2"/>
        <v/>
      </c>
      <c r="K40" s="58" t="str">
        <f t="shared" ca="1" si="2"/>
        <v/>
      </c>
      <c r="L40" s="58" t="str">
        <f t="shared" ca="1" si="2"/>
        <v/>
      </c>
      <c r="P40" s="253"/>
      <c r="Q40" s="253"/>
      <c r="R40" s="253"/>
      <c r="S40" s="253"/>
      <c r="T40" s="253"/>
      <c r="U40" s="253"/>
      <c r="V40" s="253"/>
      <c r="W40" s="253"/>
      <c r="X40" s="253"/>
      <c r="Y40" s="253"/>
      <c r="Z40" s="253"/>
    </row>
    <row r="41" spans="2:26" ht="10.199999999999999" customHeight="1">
      <c r="B41" s="56" t="str">
        <f>IF('Low Stress Type Gasket'!BE46="","",'Low Stress Type Gasket'!BE46)</f>
        <v/>
      </c>
      <c r="C41" s="58" t="str">
        <f t="shared" ca="1" si="2"/>
        <v/>
      </c>
      <c r="D41" s="58" t="str">
        <f t="shared" ca="1" si="2"/>
        <v/>
      </c>
      <c r="E41" s="58" t="str">
        <f t="shared" ca="1" si="2"/>
        <v/>
      </c>
      <c r="F41" s="58" t="str">
        <f t="shared" ca="1" si="2"/>
        <v/>
      </c>
      <c r="G41" s="58" t="str">
        <f t="shared" ca="1" si="2"/>
        <v/>
      </c>
      <c r="H41" s="58" t="str">
        <f t="shared" ca="1" si="2"/>
        <v/>
      </c>
      <c r="I41" s="58" t="str">
        <f t="shared" ca="1" si="2"/>
        <v/>
      </c>
      <c r="J41" s="58" t="str">
        <f t="shared" ca="1" si="2"/>
        <v/>
      </c>
      <c r="K41" s="58" t="str">
        <f t="shared" ca="1" si="2"/>
        <v/>
      </c>
      <c r="L41" s="58" t="str">
        <f t="shared" ca="1" si="2"/>
        <v/>
      </c>
      <c r="P41" s="253"/>
      <c r="Q41" s="253"/>
      <c r="R41" s="253"/>
      <c r="S41" s="253"/>
      <c r="T41" s="253"/>
      <c r="U41" s="253"/>
      <c r="V41" s="253"/>
      <c r="W41" s="253"/>
      <c r="X41" s="253"/>
      <c r="Y41" s="253"/>
      <c r="Z41" s="253"/>
    </row>
    <row r="42" spans="2:26" ht="10.199999999999999" customHeight="1">
      <c r="B42" s="56" t="str">
        <f>IF('Low Stress Type Gasket'!BE47="","",'Low Stress Type Gasket'!BE47)</f>
        <v/>
      </c>
      <c r="C42" s="58" t="str">
        <f t="shared" ca="1" si="2"/>
        <v/>
      </c>
      <c r="D42" s="58" t="str">
        <f t="shared" ca="1" si="2"/>
        <v/>
      </c>
      <c r="E42" s="58" t="str">
        <f t="shared" ca="1" si="2"/>
        <v/>
      </c>
      <c r="F42" s="58" t="str">
        <f t="shared" ca="1" si="2"/>
        <v/>
      </c>
      <c r="G42" s="58" t="str">
        <f t="shared" ca="1" si="2"/>
        <v/>
      </c>
      <c r="H42" s="58" t="str">
        <f t="shared" ca="1" si="2"/>
        <v/>
      </c>
      <c r="I42" s="58" t="str">
        <f t="shared" ca="1" si="2"/>
        <v/>
      </c>
      <c r="J42" s="58" t="str">
        <f t="shared" ca="1" si="2"/>
        <v/>
      </c>
      <c r="K42" s="58" t="str">
        <f t="shared" ca="1" si="2"/>
        <v/>
      </c>
      <c r="L42" s="58" t="str">
        <f t="shared" ca="1" si="2"/>
        <v/>
      </c>
      <c r="P42" s="235"/>
      <c r="Q42" s="235"/>
      <c r="R42" s="235"/>
      <c r="S42" s="235"/>
      <c r="T42" s="235"/>
      <c r="U42" s="235"/>
      <c r="V42" s="235"/>
      <c r="W42" s="235"/>
      <c r="X42" s="235"/>
      <c r="Y42" s="235"/>
      <c r="Z42" s="235"/>
    </row>
    <row r="43" spans="2:26" ht="10.199999999999999" customHeight="1">
      <c r="B43" s="56" t="str">
        <f>IF('Low Stress Type Gasket'!BE48="","",'Low Stress Type Gasket'!BE48)</f>
        <v/>
      </c>
      <c r="C43" s="58" t="str">
        <f t="shared" ca="1" si="2"/>
        <v/>
      </c>
      <c r="D43" s="58" t="str">
        <f t="shared" ca="1" si="2"/>
        <v/>
      </c>
      <c r="E43" s="58" t="str">
        <f t="shared" ca="1" si="2"/>
        <v/>
      </c>
      <c r="F43" s="58" t="str">
        <f t="shared" ca="1" si="2"/>
        <v/>
      </c>
      <c r="G43" s="58" t="str">
        <f t="shared" ca="1" si="2"/>
        <v/>
      </c>
      <c r="H43" s="58" t="str">
        <f t="shared" ca="1" si="2"/>
        <v/>
      </c>
      <c r="I43" s="58" t="str">
        <f t="shared" ca="1" si="2"/>
        <v/>
      </c>
      <c r="J43" s="58" t="str">
        <f t="shared" ca="1" si="2"/>
        <v/>
      </c>
      <c r="K43" s="58" t="str">
        <f t="shared" ca="1" si="2"/>
        <v/>
      </c>
      <c r="L43" s="58" t="str">
        <f t="shared" ca="1" si="2"/>
        <v/>
      </c>
      <c r="P43" s="253"/>
      <c r="Q43" s="253"/>
      <c r="R43" s="253"/>
      <c r="S43" s="253"/>
      <c r="T43" s="253"/>
      <c r="U43" s="253"/>
      <c r="V43" s="253"/>
      <c r="W43" s="253"/>
      <c r="X43" s="253"/>
      <c r="Y43" s="253"/>
      <c r="Z43" s="253"/>
    </row>
    <row r="44" spans="2:26" ht="10.199999999999999" customHeight="1">
      <c r="B44" s="56" t="str">
        <f>IF('Low Stress Type Gasket'!BE49="","",'Low Stress Type Gasket'!BE49)</f>
        <v/>
      </c>
      <c r="C44" s="58" t="str">
        <f t="shared" ca="1" si="2"/>
        <v/>
      </c>
      <c r="D44" s="58" t="str">
        <f t="shared" ca="1" si="2"/>
        <v/>
      </c>
      <c r="E44" s="58" t="str">
        <f t="shared" ca="1" si="2"/>
        <v/>
      </c>
      <c r="F44" s="58" t="str">
        <f t="shared" ca="1" si="2"/>
        <v/>
      </c>
      <c r="G44" s="58" t="str">
        <f t="shared" ca="1" si="2"/>
        <v/>
      </c>
      <c r="H44" s="58" t="str">
        <f t="shared" ca="1" si="2"/>
        <v/>
      </c>
      <c r="I44" s="58" t="str">
        <f t="shared" ca="1" si="2"/>
        <v/>
      </c>
      <c r="J44" s="58" t="str">
        <f t="shared" ca="1" si="2"/>
        <v/>
      </c>
      <c r="K44" s="58" t="str">
        <f t="shared" ca="1" si="2"/>
        <v/>
      </c>
      <c r="L44" s="58" t="str">
        <f t="shared" ca="1" si="2"/>
        <v/>
      </c>
      <c r="P44" s="253"/>
      <c r="Q44" s="253"/>
      <c r="R44" s="253"/>
      <c r="S44" s="253"/>
      <c r="T44" s="253"/>
      <c r="U44" s="253"/>
      <c r="V44" s="253"/>
      <c r="W44" s="253"/>
      <c r="X44" s="253"/>
      <c r="Y44" s="253"/>
      <c r="Z44" s="253"/>
    </row>
    <row r="45" spans="2:26" ht="10.199999999999999" customHeight="1">
      <c r="B45" s="56" t="str">
        <f>IF('Low Stress Type Gasket'!BE50="","",'Low Stress Type Gasket'!BE50)</f>
        <v/>
      </c>
      <c r="C45" s="58" t="str">
        <f t="shared" ca="1" si="2"/>
        <v/>
      </c>
      <c r="D45" s="58" t="str">
        <f t="shared" ca="1" si="2"/>
        <v/>
      </c>
      <c r="E45" s="58" t="str">
        <f t="shared" ca="1" si="2"/>
        <v/>
      </c>
      <c r="F45" s="58" t="str">
        <f t="shared" ca="1" si="2"/>
        <v/>
      </c>
      <c r="G45" s="58" t="str">
        <f t="shared" ca="1" si="2"/>
        <v/>
      </c>
      <c r="H45" s="58" t="str">
        <f t="shared" ca="1" si="2"/>
        <v/>
      </c>
      <c r="I45" s="58" t="str">
        <f t="shared" ca="1" si="2"/>
        <v/>
      </c>
      <c r="J45" s="58" t="str">
        <f t="shared" ca="1" si="2"/>
        <v/>
      </c>
      <c r="K45" s="58" t="str">
        <f t="shared" ca="1" si="2"/>
        <v/>
      </c>
      <c r="L45" s="58" t="str">
        <f t="shared" ca="1" si="2"/>
        <v/>
      </c>
      <c r="P45" s="235"/>
      <c r="Q45" s="235"/>
      <c r="R45" s="235"/>
      <c r="S45" s="235"/>
      <c r="T45" s="235"/>
      <c r="U45" s="235"/>
      <c r="V45" s="235"/>
      <c r="W45" s="235"/>
      <c r="X45" s="235"/>
      <c r="Y45" s="235"/>
      <c r="Z45" s="235"/>
    </row>
    <row r="46" spans="2:26" ht="10.199999999999999" customHeight="1">
      <c r="B46" s="56" t="str">
        <f>IF('Low Stress Type Gasket'!BE51="","",'Low Stress Type Gasket'!BE51)</f>
        <v/>
      </c>
      <c r="C46" s="58" t="str">
        <f t="shared" ca="1" si="2"/>
        <v/>
      </c>
      <c r="D46" s="58" t="str">
        <f t="shared" ca="1" si="2"/>
        <v/>
      </c>
      <c r="E46" s="58" t="str">
        <f t="shared" ca="1" si="2"/>
        <v/>
      </c>
      <c r="F46" s="58" t="str">
        <f t="shared" ca="1" si="2"/>
        <v/>
      </c>
      <c r="G46" s="58" t="str">
        <f t="shared" ca="1" si="2"/>
        <v/>
      </c>
      <c r="H46" s="58" t="str">
        <f t="shared" ca="1" si="2"/>
        <v/>
      </c>
      <c r="I46" s="58" t="str">
        <f t="shared" ca="1" si="2"/>
        <v/>
      </c>
      <c r="J46" s="58" t="str">
        <f t="shared" ca="1" si="2"/>
        <v/>
      </c>
      <c r="K46" s="58" t="str">
        <f t="shared" ca="1" si="2"/>
        <v/>
      </c>
      <c r="L46" s="58" t="str">
        <f t="shared" ca="1" si="2"/>
        <v/>
      </c>
      <c r="P46" s="253"/>
      <c r="Q46" s="253"/>
      <c r="R46" s="253"/>
      <c r="S46" s="253"/>
      <c r="T46" s="253"/>
      <c r="U46" s="253"/>
      <c r="V46" s="253"/>
      <c r="W46" s="253"/>
      <c r="X46" s="253"/>
      <c r="Y46" s="253"/>
      <c r="Z46" s="253"/>
    </row>
    <row r="47" spans="2:26" ht="10.199999999999999" customHeight="1">
      <c r="B47" s="56" t="str">
        <f>IF('Low Stress Type Gasket'!BE52="","",'Low Stress Type Gasket'!BE52)</f>
        <v/>
      </c>
      <c r="C47" s="58" t="str">
        <f t="shared" ca="1" si="2"/>
        <v/>
      </c>
      <c r="D47" s="58" t="str">
        <f t="shared" ca="1" si="2"/>
        <v/>
      </c>
      <c r="E47" s="58" t="str">
        <f t="shared" ca="1" si="2"/>
        <v/>
      </c>
      <c r="F47" s="58" t="str">
        <f t="shared" ca="1" si="2"/>
        <v/>
      </c>
      <c r="G47" s="58" t="str">
        <f t="shared" ca="1" si="2"/>
        <v/>
      </c>
      <c r="H47" s="58" t="str">
        <f t="shared" ca="1" si="2"/>
        <v/>
      </c>
      <c r="I47" s="58" t="str">
        <f t="shared" ca="1" si="2"/>
        <v/>
      </c>
      <c r="J47" s="58" t="str">
        <f t="shared" ca="1" si="2"/>
        <v/>
      </c>
      <c r="K47" s="58" t="str">
        <f t="shared" ca="1" si="2"/>
        <v/>
      </c>
      <c r="L47" s="58" t="str">
        <f t="shared" ca="1" si="2"/>
        <v/>
      </c>
      <c r="P47" s="253"/>
      <c r="Q47" s="253"/>
      <c r="R47" s="253"/>
      <c r="S47" s="253"/>
      <c r="T47" s="253"/>
      <c r="U47" s="253"/>
      <c r="V47" s="253"/>
      <c r="W47" s="253"/>
      <c r="X47" s="253"/>
      <c r="Y47" s="253"/>
      <c r="Z47" s="253"/>
    </row>
    <row r="48" spans="2:26" ht="10.199999999999999" customHeight="1">
      <c r="B48" s="56" t="str">
        <f>IF('Low Stress Type Gasket'!BE53="","",'Low Stress Type Gasket'!BE53)</f>
        <v/>
      </c>
      <c r="C48" s="58" t="str">
        <f t="shared" ca="1" si="2"/>
        <v/>
      </c>
      <c r="D48" s="58" t="str">
        <f t="shared" ca="1" si="2"/>
        <v/>
      </c>
      <c r="E48" s="58" t="str">
        <f t="shared" ca="1" si="2"/>
        <v/>
      </c>
      <c r="F48" s="58" t="str">
        <f t="shared" ca="1" si="2"/>
        <v/>
      </c>
      <c r="G48" s="58" t="str">
        <f t="shared" ca="1" si="2"/>
        <v/>
      </c>
      <c r="H48" s="58" t="str">
        <f t="shared" ca="1" si="2"/>
        <v/>
      </c>
      <c r="I48" s="58" t="str">
        <f t="shared" ca="1" si="2"/>
        <v/>
      </c>
      <c r="J48" s="58" t="str">
        <f t="shared" ca="1" si="2"/>
        <v/>
      </c>
      <c r="K48" s="58" t="str">
        <f t="shared" ca="1" si="2"/>
        <v/>
      </c>
      <c r="L48" s="58" t="str">
        <f t="shared" ca="1" si="2"/>
        <v/>
      </c>
      <c r="P48" s="235"/>
      <c r="Q48" s="235"/>
      <c r="R48" s="235"/>
      <c r="S48" s="235"/>
      <c r="T48" s="235"/>
      <c r="U48" s="235"/>
      <c r="V48" s="235"/>
      <c r="W48" s="235"/>
      <c r="X48" s="235"/>
      <c r="Y48" s="235"/>
      <c r="Z48" s="235"/>
    </row>
    <row r="49" spans="2:26" ht="10.199999999999999" customHeight="1">
      <c r="B49" s="56" t="str">
        <f>IF('Low Stress Type Gasket'!BE54="","",'Low Stress Type Gasket'!BE54)</f>
        <v/>
      </c>
      <c r="C49" s="58" t="str">
        <f t="shared" ca="1" si="2"/>
        <v/>
      </c>
      <c r="D49" s="58" t="str">
        <f t="shared" ca="1" si="2"/>
        <v/>
      </c>
      <c r="E49" s="58" t="str">
        <f t="shared" ca="1" si="2"/>
        <v/>
      </c>
      <c r="F49" s="58" t="str">
        <f t="shared" ca="1" si="2"/>
        <v/>
      </c>
      <c r="G49" s="58" t="str">
        <f t="shared" ca="1" si="2"/>
        <v/>
      </c>
      <c r="H49" s="58" t="str">
        <f t="shared" ca="1" si="2"/>
        <v/>
      </c>
      <c r="I49" s="58" t="str">
        <f t="shared" ca="1" si="2"/>
        <v/>
      </c>
      <c r="J49" s="58" t="str">
        <f t="shared" ca="1" si="2"/>
        <v/>
      </c>
      <c r="K49" s="58" t="str">
        <f t="shared" ca="1" si="2"/>
        <v/>
      </c>
      <c r="L49" s="58" t="str">
        <f t="shared" ca="1" si="2"/>
        <v/>
      </c>
      <c r="P49" s="253"/>
      <c r="Q49" s="253"/>
      <c r="R49" s="253"/>
      <c r="S49" s="253"/>
      <c r="T49" s="253"/>
      <c r="U49" s="253"/>
      <c r="V49" s="253"/>
      <c r="W49" s="253"/>
      <c r="X49" s="253"/>
      <c r="Y49" s="253"/>
      <c r="Z49" s="253"/>
    </row>
    <row r="50" spans="2:26" ht="10.199999999999999" customHeight="1">
      <c r="B50" s="56" t="str">
        <f>IF('Low Stress Type Gasket'!BE55="","",'Low Stress Type Gasket'!BE55)</f>
        <v/>
      </c>
      <c r="C50" s="58" t="str">
        <f t="shared" ca="1" si="2"/>
        <v/>
      </c>
      <c r="D50" s="58" t="str">
        <f t="shared" ca="1" si="2"/>
        <v/>
      </c>
      <c r="E50" s="58" t="str">
        <f t="shared" ca="1" si="2"/>
        <v/>
      </c>
      <c r="F50" s="58" t="str">
        <f t="shared" ca="1" si="2"/>
        <v/>
      </c>
      <c r="G50" s="58" t="str">
        <f t="shared" ca="1" si="2"/>
        <v/>
      </c>
      <c r="H50" s="58" t="str">
        <f t="shared" ca="1" si="2"/>
        <v/>
      </c>
      <c r="I50" s="58" t="str">
        <f t="shared" ca="1" si="2"/>
        <v/>
      </c>
      <c r="J50" s="58" t="str">
        <f t="shared" ca="1" si="2"/>
        <v/>
      </c>
      <c r="K50" s="58" t="str">
        <f t="shared" ca="1" si="2"/>
        <v/>
      </c>
      <c r="L50" s="58" t="str">
        <f t="shared" ca="1" si="2"/>
        <v/>
      </c>
      <c r="P50" s="253"/>
      <c r="Q50" s="253"/>
      <c r="R50" s="253"/>
      <c r="S50" s="253"/>
      <c r="T50" s="253"/>
      <c r="U50" s="253"/>
      <c r="V50" s="253"/>
      <c r="W50" s="253"/>
      <c r="X50" s="253"/>
      <c r="Y50" s="253"/>
      <c r="Z50" s="253"/>
    </row>
    <row r="51" spans="2:26" ht="10.199999999999999" customHeight="1">
      <c r="B51" s="56" t="str">
        <f>IF('Low Stress Type Gasket'!BE56="","",'Low Stress Type Gasket'!BE56)</f>
        <v/>
      </c>
      <c r="C51" s="58" t="str">
        <f t="shared" ca="1" si="2"/>
        <v/>
      </c>
      <c r="D51" s="58" t="str">
        <f t="shared" ca="1" si="2"/>
        <v/>
      </c>
      <c r="E51" s="58" t="str">
        <f t="shared" ca="1" si="2"/>
        <v/>
      </c>
      <c r="F51" s="58" t="str">
        <f t="shared" ca="1" si="2"/>
        <v/>
      </c>
      <c r="G51" s="58" t="str">
        <f t="shared" ca="1" si="2"/>
        <v/>
      </c>
      <c r="H51" s="58" t="str">
        <f t="shared" ca="1" si="2"/>
        <v/>
      </c>
      <c r="I51" s="58" t="str">
        <f t="shared" ca="1" si="2"/>
        <v/>
      </c>
      <c r="J51" s="58" t="str">
        <f t="shared" ca="1" si="2"/>
        <v/>
      </c>
      <c r="K51" s="58" t="str">
        <f t="shared" ca="1" si="2"/>
        <v/>
      </c>
      <c r="L51" s="58" t="str">
        <f t="shared" ca="1" si="2"/>
        <v/>
      </c>
      <c r="P51" s="235"/>
      <c r="Q51" s="235"/>
      <c r="R51" s="235"/>
      <c r="S51" s="235"/>
      <c r="T51" s="235"/>
      <c r="U51" s="235"/>
      <c r="V51" s="235"/>
      <c r="W51" s="235"/>
      <c r="X51" s="235"/>
      <c r="Y51" s="235"/>
      <c r="Z51" s="235"/>
    </row>
    <row r="52" spans="2:26" ht="10.199999999999999" customHeight="1">
      <c r="B52" s="56" t="str">
        <f>IF('Low Stress Type Gasket'!BE57="","",'Low Stress Type Gasket'!BE57)</f>
        <v/>
      </c>
      <c r="C52" s="58" t="str">
        <f t="shared" ca="1" si="2"/>
        <v/>
      </c>
      <c r="D52" s="58" t="str">
        <f t="shared" ca="1" si="2"/>
        <v/>
      </c>
      <c r="E52" s="58" t="str">
        <f t="shared" ca="1" si="2"/>
        <v/>
      </c>
      <c r="F52" s="58" t="str">
        <f t="shared" ca="1" si="2"/>
        <v/>
      </c>
      <c r="G52" s="58" t="str">
        <f t="shared" ca="1" si="2"/>
        <v/>
      </c>
      <c r="H52" s="58" t="str">
        <f t="shared" ca="1" si="2"/>
        <v/>
      </c>
      <c r="I52" s="58" t="str">
        <f t="shared" ca="1" si="2"/>
        <v/>
      </c>
      <c r="J52" s="58" t="str">
        <f t="shared" ca="1" si="2"/>
        <v/>
      </c>
      <c r="K52" s="58" t="str">
        <f t="shared" ca="1" si="2"/>
        <v/>
      </c>
      <c r="L52" s="58" t="str">
        <f t="shared" ca="1" si="2"/>
        <v/>
      </c>
      <c r="P52" s="253"/>
      <c r="Q52" s="253"/>
      <c r="R52" s="253"/>
      <c r="S52" s="253"/>
      <c r="T52" s="253"/>
      <c r="U52" s="253"/>
      <c r="V52" s="253"/>
      <c r="W52" s="253"/>
      <c r="X52" s="253"/>
      <c r="Y52" s="253"/>
      <c r="Z52" s="253"/>
    </row>
    <row r="53" spans="2:26" ht="10.199999999999999" customHeight="1">
      <c r="B53" s="56" t="str">
        <f>IF('Low Stress Type Gasket'!BE58="","",'Low Stress Type Gasket'!BE58)</f>
        <v/>
      </c>
      <c r="C53" s="58" t="str">
        <f t="shared" ca="1" si="2"/>
        <v/>
      </c>
      <c r="D53" s="58" t="str">
        <f t="shared" ca="1" si="2"/>
        <v/>
      </c>
      <c r="E53" s="58" t="str">
        <f t="shared" ca="1" si="2"/>
        <v/>
      </c>
      <c r="F53" s="58" t="str">
        <f t="shared" ca="1" si="2"/>
        <v/>
      </c>
      <c r="G53" s="58" t="str">
        <f t="shared" ca="1" si="2"/>
        <v/>
      </c>
      <c r="H53" s="58" t="str">
        <f t="shared" ca="1" si="2"/>
        <v/>
      </c>
      <c r="I53" s="58" t="str">
        <f t="shared" ca="1" si="2"/>
        <v/>
      </c>
      <c r="J53" s="58" t="str">
        <f t="shared" ca="1" si="2"/>
        <v/>
      </c>
      <c r="K53" s="58" t="str">
        <f t="shared" ca="1" si="2"/>
        <v/>
      </c>
      <c r="L53" s="58" t="str">
        <f t="shared" ca="1" si="2"/>
        <v/>
      </c>
      <c r="P53" s="253"/>
      <c r="Q53" s="253"/>
      <c r="R53" s="253"/>
      <c r="S53" s="253"/>
      <c r="T53" s="253"/>
      <c r="U53" s="253"/>
      <c r="V53" s="253"/>
      <c r="W53" s="253"/>
      <c r="X53" s="253"/>
      <c r="Y53" s="253"/>
      <c r="Z53" s="253"/>
    </row>
    <row r="54" spans="2:26" ht="10.199999999999999" customHeight="1">
      <c r="B54" s="56" t="str">
        <f>IF('Low Stress Type Gasket'!BE59="","",'Low Stress Type Gasket'!BE59)</f>
        <v/>
      </c>
      <c r="C54" s="58" t="str">
        <f t="shared" ref="C54:L55" ca="1" si="3">IF($M$4=0,"",VLOOKUP($B54,INDIRECT("$P$1:$Z$"&amp;$M$4),COLUMN()-1,0))</f>
        <v/>
      </c>
      <c r="D54" s="58" t="str">
        <f t="shared" ca="1" si="3"/>
        <v/>
      </c>
      <c r="E54" s="58" t="str">
        <f t="shared" ca="1" si="3"/>
        <v/>
      </c>
      <c r="F54" s="58" t="str">
        <f t="shared" ca="1" si="3"/>
        <v/>
      </c>
      <c r="G54" s="58" t="str">
        <f t="shared" ca="1" si="3"/>
        <v/>
      </c>
      <c r="H54" s="58" t="str">
        <f t="shared" ca="1" si="3"/>
        <v/>
      </c>
      <c r="I54" s="58" t="str">
        <f t="shared" ca="1" si="3"/>
        <v/>
      </c>
      <c r="J54" s="58" t="str">
        <f t="shared" ca="1" si="3"/>
        <v/>
      </c>
      <c r="K54" s="58" t="str">
        <f t="shared" ca="1" si="3"/>
        <v/>
      </c>
      <c r="L54" s="58" t="str">
        <f t="shared" ca="1" si="3"/>
        <v/>
      </c>
      <c r="P54" s="235"/>
      <c r="Q54" s="235"/>
      <c r="R54" s="235"/>
      <c r="S54" s="235"/>
      <c r="T54" s="235"/>
      <c r="U54" s="235"/>
      <c r="V54" s="235"/>
      <c r="W54" s="235"/>
      <c r="X54" s="235"/>
      <c r="Y54" s="235"/>
      <c r="Z54" s="235"/>
    </row>
    <row r="55" spans="2:26" ht="10.199999999999999" customHeight="1">
      <c r="B55" s="56" t="str">
        <f>IF('Low Stress Type Gasket'!BE60="","",'Low Stress Type Gasket'!BE60)</f>
        <v/>
      </c>
      <c r="C55" s="58" t="str">
        <f t="shared" ca="1" si="3"/>
        <v/>
      </c>
      <c r="D55" s="58" t="str">
        <f t="shared" ca="1" si="3"/>
        <v/>
      </c>
      <c r="E55" s="58" t="str">
        <f t="shared" ca="1" si="3"/>
        <v/>
      </c>
      <c r="F55" s="58" t="str">
        <f t="shared" ca="1" si="3"/>
        <v/>
      </c>
      <c r="G55" s="58" t="str">
        <f t="shared" ca="1" si="3"/>
        <v/>
      </c>
      <c r="H55" s="58" t="str">
        <f t="shared" ca="1" si="3"/>
        <v/>
      </c>
      <c r="I55" s="58" t="str">
        <f t="shared" ca="1" si="3"/>
        <v/>
      </c>
      <c r="J55" s="58" t="str">
        <f t="shared" ca="1" si="3"/>
        <v/>
      </c>
      <c r="K55" s="58" t="str">
        <f t="shared" ca="1" si="3"/>
        <v/>
      </c>
      <c r="L55" s="58" t="str">
        <f t="shared" ca="1" si="3"/>
        <v/>
      </c>
      <c r="P55" s="253"/>
      <c r="Q55" s="253"/>
      <c r="R55" s="253"/>
      <c r="S55" s="253"/>
      <c r="T55" s="253"/>
      <c r="U55" s="253"/>
      <c r="V55" s="253"/>
      <c r="W55" s="253"/>
      <c r="X55" s="253"/>
      <c r="Y55" s="253"/>
      <c r="Z55" s="253"/>
    </row>
    <row r="56" spans="2:26" ht="10.199999999999999" customHeight="1">
      <c r="P56" s="253"/>
      <c r="Q56" s="253"/>
      <c r="R56" s="253"/>
      <c r="S56" s="253"/>
      <c r="T56" s="253"/>
      <c r="U56" s="253"/>
      <c r="V56" s="253"/>
      <c r="W56" s="253"/>
      <c r="X56" s="253"/>
      <c r="Y56" s="253"/>
      <c r="Z56" s="253"/>
    </row>
    <row r="57" spans="2:26" ht="10.199999999999999" customHeight="1">
      <c r="P57" s="235"/>
      <c r="Q57" s="235"/>
      <c r="R57" s="235"/>
      <c r="S57" s="235"/>
      <c r="T57" s="235"/>
      <c r="U57" s="235"/>
      <c r="V57" s="235"/>
      <c r="W57" s="235"/>
      <c r="X57" s="235"/>
      <c r="Y57" s="235"/>
      <c r="Z57" s="235"/>
    </row>
    <row r="58" spans="2:26" ht="10.199999999999999" customHeight="1">
      <c r="P58" s="253"/>
      <c r="Q58" s="253"/>
      <c r="R58" s="253"/>
      <c r="S58" s="253"/>
      <c r="T58" s="253"/>
      <c r="U58" s="253"/>
      <c r="V58" s="253"/>
      <c r="W58" s="253"/>
      <c r="X58" s="253"/>
      <c r="Y58" s="253"/>
      <c r="Z58" s="253"/>
    </row>
    <row r="59" spans="2:26" ht="10.199999999999999" customHeight="1">
      <c r="P59" s="253"/>
      <c r="Q59" s="253"/>
      <c r="R59" s="253"/>
      <c r="S59" s="253"/>
      <c r="T59" s="253"/>
      <c r="U59" s="253"/>
      <c r="V59" s="253"/>
      <c r="W59" s="253"/>
      <c r="X59" s="253"/>
      <c r="Y59" s="253"/>
      <c r="Z59" s="253"/>
    </row>
    <row r="60" spans="2:26" ht="10.199999999999999" customHeight="1">
      <c r="P60" s="235"/>
      <c r="Q60" s="235"/>
      <c r="R60" s="235"/>
      <c r="S60" s="235"/>
      <c r="T60" s="235"/>
      <c r="U60" s="235"/>
      <c r="V60" s="235"/>
      <c r="W60" s="235"/>
      <c r="X60" s="235"/>
      <c r="Y60" s="235"/>
      <c r="Z60" s="235"/>
    </row>
    <row r="61" spans="2:26" ht="10.199999999999999" customHeight="1">
      <c r="P61" s="253"/>
      <c r="Q61" s="253"/>
      <c r="R61" s="253"/>
      <c r="S61" s="253"/>
      <c r="T61" s="253"/>
      <c r="U61" s="253"/>
      <c r="V61" s="253"/>
      <c r="W61" s="253"/>
      <c r="X61" s="253"/>
      <c r="Y61" s="253"/>
      <c r="Z61" s="253"/>
    </row>
    <row r="62" spans="2:26" ht="10.199999999999999" customHeight="1">
      <c r="P62" s="253"/>
      <c r="Q62" s="253"/>
      <c r="R62" s="253"/>
      <c r="S62" s="253"/>
      <c r="T62" s="253"/>
      <c r="U62" s="253"/>
      <c r="V62" s="253"/>
      <c r="W62" s="253"/>
      <c r="X62" s="253"/>
      <c r="Y62" s="253"/>
      <c r="Z62" s="253"/>
    </row>
    <row r="63" spans="2:26" ht="10.199999999999999" customHeight="1">
      <c r="P63" s="235"/>
      <c r="Q63" s="235"/>
      <c r="R63" s="235"/>
      <c r="S63" s="235"/>
      <c r="T63" s="235"/>
      <c r="U63" s="235"/>
      <c r="V63" s="235"/>
      <c r="W63" s="235"/>
      <c r="X63" s="235"/>
      <c r="Y63" s="235"/>
      <c r="Z63" s="235"/>
    </row>
    <row r="64" spans="2:26" ht="10.199999999999999" customHeight="1">
      <c r="P64" s="253"/>
      <c r="Q64" s="253"/>
      <c r="R64" s="253"/>
      <c r="S64" s="253"/>
      <c r="T64" s="253"/>
      <c r="U64" s="253"/>
      <c r="V64" s="253"/>
      <c r="W64" s="253"/>
      <c r="X64" s="253"/>
      <c r="Y64" s="253"/>
      <c r="Z64" s="253"/>
    </row>
    <row r="65" spans="16:26" ht="10.199999999999999" customHeight="1">
      <c r="P65" s="253"/>
      <c r="Q65" s="253"/>
      <c r="R65" s="253"/>
      <c r="S65" s="253"/>
      <c r="T65" s="253"/>
      <c r="U65" s="253"/>
      <c r="V65" s="253"/>
      <c r="W65" s="253"/>
      <c r="X65" s="253"/>
      <c r="Y65" s="253"/>
      <c r="Z65" s="253"/>
    </row>
    <row r="66" spans="16:26" ht="10.199999999999999" customHeight="1">
      <c r="P66" s="235"/>
      <c r="Q66" s="235"/>
      <c r="R66" s="235"/>
      <c r="S66" s="235"/>
      <c r="T66" s="235"/>
      <c r="U66" s="235"/>
      <c r="V66" s="235"/>
      <c r="W66" s="235"/>
      <c r="X66" s="235"/>
      <c r="Y66" s="235"/>
      <c r="Z66" s="235"/>
    </row>
    <row r="67" spans="16:26" ht="10.199999999999999" customHeight="1">
      <c r="P67" s="253"/>
      <c r="Q67" s="253"/>
      <c r="R67" s="253"/>
      <c r="S67" s="253"/>
      <c r="T67" s="253"/>
      <c r="U67" s="253"/>
      <c r="V67" s="253"/>
      <c r="W67" s="253"/>
      <c r="X67" s="253"/>
      <c r="Y67" s="253"/>
      <c r="Z67" s="253"/>
    </row>
    <row r="68" spans="16:26" ht="10.199999999999999" customHeight="1">
      <c r="P68" s="253"/>
      <c r="Q68" s="253"/>
      <c r="R68" s="253"/>
      <c r="S68" s="253"/>
      <c r="T68" s="253"/>
      <c r="U68" s="253"/>
      <c r="V68" s="253"/>
      <c r="W68" s="253"/>
      <c r="X68" s="253"/>
      <c r="Y68" s="253"/>
      <c r="Z68" s="253"/>
    </row>
    <row r="69" spans="16:26" ht="10.199999999999999" customHeight="1">
      <c r="P69" s="235"/>
      <c r="Q69" s="235"/>
      <c r="R69" s="235"/>
      <c r="S69" s="235"/>
      <c r="T69" s="235"/>
      <c r="U69" s="235"/>
      <c r="V69" s="235"/>
      <c r="W69" s="235"/>
      <c r="X69" s="235"/>
      <c r="Y69" s="235"/>
      <c r="Z69" s="235"/>
    </row>
    <row r="70" spans="16:26" ht="10.199999999999999" customHeight="1">
      <c r="P70" s="253"/>
      <c r="Q70" s="253"/>
      <c r="R70" s="253"/>
      <c r="S70" s="253"/>
      <c r="T70" s="253"/>
      <c r="U70" s="253"/>
      <c r="V70" s="253"/>
      <c r="W70" s="253"/>
      <c r="X70" s="253"/>
      <c r="Y70" s="253"/>
      <c r="Z70" s="253"/>
    </row>
    <row r="71" spans="16:26" ht="10.199999999999999" customHeight="1">
      <c r="P71" s="253"/>
      <c r="Q71" s="253"/>
      <c r="R71" s="253"/>
      <c r="S71" s="253"/>
      <c r="T71" s="253"/>
      <c r="U71" s="253"/>
      <c r="V71" s="253"/>
      <c r="W71" s="253"/>
      <c r="X71" s="253"/>
      <c r="Y71" s="253"/>
      <c r="Z71" s="253"/>
    </row>
    <row r="72" spans="16:26" ht="10.199999999999999" customHeight="1">
      <c r="P72" s="235"/>
      <c r="Q72" s="235"/>
      <c r="R72" s="235"/>
      <c r="S72" s="235"/>
      <c r="T72" s="235"/>
      <c r="U72" s="235"/>
      <c r="V72" s="235"/>
      <c r="W72" s="235"/>
      <c r="X72" s="235"/>
      <c r="Y72" s="235"/>
      <c r="Z72" s="235"/>
    </row>
    <row r="73" spans="16:26" ht="10.199999999999999" customHeight="1">
      <c r="P73" s="253"/>
      <c r="Q73" s="253"/>
      <c r="R73" s="253"/>
      <c r="S73" s="253"/>
      <c r="T73" s="253"/>
      <c r="U73" s="253"/>
      <c r="V73" s="253"/>
      <c r="W73" s="253"/>
      <c r="X73" s="253"/>
      <c r="Y73" s="253"/>
      <c r="Z73" s="253"/>
    </row>
    <row r="74" spans="16:26" ht="10.199999999999999" customHeight="1">
      <c r="P74" s="253"/>
      <c r="Q74" s="253"/>
      <c r="R74" s="253"/>
      <c r="S74" s="253"/>
      <c r="T74" s="253"/>
      <c r="U74" s="253"/>
      <c r="V74" s="253"/>
      <c r="W74" s="253"/>
      <c r="X74" s="253"/>
      <c r="Y74" s="253"/>
      <c r="Z74" s="253"/>
    </row>
    <row r="75" spans="16:26" ht="10.199999999999999" customHeight="1">
      <c r="P75" s="235"/>
      <c r="Q75" s="235"/>
      <c r="R75" s="235"/>
      <c r="S75" s="235"/>
      <c r="T75" s="235"/>
      <c r="U75" s="235"/>
      <c r="V75" s="235"/>
      <c r="W75" s="235"/>
      <c r="X75" s="235"/>
      <c r="Y75" s="235"/>
      <c r="Z75" s="235"/>
    </row>
    <row r="76" spans="16:26" ht="10.199999999999999" customHeight="1">
      <c r="P76" s="253"/>
      <c r="Q76" s="253"/>
      <c r="R76" s="253"/>
      <c r="S76" s="253"/>
      <c r="T76" s="253"/>
      <c r="U76" s="253"/>
      <c r="V76" s="253"/>
      <c r="W76" s="253"/>
      <c r="X76" s="253"/>
      <c r="Y76" s="253"/>
      <c r="Z76" s="253"/>
    </row>
    <row r="77" spans="16:26" ht="10.199999999999999" customHeight="1">
      <c r="P77" s="253"/>
      <c r="Q77" s="253"/>
      <c r="R77" s="253"/>
      <c r="S77" s="253"/>
      <c r="T77" s="253"/>
      <c r="U77" s="253"/>
      <c r="V77" s="253"/>
      <c r="W77" s="253"/>
      <c r="X77" s="253"/>
      <c r="Y77" s="253"/>
      <c r="Z77" s="253"/>
    </row>
    <row r="78" spans="16:26" ht="10.199999999999999" customHeight="1">
      <c r="P78" s="235"/>
      <c r="Q78" s="235"/>
      <c r="R78" s="235"/>
      <c r="S78" s="235"/>
      <c r="T78" s="235"/>
      <c r="U78" s="235"/>
      <c r="V78" s="235"/>
      <c r="W78" s="235"/>
      <c r="X78" s="235"/>
      <c r="Y78" s="235"/>
      <c r="Z78" s="235"/>
    </row>
    <row r="79" spans="16:26" ht="10.199999999999999" customHeight="1">
      <c r="P79" s="253"/>
      <c r="Q79" s="253"/>
      <c r="R79" s="253"/>
      <c r="S79" s="253"/>
      <c r="T79" s="253"/>
      <c r="U79" s="253"/>
      <c r="V79" s="253"/>
      <c r="W79" s="253"/>
      <c r="X79" s="253"/>
      <c r="Y79" s="253"/>
      <c r="Z79" s="253"/>
    </row>
    <row r="80" spans="16:26" ht="10.199999999999999" customHeight="1">
      <c r="P80" s="253"/>
      <c r="Q80" s="253"/>
      <c r="R80" s="253"/>
      <c r="S80" s="253"/>
      <c r="T80" s="253"/>
      <c r="U80" s="253"/>
      <c r="V80" s="253"/>
      <c r="W80" s="253"/>
      <c r="X80" s="253"/>
      <c r="Y80" s="253"/>
      <c r="Z80" s="253"/>
    </row>
    <row r="81" spans="16:26" ht="10.199999999999999" customHeight="1">
      <c r="P81" s="235"/>
      <c r="Q81" s="235"/>
      <c r="R81" s="235"/>
      <c r="S81" s="235"/>
      <c r="T81" s="235"/>
      <c r="U81" s="235"/>
      <c r="V81" s="235"/>
      <c r="W81" s="235"/>
      <c r="X81" s="235"/>
      <c r="Y81" s="235"/>
      <c r="Z81" s="235"/>
    </row>
    <row r="82" spans="16:26" ht="10.199999999999999" customHeight="1">
      <c r="P82" s="253"/>
      <c r="Q82" s="253"/>
      <c r="R82" s="253"/>
      <c r="S82" s="253"/>
      <c r="T82" s="253"/>
      <c r="U82" s="253"/>
      <c r="V82" s="253"/>
      <c r="W82" s="253"/>
      <c r="X82" s="253"/>
      <c r="Y82" s="253"/>
      <c r="Z82" s="253"/>
    </row>
    <row r="83" spans="16:26" ht="10.199999999999999" customHeight="1">
      <c r="P83" s="253"/>
      <c r="Q83" s="253"/>
      <c r="R83" s="253"/>
      <c r="S83" s="253"/>
      <c r="T83" s="253"/>
      <c r="U83" s="253"/>
      <c r="V83" s="253"/>
      <c r="W83" s="253"/>
      <c r="X83" s="253"/>
      <c r="Y83" s="253"/>
      <c r="Z83" s="253"/>
    </row>
    <row r="84" spans="16:26" ht="10.199999999999999" customHeight="1">
      <c r="P84" s="235"/>
      <c r="Q84" s="235"/>
      <c r="R84" s="235"/>
      <c r="S84" s="235"/>
      <c r="T84" s="235"/>
      <c r="U84" s="235"/>
      <c r="V84" s="235"/>
      <c r="W84" s="235"/>
      <c r="X84" s="235"/>
      <c r="Y84" s="235"/>
      <c r="Z84" s="235"/>
    </row>
    <row r="85" spans="16:26" ht="10.199999999999999" customHeight="1">
      <c r="P85" s="253"/>
      <c r="Q85" s="253"/>
      <c r="R85" s="253"/>
      <c r="S85" s="253"/>
      <c r="T85" s="253"/>
      <c r="U85" s="253"/>
      <c r="V85" s="253"/>
      <c r="W85" s="253"/>
      <c r="X85" s="253"/>
      <c r="Y85" s="253"/>
      <c r="Z85" s="253"/>
    </row>
    <row r="86" spans="16:26" ht="10.199999999999999" customHeight="1">
      <c r="P86" s="253"/>
      <c r="Q86" s="253"/>
      <c r="R86" s="253"/>
      <c r="S86" s="253"/>
      <c r="T86" s="253"/>
      <c r="U86" s="253"/>
      <c r="V86" s="253"/>
      <c r="W86" s="253"/>
      <c r="X86" s="253"/>
      <c r="Y86" s="253"/>
      <c r="Z86" s="253"/>
    </row>
    <row r="87" spans="16:26" ht="10.199999999999999" customHeight="1">
      <c r="P87" s="235"/>
      <c r="Q87" s="235"/>
      <c r="R87" s="235"/>
      <c r="S87" s="235"/>
      <c r="T87" s="235"/>
      <c r="U87" s="235"/>
      <c r="V87" s="235"/>
      <c r="W87" s="235"/>
      <c r="X87" s="235"/>
      <c r="Y87" s="235"/>
      <c r="Z87" s="235"/>
    </row>
    <row r="88" spans="16:26" ht="10.199999999999999" customHeight="1">
      <c r="P88" s="253"/>
      <c r="Q88" s="253"/>
      <c r="R88" s="253"/>
      <c r="S88" s="253"/>
      <c r="T88" s="253"/>
      <c r="U88" s="253"/>
      <c r="V88" s="253"/>
      <c r="W88" s="253"/>
      <c r="X88" s="253"/>
      <c r="Y88" s="253"/>
      <c r="Z88" s="253"/>
    </row>
    <row r="89" spans="16:26" ht="10.199999999999999" customHeight="1">
      <c r="P89" s="253"/>
      <c r="Q89" s="253"/>
      <c r="R89" s="253"/>
      <c r="S89" s="253"/>
      <c r="T89" s="253"/>
      <c r="U89" s="253"/>
      <c r="V89" s="253"/>
      <c r="W89" s="253"/>
      <c r="X89" s="253"/>
      <c r="Y89" s="253"/>
      <c r="Z89" s="253"/>
    </row>
    <row r="90" spans="16:26" ht="10.199999999999999" customHeight="1">
      <c r="P90" s="235"/>
      <c r="Q90" s="235"/>
      <c r="R90" s="235"/>
      <c r="S90" s="235"/>
      <c r="T90" s="235"/>
      <c r="U90" s="235"/>
      <c r="V90" s="235"/>
      <c r="W90" s="235"/>
      <c r="X90" s="235"/>
      <c r="Y90" s="235"/>
      <c r="Z90" s="235"/>
    </row>
    <row r="91" spans="16:26" ht="10.199999999999999" customHeight="1">
      <c r="P91" s="253"/>
      <c r="Q91" s="253"/>
      <c r="R91" s="253"/>
      <c r="S91" s="253"/>
      <c r="T91" s="253"/>
      <c r="U91" s="253"/>
      <c r="V91" s="253"/>
      <c r="W91" s="253"/>
      <c r="X91" s="253"/>
      <c r="Y91" s="253"/>
      <c r="Z91" s="253"/>
    </row>
    <row r="92" spans="16:26" ht="10.199999999999999" customHeight="1">
      <c r="P92" s="253"/>
      <c r="Q92" s="253"/>
      <c r="R92" s="253"/>
      <c r="S92" s="253"/>
      <c r="T92" s="253"/>
      <c r="U92" s="253"/>
      <c r="V92" s="253"/>
      <c r="W92" s="253"/>
      <c r="X92" s="253"/>
      <c r="Y92" s="253"/>
      <c r="Z92" s="253"/>
    </row>
    <row r="93" spans="16:26" ht="10.199999999999999" customHeight="1">
      <c r="P93" s="235"/>
      <c r="Q93" s="235"/>
      <c r="R93" s="235"/>
      <c r="S93" s="235"/>
      <c r="T93" s="235"/>
      <c r="U93" s="235"/>
      <c r="V93" s="235"/>
      <c r="W93" s="235"/>
      <c r="X93" s="235"/>
      <c r="Y93" s="235"/>
      <c r="Z93" s="235"/>
    </row>
    <row r="94" spans="16:26" ht="10.199999999999999" customHeight="1">
      <c r="P94" s="253"/>
      <c r="Q94" s="253"/>
      <c r="R94" s="253"/>
      <c r="S94" s="253"/>
      <c r="T94" s="253"/>
      <c r="U94" s="253"/>
      <c r="V94" s="253"/>
      <c r="W94" s="253"/>
      <c r="X94" s="253"/>
      <c r="Y94" s="253"/>
      <c r="Z94" s="253"/>
    </row>
    <row r="95" spans="16:26" ht="10.199999999999999" customHeight="1">
      <c r="P95" s="253"/>
      <c r="Q95" s="253"/>
      <c r="R95" s="253"/>
      <c r="S95" s="253"/>
      <c r="T95" s="253"/>
      <c r="U95" s="253"/>
      <c r="V95" s="253"/>
      <c r="W95" s="253"/>
      <c r="X95" s="253"/>
      <c r="Y95" s="253"/>
      <c r="Z95" s="253"/>
    </row>
    <row r="96" spans="16:26" ht="10.199999999999999" customHeight="1">
      <c r="P96" s="235"/>
      <c r="Q96" s="235"/>
      <c r="R96" s="235"/>
      <c r="S96" s="235"/>
      <c r="T96" s="235"/>
      <c r="U96" s="235"/>
      <c r="V96" s="235"/>
      <c r="W96" s="235"/>
      <c r="X96" s="235"/>
      <c r="Y96" s="235"/>
      <c r="Z96" s="235"/>
    </row>
    <row r="97" spans="16:26" ht="10.199999999999999" customHeight="1">
      <c r="P97" s="253"/>
      <c r="Q97" s="253"/>
      <c r="R97" s="253"/>
      <c r="S97" s="253"/>
      <c r="T97" s="253"/>
      <c r="U97" s="253"/>
      <c r="V97" s="253"/>
      <c r="W97" s="253"/>
      <c r="X97" s="253"/>
      <c r="Y97" s="253"/>
      <c r="Z97" s="253"/>
    </row>
    <row r="98" spans="16:26" ht="10.199999999999999" customHeight="1">
      <c r="P98" s="253"/>
      <c r="Q98" s="253"/>
      <c r="R98" s="253"/>
      <c r="S98" s="253"/>
      <c r="T98" s="253"/>
      <c r="U98" s="253"/>
      <c r="V98" s="253"/>
      <c r="W98" s="253"/>
      <c r="X98" s="253"/>
      <c r="Y98" s="253"/>
      <c r="Z98" s="253"/>
    </row>
    <row r="99" spans="16:26" ht="10.199999999999999" customHeight="1">
      <c r="P99" s="235"/>
      <c r="Q99" s="235"/>
      <c r="R99" s="235"/>
      <c r="S99" s="235"/>
      <c r="T99" s="235"/>
      <c r="U99" s="235"/>
      <c r="V99" s="235"/>
      <c r="W99" s="235"/>
      <c r="X99" s="235"/>
      <c r="Y99" s="235"/>
      <c r="Z99" s="235"/>
    </row>
    <row r="100" spans="16:26" ht="10.199999999999999" customHeight="1">
      <c r="P100" s="253"/>
      <c r="Q100" s="253"/>
      <c r="R100" s="253"/>
      <c r="S100" s="253"/>
      <c r="T100" s="253"/>
      <c r="U100" s="253"/>
      <c r="V100" s="253"/>
      <c r="W100" s="253"/>
      <c r="X100" s="253"/>
      <c r="Y100" s="253"/>
      <c r="Z100" s="253"/>
    </row>
    <row r="101" spans="16:26" ht="10.199999999999999" customHeight="1">
      <c r="P101" s="253"/>
      <c r="Q101" s="253"/>
      <c r="R101" s="253"/>
      <c r="S101" s="253"/>
      <c r="T101" s="253"/>
      <c r="U101" s="253"/>
      <c r="V101" s="253"/>
      <c r="W101" s="253"/>
      <c r="X101" s="253"/>
      <c r="Y101" s="253"/>
      <c r="Z101" s="253"/>
    </row>
    <row r="102" spans="16:26" ht="10.199999999999999" customHeight="1">
      <c r="P102" s="235"/>
      <c r="Q102" s="235"/>
      <c r="R102" s="235"/>
      <c r="S102" s="235"/>
      <c r="T102" s="235"/>
      <c r="U102" s="235"/>
      <c r="V102" s="235"/>
      <c r="W102" s="235"/>
      <c r="X102" s="235"/>
      <c r="Y102" s="235"/>
      <c r="Z102" s="235"/>
    </row>
    <row r="103" spans="16:26" ht="10.199999999999999" customHeight="1">
      <c r="P103" s="253"/>
      <c r="Q103" s="253"/>
      <c r="R103" s="253"/>
      <c r="S103" s="253"/>
      <c r="T103" s="253"/>
      <c r="U103" s="253"/>
      <c r="V103" s="253"/>
      <c r="W103" s="253"/>
      <c r="X103" s="253"/>
      <c r="Y103" s="253"/>
      <c r="Z103" s="253"/>
    </row>
    <row r="104" spans="16:26" ht="10.199999999999999" customHeight="1">
      <c r="P104" s="253"/>
      <c r="Q104" s="253"/>
      <c r="R104" s="253"/>
      <c r="S104" s="253"/>
      <c r="T104" s="253"/>
      <c r="U104" s="253"/>
      <c r="V104" s="253"/>
      <c r="W104" s="253"/>
      <c r="X104" s="253"/>
      <c r="Y104" s="253"/>
      <c r="Z104" s="253"/>
    </row>
    <row r="105" spans="16:26" ht="10.199999999999999" customHeight="1">
      <c r="P105" s="235"/>
      <c r="Q105" s="235"/>
      <c r="R105" s="235"/>
      <c r="S105" s="235"/>
      <c r="T105" s="235"/>
      <c r="U105" s="235"/>
      <c r="V105" s="235"/>
      <c r="W105" s="235"/>
      <c r="X105" s="235"/>
      <c r="Y105" s="235"/>
      <c r="Z105" s="235"/>
    </row>
    <row r="106" spans="16:26" ht="10.199999999999999" customHeight="1">
      <c r="P106" s="253"/>
      <c r="Q106" s="253"/>
      <c r="R106" s="253"/>
      <c r="S106" s="253"/>
      <c r="T106" s="253"/>
      <c r="U106" s="253"/>
      <c r="V106" s="253"/>
      <c r="W106" s="253"/>
      <c r="X106" s="253"/>
      <c r="Y106" s="253"/>
      <c r="Z106" s="253"/>
    </row>
    <row r="107" spans="16:26" ht="10.199999999999999" customHeight="1">
      <c r="P107" s="253"/>
      <c r="Q107" s="253"/>
      <c r="R107" s="253"/>
      <c r="S107" s="253"/>
      <c r="T107" s="253"/>
      <c r="U107" s="253"/>
      <c r="V107" s="253"/>
      <c r="W107" s="253"/>
      <c r="X107" s="253"/>
      <c r="Y107" s="253"/>
      <c r="Z107" s="253"/>
    </row>
    <row r="108" spans="16:26" ht="10.199999999999999" customHeight="1">
      <c r="P108" s="235"/>
      <c r="Q108" s="235"/>
      <c r="R108" s="235"/>
      <c r="S108" s="235"/>
      <c r="T108" s="235"/>
      <c r="U108" s="235"/>
      <c r="V108" s="235"/>
      <c r="W108" s="235"/>
      <c r="X108" s="235"/>
      <c r="Y108" s="235"/>
      <c r="Z108" s="235"/>
    </row>
    <row r="109" spans="16:26" ht="10.199999999999999" customHeight="1">
      <c r="P109" s="253"/>
      <c r="Q109" s="253"/>
      <c r="R109" s="253"/>
      <c r="S109" s="253"/>
      <c r="T109" s="253"/>
      <c r="U109" s="253"/>
      <c r="V109" s="253"/>
      <c r="W109" s="253"/>
      <c r="X109" s="253"/>
      <c r="Y109" s="253"/>
      <c r="Z109" s="253"/>
    </row>
    <row r="110" spans="16:26" ht="10.199999999999999" customHeight="1">
      <c r="P110" s="253"/>
      <c r="Q110" s="253"/>
      <c r="R110" s="253"/>
      <c r="S110" s="253"/>
      <c r="T110" s="253"/>
      <c r="U110" s="253"/>
      <c r="V110" s="253"/>
      <c r="W110" s="253"/>
      <c r="X110" s="253"/>
      <c r="Y110" s="253"/>
      <c r="Z110" s="253"/>
    </row>
    <row r="111" spans="16:26" ht="10.199999999999999" customHeight="1">
      <c r="P111" s="235"/>
      <c r="Q111" s="235"/>
      <c r="R111" s="235"/>
      <c r="S111" s="235"/>
      <c r="T111" s="235"/>
      <c r="U111" s="235"/>
      <c r="V111" s="235"/>
      <c r="W111" s="235"/>
      <c r="X111" s="235"/>
      <c r="Y111" s="235"/>
      <c r="Z111" s="235"/>
    </row>
    <row r="112" spans="16:26" ht="10.199999999999999" customHeight="1">
      <c r="P112" s="253"/>
      <c r="Q112" s="253"/>
      <c r="R112" s="253"/>
      <c r="S112" s="253"/>
      <c r="T112" s="253"/>
      <c r="U112" s="253"/>
      <c r="V112" s="253"/>
      <c r="W112" s="253"/>
      <c r="X112" s="253"/>
      <c r="Y112" s="253"/>
      <c r="Z112" s="253"/>
    </row>
    <row r="113" spans="16:26" ht="10.199999999999999" customHeight="1">
      <c r="P113" s="253"/>
      <c r="Q113" s="253"/>
      <c r="R113" s="253"/>
      <c r="S113" s="253"/>
      <c r="T113" s="253"/>
      <c r="U113" s="253"/>
      <c r="V113" s="253"/>
      <c r="W113" s="253"/>
      <c r="X113" s="253"/>
      <c r="Y113" s="253"/>
      <c r="Z113" s="253"/>
    </row>
    <row r="114" spans="16:26" ht="10.199999999999999" customHeight="1">
      <c r="P114" s="235"/>
      <c r="Q114" s="235"/>
      <c r="R114" s="235"/>
      <c r="S114" s="235"/>
      <c r="T114" s="235"/>
      <c r="U114" s="235"/>
      <c r="V114" s="235"/>
      <c r="W114" s="235"/>
      <c r="X114" s="235"/>
      <c r="Y114" s="235"/>
      <c r="Z114" s="235"/>
    </row>
    <row r="115" spans="16:26" ht="10.199999999999999" customHeight="1">
      <c r="P115" s="253"/>
      <c r="Q115" s="253"/>
      <c r="R115" s="253"/>
      <c r="S115" s="253"/>
      <c r="T115" s="253"/>
      <c r="U115" s="253"/>
      <c r="V115" s="253"/>
      <c r="W115" s="253"/>
      <c r="X115" s="253"/>
      <c r="Y115" s="253"/>
      <c r="Z115" s="253"/>
    </row>
    <row r="116" spans="16:26" ht="10.199999999999999" customHeight="1">
      <c r="P116" s="253"/>
      <c r="Q116" s="253"/>
      <c r="R116" s="253"/>
      <c r="S116" s="253"/>
      <c r="T116" s="253"/>
      <c r="U116" s="253"/>
      <c r="V116" s="253"/>
      <c r="W116" s="253"/>
      <c r="X116" s="253"/>
      <c r="Y116" s="253"/>
      <c r="Z116" s="253"/>
    </row>
    <row r="117" spans="16:26" ht="10.199999999999999" customHeight="1">
      <c r="P117" s="235"/>
      <c r="Q117" s="235"/>
      <c r="R117" s="235"/>
      <c r="S117" s="235"/>
      <c r="T117" s="235"/>
      <c r="U117" s="235"/>
      <c r="V117" s="235"/>
      <c r="W117" s="235"/>
      <c r="X117" s="235"/>
      <c r="Y117" s="235"/>
      <c r="Z117" s="235"/>
    </row>
    <row r="118" spans="16:26" ht="10.199999999999999" customHeight="1">
      <c r="P118" s="253"/>
      <c r="Q118" s="253"/>
      <c r="R118" s="253"/>
      <c r="S118" s="253"/>
      <c r="T118" s="253"/>
      <c r="U118" s="253"/>
      <c r="V118" s="253"/>
      <c r="W118" s="253"/>
      <c r="X118" s="253"/>
      <c r="Y118" s="253"/>
      <c r="Z118" s="253"/>
    </row>
    <row r="119" spans="16:26" ht="10.199999999999999" customHeight="1">
      <c r="P119" s="253"/>
      <c r="Q119" s="253"/>
      <c r="R119" s="253"/>
      <c r="S119" s="253"/>
      <c r="T119" s="253"/>
      <c r="U119" s="253"/>
      <c r="V119" s="253"/>
      <c r="W119" s="253"/>
      <c r="X119" s="253"/>
      <c r="Y119" s="253"/>
      <c r="Z119" s="253"/>
    </row>
    <row r="120" spans="16:26" ht="10.199999999999999" customHeight="1">
      <c r="P120" s="235"/>
      <c r="Q120" s="235"/>
      <c r="R120" s="235"/>
      <c r="S120" s="235"/>
      <c r="T120" s="235"/>
      <c r="U120" s="235"/>
      <c r="V120" s="235"/>
      <c r="W120" s="235"/>
      <c r="X120" s="235"/>
      <c r="Y120" s="235"/>
      <c r="Z120" s="235"/>
    </row>
    <row r="121" spans="16:26" ht="10.199999999999999" customHeight="1">
      <c r="P121" s="253"/>
      <c r="Q121" s="253"/>
      <c r="R121" s="253"/>
      <c r="S121" s="253"/>
      <c r="T121" s="253"/>
      <c r="U121" s="253"/>
      <c r="V121" s="253"/>
      <c r="W121" s="253"/>
      <c r="X121" s="253"/>
      <c r="Y121" s="253"/>
      <c r="Z121" s="253"/>
    </row>
    <row r="122" spans="16:26" ht="10.199999999999999" customHeight="1">
      <c r="P122" s="253"/>
      <c r="Q122" s="253"/>
      <c r="R122" s="253"/>
      <c r="S122" s="253"/>
      <c r="T122" s="253"/>
      <c r="U122" s="253"/>
      <c r="V122" s="253"/>
      <c r="W122" s="253"/>
      <c r="X122" s="253"/>
      <c r="Y122" s="253"/>
      <c r="Z122" s="253"/>
    </row>
    <row r="123" spans="16:26" ht="10.199999999999999" customHeight="1">
      <c r="P123" s="235"/>
      <c r="Q123" s="235"/>
      <c r="R123" s="235"/>
      <c r="S123" s="235"/>
      <c r="T123" s="235"/>
      <c r="U123" s="235"/>
      <c r="V123" s="235"/>
      <c r="W123" s="235"/>
      <c r="X123" s="235"/>
      <c r="Y123" s="235"/>
      <c r="Z123" s="235"/>
    </row>
    <row r="124" spans="16:26" ht="10.199999999999999" customHeight="1">
      <c r="P124" s="253"/>
      <c r="Q124" s="253"/>
      <c r="R124" s="253"/>
      <c r="S124" s="253"/>
      <c r="T124" s="253"/>
      <c r="U124" s="253"/>
      <c r="V124" s="253"/>
      <c r="W124" s="253"/>
      <c r="X124" s="253"/>
      <c r="Y124" s="253"/>
      <c r="Z124" s="253"/>
    </row>
    <row r="125" spans="16:26" ht="10.199999999999999" customHeight="1">
      <c r="P125" s="253"/>
      <c r="Q125" s="253"/>
      <c r="R125" s="253"/>
      <c r="S125" s="253"/>
      <c r="T125" s="253"/>
      <c r="U125" s="253"/>
      <c r="V125" s="253"/>
      <c r="W125" s="253"/>
      <c r="X125" s="253"/>
      <c r="Y125" s="253"/>
      <c r="Z125" s="253"/>
    </row>
    <row r="126" spans="16:26" ht="10.199999999999999" customHeight="1">
      <c r="P126" s="235"/>
      <c r="Q126" s="235"/>
      <c r="R126" s="235"/>
      <c r="S126" s="235"/>
      <c r="T126" s="235"/>
      <c r="U126" s="235"/>
      <c r="V126" s="235"/>
      <c r="W126" s="235"/>
      <c r="X126" s="235"/>
      <c r="Y126" s="235"/>
      <c r="Z126" s="235"/>
    </row>
    <row r="127" spans="16:26" ht="10.199999999999999" customHeight="1">
      <c r="P127" s="253"/>
      <c r="Q127" s="253"/>
      <c r="R127" s="253"/>
      <c r="S127" s="253"/>
      <c r="T127" s="253"/>
      <c r="U127" s="253"/>
      <c r="V127" s="253"/>
      <c r="W127" s="253"/>
      <c r="X127" s="253"/>
      <c r="Y127" s="253"/>
      <c r="Z127" s="253"/>
    </row>
    <row r="128" spans="16:26" ht="10.199999999999999" customHeight="1">
      <c r="P128" s="253"/>
      <c r="Q128" s="253"/>
      <c r="R128" s="253"/>
      <c r="S128" s="253"/>
      <c r="T128" s="253"/>
      <c r="U128" s="253"/>
      <c r="V128" s="253"/>
      <c r="W128" s="253"/>
      <c r="X128" s="253"/>
      <c r="Y128" s="253"/>
      <c r="Z128" s="253"/>
    </row>
    <row r="129" spans="16:26" ht="10.199999999999999" customHeight="1">
      <c r="P129" s="235"/>
      <c r="Q129" s="235"/>
      <c r="R129" s="235"/>
      <c r="S129" s="235"/>
      <c r="T129" s="235"/>
      <c r="U129" s="235"/>
      <c r="V129" s="235"/>
      <c r="W129" s="235"/>
      <c r="X129" s="235"/>
      <c r="Y129" s="235"/>
      <c r="Z129" s="235"/>
    </row>
    <row r="130" spans="16:26" ht="10.199999999999999" customHeight="1">
      <c r="P130" s="253"/>
      <c r="Q130" s="253"/>
      <c r="R130" s="253"/>
      <c r="S130" s="253"/>
      <c r="T130" s="253"/>
      <c r="U130" s="253"/>
      <c r="V130" s="253"/>
      <c r="W130" s="253"/>
      <c r="X130" s="253"/>
      <c r="Y130" s="253"/>
      <c r="Z130" s="253"/>
    </row>
    <row r="131" spans="16:26" ht="10.199999999999999" customHeight="1">
      <c r="P131" s="253"/>
      <c r="Q131" s="253"/>
      <c r="R131" s="253"/>
      <c r="S131" s="253"/>
      <c r="T131" s="253"/>
      <c r="U131" s="253"/>
      <c r="V131" s="253"/>
      <c r="W131" s="253"/>
      <c r="X131" s="253"/>
      <c r="Y131" s="253"/>
      <c r="Z131" s="253"/>
    </row>
    <row r="132" spans="16:26" ht="10.199999999999999" customHeight="1">
      <c r="P132" s="235"/>
      <c r="Q132" s="235"/>
      <c r="R132" s="235"/>
      <c r="S132" s="235"/>
      <c r="T132" s="235"/>
      <c r="U132" s="235"/>
      <c r="V132" s="235"/>
      <c r="W132" s="235"/>
      <c r="X132" s="235"/>
      <c r="Y132" s="235"/>
      <c r="Z132" s="235"/>
    </row>
    <row r="133" spans="16:26" ht="10.199999999999999" customHeight="1">
      <c r="P133" s="253"/>
      <c r="Q133" s="253"/>
      <c r="R133" s="253"/>
      <c r="S133" s="253"/>
      <c r="T133" s="253"/>
      <c r="U133" s="253"/>
      <c r="V133" s="253"/>
      <c r="W133" s="253"/>
      <c r="X133" s="253"/>
      <c r="Y133" s="253"/>
      <c r="Z133" s="253"/>
    </row>
    <row r="134" spans="16:26" ht="10.199999999999999" customHeight="1">
      <c r="P134" s="253"/>
      <c r="Q134" s="253"/>
      <c r="R134" s="253"/>
      <c r="S134" s="253"/>
      <c r="T134" s="253"/>
      <c r="U134" s="253"/>
      <c r="V134" s="253"/>
      <c r="W134" s="253"/>
      <c r="X134" s="253"/>
      <c r="Y134" s="253"/>
      <c r="Z134" s="253"/>
    </row>
    <row r="135" spans="16:26" ht="10.199999999999999" customHeight="1">
      <c r="P135" s="235"/>
      <c r="Q135" s="235"/>
      <c r="R135" s="235"/>
      <c r="S135" s="235"/>
      <c r="T135" s="235"/>
      <c r="U135" s="235"/>
      <c r="V135" s="235"/>
      <c r="W135" s="235"/>
      <c r="X135" s="235"/>
      <c r="Y135" s="235"/>
      <c r="Z135" s="235"/>
    </row>
    <row r="136" spans="16:26" ht="10.199999999999999" customHeight="1">
      <c r="P136" s="253"/>
      <c r="Q136" s="253"/>
      <c r="R136" s="253"/>
      <c r="S136" s="253"/>
      <c r="T136" s="253"/>
      <c r="U136" s="253"/>
      <c r="V136" s="253"/>
      <c r="W136" s="253"/>
      <c r="X136" s="253"/>
      <c r="Y136" s="253"/>
      <c r="Z136" s="253"/>
    </row>
    <row r="137" spans="16:26" ht="10.199999999999999" customHeight="1">
      <c r="P137" s="253"/>
      <c r="Q137" s="253"/>
      <c r="R137" s="253"/>
      <c r="S137" s="253"/>
      <c r="T137" s="253"/>
      <c r="U137" s="253"/>
      <c r="V137" s="253"/>
      <c r="W137" s="253"/>
      <c r="X137" s="253"/>
      <c r="Y137" s="253"/>
      <c r="Z137" s="253"/>
    </row>
    <row r="138" spans="16:26" ht="10.199999999999999" customHeight="1">
      <c r="P138" s="235"/>
      <c r="Q138" s="235"/>
      <c r="R138" s="235"/>
      <c r="S138" s="235"/>
      <c r="T138" s="235"/>
      <c r="U138" s="235"/>
      <c r="V138" s="235"/>
      <c r="W138" s="235"/>
      <c r="X138" s="235"/>
      <c r="Y138" s="235"/>
      <c r="Z138" s="235"/>
    </row>
    <row r="139" spans="16:26" ht="10.199999999999999" customHeight="1">
      <c r="P139" s="253"/>
      <c r="Q139" s="253"/>
      <c r="R139" s="253"/>
      <c r="S139" s="253"/>
      <c r="T139" s="253"/>
      <c r="U139" s="253"/>
      <c r="V139" s="253"/>
      <c r="W139" s="253"/>
      <c r="X139" s="253"/>
      <c r="Y139" s="253"/>
      <c r="Z139" s="253"/>
    </row>
    <row r="140" spans="16:26" ht="10.199999999999999" customHeight="1">
      <c r="P140" s="253"/>
      <c r="Q140" s="253"/>
      <c r="R140" s="253"/>
      <c r="S140" s="253"/>
      <c r="T140" s="253"/>
      <c r="U140" s="253"/>
      <c r="V140" s="253"/>
      <c r="W140" s="253"/>
      <c r="X140" s="253"/>
      <c r="Y140" s="253"/>
      <c r="Z140" s="253"/>
    </row>
    <row r="141" spans="16:26" ht="10.199999999999999" customHeight="1">
      <c r="P141" s="235"/>
      <c r="Q141" s="235"/>
      <c r="R141" s="235"/>
      <c r="S141" s="235"/>
      <c r="T141" s="235"/>
      <c r="U141" s="235"/>
      <c r="V141" s="235"/>
      <c r="W141" s="235"/>
      <c r="X141" s="235"/>
      <c r="Y141" s="235"/>
      <c r="Z141" s="235"/>
    </row>
    <row r="142" spans="16:26" ht="10.199999999999999" customHeight="1">
      <c r="P142" s="253"/>
      <c r="Q142" s="253"/>
      <c r="R142" s="253"/>
      <c r="S142" s="253"/>
      <c r="T142" s="253"/>
      <c r="U142" s="253"/>
      <c r="V142" s="253"/>
      <c r="W142" s="253"/>
      <c r="X142" s="253"/>
      <c r="Y142" s="253"/>
      <c r="Z142" s="253"/>
    </row>
    <row r="143" spans="16:26" ht="10.199999999999999" customHeight="1">
      <c r="P143" s="253"/>
      <c r="Q143" s="253"/>
      <c r="R143" s="253"/>
      <c r="S143" s="253"/>
      <c r="T143" s="253"/>
      <c r="U143" s="253"/>
      <c r="V143" s="253"/>
      <c r="W143" s="253"/>
      <c r="X143" s="253"/>
      <c r="Y143" s="253"/>
      <c r="Z143" s="253"/>
    </row>
    <row r="144" spans="16:26" ht="10.199999999999999" customHeight="1">
      <c r="P144" s="235"/>
      <c r="Q144" s="235"/>
      <c r="R144" s="235"/>
      <c r="S144" s="235"/>
      <c r="T144" s="235"/>
      <c r="U144" s="235"/>
      <c r="V144" s="235"/>
      <c r="W144" s="235"/>
      <c r="X144" s="235"/>
      <c r="Y144" s="235"/>
      <c r="Z144" s="235"/>
    </row>
    <row r="145" spans="16:26" ht="10.199999999999999" customHeight="1">
      <c r="P145" s="253"/>
      <c r="Q145" s="253"/>
      <c r="R145" s="253"/>
      <c r="S145" s="253"/>
      <c r="T145" s="253"/>
      <c r="U145" s="253"/>
      <c r="V145" s="253"/>
      <c r="W145" s="253"/>
      <c r="X145" s="253"/>
      <c r="Y145" s="253"/>
      <c r="Z145" s="253"/>
    </row>
    <row r="146" spans="16:26" ht="10.199999999999999" customHeight="1">
      <c r="P146" s="253"/>
      <c r="Q146" s="253"/>
      <c r="R146" s="253"/>
      <c r="S146" s="253"/>
      <c r="T146" s="253"/>
      <c r="U146" s="253"/>
      <c r="V146" s="253"/>
      <c r="W146" s="253"/>
      <c r="X146" s="253"/>
      <c r="Y146" s="253"/>
      <c r="Z146" s="253"/>
    </row>
    <row r="147" spans="16:26" ht="10.199999999999999" customHeight="1">
      <c r="P147" s="235"/>
      <c r="Q147" s="235"/>
      <c r="R147" s="235"/>
      <c r="S147" s="235"/>
      <c r="T147" s="235"/>
      <c r="U147" s="235"/>
      <c r="V147" s="235"/>
      <c r="W147" s="235"/>
      <c r="X147" s="235"/>
      <c r="Y147" s="235"/>
      <c r="Z147" s="235"/>
    </row>
    <row r="148" spans="16:26" ht="10.199999999999999" customHeight="1">
      <c r="P148" s="253"/>
      <c r="Q148" s="253"/>
      <c r="R148" s="253"/>
      <c r="S148" s="253"/>
      <c r="T148" s="253"/>
      <c r="U148" s="253"/>
      <c r="V148" s="253"/>
      <c r="W148" s="253"/>
      <c r="X148" s="253"/>
      <c r="Y148" s="253"/>
      <c r="Z148" s="253"/>
    </row>
    <row r="149" spans="16:26" ht="10.199999999999999" customHeight="1">
      <c r="P149" s="253"/>
      <c r="Q149" s="253"/>
      <c r="R149" s="253"/>
      <c r="S149" s="253"/>
      <c r="T149" s="253"/>
      <c r="U149" s="253"/>
      <c r="V149" s="253"/>
      <c r="W149" s="253"/>
      <c r="X149" s="253"/>
      <c r="Y149" s="253"/>
      <c r="Z149" s="253"/>
    </row>
    <row r="150" spans="16:26" ht="10.199999999999999" customHeight="1">
      <c r="P150" s="235"/>
      <c r="Q150" s="235"/>
      <c r="R150" s="235"/>
      <c r="S150" s="235"/>
      <c r="T150" s="235"/>
      <c r="U150" s="235"/>
      <c r="V150" s="235"/>
      <c r="W150" s="235"/>
      <c r="X150" s="235"/>
      <c r="Y150" s="235"/>
      <c r="Z150" s="235"/>
    </row>
    <row r="151" spans="16:26" ht="10.199999999999999" customHeight="1">
      <c r="P151" s="253"/>
      <c r="Q151" s="253"/>
      <c r="R151" s="253"/>
      <c r="S151" s="253"/>
      <c r="T151" s="253"/>
      <c r="U151" s="253"/>
      <c r="V151" s="253"/>
      <c r="W151" s="253"/>
      <c r="X151" s="253"/>
      <c r="Y151" s="253"/>
      <c r="Z151" s="253"/>
    </row>
    <row r="152" spans="16:26" ht="10.199999999999999" customHeight="1">
      <c r="P152" s="253"/>
      <c r="Q152" s="253"/>
      <c r="R152" s="253"/>
      <c r="S152" s="253"/>
      <c r="T152" s="253"/>
      <c r="U152" s="253"/>
      <c r="V152" s="253"/>
      <c r="W152" s="253"/>
      <c r="X152" s="253"/>
      <c r="Y152" s="253"/>
      <c r="Z152" s="253"/>
    </row>
    <row r="153" spans="16:26" ht="10.199999999999999" customHeight="1">
      <c r="P153" s="235"/>
      <c r="Q153" s="235"/>
      <c r="R153" s="235"/>
      <c r="S153" s="235"/>
      <c r="T153" s="235"/>
      <c r="U153" s="235"/>
      <c r="V153" s="235"/>
      <c r="W153" s="235"/>
      <c r="X153" s="235"/>
      <c r="Y153" s="235"/>
      <c r="Z153" s="235"/>
    </row>
    <row r="154" spans="16:26" ht="10.199999999999999" customHeight="1">
      <c r="P154" s="253"/>
      <c r="Q154" s="253"/>
      <c r="R154" s="253"/>
      <c r="S154" s="253"/>
      <c r="T154" s="253"/>
      <c r="U154" s="253"/>
      <c r="V154" s="253"/>
      <c r="W154" s="253"/>
      <c r="X154" s="253"/>
      <c r="Y154" s="253"/>
      <c r="Z154" s="253"/>
    </row>
    <row r="155" spans="16:26" ht="10.199999999999999" customHeight="1">
      <c r="P155" s="253"/>
      <c r="Q155" s="253"/>
      <c r="R155" s="253"/>
      <c r="S155" s="253"/>
      <c r="T155" s="253"/>
      <c r="U155" s="253"/>
      <c r="V155" s="253"/>
      <c r="W155" s="253"/>
      <c r="X155" s="253"/>
      <c r="Y155" s="253"/>
      <c r="Z155" s="253"/>
    </row>
    <row r="156" spans="16:26" ht="10.199999999999999" customHeight="1">
      <c r="P156" s="235"/>
      <c r="Q156" s="235"/>
      <c r="R156" s="235"/>
      <c r="S156" s="235"/>
      <c r="T156" s="235"/>
      <c r="U156" s="235"/>
      <c r="V156" s="235"/>
      <c r="W156" s="235"/>
      <c r="X156" s="235"/>
      <c r="Y156" s="235"/>
      <c r="Z156" s="235"/>
    </row>
    <row r="157" spans="16:26" ht="10.199999999999999" customHeight="1">
      <c r="P157" s="253"/>
      <c r="Q157" s="253"/>
      <c r="R157" s="253"/>
      <c r="S157" s="253"/>
      <c r="T157" s="253"/>
      <c r="U157" s="253"/>
      <c r="V157" s="253"/>
      <c r="W157" s="253"/>
      <c r="X157" s="253"/>
      <c r="Y157" s="253"/>
      <c r="Z157" s="253"/>
    </row>
    <row r="158" spans="16:26" ht="10.199999999999999" customHeight="1">
      <c r="P158" s="253"/>
      <c r="Q158" s="253"/>
      <c r="R158" s="253"/>
      <c r="S158" s="253"/>
      <c r="T158" s="253"/>
      <c r="U158" s="253"/>
      <c r="V158" s="253"/>
      <c r="W158" s="253"/>
      <c r="X158" s="253"/>
      <c r="Y158" s="253"/>
      <c r="Z158" s="253"/>
    </row>
    <row r="159" spans="16:26" ht="10.199999999999999" customHeight="1">
      <c r="P159" s="235"/>
      <c r="Q159" s="235"/>
      <c r="R159" s="235"/>
      <c r="S159" s="235"/>
      <c r="T159" s="235"/>
      <c r="U159" s="235"/>
      <c r="V159" s="235"/>
      <c r="W159" s="235"/>
      <c r="X159" s="235"/>
      <c r="Y159" s="235"/>
      <c r="Z159" s="235"/>
    </row>
    <row r="160" spans="16:26" ht="10.199999999999999" customHeight="1">
      <c r="P160" s="253"/>
      <c r="Q160" s="253"/>
      <c r="R160" s="253"/>
      <c r="S160" s="253"/>
      <c r="T160" s="253"/>
      <c r="U160" s="253"/>
      <c r="V160" s="253"/>
      <c r="W160" s="253"/>
      <c r="X160" s="253"/>
      <c r="Y160" s="253"/>
      <c r="Z160" s="253"/>
    </row>
    <row r="161" spans="16:26" ht="10.199999999999999" customHeight="1">
      <c r="P161" s="253"/>
      <c r="Q161" s="253"/>
      <c r="R161" s="253"/>
      <c r="S161" s="253"/>
      <c r="T161" s="253"/>
      <c r="U161" s="253"/>
      <c r="V161" s="253"/>
      <c r="W161" s="253"/>
      <c r="X161" s="253"/>
      <c r="Y161" s="253"/>
      <c r="Z161" s="253"/>
    </row>
    <row r="162" spans="16:26" ht="10.199999999999999" customHeight="1">
      <c r="P162" s="235"/>
      <c r="Q162" s="235"/>
      <c r="R162" s="235"/>
      <c r="S162" s="235"/>
      <c r="T162" s="235"/>
      <c r="U162" s="235"/>
      <c r="V162" s="235"/>
      <c r="W162" s="235"/>
      <c r="X162" s="235"/>
      <c r="Y162" s="235"/>
      <c r="Z162" s="235"/>
    </row>
    <row r="163" spans="16:26" ht="10.199999999999999" customHeight="1">
      <c r="P163" s="253"/>
      <c r="Q163" s="253"/>
      <c r="R163" s="253"/>
      <c r="S163" s="253"/>
      <c r="T163" s="253"/>
      <c r="U163" s="253"/>
      <c r="V163" s="253"/>
      <c r="W163" s="253"/>
      <c r="X163" s="253"/>
      <c r="Y163" s="253"/>
      <c r="Z163" s="253"/>
    </row>
    <row r="164" spans="16:26" ht="10.199999999999999" customHeight="1">
      <c r="P164" s="253"/>
      <c r="Q164" s="253"/>
      <c r="R164" s="253"/>
      <c r="S164" s="253"/>
      <c r="T164" s="253"/>
      <c r="U164" s="253"/>
      <c r="V164" s="253"/>
      <c r="W164" s="253"/>
      <c r="X164" s="253"/>
      <c r="Y164" s="253"/>
      <c r="Z164" s="253"/>
    </row>
    <row r="165" spans="16:26" ht="10.199999999999999" customHeight="1">
      <c r="P165" s="235"/>
      <c r="Q165" s="235"/>
      <c r="R165" s="235"/>
      <c r="S165" s="235"/>
      <c r="T165" s="235"/>
      <c r="U165" s="235"/>
      <c r="V165" s="235"/>
      <c r="W165" s="235"/>
      <c r="X165" s="235"/>
      <c r="Y165" s="235"/>
      <c r="Z165" s="235"/>
    </row>
    <row r="166" spans="16:26" ht="10.199999999999999" customHeight="1">
      <c r="P166" s="253"/>
      <c r="Q166" s="253"/>
      <c r="R166" s="253"/>
      <c r="S166" s="253"/>
      <c r="T166" s="253"/>
      <c r="U166" s="253"/>
      <c r="V166" s="253"/>
      <c r="W166" s="253"/>
      <c r="X166" s="253"/>
      <c r="Y166" s="253"/>
      <c r="Z166" s="253"/>
    </row>
    <row r="167" spans="16:26" ht="10.199999999999999" customHeight="1">
      <c r="P167" s="253"/>
      <c r="Q167" s="253"/>
      <c r="R167" s="253"/>
      <c r="S167" s="253"/>
      <c r="T167" s="253"/>
      <c r="U167" s="253"/>
      <c r="V167" s="253"/>
      <c r="W167" s="253"/>
      <c r="X167" s="253"/>
      <c r="Y167" s="253"/>
      <c r="Z167" s="253"/>
    </row>
    <row r="168" spans="16:26" ht="10.199999999999999" customHeight="1">
      <c r="P168" s="235"/>
      <c r="Q168" s="235"/>
      <c r="R168" s="235"/>
      <c r="S168" s="235"/>
      <c r="T168" s="235"/>
      <c r="U168" s="235"/>
      <c r="V168" s="235"/>
      <c r="W168" s="235"/>
      <c r="X168" s="235"/>
      <c r="Y168" s="235"/>
      <c r="Z168" s="235"/>
    </row>
    <row r="169" spans="16:26" ht="10.199999999999999" customHeight="1">
      <c r="P169" s="253"/>
      <c r="Q169" s="253"/>
      <c r="R169" s="253"/>
      <c r="S169" s="253"/>
      <c r="T169" s="253"/>
      <c r="U169" s="253"/>
      <c r="V169" s="253"/>
      <c r="W169" s="253"/>
      <c r="X169" s="253"/>
      <c r="Y169" s="253"/>
      <c r="Z169" s="253"/>
    </row>
    <row r="170" spans="16:26" ht="10.199999999999999" customHeight="1">
      <c r="P170" s="253"/>
      <c r="Q170" s="253"/>
      <c r="R170" s="253"/>
      <c r="S170" s="253"/>
      <c r="T170" s="253"/>
      <c r="U170" s="253"/>
      <c r="V170" s="253"/>
      <c r="W170" s="253"/>
      <c r="X170" s="253"/>
      <c r="Y170" s="253"/>
      <c r="Z170" s="253"/>
    </row>
    <row r="171" spans="16:26" ht="10.199999999999999" customHeight="1">
      <c r="P171" s="235"/>
      <c r="Q171" s="235"/>
      <c r="R171" s="235"/>
      <c r="S171" s="235"/>
      <c r="T171" s="235"/>
      <c r="U171" s="235"/>
      <c r="V171" s="235"/>
      <c r="W171" s="235"/>
      <c r="X171" s="235"/>
      <c r="Y171" s="235"/>
      <c r="Z171" s="235"/>
    </row>
    <row r="172" spans="16:26" ht="10.199999999999999" customHeight="1">
      <c r="P172" s="253"/>
      <c r="Q172" s="253"/>
      <c r="R172" s="253"/>
      <c r="S172" s="253"/>
      <c r="T172" s="253"/>
      <c r="U172" s="253"/>
      <c r="V172" s="253"/>
      <c r="W172" s="253"/>
      <c r="X172" s="253"/>
      <c r="Y172" s="253"/>
      <c r="Z172" s="253"/>
    </row>
    <row r="173" spans="16:26" ht="10.199999999999999" customHeight="1">
      <c r="P173" s="253"/>
      <c r="Q173" s="253"/>
      <c r="R173" s="253"/>
      <c r="S173" s="253"/>
      <c r="T173" s="253"/>
      <c r="U173" s="253"/>
      <c r="V173" s="253"/>
      <c r="W173" s="253"/>
      <c r="X173" s="253"/>
      <c r="Y173" s="253"/>
      <c r="Z173" s="253"/>
    </row>
    <row r="174" spans="16:26" ht="10.199999999999999" customHeight="1">
      <c r="P174" s="235"/>
      <c r="Q174" s="235"/>
      <c r="R174" s="235"/>
      <c r="S174" s="235"/>
      <c r="T174" s="235"/>
      <c r="U174" s="235"/>
      <c r="V174" s="235"/>
      <c r="W174" s="235"/>
      <c r="X174" s="235"/>
      <c r="Y174" s="235"/>
      <c r="Z174" s="235"/>
    </row>
    <row r="175" spans="16:26" ht="10.199999999999999" customHeight="1">
      <c r="P175" s="253"/>
      <c r="Q175" s="253"/>
      <c r="R175" s="253"/>
      <c r="S175" s="253"/>
      <c r="T175" s="253"/>
      <c r="U175" s="253"/>
      <c r="V175" s="253"/>
      <c r="W175" s="253"/>
      <c r="X175" s="253"/>
      <c r="Y175" s="253"/>
      <c r="Z175" s="253"/>
    </row>
    <row r="176" spans="16:26" ht="10.199999999999999" customHeight="1">
      <c r="P176" s="253"/>
      <c r="Q176" s="253"/>
      <c r="R176" s="253"/>
      <c r="S176" s="253"/>
      <c r="T176" s="253"/>
      <c r="U176" s="253"/>
      <c r="V176" s="253"/>
      <c r="W176" s="253"/>
      <c r="X176" s="253"/>
      <c r="Y176" s="253"/>
      <c r="Z176" s="253"/>
    </row>
    <row r="177" spans="16:26" ht="10.199999999999999" customHeight="1">
      <c r="P177" s="235"/>
      <c r="Q177" s="235"/>
      <c r="R177" s="235"/>
      <c r="S177" s="235"/>
      <c r="T177" s="235"/>
      <c r="U177" s="235"/>
      <c r="V177" s="235"/>
      <c r="W177" s="235"/>
      <c r="X177" s="235"/>
      <c r="Y177" s="235"/>
      <c r="Z177" s="235"/>
    </row>
    <row r="178" spans="16:26" ht="10.199999999999999" customHeight="1">
      <c r="P178" s="253"/>
      <c r="Q178" s="253"/>
      <c r="R178" s="253"/>
      <c r="S178" s="253"/>
      <c r="T178" s="253"/>
      <c r="U178" s="253"/>
      <c r="V178" s="253"/>
      <c r="W178" s="253"/>
      <c r="X178" s="253"/>
      <c r="Y178" s="253"/>
      <c r="Z178" s="253"/>
    </row>
    <row r="179" spans="16:26" ht="10.199999999999999" customHeight="1">
      <c r="P179" s="253"/>
      <c r="Q179" s="253"/>
      <c r="R179" s="253"/>
      <c r="S179" s="253"/>
      <c r="T179" s="253"/>
      <c r="U179" s="253"/>
      <c r="V179" s="253"/>
      <c r="W179" s="253"/>
      <c r="X179" s="253"/>
      <c r="Y179" s="253"/>
      <c r="Z179" s="253"/>
    </row>
    <row r="180" spans="16:26" ht="10.199999999999999" customHeight="1">
      <c r="P180" s="235"/>
      <c r="Q180" s="235"/>
      <c r="R180" s="235"/>
      <c r="S180" s="235"/>
      <c r="T180" s="235"/>
      <c r="U180" s="235"/>
      <c r="V180" s="235"/>
      <c r="W180" s="235"/>
      <c r="X180" s="235"/>
      <c r="Y180" s="235"/>
      <c r="Z180" s="235"/>
    </row>
    <row r="181" spans="16:26" ht="10.199999999999999" customHeight="1">
      <c r="P181" s="253"/>
      <c r="Q181" s="253"/>
      <c r="R181" s="253"/>
      <c r="S181" s="253"/>
      <c r="T181" s="253"/>
      <c r="U181" s="253"/>
      <c r="V181" s="253"/>
      <c r="W181" s="253"/>
      <c r="X181" s="253"/>
      <c r="Y181" s="253"/>
      <c r="Z181" s="253"/>
    </row>
    <row r="182" spans="16:26" ht="10.199999999999999" customHeight="1">
      <c r="P182" s="253"/>
      <c r="Q182" s="253"/>
      <c r="R182" s="253"/>
      <c r="S182" s="253"/>
      <c r="T182" s="253"/>
      <c r="U182" s="253"/>
      <c r="V182" s="253"/>
      <c r="W182" s="253"/>
      <c r="X182" s="253"/>
      <c r="Y182" s="253"/>
      <c r="Z182" s="253"/>
    </row>
    <row r="183" spans="16:26" ht="10.199999999999999" customHeight="1">
      <c r="P183" s="235"/>
      <c r="Q183" s="235"/>
      <c r="R183" s="235"/>
      <c r="S183" s="235"/>
      <c r="T183" s="235"/>
      <c r="U183" s="235"/>
      <c r="V183" s="235"/>
      <c r="W183" s="235"/>
      <c r="X183" s="235"/>
      <c r="Y183" s="235"/>
      <c r="Z183" s="235"/>
    </row>
    <row r="184" spans="16:26" ht="10.199999999999999" customHeight="1">
      <c r="P184" s="253"/>
      <c r="Q184" s="253"/>
      <c r="R184" s="253"/>
      <c r="S184" s="253"/>
      <c r="T184" s="253"/>
      <c r="U184" s="253"/>
      <c r="V184" s="253"/>
      <c r="W184" s="253"/>
      <c r="X184" s="253"/>
      <c r="Y184" s="253"/>
      <c r="Z184" s="253"/>
    </row>
    <row r="185" spans="16:26" ht="10.199999999999999" customHeight="1">
      <c r="P185" s="253"/>
      <c r="Q185" s="253"/>
      <c r="R185" s="253"/>
      <c r="S185" s="253"/>
      <c r="T185" s="253"/>
      <c r="U185" s="253"/>
      <c r="V185" s="253"/>
      <c r="W185" s="253"/>
      <c r="X185" s="253"/>
      <c r="Y185" s="253"/>
      <c r="Z185" s="253"/>
    </row>
    <row r="186" spans="16:26" ht="10.199999999999999" customHeight="1">
      <c r="P186" s="235"/>
      <c r="Q186" s="235"/>
      <c r="R186" s="235"/>
      <c r="S186" s="235"/>
      <c r="T186" s="235"/>
      <c r="U186" s="235"/>
      <c r="V186" s="235"/>
      <c r="W186" s="235"/>
      <c r="X186" s="235"/>
      <c r="Y186" s="235"/>
      <c r="Z186" s="235"/>
    </row>
    <row r="187" spans="16:26" ht="10.199999999999999" customHeight="1">
      <c r="P187" s="253"/>
      <c r="Q187" s="253"/>
      <c r="R187" s="253"/>
      <c r="S187" s="253"/>
      <c r="T187" s="253"/>
      <c r="U187" s="253"/>
      <c r="V187" s="253"/>
      <c r="W187" s="253"/>
      <c r="X187" s="253"/>
      <c r="Y187" s="253"/>
      <c r="Z187" s="253"/>
    </row>
    <row r="188" spans="16:26" ht="10.199999999999999" customHeight="1">
      <c r="P188" s="253"/>
      <c r="Q188" s="253"/>
      <c r="R188" s="253"/>
      <c r="S188" s="253"/>
      <c r="T188" s="253"/>
      <c r="U188" s="253"/>
      <c r="V188" s="253"/>
      <c r="W188" s="253"/>
      <c r="X188" s="253"/>
      <c r="Y188" s="253"/>
      <c r="Z188" s="253"/>
    </row>
    <row r="189" spans="16:26" ht="10.199999999999999" customHeight="1">
      <c r="P189" s="235"/>
      <c r="Q189" s="235"/>
      <c r="R189" s="235"/>
      <c r="S189" s="235"/>
      <c r="T189" s="235"/>
      <c r="U189" s="235"/>
      <c r="V189" s="235"/>
      <c r="W189" s="235"/>
      <c r="X189" s="235"/>
      <c r="Y189" s="235"/>
      <c r="Z189" s="235"/>
    </row>
    <row r="190" spans="16:26" ht="10.199999999999999" customHeight="1">
      <c r="P190" s="253"/>
      <c r="Q190" s="253"/>
      <c r="R190" s="253"/>
      <c r="S190" s="253"/>
      <c r="T190" s="253"/>
      <c r="U190" s="253"/>
      <c r="V190" s="253"/>
      <c r="W190" s="253"/>
      <c r="X190" s="253"/>
      <c r="Y190" s="253"/>
      <c r="Z190" s="253"/>
    </row>
    <row r="191" spans="16:26" ht="10.199999999999999" customHeight="1">
      <c r="P191" s="253"/>
      <c r="Q191" s="253"/>
      <c r="R191" s="253"/>
      <c r="S191" s="253"/>
      <c r="T191" s="253"/>
      <c r="U191" s="253"/>
      <c r="V191" s="253"/>
      <c r="W191" s="253"/>
      <c r="X191" s="253"/>
      <c r="Y191" s="253"/>
      <c r="Z191" s="253"/>
    </row>
    <row r="192" spans="16:26" ht="10.199999999999999" customHeight="1">
      <c r="P192" s="235"/>
      <c r="Q192" s="235"/>
      <c r="R192" s="235"/>
      <c r="S192" s="235"/>
      <c r="T192" s="235"/>
      <c r="U192" s="235"/>
      <c r="V192" s="235"/>
      <c r="W192" s="235"/>
      <c r="X192" s="235"/>
      <c r="Y192" s="235"/>
      <c r="Z192" s="235"/>
    </row>
    <row r="193" spans="16:26" ht="10.199999999999999" customHeight="1">
      <c r="P193" s="253"/>
      <c r="Q193" s="253"/>
      <c r="R193" s="253"/>
      <c r="S193" s="253"/>
      <c r="T193" s="253"/>
      <c r="U193" s="253"/>
      <c r="V193" s="253"/>
      <c r="W193" s="253"/>
      <c r="X193" s="253"/>
      <c r="Y193" s="253"/>
      <c r="Z193" s="253"/>
    </row>
    <row r="194" spans="16:26" ht="10.199999999999999" customHeight="1">
      <c r="P194" s="253"/>
      <c r="Q194" s="253"/>
      <c r="R194" s="253"/>
      <c r="S194" s="253"/>
      <c r="T194" s="253"/>
      <c r="U194" s="253"/>
      <c r="V194" s="253"/>
      <c r="W194" s="253"/>
      <c r="X194" s="253"/>
      <c r="Y194" s="253"/>
      <c r="Z194" s="253"/>
    </row>
    <row r="195" spans="16:26" ht="10.199999999999999" customHeight="1">
      <c r="P195" s="235"/>
      <c r="Q195" s="235"/>
      <c r="R195" s="235"/>
      <c r="S195" s="235"/>
      <c r="T195" s="235"/>
      <c r="U195" s="235"/>
      <c r="V195" s="235"/>
      <c r="W195" s="235"/>
      <c r="X195" s="235"/>
      <c r="Y195" s="235"/>
      <c r="Z195" s="235"/>
    </row>
    <row r="196" spans="16:26" ht="10.199999999999999" customHeight="1">
      <c r="P196" s="253"/>
      <c r="Q196" s="253"/>
      <c r="R196" s="253"/>
      <c r="S196" s="253"/>
      <c r="T196" s="253"/>
      <c r="U196" s="253"/>
      <c r="V196" s="253"/>
      <c r="W196" s="253"/>
      <c r="X196" s="253"/>
      <c r="Y196" s="253"/>
      <c r="Z196" s="253"/>
    </row>
    <row r="197" spans="16:26" ht="10.199999999999999" customHeight="1">
      <c r="P197" s="253"/>
      <c r="Q197" s="253"/>
      <c r="R197" s="253"/>
      <c r="S197" s="253"/>
      <c r="T197" s="253"/>
      <c r="U197" s="253"/>
      <c r="V197" s="253"/>
      <c r="W197" s="253"/>
      <c r="X197" s="253"/>
      <c r="Y197" s="253"/>
      <c r="Z197" s="253"/>
    </row>
    <row r="198" spans="16:26" ht="10.199999999999999" customHeight="1">
      <c r="P198" s="235"/>
      <c r="Q198" s="235"/>
      <c r="R198" s="235"/>
      <c r="S198" s="235"/>
      <c r="T198" s="235"/>
      <c r="U198" s="235"/>
      <c r="V198" s="235"/>
      <c r="W198" s="235"/>
      <c r="X198" s="235"/>
      <c r="Y198" s="235"/>
      <c r="Z198" s="235"/>
    </row>
    <row r="199" spans="16:26" ht="10.199999999999999" customHeight="1">
      <c r="P199" s="253"/>
      <c r="Q199" s="253"/>
      <c r="R199" s="253"/>
      <c r="S199" s="253"/>
      <c r="T199" s="253"/>
      <c r="U199" s="253"/>
      <c r="V199" s="253"/>
      <c r="W199" s="253"/>
      <c r="X199" s="253"/>
      <c r="Y199" s="253"/>
      <c r="Z199" s="253"/>
    </row>
    <row r="200" spans="16:26" ht="10.199999999999999" customHeight="1">
      <c r="P200" s="253"/>
      <c r="Q200" s="253"/>
      <c r="R200" s="253"/>
      <c r="S200" s="253"/>
      <c r="T200" s="253"/>
      <c r="U200" s="253"/>
      <c r="V200" s="253"/>
      <c r="W200" s="253"/>
      <c r="X200" s="253"/>
      <c r="Y200" s="253"/>
      <c r="Z200" s="253"/>
    </row>
    <row r="201" spans="16:26" ht="10.199999999999999" customHeight="1">
      <c r="P201" s="235"/>
      <c r="Q201" s="235"/>
      <c r="R201" s="235"/>
      <c r="S201" s="235"/>
      <c r="T201" s="235"/>
      <c r="U201" s="235"/>
      <c r="V201" s="235"/>
      <c r="W201" s="235"/>
      <c r="X201" s="235"/>
      <c r="Y201" s="235"/>
      <c r="Z201" s="235"/>
    </row>
    <row r="202" spans="16:26" ht="10.199999999999999" customHeight="1">
      <c r="P202" s="253"/>
      <c r="Q202" s="253"/>
      <c r="R202" s="253"/>
      <c r="S202" s="253"/>
      <c r="T202" s="253"/>
      <c r="U202" s="253"/>
      <c r="V202" s="253"/>
      <c r="W202" s="253"/>
      <c r="X202" s="253"/>
      <c r="Y202" s="253"/>
      <c r="Z202" s="253"/>
    </row>
    <row r="203" spans="16:26" ht="10.199999999999999" customHeight="1">
      <c r="P203" s="253"/>
      <c r="Q203" s="253"/>
      <c r="R203" s="253"/>
      <c r="S203" s="253"/>
      <c r="T203" s="253"/>
      <c r="U203" s="253"/>
      <c r="V203" s="253"/>
      <c r="W203" s="253"/>
      <c r="X203" s="253"/>
      <c r="Y203" s="253"/>
      <c r="Z203" s="253"/>
    </row>
    <row r="204" spans="16:26" ht="10.199999999999999" customHeight="1">
      <c r="P204" s="235"/>
      <c r="Q204" s="235"/>
      <c r="R204" s="235"/>
      <c r="S204" s="235"/>
      <c r="T204" s="235"/>
      <c r="U204" s="235"/>
      <c r="V204" s="235"/>
      <c r="W204" s="235"/>
      <c r="X204" s="235"/>
      <c r="Y204" s="235"/>
      <c r="Z204" s="235"/>
    </row>
    <row r="205" spans="16:26" ht="10.199999999999999" customHeight="1">
      <c r="P205" s="253"/>
      <c r="Q205" s="253"/>
      <c r="R205" s="253"/>
      <c r="S205" s="253"/>
      <c r="T205" s="253"/>
      <c r="U205" s="253"/>
      <c r="V205" s="253"/>
      <c r="W205" s="253"/>
      <c r="X205" s="253"/>
      <c r="Y205" s="253"/>
      <c r="Z205" s="253"/>
    </row>
    <row r="206" spans="16:26" ht="10.199999999999999" customHeight="1">
      <c r="P206" s="253"/>
      <c r="Q206" s="253"/>
      <c r="R206" s="253"/>
      <c r="S206" s="253"/>
      <c r="T206" s="253"/>
      <c r="U206" s="253"/>
      <c r="V206" s="253"/>
      <c r="W206" s="253"/>
      <c r="X206" s="253"/>
      <c r="Y206" s="253"/>
      <c r="Z206" s="253"/>
    </row>
    <row r="207" spans="16:26" ht="10.199999999999999" customHeight="1">
      <c r="P207" s="235"/>
      <c r="Q207" s="235"/>
      <c r="R207" s="235"/>
      <c r="S207" s="235"/>
      <c r="T207" s="235"/>
      <c r="U207" s="235"/>
      <c r="V207" s="235"/>
      <c r="W207" s="235"/>
      <c r="X207" s="235"/>
      <c r="Y207" s="235"/>
      <c r="Z207" s="235"/>
    </row>
    <row r="208" spans="16:26" ht="10.199999999999999" customHeight="1">
      <c r="P208" s="253"/>
      <c r="Q208" s="253"/>
      <c r="R208" s="253"/>
      <c r="S208" s="253"/>
      <c r="T208" s="253"/>
      <c r="U208" s="253"/>
      <c r="V208" s="253"/>
      <c r="W208" s="253"/>
      <c r="X208" s="253"/>
      <c r="Y208" s="253"/>
      <c r="Z208" s="253"/>
    </row>
    <row r="209" spans="16:26" ht="10.199999999999999" customHeight="1">
      <c r="P209" s="253"/>
      <c r="Q209" s="253"/>
      <c r="R209" s="253"/>
      <c r="S209" s="253"/>
      <c r="T209" s="253"/>
      <c r="U209" s="253"/>
      <c r="V209" s="253"/>
      <c r="W209" s="253"/>
      <c r="X209" s="253"/>
      <c r="Y209" s="253"/>
      <c r="Z209" s="253"/>
    </row>
    <row r="210" spans="16:26" ht="10.199999999999999" customHeight="1">
      <c r="P210" s="235"/>
      <c r="Q210" s="235"/>
      <c r="R210" s="235"/>
      <c r="S210" s="235"/>
      <c r="T210" s="235"/>
      <c r="U210" s="235"/>
      <c r="V210" s="235"/>
      <c r="W210" s="235"/>
      <c r="X210" s="235"/>
      <c r="Y210" s="235"/>
      <c r="Z210" s="235"/>
    </row>
    <row r="211" spans="16:26" ht="10.199999999999999" customHeight="1">
      <c r="P211" s="253"/>
      <c r="Q211" s="253"/>
      <c r="R211" s="253"/>
      <c r="S211" s="253"/>
      <c r="T211" s="253"/>
      <c r="U211" s="253"/>
      <c r="V211" s="253"/>
      <c r="W211" s="253"/>
      <c r="X211" s="253"/>
      <c r="Y211" s="253"/>
      <c r="Z211" s="253"/>
    </row>
    <row r="212" spans="16:26" ht="10.199999999999999" customHeight="1">
      <c r="P212" s="253"/>
      <c r="Q212" s="253"/>
      <c r="R212" s="253"/>
      <c r="S212" s="253"/>
      <c r="T212" s="253"/>
      <c r="U212" s="253"/>
      <c r="V212" s="253"/>
      <c r="W212" s="253"/>
      <c r="X212" s="253"/>
      <c r="Y212" s="253"/>
      <c r="Z212" s="253"/>
    </row>
    <row r="213" spans="16:26" ht="10.199999999999999" customHeight="1">
      <c r="P213" s="235"/>
      <c r="Q213" s="235"/>
      <c r="R213" s="235"/>
      <c r="S213" s="235"/>
      <c r="T213" s="235"/>
      <c r="U213" s="235"/>
      <c r="V213" s="235"/>
      <c r="W213" s="235"/>
      <c r="X213" s="235"/>
      <c r="Y213" s="235"/>
      <c r="Z213" s="235"/>
    </row>
    <row r="214" spans="16:26" ht="10.199999999999999" customHeight="1">
      <c r="P214" s="253"/>
      <c r="Q214" s="253"/>
      <c r="R214" s="253"/>
      <c r="S214" s="253"/>
      <c r="T214" s="253"/>
      <c r="U214" s="253"/>
      <c r="V214" s="253"/>
      <c r="W214" s="253"/>
      <c r="X214" s="253"/>
      <c r="Y214" s="253"/>
      <c r="Z214" s="253"/>
    </row>
    <row r="215" spans="16:26" ht="10.199999999999999" customHeight="1">
      <c r="P215" s="253"/>
      <c r="Q215" s="253"/>
      <c r="R215" s="253"/>
      <c r="S215" s="253"/>
      <c r="T215" s="253"/>
      <c r="U215" s="253"/>
      <c r="V215" s="253"/>
      <c r="W215" s="253"/>
      <c r="X215" s="253"/>
      <c r="Y215" s="253"/>
      <c r="Z215" s="253"/>
    </row>
    <row r="216" spans="16:26" ht="10.199999999999999" customHeight="1">
      <c r="P216" s="235"/>
      <c r="Q216" s="235"/>
      <c r="R216" s="235"/>
      <c r="S216" s="235"/>
      <c r="T216" s="235"/>
      <c r="U216" s="235"/>
      <c r="V216" s="235"/>
      <c r="W216" s="235"/>
      <c r="X216" s="235"/>
      <c r="Y216" s="235"/>
      <c r="Z216" s="235"/>
    </row>
    <row r="217" spans="16:26" ht="10.199999999999999" customHeight="1">
      <c r="P217" s="253"/>
      <c r="Q217" s="253"/>
      <c r="R217" s="253"/>
      <c r="S217" s="253"/>
      <c r="T217" s="253"/>
      <c r="U217" s="253"/>
      <c r="V217" s="253"/>
      <c r="W217" s="253"/>
      <c r="X217" s="253"/>
      <c r="Y217" s="253"/>
      <c r="Z217" s="253"/>
    </row>
    <row r="218" spans="16:26" ht="10.199999999999999" customHeight="1">
      <c r="P218" s="253"/>
      <c r="Q218" s="253"/>
      <c r="R218" s="253"/>
      <c r="S218" s="253"/>
      <c r="T218" s="253"/>
      <c r="U218" s="253"/>
      <c r="V218" s="253"/>
      <c r="W218" s="253"/>
      <c r="X218" s="253"/>
      <c r="Y218" s="253"/>
      <c r="Z218" s="253"/>
    </row>
    <row r="219" spans="16:26" ht="10.199999999999999" customHeight="1">
      <c r="P219" s="235"/>
      <c r="Q219" s="235"/>
      <c r="R219" s="235"/>
      <c r="S219" s="235"/>
      <c r="T219" s="235"/>
      <c r="U219" s="235"/>
      <c r="V219" s="235"/>
      <c r="W219" s="235"/>
      <c r="X219" s="235"/>
      <c r="Y219" s="235"/>
      <c r="Z219" s="235"/>
    </row>
    <row r="220" spans="16:26" ht="10.199999999999999" customHeight="1">
      <c r="P220" s="253"/>
      <c r="Q220" s="253"/>
      <c r="R220" s="253"/>
      <c r="S220" s="253"/>
      <c r="T220" s="253"/>
      <c r="U220" s="253"/>
      <c r="V220" s="253"/>
      <c r="W220" s="253"/>
      <c r="X220" s="253"/>
      <c r="Y220" s="253"/>
      <c r="Z220" s="253"/>
    </row>
    <row r="221" spans="16:26" ht="10.199999999999999" customHeight="1">
      <c r="P221" s="253"/>
      <c r="Q221" s="253"/>
      <c r="R221" s="253"/>
      <c r="S221" s="253"/>
      <c r="T221" s="253"/>
      <c r="U221" s="253"/>
      <c r="V221" s="253"/>
      <c r="W221" s="253"/>
      <c r="X221" s="253"/>
      <c r="Y221" s="253"/>
      <c r="Z221" s="253"/>
    </row>
    <row r="222" spans="16:26" ht="10.199999999999999" customHeight="1">
      <c r="P222" s="235"/>
      <c r="Q222" s="235"/>
      <c r="R222" s="235"/>
      <c r="S222" s="235"/>
      <c r="T222" s="235"/>
      <c r="U222" s="235"/>
      <c r="V222" s="235"/>
      <c r="W222" s="235"/>
      <c r="X222" s="235"/>
      <c r="Y222" s="235"/>
      <c r="Z222" s="235"/>
    </row>
    <row r="223" spans="16:26" ht="10.199999999999999" customHeight="1">
      <c r="P223" s="253"/>
      <c r="Q223" s="253"/>
      <c r="R223" s="253"/>
      <c r="S223" s="253"/>
      <c r="T223" s="253"/>
      <c r="U223" s="253"/>
      <c r="V223" s="253"/>
      <c r="W223" s="253"/>
      <c r="X223" s="253"/>
      <c r="Y223" s="253"/>
      <c r="Z223" s="253"/>
    </row>
    <row r="224" spans="16:26" ht="10.199999999999999" customHeight="1">
      <c r="P224" s="253"/>
      <c r="Q224" s="253"/>
      <c r="R224" s="253"/>
      <c r="S224" s="253"/>
      <c r="T224" s="253"/>
      <c r="U224" s="253"/>
      <c r="V224" s="253"/>
      <c r="W224" s="253"/>
      <c r="X224" s="253"/>
      <c r="Y224" s="253"/>
      <c r="Z224" s="253"/>
    </row>
    <row r="225" spans="16:26" ht="10.199999999999999" customHeight="1">
      <c r="P225" s="235"/>
      <c r="Q225" s="235"/>
      <c r="R225" s="235"/>
      <c r="S225" s="235"/>
      <c r="T225" s="235"/>
      <c r="U225" s="235"/>
      <c r="V225" s="235"/>
      <c r="W225" s="235"/>
      <c r="X225" s="235"/>
      <c r="Y225" s="235"/>
      <c r="Z225" s="235"/>
    </row>
    <row r="226" spans="16:26" ht="10.199999999999999" customHeight="1">
      <c r="P226" s="253"/>
      <c r="Q226" s="253"/>
      <c r="R226" s="253"/>
      <c r="S226" s="253"/>
      <c r="T226" s="253"/>
      <c r="U226" s="253"/>
      <c r="V226" s="253"/>
      <c r="W226" s="253"/>
      <c r="X226" s="253"/>
      <c r="Y226" s="253"/>
      <c r="Z226" s="253"/>
    </row>
    <row r="227" spans="16:26" ht="10.199999999999999" customHeight="1">
      <c r="P227" s="253"/>
      <c r="Q227" s="253"/>
      <c r="R227" s="253"/>
      <c r="S227" s="253"/>
      <c r="T227" s="253"/>
      <c r="U227" s="253"/>
      <c r="V227" s="253"/>
      <c r="W227" s="253"/>
      <c r="X227" s="253"/>
      <c r="Y227" s="253"/>
      <c r="Z227" s="253"/>
    </row>
    <row r="228" spans="16:26" ht="10.199999999999999" customHeight="1">
      <c r="P228" s="235"/>
      <c r="Q228" s="235"/>
      <c r="R228" s="235"/>
      <c r="S228" s="235"/>
      <c r="T228" s="235"/>
      <c r="U228" s="235"/>
      <c r="V228" s="235"/>
      <c r="W228" s="235"/>
      <c r="X228" s="235"/>
      <c r="Y228" s="235"/>
      <c r="Z228" s="235"/>
    </row>
    <row r="229" spans="16:26" ht="10.199999999999999" customHeight="1">
      <c r="P229" s="253"/>
      <c r="Q229" s="253"/>
      <c r="R229" s="253"/>
      <c r="S229" s="253"/>
      <c r="T229" s="253"/>
      <c r="U229" s="253"/>
      <c r="V229" s="253"/>
      <c r="W229" s="253"/>
      <c r="X229" s="253"/>
      <c r="Y229" s="253"/>
      <c r="Z229" s="253"/>
    </row>
    <row r="230" spans="16:26" ht="10.199999999999999" customHeight="1">
      <c r="P230" s="253"/>
      <c r="Q230" s="253"/>
      <c r="R230" s="253"/>
      <c r="S230" s="253"/>
      <c r="T230" s="253"/>
      <c r="U230" s="253"/>
      <c r="V230" s="253"/>
      <c r="W230" s="253"/>
      <c r="X230" s="253"/>
      <c r="Y230" s="253"/>
      <c r="Z230" s="253"/>
    </row>
    <row r="231" spans="16:26" ht="10.199999999999999" customHeight="1">
      <c r="P231" s="235"/>
      <c r="Q231" s="235"/>
      <c r="R231" s="235"/>
      <c r="S231" s="235"/>
      <c r="T231" s="235"/>
      <c r="U231" s="235"/>
      <c r="V231" s="235"/>
      <c r="W231" s="235"/>
      <c r="X231" s="235"/>
      <c r="Y231" s="235"/>
      <c r="Z231" s="235"/>
    </row>
    <row r="232" spans="16:26" ht="10.199999999999999" customHeight="1">
      <c r="P232" s="253"/>
      <c r="Q232" s="253"/>
      <c r="R232" s="253"/>
      <c r="S232" s="253"/>
      <c r="T232" s="253"/>
      <c r="U232" s="253"/>
      <c r="V232" s="253"/>
      <c r="W232" s="253"/>
      <c r="X232" s="253"/>
      <c r="Y232" s="253"/>
      <c r="Z232" s="253"/>
    </row>
    <row r="233" spans="16:26" ht="10.199999999999999" customHeight="1">
      <c r="P233" s="253"/>
      <c r="Q233" s="253"/>
      <c r="R233" s="253"/>
      <c r="S233" s="253"/>
      <c r="T233" s="253"/>
      <c r="U233" s="253"/>
      <c r="V233" s="253"/>
      <c r="W233" s="253"/>
      <c r="X233" s="253"/>
      <c r="Y233" s="253"/>
      <c r="Z233" s="253"/>
    </row>
    <row r="234" spans="16:26" ht="10.199999999999999" customHeight="1">
      <c r="P234" s="235"/>
      <c r="Q234" s="235"/>
      <c r="R234" s="235"/>
      <c r="S234" s="235"/>
      <c r="T234" s="235"/>
      <c r="U234" s="235"/>
      <c r="V234" s="235"/>
      <c r="W234" s="235"/>
      <c r="X234" s="235"/>
      <c r="Y234" s="235"/>
      <c r="Z234" s="235"/>
    </row>
    <row r="235" spans="16:26" ht="10.199999999999999" customHeight="1">
      <c r="P235" s="253"/>
      <c r="Q235" s="253"/>
      <c r="R235" s="253"/>
      <c r="S235" s="253"/>
      <c r="T235" s="253"/>
      <c r="U235" s="253"/>
      <c r="V235" s="253"/>
      <c r="W235" s="253"/>
      <c r="X235" s="253"/>
      <c r="Y235" s="253"/>
      <c r="Z235" s="253"/>
    </row>
    <row r="236" spans="16:26" ht="10.199999999999999" customHeight="1">
      <c r="P236" s="253"/>
      <c r="Q236" s="253"/>
      <c r="R236" s="253"/>
      <c r="S236" s="253"/>
      <c r="T236" s="253"/>
      <c r="U236" s="253"/>
      <c r="V236" s="253"/>
      <c r="W236" s="253"/>
      <c r="X236" s="253"/>
      <c r="Y236" s="253"/>
      <c r="Z236" s="253"/>
    </row>
    <row r="237" spans="16:26" ht="10.199999999999999" customHeight="1">
      <c r="P237" s="235"/>
      <c r="Q237" s="235"/>
      <c r="R237" s="235"/>
      <c r="S237" s="235"/>
      <c r="T237" s="235"/>
      <c r="U237" s="235"/>
      <c r="V237" s="235"/>
      <c r="W237" s="235"/>
      <c r="X237" s="235"/>
      <c r="Y237" s="235"/>
      <c r="Z237" s="235"/>
    </row>
    <row r="238" spans="16:26" ht="10.199999999999999" customHeight="1">
      <c r="P238" s="253"/>
      <c r="Q238" s="253"/>
      <c r="R238" s="253"/>
      <c r="S238" s="253"/>
      <c r="T238" s="253"/>
      <c r="U238" s="253"/>
      <c r="V238" s="253"/>
      <c r="W238" s="253"/>
      <c r="X238" s="253"/>
      <c r="Y238" s="253"/>
      <c r="Z238" s="253"/>
    </row>
    <row r="239" spans="16:26" ht="10.199999999999999" customHeight="1">
      <c r="P239" s="253"/>
      <c r="Q239" s="253"/>
      <c r="R239" s="253"/>
      <c r="S239" s="253"/>
      <c r="T239" s="253"/>
      <c r="U239" s="253"/>
      <c r="V239" s="253"/>
      <c r="W239" s="253"/>
      <c r="X239" s="253"/>
      <c r="Y239" s="253"/>
      <c r="Z239" s="253"/>
    </row>
    <row r="240" spans="16:26" ht="10.199999999999999" customHeight="1">
      <c r="P240" s="235"/>
      <c r="Q240" s="235"/>
      <c r="R240" s="235"/>
      <c r="S240" s="235"/>
      <c r="T240" s="235"/>
      <c r="U240" s="235"/>
      <c r="V240" s="235"/>
      <c r="W240" s="235"/>
      <c r="X240" s="235"/>
      <c r="Y240" s="235"/>
      <c r="Z240" s="235"/>
    </row>
    <row r="241" spans="16:26" ht="10.199999999999999" customHeight="1">
      <c r="P241" s="253"/>
      <c r="Q241" s="253"/>
      <c r="R241" s="253"/>
      <c r="S241" s="253"/>
      <c r="T241" s="253"/>
      <c r="U241" s="253"/>
      <c r="V241" s="253"/>
      <c r="W241" s="253"/>
      <c r="X241" s="253"/>
      <c r="Y241" s="253"/>
      <c r="Z241" s="253"/>
    </row>
    <row r="242" spans="16:26" ht="10.199999999999999" customHeight="1">
      <c r="P242" s="253"/>
      <c r="Q242" s="253"/>
      <c r="R242" s="253"/>
      <c r="S242" s="253"/>
      <c r="T242" s="253"/>
      <c r="U242" s="253"/>
      <c r="V242" s="253"/>
      <c r="W242" s="253"/>
      <c r="X242" s="253"/>
      <c r="Y242" s="253"/>
      <c r="Z242" s="253"/>
    </row>
    <row r="243" spans="16:26" ht="10.199999999999999" customHeight="1">
      <c r="P243" s="235"/>
      <c r="Q243" s="235"/>
      <c r="R243" s="235"/>
      <c r="S243" s="235"/>
      <c r="T243" s="235"/>
      <c r="U243" s="235"/>
      <c r="V243" s="235"/>
      <c r="W243" s="235"/>
      <c r="X243" s="235"/>
      <c r="Y243" s="235"/>
      <c r="Z243" s="235"/>
    </row>
    <row r="244" spans="16:26" ht="10.199999999999999" customHeight="1">
      <c r="P244" s="253"/>
      <c r="Q244" s="253"/>
      <c r="R244" s="253"/>
      <c r="S244" s="253"/>
      <c r="T244" s="253"/>
      <c r="U244" s="253"/>
      <c r="V244" s="253"/>
      <c r="W244" s="253"/>
      <c r="X244" s="253"/>
      <c r="Y244" s="253"/>
      <c r="Z244" s="253"/>
    </row>
    <row r="245" spans="16:26" ht="10.199999999999999" customHeight="1">
      <c r="P245" s="253"/>
      <c r="Q245" s="253"/>
      <c r="R245" s="253"/>
      <c r="S245" s="253"/>
      <c r="T245" s="253"/>
      <c r="U245" s="253"/>
      <c r="V245" s="253"/>
      <c r="W245" s="253"/>
      <c r="X245" s="253"/>
      <c r="Y245" s="253"/>
      <c r="Z245" s="253"/>
    </row>
    <row r="246" spans="16:26" ht="10.199999999999999" customHeight="1">
      <c r="P246" s="235"/>
      <c r="Q246" s="235"/>
      <c r="R246" s="235"/>
      <c r="S246" s="235"/>
      <c r="T246" s="235"/>
      <c r="U246" s="235"/>
      <c r="V246" s="235"/>
      <c r="W246" s="235"/>
      <c r="X246" s="235"/>
      <c r="Y246" s="235"/>
      <c r="Z246" s="235"/>
    </row>
    <row r="247" spans="16:26" ht="10.199999999999999" customHeight="1">
      <c r="P247" s="253"/>
      <c r="Q247" s="253"/>
      <c r="R247" s="253"/>
      <c r="S247" s="253"/>
      <c r="T247" s="253"/>
      <c r="U247" s="253"/>
      <c r="V247" s="253"/>
      <c r="W247" s="253"/>
      <c r="X247" s="253"/>
      <c r="Y247" s="253"/>
      <c r="Z247" s="253"/>
    </row>
    <row r="248" spans="16:26" ht="10.199999999999999" customHeight="1">
      <c r="P248" s="253"/>
      <c r="Q248" s="253"/>
      <c r="R248" s="253"/>
      <c r="S248" s="253"/>
      <c r="T248" s="253"/>
      <c r="U248" s="253"/>
      <c r="V248" s="253"/>
      <c r="W248" s="253"/>
      <c r="X248" s="253"/>
      <c r="Y248" s="253"/>
      <c r="Z248" s="253"/>
    </row>
    <row r="249" spans="16:26" ht="10.199999999999999" customHeight="1">
      <c r="P249" s="235"/>
      <c r="Q249" s="235"/>
      <c r="R249" s="235"/>
      <c r="S249" s="235"/>
      <c r="T249" s="235"/>
      <c r="U249" s="235"/>
      <c r="V249" s="235"/>
      <c r="W249" s="235"/>
      <c r="X249" s="235"/>
      <c r="Y249" s="235"/>
      <c r="Z249" s="235"/>
    </row>
    <row r="250" spans="16:26" ht="10.199999999999999" customHeight="1">
      <c r="P250" s="253"/>
      <c r="Q250" s="253"/>
      <c r="R250" s="253"/>
      <c r="S250" s="253"/>
      <c r="T250" s="253"/>
      <c r="U250" s="253"/>
      <c r="V250" s="253"/>
      <c r="W250" s="253"/>
      <c r="X250" s="253"/>
      <c r="Y250" s="253"/>
      <c r="Z250" s="253"/>
    </row>
    <row r="251" spans="16:26" ht="10.199999999999999" customHeight="1">
      <c r="P251" s="253"/>
      <c r="Q251" s="253"/>
      <c r="R251" s="253"/>
      <c r="S251" s="253"/>
      <c r="T251" s="253"/>
      <c r="U251" s="253"/>
      <c r="V251" s="253"/>
      <c r="W251" s="253"/>
      <c r="X251" s="253"/>
      <c r="Y251" s="253"/>
      <c r="Z251" s="253"/>
    </row>
    <row r="252" spans="16:26" ht="10.199999999999999" customHeight="1">
      <c r="P252" s="235"/>
      <c r="Q252" s="235"/>
      <c r="R252" s="235"/>
      <c r="S252" s="235"/>
      <c r="T252" s="235"/>
      <c r="U252" s="235"/>
      <c r="V252" s="235"/>
      <c r="W252" s="235"/>
      <c r="X252" s="235"/>
      <c r="Y252" s="235"/>
      <c r="Z252" s="235"/>
    </row>
    <row r="253" spans="16:26" ht="10.199999999999999" customHeight="1">
      <c r="P253" s="253"/>
      <c r="Q253" s="253"/>
      <c r="R253" s="253"/>
      <c r="S253" s="253"/>
      <c r="T253" s="253"/>
      <c r="U253" s="253"/>
      <c r="V253" s="253"/>
      <c r="W253" s="253"/>
      <c r="X253" s="253"/>
      <c r="Y253" s="253"/>
      <c r="Z253" s="253"/>
    </row>
    <row r="254" spans="16:26" ht="10.199999999999999" customHeight="1">
      <c r="P254" s="253"/>
      <c r="Q254" s="253"/>
      <c r="R254" s="253"/>
      <c r="S254" s="253"/>
      <c r="T254" s="253"/>
      <c r="U254" s="253"/>
      <c r="V254" s="253"/>
      <c r="W254" s="253"/>
      <c r="X254" s="253"/>
      <c r="Y254" s="253"/>
      <c r="Z254" s="253"/>
    </row>
    <row r="255" spans="16:26" ht="10.199999999999999" customHeight="1">
      <c r="P255" s="235"/>
      <c r="Q255" s="235"/>
      <c r="R255" s="235"/>
      <c r="S255" s="235"/>
      <c r="T255" s="235"/>
      <c r="U255" s="235"/>
      <c r="V255" s="235"/>
      <c r="W255" s="235"/>
      <c r="X255" s="235"/>
      <c r="Y255" s="235"/>
      <c r="Z255" s="235"/>
    </row>
    <row r="256" spans="16:26" ht="10.199999999999999" customHeight="1">
      <c r="P256" s="253"/>
      <c r="Q256" s="253"/>
      <c r="R256" s="253"/>
      <c r="S256" s="253"/>
      <c r="T256" s="253"/>
      <c r="U256" s="253"/>
      <c r="V256" s="253"/>
      <c r="W256" s="253"/>
      <c r="X256" s="253"/>
      <c r="Y256" s="253"/>
      <c r="Z256" s="253"/>
    </row>
    <row r="257" spans="16:26" ht="10.199999999999999" customHeight="1">
      <c r="P257" s="253"/>
      <c r="Q257" s="253"/>
      <c r="R257" s="253"/>
      <c r="S257" s="253"/>
      <c r="T257" s="253"/>
      <c r="U257" s="253"/>
      <c r="V257" s="253"/>
      <c r="W257" s="253"/>
      <c r="X257" s="253"/>
      <c r="Y257" s="253"/>
      <c r="Z257" s="253"/>
    </row>
    <row r="258" spans="16:26" ht="10.199999999999999" customHeight="1">
      <c r="P258" s="235"/>
      <c r="Q258" s="235"/>
      <c r="R258" s="235"/>
      <c r="S258" s="235"/>
      <c r="T258" s="235"/>
      <c r="U258" s="235"/>
      <c r="V258" s="235"/>
      <c r="W258" s="235"/>
      <c r="X258" s="235"/>
      <c r="Y258" s="235"/>
      <c r="Z258" s="235"/>
    </row>
    <row r="259" spans="16:26" ht="10.199999999999999" customHeight="1">
      <c r="P259" s="253"/>
      <c r="Q259" s="253"/>
      <c r="R259" s="253"/>
      <c r="S259" s="253"/>
      <c r="T259" s="253"/>
      <c r="U259" s="253"/>
      <c r="V259" s="253"/>
      <c r="W259" s="253"/>
      <c r="X259" s="253"/>
      <c r="Y259" s="253"/>
      <c r="Z259" s="253"/>
    </row>
    <row r="260" spans="16:26" ht="10.199999999999999" customHeight="1">
      <c r="P260" s="253"/>
      <c r="Q260" s="253"/>
      <c r="R260" s="253"/>
      <c r="S260" s="253"/>
      <c r="T260" s="253"/>
      <c r="U260" s="253"/>
      <c r="V260" s="253"/>
      <c r="W260" s="253"/>
      <c r="X260" s="253"/>
      <c r="Y260" s="253"/>
      <c r="Z260" s="253"/>
    </row>
    <row r="261" spans="16:26" ht="10.199999999999999" customHeight="1">
      <c r="P261" s="235"/>
      <c r="Q261" s="235"/>
      <c r="R261" s="235"/>
      <c r="S261" s="235"/>
      <c r="T261" s="235"/>
      <c r="U261" s="235"/>
      <c r="V261" s="235"/>
      <c r="W261" s="235"/>
      <c r="X261" s="235"/>
      <c r="Y261" s="235"/>
      <c r="Z261" s="235"/>
    </row>
    <row r="262" spans="16:26" ht="10.199999999999999" customHeight="1">
      <c r="P262" s="253"/>
      <c r="Q262" s="253"/>
      <c r="R262" s="253"/>
      <c r="S262" s="253"/>
      <c r="T262" s="253"/>
      <c r="U262" s="253"/>
      <c r="V262" s="253"/>
      <c r="W262" s="253"/>
      <c r="X262" s="253"/>
      <c r="Y262" s="253"/>
      <c r="Z262" s="253"/>
    </row>
    <row r="263" spans="16:26" ht="10.199999999999999" customHeight="1">
      <c r="P263" s="253"/>
      <c r="Q263" s="253"/>
      <c r="R263" s="253"/>
      <c r="S263" s="253"/>
      <c r="T263" s="253"/>
      <c r="U263" s="253"/>
      <c r="V263" s="253"/>
      <c r="W263" s="253"/>
      <c r="X263" s="253"/>
      <c r="Y263" s="253"/>
      <c r="Z263" s="253"/>
    </row>
    <row r="264" spans="16:26" ht="10.199999999999999" customHeight="1">
      <c r="P264" s="235"/>
      <c r="Q264" s="235"/>
      <c r="R264" s="235"/>
      <c r="S264" s="235"/>
      <c r="T264" s="235"/>
      <c r="U264" s="235"/>
      <c r="V264" s="235"/>
      <c r="W264" s="235"/>
      <c r="X264" s="235"/>
      <c r="Y264" s="235"/>
      <c r="Z264" s="235"/>
    </row>
    <row r="265" spans="16:26" ht="10.199999999999999" customHeight="1">
      <c r="P265" s="253"/>
      <c r="Q265" s="253"/>
      <c r="R265" s="253"/>
      <c r="S265" s="253"/>
      <c r="T265" s="253"/>
      <c r="U265" s="253"/>
      <c r="V265" s="253"/>
      <c r="W265" s="253"/>
      <c r="X265" s="253"/>
      <c r="Y265" s="253"/>
      <c r="Z265" s="253"/>
    </row>
    <row r="266" spans="16:26" ht="10.199999999999999" customHeight="1">
      <c r="P266" s="253"/>
      <c r="Q266" s="253"/>
      <c r="R266" s="253"/>
      <c r="S266" s="253"/>
      <c r="T266" s="253"/>
      <c r="U266" s="253"/>
      <c r="V266" s="253"/>
      <c r="W266" s="253"/>
      <c r="X266" s="253"/>
      <c r="Y266" s="253"/>
      <c r="Z266" s="253"/>
    </row>
    <row r="267" spans="16:26" ht="10.199999999999999" customHeight="1">
      <c r="P267" s="254"/>
      <c r="Q267" s="254"/>
      <c r="R267" s="254"/>
      <c r="S267" s="254"/>
      <c r="T267" s="254"/>
      <c r="U267" s="254"/>
      <c r="V267" s="254"/>
      <c r="W267" s="254"/>
      <c r="X267" s="254"/>
      <c r="Y267" s="254"/>
      <c r="Z267" s="254"/>
    </row>
    <row r="268" spans="16:26" ht="10.199999999999999" customHeight="1">
      <c r="P268" s="253"/>
      <c r="Q268" s="253"/>
      <c r="R268" s="253"/>
      <c r="S268" s="253"/>
      <c r="T268" s="253"/>
      <c r="U268" s="253"/>
      <c r="V268" s="253"/>
      <c r="W268" s="253"/>
      <c r="X268" s="253"/>
      <c r="Y268" s="253"/>
      <c r="Z268" s="253"/>
    </row>
    <row r="269" spans="16:26" ht="10.199999999999999" customHeight="1">
      <c r="P269" s="253"/>
      <c r="Q269" s="253"/>
      <c r="R269" s="253"/>
      <c r="S269" s="253"/>
      <c r="T269" s="253"/>
      <c r="U269" s="253"/>
      <c r="V269" s="253"/>
      <c r="W269" s="253"/>
      <c r="X269" s="253"/>
      <c r="Y269" s="253"/>
      <c r="Z269" s="253"/>
    </row>
    <row r="270" spans="16:26" ht="10.199999999999999" customHeight="1">
      <c r="P270" s="254"/>
      <c r="Q270" s="254"/>
      <c r="R270" s="254"/>
      <c r="S270" s="254"/>
      <c r="T270" s="254"/>
      <c r="U270" s="254"/>
      <c r="V270" s="254"/>
      <c r="W270" s="254"/>
      <c r="X270" s="254"/>
      <c r="Y270" s="254"/>
      <c r="Z270" s="254"/>
    </row>
    <row r="271" spans="16:26" ht="10.199999999999999" customHeight="1">
      <c r="P271" s="253"/>
      <c r="Q271" s="253"/>
      <c r="R271" s="253"/>
      <c r="S271" s="253"/>
      <c r="T271" s="253"/>
      <c r="U271" s="253"/>
      <c r="V271" s="253"/>
      <c r="W271" s="253"/>
      <c r="X271" s="253"/>
      <c r="Y271" s="253"/>
      <c r="Z271" s="253"/>
    </row>
    <row r="272" spans="16:26" ht="10.199999999999999" customHeight="1">
      <c r="P272" s="253"/>
      <c r="Q272" s="253"/>
      <c r="R272" s="253"/>
      <c r="S272" s="253"/>
      <c r="T272" s="253"/>
      <c r="U272" s="253"/>
      <c r="V272" s="253"/>
      <c r="W272" s="253"/>
      <c r="X272" s="253"/>
      <c r="Y272" s="253"/>
      <c r="Z272" s="253"/>
    </row>
    <row r="273" spans="16:26" ht="10.199999999999999" customHeight="1">
      <c r="P273" s="254"/>
      <c r="Q273" s="254"/>
      <c r="R273" s="254"/>
      <c r="S273" s="254"/>
      <c r="T273" s="254"/>
      <c r="U273" s="254"/>
      <c r="V273" s="254"/>
      <c r="W273" s="254"/>
      <c r="X273" s="254"/>
      <c r="Y273" s="254"/>
      <c r="Z273" s="254"/>
    </row>
    <row r="274" spans="16:26" ht="10.199999999999999" customHeight="1">
      <c r="P274" s="253"/>
      <c r="Q274" s="253"/>
      <c r="R274" s="253"/>
      <c r="S274" s="253"/>
      <c r="T274" s="253"/>
      <c r="U274" s="253"/>
      <c r="V274" s="253"/>
      <c r="W274" s="253"/>
      <c r="X274" s="253"/>
      <c r="Y274" s="253"/>
      <c r="Z274" s="253"/>
    </row>
    <row r="275" spans="16:26" ht="10.199999999999999" customHeight="1">
      <c r="P275" s="253"/>
      <c r="Q275" s="253"/>
      <c r="R275" s="253"/>
      <c r="S275" s="253"/>
      <c r="T275" s="253"/>
      <c r="U275" s="253"/>
      <c r="V275" s="253"/>
      <c r="W275" s="253"/>
      <c r="X275" s="253"/>
      <c r="Y275" s="253"/>
      <c r="Z275" s="253"/>
    </row>
    <row r="276" spans="16:26" ht="10.199999999999999" customHeight="1">
      <c r="P276" s="254"/>
      <c r="Q276" s="254"/>
      <c r="R276" s="254"/>
      <c r="S276" s="254"/>
      <c r="T276" s="254"/>
      <c r="U276" s="254"/>
      <c r="V276" s="254"/>
      <c r="W276" s="254"/>
      <c r="X276" s="254"/>
      <c r="Y276" s="254"/>
      <c r="Z276" s="254"/>
    </row>
    <row r="277" spans="16:26" ht="10.199999999999999" customHeight="1">
      <c r="P277" s="253"/>
      <c r="Q277" s="253"/>
      <c r="R277" s="253"/>
      <c r="S277" s="253"/>
      <c r="T277" s="253"/>
      <c r="U277" s="253"/>
      <c r="V277" s="253"/>
      <c r="W277" s="253"/>
      <c r="X277" s="253"/>
      <c r="Y277" s="253"/>
      <c r="Z277" s="253"/>
    </row>
    <row r="278" spans="16:26" ht="10.199999999999999" customHeight="1">
      <c r="P278" s="253"/>
      <c r="Q278" s="253"/>
      <c r="R278" s="253"/>
      <c r="S278" s="253"/>
      <c r="T278" s="253"/>
      <c r="U278" s="253"/>
      <c r="V278" s="253"/>
      <c r="W278" s="253"/>
      <c r="X278" s="253"/>
      <c r="Y278" s="253"/>
      <c r="Z278" s="253"/>
    </row>
    <row r="279" spans="16:26" ht="10.199999999999999" customHeight="1">
      <c r="P279" s="254"/>
      <c r="Q279" s="254"/>
      <c r="R279" s="254"/>
      <c r="S279" s="254"/>
      <c r="T279" s="254"/>
      <c r="U279" s="254"/>
      <c r="V279" s="254"/>
      <c r="W279" s="254"/>
      <c r="X279" s="254"/>
      <c r="Y279" s="254"/>
      <c r="Z279" s="254"/>
    </row>
    <row r="280" spans="16:26" ht="10.199999999999999" customHeight="1">
      <c r="P280" s="253"/>
      <c r="Q280" s="253"/>
      <c r="R280" s="253"/>
      <c r="S280" s="253"/>
      <c r="T280" s="253"/>
      <c r="U280" s="253"/>
      <c r="V280" s="253"/>
      <c r="W280" s="253"/>
      <c r="X280" s="253"/>
      <c r="Y280" s="253"/>
      <c r="Z280" s="253"/>
    </row>
    <row r="281" spans="16:26" ht="10.199999999999999" customHeight="1">
      <c r="P281" s="253"/>
      <c r="Q281" s="253"/>
      <c r="R281" s="253"/>
      <c r="S281" s="253"/>
      <c r="T281" s="253"/>
      <c r="U281" s="253"/>
      <c r="V281" s="253"/>
      <c r="W281" s="253"/>
      <c r="X281" s="253"/>
      <c r="Y281" s="253"/>
      <c r="Z281" s="253"/>
    </row>
    <row r="282" spans="16:26" ht="10.199999999999999" customHeight="1">
      <c r="P282" s="254"/>
      <c r="Q282" s="254"/>
      <c r="R282" s="254"/>
      <c r="S282" s="254"/>
      <c r="T282" s="254"/>
      <c r="U282" s="254"/>
      <c r="V282" s="254"/>
      <c r="W282" s="254"/>
      <c r="X282" s="254"/>
      <c r="Y282" s="254"/>
      <c r="Z282" s="254"/>
    </row>
    <row r="283" spans="16:26" ht="10.199999999999999" customHeight="1">
      <c r="P283" s="253"/>
      <c r="Q283" s="253"/>
      <c r="R283" s="253"/>
      <c r="S283" s="253"/>
      <c r="T283" s="253"/>
      <c r="U283" s="253"/>
      <c r="V283" s="253"/>
      <c r="W283" s="253"/>
      <c r="X283" s="253"/>
      <c r="Y283" s="253"/>
      <c r="Z283" s="253"/>
    </row>
    <row r="284" spans="16:26" ht="10.199999999999999" customHeight="1">
      <c r="P284" s="253"/>
      <c r="Q284" s="253"/>
      <c r="R284" s="253"/>
      <c r="S284" s="253"/>
      <c r="T284" s="253"/>
      <c r="U284" s="253"/>
      <c r="V284" s="253"/>
      <c r="W284" s="253"/>
      <c r="X284" s="253"/>
      <c r="Y284" s="253"/>
      <c r="Z284" s="253"/>
    </row>
    <row r="285" spans="16:26" ht="10.199999999999999" customHeight="1">
      <c r="P285" s="254"/>
      <c r="Q285" s="254"/>
      <c r="R285" s="254"/>
      <c r="S285" s="254"/>
      <c r="T285" s="254"/>
      <c r="U285" s="254"/>
      <c r="V285" s="254"/>
      <c r="W285" s="254"/>
      <c r="X285" s="254"/>
      <c r="Y285" s="254"/>
      <c r="Z285" s="254"/>
    </row>
    <row r="286" spans="16:26" ht="10.199999999999999" customHeight="1">
      <c r="P286" s="253"/>
      <c r="Q286" s="253"/>
      <c r="R286" s="253"/>
      <c r="S286" s="253"/>
      <c r="T286" s="253"/>
      <c r="U286" s="253"/>
      <c r="V286" s="253"/>
      <c r="W286" s="253"/>
      <c r="X286" s="253"/>
      <c r="Y286" s="253"/>
      <c r="Z286" s="253"/>
    </row>
    <row r="287" spans="16:26" ht="10.199999999999999" customHeight="1">
      <c r="P287" s="253"/>
      <c r="Q287" s="253"/>
      <c r="R287" s="253"/>
      <c r="S287" s="253"/>
      <c r="T287" s="253"/>
      <c r="U287" s="253"/>
      <c r="V287" s="253"/>
      <c r="W287" s="253"/>
      <c r="X287" s="253"/>
      <c r="Y287" s="253"/>
      <c r="Z287" s="253"/>
    </row>
    <row r="288" spans="16:26" ht="10.199999999999999" customHeight="1">
      <c r="P288" s="254"/>
      <c r="Q288" s="254"/>
      <c r="R288" s="254"/>
      <c r="S288" s="254"/>
      <c r="T288" s="254"/>
      <c r="U288" s="254"/>
      <c r="V288" s="254"/>
      <c r="W288" s="254"/>
      <c r="X288" s="254"/>
      <c r="Y288" s="254"/>
      <c r="Z288" s="254"/>
    </row>
    <row r="289" spans="16:26" ht="10.199999999999999" customHeight="1">
      <c r="P289" s="253"/>
      <c r="Q289" s="253"/>
      <c r="R289" s="253"/>
      <c r="S289" s="253"/>
      <c r="T289" s="253"/>
      <c r="U289" s="253"/>
      <c r="V289" s="253"/>
      <c r="W289" s="253"/>
      <c r="X289" s="253"/>
      <c r="Y289" s="253"/>
      <c r="Z289" s="253"/>
    </row>
    <row r="290" spans="16:26" ht="10.199999999999999" customHeight="1">
      <c r="P290" s="253"/>
      <c r="Q290" s="253"/>
      <c r="R290" s="253"/>
      <c r="S290" s="253"/>
      <c r="T290" s="253"/>
      <c r="U290" s="253"/>
      <c r="V290" s="253"/>
      <c r="W290" s="253"/>
      <c r="X290" s="253"/>
      <c r="Y290" s="253"/>
      <c r="Z290" s="253"/>
    </row>
    <row r="291" spans="16:26" ht="10.199999999999999" customHeight="1">
      <c r="P291" s="254"/>
      <c r="Q291" s="254"/>
      <c r="R291" s="254"/>
      <c r="S291" s="254"/>
      <c r="T291" s="254"/>
      <c r="U291" s="254"/>
      <c r="V291" s="254"/>
      <c r="W291" s="254"/>
      <c r="X291" s="254"/>
      <c r="Y291" s="254"/>
      <c r="Z291" s="254"/>
    </row>
    <row r="292" spans="16:26" ht="10.199999999999999" customHeight="1">
      <c r="P292" s="253"/>
      <c r="Q292" s="253"/>
      <c r="R292" s="253"/>
      <c r="S292" s="253"/>
      <c r="T292" s="253"/>
      <c r="U292" s="253"/>
      <c r="V292" s="253"/>
      <c r="W292" s="253"/>
      <c r="X292" s="253"/>
      <c r="Y292" s="253"/>
      <c r="Z292" s="253"/>
    </row>
    <row r="293" spans="16:26" ht="10.199999999999999" customHeight="1">
      <c r="P293" s="253"/>
      <c r="Q293" s="253"/>
      <c r="R293" s="253"/>
      <c r="S293" s="253"/>
      <c r="T293" s="253"/>
      <c r="U293" s="253"/>
      <c r="V293" s="253"/>
      <c r="W293" s="253"/>
      <c r="X293" s="253"/>
      <c r="Y293" s="253"/>
      <c r="Z293" s="253"/>
    </row>
    <row r="294" spans="16:26" ht="10.199999999999999" customHeight="1">
      <c r="P294" s="254"/>
      <c r="Q294" s="254"/>
      <c r="R294" s="254"/>
      <c r="S294" s="254"/>
      <c r="T294" s="254"/>
      <c r="U294" s="254"/>
      <c r="V294" s="254"/>
      <c r="W294" s="254"/>
      <c r="X294" s="254"/>
      <c r="Y294" s="254"/>
      <c r="Z294" s="254"/>
    </row>
    <row r="295" spans="16:26" ht="10.199999999999999" customHeight="1">
      <c r="P295" s="253"/>
      <c r="Q295" s="253"/>
      <c r="R295" s="253"/>
      <c r="S295" s="253"/>
      <c r="T295" s="253"/>
      <c r="U295" s="253"/>
      <c r="V295" s="253"/>
      <c r="W295" s="253"/>
      <c r="X295" s="253"/>
      <c r="Y295" s="253"/>
      <c r="Z295" s="253"/>
    </row>
    <row r="296" spans="16:26" ht="10.199999999999999" customHeight="1">
      <c r="P296" s="253"/>
      <c r="Q296" s="253"/>
      <c r="R296" s="253"/>
      <c r="S296" s="253"/>
      <c r="T296" s="253"/>
      <c r="U296" s="253"/>
      <c r="V296" s="253"/>
      <c r="W296" s="253"/>
      <c r="X296" s="253"/>
      <c r="Y296" s="253"/>
      <c r="Z296" s="253"/>
    </row>
    <row r="297" spans="16:26" ht="10.199999999999999" customHeight="1">
      <c r="P297" s="254"/>
      <c r="Q297" s="254"/>
      <c r="R297" s="254"/>
      <c r="S297" s="254"/>
      <c r="T297" s="254"/>
      <c r="U297" s="254"/>
      <c r="V297" s="254"/>
      <c r="W297" s="254"/>
      <c r="X297" s="254"/>
      <c r="Y297" s="254"/>
      <c r="Z297" s="254"/>
    </row>
    <row r="298" spans="16:26" ht="10.199999999999999" customHeight="1">
      <c r="P298" s="253"/>
      <c r="Q298" s="253"/>
      <c r="R298" s="253"/>
      <c r="S298" s="253"/>
      <c r="T298" s="253"/>
      <c r="U298" s="253"/>
      <c r="V298" s="253"/>
      <c r="W298" s="253"/>
      <c r="X298" s="253"/>
      <c r="Y298" s="253"/>
      <c r="Z298" s="253"/>
    </row>
    <row r="299" spans="16:26" ht="10.199999999999999" customHeight="1">
      <c r="P299" s="253"/>
      <c r="Q299" s="253"/>
      <c r="R299" s="253"/>
      <c r="S299" s="253"/>
      <c r="T299" s="253"/>
      <c r="U299" s="253"/>
      <c r="V299" s="253"/>
      <c r="W299" s="253"/>
      <c r="X299" s="253"/>
      <c r="Y299" s="253"/>
      <c r="Z299" s="253"/>
    </row>
    <row r="300" spans="16:26" ht="10.199999999999999" customHeight="1">
      <c r="P300" s="254"/>
      <c r="Q300" s="254"/>
      <c r="R300" s="254"/>
      <c r="S300" s="254"/>
      <c r="T300" s="254"/>
      <c r="U300" s="254"/>
      <c r="V300" s="254"/>
      <c r="W300" s="254"/>
      <c r="X300" s="254"/>
      <c r="Y300" s="254"/>
      <c r="Z300" s="254"/>
    </row>
    <row r="301" spans="16:26" ht="10.199999999999999" customHeight="1">
      <c r="P301" s="253"/>
      <c r="Q301" s="253"/>
      <c r="R301" s="253"/>
      <c r="S301" s="253"/>
      <c r="T301" s="253"/>
      <c r="U301" s="253"/>
      <c r="V301" s="253"/>
      <c r="W301" s="253"/>
      <c r="X301" s="253"/>
      <c r="Y301" s="253"/>
      <c r="Z301" s="253"/>
    </row>
    <row r="302" spans="16:26" ht="10.199999999999999" customHeight="1">
      <c r="P302" s="253"/>
      <c r="Q302" s="253"/>
      <c r="R302" s="253"/>
      <c r="S302" s="253"/>
      <c r="T302" s="253"/>
      <c r="U302" s="253"/>
      <c r="V302" s="253"/>
      <c r="W302" s="253"/>
      <c r="X302" s="253"/>
      <c r="Y302" s="253"/>
      <c r="Z302" s="253"/>
    </row>
    <row r="303" spans="16:26" ht="10.199999999999999" customHeight="1">
      <c r="P303" s="254"/>
      <c r="Q303" s="254"/>
      <c r="R303" s="254"/>
      <c r="S303" s="254"/>
      <c r="T303" s="254"/>
      <c r="U303" s="254"/>
      <c r="V303" s="254"/>
      <c r="W303" s="254"/>
      <c r="X303" s="254"/>
      <c r="Y303" s="254"/>
      <c r="Z303" s="254"/>
    </row>
    <row r="304" spans="16:26" ht="10.199999999999999" customHeight="1">
      <c r="P304" s="253"/>
      <c r="Q304" s="253"/>
      <c r="R304" s="253"/>
      <c r="S304" s="253"/>
      <c r="T304" s="253"/>
      <c r="U304" s="253"/>
      <c r="V304" s="253"/>
      <c r="W304" s="253"/>
      <c r="X304" s="253"/>
      <c r="Y304" s="253"/>
      <c r="Z304" s="253"/>
    </row>
    <row r="305" spans="16:26" ht="10.199999999999999" customHeight="1">
      <c r="P305" s="253"/>
      <c r="Q305" s="253"/>
      <c r="R305" s="253"/>
      <c r="S305" s="253"/>
      <c r="T305" s="253"/>
      <c r="U305" s="253"/>
      <c r="V305" s="253"/>
      <c r="W305" s="253"/>
      <c r="X305" s="253"/>
      <c r="Y305" s="253"/>
      <c r="Z305" s="253"/>
    </row>
    <row r="306" spans="16:26" ht="10.199999999999999" customHeight="1">
      <c r="P306" s="254"/>
      <c r="Q306" s="254"/>
      <c r="R306" s="254"/>
      <c r="S306" s="254"/>
      <c r="T306" s="254"/>
      <c r="U306" s="254"/>
      <c r="V306" s="254"/>
      <c r="W306" s="254"/>
      <c r="X306" s="254"/>
      <c r="Y306" s="254"/>
      <c r="Z306" s="254"/>
    </row>
    <row r="307" spans="16:26" ht="10.199999999999999" customHeight="1">
      <c r="P307" s="253"/>
      <c r="Q307" s="253"/>
      <c r="R307" s="253"/>
      <c r="S307" s="253"/>
      <c r="T307" s="253"/>
      <c r="U307" s="253"/>
      <c r="V307" s="253"/>
      <c r="W307" s="253"/>
      <c r="X307" s="253"/>
      <c r="Y307" s="253"/>
      <c r="Z307" s="253"/>
    </row>
    <row r="308" spans="16:26" ht="10.199999999999999" customHeight="1">
      <c r="P308" s="253"/>
      <c r="Q308" s="253"/>
      <c r="R308" s="253"/>
      <c r="S308" s="253"/>
      <c r="T308" s="253"/>
      <c r="U308" s="253"/>
      <c r="V308" s="253"/>
      <c r="W308" s="253"/>
      <c r="X308" s="253"/>
      <c r="Y308" s="253"/>
      <c r="Z308" s="253"/>
    </row>
    <row r="309" spans="16:26" ht="10.199999999999999" customHeight="1">
      <c r="P309" s="254"/>
      <c r="Q309" s="254"/>
      <c r="R309" s="254"/>
      <c r="S309" s="254"/>
      <c r="T309" s="254"/>
      <c r="U309" s="254"/>
      <c r="V309" s="254"/>
      <c r="W309" s="254"/>
      <c r="X309" s="254"/>
      <c r="Y309" s="254"/>
      <c r="Z309" s="254"/>
    </row>
    <row r="310" spans="16:26" ht="10.199999999999999" customHeight="1">
      <c r="P310" s="253"/>
      <c r="Q310" s="253"/>
      <c r="R310" s="253"/>
      <c r="S310" s="253"/>
      <c r="T310" s="253"/>
      <c r="U310" s="253"/>
      <c r="V310" s="253"/>
      <c r="W310" s="253"/>
      <c r="X310" s="253"/>
      <c r="Y310" s="253"/>
      <c r="Z310" s="253"/>
    </row>
    <row r="311" spans="16:26" ht="10.199999999999999" customHeight="1">
      <c r="P311" s="253"/>
      <c r="Q311" s="253"/>
      <c r="R311" s="253"/>
      <c r="S311" s="253"/>
      <c r="T311" s="253"/>
      <c r="U311" s="253"/>
      <c r="V311" s="253"/>
      <c r="W311" s="253"/>
      <c r="X311" s="253"/>
      <c r="Y311" s="253"/>
      <c r="Z311" s="253"/>
    </row>
    <row r="312" spans="16:26" ht="10.199999999999999" customHeight="1">
      <c r="P312" s="254"/>
      <c r="Q312" s="254"/>
      <c r="R312" s="254"/>
      <c r="S312" s="254"/>
      <c r="T312" s="254"/>
      <c r="U312" s="254"/>
      <c r="V312" s="254"/>
      <c r="W312" s="254"/>
      <c r="X312" s="254"/>
      <c r="Y312" s="254"/>
      <c r="Z312" s="254"/>
    </row>
    <row r="313" spans="16:26" ht="10.199999999999999" customHeight="1">
      <c r="P313" s="253"/>
      <c r="Q313" s="253"/>
      <c r="R313" s="253"/>
      <c r="S313" s="253"/>
      <c r="T313" s="253"/>
      <c r="U313" s="253"/>
      <c r="V313" s="253"/>
      <c r="W313" s="253"/>
      <c r="X313" s="253"/>
      <c r="Y313" s="253"/>
      <c r="Z313" s="253"/>
    </row>
    <row r="314" spans="16:26" ht="10.199999999999999" customHeight="1">
      <c r="P314" s="253"/>
      <c r="Q314" s="253"/>
      <c r="R314" s="253"/>
      <c r="S314" s="253"/>
      <c r="T314" s="253"/>
      <c r="U314" s="253"/>
      <c r="V314" s="253"/>
      <c r="W314" s="253"/>
      <c r="X314" s="253"/>
      <c r="Y314" s="253"/>
      <c r="Z314" s="253"/>
    </row>
    <row r="315" spans="16:26" ht="10.199999999999999" customHeight="1">
      <c r="P315" s="254"/>
      <c r="Q315" s="254"/>
      <c r="R315" s="254"/>
      <c r="S315" s="254"/>
      <c r="T315" s="254"/>
      <c r="U315" s="254"/>
      <c r="V315" s="254"/>
      <c r="W315" s="254"/>
      <c r="X315" s="254"/>
      <c r="Y315" s="254"/>
      <c r="Z315" s="254"/>
    </row>
    <row r="316" spans="16:26" ht="10.199999999999999" customHeight="1">
      <c r="P316" s="253"/>
      <c r="Q316" s="253"/>
      <c r="R316" s="253"/>
      <c r="S316" s="253"/>
      <c r="T316" s="253"/>
      <c r="U316" s="253"/>
      <c r="V316" s="253"/>
      <c r="W316" s="253"/>
      <c r="X316" s="253"/>
      <c r="Y316" s="253"/>
      <c r="Z316" s="253"/>
    </row>
    <row r="317" spans="16:26" ht="10.199999999999999" customHeight="1">
      <c r="P317" s="253"/>
      <c r="Q317" s="253"/>
      <c r="R317" s="253"/>
      <c r="S317" s="253"/>
      <c r="T317" s="253"/>
      <c r="U317" s="253"/>
      <c r="V317" s="253"/>
      <c r="W317" s="253"/>
      <c r="X317" s="253"/>
      <c r="Y317" s="253"/>
      <c r="Z317" s="253"/>
    </row>
    <row r="318" spans="16:26" ht="10.199999999999999" customHeight="1">
      <c r="P318" s="254"/>
      <c r="Q318" s="254"/>
      <c r="R318" s="254"/>
      <c r="S318" s="254"/>
      <c r="T318" s="254"/>
      <c r="U318" s="254"/>
      <c r="V318" s="254"/>
      <c r="W318" s="254"/>
      <c r="X318" s="254"/>
      <c r="Y318" s="254"/>
      <c r="Z318" s="254"/>
    </row>
    <row r="319" spans="16:26" ht="10.199999999999999" customHeight="1">
      <c r="P319" s="253"/>
      <c r="Q319" s="253"/>
      <c r="R319" s="253"/>
      <c r="S319" s="253"/>
      <c r="T319" s="253"/>
      <c r="U319" s="253"/>
      <c r="V319" s="253"/>
      <c r="W319" s="253"/>
      <c r="X319" s="253"/>
      <c r="Y319" s="253"/>
      <c r="Z319" s="253"/>
    </row>
    <row r="320" spans="16:26" ht="10.199999999999999" customHeight="1">
      <c r="P320" s="253"/>
      <c r="Q320" s="253"/>
      <c r="R320" s="253"/>
      <c r="S320" s="253"/>
      <c r="T320" s="253"/>
      <c r="U320" s="253"/>
      <c r="V320" s="253"/>
      <c r="W320" s="253"/>
      <c r="X320" s="253"/>
      <c r="Y320" s="253"/>
      <c r="Z320" s="253"/>
    </row>
    <row r="321" spans="16:26" ht="10.199999999999999" customHeight="1">
      <c r="P321" s="254"/>
      <c r="Q321" s="254"/>
      <c r="R321" s="254"/>
      <c r="S321" s="254"/>
      <c r="T321" s="254"/>
      <c r="U321" s="254"/>
      <c r="V321" s="254"/>
      <c r="W321" s="254"/>
      <c r="X321" s="254"/>
      <c r="Y321" s="254"/>
      <c r="Z321" s="254"/>
    </row>
    <row r="322" spans="16:26" ht="10.199999999999999" customHeight="1">
      <c r="P322" s="253"/>
      <c r="Q322" s="253"/>
      <c r="R322" s="253"/>
      <c r="S322" s="253"/>
      <c r="T322" s="253"/>
      <c r="U322" s="253"/>
      <c r="V322" s="253"/>
      <c r="W322" s="253"/>
      <c r="X322" s="253"/>
      <c r="Y322" s="253"/>
      <c r="Z322" s="253"/>
    </row>
    <row r="323" spans="16:26" ht="10.199999999999999" customHeight="1">
      <c r="P323" s="253"/>
      <c r="Q323" s="253"/>
      <c r="R323" s="253"/>
      <c r="S323" s="253"/>
      <c r="T323" s="253"/>
      <c r="U323" s="253"/>
      <c r="V323" s="253"/>
      <c r="W323" s="253"/>
      <c r="X323" s="253"/>
      <c r="Y323" s="253"/>
      <c r="Z323" s="253"/>
    </row>
    <row r="324" spans="16:26" ht="10.199999999999999" customHeight="1">
      <c r="P324" s="254"/>
      <c r="Q324" s="254"/>
      <c r="R324" s="254"/>
      <c r="S324" s="254"/>
      <c r="T324" s="254"/>
      <c r="U324" s="254"/>
      <c r="V324" s="254"/>
      <c r="W324" s="254"/>
      <c r="X324" s="254"/>
      <c r="Y324" s="254"/>
      <c r="Z324" s="254"/>
    </row>
    <row r="325" spans="16:26" ht="10.199999999999999" customHeight="1">
      <c r="P325" s="253"/>
      <c r="Q325" s="253"/>
      <c r="R325" s="253"/>
      <c r="S325" s="253"/>
      <c r="T325" s="253"/>
      <c r="U325" s="253"/>
      <c r="V325" s="253"/>
      <c r="W325" s="253"/>
      <c r="X325" s="253"/>
      <c r="Y325" s="253"/>
      <c r="Z325" s="253"/>
    </row>
    <row r="326" spans="16:26" ht="10.199999999999999" customHeight="1">
      <c r="P326" s="253"/>
      <c r="Q326" s="253"/>
      <c r="R326" s="253"/>
      <c r="S326" s="253"/>
      <c r="T326" s="253"/>
      <c r="U326" s="253"/>
      <c r="V326" s="253"/>
      <c r="W326" s="253"/>
      <c r="X326" s="253"/>
      <c r="Y326" s="253"/>
      <c r="Z326" s="253"/>
    </row>
    <row r="327" spans="16:26" ht="10.199999999999999" customHeight="1">
      <c r="P327" s="254"/>
      <c r="Q327" s="254"/>
      <c r="R327" s="254"/>
      <c r="S327" s="254"/>
      <c r="T327" s="254"/>
      <c r="U327" s="254"/>
      <c r="V327" s="254"/>
      <c r="W327" s="254"/>
      <c r="X327" s="254"/>
      <c r="Y327" s="254"/>
      <c r="Z327" s="254"/>
    </row>
    <row r="328" spans="16:26" ht="10.199999999999999" customHeight="1">
      <c r="P328" s="253"/>
      <c r="Q328" s="253"/>
      <c r="R328" s="253"/>
      <c r="S328" s="253"/>
      <c r="T328" s="253"/>
      <c r="U328" s="253"/>
      <c r="V328" s="253"/>
      <c r="W328" s="253"/>
      <c r="X328" s="253"/>
      <c r="Y328" s="253"/>
      <c r="Z328" s="253"/>
    </row>
    <row r="329" spans="16:26" ht="10.199999999999999" customHeight="1">
      <c r="P329" s="253"/>
      <c r="Q329" s="253"/>
      <c r="R329" s="253"/>
      <c r="S329" s="253"/>
      <c r="T329" s="253"/>
      <c r="U329" s="253"/>
      <c r="V329" s="253"/>
      <c r="W329" s="253"/>
      <c r="X329" s="253"/>
      <c r="Y329" s="253"/>
      <c r="Z329" s="253"/>
    </row>
    <row r="330" spans="16:26" ht="10.199999999999999" customHeight="1">
      <c r="P330" s="254"/>
      <c r="Q330" s="254"/>
      <c r="R330" s="254"/>
      <c r="S330" s="254"/>
      <c r="T330" s="254"/>
      <c r="U330" s="254"/>
      <c r="V330" s="254"/>
      <c r="W330" s="254"/>
      <c r="X330" s="254"/>
      <c r="Y330" s="254"/>
      <c r="Z330" s="254"/>
    </row>
    <row r="331" spans="16:26" ht="10.199999999999999" customHeight="1">
      <c r="P331" s="253"/>
      <c r="Q331" s="253"/>
      <c r="R331" s="253"/>
      <c r="S331" s="253"/>
      <c r="T331" s="253"/>
      <c r="U331" s="253"/>
      <c r="V331" s="253"/>
      <c r="W331" s="253"/>
      <c r="X331" s="253"/>
      <c r="Y331" s="253"/>
      <c r="Z331" s="253"/>
    </row>
    <row r="332" spans="16:26" ht="10.199999999999999" customHeight="1">
      <c r="P332" s="253"/>
      <c r="Q332" s="253"/>
      <c r="R332" s="253"/>
      <c r="S332" s="253"/>
      <c r="T332" s="253"/>
      <c r="U332" s="253"/>
      <c r="V332" s="253"/>
      <c r="W332" s="253"/>
      <c r="X332" s="253"/>
      <c r="Y332" s="253"/>
      <c r="Z332" s="253"/>
    </row>
    <row r="333" spans="16:26" ht="10.199999999999999" customHeight="1">
      <c r="P333" s="254"/>
      <c r="Q333" s="254"/>
      <c r="R333" s="254"/>
      <c r="S333" s="254"/>
      <c r="T333" s="254"/>
      <c r="U333" s="254"/>
      <c r="V333" s="254"/>
      <c r="W333" s="254"/>
      <c r="X333" s="254"/>
      <c r="Y333" s="254"/>
      <c r="Z333" s="254"/>
    </row>
    <row r="334" spans="16:26" ht="10.199999999999999" customHeight="1">
      <c r="P334" s="253"/>
      <c r="Q334" s="253"/>
      <c r="R334" s="253"/>
      <c r="S334" s="253"/>
      <c r="T334" s="253"/>
      <c r="U334" s="253"/>
      <c r="V334" s="253"/>
      <c r="W334" s="253"/>
      <c r="X334" s="253"/>
      <c r="Y334" s="253"/>
      <c r="Z334" s="253"/>
    </row>
    <row r="335" spans="16:26" ht="10.199999999999999" customHeight="1">
      <c r="P335" s="253"/>
      <c r="Q335" s="253"/>
      <c r="R335" s="253"/>
      <c r="S335" s="253"/>
      <c r="T335" s="253"/>
      <c r="U335" s="253"/>
      <c r="V335" s="253"/>
      <c r="W335" s="253"/>
      <c r="X335" s="253"/>
      <c r="Y335" s="253"/>
      <c r="Z335" s="253"/>
    </row>
    <row r="336" spans="16:26" ht="10.199999999999999" customHeight="1">
      <c r="P336" s="254"/>
      <c r="Q336" s="254"/>
      <c r="R336" s="254"/>
      <c r="S336" s="254"/>
      <c r="T336" s="254"/>
      <c r="U336" s="254"/>
      <c r="V336" s="254"/>
      <c r="W336" s="254"/>
      <c r="X336" s="254"/>
      <c r="Y336" s="254"/>
      <c r="Z336" s="254"/>
    </row>
    <row r="337" spans="16:26" ht="10.199999999999999" customHeight="1">
      <c r="P337" s="253"/>
      <c r="Q337" s="253"/>
      <c r="R337" s="253"/>
      <c r="S337" s="253"/>
      <c r="T337" s="253"/>
      <c r="U337" s="253"/>
      <c r="V337" s="253"/>
      <c r="W337" s="253"/>
      <c r="X337" s="253"/>
      <c r="Y337" s="253"/>
      <c r="Z337" s="253"/>
    </row>
    <row r="338" spans="16:26" ht="10.199999999999999" customHeight="1">
      <c r="P338" s="253"/>
      <c r="Q338" s="253"/>
      <c r="R338" s="253"/>
      <c r="S338" s="253"/>
      <c r="T338" s="253"/>
      <c r="U338" s="253"/>
      <c r="V338" s="253"/>
      <c r="W338" s="253"/>
      <c r="X338" s="253"/>
      <c r="Y338" s="253"/>
      <c r="Z338" s="253"/>
    </row>
    <row r="339" spans="16:26" ht="10.199999999999999" customHeight="1">
      <c r="P339" s="254"/>
      <c r="Q339" s="254"/>
      <c r="R339" s="254"/>
      <c r="S339" s="254"/>
      <c r="T339" s="254"/>
      <c r="U339" s="254"/>
      <c r="V339" s="254"/>
      <c r="W339" s="254"/>
      <c r="X339" s="254"/>
      <c r="Y339" s="254"/>
      <c r="Z339" s="254"/>
    </row>
    <row r="340" spans="16:26" ht="10.199999999999999" customHeight="1">
      <c r="P340" s="253"/>
      <c r="Q340" s="253"/>
      <c r="R340" s="253"/>
      <c r="S340" s="253"/>
      <c r="T340" s="253"/>
      <c r="U340" s="253"/>
      <c r="V340" s="253"/>
      <c r="W340" s="253"/>
      <c r="X340" s="253"/>
      <c r="Y340" s="253"/>
      <c r="Z340" s="253"/>
    </row>
    <row r="341" spans="16:26" ht="10.199999999999999" customHeight="1">
      <c r="P341" s="253"/>
      <c r="Q341" s="253"/>
      <c r="R341" s="253"/>
      <c r="S341" s="253"/>
      <c r="T341" s="253"/>
      <c r="U341" s="253"/>
      <c r="V341" s="253"/>
      <c r="W341" s="253"/>
      <c r="X341" s="253"/>
      <c r="Y341" s="253"/>
      <c r="Z341" s="253"/>
    </row>
    <row r="342" spans="16:26" ht="10.199999999999999" customHeight="1">
      <c r="P342" s="254"/>
      <c r="Q342" s="254"/>
      <c r="R342" s="254"/>
      <c r="S342" s="254"/>
      <c r="T342" s="254"/>
      <c r="U342" s="254"/>
      <c r="V342" s="254"/>
      <c r="W342" s="254"/>
      <c r="X342" s="254"/>
      <c r="Y342" s="254"/>
      <c r="Z342" s="254"/>
    </row>
    <row r="343" spans="16:26" ht="10.199999999999999" customHeight="1">
      <c r="P343" s="253"/>
      <c r="Q343" s="253"/>
      <c r="R343" s="253"/>
      <c r="S343" s="253"/>
      <c r="T343" s="253"/>
      <c r="U343" s="253"/>
      <c r="V343" s="253"/>
      <c r="W343" s="253"/>
      <c r="X343" s="253"/>
      <c r="Y343" s="253"/>
      <c r="Z343" s="253"/>
    </row>
    <row r="344" spans="16:26" ht="10.199999999999999" customHeight="1">
      <c r="P344" s="253"/>
      <c r="Q344" s="253"/>
      <c r="R344" s="253"/>
      <c r="S344" s="253"/>
      <c r="T344" s="253"/>
      <c r="U344" s="253"/>
      <c r="V344" s="253"/>
      <c r="W344" s="253"/>
      <c r="X344" s="253"/>
      <c r="Y344" s="253"/>
      <c r="Z344" s="253"/>
    </row>
    <row r="345" spans="16:26" ht="10.199999999999999" customHeight="1">
      <c r="P345" s="254"/>
      <c r="Q345" s="254"/>
      <c r="R345" s="254"/>
      <c r="S345" s="254"/>
      <c r="T345" s="254"/>
      <c r="U345" s="254"/>
      <c r="V345" s="254"/>
      <c r="W345" s="254"/>
      <c r="X345" s="254"/>
      <c r="Y345" s="254"/>
      <c r="Z345" s="254"/>
    </row>
    <row r="346" spans="16:26" ht="10.199999999999999" customHeight="1">
      <c r="P346" s="253"/>
      <c r="Q346" s="253"/>
      <c r="R346" s="253"/>
      <c r="S346" s="253"/>
      <c r="T346" s="253"/>
      <c r="U346" s="253"/>
      <c r="V346" s="253"/>
      <c r="W346" s="253"/>
      <c r="X346" s="253"/>
      <c r="Y346" s="253"/>
      <c r="Z346" s="253"/>
    </row>
    <row r="347" spans="16:26" ht="10.199999999999999" customHeight="1">
      <c r="P347" s="253"/>
      <c r="Q347" s="253"/>
      <c r="R347" s="253"/>
      <c r="S347" s="253"/>
      <c r="T347" s="253"/>
      <c r="U347" s="253"/>
      <c r="V347" s="253"/>
      <c r="W347" s="253"/>
      <c r="X347" s="253"/>
      <c r="Y347" s="253"/>
      <c r="Z347" s="253"/>
    </row>
    <row r="348" spans="16:26" ht="10.199999999999999" customHeight="1">
      <c r="P348" s="254"/>
      <c r="Q348" s="254"/>
      <c r="R348" s="254"/>
      <c r="S348" s="254"/>
      <c r="T348" s="254"/>
      <c r="U348" s="254"/>
      <c r="V348" s="254"/>
      <c r="W348" s="254"/>
      <c r="X348" s="254"/>
      <c r="Y348" s="254"/>
      <c r="Z348" s="254"/>
    </row>
    <row r="349" spans="16:26" ht="10.199999999999999" customHeight="1">
      <c r="P349" s="253"/>
      <c r="Q349" s="253"/>
      <c r="R349" s="253"/>
      <c r="S349" s="253"/>
      <c r="T349" s="253"/>
      <c r="U349" s="253"/>
      <c r="V349" s="253"/>
      <c r="W349" s="253"/>
      <c r="X349" s="253"/>
      <c r="Y349" s="253"/>
      <c r="Z349" s="253"/>
    </row>
    <row r="350" spans="16:26" ht="10.199999999999999" customHeight="1">
      <c r="P350" s="253"/>
      <c r="Q350" s="253"/>
      <c r="R350" s="253"/>
      <c r="S350" s="253"/>
      <c r="T350" s="253"/>
      <c r="U350" s="253"/>
      <c r="V350" s="253"/>
      <c r="W350" s="253"/>
      <c r="X350" s="253"/>
      <c r="Y350" s="253"/>
      <c r="Z350" s="253"/>
    </row>
    <row r="351" spans="16:26" ht="10.199999999999999" customHeight="1">
      <c r="P351" s="254"/>
      <c r="Q351" s="254"/>
      <c r="R351" s="254"/>
      <c r="S351" s="254"/>
      <c r="T351" s="254"/>
      <c r="U351" s="254"/>
      <c r="V351" s="254"/>
      <c r="W351" s="254"/>
      <c r="X351" s="254"/>
      <c r="Y351" s="254"/>
      <c r="Z351" s="254"/>
    </row>
    <row r="352" spans="16:26" ht="10.199999999999999" customHeight="1">
      <c r="P352" s="253"/>
      <c r="Q352" s="253"/>
      <c r="R352" s="253"/>
      <c r="S352" s="253"/>
      <c r="T352" s="253"/>
      <c r="U352" s="253"/>
      <c r="V352" s="253"/>
      <c r="W352" s="253"/>
      <c r="X352" s="253"/>
      <c r="Y352" s="253"/>
      <c r="Z352" s="253"/>
    </row>
    <row r="353" spans="16:26" ht="10.199999999999999" customHeight="1">
      <c r="P353" s="253"/>
      <c r="Q353" s="253"/>
      <c r="R353" s="253"/>
      <c r="S353" s="253"/>
      <c r="T353" s="253"/>
      <c r="U353" s="253"/>
      <c r="V353" s="253"/>
      <c r="W353" s="253"/>
      <c r="X353" s="253"/>
      <c r="Y353" s="253"/>
      <c r="Z353" s="253"/>
    </row>
    <row r="354" spans="16:26" ht="10.199999999999999" customHeight="1">
      <c r="P354" s="254"/>
      <c r="Q354" s="254"/>
      <c r="R354" s="254"/>
      <c r="S354" s="254"/>
      <c r="T354" s="254"/>
      <c r="U354" s="254"/>
      <c r="V354" s="254"/>
      <c r="W354" s="254"/>
      <c r="X354" s="254"/>
      <c r="Y354" s="254"/>
      <c r="Z354" s="254"/>
    </row>
    <row r="355" spans="16:26" ht="10.199999999999999" customHeight="1">
      <c r="P355" s="253"/>
      <c r="Q355" s="253"/>
      <c r="R355" s="253"/>
      <c r="S355" s="253"/>
      <c r="T355" s="253"/>
      <c r="U355" s="253"/>
      <c r="V355" s="253"/>
      <c r="W355" s="253"/>
      <c r="X355" s="253"/>
      <c r="Y355" s="253"/>
      <c r="Z355" s="253"/>
    </row>
    <row r="356" spans="16:26" ht="10.199999999999999" customHeight="1">
      <c r="P356" s="253"/>
      <c r="Q356" s="253"/>
      <c r="R356" s="253"/>
      <c r="S356" s="253"/>
      <c r="T356" s="253"/>
      <c r="U356" s="253"/>
      <c r="V356" s="253"/>
      <c r="W356" s="253"/>
      <c r="X356" s="253"/>
      <c r="Y356" s="253"/>
      <c r="Z356" s="253"/>
    </row>
    <row r="357" spans="16:26" ht="10.199999999999999" customHeight="1">
      <c r="P357" s="254"/>
      <c r="Q357" s="254"/>
      <c r="R357" s="254"/>
      <c r="S357" s="254"/>
      <c r="T357" s="254"/>
      <c r="U357" s="254"/>
      <c r="V357" s="254"/>
      <c r="W357" s="254"/>
      <c r="X357" s="254"/>
      <c r="Y357" s="254"/>
      <c r="Z357" s="254"/>
    </row>
    <row r="358" spans="16:26" ht="10.199999999999999" customHeight="1">
      <c r="P358" s="253"/>
      <c r="Q358" s="253"/>
      <c r="R358" s="253"/>
      <c r="S358" s="253"/>
      <c r="T358" s="253"/>
      <c r="U358" s="253"/>
      <c r="V358" s="253"/>
      <c r="W358" s="253"/>
      <c r="X358" s="253"/>
      <c r="Y358" s="253"/>
      <c r="Z358" s="253"/>
    </row>
    <row r="359" spans="16:26" ht="10.199999999999999" customHeight="1">
      <c r="P359" s="253"/>
      <c r="Q359" s="253"/>
      <c r="R359" s="253"/>
      <c r="S359" s="253"/>
      <c r="T359" s="253"/>
      <c r="U359" s="253"/>
      <c r="V359" s="253"/>
      <c r="W359" s="253"/>
      <c r="X359" s="253"/>
      <c r="Y359" s="253"/>
      <c r="Z359" s="253"/>
    </row>
    <row r="360" spans="16:26" ht="10.199999999999999" customHeight="1">
      <c r="P360" s="254"/>
      <c r="Q360" s="254"/>
      <c r="R360" s="254"/>
      <c r="S360" s="254"/>
      <c r="T360" s="254"/>
      <c r="U360" s="254"/>
      <c r="V360" s="254"/>
      <c r="W360" s="254"/>
      <c r="X360" s="254"/>
      <c r="Y360" s="254"/>
      <c r="Z360" s="254"/>
    </row>
    <row r="361" spans="16:26" ht="10.199999999999999" customHeight="1">
      <c r="P361" s="253"/>
      <c r="Q361" s="253"/>
      <c r="R361" s="253"/>
      <c r="S361" s="253"/>
      <c r="T361" s="253"/>
      <c r="U361" s="253"/>
      <c r="V361" s="253"/>
      <c r="W361" s="253"/>
      <c r="X361" s="253"/>
      <c r="Y361" s="253"/>
      <c r="Z361" s="253"/>
    </row>
    <row r="362" spans="16:26" ht="10.199999999999999" customHeight="1">
      <c r="P362" s="253"/>
      <c r="Q362" s="253"/>
      <c r="R362" s="253"/>
      <c r="S362" s="253"/>
      <c r="T362" s="253"/>
      <c r="U362" s="253"/>
      <c r="V362" s="253"/>
      <c r="W362" s="253"/>
      <c r="X362" s="253"/>
      <c r="Y362" s="253"/>
      <c r="Z362" s="253"/>
    </row>
    <row r="363" spans="16:26" ht="10.199999999999999" customHeight="1">
      <c r="P363" s="254"/>
      <c r="Q363" s="254"/>
      <c r="R363" s="254"/>
      <c r="S363" s="254"/>
      <c r="T363" s="254"/>
      <c r="U363" s="254"/>
      <c r="V363" s="254"/>
      <c r="W363" s="254"/>
      <c r="X363" s="254"/>
      <c r="Y363" s="254"/>
      <c r="Z363" s="254"/>
    </row>
    <row r="364" spans="16:26" ht="10.199999999999999" customHeight="1">
      <c r="P364" s="253"/>
      <c r="Q364" s="253"/>
      <c r="R364" s="253"/>
      <c r="S364" s="253"/>
      <c r="T364" s="253"/>
      <c r="U364" s="253"/>
      <c r="V364" s="253"/>
      <c r="W364" s="253"/>
      <c r="X364" s="253"/>
      <c r="Y364" s="253"/>
      <c r="Z364" s="253"/>
    </row>
    <row r="365" spans="16:26" ht="10.199999999999999" customHeight="1">
      <c r="P365" s="253"/>
      <c r="Q365" s="253"/>
      <c r="R365" s="253"/>
      <c r="S365" s="253"/>
      <c r="T365" s="253"/>
      <c r="U365" s="253"/>
      <c r="V365" s="253"/>
      <c r="W365" s="253"/>
      <c r="X365" s="253"/>
      <c r="Y365" s="253"/>
      <c r="Z365" s="253"/>
    </row>
    <row r="366" spans="16:26" ht="10.199999999999999" customHeight="1">
      <c r="P366" s="254"/>
      <c r="Q366" s="254"/>
      <c r="R366" s="254"/>
      <c r="S366" s="254"/>
      <c r="T366" s="254"/>
      <c r="U366" s="254"/>
      <c r="V366" s="254"/>
      <c r="W366" s="254"/>
      <c r="X366" s="254"/>
      <c r="Y366" s="254"/>
      <c r="Z366" s="254"/>
    </row>
    <row r="367" spans="16:26" ht="10.199999999999999" customHeight="1">
      <c r="P367" s="253"/>
      <c r="Q367" s="253"/>
      <c r="R367" s="253"/>
      <c r="S367" s="253"/>
      <c r="T367" s="253"/>
      <c r="U367" s="253"/>
      <c r="V367" s="253"/>
      <c r="W367" s="253"/>
      <c r="X367" s="253"/>
      <c r="Y367" s="253"/>
      <c r="Z367" s="253"/>
    </row>
    <row r="368" spans="16:26" ht="10.199999999999999" customHeight="1">
      <c r="P368" s="253"/>
      <c r="Q368" s="253"/>
      <c r="R368" s="253"/>
      <c r="S368" s="253"/>
      <c r="T368" s="253"/>
      <c r="U368" s="253"/>
      <c r="V368" s="253"/>
      <c r="W368" s="253"/>
      <c r="X368" s="253"/>
      <c r="Y368" s="253"/>
      <c r="Z368" s="253"/>
    </row>
    <row r="369" spans="16:26" ht="10.199999999999999" customHeight="1">
      <c r="P369" s="254"/>
      <c r="Q369" s="254"/>
      <c r="R369" s="254"/>
      <c r="S369" s="254"/>
      <c r="T369" s="254"/>
      <c r="U369" s="254"/>
      <c r="V369" s="254"/>
      <c r="W369" s="254"/>
      <c r="X369" s="254"/>
      <c r="Y369" s="254"/>
      <c r="Z369" s="254"/>
    </row>
    <row r="370" spans="16:26" ht="10.199999999999999" customHeight="1">
      <c r="P370" s="253"/>
      <c r="Q370" s="253"/>
      <c r="R370" s="253"/>
      <c r="S370" s="253"/>
      <c r="T370" s="253"/>
      <c r="U370" s="253"/>
      <c r="V370" s="253"/>
      <c r="W370" s="253"/>
      <c r="X370" s="253"/>
      <c r="Y370" s="253"/>
      <c r="Z370" s="253"/>
    </row>
    <row r="371" spans="16:26" ht="10.199999999999999" customHeight="1">
      <c r="P371" s="253"/>
      <c r="Q371" s="253"/>
      <c r="R371" s="253"/>
      <c r="S371" s="253"/>
      <c r="T371" s="253"/>
      <c r="U371" s="253"/>
      <c r="V371" s="253"/>
      <c r="W371" s="253"/>
      <c r="X371" s="253"/>
      <c r="Y371" s="253"/>
      <c r="Z371" s="253"/>
    </row>
    <row r="372" spans="16:26" ht="10.199999999999999" customHeight="1">
      <c r="P372" s="254"/>
      <c r="Q372" s="254"/>
      <c r="R372" s="254"/>
      <c r="S372" s="254"/>
      <c r="T372" s="254"/>
      <c r="U372" s="254"/>
      <c r="V372" s="254"/>
      <c r="W372" s="254"/>
      <c r="X372" s="254"/>
      <c r="Y372" s="254"/>
      <c r="Z372" s="254"/>
    </row>
    <row r="373" spans="16:26" ht="10.199999999999999" customHeight="1">
      <c r="P373" s="253"/>
      <c r="Q373" s="253"/>
      <c r="R373" s="253"/>
      <c r="S373" s="253"/>
      <c r="T373" s="253"/>
      <c r="U373" s="253"/>
      <c r="V373" s="253"/>
      <c r="W373" s="253"/>
      <c r="X373" s="253"/>
      <c r="Y373" s="253"/>
      <c r="Z373" s="253"/>
    </row>
    <row r="374" spans="16:26" ht="10.199999999999999" customHeight="1">
      <c r="P374" s="253"/>
      <c r="Q374" s="253"/>
      <c r="R374" s="253"/>
      <c r="S374" s="253"/>
      <c r="T374" s="253"/>
      <c r="U374" s="253"/>
      <c r="V374" s="253"/>
      <c r="W374" s="253"/>
      <c r="X374" s="253"/>
      <c r="Y374" s="253"/>
      <c r="Z374" s="253"/>
    </row>
    <row r="375" spans="16:26" ht="10.199999999999999" customHeight="1">
      <c r="P375" s="254"/>
      <c r="Q375" s="254"/>
      <c r="R375" s="254"/>
      <c r="S375" s="254"/>
      <c r="T375" s="254"/>
      <c r="U375" s="254"/>
      <c r="V375" s="254"/>
      <c r="W375" s="254"/>
      <c r="X375" s="254"/>
      <c r="Y375" s="254"/>
      <c r="Z375" s="254"/>
    </row>
    <row r="376" spans="16:26" ht="10.199999999999999" customHeight="1">
      <c r="P376" s="253"/>
      <c r="Q376" s="253"/>
      <c r="R376" s="253"/>
      <c r="S376" s="253"/>
      <c r="T376" s="253"/>
      <c r="U376" s="253"/>
      <c r="V376" s="253"/>
      <c r="W376" s="253"/>
      <c r="X376" s="253"/>
      <c r="Y376" s="253"/>
      <c r="Z376" s="253"/>
    </row>
    <row r="377" spans="16:26" ht="10.199999999999999" customHeight="1">
      <c r="P377" s="253"/>
      <c r="Q377" s="253"/>
      <c r="R377" s="253"/>
      <c r="S377" s="253"/>
      <c r="T377" s="253"/>
      <c r="U377" s="253"/>
      <c r="V377" s="253"/>
      <c r="W377" s="253"/>
      <c r="X377" s="253"/>
      <c r="Y377" s="253"/>
      <c r="Z377" s="253"/>
    </row>
    <row r="378" spans="16:26" ht="10.199999999999999" customHeight="1">
      <c r="P378" s="254"/>
      <c r="Q378" s="254"/>
      <c r="R378" s="254"/>
      <c r="S378" s="254"/>
      <c r="T378" s="254"/>
      <c r="U378" s="254"/>
      <c r="V378" s="254"/>
      <c r="W378" s="254"/>
      <c r="X378" s="254"/>
      <c r="Y378" s="254"/>
      <c r="Z378" s="254"/>
    </row>
    <row r="379" spans="16:26" ht="10.199999999999999" customHeight="1">
      <c r="P379" s="253"/>
      <c r="Q379" s="253"/>
      <c r="R379" s="253"/>
      <c r="S379" s="253"/>
      <c r="T379" s="253"/>
      <c r="U379" s="253"/>
      <c r="V379" s="253"/>
      <c r="W379" s="253"/>
      <c r="X379" s="253"/>
      <c r="Y379" s="253"/>
      <c r="Z379" s="253"/>
    </row>
    <row r="380" spans="16:26" ht="10.199999999999999" customHeight="1">
      <c r="P380" s="253"/>
      <c r="Q380" s="253"/>
      <c r="R380" s="253"/>
      <c r="S380" s="253"/>
      <c r="T380" s="253"/>
      <c r="U380" s="253"/>
      <c r="V380" s="253"/>
      <c r="W380" s="253"/>
      <c r="X380" s="253"/>
      <c r="Y380" s="253"/>
      <c r="Z380" s="253"/>
    </row>
    <row r="381" spans="16:26" ht="10.199999999999999" customHeight="1">
      <c r="P381" s="254"/>
      <c r="Q381" s="254"/>
      <c r="R381" s="254"/>
      <c r="S381" s="254"/>
      <c r="T381" s="254"/>
      <c r="U381" s="254"/>
      <c r="V381" s="254"/>
      <c r="W381" s="254"/>
      <c r="X381" s="254"/>
      <c r="Y381" s="254"/>
      <c r="Z381" s="254"/>
    </row>
    <row r="382" spans="16:26" ht="10.199999999999999" customHeight="1">
      <c r="P382" s="253"/>
      <c r="Q382" s="253"/>
      <c r="R382" s="253"/>
      <c r="S382" s="253"/>
      <c r="T382" s="253"/>
      <c r="U382" s="253"/>
      <c r="V382" s="253"/>
      <c r="W382" s="253"/>
      <c r="X382" s="253"/>
      <c r="Y382" s="253"/>
      <c r="Z382" s="253"/>
    </row>
    <row r="383" spans="16:26" ht="10.199999999999999" customHeight="1">
      <c r="P383" s="253"/>
      <c r="Q383" s="253"/>
      <c r="R383" s="253"/>
      <c r="S383" s="253"/>
      <c r="T383" s="253"/>
      <c r="U383" s="253"/>
      <c r="V383" s="253"/>
      <c r="W383" s="253"/>
      <c r="X383" s="253"/>
      <c r="Y383" s="253"/>
      <c r="Z383" s="253"/>
    </row>
    <row r="384" spans="16:26" ht="10.199999999999999" customHeight="1">
      <c r="P384" s="254"/>
      <c r="Q384" s="254"/>
      <c r="R384" s="254"/>
      <c r="S384" s="254"/>
      <c r="T384" s="254"/>
      <c r="U384" s="254"/>
      <c r="V384" s="254"/>
      <c r="W384" s="254"/>
      <c r="X384" s="254"/>
      <c r="Y384" s="254"/>
      <c r="Z384" s="254"/>
    </row>
    <row r="385" spans="16:26" ht="10.199999999999999" customHeight="1">
      <c r="P385" s="253"/>
      <c r="Q385" s="253"/>
      <c r="R385" s="253"/>
      <c r="S385" s="253"/>
      <c r="T385" s="253"/>
      <c r="U385" s="253"/>
      <c r="V385" s="253"/>
      <c r="W385" s="253"/>
      <c r="X385" s="253"/>
      <c r="Y385" s="253"/>
      <c r="Z385" s="253"/>
    </row>
    <row r="386" spans="16:26" ht="10.199999999999999" customHeight="1">
      <c r="P386" s="253"/>
      <c r="Q386" s="253"/>
      <c r="R386" s="253"/>
      <c r="S386" s="253"/>
      <c r="T386" s="253"/>
      <c r="U386" s="253"/>
      <c r="V386" s="253"/>
      <c r="W386" s="253"/>
      <c r="X386" s="253"/>
      <c r="Y386" s="253"/>
      <c r="Z386" s="253"/>
    </row>
    <row r="387" spans="16:26" ht="10.199999999999999" customHeight="1">
      <c r="P387" s="254"/>
      <c r="Q387" s="254"/>
      <c r="R387" s="254"/>
      <c r="S387" s="254"/>
      <c r="T387" s="254"/>
      <c r="U387" s="254"/>
      <c r="V387" s="254"/>
      <c r="W387" s="254"/>
      <c r="X387" s="254"/>
      <c r="Y387" s="254"/>
      <c r="Z387" s="254"/>
    </row>
    <row r="388" spans="16:26" ht="10.199999999999999" customHeight="1">
      <c r="P388" s="253"/>
      <c r="Q388" s="253"/>
      <c r="R388" s="253"/>
      <c r="S388" s="253"/>
      <c r="T388" s="253"/>
      <c r="U388" s="253"/>
      <c r="V388" s="253"/>
      <c r="W388" s="253"/>
      <c r="X388" s="253"/>
      <c r="Y388" s="253"/>
      <c r="Z388" s="253"/>
    </row>
    <row r="389" spans="16:26" ht="10.199999999999999" customHeight="1">
      <c r="P389" s="253"/>
      <c r="Q389" s="253"/>
      <c r="R389" s="253"/>
      <c r="S389" s="253"/>
      <c r="T389" s="253"/>
      <c r="U389" s="253"/>
      <c r="V389" s="253"/>
      <c r="W389" s="253"/>
      <c r="X389" s="253"/>
      <c r="Y389" s="253"/>
      <c r="Z389" s="253"/>
    </row>
    <row r="390" spans="16:26" ht="10.199999999999999" customHeight="1">
      <c r="P390" s="254"/>
      <c r="Q390" s="254"/>
      <c r="R390" s="254"/>
      <c r="S390" s="254"/>
      <c r="T390" s="254"/>
      <c r="U390" s="254"/>
      <c r="V390" s="254"/>
      <c r="W390" s="254"/>
      <c r="X390" s="254"/>
      <c r="Y390" s="254"/>
      <c r="Z390" s="254"/>
    </row>
    <row r="391" spans="16:26" ht="10.199999999999999" customHeight="1">
      <c r="P391" s="253"/>
      <c r="Q391" s="253"/>
      <c r="R391" s="253"/>
      <c r="S391" s="253"/>
      <c r="T391" s="253"/>
      <c r="U391" s="253"/>
      <c r="V391" s="253"/>
      <c r="W391" s="253"/>
      <c r="X391" s="253"/>
      <c r="Y391" s="253"/>
      <c r="Z391" s="253"/>
    </row>
    <row r="392" spans="16:26" ht="10.199999999999999" customHeight="1">
      <c r="P392" s="253"/>
      <c r="Q392" s="253"/>
      <c r="R392" s="253"/>
      <c r="S392" s="253"/>
      <c r="T392" s="253"/>
      <c r="U392" s="253"/>
      <c r="V392" s="253"/>
      <c r="W392" s="253"/>
      <c r="X392" s="253"/>
      <c r="Y392" s="253"/>
      <c r="Z392" s="253"/>
    </row>
    <row r="393" spans="16:26" ht="10.199999999999999" customHeight="1">
      <c r="P393" s="254"/>
      <c r="Q393" s="254"/>
      <c r="R393" s="254"/>
      <c r="S393" s="254"/>
      <c r="T393" s="254"/>
      <c r="U393" s="254"/>
      <c r="V393" s="254"/>
      <c r="W393" s="254"/>
      <c r="X393" s="254"/>
      <c r="Y393" s="254"/>
      <c r="Z393" s="254"/>
    </row>
    <row r="394" spans="16:26" ht="10.199999999999999" customHeight="1">
      <c r="P394" s="253"/>
      <c r="Q394" s="253"/>
      <c r="R394" s="253"/>
      <c r="S394" s="253"/>
      <c r="T394" s="253"/>
      <c r="U394" s="253"/>
      <c r="V394" s="253"/>
      <c r="W394" s="253"/>
      <c r="X394" s="253"/>
      <c r="Y394" s="253"/>
      <c r="Z394" s="253"/>
    </row>
    <row r="395" spans="16:26" ht="10.199999999999999" customHeight="1">
      <c r="P395" s="253"/>
      <c r="Q395" s="253"/>
      <c r="R395" s="253"/>
      <c r="S395" s="253"/>
      <c r="T395" s="253"/>
      <c r="U395" s="253"/>
      <c r="V395" s="253"/>
      <c r="W395" s="253"/>
      <c r="X395" s="253"/>
      <c r="Y395" s="253"/>
      <c r="Z395" s="253"/>
    </row>
    <row r="396" spans="16:26" ht="10.199999999999999" customHeight="1">
      <c r="P396" s="254"/>
      <c r="Q396" s="254"/>
      <c r="R396" s="254"/>
      <c r="S396" s="254"/>
      <c r="T396" s="254"/>
      <c r="U396" s="254"/>
      <c r="V396" s="254"/>
      <c r="W396" s="254"/>
      <c r="X396" s="254"/>
      <c r="Y396" s="254"/>
      <c r="Z396" s="254"/>
    </row>
    <row r="397" spans="16:26" ht="10.199999999999999" customHeight="1">
      <c r="P397" s="253"/>
      <c r="Q397" s="253"/>
      <c r="R397" s="253"/>
      <c r="S397" s="253"/>
      <c r="T397" s="253"/>
      <c r="U397" s="253"/>
      <c r="V397" s="253"/>
      <c r="W397" s="253"/>
      <c r="X397" s="253"/>
      <c r="Y397" s="253"/>
      <c r="Z397" s="253"/>
    </row>
    <row r="398" spans="16:26" ht="10.199999999999999" customHeight="1">
      <c r="P398" s="253"/>
      <c r="Q398" s="253"/>
      <c r="R398" s="253"/>
      <c r="S398" s="253"/>
      <c r="T398" s="253"/>
      <c r="U398" s="253"/>
      <c r="V398" s="253"/>
      <c r="W398" s="253"/>
      <c r="X398" s="253"/>
      <c r="Y398" s="253"/>
      <c r="Z398" s="253"/>
    </row>
    <row r="399" spans="16:26" ht="10.199999999999999" customHeight="1">
      <c r="P399" s="254"/>
      <c r="Q399" s="254"/>
      <c r="R399" s="254"/>
      <c r="S399" s="254"/>
      <c r="T399" s="254"/>
      <c r="U399" s="254"/>
      <c r="V399" s="254"/>
      <c r="W399" s="254"/>
      <c r="X399" s="254"/>
      <c r="Y399" s="254"/>
      <c r="Z399" s="254"/>
    </row>
    <row r="400" spans="16:26" ht="10.199999999999999" customHeight="1">
      <c r="P400" s="253"/>
      <c r="Q400" s="253"/>
      <c r="R400" s="253"/>
      <c r="S400" s="253"/>
      <c r="T400" s="253"/>
      <c r="U400" s="253"/>
      <c r="V400" s="253"/>
      <c r="W400" s="253"/>
      <c r="X400" s="253"/>
      <c r="Y400" s="253"/>
      <c r="Z400" s="253"/>
    </row>
    <row r="401" spans="16:26" ht="10.199999999999999" customHeight="1">
      <c r="P401" s="253"/>
      <c r="Q401" s="253"/>
      <c r="R401" s="253"/>
      <c r="S401" s="253"/>
      <c r="T401" s="253"/>
      <c r="U401" s="253"/>
      <c r="V401" s="253"/>
      <c r="W401" s="253"/>
      <c r="X401" s="253"/>
      <c r="Y401" s="253"/>
      <c r="Z401" s="253"/>
    </row>
    <row r="402" spans="16:26" ht="10.199999999999999" customHeight="1">
      <c r="P402" s="254"/>
      <c r="Q402" s="254"/>
      <c r="R402" s="254"/>
      <c r="S402" s="254"/>
      <c r="T402" s="254"/>
      <c r="U402" s="254"/>
      <c r="V402" s="254"/>
      <c r="W402" s="254"/>
      <c r="X402" s="254"/>
      <c r="Y402" s="254"/>
      <c r="Z402" s="254"/>
    </row>
    <row r="403" spans="16:26" ht="10.199999999999999" customHeight="1">
      <c r="P403" s="253"/>
      <c r="Q403" s="253"/>
      <c r="R403" s="253"/>
      <c r="S403" s="253"/>
      <c r="T403" s="253"/>
      <c r="U403" s="253"/>
      <c r="V403" s="253"/>
      <c r="W403" s="253"/>
      <c r="X403" s="253"/>
      <c r="Y403" s="253"/>
      <c r="Z403" s="253"/>
    </row>
    <row r="404" spans="16:26" ht="10.199999999999999" customHeight="1">
      <c r="P404" s="253"/>
      <c r="Q404" s="253"/>
      <c r="R404" s="253"/>
      <c r="S404" s="253"/>
      <c r="T404" s="253"/>
      <c r="U404" s="253"/>
      <c r="V404" s="253"/>
      <c r="W404" s="253"/>
      <c r="X404" s="253"/>
      <c r="Y404" s="253"/>
      <c r="Z404" s="253"/>
    </row>
    <row r="405" spans="16:26" ht="10.199999999999999" customHeight="1">
      <c r="P405" s="254"/>
      <c r="Q405" s="254"/>
      <c r="R405" s="254"/>
      <c r="S405" s="254"/>
      <c r="T405" s="254"/>
      <c r="U405" s="254"/>
      <c r="V405" s="254"/>
      <c r="W405" s="254"/>
      <c r="X405" s="254"/>
      <c r="Y405" s="254"/>
      <c r="Z405" s="254"/>
    </row>
    <row r="406" spans="16:26" ht="10.199999999999999" customHeight="1">
      <c r="P406" s="253"/>
      <c r="Q406" s="253"/>
      <c r="R406" s="253"/>
      <c r="S406" s="253"/>
      <c r="T406" s="253"/>
      <c r="U406" s="253"/>
      <c r="V406" s="253"/>
      <c r="W406" s="253"/>
      <c r="X406" s="253"/>
      <c r="Y406" s="253"/>
      <c r="Z406" s="253"/>
    </row>
    <row r="407" spans="16:26" ht="10.199999999999999" customHeight="1">
      <c r="P407" s="253"/>
      <c r="Q407" s="253"/>
      <c r="R407" s="253"/>
      <c r="S407" s="253"/>
      <c r="T407" s="253"/>
      <c r="U407" s="253"/>
      <c r="V407" s="253"/>
      <c r="W407" s="253"/>
      <c r="X407" s="253"/>
      <c r="Y407" s="253"/>
      <c r="Z407" s="253"/>
    </row>
    <row r="408" spans="16:26" ht="10.199999999999999" customHeight="1">
      <c r="P408" s="254"/>
      <c r="Q408" s="254"/>
      <c r="R408" s="254"/>
      <c r="S408" s="254"/>
      <c r="T408" s="254"/>
      <c r="U408" s="254"/>
      <c r="V408" s="254"/>
      <c r="W408" s="254"/>
      <c r="X408" s="254"/>
      <c r="Y408" s="254"/>
      <c r="Z408" s="254"/>
    </row>
    <row r="409" spans="16:26" ht="10.199999999999999" customHeight="1">
      <c r="P409" s="253"/>
      <c r="Q409" s="253"/>
      <c r="R409" s="253"/>
      <c r="S409" s="253"/>
      <c r="T409" s="253"/>
      <c r="U409" s="253"/>
      <c r="V409" s="253"/>
      <c r="W409" s="253"/>
      <c r="X409" s="253"/>
      <c r="Y409" s="253"/>
      <c r="Z409" s="253"/>
    </row>
    <row r="410" spans="16:26" ht="10.199999999999999" customHeight="1">
      <c r="P410" s="253"/>
      <c r="Q410" s="253"/>
      <c r="R410" s="253"/>
      <c r="S410" s="253"/>
      <c r="T410" s="253"/>
      <c r="U410" s="253"/>
      <c r="V410" s="253"/>
      <c r="W410" s="253"/>
      <c r="X410" s="253"/>
      <c r="Y410" s="253"/>
      <c r="Z410" s="253"/>
    </row>
    <row r="411" spans="16:26" ht="10.199999999999999" customHeight="1">
      <c r="P411" s="254"/>
      <c r="Q411" s="254"/>
      <c r="R411" s="254"/>
      <c r="S411" s="254"/>
      <c r="T411" s="254"/>
      <c r="U411" s="254"/>
      <c r="V411" s="254"/>
      <c r="W411" s="254"/>
      <c r="X411" s="254"/>
      <c r="Y411" s="254"/>
      <c r="Z411" s="254"/>
    </row>
    <row r="412" spans="16:26" ht="10.199999999999999" customHeight="1">
      <c r="P412" s="253"/>
      <c r="Q412" s="253"/>
      <c r="R412" s="253"/>
      <c r="S412" s="253"/>
      <c r="T412" s="253"/>
      <c r="U412" s="253"/>
      <c r="V412" s="253"/>
      <c r="W412" s="253"/>
      <c r="X412" s="253"/>
      <c r="Y412" s="253"/>
      <c r="Z412" s="253"/>
    </row>
    <row r="413" spans="16:26" ht="10.199999999999999" customHeight="1">
      <c r="P413" s="253"/>
      <c r="Q413" s="253"/>
      <c r="R413" s="253"/>
      <c r="S413" s="253"/>
      <c r="T413" s="253"/>
      <c r="U413" s="253"/>
      <c r="V413" s="253"/>
      <c r="W413" s="253"/>
      <c r="X413" s="253"/>
      <c r="Y413" s="253"/>
      <c r="Z413" s="253"/>
    </row>
    <row r="414" spans="16:26" ht="10.199999999999999" customHeight="1">
      <c r="P414" s="254"/>
      <c r="Q414" s="254"/>
      <c r="R414" s="254"/>
      <c r="S414" s="254"/>
      <c r="T414" s="254"/>
      <c r="U414" s="254"/>
      <c r="V414" s="254"/>
      <c r="W414" s="254"/>
      <c r="X414" s="254"/>
      <c r="Y414" s="254"/>
      <c r="Z414" s="254"/>
    </row>
    <row r="415" spans="16:26" ht="10.199999999999999" customHeight="1">
      <c r="P415" s="253"/>
      <c r="Q415" s="253"/>
      <c r="R415" s="253"/>
      <c r="S415" s="253"/>
      <c r="T415" s="253"/>
      <c r="U415" s="253"/>
      <c r="V415" s="253"/>
      <c r="W415" s="253"/>
      <c r="X415" s="253"/>
      <c r="Y415" s="253"/>
      <c r="Z415" s="253"/>
    </row>
    <row r="416" spans="16:26" ht="10.199999999999999" customHeight="1">
      <c r="P416" s="253"/>
      <c r="Q416" s="253"/>
      <c r="R416" s="253"/>
      <c r="S416" s="253"/>
      <c r="T416" s="253"/>
      <c r="U416" s="253"/>
      <c r="V416" s="253"/>
      <c r="W416" s="253"/>
      <c r="X416" s="253"/>
      <c r="Y416" s="253"/>
      <c r="Z416" s="253"/>
    </row>
    <row r="417" spans="16:26" ht="10.199999999999999" customHeight="1">
      <c r="P417" s="254"/>
      <c r="Q417" s="254"/>
      <c r="R417" s="254"/>
      <c r="S417" s="254"/>
      <c r="T417" s="254"/>
      <c r="U417" s="254"/>
      <c r="V417" s="254"/>
      <c r="W417" s="254"/>
      <c r="X417" s="254"/>
      <c r="Y417" s="254"/>
      <c r="Z417" s="254"/>
    </row>
    <row r="418" spans="16:26" ht="10.199999999999999" customHeight="1">
      <c r="P418" s="253"/>
      <c r="Q418" s="253"/>
      <c r="R418" s="253"/>
      <c r="S418" s="253"/>
      <c r="T418" s="253"/>
      <c r="U418" s="253"/>
      <c r="V418" s="253"/>
      <c r="W418" s="253"/>
      <c r="X418" s="253"/>
      <c r="Y418" s="253"/>
      <c r="Z418" s="253"/>
    </row>
    <row r="419" spans="16:26" ht="10.199999999999999" customHeight="1">
      <c r="P419" s="253"/>
      <c r="Q419" s="253"/>
      <c r="R419" s="253"/>
      <c r="S419" s="253"/>
      <c r="T419" s="253"/>
      <c r="U419" s="253"/>
      <c r="V419" s="253"/>
      <c r="W419" s="253"/>
      <c r="X419" s="253"/>
      <c r="Y419" s="253"/>
      <c r="Z419" s="253"/>
    </row>
    <row r="420" spans="16:26" ht="10.199999999999999" customHeight="1">
      <c r="P420" s="254"/>
      <c r="Q420" s="254"/>
      <c r="R420" s="254"/>
      <c r="S420" s="254"/>
      <c r="T420" s="254"/>
      <c r="U420" s="254"/>
      <c r="V420" s="254"/>
      <c r="W420" s="254"/>
      <c r="X420" s="254"/>
      <c r="Y420" s="254"/>
      <c r="Z420" s="254"/>
    </row>
    <row r="421" spans="16:26" ht="10.199999999999999" customHeight="1">
      <c r="P421" s="253"/>
      <c r="Q421" s="253"/>
      <c r="R421" s="253"/>
      <c r="S421" s="253"/>
      <c r="T421" s="253"/>
      <c r="U421" s="253"/>
      <c r="V421" s="253"/>
      <c r="W421" s="253"/>
      <c r="X421" s="253"/>
      <c r="Y421" s="253"/>
      <c r="Z421" s="253"/>
    </row>
    <row r="422" spans="16:26" ht="10.199999999999999" customHeight="1">
      <c r="P422" s="253"/>
      <c r="Q422" s="253"/>
      <c r="R422" s="253"/>
      <c r="S422" s="253"/>
      <c r="T422" s="253"/>
      <c r="U422" s="253"/>
      <c r="V422" s="253"/>
      <c r="W422" s="253"/>
      <c r="X422" s="253"/>
      <c r="Y422" s="253"/>
      <c r="Z422" s="253"/>
    </row>
    <row r="423" spans="16:26" ht="10.199999999999999" customHeight="1">
      <c r="P423" s="254"/>
      <c r="Q423" s="254"/>
      <c r="R423" s="254"/>
      <c r="S423" s="254"/>
      <c r="T423" s="254"/>
      <c r="U423" s="254"/>
      <c r="V423" s="254"/>
      <c r="W423" s="254"/>
      <c r="X423" s="254"/>
      <c r="Y423" s="254"/>
      <c r="Z423" s="254"/>
    </row>
    <row r="424" spans="16:26" ht="10.199999999999999" customHeight="1">
      <c r="P424" s="253"/>
      <c r="Q424" s="253"/>
      <c r="R424" s="253"/>
      <c r="S424" s="253"/>
      <c r="T424" s="253"/>
      <c r="U424" s="253"/>
      <c r="V424" s="253"/>
      <c r="W424" s="253"/>
      <c r="X424" s="253"/>
      <c r="Y424" s="253"/>
      <c r="Z424" s="253"/>
    </row>
    <row r="425" spans="16:26" ht="10.199999999999999" customHeight="1">
      <c r="P425" s="253"/>
      <c r="Q425" s="253"/>
      <c r="R425" s="253"/>
      <c r="S425" s="253"/>
      <c r="T425" s="253"/>
      <c r="U425" s="253"/>
      <c r="V425" s="253"/>
      <c r="W425" s="253"/>
      <c r="X425" s="253"/>
      <c r="Y425" s="253"/>
      <c r="Z425" s="253"/>
    </row>
    <row r="426" spans="16:26" ht="10.199999999999999" customHeight="1">
      <c r="P426" s="254"/>
      <c r="Q426" s="254"/>
      <c r="R426" s="254"/>
      <c r="S426" s="254"/>
      <c r="T426" s="254"/>
      <c r="U426" s="254"/>
      <c r="V426" s="254"/>
      <c r="W426" s="254"/>
      <c r="X426" s="254"/>
      <c r="Y426" s="254"/>
      <c r="Z426" s="254"/>
    </row>
    <row r="427" spans="16:26" ht="10.199999999999999" customHeight="1">
      <c r="P427" s="253"/>
      <c r="Q427" s="253"/>
      <c r="R427" s="253"/>
      <c r="S427" s="253"/>
      <c r="T427" s="253"/>
      <c r="U427" s="253"/>
      <c r="V427" s="253"/>
      <c r="W427" s="253"/>
      <c r="X427" s="253"/>
      <c r="Y427" s="253"/>
      <c r="Z427" s="253"/>
    </row>
    <row r="428" spans="16:26" ht="10.199999999999999" customHeight="1">
      <c r="P428" s="253"/>
      <c r="Q428" s="253"/>
      <c r="R428" s="253"/>
      <c r="S428" s="253"/>
      <c r="T428" s="253"/>
      <c r="U428" s="253"/>
      <c r="V428" s="253"/>
      <c r="W428" s="253"/>
      <c r="X428" s="253"/>
      <c r="Y428" s="253"/>
      <c r="Z428" s="253"/>
    </row>
    <row r="429" spans="16:26" ht="10.199999999999999" customHeight="1">
      <c r="P429" s="254"/>
      <c r="Q429" s="254"/>
      <c r="R429" s="254"/>
      <c r="S429" s="254"/>
      <c r="T429" s="254"/>
      <c r="U429" s="254"/>
      <c r="V429" s="254"/>
      <c r="W429" s="254"/>
      <c r="X429" s="254"/>
      <c r="Y429" s="254"/>
      <c r="Z429" s="254"/>
    </row>
    <row r="430" spans="16:26" ht="10.199999999999999" customHeight="1">
      <c r="P430" s="253"/>
      <c r="Q430" s="253"/>
      <c r="R430" s="253"/>
      <c r="S430" s="253"/>
      <c r="T430" s="253"/>
      <c r="U430" s="253"/>
      <c r="V430" s="253"/>
      <c r="W430" s="253"/>
      <c r="X430" s="253"/>
      <c r="Y430" s="253"/>
      <c r="Z430" s="253"/>
    </row>
    <row r="431" spans="16:26" ht="10.199999999999999" customHeight="1">
      <c r="P431" s="253"/>
      <c r="Q431" s="253"/>
      <c r="R431" s="253"/>
      <c r="S431" s="253"/>
      <c r="T431" s="253"/>
      <c r="U431" s="253"/>
      <c r="V431" s="253"/>
      <c r="W431" s="253"/>
      <c r="X431" s="253"/>
      <c r="Y431" s="253"/>
      <c r="Z431" s="253"/>
    </row>
    <row r="432" spans="16:26" ht="10.199999999999999" customHeight="1">
      <c r="P432" s="254"/>
      <c r="Q432" s="254"/>
      <c r="R432" s="254"/>
      <c r="S432" s="254"/>
      <c r="T432" s="254"/>
      <c r="U432" s="254"/>
      <c r="V432" s="254"/>
      <c r="W432" s="254"/>
      <c r="X432" s="254"/>
      <c r="Y432" s="254"/>
      <c r="Z432" s="254"/>
    </row>
    <row r="433" spans="16:26" ht="10.199999999999999" customHeight="1">
      <c r="P433" s="253"/>
      <c r="Q433" s="253"/>
      <c r="R433" s="253"/>
      <c r="S433" s="253"/>
      <c r="T433" s="253"/>
      <c r="U433" s="253"/>
      <c r="V433" s="253"/>
      <c r="W433" s="253"/>
      <c r="X433" s="253"/>
      <c r="Y433" s="253"/>
      <c r="Z433" s="253"/>
    </row>
    <row r="434" spans="16:26" ht="10.199999999999999" customHeight="1">
      <c r="P434" s="253"/>
      <c r="Q434" s="253"/>
      <c r="R434" s="253"/>
      <c r="S434" s="253"/>
      <c r="T434" s="253"/>
      <c r="U434" s="253"/>
      <c r="V434" s="253"/>
      <c r="W434" s="253"/>
      <c r="X434" s="253"/>
      <c r="Y434" s="253"/>
      <c r="Z434" s="253"/>
    </row>
    <row r="435" spans="16:26" ht="10.199999999999999" customHeight="1">
      <c r="P435" s="254"/>
      <c r="Q435" s="254"/>
      <c r="R435" s="254"/>
      <c r="S435" s="254"/>
      <c r="T435" s="254"/>
      <c r="U435" s="254"/>
      <c r="V435" s="254"/>
      <c r="W435" s="254"/>
      <c r="X435" s="254"/>
      <c r="Y435" s="254"/>
      <c r="Z435" s="254"/>
    </row>
    <row r="436" spans="16:26" ht="10.199999999999999" customHeight="1">
      <c r="P436" s="253"/>
      <c r="Q436" s="253"/>
      <c r="R436" s="253"/>
      <c r="S436" s="253"/>
      <c r="T436" s="253"/>
      <c r="U436" s="253"/>
      <c r="V436" s="253"/>
      <c r="W436" s="253"/>
      <c r="X436" s="253"/>
      <c r="Y436" s="253"/>
      <c r="Z436" s="253"/>
    </row>
    <row r="437" spans="16:26" ht="10.199999999999999" customHeight="1">
      <c r="P437" s="253"/>
      <c r="Q437" s="253"/>
      <c r="R437" s="253"/>
      <c r="S437" s="253"/>
      <c r="T437" s="253"/>
      <c r="U437" s="253"/>
      <c r="V437" s="253"/>
      <c r="W437" s="253"/>
      <c r="X437" s="253"/>
      <c r="Y437" s="253"/>
      <c r="Z437" s="253"/>
    </row>
    <row r="438" spans="16:26" ht="10.199999999999999" customHeight="1">
      <c r="P438" s="254"/>
      <c r="Q438" s="254"/>
      <c r="R438" s="254"/>
      <c r="S438" s="254"/>
      <c r="T438" s="254"/>
      <c r="U438" s="254"/>
      <c r="V438" s="254"/>
      <c r="W438" s="254"/>
      <c r="X438" s="254"/>
      <c r="Y438" s="254"/>
      <c r="Z438" s="254"/>
    </row>
    <row r="439" spans="16:26" ht="10.199999999999999" customHeight="1">
      <c r="P439" s="253"/>
      <c r="Q439" s="253"/>
      <c r="R439" s="253"/>
      <c r="S439" s="253"/>
      <c r="T439" s="253"/>
      <c r="U439" s="253"/>
      <c r="V439" s="253"/>
      <c r="W439" s="253"/>
      <c r="X439" s="253"/>
      <c r="Y439" s="253"/>
      <c r="Z439" s="253"/>
    </row>
    <row r="440" spans="16:26" ht="10.199999999999999" customHeight="1">
      <c r="P440" s="253"/>
      <c r="Q440" s="253"/>
      <c r="R440" s="253"/>
      <c r="S440" s="253"/>
      <c r="T440" s="253"/>
      <c r="U440" s="253"/>
      <c r="V440" s="253"/>
      <c r="W440" s="253"/>
      <c r="X440" s="253"/>
      <c r="Y440" s="253"/>
      <c r="Z440" s="253"/>
    </row>
    <row r="441" spans="16:26" ht="10.199999999999999" customHeight="1">
      <c r="P441" s="254"/>
      <c r="Q441" s="254"/>
      <c r="R441" s="254"/>
      <c r="S441" s="254"/>
      <c r="T441" s="254"/>
      <c r="U441" s="254"/>
      <c r="V441" s="254"/>
      <c r="W441" s="254"/>
      <c r="X441" s="254"/>
      <c r="Y441" s="254"/>
      <c r="Z441" s="254"/>
    </row>
    <row r="442" spans="16:26" ht="10.199999999999999" customHeight="1">
      <c r="P442" s="253"/>
      <c r="Q442" s="253"/>
      <c r="R442" s="253"/>
      <c r="S442" s="253"/>
      <c r="T442" s="253"/>
      <c r="U442" s="253"/>
      <c r="V442" s="253"/>
      <c r="W442" s="253"/>
      <c r="X442" s="253"/>
      <c r="Y442" s="253"/>
      <c r="Z442" s="253"/>
    </row>
    <row r="443" spans="16:26" ht="10.199999999999999" customHeight="1">
      <c r="P443" s="253"/>
      <c r="Q443" s="253"/>
      <c r="R443" s="253"/>
      <c r="S443" s="253"/>
      <c r="T443" s="253"/>
      <c r="U443" s="253"/>
      <c r="V443" s="253"/>
      <c r="W443" s="253"/>
      <c r="X443" s="253"/>
      <c r="Y443" s="253"/>
      <c r="Z443" s="253"/>
    </row>
    <row r="444" spans="16:26" ht="10.199999999999999" customHeight="1">
      <c r="P444" s="254"/>
      <c r="Q444" s="254"/>
      <c r="R444" s="254"/>
      <c r="S444" s="254"/>
      <c r="T444" s="254"/>
      <c r="U444" s="254"/>
      <c r="V444" s="254"/>
      <c r="W444" s="254"/>
      <c r="X444" s="254"/>
      <c r="Y444" s="254"/>
      <c r="Z444" s="254"/>
    </row>
    <row r="445" spans="16:26" ht="10.199999999999999" customHeight="1">
      <c r="P445" s="253"/>
      <c r="Q445" s="253"/>
      <c r="R445" s="253"/>
      <c r="S445" s="253"/>
      <c r="T445" s="253"/>
      <c r="U445" s="253"/>
      <c r="V445" s="253"/>
      <c r="W445" s="253"/>
      <c r="X445" s="253"/>
      <c r="Y445" s="253"/>
      <c r="Z445" s="253"/>
    </row>
    <row r="446" spans="16:26" ht="10.199999999999999" customHeight="1">
      <c r="P446" s="253"/>
      <c r="Q446" s="253"/>
      <c r="R446" s="253"/>
      <c r="S446" s="253"/>
      <c r="T446" s="253"/>
      <c r="U446" s="253"/>
      <c r="V446" s="253"/>
      <c r="W446" s="253"/>
      <c r="X446" s="253"/>
      <c r="Y446" s="253"/>
      <c r="Z446" s="253"/>
    </row>
    <row r="447" spans="16:26" ht="10.199999999999999" customHeight="1">
      <c r="P447" s="254"/>
      <c r="Q447" s="254"/>
      <c r="R447" s="254"/>
      <c r="S447" s="254"/>
      <c r="T447" s="254"/>
      <c r="U447" s="254"/>
      <c r="V447" s="254"/>
      <c r="W447" s="254"/>
      <c r="X447" s="254"/>
      <c r="Y447" s="254"/>
      <c r="Z447" s="254"/>
    </row>
    <row r="448" spans="16:26" ht="10.199999999999999" customHeight="1">
      <c r="P448" s="253"/>
      <c r="Q448" s="253"/>
      <c r="R448" s="253"/>
      <c r="S448" s="253"/>
      <c r="T448" s="253"/>
      <c r="U448" s="253"/>
      <c r="V448" s="253"/>
      <c r="W448" s="253"/>
      <c r="X448" s="253"/>
      <c r="Y448" s="253"/>
      <c r="Z448" s="253"/>
    </row>
    <row r="449" spans="16:26" ht="10.199999999999999" customHeight="1">
      <c r="P449" s="253"/>
      <c r="Q449" s="253"/>
      <c r="R449" s="253"/>
      <c r="S449" s="253"/>
      <c r="T449" s="253"/>
      <c r="U449" s="253"/>
      <c r="V449" s="253"/>
      <c r="W449" s="253"/>
      <c r="X449" s="253"/>
      <c r="Y449" s="253"/>
      <c r="Z449" s="253"/>
    </row>
    <row r="450" spans="16:26" ht="10.199999999999999" customHeight="1">
      <c r="P450" s="254"/>
      <c r="Q450" s="254"/>
      <c r="R450" s="254"/>
      <c r="S450" s="254"/>
      <c r="T450" s="254"/>
      <c r="U450" s="254"/>
      <c r="V450" s="254"/>
      <c r="W450" s="254"/>
      <c r="X450" s="254"/>
      <c r="Y450" s="254"/>
      <c r="Z450" s="254"/>
    </row>
    <row r="451" spans="16:26" ht="10.199999999999999" customHeight="1">
      <c r="P451" s="253"/>
      <c r="Q451" s="253"/>
      <c r="R451" s="253"/>
      <c r="S451" s="253"/>
      <c r="T451" s="253"/>
      <c r="U451" s="253"/>
      <c r="V451" s="253"/>
      <c r="W451" s="253"/>
      <c r="X451" s="253"/>
      <c r="Y451" s="253"/>
      <c r="Z451" s="253"/>
    </row>
    <row r="452" spans="16:26" ht="10.199999999999999" customHeight="1">
      <c r="P452" s="253"/>
      <c r="Q452" s="253"/>
      <c r="R452" s="253"/>
      <c r="S452" s="253"/>
      <c r="T452" s="253"/>
      <c r="U452" s="253"/>
      <c r="V452" s="253"/>
      <c r="W452" s="253"/>
      <c r="X452" s="253"/>
      <c r="Y452" s="253"/>
      <c r="Z452" s="253"/>
    </row>
    <row r="453" spans="16:26" ht="10.199999999999999" customHeight="1">
      <c r="P453" s="254"/>
      <c r="Q453" s="254"/>
      <c r="R453" s="254"/>
      <c r="S453" s="254"/>
      <c r="T453" s="254"/>
      <c r="U453" s="254"/>
      <c r="V453" s="254"/>
      <c r="W453" s="254"/>
      <c r="X453" s="254"/>
      <c r="Y453" s="254"/>
      <c r="Z453" s="254"/>
    </row>
    <row r="454" spans="16:26" ht="10.199999999999999" customHeight="1">
      <c r="P454" s="253"/>
      <c r="Q454" s="253"/>
      <c r="R454" s="253"/>
      <c r="S454" s="253"/>
      <c r="T454" s="253"/>
      <c r="U454" s="253"/>
      <c r="V454" s="253"/>
      <c r="W454" s="253"/>
      <c r="X454" s="253"/>
      <c r="Y454" s="253"/>
      <c r="Z454" s="253"/>
    </row>
    <row r="455" spans="16:26" ht="10.199999999999999" customHeight="1">
      <c r="P455" s="253"/>
      <c r="Q455" s="253"/>
      <c r="R455" s="253"/>
      <c r="S455" s="253"/>
      <c r="T455" s="253"/>
      <c r="U455" s="253"/>
      <c r="V455" s="253"/>
      <c r="W455" s="253"/>
      <c r="X455" s="253"/>
      <c r="Y455" s="253"/>
      <c r="Z455" s="253"/>
    </row>
    <row r="456" spans="16:26" ht="10.199999999999999" customHeight="1">
      <c r="P456" s="254"/>
      <c r="Q456" s="254"/>
      <c r="R456" s="254"/>
      <c r="S456" s="254"/>
      <c r="T456" s="254"/>
      <c r="U456" s="254"/>
      <c r="V456" s="254"/>
      <c r="W456" s="254"/>
      <c r="X456" s="254"/>
      <c r="Y456" s="254"/>
      <c r="Z456" s="254"/>
    </row>
    <row r="457" spans="16:26" ht="10.199999999999999" customHeight="1">
      <c r="P457" s="253"/>
      <c r="Q457" s="253"/>
      <c r="R457" s="253"/>
      <c r="S457" s="253"/>
      <c r="T457" s="253"/>
      <c r="U457" s="253"/>
      <c r="V457" s="253"/>
      <c r="W457" s="253"/>
      <c r="X457" s="253"/>
      <c r="Y457" s="253"/>
      <c r="Z457" s="253"/>
    </row>
    <row r="458" spans="16:26" ht="10.199999999999999" customHeight="1">
      <c r="P458" s="253"/>
      <c r="Q458" s="253"/>
      <c r="R458" s="253"/>
      <c r="S458" s="253"/>
      <c r="T458" s="253"/>
      <c r="U458" s="253"/>
      <c r="V458" s="253"/>
      <c r="W458" s="253"/>
      <c r="X458" s="253"/>
      <c r="Y458" s="253"/>
      <c r="Z458" s="253"/>
    </row>
    <row r="459" spans="16:26" ht="10.199999999999999" customHeight="1">
      <c r="P459" s="254"/>
      <c r="Q459" s="254"/>
      <c r="R459" s="254"/>
      <c r="S459" s="254"/>
      <c r="T459" s="254"/>
      <c r="U459" s="254"/>
      <c r="V459" s="254"/>
      <c r="W459" s="254"/>
      <c r="X459" s="254"/>
      <c r="Y459" s="254"/>
      <c r="Z459" s="254"/>
    </row>
    <row r="460" spans="16:26" ht="10.199999999999999" customHeight="1">
      <c r="P460" s="253"/>
      <c r="Q460" s="253"/>
      <c r="R460" s="253"/>
      <c r="S460" s="253"/>
      <c r="T460" s="253"/>
      <c r="U460" s="253"/>
      <c r="V460" s="253"/>
      <c r="W460" s="253"/>
      <c r="X460" s="253"/>
      <c r="Y460" s="253"/>
      <c r="Z460" s="253"/>
    </row>
    <row r="461" spans="16:26" ht="10.199999999999999" customHeight="1">
      <c r="P461" s="253"/>
      <c r="Q461" s="253"/>
      <c r="R461" s="253"/>
      <c r="S461" s="253"/>
      <c r="T461" s="253"/>
      <c r="U461" s="253"/>
      <c r="V461" s="253"/>
      <c r="W461" s="253"/>
      <c r="X461" s="253"/>
      <c r="Y461" s="253"/>
      <c r="Z461" s="253"/>
    </row>
    <row r="462" spans="16:26" ht="10.199999999999999" customHeight="1">
      <c r="P462" s="254"/>
      <c r="Q462" s="254"/>
      <c r="R462" s="254"/>
      <c r="S462" s="254"/>
      <c r="T462" s="254"/>
      <c r="U462" s="254"/>
      <c r="V462" s="254"/>
      <c r="W462" s="254"/>
      <c r="X462" s="254"/>
      <c r="Y462" s="254"/>
      <c r="Z462" s="254"/>
    </row>
    <row r="463" spans="16:26" ht="10.199999999999999" customHeight="1">
      <c r="P463" s="253"/>
      <c r="Q463" s="253"/>
      <c r="R463" s="253"/>
      <c r="S463" s="253"/>
      <c r="T463" s="253"/>
      <c r="U463" s="253"/>
      <c r="V463" s="253"/>
      <c r="W463" s="253"/>
      <c r="X463" s="253"/>
      <c r="Y463" s="253"/>
      <c r="Z463" s="253"/>
    </row>
    <row r="464" spans="16:26" ht="10.199999999999999" customHeight="1">
      <c r="P464" s="253"/>
      <c r="Q464" s="253"/>
      <c r="R464" s="253"/>
      <c r="S464" s="253"/>
      <c r="T464" s="253"/>
      <c r="U464" s="253"/>
      <c r="V464" s="253"/>
      <c r="W464" s="253"/>
      <c r="X464" s="253"/>
      <c r="Y464" s="253"/>
      <c r="Z464" s="253"/>
    </row>
    <row r="465" spans="16:26" ht="10.199999999999999" customHeight="1">
      <c r="P465" s="254"/>
      <c r="Q465" s="254"/>
      <c r="R465" s="254"/>
      <c r="S465" s="254"/>
      <c r="T465" s="254"/>
      <c r="U465" s="254"/>
      <c r="V465" s="254"/>
      <c r="W465" s="254"/>
      <c r="X465" s="254"/>
      <c r="Y465" s="254"/>
      <c r="Z465" s="254"/>
    </row>
    <row r="466" spans="16:26" ht="10.199999999999999" customHeight="1">
      <c r="P466" s="253"/>
      <c r="Q466" s="253"/>
      <c r="R466" s="253"/>
      <c r="S466" s="253"/>
      <c r="T466" s="253"/>
      <c r="U466" s="253"/>
      <c r="V466" s="253"/>
      <c r="W466" s="253"/>
      <c r="X466" s="253"/>
      <c r="Y466" s="253"/>
      <c r="Z466" s="253"/>
    </row>
    <row r="467" spans="16:26" ht="10.199999999999999" customHeight="1">
      <c r="P467" s="253"/>
      <c r="Q467" s="253"/>
      <c r="R467" s="253"/>
      <c r="S467" s="253"/>
      <c r="T467" s="253"/>
      <c r="U467" s="253"/>
      <c r="V467" s="253"/>
      <c r="W467" s="253"/>
      <c r="X467" s="253"/>
      <c r="Y467" s="253"/>
      <c r="Z467" s="253"/>
    </row>
    <row r="468" spans="16:26" ht="10.199999999999999" customHeight="1">
      <c r="P468" s="254"/>
      <c r="Q468" s="254"/>
      <c r="R468" s="254"/>
      <c r="S468" s="254"/>
      <c r="T468" s="254"/>
      <c r="U468" s="254"/>
      <c r="V468" s="254"/>
      <c r="W468" s="254"/>
      <c r="X468" s="254"/>
      <c r="Y468" s="254"/>
      <c r="Z468" s="254"/>
    </row>
    <row r="469" spans="16:26" ht="10.199999999999999" customHeight="1">
      <c r="P469" s="253"/>
      <c r="Q469" s="253"/>
      <c r="R469" s="253"/>
      <c r="S469" s="253"/>
      <c r="T469" s="253"/>
      <c r="U469" s="253"/>
      <c r="V469" s="253"/>
      <c r="W469" s="253"/>
      <c r="X469" s="253"/>
      <c r="Y469" s="253"/>
      <c r="Z469" s="253"/>
    </row>
    <row r="470" spans="16:26" ht="10.199999999999999" customHeight="1">
      <c r="P470" s="253"/>
      <c r="Q470" s="253"/>
      <c r="R470" s="253"/>
      <c r="S470" s="253"/>
      <c r="T470" s="253"/>
      <c r="U470" s="253"/>
      <c r="V470" s="253"/>
      <c r="W470" s="253"/>
      <c r="X470" s="253"/>
      <c r="Y470" s="253"/>
      <c r="Z470" s="253"/>
    </row>
    <row r="471" spans="16:26" ht="10.199999999999999" customHeight="1">
      <c r="P471" s="254"/>
      <c r="Q471" s="254"/>
      <c r="R471" s="254"/>
      <c r="S471" s="254"/>
      <c r="T471" s="254"/>
      <c r="U471" s="254"/>
      <c r="V471" s="254"/>
      <c r="W471" s="254"/>
      <c r="X471" s="254"/>
      <c r="Y471" s="254"/>
      <c r="Z471" s="254"/>
    </row>
    <row r="472" spans="16:26" ht="10.199999999999999" customHeight="1">
      <c r="P472" s="253"/>
      <c r="Q472" s="253"/>
      <c r="R472" s="253"/>
      <c r="S472" s="253"/>
      <c r="T472" s="253"/>
      <c r="U472" s="253"/>
      <c r="V472" s="253"/>
      <c r="W472" s="253"/>
      <c r="X472" s="253"/>
      <c r="Y472" s="253"/>
      <c r="Z472" s="253"/>
    </row>
    <row r="473" spans="16:26" ht="10.199999999999999" customHeight="1">
      <c r="P473" s="253"/>
      <c r="Q473" s="253"/>
      <c r="R473" s="253"/>
      <c r="S473" s="253"/>
      <c r="T473" s="253"/>
      <c r="U473" s="253"/>
      <c r="V473" s="253"/>
      <c r="W473" s="253"/>
      <c r="X473" s="253"/>
      <c r="Y473" s="253"/>
      <c r="Z473" s="253"/>
    </row>
    <row r="474" spans="16:26" ht="10.199999999999999" customHeight="1">
      <c r="P474" s="254"/>
      <c r="Q474" s="254"/>
      <c r="R474" s="254"/>
      <c r="S474" s="254"/>
      <c r="T474" s="254"/>
      <c r="U474" s="254"/>
      <c r="V474" s="254"/>
      <c r="W474" s="254"/>
      <c r="X474" s="254"/>
      <c r="Y474" s="254"/>
      <c r="Z474" s="254"/>
    </row>
    <row r="475" spans="16:26" ht="10.199999999999999" customHeight="1">
      <c r="P475" s="253"/>
      <c r="Q475" s="253"/>
      <c r="R475" s="253"/>
      <c r="S475" s="253"/>
      <c r="T475" s="253"/>
      <c r="U475" s="253"/>
      <c r="V475" s="253"/>
      <c r="W475" s="253"/>
      <c r="X475" s="253"/>
      <c r="Y475" s="253"/>
      <c r="Z475" s="253"/>
    </row>
    <row r="476" spans="16:26" ht="10.199999999999999" customHeight="1">
      <c r="P476" s="253"/>
      <c r="Q476" s="253"/>
      <c r="R476" s="253"/>
      <c r="S476" s="253"/>
      <c r="T476" s="253"/>
      <c r="U476" s="253"/>
      <c r="V476" s="253"/>
      <c r="W476" s="253"/>
      <c r="X476" s="253"/>
      <c r="Y476" s="253"/>
      <c r="Z476" s="253"/>
    </row>
    <row r="477" spans="16:26" ht="10.199999999999999" customHeight="1">
      <c r="P477" s="254"/>
      <c r="Q477" s="254"/>
      <c r="R477" s="254"/>
      <c r="S477" s="254"/>
      <c r="T477" s="254"/>
      <c r="U477" s="254"/>
      <c r="V477" s="254"/>
      <c r="W477" s="254"/>
      <c r="X477" s="254"/>
      <c r="Y477" s="254"/>
      <c r="Z477" s="254"/>
    </row>
    <row r="478" spans="16:26" ht="10.199999999999999" customHeight="1">
      <c r="P478" s="253"/>
      <c r="Q478" s="253"/>
      <c r="R478" s="253"/>
      <c r="S478" s="253"/>
      <c r="T478" s="253"/>
      <c r="U478" s="253"/>
      <c r="V478" s="253"/>
      <c r="W478" s="253"/>
      <c r="X478" s="253"/>
      <c r="Y478" s="253"/>
      <c r="Z478" s="253"/>
    </row>
    <row r="479" spans="16:26" ht="10.199999999999999" customHeight="1">
      <c r="P479" s="253"/>
      <c r="Q479" s="253"/>
      <c r="R479" s="253"/>
      <c r="S479" s="253"/>
      <c r="T479" s="253"/>
      <c r="U479" s="253"/>
      <c r="V479" s="253"/>
      <c r="W479" s="253"/>
      <c r="X479" s="253"/>
      <c r="Y479" s="253"/>
      <c r="Z479" s="253"/>
    </row>
    <row r="480" spans="16:26" ht="10.199999999999999" customHeight="1">
      <c r="P480" s="254"/>
      <c r="Q480" s="254"/>
      <c r="R480" s="254"/>
      <c r="S480" s="254"/>
      <c r="T480" s="254"/>
      <c r="U480" s="254"/>
      <c r="V480" s="254"/>
      <c r="W480" s="254"/>
      <c r="X480" s="254"/>
      <c r="Y480" s="254"/>
      <c r="Z480" s="254"/>
    </row>
    <row r="481" spans="16:26" ht="10.199999999999999" customHeight="1">
      <c r="P481" s="253"/>
      <c r="Q481" s="253"/>
      <c r="R481" s="253"/>
      <c r="S481" s="253"/>
      <c r="T481" s="253"/>
      <c r="U481" s="253"/>
      <c r="V481" s="253"/>
      <c r="W481" s="253"/>
      <c r="X481" s="253"/>
      <c r="Y481" s="253"/>
      <c r="Z481" s="253"/>
    </row>
    <row r="482" spans="16:26" ht="10.199999999999999" customHeight="1">
      <c r="P482" s="253"/>
      <c r="Q482" s="253"/>
      <c r="R482" s="253"/>
      <c r="S482" s="253"/>
      <c r="T482" s="253"/>
      <c r="U482" s="253"/>
      <c r="V482" s="253"/>
      <c r="W482" s="253"/>
      <c r="X482" s="253"/>
      <c r="Y482" s="253"/>
      <c r="Z482" s="253"/>
    </row>
    <row r="483" spans="16:26" ht="10.199999999999999" customHeight="1">
      <c r="P483" s="254"/>
      <c r="Q483" s="254"/>
      <c r="R483" s="254"/>
      <c r="S483" s="254"/>
      <c r="T483" s="254"/>
      <c r="U483" s="254"/>
      <c r="V483" s="254"/>
      <c r="W483" s="254"/>
      <c r="X483" s="254"/>
      <c r="Y483" s="254"/>
      <c r="Z483" s="254"/>
    </row>
    <row r="484" spans="16:26" ht="10.199999999999999" customHeight="1">
      <c r="P484" s="253"/>
      <c r="Q484" s="253"/>
      <c r="R484" s="253"/>
      <c r="S484" s="253"/>
      <c r="T484" s="253"/>
      <c r="U484" s="253"/>
      <c r="V484" s="253"/>
      <c r="W484" s="253"/>
      <c r="X484" s="253"/>
      <c r="Y484" s="253"/>
      <c r="Z484" s="253"/>
    </row>
    <row r="485" spans="16:26" ht="10.199999999999999" customHeight="1">
      <c r="P485" s="253"/>
      <c r="Q485" s="253"/>
      <c r="R485" s="253"/>
      <c r="S485" s="253"/>
      <c r="T485" s="253"/>
      <c r="U485" s="253"/>
      <c r="V485" s="253"/>
      <c r="W485" s="253"/>
      <c r="X485" s="253"/>
      <c r="Y485" s="253"/>
      <c r="Z485" s="253"/>
    </row>
    <row r="486" spans="16:26" ht="10.199999999999999" customHeight="1">
      <c r="P486" s="254"/>
      <c r="Q486" s="254"/>
      <c r="R486" s="254"/>
      <c r="S486" s="254"/>
      <c r="T486" s="254"/>
      <c r="U486" s="254"/>
      <c r="V486" s="254"/>
      <c r="W486" s="254"/>
      <c r="X486" s="254"/>
      <c r="Y486" s="254"/>
      <c r="Z486" s="254"/>
    </row>
    <row r="487" spans="16:26" ht="10.199999999999999" customHeight="1">
      <c r="P487" s="253"/>
      <c r="Q487" s="253"/>
      <c r="R487" s="253"/>
      <c r="S487" s="253"/>
      <c r="T487" s="253"/>
      <c r="U487" s="253"/>
      <c r="V487" s="253"/>
      <c r="W487" s="253"/>
      <c r="X487" s="253"/>
      <c r="Y487" s="253"/>
      <c r="Z487" s="253"/>
    </row>
    <row r="488" spans="16:26" ht="10.199999999999999" customHeight="1">
      <c r="P488" s="253"/>
      <c r="Q488" s="253"/>
      <c r="R488" s="253"/>
      <c r="S488" s="253"/>
      <c r="T488" s="253"/>
      <c r="U488" s="253"/>
      <c r="V488" s="253"/>
      <c r="W488" s="253"/>
      <c r="X488" s="253"/>
      <c r="Y488" s="253"/>
      <c r="Z488" s="253"/>
    </row>
    <row r="489" spans="16:26" ht="10.199999999999999" customHeight="1">
      <c r="P489" s="254"/>
      <c r="Q489" s="254"/>
      <c r="R489" s="254"/>
      <c r="S489" s="254"/>
      <c r="T489" s="254"/>
      <c r="U489" s="254"/>
      <c r="V489" s="254"/>
      <c r="W489" s="254"/>
      <c r="X489" s="254"/>
      <c r="Y489" s="254"/>
      <c r="Z489" s="254"/>
    </row>
    <row r="490" spans="16:26" ht="10.199999999999999" customHeight="1">
      <c r="P490" s="253"/>
      <c r="Q490" s="253"/>
      <c r="R490" s="253"/>
      <c r="S490" s="253"/>
      <c r="T490" s="253"/>
      <c r="U490" s="253"/>
      <c r="V490" s="253"/>
      <c r="W490" s="253"/>
      <c r="X490" s="253"/>
      <c r="Y490" s="253"/>
      <c r="Z490" s="253"/>
    </row>
    <row r="491" spans="16:26" ht="10.199999999999999" customHeight="1">
      <c r="P491" s="253"/>
      <c r="Q491" s="253"/>
      <c r="R491" s="253"/>
      <c r="S491" s="253"/>
      <c r="T491" s="253"/>
      <c r="U491" s="253"/>
      <c r="V491" s="253"/>
      <c r="W491" s="253"/>
      <c r="X491" s="253"/>
      <c r="Y491" s="253"/>
      <c r="Z491" s="253"/>
    </row>
    <row r="492" spans="16:26" ht="10.199999999999999" customHeight="1">
      <c r="P492" s="254"/>
      <c r="Q492" s="254"/>
      <c r="R492" s="254"/>
      <c r="S492" s="254"/>
      <c r="T492" s="254"/>
      <c r="U492" s="254"/>
      <c r="V492" s="254"/>
      <c r="W492" s="254"/>
      <c r="X492" s="254"/>
      <c r="Y492" s="254"/>
      <c r="Z492" s="254"/>
    </row>
    <row r="493" spans="16:26" ht="10.199999999999999" customHeight="1">
      <c r="P493" s="253"/>
      <c r="Q493" s="253"/>
      <c r="R493" s="253"/>
      <c r="S493" s="253"/>
      <c r="T493" s="253"/>
      <c r="U493" s="253"/>
      <c r="V493" s="253"/>
      <c r="W493" s="253"/>
      <c r="X493" s="253"/>
      <c r="Y493" s="253"/>
      <c r="Z493" s="253"/>
    </row>
    <row r="494" spans="16:26" ht="10.199999999999999" customHeight="1">
      <c r="P494" s="253"/>
      <c r="Q494" s="253"/>
      <c r="R494" s="253"/>
      <c r="S494" s="253"/>
      <c r="T494" s="253"/>
      <c r="U494" s="253"/>
      <c r="V494" s="253"/>
      <c r="W494" s="253"/>
      <c r="X494" s="253"/>
      <c r="Y494" s="253"/>
      <c r="Z494" s="253"/>
    </row>
    <row r="495" spans="16:26" ht="10.199999999999999" customHeight="1">
      <c r="P495" s="254"/>
      <c r="Q495" s="254"/>
      <c r="R495" s="254"/>
      <c r="S495" s="254"/>
      <c r="T495" s="254"/>
      <c r="U495" s="254"/>
      <c r="V495" s="254"/>
      <c r="W495" s="254"/>
      <c r="X495" s="254"/>
      <c r="Y495" s="254"/>
      <c r="Z495" s="254"/>
    </row>
    <row r="496" spans="16:26" ht="10.199999999999999" customHeight="1">
      <c r="P496" s="253"/>
      <c r="Q496" s="253"/>
      <c r="R496" s="253"/>
      <c r="S496" s="253"/>
      <c r="T496" s="253"/>
      <c r="U496" s="253"/>
      <c r="V496" s="253"/>
      <c r="W496" s="253"/>
      <c r="X496" s="253"/>
      <c r="Y496" s="253"/>
      <c r="Z496" s="253"/>
    </row>
    <row r="497" spans="16:26" ht="10.199999999999999" customHeight="1">
      <c r="P497" s="253"/>
      <c r="Q497" s="253"/>
      <c r="R497" s="253"/>
      <c r="S497" s="253"/>
      <c r="T497" s="253"/>
      <c r="U497" s="253"/>
      <c r="V497" s="253"/>
      <c r="W497" s="253"/>
      <c r="X497" s="253"/>
      <c r="Y497" s="253"/>
      <c r="Z497" s="253"/>
    </row>
    <row r="498" spans="16:26" ht="10.199999999999999" customHeight="1">
      <c r="P498" s="254"/>
      <c r="Q498" s="254"/>
      <c r="R498" s="254"/>
      <c r="S498" s="254"/>
      <c r="T498" s="254"/>
      <c r="U498" s="254"/>
      <c r="V498" s="254"/>
      <c r="W498" s="254"/>
      <c r="X498" s="254"/>
      <c r="Y498" s="254"/>
      <c r="Z498" s="254"/>
    </row>
    <row r="499" spans="16:26" ht="10.199999999999999" customHeight="1">
      <c r="P499" s="253"/>
      <c r="Q499" s="253"/>
      <c r="R499" s="253"/>
      <c r="S499" s="253"/>
      <c r="T499" s="253"/>
      <c r="U499" s="253"/>
      <c r="V499" s="253"/>
      <c r="W499" s="253"/>
      <c r="X499" s="253"/>
      <c r="Y499" s="253"/>
      <c r="Z499" s="253"/>
    </row>
    <row r="500" spans="16:26" ht="10.199999999999999" customHeight="1">
      <c r="P500" s="253"/>
      <c r="Q500" s="253"/>
      <c r="R500" s="253"/>
      <c r="S500" s="253"/>
      <c r="T500" s="253"/>
      <c r="U500" s="253"/>
      <c r="V500" s="253"/>
      <c r="W500" s="253"/>
      <c r="X500" s="253"/>
      <c r="Y500" s="253"/>
      <c r="Z500" s="253"/>
    </row>
    <row r="501" spans="16:26" ht="10.199999999999999" customHeight="1">
      <c r="P501" s="254"/>
      <c r="Q501" s="254"/>
      <c r="R501" s="254"/>
      <c r="S501" s="254"/>
      <c r="T501" s="254"/>
      <c r="U501" s="254"/>
      <c r="V501" s="254"/>
      <c r="W501" s="254"/>
      <c r="X501" s="254"/>
      <c r="Y501" s="254"/>
      <c r="Z501" s="254"/>
    </row>
    <row r="502" spans="16:26" ht="10.199999999999999" customHeight="1">
      <c r="P502" s="253"/>
      <c r="Q502" s="253"/>
      <c r="R502" s="253"/>
      <c r="S502" s="253"/>
      <c r="T502" s="253"/>
      <c r="U502" s="253"/>
      <c r="V502" s="253"/>
      <c r="W502" s="253"/>
      <c r="X502" s="253"/>
      <c r="Y502" s="253"/>
      <c r="Z502" s="253"/>
    </row>
    <row r="503" spans="16:26" ht="10.199999999999999" customHeight="1">
      <c r="P503" s="253"/>
      <c r="Q503" s="253"/>
      <c r="R503" s="253"/>
      <c r="S503" s="253"/>
      <c r="T503" s="253"/>
      <c r="U503" s="253"/>
      <c r="V503" s="253"/>
      <c r="W503" s="253"/>
      <c r="X503" s="253"/>
      <c r="Y503" s="253"/>
      <c r="Z503" s="253"/>
    </row>
    <row r="504" spans="16:26" ht="10.199999999999999" customHeight="1">
      <c r="P504" s="254"/>
      <c r="Q504" s="254"/>
      <c r="R504" s="254"/>
      <c r="S504" s="254"/>
      <c r="T504" s="254"/>
      <c r="U504" s="254"/>
      <c r="V504" s="254"/>
      <c r="W504" s="254"/>
      <c r="X504" s="254"/>
      <c r="Y504" s="254"/>
      <c r="Z504" s="254"/>
    </row>
    <row r="505" spans="16:26" ht="10.199999999999999" customHeight="1">
      <c r="P505" s="253"/>
      <c r="Q505" s="253"/>
      <c r="R505" s="253"/>
      <c r="S505" s="253"/>
      <c r="T505" s="253"/>
      <c r="U505" s="253"/>
      <c r="V505" s="253"/>
      <c r="W505" s="253"/>
      <c r="X505" s="253"/>
      <c r="Y505" s="253"/>
      <c r="Z505" s="253"/>
    </row>
    <row r="506" spans="16:26" ht="10.199999999999999" customHeight="1">
      <c r="P506" s="253"/>
      <c r="Q506" s="253"/>
      <c r="R506" s="253"/>
      <c r="S506" s="253"/>
      <c r="T506" s="253"/>
      <c r="U506" s="253"/>
      <c r="V506" s="253"/>
      <c r="W506" s="253"/>
      <c r="X506" s="253"/>
      <c r="Y506" s="253"/>
      <c r="Z506" s="253"/>
    </row>
    <row r="507" spans="16:26" ht="10.199999999999999" customHeight="1">
      <c r="P507" s="254"/>
      <c r="Q507" s="254"/>
      <c r="R507" s="254"/>
      <c r="S507" s="254"/>
      <c r="T507" s="254"/>
      <c r="U507" s="254"/>
      <c r="V507" s="254"/>
      <c r="W507" s="254"/>
      <c r="X507" s="254"/>
      <c r="Y507" s="254"/>
      <c r="Z507" s="254"/>
    </row>
    <row r="508" spans="16:26" ht="10.199999999999999" customHeight="1">
      <c r="P508" s="253"/>
      <c r="Q508" s="253"/>
      <c r="R508" s="253"/>
      <c r="S508" s="253"/>
      <c r="T508" s="253"/>
      <c r="U508" s="253"/>
      <c r="V508" s="253"/>
      <c r="W508" s="253"/>
      <c r="X508" s="253"/>
      <c r="Y508" s="253"/>
      <c r="Z508" s="253"/>
    </row>
    <row r="509" spans="16:26" ht="10.199999999999999" customHeight="1">
      <c r="P509" s="253"/>
      <c r="Q509" s="253"/>
      <c r="R509" s="253"/>
      <c r="S509" s="253"/>
      <c r="T509" s="253"/>
      <c r="U509" s="253"/>
      <c r="V509" s="253"/>
      <c r="W509" s="253"/>
      <c r="X509" s="253"/>
      <c r="Y509" s="253"/>
      <c r="Z509" s="253"/>
    </row>
    <row r="510" spans="16:26" ht="10.199999999999999" customHeight="1">
      <c r="P510" s="254"/>
      <c r="Q510" s="254"/>
      <c r="R510" s="254"/>
      <c r="S510" s="254"/>
      <c r="T510" s="254"/>
      <c r="U510" s="254"/>
      <c r="V510" s="254"/>
      <c r="W510" s="254"/>
      <c r="X510" s="254"/>
      <c r="Y510" s="254"/>
      <c r="Z510" s="254"/>
    </row>
    <row r="511" spans="16:26" ht="10.199999999999999" customHeight="1">
      <c r="P511" s="253"/>
      <c r="Q511" s="253"/>
      <c r="R511" s="253"/>
      <c r="S511" s="253"/>
      <c r="T511" s="253"/>
      <c r="U511" s="253"/>
      <c r="V511" s="253"/>
      <c r="W511" s="253"/>
      <c r="X511" s="253"/>
      <c r="Y511" s="253"/>
      <c r="Z511" s="253"/>
    </row>
    <row r="512" spans="16:26" ht="10.199999999999999" customHeight="1">
      <c r="P512" s="253"/>
      <c r="Q512" s="253"/>
      <c r="R512" s="253"/>
      <c r="S512" s="253"/>
      <c r="T512" s="253"/>
      <c r="U512" s="253"/>
      <c r="V512" s="253"/>
      <c r="W512" s="253"/>
      <c r="X512" s="253"/>
      <c r="Y512" s="253"/>
      <c r="Z512" s="253"/>
    </row>
    <row r="513" spans="16:26" ht="10.199999999999999" customHeight="1">
      <c r="P513" s="254"/>
      <c r="Q513" s="254"/>
      <c r="R513" s="254"/>
      <c r="S513" s="254"/>
      <c r="T513" s="254"/>
      <c r="U513" s="254"/>
      <c r="V513" s="254"/>
      <c r="W513" s="254"/>
      <c r="X513" s="254"/>
      <c r="Y513" s="254"/>
      <c r="Z513" s="254"/>
    </row>
    <row r="514" spans="16:26" ht="10.199999999999999" customHeight="1">
      <c r="P514" s="253"/>
      <c r="Q514" s="253"/>
      <c r="R514" s="253"/>
      <c r="S514" s="253"/>
      <c r="T514" s="253"/>
      <c r="U514" s="253"/>
      <c r="V514" s="253"/>
      <c r="W514" s="253"/>
      <c r="X514" s="253"/>
      <c r="Y514" s="253"/>
      <c r="Z514" s="253"/>
    </row>
    <row r="515" spans="16:26" ht="10.199999999999999" customHeight="1">
      <c r="P515" s="253"/>
      <c r="Q515" s="253"/>
      <c r="R515" s="253"/>
      <c r="S515" s="253"/>
      <c r="T515" s="253"/>
      <c r="U515" s="253"/>
      <c r="V515" s="253"/>
      <c r="W515" s="253"/>
      <c r="X515" s="253"/>
      <c r="Y515" s="253"/>
      <c r="Z515" s="253"/>
    </row>
    <row r="516" spans="16:26" ht="10.199999999999999" customHeight="1">
      <c r="P516" s="254"/>
      <c r="Q516" s="254"/>
      <c r="R516" s="254"/>
      <c r="S516" s="254"/>
      <c r="T516" s="254"/>
      <c r="U516" s="254"/>
      <c r="V516" s="254"/>
      <c r="W516" s="254"/>
      <c r="X516" s="254"/>
      <c r="Y516" s="254"/>
      <c r="Z516" s="254"/>
    </row>
    <row r="517" spans="16:26" ht="10.199999999999999" customHeight="1">
      <c r="P517" s="253"/>
      <c r="Q517" s="253"/>
      <c r="R517" s="253"/>
      <c r="S517" s="253"/>
      <c r="T517" s="253"/>
      <c r="U517" s="253"/>
      <c r="V517" s="253"/>
      <c r="W517" s="253"/>
      <c r="X517" s="253"/>
      <c r="Y517" s="253"/>
      <c r="Z517" s="253"/>
    </row>
    <row r="518" spans="16:26" ht="10.199999999999999" customHeight="1">
      <c r="P518" s="253"/>
      <c r="Q518" s="253"/>
      <c r="R518" s="253"/>
      <c r="S518" s="253"/>
      <c r="T518" s="253"/>
      <c r="U518" s="253"/>
      <c r="V518" s="253"/>
      <c r="W518" s="253"/>
      <c r="X518" s="253"/>
      <c r="Y518" s="253"/>
      <c r="Z518" s="253"/>
    </row>
    <row r="519" spans="16:26" ht="10.199999999999999" customHeight="1">
      <c r="P519" s="254"/>
      <c r="Q519" s="254"/>
      <c r="R519" s="254"/>
      <c r="S519" s="254"/>
      <c r="T519" s="254"/>
      <c r="U519" s="254"/>
      <c r="V519" s="254"/>
      <c r="W519" s="254"/>
      <c r="X519" s="254"/>
      <c r="Y519" s="254"/>
      <c r="Z519" s="254"/>
    </row>
    <row r="520" spans="16:26" ht="10.199999999999999" customHeight="1">
      <c r="P520" s="253"/>
      <c r="Q520" s="253"/>
      <c r="R520" s="253"/>
      <c r="S520" s="253"/>
      <c r="T520" s="253"/>
      <c r="U520" s="253"/>
      <c r="V520" s="253"/>
      <c r="W520" s="253"/>
      <c r="X520" s="253"/>
      <c r="Y520" s="253"/>
      <c r="Z520" s="253"/>
    </row>
    <row r="521" spans="16:26" ht="10.199999999999999" customHeight="1">
      <c r="P521" s="253"/>
      <c r="Q521" s="253"/>
      <c r="R521" s="253"/>
      <c r="S521" s="253"/>
      <c r="T521" s="253"/>
      <c r="U521" s="253"/>
      <c r="V521" s="253"/>
      <c r="W521" s="253"/>
      <c r="X521" s="253"/>
      <c r="Y521" s="253"/>
      <c r="Z521" s="253"/>
    </row>
    <row r="522" spans="16:26" ht="10.199999999999999" customHeight="1">
      <c r="P522" s="254"/>
      <c r="Q522" s="254"/>
      <c r="R522" s="254"/>
      <c r="S522" s="254"/>
      <c r="T522" s="254"/>
      <c r="U522" s="254"/>
      <c r="V522" s="254"/>
      <c r="W522" s="254"/>
      <c r="X522" s="254"/>
      <c r="Y522" s="254"/>
      <c r="Z522" s="254"/>
    </row>
    <row r="523" spans="16:26" ht="10.199999999999999" customHeight="1">
      <c r="P523" s="253"/>
      <c r="Q523" s="253"/>
      <c r="R523" s="253"/>
      <c r="S523" s="253"/>
      <c r="T523" s="253"/>
      <c r="U523" s="253"/>
      <c r="V523" s="253"/>
      <c r="W523" s="253"/>
      <c r="X523" s="253"/>
      <c r="Y523" s="253"/>
      <c r="Z523" s="253"/>
    </row>
    <row r="524" spans="16:26" ht="10.199999999999999" customHeight="1">
      <c r="P524" s="253"/>
      <c r="Q524" s="253"/>
      <c r="R524" s="253"/>
      <c r="S524" s="253"/>
      <c r="T524" s="253"/>
      <c r="U524" s="253"/>
      <c r="V524" s="253"/>
      <c r="W524" s="253"/>
      <c r="X524" s="253"/>
      <c r="Y524" s="253"/>
      <c r="Z524" s="253"/>
    </row>
    <row r="525" spans="16:26" ht="10.199999999999999" customHeight="1">
      <c r="P525" s="254"/>
      <c r="Q525" s="254"/>
      <c r="R525" s="254"/>
      <c r="S525" s="254"/>
      <c r="T525" s="254"/>
      <c r="U525" s="254"/>
      <c r="V525" s="254"/>
      <c r="W525" s="254"/>
      <c r="X525" s="254"/>
      <c r="Y525" s="254"/>
      <c r="Z525" s="254"/>
    </row>
    <row r="526" spans="16:26" ht="10.199999999999999" customHeight="1">
      <c r="P526" s="253"/>
      <c r="Q526" s="253"/>
      <c r="R526" s="253"/>
      <c r="S526" s="253"/>
      <c r="T526" s="253"/>
      <c r="U526" s="253"/>
      <c r="V526" s="253"/>
      <c r="W526" s="253"/>
      <c r="X526" s="253"/>
      <c r="Y526" s="253"/>
      <c r="Z526" s="253"/>
    </row>
    <row r="527" spans="16:26" ht="10.199999999999999" customHeight="1">
      <c r="P527" s="253"/>
      <c r="Q527" s="253"/>
      <c r="R527" s="253"/>
      <c r="S527" s="253"/>
      <c r="T527" s="253"/>
      <c r="U527" s="253"/>
      <c r="V527" s="253"/>
      <c r="W527" s="253"/>
      <c r="X527" s="253"/>
      <c r="Y527" s="253"/>
      <c r="Z527" s="253"/>
    </row>
    <row r="528" spans="16:26" ht="10.199999999999999" customHeight="1">
      <c r="P528" s="254"/>
      <c r="Q528" s="254"/>
      <c r="R528" s="254"/>
      <c r="S528" s="254"/>
      <c r="T528" s="254"/>
      <c r="U528" s="254"/>
      <c r="V528" s="254"/>
      <c r="W528" s="254"/>
      <c r="X528" s="254"/>
      <c r="Y528" s="254"/>
      <c r="Z528" s="254"/>
    </row>
    <row r="529" spans="16:26" ht="10.199999999999999" customHeight="1">
      <c r="P529" s="253"/>
      <c r="Q529" s="253"/>
      <c r="R529" s="253"/>
      <c r="S529" s="253"/>
      <c r="T529" s="253"/>
      <c r="U529" s="253"/>
      <c r="V529" s="253"/>
      <c r="W529" s="253"/>
      <c r="X529" s="253"/>
      <c r="Y529" s="253"/>
      <c r="Z529" s="253"/>
    </row>
    <row r="530" spans="16:26" ht="10.199999999999999" customHeight="1">
      <c r="P530" s="253"/>
      <c r="Q530" s="253"/>
      <c r="R530" s="253"/>
      <c r="S530" s="253"/>
      <c r="T530" s="253"/>
      <c r="U530" s="253"/>
      <c r="V530" s="253"/>
      <c r="W530" s="253"/>
      <c r="X530" s="253"/>
      <c r="Y530" s="253"/>
      <c r="Z530" s="253"/>
    </row>
    <row r="531" spans="16:26" ht="10.199999999999999" customHeight="1">
      <c r="P531" s="254"/>
      <c r="Q531" s="254"/>
      <c r="R531" s="254"/>
      <c r="S531" s="254"/>
      <c r="T531" s="254"/>
      <c r="U531" s="254"/>
      <c r="V531" s="254"/>
      <c r="W531" s="254"/>
      <c r="X531" s="254"/>
      <c r="Y531" s="254"/>
      <c r="Z531" s="254"/>
    </row>
    <row r="532" spans="16:26" ht="10.199999999999999" customHeight="1">
      <c r="P532" s="253"/>
      <c r="Q532" s="253"/>
      <c r="R532" s="253"/>
      <c r="S532" s="253"/>
      <c r="T532" s="253"/>
      <c r="U532" s="253"/>
      <c r="V532" s="253"/>
      <c r="W532" s="253"/>
      <c r="X532" s="253"/>
      <c r="Y532" s="253"/>
      <c r="Z532" s="253"/>
    </row>
    <row r="533" spans="16:26" ht="10.199999999999999" customHeight="1">
      <c r="P533" s="253"/>
      <c r="Q533" s="253"/>
      <c r="R533" s="253"/>
      <c r="S533" s="253"/>
      <c r="T533" s="253"/>
      <c r="U533" s="253"/>
      <c r="V533" s="253"/>
      <c r="W533" s="253"/>
      <c r="X533" s="253"/>
      <c r="Y533" s="253"/>
      <c r="Z533" s="253"/>
    </row>
    <row r="534" spans="16:26" ht="10.199999999999999" customHeight="1">
      <c r="P534" s="254"/>
      <c r="Q534" s="254"/>
      <c r="R534" s="254"/>
      <c r="S534" s="254"/>
      <c r="T534" s="254"/>
      <c r="U534" s="254"/>
      <c r="V534" s="254"/>
      <c r="W534" s="254"/>
      <c r="X534" s="254"/>
      <c r="Y534" s="254"/>
      <c r="Z534" s="254"/>
    </row>
    <row r="535" spans="16:26" ht="10.199999999999999" customHeight="1">
      <c r="P535" s="253"/>
      <c r="Q535" s="253"/>
      <c r="R535" s="253"/>
      <c r="S535" s="253"/>
      <c r="T535" s="253"/>
      <c r="U535" s="253"/>
      <c r="V535" s="253"/>
      <c r="W535" s="253"/>
      <c r="X535" s="253"/>
      <c r="Y535" s="253"/>
      <c r="Z535" s="253"/>
    </row>
    <row r="536" spans="16:26" ht="10.199999999999999" customHeight="1">
      <c r="P536" s="253"/>
      <c r="Q536" s="253"/>
      <c r="R536" s="253"/>
      <c r="S536" s="253"/>
      <c r="T536" s="253"/>
      <c r="U536" s="253"/>
      <c r="V536" s="253"/>
      <c r="W536" s="253"/>
      <c r="X536" s="253"/>
      <c r="Y536" s="253"/>
      <c r="Z536" s="253"/>
    </row>
    <row r="537" spans="16:26" ht="10.199999999999999" customHeight="1">
      <c r="P537" s="254"/>
      <c r="Q537" s="254"/>
      <c r="R537" s="254"/>
      <c r="S537" s="254"/>
      <c r="T537" s="254"/>
      <c r="U537" s="254"/>
      <c r="V537" s="254"/>
      <c r="W537" s="254"/>
      <c r="X537" s="254"/>
      <c r="Y537" s="254"/>
      <c r="Z537" s="254"/>
    </row>
    <row r="538" spans="16:26" ht="10.199999999999999" customHeight="1">
      <c r="P538" s="253"/>
      <c r="Q538" s="253"/>
      <c r="R538" s="253"/>
      <c r="S538" s="253"/>
      <c r="T538" s="253"/>
      <c r="U538" s="253"/>
      <c r="V538" s="253"/>
      <c r="W538" s="253"/>
      <c r="X538" s="253"/>
      <c r="Y538" s="253"/>
      <c r="Z538" s="253"/>
    </row>
    <row r="539" spans="16:26" ht="10.199999999999999" customHeight="1">
      <c r="P539" s="253"/>
      <c r="Q539" s="253"/>
      <c r="R539" s="253"/>
      <c r="S539" s="253"/>
      <c r="T539" s="253"/>
      <c r="U539" s="253"/>
      <c r="V539" s="253"/>
      <c r="W539" s="253"/>
      <c r="X539" s="253"/>
      <c r="Y539" s="253"/>
      <c r="Z539" s="253"/>
    </row>
    <row r="540" spans="16:26" ht="10.199999999999999" customHeight="1">
      <c r="P540" s="254"/>
      <c r="Q540" s="254"/>
      <c r="R540" s="254"/>
      <c r="S540" s="254"/>
      <c r="T540" s="254"/>
      <c r="U540" s="254"/>
      <c r="V540" s="254"/>
      <c r="W540" s="254"/>
      <c r="X540" s="254"/>
      <c r="Y540" s="254"/>
      <c r="Z540" s="254"/>
    </row>
    <row r="541" spans="16:26" ht="10.199999999999999" customHeight="1">
      <c r="P541" s="253"/>
      <c r="Q541" s="253"/>
      <c r="R541" s="253"/>
      <c r="S541" s="253"/>
      <c r="T541" s="253"/>
      <c r="U541" s="253"/>
      <c r="V541" s="253"/>
      <c r="W541" s="253"/>
      <c r="X541" s="253"/>
      <c r="Y541" s="253"/>
      <c r="Z541" s="253"/>
    </row>
    <row r="542" spans="16:26" ht="10.199999999999999" customHeight="1">
      <c r="P542" s="253"/>
      <c r="Q542" s="253"/>
      <c r="R542" s="253"/>
      <c r="S542" s="253"/>
      <c r="T542" s="253"/>
      <c r="U542" s="253"/>
      <c r="V542" s="253"/>
      <c r="W542" s="253"/>
      <c r="X542" s="253"/>
      <c r="Y542" s="253"/>
      <c r="Z542" s="253"/>
    </row>
    <row r="543" spans="16:26" ht="10.199999999999999" customHeight="1">
      <c r="P543" s="254"/>
      <c r="Q543" s="254"/>
      <c r="R543" s="254"/>
      <c r="S543" s="254"/>
      <c r="T543" s="254"/>
      <c r="U543" s="254"/>
      <c r="V543" s="254"/>
      <c r="W543" s="254"/>
      <c r="X543" s="254"/>
      <c r="Y543" s="254"/>
      <c r="Z543" s="254"/>
    </row>
    <row r="544" spans="16:26" ht="10.199999999999999" customHeight="1">
      <c r="P544" s="253"/>
      <c r="Q544" s="253"/>
      <c r="R544" s="253"/>
      <c r="S544" s="253"/>
      <c r="T544" s="253"/>
      <c r="U544" s="253"/>
      <c r="V544" s="253"/>
      <c r="W544" s="253"/>
      <c r="X544" s="253"/>
      <c r="Y544" s="253"/>
      <c r="Z544" s="253"/>
    </row>
    <row r="545" spans="16:26" ht="10.199999999999999" customHeight="1">
      <c r="P545" s="253"/>
      <c r="Q545" s="253"/>
      <c r="R545" s="253"/>
      <c r="S545" s="253"/>
      <c r="T545" s="253"/>
      <c r="U545" s="253"/>
      <c r="V545" s="253"/>
      <c r="W545" s="253"/>
      <c r="X545" s="253"/>
      <c r="Y545" s="253"/>
      <c r="Z545" s="253"/>
    </row>
    <row r="546" spans="16:26" ht="10.199999999999999" customHeight="1">
      <c r="P546" s="254"/>
      <c r="Q546" s="254"/>
      <c r="R546" s="254"/>
      <c r="S546" s="254"/>
      <c r="T546" s="254"/>
      <c r="U546" s="254"/>
      <c r="V546" s="254"/>
      <c r="W546" s="254"/>
      <c r="X546" s="254"/>
      <c r="Y546" s="254"/>
      <c r="Z546" s="254"/>
    </row>
    <row r="547" spans="16:26" ht="10.199999999999999" customHeight="1">
      <c r="P547" s="253"/>
      <c r="Q547" s="253"/>
      <c r="R547" s="253"/>
      <c r="S547" s="253"/>
      <c r="T547" s="253"/>
      <c r="U547" s="253"/>
      <c r="V547" s="253"/>
      <c r="W547" s="253"/>
      <c r="X547" s="253"/>
      <c r="Y547" s="253"/>
      <c r="Z547" s="253"/>
    </row>
    <row r="548" spans="16:26" ht="10.199999999999999" customHeight="1">
      <c r="P548" s="253"/>
      <c r="Q548" s="253"/>
      <c r="R548" s="253"/>
      <c r="S548" s="253"/>
      <c r="T548" s="253"/>
      <c r="U548" s="253"/>
      <c r="V548" s="253"/>
      <c r="W548" s="253"/>
      <c r="X548" s="253"/>
      <c r="Y548" s="253"/>
      <c r="Z548" s="253"/>
    </row>
    <row r="549" spans="16:26" ht="10.199999999999999" customHeight="1">
      <c r="P549" s="254"/>
      <c r="Q549" s="254"/>
      <c r="R549" s="254"/>
      <c r="S549" s="254"/>
      <c r="T549" s="254"/>
      <c r="U549" s="254"/>
      <c r="V549" s="254"/>
      <c r="W549" s="254"/>
      <c r="X549" s="254"/>
      <c r="Y549" s="254"/>
      <c r="Z549" s="254"/>
    </row>
    <row r="550" spans="16:26" ht="10.199999999999999" customHeight="1">
      <c r="P550" s="253"/>
      <c r="Q550" s="253"/>
      <c r="R550" s="253"/>
      <c r="S550" s="253"/>
      <c r="T550" s="253"/>
      <c r="U550" s="253"/>
      <c r="V550" s="253"/>
      <c r="W550" s="253"/>
      <c r="X550" s="253"/>
      <c r="Y550" s="253"/>
      <c r="Z550" s="253"/>
    </row>
    <row r="551" spans="16:26" ht="10.199999999999999" customHeight="1">
      <c r="P551" s="253"/>
      <c r="Q551" s="253"/>
      <c r="R551" s="253"/>
      <c r="S551" s="253"/>
      <c r="T551" s="253"/>
      <c r="U551" s="253"/>
      <c r="V551" s="253"/>
      <c r="W551" s="253"/>
      <c r="X551" s="253"/>
      <c r="Y551" s="253"/>
      <c r="Z551" s="253"/>
    </row>
    <row r="552" spans="16:26" ht="10.199999999999999" customHeight="1">
      <c r="P552" s="254"/>
      <c r="Q552" s="254"/>
      <c r="R552" s="254"/>
      <c r="S552" s="254"/>
      <c r="T552" s="254"/>
      <c r="U552" s="254"/>
      <c r="V552" s="254"/>
      <c r="W552" s="254"/>
      <c r="X552" s="254"/>
      <c r="Y552" s="254"/>
      <c r="Z552" s="254"/>
    </row>
    <row r="553" spans="16:26" ht="10.199999999999999" customHeight="1">
      <c r="P553" s="253"/>
      <c r="Q553" s="253"/>
      <c r="R553" s="253"/>
      <c r="S553" s="253"/>
      <c r="T553" s="253"/>
      <c r="U553" s="253"/>
      <c r="V553" s="253"/>
      <c r="W553" s="253"/>
      <c r="X553" s="253"/>
      <c r="Y553" s="253"/>
      <c r="Z553" s="253"/>
    </row>
    <row r="554" spans="16:26" ht="10.199999999999999" customHeight="1">
      <c r="P554" s="253"/>
      <c r="Q554" s="253"/>
      <c r="R554" s="253"/>
      <c r="S554" s="253"/>
      <c r="T554" s="253"/>
      <c r="U554" s="253"/>
      <c r="V554" s="253"/>
      <c r="W554" s="253"/>
      <c r="X554" s="253"/>
      <c r="Y554" s="253"/>
      <c r="Z554" s="253"/>
    </row>
    <row r="555" spans="16:26" ht="10.199999999999999" customHeight="1">
      <c r="P555" s="254"/>
      <c r="Q555" s="254"/>
      <c r="R555" s="254"/>
      <c r="S555" s="254"/>
      <c r="T555" s="254"/>
      <c r="U555" s="254"/>
      <c r="V555" s="254"/>
      <c r="W555" s="254"/>
      <c r="X555" s="254"/>
      <c r="Y555" s="254"/>
      <c r="Z555" s="254"/>
    </row>
    <row r="556" spans="16:26" ht="10.199999999999999" customHeight="1">
      <c r="P556" s="253"/>
      <c r="Q556" s="253"/>
      <c r="R556" s="253"/>
      <c r="S556" s="253"/>
      <c r="T556" s="253"/>
      <c r="U556" s="253"/>
      <c r="V556" s="253"/>
      <c r="W556" s="253"/>
      <c r="X556" s="253"/>
      <c r="Y556" s="253"/>
      <c r="Z556" s="253"/>
    </row>
    <row r="557" spans="16:26" ht="10.199999999999999" customHeight="1">
      <c r="P557" s="253"/>
      <c r="Q557" s="253"/>
      <c r="R557" s="253"/>
      <c r="S557" s="253"/>
      <c r="T557" s="253"/>
      <c r="U557" s="253"/>
      <c r="V557" s="253"/>
      <c r="W557" s="253"/>
      <c r="X557" s="253"/>
      <c r="Y557" s="253"/>
      <c r="Z557" s="253"/>
    </row>
    <row r="558" spans="16:26" ht="10.199999999999999" customHeight="1">
      <c r="P558" s="254"/>
      <c r="Q558" s="254"/>
      <c r="R558" s="254"/>
      <c r="S558" s="254"/>
      <c r="T558" s="254"/>
      <c r="U558" s="254"/>
      <c r="V558" s="254"/>
      <c r="W558" s="254"/>
      <c r="X558" s="254"/>
      <c r="Y558" s="254"/>
      <c r="Z558" s="254"/>
    </row>
    <row r="559" spans="16:26" ht="10.199999999999999" customHeight="1">
      <c r="P559" s="253"/>
      <c r="Q559" s="253"/>
      <c r="R559" s="253"/>
      <c r="S559" s="253"/>
      <c r="T559" s="253"/>
      <c r="U559" s="253"/>
      <c r="V559" s="253"/>
      <c r="W559" s="253"/>
      <c r="X559" s="253"/>
      <c r="Y559" s="253"/>
      <c r="Z559" s="253"/>
    </row>
    <row r="560" spans="16:26" ht="10.199999999999999" customHeight="1">
      <c r="P560" s="253"/>
      <c r="Q560" s="253"/>
      <c r="R560" s="253"/>
      <c r="S560" s="253"/>
      <c r="T560" s="253"/>
      <c r="U560" s="253"/>
      <c r="V560" s="253"/>
      <c r="W560" s="253"/>
      <c r="X560" s="253"/>
      <c r="Y560" s="253"/>
      <c r="Z560" s="253"/>
    </row>
    <row r="561" spans="16:26" ht="10.199999999999999" customHeight="1">
      <c r="P561" s="254"/>
      <c r="Q561" s="254"/>
      <c r="R561" s="254"/>
      <c r="S561" s="254"/>
      <c r="T561" s="254"/>
      <c r="U561" s="254"/>
      <c r="V561" s="254"/>
      <c r="W561" s="254"/>
      <c r="X561" s="254"/>
      <c r="Y561" s="254"/>
      <c r="Z561" s="254"/>
    </row>
    <row r="562" spans="16:26" ht="10.199999999999999" customHeight="1">
      <c r="P562" s="253"/>
      <c r="Q562" s="253"/>
      <c r="R562" s="253"/>
      <c r="S562" s="253"/>
      <c r="T562" s="253"/>
      <c r="U562" s="253"/>
      <c r="V562" s="253"/>
      <c r="W562" s="253"/>
      <c r="X562" s="253"/>
      <c r="Y562" s="253"/>
      <c r="Z562" s="253"/>
    </row>
    <row r="563" spans="16:26" ht="10.199999999999999" customHeight="1">
      <c r="P563" s="253"/>
      <c r="Q563" s="253"/>
      <c r="R563" s="253"/>
      <c r="S563" s="253"/>
      <c r="T563" s="253"/>
      <c r="U563" s="253"/>
      <c r="V563" s="253"/>
      <c r="W563" s="253"/>
      <c r="X563" s="253"/>
      <c r="Y563" s="253"/>
      <c r="Z563" s="253"/>
    </row>
    <row r="564" spans="16:26" ht="10.199999999999999" customHeight="1">
      <c r="P564" s="254"/>
      <c r="Q564" s="254"/>
      <c r="R564" s="254"/>
      <c r="S564" s="254"/>
      <c r="T564" s="254"/>
      <c r="U564" s="254"/>
      <c r="V564" s="254"/>
      <c r="W564" s="254"/>
      <c r="X564" s="254"/>
      <c r="Y564" s="254"/>
      <c r="Z564" s="254"/>
    </row>
    <row r="565" spans="16:26" ht="10.199999999999999" customHeight="1">
      <c r="P565" s="253"/>
      <c r="Q565" s="253"/>
      <c r="R565" s="253"/>
      <c r="S565" s="253"/>
      <c r="T565" s="253"/>
      <c r="U565" s="253"/>
      <c r="V565" s="253"/>
      <c r="W565" s="253"/>
      <c r="X565" s="253"/>
      <c r="Y565" s="253"/>
      <c r="Z565" s="253"/>
    </row>
    <row r="566" spans="16:26" ht="10.199999999999999" customHeight="1">
      <c r="P566" s="253"/>
      <c r="Q566" s="253"/>
      <c r="R566" s="253"/>
      <c r="S566" s="253"/>
      <c r="T566" s="253"/>
      <c r="U566" s="253"/>
      <c r="V566" s="253"/>
      <c r="W566" s="253"/>
      <c r="X566" s="253"/>
      <c r="Y566" s="253"/>
      <c r="Z566" s="253"/>
    </row>
    <row r="567" spans="16:26" ht="10.199999999999999" customHeight="1">
      <c r="P567" s="254"/>
      <c r="Q567" s="254"/>
      <c r="R567" s="254"/>
      <c r="S567" s="254"/>
      <c r="T567" s="254"/>
      <c r="U567" s="254"/>
      <c r="V567" s="254"/>
      <c r="W567" s="254"/>
      <c r="X567" s="254"/>
      <c r="Y567" s="254"/>
      <c r="Z567" s="254"/>
    </row>
    <row r="568" spans="16:26" ht="10.199999999999999" customHeight="1">
      <c r="P568" s="253"/>
      <c r="Q568" s="253"/>
      <c r="R568" s="253"/>
      <c r="S568" s="253"/>
      <c r="T568" s="253"/>
      <c r="U568" s="253"/>
      <c r="V568" s="253"/>
      <c r="W568" s="253"/>
      <c r="X568" s="253"/>
      <c r="Y568" s="253"/>
      <c r="Z568" s="253"/>
    </row>
    <row r="569" spans="16:26" ht="10.199999999999999" customHeight="1">
      <c r="P569" s="253"/>
      <c r="Q569" s="253"/>
      <c r="R569" s="253"/>
      <c r="S569" s="253"/>
      <c r="T569" s="253"/>
      <c r="U569" s="253"/>
      <c r="V569" s="253"/>
      <c r="W569" s="253"/>
      <c r="X569" s="253"/>
      <c r="Y569" s="253"/>
      <c r="Z569" s="253"/>
    </row>
    <row r="570" spans="16:26" ht="10.199999999999999" customHeight="1">
      <c r="P570" s="254"/>
      <c r="Q570" s="254"/>
      <c r="R570" s="254"/>
      <c r="S570" s="254"/>
      <c r="T570" s="254"/>
      <c r="U570" s="254"/>
      <c r="V570" s="254"/>
      <c r="W570" s="254"/>
      <c r="X570" s="254"/>
      <c r="Y570" s="254"/>
      <c r="Z570" s="254"/>
    </row>
    <row r="571" spans="16:26" ht="10.199999999999999" customHeight="1">
      <c r="P571" s="253"/>
      <c r="Q571" s="253"/>
      <c r="R571" s="253"/>
      <c r="S571" s="253"/>
      <c r="T571" s="253"/>
      <c r="U571" s="253"/>
      <c r="V571" s="253"/>
      <c r="W571" s="253"/>
      <c r="X571" s="253"/>
      <c r="Y571" s="253"/>
      <c r="Z571" s="253"/>
    </row>
    <row r="572" spans="16:26" ht="10.199999999999999" customHeight="1">
      <c r="P572" s="253"/>
      <c r="Q572" s="253"/>
      <c r="R572" s="253"/>
      <c r="S572" s="253"/>
      <c r="T572" s="253"/>
      <c r="U572" s="253"/>
      <c r="V572" s="253"/>
      <c r="W572" s="253"/>
      <c r="X572" s="253"/>
      <c r="Y572" s="253"/>
      <c r="Z572" s="253"/>
    </row>
    <row r="573" spans="16:26" ht="10.199999999999999" customHeight="1">
      <c r="P573" s="254"/>
      <c r="Q573" s="254"/>
      <c r="R573" s="254"/>
      <c r="S573" s="254"/>
      <c r="T573" s="254"/>
      <c r="U573" s="254"/>
      <c r="V573" s="254"/>
      <c r="W573" s="254"/>
      <c r="X573" s="254"/>
      <c r="Y573" s="254"/>
      <c r="Z573" s="254"/>
    </row>
    <row r="574" spans="16:26" ht="10.199999999999999" customHeight="1">
      <c r="P574" s="253"/>
      <c r="Q574" s="253"/>
      <c r="R574" s="253"/>
      <c r="S574" s="253"/>
      <c r="T574" s="253"/>
      <c r="U574" s="253"/>
      <c r="V574" s="253"/>
      <c r="W574" s="253"/>
      <c r="X574" s="253"/>
      <c r="Y574" s="253"/>
      <c r="Z574" s="253"/>
    </row>
    <row r="575" spans="16:26" ht="10.199999999999999" customHeight="1">
      <c r="P575" s="253"/>
      <c r="Q575" s="253"/>
      <c r="R575" s="253"/>
      <c r="S575" s="253"/>
      <c r="T575" s="253"/>
      <c r="U575" s="253"/>
      <c r="V575" s="253"/>
      <c r="W575" s="253"/>
      <c r="X575" s="253"/>
      <c r="Y575" s="253"/>
      <c r="Z575" s="253"/>
    </row>
    <row r="576" spans="16:26" ht="10.199999999999999" customHeight="1">
      <c r="P576" s="254"/>
      <c r="Q576" s="254"/>
      <c r="R576" s="254"/>
      <c r="S576" s="254"/>
      <c r="T576" s="254"/>
      <c r="U576" s="254"/>
      <c r="V576" s="254"/>
      <c r="W576" s="254"/>
      <c r="X576" s="254"/>
      <c r="Y576" s="254"/>
      <c r="Z576" s="254"/>
    </row>
    <row r="577" spans="16:26" ht="10.199999999999999" customHeight="1">
      <c r="P577" s="253"/>
      <c r="Q577" s="253"/>
      <c r="R577" s="253"/>
      <c r="S577" s="253"/>
      <c r="T577" s="253"/>
      <c r="U577" s="253"/>
      <c r="V577" s="253"/>
      <c r="W577" s="253"/>
      <c r="X577" s="253"/>
      <c r="Y577" s="253"/>
      <c r="Z577" s="253"/>
    </row>
    <row r="578" spans="16:26" ht="10.199999999999999" customHeight="1">
      <c r="P578" s="253"/>
      <c r="Q578" s="253"/>
      <c r="R578" s="253"/>
      <c r="S578" s="253"/>
      <c r="T578" s="253"/>
      <c r="U578" s="253"/>
      <c r="V578" s="253"/>
      <c r="W578" s="253"/>
      <c r="X578" s="253"/>
      <c r="Y578" s="253"/>
      <c r="Z578" s="253"/>
    </row>
    <row r="579" spans="16:26" ht="10.199999999999999" customHeight="1">
      <c r="P579" s="254"/>
      <c r="Q579" s="254"/>
      <c r="R579" s="254"/>
      <c r="S579" s="254"/>
      <c r="T579" s="254"/>
      <c r="U579" s="254"/>
      <c r="V579" s="254"/>
      <c r="W579" s="254"/>
      <c r="X579" s="254"/>
      <c r="Y579" s="254"/>
      <c r="Z579" s="254"/>
    </row>
    <row r="580" spans="16:26" ht="10.199999999999999" customHeight="1">
      <c r="P580" s="253"/>
      <c r="Q580" s="253"/>
      <c r="R580" s="253"/>
      <c r="S580" s="253"/>
      <c r="T580" s="253"/>
      <c r="U580" s="253"/>
      <c r="V580" s="253"/>
      <c r="W580" s="253"/>
      <c r="X580" s="253"/>
      <c r="Y580" s="253"/>
      <c r="Z580" s="253"/>
    </row>
    <row r="581" spans="16:26" ht="10.199999999999999" customHeight="1">
      <c r="P581" s="253"/>
      <c r="Q581" s="253"/>
      <c r="R581" s="253"/>
      <c r="S581" s="253"/>
      <c r="T581" s="253"/>
      <c r="U581" s="253"/>
      <c r="V581" s="253"/>
      <c r="W581" s="253"/>
      <c r="X581" s="253"/>
      <c r="Y581" s="253"/>
      <c r="Z581" s="253"/>
    </row>
    <row r="582" spans="16:26" ht="10.199999999999999" customHeight="1">
      <c r="P582" s="254"/>
      <c r="Q582" s="254"/>
      <c r="R582" s="254"/>
      <c r="S582" s="254"/>
      <c r="T582" s="254"/>
      <c r="U582" s="254"/>
      <c r="V582" s="254"/>
      <c r="W582" s="254"/>
      <c r="X582" s="254"/>
      <c r="Y582" s="254"/>
      <c r="Z582" s="254"/>
    </row>
    <row r="583" spans="16:26" ht="10.199999999999999" customHeight="1">
      <c r="P583" s="253"/>
      <c r="Q583" s="253"/>
      <c r="R583" s="253"/>
      <c r="S583" s="253"/>
      <c r="T583" s="253"/>
      <c r="U583" s="253"/>
      <c r="V583" s="253"/>
      <c r="W583" s="253"/>
      <c r="X583" s="253"/>
      <c r="Y583" s="253"/>
      <c r="Z583" s="253"/>
    </row>
    <row r="584" spans="16:26" ht="10.199999999999999" customHeight="1">
      <c r="P584" s="253"/>
      <c r="Q584" s="253"/>
      <c r="R584" s="253"/>
      <c r="S584" s="253"/>
      <c r="T584" s="253"/>
      <c r="U584" s="253"/>
      <c r="V584" s="253"/>
      <c r="W584" s="253"/>
      <c r="X584" s="253"/>
      <c r="Y584" s="253"/>
      <c r="Z584" s="253"/>
    </row>
    <row r="585" spans="16:26" ht="10.199999999999999" customHeight="1">
      <c r="P585" s="254"/>
      <c r="Q585" s="254"/>
      <c r="R585" s="254"/>
      <c r="S585" s="254"/>
      <c r="T585" s="254"/>
      <c r="U585" s="254"/>
      <c r="V585" s="254"/>
      <c r="W585" s="254"/>
      <c r="X585" s="254"/>
      <c r="Y585" s="254"/>
      <c r="Z585" s="254"/>
    </row>
    <row r="586" spans="16:26" ht="10.199999999999999" customHeight="1">
      <c r="P586" s="253"/>
      <c r="Q586" s="253"/>
      <c r="R586" s="253"/>
      <c r="S586" s="253"/>
      <c r="T586" s="253"/>
      <c r="U586" s="253"/>
      <c r="V586" s="253"/>
      <c r="W586" s="253"/>
      <c r="X586" s="253"/>
      <c r="Y586" s="253"/>
      <c r="Z586" s="253"/>
    </row>
    <row r="587" spans="16:26" ht="10.199999999999999" customHeight="1">
      <c r="P587" s="253"/>
      <c r="Q587" s="253"/>
      <c r="R587" s="253"/>
      <c r="S587" s="253"/>
      <c r="T587" s="253"/>
      <c r="U587" s="253"/>
      <c r="V587" s="253"/>
      <c r="W587" s="253"/>
      <c r="X587" s="253"/>
      <c r="Y587" s="253"/>
      <c r="Z587" s="253"/>
    </row>
    <row r="588" spans="16:26" ht="10.199999999999999" customHeight="1">
      <c r="P588" s="254"/>
      <c r="Q588" s="254"/>
      <c r="R588" s="254"/>
      <c r="S588" s="254"/>
      <c r="T588" s="254"/>
      <c r="U588" s="254"/>
      <c r="V588" s="254"/>
      <c r="W588" s="254"/>
      <c r="X588" s="254"/>
      <c r="Y588" s="254"/>
      <c r="Z588" s="254"/>
    </row>
    <row r="589" spans="16:26" ht="10.199999999999999" customHeight="1">
      <c r="P589" s="253"/>
      <c r="Q589" s="253"/>
      <c r="R589" s="253"/>
      <c r="S589" s="253"/>
      <c r="T589" s="253"/>
      <c r="U589" s="253"/>
      <c r="V589" s="253"/>
      <c r="W589" s="253"/>
      <c r="X589" s="253"/>
      <c r="Y589" s="253"/>
      <c r="Z589" s="253"/>
    </row>
    <row r="590" spans="16:26" ht="10.199999999999999" customHeight="1">
      <c r="P590" s="253"/>
      <c r="Q590" s="253"/>
      <c r="R590" s="253"/>
      <c r="S590" s="253"/>
      <c r="T590" s="253"/>
      <c r="U590" s="253"/>
      <c r="V590" s="253"/>
      <c r="W590" s="253"/>
      <c r="X590" s="253"/>
      <c r="Y590" s="253"/>
      <c r="Z590" s="253"/>
    </row>
    <row r="591" spans="16:26" ht="10.199999999999999" customHeight="1">
      <c r="P591" s="254"/>
      <c r="Q591" s="254"/>
      <c r="R591" s="254"/>
      <c r="S591" s="254"/>
      <c r="T591" s="254"/>
      <c r="U591" s="254"/>
      <c r="V591" s="254"/>
      <c r="W591" s="254"/>
      <c r="X591" s="254"/>
      <c r="Y591" s="254"/>
      <c r="Z591" s="254"/>
    </row>
    <row r="592" spans="16:26" ht="10.199999999999999" customHeight="1">
      <c r="P592" s="253"/>
      <c r="Q592" s="253"/>
      <c r="R592" s="253"/>
      <c r="S592" s="253"/>
      <c r="T592" s="253"/>
      <c r="U592" s="253"/>
      <c r="V592" s="253"/>
      <c r="W592" s="253"/>
      <c r="X592" s="253"/>
      <c r="Y592" s="253"/>
      <c r="Z592" s="253"/>
    </row>
    <row r="593" spans="16:26" ht="10.199999999999999" customHeight="1">
      <c r="P593" s="253"/>
      <c r="Q593" s="253"/>
      <c r="R593" s="253"/>
      <c r="S593" s="253"/>
      <c r="T593" s="253"/>
      <c r="U593" s="253"/>
      <c r="V593" s="253"/>
      <c r="W593" s="253"/>
      <c r="X593" s="253"/>
      <c r="Y593" s="253"/>
      <c r="Z593" s="253"/>
    </row>
    <row r="594" spans="16:26" ht="10.199999999999999" customHeight="1">
      <c r="P594" s="254"/>
      <c r="Q594" s="254"/>
      <c r="R594" s="254"/>
      <c r="S594" s="254"/>
      <c r="T594" s="254"/>
      <c r="U594" s="254"/>
      <c r="V594" s="254"/>
      <c r="W594" s="254"/>
      <c r="X594" s="254"/>
      <c r="Y594" s="254"/>
      <c r="Z594" s="254"/>
    </row>
    <row r="595" spans="16:26" ht="10.199999999999999" customHeight="1">
      <c r="P595" s="253"/>
      <c r="Q595" s="253"/>
      <c r="R595" s="253"/>
      <c r="S595" s="253"/>
      <c r="T595" s="253"/>
      <c r="U595" s="253"/>
      <c r="V595" s="253"/>
      <c r="W595" s="253"/>
      <c r="X595" s="253"/>
      <c r="Y595" s="253"/>
      <c r="Z595" s="253"/>
    </row>
    <row r="596" spans="16:26" ht="10.199999999999999" customHeight="1">
      <c r="P596" s="253"/>
      <c r="Q596" s="253"/>
      <c r="R596" s="253"/>
      <c r="S596" s="253"/>
      <c r="T596" s="253"/>
      <c r="U596" s="253"/>
      <c r="V596" s="253"/>
      <c r="W596" s="253"/>
      <c r="X596" s="253"/>
      <c r="Y596" s="253"/>
      <c r="Z596" s="253"/>
    </row>
    <row r="597" spans="16:26" ht="10.199999999999999" customHeight="1">
      <c r="P597" s="254"/>
      <c r="Q597" s="254"/>
      <c r="R597" s="254"/>
      <c r="S597" s="254"/>
      <c r="T597" s="254"/>
      <c r="U597" s="254"/>
      <c r="V597" s="254"/>
      <c r="W597" s="254"/>
      <c r="X597" s="254"/>
      <c r="Y597" s="254"/>
      <c r="Z597" s="254"/>
    </row>
    <row r="598" spans="16:26" ht="10.199999999999999" customHeight="1">
      <c r="P598" s="253"/>
      <c r="Q598" s="253"/>
      <c r="R598" s="253"/>
      <c r="S598" s="253"/>
      <c r="T598" s="253"/>
      <c r="U598" s="253"/>
      <c r="V598" s="253"/>
      <c r="W598" s="253"/>
      <c r="X598" s="253"/>
      <c r="Y598" s="253"/>
      <c r="Z598" s="253"/>
    </row>
    <row r="599" spans="16:26" ht="10.199999999999999" customHeight="1">
      <c r="P599" s="253"/>
      <c r="Q599" s="253"/>
      <c r="R599" s="253"/>
      <c r="S599" s="253"/>
      <c r="T599" s="253"/>
      <c r="U599" s="253"/>
      <c r="V599" s="253"/>
      <c r="W599" s="253"/>
      <c r="X599" s="253"/>
      <c r="Y599" s="253"/>
      <c r="Z599" s="253"/>
    </row>
    <row r="600" spans="16:26" ht="10.199999999999999" customHeight="1">
      <c r="P600" s="254"/>
      <c r="Q600" s="254"/>
      <c r="R600" s="254"/>
      <c r="S600" s="254"/>
      <c r="T600" s="254"/>
      <c r="U600" s="254"/>
      <c r="V600" s="254"/>
      <c r="W600" s="254"/>
      <c r="X600" s="254"/>
      <c r="Y600" s="254"/>
      <c r="Z600" s="254"/>
    </row>
    <row r="601" spans="16:26" ht="10.199999999999999" customHeight="1">
      <c r="P601" s="253"/>
      <c r="Q601" s="253"/>
      <c r="R601" s="253"/>
      <c r="S601" s="253"/>
      <c r="T601" s="253"/>
      <c r="U601" s="253"/>
      <c r="V601" s="253"/>
      <c r="W601" s="253"/>
      <c r="X601" s="253"/>
      <c r="Y601" s="253"/>
      <c r="Z601" s="253"/>
    </row>
    <row r="602" spans="16:26" ht="10.199999999999999" customHeight="1">
      <c r="P602" s="253"/>
      <c r="Q602" s="253"/>
      <c r="R602" s="253"/>
      <c r="S602" s="253"/>
      <c r="T602" s="253"/>
      <c r="U602" s="253"/>
      <c r="V602" s="253"/>
      <c r="W602" s="253"/>
      <c r="X602" s="253"/>
      <c r="Y602" s="253"/>
      <c r="Z602" s="253"/>
    </row>
    <row r="603" spans="16:26" ht="10.199999999999999" customHeight="1">
      <c r="P603" s="254"/>
      <c r="Q603" s="254"/>
      <c r="R603" s="254"/>
      <c r="S603" s="254"/>
      <c r="T603" s="254"/>
      <c r="U603" s="254"/>
      <c r="V603" s="254"/>
      <c r="W603" s="254"/>
      <c r="X603" s="254"/>
      <c r="Y603" s="254"/>
      <c r="Z603" s="254"/>
    </row>
    <row r="604" spans="16:26" ht="10.199999999999999" customHeight="1">
      <c r="P604" s="253"/>
      <c r="Q604" s="253"/>
      <c r="R604" s="253"/>
      <c r="S604" s="253"/>
      <c r="T604" s="253"/>
      <c r="U604" s="253"/>
      <c r="V604" s="253"/>
      <c r="W604" s="253"/>
      <c r="X604" s="253"/>
      <c r="Y604" s="253"/>
      <c r="Z604" s="253"/>
    </row>
    <row r="605" spans="16:26" ht="10.199999999999999" customHeight="1">
      <c r="P605" s="253"/>
      <c r="Q605" s="253"/>
      <c r="R605" s="253"/>
      <c r="S605" s="253"/>
      <c r="T605" s="253"/>
      <c r="U605" s="253"/>
      <c r="V605" s="253"/>
      <c r="W605" s="253"/>
      <c r="X605" s="253"/>
      <c r="Y605" s="253"/>
      <c r="Z605" s="253"/>
    </row>
    <row r="606" spans="16:26" ht="10.199999999999999" customHeight="1">
      <c r="P606" s="254"/>
      <c r="Q606" s="254"/>
      <c r="R606" s="254"/>
      <c r="S606" s="254"/>
      <c r="T606" s="254"/>
      <c r="U606" s="254"/>
      <c r="V606" s="254"/>
      <c r="W606" s="254"/>
      <c r="X606" s="254"/>
      <c r="Y606" s="254"/>
      <c r="Z606" s="254"/>
    </row>
    <row r="607" spans="16:26" ht="10.199999999999999" customHeight="1">
      <c r="P607" s="253"/>
      <c r="Q607" s="253"/>
      <c r="R607" s="253"/>
      <c r="S607" s="253"/>
      <c r="T607" s="253"/>
      <c r="U607" s="253"/>
      <c r="V607" s="253"/>
      <c r="W607" s="253"/>
      <c r="X607" s="253"/>
      <c r="Y607" s="253"/>
      <c r="Z607" s="253"/>
    </row>
    <row r="608" spans="16:26" ht="10.199999999999999" customHeight="1">
      <c r="P608" s="253"/>
      <c r="Q608" s="253"/>
      <c r="R608" s="253"/>
      <c r="S608" s="253"/>
      <c r="T608" s="253"/>
      <c r="U608" s="253"/>
      <c r="V608" s="253"/>
      <c r="W608" s="253"/>
      <c r="X608" s="253"/>
      <c r="Y608" s="253"/>
      <c r="Z608" s="253"/>
    </row>
    <row r="609" spans="16:26" ht="10.199999999999999" customHeight="1">
      <c r="P609" s="254"/>
      <c r="Q609" s="254"/>
      <c r="R609" s="254"/>
      <c r="S609" s="254"/>
      <c r="T609" s="254"/>
      <c r="U609" s="254"/>
      <c r="V609" s="254"/>
      <c r="W609" s="254"/>
      <c r="X609" s="254"/>
      <c r="Y609" s="254"/>
      <c r="Z609" s="254"/>
    </row>
    <row r="610" spans="16:26" ht="10.199999999999999" customHeight="1">
      <c r="P610" s="253"/>
      <c r="Q610" s="253"/>
      <c r="R610" s="253"/>
      <c r="S610" s="253"/>
      <c r="T610" s="253"/>
      <c r="U610" s="253"/>
      <c r="V610" s="253"/>
      <c r="W610" s="253"/>
      <c r="X610" s="253"/>
      <c r="Y610" s="253"/>
      <c r="Z610" s="253"/>
    </row>
    <row r="611" spans="16:26" ht="10.199999999999999" customHeight="1">
      <c r="P611" s="253"/>
      <c r="Q611" s="253"/>
      <c r="R611" s="253"/>
      <c r="S611" s="253"/>
      <c r="T611" s="253"/>
      <c r="U611" s="253"/>
      <c r="V611" s="253"/>
      <c r="W611" s="253"/>
      <c r="X611" s="253"/>
      <c r="Y611" s="253"/>
      <c r="Z611" s="253"/>
    </row>
    <row r="612" spans="16:26" ht="10.199999999999999" customHeight="1">
      <c r="P612" s="254"/>
      <c r="Q612" s="254"/>
      <c r="R612" s="254"/>
      <c r="S612" s="254"/>
      <c r="T612" s="254"/>
      <c r="U612" s="254"/>
      <c r="V612" s="254"/>
      <c r="W612" s="254"/>
      <c r="X612" s="254"/>
      <c r="Y612" s="254"/>
      <c r="Z612" s="254"/>
    </row>
    <row r="613" spans="16:26" ht="10.199999999999999" customHeight="1">
      <c r="P613" s="253"/>
      <c r="Q613" s="253"/>
      <c r="R613" s="253"/>
      <c r="S613" s="253"/>
      <c r="T613" s="253"/>
      <c r="U613" s="253"/>
      <c r="V613" s="253"/>
      <c r="W613" s="253"/>
      <c r="X613" s="253"/>
      <c r="Y613" s="253"/>
      <c r="Z613" s="253"/>
    </row>
    <row r="614" spans="16:26" ht="10.199999999999999" customHeight="1">
      <c r="P614" s="253"/>
      <c r="Q614" s="253"/>
      <c r="R614" s="253"/>
      <c r="S614" s="253"/>
      <c r="T614" s="253"/>
      <c r="U614" s="253"/>
      <c r="V614" s="253"/>
      <c r="W614" s="253"/>
      <c r="X614" s="253"/>
      <c r="Y614" s="253"/>
      <c r="Z614" s="253"/>
    </row>
    <row r="615" spans="16:26" ht="10.199999999999999" customHeight="1">
      <c r="P615" s="254"/>
      <c r="Q615" s="254"/>
      <c r="R615" s="254"/>
      <c r="S615" s="254"/>
      <c r="T615" s="254"/>
      <c r="U615" s="254"/>
      <c r="V615" s="254"/>
      <c r="W615" s="254"/>
      <c r="X615" s="254"/>
      <c r="Y615" s="254"/>
      <c r="Z615" s="254"/>
    </row>
    <row r="616" spans="16:26" ht="10.199999999999999" customHeight="1">
      <c r="P616" s="253"/>
      <c r="Q616" s="253"/>
      <c r="R616" s="253"/>
      <c r="S616" s="253"/>
      <c r="T616" s="253"/>
      <c r="U616" s="253"/>
      <c r="V616" s="253"/>
      <c r="W616" s="253"/>
      <c r="X616" s="253"/>
      <c r="Y616" s="253"/>
      <c r="Z616" s="253"/>
    </row>
    <row r="617" spans="16:26" ht="10.199999999999999" customHeight="1">
      <c r="P617" s="253"/>
      <c r="Q617" s="253"/>
      <c r="R617" s="253"/>
      <c r="S617" s="253"/>
      <c r="T617" s="253"/>
      <c r="U617" s="253"/>
      <c r="V617" s="253"/>
      <c r="W617" s="253"/>
      <c r="X617" s="253"/>
      <c r="Y617" s="253"/>
      <c r="Z617" s="253"/>
    </row>
    <row r="618" spans="16:26" ht="10.199999999999999" customHeight="1">
      <c r="P618" s="254"/>
      <c r="Q618" s="254"/>
      <c r="R618" s="254"/>
      <c r="S618" s="254"/>
      <c r="T618" s="254"/>
      <c r="U618" s="254"/>
      <c r="V618" s="254"/>
      <c r="W618" s="254"/>
      <c r="X618" s="254"/>
      <c r="Y618" s="254"/>
      <c r="Z618" s="254"/>
    </row>
    <row r="619" spans="16:26" ht="10.199999999999999" customHeight="1">
      <c r="P619" s="253"/>
      <c r="Q619" s="253"/>
      <c r="R619" s="253"/>
      <c r="S619" s="253"/>
      <c r="T619" s="253"/>
      <c r="U619" s="253"/>
      <c r="V619" s="253"/>
      <c r="W619" s="253"/>
      <c r="X619" s="253"/>
      <c r="Y619" s="253"/>
      <c r="Z619" s="253"/>
    </row>
    <row r="620" spans="16:26" ht="10.199999999999999" customHeight="1">
      <c r="P620" s="253"/>
      <c r="Q620" s="253"/>
      <c r="R620" s="253"/>
      <c r="S620" s="253"/>
      <c r="T620" s="253"/>
      <c r="U620" s="253"/>
      <c r="V620" s="253"/>
      <c r="W620" s="253"/>
      <c r="X620" s="253"/>
      <c r="Y620" s="253"/>
      <c r="Z620" s="253"/>
    </row>
    <row r="621" spans="16:26" ht="10.199999999999999" customHeight="1">
      <c r="P621" s="254"/>
      <c r="Q621" s="254"/>
      <c r="R621" s="254"/>
      <c r="S621" s="254"/>
      <c r="T621" s="254"/>
      <c r="U621" s="254"/>
      <c r="V621" s="254"/>
      <c r="W621" s="254"/>
      <c r="X621" s="254"/>
      <c r="Y621" s="254"/>
      <c r="Z621" s="254"/>
    </row>
    <row r="622" spans="16:26" ht="10.199999999999999" customHeight="1">
      <c r="P622" s="253"/>
      <c r="Q622" s="253"/>
      <c r="R622" s="253"/>
      <c r="S622" s="253"/>
      <c r="T622" s="253"/>
      <c r="U622" s="253"/>
      <c r="V622" s="253"/>
      <c r="W622" s="253"/>
      <c r="X622" s="253"/>
      <c r="Y622" s="253"/>
      <c r="Z622" s="253"/>
    </row>
    <row r="623" spans="16:26" ht="10.199999999999999" customHeight="1">
      <c r="P623" s="253"/>
      <c r="Q623" s="253"/>
      <c r="R623" s="253"/>
      <c r="S623" s="253"/>
      <c r="T623" s="253"/>
      <c r="U623" s="253"/>
      <c r="V623" s="253"/>
      <c r="W623" s="253"/>
      <c r="X623" s="253"/>
      <c r="Y623" s="253"/>
      <c r="Z623" s="253"/>
    </row>
    <row r="624" spans="16:26" ht="10.199999999999999" customHeight="1">
      <c r="P624" s="254"/>
      <c r="Q624" s="254"/>
      <c r="R624" s="254"/>
      <c r="S624" s="254"/>
      <c r="T624" s="254"/>
      <c r="U624" s="254"/>
      <c r="V624" s="254"/>
      <c r="W624" s="254"/>
      <c r="X624" s="254"/>
      <c r="Y624" s="254"/>
      <c r="Z624" s="254"/>
    </row>
    <row r="625" spans="16:26" ht="10.199999999999999" customHeight="1">
      <c r="P625" s="253"/>
      <c r="Q625" s="253"/>
      <c r="R625" s="253"/>
      <c r="S625" s="253"/>
      <c r="T625" s="253"/>
      <c r="U625" s="253"/>
      <c r="V625" s="253"/>
      <c r="W625" s="253"/>
      <c r="X625" s="253"/>
      <c r="Y625" s="253"/>
      <c r="Z625" s="253"/>
    </row>
    <row r="626" spans="16:26" ht="10.199999999999999" customHeight="1">
      <c r="P626" s="253"/>
      <c r="Q626" s="253"/>
      <c r="R626" s="253"/>
      <c r="S626" s="253"/>
      <c r="T626" s="253"/>
      <c r="U626" s="253"/>
      <c r="V626" s="253"/>
      <c r="W626" s="253"/>
      <c r="X626" s="253"/>
      <c r="Y626" s="253"/>
      <c r="Z626" s="253"/>
    </row>
    <row r="627" spans="16:26" ht="10.199999999999999" customHeight="1">
      <c r="P627" s="254"/>
      <c r="Q627" s="254"/>
      <c r="R627" s="254"/>
      <c r="S627" s="254"/>
      <c r="T627" s="254"/>
      <c r="U627" s="254"/>
      <c r="V627" s="254"/>
      <c r="W627" s="254"/>
      <c r="X627" s="254"/>
      <c r="Y627" s="254"/>
      <c r="Z627" s="254"/>
    </row>
    <row r="628" spans="16:26" ht="10.199999999999999" customHeight="1">
      <c r="P628" s="253"/>
      <c r="Q628" s="253"/>
      <c r="R628" s="253"/>
      <c r="S628" s="253"/>
      <c r="T628" s="253"/>
      <c r="U628" s="253"/>
      <c r="V628" s="253"/>
      <c r="W628" s="253"/>
      <c r="X628" s="253"/>
      <c r="Y628" s="253"/>
      <c r="Z628" s="253"/>
    </row>
    <row r="629" spans="16:26" ht="10.199999999999999" customHeight="1">
      <c r="P629" s="253"/>
      <c r="Q629" s="253"/>
      <c r="R629" s="253"/>
      <c r="S629" s="253"/>
      <c r="T629" s="253"/>
      <c r="U629" s="253"/>
      <c r="V629" s="253"/>
      <c r="W629" s="253"/>
      <c r="X629" s="253"/>
      <c r="Y629" s="253"/>
      <c r="Z629" s="253"/>
    </row>
    <row r="630" spans="16:26" ht="10.199999999999999" customHeight="1">
      <c r="P630" s="254"/>
      <c r="Q630" s="254"/>
      <c r="R630" s="254"/>
      <c r="S630" s="254"/>
      <c r="T630" s="254"/>
      <c r="U630" s="254"/>
      <c r="V630" s="254"/>
      <c r="W630" s="254"/>
      <c r="X630" s="254"/>
      <c r="Y630" s="254"/>
      <c r="Z630" s="254"/>
    </row>
    <row r="631" spans="16:26" ht="10.199999999999999" customHeight="1">
      <c r="P631" s="253"/>
      <c r="Q631" s="253"/>
      <c r="R631" s="253"/>
      <c r="S631" s="253"/>
      <c r="T631" s="253"/>
      <c r="U631" s="253"/>
      <c r="V631" s="253"/>
      <c r="W631" s="253"/>
      <c r="X631" s="253"/>
      <c r="Y631" s="253"/>
      <c r="Z631" s="253"/>
    </row>
    <row r="632" spans="16:26" ht="10.199999999999999" customHeight="1">
      <c r="P632" s="253"/>
      <c r="Q632" s="253"/>
      <c r="R632" s="253"/>
      <c r="S632" s="253"/>
      <c r="T632" s="253"/>
      <c r="U632" s="253"/>
      <c r="V632" s="253"/>
      <c r="W632" s="253"/>
      <c r="X632" s="253"/>
      <c r="Y632" s="253"/>
      <c r="Z632" s="253"/>
    </row>
    <row r="633" spans="16:26" ht="10.199999999999999" customHeight="1">
      <c r="P633" s="254"/>
      <c r="Q633" s="254"/>
      <c r="R633" s="254"/>
      <c r="S633" s="254"/>
      <c r="T633" s="254"/>
      <c r="U633" s="254"/>
      <c r="V633" s="254"/>
      <c r="W633" s="254"/>
      <c r="X633" s="254"/>
      <c r="Y633" s="254"/>
      <c r="Z633" s="254"/>
    </row>
    <row r="634" spans="16:26" ht="10.199999999999999" customHeight="1">
      <c r="P634" s="253"/>
      <c r="Q634" s="253"/>
      <c r="R634" s="253"/>
      <c r="S634" s="253"/>
      <c r="T634" s="253"/>
      <c r="U634" s="253"/>
      <c r="V634" s="253"/>
      <c r="W634" s="253"/>
      <c r="X634" s="253"/>
      <c r="Y634" s="253"/>
      <c r="Z634" s="253"/>
    </row>
    <row r="635" spans="16:26" ht="10.199999999999999" customHeight="1">
      <c r="P635" s="253"/>
      <c r="Q635" s="253"/>
      <c r="R635" s="253"/>
      <c r="S635" s="253"/>
      <c r="T635" s="253"/>
      <c r="U635" s="253"/>
      <c r="V635" s="253"/>
      <c r="W635" s="253"/>
      <c r="X635" s="253"/>
      <c r="Y635" s="253"/>
      <c r="Z635" s="253"/>
    </row>
    <row r="636" spans="16:26" ht="10.199999999999999" customHeight="1">
      <c r="P636" s="254"/>
      <c r="Q636" s="254"/>
      <c r="R636" s="254"/>
      <c r="S636" s="254"/>
      <c r="T636" s="254"/>
      <c r="U636" s="254"/>
      <c r="V636" s="254"/>
      <c r="W636" s="254"/>
      <c r="X636" s="254"/>
      <c r="Y636" s="254"/>
      <c r="Z636" s="254"/>
    </row>
    <row r="637" spans="16:26" ht="10.199999999999999" customHeight="1">
      <c r="P637" s="253"/>
      <c r="Q637" s="253"/>
      <c r="R637" s="253"/>
      <c r="S637" s="253"/>
      <c r="T637" s="253"/>
      <c r="U637" s="253"/>
      <c r="V637" s="253"/>
      <c r="W637" s="253"/>
      <c r="X637" s="253"/>
      <c r="Y637" s="253"/>
      <c r="Z637" s="253"/>
    </row>
    <row r="638" spans="16:26" ht="10.199999999999999" customHeight="1">
      <c r="P638" s="253"/>
      <c r="Q638" s="253"/>
      <c r="R638" s="253"/>
      <c r="S638" s="253"/>
      <c r="T638" s="253"/>
      <c r="U638" s="253"/>
      <c r="V638" s="253"/>
      <c r="W638" s="253"/>
      <c r="X638" s="253"/>
      <c r="Y638" s="253"/>
      <c r="Z638" s="253"/>
    </row>
    <row r="639" spans="16:26" ht="10.199999999999999" customHeight="1">
      <c r="P639" s="254"/>
      <c r="Q639" s="254"/>
      <c r="R639" s="254"/>
      <c r="S639" s="254"/>
      <c r="T639" s="254"/>
      <c r="U639" s="254"/>
      <c r="V639" s="254"/>
      <c r="W639" s="254"/>
      <c r="X639" s="254"/>
      <c r="Y639" s="254"/>
      <c r="Z639" s="254"/>
    </row>
    <row r="640" spans="16:26" ht="10.199999999999999" customHeight="1">
      <c r="P640" s="253"/>
      <c r="Q640" s="253"/>
      <c r="R640" s="253"/>
      <c r="S640" s="253"/>
      <c r="T640" s="253"/>
      <c r="U640" s="253"/>
      <c r="V640" s="253"/>
      <c r="W640" s="253"/>
      <c r="X640" s="253"/>
      <c r="Y640" s="253"/>
      <c r="Z640" s="253"/>
    </row>
    <row r="641" spans="16:26" ht="10.199999999999999" customHeight="1">
      <c r="P641" s="253"/>
      <c r="Q641" s="253"/>
      <c r="R641" s="253"/>
      <c r="S641" s="253"/>
      <c r="T641" s="253"/>
      <c r="U641" s="253"/>
      <c r="V641" s="253"/>
      <c r="W641" s="253"/>
      <c r="X641" s="253"/>
      <c r="Y641" s="253"/>
      <c r="Z641" s="253"/>
    </row>
    <row r="642" spans="16:26" ht="10.199999999999999" customHeight="1">
      <c r="P642" s="254"/>
      <c r="Q642" s="254"/>
      <c r="R642" s="254"/>
      <c r="S642" s="254"/>
      <c r="T642" s="254"/>
      <c r="U642" s="254"/>
      <c r="V642" s="254"/>
      <c r="W642" s="254"/>
      <c r="X642" s="254"/>
      <c r="Y642" s="254"/>
      <c r="Z642" s="254"/>
    </row>
    <row r="643" spans="16:26" ht="10.199999999999999" customHeight="1">
      <c r="P643" s="254"/>
      <c r="Q643" s="254"/>
      <c r="R643" s="254"/>
      <c r="S643" s="254"/>
      <c r="T643" s="254"/>
      <c r="U643" s="254"/>
      <c r="V643" s="254"/>
      <c r="W643" s="254"/>
      <c r="X643" s="254"/>
      <c r="Y643" s="254"/>
      <c r="Z643" s="254"/>
    </row>
    <row r="644" spans="16:26" ht="10.199999999999999" customHeight="1">
      <c r="P644" s="254"/>
      <c r="Q644" s="254"/>
      <c r="R644" s="254"/>
      <c r="S644" s="254"/>
      <c r="T644" s="254"/>
      <c r="U644" s="254"/>
      <c r="V644" s="254"/>
      <c r="W644" s="254"/>
      <c r="X644" s="254"/>
      <c r="Y644" s="254"/>
      <c r="Z644" s="254"/>
    </row>
    <row r="645" spans="16:26" ht="10.199999999999999" customHeight="1">
      <c r="P645" s="254"/>
      <c r="Q645" s="254"/>
      <c r="R645" s="254"/>
      <c r="S645" s="254"/>
      <c r="T645" s="254"/>
      <c r="U645" s="254"/>
      <c r="V645" s="254"/>
      <c r="W645" s="254"/>
      <c r="X645" s="254"/>
      <c r="Y645" s="254"/>
      <c r="Z645" s="254"/>
    </row>
    <row r="646" spans="16:26" ht="10.199999999999999" customHeight="1">
      <c r="P646" s="254"/>
      <c r="Q646" s="254"/>
      <c r="R646" s="254"/>
      <c r="S646" s="254"/>
      <c r="T646" s="254"/>
      <c r="U646" s="254"/>
      <c r="V646" s="254"/>
      <c r="W646" s="254"/>
      <c r="X646" s="254"/>
      <c r="Y646" s="254"/>
      <c r="Z646" s="254"/>
    </row>
    <row r="647" spans="16:26" ht="10.199999999999999" customHeight="1">
      <c r="P647" s="254"/>
      <c r="Q647" s="254"/>
      <c r="R647" s="254"/>
      <c r="S647" s="254"/>
      <c r="T647" s="254"/>
      <c r="U647" s="254"/>
      <c r="V647" s="254"/>
      <c r="W647" s="254"/>
      <c r="X647" s="254"/>
      <c r="Y647" s="254"/>
      <c r="Z647" s="254"/>
    </row>
    <row r="648" spans="16:26" ht="10.199999999999999" customHeight="1">
      <c r="P648" s="254"/>
      <c r="Q648" s="254"/>
      <c r="R648" s="254"/>
      <c r="S648" s="254"/>
      <c r="T648" s="254"/>
      <c r="U648" s="254"/>
      <c r="V648" s="254"/>
      <c r="W648" s="254"/>
      <c r="X648" s="254"/>
      <c r="Y648" s="254"/>
      <c r="Z648" s="254"/>
    </row>
    <row r="649" spans="16:26" ht="10.199999999999999" customHeight="1">
      <c r="P649" s="254"/>
      <c r="Q649" s="254"/>
      <c r="R649" s="254"/>
      <c r="S649" s="254"/>
      <c r="T649" s="254"/>
      <c r="U649" s="254"/>
      <c r="V649" s="254"/>
      <c r="W649" s="254"/>
      <c r="X649" s="254"/>
      <c r="Y649" s="254"/>
      <c r="Z649" s="254"/>
    </row>
    <row r="650" spans="16:26" ht="10.199999999999999" customHeight="1">
      <c r="P650" s="254"/>
      <c r="Q650" s="254"/>
      <c r="R650" s="254"/>
      <c r="S650" s="254"/>
      <c r="T650" s="254"/>
      <c r="U650" s="254"/>
      <c r="V650" s="254"/>
      <c r="W650" s="254"/>
      <c r="X650" s="254"/>
      <c r="Y650" s="254"/>
      <c r="Z650" s="254"/>
    </row>
    <row r="651" spans="16:26" ht="10.199999999999999" customHeight="1">
      <c r="P651" s="254"/>
      <c r="Q651" s="254"/>
      <c r="R651" s="254"/>
      <c r="S651" s="254"/>
      <c r="T651" s="254"/>
      <c r="U651" s="254"/>
      <c r="V651" s="254"/>
      <c r="W651" s="254"/>
      <c r="X651" s="254"/>
      <c r="Y651" s="254"/>
      <c r="Z651" s="254"/>
    </row>
    <row r="652" spans="16:26" ht="10.199999999999999" customHeight="1">
      <c r="P652" s="254"/>
      <c r="Q652" s="254"/>
      <c r="R652" s="254"/>
      <c r="S652" s="254"/>
      <c r="T652" s="254"/>
      <c r="U652" s="254"/>
      <c r="V652" s="254"/>
      <c r="W652" s="254"/>
      <c r="X652" s="254"/>
      <c r="Y652" s="254"/>
      <c r="Z652" s="254"/>
    </row>
    <row r="653" spans="16:26" ht="10.199999999999999" customHeight="1">
      <c r="P653" s="254"/>
      <c r="Q653" s="254"/>
      <c r="R653" s="254"/>
      <c r="S653" s="254"/>
      <c r="T653" s="254"/>
      <c r="U653" s="254"/>
      <c r="V653" s="254"/>
      <c r="W653" s="254"/>
      <c r="X653" s="254"/>
      <c r="Y653" s="254"/>
      <c r="Z653" s="254"/>
    </row>
    <row r="654" spans="16:26" ht="10.199999999999999" customHeight="1">
      <c r="P654" s="254"/>
      <c r="Q654" s="254"/>
      <c r="R654" s="254"/>
      <c r="S654" s="254"/>
      <c r="T654" s="254"/>
      <c r="U654" s="254"/>
      <c r="V654" s="254"/>
      <c r="W654" s="254"/>
      <c r="X654" s="254"/>
      <c r="Y654" s="254"/>
      <c r="Z654" s="254"/>
    </row>
    <row r="655" spans="16:26" ht="10.199999999999999" customHeight="1">
      <c r="P655" s="254"/>
      <c r="Q655" s="254"/>
      <c r="R655" s="254"/>
      <c r="S655" s="254"/>
      <c r="T655" s="254"/>
      <c r="U655" s="254"/>
      <c r="V655" s="254"/>
      <c r="W655" s="254"/>
      <c r="X655" s="254"/>
      <c r="Y655" s="254"/>
      <c r="Z655" s="254"/>
    </row>
    <row r="656" spans="16:26" ht="10.199999999999999" customHeight="1">
      <c r="P656" s="254"/>
      <c r="Q656" s="254"/>
      <c r="R656" s="254"/>
      <c r="S656" s="254"/>
      <c r="T656" s="254"/>
      <c r="U656" s="254"/>
      <c r="V656" s="254"/>
      <c r="W656" s="254"/>
      <c r="X656" s="254"/>
      <c r="Y656" s="254"/>
      <c r="Z656" s="254"/>
    </row>
    <row r="657" spans="16:26" ht="10.199999999999999" customHeight="1">
      <c r="P657" s="254"/>
      <c r="Q657" s="254"/>
      <c r="R657" s="254"/>
      <c r="S657" s="254"/>
      <c r="T657" s="254"/>
      <c r="U657" s="254"/>
      <c r="V657" s="254"/>
      <c r="W657" s="254"/>
      <c r="X657" s="254"/>
      <c r="Y657" s="254"/>
      <c r="Z657" s="254"/>
    </row>
    <row r="658" spans="16:26" ht="10.199999999999999" customHeight="1">
      <c r="P658" s="254"/>
      <c r="Q658" s="254"/>
      <c r="R658" s="254"/>
      <c r="S658" s="254"/>
      <c r="T658" s="254"/>
      <c r="U658" s="254"/>
      <c r="V658" s="254"/>
      <c r="W658" s="254"/>
      <c r="X658" s="254"/>
      <c r="Y658" s="254"/>
      <c r="Z658" s="254"/>
    </row>
    <row r="659" spans="16:26" ht="10.199999999999999" customHeight="1">
      <c r="P659" s="254"/>
      <c r="Q659" s="254"/>
      <c r="R659" s="254"/>
      <c r="S659" s="254"/>
      <c r="T659" s="254"/>
      <c r="U659" s="254"/>
      <c r="V659" s="254"/>
      <c r="W659" s="254"/>
      <c r="X659" s="254"/>
      <c r="Y659" s="254"/>
      <c r="Z659" s="254"/>
    </row>
    <row r="660" spans="16:26" ht="10.199999999999999" customHeight="1">
      <c r="P660" s="254"/>
      <c r="Q660" s="254"/>
      <c r="R660" s="254"/>
      <c r="S660" s="254"/>
      <c r="T660" s="254"/>
      <c r="U660" s="254"/>
      <c r="V660" s="254"/>
      <c r="W660" s="254"/>
      <c r="X660" s="254"/>
      <c r="Y660" s="254"/>
      <c r="Z660" s="254"/>
    </row>
    <row r="661" spans="16:26" ht="10.199999999999999" customHeight="1">
      <c r="P661" s="254"/>
      <c r="Q661" s="254"/>
      <c r="R661" s="254"/>
      <c r="S661" s="254"/>
      <c r="T661" s="254"/>
      <c r="U661" s="254"/>
      <c r="V661" s="254"/>
      <c r="W661" s="254"/>
      <c r="X661" s="254"/>
      <c r="Y661" s="254"/>
      <c r="Z661" s="254"/>
    </row>
    <row r="662" spans="16:26" ht="10.199999999999999" customHeight="1">
      <c r="P662" s="254"/>
      <c r="Q662" s="254"/>
      <c r="R662" s="254"/>
      <c r="S662" s="254"/>
      <c r="T662" s="254"/>
      <c r="U662" s="254"/>
      <c r="V662" s="254"/>
      <c r="W662" s="254"/>
      <c r="X662" s="254"/>
      <c r="Y662" s="254"/>
      <c r="Z662" s="254"/>
    </row>
    <row r="663" spans="16:26" ht="10.199999999999999" customHeight="1">
      <c r="P663" s="254"/>
      <c r="Q663" s="254"/>
      <c r="R663" s="254"/>
      <c r="S663" s="254"/>
      <c r="T663" s="254"/>
      <c r="U663" s="254"/>
      <c r="V663" s="254"/>
      <c r="W663" s="254"/>
      <c r="X663" s="254"/>
      <c r="Y663" s="254"/>
      <c r="Z663" s="254"/>
    </row>
    <row r="664" spans="16:26" ht="10.199999999999999" customHeight="1">
      <c r="P664" s="254"/>
      <c r="Q664" s="254"/>
      <c r="R664" s="254"/>
      <c r="S664" s="254"/>
      <c r="T664" s="254"/>
      <c r="U664" s="254"/>
      <c r="V664" s="254"/>
      <c r="W664" s="254"/>
      <c r="X664" s="254"/>
      <c r="Y664" s="254"/>
      <c r="Z664" s="254"/>
    </row>
    <row r="665" spans="16:26" ht="10.199999999999999" customHeight="1">
      <c r="P665" s="254"/>
      <c r="Q665" s="254"/>
      <c r="R665" s="254"/>
      <c r="S665" s="254"/>
      <c r="T665" s="254"/>
      <c r="U665" s="254"/>
      <c r="V665" s="254"/>
      <c r="W665" s="254"/>
      <c r="X665" s="254"/>
      <c r="Y665" s="254"/>
      <c r="Z665" s="254"/>
    </row>
    <row r="666" spans="16:26" ht="10.199999999999999" customHeight="1">
      <c r="P666" s="254"/>
      <c r="Q666" s="254"/>
      <c r="R666" s="254"/>
      <c r="S666" s="254"/>
      <c r="T666" s="254"/>
      <c r="U666" s="254"/>
      <c r="V666" s="254"/>
      <c r="W666" s="254"/>
      <c r="X666" s="254"/>
      <c r="Y666" s="254"/>
      <c r="Z666" s="254"/>
    </row>
    <row r="667" spans="16:26" ht="10.199999999999999" customHeight="1">
      <c r="P667" s="254"/>
      <c r="Q667" s="254"/>
      <c r="R667" s="254"/>
      <c r="S667" s="254"/>
      <c r="T667" s="254"/>
      <c r="U667" s="254"/>
      <c r="V667" s="254"/>
      <c r="W667" s="254"/>
      <c r="X667" s="254"/>
      <c r="Y667" s="254"/>
      <c r="Z667" s="254"/>
    </row>
    <row r="668" spans="16:26" ht="10.199999999999999" customHeight="1">
      <c r="P668" s="254"/>
      <c r="Q668" s="254"/>
      <c r="R668" s="254"/>
      <c r="S668" s="254"/>
      <c r="T668" s="254"/>
      <c r="U668" s="254"/>
      <c r="V668" s="254"/>
      <c r="W668" s="254"/>
      <c r="X668" s="254"/>
      <c r="Y668" s="254"/>
      <c r="Z668" s="254"/>
    </row>
    <row r="669" spans="16:26" ht="10.199999999999999" customHeight="1">
      <c r="P669" s="254"/>
      <c r="Q669" s="254"/>
      <c r="R669" s="254"/>
      <c r="S669" s="254"/>
      <c r="T669" s="254"/>
      <c r="U669" s="254"/>
      <c r="V669" s="254"/>
      <c r="W669" s="254"/>
      <c r="X669" s="254"/>
      <c r="Y669" s="254"/>
      <c r="Z669" s="254"/>
    </row>
    <row r="670" spans="16:26" ht="10.199999999999999" customHeight="1">
      <c r="P670" s="254"/>
      <c r="Q670" s="254"/>
      <c r="R670" s="254"/>
      <c r="S670" s="254"/>
      <c r="T670" s="254"/>
      <c r="U670" s="254"/>
      <c r="V670" s="254"/>
      <c r="W670" s="254"/>
      <c r="X670" s="254"/>
      <c r="Y670" s="254"/>
      <c r="Z670" s="254"/>
    </row>
    <row r="671" spans="16:26" ht="10.199999999999999" customHeight="1">
      <c r="P671" s="254"/>
      <c r="Q671" s="254"/>
      <c r="R671" s="254"/>
      <c r="S671" s="254"/>
      <c r="T671" s="254"/>
      <c r="U671" s="254"/>
      <c r="V671" s="254"/>
      <c r="W671" s="254"/>
      <c r="X671" s="254"/>
      <c r="Y671" s="254"/>
      <c r="Z671" s="254"/>
    </row>
    <row r="672" spans="16:26" ht="10.199999999999999" customHeight="1">
      <c r="P672" s="254"/>
      <c r="Q672" s="254"/>
      <c r="R672" s="254"/>
      <c r="S672" s="254"/>
      <c r="T672" s="254"/>
      <c r="U672" s="254"/>
      <c r="V672" s="254"/>
      <c r="W672" s="254"/>
      <c r="X672" s="254"/>
      <c r="Y672" s="254"/>
      <c r="Z672" s="254"/>
    </row>
    <row r="673" spans="16:26" ht="10.199999999999999" customHeight="1">
      <c r="P673" s="254"/>
      <c r="Q673" s="254"/>
      <c r="R673" s="254"/>
      <c r="S673" s="254"/>
      <c r="T673" s="254"/>
      <c r="U673" s="254"/>
      <c r="V673" s="254"/>
      <c r="W673" s="254"/>
      <c r="X673" s="254"/>
      <c r="Y673" s="254"/>
      <c r="Z673" s="254"/>
    </row>
    <row r="674" spans="16:26" ht="10.199999999999999" customHeight="1">
      <c r="P674" s="254"/>
      <c r="Q674" s="254"/>
      <c r="R674" s="254"/>
      <c r="S674" s="254"/>
      <c r="T674" s="254"/>
      <c r="U674" s="254"/>
      <c r="V674" s="254"/>
      <c r="W674" s="254"/>
      <c r="X674" s="254"/>
      <c r="Y674" s="254"/>
      <c r="Z674" s="254"/>
    </row>
    <row r="675" spans="16:26" ht="10.199999999999999" customHeight="1">
      <c r="P675" s="254"/>
      <c r="Q675" s="254"/>
      <c r="R675" s="254"/>
      <c r="S675" s="254"/>
      <c r="T675" s="254"/>
      <c r="U675" s="254"/>
      <c r="V675" s="254"/>
      <c r="W675" s="254"/>
      <c r="X675" s="254"/>
      <c r="Y675" s="254"/>
      <c r="Z675" s="254"/>
    </row>
    <row r="676" spans="16:26" ht="10.199999999999999" customHeight="1">
      <c r="P676" s="254"/>
      <c r="Q676" s="254"/>
      <c r="R676" s="254"/>
      <c r="S676" s="254"/>
      <c r="T676" s="254"/>
      <c r="U676" s="254"/>
      <c r="V676" s="254"/>
      <c r="W676" s="254"/>
      <c r="X676" s="254"/>
      <c r="Y676" s="254"/>
      <c r="Z676" s="254"/>
    </row>
    <row r="677" spans="16:26" ht="10.199999999999999" customHeight="1">
      <c r="P677" s="254"/>
      <c r="Q677" s="254"/>
      <c r="R677" s="254"/>
      <c r="S677" s="254"/>
      <c r="T677" s="254"/>
      <c r="U677" s="254"/>
      <c r="V677" s="254"/>
      <c r="W677" s="254"/>
      <c r="X677" s="254"/>
      <c r="Y677" s="254"/>
      <c r="Z677" s="254"/>
    </row>
    <row r="678" spans="16:26" ht="10.199999999999999" customHeight="1">
      <c r="P678" s="254"/>
      <c r="Q678" s="254"/>
      <c r="R678" s="254"/>
      <c r="S678" s="254"/>
      <c r="T678" s="254"/>
      <c r="U678" s="254"/>
      <c r="V678" s="254"/>
      <c r="W678" s="254"/>
      <c r="X678" s="254"/>
      <c r="Y678" s="254"/>
      <c r="Z678" s="254"/>
    </row>
    <row r="679" spans="16:26" ht="10.199999999999999" customHeight="1">
      <c r="P679" s="254"/>
      <c r="Q679" s="254"/>
      <c r="R679" s="254"/>
      <c r="S679" s="254"/>
      <c r="T679" s="254"/>
      <c r="U679" s="254"/>
      <c r="V679" s="254"/>
      <c r="W679" s="254"/>
      <c r="X679" s="254"/>
      <c r="Y679" s="254"/>
      <c r="Z679" s="254"/>
    </row>
    <row r="680" spans="16:26" ht="10.199999999999999" customHeight="1">
      <c r="P680" s="254"/>
      <c r="Q680" s="254"/>
      <c r="R680" s="254"/>
      <c r="S680" s="254"/>
      <c r="T680" s="254"/>
      <c r="U680" s="254"/>
      <c r="V680" s="254"/>
      <c r="W680" s="254"/>
      <c r="X680" s="254"/>
      <c r="Y680" s="254"/>
      <c r="Z680" s="254"/>
    </row>
    <row r="681" spans="16:26" ht="10.199999999999999" customHeight="1">
      <c r="P681" s="254"/>
      <c r="Q681" s="254"/>
      <c r="R681" s="254"/>
      <c r="S681" s="254"/>
      <c r="T681" s="254"/>
      <c r="U681" s="254"/>
      <c r="V681" s="254"/>
      <c r="W681" s="254"/>
      <c r="X681" s="254"/>
      <c r="Y681" s="254"/>
      <c r="Z681" s="254"/>
    </row>
    <row r="682" spans="16:26" ht="10.199999999999999" customHeight="1">
      <c r="P682" s="254"/>
      <c r="Q682" s="254"/>
      <c r="R682" s="254"/>
      <c r="S682" s="254"/>
      <c r="T682" s="254"/>
      <c r="U682" s="254"/>
      <c r="V682" s="254"/>
      <c r="W682" s="254"/>
      <c r="X682" s="254"/>
      <c r="Y682" s="254"/>
      <c r="Z682" s="254"/>
    </row>
    <row r="683" spans="16:26" ht="10.199999999999999" customHeight="1">
      <c r="P683" s="254"/>
      <c r="Q683" s="254"/>
      <c r="R683" s="254"/>
      <c r="S683" s="254"/>
      <c r="T683" s="254"/>
      <c r="U683" s="254"/>
      <c r="V683" s="254"/>
      <c r="W683" s="254"/>
      <c r="X683" s="254"/>
      <c r="Y683" s="254"/>
      <c r="Z683" s="254"/>
    </row>
    <row r="684" spans="16:26" ht="10.199999999999999" customHeight="1">
      <c r="P684" s="254"/>
      <c r="Q684" s="254"/>
      <c r="R684" s="254"/>
      <c r="S684" s="254"/>
      <c r="T684" s="254"/>
      <c r="U684" s="254"/>
      <c r="V684" s="254"/>
      <c r="W684" s="254"/>
      <c r="X684" s="254"/>
      <c r="Y684" s="254"/>
      <c r="Z684" s="254"/>
    </row>
    <row r="685" spans="16:26" ht="10.199999999999999" customHeight="1">
      <c r="P685" s="254"/>
      <c r="Q685" s="254"/>
      <c r="R685" s="254"/>
      <c r="S685" s="254"/>
      <c r="T685" s="254"/>
      <c r="U685" s="254"/>
      <c r="V685" s="254"/>
      <c r="W685" s="254"/>
      <c r="X685" s="254"/>
      <c r="Y685" s="254"/>
      <c r="Z685" s="254"/>
    </row>
    <row r="686" spans="16:26" ht="10.199999999999999" customHeight="1">
      <c r="P686" s="254"/>
      <c r="Q686" s="254"/>
      <c r="R686" s="254"/>
      <c r="S686" s="254"/>
      <c r="T686" s="254"/>
      <c r="U686" s="254"/>
      <c r="V686" s="254"/>
      <c r="W686" s="254"/>
      <c r="X686" s="254"/>
      <c r="Y686" s="254"/>
      <c r="Z686" s="254"/>
    </row>
    <row r="687" spans="16:26" ht="10.199999999999999" customHeight="1">
      <c r="P687" s="254"/>
      <c r="Q687" s="254"/>
      <c r="R687" s="254"/>
      <c r="S687" s="254"/>
      <c r="T687" s="254"/>
      <c r="U687" s="254"/>
      <c r="V687" s="254"/>
      <c r="W687" s="254"/>
      <c r="X687" s="254"/>
      <c r="Y687" s="254"/>
      <c r="Z687" s="254"/>
    </row>
    <row r="688" spans="16:26" ht="10.199999999999999" customHeight="1">
      <c r="P688" s="254"/>
      <c r="Q688" s="254"/>
      <c r="R688" s="254"/>
      <c r="S688" s="254"/>
      <c r="T688" s="254"/>
      <c r="U688" s="254"/>
      <c r="V688" s="254"/>
      <c r="W688" s="254"/>
      <c r="X688" s="254"/>
      <c r="Y688" s="254"/>
      <c r="Z688" s="254"/>
    </row>
    <row r="689" spans="16:26" ht="10.199999999999999" customHeight="1">
      <c r="P689" s="254"/>
      <c r="Q689" s="254"/>
      <c r="R689" s="254"/>
      <c r="S689" s="254"/>
      <c r="T689" s="254"/>
      <c r="U689" s="254"/>
      <c r="V689" s="254"/>
      <c r="W689" s="254"/>
      <c r="X689" s="254"/>
      <c r="Y689" s="254"/>
      <c r="Z689" s="254"/>
    </row>
    <row r="690" spans="16:26" ht="10.199999999999999" customHeight="1">
      <c r="P690" s="254"/>
      <c r="Q690" s="254"/>
      <c r="R690" s="254"/>
      <c r="S690" s="254"/>
      <c r="T690" s="254"/>
      <c r="U690" s="254"/>
      <c r="V690" s="254"/>
      <c r="W690" s="254"/>
      <c r="X690" s="254"/>
      <c r="Y690" s="254"/>
      <c r="Z690" s="254"/>
    </row>
    <row r="691" spans="16:26" ht="10.199999999999999" customHeight="1">
      <c r="P691" s="254"/>
      <c r="Q691" s="254"/>
      <c r="R691" s="254"/>
      <c r="S691" s="254"/>
      <c r="T691" s="254"/>
      <c r="U691" s="254"/>
      <c r="V691" s="254"/>
      <c r="W691" s="254"/>
      <c r="X691" s="254"/>
      <c r="Y691" s="254"/>
      <c r="Z691" s="254"/>
    </row>
    <row r="692" spans="16:26" ht="10.199999999999999" customHeight="1">
      <c r="P692" s="254"/>
      <c r="Q692" s="254"/>
      <c r="R692" s="254"/>
      <c r="S692" s="254"/>
      <c r="T692" s="254"/>
      <c r="U692" s="254"/>
      <c r="V692" s="254"/>
      <c r="W692" s="254"/>
      <c r="X692" s="254"/>
      <c r="Y692" s="254"/>
      <c r="Z692" s="254"/>
    </row>
    <row r="693" spans="16:26" ht="10.199999999999999" customHeight="1">
      <c r="P693" s="254"/>
      <c r="Q693" s="254"/>
      <c r="R693" s="254"/>
      <c r="S693" s="254"/>
      <c r="T693" s="254"/>
      <c r="U693" s="254"/>
      <c r="V693" s="254"/>
      <c r="W693" s="254"/>
      <c r="X693" s="254"/>
      <c r="Y693" s="254"/>
      <c r="Z693" s="254"/>
    </row>
    <row r="694" spans="16:26" ht="10.199999999999999" customHeight="1">
      <c r="P694" s="254"/>
      <c r="Q694" s="254"/>
      <c r="R694" s="254"/>
      <c r="S694" s="254"/>
      <c r="T694" s="254"/>
      <c r="U694" s="254"/>
      <c r="V694" s="254"/>
      <c r="W694" s="254"/>
      <c r="X694" s="254"/>
      <c r="Y694" s="254"/>
      <c r="Z694" s="254"/>
    </row>
    <row r="695" spans="16:26" ht="10.199999999999999" customHeight="1">
      <c r="P695" s="254"/>
      <c r="Q695" s="254"/>
      <c r="R695" s="254"/>
      <c r="S695" s="254"/>
      <c r="T695" s="254"/>
      <c r="U695" s="254"/>
      <c r="V695" s="254"/>
      <c r="W695" s="254"/>
      <c r="X695" s="254"/>
      <c r="Y695" s="254"/>
      <c r="Z695" s="254"/>
    </row>
    <row r="696" spans="16:26" ht="10.199999999999999" customHeight="1">
      <c r="P696" s="254"/>
      <c r="Q696" s="254"/>
      <c r="R696" s="254"/>
      <c r="S696" s="254"/>
      <c r="T696" s="254"/>
      <c r="U696" s="254"/>
      <c r="V696" s="254"/>
      <c r="W696" s="254"/>
      <c r="X696" s="254"/>
      <c r="Y696" s="254"/>
      <c r="Z696" s="254"/>
    </row>
    <row r="697" spans="16:26" ht="10.199999999999999" customHeight="1">
      <c r="P697" s="254"/>
      <c r="Q697" s="254"/>
      <c r="R697" s="254"/>
      <c r="S697" s="254"/>
      <c r="T697" s="254"/>
      <c r="U697" s="254"/>
      <c r="V697" s="254"/>
      <c r="W697" s="254"/>
      <c r="X697" s="254"/>
      <c r="Y697" s="254"/>
      <c r="Z697" s="254"/>
    </row>
    <row r="698" spans="16:26" ht="10.199999999999999" customHeight="1">
      <c r="P698" s="254"/>
      <c r="Q698" s="254"/>
      <c r="R698" s="254"/>
      <c r="S698" s="254"/>
      <c r="T698" s="254"/>
      <c r="U698" s="254"/>
      <c r="V698" s="254"/>
      <c r="W698" s="254"/>
      <c r="X698" s="254"/>
      <c r="Y698" s="254"/>
      <c r="Z698" s="254"/>
    </row>
    <row r="699" spans="16:26" ht="10.199999999999999" customHeight="1">
      <c r="P699" s="254"/>
      <c r="Q699" s="254"/>
      <c r="R699" s="254"/>
      <c r="S699" s="254"/>
      <c r="T699" s="254"/>
      <c r="U699" s="254"/>
      <c r="V699" s="254"/>
      <c r="W699" s="254"/>
      <c r="X699" s="254"/>
      <c r="Y699" s="254"/>
      <c r="Z699" s="254"/>
    </row>
    <row r="700" spans="16:26" ht="10.199999999999999" customHeight="1">
      <c r="P700" s="254"/>
      <c r="Q700" s="254"/>
      <c r="R700" s="254"/>
      <c r="S700" s="254"/>
      <c r="T700" s="254"/>
      <c r="U700" s="254"/>
      <c r="V700" s="254"/>
      <c r="W700" s="254"/>
      <c r="X700" s="254"/>
      <c r="Y700" s="254"/>
      <c r="Z700" s="254"/>
    </row>
    <row r="701" spans="16:26" ht="10.199999999999999" customHeight="1">
      <c r="P701" s="254"/>
      <c r="Q701" s="254"/>
      <c r="R701" s="254"/>
      <c r="S701" s="254"/>
      <c r="T701" s="254"/>
      <c r="U701" s="254"/>
      <c r="V701" s="254"/>
      <c r="W701" s="254"/>
      <c r="X701" s="254"/>
      <c r="Y701" s="254"/>
      <c r="Z701" s="254"/>
    </row>
    <row r="702" spans="16:26" ht="10.199999999999999" customHeight="1">
      <c r="P702" s="254"/>
      <c r="Q702" s="254"/>
      <c r="R702" s="254"/>
      <c r="S702" s="254"/>
      <c r="T702" s="254"/>
      <c r="U702" s="254"/>
      <c r="V702" s="254"/>
      <c r="W702" s="254"/>
      <c r="X702" s="254"/>
      <c r="Y702" s="254"/>
      <c r="Z702" s="254"/>
    </row>
    <row r="703" spans="16:26" ht="10.199999999999999" customHeight="1">
      <c r="P703" s="254"/>
      <c r="Q703" s="254"/>
      <c r="R703" s="254"/>
      <c r="S703" s="254"/>
      <c r="T703" s="254"/>
      <c r="U703" s="254"/>
      <c r="V703" s="254"/>
      <c r="W703" s="254"/>
      <c r="X703" s="254"/>
      <c r="Y703" s="254"/>
      <c r="Z703" s="254"/>
    </row>
    <row r="704" spans="16:26" ht="10.199999999999999" customHeight="1">
      <c r="P704" s="254"/>
      <c r="Q704" s="254"/>
      <c r="R704" s="254"/>
      <c r="S704" s="254"/>
      <c r="T704" s="254"/>
      <c r="U704" s="254"/>
      <c r="V704" s="254"/>
      <c r="W704" s="254"/>
      <c r="X704" s="254"/>
      <c r="Y704" s="254"/>
      <c r="Z704" s="254"/>
    </row>
    <row r="705" spans="16:26" ht="10.199999999999999" customHeight="1">
      <c r="P705" s="254"/>
      <c r="Q705" s="254"/>
      <c r="R705" s="254"/>
      <c r="S705" s="254"/>
      <c r="T705" s="254"/>
      <c r="U705" s="254"/>
      <c r="V705" s="254"/>
      <c r="W705" s="254"/>
      <c r="X705" s="254"/>
      <c r="Y705" s="254"/>
      <c r="Z705" s="254"/>
    </row>
    <row r="706" spans="16:26" ht="10.199999999999999" customHeight="1">
      <c r="P706" s="254"/>
      <c r="Q706" s="254"/>
      <c r="R706" s="254"/>
      <c r="S706" s="254"/>
      <c r="T706" s="254"/>
      <c r="U706" s="254"/>
      <c r="V706" s="254"/>
      <c r="W706" s="254"/>
      <c r="X706" s="254"/>
      <c r="Y706" s="254"/>
      <c r="Z706" s="254"/>
    </row>
    <row r="707" spans="16:26" ht="10.199999999999999" customHeight="1">
      <c r="P707" s="254"/>
      <c r="Q707" s="254"/>
      <c r="R707" s="254"/>
      <c r="S707" s="254"/>
      <c r="T707" s="254"/>
      <c r="U707" s="254"/>
      <c r="V707" s="254"/>
      <c r="W707" s="254"/>
      <c r="X707" s="254"/>
      <c r="Y707" s="254"/>
      <c r="Z707" s="254"/>
    </row>
    <row r="708" spans="16:26" ht="10.199999999999999" customHeight="1">
      <c r="P708" s="254"/>
      <c r="Q708" s="254"/>
      <c r="R708" s="254"/>
      <c r="S708" s="254"/>
      <c r="T708" s="254"/>
      <c r="U708" s="254"/>
      <c r="V708" s="254"/>
      <c r="W708" s="254"/>
      <c r="X708" s="254"/>
      <c r="Y708" s="254"/>
      <c r="Z708" s="254"/>
    </row>
    <row r="709" spans="16:26" ht="10.199999999999999" customHeight="1">
      <c r="P709" s="254"/>
      <c r="Q709" s="254"/>
      <c r="R709" s="254"/>
      <c r="S709" s="254"/>
      <c r="T709" s="254"/>
      <c r="U709" s="254"/>
      <c r="V709" s="254"/>
      <c r="W709" s="254"/>
      <c r="X709" s="254"/>
      <c r="Y709" s="254"/>
      <c r="Z709" s="254"/>
    </row>
    <row r="710" spans="16:26" ht="10.199999999999999" customHeight="1">
      <c r="P710" s="254"/>
      <c r="Q710" s="254"/>
      <c r="R710" s="254"/>
      <c r="S710" s="254"/>
      <c r="T710" s="254"/>
      <c r="U710" s="254"/>
      <c r="V710" s="254"/>
      <c r="W710" s="254"/>
      <c r="X710" s="254"/>
      <c r="Y710" s="254"/>
      <c r="Z710" s="254"/>
    </row>
    <row r="711" spans="16:26" ht="10.199999999999999" customHeight="1">
      <c r="P711" s="254"/>
      <c r="Q711" s="254"/>
      <c r="R711" s="254"/>
      <c r="S711" s="254"/>
      <c r="T711" s="254"/>
      <c r="U711" s="254"/>
      <c r="V711" s="254"/>
      <c r="W711" s="254"/>
      <c r="X711" s="254"/>
      <c r="Y711" s="254"/>
      <c r="Z711" s="254"/>
    </row>
    <row r="712" spans="16:26" ht="10.199999999999999" customHeight="1">
      <c r="P712" s="254"/>
      <c r="Q712" s="254"/>
      <c r="R712" s="254"/>
      <c r="S712" s="254"/>
      <c r="T712" s="254"/>
      <c r="U712" s="254"/>
      <c r="V712" s="254"/>
      <c r="W712" s="254"/>
      <c r="X712" s="254"/>
      <c r="Y712" s="254"/>
      <c r="Z712" s="254"/>
    </row>
    <row r="713" spans="16:26" ht="10.199999999999999" customHeight="1">
      <c r="P713" s="254"/>
      <c r="Q713" s="254"/>
      <c r="R713" s="254"/>
      <c r="S713" s="254"/>
      <c r="T713" s="254"/>
      <c r="U713" s="254"/>
      <c r="V713" s="254"/>
      <c r="W713" s="254"/>
      <c r="X713" s="254"/>
      <c r="Y713" s="254"/>
      <c r="Z713" s="254"/>
    </row>
    <row r="714" spans="16:26" ht="10.199999999999999" customHeight="1">
      <c r="P714" s="254"/>
      <c r="Q714" s="254"/>
      <c r="R714" s="254"/>
      <c r="S714" s="254"/>
      <c r="T714" s="254"/>
      <c r="U714" s="254"/>
      <c r="V714" s="254"/>
      <c r="W714" s="254"/>
      <c r="X714" s="254"/>
      <c r="Y714" s="254"/>
      <c r="Z714" s="254"/>
    </row>
    <row r="715" spans="16:26" ht="10.199999999999999" customHeight="1">
      <c r="P715" s="254"/>
      <c r="Q715" s="254"/>
      <c r="R715" s="254"/>
      <c r="S715" s="254"/>
      <c r="T715" s="254"/>
      <c r="U715" s="254"/>
      <c r="V715" s="254"/>
      <c r="W715" s="254"/>
      <c r="X715" s="254"/>
      <c r="Y715" s="254"/>
      <c r="Z715" s="254"/>
    </row>
    <row r="716" spans="16:26" ht="10.199999999999999" customHeight="1">
      <c r="P716" s="254"/>
      <c r="Q716" s="254"/>
      <c r="R716" s="254"/>
      <c r="S716" s="254"/>
      <c r="T716" s="254"/>
      <c r="U716" s="254"/>
      <c r="V716" s="254"/>
      <c r="W716" s="254"/>
      <c r="X716" s="254"/>
      <c r="Y716" s="254"/>
      <c r="Z716" s="254"/>
    </row>
    <row r="717" spans="16:26" ht="10.199999999999999" customHeight="1">
      <c r="P717" s="254"/>
      <c r="Q717" s="254"/>
      <c r="R717" s="254"/>
      <c r="S717" s="254"/>
      <c r="T717" s="254"/>
      <c r="U717" s="254"/>
      <c r="V717" s="254"/>
      <c r="W717" s="254"/>
      <c r="X717" s="254"/>
      <c r="Y717" s="254"/>
      <c r="Z717" s="254"/>
    </row>
    <row r="718" spans="16:26" ht="10.199999999999999" customHeight="1">
      <c r="P718" s="254"/>
      <c r="Q718" s="254"/>
      <c r="R718" s="254"/>
      <c r="S718" s="254"/>
      <c r="T718" s="254"/>
      <c r="U718" s="254"/>
      <c r="V718" s="254"/>
      <c r="W718" s="254"/>
      <c r="X718" s="254"/>
      <c r="Y718" s="254"/>
      <c r="Z718" s="254"/>
    </row>
    <row r="719" spans="16:26" ht="10.199999999999999" customHeight="1">
      <c r="P719" s="254"/>
      <c r="Q719" s="254"/>
      <c r="R719" s="254"/>
      <c r="S719" s="254"/>
      <c r="T719" s="254"/>
      <c r="U719" s="254"/>
      <c r="V719" s="254"/>
      <c r="W719" s="254"/>
      <c r="X719" s="254"/>
      <c r="Y719" s="254"/>
      <c r="Z719" s="254"/>
    </row>
    <row r="720" spans="16:26" ht="10.199999999999999" customHeight="1">
      <c r="P720" s="254"/>
      <c r="Q720" s="254"/>
      <c r="R720" s="254"/>
      <c r="S720" s="254"/>
      <c r="T720" s="254"/>
      <c r="U720" s="254"/>
      <c r="V720" s="254"/>
      <c r="W720" s="254"/>
      <c r="X720" s="254"/>
      <c r="Y720" s="254"/>
      <c r="Z720" s="254"/>
    </row>
    <row r="721" spans="16:26" ht="10.199999999999999" customHeight="1">
      <c r="P721" s="254"/>
      <c r="Q721" s="254"/>
      <c r="R721" s="254"/>
      <c r="S721" s="254"/>
      <c r="T721" s="254"/>
      <c r="U721" s="254"/>
      <c r="V721" s="254"/>
      <c r="W721" s="254"/>
      <c r="X721" s="254"/>
      <c r="Y721" s="254"/>
      <c r="Z721" s="254"/>
    </row>
    <row r="722" spans="16:26" ht="10.199999999999999" customHeight="1">
      <c r="P722" s="254"/>
      <c r="Q722" s="254"/>
      <c r="R722" s="254"/>
      <c r="S722" s="254"/>
      <c r="T722" s="254"/>
      <c r="U722" s="254"/>
      <c r="V722" s="254"/>
      <c r="W722" s="254"/>
      <c r="X722" s="254"/>
      <c r="Y722" s="254"/>
      <c r="Z722" s="254"/>
    </row>
    <row r="723" spans="16:26" ht="10.199999999999999" customHeight="1">
      <c r="P723" s="254"/>
      <c r="Q723" s="254"/>
      <c r="R723" s="254"/>
      <c r="S723" s="254"/>
      <c r="T723" s="254"/>
      <c r="U723" s="254"/>
      <c r="V723" s="254"/>
      <c r="W723" s="254"/>
      <c r="X723" s="254"/>
      <c r="Y723" s="254"/>
      <c r="Z723" s="254"/>
    </row>
    <row r="724" spans="16:26" ht="10.199999999999999" customHeight="1">
      <c r="P724" s="254"/>
      <c r="Q724" s="254"/>
      <c r="R724" s="254"/>
      <c r="S724" s="254"/>
      <c r="T724" s="254"/>
      <c r="U724" s="254"/>
      <c r="V724" s="254"/>
      <c r="W724" s="254"/>
      <c r="X724" s="254"/>
      <c r="Y724" s="254"/>
      <c r="Z724" s="254"/>
    </row>
    <row r="725" spans="16:26" ht="10.199999999999999" customHeight="1">
      <c r="P725" s="254"/>
      <c r="Q725" s="254"/>
      <c r="R725" s="254"/>
      <c r="S725" s="254"/>
      <c r="T725" s="254"/>
      <c r="U725" s="254"/>
      <c r="V725" s="254"/>
      <c r="W725" s="254"/>
      <c r="X725" s="254"/>
      <c r="Y725" s="254"/>
      <c r="Z725" s="254"/>
    </row>
    <row r="726" spans="16:26" ht="10.199999999999999" customHeight="1">
      <c r="P726" s="254"/>
      <c r="Q726" s="254"/>
      <c r="R726" s="254"/>
      <c r="S726" s="254"/>
      <c r="T726" s="254"/>
      <c r="U726" s="254"/>
      <c r="V726" s="254"/>
      <c r="W726" s="254"/>
      <c r="X726" s="254"/>
      <c r="Y726" s="254"/>
      <c r="Z726" s="254"/>
    </row>
    <row r="727" spans="16:26" ht="10.199999999999999" customHeight="1">
      <c r="P727" s="254"/>
      <c r="Q727" s="254"/>
      <c r="R727" s="254"/>
      <c r="S727" s="254"/>
      <c r="T727" s="254"/>
      <c r="U727" s="254"/>
      <c r="V727" s="254"/>
      <c r="W727" s="254"/>
      <c r="X727" s="254"/>
      <c r="Y727" s="254"/>
      <c r="Z727" s="254"/>
    </row>
    <row r="728" spans="16:26" ht="10.199999999999999" customHeight="1">
      <c r="P728" s="254"/>
      <c r="Q728" s="254"/>
      <c r="R728" s="254"/>
      <c r="S728" s="254"/>
      <c r="T728" s="254"/>
      <c r="U728" s="254"/>
      <c r="V728" s="254"/>
      <c r="W728" s="254"/>
      <c r="X728" s="254"/>
      <c r="Y728" s="254"/>
      <c r="Z728" s="254"/>
    </row>
    <row r="729" spans="16:26" ht="10.199999999999999" customHeight="1">
      <c r="P729" s="254"/>
      <c r="Q729" s="254"/>
      <c r="R729" s="254"/>
      <c r="S729" s="254"/>
      <c r="T729" s="254"/>
      <c r="U729" s="254"/>
      <c r="V729" s="254"/>
      <c r="W729" s="254"/>
      <c r="X729" s="254"/>
      <c r="Y729" s="254"/>
      <c r="Z729" s="254"/>
    </row>
    <row r="730" spans="16:26" ht="10.199999999999999" customHeight="1">
      <c r="P730" s="254"/>
      <c r="Q730" s="254"/>
      <c r="R730" s="254"/>
      <c r="S730" s="254"/>
      <c r="T730" s="254"/>
      <c r="U730" s="254"/>
      <c r="V730" s="254"/>
      <c r="W730" s="254"/>
      <c r="X730" s="254"/>
      <c r="Y730" s="254"/>
      <c r="Z730" s="254"/>
    </row>
    <row r="731" spans="16:26" ht="10.199999999999999" customHeight="1">
      <c r="P731" s="254"/>
      <c r="Q731" s="254"/>
      <c r="R731" s="254"/>
      <c r="S731" s="254"/>
      <c r="T731" s="254"/>
      <c r="U731" s="254"/>
      <c r="V731" s="254"/>
      <c r="W731" s="254"/>
      <c r="X731" s="254"/>
      <c r="Y731" s="254"/>
      <c r="Z731" s="254"/>
    </row>
    <row r="732" spans="16:26" ht="10.199999999999999" customHeight="1">
      <c r="P732" s="254"/>
      <c r="Q732" s="254"/>
      <c r="R732" s="254"/>
      <c r="S732" s="254"/>
      <c r="T732" s="254"/>
      <c r="U732" s="254"/>
      <c r="V732" s="254"/>
      <c r="W732" s="254"/>
      <c r="X732" s="254"/>
      <c r="Y732" s="254"/>
      <c r="Z732" s="254"/>
    </row>
    <row r="733" spans="16:26" ht="10.199999999999999" customHeight="1">
      <c r="P733" s="254"/>
      <c r="Q733" s="254"/>
      <c r="R733" s="254"/>
      <c r="S733" s="254"/>
      <c r="T733" s="254"/>
      <c r="U733" s="254"/>
      <c r="V733" s="254"/>
      <c r="W733" s="254"/>
      <c r="X733" s="254"/>
      <c r="Y733" s="254"/>
      <c r="Z733" s="254"/>
    </row>
    <row r="734" spans="16:26" ht="10.199999999999999" customHeight="1">
      <c r="P734" s="254"/>
      <c r="Q734" s="254"/>
      <c r="R734" s="254"/>
      <c r="S734" s="254"/>
      <c r="T734" s="254"/>
      <c r="U734" s="254"/>
      <c r="V734" s="254"/>
      <c r="W734" s="254"/>
      <c r="X734" s="254"/>
      <c r="Y734" s="254"/>
      <c r="Z734" s="254"/>
    </row>
    <row r="735" spans="16:26" ht="10.199999999999999" customHeight="1">
      <c r="P735" s="254"/>
      <c r="Q735" s="254"/>
      <c r="R735" s="254"/>
      <c r="S735" s="254"/>
      <c r="T735" s="254"/>
      <c r="U735" s="254"/>
      <c r="V735" s="254"/>
      <c r="W735" s="254"/>
      <c r="X735" s="254"/>
      <c r="Y735" s="254"/>
      <c r="Z735" s="254"/>
    </row>
    <row r="736" spans="16:26" ht="10.199999999999999" customHeight="1">
      <c r="P736" s="254"/>
      <c r="Q736" s="254"/>
      <c r="R736" s="254"/>
      <c r="S736" s="254"/>
      <c r="T736" s="254"/>
      <c r="U736" s="254"/>
      <c r="V736" s="254"/>
      <c r="W736" s="254"/>
      <c r="X736" s="254"/>
      <c r="Y736" s="254"/>
      <c r="Z736" s="254"/>
    </row>
    <row r="737" spans="16:26" ht="10.199999999999999" customHeight="1">
      <c r="P737" s="254"/>
      <c r="Q737" s="254"/>
      <c r="R737" s="254"/>
      <c r="S737" s="254"/>
      <c r="T737" s="254"/>
      <c r="U737" s="254"/>
      <c r="V737" s="254"/>
      <c r="W737" s="254"/>
      <c r="X737" s="254"/>
      <c r="Y737" s="254"/>
      <c r="Z737" s="254"/>
    </row>
    <row r="738" spans="16:26" ht="10.199999999999999" customHeight="1">
      <c r="P738" s="254"/>
      <c r="Q738" s="254"/>
      <c r="R738" s="254"/>
      <c r="S738" s="254"/>
      <c r="T738" s="254"/>
      <c r="U738" s="254"/>
      <c r="V738" s="254"/>
      <c r="W738" s="254"/>
      <c r="X738" s="254"/>
      <c r="Y738" s="254"/>
      <c r="Z738" s="254"/>
    </row>
    <row r="739" spans="16:26" ht="10.199999999999999" customHeight="1">
      <c r="P739" s="254"/>
      <c r="Q739" s="254"/>
      <c r="R739" s="254"/>
      <c r="S739" s="254"/>
      <c r="T739" s="254"/>
      <c r="U739" s="254"/>
      <c r="V739" s="254"/>
      <c r="W739" s="254"/>
      <c r="X739" s="254"/>
      <c r="Y739" s="254"/>
      <c r="Z739" s="254"/>
    </row>
    <row r="740" spans="16:26" ht="10.199999999999999" customHeight="1">
      <c r="P740" s="254"/>
      <c r="Q740" s="254"/>
      <c r="R740" s="254"/>
      <c r="S740" s="254"/>
      <c r="T740" s="254"/>
      <c r="U740" s="254"/>
      <c r="V740" s="254"/>
      <c r="W740" s="254"/>
      <c r="X740" s="254"/>
      <c r="Y740" s="254"/>
      <c r="Z740" s="254"/>
    </row>
    <row r="741" spans="16:26" ht="10.199999999999999" customHeight="1">
      <c r="P741" s="254"/>
      <c r="Q741" s="254"/>
      <c r="R741" s="254"/>
      <c r="S741" s="254"/>
      <c r="T741" s="254"/>
      <c r="U741" s="254"/>
      <c r="V741" s="254"/>
      <c r="W741" s="254"/>
      <c r="X741" s="254"/>
      <c r="Y741" s="254"/>
      <c r="Z741" s="254"/>
    </row>
    <row r="742" spans="16:26" ht="10.199999999999999" customHeight="1">
      <c r="P742" s="254"/>
      <c r="Q742" s="254"/>
      <c r="R742" s="254"/>
      <c r="S742" s="254"/>
      <c r="T742" s="254"/>
      <c r="U742" s="254"/>
      <c r="V742" s="254"/>
      <c r="W742" s="254"/>
      <c r="X742" s="254"/>
      <c r="Y742" s="254"/>
      <c r="Z742" s="254"/>
    </row>
    <row r="743" spans="16:26" ht="10.199999999999999" customHeight="1">
      <c r="P743" s="254"/>
      <c r="Q743" s="254"/>
      <c r="R743" s="254"/>
      <c r="S743" s="254"/>
      <c r="T743" s="254"/>
      <c r="U743" s="254"/>
      <c r="V743" s="254"/>
      <c r="W743" s="254"/>
      <c r="X743" s="254"/>
      <c r="Y743" s="254"/>
      <c r="Z743" s="254"/>
    </row>
    <row r="744" spans="16:26" ht="10.199999999999999" customHeight="1">
      <c r="P744" s="254"/>
      <c r="Q744" s="254"/>
      <c r="R744" s="254"/>
      <c r="S744" s="254"/>
      <c r="T744" s="254"/>
      <c r="U744" s="254"/>
      <c r="V744" s="254"/>
      <c r="W744" s="254"/>
      <c r="X744" s="254"/>
      <c r="Y744" s="254"/>
      <c r="Z744" s="254"/>
    </row>
    <row r="745" spans="16:26" ht="10.199999999999999" customHeight="1">
      <c r="P745" s="254"/>
      <c r="Q745" s="254"/>
      <c r="R745" s="254"/>
      <c r="S745" s="254"/>
      <c r="T745" s="254"/>
      <c r="U745" s="254"/>
      <c r="V745" s="254"/>
      <c r="W745" s="254"/>
      <c r="X745" s="254"/>
      <c r="Y745" s="254"/>
      <c r="Z745" s="254"/>
    </row>
    <row r="746" spans="16:26" ht="10.199999999999999" customHeight="1">
      <c r="P746" s="254"/>
      <c r="Q746" s="254"/>
      <c r="R746" s="254"/>
      <c r="S746" s="254"/>
      <c r="T746" s="254"/>
      <c r="U746" s="254"/>
      <c r="V746" s="254"/>
      <c r="W746" s="254"/>
      <c r="X746" s="254"/>
      <c r="Y746" s="254"/>
      <c r="Z746" s="254"/>
    </row>
    <row r="747" spans="16:26" ht="10.199999999999999" customHeight="1">
      <c r="P747" s="254"/>
      <c r="Q747" s="254"/>
      <c r="R747" s="254"/>
      <c r="S747" s="254"/>
      <c r="T747" s="254"/>
      <c r="U747" s="254"/>
      <c r="V747" s="254"/>
      <c r="W747" s="254"/>
      <c r="X747" s="254"/>
      <c r="Y747" s="254"/>
      <c r="Z747" s="254"/>
    </row>
    <row r="748" spans="16:26" ht="10.199999999999999" customHeight="1">
      <c r="P748" s="254"/>
      <c r="Q748" s="254"/>
      <c r="R748" s="254"/>
      <c r="S748" s="254"/>
      <c r="T748" s="254"/>
      <c r="U748" s="254"/>
      <c r="V748" s="254"/>
      <c r="W748" s="254"/>
      <c r="X748" s="254"/>
      <c r="Y748" s="254"/>
      <c r="Z748" s="254"/>
    </row>
    <row r="749" spans="16:26" ht="10.199999999999999" customHeight="1">
      <c r="P749" s="254"/>
      <c r="Q749" s="254"/>
      <c r="R749" s="254"/>
      <c r="S749" s="254"/>
      <c r="T749" s="254"/>
      <c r="U749" s="254"/>
      <c r="V749" s="254"/>
      <c r="W749" s="254"/>
      <c r="X749" s="254"/>
      <c r="Y749" s="254"/>
      <c r="Z749" s="254"/>
    </row>
    <row r="750" spans="16:26" ht="10.199999999999999" customHeight="1">
      <c r="P750" s="254"/>
      <c r="Q750" s="254"/>
      <c r="R750" s="254"/>
      <c r="S750" s="254"/>
      <c r="T750" s="254"/>
      <c r="U750" s="254"/>
      <c r="V750" s="254"/>
      <c r="W750" s="254"/>
      <c r="X750" s="254"/>
      <c r="Y750" s="254"/>
      <c r="Z750" s="254"/>
    </row>
    <row r="751" spans="16:26" ht="10.199999999999999" customHeight="1">
      <c r="P751" s="254"/>
      <c r="Q751" s="254"/>
      <c r="R751" s="254"/>
      <c r="S751" s="254"/>
      <c r="T751" s="254"/>
      <c r="U751" s="254"/>
      <c r="V751" s="254"/>
      <c r="W751" s="254"/>
      <c r="X751" s="254"/>
      <c r="Y751" s="254"/>
      <c r="Z751" s="254"/>
    </row>
    <row r="752" spans="16:26" ht="10.199999999999999" customHeight="1">
      <c r="P752" s="254"/>
      <c r="Q752" s="254"/>
      <c r="R752" s="254"/>
      <c r="S752" s="254"/>
      <c r="T752" s="254"/>
      <c r="U752" s="254"/>
      <c r="V752" s="254"/>
      <c r="W752" s="254"/>
      <c r="X752" s="254"/>
      <c r="Y752" s="254"/>
      <c r="Z752" s="254"/>
    </row>
    <row r="753" spans="16:26" ht="10.199999999999999" customHeight="1">
      <c r="P753" s="254"/>
      <c r="Q753" s="254"/>
      <c r="R753" s="254"/>
      <c r="S753" s="254"/>
      <c r="T753" s="254"/>
      <c r="U753" s="254"/>
      <c r="V753" s="254"/>
      <c r="W753" s="254"/>
      <c r="X753" s="254"/>
      <c r="Y753" s="254"/>
      <c r="Z753" s="254"/>
    </row>
    <row r="754" spans="16:26" ht="10.199999999999999" customHeight="1">
      <c r="P754" s="254"/>
      <c r="Q754" s="254"/>
      <c r="R754" s="254"/>
      <c r="S754" s="254"/>
      <c r="T754" s="254"/>
      <c r="U754" s="254"/>
      <c r="V754" s="254"/>
      <c r="W754" s="254"/>
      <c r="X754" s="254"/>
      <c r="Y754" s="254"/>
      <c r="Z754" s="254"/>
    </row>
    <row r="755" spans="16:26" ht="10.199999999999999" customHeight="1">
      <c r="P755" s="254"/>
      <c r="Q755" s="254"/>
      <c r="R755" s="254"/>
      <c r="S755" s="254"/>
      <c r="T755" s="254"/>
      <c r="U755" s="254"/>
      <c r="V755" s="254"/>
      <c r="W755" s="254"/>
      <c r="X755" s="254"/>
      <c r="Y755" s="254"/>
      <c r="Z755" s="254"/>
    </row>
    <row r="756" spans="16:26" ht="10.199999999999999" customHeight="1">
      <c r="P756" s="254"/>
      <c r="Q756" s="254"/>
      <c r="R756" s="254"/>
      <c r="S756" s="254"/>
      <c r="T756" s="254"/>
      <c r="U756" s="254"/>
      <c r="V756" s="254"/>
      <c r="W756" s="254"/>
      <c r="X756" s="254"/>
      <c r="Y756" s="254"/>
      <c r="Z756" s="254"/>
    </row>
    <row r="757" spans="16:26" ht="10.199999999999999" customHeight="1">
      <c r="P757" s="254"/>
      <c r="Q757" s="254"/>
      <c r="R757" s="254"/>
      <c r="S757" s="254"/>
      <c r="T757" s="254"/>
      <c r="U757" s="254"/>
      <c r="V757" s="254"/>
      <c r="W757" s="254"/>
      <c r="X757" s="254"/>
      <c r="Y757" s="254"/>
      <c r="Z757" s="254"/>
    </row>
    <row r="758" spans="16:26" ht="10.199999999999999" customHeight="1">
      <c r="P758" s="254"/>
      <c r="Q758" s="254"/>
      <c r="R758" s="254"/>
      <c r="S758" s="254"/>
      <c r="T758" s="254"/>
      <c r="U758" s="254"/>
      <c r="V758" s="254"/>
      <c r="W758" s="254"/>
      <c r="X758" s="254"/>
      <c r="Y758" s="254"/>
      <c r="Z758" s="254"/>
    </row>
    <row r="759" spans="16:26" ht="10.199999999999999" customHeight="1">
      <c r="P759" s="254"/>
      <c r="Q759" s="254"/>
      <c r="R759" s="254"/>
      <c r="S759" s="254"/>
      <c r="T759" s="254"/>
      <c r="U759" s="254"/>
      <c r="V759" s="254"/>
      <c r="W759" s="254"/>
      <c r="X759" s="254"/>
      <c r="Y759" s="254"/>
      <c r="Z759" s="254"/>
    </row>
    <row r="760" spans="16:26" ht="10.199999999999999" customHeight="1">
      <c r="P760" s="254"/>
      <c r="Q760" s="254"/>
      <c r="R760" s="254"/>
      <c r="S760" s="254"/>
      <c r="T760" s="254"/>
      <c r="U760" s="254"/>
      <c r="V760" s="254"/>
      <c r="W760" s="254"/>
      <c r="X760" s="254"/>
      <c r="Y760" s="254"/>
      <c r="Z760" s="254"/>
    </row>
    <row r="761" spans="16:26" ht="10.199999999999999" customHeight="1">
      <c r="P761" s="254"/>
      <c r="Q761" s="254"/>
      <c r="R761" s="254"/>
      <c r="S761" s="254"/>
      <c r="T761" s="254"/>
      <c r="U761" s="254"/>
      <c r="V761" s="254"/>
      <c r="W761" s="254"/>
      <c r="X761" s="254"/>
      <c r="Y761" s="254"/>
      <c r="Z761" s="254"/>
    </row>
    <row r="762" spans="16:26" ht="10.199999999999999" customHeight="1">
      <c r="P762" s="254"/>
      <c r="Q762" s="254"/>
      <c r="R762" s="254"/>
      <c r="S762" s="254"/>
      <c r="T762" s="254"/>
      <c r="U762" s="254"/>
      <c r="V762" s="254"/>
      <c r="W762" s="254"/>
      <c r="X762" s="254"/>
      <c r="Y762" s="254"/>
      <c r="Z762" s="254"/>
    </row>
    <row r="763" spans="16:26" ht="10.199999999999999" customHeight="1">
      <c r="P763" s="254"/>
      <c r="Q763" s="254"/>
      <c r="R763" s="254"/>
      <c r="S763" s="254"/>
      <c r="T763" s="254"/>
      <c r="U763" s="254"/>
      <c r="V763" s="254"/>
      <c r="W763" s="254"/>
      <c r="X763" s="254"/>
      <c r="Y763" s="254"/>
      <c r="Z763" s="254"/>
    </row>
    <row r="764" spans="16:26" ht="10.199999999999999" customHeight="1">
      <c r="P764" s="254"/>
      <c r="Q764" s="254"/>
      <c r="R764" s="254"/>
      <c r="S764" s="254"/>
      <c r="T764" s="254"/>
      <c r="U764" s="254"/>
      <c r="V764" s="254"/>
      <c r="W764" s="254"/>
      <c r="X764" s="254"/>
      <c r="Y764" s="254"/>
      <c r="Z764" s="254"/>
    </row>
    <row r="765" spans="16:26" ht="10.199999999999999" customHeight="1">
      <c r="P765" s="254"/>
      <c r="Q765" s="254"/>
      <c r="R765" s="254"/>
      <c r="S765" s="254"/>
      <c r="T765" s="254"/>
      <c r="U765" s="254"/>
      <c r="V765" s="254"/>
      <c r="W765" s="254"/>
      <c r="X765" s="254"/>
      <c r="Y765" s="254"/>
      <c r="Z765" s="254"/>
    </row>
    <row r="766" spans="16:26" ht="10.199999999999999" customHeight="1">
      <c r="P766" s="254"/>
      <c r="Q766" s="254"/>
      <c r="R766" s="254"/>
      <c r="S766" s="254"/>
      <c r="T766" s="254"/>
      <c r="U766" s="254"/>
      <c r="V766" s="254"/>
      <c r="W766" s="254"/>
      <c r="X766" s="254"/>
      <c r="Y766" s="254"/>
      <c r="Z766" s="254"/>
    </row>
    <row r="767" spans="16:26" ht="10.199999999999999" customHeight="1">
      <c r="P767" s="254"/>
      <c r="Q767" s="254"/>
      <c r="R767" s="254"/>
      <c r="S767" s="254"/>
      <c r="T767" s="254"/>
      <c r="U767" s="254"/>
      <c r="V767" s="254"/>
      <c r="W767" s="254"/>
      <c r="X767" s="254"/>
      <c r="Y767" s="254"/>
      <c r="Z767" s="254"/>
    </row>
    <row r="768" spans="16:26" ht="10.199999999999999" customHeight="1">
      <c r="P768" s="254"/>
      <c r="Q768" s="254"/>
      <c r="R768" s="254"/>
      <c r="S768" s="254"/>
      <c r="T768" s="254"/>
      <c r="U768" s="254"/>
      <c r="V768" s="254"/>
      <c r="W768" s="254"/>
      <c r="X768" s="254"/>
      <c r="Y768" s="254"/>
      <c r="Z768" s="254"/>
    </row>
    <row r="769" spans="16:26" ht="10.199999999999999" customHeight="1">
      <c r="P769" s="254"/>
      <c r="Q769" s="254"/>
      <c r="R769" s="254"/>
      <c r="S769" s="254"/>
      <c r="T769" s="254"/>
      <c r="U769" s="254"/>
      <c r="V769" s="254"/>
      <c r="W769" s="254"/>
      <c r="X769" s="254"/>
      <c r="Y769" s="254"/>
      <c r="Z769" s="254"/>
    </row>
    <row r="770" spans="16:26" ht="10.199999999999999" customHeight="1">
      <c r="P770" s="254"/>
      <c r="Q770" s="254"/>
      <c r="R770" s="254"/>
      <c r="S770" s="254"/>
      <c r="T770" s="254"/>
      <c r="U770" s="254"/>
      <c r="V770" s="254"/>
      <c r="W770" s="254"/>
      <c r="X770" s="254"/>
      <c r="Y770" s="254"/>
      <c r="Z770" s="254"/>
    </row>
    <row r="771" spans="16:26" ht="10.199999999999999" customHeight="1">
      <c r="P771" s="254"/>
      <c r="Q771" s="254"/>
      <c r="R771" s="254"/>
      <c r="S771" s="254"/>
      <c r="T771" s="254"/>
      <c r="U771" s="254"/>
      <c r="V771" s="254"/>
      <c r="W771" s="254"/>
      <c r="X771" s="254"/>
      <c r="Y771" s="254"/>
      <c r="Z771" s="254"/>
    </row>
    <row r="772" spans="16:26" ht="10.199999999999999" customHeight="1">
      <c r="P772" s="254"/>
      <c r="Q772" s="254"/>
      <c r="R772" s="254"/>
      <c r="S772" s="254"/>
      <c r="T772" s="254"/>
      <c r="U772" s="254"/>
      <c r="V772" s="254"/>
      <c r="W772" s="254"/>
      <c r="X772" s="254"/>
      <c r="Y772" s="254"/>
      <c r="Z772" s="254"/>
    </row>
    <row r="773" spans="16:26" ht="10.199999999999999" customHeight="1">
      <c r="P773" s="254"/>
      <c r="Q773" s="254"/>
      <c r="R773" s="254"/>
      <c r="S773" s="254"/>
      <c r="T773" s="254"/>
      <c r="U773" s="254"/>
      <c r="V773" s="254"/>
      <c r="W773" s="254"/>
      <c r="X773" s="254"/>
      <c r="Y773" s="254"/>
      <c r="Z773" s="254"/>
    </row>
    <row r="774" spans="16:26" ht="10.199999999999999" customHeight="1">
      <c r="P774" s="254"/>
      <c r="Q774" s="254"/>
      <c r="R774" s="254"/>
      <c r="S774" s="254"/>
      <c r="T774" s="254"/>
      <c r="U774" s="254"/>
      <c r="V774" s="254"/>
      <c r="W774" s="254"/>
      <c r="X774" s="254"/>
      <c r="Y774" s="254"/>
      <c r="Z774" s="254"/>
    </row>
    <row r="775" spans="16:26" ht="10.199999999999999" customHeight="1">
      <c r="P775" s="254"/>
      <c r="Q775" s="254"/>
      <c r="R775" s="254"/>
      <c r="S775" s="254"/>
      <c r="T775" s="254"/>
      <c r="U775" s="254"/>
      <c r="V775" s="254"/>
      <c r="W775" s="254"/>
      <c r="X775" s="254"/>
      <c r="Y775" s="254"/>
      <c r="Z775" s="254"/>
    </row>
    <row r="776" spans="16:26" ht="10.199999999999999" customHeight="1">
      <c r="P776" s="254"/>
      <c r="Q776" s="254"/>
      <c r="R776" s="254"/>
      <c r="S776" s="254"/>
      <c r="T776" s="254"/>
      <c r="U776" s="254"/>
      <c r="V776" s="254"/>
      <c r="W776" s="254"/>
      <c r="X776" s="254"/>
      <c r="Y776" s="254"/>
      <c r="Z776" s="254"/>
    </row>
    <row r="777" spans="16:26" ht="10.199999999999999" customHeight="1">
      <c r="P777" s="254"/>
      <c r="Q777" s="254"/>
      <c r="R777" s="254"/>
      <c r="S777" s="254"/>
      <c r="T777" s="254"/>
      <c r="U777" s="254"/>
      <c r="V777" s="254"/>
      <c r="W777" s="254"/>
      <c r="X777" s="254"/>
      <c r="Y777" s="254"/>
      <c r="Z777" s="254"/>
    </row>
    <row r="778" spans="16:26" ht="10.199999999999999" customHeight="1">
      <c r="P778" s="254"/>
      <c r="Q778" s="254"/>
      <c r="R778" s="254"/>
      <c r="S778" s="254"/>
      <c r="T778" s="254"/>
      <c r="U778" s="254"/>
      <c r="V778" s="254"/>
      <c r="W778" s="254"/>
      <c r="X778" s="254"/>
      <c r="Y778" s="254"/>
      <c r="Z778" s="254"/>
    </row>
    <row r="779" spans="16:26" ht="10.199999999999999" customHeight="1">
      <c r="P779" s="254"/>
      <c r="Q779" s="254"/>
      <c r="R779" s="254"/>
      <c r="S779" s="254"/>
      <c r="T779" s="254"/>
      <c r="U779" s="254"/>
      <c r="V779" s="254"/>
      <c r="W779" s="254"/>
      <c r="X779" s="254"/>
      <c r="Y779" s="254"/>
      <c r="Z779" s="254"/>
    </row>
    <row r="780" spans="16:26" ht="10.199999999999999" customHeight="1">
      <c r="P780" s="254"/>
      <c r="Q780" s="254"/>
      <c r="R780" s="254"/>
      <c r="S780" s="254"/>
      <c r="T780" s="254"/>
      <c r="U780" s="254"/>
      <c r="V780" s="254"/>
      <c r="W780" s="254"/>
      <c r="X780" s="254"/>
      <c r="Y780" s="254"/>
      <c r="Z780" s="254"/>
    </row>
    <row r="781" spans="16:26" ht="10.199999999999999" customHeight="1">
      <c r="P781" s="254"/>
      <c r="Q781" s="254"/>
      <c r="R781" s="254"/>
      <c r="S781" s="254"/>
      <c r="T781" s="254"/>
      <c r="U781" s="254"/>
      <c r="V781" s="254"/>
      <c r="W781" s="254"/>
      <c r="X781" s="254"/>
      <c r="Y781" s="254"/>
      <c r="Z781" s="254"/>
    </row>
    <row r="782" spans="16:26" ht="10.199999999999999" customHeight="1">
      <c r="P782" s="254"/>
      <c r="Q782" s="254"/>
      <c r="R782" s="254"/>
      <c r="S782" s="254"/>
      <c r="T782" s="254"/>
      <c r="U782" s="254"/>
      <c r="V782" s="254"/>
      <c r="W782" s="254"/>
      <c r="X782" s="254"/>
      <c r="Y782" s="254"/>
      <c r="Z782" s="254"/>
    </row>
    <row r="783" spans="16:26" ht="10.199999999999999" customHeight="1">
      <c r="P783" s="254"/>
      <c r="Q783" s="254"/>
      <c r="R783" s="254"/>
      <c r="S783" s="254"/>
      <c r="T783" s="254"/>
      <c r="U783" s="254"/>
      <c r="V783" s="254"/>
      <c r="W783" s="254"/>
      <c r="X783" s="254"/>
      <c r="Y783" s="254"/>
      <c r="Z783" s="254"/>
    </row>
    <row r="784" spans="16:26" ht="10.199999999999999" customHeight="1">
      <c r="P784" s="254"/>
      <c r="Q784" s="254"/>
      <c r="R784" s="254"/>
      <c r="S784" s="254"/>
      <c r="T784" s="254"/>
      <c r="U784" s="254"/>
      <c r="V784" s="254"/>
      <c r="W784" s="254"/>
      <c r="X784" s="254"/>
      <c r="Y784" s="254"/>
      <c r="Z784" s="254"/>
    </row>
    <row r="785" spans="16:26" ht="10.199999999999999" customHeight="1">
      <c r="P785" s="254"/>
      <c r="Q785" s="254"/>
      <c r="R785" s="254"/>
      <c r="S785" s="254"/>
      <c r="T785" s="254"/>
      <c r="U785" s="254"/>
      <c r="V785" s="254"/>
      <c r="W785" s="254"/>
      <c r="X785" s="254"/>
      <c r="Y785" s="254"/>
      <c r="Z785" s="254"/>
    </row>
    <row r="786" spans="16:26" ht="10.199999999999999" customHeight="1">
      <c r="P786" s="254"/>
      <c r="Q786" s="254"/>
      <c r="R786" s="254"/>
      <c r="S786" s="254"/>
      <c r="T786" s="254"/>
      <c r="U786" s="254"/>
      <c r="V786" s="254"/>
      <c r="W786" s="254"/>
      <c r="X786" s="254"/>
      <c r="Y786" s="254"/>
      <c r="Z786" s="254"/>
    </row>
    <row r="787" spans="16:26" ht="10.199999999999999" customHeight="1">
      <c r="P787" s="254"/>
      <c r="Q787" s="254"/>
      <c r="R787" s="254"/>
      <c r="S787" s="254"/>
      <c r="T787" s="254"/>
      <c r="U787" s="254"/>
      <c r="V787" s="254"/>
      <c r="W787" s="254"/>
      <c r="X787" s="254"/>
      <c r="Y787" s="254"/>
      <c r="Z787" s="254"/>
    </row>
    <row r="788" spans="16:26" ht="10.199999999999999" customHeight="1">
      <c r="P788" s="254"/>
      <c r="Q788" s="254"/>
      <c r="R788" s="254"/>
      <c r="S788" s="254"/>
      <c r="T788" s="254"/>
      <c r="U788" s="254"/>
      <c r="V788" s="254"/>
      <c r="W788" s="254"/>
      <c r="X788" s="254"/>
      <c r="Y788" s="254"/>
      <c r="Z788" s="254"/>
    </row>
    <row r="789" spans="16:26" ht="10.199999999999999" customHeight="1">
      <c r="P789" s="254"/>
      <c r="Q789" s="254"/>
      <c r="R789" s="254"/>
      <c r="S789" s="254"/>
      <c r="T789" s="254"/>
      <c r="U789" s="254"/>
      <c r="V789" s="254"/>
      <c r="W789" s="254"/>
      <c r="X789" s="254"/>
      <c r="Y789" s="254"/>
      <c r="Z789" s="254"/>
    </row>
    <row r="790" spans="16:26" ht="10.199999999999999" customHeight="1">
      <c r="P790" s="254"/>
      <c r="Q790" s="254"/>
      <c r="R790" s="254"/>
      <c r="S790" s="254"/>
      <c r="T790" s="254"/>
      <c r="U790" s="254"/>
      <c r="V790" s="254"/>
      <c r="W790" s="254"/>
      <c r="X790" s="254"/>
      <c r="Y790" s="254"/>
      <c r="Z790" s="254"/>
    </row>
    <row r="791" spans="16:26" ht="10.199999999999999" customHeight="1">
      <c r="P791" s="254"/>
      <c r="Q791" s="254"/>
      <c r="R791" s="254"/>
      <c r="S791" s="254"/>
      <c r="T791" s="254"/>
      <c r="U791" s="254"/>
      <c r="V791" s="254"/>
      <c r="W791" s="254"/>
      <c r="X791" s="254"/>
      <c r="Y791" s="254"/>
      <c r="Z791" s="254"/>
    </row>
    <row r="792" spans="16:26" ht="10.199999999999999" customHeight="1">
      <c r="P792" s="254"/>
      <c r="Q792" s="254"/>
      <c r="R792" s="254"/>
      <c r="S792" s="254"/>
      <c r="T792" s="254"/>
      <c r="U792" s="254"/>
      <c r="V792" s="254"/>
      <c r="W792" s="254"/>
      <c r="X792" s="254"/>
      <c r="Y792" s="254"/>
      <c r="Z792" s="254"/>
    </row>
    <row r="793" spans="16:26" ht="10.199999999999999" customHeight="1">
      <c r="P793" s="254"/>
      <c r="Q793" s="254"/>
      <c r="R793" s="254"/>
      <c r="S793" s="254"/>
      <c r="T793" s="254"/>
      <c r="U793" s="254"/>
      <c r="V793" s="254"/>
      <c r="W793" s="254"/>
      <c r="X793" s="254"/>
      <c r="Y793" s="254"/>
      <c r="Z793" s="254"/>
    </row>
    <row r="794" spans="16:26" ht="10.199999999999999" customHeight="1">
      <c r="P794" s="254"/>
      <c r="Q794" s="254"/>
      <c r="R794" s="254"/>
      <c r="S794" s="254"/>
      <c r="T794" s="254"/>
      <c r="U794" s="254"/>
      <c r="V794" s="254"/>
      <c r="W794" s="254"/>
      <c r="X794" s="254"/>
      <c r="Y794" s="254"/>
      <c r="Z794" s="254"/>
    </row>
    <row r="795" spans="16:26" ht="10.199999999999999" customHeight="1">
      <c r="P795" s="254"/>
      <c r="Q795" s="254"/>
      <c r="R795" s="254"/>
      <c r="S795" s="254"/>
      <c r="T795" s="254"/>
      <c r="U795" s="254"/>
      <c r="V795" s="254"/>
      <c r="W795" s="254"/>
      <c r="X795" s="254"/>
      <c r="Y795" s="254"/>
      <c r="Z795" s="254"/>
    </row>
    <row r="796" spans="16:26" ht="10.199999999999999" customHeight="1">
      <c r="P796" s="254"/>
      <c r="Q796" s="254"/>
      <c r="R796" s="254"/>
      <c r="S796" s="254"/>
      <c r="T796" s="254"/>
      <c r="U796" s="254"/>
      <c r="V796" s="254"/>
      <c r="W796" s="254"/>
      <c r="X796" s="254"/>
      <c r="Y796" s="254"/>
      <c r="Z796" s="254"/>
    </row>
    <row r="797" spans="16:26" ht="10.199999999999999" customHeight="1">
      <c r="P797" s="254"/>
      <c r="Q797" s="254"/>
      <c r="R797" s="254"/>
      <c r="S797" s="254"/>
      <c r="T797" s="254"/>
      <c r="U797" s="254"/>
      <c r="V797" s="254"/>
      <c r="W797" s="254"/>
      <c r="X797" s="254"/>
      <c r="Y797" s="254"/>
      <c r="Z797" s="254"/>
    </row>
    <row r="798" spans="16:26" ht="10.199999999999999" customHeight="1">
      <c r="P798" s="254"/>
      <c r="Q798" s="254"/>
      <c r="R798" s="254"/>
      <c r="S798" s="254"/>
      <c r="T798" s="254"/>
      <c r="U798" s="254"/>
      <c r="V798" s="254"/>
      <c r="W798" s="254"/>
      <c r="X798" s="254"/>
      <c r="Y798" s="254"/>
      <c r="Z798" s="254"/>
    </row>
    <row r="799" spans="16:26" ht="10.199999999999999" customHeight="1">
      <c r="P799" s="254"/>
      <c r="Q799" s="254"/>
      <c r="R799" s="254"/>
      <c r="S799" s="254"/>
      <c r="T799" s="254"/>
      <c r="U799" s="254"/>
      <c r="V799" s="254"/>
      <c r="W799" s="254"/>
      <c r="X799" s="254"/>
      <c r="Y799" s="254"/>
      <c r="Z799" s="254"/>
    </row>
    <row r="800" spans="16:26" ht="10.199999999999999" customHeight="1">
      <c r="P800" s="254"/>
      <c r="Q800" s="254"/>
      <c r="R800" s="254"/>
      <c r="S800" s="254"/>
      <c r="T800" s="254"/>
      <c r="U800" s="254"/>
      <c r="V800" s="254"/>
      <c r="W800" s="254"/>
      <c r="X800" s="254"/>
      <c r="Y800" s="254"/>
      <c r="Z800" s="254"/>
    </row>
    <row r="801" spans="16:26" ht="10.199999999999999" customHeight="1">
      <c r="P801" s="254"/>
      <c r="Q801" s="254"/>
      <c r="R801" s="254"/>
      <c r="S801" s="254"/>
      <c r="T801" s="254"/>
      <c r="U801" s="254"/>
      <c r="V801" s="254"/>
      <c r="W801" s="254"/>
      <c r="X801" s="254"/>
      <c r="Y801" s="254"/>
      <c r="Z801" s="254"/>
    </row>
    <row r="802" spans="16:26" ht="10.199999999999999" customHeight="1">
      <c r="P802" s="254"/>
      <c r="Q802" s="254"/>
      <c r="R802" s="254"/>
      <c r="S802" s="254"/>
      <c r="T802" s="254"/>
      <c r="U802" s="254"/>
      <c r="V802" s="254"/>
      <c r="W802" s="254"/>
      <c r="X802" s="254"/>
      <c r="Y802" s="254"/>
      <c r="Z802" s="254"/>
    </row>
    <row r="803" spans="16:26" ht="10.199999999999999" customHeight="1">
      <c r="P803" s="254"/>
      <c r="Q803" s="254"/>
      <c r="R803" s="254"/>
      <c r="S803" s="254"/>
      <c r="T803" s="254"/>
      <c r="U803" s="254"/>
      <c r="V803" s="254"/>
      <c r="W803" s="254"/>
      <c r="X803" s="254"/>
      <c r="Y803" s="254"/>
      <c r="Z803" s="254"/>
    </row>
    <row r="804" spans="16:26" ht="10.199999999999999" customHeight="1">
      <c r="P804" s="254"/>
      <c r="Q804" s="254"/>
      <c r="R804" s="254"/>
      <c r="S804" s="254"/>
      <c r="T804" s="254"/>
      <c r="U804" s="254"/>
      <c r="V804" s="254"/>
      <c r="W804" s="254"/>
      <c r="X804" s="254"/>
      <c r="Y804" s="254"/>
      <c r="Z804" s="254"/>
    </row>
    <row r="805" spans="16:26" ht="10.199999999999999" customHeight="1">
      <c r="P805" s="254"/>
      <c r="Q805" s="254"/>
      <c r="R805" s="254"/>
      <c r="S805" s="254"/>
      <c r="T805" s="254"/>
      <c r="U805" s="254"/>
      <c r="V805" s="254"/>
      <c r="W805" s="254"/>
      <c r="X805" s="254"/>
      <c r="Y805" s="254"/>
      <c r="Z805" s="254"/>
    </row>
    <row r="806" spans="16:26" ht="10.199999999999999" customHeight="1">
      <c r="P806" s="254"/>
      <c r="Q806" s="254"/>
      <c r="R806" s="254"/>
      <c r="S806" s="254"/>
      <c r="T806" s="254"/>
      <c r="U806" s="254"/>
      <c r="V806" s="254"/>
      <c r="W806" s="254"/>
      <c r="X806" s="254"/>
      <c r="Y806" s="254"/>
      <c r="Z806" s="254"/>
    </row>
    <row r="807" spans="16:26" ht="10.199999999999999" customHeight="1">
      <c r="P807" s="254"/>
      <c r="Q807" s="254"/>
      <c r="R807" s="254"/>
      <c r="S807" s="254"/>
      <c r="T807" s="254"/>
      <c r="U807" s="254"/>
      <c r="V807" s="254"/>
      <c r="W807" s="254"/>
      <c r="X807" s="254"/>
      <c r="Y807" s="254"/>
      <c r="Z807" s="254"/>
    </row>
    <row r="808" spans="16:26" ht="10.199999999999999" customHeight="1">
      <c r="P808" s="254"/>
      <c r="Q808" s="254"/>
      <c r="R808" s="254"/>
      <c r="S808" s="254"/>
      <c r="T808" s="254"/>
      <c r="U808" s="254"/>
      <c r="V808" s="254"/>
      <c r="W808" s="254"/>
      <c r="X808" s="254"/>
      <c r="Y808" s="254"/>
      <c r="Z808" s="254"/>
    </row>
    <row r="809" spans="16:26" ht="10.199999999999999" customHeight="1">
      <c r="P809" s="254"/>
      <c r="Q809" s="254"/>
      <c r="R809" s="254"/>
      <c r="S809" s="254"/>
      <c r="T809" s="254"/>
      <c r="U809" s="254"/>
      <c r="V809" s="254"/>
      <c r="W809" s="254"/>
      <c r="X809" s="254"/>
      <c r="Y809" s="254"/>
      <c r="Z809" s="254"/>
    </row>
    <row r="810" spans="16:26" ht="10.199999999999999" customHeight="1">
      <c r="P810" s="254"/>
      <c r="Q810" s="254"/>
      <c r="R810" s="254"/>
      <c r="S810" s="254"/>
      <c r="T810" s="254"/>
      <c r="U810" s="254"/>
      <c r="V810" s="254"/>
      <c r="W810" s="254"/>
      <c r="X810" s="254"/>
      <c r="Y810" s="254"/>
      <c r="Z810" s="254"/>
    </row>
    <row r="811" spans="16:26" ht="10.199999999999999" customHeight="1">
      <c r="P811" s="254"/>
      <c r="Q811" s="254"/>
      <c r="R811" s="254"/>
      <c r="S811" s="254"/>
      <c r="T811" s="254"/>
      <c r="U811" s="254"/>
      <c r="V811" s="254"/>
      <c r="W811" s="254"/>
      <c r="X811" s="254"/>
      <c r="Y811" s="254"/>
      <c r="Z811" s="254"/>
    </row>
    <row r="812" spans="16:26" ht="10.199999999999999" customHeight="1">
      <c r="P812" s="254"/>
      <c r="Q812" s="254"/>
      <c r="R812" s="254"/>
      <c r="S812" s="254"/>
      <c r="T812" s="254"/>
      <c r="U812" s="254"/>
      <c r="V812" s="254"/>
      <c r="W812" s="254"/>
      <c r="X812" s="254"/>
      <c r="Y812" s="254"/>
      <c r="Z812" s="254"/>
    </row>
    <row r="813" spans="16:26" ht="10.199999999999999" customHeight="1">
      <c r="P813" s="254"/>
      <c r="Q813" s="254"/>
      <c r="R813" s="254"/>
      <c r="S813" s="254"/>
      <c r="T813" s="254"/>
      <c r="U813" s="254"/>
      <c r="V813" s="254"/>
      <c r="W813" s="254"/>
      <c r="X813" s="254"/>
      <c r="Y813" s="254"/>
      <c r="Z813" s="254"/>
    </row>
    <row r="814" spans="16:26" ht="10.199999999999999" customHeight="1">
      <c r="P814" s="254"/>
      <c r="Q814" s="254"/>
      <c r="R814" s="254"/>
      <c r="S814" s="254"/>
      <c r="T814" s="254"/>
      <c r="U814" s="254"/>
      <c r="V814" s="254"/>
      <c r="W814" s="254"/>
      <c r="X814" s="254"/>
      <c r="Y814" s="254"/>
      <c r="Z814" s="254"/>
    </row>
    <row r="815" spans="16:26" ht="10.199999999999999" customHeight="1">
      <c r="P815" s="254"/>
      <c r="Q815" s="254"/>
      <c r="R815" s="254"/>
      <c r="S815" s="254"/>
      <c r="T815" s="254"/>
      <c r="U815" s="254"/>
      <c r="V815" s="254"/>
      <c r="W815" s="254"/>
      <c r="X815" s="254"/>
      <c r="Y815" s="254"/>
      <c r="Z815" s="254"/>
    </row>
    <row r="816" spans="16:26" ht="10.199999999999999" customHeight="1">
      <c r="P816" s="254"/>
      <c r="Q816" s="254"/>
      <c r="R816" s="254"/>
      <c r="S816" s="254"/>
      <c r="T816" s="254"/>
      <c r="U816" s="254"/>
      <c r="V816" s="254"/>
      <c r="W816" s="254"/>
      <c r="X816" s="254"/>
      <c r="Y816" s="254"/>
      <c r="Z816" s="254"/>
    </row>
    <row r="817" spans="16:26" ht="10.199999999999999" customHeight="1">
      <c r="P817" s="254"/>
      <c r="Q817" s="254"/>
      <c r="R817" s="254"/>
      <c r="S817" s="254"/>
      <c r="T817" s="254"/>
      <c r="U817" s="254"/>
      <c r="V817" s="254"/>
      <c r="W817" s="254"/>
      <c r="X817" s="254"/>
      <c r="Y817" s="254"/>
      <c r="Z817" s="254"/>
    </row>
    <row r="818" spans="16:26" ht="10.199999999999999" customHeight="1">
      <c r="P818" s="254"/>
      <c r="Q818" s="254"/>
      <c r="R818" s="254"/>
      <c r="S818" s="254"/>
      <c r="T818" s="254"/>
      <c r="U818" s="254"/>
      <c r="V818" s="254"/>
      <c r="W818" s="254"/>
      <c r="X818" s="254"/>
      <c r="Y818" s="254"/>
      <c r="Z818" s="254"/>
    </row>
    <row r="819" spans="16:26" ht="10.199999999999999" customHeight="1">
      <c r="P819" s="254"/>
      <c r="Q819" s="254"/>
      <c r="R819" s="254"/>
      <c r="S819" s="254"/>
      <c r="T819" s="254"/>
      <c r="U819" s="254"/>
      <c r="V819" s="254"/>
      <c r="W819" s="254"/>
      <c r="X819" s="254"/>
      <c r="Y819" s="254"/>
      <c r="Z819" s="254"/>
    </row>
    <row r="820" spans="16:26" ht="10.199999999999999" customHeight="1">
      <c r="P820" s="254"/>
      <c r="Q820" s="254"/>
      <c r="R820" s="254"/>
      <c r="S820" s="254"/>
      <c r="T820" s="254"/>
      <c r="U820" s="254"/>
      <c r="V820" s="254"/>
      <c r="W820" s="254"/>
      <c r="X820" s="254"/>
      <c r="Y820" s="254"/>
      <c r="Z820" s="254"/>
    </row>
    <row r="821" spans="16:26" ht="10.199999999999999" customHeight="1">
      <c r="P821" s="254"/>
      <c r="Q821" s="254"/>
      <c r="R821" s="254"/>
      <c r="S821" s="254"/>
      <c r="T821" s="254"/>
      <c r="U821" s="254"/>
      <c r="V821" s="254"/>
      <c r="W821" s="254"/>
      <c r="X821" s="254"/>
      <c r="Y821" s="254"/>
      <c r="Z821" s="254"/>
    </row>
    <row r="822" spans="16:26" ht="10.199999999999999" customHeight="1">
      <c r="P822" s="254"/>
      <c r="Q822" s="254"/>
      <c r="R822" s="254"/>
      <c r="S822" s="254"/>
      <c r="T822" s="254"/>
      <c r="U822" s="254"/>
      <c r="V822" s="254"/>
      <c r="W822" s="254"/>
      <c r="X822" s="254"/>
      <c r="Y822" s="254"/>
      <c r="Z822" s="254"/>
    </row>
    <row r="823" spans="16:26" ht="10.199999999999999" customHeight="1">
      <c r="P823" s="254"/>
      <c r="Q823" s="254"/>
      <c r="R823" s="254"/>
      <c r="S823" s="254"/>
      <c r="T823" s="254"/>
      <c r="U823" s="254"/>
      <c r="V823" s="254"/>
      <c r="W823" s="254"/>
      <c r="X823" s="254"/>
      <c r="Y823" s="254"/>
      <c r="Z823" s="254"/>
    </row>
    <row r="824" spans="16:26" ht="10.199999999999999" customHeight="1">
      <c r="P824" s="254"/>
      <c r="Q824" s="254"/>
      <c r="R824" s="254"/>
      <c r="S824" s="254"/>
      <c r="T824" s="254"/>
      <c r="U824" s="254"/>
      <c r="V824" s="254"/>
      <c r="W824" s="254"/>
      <c r="X824" s="254"/>
      <c r="Y824" s="254"/>
      <c r="Z824" s="254"/>
    </row>
    <row r="825" spans="16:26" ht="10.199999999999999" customHeight="1">
      <c r="P825" s="254"/>
      <c r="Q825" s="254"/>
      <c r="R825" s="254"/>
      <c r="S825" s="254"/>
      <c r="T825" s="254"/>
      <c r="U825" s="254"/>
      <c r="V825" s="254"/>
      <c r="W825" s="254"/>
      <c r="X825" s="254"/>
      <c r="Y825" s="254"/>
      <c r="Z825" s="254"/>
    </row>
    <row r="826" spans="16:26" ht="10.199999999999999" customHeight="1">
      <c r="P826" s="254"/>
      <c r="Q826" s="254"/>
      <c r="R826" s="254"/>
      <c r="S826" s="254"/>
      <c r="T826" s="254"/>
      <c r="U826" s="254"/>
      <c r="V826" s="254"/>
      <c r="W826" s="254"/>
      <c r="X826" s="254"/>
      <c r="Y826" s="254"/>
      <c r="Z826" s="254"/>
    </row>
    <row r="827" spans="16:26" ht="10.199999999999999" customHeight="1">
      <c r="P827" s="254"/>
      <c r="Q827" s="254"/>
      <c r="R827" s="254"/>
      <c r="S827" s="254"/>
      <c r="T827" s="254"/>
      <c r="U827" s="254"/>
      <c r="V827" s="254"/>
      <c r="W827" s="254"/>
      <c r="X827" s="254"/>
      <c r="Y827" s="254"/>
      <c r="Z827" s="254"/>
    </row>
    <row r="828" spans="16:26" ht="10.199999999999999" customHeight="1">
      <c r="P828" s="254"/>
      <c r="Q828" s="254"/>
      <c r="R828" s="254"/>
      <c r="S828" s="254"/>
      <c r="T828" s="254"/>
      <c r="U828" s="254"/>
      <c r="V828" s="254"/>
      <c r="W828" s="254"/>
      <c r="X828" s="254"/>
      <c r="Y828" s="254"/>
      <c r="Z828" s="254"/>
    </row>
    <row r="829" spans="16:26" ht="10.199999999999999" customHeight="1">
      <c r="P829" s="254"/>
      <c r="Q829" s="254"/>
      <c r="R829" s="254"/>
      <c r="S829" s="254"/>
      <c r="T829" s="254"/>
      <c r="U829" s="254"/>
      <c r="V829" s="254"/>
      <c r="W829" s="254"/>
      <c r="X829" s="254"/>
      <c r="Y829" s="254"/>
      <c r="Z829" s="254"/>
    </row>
    <row r="830" spans="16:26" ht="10.199999999999999" customHeight="1">
      <c r="P830" s="254"/>
      <c r="Q830" s="254"/>
      <c r="R830" s="254"/>
      <c r="S830" s="254"/>
      <c r="T830" s="254"/>
      <c r="U830" s="254"/>
      <c r="V830" s="254"/>
      <c r="W830" s="254"/>
      <c r="X830" s="254"/>
      <c r="Y830" s="254"/>
      <c r="Z830" s="254"/>
    </row>
    <row r="831" spans="16:26" ht="10.199999999999999" customHeight="1">
      <c r="P831" s="254"/>
      <c r="Q831" s="254"/>
      <c r="R831" s="254"/>
      <c r="S831" s="254"/>
      <c r="T831" s="254"/>
      <c r="U831" s="254"/>
      <c r="V831" s="254"/>
      <c r="W831" s="254"/>
      <c r="X831" s="254"/>
      <c r="Y831" s="254"/>
      <c r="Z831" s="254"/>
    </row>
    <row r="832" spans="16:26" ht="10.199999999999999" customHeight="1">
      <c r="P832" s="254"/>
      <c r="Q832" s="254"/>
      <c r="R832" s="254"/>
      <c r="S832" s="254"/>
      <c r="T832" s="254"/>
      <c r="U832" s="254"/>
      <c r="V832" s="254"/>
      <c r="W832" s="254"/>
      <c r="X832" s="254"/>
      <c r="Y832" s="254"/>
      <c r="Z832" s="254"/>
    </row>
    <row r="833" spans="16:26" ht="10.199999999999999" customHeight="1">
      <c r="P833" s="254"/>
      <c r="Q833" s="254"/>
      <c r="R833" s="254"/>
      <c r="S833" s="254"/>
      <c r="T833" s="254"/>
      <c r="U833" s="254"/>
      <c r="V833" s="254"/>
      <c r="W833" s="254"/>
      <c r="X833" s="254"/>
      <c r="Y833" s="254"/>
      <c r="Z833" s="254"/>
    </row>
    <row r="834" spans="16:26" ht="10.199999999999999" customHeight="1">
      <c r="P834" s="254"/>
      <c r="Q834" s="254"/>
      <c r="R834" s="254"/>
      <c r="S834" s="254"/>
      <c r="T834" s="254"/>
      <c r="U834" s="254"/>
      <c r="V834" s="254"/>
      <c r="W834" s="254"/>
      <c r="X834" s="254"/>
      <c r="Y834" s="254"/>
      <c r="Z834" s="254"/>
    </row>
    <row r="835" spans="16:26" ht="10.199999999999999" customHeight="1">
      <c r="P835" s="254"/>
      <c r="Q835" s="254"/>
      <c r="R835" s="254"/>
      <c r="S835" s="254"/>
      <c r="T835" s="254"/>
      <c r="U835" s="254"/>
      <c r="V835" s="254"/>
      <c r="W835" s="254"/>
      <c r="X835" s="254"/>
      <c r="Y835" s="254"/>
      <c r="Z835" s="254"/>
    </row>
    <row r="836" spans="16:26" ht="10.199999999999999" customHeight="1">
      <c r="P836" s="254"/>
      <c r="Q836" s="254"/>
      <c r="R836" s="254"/>
      <c r="S836" s="254"/>
      <c r="T836" s="254"/>
      <c r="U836" s="254"/>
      <c r="V836" s="254"/>
      <c r="W836" s="254"/>
      <c r="X836" s="254"/>
      <c r="Y836" s="254"/>
      <c r="Z836" s="254"/>
    </row>
    <row r="837" spans="16:26" ht="10.199999999999999" customHeight="1">
      <c r="P837" s="254"/>
      <c r="Q837" s="254"/>
      <c r="R837" s="254"/>
      <c r="S837" s="254"/>
      <c r="T837" s="254"/>
      <c r="U837" s="254"/>
      <c r="V837" s="254"/>
      <c r="W837" s="254"/>
      <c r="X837" s="254"/>
      <c r="Y837" s="254"/>
      <c r="Z837" s="254"/>
    </row>
    <row r="838" spans="16:26" ht="10.199999999999999" customHeight="1">
      <c r="P838" s="254"/>
      <c r="Q838" s="254"/>
      <c r="R838" s="254"/>
      <c r="S838" s="254"/>
      <c r="T838" s="254"/>
      <c r="U838" s="254"/>
      <c r="V838" s="254"/>
      <c r="W838" s="254"/>
      <c r="X838" s="254"/>
      <c r="Y838" s="254"/>
      <c r="Z838" s="254"/>
    </row>
    <row r="839" spans="16:26" ht="10.199999999999999" customHeight="1">
      <c r="P839" s="254"/>
      <c r="Q839" s="254"/>
      <c r="R839" s="254"/>
      <c r="S839" s="254"/>
      <c r="T839" s="254"/>
      <c r="U839" s="254"/>
      <c r="V839" s="254"/>
      <c r="W839" s="254"/>
      <c r="X839" s="254"/>
      <c r="Y839" s="254"/>
      <c r="Z839" s="254"/>
    </row>
    <row r="840" spans="16:26" ht="10.199999999999999" customHeight="1">
      <c r="P840" s="254"/>
      <c r="Q840" s="254"/>
      <c r="R840" s="254"/>
      <c r="S840" s="254"/>
      <c r="T840" s="254"/>
      <c r="U840" s="254"/>
      <c r="V840" s="254"/>
      <c r="W840" s="254"/>
      <c r="X840" s="254"/>
      <c r="Y840" s="254"/>
      <c r="Z840" s="254"/>
    </row>
    <row r="841" spans="16:26" ht="10.199999999999999" customHeight="1">
      <c r="P841" s="254"/>
      <c r="Q841" s="254"/>
      <c r="R841" s="254"/>
      <c r="S841" s="254"/>
      <c r="T841" s="254"/>
      <c r="U841" s="254"/>
      <c r="V841" s="254"/>
      <c r="W841" s="254"/>
      <c r="X841" s="254"/>
      <c r="Y841" s="254"/>
      <c r="Z841" s="254"/>
    </row>
    <row r="842" spans="16:26" ht="10.199999999999999" customHeight="1">
      <c r="P842" s="254"/>
      <c r="Q842" s="254"/>
      <c r="R842" s="254"/>
      <c r="S842" s="254"/>
      <c r="T842" s="254"/>
      <c r="U842" s="254"/>
      <c r="V842" s="254"/>
      <c r="W842" s="254"/>
      <c r="X842" s="254"/>
      <c r="Y842" s="254"/>
      <c r="Z842" s="254"/>
    </row>
    <row r="843" spans="16:26" ht="10.199999999999999" customHeight="1">
      <c r="P843" s="254"/>
      <c r="Q843" s="254"/>
      <c r="R843" s="254"/>
      <c r="S843" s="254"/>
      <c r="T843" s="254"/>
      <c r="U843" s="254"/>
      <c r="V843" s="254"/>
      <c r="W843" s="254"/>
      <c r="X843" s="254"/>
      <c r="Y843" s="254"/>
      <c r="Z843" s="254"/>
    </row>
    <row r="844" spans="16:26" ht="10.199999999999999" customHeight="1">
      <c r="P844" s="254"/>
      <c r="Q844" s="254"/>
      <c r="R844" s="254"/>
      <c r="S844" s="254"/>
      <c r="T844" s="254"/>
      <c r="U844" s="254"/>
      <c r="V844" s="254"/>
      <c r="W844" s="254"/>
      <c r="X844" s="254"/>
      <c r="Y844" s="254"/>
      <c r="Z844" s="254"/>
    </row>
    <row r="845" spans="16:26" ht="10.199999999999999" customHeight="1">
      <c r="P845" s="254"/>
      <c r="Q845" s="254"/>
      <c r="R845" s="254"/>
      <c r="S845" s="254"/>
      <c r="T845" s="254"/>
      <c r="U845" s="254"/>
      <c r="V845" s="254"/>
      <c r="W845" s="254"/>
      <c r="X845" s="254"/>
      <c r="Y845" s="254"/>
      <c r="Z845" s="254"/>
    </row>
    <row r="846" spans="16:26" ht="10.199999999999999" customHeight="1">
      <c r="P846" s="254"/>
      <c r="Q846" s="254"/>
      <c r="R846" s="254"/>
      <c r="S846" s="254"/>
      <c r="T846" s="254"/>
      <c r="U846" s="254"/>
      <c r="V846" s="254"/>
      <c r="W846" s="254"/>
      <c r="X846" s="254"/>
      <c r="Y846" s="254"/>
      <c r="Z846" s="254"/>
    </row>
    <row r="847" spans="16:26" ht="10.199999999999999" customHeight="1">
      <c r="P847" s="254"/>
      <c r="Q847" s="254"/>
      <c r="R847" s="254"/>
      <c r="S847" s="254"/>
      <c r="T847" s="254"/>
      <c r="U847" s="254"/>
      <c r="V847" s="254"/>
      <c r="W847" s="254"/>
      <c r="X847" s="254"/>
      <c r="Y847" s="254"/>
      <c r="Z847" s="254"/>
    </row>
    <row r="848" spans="16:26" ht="10.199999999999999" customHeight="1">
      <c r="P848" s="254"/>
      <c r="Q848" s="254"/>
      <c r="R848" s="254"/>
      <c r="S848" s="254"/>
      <c r="T848" s="254"/>
      <c r="U848" s="254"/>
      <c r="V848" s="254"/>
      <c r="W848" s="254"/>
      <c r="X848" s="254"/>
      <c r="Y848" s="254"/>
      <c r="Z848" s="254"/>
    </row>
    <row r="849" spans="16:26" ht="10.199999999999999" customHeight="1">
      <c r="P849" s="254"/>
      <c r="Q849" s="254"/>
      <c r="R849" s="254"/>
      <c r="S849" s="254"/>
      <c r="T849" s="254"/>
      <c r="U849" s="254"/>
      <c r="V849" s="254"/>
      <c r="W849" s="254"/>
      <c r="X849" s="254"/>
      <c r="Y849" s="254"/>
      <c r="Z849" s="254"/>
    </row>
    <row r="850" spans="16:26" ht="10.199999999999999" customHeight="1">
      <c r="P850" s="254"/>
      <c r="Q850" s="254"/>
      <c r="R850" s="254"/>
      <c r="S850" s="254"/>
      <c r="T850" s="254"/>
      <c r="U850" s="254"/>
      <c r="V850" s="254"/>
      <c r="W850" s="254"/>
      <c r="X850" s="254"/>
      <c r="Y850" s="254"/>
      <c r="Z850" s="254"/>
    </row>
    <row r="851" spans="16:26" ht="10.199999999999999" customHeight="1">
      <c r="P851" s="254"/>
      <c r="Q851" s="254"/>
      <c r="R851" s="254"/>
      <c r="S851" s="254"/>
      <c r="T851" s="254"/>
      <c r="U851" s="254"/>
      <c r="V851" s="254"/>
      <c r="W851" s="254"/>
      <c r="X851" s="254"/>
      <c r="Y851" s="254"/>
      <c r="Z851" s="254"/>
    </row>
    <row r="852" spans="16:26" ht="10.199999999999999" customHeight="1">
      <c r="P852" s="254"/>
      <c r="Q852" s="254"/>
      <c r="R852" s="254"/>
      <c r="S852" s="254"/>
      <c r="T852" s="254"/>
      <c r="U852" s="254"/>
      <c r="V852" s="254"/>
      <c r="W852" s="254"/>
      <c r="X852" s="254"/>
      <c r="Y852" s="254"/>
      <c r="Z852" s="254"/>
    </row>
    <row r="853" spans="16:26" ht="10.199999999999999" customHeight="1">
      <c r="P853" s="254"/>
      <c r="Q853" s="254"/>
      <c r="R853" s="254"/>
      <c r="S853" s="254"/>
      <c r="T853" s="254"/>
      <c r="U853" s="254"/>
      <c r="V853" s="254"/>
      <c r="W853" s="254"/>
      <c r="X853" s="254"/>
      <c r="Y853" s="254"/>
      <c r="Z853" s="254"/>
    </row>
    <row r="854" spans="16:26" ht="10.199999999999999" customHeight="1">
      <c r="P854" s="254"/>
      <c r="Q854" s="254"/>
      <c r="R854" s="254"/>
      <c r="S854" s="254"/>
      <c r="T854" s="254"/>
      <c r="U854" s="254"/>
      <c r="V854" s="254"/>
      <c r="W854" s="254"/>
      <c r="X854" s="254"/>
      <c r="Y854" s="254"/>
      <c r="Z854" s="254"/>
    </row>
    <row r="855" spans="16:26" ht="10.199999999999999" customHeight="1">
      <c r="P855" s="254"/>
      <c r="Q855" s="254"/>
      <c r="R855" s="254"/>
      <c r="S855" s="254"/>
      <c r="T855" s="254"/>
      <c r="U855" s="254"/>
      <c r="V855" s="254"/>
      <c r="W855" s="254"/>
      <c r="X855" s="254"/>
      <c r="Y855" s="254"/>
      <c r="Z855" s="254"/>
    </row>
    <row r="856" spans="16:26" ht="10.199999999999999" customHeight="1">
      <c r="P856" s="254"/>
      <c r="Q856" s="254"/>
      <c r="R856" s="254"/>
      <c r="S856" s="254"/>
      <c r="T856" s="254"/>
      <c r="U856" s="254"/>
      <c r="V856" s="254"/>
      <c r="W856" s="254"/>
      <c r="X856" s="254"/>
      <c r="Y856" s="254"/>
      <c r="Z856" s="254"/>
    </row>
    <row r="857" spans="16:26" ht="10.199999999999999" customHeight="1">
      <c r="P857" s="254"/>
      <c r="Q857" s="254"/>
      <c r="R857" s="254"/>
      <c r="S857" s="254"/>
      <c r="T857" s="254"/>
      <c r="U857" s="254"/>
      <c r="V857" s="254"/>
      <c r="W857" s="254"/>
      <c r="X857" s="254"/>
      <c r="Y857" s="254"/>
      <c r="Z857" s="254"/>
    </row>
    <row r="858" spans="16:26" ht="10.199999999999999" customHeight="1">
      <c r="P858" s="254"/>
      <c r="Q858" s="254"/>
      <c r="R858" s="254"/>
      <c r="S858" s="254"/>
      <c r="T858" s="254"/>
      <c r="U858" s="254"/>
      <c r="V858" s="254"/>
      <c r="W858" s="254"/>
      <c r="X858" s="254"/>
      <c r="Y858" s="254"/>
      <c r="Z858" s="254"/>
    </row>
    <row r="859" spans="16:26" ht="10.199999999999999" customHeight="1">
      <c r="P859" s="254"/>
      <c r="Q859" s="254"/>
      <c r="R859" s="254"/>
      <c r="S859" s="254"/>
      <c r="T859" s="254"/>
      <c r="U859" s="254"/>
      <c r="V859" s="254"/>
      <c r="W859" s="254"/>
      <c r="X859" s="254"/>
      <c r="Y859" s="254"/>
      <c r="Z859" s="254"/>
    </row>
    <row r="860" spans="16:26" ht="10.199999999999999" customHeight="1">
      <c r="P860" s="254"/>
      <c r="Q860" s="254"/>
      <c r="R860" s="254"/>
      <c r="S860" s="254"/>
      <c r="T860" s="254"/>
      <c r="U860" s="254"/>
      <c r="V860" s="254"/>
      <c r="W860" s="254"/>
      <c r="X860" s="254"/>
      <c r="Y860" s="254"/>
      <c r="Z860" s="254"/>
    </row>
    <row r="861" spans="16:26" ht="10.199999999999999" customHeight="1">
      <c r="P861" s="254"/>
      <c r="Q861" s="254"/>
      <c r="R861" s="254"/>
      <c r="S861" s="254"/>
      <c r="T861" s="254"/>
      <c r="U861" s="254"/>
      <c r="V861" s="254"/>
      <c r="W861" s="254"/>
      <c r="X861" s="254"/>
      <c r="Y861" s="254"/>
      <c r="Z861" s="254"/>
    </row>
    <row r="862" spans="16:26" ht="10.199999999999999" customHeight="1">
      <c r="P862" s="254"/>
      <c r="Q862" s="254"/>
      <c r="R862" s="254"/>
      <c r="S862" s="254"/>
      <c r="T862" s="254"/>
      <c r="U862" s="254"/>
      <c r="V862" s="254"/>
      <c r="W862" s="254"/>
      <c r="X862" s="254"/>
      <c r="Y862" s="254"/>
      <c r="Z862" s="254"/>
    </row>
    <row r="863" spans="16:26" ht="10.199999999999999" customHeight="1">
      <c r="P863" s="254"/>
      <c r="Q863" s="254"/>
      <c r="R863" s="254"/>
      <c r="S863" s="254"/>
      <c r="T863" s="254"/>
      <c r="U863" s="254"/>
      <c r="V863" s="254"/>
      <c r="W863" s="254"/>
      <c r="X863" s="254"/>
      <c r="Y863" s="254"/>
      <c r="Z863" s="254"/>
    </row>
    <row r="864" spans="16:26" ht="10.199999999999999" customHeight="1">
      <c r="P864" s="254"/>
      <c r="Q864" s="254"/>
      <c r="R864" s="254"/>
      <c r="S864" s="254"/>
      <c r="T864" s="254"/>
      <c r="U864" s="254"/>
      <c r="V864" s="254"/>
      <c r="W864" s="254"/>
      <c r="X864" s="254"/>
      <c r="Y864" s="254"/>
      <c r="Z864" s="254"/>
    </row>
    <row r="865" spans="16:26" ht="10.199999999999999" customHeight="1">
      <c r="P865" s="254"/>
      <c r="Q865" s="254"/>
      <c r="R865" s="254"/>
      <c r="S865" s="254"/>
      <c r="T865" s="254"/>
      <c r="U865" s="254"/>
      <c r="V865" s="254"/>
      <c r="W865" s="254"/>
      <c r="X865" s="254"/>
      <c r="Y865" s="254"/>
      <c r="Z865" s="254"/>
    </row>
    <row r="866" spans="16:26" ht="10.199999999999999" customHeight="1">
      <c r="P866" s="254"/>
      <c r="Q866" s="254"/>
      <c r="R866" s="254"/>
      <c r="S866" s="254"/>
      <c r="T866" s="254"/>
      <c r="U866" s="254"/>
      <c r="V866" s="254"/>
      <c r="W866" s="254"/>
      <c r="X866" s="254"/>
      <c r="Y866" s="254"/>
      <c r="Z866" s="254"/>
    </row>
    <row r="867" spans="16:26" ht="10.199999999999999" customHeight="1">
      <c r="P867" s="254"/>
      <c r="Q867" s="254"/>
      <c r="R867" s="254"/>
      <c r="S867" s="254"/>
      <c r="T867" s="254"/>
      <c r="U867" s="254"/>
      <c r="V867" s="254"/>
      <c r="W867" s="254"/>
      <c r="X867" s="254"/>
      <c r="Y867" s="254"/>
      <c r="Z867" s="254"/>
    </row>
    <row r="868" spans="16:26" ht="10.199999999999999" customHeight="1">
      <c r="P868" s="254"/>
      <c r="Q868" s="254"/>
      <c r="R868" s="254"/>
      <c r="S868" s="254"/>
      <c r="T868" s="254"/>
      <c r="U868" s="254"/>
      <c r="V868" s="254"/>
      <c r="W868" s="254"/>
      <c r="X868" s="254"/>
      <c r="Y868" s="254"/>
      <c r="Z868" s="254"/>
    </row>
    <row r="869" spans="16:26" ht="10.199999999999999" customHeight="1">
      <c r="P869" s="254"/>
      <c r="Q869" s="254"/>
      <c r="R869" s="254"/>
      <c r="S869" s="254"/>
      <c r="T869" s="254"/>
      <c r="U869" s="254"/>
      <c r="V869" s="254"/>
      <c r="W869" s="254"/>
      <c r="X869" s="254"/>
      <c r="Y869" s="254"/>
      <c r="Z869" s="254"/>
    </row>
    <row r="870" spans="16:26" ht="10.199999999999999" customHeight="1">
      <c r="P870" s="254"/>
      <c r="Q870" s="254"/>
      <c r="R870" s="254"/>
      <c r="S870" s="254"/>
      <c r="T870" s="254"/>
      <c r="U870" s="254"/>
      <c r="V870" s="254"/>
      <c r="W870" s="254"/>
      <c r="X870" s="254"/>
      <c r="Y870" s="254"/>
      <c r="Z870" s="254"/>
    </row>
    <row r="871" spans="16:26" ht="10.199999999999999" customHeight="1">
      <c r="P871" s="254"/>
      <c r="Q871" s="254"/>
      <c r="R871" s="254"/>
      <c r="S871" s="254"/>
      <c r="T871" s="254"/>
      <c r="U871" s="254"/>
      <c r="V871" s="254"/>
      <c r="W871" s="254"/>
      <c r="X871" s="254"/>
      <c r="Y871" s="254"/>
      <c r="Z871" s="254"/>
    </row>
    <row r="872" spans="16:26" ht="10.199999999999999" customHeight="1">
      <c r="P872" s="254"/>
      <c r="Q872" s="254"/>
      <c r="R872" s="254"/>
      <c r="S872" s="254"/>
      <c r="T872" s="254"/>
      <c r="U872" s="254"/>
      <c r="V872" s="254"/>
      <c r="W872" s="254"/>
      <c r="X872" s="254"/>
      <c r="Y872" s="254"/>
      <c r="Z872" s="254"/>
    </row>
    <row r="873" spans="16:26" ht="10.199999999999999" customHeight="1">
      <c r="P873" s="254"/>
      <c r="Q873" s="254"/>
      <c r="R873" s="254"/>
      <c r="S873" s="254"/>
      <c r="T873" s="254"/>
      <c r="U873" s="254"/>
      <c r="V873" s="254"/>
      <c r="W873" s="254"/>
      <c r="X873" s="254"/>
      <c r="Y873" s="254"/>
      <c r="Z873" s="254"/>
    </row>
    <row r="874" spans="16:26" ht="10.199999999999999" customHeight="1">
      <c r="P874" s="254"/>
      <c r="Q874" s="254"/>
      <c r="R874" s="254"/>
      <c r="S874" s="254"/>
      <c r="T874" s="254"/>
      <c r="U874" s="254"/>
      <c r="V874" s="254"/>
      <c r="W874" s="254"/>
      <c r="X874" s="254"/>
      <c r="Y874" s="254"/>
      <c r="Z874" s="254"/>
    </row>
    <row r="875" spans="16:26" ht="10.199999999999999" customHeight="1">
      <c r="P875" s="254"/>
      <c r="Q875" s="254"/>
      <c r="R875" s="254"/>
      <c r="S875" s="254"/>
      <c r="T875" s="254"/>
      <c r="U875" s="254"/>
      <c r="V875" s="254"/>
      <c r="W875" s="254"/>
      <c r="X875" s="254"/>
      <c r="Y875" s="254"/>
      <c r="Z875" s="254"/>
    </row>
    <row r="876" spans="16:26" ht="10.199999999999999" customHeight="1">
      <c r="P876" s="254"/>
      <c r="Q876" s="254"/>
      <c r="R876" s="254"/>
      <c r="S876" s="254"/>
      <c r="T876" s="254"/>
      <c r="U876" s="254"/>
      <c r="V876" s="254"/>
      <c r="W876" s="254"/>
      <c r="X876" s="254"/>
      <c r="Y876" s="254"/>
      <c r="Z876" s="254"/>
    </row>
    <row r="877" spans="16:26" ht="10.199999999999999" customHeight="1">
      <c r="P877" s="254"/>
      <c r="Q877" s="254"/>
      <c r="R877" s="254"/>
      <c r="S877" s="254"/>
      <c r="T877" s="254"/>
      <c r="U877" s="254"/>
      <c r="V877" s="254"/>
      <c r="W877" s="254"/>
      <c r="X877" s="254"/>
      <c r="Y877" s="254"/>
      <c r="Z877" s="254"/>
    </row>
    <row r="878" spans="16:26" ht="10.199999999999999" customHeight="1">
      <c r="P878" s="254"/>
      <c r="Q878" s="254"/>
      <c r="R878" s="254"/>
      <c r="S878" s="254"/>
      <c r="T878" s="254"/>
      <c r="U878" s="254"/>
      <c r="V878" s="254"/>
      <c r="W878" s="254"/>
      <c r="X878" s="254"/>
      <c r="Y878" s="254"/>
      <c r="Z878" s="254"/>
    </row>
    <row r="879" spans="16:26" ht="10.199999999999999" customHeight="1">
      <c r="P879" s="254"/>
      <c r="Q879" s="254"/>
      <c r="R879" s="254"/>
      <c r="S879" s="254"/>
      <c r="T879" s="254"/>
      <c r="U879" s="254"/>
      <c r="V879" s="254"/>
      <c r="W879" s="254"/>
      <c r="X879" s="254"/>
      <c r="Y879" s="254"/>
      <c r="Z879" s="254"/>
    </row>
    <row r="880" spans="16:26" ht="10.199999999999999" customHeight="1">
      <c r="P880" s="254"/>
      <c r="Q880" s="254"/>
      <c r="R880" s="254"/>
      <c r="S880" s="254"/>
      <c r="T880" s="254"/>
      <c r="U880" s="254"/>
      <c r="V880" s="254"/>
      <c r="W880" s="254"/>
      <c r="X880" s="254"/>
      <c r="Y880" s="254"/>
      <c r="Z880" s="254"/>
    </row>
    <row r="881" spans="16:26" ht="10.199999999999999" customHeight="1">
      <c r="P881" s="254"/>
      <c r="Q881" s="254"/>
      <c r="R881" s="254"/>
      <c r="S881" s="254"/>
      <c r="T881" s="254"/>
      <c r="U881" s="254"/>
      <c r="V881" s="254"/>
      <c r="W881" s="254"/>
      <c r="X881" s="254"/>
      <c r="Y881" s="254"/>
      <c r="Z881" s="254"/>
    </row>
    <row r="882" spans="16:26" ht="10.199999999999999" customHeight="1">
      <c r="P882" s="254"/>
      <c r="Q882" s="254"/>
      <c r="R882" s="254"/>
      <c r="S882" s="254"/>
      <c r="T882" s="254"/>
      <c r="U882" s="254"/>
      <c r="V882" s="254"/>
      <c r="W882" s="254"/>
      <c r="X882" s="254"/>
      <c r="Y882" s="254"/>
      <c r="Z882" s="254"/>
    </row>
    <row r="883" spans="16:26" ht="10.199999999999999" customHeight="1">
      <c r="P883" s="254"/>
      <c r="Q883" s="254"/>
      <c r="R883" s="254"/>
      <c r="S883" s="254"/>
      <c r="T883" s="254"/>
      <c r="U883" s="254"/>
      <c r="V883" s="254"/>
      <c r="W883" s="254"/>
      <c r="X883" s="254"/>
      <c r="Y883" s="254"/>
      <c r="Z883" s="254"/>
    </row>
    <row r="884" spans="16:26" ht="10.199999999999999" customHeight="1">
      <c r="P884" s="254"/>
      <c r="Q884" s="254"/>
      <c r="R884" s="254"/>
      <c r="S884" s="254"/>
      <c r="T884" s="254"/>
      <c r="U884" s="254"/>
      <c r="V884" s="254"/>
      <c r="W884" s="254"/>
      <c r="X884" s="254"/>
      <c r="Y884" s="254"/>
      <c r="Z884" s="254"/>
    </row>
  </sheetData>
  <sheetProtection password="8C51" sheet="1" objects="1" scenarios="1" selectLockedCells="1"/>
  <pageMargins left="0.75" right="0.75" top="1" bottom="1" header="0.5" footer="0.5"/>
  <pageSetup orientation="portrait" horizontalDpi="1200" verticalDpi="1200"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1:Z884"/>
  <sheetViews>
    <sheetView workbookViewId="0">
      <selection activeCell="P1" sqref="P1"/>
    </sheetView>
  </sheetViews>
  <sheetFormatPr defaultRowHeight="10.199999999999999" customHeight="1"/>
  <cols>
    <col min="1" max="15" width="8.88671875" style="57"/>
    <col min="16" max="26" width="8.88671875" style="243"/>
    <col min="27" max="16384" width="8.88671875" style="57"/>
  </cols>
  <sheetData>
    <row r="1" spans="2:26" ht="10.199999999999999" customHeight="1">
      <c r="B1" s="57" t="s">
        <v>46</v>
      </c>
      <c r="C1" s="57" t="s">
        <v>47</v>
      </c>
      <c r="D1" s="57" t="s">
        <v>48</v>
      </c>
      <c r="E1" s="57" t="s">
        <v>49</v>
      </c>
      <c r="F1" s="57" t="s">
        <v>50</v>
      </c>
      <c r="G1" s="57" t="s">
        <v>51</v>
      </c>
      <c r="H1" s="57" t="s">
        <v>52</v>
      </c>
      <c r="I1" s="57" t="s">
        <v>53</v>
      </c>
      <c r="J1" s="57" t="s">
        <v>54</v>
      </c>
      <c r="P1" s="252"/>
      <c r="Q1" s="252"/>
      <c r="R1" s="252"/>
      <c r="S1" s="252"/>
      <c r="T1" s="252"/>
      <c r="U1" s="252"/>
      <c r="V1" s="252"/>
      <c r="W1" s="252"/>
      <c r="X1" s="252"/>
      <c r="Y1" s="252"/>
      <c r="Z1" s="252"/>
    </row>
    <row r="2" spans="2:26" ht="10.199999999999999" customHeight="1">
      <c r="B2" s="57" t="s">
        <v>55</v>
      </c>
      <c r="C2" s="57" t="s">
        <v>56</v>
      </c>
      <c r="D2" s="57" t="s">
        <v>56</v>
      </c>
      <c r="E2" s="57" t="s">
        <v>57</v>
      </c>
      <c r="F2" s="57" t="s">
        <v>57</v>
      </c>
      <c r="G2" s="57" t="s">
        <v>58</v>
      </c>
      <c r="H2" s="57" t="s">
        <v>59</v>
      </c>
      <c r="I2" s="57" t="s">
        <v>60</v>
      </c>
      <c r="J2" s="57" t="s">
        <v>61</v>
      </c>
      <c r="K2" s="57" t="s">
        <v>62</v>
      </c>
      <c r="L2" s="57" t="s">
        <v>63</v>
      </c>
      <c r="P2" s="252"/>
      <c r="Q2" s="252"/>
      <c r="R2" s="252"/>
      <c r="S2" s="252"/>
      <c r="T2" s="252"/>
      <c r="U2" s="252"/>
      <c r="V2" s="252"/>
      <c r="W2" s="252"/>
      <c r="X2" s="252"/>
      <c r="Y2" s="252"/>
      <c r="Z2" s="252"/>
    </row>
    <row r="3" spans="2:26" ht="10.199999999999999" customHeight="1">
      <c r="P3" s="252"/>
      <c r="Q3" s="252"/>
      <c r="R3" s="252"/>
      <c r="S3" s="252"/>
      <c r="T3" s="252"/>
      <c r="U3" s="252"/>
      <c r="V3" s="252"/>
      <c r="W3" s="252"/>
      <c r="X3" s="252"/>
      <c r="Y3" s="252"/>
      <c r="Z3" s="252"/>
    </row>
    <row r="4" spans="2:26" ht="10.199999999999999" customHeight="1">
      <c r="B4" s="57" t="s">
        <v>64</v>
      </c>
      <c r="C4" s="234" t="str">
        <f ca="1">IF(P1="","","L"&amp;MID(INDIRECT("P"&amp;L4),6,FIND(" ",INDIRECT("P"&amp;L4),6)-5))</f>
        <v/>
      </c>
      <c r="D4" s="234" t="str">
        <f ca="1">IF(P1="","",MID(INDIRECT("P"&amp;L4),SEARCH("(",INDIRECT("P"&amp;L4),1)+1,3))</f>
        <v/>
      </c>
      <c r="E4" s="234" t="str">
        <f ca="1">IF(P1="","",MID(INDIRECT("P"&amp;L4),SEARCH(")",INDIRECT("P"&amp;L4),1)+2,LEN(INDIRECT("P"&amp;L4))))</f>
        <v/>
      </c>
      <c r="F4" s="234"/>
      <c r="G4" s="234"/>
      <c r="H4" s="234"/>
      <c r="I4" s="234"/>
      <c r="J4" s="234"/>
      <c r="K4" s="234"/>
      <c r="L4" s="234" t="str">
        <f>IF(P1="","",MATCH("CASE*",P1:P10,0))</f>
        <v/>
      </c>
      <c r="M4" s="55">
        <f>ROUND(COUNT(P:P)*1.6,0)</f>
        <v>0</v>
      </c>
      <c r="P4" s="252"/>
      <c r="Q4" s="252"/>
      <c r="R4" s="252"/>
      <c r="S4" s="252"/>
      <c r="T4" s="252"/>
      <c r="U4" s="252"/>
      <c r="V4" s="252"/>
      <c r="W4" s="252"/>
      <c r="X4" s="252"/>
      <c r="Y4" s="252"/>
      <c r="Z4" s="252"/>
    </row>
    <row r="5" spans="2:26" ht="10.199999999999999" customHeight="1">
      <c r="P5" s="252"/>
      <c r="Q5" s="252"/>
      <c r="R5" s="252"/>
      <c r="S5" s="252"/>
      <c r="T5" s="252"/>
      <c r="U5" s="252"/>
      <c r="V5" s="252"/>
      <c r="W5" s="252"/>
      <c r="X5" s="252"/>
      <c r="Y5" s="252"/>
      <c r="Z5" s="252"/>
    </row>
    <row r="6" spans="2:26" ht="10.199999999999999" customHeight="1">
      <c r="B6" s="56" t="str">
        <f>IF('Low Stress Type Gasket'!BE11="","",'Low Stress Type Gasket'!BE11)</f>
        <v/>
      </c>
      <c r="C6" s="58" t="str">
        <f t="shared" ref="C6:L21" ca="1" si="0">IF($M$4=0,"",VLOOKUP($B6,INDIRECT("$P$1:$Z$"&amp;$M$4),COLUMN()-1,0))</f>
        <v/>
      </c>
      <c r="D6" s="58" t="str">
        <f t="shared" ca="1" si="0"/>
        <v/>
      </c>
      <c r="E6" s="58" t="str">
        <f t="shared" ca="1" si="0"/>
        <v/>
      </c>
      <c r="F6" s="58" t="str">
        <f t="shared" ca="1" si="0"/>
        <v/>
      </c>
      <c r="G6" s="58" t="str">
        <f t="shared" ca="1" si="0"/>
        <v/>
      </c>
      <c r="H6" s="58" t="str">
        <f t="shared" ca="1" si="0"/>
        <v/>
      </c>
      <c r="I6" s="58" t="str">
        <f t="shared" ca="1" si="0"/>
        <v/>
      </c>
      <c r="J6" s="58" t="str">
        <f t="shared" ca="1" si="0"/>
        <v/>
      </c>
      <c r="K6" s="58" t="str">
        <f t="shared" ca="1" si="0"/>
        <v/>
      </c>
      <c r="L6" s="58" t="str">
        <f t="shared" ca="1" si="0"/>
        <v/>
      </c>
      <c r="P6" s="252"/>
      <c r="Q6" s="252"/>
      <c r="R6" s="252"/>
      <c r="S6" s="252"/>
      <c r="T6" s="252"/>
      <c r="U6" s="252"/>
      <c r="V6" s="252"/>
      <c r="W6" s="252"/>
      <c r="X6" s="252"/>
      <c r="Y6" s="252"/>
      <c r="Z6" s="252"/>
    </row>
    <row r="7" spans="2:26" ht="10.199999999999999" customHeight="1">
      <c r="B7" s="56" t="str">
        <f>IF('Low Stress Type Gasket'!BE12="","",'Low Stress Type Gasket'!BE12)</f>
        <v/>
      </c>
      <c r="C7" s="58" t="str">
        <f t="shared" ca="1" si="0"/>
        <v/>
      </c>
      <c r="D7" s="58" t="str">
        <f t="shared" ca="1" si="0"/>
        <v/>
      </c>
      <c r="E7" s="58" t="str">
        <f t="shared" ca="1" si="0"/>
        <v/>
      </c>
      <c r="F7" s="58" t="str">
        <f t="shared" ca="1" si="0"/>
        <v/>
      </c>
      <c r="G7" s="58" t="str">
        <f t="shared" ca="1" si="0"/>
        <v/>
      </c>
      <c r="H7" s="58" t="str">
        <f t="shared" ca="1" si="0"/>
        <v/>
      </c>
      <c r="I7" s="58" t="str">
        <f t="shared" ca="1" si="0"/>
        <v/>
      </c>
      <c r="J7" s="58" t="str">
        <f t="shared" ca="1" si="0"/>
        <v/>
      </c>
      <c r="K7" s="58" t="str">
        <f t="shared" ca="1" si="0"/>
        <v/>
      </c>
      <c r="L7" s="58" t="str">
        <f t="shared" ca="1" si="0"/>
        <v/>
      </c>
      <c r="P7" s="252"/>
      <c r="Q7" s="252"/>
      <c r="R7" s="252"/>
      <c r="S7" s="252"/>
      <c r="T7" s="252"/>
      <c r="U7" s="252"/>
      <c r="V7" s="252"/>
      <c r="W7" s="252"/>
      <c r="X7" s="252"/>
      <c r="Y7" s="252"/>
      <c r="Z7" s="252"/>
    </row>
    <row r="8" spans="2:26" ht="10.199999999999999" customHeight="1">
      <c r="B8" s="56" t="str">
        <f>IF('Low Stress Type Gasket'!BE13="","",'Low Stress Type Gasket'!BE13)</f>
        <v/>
      </c>
      <c r="C8" s="58" t="str">
        <f t="shared" ca="1" si="0"/>
        <v/>
      </c>
      <c r="D8" s="58" t="str">
        <f t="shared" ca="1" si="0"/>
        <v/>
      </c>
      <c r="E8" s="58" t="str">
        <f t="shared" ca="1" si="0"/>
        <v/>
      </c>
      <c r="F8" s="58" t="str">
        <f t="shared" ca="1" si="0"/>
        <v/>
      </c>
      <c r="G8" s="58" t="str">
        <f t="shared" ca="1" si="0"/>
        <v/>
      </c>
      <c r="H8" s="58" t="str">
        <f t="shared" ca="1" si="0"/>
        <v/>
      </c>
      <c r="I8" s="58" t="str">
        <f t="shared" ca="1" si="0"/>
        <v/>
      </c>
      <c r="J8" s="58" t="str">
        <f t="shared" ca="1" si="0"/>
        <v/>
      </c>
      <c r="K8" s="58" t="str">
        <f t="shared" ca="1" si="0"/>
        <v/>
      </c>
      <c r="L8" s="58" t="str">
        <f t="shared" ca="1" si="0"/>
        <v/>
      </c>
      <c r="P8" s="68"/>
      <c r="Q8" s="68"/>
      <c r="R8" s="68"/>
      <c r="S8" s="68"/>
      <c r="T8" s="68"/>
      <c r="U8" s="68"/>
      <c r="V8" s="68"/>
      <c r="W8" s="68"/>
      <c r="X8" s="68"/>
      <c r="Y8" s="68"/>
      <c r="Z8" s="68"/>
    </row>
    <row r="9" spans="2:26" ht="10.199999999999999" customHeight="1">
      <c r="B9" s="56" t="str">
        <f>IF('Low Stress Type Gasket'!BE14="","",'Low Stress Type Gasket'!BE14)</f>
        <v/>
      </c>
      <c r="C9" s="58" t="str">
        <f t="shared" ca="1" si="0"/>
        <v/>
      </c>
      <c r="D9" s="58" t="str">
        <f t="shared" ca="1" si="0"/>
        <v/>
      </c>
      <c r="E9" s="58" t="str">
        <f t="shared" ca="1" si="0"/>
        <v/>
      </c>
      <c r="F9" s="58" t="str">
        <f t="shared" ca="1" si="0"/>
        <v/>
      </c>
      <c r="G9" s="58" t="str">
        <f t="shared" ca="1" si="0"/>
        <v/>
      </c>
      <c r="H9" s="58" t="str">
        <f t="shared" ca="1" si="0"/>
        <v/>
      </c>
      <c r="I9" s="58" t="str">
        <f t="shared" ca="1" si="0"/>
        <v/>
      </c>
      <c r="J9" s="58" t="str">
        <f t="shared" ca="1" si="0"/>
        <v/>
      </c>
      <c r="K9" s="58" t="str">
        <f t="shared" ca="1" si="0"/>
        <v/>
      </c>
      <c r="L9" s="58" t="str">
        <f t="shared" ca="1" si="0"/>
        <v/>
      </c>
      <c r="P9" s="252"/>
      <c r="Q9" s="252"/>
      <c r="R9" s="252"/>
      <c r="S9" s="252"/>
      <c r="T9" s="252"/>
      <c r="U9" s="252"/>
      <c r="V9" s="252"/>
      <c r="W9" s="252"/>
      <c r="X9" s="252"/>
      <c r="Y9" s="252"/>
      <c r="Z9" s="252"/>
    </row>
    <row r="10" spans="2:26" ht="10.199999999999999" customHeight="1">
      <c r="B10" s="56" t="str">
        <f>IF('Low Stress Type Gasket'!BE15="","",'Low Stress Type Gasket'!BE15)</f>
        <v/>
      </c>
      <c r="C10" s="58" t="str">
        <f t="shared" ca="1" si="0"/>
        <v/>
      </c>
      <c r="D10" s="58" t="str">
        <f t="shared" ca="1" si="0"/>
        <v/>
      </c>
      <c r="E10" s="58" t="str">
        <f t="shared" ca="1" si="0"/>
        <v/>
      </c>
      <c r="F10" s="58" t="str">
        <f t="shared" ca="1" si="0"/>
        <v/>
      </c>
      <c r="G10" s="58" t="str">
        <f t="shared" ca="1" si="0"/>
        <v/>
      </c>
      <c r="H10" s="58" t="str">
        <f t="shared" ca="1" si="0"/>
        <v/>
      </c>
      <c r="I10" s="58" t="str">
        <f t="shared" ca="1" si="0"/>
        <v/>
      </c>
      <c r="J10" s="58" t="str">
        <f t="shared" ca="1" si="0"/>
        <v/>
      </c>
      <c r="K10" s="58" t="str">
        <f t="shared" ca="1" si="0"/>
        <v/>
      </c>
      <c r="L10" s="58" t="str">
        <f t="shared" ca="1" si="0"/>
        <v/>
      </c>
      <c r="P10" s="252"/>
      <c r="Q10" s="252"/>
      <c r="R10" s="252"/>
      <c r="S10" s="252"/>
      <c r="T10" s="252"/>
      <c r="U10" s="252"/>
      <c r="V10" s="252"/>
      <c r="W10" s="252"/>
      <c r="X10" s="252"/>
      <c r="Y10" s="252"/>
      <c r="Z10" s="252"/>
    </row>
    <row r="11" spans="2:26" ht="10.199999999999999" customHeight="1">
      <c r="B11" s="56" t="str">
        <f>IF('Low Stress Type Gasket'!BE16="","",'Low Stress Type Gasket'!BE16)</f>
        <v/>
      </c>
      <c r="C11" s="58" t="str">
        <f t="shared" ca="1" si="0"/>
        <v/>
      </c>
      <c r="D11" s="58" t="str">
        <f t="shared" ca="1" si="0"/>
        <v/>
      </c>
      <c r="E11" s="58" t="str">
        <f t="shared" ca="1" si="0"/>
        <v/>
      </c>
      <c r="F11" s="58" t="str">
        <f t="shared" ca="1" si="0"/>
        <v/>
      </c>
      <c r="G11" s="58" t="str">
        <f t="shared" ca="1" si="0"/>
        <v/>
      </c>
      <c r="H11" s="58" t="str">
        <f t="shared" ca="1" si="0"/>
        <v/>
      </c>
      <c r="I11" s="58" t="str">
        <f t="shared" ca="1" si="0"/>
        <v/>
      </c>
      <c r="J11" s="58" t="str">
        <f t="shared" ca="1" si="0"/>
        <v/>
      </c>
      <c r="K11" s="58" t="str">
        <f t="shared" ca="1" si="0"/>
        <v/>
      </c>
      <c r="L11" s="58" t="str">
        <f t="shared" ca="1" si="0"/>
        <v/>
      </c>
      <c r="P11" s="252"/>
      <c r="Q11" s="252"/>
      <c r="R11" s="252"/>
      <c r="S11" s="252"/>
      <c r="T11" s="252"/>
      <c r="U11" s="252"/>
      <c r="V11" s="252"/>
      <c r="W11" s="252"/>
      <c r="X11" s="252"/>
      <c r="Y11" s="252"/>
      <c r="Z11" s="252"/>
    </row>
    <row r="12" spans="2:26" ht="10.199999999999999" customHeight="1">
      <c r="B12" s="56" t="str">
        <f>IF('Low Stress Type Gasket'!BE17="","",'Low Stress Type Gasket'!BE17)</f>
        <v/>
      </c>
      <c r="C12" s="58" t="str">
        <f t="shared" ca="1" si="0"/>
        <v/>
      </c>
      <c r="D12" s="58" t="str">
        <f t="shared" ca="1" si="0"/>
        <v/>
      </c>
      <c r="E12" s="58" t="str">
        <f t="shared" ca="1" si="0"/>
        <v/>
      </c>
      <c r="F12" s="58" t="str">
        <f t="shared" ca="1" si="0"/>
        <v/>
      </c>
      <c r="G12" s="58" t="str">
        <f t="shared" ca="1" si="0"/>
        <v/>
      </c>
      <c r="H12" s="58" t="str">
        <f t="shared" ca="1" si="0"/>
        <v/>
      </c>
      <c r="I12" s="58" t="str">
        <f t="shared" ca="1" si="0"/>
        <v/>
      </c>
      <c r="J12" s="58" t="str">
        <f t="shared" ca="1" si="0"/>
        <v/>
      </c>
      <c r="K12" s="58" t="str">
        <f t="shared" ca="1" si="0"/>
        <v/>
      </c>
      <c r="L12" s="58" t="str">
        <f t="shared" ca="1" si="0"/>
        <v/>
      </c>
      <c r="P12" s="68"/>
      <c r="Q12" s="68"/>
      <c r="R12" s="68"/>
      <c r="S12" s="68"/>
      <c r="T12" s="68"/>
      <c r="U12" s="68"/>
      <c r="V12" s="68"/>
      <c r="W12" s="68"/>
      <c r="X12" s="68"/>
      <c r="Y12" s="68"/>
      <c r="Z12" s="68"/>
    </row>
    <row r="13" spans="2:26" ht="10.199999999999999" customHeight="1">
      <c r="B13" s="56" t="str">
        <f>IF('Low Stress Type Gasket'!BE18="","",'Low Stress Type Gasket'!BE18)</f>
        <v/>
      </c>
      <c r="C13" s="58" t="str">
        <f t="shared" ca="1" si="0"/>
        <v/>
      </c>
      <c r="D13" s="58" t="str">
        <f t="shared" ca="1" si="0"/>
        <v/>
      </c>
      <c r="E13" s="58" t="str">
        <f t="shared" ca="1" si="0"/>
        <v/>
      </c>
      <c r="F13" s="58" t="str">
        <f t="shared" ca="1" si="0"/>
        <v/>
      </c>
      <c r="G13" s="58" t="str">
        <f t="shared" ca="1" si="0"/>
        <v/>
      </c>
      <c r="H13" s="58" t="str">
        <f t="shared" ca="1" si="0"/>
        <v/>
      </c>
      <c r="I13" s="58" t="str">
        <f t="shared" ca="1" si="0"/>
        <v/>
      </c>
      <c r="J13" s="58" t="str">
        <f t="shared" ca="1" si="0"/>
        <v/>
      </c>
      <c r="K13" s="58" t="str">
        <f t="shared" ca="1" si="0"/>
        <v/>
      </c>
      <c r="L13" s="58" t="str">
        <f t="shared" ca="1" si="0"/>
        <v/>
      </c>
      <c r="P13" s="252"/>
      <c r="Q13" s="252"/>
      <c r="R13" s="252"/>
      <c r="S13" s="252"/>
      <c r="T13" s="252"/>
      <c r="U13" s="252"/>
      <c r="V13" s="252"/>
      <c r="W13" s="252"/>
      <c r="X13" s="252"/>
      <c r="Y13" s="252"/>
      <c r="Z13" s="252"/>
    </row>
    <row r="14" spans="2:26" ht="10.199999999999999" customHeight="1">
      <c r="B14" s="56" t="str">
        <f>IF('Low Stress Type Gasket'!BE19="","",'Low Stress Type Gasket'!BE19)</f>
        <v/>
      </c>
      <c r="C14" s="58" t="str">
        <f t="shared" ca="1" si="0"/>
        <v/>
      </c>
      <c r="D14" s="58" t="str">
        <f t="shared" ca="1" si="0"/>
        <v/>
      </c>
      <c r="E14" s="58" t="str">
        <f t="shared" ca="1" si="0"/>
        <v/>
      </c>
      <c r="F14" s="58" t="str">
        <f t="shared" ca="1" si="0"/>
        <v/>
      </c>
      <c r="G14" s="58" t="str">
        <f t="shared" ca="1" si="0"/>
        <v/>
      </c>
      <c r="H14" s="58" t="str">
        <f t="shared" ca="1" si="0"/>
        <v/>
      </c>
      <c r="I14" s="58" t="str">
        <f t="shared" ca="1" si="0"/>
        <v/>
      </c>
      <c r="J14" s="58" t="str">
        <f t="shared" ca="1" si="0"/>
        <v/>
      </c>
      <c r="K14" s="58" t="str">
        <f t="shared" ca="1" si="0"/>
        <v/>
      </c>
      <c r="L14" s="58" t="str">
        <f t="shared" ca="1" si="0"/>
        <v/>
      </c>
      <c r="P14" s="252"/>
      <c r="Q14" s="252"/>
      <c r="R14" s="252"/>
      <c r="S14" s="252"/>
      <c r="T14" s="252"/>
      <c r="U14" s="252"/>
      <c r="V14" s="252"/>
      <c r="W14" s="252"/>
      <c r="X14" s="252"/>
      <c r="Y14" s="252"/>
      <c r="Z14" s="252"/>
    </row>
    <row r="15" spans="2:26" ht="10.199999999999999" customHeight="1">
      <c r="B15" s="56" t="str">
        <f>IF('Low Stress Type Gasket'!BE20="","",'Low Stress Type Gasket'!BE20)</f>
        <v/>
      </c>
      <c r="C15" s="58" t="str">
        <f t="shared" ca="1" si="0"/>
        <v/>
      </c>
      <c r="D15" s="58" t="str">
        <f t="shared" ca="1" si="0"/>
        <v/>
      </c>
      <c r="E15" s="58" t="str">
        <f t="shared" ca="1" si="0"/>
        <v/>
      </c>
      <c r="F15" s="58" t="str">
        <f t="shared" ca="1" si="0"/>
        <v/>
      </c>
      <c r="G15" s="58" t="str">
        <f t="shared" ca="1" si="0"/>
        <v/>
      </c>
      <c r="H15" s="58" t="str">
        <f t="shared" ca="1" si="0"/>
        <v/>
      </c>
      <c r="I15" s="58" t="str">
        <f t="shared" ca="1" si="0"/>
        <v/>
      </c>
      <c r="J15" s="58" t="str">
        <f t="shared" ca="1" si="0"/>
        <v/>
      </c>
      <c r="K15" s="58" t="str">
        <f t="shared" ca="1" si="0"/>
        <v/>
      </c>
      <c r="L15" s="58" t="str">
        <f t="shared" ca="1" si="0"/>
        <v/>
      </c>
      <c r="P15" s="68"/>
      <c r="Q15" s="68"/>
      <c r="R15" s="68"/>
      <c r="S15" s="68"/>
      <c r="T15" s="68"/>
      <c r="U15" s="68"/>
      <c r="V15" s="68"/>
      <c r="W15" s="68"/>
      <c r="X15" s="68"/>
      <c r="Y15" s="68"/>
      <c r="Z15" s="68"/>
    </row>
    <row r="16" spans="2:26" ht="10.199999999999999" customHeight="1">
      <c r="B16" s="56" t="str">
        <f>IF('Low Stress Type Gasket'!BE21="","",'Low Stress Type Gasket'!BE21)</f>
        <v/>
      </c>
      <c r="C16" s="58" t="str">
        <f t="shared" ca="1" si="0"/>
        <v/>
      </c>
      <c r="D16" s="58" t="str">
        <f t="shared" ca="1" si="0"/>
        <v/>
      </c>
      <c r="E16" s="58" t="str">
        <f t="shared" ca="1" si="0"/>
        <v/>
      </c>
      <c r="F16" s="58" t="str">
        <f t="shared" ca="1" si="0"/>
        <v/>
      </c>
      <c r="G16" s="58" t="str">
        <f t="shared" ca="1" si="0"/>
        <v/>
      </c>
      <c r="H16" s="58" t="str">
        <f t="shared" ca="1" si="0"/>
        <v/>
      </c>
      <c r="I16" s="58" t="str">
        <f t="shared" ca="1" si="0"/>
        <v/>
      </c>
      <c r="J16" s="58" t="str">
        <f t="shared" ca="1" si="0"/>
        <v/>
      </c>
      <c r="K16" s="58" t="str">
        <f t="shared" ca="1" si="0"/>
        <v/>
      </c>
      <c r="L16" s="58" t="str">
        <f t="shared" ca="1" si="0"/>
        <v/>
      </c>
      <c r="P16" s="252"/>
      <c r="Q16" s="252"/>
      <c r="R16" s="252"/>
      <c r="S16" s="252"/>
      <c r="T16" s="252"/>
      <c r="U16" s="252"/>
      <c r="V16" s="252"/>
      <c r="W16" s="252"/>
      <c r="X16" s="252"/>
      <c r="Y16" s="252"/>
      <c r="Z16" s="252"/>
    </row>
    <row r="17" spans="2:26" ht="10.199999999999999" customHeight="1">
      <c r="B17" s="56" t="str">
        <f>IF('Low Stress Type Gasket'!BE22="","",'Low Stress Type Gasket'!BE22)</f>
        <v/>
      </c>
      <c r="C17" s="58" t="str">
        <f t="shared" ca="1" si="0"/>
        <v/>
      </c>
      <c r="D17" s="58" t="str">
        <f t="shared" ca="1" si="0"/>
        <v/>
      </c>
      <c r="E17" s="58" t="str">
        <f t="shared" ca="1" si="0"/>
        <v/>
      </c>
      <c r="F17" s="58" t="str">
        <f t="shared" ca="1" si="0"/>
        <v/>
      </c>
      <c r="G17" s="58" t="str">
        <f t="shared" ca="1" si="0"/>
        <v/>
      </c>
      <c r="H17" s="58" t="str">
        <f t="shared" ca="1" si="0"/>
        <v/>
      </c>
      <c r="I17" s="58" t="str">
        <f t="shared" ca="1" si="0"/>
        <v/>
      </c>
      <c r="J17" s="58" t="str">
        <f t="shared" ca="1" si="0"/>
        <v/>
      </c>
      <c r="K17" s="58" t="str">
        <f t="shared" ca="1" si="0"/>
        <v/>
      </c>
      <c r="L17" s="58" t="str">
        <f t="shared" ca="1" si="0"/>
        <v/>
      </c>
      <c r="P17" s="252"/>
      <c r="Q17" s="252"/>
      <c r="R17" s="252"/>
      <c r="S17" s="252"/>
      <c r="T17" s="252"/>
      <c r="U17" s="252"/>
      <c r="V17" s="252"/>
      <c r="W17" s="252"/>
      <c r="X17" s="252"/>
      <c r="Y17" s="252"/>
      <c r="Z17" s="252"/>
    </row>
    <row r="18" spans="2:26" ht="10.199999999999999" customHeight="1">
      <c r="B18" s="56" t="str">
        <f>IF('Low Stress Type Gasket'!BE23="","",'Low Stress Type Gasket'!BE23)</f>
        <v/>
      </c>
      <c r="C18" s="58" t="str">
        <f t="shared" ca="1" si="0"/>
        <v/>
      </c>
      <c r="D18" s="58" t="str">
        <f t="shared" ca="1" si="0"/>
        <v/>
      </c>
      <c r="E18" s="58" t="str">
        <f t="shared" ca="1" si="0"/>
        <v/>
      </c>
      <c r="F18" s="58" t="str">
        <f t="shared" ca="1" si="0"/>
        <v/>
      </c>
      <c r="G18" s="58" t="str">
        <f t="shared" ca="1" si="0"/>
        <v/>
      </c>
      <c r="H18" s="58" t="str">
        <f t="shared" ca="1" si="0"/>
        <v/>
      </c>
      <c r="I18" s="58" t="str">
        <f t="shared" ca="1" si="0"/>
        <v/>
      </c>
      <c r="J18" s="58" t="str">
        <f t="shared" ca="1" si="0"/>
        <v/>
      </c>
      <c r="K18" s="58" t="str">
        <f t="shared" ca="1" si="0"/>
        <v/>
      </c>
      <c r="L18" s="58" t="str">
        <f t="shared" ca="1" si="0"/>
        <v/>
      </c>
      <c r="P18" s="68"/>
      <c r="Q18" s="68"/>
      <c r="R18" s="68"/>
      <c r="S18" s="68"/>
      <c r="T18" s="68"/>
      <c r="U18" s="68"/>
      <c r="V18" s="68"/>
      <c r="W18" s="68"/>
      <c r="X18" s="68"/>
      <c r="Y18" s="68"/>
      <c r="Z18" s="68"/>
    </row>
    <row r="19" spans="2:26" ht="10.199999999999999" customHeight="1">
      <c r="B19" s="56" t="str">
        <f>IF('Low Stress Type Gasket'!BE24="","",'Low Stress Type Gasket'!BE24)</f>
        <v/>
      </c>
      <c r="C19" s="58" t="str">
        <f t="shared" ca="1" si="0"/>
        <v/>
      </c>
      <c r="D19" s="58" t="str">
        <f t="shared" ca="1" si="0"/>
        <v/>
      </c>
      <c r="E19" s="58" t="str">
        <f t="shared" ca="1" si="0"/>
        <v/>
      </c>
      <c r="F19" s="58" t="str">
        <f t="shared" ca="1" si="0"/>
        <v/>
      </c>
      <c r="G19" s="58" t="str">
        <f t="shared" ca="1" si="0"/>
        <v/>
      </c>
      <c r="H19" s="58" t="str">
        <f t="shared" ca="1" si="0"/>
        <v/>
      </c>
      <c r="I19" s="58" t="str">
        <f t="shared" ca="1" si="0"/>
        <v/>
      </c>
      <c r="J19" s="58" t="str">
        <f t="shared" ca="1" si="0"/>
        <v/>
      </c>
      <c r="K19" s="58" t="str">
        <f t="shared" ca="1" si="0"/>
        <v/>
      </c>
      <c r="L19" s="58" t="str">
        <f t="shared" ca="1" si="0"/>
        <v/>
      </c>
      <c r="P19" s="252"/>
      <c r="Q19" s="252"/>
      <c r="R19" s="252"/>
      <c r="S19" s="252"/>
      <c r="T19" s="252"/>
      <c r="U19" s="252"/>
      <c r="V19" s="252"/>
      <c r="W19" s="252"/>
      <c r="X19" s="252"/>
      <c r="Y19" s="252"/>
      <c r="Z19" s="252"/>
    </row>
    <row r="20" spans="2:26" ht="10.199999999999999" customHeight="1">
      <c r="B20" s="56" t="str">
        <f>IF('Low Stress Type Gasket'!BE25="","",'Low Stress Type Gasket'!BE25)</f>
        <v/>
      </c>
      <c r="C20" s="58" t="str">
        <f t="shared" ca="1" si="0"/>
        <v/>
      </c>
      <c r="D20" s="58" t="str">
        <f t="shared" ca="1" si="0"/>
        <v/>
      </c>
      <c r="E20" s="58" t="str">
        <f t="shared" ca="1" si="0"/>
        <v/>
      </c>
      <c r="F20" s="58" t="str">
        <f t="shared" ca="1" si="0"/>
        <v/>
      </c>
      <c r="G20" s="58" t="str">
        <f t="shared" ca="1" si="0"/>
        <v/>
      </c>
      <c r="H20" s="58" t="str">
        <f t="shared" ca="1" si="0"/>
        <v/>
      </c>
      <c r="I20" s="58" t="str">
        <f t="shared" ca="1" si="0"/>
        <v/>
      </c>
      <c r="J20" s="58" t="str">
        <f t="shared" ca="1" si="0"/>
        <v/>
      </c>
      <c r="K20" s="58" t="str">
        <f t="shared" ca="1" si="0"/>
        <v/>
      </c>
      <c r="L20" s="58" t="str">
        <f t="shared" ca="1" si="0"/>
        <v/>
      </c>
      <c r="P20" s="252"/>
      <c r="Q20" s="252"/>
      <c r="R20" s="252"/>
      <c r="S20" s="252"/>
      <c r="T20" s="252"/>
      <c r="U20" s="252"/>
      <c r="V20" s="252"/>
      <c r="W20" s="252"/>
      <c r="X20" s="252"/>
      <c r="Y20" s="252"/>
      <c r="Z20" s="252"/>
    </row>
    <row r="21" spans="2:26" ht="10.199999999999999" customHeight="1">
      <c r="B21" s="56" t="str">
        <f>IF('Low Stress Type Gasket'!BE26="","",'Low Stress Type Gasket'!BE26)</f>
        <v/>
      </c>
      <c r="C21" s="58" t="str">
        <f t="shared" ca="1" si="0"/>
        <v/>
      </c>
      <c r="D21" s="58" t="str">
        <f t="shared" ca="1" si="0"/>
        <v/>
      </c>
      <c r="E21" s="58" t="str">
        <f t="shared" ca="1" si="0"/>
        <v/>
      </c>
      <c r="F21" s="58" t="str">
        <f t="shared" ca="1" si="0"/>
        <v/>
      </c>
      <c r="G21" s="58" t="str">
        <f t="shared" ca="1" si="0"/>
        <v/>
      </c>
      <c r="H21" s="58" t="str">
        <f t="shared" ca="1" si="0"/>
        <v/>
      </c>
      <c r="I21" s="58" t="str">
        <f t="shared" ca="1" si="0"/>
        <v/>
      </c>
      <c r="J21" s="58" t="str">
        <f t="shared" ca="1" si="0"/>
        <v/>
      </c>
      <c r="K21" s="58" t="str">
        <f t="shared" ca="1" si="0"/>
        <v/>
      </c>
      <c r="L21" s="58" t="str">
        <f t="shared" ca="1" si="0"/>
        <v/>
      </c>
      <c r="P21" s="68"/>
      <c r="Q21" s="68"/>
      <c r="R21" s="68"/>
      <c r="S21" s="68"/>
      <c r="T21" s="68"/>
      <c r="U21" s="68"/>
      <c r="V21" s="68"/>
      <c r="W21" s="68"/>
      <c r="X21" s="68"/>
      <c r="Y21" s="68"/>
      <c r="Z21" s="68"/>
    </row>
    <row r="22" spans="2:26" ht="10.199999999999999" customHeight="1">
      <c r="B22" s="56" t="str">
        <f>IF('Low Stress Type Gasket'!BE27="","",'Low Stress Type Gasket'!BE27)</f>
        <v/>
      </c>
      <c r="C22" s="58" t="str">
        <f t="shared" ref="C22:L37" ca="1" si="1">IF($M$4=0,"",VLOOKUP($B22,INDIRECT("$P$1:$Z$"&amp;$M$4),COLUMN()-1,0))</f>
        <v/>
      </c>
      <c r="D22" s="58" t="str">
        <f t="shared" ca="1" si="1"/>
        <v/>
      </c>
      <c r="E22" s="58" t="str">
        <f t="shared" ca="1" si="1"/>
        <v/>
      </c>
      <c r="F22" s="58" t="str">
        <f t="shared" ca="1" si="1"/>
        <v/>
      </c>
      <c r="G22" s="58" t="str">
        <f t="shared" ca="1" si="1"/>
        <v/>
      </c>
      <c r="H22" s="58" t="str">
        <f t="shared" ca="1" si="1"/>
        <v/>
      </c>
      <c r="I22" s="58" t="str">
        <f t="shared" ca="1" si="1"/>
        <v/>
      </c>
      <c r="J22" s="58" t="str">
        <f t="shared" ca="1" si="1"/>
        <v/>
      </c>
      <c r="K22" s="58" t="str">
        <f t="shared" ca="1" si="1"/>
        <v/>
      </c>
      <c r="L22" s="58" t="str">
        <f t="shared" ca="1" si="1"/>
        <v/>
      </c>
      <c r="P22" s="252"/>
      <c r="Q22" s="252"/>
      <c r="R22" s="252"/>
      <c r="S22" s="252"/>
      <c r="T22" s="252"/>
      <c r="U22" s="252"/>
      <c r="V22" s="252"/>
      <c r="W22" s="252"/>
      <c r="X22" s="252"/>
      <c r="Y22" s="252"/>
      <c r="Z22" s="252"/>
    </row>
    <row r="23" spans="2:26" ht="10.199999999999999" customHeight="1">
      <c r="B23" s="56" t="str">
        <f>IF('Low Stress Type Gasket'!BE28="","",'Low Stress Type Gasket'!BE28)</f>
        <v/>
      </c>
      <c r="C23" s="58" t="str">
        <f t="shared" ca="1" si="1"/>
        <v/>
      </c>
      <c r="D23" s="58" t="str">
        <f t="shared" ca="1" si="1"/>
        <v/>
      </c>
      <c r="E23" s="58" t="str">
        <f t="shared" ca="1" si="1"/>
        <v/>
      </c>
      <c r="F23" s="58" t="str">
        <f t="shared" ca="1" si="1"/>
        <v/>
      </c>
      <c r="G23" s="58" t="str">
        <f t="shared" ca="1" si="1"/>
        <v/>
      </c>
      <c r="H23" s="58" t="str">
        <f t="shared" ca="1" si="1"/>
        <v/>
      </c>
      <c r="I23" s="58" t="str">
        <f t="shared" ca="1" si="1"/>
        <v/>
      </c>
      <c r="J23" s="58" t="str">
        <f t="shared" ca="1" si="1"/>
        <v/>
      </c>
      <c r="K23" s="58" t="str">
        <f t="shared" ca="1" si="1"/>
        <v/>
      </c>
      <c r="L23" s="58" t="str">
        <f t="shared" ca="1" si="1"/>
        <v/>
      </c>
      <c r="P23" s="252"/>
      <c r="Q23" s="252"/>
      <c r="R23" s="252"/>
      <c r="S23" s="252"/>
      <c r="T23" s="252"/>
      <c r="U23" s="252"/>
      <c r="V23" s="252"/>
      <c r="W23" s="252"/>
      <c r="X23" s="252"/>
      <c r="Y23" s="252"/>
      <c r="Z23" s="252"/>
    </row>
    <row r="24" spans="2:26" ht="10.199999999999999" customHeight="1">
      <c r="B24" s="56" t="str">
        <f>IF('Low Stress Type Gasket'!BE29="","",'Low Stress Type Gasket'!BE29)</f>
        <v/>
      </c>
      <c r="C24" s="58" t="str">
        <f t="shared" ca="1" si="1"/>
        <v/>
      </c>
      <c r="D24" s="58" t="str">
        <f t="shared" ca="1" si="1"/>
        <v/>
      </c>
      <c r="E24" s="58" t="str">
        <f t="shared" ca="1" si="1"/>
        <v/>
      </c>
      <c r="F24" s="58" t="str">
        <f t="shared" ca="1" si="1"/>
        <v/>
      </c>
      <c r="G24" s="58" t="str">
        <f t="shared" ca="1" si="1"/>
        <v/>
      </c>
      <c r="H24" s="58" t="str">
        <f t="shared" ca="1" si="1"/>
        <v/>
      </c>
      <c r="I24" s="58" t="str">
        <f t="shared" ca="1" si="1"/>
        <v/>
      </c>
      <c r="J24" s="58" t="str">
        <f t="shared" ca="1" si="1"/>
        <v/>
      </c>
      <c r="K24" s="58" t="str">
        <f t="shared" ca="1" si="1"/>
        <v/>
      </c>
      <c r="L24" s="58" t="str">
        <f t="shared" ca="1" si="1"/>
        <v/>
      </c>
      <c r="P24" s="68"/>
      <c r="Q24" s="68"/>
      <c r="R24" s="68"/>
      <c r="S24" s="68"/>
      <c r="T24" s="68"/>
      <c r="U24" s="68"/>
      <c r="V24" s="68"/>
      <c r="W24" s="68"/>
      <c r="X24" s="68"/>
      <c r="Y24" s="68"/>
      <c r="Z24" s="68"/>
    </row>
    <row r="25" spans="2:26" ht="10.199999999999999" customHeight="1">
      <c r="B25" s="56" t="str">
        <f>IF('Low Stress Type Gasket'!BE30="","",'Low Stress Type Gasket'!BE30)</f>
        <v/>
      </c>
      <c r="C25" s="58" t="str">
        <f t="shared" ca="1" si="1"/>
        <v/>
      </c>
      <c r="D25" s="58" t="str">
        <f t="shared" ca="1" si="1"/>
        <v/>
      </c>
      <c r="E25" s="58" t="str">
        <f t="shared" ca="1" si="1"/>
        <v/>
      </c>
      <c r="F25" s="58" t="str">
        <f t="shared" ca="1" si="1"/>
        <v/>
      </c>
      <c r="G25" s="58" t="str">
        <f t="shared" ca="1" si="1"/>
        <v/>
      </c>
      <c r="H25" s="58" t="str">
        <f t="shared" ca="1" si="1"/>
        <v/>
      </c>
      <c r="I25" s="58" t="str">
        <f t="shared" ca="1" si="1"/>
        <v/>
      </c>
      <c r="J25" s="58" t="str">
        <f t="shared" ca="1" si="1"/>
        <v/>
      </c>
      <c r="K25" s="58" t="str">
        <f t="shared" ca="1" si="1"/>
        <v/>
      </c>
      <c r="L25" s="58" t="str">
        <f t="shared" ca="1" si="1"/>
        <v/>
      </c>
      <c r="P25" s="252"/>
      <c r="Q25" s="252"/>
      <c r="R25" s="252"/>
      <c r="S25" s="252"/>
      <c r="T25" s="252"/>
      <c r="U25" s="252"/>
      <c r="V25" s="252"/>
      <c r="W25" s="252"/>
      <c r="X25" s="252"/>
      <c r="Y25" s="252"/>
      <c r="Z25" s="252"/>
    </row>
    <row r="26" spans="2:26" ht="10.199999999999999" customHeight="1">
      <c r="B26" s="56" t="str">
        <f>IF('Low Stress Type Gasket'!BE31="","",'Low Stress Type Gasket'!BE31)</f>
        <v/>
      </c>
      <c r="C26" s="58" t="str">
        <f t="shared" ca="1" si="1"/>
        <v/>
      </c>
      <c r="D26" s="58" t="str">
        <f t="shared" ca="1" si="1"/>
        <v/>
      </c>
      <c r="E26" s="58" t="str">
        <f t="shared" ca="1" si="1"/>
        <v/>
      </c>
      <c r="F26" s="58" t="str">
        <f t="shared" ca="1" si="1"/>
        <v/>
      </c>
      <c r="G26" s="58" t="str">
        <f t="shared" ca="1" si="1"/>
        <v/>
      </c>
      <c r="H26" s="58" t="str">
        <f t="shared" ca="1" si="1"/>
        <v/>
      </c>
      <c r="I26" s="58" t="str">
        <f t="shared" ca="1" si="1"/>
        <v/>
      </c>
      <c r="J26" s="58" t="str">
        <f t="shared" ca="1" si="1"/>
        <v/>
      </c>
      <c r="K26" s="58" t="str">
        <f t="shared" ca="1" si="1"/>
        <v/>
      </c>
      <c r="L26" s="58" t="str">
        <f t="shared" ca="1" si="1"/>
        <v/>
      </c>
      <c r="P26" s="252"/>
      <c r="Q26" s="252"/>
      <c r="R26" s="252"/>
      <c r="S26" s="252"/>
      <c r="T26" s="252"/>
      <c r="U26" s="252"/>
      <c r="V26" s="252"/>
      <c r="W26" s="252"/>
      <c r="X26" s="252"/>
      <c r="Y26" s="252"/>
      <c r="Z26" s="252"/>
    </row>
    <row r="27" spans="2:26" ht="10.199999999999999" customHeight="1">
      <c r="B27" s="56" t="str">
        <f>IF('Low Stress Type Gasket'!BE32="","",'Low Stress Type Gasket'!BE32)</f>
        <v/>
      </c>
      <c r="C27" s="58" t="str">
        <f t="shared" ca="1" si="1"/>
        <v/>
      </c>
      <c r="D27" s="58" t="str">
        <f t="shared" ca="1" si="1"/>
        <v/>
      </c>
      <c r="E27" s="58" t="str">
        <f t="shared" ca="1" si="1"/>
        <v/>
      </c>
      <c r="F27" s="58" t="str">
        <f t="shared" ca="1" si="1"/>
        <v/>
      </c>
      <c r="G27" s="58" t="str">
        <f t="shared" ca="1" si="1"/>
        <v/>
      </c>
      <c r="H27" s="58" t="str">
        <f t="shared" ca="1" si="1"/>
        <v/>
      </c>
      <c r="I27" s="58" t="str">
        <f t="shared" ca="1" si="1"/>
        <v/>
      </c>
      <c r="J27" s="58" t="str">
        <f t="shared" ca="1" si="1"/>
        <v/>
      </c>
      <c r="K27" s="58" t="str">
        <f t="shared" ca="1" si="1"/>
        <v/>
      </c>
      <c r="L27" s="58" t="str">
        <f t="shared" ca="1" si="1"/>
        <v/>
      </c>
      <c r="P27" s="68"/>
      <c r="Q27" s="68"/>
      <c r="R27" s="68"/>
      <c r="S27" s="68"/>
      <c r="T27" s="68"/>
      <c r="U27" s="68"/>
      <c r="V27" s="68"/>
      <c r="W27" s="68"/>
      <c r="X27" s="68"/>
      <c r="Y27" s="68"/>
      <c r="Z27" s="68"/>
    </row>
    <row r="28" spans="2:26" ht="10.199999999999999" customHeight="1">
      <c r="B28" s="56" t="str">
        <f>IF('Low Stress Type Gasket'!BE33="","",'Low Stress Type Gasket'!BE33)</f>
        <v/>
      </c>
      <c r="C28" s="58" t="str">
        <f t="shared" ca="1" si="1"/>
        <v/>
      </c>
      <c r="D28" s="58" t="str">
        <f t="shared" ca="1" si="1"/>
        <v/>
      </c>
      <c r="E28" s="58" t="str">
        <f t="shared" ca="1" si="1"/>
        <v/>
      </c>
      <c r="F28" s="58" t="str">
        <f t="shared" ca="1" si="1"/>
        <v/>
      </c>
      <c r="G28" s="58" t="str">
        <f t="shared" ca="1" si="1"/>
        <v/>
      </c>
      <c r="H28" s="58" t="str">
        <f t="shared" ca="1" si="1"/>
        <v/>
      </c>
      <c r="I28" s="58" t="str">
        <f t="shared" ca="1" si="1"/>
        <v/>
      </c>
      <c r="J28" s="58" t="str">
        <f t="shared" ca="1" si="1"/>
        <v/>
      </c>
      <c r="K28" s="58" t="str">
        <f t="shared" ca="1" si="1"/>
        <v/>
      </c>
      <c r="L28" s="58" t="str">
        <f t="shared" ca="1" si="1"/>
        <v/>
      </c>
      <c r="P28" s="252"/>
      <c r="Q28" s="252"/>
      <c r="R28" s="252"/>
      <c r="S28" s="252"/>
      <c r="T28" s="252"/>
      <c r="U28" s="252"/>
      <c r="V28" s="252"/>
      <c r="W28" s="252"/>
      <c r="X28" s="252"/>
      <c r="Y28" s="252"/>
      <c r="Z28" s="252"/>
    </row>
    <row r="29" spans="2:26" ht="10.199999999999999" customHeight="1">
      <c r="B29" s="56" t="str">
        <f>IF('Low Stress Type Gasket'!BE34="","",'Low Stress Type Gasket'!BE34)</f>
        <v/>
      </c>
      <c r="C29" s="58" t="str">
        <f t="shared" ca="1" si="1"/>
        <v/>
      </c>
      <c r="D29" s="58" t="str">
        <f t="shared" ca="1" si="1"/>
        <v/>
      </c>
      <c r="E29" s="58" t="str">
        <f t="shared" ca="1" si="1"/>
        <v/>
      </c>
      <c r="F29" s="58" t="str">
        <f t="shared" ca="1" si="1"/>
        <v/>
      </c>
      <c r="G29" s="58" t="str">
        <f t="shared" ca="1" si="1"/>
        <v/>
      </c>
      <c r="H29" s="58" t="str">
        <f t="shared" ca="1" si="1"/>
        <v/>
      </c>
      <c r="I29" s="58" t="str">
        <f t="shared" ca="1" si="1"/>
        <v/>
      </c>
      <c r="J29" s="58" t="str">
        <f t="shared" ca="1" si="1"/>
        <v/>
      </c>
      <c r="K29" s="58" t="str">
        <f t="shared" ca="1" si="1"/>
        <v/>
      </c>
      <c r="L29" s="58" t="str">
        <f t="shared" ca="1" si="1"/>
        <v/>
      </c>
      <c r="P29" s="252"/>
      <c r="Q29" s="252"/>
      <c r="R29" s="252"/>
      <c r="S29" s="252"/>
      <c r="T29" s="252"/>
      <c r="U29" s="252"/>
      <c r="V29" s="252"/>
      <c r="W29" s="252"/>
      <c r="X29" s="252"/>
      <c r="Y29" s="252"/>
      <c r="Z29" s="252"/>
    </row>
    <row r="30" spans="2:26" ht="10.199999999999999" customHeight="1">
      <c r="B30" s="56" t="str">
        <f>IF('Low Stress Type Gasket'!BE35="","",'Low Stress Type Gasket'!BE35)</f>
        <v/>
      </c>
      <c r="C30" s="58" t="str">
        <f t="shared" ca="1" si="1"/>
        <v/>
      </c>
      <c r="D30" s="58" t="str">
        <f t="shared" ca="1" si="1"/>
        <v/>
      </c>
      <c r="E30" s="58" t="str">
        <f t="shared" ca="1" si="1"/>
        <v/>
      </c>
      <c r="F30" s="58" t="str">
        <f t="shared" ca="1" si="1"/>
        <v/>
      </c>
      <c r="G30" s="58" t="str">
        <f t="shared" ca="1" si="1"/>
        <v/>
      </c>
      <c r="H30" s="58" t="str">
        <f t="shared" ca="1" si="1"/>
        <v/>
      </c>
      <c r="I30" s="58" t="str">
        <f t="shared" ca="1" si="1"/>
        <v/>
      </c>
      <c r="J30" s="58" t="str">
        <f t="shared" ca="1" si="1"/>
        <v/>
      </c>
      <c r="K30" s="58" t="str">
        <f t="shared" ca="1" si="1"/>
        <v/>
      </c>
      <c r="L30" s="58" t="str">
        <f t="shared" ca="1" si="1"/>
        <v/>
      </c>
      <c r="P30" s="68"/>
      <c r="Q30" s="68"/>
      <c r="R30" s="68"/>
      <c r="S30" s="68"/>
      <c r="T30" s="68"/>
      <c r="U30" s="68"/>
      <c r="V30" s="68"/>
      <c r="W30" s="68"/>
      <c r="X30" s="68"/>
      <c r="Y30" s="68"/>
      <c r="Z30" s="68"/>
    </row>
    <row r="31" spans="2:26" ht="10.199999999999999" customHeight="1">
      <c r="B31" s="56" t="str">
        <f>IF('Low Stress Type Gasket'!BE36="","",'Low Stress Type Gasket'!BE36)</f>
        <v/>
      </c>
      <c r="C31" s="58" t="str">
        <f t="shared" ca="1" si="1"/>
        <v/>
      </c>
      <c r="D31" s="58" t="str">
        <f t="shared" ca="1" si="1"/>
        <v/>
      </c>
      <c r="E31" s="58" t="str">
        <f t="shared" ca="1" si="1"/>
        <v/>
      </c>
      <c r="F31" s="58" t="str">
        <f t="shared" ca="1" si="1"/>
        <v/>
      </c>
      <c r="G31" s="58" t="str">
        <f t="shared" ca="1" si="1"/>
        <v/>
      </c>
      <c r="H31" s="58" t="str">
        <f t="shared" ca="1" si="1"/>
        <v/>
      </c>
      <c r="I31" s="58" t="str">
        <f t="shared" ca="1" si="1"/>
        <v/>
      </c>
      <c r="J31" s="58" t="str">
        <f t="shared" ca="1" si="1"/>
        <v/>
      </c>
      <c r="K31" s="58" t="str">
        <f t="shared" ca="1" si="1"/>
        <v/>
      </c>
      <c r="L31" s="58" t="str">
        <f t="shared" ca="1" si="1"/>
        <v/>
      </c>
      <c r="P31" s="252"/>
      <c r="Q31" s="252"/>
      <c r="R31" s="252"/>
      <c r="S31" s="252"/>
      <c r="T31" s="252"/>
      <c r="U31" s="252"/>
      <c r="V31" s="252"/>
      <c r="W31" s="252"/>
      <c r="X31" s="252"/>
      <c r="Y31" s="252"/>
      <c r="Z31" s="252"/>
    </row>
    <row r="32" spans="2:26" ht="10.199999999999999" customHeight="1">
      <c r="B32" s="56" t="str">
        <f>IF('Low Stress Type Gasket'!BE37="","",'Low Stress Type Gasket'!BE37)</f>
        <v/>
      </c>
      <c r="C32" s="58" t="str">
        <f t="shared" ca="1" si="1"/>
        <v/>
      </c>
      <c r="D32" s="58" t="str">
        <f t="shared" ca="1" si="1"/>
        <v/>
      </c>
      <c r="E32" s="58" t="str">
        <f t="shared" ca="1" si="1"/>
        <v/>
      </c>
      <c r="F32" s="58" t="str">
        <f t="shared" ca="1" si="1"/>
        <v/>
      </c>
      <c r="G32" s="58" t="str">
        <f t="shared" ca="1" si="1"/>
        <v/>
      </c>
      <c r="H32" s="58" t="str">
        <f t="shared" ca="1" si="1"/>
        <v/>
      </c>
      <c r="I32" s="58" t="str">
        <f t="shared" ca="1" si="1"/>
        <v/>
      </c>
      <c r="J32" s="58" t="str">
        <f t="shared" ca="1" si="1"/>
        <v/>
      </c>
      <c r="K32" s="58" t="str">
        <f t="shared" ca="1" si="1"/>
        <v/>
      </c>
      <c r="L32" s="58" t="str">
        <f t="shared" ca="1" si="1"/>
        <v/>
      </c>
      <c r="P32" s="252"/>
      <c r="Q32" s="252"/>
      <c r="R32" s="252"/>
      <c r="S32" s="252"/>
      <c r="T32" s="252"/>
      <c r="U32" s="252"/>
      <c r="V32" s="252"/>
      <c r="W32" s="252"/>
      <c r="X32" s="252"/>
      <c r="Y32" s="252"/>
      <c r="Z32" s="252"/>
    </row>
    <row r="33" spans="2:26" ht="10.199999999999999" customHeight="1">
      <c r="B33" s="56" t="str">
        <f>IF('Low Stress Type Gasket'!BE38="","",'Low Stress Type Gasket'!BE38)</f>
        <v/>
      </c>
      <c r="C33" s="58" t="str">
        <f t="shared" ca="1" si="1"/>
        <v/>
      </c>
      <c r="D33" s="58" t="str">
        <f t="shared" ca="1" si="1"/>
        <v/>
      </c>
      <c r="E33" s="58" t="str">
        <f t="shared" ca="1" si="1"/>
        <v/>
      </c>
      <c r="F33" s="58" t="str">
        <f t="shared" ca="1" si="1"/>
        <v/>
      </c>
      <c r="G33" s="58" t="str">
        <f t="shared" ca="1" si="1"/>
        <v/>
      </c>
      <c r="H33" s="58" t="str">
        <f t="shared" ca="1" si="1"/>
        <v/>
      </c>
      <c r="I33" s="58" t="str">
        <f t="shared" ca="1" si="1"/>
        <v/>
      </c>
      <c r="J33" s="58" t="str">
        <f t="shared" ca="1" si="1"/>
        <v/>
      </c>
      <c r="K33" s="58" t="str">
        <f t="shared" ca="1" si="1"/>
        <v/>
      </c>
      <c r="L33" s="58" t="str">
        <f t="shared" ca="1" si="1"/>
        <v/>
      </c>
      <c r="P33" s="68"/>
      <c r="Q33" s="68"/>
      <c r="R33" s="68"/>
      <c r="S33" s="68"/>
      <c r="T33" s="68"/>
      <c r="U33" s="68"/>
      <c r="V33" s="68"/>
      <c r="W33" s="68"/>
      <c r="X33" s="68"/>
      <c r="Y33" s="68"/>
      <c r="Z33" s="68"/>
    </row>
    <row r="34" spans="2:26" ht="10.199999999999999" customHeight="1">
      <c r="B34" s="56" t="str">
        <f>IF('Low Stress Type Gasket'!BE39="","",'Low Stress Type Gasket'!BE39)</f>
        <v/>
      </c>
      <c r="C34" s="58" t="str">
        <f t="shared" ca="1" si="1"/>
        <v/>
      </c>
      <c r="D34" s="58" t="str">
        <f t="shared" ca="1" si="1"/>
        <v/>
      </c>
      <c r="E34" s="58" t="str">
        <f t="shared" ca="1" si="1"/>
        <v/>
      </c>
      <c r="F34" s="58" t="str">
        <f t="shared" ca="1" si="1"/>
        <v/>
      </c>
      <c r="G34" s="58" t="str">
        <f t="shared" ca="1" si="1"/>
        <v/>
      </c>
      <c r="H34" s="58" t="str">
        <f t="shared" ca="1" si="1"/>
        <v/>
      </c>
      <c r="I34" s="58" t="str">
        <f t="shared" ca="1" si="1"/>
        <v/>
      </c>
      <c r="J34" s="58" t="str">
        <f t="shared" ca="1" si="1"/>
        <v/>
      </c>
      <c r="K34" s="58" t="str">
        <f t="shared" ca="1" si="1"/>
        <v/>
      </c>
      <c r="L34" s="58" t="str">
        <f t="shared" ca="1" si="1"/>
        <v/>
      </c>
      <c r="P34" s="252"/>
      <c r="Q34" s="252"/>
      <c r="R34" s="252"/>
      <c r="S34" s="252"/>
      <c r="T34" s="252"/>
      <c r="U34" s="252"/>
      <c r="V34" s="252"/>
      <c r="W34" s="252"/>
      <c r="X34" s="252"/>
      <c r="Y34" s="252"/>
      <c r="Z34" s="252"/>
    </row>
    <row r="35" spans="2:26" ht="10.199999999999999" customHeight="1">
      <c r="B35" s="56" t="str">
        <f>IF('Low Stress Type Gasket'!BE40="","",'Low Stress Type Gasket'!BE40)</f>
        <v/>
      </c>
      <c r="C35" s="58" t="str">
        <f t="shared" ca="1" si="1"/>
        <v/>
      </c>
      <c r="D35" s="58" t="str">
        <f t="shared" ca="1" si="1"/>
        <v/>
      </c>
      <c r="E35" s="58" t="str">
        <f t="shared" ca="1" si="1"/>
        <v/>
      </c>
      <c r="F35" s="58" t="str">
        <f t="shared" ca="1" si="1"/>
        <v/>
      </c>
      <c r="G35" s="58" t="str">
        <f t="shared" ca="1" si="1"/>
        <v/>
      </c>
      <c r="H35" s="58" t="str">
        <f t="shared" ca="1" si="1"/>
        <v/>
      </c>
      <c r="I35" s="58" t="str">
        <f t="shared" ca="1" si="1"/>
        <v/>
      </c>
      <c r="J35" s="58" t="str">
        <f t="shared" ca="1" si="1"/>
        <v/>
      </c>
      <c r="K35" s="58" t="str">
        <f t="shared" ca="1" si="1"/>
        <v/>
      </c>
      <c r="L35" s="58" t="str">
        <f t="shared" ca="1" si="1"/>
        <v/>
      </c>
      <c r="P35" s="252"/>
      <c r="Q35" s="252"/>
      <c r="R35" s="252"/>
      <c r="S35" s="252"/>
      <c r="T35" s="252"/>
      <c r="U35" s="252"/>
      <c r="V35" s="252"/>
      <c r="W35" s="252"/>
      <c r="X35" s="252"/>
      <c r="Y35" s="252"/>
      <c r="Z35" s="252"/>
    </row>
    <row r="36" spans="2:26" ht="10.199999999999999" customHeight="1">
      <c r="B36" s="56" t="str">
        <f>IF('Low Stress Type Gasket'!BE41="","",'Low Stress Type Gasket'!BE41)</f>
        <v/>
      </c>
      <c r="C36" s="58" t="str">
        <f t="shared" ca="1" si="1"/>
        <v/>
      </c>
      <c r="D36" s="58" t="str">
        <f t="shared" ca="1" si="1"/>
        <v/>
      </c>
      <c r="E36" s="58" t="str">
        <f t="shared" ca="1" si="1"/>
        <v/>
      </c>
      <c r="F36" s="58" t="str">
        <f t="shared" ca="1" si="1"/>
        <v/>
      </c>
      <c r="G36" s="58" t="str">
        <f t="shared" ca="1" si="1"/>
        <v/>
      </c>
      <c r="H36" s="58" t="str">
        <f t="shared" ca="1" si="1"/>
        <v/>
      </c>
      <c r="I36" s="58" t="str">
        <f t="shared" ca="1" si="1"/>
        <v/>
      </c>
      <c r="J36" s="58" t="str">
        <f t="shared" ca="1" si="1"/>
        <v/>
      </c>
      <c r="K36" s="58" t="str">
        <f t="shared" ca="1" si="1"/>
        <v/>
      </c>
      <c r="L36" s="58" t="str">
        <f t="shared" ca="1" si="1"/>
        <v/>
      </c>
      <c r="P36" s="68"/>
      <c r="Q36" s="68"/>
      <c r="R36" s="68"/>
      <c r="S36" s="68"/>
      <c r="T36" s="68"/>
      <c r="U36" s="68"/>
      <c r="V36" s="68"/>
      <c r="W36" s="68"/>
      <c r="X36" s="68"/>
      <c r="Y36" s="68"/>
      <c r="Z36" s="68"/>
    </row>
    <row r="37" spans="2:26" ht="10.199999999999999" customHeight="1">
      <c r="B37" s="56" t="str">
        <f>IF('Low Stress Type Gasket'!BE42="","",'Low Stress Type Gasket'!BE42)</f>
        <v/>
      </c>
      <c r="C37" s="58" t="str">
        <f t="shared" ca="1" si="1"/>
        <v/>
      </c>
      <c r="D37" s="58" t="str">
        <f t="shared" ca="1" si="1"/>
        <v/>
      </c>
      <c r="E37" s="58" t="str">
        <f t="shared" ca="1" si="1"/>
        <v/>
      </c>
      <c r="F37" s="58" t="str">
        <f t="shared" ca="1" si="1"/>
        <v/>
      </c>
      <c r="G37" s="58" t="str">
        <f t="shared" ca="1" si="1"/>
        <v/>
      </c>
      <c r="H37" s="58" t="str">
        <f t="shared" ca="1" si="1"/>
        <v/>
      </c>
      <c r="I37" s="58" t="str">
        <f t="shared" ca="1" si="1"/>
        <v/>
      </c>
      <c r="J37" s="58" t="str">
        <f t="shared" ca="1" si="1"/>
        <v/>
      </c>
      <c r="K37" s="58" t="str">
        <f t="shared" ca="1" si="1"/>
        <v/>
      </c>
      <c r="L37" s="58" t="str">
        <f t="shared" ca="1" si="1"/>
        <v/>
      </c>
      <c r="P37" s="252"/>
      <c r="Q37" s="252"/>
      <c r="R37" s="252"/>
      <c r="S37" s="252"/>
      <c r="T37" s="252"/>
      <c r="U37" s="252"/>
      <c r="V37" s="252"/>
      <c r="W37" s="252"/>
      <c r="X37" s="252"/>
      <c r="Y37" s="252"/>
      <c r="Z37" s="252"/>
    </row>
    <row r="38" spans="2:26" ht="10.199999999999999" customHeight="1">
      <c r="B38" s="56" t="str">
        <f>IF('Low Stress Type Gasket'!BE43="","",'Low Stress Type Gasket'!BE43)</f>
        <v/>
      </c>
      <c r="C38" s="58" t="str">
        <f t="shared" ref="C38:L53" ca="1" si="2">IF($M$4=0,"",VLOOKUP($B38,INDIRECT("$P$1:$Z$"&amp;$M$4),COLUMN()-1,0))</f>
        <v/>
      </c>
      <c r="D38" s="58" t="str">
        <f t="shared" ca="1" si="2"/>
        <v/>
      </c>
      <c r="E38" s="58" t="str">
        <f t="shared" ca="1" si="2"/>
        <v/>
      </c>
      <c r="F38" s="58" t="str">
        <f t="shared" ca="1" si="2"/>
        <v/>
      </c>
      <c r="G38" s="58" t="str">
        <f t="shared" ca="1" si="2"/>
        <v/>
      </c>
      <c r="H38" s="58" t="str">
        <f t="shared" ca="1" si="2"/>
        <v/>
      </c>
      <c r="I38" s="58" t="str">
        <f t="shared" ca="1" si="2"/>
        <v/>
      </c>
      <c r="J38" s="58" t="str">
        <f t="shared" ca="1" si="2"/>
        <v/>
      </c>
      <c r="K38" s="58" t="str">
        <f t="shared" ca="1" si="2"/>
        <v/>
      </c>
      <c r="L38" s="58" t="str">
        <f t="shared" ca="1" si="2"/>
        <v/>
      </c>
      <c r="P38" s="252"/>
      <c r="Q38" s="252"/>
      <c r="R38" s="252"/>
      <c r="S38" s="252"/>
      <c r="T38" s="252"/>
      <c r="U38" s="252"/>
      <c r="V38" s="252"/>
      <c r="W38" s="252"/>
      <c r="X38" s="252"/>
      <c r="Y38" s="252"/>
      <c r="Z38" s="252"/>
    </row>
    <row r="39" spans="2:26" ht="10.199999999999999" customHeight="1">
      <c r="B39" s="56" t="str">
        <f>IF('Low Stress Type Gasket'!BE44="","",'Low Stress Type Gasket'!BE44)</f>
        <v/>
      </c>
      <c r="C39" s="58" t="str">
        <f t="shared" ca="1" si="2"/>
        <v/>
      </c>
      <c r="D39" s="58" t="str">
        <f t="shared" ca="1" si="2"/>
        <v/>
      </c>
      <c r="E39" s="58" t="str">
        <f t="shared" ca="1" si="2"/>
        <v/>
      </c>
      <c r="F39" s="58" t="str">
        <f t="shared" ca="1" si="2"/>
        <v/>
      </c>
      <c r="G39" s="58" t="str">
        <f t="shared" ca="1" si="2"/>
        <v/>
      </c>
      <c r="H39" s="58" t="str">
        <f t="shared" ca="1" si="2"/>
        <v/>
      </c>
      <c r="I39" s="58" t="str">
        <f t="shared" ca="1" si="2"/>
        <v/>
      </c>
      <c r="J39" s="58" t="str">
        <f t="shared" ca="1" si="2"/>
        <v/>
      </c>
      <c r="K39" s="58" t="str">
        <f t="shared" ca="1" si="2"/>
        <v/>
      </c>
      <c r="L39" s="58" t="str">
        <f t="shared" ca="1" si="2"/>
        <v/>
      </c>
      <c r="P39" s="68"/>
      <c r="Q39" s="68"/>
      <c r="R39" s="68"/>
      <c r="S39" s="68"/>
      <c r="T39" s="68"/>
      <c r="U39" s="68"/>
      <c r="V39" s="68"/>
      <c r="W39" s="68"/>
      <c r="X39" s="68"/>
      <c r="Y39" s="68"/>
      <c r="Z39" s="68"/>
    </row>
    <row r="40" spans="2:26" ht="10.199999999999999" customHeight="1">
      <c r="B40" s="56" t="str">
        <f>IF('Low Stress Type Gasket'!BE45="","",'Low Stress Type Gasket'!BE45)</f>
        <v/>
      </c>
      <c r="C40" s="58" t="str">
        <f t="shared" ca="1" si="2"/>
        <v/>
      </c>
      <c r="D40" s="58" t="str">
        <f t="shared" ca="1" si="2"/>
        <v/>
      </c>
      <c r="E40" s="58" t="str">
        <f t="shared" ca="1" si="2"/>
        <v/>
      </c>
      <c r="F40" s="58" t="str">
        <f t="shared" ca="1" si="2"/>
        <v/>
      </c>
      <c r="G40" s="58" t="str">
        <f t="shared" ca="1" si="2"/>
        <v/>
      </c>
      <c r="H40" s="58" t="str">
        <f t="shared" ca="1" si="2"/>
        <v/>
      </c>
      <c r="I40" s="58" t="str">
        <f t="shared" ca="1" si="2"/>
        <v/>
      </c>
      <c r="J40" s="58" t="str">
        <f t="shared" ca="1" si="2"/>
        <v/>
      </c>
      <c r="K40" s="58" t="str">
        <f t="shared" ca="1" si="2"/>
        <v/>
      </c>
      <c r="L40" s="58" t="str">
        <f t="shared" ca="1" si="2"/>
        <v/>
      </c>
      <c r="P40" s="252"/>
      <c r="Q40" s="252"/>
      <c r="R40" s="252"/>
      <c r="S40" s="252"/>
      <c r="T40" s="252"/>
      <c r="U40" s="252"/>
      <c r="V40" s="252"/>
      <c r="W40" s="252"/>
      <c r="X40" s="252"/>
      <c r="Y40" s="252"/>
      <c r="Z40" s="252"/>
    </row>
    <row r="41" spans="2:26" ht="10.199999999999999" customHeight="1">
      <c r="B41" s="56" t="str">
        <f>IF('Low Stress Type Gasket'!BE46="","",'Low Stress Type Gasket'!BE46)</f>
        <v/>
      </c>
      <c r="C41" s="58" t="str">
        <f t="shared" ca="1" si="2"/>
        <v/>
      </c>
      <c r="D41" s="58" t="str">
        <f t="shared" ca="1" si="2"/>
        <v/>
      </c>
      <c r="E41" s="58" t="str">
        <f t="shared" ca="1" si="2"/>
        <v/>
      </c>
      <c r="F41" s="58" t="str">
        <f t="shared" ca="1" si="2"/>
        <v/>
      </c>
      <c r="G41" s="58" t="str">
        <f t="shared" ca="1" si="2"/>
        <v/>
      </c>
      <c r="H41" s="58" t="str">
        <f t="shared" ca="1" si="2"/>
        <v/>
      </c>
      <c r="I41" s="58" t="str">
        <f t="shared" ca="1" si="2"/>
        <v/>
      </c>
      <c r="J41" s="58" t="str">
        <f t="shared" ca="1" si="2"/>
        <v/>
      </c>
      <c r="K41" s="58" t="str">
        <f t="shared" ca="1" si="2"/>
        <v/>
      </c>
      <c r="L41" s="58" t="str">
        <f t="shared" ca="1" si="2"/>
        <v/>
      </c>
      <c r="P41" s="252"/>
      <c r="Q41" s="252"/>
      <c r="R41" s="252"/>
      <c r="S41" s="252"/>
      <c r="T41" s="252"/>
      <c r="U41" s="252"/>
      <c r="V41" s="252"/>
      <c r="W41" s="252"/>
      <c r="X41" s="252"/>
      <c r="Y41" s="252"/>
      <c r="Z41" s="252"/>
    </row>
    <row r="42" spans="2:26" ht="10.199999999999999" customHeight="1">
      <c r="B42" s="56" t="str">
        <f>IF('Low Stress Type Gasket'!BE47="","",'Low Stress Type Gasket'!BE47)</f>
        <v/>
      </c>
      <c r="C42" s="58" t="str">
        <f t="shared" ca="1" si="2"/>
        <v/>
      </c>
      <c r="D42" s="58" t="str">
        <f t="shared" ca="1" si="2"/>
        <v/>
      </c>
      <c r="E42" s="58" t="str">
        <f t="shared" ca="1" si="2"/>
        <v/>
      </c>
      <c r="F42" s="58" t="str">
        <f t="shared" ca="1" si="2"/>
        <v/>
      </c>
      <c r="G42" s="58" t="str">
        <f t="shared" ca="1" si="2"/>
        <v/>
      </c>
      <c r="H42" s="58" t="str">
        <f t="shared" ca="1" si="2"/>
        <v/>
      </c>
      <c r="I42" s="58" t="str">
        <f t="shared" ca="1" si="2"/>
        <v/>
      </c>
      <c r="J42" s="58" t="str">
        <f t="shared" ca="1" si="2"/>
        <v/>
      </c>
      <c r="K42" s="58" t="str">
        <f t="shared" ca="1" si="2"/>
        <v/>
      </c>
      <c r="L42" s="58" t="str">
        <f t="shared" ca="1" si="2"/>
        <v/>
      </c>
      <c r="P42" s="68"/>
      <c r="Q42" s="68"/>
      <c r="R42" s="68"/>
      <c r="S42" s="68"/>
      <c r="T42" s="68"/>
      <c r="U42" s="68"/>
      <c r="V42" s="68"/>
      <c r="W42" s="68"/>
      <c r="X42" s="68"/>
      <c r="Y42" s="68"/>
      <c r="Z42" s="68"/>
    </row>
    <row r="43" spans="2:26" ht="10.199999999999999" customHeight="1">
      <c r="B43" s="56" t="str">
        <f>IF('Low Stress Type Gasket'!BE48="","",'Low Stress Type Gasket'!BE48)</f>
        <v/>
      </c>
      <c r="C43" s="58" t="str">
        <f t="shared" ca="1" si="2"/>
        <v/>
      </c>
      <c r="D43" s="58" t="str">
        <f t="shared" ca="1" si="2"/>
        <v/>
      </c>
      <c r="E43" s="58" t="str">
        <f t="shared" ca="1" si="2"/>
        <v/>
      </c>
      <c r="F43" s="58" t="str">
        <f t="shared" ca="1" si="2"/>
        <v/>
      </c>
      <c r="G43" s="58" t="str">
        <f t="shared" ca="1" si="2"/>
        <v/>
      </c>
      <c r="H43" s="58" t="str">
        <f t="shared" ca="1" si="2"/>
        <v/>
      </c>
      <c r="I43" s="58" t="str">
        <f t="shared" ca="1" si="2"/>
        <v/>
      </c>
      <c r="J43" s="58" t="str">
        <f t="shared" ca="1" si="2"/>
        <v/>
      </c>
      <c r="K43" s="58" t="str">
        <f t="shared" ca="1" si="2"/>
        <v/>
      </c>
      <c r="L43" s="58" t="str">
        <f t="shared" ca="1" si="2"/>
        <v/>
      </c>
      <c r="P43" s="252"/>
      <c r="Q43" s="252"/>
      <c r="R43" s="252"/>
      <c r="S43" s="252"/>
      <c r="T43" s="252"/>
      <c r="U43" s="252"/>
      <c r="V43" s="252"/>
      <c r="W43" s="252"/>
      <c r="X43" s="252"/>
      <c r="Y43" s="252"/>
      <c r="Z43" s="252"/>
    </row>
    <row r="44" spans="2:26" ht="10.199999999999999" customHeight="1">
      <c r="B44" s="56" t="str">
        <f>IF('Low Stress Type Gasket'!BE49="","",'Low Stress Type Gasket'!BE49)</f>
        <v/>
      </c>
      <c r="C44" s="58" t="str">
        <f t="shared" ca="1" si="2"/>
        <v/>
      </c>
      <c r="D44" s="58" t="str">
        <f t="shared" ca="1" si="2"/>
        <v/>
      </c>
      <c r="E44" s="58" t="str">
        <f t="shared" ca="1" si="2"/>
        <v/>
      </c>
      <c r="F44" s="58" t="str">
        <f t="shared" ca="1" si="2"/>
        <v/>
      </c>
      <c r="G44" s="58" t="str">
        <f t="shared" ca="1" si="2"/>
        <v/>
      </c>
      <c r="H44" s="58" t="str">
        <f t="shared" ca="1" si="2"/>
        <v/>
      </c>
      <c r="I44" s="58" t="str">
        <f t="shared" ca="1" si="2"/>
        <v/>
      </c>
      <c r="J44" s="58" t="str">
        <f t="shared" ca="1" si="2"/>
        <v/>
      </c>
      <c r="K44" s="58" t="str">
        <f t="shared" ca="1" si="2"/>
        <v/>
      </c>
      <c r="L44" s="58" t="str">
        <f t="shared" ca="1" si="2"/>
        <v/>
      </c>
      <c r="P44" s="252"/>
      <c r="Q44" s="252"/>
      <c r="R44" s="252"/>
      <c r="S44" s="252"/>
      <c r="T44" s="252"/>
      <c r="U44" s="252"/>
      <c r="V44" s="252"/>
      <c r="W44" s="252"/>
      <c r="X44" s="252"/>
      <c r="Y44" s="252"/>
      <c r="Z44" s="252"/>
    </row>
    <row r="45" spans="2:26" ht="10.199999999999999" customHeight="1">
      <c r="B45" s="56" t="str">
        <f>IF('Low Stress Type Gasket'!BE50="","",'Low Stress Type Gasket'!BE50)</f>
        <v/>
      </c>
      <c r="C45" s="58" t="str">
        <f t="shared" ca="1" si="2"/>
        <v/>
      </c>
      <c r="D45" s="58" t="str">
        <f t="shared" ca="1" si="2"/>
        <v/>
      </c>
      <c r="E45" s="58" t="str">
        <f t="shared" ca="1" si="2"/>
        <v/>
      </c>
      <c r="F45" s="58" t="str">
        <f t="shared" ca="1" si="2"/>
        <v/>
      </c>
      <c r="G45" s="58" t="str">
        <f t="shared" ca="1" si="2"/>
        <v/>
      </c>
      <c r="H45" s="58" t="str">
        <f t="shared" ca="1" si="2"/>
        <v/>
      </c>
      <c r="I45" s="58" t="str">
        <f t="shared" ca="1" si="2"/>
        <v/>
      </c>
      <c r="J45" s="58" t="str">
        <f t="shared" ca="1" si="2"/>
        <v/>
      </c>
      <c r="K45" s="58" t="str">
        <f t="shared" ca="1" si="2"/>
        <v/>
      </c>
      <c r="L45" s="58" t="str">
        <f t="shared" ca="1" si="2"/>
        <v/>
      </c>
      <c r="P45" s="68"/>
      <c r="Q45" s="68"/>
      <c r="R45" s="68"/>
      <c r="S45" s="68"/>
      <c r="T45" s="68"/>
      <c r="U45" s="68"/>
      <c r="V45" s="68"/>
      <c r="W45" s="68"/>
      <c r="X45" s="68"/>
      <c r="Y45" s="68"/>
      <c r="Z45" s="68"/>
    </row>
    <row r="46" spans="2:26" ht="10.199999999999999" customHeight="1">
      <c r="B46" s="56" t="str">
        <f>IF('Low Stress Type Gasket'!BE51="","",'Low Stress Type Gasket'!BE51)</f>
        <v/>
      </c>
      <c r="C46" s="58" t="str">
        <f t="shared" ca="1" si="2"/>
        <v/>
      </c>
      <c r="D46" s="58" t="str">
        <f t="shared" ca="1" si="2"/>
        <v/>
      </c>
      <c r="E46" s="58" t="str">
        <f t="shared" ca="1" si="2"/>
        <v/>
      </c>
      <c r="F46" s="58" t="str">
        <f t="shared" ca="1" si="2"/>
        <v/>
      </c>
      <c r="G46" s="58" t="str">
        <f t="shared" ca="1" si="2"/>
        <v/>
      </c>
      <c r="H46" s="58" t="str">
        <f t="shared" ca="1" si="2"/>
        <v/>
      </c>
      <c r="I46" s="58" t="str">
        <f t="shared" ca="1" si="2"/>
        <v/>
      </c>
      <c r="J46" s="58" t="str">
        <f t="shared" ca="1" si="2"/>
        <v/>
      </c>
      <c r="K46" s="58" t="str">
        <f t="shared" ca="1" si="2"/>
        <v/>
      </c>
      <c r="L46" s="58" t="str">
        <f t="shared" ca="1" si="2"/>
        <v/>
      </c>
      <c r="P46" s="252"/>
      <c r="Q46" s="252"/>
      <c r="R46" s="252"/>
      <c r="S46" s="252"/>
      <c r="T46" s="252"/>
      <c r="U46" s="252"/>
      <c r="V46" s="252"/>
      <c r="W46" s="252"/>
      <c r="X46" s="252"/>
      <c r="Y46" s="252"/>
      <c r="Z46" s="252"/>
    </row>
    <row r="47" spans="2:26" ht="10.199999999999999" customHeight="1">
      <c r="B47" s="56" t="str">
        <f>IF('Low Stress Type Gasket'!BE52="","",'Low Stress Type Gasket'!BE52)</f>
        <v/>
      </c>
      <c r="C47" s="58" t="str">
        <f t="shared" ca="1" si="2"/>
        <v/>
      </c>
      <c r="D47" s="58" t="str">
        <f t="shared" ca="1" si="2"/>
        <v/>
      </c>
      <c r="E47" s="58" t="str">
        <f t="shared" ca="1" si="2"/>
        <v/>
      </c>
      <c r="F47" s="58" t="str">
        <f t="shared" ca="1" si="2"/>
        <v/>
      </c>
      <c r="G47" s="58" t="str">
        <f t="shared" ca="1" si="2"/>
        <v/>
      </c>
      <c r="H47" s="58" t="str">
        <f t="shared" ca="1" si="2"/>
        <v/>
      </c>
      <c r="I47" s="58" t="str">
        <f t="shared" ca="1" si="2"/>
        <v/>
      </c>
      <c r="J47" s="58" t="str">
        <f t="shared" ca="1" si="2"/>
        <v/>
      </c>
      <c r="K47" s="58" t="str">
        <f t="shared" ca="1" si="2"/>
        <v/>
      </c>
      <c r="L47" s="58" t="str">
        <f t="shared" ca="1" si="2"/>
        <v/>
      </c>
      <c r="P47" s="252"/>
      <c r="Q47" s="252"/>
      <c r="R47" s="252"/>
      <c r="S47" s="252"/>
      <c r="T47" s="252"/>
      <c r="U47" s="252"/>
      <c r="V47" s="252"/>
      <c r="W47" s="252"/>
      <c r="X47" s="252"/>
      <c r="Y47" s="252"/>
      <c r="Z47" s="252"/>
    </row>
    <row r="48" spans="2:26" ht="10.199999999999999" customHeight="1">
      <c r="B48" s="56" t="str">
        <f>IF('Low Stress Type Gasket'!BE53="","",'Low Stress Type Gasket'!BE53)</f>
        <v/>
      </c>
      <c r="C48" s="58" t="str">
        <f t="shared" ca="1" si="2"/>
        <v/>
      </c>
      <c r="D48" s="58" t="str">
        <f t="shared" ca="1" si="2"/>
        <v/>
      </c>
      <c r="E48" s="58" t="str">
        <f t="shared" ca="1" si="2"/>
        <v/>
      </c>
      <c r="F48" s="58" t="str">
        <f t="shared" ca="1" si="2"/>
        <v/>
      </c>
      <c r="G48" s="58" t="str">
        <f t="shared" ca="1" si="2"/>
        <v/>
      </c>
      <c r="H48" s="58" t="str">
        <f t="shared" ca="1" si="2"/>
        <v/>
      </c>
      <c r="I48" s="58" t="str">
        <f t="shared" ca="1" si="2"/>
        <v/>
      </c>
      <c r="J48" s="58" t="str">
        <f t="shared" ca="1" si="2"/>
        <v/>
      </c>
      <c r="K48" s="58" t="str">
        <f t="shared" ca="1" si="2"/>
        <v/>
      </c>
      <c r="L48" s="58" t="str">
        <f t="shared" ca="1" si="2"/>
        <v/>
      </c>
      <c r="P48" s="68"/>
      <c r="Q48" s="68"/>
      <c r="R48" s="68"/>
      <c r="S48" s="68"/>
      <c r="T48" s="68"/>
      <c r="U48" s="68"/>
      <c r="V48" s="68"/>
      <c r="W48" s="68"/>
      <c r="X48" s="68"/>
      <c r="Y48" s="68"/>
      <c r="Z48" s="68"/>
    </row>
    <row r="49" spans="2:26" ht="10.199999999999999" customHeight="1">
      <c r="B49" s="56" t="str">
        <f>IF('Low Stress Type Gasket'!BE54="","",'Low Stress Type Gasket'!BE54)</f>
        <v/>
      </c>
      <c r="C49" s="58" t="str">
        <f t="shared" ca="1" si="2"/>
        <v/>
      </c>
      <c r="D49" s="58" t="str">
        <f t="shared" ca="1" si="2"/>
        <v/>
      </c>
      <c r="E49" s="58" t="str">
        <f t="shared" ca="1" si="2"/>
        <v/>
      </c>
      <c r="F49" s="58" t="str">
        <f t="shared" ca="1" si="2"/>
        <v/>
      </c>
      <c r="G49" s="58" t="str">
        <f t="shared" ca="1" si="2"/>
        <v/>
      </c>
      <c r="H49" s="58" t="str">
        <f t="shared" ca="1" si="2"/>
        <v/>
      </c>
      <c r="I49" s="58" t="str">
        <f t="shared" ca="1" si="2"/>
        <v/>
      </c>
      <c r="J49" s="58" t="str">
        <f t="shared" ca="1" si="2"/>
        <v/>
      </c>
      <c r="K49" s="58" t="str">
        <f t="shared" ca="1" si="2"/>
        <v/>
      </c>
      <c r="L49" s="58" t="str">
        <f t="shared" ca="1" si="2"/>
        <v/>
      </c>
      <c r="P49" s="252"/>
      <c r="Q49" s="252"/>
      <c r="R49" s="252"/>
      <c r="S49" s="252"/>
      <c r="T49" s="252"/>
      <c r="U49" s="252"/>
      <c r="V49" s="252"/>
      <c r="W49" s="252"/>
      <c r="X49" s="252"/>
      <c r="Y49" s="252"/>
      <c r="Z49" s="252"/>
    </row>
    <row r="50" spans="2:26" ht="10.199999999999999" customHeight="1">
      <c r="B50" s="56" t="str">
        <f>IF('Low Stress Type Gasket'!BE55="","",'Low Stress Type Gasket'!BE55)</f>
        <v/>
      </c>
      <c r="C50" s="58" t="str">
        <f t="shared" ca="1" si="2"/>
        <v/>
      </c>
      <c r="D50" s="58" t="str">
        <f t="shared" ca="1" si="2"/>
        <v/>
      </c>
      <c r="E50" s="58" t="str">
        <f t="shared" ca="1" si="2"/>
        <v/>
      </c>
      <c r="F50" s="58" t="str">
        <f t="shared" ca="1" si="2"/>
        <v/>
      </c>
      <c r="G50" s="58" t="str">
        <f t="shared" ca="1" si="2"/>
        <v/>
      </c>
      <c r="H50" s="58" t="str">
        <f t="shared" ca="1" si="2"/>
        <v/>
      </c>
      <c r="I50" s="58" t="str">
        <f t="shared" ca="1" si="2"/>
        <v/>
      </c>
      <c r="J50" s="58" t="str">
        <f t="shared" ca="1" si="2"/>
        <v/>
      </c>
      <c r="K50" s="58" t="str">
        <f t="shared" ca="1" si="2"/>
        <v/>
      </c>
      <c r="L50" s="58" t="str">
        <f t="shared" ca="1" si="2"/>
        <v/>
      </c>
      <c r="P50" s="252"/>
      <c r="Q50" s="252"/>
      <c r="R50" s="252"/>
      <c r="S50" s="252"/>
      <c r="T50" s="252"/>
      <c r="U50" s="252"/>
      <c r="V50" s="252"/>
      <c r="W50" s="252"/>
      <c r="X50" s="252"/>
      <c r="Y50" s="252"/>
      <c r="Z50" s="252"/>
    </row>
    <row r="51" spans="2:26" ht="10.199999999999999" customHeight="1">
      <c r="B51" s="56" t="str">
        <f>IF('Low Stress Type Gasket'!BE56="","",'Low Stress Type Gasket'!BE56)</f>
        <v/>
      </c>
      <c r="C51" s="58" t="str">
        <f t="shared" ca="1" si="2"/>
        <v/>
      </c>
      <c r="D51" s="58" t="str">
        <f t="shared" ca="1" si="2"/>
        <v/>
      </c>
      <c r="E51" s="58" t="str">
        <f t="shared" ca="1" si="2"/>
        <v/>
      </c>
      <c r="F51" s="58" t="str">
        <f t="shared" ca="1" si="2"/>
        <v/>
      </c>
      <c r="G51" s="58" t="str">
        <f t="shared" ca="1" si="2"/>
        <v/>
      </c>
      <c r="H51" s="58" t="str">
        <f t="shared" ca="1" si="2"/>
        <v/>
      </c>
      <c r="I51" s="58" t="str">
        <f t="shared" ca="1" si="2"/>
        <v/>
      </c>
      <c r="J51" s="58" t="str">
        <f t="shared" ca="1" si="2"/>
        <v/>
      </c>
      <c r="K51" s="58" t="str">
        <f t="shared" ca="1" si="2"/>
        <v/>
      </c>
      <c r="L51" s="58" t="str">
        <f t="shared" ca="1" si="2"/>
        <v/>
      </c>
      <c r="P51" s="68"/>
      <c r="Q51" s="68"/>
      <c r="R51" s="68"/>
      <c r="S51" s="68"/>
      <c r="T51" s="68"/>
      <c r="U51" s="68"/>
      <c r="V51" s="68"/>
      <c r="W51" s="68"/>
      <c r="X51" s="68"/>
      <c r="Y51" s="68"/>
      <c r="Z51" s="68"/>
    </row>
    <row r="52" spans="2:26" ht="10.199999999999999" customHeight="1">
      <c r="B52" s="56" t="str">
        <f>IF('Low Stress Type Gasket'!BE57="","",'Low Stress Type Gasket'!BE57)</f>
        <v/>
      </c>
      <c r="C52" s="58" t="str">
        <f t="shared" ca="1" si="2"/>
        <v/>
      </c>
      <c r="D52" s="58" t="str">
        <f t="shared" ca="1" si="2"/>
        <v/>
      </c>
      <c r="E52" s="58" t="str">
        <f t="shared" ca="1" si="2"/>
        <v/>
      </c>
      <c r="F52" s="58" t="str">
        <f t="shared" ca="1" si="2"/>
        <v/>
      </c>
      <c r="G52" s="58" t="str">
        <f t="shared" ca="1" si="2"/>
        <v/>
      </c>
      <c r="H52" s="58" t="str">
        <f t="shared" ca="1" si="2"/>
        <v/>
      </c>
      <c r="I52" s="58" t="str">
        <f t="shared" ca="1" si="2"/>
        <v/>
      </c>
      <c r="J52" s="58" t="str">
        <f t="shared" ca="1" si="2"/>
        <v/>
      </c>
      <c r="K52" s="58" t="str">
        <f t="shared" ca="1" si="2"/>
        <v/>
      </c>
      <c r="L52" s="58" t="str">
        <f t="shared" ca="1" si="2"/>
        <v/>
      </c>
      <c r="P52" s="252"/>
      <c r="Q52" s="252"/>
      <c r="R52" s="252"/>
      <c r="S52" s="252"/>
      <c r="T52" s="252"/>
      <c r="U52" s="252"/>
      <c r="V52" s="252"/>
      <c r="W52" s="252"/>
      <c r="X52" s="252"/>
      <c r="Y52" s="252"/>
      <c r="Z52" s="252"/>
    </row>
    <row r="53" spans="2:26" ht="10.199999999999999" customHeight="1">
      <c r="B53" s="56" t="str">
        <f>IF('Low Stress Type Gasket'!BE58="","",'Low Stress Type Gasket'!BE58)</f>
        <v/>
      </c>
      <c r="C53" s="58" t="str">
        <f t="shared" ca="1" si="2"/>
        <v/>
      </c>
      <c r="D53" s="58" t="str">
        <f t="shared" ca="1" si="2"/>
        <v/>
      </c>
      <c r="E53" s="58" t="str">
        <f t="shared" ca="1" si="2"/>
        <v/>
      </c>
      <c r="F53" s="58" t="str">
        <f t="shared" ca="1" si="2"/>
        <v/>
      </c>
      <c r="G53" s="58" t="str">
        <f t="shared" ca="1" si="2"/>
        <v/>
      </c>
      <c r="H53" s="58" t="str">
        <f t="shared" ca="1" si="2"/>
        <v/>
      </c>
      <c r="I53" s="58" t="str">
        <f t="shared" ca="1" si="2"/>
        <v/>
      </c>
      <c r="J53" s="58" t="str">
        <f t="shared" ca="1" si="2"/>
        <v/>
      </c>
      <c r="K53" s="58" t="str">
        <f t="shared" ca="1" si="2"/>
        <v/>
      </c>
      <c r="L53" s="58" t="str">
        <f t="shared" ca="1" si="2"/>
        <v/>
      </c>
      <c r="P53" s="252"/>
      <c r="Q53" s="252"/>
      <c r="R53" s="252"/>
      <c r="S53" s="252"/>
      <c r="T53" s="252"/>
      <c r="U53" s="252"/>
      <c r="V53" s="252"/>
      <c r="W53" s="252"/>
      <c r="X53" s="252"/>
      <c r="Y53" s="252"/>
      <c r="Z53" s="252"/>
    </row>
    <row r="54" spans="2:26" ht="10.199999999999999" customHeight="1">
      <c r="B54" s="56" t="str">
        <f>IF('Low Stress Type Gasket'!BE59="","",'Low Stress Type Gasket'!BE59)</f>
        <v/>
      </c>
      <c r="C54" s="58" t="str">
        <f t="shared" ref="C54:L55" ca="1" si="3">IF($M$4=0,"",VLOOKUP($B54,INDIRECT("$P$1:$Z$"&amp;$M$4),COLUMN()-1,0))</f>
        <v/>
      </c>
      <c r="D54" s="58" t="str">
        <f t="shared" ca="1" si="3"/>
        <v/>
      </c>
      <c r="E54" s="58" t="str">
        <f t="shared" ca="1" si="3"/>
        <v/>
      </c>
      <c r="F54" s="58" t="str">
        <f t="shared" ca="1" si="3"/>
        <v/>
      </c>
      <c r="G54" s="58" t="str">
        <f t="shared" ca="1" si="3"/>
        <v/>
      </c>
      <c r="H54" s="58" t="str">
        <f t="shared" ca="1" si="3"/>
        <v/>
      </c>
      <c r="I54" s="58" t="str">
        <f t="shared" ca="1" si="3"/>
        <v/>
      </c>
      <c r="J54" s="58" t="str">
        <f t="shared" ca="1" si="3"/>
        <v/>
      </c>
      <c r="K54" s="58" t="str">
        <f t="shared" ca="1" si="3"/>
        <v/>
      </c>
      <c r="L54" s="58" t="str">
        <f t="shared" ca="1" si="3"/>
        <v/>
      </c>
      <c r="P54" s="68"/>
      <c r="Q54" s="68"/>
      <c r="R54" s="68"/>
      <c r="S54" s="68"/>
      <c r="T54" s="68"/>
      <c r="U54" s="68"/>
      <c r="V54" s="68"/>
      <c r="W54" s="68"/>
      <c r="X54" s="68"/>
      <c r="Y54" s="68"/>
      <c r="Z54" s="68"/>
    </row>
    <row r="55" spans="2:26" ht="10.199999999999999" customHeight="1">
      <c r="B55" s="56" t="str">
        <f>IF('Low Stress Type Gasket'!BE60="","",'Low Stress Type Gasket'!BE60)</f>
        <v/>
      </c>
      <c r="C55" s="58" t="str">
        <f t="shared" ca="1" si="3"/>
        <v/>
      </c>
      <c r="D55" s="58" t="str">
        <f t="shared" ca="1" si="3"/>
        <v/>
      </c>
      <c r="E55" s="58" t="str">
        <f t="shared" ca="1" si="3"/>
        <v/>
      </c>
      <c r="F55" s="58" t="str">
        <f t="shared" ca="1" si="3"/>
        <v/>
      </c>
      <c r="G55" s="58" t="str">
        <f t="shared" ca="1" si="3"/>
        <v/>
      </c>
      <c r="H55" s="58" t="str">
        <f t="shared" ca="1" si="3"/>
        <v/>
      </c>
      <c r="I55" s="58" t="str">
        <f t="shared" ca="1" si="3"/>
        <v/>
      </c>
      <c r="J55" s="58" t="str">
        <f t="shared" ca="1" si="3"/>
        <v/>
      </c>
      <c r="K55" s="58" t="str">
        <f t="shared" ca="1" si="3"/>
        <v/>
      </c>
      <c r="L55" s="58" t="str">
        <f t="shared" ca="1" si="3"/>
        <v/>
      </c>
      <c r="P55" s="252"/>
      <c r="Q55" s="252"/>
      <c r="R55" s="252"/>
      <c r="S55" s="252"/>
      <c r="T55" s="252"/>
      <c r="U55" s="252"/>
      <c r="V55" s="252"/>
      <c r="W55" s="252"/>
      <c r="X55" s="252"/>
      <c r="Y55" s="252"/>
      <c r="Z55" s="252"/>
    </row>
    <row r="56" spans="2:26" ht="10.199999999999999" customHeight="1">
      <c r="P56" s="252"/>
      <c r="Q56" s="252"/>
      <c r="R56" s="252"/>
      <c r="S56" s="252"/>
      <c r="T56" s="252"/>
      <c r="U56" s="252"/>
      <c r="V56" s="252"/>
      <c r="W56" s="252"/>
      <c r="X56" s="252"/>
      <c r="Y56" s="252"/>
      <c r="Z56" s="252"/>
    </row>
    <row r="57" spans="2:26" ht="10.199999999999999" customHeight="1">
      <c r="P57" s="68"/>
      <c r="Q57" s="68"/>
      <c r="R57" s="68"/>
      <c r="S57" s="68"/>
      <c r="T57" s="68"/>
      <c r="U57" s="68"/>
      <c r="V57" s="68"/>
      <c r="W57" s="68"/>
      <c r="X57" s="68"/>
      <c r="Y57" s="68"/>
      <c r="Z57" s="68"/>
    </row>
    <row r="58" spans="2:26" ht="10.199999999999999" customHeight="1">
      <c r="P58" s="252"/>
      <c r="Q58" s="252"/>
      <c r="R58" s="252"/>
      <c r="S58" s="252"/>
      <c r="T58" s="252"/>
      <c r="U58" s="252"/>
      <c r="V58" s="252"/>
      <c r="W58" s="252"/>
      <c r="X58" s="252"/>
      <c r="Y58" s="252"/>
      <c r="Z58" s="252"/>
    </row>
    <row r="59" spans="2:26" ht="10.199999999999999" customHeight="1">
      <c r="P59" s="252"/>
      <c r="Q59" s="252"/>
      <c r="R59" s="252"/>
      <c r="S59" s="252"/>
      <c r="T59" s="252"/>
      <c r="U59" s="252"/>
      <c r="V59" s="252"/>
      <c r="W59" s="252"/>
      <c r="X59" s="252"/>
      <c r="Y59" s="252"/>
      <c r="Z59" s="252"/>
    </row>
    <row r="60" spans="2:26" ht="10.199999999999999" customHeight="1">
      <c r="P60" s="68"/>
      <c r="Q60" s="68"/>
      <c r="R60" s="68"/>
      <c r="S60" s="68"/>
      <c r="T60" s="68"/>
      <c r="U60" s="68"/>
      <c r="V60" s="68"/>
      <c r="W60" s="68"/>
      <c r="X60" s="68"/>
      <c r="Y60" s="68"/>
      <c r="Z60" s="68"/>
    </row>
    <row r="61" spans="2:26" ht="10.199999999999999" customHeight="1">
      <c r="P61" s="252"/>
      <c r="Q61" s="252"/>
      <c r="R61" s="252"/>
      <c r="S61" s="252"/>
      <c r="T61" s="252"/>
      <c r="U61" s="252"/>
      <c r="V61" s="252"/>
      <c r="W61" s="252"/>
      <c r="X61" s="252"/>
      <c r="Y61" s="252"/>
      <c r="Z61" s="252"/>
    </row>
    <row r="62" spans="2:26" ht="10.199999999999999" customHeight="1">
      <c r="P62" s="252"/>
      <c r="Q62" s="252"/>
      <c r="R62" s="252"/>
      <c r="S62" s="252"/>
      <c r="T62" s="252"/>
      <c r="U62" s="252"/>
      <c r="V62" s="252"/>
      <c r="W62" s="252"/>
      <c r="X62" s="252"/>
      <c r="Y62" s="252"/>
      <c r="Z62" s="252"/>
    </row>
    <row r="63" spans="2:26" ht="10.199999999999999" customHeight="1">
      <c r="P63" s="68"/>
      <c r="Q63" s="68"/>
      <c r="R63" s="68"/>
      <c r="S63" s="68"/>
      <c r="T63" s="68"/>
      <c r="U63" s="68"/>
      <c r="V63" s="68"/>
      <c r="W63" s="68"/>
      <c r="X63" s="68"/>
      <c r="Y63" s="68"/>
      <c r="Z63" s="68"/>
    </row>
    <row r="64" spans="2:26" ht="10.199999999999999" customHeight="1">
      <c r="P64" s="252"/>
      <c r="Q64" s="252"/>
      <c r="R64" s="252"/>
      <c r="S64" s="252"/>
      <c r="T64" s="252"/>
      <c r="U64" s="252"/>
      <c r="V64" s="252"/>
      <c r="W64" s="252"/>
      <c r="X64" s="252"/>
      <c r="Y64" s="252"/>
      <c r="Z64" s="252"/>
    </row>
    <row r="65" spans="16:26" ht="10.199999999999999" customHeight="1">
      <c r="P65" s="252"/>
      <c r="Q65" s="252"/>
      <c r="R65" s="252"/>
      <c r="S65" s="252"/>
      <c r="T65" s="252"/>
      <c r="U65" s="252"/>
      <c r="V65" s="252"/>
      <c r="W65" s="252"/>
      <c r="X65" s="252"/>
      <c r="Y65" s="252"/>
      <c r="Z65" s="252"/>
    </row>
    <row r="66" spans="16:26" ht="10.199999999999999" customHeight="1">
      <c r="P66" s="68"/>
      <c r="Q66" s="68"/>
      <c r="R66" s="68"/>
      <c r="S66" s="68"/>
      <c r="T66" s="68"/>
      <c r="U66" s="68"/>
      <c r="V66" s="68"/>
      <c r="W66" s="68"/>
      <c r="X66" s="68"/>
      <c r="Y66" s="68"/>
      <c r="Z66" s="68"/>
    </row>
    <row r="67" spans="16:26" ht="10.199999999999999" customHeight="1">
      <c r="P67" s="252"/>
      <c r="Q67" s="252"/>
      <c r="R67" s="252"/>
      <c r="S67" s="252"/>
      <c r="T67" s="252"/>
      <c r="U67" s="252"/>
      <c r="V67" s="252"/>
      <c r="W67" s="252"/>
      <c r="X67" s="252"/>
      <c r="Y67" s="252"/>
      <c r="Z67" s="252"/>
    </row>
    <row r="68" spans="16:26" ht="10.199999999999999" customHeight="1">
      <c r="P68" s="252"/>
      <c r="Q68" s="252"/>
      <c r="R68" s="252"/>
      <c r="S68" s="252"/>
      <c r="T68" s="252"/>
      <c r="U68" s="252"/>
      <c r="V68" s="252"/>
      <c r="W68" s="252"/>
      <c r="X68" s="252"/>
      <c r="Y68" s="252"/>
      <c r="Z68" s="252"/>
    </row>
    <row r="69" spans="16:26" ht="10.199999999999999" customHeight="1">
      <c r="P69" s="68"/>
      <c r="Q69" s="68"/>
      <c r="R69" s="68"/>
      <c r="S69" s="68"/>
      <c r="T69" s="68"/>
      <c r="U69" s="68"/>
      <c r="V69" s="68"/>
      <c r="W69" s="68"/>
      <c r="X69" s="68"/>
      <c r="Y69" s="68"/>
      <c r="Z69" s="68"/>
    </row>
    <row r="70" spans="16:26" ht="10.199999999999999" customHeight="1">
      <c r="P70" s="252"/>
      <c r="Q70" s="252"/>
      <c r="R70" s="252"/>
      <c r="S70" s="252"/>
      <c r="T70" s="252"/>
      <c r="U70" s="252"/>
      <c r="V70" s="252"/>
      <c r="W70" s="252"/>
      <c r="X70" s="252"/>
      <c r="Y70" s="252"/>
      <c r="Z70" s="252"/>
    </row>
    <row r="71" spans="16:26" ht="10.199999999999999" customHeight="1">
      <c r="P71" s="252"/>
      <c r="Q71" s="252"/>
      <c r="R71" s="252"/>
      <c r="S71" s="252"/>
      <c r="T71" s="252"/>
      <c r="U71" s="252"/>
      <c r="V71" s="252"/>
      <c r="W71" s="252"/>
      <c r="X71" s="252"/>
      <c r="Y71" s="252"/>
      <c r="Z71" s="252"/>
    </row>
    <row r="72" spans="16:26" ht="10.199999999999999" customHeight="1">
      <c r="P72" s="68"/>
      <c r="Q72" s="68"/>
      <c r="R72" s="68"/>
      <c r="S72" s="68"/>
      <c r="T72" s="68"/>
      <c r="U72" s="68"/>
      <c r="V72" s="68"/>
      <c r="W72" s="68"/>
      <c r="X72" s="68"/>
      <c r="Y72" s="68"/>
      <c r="Z72" s="68"/>
    </row>
    <row r="73" spans="16:26" ht="10.199999999999999" customHeight="1">
      <c r="P73" s="252"/>
      <c r="Q73" s="252"/>
      <c r="R73" s="252"/>
      <c r="S73" s="252"/>
      <c r="T73" s="252"/>
      <c r="U73" s="252"/>
      <c r="V73" s="252"/>
      <c r="W73" s="252"/>
      <c r="X73" s="252"/>
      <c r="Y73" s="252"/>
      <c r="Z73" s="252"/>
    </row>
    <row r="74" spans="16:26" ht="10.199999999999999" customHeight="1">
      <c r="P74" s="252"/>
      <c r="Q74" s="252"/>
      <c r="R74" s="252"/>
      <c r="S74" s="252"/>
      <c r="T74" s="252"/>
      <c r="U74" s="252"/>
      <c r="V74" s="252"/>
      <c r="W74" s="252"/>
      <c r="X74" s="252"/>
      <c r="Y74" s="252"/>
      <c r="Z74" s="252"/>
    </row>
    <row r="75" spans="16:26" ht="10.199999999999999" customHeight="1">
      <c r="P75" s="68"/>
      <c r="Q75" s="68"/>
      <c r="R75" s="68"/>
      <c r="S75" s="68"/>
      <c r="T75" s="68"/>
      <c r="U75" s="68"/>
      <c r="V75" s="68"/>
      <c r="W75" s="68"/>
      <c r="X75" s="68"/>
      <c r="Y75" s="68"/>
      <c r="Z75" s="68"/>
    </row>
    <row r="76" spans="16:26" ht="10.199999999999999" customHeight="1">
      <c r="P76" s="252"/>
      <c r="Q76" s="252"/>
      <c r="R76" s="252"/>
      <c r="S76" s="252"/>
      <c r="T76" s="252"/>
      <c r="U76" s="252"/>
      <c r="V76" s="252"/>
      <c r="W76" s="252"/>
      <c r="X76" s="252"/>
      <c r="Y76" s="252"/>
      <c r="Z76" s="252"/>
    </row>
    <row r="77" spans="16:26" ht="10.199999999999999" customHeight="1">
      <c r="P77" s="252"/>
      <c r="Q77" s="252"/>
      <c r="R77" s="252"/>
      <c r="S77" s="252"/>
      <c r="T77" s="252"/>
      <c r="U77" s="252"/>
      <c r="V77" s="252"/>
      <c r="W77" s="252"/>
      <c r="X77" s="252"/>
      <c r="Y77" s="252"/>
      <c r="Z77" s="252"/>
    </row>
    <row r="78" spans="16:26" ht="10.199999999999999" customHeight="1">
      <c r="P78" s="68"/>
      <c r="Q78" s="68"/>
      <c r="R78" s="68"/>
      <c r="S78" s="68"/>
      <c r="T78" s="68"/>
      <c r="U78" s="68"/>
      <c r="V78" s="68"/>
      <c r="W78" s="68"/>
      <c r="X78" s="68"/>
      <c r="Y78" s="68"/>
      <c r="Z78" s="68"/>
    </row>
    <row r="79" spans="16:26" ht="10.199999999999999" customHeight="1">
      <c r="P79" s="252"/>
      <c r="Q79" s="252"/>
      <c r="R79" s="252"/>
      <c r="S79" s="252"/>
      <c r="T79" s="252"/>
      <c r="U79" s="252"/>
      <c r="V79" s="252"/>
      <c r="W79" s="252"/>
      <c r="X79" s="252"/>
      <c r="Y79" s="252"/>
      <c r="Z79" s="252"/>
    </row>
    <row r="80" spans="16:26" ht="10.199999999999999" customHeight="1">
      <c r="P80" s="252"/>
      <c r="Q80" s="252"/>
      <c r="R80" s="252"/>
      <c r="S80" s="252"/>
      <c r="T80" s="252"/>
      <c r="U80" s="252"/>
      <c r="V80" s="252"/>
      <c r="W80" s="252"/>
      <c r="X80" s="252"/>
      <c r="Y80" s="252"/>
      <c r="Z80" s="252"/>
    </row>
    <row r="81" spans="16:26" ht="10.199999999999999" customHeight="1">
      <c r="P81" s="68"/>
      <c r="Q81" s="68"/>
      <c r="R81" s="68"/>
      <c r="S81" s="68"/>
      <c r="T81" s="68"/>
      <c r="U81" s="68"/>
      <c r="V81" s="68"/>
      <c r="W81" s="68"/>
      <c r="X81" s="68"/>
      <c r="Y81" s="68"/>
      <c r="Z81" s="68"/>
    </row>
    <row r="82" spans="16:26" ht="10.199999999999999" customHeight="1">
      <c r="P82" s="252"/>
      <c r="Q82" s="252"/>
      <c r="R82" s="252"/>
      <c r="S82" s="252"/>
      <c r="T82" s="252"/>
      <c r="U82" s="252"/>
      <c r="V82" s="252"/>
      <c r="W82" s="252"/>
      <c r="X82" s="252"/>
      <c r="Y82" s="252"/>
      <c r="Z82" s="252"/>
    </row>
    <row r="83" spans="16:26" ht="10.199999999999999" customHeight="1">
      <c r="P83" s="252"/>
      <c r="Q83" s="252"/>
      <c r="R83" s="252"/>
      <c r="S83" s="252"/>
      <c r="T83" s="252"/>
      <c r="U83" s="252"/>
      <c r="V83" s="252"/>
      <c r="W83" s="252"/>
      <c r="X83" s="252"/>
      <c r="Y83" s="252"/>
      <c r="Z83" s="252"/>
    </row>
    <row r="84" spans="16:26" ht="10.199999999999999" customHeight="1">
      <c r="P84" s="68"/>
      <c r="Q84" s="68"/>
      <c r="R84" s="68"/>
      <c r="S84" s="68"/>
      <c r="T84" s="68"/>
      <c r="U84" s="68"/>
      <c r="V84" s="68"/>
      <c r="W84" s="68"/>
      <c r="X84" s="68"/>
      <c r="Y84" s="68"/>
      <c r="Z84" s="68"/>
    </row>
    <row r="85" spans="16:26" ht="10.199999999999999" customHeight="1">
      <c r="P85" s="252"/>
      <c r="Q85" s="252"/>
      <c r="R85" s="252"/>
      <c r="S85" s="252"/>
      <c r="T85" s="252"/>
      <c r="U85" s="252"/>
      <c r="V85" s="252"/>
      <c r="W85" s="252"/>
      <c r="X85" s="252"/>
      <c r="Y85" s="252"/>
      <c r="Z85" s="252"/>
    </row>
    <row r="86" spans="16:26" ht="10.199999999999999" customHeight="1">
      <c r="P86" s="252"/>
      <c r="Q86" s="252"/>
      <c r="R86" s="252"/>
      <c r="S86" s="252"/>
      <c r="T86" s="252"/>
      <c r="U86" s="252"/>
      <c r="V86" s="252"/>
      <c r="W86" s="252"/>
      <c r="X86" s="252"/>
      <c r="Y86" s="252"/>
      <c r="Z86" s="252"/>
    </row>
    <row r="87" spans="16:26" ht="10.199999999999999" customHeight="1">
      <c r="P87" s="68"/>
      <c r="Q87" s="68"/>
      <c r="R87" s="68"/>
      <c r="S87" s="68"/>
      <c r="T87" s="68"/>
      <c r="U87" s="68"/>
      <c r="V87" s="68"/>
      <c r="W87" s="68"/>
      <c r="X87" s="68"/>
      <c r="Y87" s="68"/>
      <c r="Z87" s="68"/>
    </row>
    <row r="88" spans="16:26" ht="10.199999999999999" customHeight="1">
      <c r="P88" s="252"/>
      <c r="Q88" s="252"/>
      <c r="R88" s="252"/>
      <c r="S88" s="252"/>
      <c r="T88" s="252"/>
      <c r="U88" s="252"/>
      <c r="V88" s="252"/>
      <c r="W88" s="252"/>
      <c r="X88" s="252"/>
      <c r="Y88" s="252"/>
      <c r="Z88" s="252"/>
    </row>
    <row r="89" spans="16:26" ht="10.199999999999999" customHeight="1">
      <c r="P89" s="252"/>
      <c r="Q89" s="252"/>
      <c r="R89" s="252"/>
      <c r="S89" s="252"/>
      <c r="T89" s="252"/>
      <c r="U89" s="252"/>
      <c r="V89" s="252"/>
      <c r="W89" s="252"/>
      <c r="X89" s="252"/>
      <c r="Y89" s="252"/>
      <c r="Z89" s="252"/>
    </row>
    <row r="90" spans="16:26" ht="10.199999999999999" customHeight="1">
      <c r="P90" s="68"/>
      <c r="Q90" s="68"/>
      <c r="R90" s="68"/>
      <c r="S90" s="68"/>
      <c r="T90" s="68"/>
      <c r="U90" s="68"/>
      <c r="V90" s="68"/>
      <c r="W90" s="68"/>
      <c r="X90" s="68"/>
      <c r="Y90" s="68"/>
      <c r="Z90" s="68"/>
    </row>
    <row r="91" spans="16:26" ht="10.199999999999999" customHeight="1">
      <c r="P91" s="252"/>
      <c r="Q91" s="252"/>
      <c r="R91" s="252"/>
      <c r="S91" s="252"/>
      <c r="T91" s="252"/>
      <c r="U91" s="252"/>
      <c r="V91" s="252"/>
      <c r="W91" s="252"/>
      <c r="X91" s="252"/>
      <c r="Y91" s="252"/>
      <c r="Z91" s="252"/>
    </row>
    <row r="92" spans="16:26" ht="10.199999999999999" customHeight="1">
      <c r="P92" s="252"/>
      <c r="Q92" s="252"/>
      <c r="R92" s="252"/>
      <c r="S92" s="252"/>
      <c r="T92" s="252"/>
      <c r="U92" s="252"/>
      <c r="V92" s="252"/>
      <c r="W92" s="252"/>
      <c r="X92" s="252"/>
      <c r="Y92" s="252"/>
      <c r="Z92" s="252"/>
    </row>
    <row r="93" spans="16:26" ht="10.199999999999999" customHeight="1">
      <c r="P93" s="68"/>
      <c r="Q93" s="68"/>
      <c r="R93" s="68"/>
      <c r="S93" s="68"/>
      <c r="T93" s="68"/>
      <c r="U93" s="68"/>
      <c r="V93" s="68"/>
      <c r="W93" s="68"/>
      <c r="X93" s="68"/>
      <c r="Y93" s="68"/>
      <c r="Z93" s="68"/>
    </row>
    <row r="94" spans="16:26" ht="10.199999999999999" customHeight="1">
      <c r="P94" s="252"/>
      <c r="Q94" s="252"/>
      <c r="R94" s="252"/>
      <c r="S94" s="252"/>
      <c r="T94" s="252"/>
      <c r="U94" s="252"/>
      <c r="V94" s="252"/>
      <c r="W94" s="252"/>
      <c r="X94" s="252"/>
      <c r="Y94" s="252"/>
      <c r="Z94" s="252"/>
    </row>
    <row r="95" spans="16:26" ht="10.199999999999999" customHeight="1">
      <c r="P95" s="252"/>
      <c r="Q95" s="252"/>
      <c r="R95" s="252"/>
      <c r="S95" s="252"/>
      <c r="T95" s="252"/>
      <c r="U95" s="252"/>
      <c r="V95" s="252"/>
      <c r="W95" s="252"/>
      <c r="X95" s="252"/>
      <c r="Y95" s="252"/>
      <c r="Z95" s="252"/>
    </row>
    <row r="96" spans="16:26" ht="10.199999999999999" customHeight="1">
      <c r="P96" s="68"/>
      <c r="Q96" s="68"/>
      <c r="R96" s="68"/>
      <c r="S96" s="68"/>
      <c r="T96" s="68"/>
      <c r="U96" s="68"/>
      <c r="V96" s="68"/>
      <c r="W96" s="68"/>
      <c r="X96" s="68"/>
      <c r="Y96" s="68"/>
      <c r="Z96" s="68"/>
    </row>
    <row r="97" spans="16:26" ht="10.199999999999999" customHeight="1">
      <c r="P97" s="252"/>
      <c r="Q97" s="252"/>
      <c r="R97" s="252"/>
      <c r="S97" s="252"/>
      <c r="T97" s="252"/>
      <c r="U97" s="252"/>
      <c r="V97" s="252"/>
      <c r="W97" s="252"/>
      <c r="X97" s="252"/>
      <c r="Y97" s="252"/>
      <c r="Z97" s="252"/>
    </row>
    <row r="98" spans="16:26" ht="10.199999999999999" customHeight="1">
      <c r="P98" s="252"/>
      <c r="Q98" s="252"/>
      <c r="R98" s="252"/>
      <c r="S98" s="252"/>
      <c r="T98" s="252"/>
      <c r="U98" s="252"/>
      <c r="V98" s="252"/>
      <c r="W98" s="252"/>
      <c r="X98" s="252"/>
      <c r="Y98" s="252"/>
      <c r="Z98" s="252"/>
    </row>
    <row r="99" spans="16:26" ht="10.199999999999999" customHeight="1">
      <c r="P99" s="68"/>
      <c r="Q99" s="68"/>
      <c r="R99" s="68"/>
      <c r="S99" s="68"/>
      <c r="T99" s="68"/>
      <c r="U99" s="68"/>
      <c r="V99" s="68"/>
      <c r="W99" s="68"/>
      <c r="X99" s="68"/>
      <c r="Y99" s="68"/>
      <c r="Z99" s="68"/>
    </row>
    <row r="100" spans="16:26" ht="10.199999999999999" customHeight="1">
      <c r="P100" s="252"/>
      <c r="Q100" s="252"/>
      <c r="R100" s="252"/>
      <c r="S100" s="252"/>
      <c r="T100" s="252"/>
      <c r="U100" s="252"/>
      <c r="V100" s="252"/>
      <c r="W100" s="252"/>
      <c r="X100" s="252"/>
      <c r="Y100" s="252"/>
      <c r="Z100" s="252"/>
    </row>
    <row r="101" spans="16:26" ht="10.199999999999999" customHeight="1">
      <c r="P101" s="252"/>
      <c r="Q101" s="252"/>
      <c r="R101" s="252"/>
      <c r="S101" s="252"/>
      <c r="T101" s="252"/>
      <c r="U101" s="252"/>
      <c r="V101" s="252"/>
      <c r="W101" s="252"/>
      <c r="X101" s="252"/>
      <c r="Y101" s="252"/>
      <c r="Z101" s="252"/>
    </row>
    <row r="102" spans="16:26" ht="10.199999999999999" customHeight="1">
      <c r="P102" s="68"/>
      <c r="Q102" s="68"/>
      <c r="R102" s="68"/>
      <c r="S102" s="68"/>
      <c r="T102" s="68"/>
      <c r="U102" s="68"/>
      <c r="V102" s="68"/>
      <c r="W102" s="68"/>
      <c r="X102" s="68"/>
      <c r="Y102" s="68"/>
      <c r="Z102" s="68"/>
    </row>
    <row r="103" spans="16:26" ht="10.199999999999999" customHeight="1">
      <c r="P103" s="252"/>
      <c r="Q103" s="252"/>
      <c r="R103" s="252"/>
      <c r="S103" s="252"/>
      <c r="T103" s="252"/>
      <c r="U103" s="252"/>
      <c r="V103" s="252"/>
      <c r="W103" s="252"/>
      <c r="X103" s="252"/>
      <c r="Y103" s="252"/>
      <c r="Z103" s="252"/>
    </row>
    <row r="104" spans="16:26" ht="10.199999999999999" customHeight="1">
      <c r="P104" s="252"/>
      <c r="Q104" s="252"/>
      <c r="R104" s="252"/>
      <c r="S104" s="252"/>
      <c r="T104" s="252"/>
      <c r="U104" s="252"/>
      <c r="V104" s="252"/>
      <c r="W104" s="252"/>
      <c r="X104" s="252"/>
      <c r="Y104" s="252"/>
      <c r="Z104" s="252"/>
    </row>
    <row r="105" spans="16:26" ht="10.199999999999999" customHeight="1">
      <c r="P105" s="68"/>
      <c r="Q105" s="68"/>
      <c r="R105" s="68"/>
      <c r="S105" s="68"/>
      <c r="T105" s="68"/>
      <c r="U105" s="68"/>
      <c r="V105" s="68"/>
      <c r="W105" s="68"/>
      <c r="X105" s="68"/>
      <c r="Y105" s="68"/>
      <c r="Z105" s="68"/>
    </row>
    <row r="106" spans="16:26" ht="10.199999999999999" customHeight="1">
      <c r="P106" s="252"/>
      <c r="Q106" s="252"/>
      <c r="R106" s="252"/>
      <c r="S106" s="252"/>
      <c r="T106" s="252"/>
      <c r="U106" s="252"/>
      <c r="V106" s="252"/>
      <c r="W106" s="252"/>
      <c r="X106" s="252"/>
      <c r="Y106" s="252"/>
      <c r="Z106" s="252"/>
    </row>
    <row r="107" spans="16:26" ht="10.199999999999999" customHeight="1">
      <c r="P107" s="252"/>
      <c r="Q107" s="252"/>
      <c r="R107" s="252"/>
      <c r="S107" s="252"/>
      <c r="T107" s="252"/>
      <c r="U107" s="252"/>
      <c r="V107" s="252"/>
      <c r="W107" s="252"/>
      <c r="X107" s="252"/>
      <c r="Y107" s="252"/>
      <c r="Z107" s="252"/>
    </row>
    <row r="108" spans="16:26" ht="10.199999999999999" customHeight="1">
      <c r="P108" s="68"/>
      <c r="Q108" s="68"/>
      <c r="R108" s="68"/>
      <c r="S108" s="68"/>
      <c r="T108" s="68"/>
      <c r="U108" s="68"/>
      <c r="V108" s="68"/>
      <c r="W108" s="68"/>
      <c r="X108" s="68"/>
      <c r="Y108" s="68"/>
      <c r="Z108" s="68"/>
    </row>
    <row r="109" spans="16:26" ht="10.199999999999999" customHeight="1">
      <c r="P109" s="252"/>
      <c r="Q109" s="252"/>
      <c r="R109" s="252"/>
      <c r="S109" s="252"/>
      <c r="T109" s="252"/>
      <c r="U109" s="252"/>
      <c r="V109" s="252"/>
      <c r="W109" s="252"/>
      <c r="X109" s="252"/>
      <c r="Y109" s="252"/>
      <c r="Z109" s="252"/>
    </row>
    <row r="110" spans="16:26" ht="10.199999999999999" customHeight="1">
      <c r="P110" s="252"/>
      <c r="Q110" s="252"/>
      <c r="R110" s="252"/>
      <c r="S110" s="252"/>
      <c r="T110" s="252"/>
      <c r="U110" s="252"/>
      <c r="V110" s="252"/>
      <c r="W110" s="252"/>
      <c r="X110" s="252"/>
      <c r="Y110" s="252"/>
      <c r="Z110" s="252"/>
    </row>
    <row r="111" spans="16:26" ht="10.199999999999999" customHeight="1">
      <c r="P111" s="68"/>
      <c r="Q111" s="68"/>
      <c r="R111" s="68"/>
      <c r="S111" s="68"/>
      <c r="T111" s="68"/>
      <c r="U111" s="68"/>
      <c r="V111" s="68"/>
      <c r="W111" s="68"/>
      <c r="X111" s="68"/>
      <c r="Y111" s="68"/>
      <c r="Z111" s="68"/>
    </row>
    <row r="112" spans="16:26" ht="10.199999999999999" customHeight="1">
      <c r="P112" s="252"/>
      <c r="Q112" s="252"/>
      <c r="R112" s="252"/>
      <c r="S112" s="252"/>
      <c r="T112" s="252"/>
      <c r="U112" s="252"/>
      <c r="V112" s="252"/>
      <c r="W112" s="252"/>
      <c r="X112" s="252"/>
      <c r="Y112" s="252"/>
      <c r="Z112" s="252"/>
    </row>
    <row r="113" spans="16:26" ht="10.199999999999999" customHeight="1">
      <c r="P113" s="252"/>
      <c r="Q113" s="252"/>
      <c r="R113" s="252"/>
      <c r="S113" s="252"/>
      <c r="T113" s="252"/>
      <c r="U113" s="252"/>
      <c r="V113" s="252"/>
      <c r="W113" s="252"/>
      <c r="X113" s="252"/>
      <c r="Y113" s="252"/>
      <c r="Z113" s="252"/>
    </row>
    <row r="114" spans="16:26" ht="10.199999999999999" customHeight="1">
      <c r="P114" s="68"/>
      <c r="Q114" s="68"/>
      <c r="R114" s="68"/>
      <c r="S114" s="68"/>
      <c r="T114" s="68"/>
      <c r="U114" s="68"/>
      <c r="V114" s="68"/>
      <c r="W114" s="68"/>
      <c r="X114" s="68"/>
      <c r="Y114" s="68"/>
      <c r="Z114" s="68"/>
    </row>
    <row r="115" spans="16:26" ht="10.199999999999999" customHeight="1">
      <c r="P115" s="252"/>
      <c r="Q115" s="252"/>
      <c r="R115" s="252"/>
      <c r="S115" s="252"/>
      <c r="T115" s="252"/>
      <c r="U115" s="252"/>
      <c r="V115" s="252"/>
      <c r="W115" s="252"/>
      <c r="X115" s="252"/>
      <c r="Y115" s="252"/>
      <c r="Z115" s="252"/>
    </row>
    <row r="116" spans="16:26" ht="10.199999999999999" customHeight="1">
      <c r="P116" s="252"/>
      <c r="Q116" s="252"/>
      <c r="R116" s="252"/>
      <c r="S116" s="252"/>
      <c r="T116" s="252"/>
      <c r="U116" s="252"/>
      <c r="V116" s="252"/>
      <c r="W116" s="252"/>
      <c r="X116" s="252"/>
      <c r="Y116" s="252"/>
      <c r="Z116" s="252"/>
    </row>
    <row r="117" spans="16:26" ht="10.199999999999999" customHeight="1">
      <c r="P117" s="68"/>
      <c r="Q117" s="68"/>
      <c r="R117" s="68"/>
      <c r="S117" s="68"/>
      <c r="T117" s="68"/>
      <c r="U117" s="68"/>
      <c r="V117" s="68"/>
      <c r="W117" s="68"/>
      <c r="X117" s="68"/>
      <c r="Y117" s="68"/>
      <c r="Z117" s="68"/>
    </row>
    <row r="118" spans="16:26" ht="10.199999999999999" customHeight="1">
      <c r="P118" s="252"/>
      <c r="Q118" s="252"/>
      <c r="R118" s="252"/>
      <c r="S118" s="252"/>
      <c r="T118" s="252"/>
      <c r="U118" s="252"/>
      <c r="V118" s="252"/>
      <c r="W118" s="252"/>
      <c r="X118" s="252"/>
      <c r="Y118" s="252"/>
      <c r="Z118" s="252"/>
    </row>
    <row r="119" spans="16:26" ht="10.199999999999999" customHeight="1">
      <c r="P119" s="252"/>
      <c r="Q119" s="252"/>
      <c r="R119" s="252"/>
      <c r="S119" s="252"/>
      <c r="T119" s="252"/>
      <c r="U119" s="252"/>
      <c r="V119" s="252"/>
      <c r="W119" s="252"/>
      <c r="X119" s="252"/>
      <c r="Y119" s="252"/>
      <c r="Z119" s="252"/>
    </row>
    <row r="120" spans="16:26" ht="10.199999999999999" customHeight="1">
      <c r="P120" s="68"/>
      <c r="Q120" s="68"/>
      <c r="R120" s="68"/>
      <c r="S120" s="68"/>
      <c r="T120" s="68"/>
      <c r="U120" s="68"/>
      <c r="V120" s="68"/>
      <c r="W120" s="68"/>
      <c r="X120" s="68"/>
      <c r="Y120" s="68"/>
      <c r="Z120" s="68"/>
    </row>
    <row r="121" spans="16:26" ht="10.199999999999999" customHeight="1">
      <c r="P121" s="252"/>
      <c r="Q121" s="252"/>
      <c r="R121" s="252"/>
      <c r="S121" s="252"/>
      <c r="T121" s="252"/>
      <c r="U121" s="252"/>
      <c r="V121" s="252"/>
      <c r="W121" s="252"/>
      <c r="X121" s="252"/>
      <c r="Y121" s="252"/>
      <c r="Z121" s="252"/>
    </row>
    <row r="122" spans="16:26" ht="10.199999999999999" customHeight="1">
      <c r="P122" s="252"/>
      <c r="Q122" s="252"/>
      <c r="R122" s="252"/>
      <c r="S122" s="252"/>
      <c r="T122" s="252"/>
      <c r="U122" s="252"/>
      <c r="V122" s="252"/>
      <c r="W122" s="252"/>
      <c r="X122" s="252"/>
      <c r="Y122" s="252"/>
      <c r="Z122" s="252"/>
    </row>
    <row r="123" spans="16:26" ht="10.199999999999999" customHeight="1">
      <c r="P123" s="68"/>
      <c r="Q123" s="68"/>
      <c r="R123" s="68"/>
      <c r="S123" s="68"/>
      <c r="T123" s="68"/>
      <c r="U123" s="68"/>
      <c r="V123" s="68"/>
      <c r="W123" s="68"/>
      <c r="X123" s="68"/>
      <c r="Y123" s="68"/>
      <c r="Z123" s="68"/>
    </row>
    <row r="124" spans="16:26" ht="10.199999999999999" customHeight="1">
      <c r="P124" s="252"/>
      <c r="Q124" s="252"/>
      <c r="R124" s="252"/>
      <c r="S124" s="252"/>
      <c r="T124" s="252"/>
      <c r="U124" s="252"/>
      <c r="V124" s="252"/>
      <c r="W124" s="252"/>
      <c r="X124" s="252"/>
      <c r="Y124" s="252"/>
      <c r="Z124" s="252"/>
    </row>
    <row r="125" spans="16:26" ht="10.199999999999999" customHeight="1">
      <c r="P125" s="252"/>
      <c r="Q125" s="252"/>
      <c r="R125" s="252"/>
      <c r="S125" s="252"/>
      <c r="T125" s="252"/>
      <c r="U125" s="252"/>
      <c r="V125" s="252"/>
      <c r="W125" s="252"/>
      <c r="X125" s="252"/>
      <c r="Y125" s="252"/>
      <c r="Z125" s="252"/>
    </row>
    <row r="126" spans="16:26" ht="10.199999999999999" customHeight="1">
      <c r="P126" s="68"/>
      <c r="Q126" s="68"/>
      <c r="R126" s="68"/>
      <c r="S126" s="68"/>
      <c r="T126" s="68"/>
      <c r="U126" s="68"/>
      <c r="V126" s="68"/>
      <c r="W126" s="68"/>
      <c r="X126" s="68"/>
      <c r="Y126" s="68"/>
      <c r="Z126" s="68"/>
    </row>
    <row r="127" spans="16:26" ht="10.199999999999999" customHeight="1">
      <c r="P127" s="252"/>
      <c r="Q127" s="252"/>
      <c r="R127" s="252"/>
      <c r="S127" s="252"/>
      <c r="T127" s="252"/>
      <c r="U127" s="252"/>
      <c r="V127" s="252"/>
      <c r="W127" s="252"/>
      <c r="X127" s="252"/>
      <c r="Y127" s="252"/>
      <c r="Z127" s="252"/>
    </row>
    <row r="128" spans="16:26" ht="10.199999999999999" customHeight="1">
      <c r="P128" s="252"/>
      <c r="Q128" s="252"/>
      <c r="R128" s="252"/>
      <c r="S128" s="252"/>
      <c r="T128" s="252"/>
      <c r="U128" s="252"/>
      <c r="V128" s="252"/>
      <c r="W128" s="252"/>
      <c r="X128" s="252"/>
      <c r="Y128" s="252"/>
      <c r="Z128" s="252"/>
    </row>
    <row r="129" spans="16:26" ht="10.199999999999999" customHeight="1">
      <c r="P129" s="68"/>
      <c r="Q129" s="68"/>
      <c r="R129" s="68"/>
      <c r="S129" s="68"/>
      <c r="T129" s="68"/>
      <c r="U129" s="68"/>
      <c r="V129" s="68"/>
      <c r="W129" s="68"/>
      <c r="X129" s="68"/>
      <c r="Y129" s="68"/>
      <c r="Z129" s="68"/>
    </row>
    <row r="130" spans="16:26" ht="10.199999999999999" customHeight="1">
      <c r="P130" s="252"/>
      <c r="Q130" s="252"/>
      <c r="R130" s="252"/>
      <c r="S130" s="252"/>
      <c r="T130" s="252"/>
      <c r="U130" s="252"/>
      <c r="V130" s="252"/>
      <c r="W130" s="252"/>
      <c r="X130" s="252"/>
      <c r="Y130" s="252"/>
      <c r="Z130" s="252"/>
    </row>
    <row r="131" spans="16:26" ht="10.199999999999999" customHeight="1">
      <c r="P131" s="252"/>
      <c r="Q131" s="252"/>
      <c r="R131" s="252"/>
      <c r="S131" s="252"/>
      <c r="T131" s="252"/>
      <c r="U131" s="252"/>
      <c r="V131" s="252"/>
      <c r="W131" s="252"/>
      <c r="X131" s="252"/>
      <c r="Y131" s="252"/>
      <c r="Z131" s="252"/>
    </row>
    <row r="132" spans="16:26" ht="10.199999999999999" customHeight="1">
      <c r="P132" s="68"/>
      <c r="Q132" s="68"/>
      <c r="R132" s="68"/>
      <c r="S132" s="68"/>
      <c r="T132" s="68"/>
      <c r="U132" s="68"/>
      <c r="V132" s="68"/>
      <c r="W132" s="68"/>
      <c r="X132" s="68"/>
      <c r="Y132" s="68"/>
      <c r="Z132" s="68"/>
    </row>
    <row r="133" spans="16:26" ht="10.199999999999999" customHeight="1">
      <c r="P133" s="252"/>
      <c r="Q133" s="252"/>
      <c r="R133" s="252"/>
      <c r="S133" s="252"/>
      <c r="T133" s="252"/>
      <c r="U133" s="252"/>
      <c r="V133" s="252"/>
      <c r="W133" s="252"/>
      <c r="X133" s="252"/>
      <c r="Y133" s="252"/>
      <c r="Z133" s="252"/>
    </row>
    <row r="134" spans="16:26" ht="10.199999999999999" customHeight="1">
      <c r="P134" s="252"/>
      <c r="Q134" s="252"/>
      <c r="R134" s="252"/>
      <c r="S134" s="252"/>
      <c r="T134" s="252"/>
      <c r="U134" s="252"/>
      <c r="V134" s="252"/>
      <c r="W134" s="252"/>
      <c r="X134" s="252"/>
      <c r="Y134" s="252"/>
      <c r="Z134" s="252"/>
    </row>
    <row r="135" spans="16:26" ht="10.199999999999999" customHeight="1">
      <c r="P135" s="68"/>
      <c r="Q135" s="68"/>
      <c r="R135" s="68"/>
      <c r="S135" s="68"/>
      <c r="T135" s="68"/>
      <c r="U135" s="68"/>
      <c r="V135" s="68"/>
      <c r="W135" s="68"/>
      <c r="X135" s="68"/>
      <c r="Y135" s="68"/>
      <c r="Z135" s="68"/>
    </row>
    <row r="136" spans="16:26" ht="10.199999999999999" customHeight="1">
      <c r="P136" s="252"/>
      <c r="Q136" s="252"/>
      <c r="R136" s="252"/>
      <c r="S136" s="252"/>
      <c r="T136" s="252"/>
      <c r="U136" s="252"/>
      <c r="V136" s="252"/>
      <c r="W136" s="252"/>
      <c r="X136" s="252"/>
      <c r="Y136" s="252"/>
      <c r="Z136" s="252"/>
    </row>
    <row r="137" spans="16:26" ht="10.199999999999999" customHeight="1">
      <c r="P137" s="252"/>
      <c r="Q137" s="252"/>
      <c r="R137" s="252"/>
      <c r="S137" s="252"/>
      <c r="T137" s="252"/>
      <c r="U137" s="252"/>
      <c r="V137" s="252"/>
      <c r="W137" s="252"/>
      <c r="X137" s="252"/>
      <c r="Y137" s="252"/>
      <c r="Z137" s="252"/>
    </row>
    <row r="138" spans="16:26" ht="10.199999999999999" customHeight="1">
      <c r="P138" s="68"/>
      <c r="Q138" s="68"/>
      <c r="R138" s="68"/>
      <c r="S138" s="68"/>
      <c r="T138" s="68"/>
      <c r="U138" s="68"/>
      <c r="V138" s="68"/>
      <c r="W138" s="68"/>
      <c r="X138" s="68"/>
      <c r="Y138" s="68"/>
      <c r="Z138" s="68"/>
    </row>
    <row r="139" spans="16:26" ht="10.199999999999999" customHeight="1">
      <c r="P139" s="252"/>
      <c r="Q139" s="252"/>
      <c r="R139" s="252"/>
      <c r="S139" s="252"/>
      <c r="T139" s="252"/>
      <c r="U139" s="252"/>
      <c r="V139" s="252"/>
      <c r="W139" s="252"/>
      <c r="X139" s="252"/>
      <c r="Y139" s="252"/>
      <c r="Z139" s="252"/>
    </row>
    <row r="140" spans="16:26" ht="10.199999999999999" customHeight="1">
      <c r="P140" s="252"/>
      <c r="Q140" s="252"/>
      <c r="R140" s="252"/>
      <c r="S140" s="252"/>
      <c r="T140" s="252"/>
      <c r="U140" s="252"/>
      <c r="V140" s="252"/>
      <c r="W140" s="252"/>
      <c r="X140" s="252"/>
      <c r="Y140" s="252"/>
      <c r="Z140" s="252"/>
    </row>
    <row r="141" spans="16:26" ht="10.199999999999999" customHeight="1">
      <c r="P141" s="68"/>
      <c r="Q141" s="68"/>
      <c r="R141" s="68"/>
      <c r="S141" s="68"/>
      <c r="T141" s="68"/>
      <c r="U141" s="68"/>
      <c r="V141" s="68"/>
      <c r="W141" s="68"/>
      <c r="X141" s="68"/>
      <c r="Y141" s="68"/>
      <c r="Z141" s="68"/>
    </row>
    <row r="142" spans="16:26" ht="10.199999999999999" customHeight="1">
      <c r="P142" s="252"/>
      <c r="Q142" s="252"/>
      <c r="R142" s="252"/>
      <c r="S142" s="252"/>
      <c r="T142" s="252"/>
      <c r="U142" s="252"/>
      <c r="V142" s="252"/>
      <c r="W142" s="252"/>
      <c r="X142" s="252"/>
      <c r="Y142" s="252"/>
      <c r="Z142" s="252"/>
    </row>
    <row r="143" spans="16:26" ht="10.199999999999999" customHeight="1">
      <c r="P143" s="252"/>
      <c r="Q143" s="252"/>
      <c r="R143" s="252"/>
      <c r="S143" s="252"/>
      <c r="T143" s="252"/>
      <c r="U143" s="252"/>
      <c r="V143" s="252"/>
      <c r="W143" s="252"/>
      <c r="X143" s="252"/>
      <c r="Y143" s="252"/>
      <c r="Z143" s="252"/>
    </row>
    <row r="144" spans="16:26" ht="10.199999999999999" customHeight="1">
      <c r="P144" s="68"/>
      <c r="Q144" s="68"/>
      <c r="R144" s="68"/>
      <c r="S144" s="68"/>
      <c r="T144" s="68"/>
      <c r="U144" s="68"/>
      <c r="V144" s="68"/>
      <c r="W144" s="68"/>
      <c r="X144" s="68"/>
      <c r="Y144" s="68"/>
      <c r="Z144" s="68"/>
    </row>
    <row r="145" spans="16:26" ht="10.199999999999999" customHeight="1">
      <c r="P145" s="252"/>
      <c r="Q145" s="252"/>
      <c r="R145" s="252"/>
      <c r="S145" s="252"/>
      <c r="T145" s="252"/>
      <c r="U145" s="252"/>
      <c r="V145" s="252"/>
      <c r="W145" s="252"/>
      <c r="X145" s="252"/>
      <c r="Y145" s="252"/>
      <c r="Z145" s="252"/>
    </row>
    <row r="146" spans="16:26" ht="10.199999999999999" customHeight="1">
      <c r="P146" s="252"/>
      <c r="Q146" s="252"/>
      <c r="R146" s="252"/>
      <c r="S146" s="252"/>
      <c r="T146" s="252"/>
      <c r="U146" s="252"/>
      <c r="V146" s="252"/>
      <c r="W146" s="252"/>
      <c r="X146" s="252"/>
      <c r="Y146" s="252"/>
      <c r="Z146" s="252"/>
    </row>
    <row r="147" spans="16:26" ht="10.199999999999999" customHeight="1">
      <c r="P147" s="68"/>
      <c r="Q147" s="68"/>
      <c r="R147" s="68"/>
      <c r="S147" s="68"/>
      <c r="T147" s="68"/>
      <c r="U147" s="68"/>
      <c r="V147" s="68"/>
      <c r="W147" s="68"/>
      <c r="X147" s="68"/>
      <c r="Y147" s="68"/>
      <c r="Z147" s="68"/>
    </row>
    <row r="148" spans="16:26" ht="10.199999999999999" customHeight="1">
      <c r="P148" s="252"/>
      <c r="Q148" s="252"/>
      <c r="R148" s="252"/>
      <c r="S148" s="252"/>
      <c r="T148" s="252"/>
      <c r="U148" s="252"/>
      <c r="V148" s="252"/>
      <c r="W148" s="252"/>
      <c r="X148" s="252"/>
      <c r="Y148" s="252"/>
      <c r="Z148" s="252"/>
    </row>
    <row r="149" spans="16:26" ht="10.199999999999999" customHeight="1">
      <c r="P149" s="252"/>
      <c r="Q149" s="252"/>
      <c r="R149" s="252"/>
      <c r="S149" s="252"/>
      <c r="T149" s="252"/>
      <c r="U149" s="252"/>
      <c r="V149" s="252"/>
      <c r="W149" s="252"/>
      <c r="X149" s="252"/>
      <c r="Y149" s="252"/>
      <c r="Z149" s="252"/>
    </row>
    <row r="150" spans="16:26" ht="10.199999999999999" customHeight="1">
      <c r="P150" s="68"/>
      <c r="Q150" s="68"/>
      <c r="R150" s="68"/>
      <c r="S150" s="68"/>
      <c r="T150" s="68"/>
      <c r="U150" s="68"/>
      <c r="V150" s="68"/>
      <c r="W150" s="68"/>
      <c r="X150" s="68"/>
      <c r="Y150" s="68"/>
      <c r="Z150" s="68"/>
    </row>
    <row r="151" spans="16:26" ht="10.199999999999999" customHeight="1">
      <c r="P151" s="252"/>
      <c r="Q151" s="252"/>
      <c r="R151" s="252"/>
      <c r="S151" s="252"/>
      <c r="T151" s="252"/>
      <c r="U151" s="252"/>
      <c r="V151" s="252"/>
      <c r="W151" s="252"/>
      <c r="X151" s="252"/>
      <c r="Y151" s="252"/>
      <c r="Z151" s="252"/>
    </row>
    <row r="152" spans="16:26" ht="10.199999999999999" customHeight="1">
      <c r="P152" s="252"/>
      <c r="Q152" s="252"/>
      <c r="R152" s="252"/>
      <c r="S152" s="252"/>
      <c r="T152" s="252"/>
      <c r="U152" s="252"/>
      <c r="V152" s="252"/>
      <c r="W152" s="252"/>
      <c r="X152" s="252"/>
      <c r="Y152" s="252"/>
      <c r="Z152" s="252"/>
    </row>
    <row r="153" spans="16:26" ht="10.199999999999999" customHeight="1">
      <c r="P153" s="68"/>
      <c r="Q153" s="68"/>
      <c r="R153" s="68"/>
      <c r="S153" s="68"/>
      <c r="T153" s="68"/>
      <c r="U153" s="68"/>
      <c r="V153" s="68"/>
      <c r="W153" s="68"/>
      <c r="X153" s="68"/>
      <c r="Y153" s="68"/>
      <c r="Z153" s="68"/>
    </row>
    <row r="154" spans="16:26" ht="10.199999999999999" customHeight="1">
      <c r="P154" s="252"/>
      <c r="Q154" s="252"/>
      <c r="R154" s="252"/>
      <c r="S154" s="252"/>
      <c r="T154" s="252"/>
      <c r="U154" s="252"/>
      <c r="V154" s="252"/>
      <c r="W154" s="252"/>
      <c r="X154" s="252"/>
      <c r="Y154" s="252"/>
      <c r="Z154" s="252"/>
    </row>
    <row r="155" spans="16:26" ht="10.199999999999999" customHeight="1">
      <c r="P155" s="252"/>
      <c r="Q155" s="252"/>
      <c r="R155" s="252"/>
      <c r="S155" s="252"/>
      <c r="T155" s="252"/>
      <c r="U155" s="252"/>
      <c r="V155" s="252"/>
      <c r="W155" s="252"/>
      <c r="X155" s="252"/>
      <c r="Y155" s="252"/>
      <c r="Z155" s="252"/>
    </row>
    <row r="156" spans="16:26" ht="10.199999999999999" customHeight="1">
      <c r="P156" s="68"/>
      <c r="Q156" s="68"/>
      <c r="R156" s="68"/>
      <c r="S156" s="68"/>
      <c r="T156" s="68"/>
      <c r="U156" s="68"/>
      <c r="V156" s="68"/>
      <c r="W156" s="68"/>
      <c r="X156" s="68"/>
      <c r="Y156" s="68"/>
      <c r="Z156" s="68"/>
    </row>
    <row r="157" spans="16:26" ht="10.199999999999999" customHeight="1">
      <c r="P157" s="252"/>
      <c r="Q157" s="252"/>
      <c r="R157" s="252"/>
      <c r="S157" s="252"/>
      <c r="T157" s="252"/>
      <c r="U157" s="252"/>
      <c r="V157" s="252"/>
      <c r="W157" s="252"/>
      <c r="X157" s="252"/>
      <c r="Y157" s="252"/>
      <c r="Z157" s="252"/>
    </row>
    <row r="158" spans="16:26" ht="10.199999999999999" customHeight="1">
      <c r="P158" s="252"/>
      <c r="Q158" s="252"/>
      <c r="R158" s="252"/>
      <c r="S158" s="252"/>
      <c r="T158" s="252"/>
      <c r="U158" s="252"/>
      <c r="V158" s="252"/>
      <c r="W158" s="252"/>
      <c r="X158" s="252"/>
      <c r="Y158" s="252"/>
      <c r="Z158" s="252"/>
    </row>
    <row r="159" spans="16:26" ht="10.199999999999999" customHeight="1">
      <c r="P159" s="68"/>
      <c r="Q159" s="68"/>
      <c r="R159" s="68"/>
      <c r="S159" s="68"/>
      <c r="T159" s="68"/>
      <c r="U159" s="68"/>
      <c r="V159" s="68"/>
      <c r="W159" s="68"/>
      <c r="X159" s="68"/>
      <c r="Y159" s="68"/>
      <c r="Z159" s="68"/>
    </row>
    <row r="160" spans="16:26" ht="10.199999999999999" customHeight="1">
      <c r="P160" s="252"/>
      <c r="Q160" s="252"/>
      <c r="R160" s="252"/>
      <c r="S160" s="252"/>
      <c r="T160" s="252"/>
      <c r="U160" s="252"/>
      <c r="V160" s="252"/>
      <c r="W160" s="252"/>
      <c r="X160" s="252"/>
      <c r="Y160" s="252"/>
      <c r="Z160" s="252"/>
    </row>
    <row r="161" spans="16:26" ht="10.199999999999999" customHeight="1">
      <c r="P161" s="252"/>
      <c r="Q161" s="252"/>
      <c r="R161" s="252"/>
      <c r="S161" s="252"/>
      <c r="T161" s="252"/>
      <c r="U161" s="252"/>
      <c r="V161" s="252"/>
      <c r="W161" s="252"/>
      <c r="X161" s="252"/>
      <c r="Y161" s="252"/>
      <c r="Z161" s="252"/>
    </row>
    <row r="162" spans="16:26" ht="10.199999999999999" customHeight="1">
      <c r="P162" s="68"/>
      <c r="Q162" s="68"/>
      <c r="R162" s="68"/>
      <c r="S162" s="68"/>
      <c r="T162" s="68"/>
      <c r="U162" s="68"/>
      <c r="V162" s="68"/>
      <c r="W162" s="68"/>
      <c r="X162" s="68"/>
      <c r="Y162" s="68"/>
      <c r="Z162" s="68"/>
    </row>
    <row r="163" spans="16:26" ht="10.199999999999999" customHeight="1">
      <c r="P163" s="252"/>
      <c r="Q163" s="252"/>
      <c r="R163" s="252"/>
      <c r="S163" s="252"/>
      <c r="T163" s="252"/>
      <c r="U163" s="252"/>
      <c r="V163" s="252"/>
      <c r="W163" s="252"/>
      <c r="X163" s="252"/>
      <c r="Y163" s="252"/>
      <c r="Z163" s="252"/>
    </row>
    <row r="164" spans="16:26" ht="10.199999999999999" customHeight="1">
      <c r="P164" s="252"/>
      <c r="Q164" s="252"/>
      <c r="R164" s="252"/>
      <c r="S164" s="252"/>
      <c r="T164" s="252"/>
      <c r="U164" s="252"/>
      <c r="V164" s="252"/>
      <c r="W164" s="252"/>
      <c r="X164" s="252"/>
      <c r="Y164" s="252"/>
      <c r="Z164" s="252"/>
    </row>
    <row r="165" spans="16:26" ht="10.199999999999999" customHeight="1">
      <c r="P165" s="68"/>
      <c r="Q165" s="68"/>
      <c r="R165" s="68"/>
      <c r="S165" s="68"/>
      <c r="T165" s="68"/>
      <c r="U165" s="68"/>
      <c r="V165" s="68"/>
      <c r="W165" s="68"/>
      <c r="X165" s="68"/>
      <c r="Y165" s="68"/>
      <c r="Z165" s="68"/>
    </row>
    <row r="166" spans="16:26" ht="10.199999999999999" customHeight="1">
      <c r="P166" s="252"/>
      <c r="Q166" s="252"/>
      <c r="R166" s="252"/>
      <c r="S166" s="252"/>
      <c r="T166" s="252"/>
      <c r="U166" s="252"/>
      <c r="V166" s="252"/>
      <c r="W166" s="252"/>
      <c r="X166" s="252"/>
      <c r="Y166" s="252"/>
      <c r="Z166" s="252"/>
    </row>
    <row r="167" spans="16:26" ht="10.199999999999999" customHeight="1">
      <c r="P167" s="252"/>
      <c r="Q167" s="252"/>
      <c r="R167" s="252"/>
      <c r="S167" s="252"/>
      <c r="T167" s="252"/>
      <c r="U167" s="252"/>
      <c r="V167" s="252"/>
      <c r="W167" s="252"/>
      <c r="X167" s="252"/>
      <c r="Y167" s="252"/>
      <c r="Z167" s="252"/>
    </row>
    <row r="168" spans="16:26" ht="10.199999999999999" customHeight="1">
      <c r="P168" s="68"/>
      <c r="Q168" s="68"/>
      <c r="R168" s="68"/>
      <c r="S168" s="68"/>
      <c r="T168" s="68"/>
      <c r="U168" s="68"/>
      <c r="V168" s="68"/>
      <c r="W168" s="68"/>
      <c r="X168" s="68"/>
      <c r="Y168" s="68"/>
      <c r="Z168" s="68"/>
    </row>
    <row r="169" spans="16:26" ht="10.199999999999999" customHeight="1">
      <c r="P169" s="252"/>
      <c r="Q169" s="252"/>
      <c r="R169" s="252"/>
      <c r="S169" s="252"/>
      <c r="T169" s="252"/>
      <c r="U169" s="252"/>
      <c r="V169" s="252"/>
      <c r="W169" s="252"/>
      <c r="X169" s="252"/>
      <c r="Y169" s="252"/>
      <c r="Z169" s="252"/>
    </row>
    <row r="170" spans="16:26" ht="10.199999999999999" customHeight="1">
      <c r="P170" s="252"/>
      <c r="Q170" s="252"/>
      <c r="R170" s="252"/>
      <c r="S170" s="252"/>
      <c r="T170" s="252"/>
      <c r="U170" s="252"/>
      <c r="V170" s="252"/>
      <c r="W170" s="252"/>
      <c r="X170" s="252"/>
      <c r="Y170" s="252"/>
      <c r="Z170" s="252"/>
    </row>
    <row r="171" spans="16:26" ht="10.199999999999999" customHeight="1">
      <c r="P171" s="68"/>
      <c r="Q171" s="68"/>
      <c r="R171" s="68"/>
      <c r="S171" s="68"/>
      <c r="T171" s="68"/>
      <c r="U171" s="68"/>
      <c r="V171" s="68"/>
      <c r="W171" s="68"/>
      <c r="X171" s="68"/>
      <c r="Y171" s="68"/>
      <c r="Z171" s="68"/>
    </row>
    <row r="172" spans="16:26" ht="10.199999999999999" customHeight="1">
      <c r="P172" s="252"/>
      <c r="Q172" s="252"/>
      <c r="R172" s="252"/>
      <c r="S172" s="252"/>
      <c r="T172" s="252"/>
      <c r="U172" s="252"/>
      <c r="V172" s="252"/>
      <c r="W172" s="252"/>
      <c r="X172" s="252"/>
      <c r="Y172" s="252"/>
      <c r="Z172" s="252"/>
    </row>
    <row r="173" spans="16:26" ht="10.199999999999999" customHeight="1">
      <c r="P173" s="252"/>
      <c r="Q173" s="252"/>
      <c r="R173" s="252"/>
      <c r="S173" s="252"/>
      <c r="T173" s="252"/>
      <c r="U173" s="252"/>
      <c r="V173" s="252"/>
      <c r="W173" s="252"/>
      <c r="X173" s="252"/>
      <c r="Y173" s="252"/>
      <c r="Z173" s="252"/>
    </row>
    <row r="174" spans="16:26" ht="10.199999999999999" customHeight="1">
      <c r="P174" s="68"/>
      <c r="Q174" s="68"/>
      <c r="R174" s="68"/>
      <c r="S174" s="68"/>
      <c r="T174" s="68"/>
      <c r="U174" s="68"/>
      <c r="V174" s="68"/>
      <c r="W174" s="68"/>
      <c r="X174" s="68"/>
      <c r="Y174" s="68"/>
      <c r="Z174" s="68"/>
    </row>
    <row r="175" spans="16:26" ht="10.199999999999999" customHeight="1">
      <c r="P175" s="252"/>
      <c r="Q175" s="252"/>
      <c r="R175" s="252"/>
      <c r="S175" s="252"/>
      <c r="T175" s="252"/>
      <c r="U175" s="252"/>
      <c r="V175" s="252"/>
      <c r="W175" s="252"/>
      <c r="X175" s="252"/>
      <c r="Y175" s="252"/>
      <c r="Z175" s="252"/>
    </row>
    <row r="176" spans="16:26" ht="10.199999999999999" customHeight="1">
      <c r="P176" s="252"/>
      <c r="Q176" s="252"/>
      <c r="R176" s="252"/>
      <c r="S176" s="252"/>
      <c r="T176" s="252"/>
      <c r="U176" s="252"/>
      <c r="V176" s="252"/>
      <c r="W176" s="252"/>
      <c r="X176" s="252"/>
      <c r="Y176" s="252"/>
      <c r="Z176" s="252"/>
    </row>
    <row r="177" spans="16:26" ht="10.199999999999999" customHeight="1">
      <c r="P177" s="68"/>
      <c r="Q177" s="68"/>
      <c r="R177" s="68"/>
      <c r="S177" s="68"/>
      <c r="T177" s="68"/>
      <c r="U177" s="68"/>
      <c r="V177" s="68"/>
      <c r="W177" s="68"/>
      <c r="X177" s="68"/>
      <c r="Y177" s="68"/>
      <c r="Z177" s="68"/>
    </row>
    <row r="178" spans="16:26" ht="10.199999999999999" customHeight="1">
      <c r="P178" s="252"/>
      <c r="Q178" s="252"/>
      <c r="R178" s="252"/>
      <c r="S178" s="252"/>
      <c r="T178" s="252"/>
      <c r="U178" s="252"/>
      <c r="V178" s="252"/>
      <c r="W178" s="252"/>
      <c r="X178" s="252"/>
      <c r="Y178" s="252"/>
      <c r="Z178" s="252"/>
    </row>
    <row r="179" spans="16:26" ht="10.199999999999999" customHeight="1">
      <c r="P179" s="252"/>
      <c r="Q179" s="252"/>
      <c r="R179" s="252"/>
      <c r="S179" s="252"/>
      <c r="T179" s="252"/>
      <c r="U179" s="252"/>
      <c r="V179" s="252"/>
      <c r="W179" s="252"/>
      <c r="X179" s="252"/>
      <c r="Y179" s="252"/>
      <c r="Z179" s="252"/>
    </row>
    <row r="180" spans="16:26" ht="10.199999999999999" customHeight="1">
      <c r="P180" s="68"/>
      <c r="Q180" s="68"/>
      <c r="R180" s="68"/>
      <c r="S180" s="68"/>
      <c r="T180" s="68"/>
      <c r="U180" s="68"/>
      <c r="V180" s="68"/>
      <c r="W180" s="68"/>
      <c r="X180" s="68"/>
      <c r="Y180" s="68"/>
      <c r="Z180" s="68"/>
    </row>
    <row r="181" spans="16:26" ht="10.199999999999999" customHeight="1">
      <c r="P181" s="252"/>
      <c r="Q181" s="252"/>
      <c r="R181" s="252"/>
      <c r="S181" s="252"/>
      <c r="T181" s="252"/>
      <c r="U181" s="252"/>
      <c r="V181" s="252"/>
      <c r="W181" s="252"/>
      <c r="X181" s="252"/>
      <c r="Y181" s="252"/>
      <c r="Z181" s="252"/>
    </row>
    <row r="182" spans="16:26" ht="10.199999999999999" customHeight="1">
      <c r="P182" s="252"/>
      <c r="Q182" s="252"/>
      <c r="R182" s="252"/>
      <c r="S182" s="252"/>
      <c r="T182" s="252"/>
      <c r="U182" s="252"/>
      <c r="V182" s="252"/>
      <c r="W182" s="252"/>
      <c r="X182" s="252"/>
      <c r="Y182" s="252"/>
      <c r="Z182" s="252"/>
    </row>
    <row r="183" spans="16:26" ht="10.199999999999999" customHeight="1">
      <c r="P183" s="68"/>
      <c r="Q183" s="68"/>
      <c r="R183" s="68"/>
      <c r="S183" s="68"/>
      <c r="T183" s="68"/>
      <c r="U183" s="68"/>
      <c r="V183" s="68"/>
      <c r="W183" s="68"/>
      <c r="X183" s="68"/>
      <c r="Y183" s="68"/>
      <c r="Z183" s="68"/>
    </row>
    <row r="184" spans="16:26" ht="10.199999999999999" customHeight="1">
      <c r="P184" s="252"/>
      <c r="Q184" s="252"/>
      <c r="R184" s="252"/>
      <c r="S184" s="252"/>
      <c r="T184" s="252"/>
      <c r="U184" s="252"/>
      <c r="V184" s="252"/>
      <c r="W184" s="252"/>
      <c r="X184" s="252"/>
      <c r="Y184" s="252"/>
      <c r="Z184" s="252"/>
    </row>
    <row r="185" spans="16:26" ht="10.199999999999999" customHeight="1">
      <c r="P185" s="252"/>
      <c r="Q185" s="252"/>
      <c r="R185" s="252"/>
      <c r="S185" s="252"/>
      <c r="T185" s="252"/>
      <c r="U185" s="252"/>
      <c r="V185" s="252"/>
      <c r="W185" s="252"/>
      <c r="X185" s="252"/>
      <c r="Y185" s="252"/>
      <c r="Z185" s="252"/>
    </row>
    <row r="186" spans="16:26" ht="10.199999999999999" customHeight="1">
      <c r="P186" s="68"/>
      <c r="Q186" s="68"/>
      <c r="R186" s="68"/>
      <c r="S186" s="68"/>
      <c r="T186" s="68"/>
      <c r="U186" s="68"/>
      <c r="V186" s="68"/>
      <c r="W186" s="68"/>
      <c r="X186" s="68"/>
      <c r="Y186" s="68"/>
      <c r="Z186" s="68"/>
    </row>
    <row r="187" spans="16:26" ht="10.199999999999999" customHeight="1">
      <c r="P187" s="252"/>
      <c r="Q187" s="252"/>
      <c r="R187" s="252"/>
      <c r="S187" s="252"/>
      <c r="T187" s="252"/>
      <c r="U187" s="252"/>
      <c r="V187" s="252"/>
      <c r="W187" s="252"/>
      <c r="X187" s="252"/>
      <c r="Y187" s="252"/>
      <c r="Z187" s="252"/>
    </row>
    <row r="188" spans="16:26" ht="10.199999999999999" customHeight="1">
      <c r="P188" s="252"/>
      <c r="Q188" s="252"/>
      <c r="R188" s="252"/>
      <c r="S188" s="252"/>
      <c r="T188" s="252"/>
      <c r="U188" s="252"/>
      <c r="V188" s="252"/>
      <c r="W188" s="252"/>
      <c r="X188" s="252"/>
      <c r="Y188" s="252"/>
      <c r="Z188" s="252"/>
    </row>
    <row r="189" spans="16:26" ht="10.199999999999999" customHeight="1">
      <c r="P189" s="68"/>
      <c r="Q189" s="68"/>
      <c r="R189" s="68"/>
      <c r="S189" s="68"/>
      <c r="T189" s="68"/>
      <c r="U189" s="68"/>
      <c r="V189" s="68"/>
      <c r="W189" s="68"/>
      <c r="X189" s="68"/>
      <c r="Y189" s="68"/>
      <c r="Z189" s="68"/>
    </row>
    <row r="190" spans="16:26" ht="10.199999999999999" customHeight="1">
      <c r="P190" s="252"/>
      <c r="Q190" s="252"/>
      <c r="R190" s="252"/>
      <c r="S190" s="252"/>
      <c r="T190" s="252"/>
      <c r="U190" s="252"/>
      <c r="V190" s="252"/>
      <c r="W190" s="252"/>
      <c r="X190" s="252"/>
      <c r="Y190" s="252"/>
      <c r="Z190" s="252"/>
    </row>
    <row r="191" spans="16:26" ht="10.199999999999999" customHeight="1">
      <c r="P191" s="252"/>
      <c r="Q191" s="252"/>
      <c r="R191" s="252"/>
      <c r="S191" s="252"/>
      <c r="T191" s="252"/>
      <c r="U191" s="252"/>
      <c r="V191" s="252"/>
      <c r="W191" s="252"/>
      <c r="X191" s="252"/>
      <c r="Y191" s="252"/>
      <c r="Z191" s="252"/>
    </row>
    <row r="192" spans="16:26" ht="10.199999999999999" customHeight="1">
      <c r="P192" s="68"/>
      <c r="Q192" s="68"/>
      <c r="R192" s="68"/>
      <c r="S192" s="68"/>
      <c r="T192" s="68"/>
      <c r="U192" s="68"/>
      <c r="V192" s="68"/>
      <c r="W192" s="68"/>
      <c r="X192" s="68"/>
      <c r="Y192" s="68"/>
      <c r="Z192" s="68"/>
    </row>
    <row r="193" spans="16:26" ht="10.199999999999999" customHeight="1">
      <c r="P193" s="252"/>
      <c r="Q193" s="252"/>
      <c r="R193" s="252"/>
      <c r="S193" s="252"/>
      <c r="T193" s="252"/>
      <c r="U193" s="252"/>
      <c r="V193" s="252"/>
      <c r="W193" s="252"/>
      <c r="X193" s="252"/>
      <c r="Y193" s="252"/>
      <c r="Z193" s="252"/>
    </row>
    <row r="194" spans="16:26" ht="10.199999999999999" customHeight="1">
      <c r="P194" s="252"/>
      <c r="Q194" s="252"/>
      <c r="R194" s="252"/>
      <c r="S194" s="252"/>
      <c r="T194" s="252"/>
      <c r="U194" s="252"/>
      <c r="V194" s="252"/>
      <c r="W194" s="252"/>
      <c r="X194" s="252"/>
      <c r="Y194" s="252"/>
      <c r="Z194" s="252"/>
    </row>
    <row r="195" spans="16:26" ht="10.199999999999999" customHeight="1">
      <c r="P195" s="68"/>
      <c r="Q195" s="68"/>
      <c r="R195" s="68"/>
      <c r="S195" s="68"/>
      <c r="T195" s="68"/>
      <c r="U195" s="68"/>
      <c r="V195" s="68"/>
      <c r="W195" s="68"/>
      <c r="X195" s="68"/>
      <c r="Y195" s="68"/>
      <c r="Z195" s="68"/>
    </row>
    <row r="196" spans="16:26" ht="10.199999999999999" customHeight="1">
      <c r="P196" s="252"/>
      <c r="Q196" s="252"/>
      <c r="R196" s="252"/>
      <c r="S196" s="252"/>
      <c r="T196" s="252"/>
      <c r="U196" s="252"/>
      <c r="V196" s="252"/>
      <c r="W196" s="252"/>
      <c r="X196" s="252"/>
      <c r="Y196" s="252"/>
      <c r="Z196" s="252"/>
    </row>
    <row r="197" spans="16:26" ht="10.199999999999999" customHeight="1">
      <c r="P197" s="252"/>
      <c r="Q197" s="252"/>
      <c r="R197" s="252"/>
      <c r="S197" s="252"/>
      <c r="T197" s="252"/>
      <c r="U197" s="252"/>
      <c r="V197" s="252"/>
      <c r="W197" s="252"/>
      <c r="X197" s="252"/>
      <c r="Y197" s="252"/>
      <c r="Z197" s="252"/>
    </row>
    <row r="198" spans="16:26" ht="10.199999999999999" customHeight="1">
      <c r="P198" s="68"/>
      <c r="Q198" s="68"/>
      <c r="R198" s="68"/>
      <c r="S198" s="68"/>
      <c r="T198" s="68"/>
      <c r="U198" s="68"/>
      <c r="V198" s="68"/>
      <c r="W198" s="68"/>
      <c r="X198" s="68"/>
      <c r="Y198" s="68"/>
      <c r="Z198" s="68"/>
    </row>
    <row r="199" spans="16:26" ht="10.199999999999999" customHeight="1">
      <c r="P199" s="252"/>
      <c r="Q199" s="252"/>
      <c r="R199" s="252"/>
      <c r="S199" s="252"/>
      <c r="T199" s="252"/>
      <c r="U199" s="252"/>
      <c r="V199" s="252"/>
      <c r="W199" s="252"/>
      <c r="X199" s="252"/>
      <c r="Y199" s="252"/>
      <c r="Z199" s="252"/>
    </row>
    <row r="200" spans="16:26" ht="10.199999999999999" customHeight="1">
      <c r="P200" s="252"/>
      <c r="Q200" s="252"/>
      <c r="R200" s="252"/>
      <c r="S200" s="252"/>
      <c r="T200" s="252"/>
      <c r="U200" s="252"/>
      <c r="V200" s="252"/>
      <c r="W200" s="252"/>
      <c r="X200" s="252"/>
      <c r="Y200" s="252"/>
      <c r="Z200" s="252"/>
    </row>
    <row r="201" spans="16:26" ht="10.199999999999999" customHeight="1">
      <c r="P201" s="68"/>
      <c r="Q201" s="68"/>
      <c r="R201" s="68"/>
      <c r="S201" s="68"/>
      <c r="T201" s="68"/>
      <c r="U201" s="68"/>
      <c r="V201" s="68"/>
      <c r="W201" s="68"/>
      <c r="X201" s="68"/>
      <c r="Y201" s="68"/>
      <c r="Z201" s="68"/>
    </row>
    <row r="202" spans="16:26" ht="10.199999999999999" customHeight="1">
      <c r="P202" s="252"/>
      <c r="Q202" s="252"/>
      <c r="R202" s="252"/>
      <c r="S202" s="252"/>
      <c r="T202" s="252"/>
      <c r="U202" s="252"/>
      <c r="V202" s="252"/>
      <c r="W202" s="252"/>
      <c r="X202" s="252"/>
      <c r="Y202" s="252"/>
      <c r="Z202" s="252"/>
    </row>
    <row r="203" spans="16:26" ht="10.199999999999999" customHeight="1">
      <c r="P203" s="252"/>
      <c r="Q203" s="252"/>
      <c r="R203" s="252"/>
      <c r="S203" s="252"/>
      <c r="T203" s="252"/>
      <c r="U203" s="252"/>
      <c r="V203" s="252"/>
      <c r="W203" s="252"/>
      <c r="X203" s="252"/>
      <c r="Y203" s="252"/>
      <c r="Z203" s="252"/>
    </row>
    <row r="204" spans="16:26" ht="10.199999999999999" customHeight="1">
      <c r="P204" s="68"/>
      <c r="Q204" s="68"/>
      <c r="R204" s="68"/>
      <c r="S204" s="68"/>
      <c r="T204" s="68"/>
      <c r="U204" s="68"/>
      <c r="V204" s="68"/>
      <c r="W204" s="68"/>
      <c r="X204" s="68"/>
      <c r="Y204" s="68"/>
      <c r="Z204" s="68"/>
    </row>
    <row r="205" spans="16:26" ht="10.199999999999999" customHeight="1">
      <c r="P205" s="252"/>
      <c r="Q205" s="252"/>
      <c r="R205" s="252"/>
      <c r="S205" s="252"/>
      <c r="T205" s="252"/>
      <c r="U205" s="252"/>
      <c r="V205" s="252"/>
      <c r="W205" s="252"/>
      <c r="X205" s="252"/>
      <c r="Y205" s="252"/>
      <c r="Z205" s="252"/>
    </row>
    <row r="206" spans="16:26" ht="10.199999999999999" customHeight="1">
      <c r="P206" s="252"/>
      <c r="Q206" s="252"/>
      <c r="R206" s="252"/>
      <c r="S206" s="252"/>
      <c r="T206" s="252"/>
      <c r="U206" s="252"/>
      <c r="V206" s="252"/>
      <c r="W206" s="252"/>
      <c r="X206" s="252"/>
      <c r="Y206" s="252"/>
      <c r="Z206" s="252"/>
    </row>
    <row r="207" spans="16:26" ht="10.199999999999999" customHeight="1">
      <c r="P207" s="68"/>
      <c r="Q207" s="68"/>
      <c r="R207" s="68"/>
      <c r="S207" s="68"/>
      <c r="T207" s="68"/>
      <c r="U207" s="68"/>
      <c r="V207" s="68"/>
      <c r="W207" s="68"/>
      <c r="X207" s="68"/>
      <c r="Y207" s="68"/>
      <c r="Z207" s="68"/>
    </row>
    <row r="208" spans="16:26" ht="10.199999999999999" customHeight="1">
      <c r="P208" s="252"/>
      <c r="Q208" s="252"/>
      <c r="R208" s="252"/>
      <c r="S208" s="252"/>
      <c r="T208" s="252"/>
      <c r="U208" s="252"/>
      <c r="V208" s="252"/>
      <c r="W208" s="252"/>
      <c r="X208" s="252"/>
      <c r="Y208" s="252"/>
      <c r="Z208" s="252"/>
    </row>
    <row r="209" spans="16:26" ht="10.199999999999999" customHeight="1">
      <c r="P209" s="252"/>
      <c r="Q209" s="252"/>
      <c r="R209" s="252"/>
      <c r="S209" s="252"/>
      <c r="T209" s="252"/>
      <c r="U209" s="252"/>
      <c r="V209" s="252"/>
      <c r="W209" s="252"/>
      <c r="X209" s="252"/>
      <c r="Y209" s="252"/>
      <c r="Z209" s="252"/>
    </row>
    <row r="210" spans="16:26" ht="10.199999999999999" customHeight="1">
      <c r="P210" s="68"/>
      <c r="Q210" s="68"/>
      <c r="R210" s="68"/>
      <c r="S210" s="68"/>
      <c r="T210" s="68"/>
      <c r="U210" s="68"/>
      <c r="V210" s="68"/>
      <c r="W210" s="68"/>
      <c r="X210" s="68"/>
      <c r="Y210" s="68"/>
      <c r="Z210" s="68"/>
    </row>
    <row r="211" spans="16:26" ht="10.199999999999999" customHeight="1">
      <c r="P211" s="252"/>
      <c r="Q211" s="252"/>
      <c r="R211" s="252"/>
      <c r="S211" s="252"/>
      <c r="T211" s="252"/>
      <c r="U211" s="252"/>
      <c r="V211" s="252"/>
      <c r="W211" s="252"/>
      <c r="X211" s="252"/>
      <c r="Y211" s="252"/>
      <c r="Z211" s="252"/>
    </row>
    <row r="212" spans="16:26" ht="10.199999999999999" customHeight="1">
      <c r="P212" s="252"/>
      <c r="Q212" s="252"/>
      <c r="R212" s="252"/>
      <c r="S212" s="252"/>
      <c r="T212" s="252"/>
      <c r="U212" s="252"/>
      <c r="V212" s="252"/>
      <c r="W212" s="252"/>
      <c r="X212" s="252"/>
      <c r="Y212" s="252"/>
      <c r="Z212" s="252"/>
    </row>
    <row r="213" spans="16:26" ht="10.199999999999999" customHeight="1">
      <c r="P213" s="68"/>
      <c r="Q213" s="68"/>
      <c r="R213" s="68"/>
      <c r="S213" s="68"/>
      <c r="T213" s="68"/>
      <c r="U213" s="68"/>
      <c r="V213" s="68"/>
      <c r="W213" s="68"/>
      <c r="X213" s="68"/>
      <c r="Y213" s="68"/>
      <c r="Z213" s="68"/>
    </row>
    <row r="214" spans="16:26" ht="10.199999999999999" customHeight="1">
      <c r="P214" s="252"/>
      <c r="Q214" s="252"/>
      <c r="R214" s="252"/>
      <c r="S214" s="252"/>
      <c r="T214" s="252"/>
      <c r="U214" s="252"/>
      <c r="V214" s="252"/>
      <c r="W214" s="252"/>
      <c r="X214" s="252"/>
      <c r="Y214" s="252"/>
      <c r="Z214" s="252"/>
    </row>
    <row r="215" spans="16:26" ht="10.199999999999999" customHeight="1">
      <c r="P215" s="252"/>
      <c r="Q215" s="252"/>
      <c r="R215" s="252"/>
      <c r="S215" s="252"/>
      <c r="T215" s="252"/>
      <c r="U215" s="252"/>
      <c r="V215" s="252"/>
      <c r="W215" s="252"/>
      <c r="X215" s="252"/>
      <c r="Y215" s="252"/>
      <c r="Z215" s="252"/>
    </row>
    <row r="216" spans="16:26" ht="10.199999999999999" customHeight="1">
      <c r="P216" s="68"/>
      <c r="Q216" s="68"/>
      <c r="R216" s="68"/>
      <c r="S216" s="68"/>
      <c r="T216" s="68"/>
      <c r="U216" s="68"/>
      <c r="V216" s="68"/>
      <c r="W216" s="68"/>
      <c r="X216" s="68"/>
      <c r="Y216" s="68"/>
      <c r="Z216" s="68"/>
    </row>
    <row r="217" spans="16:26" ht="10.199999999999999" customHeight="1">
      <c r="P217" s="252"/>
      <c r="Q217" s="252"/>
      <c r="R217" s="252"/>
      <c r="S217" s="252"/>
      <c r="T217" s="252"/>
      <c r="U217" s="252"/>
      <c r="V217" s="252"/>
      <c r="W217" s="252"/>
      <c r="X217" s="252"/>
      <c r="Y217" s="252"/>
      <c r="Z217" s="252"/>
    </row>
    <row r="218" spans="16:26" ht="10.199999999999999" customHeight="1">
      <c r="P218" s="252"/>
      <c r="Q218" s="252"/>
      <c r="R218" s="252"/>
      <c r="S218" s="252"/>
      <c r="T218" s="252"/>
      <c r="U218" s="252"/>
      <c r="V218" s="252"/>
      <c r="W218" s="252"/>
      <c r="X218" s="252"/>
      <c r="Y218" s="252"/>
      <c r="Z218" s="252"/>
    </row>
    <row r="219" spans="16:26" ht="10.199999999999999" customHeight="1">
      <c r="P219" s="68"/>
      <c r="Q219" s="68"/>
      <c r="R219" s="68"/>
      <c r="S219" s="68"/>
      <c r="T219" s="68"/>
      <c r="U219" s="68"/>
      <c r="V219" s="68"/>
      <c r="W219" s="68"/>
      <c r="X219" s="68"/>
      <c r="Y219" s="68"/>
      <c r="Z219" s="68"/>
    </row>
    <row r="220" spans="16:26" ht="10.199999999999999" customHeight="1">
      <c r="P220" s="252"/>
      <c r="Q220" s="252"/>
      <c r="R220" s="252"/>
      <c r="S220" s="252"/>
      <c r="T220" s="252"/>
      <c r="U220" s="252"/>
      <c r="V220" s="252"/>
      <c r="W220" s="252"/>
      <c r="X220" s="252"/>
      <c r="Y220" s="252"/>
      <c r="Z220" s="252"/>
    </row>
    <row r="221" spans="16:26" ht="10.199999999999999" customHeight="1">
      <c r="P221" s="252"/>
      <c r="Q221" s="252"/>
      <c r="R221" s="252"/>
      <c r="S221" s="252"/>
      <c r="T221" s="252"/>
      <c r="U221" s="252"/>
      <c r="V221" s="252"/>
      <c r="W221" s="252"/>
      <c r="X221" s="252"/>
      <c r="Y221" s="252"/>
      <c r="Z221" s="252"/>
    </row>
    <row r="222" spans="16:26" ht="10.199999999999999" customHeight="1">
      <c r="P222" s="68"/>
      <c r="Q222" s="68"/>
      <c r="R222" s="68"/>
      <c r="S222" s="68"/>
      <c r="T222" s="68"/>
      <c r="U222" s="68"/>
      <c r="V222" s="68"/>
      <c r="W222" s="68"/>
      <c r="X222" s="68"/>
      <c r="Y222" s="68"/>
      <c r="Z222" s="68"/>
    </row>
    <row r="223" spans="16:26" ht="10.199999999999999" customHeight="1">
      <c r="P223" s="252"/>
      <c r="Q223" s="252"/>
      <c r="R223" s="252"/>
      <c r="S223" s="252"/>
      <c r="T223" s="252"/>
      <c r="U223" s="252"/>
      <c r="V223" s="252"/>
      <c r="W223" s="252"/>
      <c r="X223" s="252"/>
      <c r="Y223" s="252"/>
      <c r="Z223" s="252"/>
    </row>
    <row r="224" spans="16:26" ht="10.199999999999999" customHeight="1">
      <c r="P224" s="252"/>
      <c r="Q224" s="252"/>
      <c r="R224" s="252"/>
      <c r="S224" s="252"/>
      <c r="T224" s="252"/>
      <c r="U224" s="252"/>
      <c r="V224" s="252"/>
      <c r="W224" s="252"/>
      <c r="X224" s="252"/>
      <c r="Y224" s="252"/>
      <c r="Z224" s="252"/>
    </row>
    <row r="225" spans="16:26" ht="10.199999999999999" customHeight="1">
      <c r="P225" s="68"/>
      <c r="Q225" s="68"/>
      <c r="R225" s="68"/>
      <c r="S225" s="68"/>
      <c r="T225" s="68"/>
      <c r="U225" s="68"/>
      <c r="V225" s="68"/>
      <c r="W225" s="68"/>
      <c r="X225" s="68"/>
      <c r="Y225" s="68"/>
      <c r="Z225" s="68"/>
    </row>
    <row r="226" spans="16:26" ht="10.199999999999999" customHeight="1">
      <c r="P226" s="252"/>
      <c r="Q226" s="252"/>
      <c r="R226" s="252"/>
      <c r="S226" s="252"/>
      <c r="T226" s="252"/>
      <c r="U226" s="252"/>
      <c r="V226" s="252"/>
      <c r="W226" s="252"/>
      <c r="X226" s="252"/>
      <c r="Y226" s="252"/>
      <c r="Z226" s="252"/>
    </row>
    <row r="227" spans="16:26" ht="10.199999999999999" customHeight="1">
      <c r="P227" s="252"/>
      <c r="Q227" s="252"/>
      <c r="R227" s="252"/>
      <c r="S227" s="252"/>
      <c r="T227" s="252"/>
      <c r="U227" s="252"/>
      <c r="V227" s="252"/>
      <c r="W227" s="252"/>
      <c r="X227" s="252"/>
      <c r="Y227" s="252"/>
      <c r="Z227" s="252"/>
    </row>
    <row r="228" spans="16:26" ht="10.199999999999999" customHeight="1">
      <c r="P228" s="68"/>
      <c r="Q228" s="68"/>
      <c r="R228" s="68"/>
      <c r="S228" s="68"/>
      <c r="T228" s="68"/>
      <c r="U228" s="68"/>
      <c r="V228" s="68"/>
      <c r="W228" s="68"/>
      <c r="X228" s="68"/>
      <c r="Y228" s="68"/>
      <c r="Z228" s="68"/>
    </row>
    <row r="229" spans="16:26" ht="10.199999999999999" customHeight="1">
      <c r="P229" s="252"/>
      <c r="Q229" s="252"/>
      <c r="R229" s="252"/>
      <c r="S229" s="252"/>
      <c r="T229" s="252"/>
      <c r="U229" s="252"/>
      <c r="V229" s="252"/>
      <c r="W229" s="252"/>
      <c r="X229" s="252"/>
      <c r="Y229" s="252"/>
      <c r="Z229" s="252"/>
    </row>
    <row r="230" spans="16:26" ht="10.199999999999999" customHeight="1">
      <c r="P230" s="252"/>
      <c r="Q230" s="252"/>
      <c r="R230" s="252"/>
      <c r="S230" s="252"/>
      <c r="T230" s="252"/>
      <c r="U230" s="252"/>
      <c r="V230" s="252"/>
      <c r="W230" s="252"/>
      <c r="X230" s="252"/>
      <c r="Y230" s="252"/>
      <c r="Z230" s="252"/>
    </row>
    <row r="231" spans="16:26" ht="10.199999999999999" customHeight="1">
      <c r="P231" s="68"/>
      <c r="Q231" s="68"/>
      <c r="R231" s="68"/>
      <c r="S231" s="68"/>
      <c r="T231" s="68"/>
      <c r="U231" s="68"/>
      <c r="V231" s="68"/>
      <c r="W231" s="68"/>
      <c r="X231" s="68"/>
      <c r="Y231" s="68"/>
      <c r="Z231" s="68"/>
    </row>
    <row r="232" spans="16:26" ht="10.199999999999999" customHeight="1">
      <c r="P232" s="252"/>
      <c r="Q232" s="252"/>
      <c r="R232" s="252"/>
      <c r="S232" s="252"/>
      <c r="T232" s="252"/>
      <c r="U232" s="252"/>
      <c r="V232" s="252"/>
      <c r="W232" s="252"/>
      <c r="X232" s="252"/>
      <c r="Y232" s="252"/>
      <c r="Z232" s="252"/>
    </row>
    <row r="233" spans="16:26" ht="10.199999999999999" customHeight="1">
      <c r="P233" s="252"/>
      <c r="Q233" s="252"/>
      <c r="R233" s="252"/>
      <c r="S233" s="252"/>
      <c r="T233" s="252"/>
      <c r="U233" s="252"/>
      <c r="V233" s="252"/>
      <c r="W233" s="252"/>
      <c r="X233" s="252"/>
      <c r="Y233" s="252"/>
      <c r="Z233" s="252"/>
    </row>
    <row r="234" spans="16:26" ht="10.199999999999999" customHeight="1">
      <c r="P234" s="68"/>
      <c r="Q234" s="68"/>
      <c r="R234" s="68"/>
      <c r="S234" s="68"/>
      <c r="T234" s="68"/>
      <c r="U234" s="68"/>
      <c r="V234" s="68"/>
      <c r="W234" s="68"/>
      <c r="X234" s="68"/>
      <c r="Y234" s="68"/>
      <c r="Z234" s="68"/>
    </row>
    <row r="235" spans="16:26" ht="10.199999999999999" customHeight="1">
      <c r="P235" s="252"/>
      <c r="Q235" s="252"/>
      <c r="R235" s="252"/>
      <c r="S235" s="252"/>
      <c r="T235" s="252"/>
      <c r="U235" s="252"/>
      <c r="V235" s="252"/>
      <c r="W235" s="252"/>
      <c r="X235" s="252"/>
      <c r="Y235" s="252"/>
      <c r="Z235" s="252"/>
    </row>
    <row r="236" spans="16:26" ht="10.199999999999999" customHeight="1">
      <c r="P236" s="252"/>
      <c r="Q236" s="252"/>
      <c r="R236" s="252"/>
      <c r="S236" s="252"/>
      <c r="T236" s="252"/>
      <c r="U236" s="252"/>
      <c r="V236" s="252"/>
      <c r="W236" s="252"/>
      <c r="X236" s="252"/>
      <c r="Y236" s="252"/>
      <c r="Z236" s="252"/>
    </row>
    <row r="237" spans="16:26" ht="10.199999999999999" customHeight="1">
      <c r="P237" s="68"/>
      <c r="Q237" s="68"/>
      <c r="R237" s="68"/>
      <c r="S237" s="68"/>
      <c r="T237" s="68"/>
      <c r="U237" s="68"/>
      <c r="V237" s="68"/>
      <c r="W237" s="68"/>
      <c r="X237" s="68"/>
      <c r="Y237" s="68"/>
      <c r="Z237" s="68"/>
    </row>
    <row r="238" spans="16:26" ht="10.199999999999999" customHeight="1">
      <c r="P238" s="252"/>
      <c r="Q238" s="252"/>
      <c r="R238" s="252"/>
      <c r="S238" s="252"/>
      <c r="T238" s="252"/>
      <c r="U238" s="252"/>
      <c r="V238" s="252"/>
      <c r="W238" s="252"/>
      <c r="X238" s="252"/>
      <c r="Y238" s="252"/>
      <c r="Z238" s="252"/>
    </row>
    <row r="239" spans="16:26" ht="10.199999999999999" customHeight="1">
      <c r="P239" s="252"/>
      <c r="Q239" s="252"/>
      <c r="R239" s="252"/>
      <c r="S239" s="252"/>
      <c r="T239" s="252"/>
      <c r="U239" s="252"/>
      <c r="V239" s="252"/>
      <c r="W239" s="252"/>
      <c r="X239" s="252"/>
      <c r="Y239" s="252"/>
      <c r="Z239" s="252"/>
    </row>
    <row r="240" spans="16:26" ht="10.199999999999999" customHeight="1">
      <c r="P240" s="68"/>
      <c r="Q240" s="68"/>
      <c r="R240" s="68"/>
      <c r="S240" s="68"/>
      <c r="T240" s="68"/>
      <c r="U240" s="68"/>
      <c r="V240" s="68"/>
      <c r="W240" s="68"/>
      <c r="X240" s="68"/>
      <c r="Y240" s="68"/>
      <c r="Z240" s="68"/>
    </row>
    <row r="241" spans="16:26" ht="10.199999999999999" customHeight="1">
      <c r="P241" s="252"/>
      <c r="Q241" s="252"/>
      <c r="R241" s="252"/>
      <c r="S241" s="252"/>
      <c r="T241" s="252"/>
      <c r="U241" s="252"/>
      <c r="V241" s="252"/>
      <c r="W241" s="252"/>
      <c r="X241" s="252"/>
      <c r="Y241" s="252"/>
      <c r="Z241" s="252"/>
    </row>
    <row r="242" spans="16:26" ht="10.199999999999999" customHeight="1">
      <c r="P242" s="252"/>
      <c r="Q242" s="252"/>
      <c r="R242" s="252"/>
      <c r="S242" s="252"/>
      <c r="T242" s="252"/>
      <c r="U242" s="252"/>
      <c r="V242" s="252"/>
      <c r="W242" s="252"/>
      <c r="X242" s="252"/>
      <c r="Y242" s="252"/>
      <c r="Z242" s="252"/>
    </row>
    <row r="243" spans="16:26" ht="10.199999999999999" customHeight="1">
      <c r="P243" s="68"/>
      <c r="Q243" s="68"/>
      <c r="R243" s="68"/>
      <c r="S243" s="68"/>
      <c r="T243" s="68"/>
      <c r="U243" s="68"/>
      <c r="V243" s="68"/>
      <c r="W243" s="68"/>
      <c r="X243" s="68"/>
      <c r="Y243" s="68"/>
      <c r="Z243" s="68"/>
    </row>
    <row r="244" spans="16:26" ht="10.199999999999999" customHeight="1">
      <c r="P244" s="252"/>
      <c r="Q244" s="252"/>
      <c r="R244" s="252"/>
      <c r="S244" s="252"/>
      <c r="T244" s="252"/>
      <c r="U244" s="252"/>
      <c r="V244" s="252"/>
      <c r="W244" s="252"/>
      <c r="X244" s="252"/>
      <c r="Y244" s="252"/>
      <c r="Z244" s="252"/>
    </row>
    <row r="245" spans="16:26" ht="10.199999999999999" customHeight="1">
      <c r="P245" s="252"/>
      <c r="Q245" s="252"/>
      <c r="R245" s="252"/>
      <c r="S245" s="252"/>
      <c r="T245" s="252"/>
      <c r="U245" s="252"/>
      <c r="V245" s="252"/>
      <c r="W245" s="252"/>
      <c r="X245" s="252"/>
      <c r="Y245" s="252"/>
      <c r="Z245" s="252"/>
    </row>
    <row r="246" spans="16:26" ht="10.199999999999999" customHeight="1">
      <c r="P246" s="68"/>
      <c r="Q246" s="68"/>
      <c r="R246" s="68"/>
      <c r="S246" s="68"/>
      <c r="T246" s="68"/>
      <c r="U246" s="68"/>
      <c r="V246" s="68"/>
      <c r="W246" s="68"/>
      <c r="X246" s="68"/>
      <c r="Y246" s="68"/>
      <c r="Z246" s="68"/>
    </row>
    <row r="247" spans="16:26" ht="10.199999999999999" customHeight="1">
      <c r="P247" s="252"/>
      <c r="Q247" s="252"/>
      <c r="R247" s="252"/>
      <c r="S247" s="252"/>
      <c r="T247" s="252"/>
      <c r="U247" s="252"/>
      <c r="V247" s="252"/>
      <c r="W247" s="252"/>
      <c r="X247" s="252"/>
      <c r="Y247" s="252"/>
      <c r="Z247" s="252"/>
    </row>
    <row r="248" spans="16:26" ht="10.199999999999999" customHeight="1">
      <c r="P248" s="252"/>
      <c r="Q248" s="252"/>
      <c r="R248" s="252"/>
      <c r="S248" s="252"/>
      <c r="T248" s="252"/>
      <c r="U248" s="252"/>
      <c r="V248" s="252"/>
      <c r="W248" s="252"/>
      <c r="X248" s="252"/>
      <c r="Y248" s="252"/>
      <c r="Z248" s="252"/>
    </row>
    <row r="249" spans="16:26" ht="10.199999999999999" customHeight="1">
      <c r="P249" s="68"/>
      <c r="Q249" s="68"/>
      <c r="R249" s="68"/>
      <c r="S249" s="68"/>
      <c r="T249" s="68"/>
      <c r="U249" s="68"/>
      <c r="V249" s="68"/>
      <c r="W249" s="68"/>
      <c r="X249" s="68"/>
      <c r="Y249" s="68"/>
      <c r="Z249" s="68"/>
    </row>
    <row r="250" spans="16:26" ht="10.199999999999999" customHeight="1">
      <c r="P250" s="252"/>
      <c r="Q250" s="252"/>
      <c r="R250" s="252"/>
      <c r="S250" s="252"/>
      <c r="T250" s="252"/>
      <c r="U250" s="252"/>
      <c r="V250" s="252"/>
      <c r="W250" s="252"/>
      <c r="X250" s="252"/>
      <c r="Y250" s="252"/>
      <c r="Z250" s="252"/>
    </row>
    <row r="251" spans="16:26" ht="10.199999999999999" customHeight="1">
      <c r="P251" s="252"/>
      <c r="Q251" s="252"/>
      <c r="R251" s="252"/>
      <c r="S251" s="252"/>
      <c r="T251" s="252"/>
      <c r="U251" s="252"/>
      <c r="V251" s="252"/>
      <c r="W251" s="252"/>
      <c r="X251" s="252"/>
      <c r="Y251" s="252"/>
      <c r="Z251" s="252"/>
    </row>
    <row r="252" spans="16:26" ht="10.199999999999999" customHeight="1">
      <c r="P252" s="68"/>
      <c r="Q252" s="68"/>
      <c r="R252" s="68"/>
      <c r="S252" s="68"/>
      <c r="T252" s="68"/>
      <c r="U252" s="68"/>
      <c r="V252" s="68"/>
      <c r="W252" s="68"/>
      <c r="X252" s="68"/>
      <c r="Y252" s="68"/>
      <c r="Z252" s="68"/>
    </row>
    <row r="253" spans="16:26" ht="10.199999999999999" customHeight="1">
      <c r="P253" s="252"/>
      <c r="Q253" s="252"/>
      <c r="R253" s="252"/>
      <c r="S253" s="252"/>
      <c r="T253" s="252"/>
      <c r="U253" s="252"/>
      <c r="V253" s="252"/>
      <c r="W253" s="252"/>
      <c r="X253" s="252"/>
      <c r="Y253" s="252"/>
      <c r="Z253" s="252"/>
    </row>
    <row r="254" spans="16:26" ht="10.199999999999999" customHeight="1">
      <c r="P254" s="252"/>
      <c r="Q254" s="252"/>
      <c r="R254" s="252"/>
      <c r="S254" s="252"/>
      <c r="T254" s="252"/>
      <c r="U254" s="252"/>
      <c r="V254" s="252"/>
      <c r="W254" s="252"/>
      <c r="X254" s="252"/>
      <c r="Y254" s="252"/>
      <c r="Z254" s="252"/>
    </row>
    <row r="255" spans="16:26" ht="10.199999999999999" customHeight="1">
      <c r="P255" s="68"/>
      <c r="Q255" s="68"/>
      <c r="R255" s="68"/>
      <c r="S255" s="68"/>
      <c r="T255" s="68"/>
      <c r="U255" s="68"/>
      <c r="V255" s="68"/>
      <c r="W255" s="68"/>
      <c r="X255" s="68"/>
      <c r="Y255" s="68"/>
      <c r="Z255" s="68"/>
    </row>
    <row r="256" spans="16:26" ht="10.199999999999999" customHeight="1">
      <c r="P256" s="252"/>
      <c r="Q256" s="252"/>
      <c r="R256" s="252"/>
      <c r="S256" s="252"/>
      <c r="T256" s="252"/>
      <c r="U256" s="252"/>
      <c r="V256" s="252"/>
      <c r="W256" s="252"/>
      <c r="X256" s="252"/>
      <c r="Y256" s="252"/>
      <c r="Z256" s="252"/>
    </row>
    <row r="257" spans="16:26" ht="10.199999999999999" customHeight="1">
      <c r="P257" s="252"/>
      <c r="Q257" s="252"/>
      <c r="R257" s="252"/>
      <c r="S257" s="252"/>
      <c r="T257" s="252"/>
      <c r="U257" s="252"/>
      <c r="V257" s="252"/>
      <c r="W257" s="252"/>
      <c r="X257" s="252"/>
      <c r="Y257" s="252"/>
      <c r="Z257" s="252"/>
    </row>
    <row r="258" spans="16:26" ht="10.199999999999999" customHeight="1">
      <c r="P258" s="68"/>
      <c r="Q258" s="68"/>
      <c r="R258" s="68"/>
      <c r="S258" s="68"/>
      <c r="T258" s="68"/>
      <c r="U258" s="68"/>
      <c r="V258" s="68"/>
      <c r="W258" s="68"/>
      <c r="X258" s="68"/>
      <c r="Y258" s="68"/>
      <c r="Z258" s="68"/>
    </row>
    <row r="259" spans="16:26" ht="10.199999999999999" customHeight="1">
      <c r="P259" s="252"/>
      <c r="Q259" s="252"/>
      <c r="R259" s="252"/>
      <c r="S259" s="252"/>
      <c r="T259" s="252"/>
      <c r="U259" s="252"/>
      <c r="V259" s="252"/>
      <c r="W259" s="252"/>
      <c r="X259" s="252"/>
      <c r="Y259" s="252"/>
      <c r="Z259" s="252"/>
    </row>
    <row r="260" spans="16:26" ht="10.199999999999999" customHeight="1">
      <c r="P260" s="252"/>
      <c r="Q260" s="252"/>
      <c r="R260" s="252"/>
      <c r="S260" s="252"/>
      <c r="T260" s="252"/>
      <c r="U260" s="252"/>
      <c r="V260" s="252"/>
      <c r="W260" s="252"/>
      <c r="X260" s="252"/>
      <c r="Y260" s="252"/>
      <c r="Z260" s="252"/>
    </row>
    <row r="261" spans="16:26" ht="10.199999999999999" customHeight="1">
      <c r="P261" s="68"/>
      <c r="Q261" s="68"/>
      <c r="R261" s="68"/>
      <c r="S261" s="68"/>
      <c r="T261" s="68"/>
      <c r="U261" s="68"/>
      <c r="V261" s="68"/>
      <c r="W261" s="68"/>
      <c r="X261" s="68"/>
      <c r="Y261" s="68"/>
      <c r="Z261" s="68"/>
    </row>
    <row r="262" spans="16:26" ht="10.199999999999999" customHeight="1">
      <c r="P262" s="252"/>
      <c r="Q262" s="252"/>
      <c r="R262" s="252"/>
      <c r="S262" s="252"/>
      <c r="T262" s="252"/>
      <c r="U262" s="252"/>
      <c r="V262" s="252"/>
      <c r="W262" s="252"/>
      <c r="X262" s="252"/>
      <c r="Y262" s="252"/>
      <c r="Z262" s="252"/>
    </row>
    <row r="263" spans="16:26" ht="10.199999999999999" customHeight="1">
      <c r="P263" s="252"/>
      <c r="Q263" s="252"/>
      <c r="R263" s="252"/>
      <c r="S263" s="252"/>
      <c r="T263" s="252"/>
      <c r="U263" s="252"/>
      <c r="V263" s="252"/>
      <c r="W263" s="252"/>
      <c r="X263" s="252"/>
      <c r="Y263" s="252"/>
      <c r="Z263" s="252"/>
    </row>
    <row r="264" spans="16:26" ht="10.199999999999999" customHeight="1">
      <c r="P264" s="68"/>
      <c r="Q264" s="68"/>
      <c r="R264" s="68"/>
      <c r="S264" s="68"/>
      <c r="T264" s="68"/>
      <c r="U264" s="68"/>
      <c r="V264" s="68"/>
      <c r="W264" s="68"/>
      <c r="X264" s="68"/>
      <c r="Y264" s="68"/>
      <c r="Z264" s="68"/>
    </row>
    <row r="265" spans="16:26" ht="10.199999999999999" customHeight="1">
      <c r="P265" s="252"/>
      <c r="Q265" s="252"/>
      <c r="R265" s="252"/>
      <c r="S265" s="252"/>
      <c r="T265" s="252"/>
      <c r="U265" s="252"/>
      <c r="V265" s="252"/>
      <c r="W265" s="252"/>
      <c r="X265" s="252"/>
      <c r="Y265" s="252"/>
      <c r="Z265" s="252"/>
    </row>
    <row r="266" spans="16:26" ht="10.199999999999999" customHeight="1">
      <c r="P266" s="252"/>
      <c r="Q266" s="252"/>
      <c r="R266" s="252"/>
      <c r="S266" s="252"/>
      <c r="T266" s="252"/>
      <c r="U266" s="252"/>
      <c r="V266" s="252"/>
      <c r="W266" s="252"/>
      <c r="X266" s="252"/>
      <c r="Y266" s="252"/>
      <c r="Z266" s="252"/>
    </row>
    <row r="267" spans="16:26" ht="10.199999999999999" customHeight="1">
      <c r="P267" s="241"/>
      <c r="Q267" s="241"/>
      <c r="R267" s="241"/>
      <c r="S267" s="241"/>
      <c r="T267" s="241"/>
      <c r="U267" s="241"/>
      <c r="V267" s="241"/>
      <c r="W267" s="241"/>
      <c r="X267" s="241"/>
      <c r="Y267" s="241"/>
      <c r="Z267" s="241"/>
    </row>
    <row r="268" spans="16:26" ht="10.199999999999999" customHeight="1">
      <c r="P268" s="252"/>
      <c r="Q268" s="252"/>
      <c r="R268" s="252"/>
      <c r="S268" s="252"/>
      <c r="T268" s="252"/>
      <c r="U268" s="252"/>
      <c r="V268" s="252"/>
      <c r="W268" s="252"/>
      <c r="X268" s="252"/>
      <c r="Y268" s="252"/>
      <c r="Z268" s="252"/>
    </row>
    <row r="269" spans="16:26" ht="10.199999999999999" customHeight="1">
      <c r="P269" s="252"/>
      <c r="Q269" s="252"/>
      <c r="R269" s="252"/>
      <c r="S269" s="252"/>
      <c r="T269" s="252"/>
      <c r="U269" s="252"/>
      <c r="V269" s="252"/>
      <c r="W269" s="252"/>
      <c r="X269" s="252"/>
      <c r="Y269" s="252"/>
      <c r="Z269" s="252"/>
    </row>
    <row r="270" spans="16:26" ht="10.199999999999999" customHeight="1">
      <c r="P270" s="241"/>
      <c r="Q270" s="241"/>
      <c r="R270" s="241"/>
      <c r="S270" s="241"/>
      <c r="T270" s="241"/>
      <c r="U270" s="241"/>
      <c r="V270" s="241"/>
      <c r="W270" s="241"/>
      <c r="X270" s="241"/>
      <c r="Y270" s="241"/>
      <c r="Z270" s="241"/>
    </row>
    <row r="271" spans="16:26" ht="10.199999999999999" customHeight="1">
      <c r="P271" s="252"/>
      <c r="Q271" s="252"/>
      <c r="R271" s="252"/>
      <c r="S271" s="252"/>
      <c r="T271" s="252"/>
      <c r="U271" s="252"/>
      <c r="V271" s="252"/>
      <c r="W271" s="252"/>
      <c r="X271" s="252"/>
      <c r="Y271" s="252"/>
      <c r="Z271" s="252"/>
    </row>
    <row r="272" spans="16:26" ht="10.199999999999999" customHeight="1">
      <c r="P272" s="252"/>
      <c r="Q272" s="252"/>
      <c r="R272" s="252"/>
      <c r="S272" s="252"/>
      <c r="T272" s="252"/>
      <c r="U272" s="252"/>
      <c r="V272" s="252"/>
      <c r="W272" s="252"/>
      <c r="X272" s="252"/>
      <c r="Y272" s="252"/>
      <c r="Z272" s="252"/>
    </row>
    <row r="273" spans="16:26" ht="10.199999999999999" customHeight="1">
      <c r="P273" s="241"/>
      <c r="Q273" s="241"/>
      <c r="R273" s="241"/>
      <c r="S273" s="241"/>
      <c r="T273" s="241"/>
      <c r="U273" s="241"/>
      <c r="V273" s="241"/>
      <c r="W273" s="241"/>
      <c r="X273" s="241"/>
      <c r="Y273" s="241"/>
      <c r="Z273" s="241"/>
    </row>
    <row r="274" spans="16:26" ht="10.199999999999999" customHeight="1">
      <c r="P274" s="252"/>
      <c r="Q274" s="252"/>
      <c r="R274" s="252"/>
      <c r="S274" s="252"/>
      <c r="T274" s="252"/>
      <c r="U274" s="252"/>
      <c r="V274" s="252"/>
      <c r="W274" s="252"/>
      <c r="X274" s="252"/>
      <c r="Y274" s="252"/>
      <c r="Z274" s="252"/>
    </row>
    <row r="275" spans="16:26" ht="10.199999999999999" customHeight="1">
      <c r="P275" s="252"/>
      <c r="Q275" s="252"/>
      <c r="R275" s="252"/>
      <c r="S275" s="252"/>
      <c r="T275" s="252"/>
      <c r="U275" s="252"/>
      <c r="V275" s="252"/>
      <c r="W275" s="252"/>
      <c r="X275" s="252"/>
      <c r="Y275" s="252"/>
      <c r="Z275" s="252"/>
    </row>
    <row r="276" spans="16:26" ht="10.199999999999999" customHeight="1">
      <c r="P276" s="241"/>
      <c r="Q276" s="241"/>
      <c r="R276" s="241"/>
      <c r="S276" s="241"/>
      <c r="T276" s="241"/>
      <c r="U276" s="241"/>
      <c r="V276" s="241"/>
      <c r="W276" s="241"/>
      <c r="X276" s="241"/>
      <c r="Y276" s="241"/>
      <c r="Z276" s="241"/>
    </row>
    <row r="277" spans="16:26" ht="10.199999999999999" customHeight="1">
      <c r="P277" s="252"/>
      <c r="Q277" s="252"/>
      <c r="R277" s="252"/>
      <c r="S277" s="252"/>
      <c r="T277" s="252"/>
      <c r="U277" s="252"/>
      <c r="V277" s="252"/>
      <c r="W277" s="252"/>
      <c r="X277" s="252"/>
      <c r="Y277" s="252"/>
      <c r="Z277" s="252"/>
    </row>
    <row r="278" spans="16:26" ht="10.199999999999999" customHeight="1">
      <c r="P278" s="252"/>
      <c r="Q278" s="252"/>
      <c r="R278" s="252"/>
      <c r="S278" s="252"/>
      <c r="T278" s="252"/>
      <c r="U278" s="252"/>
      <c r="V278" s="252"/>
      <c r="W278" s="252"/>
      <c r="X278" s="252"/>
      <c r="Y278" s="252"/>
      <c r="Z278" s="252"/>
    </row>
    <row r="279" spans="16:26" ht="10.199999999999999" customHeight="1">
      <c r="P279" s="241"/>
      <c r="Q279" s="241"/>
      <c r="R279" s="241"/>
      <c r="S279" s="241"/>
      <c r="T279" s="241"/>
      <c r="U279" s="241"/>
      <c r="V279" s="241"/>
      <c r="W279" s="241"/>
      <c r="X279" s="241"/>
      <c r="Y279" s="241"/>
      <c r="Z279" s="241"/>
    </row>
    <row r="280" spans="16:26" ht="10.199999999999999" customHeight="1">
      <c r="P280" s="252"/>
      <c r="Q280" s="252"/>
      <c r="R280" s="252"/>
      <c r="S280" s="252"/>
      <c r="T280" s="252"/>
      <c r="U280" s="252"/>
      <c r="V280" s="252"/>
      <c r="W280" s="252"/>
      <c r="X280" s="252"/>
      <c r="Y280" s="252"/>
      <c r="Z280" s="252"/>
    </row>
    <row r="281" spans="16:26" ht="10.199999999999999" customHeight="1">
      <c r="P281" s="252"/>
      <c r="Q281" s="252"/>
      <c r="R281" s="252"/>
      <c r="S281" s="252"/>
      <c r="T281" s="252"/>
      <c r="U281" s="252"/>
      <c r="V281" s="252"/>
      <c r="W281" s="252"/>
      <c r="X281" s="252"/>
      <c r="Y281" s="252"/>
      <c r="Z281" s="252"/>
    </row>
    <row r="282" spans="16:26" ht="10.199999999999999" customHeight="1">
      <c r="P282" s="241"/>
      <c r="Q282" s="241"/>
      <c r="R282" s="241"/>
      <c r="S282" s="241"/>
      <c r="T282" s="241"/>
      <c r="U282" s="241"/>
      <c r="V282" s="241"/>
      <c r="W282" s="241"/>
      <c r="X282" s="241"/>
      <c r="Y282" s="241"/>
      <c r="Z282" s="241"/>
    </row>
    <row r="283" spans="16:26" ht="10.199999999999999" customHeight="1">
      <c r="P283" s="252"/>
      <c r="Q283" s="252"/>
      <c r="R283" s="252"/>
      <c r="S283" s="252"/>
      <c r="T283" s="252"/>
      <c r="U283" s="252"/>
      <c r="V283" s="252"/>
      <c r="W283" s="252"/>
      <c r="X283" s="252"/>
      <c r="Y283" s="252"/>
      <c r="Z283" s="252"/>
    </row>
    <row r="284" spans="16:26" ht="10.199999999999999" customHeight="1">
      <c r="P284" s="252"/>
      <c r="Q284" s="252"/>
      <c r="R284" s="252"/>
      <c r="S284" s="252"/>
      <c r="T284" s="252"/>
      <c r="U284" s="252"/>
      <c r="V284" s="252"/>
      <c r="W284" s="252"/>
      <c r="X284" s="252"/>
      <c r="Y284" s="252"/>
      <c r="Z284" s="252"/>
    </row>
    <row r="285" spans="16:26" ht="10.199999999999999" customHeight="1">
      <c r="P285" s="241"/>
      <c r="Q285" s="241"/>
      <c r="R285" s="241"/>
      <c r="S285" s="241"/>
      <c r="T285" s="241"/>
      <c r="U285" s="241"/>
      <c r="V285" s="241"/>
      <c r="W285" s="241"/>
      <c r="X285" s="241"/>
      <c r="Y285" s="241"/>
      <c r="Z285" s="241"/>
    </row>
    <row r="286" spans="16:26" ht="10.199999999999999" customHeight="1">
      <c r="P286" s="252"/>
      <c r="Q286" s="252"/>
      <c r="R286" s="252"/>
      <c r="S286" s="252"/>
      <c r="T286" s="252"/>
      <c r="U286" s="252"/>
      <c r="V286" s="252"/>
      <c r="W286" s="252"/>
      <c r="X286" s="252"/>
      <c r="Y286" s="252"/>
      <c r="Z286" s="252"/>
    </row>
    <row r="287" spans="16:26" ht="10.199999999999999" customHeight="1">
      <c r="P287" s="252"/>
      <c r="Q287" s="252"/>
      <c r="R287" s="252"/>
      <c r="S287" s="252"/>
      <c r="T287" s="252"/>
      <c r="U287" s="252"/>
      <c r="V287" s="252"/>
      <c r="W287" s="252"/>
      <c r="X287" s="252"/>
      <c r="Y287" s="252"/>
      <c r="Z287" s="252"/>
    </row>
    <row r="288" spans="16:26" ht="10.199999999999999" customHeight="1">
      <c r="P288" s="241"/>
      <c r="Q288" s="241"/>
      <c r="R288" s="241"/>
      <c r="S288" s="241"/>
      <c r="T288" s="241"/>
      <c r="U288" s="241"/>
      <c r="V288" s="241"/>
      <c r="W288" s="241"/>
      <c r="X288" s="241"/>
      <c r="Y288" s="241"/>
      <c r="Z288" s="241"/>
    </row>
    <row r="289" spans="16:26" ht="10.199999999999999" customHeight="1">
      <c r="P289" s="252"/>
      <c r="Q289" s="252"/>
      <c r="R289" s="252"/>
      <c r="S289" s="252"/>
      <c r="T289" s="252"/>
      <c r="U289" s="252"/>
      <c r="V289" s="252"/>
      <c r="W289" s="252"/>
      <c r="X289" s="252"/>
      <c r="Y289" s="252"/>
      <c r="Z289" s="252"/>
    </row>
    <row r="290" spans="16:26" ht="10.199999999999999" customHeight="1">
      <c r="P290" s="252"/>
      <c r="Q290" s="252"/>
      <c r="R290" s="252"/>
      <c r="S290" s="252"/>
      <c r="T290" s="252"/>
      <c r="U290" s="252"/>
      <c r="V290" s="252"/>
      <c r="W290" s="252"/>
      <c r="X290" s="252"/>
      <c r="Y290" s="252"/>
      <c r="Z290" s="252"/>
    </row>
    <row r="291" spans="16:26" ht="10.199999999999999" customHeight="1">
      <c r="P291" s="241"/>
      <c r="Q291" s="241"/>
      <c r="R291" s="241"/>
      <c r="S291" s="241"/>
      <c r="T291" s="241"/>
      <c r="U291" s="241"/>
      <c r="V291" s="241"/>
      <c r="W291" s="241"/>
      <c r="X291" s="241"/>
      <c r="Y291" s="241"/>
      <c r="Z291" s="241"/>
    </row>
    <row r="292" spans="16:26" ht="10.199999999999999" customHeight="1">
      <c r="P292" s="252"/>
      <c r="Q292" s="252"/>
      <c r="R292" s="252"/>
      <c r="S292" s="252"/>
      <c r="T292" s="252"/>
      <c r="U292" s="252"/>
      <c r="V292" s="252"/>
      <c r="W292" s="252"/>
      <c r="X292" s="252"/>
      <c r="Y292" s="252"/>
      <c r="Z292" s="252"/>
    </row>
    <row r="293" spans="16:26" ht="10.199999999999999" customHeight="1">
      <c r="P293" s="252"/>
      <c r="Q293" s="252"/>
      <c r="R293" s="252"/>
      <c r="S293" s="252"/>
      <c r="T293" s="252"/>
      <c r="U293" s="252"/>
      <c r="V293" s="252"/>
      <c r="W293" s="252"/>
      <c r="X293" s="252"/>
      <c r="Y293" s="252"/>
      <c r="Z293" s="252"/>
    </row>
    <row r="294" spans="16:26" ht="10.199999999999999" customHeight="1">
      <c r="P294" s="241"/>
      <c r="Q294" s="241"/>
      <c r="R294" s="241"/>
      <c r="S294" s="241"/>
      <c r="T294" s="241"/>
      <c r="U294" s="241"/>
      <c r="V294" s="241"/>
      <c r="W294" s="241"/>
      <c r="X294" s="241"/>
      <c r="Y294" s="241"/>
      <c r="Z294" s="241"/>
    </row>
    <row r="295" spans="16:26" ht="10.199999999999999" customHeight="1">
      <c r="P295" s="252"/>
      <c r="Q295" s="252"/>
      <c r="R295" s="252"/>
      <c r="S295" s="252"/>
      <c r="T295" s="252"/>
      <c r="U295" s="252"/>
      <c r="V295" s="252"/>
      <c r="W295" s="252"/>
      <c r="X295" s="252"/>
      <c r="Y295" s="252"/>
      <c r="Z295" s="252"/>
    </row>
    <row r="296" spans="16:26" ht="10.199999999999999" customHeight="1">
      <c r="P296" s="252"/>
      <c r="Q296" s="252"/>
      <c r="R296" s="252"/>
      <c r="S296" s="252"/>
      <c r="T296" s="252"/>
      <c r="U296" s="252"/>
      <c r="V296" s="252"/>
      <c r="W296" s="252"/>
      <c r="X296" s="252"/>
      <c r="Y296" s="252"/>
      <c r="Z296" s="252"/>
    </row>
    <row r="297" spans="16:26" ht="10.199999999999999" customHeight="1">
      <c r="P297" s="241"/>
      <c r="Q297" s="241"/>
      <c r="R297" s="241"/>
      <c r="S297" s="241"/>
      <c r="T297" s="241"/>
      <c r="U297" s="241"/>
      <c r="V297" s="241"/>
      <c r="W297" s="241"/>
      <c r="X297" s="241"/>
      <c r="Y297" s="241"/>
      <c r="Z297" s="241"/>
    </row>
    <row r="298" spans="16:26" ht="10.199999999999999" customHeight="1">
      <c r="P298" s="252"/>
      <c r="Q298" s="252"/>
      <c r="R298" s="252"/>
      <c r="S298" s="252"/>
      <c r="T298" s="252"/>
      <c r="U298" s="252"/>
      <c r="V298" s="252"/>
      <c r="W298" s="252"/>
      <c r="X298" s="252"/>
      <c r="Y298" s="252"/>
      <c r="Z298" s="252"/>
    </row>
    <row r="299" spans="16:26" ht="10.199999999999999" customHeight="1">
      <c r="P299" s="252"/>
      <c r="Q299" s="252"/>
      <c r="R299" s="252"/>
      <c r="S299" s="252"/>
      <c r="T299" s="252"/>
      <c r="U299" s="252"/>
      <c r="V299" s="252"/>
      <c r="W299" s="252"/>
      <c r="X299" s="252"/>
      <c r="Y299" s="252"/>
      <c r="Z299" s="252"/>
    </row>
    <row r="300" spans="16:26" ht="10.199999999999999" customHeight="1">
      <c r="P300" s="241"/>
      <c r="Q300" s="241"/>
      <c r="R300" s="241"/>
      <c r="S300" s="241"/>
      <c r="T300" s="241"/>
      <c r="U300" s="241"/>
      <c r="V300" s="241"/>
      <c r="W300" s="241"/>
      <c r="X300" s="241"/>
      <c r="Y300" s="241"/>
      <c r="Z300" s="241"/>
    </row>
    <row r="301" spans="16:26" ht="10.199999999999999" customHeight="1">
      <c r="P301" s="252"/>
      <c r="Q301" s="252"/>
      <c r="R301" s="252"/>
      <c r="S301" s="252"/>
      <c r="T301" s="252"/>
      <c r="U301" s="252"/>
      <c r="V301" s="252"/>
      <c r="W301" s="252"/>
      <c r="X301" s="252"/>
      <c r="Y301" s="252"/>
      <c r="Z301" s="252"/>
    </row>
    <row r="302" spans="16:26" ht="10.199999999999999" customHeight="1">
      <c r="P302" s="252"/>
      <c r="Q302" s="252"/>
      <c r="R302" s="252"/>
      <c r="S302" s="252"/>
      <c r="T302" s="252"/>
      <c r="U302" s="252"/>
      <c r="V302" s="252"/>
      <c r="W302" s="252"/>
      <c r="X302" s="252"/>
      <c r="Y302" s="252"/>
      <c r="Z302" s="252"/>
    </row>
    <row r="303" spans="16:26" ht="10.199999999999999" customHeight="1">
      <c r="P303" s="241"/>
      <c r="Q303" s="241"/>
      <c r="R303" s="241"/>
      <c r="S303" s="241"/>
      <c r="T303" s="241"/>
      <c r="U303" s="241"/>
      <c r="V303" s="241"/>
      <c r="W303" s="241"/>
      <c r="X303" s="241"/>
      <c r="Y303" s="241"/>
      <c r="Z303" s="241"/>
    </row>
    <row r="304" spans="16:26" ht="10.199999999999999" customHeight="1">
      <c r="P304" s="252"/>
      <c r="Q304" s="252"/>
      <c r="R304" s="252"/>
      <c r="S304" s="252"/>
      <c r="T304" s="252"/>
      <c r="U304" s="252"/>
      <c r="V304" s="252"/>
      <c r="W304" s="252"/>
      <c r="X304" s="252"/>
      <c r="Y304" s="252"/>
      <c r="Z304" s="252"/>
    </row>
    <row r="305" spans="16:26" ht="10.199999999999999" customHeight="1">
      <c r="P305" s="252"/>
      <c r="Q305" s="252"/>
      <c r="R305" s="252"/>
      <c r="S305" s="252"/>
      <c r="T305" s="252"/>
      <c r="U305" s="252"/>
      <c r="V305" s="252"/>
      <c r="W305" s="252"/>
      <c r="X305" s="252"/>
      <c r="Y305" s="252"/>
      <c r="Z305" s="252"/>
    </row>
    <row r="306" spans="16:26" ht="10.199999999999999" customHeight="1">
      <c r="P306" s="241"/>
      <c r="Q306" s="241"/>
      <c r="R306" s="241"/>
      <c r="S306" s="241"/>
      <c r="T306" s="241"/>
      <c r="U306" s="241"/>
      <c r="V306" s="241"/>
      <c r="W306" s="241"/>
      <c r="X306" s="241"/>
      <c r="Y306" s="241"/>
      <c r="Z306" s="241"/>
    </row>
    <row r="307" spans="16:26" ht="10.199999999999999" customHeight="1">
      <c r="P307" s="252"/>
      <c r="Q307" s="252"/>
      <c r="R307" s="252"/>
      <c r="S307" s="252"/>
      <c r="T307" s="252"/>
      <c r="U307" s="252"/>
      <c r="V307" s="252"/>
      <c r="W307" s="252"/>
      <c r="X307" s="252"/>
      <c r="Y307" s="252"/>
      <c r="Z307" s="252"/>
    </row>
    <row r="308" spans="16:26" ht="10.199999999999999" customHeight="1">
      <c r="P308" s="252"/>
      <c r="Q308" s="252"/>
      <c r="R308" s="252"/>
      <c r="S308" s="252"/>
      <c r="T308" s="252"/>
      <c r="U308" s="252"/>
      <c r="V308" s="252"/>
      <c r="W308" s="252"/>
      <c r="X308" s="252"/>
      <c r="Y308" s="252"/>
      <c r="Z308" s="252"/>
    </row>
    <row r="309" spans="16:26" ht="10.199999999999999" customHeight="1">
      <c r="P309" s="241"/>
      <c r="Q309" s="241"/>
      <c r="R309" s="241"/>
      <c r="S309" s="241"/>
      <c r="T309" s="241"/>
      <c r="U309" s="241"/>
      <c r="V309" s="241"/>
      <c r="W309" s="241"/>
      <c r="X309" s="241"/>
      <c r="Y309" s="241"/>
      <c r="Z309" s="241"/>
    </row>
    <row r="310" spans="16:26" ht="10.199999999999999" customHeight="1">
      <c r="P310" s="252"/>
      <c r="Q310" s="252"/>
      <c r="R310" s="252"/>
      <c r="S310" s="252"/>
      <c r="T310" s="252"/>
      <c r="U310" s="252"/>
      <c r="V310" s="252"/>
      <c r="W310" s="252"/>
      <c r="X310" s="252"/>
      <c r="Y310" s="252"/>
      <c r="Z310" s="252"/>
    </row>
    <row r="311" spans="16:26" ht="10.199999999999999" customHeight="1">
      <c r="P311" s="252"/>
      <c r="Q311" s="252"/>
      <c r="R311" s="252"/>
      <c r="S311" s="252"/>
      <c r="T311" s="252"/>
      <c r="U311" s="252"/>
      <c r="V311" s="252"/>
      <c r="W311" s="252"/>
      <c r="X311" s="252"/>
      <c r="Y311" s="252"/>
      <c r="Z311" s="252"/>
    </row>
    <row r="312" spans="16:26" ht="10.199999999999999" customHeight="1">
      <c r="P312" s="241"/>
      <c r="Q312" s="241"/>
      <c r="R312" s="241"/>
      <c r="S312" s="241"/>
      <c r="T312" s="241"/>
      <c r="U312" s="241"/>
      <c r="V312" s="241"/>
      <c r="W312" s="241"/>
      <c r="X312" s="241"/>
      <c r="Y312" s="241"/>
      <c r="Z312" s="241"/>
    </row>
    <row r="313" spans="16:26" ht="10.199999999999999" customHeight="1">
      <c r="P313" s="252"/>
      <c r="Q313" s="252"/>
      <c r="R313" s="252"/>
      <c r="S313" s="252"/>
      <c r="T313" s="252"/>
      <c r="U313" s="252"/>
      <c r="V313" s="252"/>
      <c r="W313" s="252"/>
      <c r="X313" s="252"/>
      <c r="Y313" s="252"/>
      <c r="Z313" s="252"/>
    </row>
    <row r="314" spans="16:26" ht="10.199999999999999" customHeight="1">
      <c r="P314" s="252"/>
      <c r="Q314" s="252"/>
      <c r="R314" s="252"/>
      <c r="S314" s="252"/>
      <c r="T314" s="252"/>
      <c r="U314" s="252"/>
      <c r="V314" s="252"/>
      <c r="W314" s="252"/>
      <c r="X314" s="252"/>
      <c r="Y314" s="252"/>
      <c r="Z314" s="252"/>
    </row>
    <row r="315" spans="16:26" ht="10.199999999999999" customHeight="1">
      <c r="P315" s="241"/>
      <c r="Q315" s="241"/>
      <c r="R315" s="241"/>
      <c r="S315" s="241"/>
      <c r="T315" s="241"/>
      <c r="U315" s="241"/>
      <c r="V315" s="241"/>
      <c r="W315" s="241"/>
      <c r="X315" s="241"/>
      <c r="Y315" s="241"/>
      <c r="Z315" s="241"/>
    </row>
    <row r="316" spans="16:26" ht="10.199999999999999" customHeight="1">
      <c r="P316" s="252"/>
      <c r="Q316" s="252"/>
      <c r="R316" s="252"/>
      <c r="S316" s="252"/>
      <c r="T316" s="252"/>
      <c r="U316" s="252"/>
      <c r="V316" s="252"/>
      <c r="W316" s="252"/>
      <c r="X316" s="252"/>
      <c r="Y316" s="252"/>
      <c r="Z316" s="252"/>
    </row>
    <row r="317" spans="16:26" ht="10.199999999999999" customHeight="1">
      <c r="P317" s="252"/>
      <c r="Q317" s="252"/>
      <c r="R317" s="252"/>
      <c r="S317" s="252"/>
      <c r="T317" s="252"/>
      <c r="U317" s="252"/>
      <c r="V317" s="252"/>
      <c r="W317" s="252"/>
      <c r="X317" s="252"/>
      <c r="Y317" s="252"/>
      <c r="Z317" s="252"/>
    </row>
    <row r="318" spans="16:26" ht="10.199999999999999" customHeight="1">
      <c r="P318" s="241"/>
      <c r="Q318" s="241"/>
      <c r="R318" s="241"/>
      <c r="S318" s="241"/>
      <c r="T318" s="241"/>
      <c r="U318" s="241"/>
      <c r="V318" s="241"/>
      <c r="W318" s="241"/>
      <c r="X318" s="241"/>
      <c r="Y318" s="241"/>
      <c r="Z318" s="241"/>
    </row>
    <row r="319" spans="16:26" ht="10.199999999999999" customHeight="1">
      <c r="P319" s="252"/>
      <c r="Q319" s="252"/>
      <c r="R319" s="252"/>
      <c r="S319" s="252"/>
      <c r="T319" s="252"/>
      <c r="U319" s="252"/>
      <c r="V319" s="252"/>
      <c r="W319" s="252"/>
      <c r="X319" s="252"/>
      <c r="Y319" s="252"/>
      <c r="Z319" s="252"/>
    </row>
    <row r="320" spans="16:26" ht="10.199999999999999" customHeight="1">
      <c r="P320" s="252"/>
      <c r="Q320" s="252"/>
      <c r="R320" s="252"/>
      <c r="S320" s="252"/>
      <c r="T320" s="252"/>
      <c r="U320" s="252"/>
      <c r="V320" s="252"/>
      <c r="W320" s="252"/>
      <c r="X320" s="252"/>
      <c r="Y320" s="252"/>
      <c r="Z320" s="252"/>
    </row>
    <row r="321" spans="16:26" ht="10.199999999999999" customHeight="1">
      <c r="P321" s="241"/>
      <c r="Q321" s="241"/>
      <c r="R321" s="241"/>
      <c r="S321" s="241"/>
      <c r="T321" s="241"/>
      <c r="U321" s="241"/>
      <c r="V321" s="241"/>
      <c r="W321" s="241"/>
      <c r="X321" s="241"/>
      <c r="Y321" s="241"/>
      <c r="Z321" s="241"/>
    </row>
    <row r="322" spans="16:26" ht="10.199999999999999" customHeight="1">
      <c r="P322" s="252"/>
      <c r="Q322" s="252"/>
      <c r="R322" s="252"/>
      <c r="S322" s="252"/>
      <c r="T322" s="252"/>
      <c r="U322" s="252"/>
      <c r="V322" s="252"/>
      <c r="W322" s="252"/>
      <c r="X322" s="252"/>
      <c r="Y322" s="252"/>
      <c r="Z322" s="252"/>
    </row>
    <row r="323" spans="16:26" ht="10.199999999999999" customHeight="1">
      <c r="P323" s="252"/>
      <c r="Q323" s="252"/>
      <c r="R323" s="252"/>
      <c r="S323" s="252"/>
      <c r="T323" s="252"/>
      <c r="U323" s="252"/>
      <c r="V323" s="252"/>
      <c r="W323" s="252"/>
      <c r="X323" s="252"/>
      <c r="Y323" s="252"/>
      <c r="Z323" s="252"/>
    </row>
    <row r="324" spans="16:26" ht="10.199999999999999" customHeight="1">
      <c r="P324" s="241"/>
      <c r="Q324" s="241"/>
      <c r="R324" s="241"/>
      <c r="S324" s="241"/>
      <c r="T324" s="241"/>
      <c r="U324" s="241"/>
      <c r="V324" s="241"/>
      <c r="W324" s="241"/>
      <c r="X324" s="241"/>
      <c r="Y324" s="241"/>
      <c r="Z324" s="241"/>
    </row>
    <row r="325" spans="16:26" ht="10.199999999999999" customHeight="1">
      <c r="P325" s="252"/>
      <c r="Q325" s="252"/>
      <c r="R325" s="252"/>
      <c r="S325" s="252"/>
      <c r="T325" s="252"/>
      <c r="U325" s="252"/>
      <c r="V325" s="252"/>
      <c r="W325" s="252"/>
      <c r="X325" s="252"/>
      <c r="Y325" s="252"/>
      <c r="Z325" s="252"/>
    </row>
    <row r="326" spans="16:26" ht="10.199999999999999" customHeight="1">
      <c r="P326" s="252"/>
      <c r="Q326" s="252"/>
      <c r="R326" s="252"/>
      <c r="S326" s="252"/>
      <c r="T326" s="252"/>
      <c r="U326" s="252"/>
      <c r="V326" s="252"/>
      <c r="W326" s="252"/>
      <c r="X326" s="252"/>
      <c r="Y326" s="252"/>
      <c r="Z326" s="252"/>
    </row>
    <row r="327" spans="16:26" ht="10.199999999999999" customHeight="1">
      <c r="P327" s="241"/>
      <c r="Q327" s="241"/>
      <c r="R327" s="241"/>
      <c r="S327" s="241"/>
      <c r="T327" s="241"/>
      <c r="U327" s="241"/>
      <c r="V327" s="241"/>
      <c r="W327" s="241"/>
      <c r="X327" s="241"/>
      <c r="Y327" s="241"/>
      <c r="Z327" s="241"/>
    </row>
    <row r="328" spans="16:26" ht="10.199999999999999" customHeight="1">
      <c r="P328" s="252"/>
      <c r="Q328" s="252"/>
      <c r="R328" s="252"/>
      <c r="S328" s="252"/>
      <c r="T328" s="252"/>
      <c r="U328" s="252"/>
      <c r="V328" s="252"/>
      <c r="W328" s="252"/>
      <c r="X328" s="252"/>
      <c r="Y328" s="252"/>
      <c r="Z328" s="252"/>
    </row>
    <row r="329" spans="16:26" ht="10.199999999999999" customHeight="1">
      <c r="P329" s="252"/>
      <c r="Q329" s="252"/>
      <c r="R329" s="252"/>
      <c r="S329" s="252"/>
      <c r="T329" s="252"/>
      <c r="U329" s="252"/>
      <c r="V329" s="252"/>
      <c r="W329" s="252"/>
      <c r="X329" s="252"/>
      <c r="Y329" s="252"/>
      <c r="Z329" s="252"/>
    </row>
    <row r="330" spans="16:26" ht="10.199999999999999" customHeight="1">
      <c r="P330" s="241"/>
      <c r="Q330" s="241"/>
      <c r="R330" s="241"/>
      <c r="S330" s="241"/>
      <c r="T330" s="241"/>
      <c r="U330" s="241"/>
      <c r="V330" s="241"/>
      <c r="W330" s="241"/>
      <c r="X330" s="241"/>
      <c r="Y330" s="241"/>
      <c r="Z330" s="241"/>
    </row>
    <row r="331" spans="16:26" ht="10.199999999999999" customHeight="1">
      <c r="P331" s="252"/>
      <c r="Q331" s="252"/>
      <c r="R331" s="252"/>
      <c r="S331" s="252"/>
      <c r="T331" s="252"/>
      <c r="U331" s="252"/>
      <c r="V331" s="252"/>
      <c r="W331" s="252"/>
      <c r="X331" s="252"/>
      <c r="Y331" s="252"/>
      <c r="Z331" s="252"/>
    </row>
    <row r="332" spans="16:26" ht="10.199999999999999" customHeight="1">
      <c r="P332" s="252"/>
      <c r="Q332" s="252"/>
      <c r="R332" s="252"/>
      <c r="S332" s="252"/>
      <c r="T332" s="252"/>
      <c r="U332" s="252"/>
      <c r="V332" s="252"/>
      <c r="W332" s="252"/>
      <c r="X332" s="252"/>
      <c r="Y332" s="252"/>
      <c r="Z332" s="252"/>
    </row>
    <row r="333" spans="16:26" ht="10.199999999999999" customHeight="1">
      <c r="P333" s="241"/>
      <c r="Q333" s="241"/>
      <c r="R333" s="241"/>
      <c r="S333" s="241"/>
      <c r="T333" s="241"/>
      <c r="U333" s="241"/>
      <c r="V333" s="241"/>
      <c r="W333" s="241"/>
      <c r="X333" s="241"/>
      <c r="Y333" s="241"/>
      <c r="Z333" s="241"/>
    </row>
    <row r="334" spans="16:26" ht="10.199999999999999" customHeight="1">
      <c r="P334" s="252"/>
      <c r="Q334" s="252"/>
      <c r="R334" s="252"/>
      <c r="S334" s="252"/>
      <c r="T334" s="252"/>
      <c r="U334" s="252"/>
      <c r="V334" s="252"/>
      <c r="W334" s="252"/>
      <c r="X334" s="252"/>
      <c r="Y334" s="252"/>
      <c r="Z334" s="252"/>
    </row>
    <row r="335" spans="16:26" ht="10.199999999999999" customHeight="1">
      <c r="P335" s="252"/>
      <c r="Q335" s="252"/>
      <c r="R335" s="252"/>
      <c r="S335" s="252"/>
      <c r="T335" s="252"/>
      <c r="U335" s="252"/>
      <c r="V335" s="252"/>
      <c r="W335" s="252"/>
      <c r="X335" s="252"/>
      <c r="Y335" s="252"/>
      <c r="Z335" s="252"/>
    </row>
    <row r="336" spans="16:26" ht="10.199999999999999" customHeight="1">
      <c r="P336" s="241"/>
      <c r="Q336" s="241"/>
      <c r="R336" s="241"/>
      <c r="S336" s="241"/>
      <c r="T336" s="241"/>
      <c r="U336" s="241"/>
      <c r="V336" s="241"/>
      <c r="W336" s="241"/>
      <c r="X336" s="241"/>
      <c r="Y336" s="241"/>
      <c r="Z336" s="241"/>
    </row>
    <row r="337" spans="16:26" ht="10.199999999999999" customHeight="1">
      <c r="P337" s="252"/>
      <c r="Q337" s="252"/>
      <c r="R337" s="252"/>
      <c r="S337" s="252"/>
      <c r="T337" s="252"/>
      <c r="U337" s="252"/>
      <c r="V337" s="252"/>
      <c r="W337" s="252"/>
      <c r="X337" s="252"/>
      <c r="Y337" s="252"/>
      <c r="Z337" s="252"/>
    </row>
    <row r="338" spans="16:26" ht="10.199999999999999" customHeight="1">
      <c r="P338" s="252"/>
      <c r="Q338" s="252"/>
      <c r="R338" s="252"/>
      <c r="S338" s="252"/>
      <c r="T338" s="252"/>
      <c r="U338" s="252"/>
      <c r="V338" s="252"/>
      <c r="W338" s="252"/>
      <c r="X338" s="252"/>
      <c r="Y338" s="252"/>
      <c r="Z338" s="252"/>
    </row>
    <row r="339" spans="16:26" ht="10.199999999999999" customHeight="1">
      <c r="P339" s="241"/>
      <c r="Q339" s="241"/>
      <c r="R339" s="241"/>
      <c r="S339" s="241"/>
      <c r="T339" s="241"/>
      <c r="U339" s="241"/>
      <c r="V339" s="241"/>
      <c r="W339" s="241"/>
      <c r="X339" s="241"/>
      <c r="Y339" s="241"/>
      <c r="Z339" s="241"/>
    </row>
    <row r="340" spans="16:26" ht="10.199999999999999" customHeight="1">
      <c r="P340" s="252"/>
      <c r="Q340" s="252"/>
      <c r="R340" s="252"/>
      <c r="S340" s="252"/>
      <c r="T340" s="252"/>
      <c r="U340" s="252"/>
      <c r="V340" s="252"/>
      <c r="W340" s="252"/>
      <c r="X340" s="252"/>
      <c r="Y340" s="252"/>
      <c r="Z340" s="252"/>
    </row>
    <row r="341" spans="16:26" ht="10.199999999999999" customHeight="1">
      <c r="P341" s="252"/>
      <c r="Q341" s="252"/>
      <c r="R341" s="252"/>
      <c r="S341" s="252"/>
      <c r="T341" s="252"/>
      <c r="U341" s="252"/>
      <c r="V341" s="252"/>
      <c r="W341" s="252"/>
      <c r="X341" s="252"/>
      <c r="Y341" s="252"/>
      <c r="Z341" s="252"/>
    </row>
    <row r="342" spans="16:26" ht="10.199999999999999" customHeight="1">
      <c r="P342" s="241"/>
      <c r="Q342" s="241"/>
      <c r="R342" s="241"/>
      <c r="S342" s="241"/>
      <c r="T342" s="241"/>
      <c r="U342" s="241"/>
      <c r="V342" s="241"/>
      <c r="W342" s="241"/>
      <c r="X342" s="241"/>
      <c r="Y342" s="241"/>
      <c r="Z342" s="241"/>
    </row>
    <row r="343" spans="16:26" ht="10.199999999999999" customHeight="1">
      <c r="P343" s="252"/>
      <c r="Q343" s="252"/>
      <c r="R343" s="252"/>
      <c r="S343" s="252"/>
      <c r="T343" s="252"/>
      <c r="U343" s="252"/>
      <c r="V343" s="252"/>
      <c r="W343" s="252"/>
      <c r="X343" s="252"/>
      <c r="Y343" s="252"/>
      <c r="Z343" s="252"/>
    </row>
    <row r="344" spans="16:26" ht="10.199999999999999" customHeight="1">
      <c r="P344" s="252"/>
      <c r="Q344" s="252"/>
      <c r="R344" s="252"/>
      <c r="S344" s="252"/>
      <c r="T344" s="252"/>
      <c r="U344" s="252"/>
      <c r="V344" s="252"/>
      <c r="W344" s="252"/>
      <c r="X344" s="252"/>
      <c r="Y344" s="252"/>
      <c r="Z344" s="252"/>
    </row>
    <row r="345" spans="16:26" ht="10.199999999999999" customHeight="1">
      <c r="P345" s="241"/>
      <c r="Q345" s="241"/>
      <c r="R345" s="241"/>
      <c r="S345" s="241"/>
      <c r="T345" s="241"/>
      <c r="U345" s="241"/>
      <c r="V345" s="241"/>
      <c r="W345" s="241"/>
      <c r="X345" s="241"/>
      <c r="Y345" s="241"/>
      <c r="Z345" s="241"/>
    </row>
    <row r="346" spans="16:26" ht="10.199999999999999" customHeight="1">
      <c r="P346" s="252"/>
      <c r="Q346" s="252"/>
      <c r="R346" s="252"/>
      <c r="S346" s="252"/>
      <c r="T346" s="252"/>
      <c r="U346" s="252"/>
      <c r="V346" s="252"/>
      <c r="W346" s="252"/>
      <c r="X346" s="252"/>
      <c r="Y346" s="252"/>
      <c r="Z346" s="252"/>
    </row>
    <row r="347" spans="16:26" ht="10.199999999999999" customHeight="1">
      <c r="P347" s="252"/>
      <c r="Q347" s="252"/>
      <c r="R347" s="252"/>
      <c r="S347" s="252"/>
      <c r="T347" s="252"/>
      <c r="U347" s="252"/>
      <c r="V347" s="252"/>
      <c r="W347" s="252"/>
      <c r="X347" s="252"/>
      <c r="Y347" s="252"/>
      <c r="Z347" s="252"/>
    </row>
    <row r="348" spans="16:26" ht="10.199999999999999" customHeight="1">
      <c r="P348" s="241"/>
      <c r="Q348" s="241"/>
      <c r="R348" s="241"/>
      <c r="S348" s="241"/>
      <c r="T348" s="241"/>
      <c r="U348" s="241"/>
      <c r="V348" s="241"/>
      <c r="W348" s="241"/>
      <c r="X348" s="241"/>
      <c r="Y348" s="241"/>
      <c r="Z348" s="241"/>
    </row>
    <row r="349" spans="16:26" ht="10.199999999999999" customHeight="1">
      <c r="P349" s="252"/>
      <c r="Q349" s="252"/>
      <c r="R349" s="252"/>
      <c r="S349" s="252"/>
      <c r="T349" s="252"/>
      <c r="U349" s="252"/>
      <c r="V349" s="252"/>
      <c r="W349" s="252"/>
      <c r="X349" s="252"/>
      <c r="Y349" s="252"/>
      <c r="Z349" s="252"/>
    </row>
    <row r="350" spans="16:26" ht="10.199999999999999" customHeight="1">
      <c r="P350" s="252"/>
      <c r="Q350" s="252"/>
      <c r="R350" s="252"/>
      <c r="S350" s="252"/>
      <c r="T350" s="252"/>
      <c r="U350" s="252"/>
      <c r="V350" s="252"/>
      <c r="W350" s="252"/>
      <c r="X350" s="252"/>
      <c r="Y350" s="252"/>
      <c r="Z350" s="252"/>
    </row>
    <row r="351" spans="16:26" ht="10.199999999999999" customHeight="1">
      <c r="P351" s="241"/>
      <c r="Q351" s="241"/>
      <c r="R351" s="241"/>
      <c r="S351" s="241"/>
      <c r="T351" s="241"/>
      <c r="U351" s="241"/>
      <c r="V351" s="241"/>
      <c r="W351" s="241"/>
      <c r="X351" s="241"/>
      <c r="Y351" s="241"/>
      <c r="Z351" s="241"/>
    </row>
    <row r="352" spans="16:26" ht="10.199999999999999" customHeight="1">
      <c r="P352" s="252"/>
      <c r="Q352" s="252"/>
      <c r="R352" s="252"/>
      <c r="S352" s="252"/>
      <c r="T352" s="252"/>
      <c r="U352" s="252"/>
      <c r="V352" s="252"/>
      <c r="W352" s="252"/>
      <c r="X352" s="252"/>
      <c r="Y352" s="252"/>
      <c r="Z352" s="252"/>
    </row>
    <row r="353" spans="16:26" ht="10.199999999999999" customHeight="1">
      <c r="P353" s="252"/>
      <c r="Q353" s="252"/>
      <c r="R353" s="252"/>
      <c r="S353" s="252"/>
      <c r="T353" s="252"/>
      <c r="U353" s="252"/>
      <c r="V353" s="252"/>
      <c r="W353" s="252"/>
      <c r="X353" s="252"/>
      <c r="Y353" s="252"/>
      <c r="Z353" s="252"/>
    </row>
    <row r="354" spans="16:26" ht="10.199999999999999" customHeight="1">
      <c r="P354" s="241"/>
      <c r="Q354" s="241"/>
      <c r="R354" s="241"/>
      <c r="S354" s="241"/>
      <c r="T354" s="241"/>
      <c r="U354" s="241"/>
      <c r="V354" s="241"/>
      <c r="W354" s="241"/>
      <c r="X354" s="241"/>
      <c r="Y354" s="241"/>
      <c r="Z354" s="241"/>
    </row>
    <row r="355" spans="16:26" ht="10.199999999999999" customHeight="1">
      <c r="P355" s="252"/>
      <c r="Q355" s="252"/>
      <c r="R355" s="252"/>
      <c r="S355" s="252"/>
      <c r="T355" s="252"/>
      <c r="U355" s="252"/>
      <c r="V355" s="252"/>
      <c r="W355" s="252"/>
      <c r="X355" s="252"/>
      <c r="Y355" s="252"/>
      <c r="Z355" s="252"/>
    </row>
    <row r="356" spans="16:26" ht="10.199999999999999" customHeight="1">
      <c r="P356" s="252"/>
      <c r="Q356" s="252"/>
      <c r="R356" s="252"/>
      <c r="S356" s="252"/>
      <c r="T356" s="252"/>
      <c r="U356" s="252"/>
      <c r="V356" s="252"/>
      <c r="W356" s="252"/>
      <c r="X356" s="252"/>
      <c r="Y356" s="252"/>
      <c r="Z356" s="252"/>
    </row>
    <row r="357" spans="16:26" ht="10.199999999999999" customHeight="1">
      <c r="P357" s="241"/>
      <c r="Q357" s="241"/>
      <c r="R357" s="241"/>
      <c r="S357" s="241"/>
      <c r="T357" s="241"/>
      <c r="U357" s="241"/>
      <c r="V357" s="241"/>
      <c r="W357" s="241"/>
      <c r="X357" s="241"/>
      <c r="Y357" s="241"/>
      <c r="Z357" s="241"/>
    </row>
    <row r="358" spans="16:26" ht="10.199999999999999" customHeight="1">
      <c r="P358" s="252"/>
      <c r="Q358" s="252"/>
      <c r="R358" s="252"/>
      <c r="S358" s="252"/>
      <c r="T358" s="252"/>
      <c r="U358" s="252"/>
      <c r="V358" s="252"/>
      <c r="W358" s="252"/>
      <c r="X358" s="252"/>
      <c r="Y358" s="252"/>
      <c r="Z358" s="252"/>
    </row>
    <row r="359" spans="16:26" ht="10.199999999999999" customHeight="1">
      <c r="P359" s="252"/>
      <c r="Q359" s="252"/>
      <c r="R359" s="252"/>
      <c r="S359" s="252"/>
      <c r="T359" s="252"/>
      <c r="U359" s="252"/>
      <c r="V359" s="252"/>
      <c r="W359" s="252"/>
      <c r="X359" s="252"/>
      <c r="Y359" s="252"/>
      <c r="Z359" s="252"/>
    </row>
    <row r="360" spans="16:26" ht="10.199999999999999" customHeight="1">
      <c r="P360" s="241"/>
      <c r="Q360" s="241"/>
      <c r="R360" s="241"/>
      <c r="S360" s="241"/>
      <c r="T360" s="241"/>
      <c r="U360" s="241"/>
      <c r="V360" s="241"/>
      <c r="W360" s="241"/>
      <c r="X360" s="241"/>
      <c r="Y360" s="241"/>
      <c r="Z360" s="241"/>
    </row>
    <row r="361" spans="16:26" ht="10.199999999999999" customHeight="1">
      <c r="P361" s="252"/>
      <c r="Q361" s="252"/>
      <c r="R361" s="252"/>
      <c r="S361" s="252"/>
      <c r="T361" s="252"/>
      <c r="U361" s="252"/>
      <c r="V361" s="252"/>
      <c r="W361" s="252"/>
      <c r="X361" s="252"/>
      <c r="Y361" s="252"/>
      <c r="Z361" s="252"/>
    </row>
    <row r="362" spans="16:26" ht="10.199999999999999" customHeight="1">
      <c r="P362" s="252"/>
      <c r="Q362" s="252"/>
      <c r="R362" s="252"/>
      <c r="S362" s="252"/>
      <c r="T362" s="252"/>
      <c r="U362" s="252"/>
      <c r="V362" s="252"/>
      <c r="W362" s="252"/>
      <c r="X362" s="252"/>
      <c r="Y362" s="252"/>
      <c r="Z362" s="252"/>
    </row>
    <row r="363" spans="16:26" ht="10.199999999999999" customHeight="1">
      <c r="P363" s="241"/>
      <c r="Q363" s="241"/>
      <c r="R363" s="241"/>
      <c r="S363" s="241"/>
      <c r="T363" s="241"/>
      <c r="U363" s="241"/>
      <c r="V363" s="241"/>
      <c r="W363" s="241"/>
      <c r="X363" s="241"/>
      <c r="Y363" s="241"/>
      <c r="Z363" s="241"/>
    </row>
    <row r="364" spans="16:26" ht="10.199999999999999" customHeight="1">
      <c r="P364" s="252"/>
      <c r="Q364" s="252"/>
      <c r="R364" s="252"/>
      <c r="S364" s="252"/>
      <c r="T364" s="252"/>
      <c r="U364" s="252"/>
      <c r="V364" s="252"/>
      <c r="W364" s="252"/>
      <c r="X364" s="252"/>
      <c r="Y364" s="252"/>
      <c r="Z364" s="252"/>
    </row>
    <row r="365" spans="16:26" ht="10.199999999999999" customHeight="1">
      <c r="P365" s="252"/>
      <c r="Q365" s="252"/>
      <c r="R365" s="252"/>
      <c r="S365" s="252"/>
      <c r="T365" s="252"/>
      <c r="U365" s="252"/>
      <c r="V365" s="252"/>
      <c r="W365" s="252"/>
      <c r="X365" s="252"/>
      <c r="Y365" s="252"/>
      <c r="Z365" s="252"/>
    </row>
    <row r="366" spans="16:26" ht="10.199999999999999" customHeight="1">
      <c r="P366" s="241"/>
      <c r="Q366" s="241"/>
      <c r="R366" s="241"/>
      <c r="S366" s="241"/>
      <c r="T366" s="241"/>
      <c r="U366" s="241"/>
      <c r="V366" s="241"/>
      <c r="W366" s="241"/>
      <c r="X366" s="241"/>
      <c r="Y366" s="241"/>
      <c r="Z366" s="241"/>
    </row>
    <row r="367" spans="16:26" ht="10.199999999999999" customHeight="1">
      <c r="P367" s="252"/>
      <c r="Q367" s="252"/>
      <c r="R367" s="252"/>
      <c r="S367" s="252"/>
      <c r="T367" s="252"/>
      <c r="U367" s="252"/>
      <c r="V367" s="252"/>
      <c r="W367" s="252"/>
      <c r="X367" s="252"/>
      <c r="Y367" s="252"/>
      <c r="Z367" s="252"/>
    </row>
    <row r="368" spans="16:26" ht="10.199999999999999" customHeight="1">
      <c r="P368" s="252"/>
      <c r="Q368" s="252"/>
      <c r="R368" s="252"/>
      <c r="S368" s="252"/>
      <c r="T368" s="252"/>
      <c r="U368" s="252"/>
      <c r="V368" s="252"/>
      <c r="W368" s="252"/>
      <c r="X368" s="252"/>
      <c r="Y368" s="252"/>
      <c r="Z368" s="252"/>
    </row>
    <row r="369" spans="16:26" ht="10.199999999999999" customHeight="1">
      <c r="P369" s="241"/>
      <c r="Q369" s="241"/>
      <c r="R369" s="241"/>
      <c r="S369" s="241"/>
      <c r="T369" s="241"/>
      <c r="U369" s="241"/>
      <c r="V369" s="241"/>
      <c r="W369" s="241"/>
      <c r="X369" s="241"/>
      <c r="Y369" s="241"/>
      <c r="Z369" s="241"/>
    </row>
    <row r="370" spans="16:26" ht="10.199999999999999" customHeight="1">
      <c r="P370" s="252"/>
      <c r="Q370" s="252"/>
      <c r="R370" s="252"/>
      <c r="S370" s="252"/>
      <c r="T370" s="252"/>
      <c r="U370" s="252"/>
      <c r="V370" s="252"/>
      <c r="W370" s="252"/>
      <c r="X370" s="252"/>
      <c r="Y370" s="252"/>
      <c r="Z370" s="252"/>
    </row>
    <row r="371" spans="16:26" ht="10.199999999999999" customHeight="1">
      <c r="P371" s="252"/>
      <c r="Q371" s="252"/>
      <c r="R371" s="252"/>
      <c r="S371" s="252"/>
      <c r="T371" s="252"/>
      <c r="U371" s="252"/>
      <c r="V371" s="252"/>
      <c r="W371" s="252"/>
      <c r="X371" s="252"/>
      <c r="Y371" s="252"/>
      <c r="Z371" s="252"/>
    </row>
    <row r="372" spans="16:26" ht="10.199999999999999" customHeight="1">
      <c r="P372" s="241"/>
      <c r="Q372" s="241"/>
      <c r="R372" s="241"/>
      <c r="S372" s="241"/>
      <c r="T372" s="241"/>
      <c r="U372" s="241"/>
      <c r="V372" s="241"/>
      <c r="W372" s="241"/>
      <c r="X372" s="241"/>
      <c r="Y372" s="241"/>
      <c r="Z372" s="241"/>
    </row>
    <row r="373" spans="16:26" ht="10.199999999999999" customHeight="1">
      <c r="P373" s="252"/>
      <c r="Q373" s="252"/>
      <c r="R373" s="252"/>
      <c r="S373" s="252"/>
      <c r="T373" s="252"/>
      <c r="U373" s="252"/>
      <c r="V373" s="252"/>
      <c r="W373" s="252"/>
      <c r="X373" s="252"/>
      <c r="Y373" s="252"/>
      <c r="Z373" s="252"/>
    </row>
    <row r="374" spans="16:26" ht="10.199999999999999" customHeight="1">
      <c r="P374" s="252"/>
      <c r="Q374" s="252"/>
      <c r="R374" s="252"/>
      <c r="S374" s="252"/>
      <c r="T374" s="252"/>
      <c r="U374" s="252"/>
      <c r="V374" s="252"/>
      <c r="W374" s="252"/>
      <c r="X374" s="252"/>
      <c r="Y374" s="252"/>
      <c r="Z374" s="252"/>
    </row>
    <row r="375" spans="16:26" ht="10.199999999999999" customHeight="1">
      <c r="P375" s="241"/>
      <c r="Q375" s="241"/>
      <c r="R375" s="241"/>
      <c r="S375" s="241"/>
      <c r="T375" s="241"/>
      <c r="U375" s="241"/>
      <c r="V375" s="241"/>
      <c r="W375" s="241"/>
      <c r="X375" s="241"/>
      <c r="Y375" s="241"/>
      <c r="Z375" s="241"/>
    </row>
    <row r="376" spans="16:26" ht="10.199999999999999" customHeight="1">
      <c r="P376" s="252"/>
      <c r="Q376" s="252"/>
      <c r="R376" s="252"/>
      <c r="S376" s="252"/>
      <c r="T376" s="252"/>
      <c r="U376" s="252"/>
      <c r="V376" s="252"/>
      <c r="W376" s="252"/>
      <c r="X376" s="252"/>
      <c r="Y376" s="252"/>
      <c r="Z376" s="252"/>
    </row>
    <row r="377" spans="16:26" ht="10.199999999999999" customHeight="1">
      <c r="P377" s="252"/>
      <c r="Q377" s="252"/>
      <c r="R377" s="252"/>
      <c r="S377" s="252"/>
      <c r="T377" s="252"/>
      <c r="U377" s="252"/>
      <c r="V377" s="252"/>
      <c r="W377" s="252"/>
      <c r="X377" s="252"/>
      <c r="Y377" s="252"/>
      <c r="Z377" s="252"/>
    </row>
    <row r="378" spans="16:26" ht="10.199999999999999" customHeight="1">
      <c r="P378" s="241"/>
      <c r="Q378" s="241"/>
      <c r="R378" s="241"/>
      <c r="S378" s="241"/>
      <c r="T378" s="241"/>
      <c r="U378" s="241"/>
      <c r="V378" s="241"/>
      <c r="W378" s="241"/>
      <c r="X378" s="241"/>
      <c r="Y378" s="241"/>
      <c r="Z378" s="241"/>
    </row>
    <row r="379" spans="16:26" ht="10.199999999999999" customHeight="1">
      <c r="P379" s="252"/>
      <c r="Q379" s="252"/>
      <c r="R379" s="252"/>
      <c r="S379" s="252"/>
      <c r="T379" s="252"/>
      <c r="U379" s="252"/>
      <c r="V379" s="252"/>
      <c r="W379" s="252"/>
      <c r="X379" s="252"/>
      <c r="Y379" s="252"/>
      <c r="Z379" s="252"/>
    </row>
    <row r="380" spans="16:26" ht="10.199999999999999" customHeight="1">
      <c r="P380" s="252"/>
      <c r="Q380" s="252"/>
      <c r="R380" s="252"/>
      <c r="S380" s="252"/>
      <c r="T380" s="252"/>
      <c r="U380" s="252"/>
      <c r="V380" s="252"/>
      <c r="W380" s="252"/>
      <c r="X380" s="252"/>
      <c r="Y380" s="252"/>
      <c r="Z380" s="252"/>
    </row>
    <row r="381" spans="16:26" ht="10.199999999999999" customHeight="1">
      <c r="P381" s="241"/>
      <c r="Q381" s="241"/>
      <c r="R381" s="241"/>
      <c r="S381" s="241"/>
      <c r="T381" s="241"/>
      <c r="U381" s="241"/>
      <c r="V381" s="241"/>
      <c r="W381" s="241"/>
      <c r="X381" s="241"/>
      <c r="Y381" s="241"/>
      <c r="Z381" s="241"/>
    </row>
    <row r="382" spans="16:26" ht="10.199999999999999" customHeight="1">
      <c r="P382" s="252"/>
      <c r="Q382" s="252"/>
      <c r="R382" s="252"/>
      <c r="S382" s="252"/>
      <c r="T382" s="252"/>
      <c r="U382" s="252"/>
      <c r="V382" s="252"/>
      <c r="W382" s="252"/>
      <c r="X382" s="252"/>
      <c r="Y382" s="252"/>
      <c r="Z382" s="252"/>
    </row>
    <row r="383" spans="16:26" ht="10.199999999999999" customHeight="1">
      <c r="P383" s="252"/>
      <c r="Q383" s="252"/>
      <c r="R383" s="252"/>
      <c r="S383" s="252"/>
      <c r="T383" s="252"/>
      <c r="U383" s="252"/>
      <c r="V383" s="252"/>
      <c r="W383" s="252"/>
      <c r="X383" s="252"/>
      <c r="Y383" s="252"/>
      <c r="Z383" s="252"/>
    </row>
    <row r="384" spans="16:26" ht="10.199999999999999" customHeight="1">
      <c r="P384" s="241"/>
      <c r="Q384" s="241"/>
      <c r="R384" s="241"/>
      <c r="S384" s="241"/>
      <c r="T384" s="241"/>
      <c r="U384" s="241"/>
      <c r="V384" s="241"/>
      <c r="W384" s="241"/>
      <c r="X384" s="241"/>
      <c r="Y384" s="241"/>
      <c r="Z384" s="241"/>
    </row>
    <row r="385" spans="16:26" ht="10.199999999999999" customHeight="1">
      <c r="P385" s="252"/>
      <c r="Q385" s="252"/>
      <c r="R385" s="252"/>
      <c r="S385" s="252"/>
      <c r="T385" s="252"/>
      <c r="U385" s="252"/>
      <c r="V385" s="252"/>
      <c r="W385" s="252"/>
      <c r="X385" s="252"/>
      <c r="Y385" s="252"/>
      <c r="Z385" s="252"/>
    </row>
    <row r="386" spans="16:26" ht="10.199999999999999" customHeight="1">
      <c r="P386" s="252"/>
      <c r="Q386" s="252"/>
      <c r="R386" s="252"/>
      <c r="S386" s="252"/>
      <c r="T386" s="252"/>
      <c r="U386" s="252"/>
      <c r="V386" s="252"/>
      <c r="W386" s="252"/>
      <c r="X386" s="252"/>
      <c r="Y386" s="252"/>
      <c r="Z386" s="252"/>
    </row>
    <row r="387" spans="16:26" ht="10.199999999999999" customHeight="1">
      <c r="P387" s="241"/>
      <c r="Q387" s="241"/>
      <c r="R387" s="241"/>
      <c r="S387" s="241"/>
      <c r="T387" s="241"/>
      <c r="U387" s="241"/>
      <c r="V387" s="241"/>
      <c r="W387" s="241"/>
      <c r="X387" s="241"/>
      <c r="Y387" s="241"/>
      <c r="Z387" s="241"/>
    </row>
    <row r="388" spans="16:26" ht="10.199999999999999" customHeight="1">
      <c r="P388" s="252"/>
      <c r="Q388" s="252"/>
      <c r="R388" s="252"/>
      <c r="S388" s="252"/>
      <c r="T388" s="252"/>
      <c r="U388" s="252"/>
      <c r="V388" s="252"/>
      <c r="W388" s="252"/>
      <c r="X388" s="252"/>
      <c r="Y388" s="252"/>
      <c r="Z388" s="252"/>
    </row>
    <row r="389" spans="16:26" ht="10.199999999999999" customHeight="1">
      <c r="P389" s="252"/>
      <c r="Q389" s="252"/>
      <c r="R389" s="252"/>
      <c r="S389" s="252"/>
      <c r="T389" s="252"/>
      <c r="U389" s="252"/>
      <c r="V389" s="252"/>
      <c r="W389" s="252"/>
      <c r="X389" s="252"/>
      <c r="Y389" s="252"/>
      <c r="Z389" s="252"/>
    </row>
    <row r="390" spans="16:26" ht="10.199999999999999" customHeight="1">
      <c r="P390" s="241"/>
      <c r="Q390" s="241"/>
      <c r="R390" s="241"/>
      <c r="S390" s="241"/>
      <c r="T390" s="241"/>
      <c r="U390" s="241"/>
      <c r="V390" s="241"/>
      <c r="W390" s="241"/>
      <c r="X390" s="241"/>
      <c r="Y390" s="241"/>
      <c r="Z390" s="241"/>
    </row>
    <row r="391" spans="16:26" ht="10.199999999999999" customHeight="1">
      <c r="P391" s="252"/>
      <c r="Q391" s="252"/>
      <c r="R391" s="252"/>
      <c r="S391" s="252"/>
      <c r="T391" s="252"/>
      <c r="U391" s="252"/>
      <c r="V391" s="252"/>
      <c r="W391" s="252"/>
      <c r="X391" s="252"/>
      <c r="Y391" s="252"/>
      <c r="Z391" s="252"/>
    </row>
    <row r="392" spans="16:26" ht="10.199999999999999" customHeight="1">
      <c r="P392" s="252"/>
      <c r="Q392" s="252"/>
      <c r="R392" s="252"/>
      <c r="S392" s="252"/>
      <c r="T392" s="252"/>
      <c r="U392" s="252"/>
      <c r="V392" s="252"/>
      <c r="W392" s="252"/>
      <c r="X392" s="252"/>
      <c r="Y392" s="252"/>
      <c r="Z392" s="252"/>
    </row>
    <row r="393" spans="16:26" ht="10.199999999999999" customHeight="1">
      <c r="P393" s="241"/>
      <c r="Q393" s="241"/>
      <c r="R393" s="241"/>
      <c r="S393" s="241"/>
      <c r="T393" s="241"/>
      <c r="U393" s="241"/>
      <c r="V393" s="241"/>
      <c r="W393" s="241"/>
      <c r="X393" s="241"/>
      <c r="Y393" s="241"/>
      <c r="Z393" s="241"/>
    </row>
    <row r="394" spans="16:26" ht="10.199999999999999" customHeight="1">
      <c r="P394" s="252"/>
      <c r="Q394" s="252"/>
      <c r="R394" s="252"/>
      <c r="S394" s="252"/>
      <c r="T394" s="252"/>
      <c r="U394" s="252"/>
      <c r="V394" s="252"/>
      <c r="W394" s="252"/>
      <c r="X394" s="252"/>
      <c r="Y394" s="252"/>
      <c r="Z394" s="252"/>
    </row>
    <row r="395" spans="16:26" ht="10.199999999999999" customHeight="1">
      <c r="P395" s="252"/>
      <c r="Q395" s="252"/>
      <c r="R395" s="252"/>
      <c r="S395" s="252"/>
      <c r="T395" s="252"/>
      <c r="U395" s="252"/>
      <c r="V395" s="252"/>
      <c r="W395" s="252"/>
      <c r="X395" s="252"/>
      <c r="Y395" s="252"/>
      <c r="Z395" s="252"/>
    </row>
    <row r="396" spans="16:26" ht="10.199999999999999" customHeight="1">
      <c r="P396" s="241"/>
      <c r="Q396" s="241"/>
      <c r="R396" s="241"/>
      <c r="S396" s="241"/>
      <c r="T396" s="241"/>
      <c r="U396" s="241"/>
      <c r="V396" s="241"/>
      <c r="W396" s="241"/>
      <c r="X396" s="241"/>
      <c r="Y396" s="241"/>
      <c r="Z396" s="241"/>
    </row>
    <row r="397" spans="16:26" ht="10.199999999999999" customHeight="1">
      <c r="P397" s="252"/>
      <c r="Q397" s="252"/>
      <c r="R397" s="252"/>
      <c r="S397" s="252"/>
      <c r="T397" s="252"/>
      <c r="U397" s="252"/>
      <c r="V397" s="252"/>
      <c r="W397" s="252"/>
      <c r="X397" s="252"/>
      <c r="Y397" s="252"/>
      <c r="Z397" s="252"/>
    </row>
    <row r="398" spans="16:26" ht="10.199999999999999" customHeight="1">
      <c r="P398" s="252"/>
      <c r="Q398" s="252"/>
      <c r="R398" s="252"/>
      <c r="S398" s="252"/>
      <c r="T398" s="252"/>
      <c r="U398" s="252"/>
      <c r="V398" s="252"/>
      <c r="W398" s="252"/>
      <c r="X398" s="252"/>
      <c r="Y398" s="252"/>
      <c r="Z398" s="252"/>
    </row>
    <row r="399" spans="16:26" ht="10.199999999999999" customHeight="1">
      <c r="P399" s="241"/>
      <c r="Q399" s="241"/>
      <c r="R399" s="241"/>
      <c r="S399" s="241"/>
      <c r="T399" s="241"/>
      <c r="U399" s="241"/>
      <c r="V399" s="241"/>
      <c r="W399" s="241"/>
      <c r="X399" s="241"/>
      <c r="Y399" s="241"/>
      <c r="Z399" s="241"/>
    </row>
    <row r="400" spans="16:26" ht="10.199999999999999" customHeight="1">
      <c r="P400" s="252"/>
      <c r="Q400" s="252"/>
      <c r="R400" s="252"/>
      <c r="S400" s="252"/>
      <c r="T400" s="252"/>
      <c r="U400" s="252"/>
      <c r="V400" s="252"/>
      <c r="W400" s="252"/>
      <c r="X400" s="252"/>
      <c r="Y400" s="252"/>
      <c r="Z400" s="252"/>
    </row>
    <row r="401" spans="16:26" ht="10.199999999999999" customHeight="1">
      <c r="P401" s="252"/>
      <c r="Q401" s="252"/>
      <c r="R401" s="252"/>
      <c r="S401" s="252"/>
      <c r="T401" s="252"/>
      <c r="U401" s="252"/>
      <c r="V401" s="252"/>
      <c r="W401" s="252"/>
      <c r="X401" s="252"/>
      <c r="Y401" s="252"/>
      <c r="Z401" s="252"/>
    </row>
    <row r="402" spans="16:26" ht="10.199999999999999" customHeight="1">
      <c r="P402" s="241"/>
      <c r="Q402" s="241"/>
      <c r="R402" s="241"/>
      <c r="S402" s="241"/>
      <c r="T402" s="241"/>
      <c r="U402" s="241"/>
      <c r="V402" s="241"/>
      <c r="W402" s="241"/>
      <c r="X402" s="241"/>
      <c r="Y402" s="241"/>
      <c r="Z402" s="241"/>
    </row>
    <row r="403" spans="16:26" ht="10.199999999999999" customHeight="1">
      <c r="P403" s="252"/>
      <c r="Q403" s="252"/>
      <c r="R403" s="252"/>
      <c r="S403" s="252"/>
      <c r="T403" s="252"/>
      <c r="U403" s="252"/>
      <c r="V403" s="252"/>
      <c r="W403" s="252"/>
      <c r="X403" s="252"/>
      <c r="Y403" s="252"/>
      <c r="Z403" s="252"/>
    </row>
    <row r="404" spans="16:26" ht="10.199999999999999" customHeight="1">
      <c r="P404" s="252"/>
      <c r="Q404" s="252"/>
      <c r="R404" s="252"/>
      <c r="S404" s="252"/>
      <c r="T404" s="252"/>
      <c r="U404" s="252"/>
      <c r="V404" s="252"/>
      <c r="W404" s="252"/>
      <c r="X404" s="252"/>
      <c r="Y404" s="252"/>
      <c r="Z404" s="252"/>
    </row>
    <row r="405" spans="16:26" ht="10.199999999999999" customHeight="1">
      <c r="P405" s="241"/>
      <c r="Q405" s="241"/>
      <c r="R405" s="241"/>
      <c r="S405" s="241"/>
      <c r="T405" s="241"/>
      <c r="U405" s="241"/>
      <c r="V405" s="241"/>
      <c r="W405" s="241"/>
      <c r="X405" s="241"/>
      <c r="Y405" s="241"/>
      <c r="Z405" s="241"/>
    </row>
    <row r="406" spans="16:26" ht="10.199999999999999" customHeight="1">
      <c r="P406" s="252"/>
      <c r="Q406" s="252"/>
      <c r="R406" s="252"/>
      <c r="S406" s="252"/>
      <c r="T406" s="252"/>
      <c r="U406" s="252"/>
      <c r="V406" s="252"/>
      <c r="W406" s="252"/>
      <c r="X406" s="252"/>
      <c r="Y406" s="252"/>
      <c r="Z406" s="252"/>
    </row>
    <row r="407" spans="16:26" ht="10.199999999999999" customHeight="1">
      <c r="P407" s="252"/>
      <c r="Q407" s="252"/>
      <c r="R407" s="252"/>
      <c r="S407" s="252"/>
      <c r="T407" s="252"/>
      <c r="U407" s="252"/>
      <c r="V407" s="252"/>
      <c r="W407" s="252"/>
      <c r="X407" s="252"/>
      <c r="Y407" s="252"/>
      <c r="Z407" s="252"/>
    </row>
    <row r="408" spans="16:26" ht="10.199999999999999" customHeight="1">
      <c r="P408" s="241"/>
      <c r="Q408" s="241"/>
      <c r="R408" s="241"/>
      <c r="S408" s="241"/>
      <c r="T408" s="241"/>
      <c r="U408" s="241"/>
      <c r="V408" s="241"/>
      <c r="W408" s="241"/>
      <c r="X408" s="241"/>
      <c r="Y408" s="241"/>
      <c r="Z408" s="241"/>
    </row>
    <row r="409" spans="16:26" ht="10.199999999999999" customHeight="1">
      <c r="P409" s="252"/>
      <c r="Q409" s="252"/>
      <c r="R409" s="252"/>
      <c r="S409" s="252"/>
      <c r="T409" s="252"/>
      <c r="U409" s="252"/>
      <c r="V409" s="252"/>
      <c r="W409" s="252"/>
      <c r="X409" s="252"/>
      <c r="Y409" s="252"/>
      <c r="Z409" s="252"/>
    </row>
    <row r="410" spans="16:26" ht="10.199999999999999" customHeight="1">
      <c r="P410" s="252"/>
      <c r="Q410" s="252"/>
      <c r="R410" s="252"/>
      <c r="S410" s="252"/>
      <c r="T410" s="252"/>
      <c r="U410" s="252"/>
      <c r="V410" s="252"/>
      <c r="W410" s="252"/>
      <c r="X410" s="252"/>
      <c r="Y410" s="252"/>
      <c r="Z410" s="252"/>
    </row>
    <row r="411" spans="16:26" ht="10.199999999999999" customHeight="1">
      <c r="P411" s="241"/>
      <c r="Q411" s="241"/>
      <c r="R411" s="241"/>
      <c r="S411" s="241"/>
      <c r="T411" s="241"/>
      <c r="U411" s="241"/>
      <c r="V411" s="241"/>
      <c r="W411" s="241"/>
      <c r="X411" s="241"/>
      <c r="Y411" s="241"/>
      <c r="Z411" s="241"/>
    </row>
    <row r="412" spans="16:26" ht="10.199999999999999" customHeight="1">
      <c r="P412" s="252"/>
      <c r="Q412" s="252"/>
      <c r="R412" s="252"/>
      <c r="S412" s="252"/>
      <c r="T412" s="252"/>
      <c r="U412" s="252"/>
      <c r="V412" s="252"/>
      <c r="W412" s="252"/>
      <c r="X412" s="252"/>
      <c r="Y412" s="252"/>
      <c r="Z412" s="252"/>
    </row>
    <row r="413" spans="16:26" ht="10.199999999999999" customHeight="1">
      <c r="P413" s="252"/>
      <c r="Q413" s="252"/>
      <c r="R413" s="252"/>
      <c r="S413" s="252"/>
      <c r="T413" s="252"/>
      <c r="U413" s="252"/>
      <c r="V413" s="252"/>
      <c r="W413" s="252"/>
      <c r="X413" s="252"/>
      <c r="Y413" s="252"/>
      <c r="Z413" s="252"/>
    </row>
    <row r="414" spans="16:26" ht="10.199999999999999" customHeight="1">
      <c r="P414" s="241"/>
      <c r="Q414" s="241"/>
      <c r="R414" s="241"/>
      <c r="S414" s="241"/>
      <c r="T414" s="241"/>
      <c r="U414" s="241"/>
      <c r="V414" s="241"/>
      <c r="W414" s="241"/>
      <c r="X414" s="241"/>
      <c r="Y414" s="241"/>
      <c r="Z414" s="241"/>
    </row>
    <row r="415" spans="16:26" ht="10.199999999999999" customHeight="1">
      <c r="P415" s="252"/>
      <c r="Q415" s="252"/>
      <c r="R415" s="252"/>
      <c r="S415" s="252"/>
      <c r="T415" s="252"/>
      <c r="U415" s="252"/>
      <c r="V415" s="252"/>
      <c r="W415" s="252"/>
      <c r="X415" s="252"/>
      <c r="Y415" s="252"/>
      <c r="Z415" s="252"/>
    </row>
    <row r="416" spans="16:26" ht="10.199999999999999" customHeight="1">
      <c r="P416" s="252"/>
      <c r="Q416" s="252"/>
      <c r="R416" s="252"/>
      <c r="S416" s="252"/>
      <c r="T416" s="252"/>
      <c r="U416" s="252"/>
      <c r="V416" s="252"/>
      <c r="W416" s="252"/>
      <c r="X416" s="252"/>
      <c r="Y416" s="252"/>
      <c r="Z416" s="252"/>
    </row>
    <row r="417" spans="16:26" ht="10.199999999999999" customHeight="1">
      <c r="P417" s="241"/>
      <c r="Q417" s="241"/>
      <c r="R417" s="241"/>
      <c r="S417" s="241"/>
      <c r="T417" s="241"/>
      <c r="U417" s="241"/>
      <c r="V417" s="241"/>
      <c r="W417" s="241"/>
      <c r="X417" s="241"/>
      <c r="Y417" s="241"/>
      <c r="Z417" s="241"/>
    </row>
    <row r="418" spans="16:26" ht="10.199999999999999" customHeight="1">
      <c r="P418" s="252"/>
      <c r="Q418" s="252"/>
      <c r="R418" s="252"/>
      <c r="S418" s="252"/>
      <c r="T418" s="252"/>
      <c r="U418" s="252"/>
      <c r="V418" s="252"/>
      <c r="W418" s="252"/>
      <c r="X418" s="252"/>
      <c r="Y418" s="252"/>
      <c r="Z418" s="252"/>
    </row>
    <row r="419" spans="16:26" ht="10.199999999999999" customHeight="1">
      <c r="P419" s="252"/>
      <c r="Q419" s="252"/>
      <c r="R419" s="252"/>
      <c r="S419" s="252"/>
      <c r="T419" s="252"/>
      <c r="U419" s="252"/>
      <c r="V419" s="252"/>
      <c r="W419" s="252"/>
      <c r="X419" s="252"/>
      <c r="Y419" s="252"/>
      <c r="Z419" s="252"/>
    </row>
    <row r="420" spans="16:26" ht="10.199999999999999" customHeight="1">
      <c r="P420" s="241"/>
      <c r="Q420" s="241"/>
      <c r="R420" s="241"/>
      <c r="S420" s="241"/>
      <c r="T420" s="241"/>
      <c r="U420" s="241"/>
      <c r="V420" s="241"/>
      <c r="W420" s="241"/>
      <c r="X420" s="241"/>
      <c r="Y420" s="241"/>
      <c r="Z420" s="241"/>
    </row>
    <row r="421" spans="16:26" ht="10.199999999999999" customHeight="1">
      <c r="P421" s="252"/>
      <c r="Q421" s="252"/>
      <c r="R421" s="252"/>
      <c r="S421" s="252"/>
      <c r="T421" s="252"/>
      <c r="U421" s="252"/>
      <c r="V421" s="252"/>
      <c r="W421" s="252"/>
      <c r="X421" s="252"/>
      <c r="Y421" s="252"/>
      <c r="Z421" s="252"/>
    </row>
    <row r="422" spans="16:26" ht="10.199999999999999" customHeight="1">
      <c r="P422" s="252"/>
      <c r="Q422" s="252"/>
      <c r="R422" s="252"/>
      <c r="S422" s="252"/>
      <c r="T422" s="252"/>
      <c r="U422" s="252"/>
      <c r="V422" s="252"/>
      <c r="W422" s="252"/>
      <c r="X422" s="252"/>
      <c r="Y422" s="252"/>
      <c r="Z422" s="252"/>
    </row>
    <row r="423" spans="16:26" ht="10.199999999999999" customHeight="1">
      <c r="P423" s="241"/>
      <c r="Q423" s="241"/>
      <c r="R423" s="241"/>
      <c r="S423" s="241"/>
      <c r="T423" s="241"/>
      <c r="U423" s="241"/>
      <c r="V423" s="241"/>
      <c r="W423" s="241"/>
      <c r="X423" s="241"/>
      <c r="Y423" s="241"/>
      <c r="Z423" s="241"/>
    </row>
    <row r="424" spans="16:26" ht="10.199999999999999" customHeight="1">
      <c r="P424" s="252"/>
      <c r="Q424" s="252"/>
      <c r="R424" s="252"/>
      <c r="S424" s="252"/>
      <c r="T424" s="252"/>
      <c r="U424" s="252"/>
      <c r="V424" s="252"/>
      <c r="W424" s="252"/>
      <c r="X424" s="252"/>
      <c r="Y424" s="252"/>
      <c r="Z424" s="252"/>
    </row>
    <row r="425" spans="16:26" ht="10.199999999999999" customHeight="1">
      <c r="P425" s="252"/>
      <c r="Q425" s="252"/>
      <c r="R425" s="252"/>
      <c r="S425" s="252"/>
      <c r="T425" s="252"/>
      <c r="U425" s="252"/>
      <c r="V425" s="252"/>
      <c r="W425" s="252"/>
      <c r="X425" s="252"/>
      <c r="Y425" s="252"/>
      <c r="Z425" s="252"/>
    </row>
    <row r="426" spans="16:26" ht="10.199999999999999" customHeight="1">
      <c r="P426" s="241"/>
      <c r="Q426" s="241"/>
      <c r="R426" s="241"/>
      <c r="S426" s="241"/>
      <c r="T426" s="241"/>
      <c r="U426" s="241"/>
      <c r="V426" s="241"/>
      <c r="W426" s="241"/>
      <c r="X426" s="241"/>
      <c r="Y426" s="241"/>
      <c r="Z426" s="241"/>
    </row>
    <row r="427" spans="16:26" ht="10.199999999999999" customHeight="1">
      <c r="P427" s="252"/>
      <c r="Q427" s="252"/>
      <c r="R427" s="252"/>
      <c r="S427" s="252"/>
      <c r="T427" s="252"/>
      <c r="U427" s="252"/>
      <c r="V427" s="252"/>
      <c r="W427" s="252"/>
      <c r="X427" s="252"/>
      <c r="Y427" s="252"/>
      <c r="Z427" s="252"/>
    </row>
    <row r="428" spans="16:26" ht="10.199999999999999" customHeight="1">
      <c r="P428" s="252"/>
      <c r="Q428" s="252"/>
      <c r="R428" s="252"/>
      <c r="S428" s="252"/>
      <c r="T428" s="252"/>
      <c r="U428" s="252"/>
      <c r="V428" s="252"/>
      <c r="W428" s="252"/>
      <c r="X428" s="252"/>
      <c r="Y428" s="252"/>
      <c r="Z428" s="252"/>
    </row>
    <row r="429" spans="16:26" ht="10.199999999999999" customHeight="1">
      <c r="P429" s="241"/>
      <c r="Q429" s="241"/>
      <c r="R429" s="241"/>
      <c r="S429" s="241"/>
      <c r="T429" s="241"/>
      <c r="U429" s="241"/>
      <c r="V429" s="241"/>
      <c r="W429" s="241"/>
      <c r="X429" s="241"/>
      <c r="Y429" s="241"/>
      <c r="Z429" s="241"/>
    </row>
    <row r="430" spans="16:26" ht="10.199999999999999" customHeight="1">
      <c r="P430" s="252"/>
      <c r="Q430" s="252"/>
      <c r="R430" s="252"/>
      <c r="S430" s="252"/>
      <c r="T430" s="252"/>
      <c r="U430" s="252"/>
      <c r="V430" s="252"/>
      <c r="W430" s="252"/>
      <c r="X430" s="252"/>
      <c r="Y430" s="252"/>
      <c r="Z430" s="252"/>
    </row>
    <row r="431" spans="16:26" ht="10.199999999999999" customHeight="1">
      <c r="P431" s="252"/>
      <c r="Q431" s="252"/>
      <c r="R431" s="252"/>
      <c r="S431" s="252"/>
      <c r="T431" s="252"/>
      <c r="U431" s="252"/>
      <c r="V431" s="252"/>
      <c r="W431" s="252"/>
      <c r="X431" s="252"/>
      <c r="Y431" s="252"/>
      <c r="Z431" s="252"/>
    </row>
    <row r="432" spans="16:26" ht="10.199999999999999" customHeight="1">
      <c r="P432" s="241"/>
      <c r="Q432" s="241"/>
      <c r="R432" s="241"/>
      <c r="S432" s="241"/>
      <c r="T432" s="241"/>
      <c r="U432" s="241"/>
      <c r="V432" s="241"/>
      <c r="W432" s="241"/>
      <c r="X432" s="241"/>
      <c r="Y432" s="241"/>
      <c r="Z432" s="241"/>
    </row>
    <row r="433" spans="16:26" ht="10.199999999999999" customHeight="1">
      <c r="P433" s="252"/>
      <c r="Q433" s="252"/>
      <c r="R433" s="252"/>
      <c r="S433" s="252"/>
      <c r="T433" s="252"/>
      <c r="U433" s="252"/>
      <c r="V433" s="252"/>
      <c r="W433" s="252"/>
      <c r="X433" s="252"/>
      <c r="Y433" s="252"/>
      <c r="Z433" s="252"/>
    </row>
    <row r="434" spans="16:26" ht="10.199999999999999" customHeight="1">
      <c r="P434" s="252"/>
      <c r="Q434" s="252"/>
      <c r="R434" s="252"/>
      <c r="S434" s="252"/>
      <c r="T434" s="252"/>
      <c r="U434" s="252"/>
      <c r="V434" s="252"/>
      <c r="W434" s="252"/>
      <c r="X434" s="252"/>
      <c r="Y434" s="252"/>
      <c r="Z434" s="252"/>
    </row>
    <row r="435" spans="16:26" ht="10.199999999999999" customHeight="1">
      <c r="P435" s="241"/>
      <c r="Q435" s="241"/>
      <c r="R435" s="241"/>
      <c r="S435" s="241"/>
      <c r="T435" s="241"/>
      <c r="U435" s="241"/>
      <c r="V435" s="241"/>
      <c r="W435" s="241"/>
      <c r="X435" s="241"/>
      <c r="Y435" s="241"/>
      <c r="Z435" s="241"/>
    </row>
    <row r="436" spans="16:26" ht="10.199999999999999" customHeight="1">
      <c r="P436" s="252"/>
      <c r="Q436" s="252"/>
      <c r="R436" s="252"/>
      <c r="S436" s="252"/>
      <c r="T436" s="252"/>
      <c r="U436" s="252"/>
      <c r="V436" s="252"/>
      <c r="W436" s="252"/>
      <c r="X436" s="252"/>
      <c r="Y436" s="252"/>
      <c r="Z436" s="252"/>
    </row>
    <row r="437" spans="16:26" ht="10.199999999999999" customHeight="1">
      <c r="P437" s="252"/>
      <c r="Q437" s="252"/>
      <c r="R437" s="252"/>
      <c r="S437" s="252"/>
      <c r="T437" s="252"/>
      <c r="U437" s="252"/>
      <c r="V437" s="252"/>
      <c r="W437" s="252"/>
      <c r="X437" s="252"/>
      <c r="Y437" s="252"/>
      <c r="Z437" s="252"/>
    </row>
    <row r="438" spans="16:26" ht="10.199999999999999" customHeight="1">
      <c r="P438" s="241"/>
      <c r="Q438" s="241"/>
      <c r="R438" s="241"/>
      <c r="S438" s="241"/>
      <c r="T438" s="241"/>
      <c r="U438" s="241"/>
      <c r="V438" s="241"/>
      <c r="W438" s="241"/>
      <c r="X438" s="241"/>
      <c r="Y438" s="241"/>
      <c r="Z438" s="241"/>
    </row>
    <row r="439" spans="16:26" ht="10.199999999999999" customHeight="1">
      <c r="P439" s="252"/>
      <c r="Q439" s="252"/>
      <c r="R439" s="252"/>
      <c r="S439" s="252"/>
      <c r="T439" s="252"/>
      <c r="U439" s="252"/>
      <c r="V439" s="252"/>
      <c r="W439" s="252"/>
      <c r="X439" s="252"/>
      <c r="Y439" s="252"/>
      <c r="Z439" s="252"/>
    </row>
    <row r="440" spans="16:26" ht="10.199999999999999" customHeight="1">
      <c r="P440" s="252"/>
      <c r="Q440" s="252"/>
      <c r="R440" s="252"/>
      <c r="S440" s="252"/>
      <c r="T440" s="252"/>
      <c r="U440" s="252"/>
      <c r="V440" s="252"/>
      <c r="W440" s="252"/>
      <c r="X440" s="252"/>
      <c r="Y440" s="252"/>
      <c r="Z440" s="252"/>
    </row>
    <row r="441" spans="16:26" ht="10.199999999999999" customHeight="1">
      <c r="P441" s="241"/>
      <c r="Q441" s="241"/>
      <c r="R441" s="241"/>
      <c r="S441" s="241"/>
      <c r="T441" s="241"/>
      <c r="U441" s="241"/>
      <c r="V441" s="241"/>
      <c r="W441" s="241"/>
      <c r="X441" s="241"/>
      <c r="Y441" s="241"/>
      <c r="Z441" s="241"/>
    </row>
    <row r="442" spans="16:26" ht="10.199999999999999" customHeight="1">
      <c r="P442" s="252"/>
      <c r="Q442" s="252"/>
      <c r="R442" s="252"/>
      <c r="S442" s="252"/>
      <c r="T442" s="252"/>
      <c r="U442" s="252"/>
      <c r="V442" s="252"/>
      <c r="W442" s="252"/>
      <c r="X442" s="252"/>
      <c r="Y442" s="252"/>
      <c r="Z442" s="252"/>
    </row>
    <row r="443" spans="16:26" ht="10.199999999999999" customHeight="1">
      <c r="P443" s="252"/>
      <c r="Q443" s="252"/>
      <c r="R443" s="252"/>
      <c r="S443" s="252"/>
      <c r="T443" s="252"/>
      <c r="U443" s="252"/>
      <c r="V443" s="252"/>
      <c r="W443" s="252"/>
      <c r="X443" s="252"/>
      <c r="Y443" s="252"/>
      <c r="Z443" s="252"/>
    </row>
    <row r="444" spans="16:26" ht="10.199999999999999" customHeight="1">
      <c r="P444" s="241"/>
      <c r="Q444" s="241"/>
      <c r="R444" s="241"/>
      <c r="S444" s="241"/>
      <c r="T444" s="241"/>
      <c r="U444" s="241"/>
      <c r="V444" s="241"/>
      <c r="W444" s="241"/>
      <c r="X444" s="241"/>
      <c r="Y444" s="241"/>
      <c r="Z444" s="241"/>
    </row>
    <row r="445" spans="16:26" ht="10.199999999999999" customHeight="1">
      <c r="P445" s="252"/>
      <c r="Q445" s="252"/>
      <c r="R445" s="252"/>
      <c r="S445" s="252"/>
      <c r="T445" s="252"/>
      <c r="U445" s="252"/>
      <c r="V445" s="252"/>
      <c r="W445" s="252"/>
      <c r="X445" s="252"/>
      <c r="Y445" s="252"/>
      <c r="Z445" s="252"/>
    </row>
    <row r="446" spans="16:26" ht="10.199999999999999" customHeight="1">
      <c r="P446" s="252"/>
      <c r="Q446" s="252"/>
      <c r="R446" s="252"/>
      <c r="S446" s="252"/>
      <c r="T446" s="252"/>
      <c r="U446" s="252"/>
      <c r="V446" s="252"/>
      <c r="W446" s="252"/>
      <c r="X446" s="252"/>
      <c r="Y446" s="252"/>
      <c r="Z446" s="252"/>
    </row>
    <row r="447" spans="16:26" ht="10.199999999999999" customHeight="1">
      <c r="P447" s="241"/>
      <c r="Q447" s="241"/>
      <c r="R447" s="241"/>
      <c r="S447" s="241"/>
      <c r="T447" s="241"/>
      <c r="U447" s="241"/>
      <c r="V447" s="241"/>
      <c r="W447" s="241"/>
      <c r="X447" s="241"/>
      <c r="Y447" s="241"/>
      <c r="Z447" s="241"/>
    </row>
    <row r="448" spans="16:26" ht="10.199999999999999" customHeight="1">
      <c r="P448" s="252"/>
      <c r="Q448" s="252"/>
      <c r="R448" s="252"/>
      <c r="S448" s="252"/>
      <c r="T448" s="252"/>
      <c r="U448" s="252"/>
      <c r="V448" s="252"/>
      <c r="W448" s="252"/>
      <c r="X448" s="252"/>
      <c r="Y448" s="252"/>
      <c r="Z448" s="252"/>
    </row>
    <row r="449" spans="16:26" ht="10.199999999999999" customHeight="1">
      <c r="P449" s="252"/>
      <c r="Q449" s="252"/>
      <c r="R449" s="252"/>
      <c r="S449" s="252"/>
      <c r="T449" s="252"/>
      <c r="U449" s="252"/>
      <c r="V449" s="252"/>
      <c r="W449" s="252"/>
      <c r="X449" s="252"/>
      <c r="Y449" s="252"/>
      <c r="Z449" s="252"/>
    </row>
    <row r="450" spans="16:26" ht="10.199999999999999" customHeight="1">
      <c r="P450" s="241"/>
      <c r="Q450" s="241"/>
      <c r="R450" s="241"/>
      <c r="S450" s="241"/>
      <c r="T450" s="241"/>
      <c r="U450" s="241"/>
      <c r="V450" s="241"/>
      <c r="W450" s="241"/>
      <c r="X450" s="241"/>
      <c r="Y450" s="241"/>
      <c r="Z450" s="241"/>
    </row>
    <row r="451" spans="16:26" ht="10.199999999999999" customHeight="1">
      <c r="P451" s="252"/>
      <c r="Q451" s="252"/>
      <c r="R451" s="252"/>
      <c r="S451" s="252"/>
      <c r="T451" s="252"/>
      <c r="U451" s="252"/>
      <c r="V451" s="252"/>
      <c r="W451" s="252"/>
      <c r="X451" s="252"/>
      <c r="Y451" s="252"/>
      <c r="Z451" s="252"/>
    </row>
    <row r="452" spans="16:26" ht="10.199999999999999" customHeight="1">
      <c r="P452" s="252"/>
      <c r="Q452" s="252"/>
      <c r="R452" s="252"/>
      <c r="S452" s="252"/>
      <c r="T452" s="252"/>
      <c r="U452" s="252"/>
      <c r="V452" s="252"/>
      <c r="W452" s="252"/>
      <c r="X452" s="252"/>
      <c r="Y452" s="252"/>
      <c r="Z452" s="252"/>
    </row>
    <row r="453" spans="16:26" ht="10.199999999999999" customHeight="1">
      <c r="P453" s="241"/>
      <c r="Q453" s="241"/>
      <c r="R453" s="241"/>
      <c r="S453" s="241"/>
      <c r="T453" s="241"/>
      <c r="U453" s="241"/>
      <c r="V453" s="241"/>
      <c r="W453" s="241"/>
      <c r="X453" s="241"/>
      <c r="Y453" s="241"/>
      <c r="Z453" s="241"/>
    </row>
    <row r="454" spans="16:26" ht="10.199999999999999" customHeight="1">
      <c r="P454" s="252"/>
      <c r="Q454" s="252"/>
      <c r="R454" s="252"/>
      <c r="S454" s="252"/>
      <c r="T454" s="252"/>
      <c r="U454" s="252"/>
      <c r="V454" s="252"/>
      <c r="W454" s="252"/>
      <c r="X454" s="252"/>
      <c r="Y454" s="252"/>
      <c r="Z454" s="252"/>
    </row>
    <row r="455" spans="16:26" ht="10.199999999999999" customHeight="1">
      <c r="P455" s="252"/>
      <c r="Q455" s="252"/>
      <c r="R455" s="252"/>
      <c r="S455" s="252"/>
      <c r="T455" s="252"/>
      <c r="U455" s="252"/>
      <c r="V455" s="252"/>
      <c r="W455" s="252"/>
      <c r="X455" s="252"/>
      <c r="Y455" s="252"/>
      <c r="Z455" s="252"/>
    </row>
    <row r="456" spans="16:26" ht="10.199999999999999" customHeight="1">
      <c r="P456" s="241"/>
      <c r="Q456" s="241"/>
      <c r="R456" s="241"/>
      <c r="S456" s="241"/>
      <c r="T456" s="241"/>
      <c r="U456" s="241"/>
      <c r="V456" s="241"/>
      <c r="W456" s="241"/>
      <c r="X456" s="241"/>
      <c r="Y456" s="241"/>
      <c r="Z456" s="241"/>
    </row>
    <row r="457" spans="16:26" ht="10.199999999999999" customHeight="1">
      <c r="P457" s="252"/>
      <c r="Q457" s="252"/>
      <c r="R457" s="252"/>
      <c r="S457" s="252"/>
      <c r="T457" s="252"/>
      <c r="U457" s="252"/>
      <c r="V457" s="252"/>
      <c r="W457" s="252"/>
      <c r="X457" s="252"/>
      <c r="Y457" s="252"/>
      <c r="Z457" s="252"/>
    </row>
    <row r="458" spans="16:26" ht="10.199999999999999" customHeight="1">
      <c r="P458" s="252"/>
      <c r="Q458" s="252"/>
      <c r="R458" s="252"/>
      <c r="S458" s="252"/>
      <c r="T458" s="252"/>
      <c r="U458" s="252"/>
      <c r="V458" s="252"/>
      <c r="W458" s="252"/>
      <c r="X458" s="252"/>
      <c r="Y458" s="252"/>
      <c r="Z458" s="252"/>
    </row>
    <row r="459" spans="16:26" ht="10.199999999999999" customHeight="1">
      <c r="P459" s="241"/>
      <c r="Q459" s="241"/>
      <c r="R459" s="241"/>
      <c r="S459" s="241"/>
      <c r="T459" s="241"/>
      <c r="U459" s="241"/>
      <c r="V459" s="241"/>
      <c r="W459" s="241"/>
      <c r="X459" s="241"/>
      <c r="Y459" s="241"/>
      <c r="Z459" s="241"/>
    </row>
    <row r="460" spans="16:26" ht="10.199999999999999" customHeight="1">
      <c r="P460" s="252"/>
      <c r="Q460" s="252"/>
      <c r="R460" s="252"/>
      <c r="S460" s="252"/>
      <c r="T460" s="252"/>
      <c r="U460" s="252"/>
      <c r="V460" s="252"/>
      <c r="W460" s="252"/>
      <c r="X460" s="252"/>
      <c r="Y460" s="252"/>
      <c r="Z460" s="252"/>
    </row>
    <row r="461" spans="16:26" ht="10.199999999999999" customHeight="1">
      <c r="P461" s="252"/>
      <c r="Q461" s="252"/>
      <c r="R461" s="252"/>
      <c r="S461" s="252"/>
      <c r="T461" s="252"/>
      <c r="U461" s="252"/>
      <c r="V461" s="252"/>
      <c r="W461" s="252"/>
      <c r="X461" s="252"/>
      <c r="Y461" s="252"/>
      <c r="Z461" s="252"/>
    </row>
    <row r="462" spans="16:26" ht="10.199999999999999" customHeight="1">
      <c r="P462" s="241"/>
      <c r="Q462" s="241"/>
      <c r="R462" s="241"/>
      <c r="S462" s="241"/>
      <c r="T462" s="241"/>
      <c r="U462" s="241"/>
      <c r="V462" s="241"/>
      <c r="W462" s="241"/>
      <c r="X462" s="241"/>
      <c r="Y462" s="241"/>
      <c r="Z462" s="241"/>
    </row>
    <row r="463" spans="16:26" ht="10.199999999999999" customHeight="1">
      <c r="P463" s="252"/>
      <c r="Q463" s="252"/>
      <c r="R463" s="252"/>
      <c r="S463" s="252"/>
      <c r="T463" s="252"/>
      <c r="U463" s="252"/>
      <c r="V463" s="252"/>
      <c r="W463" s="252"/>
      <c r="X463" s="252"/>
      <c r="Y463" s="252"/>
      <c r="Z463" s="252"/>
    </row>
    <row r="464" spans="16:26" ht="10.199999999999999" customHeight="1">
      <c r="P464" s="252"/>
      <c r="Q464" s="252"/>
      <c r="R464" s="252"/>
      <c r="S464" s="252"/>
      <c r="T464" s="252"/>
      <c r="U464" s="252"/>
      <c r="V464" s="252"/>
      <c r="W464" s="252"/>
      <c r="X464" s="252"/>
      <c r="Y464" s="252"/>
      <c r="Z464" s="252"/>
    </row>
    <row r="465" spans="16:26" ht="10.199999999999999" customHeight="1">
      <c r="P465" s="241"/>
      <c r="Q465" s="241"/>
      <c r="R465" s="241"/>
      <c r="S465" s="241"/>
      <c r="T465" s="241"/>
      <c r="U465" s="241"/>
      <c r="V465" s="241"/>
      <c r="W465" s="241"/>
      <c r="X465" s="241"/>
      <c r="Y465" s="241"/>
      <c r="Z465" s="241"/>
    </row>
    <row r="466" spans="16:26" ht="10.199999999999999" customHeight="1">
      <c r="P466" s="252"/>
      <c r="Q466" s="252"/>
      <c r="R466" s="252"/>
      <c r="S466" s="252"/>
      <c r="T466" s="252"/>
      <c r="U466" s="252"/>
      <c r="V466" s="252"/>
      <c r="W466" s="252"/>
      <c r="X466" s="252"/>
      <c r="Y466" s="252"/>
      <c r="Z466" s="252"/>
    </row>
    <row r="467" spans="16:26" ht="10.199999999999999" customHeight="1">
      <c r="P467" s="252"/>
      <c r="Q467" s="252"/>
      <c r="R467" s="252"/>
      <c r="S467" s="252"/>
      <c r="T467" s="252"/>
      <c r="U467" s="252"/>
      <c r="V467" s="252"/>
      <c r="W467" s="252"/>
      <c r="X467" s="252"/>
      <c r="Y467" s="252"/>
      <c r="Z467" s="252"/>
    </row>
    <row r="468" spans="16:26" ht="10.199999999999999" customHeight="1">
      <c r="P468" s="241"/>
      <c r="Q468" s="241"/>
      <c r="R468" s="241"/>
      <c r="S468" s="241"/>
      <c r="T468" s="241"/>
      <c r="U468" s="241"/>
      <c r="V468" s="241"/>
      <c r="W468" s="241"/>
      <c r="X468" s="241"/>
      <c r="Y468" s="241"/>
      <c r="Z468" s="241"/>
    </row>
    <row r="469" spans="16:26" ht="10.199999999999999" customHeight="1">
      <c r="P469" s="252"/>
      <c r="Q469" s="252"/>
      <c r="R469" s="252"/>
      <c r="S469" s="252"/>
      <c r="T469" s="252"/>
      <c r="U469" s="252"/>
      <c r="V469" s="252"/>
      <c r="W469" s="252"/>
      <c r="X469" s="252"/>
      <c r="Y469" s="252"/>
      <c r="Z469" s="252"/>
    </row>
    <row r="470" spans="16:26" ht="10.199999999999999" customHeight="1">
      <c r="P470" s="252"/>
      <c r="Q470" s="252"/>
      <c r="R470" s="252"/>
      <c r="S470" s="252"/>
      <c r="T470" s="252"/>
      <c r="U470" s="252"/>
      <c r="V470" s="252"/>
      <c r="W470" s="252"/>
      <c r="X470" s="252"/>
      <c r="Y470" s="252"/>
      <c r="Z470" s="252"/>
    </row>
    <row r="471" spans="16:26" ht="10.199999999999999" customHeight="1">
      <c r="P471" s="241"/>
      <c r="Q471" s="241"/>
      <c r="R471" s="241"/>
      <c r="S471" s="241"/>
      <c r="T471" s="241"/>
      <c r="U471" s="241"/>
      <c r="V471" s="241"/>
      <c r="W471" s="241"/>
      <c r="X471" s="241"/>
      <c r="Y471" s="241"/>
      <c r="Z471" s="241"/>
    </row>
    <row r="472" spans="16:26" ht="10.199999999999999" customHeight="1">
      <c r="P472" s="252"/>
      <c r="Q472" s="252"/>
      <c r="R472" s="252"/>
      <c r="S472" s="252"/>
      <c r="T472" s="252"/>
      <c r="U472" s="252"/>
      <c r="V472" s="252"/>
      <c r="W472" s="252"/>
      <c r="X472" s="252"/>
      <c r="Y472" s="252"/>
      <c r="Z472" s="252"/>
    </row>
    <row r="473" spans="16:26" ht="10.199999999999999" customHeight="1">
      <c r="P473" s="252"/>
      <c r="Q473" s="252"/>
      <c r="R473" s="252"/>
      <c r="S473" s="252"/>
      <c r="T473" s="252"/>
      <c r="U473" s="252"/>
      <c r="V473" s="252"/>
      <c r="W473" s="252"/>
      <c r="X473" s="252"/>
      <c r="Y473" s="252"/>
      <c r="Z473" s="252"/>
    </row>
    <row r="474" spans="16:26" ht="10.199999999999999" customHeight="1">
      <c r="P474" s="241"/>
      <c r="Q474" s="241"/>
      <c r="R474" s="241"/>
      <c r="S474" s="241"/>
      <c r="T474" s="241"/>
      <c r="U474" s="241"/>
      <c r="V474" s="241"/>
      <c r="W474" s="241"/>
      <c r="X474" s="241"/>
      <c r="Y474" s="241"/>
      <c r="Z474" s="241"/>
    </row>
    <row r="475" spans="16:26" ht="10.199999999999999" customHeight="1">
      <c r="P475" s="252"/>
      <c r="Q475" s="252"/>
      <c r="R475" s="252"/>
      <c r="S475" s="252"/>
      <c r="T475" s="252"/>
      <c r="U475" s="252"/>
      <c r="V475" s="252"/>
      <c r="W475" s="252"/>
      <c r="X475" s="252"/>
      <c r="Y475" s="252"/>
      <c r="Z475" s="252"/>
    </row>
    <row r="476" spans="16:26" ht="10.199999999999999" customHeight="1">
      <c r="P476" s="252"/>
      <c r="Q476" s="252"/>
      <c r="R476" s="252"/>
      <c r="S476" s="252"/>
      <c r="T476" s="252"/>
      <c r="U476" s="252"/>
      <c r="V476" s="252"/>
      <c r="W476" s="252"/>
      <c r="X476" s="252"/>
      <c r="Y476" s="252"/>
      <c r="Z476" s="252"/>
    </row>
    <row r="477" spans="16:26" ht="10.199999999999999" customHeight="1">
      <c r="P477" s="241"/>
      <c r="Q477" s="241"/>
      <c r="R477" s="241"/>
      <c r="S477" s="241"/>
      <c r="T477" s="241"/>
      <c r="U477" s="241"/>
      <c r="V477" s="241"/>
      <c r="W477" s="241"/>
      <c r="X477" s="241"/>
      <c r="Y477" s="241"/>
      <c r="Z477" s="241"/>
    </row>
    <row r="478" spans="16:26" ht="10.199999999999999" customHeight="1">
      <c r="P478" s="252"/>
      <c r="Q478" s="252"/>
      <c r="R478" s="252"/>
      <c r="S478" s="252"/>
      <c r="T478" s="252"/>
      <c r="U478" s="252"/>
      <c r="V478" s="252"/>
      <c r="W478" s="252"/>
      <c r="X478" s="252"/>
      <c r="Y478" s="252"/>
      <c r="Z478" s="252"/>
    </row>
    <row r="479" spans="16:26" ht="10.199999999999999" customHeight="1">
      <c r="P479" s="252"/>
      <c r="Q479" s="252"/>
      <c r="R479" s="252"/>
      <c r="S479" s="252"/>
      <c r="T479" s="252"/>
      <c r="U479" s="252"/>
      <c r="V479" s="252"/>
      <c r="W479" s="252"/>
      <c r="X479" s="252"/>
      <c r="Y479" s="252"/>
      <c r="Z479" s="252"/>
    </row>
    <row r="480" spans="16:26" ht="10.199999999999999" customHeight="1">
      <c r="P480" s="241"/>
      <c r="Q480" s="241"/>
      <c r="R480" s="241"/>
      <c r="S480" s="241"/>
      <c r="T480" s="241"/>
      <c r="U480" s="241"/>
      <c r="V480" s="241"/>
      <c r="W480" s="241"/>
      <c r="X480" s="241"/>
      <c r="Y480" s="241"/>
      <c r="Z480" s="241"/>
    </row>
    <row r="481" spans="16:26" ht="10.199999999999999" customHeight="1">
      <c r="P481" s="252"/>
      <c r="Q481" s="252"/>
      <c r="R481" s="252"/>
      <c r="S481" s="252"/>
      <c r="T481" s="252"/>
      <c r="U481" s="252"/>
      <c r="V481" s="252"/>
      <c r="W481" s="252"/>
      <c r="X481" s="252"/>
      <c r="Y481" s="252"/>
      <c r="Z481" s="252"/>
    </row>
    <row r="482" spans="16:26" ht="10.199999999999999" customHeight="1">
      <c r="P482" s="252"/>
      <c r="Q482" s="252"/>
      <c r="R482" s="252"/>
      <c r="S482" s="252"/>
      <c r="T482" s="252"/>
      <c r="U482" s="252"/>
      <c r="V482" s="252"/>
      <c r="W482" s="252"/>
      <c r="X482" s="252"/>
      <c r="Y482" s="252"/>
      <c r="Z482" s="252"/>
    </row>
    <row r="483" spans="16:26" ht="10.199999999999999" customHeight="1">
      <c r="P483" s="241"/>
      <c r="Q483" s="241"/>
      <c r="R483" s="241"/>
      <c r="S483" s="241"/>
      <c r="T483" s="241"/>
      <c r="U483" s="241"/>
      <c r="V483" s="241"/>
      <c r="W483" s="241"/>
      <c r="X483" s="241"/>
      <c r="Y483" s="241"/>
      <c r="Z483" s="241"/>
    </row>
    <row r="484" spans="16:26" ht="10.199999999999999" customHeight="1">
      <c r="P484" s="252"/>
      <c r="Q484" s="252"/>
      <c r="R484" s="252"/>
      <c r="S484" s="252"/>
      <c r="T484" s="252"/>
      <c r="U484" s="252"/>
      <c r="V484" s="252"/>
      <c r="W484" s="252"/>
      <c r="X484" s="252"/>
      <c r="Y484" s="252"/>
      <c r="Z484" s="252"/>
    </row>
    <row r="485" spans="16:26" ht="10.199999999999999" customHeight="1">
      <c r="P485" s="252"/>
      <c r="Q485" s="252"/>
      <c r="R485" s="252"/>
      <c r="S485" s="252"/>
      <c r="T485" s="252"/>
      <c r="U485" s="252"/>
      <c r="V485" s="252"/>
      <c r="W485" s="252"/>
      <c r="X485" s="252"/>
      <c r="Y485" s="252"/>
      <c r="Z485" s="252"/>
    </row>
    <row r="486" spans="16:26" ht="10.199999999999999" customHeight="1">
      <c r="P486" s="241"/>
      <c r="Q486" s="241"/>
      <c r="R486" s="241"/>
      <c r="S486" s="241"/>
      <c r="T486" s="241"/>
      <c r="U486" s="241"/>
      <c r="V486" s="241"/>
      <c r="W486" s="241"/>
      <c r="X486" s="241"/>
      <c r="Y486" s="241"/>
      <c r="Z486" s="241"/>
    </row>
    <row r="487" spans="16:26" ht="10.199999999999999" customHeight="1">
      <c r="P487" s="252"/>
      <c r="Q487" s="252"/>
      <c r="R487" s="252"/>
      <c r="S487" s="252"/>
      <c r="T487" s="252"/>
      <c r="U487" s="252"/>
      <c r="V487" s="252"/>
      <c r="W487" s="252"/>
      <c r="X487" s="252"/>
      <c r="Y487" s="252"/>
      <c r="Z487" s="252"/>
    </row>
    <row r="488" spans="16:26" ht="10.199999999999999" customHeight="1">
      <c r="P488" s="252"/>
      <c r="Q488" s="252"/>
      <c r="R488" s="252"/>
      <c r="S488" s="252"/>
      <c r="T488" s="252"/>
      <c r="U488" s="252"/>
      <c r="V488" s="252"/>
      <c r="W488" s="252"/>
      <c r="X488" s="252"/>
      <c r="Y488" s="252"/>
      <c r="Z488" s="252"/>
    </row>
    <row r="489" spans="16:26" ht="10.199999999999999" customHeight="1">
      <c r="P489" s="241"/>
      <c r="Q489" s="241"/>
      <c r="R489" s="241"/>
      <c r="S489" s="241"/>
      <c r="T489" s="241"/>
      <c r="U489" s="241"/>
      <c r="V489" s="241"/>
      <c r="W489" s="241"/>
      <c r="X489" s="241"/>
      <c r="Y489" s="241"/>
      <c r="Z489" s="241"/>
    </row>
    <row r="490" spans="16:26" ht="10.199999999999999" customHeight="1">
      <c r="P490" s="252"/>
      <c r="Q490" s="252"/>
      <c r="R490" s="252"/>
      <c r="S490" s="252"/>
      <c r="T490" s="252"/>
      <c r="U490" s="252"/>
      <c r="V490" s="252"/>
      <c r="W490" s="252"/>
      <c r="X490" s="252"/>
      <c r="Y490" s="252"/>
      <c r="Z490" s="252"/>
    </row>
    <row r="491" spans="16:26" ht="10.199999999999999" customHeight="1">
      <c r="P491" s="252"/>
      <c r="Q491" s="252"/>
      <c r="R491" s="252"/>
      <c r="S491" s="252"/>
      <c r="T491" s="252"/>
      <c r="U491" s="252"/>
      <c r="V491" s="252"/>
      <c r="W491" s="252"/>
      <c r="X491" s="252"/>
      <c r="Y491" s="252"/>
      <c r="Z491" s="252"/>
    </row>
    <row r="492" spans="16:26" ht="10.199999999999999" customHeight="1">
      <c r="P492" s="241"/>
      <c r="Q492" s="241"/>
      <c r="R492" s="241"/>
      <c r="S492" s="241"/>
      <c r="T492" s="241"/>
      <c r="U492" s="241"/>
      <c r="V492" s="241"/>
      <c r="W492" s="241"/>
      <c r="X492" s="241"/>
      <c r="Y492" s="241"/>
      <c r="Z492" s="241"/>
    </row>
    <row r="493" spans="16:26" ht="10.199999999999999" customHeight="1">
      <c r="P493" s="252"/>
      <c r="Q493" s="252"/>
      <c r="R493" s="252"/>
      <c r="S493" s="252"/>
      <c r="T493" s="252"/>
      <c r="U493" s="252"/>
      <c r="V493" s="252"/>
      <c r="W493" s="252"/>
      <c r="X493" s="252"/>
      <c r="Y493" s="252"/>
      <c r="Z493" s="252"/>
    </row>
    <row r="494" spans="16:26" ht="10.199999999999999" customHeight="1">
      <c r="P494" s="252"/>
      <c r="Q494" s="252"/>
      <c r="R494" s="252"/>
      <c r="S494" s="252"/>
      <c r="T494" s="252"/>
      <c r="U494" s="252"/>
      <c r="V494" s="252"/>
      <c r="W494" s="252"/>
      <c r="X494" s="252"/>
      <c r="Y494" s="252"/>
      <c r="Z494" s="252"/>
    </row>
    <row r="495" spans="16:26" ht="10.199999999999999" customHeight="1">
      <c r="P495" s="241"/>
      <c r="Q495" s="241"/>
      <c r="R495" s="241"/>
      <c r="S495" s="241"/>
      <c r="T495" s="241"/>
      <c r="U495" s="241"/>
      <c r="V495" s="241"/>
      <c r="W495" s="241"/>
      <c r="X495" s="241"/>
      <c r="Y495" s="241"/>
      <c r="Z495" s="241"/>
    </row>
    <row r="496" spans="16:26" ht="10.199999999999999" customHeight="1">
      <c r="P496" s="252"/>
      <c r="Q496" s="252"/>
      <c r="R496" s="252"/>
      <c r="S496" s="252"/>
      <c r="T496" s="252"/>
      <c r="U496" s="252"/>
      <c r="V496" s="252"/>
      <c r="W496" s="252"/>
      <c r="X496" s="252"/>
      <c r="Y496" s="252"/>
      <c r="Z496" s="252"/>
    </row>
    <row r="497" spans="16:26" ht="10.199999999999999" customHeight="1">
      <c r="P497" s="252"/>
      <c r="Q497" s="252"/>
      <c r="R497" s="252"/>
      <c r="S497" s="252"/>
      <c r="T497" s="252"/>
      <c r="U497" s="252"/>
      <c r="V497" s="252"/>
      <c r="W497" s="252"/>
      <c r="X497" s="252"/>
      <c r="Y497" s="252"/>
      <c r="Z497" s="252"/>
    </row>
    <row r="498" spans="16:26" ht="10.199999999999999" customHeight="1">
      <c r="P498" s="241"/>
      <c r="Q498" s="241"/>
      <c r="R498" s="241"/>
      <c r="S498" s="241"/>
      <c r="T498" s="241"/>
      <c r="U498" s="241"/>
      <c r="V498" s="241"/>
      <c r="W498" s="241"/>
      <c r="X498" s="241"/>
      <c r="Y498" s="241"/>
      <c r="Z498" s="241"/>
    </row>
    <row r="499" spans="16:26" ht="10.199999999999999" customHeight="1">
      <c r="P499" s="252"/>
      <c r="Q499" s="252"/>
      <c r="R499" s="252"/>
      <c r="S499" s="252"/>
      <c r="T499" s="252"/>
      <c r="U499" s="252"/>
      <c r="V499" s="252"/>
      <c r="W499" s="252"/>
      <c r="X499" s="252"/>
      <c r="Y499" s="252"/>
      <c r="Z499" s="252"/>
    </row>
    <row r="500" spans="16:26" ht="10.199999999999999" customHeight="1">
      <c r="P500" s="252"/>
      <c r="Q500" s="252"/>
      <c r="R500" s="252"/>
      <c r="S500" s="252"/>
      <c r="T500" s="252"/>
      <c r="U500" s="252"/>
      <c r="V500" s="252"/>
      <c r="W500" s="252"/>
      <c r="X500" s="252"/>
      <c r="Y500" s="252"/>
      <c r="Z500" s="252"/>
    </row>
    <row r="501" spans="16:26" ht="10.199999999999999" customHeight="1">
      <c r="P501" s="241"/>
      <c r="Q501" s="241"/>
      <c r="R501" s="241"/>
      <c r="S501" s="241"/>
      <c r="T501" s="241"/>
      <c r="U501" s="241"/>
      <c r="V501" s="241"/>
      <c r="W501" s="241"/>
      <c r="X501" s="241"/>
      <c r="Y501" s="241"/>
      <c r="Z501" s="241"/>
    </row>
    <row r="502" spans="16:26" ht="10.199999999999999" customHeight="1">
      <c r="P502" s="252"/>
      <c r="Q502" s="252"/>
      <c r="R502" s="252"/>
      <c r="S502" s="252"/>
      <c r="T502" s="252"/>
      <c r="U502" s="252"/>
      <c r="V502" s="252"/>
      <c r="W502" s="252"/>
      <c r="X502" s="252"/>
      <c r="Y502" s="252"/>
      <c r="Z502" s="252"/>
    </row>
    <row r="503" spans="16:26" ht="10.199999999999999" customHeight="1">
      <c r="P503" s="252"/>
      <c r="Q503" s="252"/>
      <c r="R503" s="252"/>
      <c r="S503" s="252"/>
      <c r="T503" s="252"/>
      <c r="U503" s="252"/>
      <c r="V503" s="252"/>
      <c r="W503" s="252"/>
      <c r="X503" s="252"/>
      <c r="Y503" s="252"/>
      <c r="Z503" s="252"/>
    </row>
    <row r="504" spans="16:26" ht="10.199999999999999" customHeight="1">
      <c r="P504" s="241"/>
      <c r="Q504" s="241"/>
      <c r="R504" s="241"/>
      <c r="S504" s="241"/>
      <c r="T504" s="241"/>
      <c r="U504" s="241"/>
      <c r="V504" s="241"/>
      <c r="W504" s="241"/>
      <c r="X504" s="241"/>
      <c r="Y504" s="241"/>
      <c r="Z504" s="241"/>
    </row>
    <row r="505" spans="16:26" ht="10.199999999999999" customHeight="1">
      <c r="P505" s="252"/>
      <c r="Q505" s="252"/>
      <c r="R505" s="252"/>
      <c r="S505" s="252"/>
      <c r="T505" s="252"/>
      <c r="U505" s="252"/>
      <c r="V505" s="252"/>
      <c r="W505" s="252"/>
      <c r="X505" s="252"/>
      <c r="Y505" s="252"/>
      <c r="Z505" s="252"/>
    </row>
    <row r="506" spans="16:26" ht="10.199999999999999" customHeight="1">
      <c r="P506" s="252"/>
      <c r="Q506" s="252"/>
      <c r="R506" s="252"/>
      <c r="S506" s="252"/>
      <c r="T506" s="252"/>
      <c r="U506" s="252"/>
      <c r="V506" s="252"/>
      <c r="W506" s="252"/>
      <c r="X506" s="252"/>
      <c r="Y506" s="252"/>
      <c r="Z506" s="252"/>
    </row>
    <row r="507" spans="16:26" ht="10.199999999999999" customHeight="1">
      <c r="P507" s="241"/>
      <c r="Q507" s="241"/>
      <c r="R507" s="241"/>
      <c r="S507" s="241"/>
      <c r="T507" s="241"/>
      <c r="U507" s="241"/>
      <c r="V507" s="241"/>
      <c r="W507" s="241"/>
      <c r="X507" s="241"/>
      <c r="Y507" s="241"/>
      <c r="Z507" s="241"/>
    </row>
    <row r="508" spans="16:26" ht="10.199999999999999" customHeight="1">
      <c r="P508" s="252"/>
      <c r="Q508" s="252"/>
      <c r="R508" s="252"/>
      <c r="S508" s="252"/>
      <c r="T508" s="252"/>
      <c r="U508" s="252"/>
      <c r="V508" s="252"/>
      <c r="W508" s="252"/>
      <c r="X508" s="252"/>
      <c r="Y508" s="252"/>
      <c r="Z508" s="252"/>
    </row>
    <row r="509" spans="16:26" ht="10.199999999999999" customHeight="1">
      <c r="P509" s="252"/>
      <c r="Q509" s="252"/>
      <c r="R509" s="252"/>
      <c r="S509" s="252"/>
      <c r="T509" s="252"/>
      <c r="U509" s="252"/>
      <c r="V509" s="252"/>
      <c r="W509" s="252"/>
      <c r="X509" s="252"/>
      <c r="Y509" s="252"/>
      <c r="Z509" s="252"/>
    </row>
    <row r="510" spans="16:26" ht="10.199999999999999" customHeight="1">
      <c r="P510" s="241"/>
      <c r="Q510" s="241"/>
      <c r="R510" s="241"/>
      <c r="S510" s="241"/>
      <c r="T510" s="241"/>
      <c r="U510" s="241"/>
      <c r="V510" s="241"/>
      <c r="W510" s="241"/>
      <c r="X510" s="241"/>
      <c r="Y510" s="241"/>
      <c r="Z510" s="241"/>
    </row>
    <row r="511" spans="16:26" ht="10.199999999999999" customHeight="1">
      <c r="P511" s="252"/>
      <c r="Q511" s="252"/>
      <c r="R511" s="252"/>
      <c r="S511" s="252"/>
      <c r="T511" s="252"/>
      <c r="U511" s="252"/>
      <c r="V511" s="252"/>
      <c r="W511" s="252"/>
      <c r="X511" s="252"/>
      <c r="Y511" s="252"/>
      <c r="Z511" s="252"/>
    </row>
    <row r="512" spans="16:26" ht="10.199999999999999" customHeight="1">
      <c r="P512" s="252"/>
      <c r="Q512" s="252"/>
      <c r="R512" s="252"/>
      <c r="S512" s="252"/>
      <c r="T512" s="252"/>
      <c r="U512" s="252"/>
      <c r="V512" s="252"/>
      <c r="W512" s="252"/>
      <c r="X512" s="252"/>
      <c r="Y512" s="252"/>
      <c r="Z512" s="252"/>
    </row>
    <row r="513" spans="16:26" ht="10.199999999999999" customHeight="1">
      <c r="P513" s="241"/>
      <c r="Q513" s="241"/>
      <c r="R513" s="241"/>
      <c r="S513" s="241"/>
      <c r="T513" s="241"/>
      <c r="U513" s="241"/>
      <c r="V513" s="241"/>
      <c r="W513" s="241"/>
      <c r="X513" s="241"/>
      <c r="Y513" s="241"/>
      <c r="Z513" s="241"/>
    </row>
    <row r="514" spans="16:26" ht="10.199999999999999" customHeight="1">
      <c r="P514" s="252"/>
      <c r="Q514" s="252"/>
      <c r="R514" s="252"/>
      <c r="S514" s="252"/>
      <c r="T514" s="252"/>
      <c r="U514" s="252"/>
      <c r="V514" s="252"/>
      <c r="W514" s="252"/>
      <c r="X514" s="252"/>
      <c r="Y514" s="252"/>
      <c r="Z514" s="252"/>
    </row>
    <row r="515" spans="16:26" ht="10.199999999999999" customHeight="1">
      <c r="P515" s="252"/>
      <c r="Q515" s="252"/>
      <c r="R515" s="252"/>
      <c r="S515" s="252"/>
      <c r="T515" s="252"/>
      <c r="U515" s="252"/>
      <c r="V515" s="252"/>
      <c r="W515" s="252"/>
      <c r="X515" s="252"/>
      <c r="Y515" s="252"/>
      <c r="Z515" s="252"/>
    </row>
    <row r="516" spans="16:26" ht="10.199999999999999" customHeight="1">
      <c r="P516" s="241"/>
      <c r="Q516" s="241"/>
      <c r="R516" s="241"/>
      <c r="S516" s="241"/>
      <c r="T516" s="241"/>
      <c r="U516" s="241"/>
      <c r="V516" s="241"/>
      <c r="W516" s="241"/>
      <c r="X516" s="241"/>
      <c r="Y516" s="241"/>
      <c r="Z516" s="241"/>
    </row>
    <row r="517" spans="16:26" ht="10.199999999999999" customHeight="1">
      <c r="P517" s="252"/>
      <c r="Q517" s="252"/>
      <c r="R517" s="252"/>
      <c r="S517" s="252"/>
      <c r="T517" s="252"/>
      <c r="U517" s="252"/>
      <c r="V517" s="252"/>
      <c r="W517" s="252"/>
      <c r="X517" s="252"/>
      <c r="Y517" s="252"/>
      <c r="Z517" s="252"/>
    </row>
    <row r="518" spans="16:26" ht="10.199999999999999" customHeight="1">
      <c r="P518" s="252"/>
      <c r="Q518" s="252"/>
      <c r="R518" s="252"/>
      <c r="S518" s="252"/>
      <c r="T518" s="252"/>
      <c r="U518" s="252"/>
      <c r="V518" s="252"/>
      <c r="W518" s="252"/>
      <c r="X518" s="252"/>
      <c r="Y518" s="252"/>
      <c r="Z518" s="252"/>
    </row>
    <row r="519" spans="16:26" ht="10.199999999999999" customHeight="1">
      <c r="P519" s="241"/>
      <c r="Q519" s="241"/>
      <c r="R519" s="241"/>
      <c r="S519" s="241"/>
      <c r="T519" s="241"/>
      <c r="U519" s="241"/>
      <c r="V519" s="241"/>
      <c r="W519" s="241"/>
      <c r="X519" s="241"/>
      <c r="Y519" s="241"/>
      <c r="Z519" s="241"/>
    </row>
    <row r="520" spans="16:26" ht="10.199999999999999" customHeight="1">
      <c r="P520" s="252"/>
      <c r="Q520" s="252"/>
      <c r="R520" s="252"/>
      <c r="S520" s="252"/>
      <c r="T520" s="252"/>
      <c r="U520" s="252"/>
      <c r="V520" s="252"/>
      <c r="W520" s="252"/>
      <c r="X520" s="252"/>
      <c r="Y520" s="252"/>
      <c r="Z520" s="252"/>
    </row>
    <row r="521" spans="16:26" ht="10.199999999999999" customHeight="1">
      <c r="P521" s="252"/>
      <c r="Q521" s="252"/>
      <c r="R521" s="252"/>
      <c r="S521" s="252"/>
      <c r="T521" s="252"/>
      <c r="U521" s="252"/>
      <c r="V521" s="252"/>
      <c r="W521" s="252"/>
      <c r="X521" s="252"/>
      <c r="Y521" s="252"/>
      <c r="Z521" s="252"/>
    </row>
    <row r="522" spans="16:26" ht="10.199999999999999" customHeight="1">
      <c r="P522" s="241"/>
      <c r="Q522" s="241"/>
      <c r="R522" s="241"/>
      <c r="S522" s="241"/>
      <c r="T522" s="241"/>
      <c r="U522" s="241"/>
      <c r="V522" s="241"/>
      <c r="W522" s="241"/>
      <c r="X522" s="241"/>
      <c r="Y522" s="241"/>
      <c r="Z522" s="241"/>
    </row>
    <row r="523" spans="16:26" ht="10.199999999999999" customHeight="1">
      <c r="P523" s="252"/>
      <c r="Q523" s="252"/>
      <c r="R523" s="252"/>
      <c r="S523" s="252"/>
      <c r="T523" s="252"/>
      <c r="U523" s="252"/>
      <c r="V523" s="252"/>
      <c r="W523" s="252"/>
      <c r="X523" s="252"/>
      <c r="Y523" s="252"/>
      <c r="Z523" s="252"/>
    </row>
    <row r="524" spans="16:26" ht="10.199999999999999" customHeight="1">
      <c r="P524" s="252"/>
      <c r="Q524" s="252"/>
      <c r="R524" s="252"/>
      <c r="S524" s="252"/>
      <c r="T524" s="252"/>
      <c r="U524" s="252"/>
      <c r="V524" s="252"/>
      <c r="W524" s="252"/>
      <c r="X524" s="252"/>
      <c r="Y524" s="252"/>
      <c r="Z524" s="252"/>
    </row>
    <row r="525" spans="16:26" ht="10.199999999999999" customHeight="1">
      <c r="P525" s="241"/>
      <c r="Q525" s="241"/>
      <c r="R525" s="241"/>
      <c r="S525" s="241"/>
      <c r="T525" s="241"/>
      <c r="U525" s="241"/>
      <c r="V525" s="241"/>
      <c r="W525" s="241"/>
      <c r="X525" s="241"/>
      <c r="Y525" s="241"/>
      <c r="Z525" s="241"/>
    </row>
    <row r="526" spans="16:26" ht="10.199999999999999" customHeight="1">
      <c r="P526" s="252"/>
      <c r="Q526" s="252"/>
      <c r="R526" s="252"/>
      <c r="S526" s="252"/>
      <c r="T526" s="252"/>
      <c r="U526" s="252"/>
      <c r="V526" s="252"/>
      <c r="W526" s="252"/>
      <c r="X526" s="252"/>
      <c r="Y526" s="252"/>
      <c r="Z526" s="252"/>
    </row>
    <row r="527" spans="16:26" ht="10.199999999999999" customHeight="1">
      <c r="P527" s="252"/>
      <c r="Q527" s="252"/>
      <c r="R527" s="252"/>
      <c r="S527" s="252"/>
      <c r="T527" s="252"/>
      <c r="U527" s="252"/>
      <c r="V527" s="252"/>
      <c r="W527" s="252"/>
      <c r="X527" s="252"/>
      <c r="Y527" s="252"/>
      <c r="Z527" s="252"/>
    </row>
    <row r="528" spans="16:26" ht="10.199999999999999" customHeight="1">
      <c r="P528" s="241"/>
      <c r="Q528" s="241"/>
      <c r="R528" s="241"/>
      <c r="S528" s="241"/>
      <c r="T528" s="241"/>
      <c r="U528" s="241"/>
      <c r="V528" s="241"/>
      <c r="W528" s="241"/>
      <c r="X528" s="241"/>
      <c r="Y528" s="241"/>
      <c r="Z528" s="241"/>
    </row>
    <row r="529" spans="16:26" ht="10.199999999999999" customHeight="1">
      <c r="P529" s="252"/>
      <c r="Q529" s="252"/>
      <c r="R529" s="252"/>
      <c r="S529" s="252"/>
      <c r="T529" s="252"/>
      <c r="U529" s="252"/>
      <c r="V529" s="252"/>
      <c r="W529" s="252"/>
      <c r="X529" s="252"/>
      <c r="Y529" s="252"/>
      <c r="Z529" s="252"/>
    </row>
    <row r="530" spans="16:26" ht="10.199999999999999" customHeight="1">
      <c r="P530" s="252"/>
      <c r="Q530" s="252"/>
      <c r="R530" s="252"/>
      <c r="S530" s="252"/>
      <c r="T530" s="252"/>
      <c r="U530" s="252"/>
      <c r="V530" s="252"/>
      <c r="W530" s="252"/>
      <c r="X530" s="252"/>
      <c r="Y530" s="252"/>
      <c r="Z530" s="252"/>
    </row>
    <row r="531" spans="16:26" ht="10.199999999999999" customHeight="1">
      <c r="P531" s="241"/>
      <c r="Q531" s="241"/>
      <c r="R531" s="241"/>
      <c r="S531" s="241"/>
      <c r="T531" s="241"/>
      <c r="U531" s="241"/>
      <c r="V531" s="241"/>
      <c r="W531" s="241"/>
      <c r="X531" s="241"/>
      <c r="Y531" s="241"/>
      <c r="Z531" s="241"/>
    </row>
    <row r="532" spans="16:26" ht="10.199999999999999" customHeight="1">
      <c r="P532" s="252"/>
      <c r="Q532" s="252"/>
      <c r="R532" s="252"/>
      <c r="S532" s="252"/>
      <c r="T532" s="252"/>
      <c r="U532" s="252"/>
      <c r="V532" s="252"/>
      <c r="W532" s="252"/>
      <c r="X532" s="252"/>
      <c r="Y532" s="252"/>
      <c r="Z532" s="252"/>
    </row>
    <row r="533" spans="16:26" ht="10.199999999999999" customHeight="1">
      <c r="P533" s="252"/>
      <c r="Q533" s="252"/>
      <c r="R533" s="252"/>
      <c r="S533" s="252"/>
      <c r="T533" s="252"/>
      <c r="U533" s="252"/>
      <c r="V533" s="252"/>
      <c r="W533" s="252"/>
      <c r="X533" s="252"/>
      <c r="Y533" s="252"/>
      <c r="Z533" s="252"/>
    </row>
    <row r="534" spans="16:26" ht="10.199999999999999" customHeight="1">
      <c r="P534" s="241"/>
      <c r="Q534" s="241"/>
      <c r="R534" s="241"/>
      <c r="S534" s="241"/>
      <c r="T534" s="241"/>
      <c r="U534" s="241"/>
      <c r="V534" s="241"/>
      <c r="W534" s="241"/>
      <c r="X534" s="241"/>
      <c r="Y534" s="241"/>
      <c r="Z534" s="241"/>
    </row>
    <row r="535" spans="16:26" ht="10.199999999999999" customHeight="1">
      <c r="P535" s="252"/>
      <c r="Q535" s="252"/>
      <c r="R535" s="252"/>
      <c r="S535" s="252"/>
      <c r="T535" s="252"/>
      <c r="U535" s="252"/>
      <c r="V535" s="252"/>
      <c r="W535" s="252"/>
      <c r="X535" s="252"/>
      <c r="Y535" s="252"/>
      <c r="Z535" s="252"/>
    </row>
    <row r="536" spans="16:26" ht="10.199999999999999" customHeight="1">
      <c r="P536" s="252"/>
      <c r="Q536" s="252"/>
      <c r="R536" s="252"/>
      <c r="S536" s="252"/>
      <c r="T536" s="252"/>
      <c r="U536" s="252"/>
      <c r="V536" s="252"/>
      <c r="W536" s="252"/>
      <c r="X536" s="252"/>
      <c r="Y536" s="252"/>
      <c r="Z536" s="252"/>
    </row>
    <row r="537" spans="16:26" ht="10.199999999999999" customHeight="1">
      <c r="P537" s="241"/>
      <c r="Q537" s="241"/>
      <c r="R537" s="241"/>
      <c r="S537" s="241"/>
      <c r="T537" s="241"/>
      <c r="U537" s="241"/>
      <c r="V537" s="241"/>
      <c r="W537" s="241"/>
      <c r="X537" s="241"/>
      <c r="Y537" s="241"/>
      <c r="Z537" s="241"/>
    </row>
    <row r="538" spans="16:26" ht="10.199999999999999" customHeight="1">
      <c r="P538" s="252"/>
      <c r="Q538" s="252"/>
      <c r="R538" s="252"/>
      <c r="S538" s="252"/>
      <c r="T538" s="252"/>
      <c r="U538" s="252"/>
      <c r="V538" s="252"/>
      <c r="W538" s="252"/>
      <c r="X538" s="252"/>
      <c r="Y538" s="252"/>
      <c r="Z538" s="252"/>
    </row>
    <row r="539" spans="16:26" ht="10.199999999999999" customHeight="1">
      <c r="P539" s="252"/>
      <c r="Q539" s="252"/>
      <c r="R539" s="252"/>
      <c r="S539" s="252"/>
      <c r="T539" s="252"/>
      <c r="U539" s="252"/>
      <c r="V539" s="252"/>
      <c r="W539" s="252"/>
      <c r="X539" s="252"/>
      <c r="Y539" s="252"/>
      <c r="Z539" s="252"/>
    </row>
    <row r="540" spans="16:26" ht="10.199999999999999" customHeight="1">
      <c r="P540" s="241"/>
      <c r="Q540" s="241"/>
      <c r="R540" s="241"/>
      <c r="S540" s="241"/>
      <c r="T540" s="241"/>
      <c r="U540" s="241"/>
      <c r="V540" s="241"/>
      <c r="W540" s="241"/>
      <c r="X540" s="241"/>
      <c r="Y540" s="241"/>
      <c r="Z540" s="241"/>
    </row>
    <row r="541" spans="16:26" ht="10.199999999999999" customHeight="1">
      <c r="P541" s="252"/>
      <c r="Q541" s="252"/>
      <c r="R541" s="252"/>
      <c r="S541" s="252"/>
      <c r="T541" s="252"/>
      <c r="U541" s="252"/>
      <c r="V541" s="252"/>
      <c r="W541" s="252"/>
      <c r="X541" s="252"/>
      <c r="Y541" s="252"/>
      <c r="Z541" s="252"/>
    </row>
    <row r="542" spans="16:26" ht="10.199999999999999" customHeight="1">
      <c r="P542" s="252"/>
      <c r="Q542" s="252"/>
      <c r="R542" s="252"/>
      <c r="S542" s="252"/>
      <c r="T542" s="252"/>
      <c r="U542" s="252"/>
      <c r="V542" s="252"/>
      <c r="W542" s="252"/>
      <c r="X542" s="252"/>
      <c r="Y542" s="252"/>
      <c r="Z542" s="252"/>
    </row>
    <row r="543" spans="16:26" ht="10.199999999999999" customHeight="1">
      <c r="P543" s="241"/>
      <c r="Q543" s="241"/>
      <c r="R543" s="241"/>
      <c r="S543" s="241"/>
      <c r="T543" s="241"/>
      <c r="U543" s="241"/>
      <c r="V543" s="241"/>
      <c r="W543" s="241"/>
      <c r="X543" s="241"/>
      <c r="Y543" s="241"/>
      <c r="Z543" s="241"/>
    </row>
    <row r="544" spans="16:26" ht="10.199999999999999" customHeight="1">
      <c r="P544" s="252"/>
      <c r="Q544" s="252"/>
      <c r="R544" s="252"/>
      <c r="S544" s="252"/>
      <c r="T544" s="252"/>
      <c r="U544" s="252"/>
      <c r="V544" s="252"/>
      <c r="W544" s="252"/>
      <c r="X544" s="252"/>
      <c r="Y544" s="252"/>
      <c r="Z544" s="252"/>
    </row>
    <row r="545" spans="16:26" ht="10.199999999999999" customHeight="1">
      <c r="P545" s="252"/>
      <c r="Q545" s="252"/>
      <c r="R545" s="252"/>
      <c r="S545" s="252"/>
      <c r="T545" s="252"/>
      <c r="U545" s="252"/>
      <c r="V545" s="252"/>
      <c r="W545" s="252"/>
      <c r="X545" s="252"/>
      <c r="Y545" s="252"/>
      <c r="Z545" s="252"/>
    </row>
    <row r="546" spans="16:26" ht="10.199999999999999" customHeight="1">
      <c r="P546" s="241"/>
      <c r="Q546" s="241"/>
      <c r="R546" s="241"/>
      <c r="S546" s="241"/>
      <c r="T546" s="241"/>
      <c r="U546" s="241"/>
      <c r="V546" s="241"/>
      <c r="W546" s="241"/>
      <c r="X546" s="241"/>
      <c r="Y546" s="241"/>
      <c r="Z546" s="241"/>
    </row>
    <row r="547" spans="16:26" ht="10.199999999999999" customHeight="1">
      <c r="P547" s="252"/>
      <c r="Q547" s="252"/>
      <c r="R547" s="252"/>
      <c r="S547" s="252"/>
      <c r="T547" s="252"/>
      <c r="U547" s="252"/>
      <c r="V547" s="252"/>
      <c r="W547" s="252"/>
      <c r="X547" s="252"/>
      <c r="Y547" s="252"/>
      <c r="Z547" s="252"/>
    </row>
    <row r="548" spans="16:26" ht="10.199999999999999" customHeight="1">
      <c r="P548" s="252"/>
      <c r="Q548" s="252"/>
      <c r="R548" s="252"/>
      <c r="S548" s="252"/>
      <c r="T548" s="252"/>
      <c r="U548" s="252"/>
      <c r="V548" s="252"/>
      <c r="W548" s="252"/>
      <c r="X548" s="252"/>
      <c r="Y548" s="252"/>
      <c r="Z548" s="252"/>
    </row>
    <row r="549" spans="16:26" ht="10.199999999999999" customHeight="1">
      <c r="P549" s="241"/>
      <c r="Q549" s="241"/>
      <c r="R549" s="241"/>
      <c r="S549" s="241"/>
      <c r="T549" s="241"/>
      <c r="U549" s="241"/>
      <c r="V549" s="241"/>
      <c r="W549" s="241"/>
      <c r="X549" s="241"/>
      <c r="Y549" s="241"/>
      <c r="Z549" s="241"/>
    </row>
    <row r="550" spans="16:26" ht="10.199999999999999" customHeight="1">
      <c r="P550" s="252"/>
      <c r="Q550" s="252"/>
      <c r="R550" s="252"/>
      <c r="S550" s="252"/>
      <c r="T550" s="252"/>
      <c r="U550" s="252"/>
      <c r="V550" s="252"/>
      <c r="W550" s="252"/>
      <c r="X550" s="252"/>
      <c r="Y550" s="252"/>
      <c r="Z550" s="252"/>
    </row>
    <row r="551" spans="16:26" ht="10.199999999999999" customHeight="1">
      <c r="P551" s="252"/>
      <c r="Q551" s="252"/>
      <c r="R551" s="252"/>
      <c r="S551" s="252"/>
      <c r="T551" s="252"/>
      <c r="U551" s="252"/>
      <c r="V551" s="252"/>
      <c r="W551" s="252"/>
      <c r="X551" s="252"/>
      <c r="Y551" s="252"/>
      <c r="Z551" s="252"/>
    </row>
    <row r="552" spans="16:26" ht="10.199999999999999" customHeight="1">
      <c r="P552" s="241"/>
      <c r="Q552" s="241"/>
      <c r="R552" s="241"/>
      <c r="S552" s="241"/>
      <c r="T552" s="241"/>
      <c r="U552" s="241"/>
      <c r="V552" s="241"/>
      <c r="W552" s="241"/>
      <c r="X552" s="241"/>
      <c r="Y552" s="241"/>
      <c r="Z552" s="241"/>
    </row>
    <row r="553" spans="16:26" ht="10.199999999999999" customHeight="1">
      <c r="P553" s="252"/>
      <c r="Q553" s="252"/>
      <c r="R553" s="252"/>
      <c r="S553" s="252"/>
      <c r="T553" s="252"/>
      <c r="U553" s="252"/>
      <c r="V553" s="252"/>
      <c r="W553" s="252"/>
      <c r="X553" s="252"/>
      <c r="Y553" s="252"/>
      <c r="Z553" s="252"/>
    </row>
    <row r="554" spans="16:26" ht="10.199999999999999" customHeight="1">
      <c r="P554" s="252"/>
      <c r="Q554" s="252"/>
      <c r="R554" s="252"/>
      <c r="S554" s="252"/>
      <c r="T554" s="252"/>
      <c r="U554" s="252"/>
      <c r="V554" s="252"/>
      <c r="W554" s="252"/>
      <c r="X554" s="252"/>
      <c r="Y554" s="252"/>
      <c r="Z554" s="252"/>
    </row>
    <row r="555" spans="16:26" ht="10.199999999999999" customHeight="1">
      <c r="P555" s="241"/>
      <c r="Q555" s="241"/>
      <c r="R555" s="241"/>
      <c r="S555" s="241"/>
      <c r="T555" s="241"/>
      <c r="U555" s="241"/>
      <c r="V555" s="241"/>
      <c r="W555" s="241"/>
      <c r="X555" s="241"/>
      <c r="Y555" s="241"/>
      <c r="Z555" s="241"/>
    </row>
    <row r="556" spans="16:26" ht="10.199999999999999" customHeight="1">
      <c r="P556" s="252"/>
      <c r="Q556" s="252"/>
      <c r="R556" s="252"/>
      <c r="S556" s="252"/>
      <c r="T556" s="252"/>
      <c r="U556" s="252"/>
      <c r="V556" s="252"/>
      <c r="W556" s="252"/>
      <c r="X556" s="252"/>
      <c r="Y556" s="252"/>
      <c r="Z556" s="252"/>
    </row>
    <row r="557" spans="16:26" ht="10.199999999999999" customHeight="1">
      <c r="P557" s="252"/>
      <c r="Q557" s="252"/>
      <c r="R557" s="252"/>
      <c r="S557" s="252"/>
      <c r="T557" s="252"/>
      <c r="U557" s="252"/>
      <c r="V557" s="252"/>
      <c r="W557" s="252"/>
      <c r="X557" s="252"/>
      <c r="Y557" s="252"/>
      <c r="Z557" s="252"/>
    </row>
    <row r="558" spans="16:26" ht="10.199999999999999" customHeight="1">
      <c r="P558" s="241"/>
      <c r="Q558" s="241"/>
      <c r="R558" s="241"/>
      <c r="S558" s="241"/>
      <c r="T558" s="241"/>
      <c r="U558" s="241"/>
      <c r="V558" s="241"/>
      <c r="W558" s="241"/>
      <c r="X558" s="241"/>
      <c r="Y558" s="241"/>
      <c r="Z558" s="241"/>
    </row>
    <row r="559" spans="16:26" ht="10.199999999999999" customHeight="1">
      <c r="P559" s="252"/>
      <c r="Q559" s="252"/>
      <c r="R559" s="252"/>
      <c r="S559" s="252"/>
      <c r="T559" s="252"/>
      <c r="U559" s="252"/>
      <c r="V559" s="252"/>
      <c r="W559" s="252"/>
      <c r="X559" s="252"/>
      <c r="Y559" s="252"/>
      <c r="Z559" s="252"/>
    </row>
    <row r="560" spans="16:26" ht="10.199999999999999" customHeight="1">
      <c r="P560" s="252"/>
      <c r="Q560" s="252"/>
      <c r="R560" s="252"/>
      <c r="S560" s="252"/>
      <c r="T560" s="252"/>
      <c r="U560" s="252"/>
      <c r="V560" s="252"/>
      <c r="W560" s="252"/>
      <c r="X560" s="252"/>
      <c r="Y560" s="252"/>
      <c r="Z560" s="252"/>
    </row>
    <row r="561" spans="16:26" ht="10.199999999999999" customHeight="1">
      <c r="P561" s="241"/>
      <c r="Q561" s="241"/>
      <c r="R561" s="241"/>
      <c r="S561" s="241"/>
      <c r="T561" s="241"/>
      <c r="U561" s="241"/>
      <c r="V561" s="241"/>
      <c r="W561" s="241"/>
      <c r="X561" s="241"/>
      <c r="Y561" s="241"/>
      <c r="Z561" s="241"/>
    </row>
    <row r="562" spans="16:26" ht="10.199999999999999" customHeight="1">
      <c r="P562" s="252"/>
      <c r="Q562" s="252"/>
      <c r="R562" s="252"/>
      <c r="S562" s="252"/>
      <c r="T562" s="252"/>
      <c r="U562" s="252"/>
      <c r="V562" s="252"/>
      <c r="W562" s="252"/>
      <c r="X562" s="252"/>
      <c r="Y562" s="252"/>
      <c r="Z562" s="252"/>
    </row>
    <row r="563" spans="16:26" ht="10.199999999999999" customHeight="1">
      <c r="P563" s="252"/>
      <c r="Q563" s="252"/>
      <c r="R563" s="252"/>
      <c r="S563" s="252"/>
      <c r="T563" s="252"/>
      <c r="U563" s="252"/>
      <c r="V563" s="252"/>
      <c r="W563" s="252"/>
      <c r="X563" s="252"/>
      <c r="Y563" s="252"/>
      <c r="Z563" s="252"/>
    </row>
    <row r="564" spans="16:26" ht="10.199999999999999" customHeight="1">
      <c r="P564" s="241"/>
      <c r="Q564" s="241"/>
      <c r="R564" s="241"/>
      <c r="S564" s="241"/>
      <c r="T564" s="241"/>
      <c r="U564" s="241"/>
      <c r="V564" s="241"/>
      <c r="W564" s="241"/>
      <c r="X564" s="241"/>
      <c r="Y564" s="241"/>
      <c r="Z564" s="241"/>
    </row>
    <row r="565" spans="16:26" ht="10.199999999999999" customHeight="1">
      <c r="P565" s="252"/>
      <c r="Q565" s="252"/>
      <c r="R565" s="252"/>
      <c r="S565" s="252"/>
      <c r="T565" s="252"/>
      <c r="U565" s="252"/>
      <c r="V565" s="252"/>
      <c r="W565" s="252"/>
      <c r="X565" s="252"/>
      <c r="Y565" s="252"/>
      <c r="Z565" s="252"/>
    </row>
    <row r="566" spans="16:26" ht="10.199999999999999" customHeight="1">
      <c r="P566" s="252"/>
      <c r="Q566" s="252"/>
      <c r="R566" s="252"/>
      <c r="S566" s="252"/>
      <c r="T566" s="252"/>
      <c r="U566" s="252"/>
      <c r="V566" s="252"/>
      <c r="W566" s="252"/>
      <c r="X566" s="252"/>
      <c r="Y566" s="252"/>
      <c r="Z566" s="252"/>
    </row>
    <row r="567" spans="16:26" ht="10.199999999999999" customHeight="1">
      <c r="P567" s="241"/>
      <c r="Q567" s="241"/>
      <c r="R567" s="241"/>
      <c r="S567" s="241"/>
      <c r="T567" s="241"/>
      <c r="U567" s="241"/>
      <c r="V567" s="241"/>
      <c r="W567" s="241"/>
      <c r="X567" s="241"/>
      <c r="Y567" s="241"/>
      <c r="Z567" s="241"/>
    </row>
    <row r="568" spans="16:26" ht="10.199999999999999" customHeight="1">
      <c r="P568" s="252"/>
      <c r="Q568" s="252"/>
      <c r="R568" s="252"/>
      <c r="S568" s="252"/>
      <c r="T568" s="252"/>
      <c r="U568" s="252"/>
      <c r="V568" s="252"/>
      <c r="W568" s="252"/>
      <c r="X568" s="252"/>
      <c r="Y568" s="252"/>
      <c r="Z568" s="252"/>
    </row>
    <row r="569" spans="16:26" ht="10.199999999999999" customHeight="1">
      <c r="P569" s="252"/>
      <c r="Q569" s="252"/>
      <c r="R569" s="252"/>
      <c r="S569" s="252"/>
      <c r="T569" s="252"/>
      <c r="U569" s="252"/>
      <c r="V569" s="252"/>
      <c r="W569" s="252"/>
      <c r="X569" s="252"/>
      <c r="Y569" s="252"/>
      <c r="Z569" s="252"/>
    </row>
    <row r="570" spans="16:26" ht="10.199999999999999" customHeight="1">
      <c r="P570" s="241"/>
      <c r="Q570" s="241"/>
      <c r="R570" s="241"/>
      <c r="S570" s="241"/>
      <c r="T570" s="241"/>
      <c r="U570" s="241"/>
      <c r="V570" s="241"/>
      <c r="W570" s="241"/>
      <c r="X570" s="241"/>
      <c r="Y570" s="241"/>
      <c r="Z570" s="241"/>
    </row>
    <row r="571" spans="16:26" ht="10.199999999999999" customHeight="1">
      <c r="P571" s="252"/>
      <c r="Q571" s="252"/>
      <c r="R571" s="252"/>
      <c r="S571" s="252"/>
      <c r="T571" s="252"/>
      <c r="U571" s="252"/>
      <c r="V571" s="252"/>
      <c r="W571" s="252"/>
      <c r="X571" s="252"/>
      <c r="Y571" s="252"/>
      <c r="Z571" s="252"/>
    </row>
    <row r="572" spans="16:26" ht="10.199999999999999" customHeight="1">
      <c r="P572" s="252"/>
      <c r="Q572" s="252"/>
      <c r="R572" s="252"/>
      <c r="S572" s="252"/>
      <c r="T572" s="252"/>
      <c r="U572" s="252"/>
      <c r="V572" s="252"/>
      <c r="W572" s="252"/>
      <c r="X572" s="252"/>
      <c r="Y572" s="252"/>
      <c r="Z572" s="252"/>
    </row>
    <row r="573" spans="16:26" ht="10.199999999999999" customHeight="1">
      <c r="P573" s="241"/>
      <c r="Q573" s="241"/>
      <c r="R573" s="241"/>
      <c r="S573" s="241"/>
      <c r="T573" s="241"/>
      <c r="U573" s="241"/>
      <c r="V573" s="241"/>
      <c r="W573" s="241"/>
      <c r="X573" s="241"/>
      <c r="Y573" s="241"/>
      <c r="Z573" s="241"/>
    </row>
    <row r="574" spans="16:26" ht="10.199999999999999" customHeight="1">
      <c r="P574" s="252"/>
      <c r="Q574" s="252"/>
      <c r="R574" s="252"/>
      <c r="S574" s="252"/>
      <c r="T574" s="252"/>
      <c r="U574" s="252"/>
      <c r="V574" s="252"/>
      <c r="W574" s="252"/>
      <c r="X574" s="252"/>
      <c r="Y574" s="252"/>
      <c r="Z574" s="252"/>
    </row>
    <row r="575" spans="16:26" ht="10.199999999999999" customHeight="1">
      <c r="P575" s="252"/>
      <c r="Q575" s="252"/>
      <c r="R575" s="252"/>
      <c r="S575" s="252"/>
      <c r="T575" s="252"/>
      <c r="U575" s="252"/>
      <c r="V575" s="252"/>
      <c r="W575" s="252"/>
      <c r="X575" s="252"/>
      <c r="Y575" s="252"/>
      <c r="Z575" s="252"/>
    </row>
    <row r="576" spans="16:26" ht="10.199999999999999" customHeight="1">
      <c r="P576" s="241"/>
      <c r="Q576" s="241"/>
      <c r="R576" s="241"/>
      <c r="S576" s="241"/>
      <c r="T576" s="241"/>
      <c r="U576" s="241"/>
      <c r="V576" s="241"/>
      <c r="W576" s="241"/>
      <c r="X576" s="241"/>
      <c r="Y576" s="241"/>
      <c r="Z576" s="241"/>
    </row>
    <row r="577" spans="16:26" ht="10.199999999999999" customHeight="1">
      <c r="P577" s="252"/>
      <c r="Q577" s="252"/>
      <c r="R577" s="252"/>
      <c r="S577" s="252"/>
      <c r="T577" s="252"/>
      <c r="U577" s="252"/>
      <c r="V577" s="252"/>
      <c r="W577" s="252"/>
      <c r="X577" s="252"/>
      <c r="Y577" s="252"/>
      <c r="Z577" s="252"/>
    </row>
    <row r="578" spans="16:26" ht="10.199999999999999" customHeight="1">
      <c r="P578" s="252"/>
      <c r="Q578" s="252"/>
      <c r="R578" s="252"/>
      <c r="S578" s="252"/>
      <c r="T578" s="252"/>
      <c r="U578" s="252"/>
      <c r="V578" s="252"/>
      <c r="W578" s="252"/>
      <c r="X578" s="252"/>
      <c r="Y578" s="252"/>
      <c r="Z578" s="252"/>
    </row>
    <row r="579" spans="16:26" ht="10.199999999999999" customHeight="1">
      <c r="P579" s="241"/>
      <c r="Q579" s="241"/>
      <c r="R579" s="241"/>
      <c r="S579" s="241"/>
      <c r="T579" s="241"/>
      <c r="U579" s="241"/>
      <c r="V579" s="241"/>
      <c r="W579" s="241"/>
      <c r="X579" s="241"/>
      <c r="Y579" s="241"/>
      <c r="Z579" s="241"/>
    </row>
    <row r="580" spans="16:26" ht="10.199999999999999" customHeight="1">
      <c r="P580" s="252"/>
      <c r="Q580" s="252"/>
      <c r="R580" s="252"/>
      <c r="S580" s="252"/>
      <c r="T580" s="252"/>
      <c r="U580" s="252"/>
      <c r="V580" s="252"/>
      <c r="W580" s="252"/>
      <c r="X580" s="252"/>
      <c r="Y580" s="252"/>
      <c r="Z580" s="252"/>
    </row>
    <row r="581" spans="16:26" ht="10.199999999999999" customHeight="1">
      <c r="P581" s="252"/>
      <c r="Q581" s="252"/>
      <c r="R581" s="252"/>
      <c r="S581" s="252"/>
      <c r="T581" s="252"/>
      <c r="U581" s="252"/>
      <c r="V581" s="252"/>
      <c r="W581" s="252"/>
      <c r="X581" s="252"/>
      <c r="Y581" s="252"/>
      <c r="Z581" s="252"/>
    </row>
    <row r="582" spans="16:26" ht="10.199999999999999" customHeight="1">
      <c r="P582" s="241"/>
      <c r="Q582" s="241"/>
      <c r="R582" s="241"/>
      <c r="S582" s="241"/>
      <c r="T582" s="241"/>
      <c r="U582" s="241"/>
      <c r="V582" s="241"/>
      <c r="W582" s="241"/>
      <c r="X582" s="241"/>
      <c r="Y582" s="241"/>
      <c r="Z582" s="241"/>
    </row>
    <row r="583" spans="16:26" ht="10.199999999999999" customHeight="1">
      <c r="P583" s="252"/>
      <c r="Q583" s="252"/>
      <c r="R583" s="252"/>
      <c r="S583" s="252"/>
      <c r="T583" s="252"/>
      <c r="U583" s="252"/>
      <c r="V583" s="252"/>
      <c r="W583" s="252"/>
      <c r="X583" s="252"/>
      <c r="Y583" s="252"/>
      <c r="Z583" s="252"/>
    </row>
    <row r="584" spans="16:26" ht="10.199999999999999" customHeight="1">
      <c r="P584" s="252"/>
      <c r="Q584" s="252"/>
      <c r="R584" s="252"/>
      <c r="S584" s="252"/>
      <c r="T584" s="252"/>
      <c r="U584" s="252"/>
      <c r="V584" s="252"/>
      <c r="W584" s="252"/>
      <c r="X584" s="252"/>
      <c r="Y584" s="252"/>
      <c r="Z584" s="252"/>
    </row>
    <row r="585" spans="16:26" ht="10.199999999999999" customHeight="1">
      <c r="P585" s="241"/>
      <c r="Q585" s="241"/>
      <c r="R585" s="241"/>
      <c r="S585" s="241"/>
      <c r="T585" s="241"/>
      <c r="U585" s="241"/>
      <c r="V585" s="241"/>
      <c r="W585" s="241"/>
      <c r="X585" s="241"/>
      <c r="Y585" s="241"/>
      <c r="Z585" s="241"/>
    </row>
    <row r="586" spans="16:26" ht="10.199999999999999" customHeight="1">
      <c r="P586" s="252"/>
      <c r="Q586" s="252"/>
      <c r="R586" s="252"/>
      <c r="S586" s="252"/>
      <c r="T586" s="252"/>
      <c r="U586" s="252"/>
      <c r="V586" s="252"/>
      <c r="W586" s="252"/>
      <c r="X586" s="252"/>
      <c r="Y586" s="252"/>
      <c r="Z586" s="252"/>
    </row>
    <row r="587" spans="16:26" ht="10.199999999999999" customHeight="1">
      <c r="P587" s="252"/>
      <c r="Q587" s="252"/>
      <c r="R587" s="252"/>
      <c r="S587" s="252"/>
      <c r="T587" s="252"/>
      <c r="U587" s="252"/>
      <c r="V587" s="252"/>
      <c r="W587" s="252"/>
      <c r="X587" s="252"/>
      <c r="Y587" s="252"/>
      <c r="Z587" s="252"/>
    </row>
    <row r="588" spans="16:26" ht="10.199999999999999" customHeight="1">
      <c r="P588" s="241"/>
      <c r="Q588" s="241"/>
      <c r="R588" s="241"/>
      <c r="S588" s="241"/>
      <c r="T588" s="241"/>
      <c r="U588" s="241"/>
      <c r="V588" s="241"/>
      <c r="W588" s="241"/>
      <c r="X588" s="241"/>
      <c r="Y588" s="241"/>
      <c r="Z588" s="241"/>
    </row>
    <row r="589" spans="16:26" ht="10.199999999999999" customHeight="1">
      <c r="P589" s="252"/>
      <c r="Q589" s="252"/>
      <c r="R589" s="252"/>
      <c r="S589" s="252"/>
      <c r="T589" s="252"/>
      <c r="U589" s="252"/>
      <c r="V589" s="252"/>
      <c r="W589" s="252"/>
      <c r="X589" s="252"/>
      <c r="Y589" s="252"/>
      <c r="Z589" s="252"/>
    </row>
    <row r="590" spans="16:26" ht="10.199999999999999" customHeight="1">
      <c r="P590" s="252"/>
      <c r="Q590" s="252"/>
      <c r="R590" s="252"/>
      <c r="S590" s="252"/>
      <c r="T590" s="252"/>
      <c r="U590" s="252"/>
      <c r="V590" s="252"/>
      <c r="W590" s="252"/>
      <c r="X590" s="252"/>
      <c r="Y590" s="252"/>
      <c r="Z590" s="252"/>
    </row>
    <row r="591" spans="16:26" ht="10.199999999999999" customHeight="1">
      <c r="P591" s="241"/>
      <c r="Q591" s="241"/>
      <c r="R591" s="241"/>
      <c r="S591" s="241"/>
      <c r="T591" s="241"/>
      <c r="U591" s="241"/>
      <c r="V591" s="241"/>
      <c r="W591" s="241"/>
      <c r="X591" s="241"/>
      <c r="Y591" s="241"/>
      <c r="Z591" s="241"/>
    </row>
    <row r="592" spans="16:26" ht="10.199999999999999" customHeight="1">
      <c r="P592" s="252"/>
      <c r="Q592" s="252"/>
      <c r="R592" s="252"/>
      <c r="S592" s="252"/>
      <c r="T592" s="252"/>
      <c r="U592" s="252"/>
      <c r="V592" s="252"/>
      <c r="W592" s="252"/>
      <c r="X592" s="252"/>
      <c r="Y592" s="252"/>
      <c r="Z592" s="252"/>
    </row>
    <row r="593" spans="16:26" ht="10.199999999999999" customHeight="1">
      <c r="P593" s="252"/>
      <c r="Q593" s="252"/>
      <c r="R593" s="252"/>
      <c r="S593" s="252"/>
      <c r="T593" s="252"/>
      <c r="U593" s="252"/>
      <c r="V593" s="252"/>
      <c r="W593" s="252"/>
      <c r="X593" s="252"/>
      <c r="Y593" s="252"/>
      <c r="Z593" s="252"/>
    </row>
    <row r="594" spans="16:26" ht="10.199999999999999" customHeight="1">
      <c r="P594" s="241"/>
      <c r="Q594" s="241"/>
      <c r="R594" s="241"/>
      <c r="S594" s="241"/>
      <c r="T594" s="241"/>
      <c r="U594" s="241"/>
      <c r="V594" s="241"/>
      <c r="W594" s="241"/>
      <c r="X594" s="241"/>
      <c r="Y594" s="241"/>
      <c r="Z594" s="241"/>
    </row>
    <row r="595" spans="16:26" ht="10.199999999999999" customHeight="1">
      <c r="P595" s="252"/>
      <c r="Q595" s="252"/>
      <c r="R595" s="252"/>
      <c r="S595" s="252"/>
      <c r="T595" s="252"/>
      <c r="U595" s="252"/>
      <c r="V595" s="252"/>
      <c r="W595" s="252"/>
      <c r="X595" s="252"/>
      <c r="Y595" s="252"/>
      <c r="Z595" s="252"/>
    </row>
    <row r="596" spans="16:26" ht="10.199999999999999" customHeight="1">
      <c r="P596" s="252"/>
      <c r="Q596" s="252"/>
      <c r="R596" s="252"/>
      <c r="S596" s="252"/>
      <c r="T596" s="252"/>
      <c r="U596" s="252"/>
      <c r="V596" s="252"/>
      <c r="W596" s="252"/>
      <c r="X596" s="252"/>
      <c r="Y596" s="252"/>
      <c r="Z596" s="252"/>
    </row>
    <row r="597" spans="16:26" ht="10.199999999999999" customHeight="1">
      <c r="P597" s="241"/>
      <c r="Q597" s="241"/>
      <c r="R597" s="241"/>
      <c r="S597" s="241"/>
      <c r="T597" s="241"/>
      <c r="U597" s="241"/>
      <c r="V597" s="241"/>
      <c r="W597" s="241"/>
      <c r="X597" s="241"/>
      <c r="Y597" s="241"/>
      <c r="Z597" s="241"/>
    </row>
    <row r="598" spans="16:26" ht="10.199999999999999" customHeight="1">
      <c r="P598" s="252"/>
      <c r="Q598" s="252"/>
      <c r="R598" s="252"/>
      <c r="S598" s="252"/>
      <c r="T598" s="252"/>
      <c r="U598" s="252"/>
      <c r="V598" s="252"/>
      <c r="W598" s="252"/>
      <c r="X598" s="252"/>
      <c r="Y598" s="252"/>
      <c r="Z598" s="252"/>
    </row>
    <row r="599" spans="16:26" ht="10.199999999999999" customHeight="1">
      <c r="P599" s="252"/>
      <c r="Q599" s="252"/>
      <c r="R599" s="252"/>
      <c r="S599" s="252"/>
      <c r="T599" s="252"/>
      <c r="U599" s="252"/>
      <c r="V599" s="252"/>
      <c r="W599" s="252"/>
      <c r="X599" s="252"/>
      <c r="Y599" s="252"/>
      <c r="Z599" s="252"/>
    </row>
    <row r="600" spans="16:26" ht="10.199999999999999" customHeight="1">
      <c r="P600" s="241"/>
      <c r="Q600" s="241"/>
      <c r="R600" s="241"/>
      <c r="S600" s="241"/>
      <c r="T600" s="241"/>
      <c r="U600" s="241"/>
      <c r="V600" s="241"/>
      <c r="W600" s="241"/>
      <c r="X600" s="241"/>
      <c r="Y600" s="241"/>
      <c r="Z600" s="241"/>
    </row>
    <row r="601" spans="16:26" ht="10.199999999999999" customHeight="1">
      <c r="P601" s="252"/>
      <c r="Q601" s="252"/>
      <c r="R601" s="252"/>
      <c r="S601" s="252"/>
      <c r="T601" s="252"/>
      <c r="U601" s="252"/>
      <c r="V601" s="252"/>
      <c r="W601" s="252"/>
      <c r="X601" s="252"/>
      <c r="Y601" s="252"/>
      <c r="Z601" s="252"/>
    </row>
    <row r="602" spans="16:26" ht="10.199999999999999" customHeight="1">
      <c r="P602" s="252"/>
      <c r="Q602" s="252"/>
      <c r="R602" s="252"/>
      <c r="S602" s="252"/>
      <c r="T602" s="252"/>
      <c r="U602" s="252"/>
      <c r="V602" s="252"/>
      <c r="W602" s="252"/>
      <c r="X602" s="252"/>
      <c r="Y602" s="252"/>
      <c r="Z602" s="252"/>
    </row>
    <row r="603" spans="16:26" ht="10.199999999999999" customHeight="1">
      <c r="P603" s="241"/>
      <c r="Q603" s="241"/>
      <c r="R603" s="241"/>
      <c r="S603" s="241"/>
      <c r="T603" s="241"/>
      <c r="U603" s="241"/>
      <c r="V603" s="241"/>
      <c r="W603" s="241"/>
      <c r="X603" s="241"/>
      <c r="Y603" s="241"/>
      <c r="Z603" s="241"/>
    </row>
    <row r="604" spans="16:26" ht="10.199999999999999" customHeight="1">
      <c r="P604" s="252"/>
      <c r="Q604" s="252"/>
      <c r="R604" s="252"/>
      <c r="S604" s="252"/>
      <c r="T604" s="252"/>
      <c r="U604" s="252"/>
      <c r="V604" s="252"/>
      <c r="W604" s="252"/>
      <c r="X604" s="252"/>
      <c r="Y604" s="252"/>
      <c r="Z604" s="252"/>
    </row>
    <row r="605" spans="16:26" ht="10.199999999999999" customHeight="1">
      <c r="P605" s="252"/>
      <c r="Q605" s="252"/>
      <c r="R605" s="252"/>
      <c r="S605" s="252"/>
      <c r="T605" s="252"/>
      <c r="U605" s="252"/>
      <c r="V605" s="252"/>
      <c r="W605" s="252"/>
      <c r="X605" s="252"/>
      <c r="Y605" s="252"/>
      <c r="Z605" s="252"/>
    </row>
    <row r="606" spans="16:26" ht="10.199999999999999" customHeight="1">
      <c r="P606" s="241"/>
      <c r="Q606" s="241"/>
      <c r="R606" s="241"/>
      <c r="S606" s="241"/>
      <c r="T606" s="241"/>
      <c r="U606" s="241"/>
      <c r="V606" s="241"/>
      <c r="W606" s="241"/>
      <c r="X606" s="241"/>
      <c r="Y606" s="241"/>
      <c r="Z606" s="241"/>
    </row>
    <row r="607" spans="16:26" ht="10.199999999999999" customHeight="1">
      <c r="P607" s="252"/>
      <c r="Q607" s="252"/>
      <c r="R607" s="252"/>
      <c r="S607" s="252"/>
      <c r="T607" s="252"/>
      <c r="U607" s="252"/>
      <c r="V607" s="252"/>
      <c r="W607" s="252"/>
      <c r="X607" s="252"/>
      <c r="Y607" s="252"/>
      <c r="Z607" s="252"/>
    </row>
    <row r="608" spans="16:26" ht="10.199999999999999" customHeight="1">
      <c r="P608" s="252"/>
      <c r="Q608" s="252"/>
      <c r="R608" s="252"/>
      <c r="S608" s="252"/>
      <c r="T608" s="252"/>
      <c r="U608" s="252"/>
      <c r="V608" s="252"/>
      <c r="W608" s="252"/>
      <c r="X608" s="252"/>
      <c r="Y608" s="252"/>
      <c r="Z608" s="252"/>
    </row>
    <row r="609" spans="16:26" ht="10.199999999999999" customHeight="1">
      <c r="P609" s="241"/>
      <c r="Q609" s="241"/>
      <c r="R609" s="241"/>
      <c r="S609" s="241"/>
      <c r="T609" s="241"/>
      <c r="U609" s="241"/>
      <c r="V609" s="241"/>
      <c r="W609" s="241"/>
      <c r="X609" s="241"/>
      <c r="Y609" s="241"/>
      <c r="Z609" s="241"/>
    </row>
    <row r="610" spans="16:26" ht="10.199999999999999" customHeight="1">
      <c r="P610" s="252"/>
      <c r="Q610" s="252"/>
      <c r="R610" s="252"/>
      <c r="S610" s="252"/>
      <c r="T610" s="252"/>
      <c r="U610" s="252"/>
      <c r="V610" s="252"/>
      <c r="W610" s="252"/>
      <c r="X610" s="252"/>
      <c r="Y610" s="252"/>
      <c r="Z610" s="252"/>
    </row>
    <row r="611" spans="16:26" ht="10.199999999999999" customHeight="1">
      <c r="P611" s="252"/>
      <c r="Q611" s="252"/>
      <c r="R611" s="252"/>
      <c r="S611" s="252"/>
      <c r="T611" s="252"/>
      <c r="U611" s="252"/>
      <c r="V611" s="252"/>
      <c r="W611" s="252"/>
      <c r="X611" s="252"/>
      <c r="Y611" s="252"/>
      <c r="Z611" s="252"/>
    </row>
    <row r="612" spans="16:26" ht="10.199999999999999" customHeight="1">
      <c r="P612" s="241"/>
      <c r="Q612" s="241"/>
      <c r="R612" s="241"/>
      <c r="S612" s="241"/>
      <c r="T612" s="241"/>
      <c r="U612" s="241"/>
      <c r="V612" s="241"/>
      <c r="W612" s="241"/>
      <c r="X612" s="241"/>
      <c r="Y612" s="241"/>
      <c r="Z612" s="241"/>
    </row>
    <row r="613" spans="16:26" ht="10.199999999999999" customHeight="1">
      <c r="P613" s="252"/>
      <c r="Q613" s="252"/>
      <c r="R613" s="252"/>
      <c r="S613" s="252"/>
      <c r="T613" s="252"/>
      <c r="U613" s="252"/>
      <c r="V613" s="252"/>
      <c r="W613" s="252"/>
      <c r="X613" s="252"/>
      <c r="Y613" s="252"/>
      <c r="Z613" s="252"/>
    </row>
    <row r="614" spans="16:26" ht="10.199999999999999" customHeight="1">
      <c r="P614" s="252"/>
      <c r="Q614" s="252"/>
      <c r="R614" s="252"/>
      <c r="S614" s="252"/>
      <c r="T614" s="252"/>
      <c r="U614" s="252"/>
      <c r="V614" s="252"/>
      <c r="W614" s="252"/>
      <c r="X614" s="252"/>
      <c r="Y614" s="252"/>
      <c r="Z614" s="252"/>
    </row>
    <row r="615" spans="16:26" ht="10.199999999999999" customHeight="1">
      <c r="P615" s="241"/>
      <c r="Q615" s="241"/>
      <c r="R615" s="241"/>
      <c r="S615" s="241"/>
      <c r="T615" s="241"/>
      <c r="U615" s="241"/>
      <c r="V615" s="241"/>
      <c r="W615" s="241"/>
      <c r="X615" s="241"/>
      <c r="Y615" s="241"/>
      <c r="Z615" s="241"/>
    </row>
    <row r="616" spans="16:26" ht="10.199999999999999" customHeight="1">
      <c r="P616" s="252"/>
      <c r="Q616" s="252"/>
      <c r="R616" s="252"/>
      <c r="S616" s="252"/>
      <c r="T616" s="252"/>
      <c r="U616" s="252"/>
      <c r="V616" s="252"/>
      <c r="W616" s="252"/>
      <c r="X616" s="252"/>
      <c r="Y616" s="252"/>
      <c r="Z616" s="252"/>
    </row>
    <row r="617" spans="16:26" ht="10.199999999999999" customHeight="1">
      <c r="P617" s="252"/>
      <c r="Q617" s="252"/>
      <c r="R617" s="252"/>
      <c r="S617" s="252"/>
      <c r="T617" s="252"/>
      <c r="U617" s="252"/>
      <c r="V617" s="252"/>
      <c r="W617" s="252"/>
      <c r="X617" s="252"/>
      <c r="Y617" s="252"/>
      <c r="Z617" s="252"/>
    </row>
    <row r="618" spans="16:26" ht="10.199999999999999" customHeight="1">
      <c r="P618" s="241"/>
      <c r="Q618" s="241"/>
      <c r="R618" s="241"/>
      <c r="S618" s="241"/>
      <c r="T618" s="241"/>
      <c r="U618" s="241"/>
      <c r="V618" s="241"/>
      <c r="W618" s="241"/>
      <c r="X618" s="241"/>
      <c r="Y618" s="241"/>
      <c r="Z618" s="241"/>
    </row>
    <row r="619" spans="16:26" ht="10.199999999999999" customHeight="1">
      <c r="P619" s="252"/>
      <c r="Q619" s="252"/>
      <c r="R619" s="252"/>
      <c r="S619" s="252"/>
      <c r="T619" s="252"/>
      <c r="U619" s="252"/>
      <c r="V619" s="252"/>
      <c r="W619" s="252"/>
      <c r="X619" s="252"/>
      <c r="Y619" s="252"/>
      <c r="Z619" s="252"/>
    </row>
    <row r="620" spans="16:26" ht="10.199999999999999" customHeight="1">
      <c r="P620" s="252"/>
      <c r="Q620" s="252"/>
      <c r="R620" s="252"/>
      <c r="S620" s="252"/>
      <c r="T620" s="252"/>
      <c r="U620" s="252"/>
      <c r="V620" s="252"/>
      <c r="W620" s="252"/>
      <c r="X620" s="252"/>
      <c r="Y620" s="252"/>
      <c r="Z620" s="252"/>
    </row>
    <row r="621" spans="16:26" ht="10.199999999999999" customHeight="1">
      <c r="P621" s="241"/>
      <c r="Q621" s="241"/>
      <c r="R621" s="241"/>
      <c r="S621" s="241"/>
      <c r="T621" s="241"/>
      <c r="U621" s="241"/>
      <c r="V621" s="241"/>
      <c r="W621" s="241"/>
      <c r="X621" s="241"/>
      <c r="Y621" s="241"/>
      <c r="Z621" s="241"/>
    </row>
    <row r="622" spans="16:26" ht="10.199999999999999" customHeight="1">
      <c r="P622" s="252"/>
      <c r="Q622" s="252"/>
      <c r="R622" s="252"/>
      <c r="S622" s="252"/>
      <c r="T622" s="252"/>
      <c r="U622" s="252"/>
      <c r="V622" s="252"/>
      <c r="W622" s="252"/>
      <c r="X622" s="252"/>
      <c r="Y622" s="252"/>
      <c r="Z622" s="252"/>
    </row>
    <row r="623" spans="16:26" ht="10.199999999999999" customHeight="1">
      <c r="P623" s="252"/>
      <c r="Q623" s="252"/>
      <c r="R623" s="252"/>
      <c r="S623" s="252"/>
      <c r="T623" s="252"/>
      <c r="U623" s="252"/>
      <c r="V623" s="252"/>
      <c r="W623" s="252"/>
      <c r="X623" s="252"/>
      <c r="Y623" s="252"/>
      <c r="Z623" s="252"/>
    </row>
    <row r="624" spans="16:26" ht="10.199999999999999" customHeight="1">
      <c r="P624" s="241"/>
      <c r="Q624" s="241"/>
      <c r="R624" s="241"/>
      <c r="S624" s="241"/>
      <c r="T624" s="241"/>
      <c r="U624" s="241"/>
      <c r="V624" s="241"/>
      <c r="W624" s="241"/>
      <c r="X624" s="241"/>
      <c r="Y624" s="241"/>
      <c r="Z624" s="241"/>
    </row>
    <row r="625" spans="16:26" ht="10.199999999999999" customHeight="1">
      <c r="P625" s="252"/>
      <c r="Q625" s="252"/>
      <c r="R625" s="252"/>
      <c r="S625" s="252"/>
      <c r="T625" s="252"/>
      <c r="U625" s="252"/>
      <c r="V625" s="252"/>
      <c r="W625" s="252"/>
      <c r="X625" s="252"/>
      <c r="Y625" s="252"/>
      <c r="Z625" s="252"/>
    </row>
    <row r="626" spans="16:26" ht="10.199999999999999" customHeight="1">
      <c r="P626" s="252"/>
      <c r="Q626" s="252"/>
      <c r="R626" s="252"/>
      <c r="S626" s="252"/>
      <c r="T626" s="252"/>
      <c r="U626" s="252"/>
      <c r="V626" s="252"/>
      <c r="W626" s="252"/>
      <c r="X626" s="252"/>
      <c r="Y626" s="252"/>
      <c r="Z626" s="252"/>
    </row>
    <row r="627" spans="16:26" ht="10.199999999999999" customHeight="1">
      <c r="P627" s="241"/>
      <c r="Q627" s="241"/>
      <c r="R627" s="241"/>
      <c r="S627" s="241"/>
      <c r="T627" s="241"/>
      <c r="U627" s="241"/>
      <c r="V627" s="241"/>
      <c r="W627" s="241"/>
      <c r="X627" s="241"/>
      <c r="Y627" s="241"/>
      <c r="Z627" s="241"/>
    </row>
    <row r="628" spans="16:26" ht="10.199999999999999" customHeight="1">
      <c r="P628" s="252"/>
      <c r="Q628" s="252"/>
      <c r="R628" s="252"/>
      <c r="S628" s="252"/>
      <c r="T628" s="252"/>
      <c r="U628" s="252"/>
      <c r="V628" s="252"/>
      <c r="W628" s="252"/>
      <c r="X628" s="252"/>
      <c r="Y628" s="252"/>
      <c r="Z628" s="252"/>
    </row>
    <row r="629" spans="16:26" ht="10.199999999999999" customHeight="1">
      <c r="P629" s="252"/>
      <c r="Q629" s="252"/>
      <c r="R629" s="252"/>
      <c r="S629" s="252"/>
      <c r="T629" s="252"/>
      <c r="U629" s="252"/>
      <c r="V629" s="252"/>
      <c r="W629" s="252"/>
      <c r="X629" s="252"/>
      <c r="Y629" s="252"/>
      <c r="Z629" s="252"/>
    </row>
    <row r="630" spans="16:26" ht="10.199999999999999" customHeight="1">
      <c r="P630" s="241"/>
      <c r="Q630" s="241"/>
      <c r="R630" s="241"/>
      <c r="S630" s="241"/>
      <c r="T630" s="241"/>
      <c r="U630" s="241"/>
      <c r="V630" s="241"/>
      <c r="W630" s="241"/>
      <c r="X630" s="241"/>
      <c r="Y630" s="241"/>
      <c r="Z630" s="241"/>
    </row>
    <row r="631" spans="16:26" ht="10.199999999999999" customHeight="1">
      <c r="P631" s="252"/>
      <c r="Q631" s="252"/>
      <c r="R631" s="252"/>
      <c r="S631" s="252"/>
      <c r="T631" s="252"/>
      <c r="U631" s="252"/>
      <c r="V631" s="252"/>
      <c r="W631" s="252"/>
      <c r="X631" s="252"/>
      <c r="Y631" s="252"/>
      <c r="Z631" s="252"/>
    </row>
    <row r="632" spans="16:26" ht="10.199999999999999" customHeight="1">
      <c r="P632" s="252"/>
      <c r="Q632" s="252"/>
      <c r="R632" s="252"/>
      <c r="S632" s="252"/>
      <c r="T632" s="252"/>
      <c r="U632" s="252"/>
      <c r="V632" s="252"/>
      <c r="W632" s="252"/>
      <c r="X632" s="252"/>
      <c r="Y632" s="252"/>
      <c r="Z632" s="252"/>
    </row>
    <row r="633" spans="16:26" ht="10.199999999999999" customHeight="1">
      <c r="P633" s="241"/>
      <c r="Q633" s="241"/>
      <c r="R633" s="241"/>
      <c r="S633" s="241"/>
      <c r="T633" s="241"/>
      <c r="U633" s="241"/>
      <c r="V633" s="241"/>
      <c r="W633" s="241"/>
      <c r="X633" s="241"/>
      <c r="Y633" s="241"/>
      <c r="Z633" s="241"/>
    </row>
    <row r="634" spans="16:26" ht="10.199999999999999" customHeight="1">
      <c r="P634" s="252"/>
      <c r="Q634" s="252"/>
      <c r="R634" s="252"/>
      <c r="S634" s="252"/>
      <c r="T634" s="252"/>
      <c r="U634" s="252"/>
      <c r="V634" s="252"/>
      <c r="W634" s="252"/>
      <c r="X634" s="252"/>
      <c r="Y634" s="252"/>
      <c r="Z634" s="252"/>
    </row>
    <row r="635" spans="16:26" ht="10.199999999999999" customHeight="1">
      <c r="P635" s="252"/>
      <c r="Q635" s="252"/>
      <c r="R635" s="252"/>
      <c r="S635" s="252"/>
      <c r="T635" s="252"/>
      <c r="U635" s="252"/>
      <c r="V635" s="252"/>
      <c r="W635" s="252"/>
      <c r="X635" s="252"/>
      <c r="Y635" s="252"/>
      <c r="Z635" s="252"/>
    </row>
    <row r="636" spans="16:26" ht="10.199999999999999" customHeight="1">
      <c r="P636" s="241"/>
      <c r="Q636" s="241"/>
      <c r="R636" s="241"/>
      <c r="S636" s="241"/>
      <c r="T636" s="241"/>
      <c r="U636" s="241"/>
      <c r="V636" s="241"/>
      <c r="W636" s="241"/>
      <c r="X636" s="241"/>
      <c r="Y636" s="241"/>
      <c r="Z636" s="241"/>
    </row>
    <row r="637" spans="16:26" ht="10.199999999999999" customHeight="1">
      <c r="P637" s="252"/>
      <c r="Q637" s="252"/>
      <c r="R637" s="252"/>
      <c r="S637" s="252"/>
      <c r="T637" s="252"/>
      <c r="U637" s="252"/>
      <c r="V637" s="252"/>
      <c r="W637" s="252"/>
      <c r="X637" s="252"/>
      <c r="Y637" s="252"/>
      <c r="Z637" s="252"/>
    </row>
    <row r="638" spans="16:26" ht="10.199999999999999" customHeight="1">
      <c r="P638" s="252"/>
      <c r="Q638" s="252"/>
      <c r="R638" s="252"/>
      <c r="S638" s="252"/>
      <c r="T638" s="252"/>
      <c r="U638" s="252"/>
      <c r="V638" s="252"/>
      <c r="W638" s="252"/>
      <c r="X638" s="252"/>
      <c r="Y638" s="252"/>
      <c r="Z638" s="252"/>
    </row>
    <row r="639" spans="16:26" ht="10.199999999999999" customHeight="1">
      <c r="P639" s="241"/>
      <c r="Q639" s="241"/>
      <c r="R639" s="241"/>
      <c r="S639" s="241"/>
      <c r="T639" s="241"/>
      <c r="U639" s="241"/>
      <c r="V639" s="241"/>
      <c r="W639" s="241"/>
      <c r="X639" s="241"/>
      <c r="Y639" s="241"/>
      <c r="Z639" s="241"/>
    </row>
    <row r="640" spans="16:26" ht="10.199999999999999" customHeight="1">
      <c r="P640" s="252"/>
      <c r="Q640" s="252"/>
      <c r="R640" s="252"/>
      <c r="S640" s="252"/>
      <c r="T640" s="252"/>
      <c r="U640" s="252"/>
      <c r="V640" s="252"/>
      <c r="W640" s="252"/>
      <c r="X640" s="252"/>
      <c r="Y640" s="252"/>
      <c r="Z640" s="252"/>
    </row>
    <row r="641" spans="16:26" ht="10.199999999999999" customHeight="1">
      <c r="P641" s="252"/>
      <c r="Q641" s="252"/>
      <c r="R641" s="252"/>
      <c r="S641" s="252"/>
      <c r="T641" s="252"/>
      <c r="U641" s="252"/>
      <c r="V641" s="252"/>
      <c r="W641" s="252"/>
      <c r="X641" s="252"/>
      <c r="Y641" s="252"/>
      <c r="Z641" s="252"/>
    </row>
    <row r="642" spans="16:26" ht="10.199999999999999" customHeight="1">
      <c r="P642" s="241"/>
      <c r="Q642" s="241"/>
      <c r="R642" s="241"/>
      <c r="S642" s="241"/>
      <c r="T642" s="241"/>
      <c r="U642" s="241"/>
      <c r="V642" s="241"/>
      <c r="W642" s="241"/>
      <c r="X642" s="241"/>
      <c r="Y642" s="241"/>
      <c r="Z642" s="241"/>
    </row>
    <row r="643" spans="16:26" ht="10.199999999999999" customHeight="1">
      <c r="P643" s="241"/>
      <c r="Q643" s="241"/>
      <c r="R643" s="241"/>
      <c r="S643" s="241"/>
      <c r="T643" s="241"/>
      <c r="U643" s="241"/>
      <c r="V643" s="241"/>
      <c r="W643" s="241"/>
      <c r="X643" s="241"/>
      <c r="Y643" s="241"/>
      <c r="Z643" s="241"/>
    </row>
    <row r="644" spans="16:26" ht="10.199999999999999" customHeight="1">
      <c r="P644" s="241"/>
      <c r="Q644" s="241"/>
      <c r="R644" s="241"/>
      <c r="S644" s="241"/>
      <c r="T644" s="241"/>
      <c r="U644" s="241"/>
      <c r="V644" s="241"/>
      <c r="W644" s="241"/>
      <c r="X644" s="241"/>
      <c r="Y644" s="241"/>
      <c r="Z644" s="241"/>
    </row>
    <row r="645" spans="16:26" ht="10.199999999999999" customHeight="1">
      <c r="P645" s="241"/>
      <c r="Q645" s="241"/>
      <c r="R645" s="241"/>
      <c r="S645" s="241"/>
      <c r="T645" s="241"/>
      <c r="U645" s="241"/>
      <c r="V645" s="241"/>
      <c r="W645" s="241"/>
      <c r="X645" s="241"/>
      <c r="Y645" s="241"/>
      <c r="Z645" s="241"/>
    </row>
    <row r="646" spans="16:26" ht="10.199999999999999" customHeight="1">
      <c r="P646" s="241"/>
      <c r="Q646" s="241"/>
      <c r="R646" s="241"/>
      <c r="S646" s="241"/>
      <c r="T646" s="241"/>
      <c r="U646" s="241"/>
      <c r="V646" s="241"/>
      <c r="W646" s="241"/>
      <c r="X646" s="241"/>
      <c r="Y646" s="241"/>
      <c r="Z646" s="241"/>
    </row>
    <row r="647" spans="16:26" ht="10.199999999999999" customHeight="1">
      <c r="P647" s="241"/>
      <c r="Q647" s="241"/>
      <c r="R647" s="241"/>
      <c r="S647" s="241"/>
      <c r="T647" s="241"/>
      <c r="U647" s="241"/>
      <c r="V647" s="241"/>
      <c r="W647" s="241"/>
      <c r="X647" s="241"/>
      <c r="Y647" s="241"/>
      <c r="Z647" s="241"/>
    </row>
    <row r="648" spans="16:26" ht="10.199999999999999" customHeight="1">
      <c r="P648" s="241"/>
      <c r="Q648" s="241"/>
      <c r="R648" s="241"/>
      <c r="S648" s="241"/>
      <c r="T648" s="241"/>
      <c r="U648" s="241"/>
      <c r="V648" s="241"/>
      <c r="W648" s="241"/>
      <c r="X648" s="241"/>
      <c r="Y648" s="241"/>
      <c r="Z648" s="241"/>
    </row>
    <row r="649" spans="16:26" ht="10.199999999999999" customHeight="1">
      <c r="P649" s="241"/>
      <c r="Q649" s="241"/>
      <c r="R649" s="241"/>
      <c r="S649" s="241"/>
      <c r="T649" s="241"/>
      <c r="U649" s="241"/>
      <c r="V649" s="241"/>
      <c r="W649" s="241"/>
      <c r="X649" s="241"/>
      <c r="Y649" s="241"/>
      <c r="Z649" s="241"/>
    </row>
    <row r="650" spans="16:26" ht="10.199999999999999" customHeight="1">
      <c r="P650" s="241"/>
      <c r="Q650" s="241"/>
      <c r="R650" s="241"/>
      <c r="S650" s="241"/>
      <c r="T650" s="241"/>
      <c r="U650" s="241"/>
      <c r="V650" s="241"/>
      <c r="W650" s="241"/>
      <c r="X650" s="241"/>
      <c r="Y650" s="241"/>
      <c r="Z650" s="241"/>
    </row>
    <row r="651" spans="16:26" ht="10.199999999999999" customHeight="1">
      <c r="P651" s="241"/>
      <c r="Q651" s="241"/>
      <c r="R651" s="241"/>
      <c r="S651" s="241"/>
      <c r="T651" s="241"/>
      <c r="U651" s="241"/>
      <c r="V651" s="241"/>
      <c r="W651" s="241"/>
      <c r="X651" s="241"/>
      <c r="Y651" s="241"/>
      <c r="Z651" s="241"/>
    </row>
    <row r="652" spans="16:26" ht="10.199999999999999" customHeight="1">
      <c r="P652" s="241"/>
      <c r="Q652" s="241"/>
      <c r="R652" s="241"/>
      <c r="S652" s="241"/>
      <c r="T652" s="241"/>
      <c r="U652" s="241"/>
      <c r="V652" s="241"/>
      <c r="W652" s="241"/>
      <c r="X652" s="241"/>
      <c r="Y652" s="241"/>
      <c r="Z652" s="241"/>
    </row>
    <row r="653" spans="16:26" ht="10.199999999999999" customHeight="1">
      <c r="P653" s="241"/>
      <c r="Q653" s="241"/>
      <c r="R653" s="241"/>
      <c r="S653" s="241"/>
      <c r="T653" s="241"/>
      <c r="U653" s="241"/>
      <c r="V653" s="241"/>
      <c r="W653" s="241"/>
      <c r="X653" s="241"/>
      <c r="Y653" s="241"/>
      <c r="Z653" s="241"/>
    </row>
    <row r="654" spans="16:26" ht="10.199999999999999" customHeight="1">
      <c r="P654" s="241"/>
      <c r="Q654" s="241"/>
      <c r="R654" s="241"/>
      <c r="S654" s="241"/>
      <c r="T654" s="241"/>
      <c r="U654" s="241"/>
      <c r="V654" s="241"/>
      <c r="W654" s="241"/>
      <c r="X654" s="241"/>
      <c r="Y654" s="241"/>
      <c r="Z654" s="241"/>
    </row>
    <row r="655" spans="16:26" ht="10.199999999999999" customHeight="1">
      <c r="P655" s="241"/>
      <c r="Q655" s="241"/>
      <c r="R655" s="241"/>
      <c r="S655" s="241"/>
      <c r="T655" s="241"/>
      <c r="U655" s="241"/>
      <c r="V655" s="241"/>
      <c r="W655" s="241"/>
      <c r="X655" s="241"/>
      <c r="Y655" s="241"/>
      <c r="Z655" s="241"/>
    </row>
    <row r="656" spans="16:26" ht="10.199999999999999" customHeight="1">
      <c r="P656" s="241"/>
      <c r="Q656" s="241"/>
      <c r="R656" s="241"/>
      <c r="S656" s="241"/>
      <c r="T656" s="241"/>
      <c r="U656" s="241"/>
      <c r="V656" s="241"/>
      <c r="W656" s="241"/>
      <c r="X656" s="241"/>
      <c r="Y656" s="241"/>
      <c r="Z656" s="241"/>
    </row>
    <row r="657" spans="16:26" ht="10.199999999999999" customHeight="1">
      <c r="P657" s="241"/>
      <c r="Q657" s="241"/>
      <c r="R657" s="241"/>
      <c r="S657" s="241"/>
      <c r="T657" s="241"/>
      <c r="U657" s="241"/>
      <c r="V657" s="241"/>
      <c r="W657" s="241"/>
      <c r="X657" s="241"/>
      <c r="Y657" s="241"/>
      <c r="Z657" s="241"/>
    </row>
    <row r="658" spans="16:26" ht="10.199999999999999" customHeight="1">
      <c r="P658" s="241"/>
      <c r="Q658" s="241"/>
      <c r="R658" s="241"/>
      <c r="S658" s="241"/>
      <c r="T658" s="241"/>
      <c r="U658" s="241"/>
      <c r="V658" s="241"/>
      <c r="W658" s="241"/>
      <c r="X658" s="241"/>
      <c r="Y658" s="241"/>
      <c r="Z658" s="241"/>
    </row>
    <row r="659" spans="16:26" ht="10.199999999999999" customHeight="1">
      <c r="P659" s="241"/>
      <c r="Q659" s="241"/>
      <c r="R659" s="241"/>
      <c r="S659" s="241"/>
      <c r="T659" s="241"/>
      <c r="U659" s="241"/>
      <c r="V659" s="241"/>
      <c r="W659" s="241"/>
      <c r="X659" s="241"/>
      <c r="Y659" s="241"/>
      <c r="Z659" s="241"/>
    </row>
    <row r="660" spans="16:26" ht="10.199999999999999" customHeight="1">
      <c r="P660" s="241"/>
      <c r="Q660" s="241"/>
      <c r="R660" s="241"/>
      <c r="S660" s="241"/>
      <c r="T660" s="241"/>
      <c r="U660" s="241"/>
      <c r="V660" s="241"/>
      <c r="W660" s="241"/>
      <c r="X660" s="241"/>
      <c r="Y660" s="241"/>
      <c r="Z660" s="241"/>
    </row>
    <row r="661" spans="16:26" ht="10.199999999999999" customHeight="1">
      <c r="P661" s="241"/>
      <c r="Q661" s="241"/>
      <c r="R661" s="241"/>
      <c r="S661" s="241"/>
      <c r="T661" s="241"/>
      <c r="U661" s="241"/>
      <c r="V661" s="241"/>
      <c r="W661" s="241"/>
      <c r="X661" s="241"/>
      <c r="Y661" s="241"/>
      <c r="Z661" s="241"/>
    </row>
    <row r="662" spans="16:26" ht="10.199999999999999" customHeight="1">
      <c r="P662" s="241"/>
      <c r="Q662" s="241"/>
      <c r="R662" s="241"/>
      <c r="S662" s="241"/>
      <c r="T662" s="241"/>
      <c r="U662" s="241"/>
      <c r="V662" s="241"/>
      <c r="W662" s="241"/>
      <c r="X662" s="241"/>
      <c r="Y662" s="241"/>
      <c r="Z662" s="241"/>
    </row>
    <row r="663" spans="16:26" ht="10.199999999999999" customHeight="1">
      <c r="P663" s="241"/>
      <c r="Q663" s="241"/>
      <c r="R663" s="241"/>
      <c r="S663" s="241"/>
      <c r="T663" s="241"/>
      <c r="U663" s="241"/>
      <c r="V663" s="241"/>
      <c r="W663" s="241"/>
      <c r="X663" s="241"/>
      <c r="Y663" s="241"/>
      <c r="Z663" s="241"/>
    </row>
    <row r="664" spans="16:26" ht="10.199999999999999" customHeight="1">
      <c r="P664" s="241"/>
      <c r="Q664" s="241"/>
      <c r="R664" s="241"/>
      <c r="S664" s="241"/>
      <c r="T664" s="241"/>
      <c r="U664" s="241"/>
      <c r="V664" s="241"/>
      <c r="W664" s="241"/>
      <c r="X664" s="241"/>
      <c r="Y664" s="241"/>
      <c r="Z664" s="241"/>
    </row>
    <row r="665" spans="16:26" ht="10.199999999999999" customHeight="1">
      <c r="P665" s="241"/>
      <c r="Q665" s="241"/>
      <c r="R665" s="241"/>
      <c r="S665" s="241"/>
      <c r="T665" s="241"/>
      <c r="U665" s="241"/>
      <c r="V665" s="241"/>
      <c r="W665" s="241"/>
      <c r="X665" s="241"/>
      <c r="Y665" s="241"/>
      <c r="Z665" s="241"/>
    </row>
    <row r="666" spans="16:26" ht="10.199999999999999" customHeight="1">
      <c r="P666" s="241"/>
      <c r="Q666" s="241"/>
      <c r="R666" s="241"/>
      <c r="S666" s="241"/>
      <c r="T666" s="241"/>
      <c r="U666" s="241"/>
      <c r="V666" s="241"/>
      <c r="W666" s="241"/>
      <c r="X666" s="241"/>
      <c r="Y666" s="241"/>
      <c r="Z666" s="241"/>
    </row>
    <row r="667" spans="16:26" ht="10.199999999999999" customHeight="1">
      <c r="P667" s="241"/>
      <c r="Q667" s="241"/>
      <c r="R667" s="241"/>
      <c r="S667" s="241"/>
      <c r="T667" s="241"/>
      <c r="U667" s="241"/>
      <c r="V667" s="241"/>
      <c r="W667" s="241"/>
      <c r="X667" s="241"/>
      <c r="Y667" s="241"/>
      <c r="Z667" s="241"/>
    </row>
    <row r="668" spans="16:26" ht="10.199999999999999" customHeight="1">
      <c r="P668" s="241"/>
      <c r="Q668" s="241"/>
      <c r="R668" s="241"/>
      <c r="S668" s="241"/>
      <c r="T668" s="241"/>
      <c r="U668" s="241"/>
      <c r="V668" s="241"/>
      <c r="W668" s="241"/>
      <c r="X668" s="241"/>
      <c r="Y668" s="241"/>
      <c r="Z668" s="241"/>
    </row>
    <row r="669" spans="16:26" ht="10.199999999999999" customHeight="1">
      <c r="P669" s="241"/>
      <c r="Q669" s="241"/>
      <c r="R669" s="241"/>
      <c r="S669" s="241"/>
      <c r="T669" s="241"/>
      <c r="U669" s="241"/>
      <c r="V669" s="241"/>
      <c r="W669" s="241"/>
      <c r="X669" s="241"/>
      <c r="Y669" s="241"/>
      <c r="Z669" s="241"/>
    </row>
    <row r="670" spans="16:26" ht="10.199999999999999" customHeight="1">
      <c r="P670" s="241"/>
      <c r="Q670" s="241"/>
      <c r="R670" s="241"/>
      <c r="S670" s="241"/>
      <c r="T670" s="241"/>
      <c r="U670" s="241"/>
      <c r="V670" s="241"/>
      <c r="W670" s="241"/>
      <c r="X670" s="241"/>
      <c r="Y670" s="241"/>
      <c r="Z670" s="241"/>
    </row>
    <row r="671" spans="16:26" ht="10.199999999999999" customHeight="1">
      <c r="P671" s="241"/>
      <c r="Q671" s="241"/>
      <c r="R671" s="241"/>
      <c r="S671" s="241"/>
      <c r="T671" s="241"/>
      <c r="U671" s="241"/>
      <c r="V671" s="241"/>
      <c r="W671" s="241"/>
      <c r="X671" s="241"/>
      <c r="Y671" s="241"/>
      <c r="Z671" s="241"/>
    </row>
    <row r="672" spans="16:26" ht="10.199999999999999" customHeight="1">
      <c r="P672" s="241"/>
      <c r="Q672" s="241"/>
      <c r="R672" s="241"/>
      <c r="S672" s="241"/>
      <c r="T672" s="241"/>
      <c r="U672" s="241"/>
      <c r="V672" s="241"/>
      <c r="W672" s="241"/>
      <c r="X672" s="241"/>
      <c r="Y672" s="241"/>
      <c r="Z672" s="241"/>
    </row>
    <row r="673" spans="16:26" ht="10.199999999999999" customHeight="1">
      <c r="P673" s="241"/>
      <c r="Q673" s="241"/>
      <c r="R673" s="241"/>
      <c r="S673" s="241"/>
      <c r="T673" s="241"/>
      <c r="U673" s="241"/>
      <c r="V673" s="241"/>
      <c r="W673" s="241"/>
      <c r="X673" s="241"/>
      <c r="Y673" s="241"/>
      <c r="Z673" s="241"/>
    </row>
    <row r="674" spans="16:26" ht="10.199999999999999" customHeight="1">
      <c r="P674" s="241"/>
      <c r="Q674" s="241"/>
      <c r="R674" s="241"/>
      <c r="S674" s="241"/>
      <c r="T674" s="241"/>
      <c r="U674" s="241"/>
      <c r="V674" s="241"/>
      <c r="W674" s="241"/>
      <c r="X674" s="241"/>
      <c r="Y674" s="241"/>
      <c r="Z674" s="241"/>
    </row>
    <row r="675" spans="16:26" ht="10.199999999999999" customHeight="1">
      <c r="P675" s="241"/>
      <c r="Q675" s="241"/>
      <c r="R675" s="241"/>
      <c r="S675" s="241"/>
      <c r="T675" s="241"/>
      <c r="U675" s="241"/>
      <c r="V675" s="241"/>
      <c r="W675" s="241"/>
      <c r="X675" s="241"/>
      <c r="Y675" s="241"/>
      <c r="Z675" s="241"/>
    </row>
    <row r="676" spans="16:26" ht="10.199999999999999" customHeight="1">
      <c r="P676" s="241"/>
      <c r="Q676" s="241"/>
      <c r="R676" s="241"/>
      <c r="S676" s="241"/>
      <c r="T676" s="241"/>
      <c r="U676" s="241"/>
      <c r="V676" s="241"/>
      <c r="W676" s="241"/>
      <c r="X676" s="241"/>
      <c r="Y676" s="241"/>
      <c r="Z676" s="241"/>
    </row>
    <row r="677" spans="16:26" ht="10.199999999999999" customHeight="1">
      <c r="P677" s="241"/>
      <c r="Q677" s="241"/>
      <c r="R677" s="241"/>
      <c r="S677" s="241"/>
      <c r="T677" s="241"/>
      <c r="U677" s="241"/>
      <c r="V677" s="241"/>
      <c r="W677" s="241"/>
      <c r="X677" s="241"/>
      <c r="Y677" s="241"/>
      <c r="Z677" s="241"/>
    </row>
    <row r="678" spans="16:26" ht="10.199999999999999" customHeight="1">
      <c r="P678" s="241"/>
      <c r="Q678" s="241"/>
      <c r="R678" s="241"/>
      <c r="S678" s="241"/>
      <c r="T678" s="241"/>
      <c r="U678" s="241"/>
      <c r="V678" s="241"/>
      <c r="W678" s="241"/>
      <c r="X678" s="241"/>
      <c r="Y678" s="241"/>
      <c r="Z678" s="241"/>
    </row>
    <row r="679" spans="16:26" ht="10.199999999999999" customHeight="1">
      <c r="P679" s="241"/>
      <c r="Q679" s="241"/>
      <c r="R679" s="241"/>
      <c r="S679" s="241"/>
      <c r="T679" s="241"/>
      <c r="U679" s="241"/>
      <c r="V679" s="241"/>
      <c r="W679" s="241"/>
      <c r="X679" s="241"/>
      <c r="Y679" s="241"/>
      <c r="Z679" s="241"/>
    </row>
    <row r="680" spans="16:26" ht="10.199999999999999" customHeight="1">
      <c r="P680" s="241"/>
      <c r="Q680" s="241"/>
      <c r="R680" s="241"/>
      <c r="S680" s="241"/>
      <c r="T680" s="241"/>
      <c r="U680" s="241"/>
      <c r="V680" s="241"/>
      <c r="W680" s="241"/>
      <c r="X680" s="241"/>
      <c r="Y680" s="241"/>
      <c r="Z680" s="241"/>
    </row>
    <row r="681" spans="16:26" ht="10.199999999999999" customHeight="1">
      <c r="P681" s="241"/>
      <c r="Q681" s="241"/>
      <c r="R681" s="241"/>
      <c r="S681" s="241"/>
      <c r="T681" s="241"/>
      <c r="U681" s="241"/>
      <c r="V681" s="241"/>
      <c r="W681" s="241"/>
      <c r="X681" s="241"/>
      <c r="Y681" s="241"/>
      <c r="Z681" s="241"/>
    </row>
    <row r="682" spans="16:26" ht="10.199999999999999" customHeight="1">
      <c r="P682" s="241"/>
      <c r="Q682" s="241"/>
      <c r="R682" s="241"/>
      <c r="S682" s="241"/>
      <c r="T682" s="241"/>
      <c r="U682" s="241"/>
      <c r="V682" s="241"/>
      <c r="W682" s="241"/>
      <c r="X682" s="241"/>
      <c r="Y682" s="241"/>
      <c r="Z682" s="241"/>
    </row>
    <row r="683" spans="16:26" ht="10.199999999999999" customHeight="1">
      <c r="P683" s="241"/>
      <c r="Q683" s="241"/>
      <c r="R683" s="241"/>
      <c r="S683" s="241"/>
      <c r="T683" s="241"/>
      <c r="U683" s="241"/>
      <c r="V683" s="241"/>
      <c r="W683" s="241"/>
      <c r="X683" s="241"/>
      <c r="Y683" s="241"/>
      <c r="Z683" s="241"/>
    </row>
    <row r="684" spans="16:26" ht="10.199999999999999" customHeight="1">
      <c r="P684" s="241"/>
      <c r="Q684" s="241"/>
      <c r="R684" s="241"/>
      <c r="S684" s="241"/>
      <c r="T684" s="241"/>
      <c r="U684" s="241"/>
      <c r="V684" s="241"/>
      <c r="W684" s="241"/>
      <c r="X684" s="241"/>
      <c r="Y684" s="241"/>
      <c r="Z684" s="241"/>
    </row>
    <row r="685" spans="16:26" ht="10.199999999999999" customHeight="1">
      <c r="P685" s="241"/>
      <c r="Q685" s="241"/>
      <c r="R685" s="241"/>
      <c r="S685" s="241"/>
      <c r="T685" s="241"/>
      <c r="U685" s="241"/>
      <c r="V685" s="241"/>
      <c r="W685" s="241"/>
      <c r="X685" s="241"/>
      <c r="Y685" s="241"/>
      <c r="Z685" s="241"/>
    </row>
    <row r="686" spans="16:26" ht="10.199999999999999" customHeight="1">
      <c r="P686" s="241"/>
      <c r="Q686" s="241"/>
      <c r="R686" s="241"/>
      <c r="S686" s="241"/>
      <c r="T686" s="241"/>
      <c r="U686" s="241"/>
      <c r="V686" s="241"/>
      <c r="W686" s="241"/>
      <c r="X686" s="241"/>
      <c r="Y686" s="241"/>
      <c r="Z686" s="241"/>
    </row>
    <row r="687" spans="16:26" ht="10.199999999999999" customHeight="1">
      <c r="P687" s="241"/>
      <c r="Q687" s="241"/>
      <c r="R687" s="241"/>
      <c r="S687" s="241"/>
      <c r="T687" s="241"/>
      <c r="U687" s="241"/>
      <c r="V687" s="241"/>
      <c r="W687" s="241"/>
      <c r="X687" s="241"/>
      <c r="Y687" s="241"/>
      <c r="Z687" s="241"/>
    </row>
    <row r="688" spans="16:26" ht="10.199999999999999" customHeight="1">
      <c r="P688" s="241"/>
      <c r="Q688" s="241"/>
      <c r="R688" s="241"/>
      <c r="S688" s="241"/>
      <c r="T688" s="241"/>
      <c r="U688" s="241"/>
      <c r="V688" s="241"/>
      <c r="W688" s="241"/>
      <c r="X688" s="241"/>
      <c r="Y688" s="241"/>
      <c r="Z688" s="241"/>
    </row>
    <row r="689" spans="16:26" ht="10.199999999999999" customHeight="1">
      <c r="P689" s="241"/>
      <c r="Q689" s="241"/>
      <c r="R689" s="241"/>
      <c r="S689" s="241"/>
      <c r="T689" s="241"/>
      <c r="U689" s="241"/>
      <c r="V689" s="241"/>
      <c r="W689" s="241"/>
      <c r="X689" s="241"/>
      <c r="Y689" s="241"/>
      <c r="Z689" s="241"/>
    </row>
    <row r="690" spans="16:26" ht="10.199999999999999" customHeight="1">
      <c r="P690" s="241"/>
      <c r="Q690" s="241"/>
      <c r="R690" s="241"/>
      <c r="S690" s="241"/>
      <c r="T690" s="241"/>
      <c r="U690" s="241"/>
      <c r="V690" s="241"/>
      <c r="W690" s="241"/>
      <c r="X690" s="241"/>
      <c r="Y690" s="241"/>
      <c r="Z690" s="241"/>
    </row>
    <row r="691" spans="16:26" ht="10.199999999999999" customHeight="1">
      <c r="P691" s="241"/>
      <c r="Q691" s="241"/>
      <c r="R691" s="241"/>
      <c r="S691" s="241"/>
      <c r="T691" s="241"/>
      <c r="U691" s="241"/>
      <c r="V691" s="241"/>
      <c r="W691" s="241"/>
      <c r="X691" s="241"/>
      <c r="Y691" s="241"/>
      <c r="Z691" s="241"/>
    </row>
    <row r="692" spans="16:26" ht="10.199999999999999" customHeight="1">
      <c r="P692" s="241"/>
      <c r="Q692" s="241"/>
      <c r="R692" s="241"/>
      <c r="S692" s="241"/>
      <c r="T692" s="241"/>
      <c r="U692" s="241"/>
      <c r="V692" s="241"/>
      <c r="W692" s="241"/>
      <c r="X692" s="241"/>
      <c r="Y692" s="241"/>
      <c r="Z692" s="241"/>
    </row>
    <row r="693" spans="16:26" ht="10.199999999999999" customHeight="1">
      <c r="P693" s="241"/>
      <c r="Q693" s="241"/>
      <c r="R693" s="241"/>
      <c r="S693" s="241"/>
      <c r="T693" s="241"/>
      <c r="U693" s="241"/>
      <c r="V693" s="241"/>
      <c r="W693" s="241"/>
      <c r="X693" s="241"/>
      <c r="Y693" s="241"/>
      <c r="Z693" s="241"/>
    </row>
    <row r="694" spans="16:26" ht="10.199999999999999" customHeight="1">
      <c r="P694" s="241"/>
      <c r="Q694" s="241"/>
      <c r="R694" s="241"/>
      <c r="S694" s="241"/>
      <c r="T694" s="241"/>
      <c r="U694" s="241"/>
      <c r="V694" s="241"/>
      <c r="W694" s="241"/>
      <c r="X694" s="241"/>
      <c r="Y694" s="241"/>
      <c r="Z694" s="241"/>
    </row>
    <row r="695" spans="16:26" ht="10.199999999999999" customHeight="1">
      <c r="P695" s="241"/>
      <c r="Q695" s="241"/>
      <c r="R695" s="241"/>
      <c r="S695" s="241"/>
      <c r="T695" s="241"/>
      <c r="U695" s="241"/>
      <c r="V695" s="241"/>
      <c r="W695" s="241"/>
      <c r="X695" s="241"/>
      <c r="Y695" s="241"/>
      <c r="Z695" s="241"/>
    </row>
    <row r="696" spans="16:26" ht="10.199999999999999" customHeight="1">
      <c r="P696" s="241"/>
      <c r="Q696" s="241"/>
      <c r="R696" s="241"/>
      <c r="S696" s="241"/>
      <c r="T696" s="241"/>
      <c r="U696" s="241"/>
      <c r="V696" s="241"/>
      <c r="W696" s="241"/>
      <c r="X696" s="241"/>
      <c r="Y696" s="241"/>
      <c r="Z696" s="241"/>
    </row>
    <row r="697" spans="16:26" ht="10.199999999999999" customHeight="1">
      <c r="P697" s="241"/>
      <c r="Q697" s="241"/>
      <c r="R697" s="241"/>
      <c r="S697" s="241"/>
      <c r="T697" s="241"/>
      <c r="U697" s="241"/>
      <c r="V697" s="241"/>
      <c r="W697" s="241"/>
      <c r="X697" s="241"/>
      <c r="Y697" s="241"/>
      <c r="Z697" s="241"/>
    </row>
    <row r="698" spans="16:26" ht="10.199999999999999" customHeight="1">
      <c r="P698" s="241"/>
      <c r="Q698" s="241"/>
      <c r="R698" s="241"/>
      <c r="S698" s="241"/>
      <c r="T698" s="241"/>
      <c r="U698" s="241"/>
      <c r="V698" s="241"/>
      <c r="W698" s="241"/>
      <c r="X698" s="241"/>
      <c r="Y698" s="241"/>
      <c r="Z698" s="241"/>
    </row>
    <row r="699" spans="16:26" ht="10.199999999999999" customHeight="1">
      <c r="P699" s="241"/>
      <c r="Q699" s="241"/>
      <c r="R699" s="241"/>
      <c r="S699" s="241"/>
      <c r="T699" s="241"/>
      <c r="U699" s="241"/>
      <c r="V699" s="241"/>
      <c r="W699" s="241"/>
      <c r="X699" s="241"/>
      <c r="Y699" s="241"/>
      <c r="Z699" s="241"/>
    </row>
    <row r="700" spans="16:26" ht="10.199999999999999" customHeight="1">
      <c r="P700" s="241"/>
      <c r="Q700" s="241"/>
      <c r="R700" s="241"/>
      <c r="S700" s="241"/>
      <c r="T700" s="241"/>
      <c r="U700" s="241"/>
      <c r="V700" s="241"/>
      <c r="W700" s="241"/>
      <c r="X700" s="241"/>
      <c r="Y700" s="241"/>
      <c r="Z700" s="241"/>
    </row>
    <row r="701" spans="16:26" ht="10.199999999999999" customHeight="1">
      <c r="P701" s="241"/>
      <c r="Q701" s="241"/>
      <c r="R701" s="241"/>
      <c r="S701" s="241"/>
      <c r="T701" s="241"/>
      <c r="U701" s="241"/>
      <c r="V701" s="241"/>
      <c r="W701" s="241"/>
      <c r="X701" s="241"/>
      <c r="Y701" s="241"/>
      <c r="Z701" s="241"/>
    </row>
    <row r="702" spans="16:26" ht="10.199999999999999" customHeight="1">
      <c r="P702" s="241"/>
      <c r="Q702" s="241"/>
      <c r="R702" s="241"/>
      <c r="S702" s="241"/>
      <c r="T702" s="241"/>
      <c r="U702" s="241"/>
      <c r="V702" s="241"/>
      <c r="W702" s="241"/>
      <c r="X702" s="241"/>
      <c r="Y702" s="241"/>
      <c r="Z702" s="241"/>
    </row>
    <row r="703" spans="16:26" ht="10.199999999999999" customHeight="1">
      <c r="P703" s="241"/>
      <c r="Q703" s="241"/>
      <c r="R703" s="241"/>
      <c r="S703" s="241"/>
      <c r="T703" s="241"/>
      <c r="U703" s="241"/>
      <c r="V703" s="241"/>
      <c r="W703" s="241"/>
      <c r="X703" s="241"/>
      <c r="Y703" s="241"/>
      <c r="Z703" s="241"/>
    </row>
    <row r="704" spans="16:26" ht="10.199999999999999" customHeight="1">
      <c r="P704" s="241"/>
      <c r="Q704" s="241"/>
      <c r="R704" s="241"/>
      <c r="S704" s="241"/>
      <c r="T704" s="241"/>
      <c r="U704" s="241"/>
      <c r="V704" s="241"/>
      <c r="W704" s="241"/>
      <c r="X704" s="241"/>
      <c r="Y704" s="241"/>
      <c r="Z704" s="241"/>
    </row>
    <row r="705" spans="16:26" ht="10.199999999999999" customHeight="1">
      <c r="P705" s="241"/>
      <c r="Q705" s="241"/>
      <c r="R705" s="241"/>
      <c r="S705" s="241"/>
      <c r="T705" s="241"/>
      <c r="U705" s="241"/>
      <c r="V705" s="241"/>
      <c r="W705" s="241"/>
      <c r="X705" s="241"/>
      <c r="Y705" s="241"/>
      <c r="Z705" s="241"/>
    </row>
    <row r="706" spans="16:26" ht="10.199999999999999" customHeight="1">
      <c r="P706" s="241"/>
      <c r="Q706" s="241"/>
      <c r="R706" s="241"/>
      <c r="S706" s="241"/>
      <c r="T706" s="241"/>
      <c r="U706" s="241"/>
      <c r="V706" s="241"/>
      <c r="W706" s="241"/>
      <c r="X706" s="241"/>
      <c r="Y706" s="241"/>
      <c r="Z706" s="241"/>
    </row>
    <row r="707" spans="16:26" ht="10.199999999999999" customHeight="1">
      <c r="P707" s="241"/>
      <c r="Q707" s="241"/>
      <c r="R707" s="241"/>
      <c r="S707" s="241"/>
      <c r="T707" s="241"/>
      <c r="U707" s="241"/>
      <c r="V707" s="241"/>
      <c r="W707" s="241"/>
      <c r="X707" s="241"/>
      <c r="Y707" s="241"/>
      <c r="Z707" s="241"/>
    </row>
    <row r="708" spans="16:26" ht="10.199999999999999" customHeight="1">
      <c r="P708" s="241"/>
      <c r="Q708" s="241"/>
      <c r="R708" s="241"/>
      <c r="S708" s="241"/>
      <c r="T708" s="241"/>
      <c r="U708" s="241"/>
      <c r="V708" s="241"/>
      <c r="W708" s="241"/>
      <c r="X708" s="241"/>
      <c r="Y708" s="241"/>
      <c r="Z708" s="241"/>
    </row>
    <row r="709" spans="16:26" ht="10.199999999999999" customHeight="1">
      <c r="P709" s="241"/>
      <c r="Q709" s="241"/>
      <c r="R709" s="241"/>
      <c r="S709" s="241"/>
      <c r="T709" s="241"/>
      <c r="U709" s="241"/>
      <c r="V709" s="241"/>
      <c r="W709" s="241"/>
      <c r="X709" s="241"/>
      <c r="Y709" s="241"/>
      <c r="Z709" s="241"/>
    </row>
    <row r="710" spans="16:26" ht="10.199999999999999" customHeight="1">
      <c r="P710" s="241"/>
      <c r="Q710" s="241"/>
      <c r="R710" s="241"/>
      <c r="S710" s="241"/>
      <c r="T710" s="241"/>
      <c r="U710" s="241"/>
      <c r="V710" s="241"/>
      <c r="W710" s="241"/>
      <c r="X710" s="241"/>
      <c r="Y710" s="241"/>
      <c r="Z710" s="241"/>
    </row>
    <row r="711" spans="16:26" ht="10.199999999999999" customHeight="1">
      <c r="P711" s="241"/>
      <c r="Q711" s="241"/>
      <c r="R711" s="241"/>
      <c r="S711" s="241"/>
      <c r="T711" s="241"/>
      <c r="U711" s="241"/>
      <c r="V711" s="241"/>
      <c r="W711" s="241"/>
      <c r="X711" s="241"/>
      <c r="Y711" s="241"/>
      <c r="Z711" s="241"/>
    </row>
    <row r="712" spans="16:26" ht="10.199999999999999" customHeight="1">
      <c r="P712" s="241"/>
      <c r="Q712" s="241"/>
      <c r="R712" s="241"/>
      <c r="S712" s="241"/>
      <c r="T712" s="241"/>
      <c r="U712" s="241"/>
      <c r="V712" s="241"/>
      <c r="W712" s="241"/>
      <c r="X712" s="241"/>
      <c r="Y712" s="241"/>
      <c r="Z712" s="241"/>
    </row>
    <row r="713" spans="16:26" ht="10.199999999999999" customHeight="1">
      <c r="P713" s="241"/>
      <c r="Q713" s="241"/>
      <c r="R713" s="241"/>
      <c r="S713" s="241"/>
      <c r="T713" s="241"/>
      <c r="U713" s="241"/>
      <c r="V713" s="241"/>
      <c r="W713" s="241"/>
      <c r="X713" s="241"/>
      <c r="Y713" s="241"/>
      <c r="Z713" s="241"/>
    </row>
    <row r="714" spans="16:26" ht="10.199999999999999" customHeight="1">
      <c r="P714" s="241"/>
      <c r="Q714" s="241"/>
      <c r="R714" s="241"/>
      <c r="S714" s="241"/>
      <c r="T714" s="241"/>
      <c r="U714" s="241"/>
      <c r="V714" s="241"/>
      <c r="W714" s="241"/>
      <c r="X714" s="241"/>
      <c r="Y714" s="241"/>
      <c r="Z714" s="241"/>
    </row>
    <row r="715" spans="16:26" ht="10.199999999999999" customHeight="1">
      <c r="P715" s="241"/>
      <c r="Q715" s="241"/>
      <c r="R715" s="241"/>
      <c r="S715" s="241"/>
      <c r="T715" s="241"/>
      <c r="U715" s="241"/>
      <c r="V715" s="241"/>
      <c r="W715" s="241"/>
      <c r="X715" s="241"/>
      <c r="Y715" s="241"/>
      <c r="Z715" s="241"/>
    </row>
    <row r="716" spans="16:26" ht="10.199999999999999" customHeight="1">
      <c r="P716" s="241"/>
      <c r="Q716" s="241"/>
      <c r="R716" s="241"/>
      <c r="S716" s="241"/>
      <c r="T716" s="241"/>
      <c r="U716" s="241"/>
      <c r="V716" s="241"/>
      <c r="W716" s="241"/>
      <c r="X716" s="241"/>
      <c r="Y716" s="241"/>
      <c r="Z716" s="241"/>
    </row>
    <row r="717" spans="16:26" ht="10.199999999999999" customHeight="1">
      <c r="P717" s="241"/>
      <c r="Q717" s="241"/>
      <c r="R717" s="241"/>
      <c r="S717" s="241"/>
      <c r="T717" s="241"/>
      <c r="U717" s="241"/>
      <c r="V717" s="241"/>
      <c r="W717" s="241"/>
      <c r="X717" s="241"/>
      <c r="Y717" s="241"/>
      <c r="Z717" s="241"/>
    </row>
    <row r="718" spans="16:26" ht="10.199999999999999" customHeight="1">
      <c r="P718" s="241"/>
      <c r="Q718" s="241"/>
      <c r="R718" s="241"/>
      <c r="S718" s="241"/>
      <c r="T718" s="241"/>
      <c r="U718" s="241"/>
      <c r="V718" s="241"/>
      <c r="W718" s="241"/>
      <c r="X718" s="241"/>
      <c r="Y718" s="241"/>
      <c r="Z718" s="241"/>
    </row>
    <row r="719" spans="16:26" ht="10.199999999999999" customHeight="1">
      <c r="P719" s="241"/>
      <c r="Q719" s="241"/>
      <c r="R719" s="241"/>
      <c r="S719" s="241"/>
      <c r="T719" s="241"/>
      <c r="U719" s="241"/>
      <c r="V719" s="241"/>
      <c r="W719" s="241"/>
      <c r="X719" s="241"/>
      <c r="Y719" s="241"/>
      <c r="Z719" s="241"/>
    </row>
    <row r="720" spans="16:26" ht="10.199999999999999" customHeight="1">
      <c r="P720" s="241"/>
      <c r="Q720" s="241"/>
      <c r="R720" s="241"/>
      <c r="S720" s="241"/>
      <c r="T720" s="241"/>
      <c r="U720" s="241"/>
      <c r="V720" s="241"/>
      <c r="W720" s="241"/>
      <c r="X720" s="241"/>
      <c r="Y720" s="241"/>
      <c r="Z720" s="241"/>
    </row>
    <row r="721" spans="16:26" ht="10.199999999999999" customHeight="1">
      <c r="P721" s="241"/>
      <c r="Q721" s="241"/>
      <c r="R721" s="241"/>
      <c r="S721" s="241"/>
      <c r="T721" s="241"/>
      <c r="U721" s="241"/>
      <c r="V721" s="241"/>
      <c r="W721" s="241"/>
      <c r="X721" s="241"/>
      <c r="Y721" s="241"/>
      <c r="Z721" s="241"/>
    </row>
    <row r="722" spans="16:26" ht="10.199999999999999" customHeight="1">
      <c r="P722" s="241"/>
      <c r="Q722" s="241"/>
      <c r="R722" s="241"/>
      <c r="S722" s="241"/>
      <c r="T722" s="241"/>
      <c r="U722" s="241"/>
      <c r="V722" s="241"/>
      <c r="W722" s="241"/>
      <c r="X722" s="241"/>
      <c r="Y722" s="241"/>
      <c r="Z722" s="241"/>
    </row>
    <row r="723" spans="16:26" ht="10.199999999999999" customHeight="1">
      <c r="P723" s="241"/>
      <c r="Q723" s="241"/>
      <c r="R723" s="241"/>
      <c r="S723" s="241"/>
      <c r="T723" s="241"/>
      <c r="U723" s="241"/>
      <c r="V723" s="241"/>
      <c r="W723" s="241"/>
      <c r="X723" s="241"/>
      <c r="Y723" s="241"/>
      <c r="Z723" s="241"/>
    </row>
    <row r="724" spans="16:26" ht="10.199999999999999" customHeight="1">
      <c r="P724" s="241"/>
      <c r="Q724" s="241"/>
      <c r="R724" s="241"/>
      <c r="S724" s="241"/>
      <c r="T724" s="241"/>
      <c r="U724" s="241"/>
      <c r="V724" s="241"/>
      <c r="W724" s="241"/>
      <c r="X724" s="241"/>
      <c r="Y724" s="241"/>
      <c r="Z724" s="241"/>
    </row>
    <row r="725" spans="16:26" ht="10.199999999999999" customHeight="1">
      <c r="P725" s="241"/>
      <c r="Q725" s="241"/>
      <c r="R725" s="241"/>
      <c r="S725" s="241"/>
      <c r="T725" s="241"/>
      <c r="U725" s="241"/>
      <c r="V725" s="241"/>
      <c r="W725" s="241"/>
      <c r="X725" s="241"/>
      <c r="Y725" s="241"/>
      <c r="Z725" s="241"/>
    </row>
    <row r="726" spans="16:26" ht="10.199999999999999" customHeight="1">
      <c r="P726" s="241"/>
      <c r="Q726" s="241"/>
      <c r="R726" s="241"/>
      <c r="S726" s="241"/>
      <c r="T726" s="241"/>
      <c r="U726" s="241"/>
      <c r="V726" s="241"/>
      <c r="W726" s="241"/>
      <c r="X726" s="241"/>
      <c r="Y726" s="241"/>
      <c r="Z726" s="241"/>
    </row>
    <row r="727" spans="16:26" ht="10.199999999999999" customHeight="1">
      <c r="P727" s="241"/>
      <c r="Q727" s="241"/>
      <c r="R727" s="241"/>
      <c r="S727" s="241"/>
      <c r="T727" s="241"/>
      <c r="U727" s="241"/>
      <c r="V727" s="241"/>
      <c r="W727" s="241"/>
      <c r="X727" s="241"/>
      <c r="Y727" s="241"/>
      <c r="Z727" s="241"/>
    </row>
    <row r="728" spans="16:26" ht="10.199999999999999" customHeight="1">
      <c r="P728" s="241"/>
      <c r="Q728" s="241"/>
      <c r="R728" s="241"/>
      <c r="S728" s="241"/>
      <c r="T728" s="241"/>
      <c r="U728" s="241"/>
      <c r="V728" s="241"/>
      <c r="W728" s="241"/>
      <c r="X728" s="241"/>
      <c r="Y728" s="241"/>
      <c r="Z728" s="241"/>
    </row>
    <row r="729" spans="16:26" ht="10.199999999999999" customHeight="1">
      <c r="P729" s="241"/>
      <c r="Q729" s="241"/>
      <c r="R729" s="241"/>
      <c r="S729" s="241"/>
      <c r="T729" s="241"/>
      <c r="U729" s="241"/>
      <c r="V729" s="241"/>
      <c r="W729" s="241"/>
      <c r="X729" s="241"/>
      <c r="Y729" s="241"/>
      <c r="Z729" s="241"/>
    </row>
    <row r="730" spans="16:26" ht="10.199999999999999" customHeight="1">
      <c r="P730" s="241"/>
      <c r="Q730" s="241"/>
      <c r="R730" s="241"/>
      <c r="S730" s="241"/>
      <c r="T730" s="241"/>
      <c r="U730" s="241"/>
      <c r="V730" s="241"/>
      <c r="W730" s="241"/>
      <c r="X730" s="241"/>
      <c r="Y730" s="241"/>
      <c r="Z730" s="241"/>
    </row>
    <row r="731" spans="16:26" ht="10.199999999999999" customHeight="1">
      <c r="P731" s="241"/>
      <c r="Q731" s="241"/>
      <c r="R731" s="241"/>
      <c r="S731" s="241"/>
      <c r="T731" s="241"/>
      <c r="U731" s="241"/>
      <c r="V731" s="241"/>
      <c r="W731" s="241"/>
      <c r="X731" s="241"/>
      <c r="Y731" s="241"/>
      <c r="Z731" s="241"/>
    </row>
    <row r="732" spans="16:26" ht="10.199999999999999" customHeight="1">
      <c r="P732" s="241"/>
      <c r="Q732" s="241"/>
      <c r="R732" s="241"/>
      <c r="S732" s="241"/>
      <c r="T732" s="241"/>
      <c r="U732" s="241"/>
      <c r="V732" s="241"/>
      <c r="W732" s="241"/>
      <c r="X732" s="241"/>
      <c r="Y732" s="241"/>
      <c r="Z732" s="241"/>
    </row>
    <row r="733" spans="16:26" ht="10.199999999999999" customHeight="1">
      <c r="P733" s="241"/>
      <c r="Q733" s="241"/>
      <c r="R733" s="241"/>
      <c r="S733" s="241"/>
      <c r="T733" s="241"/>
      <c r="U733" s="241"/>
      <c r="V733" s="241"/>
      <c r="W733" s="241"/>
      <c r="X733" s="241"/>
      <c r="Y733" s="241"/>
      <c r="Z733" s="241"/>
    </row>
    <row r="734" spans="16:26" ht="10.199999999999999" customHeight="1">
      <c r="P734" s="241"/>
      <c r="Q734" s="241"/>
      <c r="R734" s="241"/>
      <c r="S734" s="241"/>
      <c r="T734" s="241"/>
      <c r="U734" s="241"/>
      <c r="V734" s="241"/>
      <c r="W734" s="241"/>
      <c r="X734" s="241"/>
      <c r="Y734" s="241"/>
      <c r="Z734" s="241"/>
    </row>
    <row r="735" spans="16:26" ht="10.199999999999999" customHeight="1">
      <c r="P735" s="241"/>
      <c r="Q735" s="241"/>
      <c r="R735" s="241"/>
      <c r="S735" s="241"/>
      <c r="T735" s="241"/>
      <c r="U735" s="241"/>
      <c r="V735" s="241"/>
      <c r="W735" s="241"/>
      <c r="X735" s="241"/>
      <c r="Y735" s="241"/>
      <c r="Z735" s="241"/>
    </row>
    <row r="736" spans="16:26" ht="10.199999999999999" customHeight="1">
      <c r="P736" s="241"/>
      <c r="Q736" s="241"/>
      <c r="R736" s="241"/>
      <c r="S736" s="241"/>
      <c r="T736" s="241"/>
      <c r="U736" s="241"/>
      <c r="V736" s="241"/>
      <c r="W736" s="241"/>
      <c r="X736" s="241"/>
      <c r="Y736" s="241"/>
      <c r="Z736" s="241"/>
    </row>
    <row r="737" spans="16:26" ht="10.199999999999999" customHeight="1">
      <c r="P737" s="241"/>
      <c r="Q737" s="241"/>
      <c r="R737" s="241"/>
      <c r="S737" s="241"/>
      <c r="T737" s="241"/>
      <c r="U737" s="241"/>
      <c r="V737" s="241"/>
      <c r="W737" s="241"/>
      <c r="X737" s="241"/>
      <c r="Y737" s="241"/>
      <c r="Z737" s="241"/>
    </row>
    <row r="738" spans="16:26" ht="10.199999999999999" customHeight="1">
      <c r="P738" s="241"/>
      <c r="Q738" s="241"/>
      <c r="R738" s="241"/>
      <c r="S738" s="241"/>
      <c r="T738" s="241"/>
      <c r="U738" s="241"/>
      <c r="V738" s="241"/>
      <c r="W738" s="241"/>
      <c r="X738" s="241"/>
      <c r="Y738" s="241"/>
      <c r="Z738" s="241"/>
    </row>
    <row r="739" spans="16:26" ht="10.199999999999999" customHeight="1">
      <c r="P739" s="241"/>
      <c r="Q739" s="241"/>
      <c r="R739" s="241"/>
      <c r="S739" s="241"/>
      <c r="T739" s="241"/>
      <c r="U739" s="241"/>
      <c r="V739" s="241"/>
      <c r="W739" s="241"/>
      <c r="X739" s="241"/>
      <c r="Y739" s="241"/>
      <c r="Z739" s="241"/>
    </row>
    <row r="740" spans="16:26" ht="10.199999999999999" customHeight="1">
      <c r="P740" s="241"/>
      <c r="Q740" s="241"/>
      <c r="R740" s="241"/>
      <c r="S740" s="241"/>
      <c r="T740" s="241"/>
      <c r="U740" s="241"/>
      <c r="V740" s="241"/>
      <c r="W740" s="241"/>
      <c r="X740" s="241"/>
      <c r="Y740" s="241"/>
      <c r="Z740" s="241"/>
    </row>
    <row r="741" spans="16:26" ht="10.199999999999999" customHeight="1">
      <c r="P741" s="241"/>
      <c r="Q741" s="241"/>
      <c r="R741" s="241"/>
      <c r="S741" s="241"/>
      <c r="T741" s="241"/>
      <c r="U741" s="241"/>
      <c r="V741" s="241"/>
      <c r="W741" s="241"/>
      <c r="X741" s="241"/>
      <c r="Y741" s="241"/>
      <c r="Z741" s="241"/>
    </row>
    <row r="742" spans="16:26" ht="10.199999999999999" customHeight="1">
      <c r="P742" s="241"/>
      <c r="Q742" s="241"/>
      <c r="R742" s="241"/>
      <c r="S742" s="241"/>
      <c r="T742" s="241"/>
      <c r="U742" s="241"/>
      <c r="V742" s="241"/>
      <c r="W742" s="241"/>
      <c r="X742" s="241"/>
      <c r="Y742" s="241"/>
      <c r="Z742" s="241"/>
    </row>
    <row r="743" spans="16:26" ht="10.199999999999999" customHeight="1">
      <c r="P743" s="241"/>
      <c r="Q743" s="241"/>
      <c r="R743" s="241"/>
      <c r="S743" s="241"/>
      <c r="T743" s="241"/>
      <c r="U743" s="241"/>
      <c r="V743" s="241"/>
      <c r="W743" s="241"/>
      <c r="X743" s="241"/>
      <c r="Y743" s="241"/>
      <c r="Z743" s="241"/>
    </row>
    <row r="744" spans="16:26" ht="10.199999999999999" customHeight="1">
      <c r="P744" s="241"/>
      <c r="Q744" s="241"/>
      <c r="R744" s="241"/>
      <c r="S744" s="241"/>
      <c r="T744" s="241"/>
      <c r="U744" s="241"/>
      <c r="V744" s="241"/>
      <c r="W744" s="241"/>
      <c r="X744" s="241"/>
      <c r="Y744" s="241"/>
      <c r="Z744" s="241"/>
    </row>
    <row r="745" spans="16:26" ht="10.199999999999999" customHeight="1">
      <c r="P745" s="241"/>
      <c r="Q745" s="241"/>
      <c r="R745" s="241"/>
      <c r="S745" s="241"/>
      <c r="T745" s="241"/>
      <c r="U745" s="241"/>
      <c r="V745" s="241"/>
      <c r="W745" s="241"/>
      <c r="X745" s="241"/>
      <c r="Y745" s="241"/>
      <c r="Z745" s="241"/>
    </row>
    <row r="746" spans="16:26" ht="10.199999999999999" customHeight="1">
      <c r="P746" s="241"/>
      <c r="Q746" s="241"/>
      <c r="R746" s="241"/>
      <c r="S746" s="241"/>
      <c r="T746" s="241"/>
      <c r="U746" s="241"/>
      <c r="V746" s="241"/>
      <c r="W746" s="241"/>
      <c r="X746" s="241"/>
      <c r="Y746" s="241"/>
      <c r="Z746" s="241"/>
    </row>
    <row r="747" spans="16:26" ht="10.199999999999999" customHeight="1">
      <c r="P747" s="241"/>
      <c r="Q747" s="241"/>
      <c r="R747" s="241"/>
      <c r="S747" s="241"/>
      <c r="T747" s="241"/>
      <c r="U747" s="241"/>
      <c r="V747" s="241"/>
      <c r="W747" s="241"/>
      <c r="X747" s="241"/>
      <c r="Y747" s="241"/>
      <c r="Z747" s="241"/>
    </row>
    <row r="748" spans="16:26" ht="10.199999999999999" customHeight="1">
      <c r="P748" s="241"/>
      <c r="Q748" s="241"/>
      <c r="R748" s="241"/>
      <c r="S748" s="241"/>
      <c r="T748" s="241"/>
      <c r="U748" s="241"/>
      <c r="V748" s="241"/>
      <c r="W748" s="241"/>
      <c r="X748" s="241"/>
      <c r="Y748" s="241"/>
      <c r="Z748" s="241"/>
    </row>
    <row r="749" spans="16:26" ht="10.199999999999999" customHeight="1">
      <c r="P749" s="241"/>
      <c r="Q749" s="241"/>
      <c r="R749" s="241"/>
      <c r="S749" s="241"/>
      <c r="T749" s="241"/>
      <c r="U749" s="241"/>
      <c r="V749" s="241"/>
      <c r="W749" s="241"/>
      <c r="X749" s="241"/>
      <c r="Y749" s="241"/>
      <c r="Z749" s="241"/>
    </row>
    <row r="750" spans="16:26" ht="10.199999999999999" customHeight="1">
      <c r="P750" s="241"/>
      <c r="Q750" s="241"/>
      <c r="R750" s="241"/>
      <c r="S750" s="241"/>
      <c r="T750" s="241"/>
      <c r="U750" s="241"/>
      <c r="V750" s="241"/>
      <c r="W750" s="241"/>
      <c r="X750" s="241"/>
      <c r="Y750" s="241"/>
      <c r="Z750" s="241"/>
    </row>
    <row r="751" spans="16:26" ht="10.199999999999999" customHeight="1">
      <c r="P751" s="241"/>
      <c r="Q751" s="241"/>
      <c r="R751" s="241"/>
      <c r="S751" s="241"/>
      <c r="T751" s="241"/>
      <c r="U751" s="241"/>
      <c r="V751" s="241"/>
      <c r="W751" s="241"/>
      <c r="X751" s="241"/>
      <c r="Y751" s="241"/>
      <c r="Z751" s="241"/>
    </row>
    <row r="752" spans="16:26" ht="10.199999999999999" customHeight="1">
      <c r="P752" s="241"/>
      <c r="Q752" s="241"/>
      <c r="R752" s="241"/>
      <c r="S752" s="241"/>
      <c r="T752" s="241"/>
      <c r="U752" s="241"/>
      <c r="V752" s="241"/>
      <c r="W752" s="241"/>
      <c r="X752" s="241"/>
      <c r="Y752" s="241"/>
      <c r="Z752" s="241"/>
    </row>
    <row r="753" spans="16:26" ht="10.199999999999999" customHeight="1">
      <c r="P753" s="241"/>
      <c r="Q753" s="241"/>
      <c r="R753" s="241"/>
      <c r="S753" s="241"/>
      <c r="T753" s="241"/>
      <c r="U753" s="241"/>
      <c r="V753" s="241"/>
      <c r="W753" s="241"/>
      <c r="X753" s="241"/>
      <c r="Y753" s="241"/>
      <c r="Z753" s="241"/>
    </row>
    <row r="754" spans="16:26" ht="10.199999999999999" customHeight="1">
      <c r="P754" s="241"/>
      <c r="Q754" s="241"/>
      <c r="R754" s="241"/>
      <c r="S754" s="241"/>
      <c r="T754" s="241"/>
      <c r="U754" s="241"/>
      <c r="V754" s="241"/>
      <c r="W754" s="241"/>
      <c r="X754" s="241"/>
      <c r="Y754" s="241"/>
      <c r="Z754" s="241"/>
    </row>
    <row r="755" spans="16:26" ht="10.199999999999999" customHeight="1">
      <c r="P755" s="241"/>
      <c r="Q755" s="241"/>
      <c r="R755" s="241"/>
      <c r="S755" s="241"/>
      <c r="T755" s="241"/>
      <c r="U755" s="241"/>
      <c r="V755" s="241"/>
      <c r="W755" s="241"/>
      <c r="X755" s="241"/>
      <c r="Y755" s="241"/>
      <c r="Z755" s="241"/>
    </row>
    <row r="756" spans="16:26" ht="10.199999999999999" customHeight="1">
      <c r="P756" s="241"/>
      <c r="Q756" s="241"/>
      <c r="R756" s="241"/>
      <c r="S756" s="241"/>
      <c r="T756" s="241"/>
      <c r="U756" s="241"/>
      <c r="V756" s="241"/>
      <c r="W756" s="241"/>
      <c r="X756" s="241"/>
      <c r="Y756" s="241"/>
      <c r="Z756" s="241"/>
    </row>
    <row r="757" spans="16:26" ht="10.199999999999999" customHeight="1">
      <c r="P757" s="241"/>
      <c r="Q757" s="241"/>
      <c r="R757" s="241"/>
      <c r="S757" s="241"/>
      <c r="T757" s="241"/>
      <c r="U757" s="241"/>
      <c r="V757" s="241"/>
      <c r="W757" s="241"/>
      <c r="X757" s="241"/>
      <c r="Y757" s="241"/>
      <c r="Z757" s="241"/>
    </row>
    <row r="758" spans="16:26" ht="10.199999999999999" customHeight="1">
      <c r="P758" s="241"/>
      <c r="Q758" s="241"/>
      <c r="R758" s="241"/>
      <c r="S758" s="241"/>
      <c r="T758" s="241"/>
      <c r="U758" s="241"/>
      <c r="V758" s="241"/>
      <c r="W758" s="241"/>
      <c r="X758" s="241"/>
      <c r="Y758" s="241"/>
      <c r="Z758" s="241"/>
    </row>
    <row r="759" spans="16:26" ht="10.199999999999999" customHeight="1">
      <c r="P759" s="241"/>
      <c r="Q759" s="241"/>
      <c r="R759" s="241"/>
      <c r="S759" s="241"/>
      <c r="T759" s="241"/>
      <c r="U759" s="241"/>
      <c r="V759" s="241"/>
      <c r="W759" s="241"/>
      <c r="X759" s="241"/>
      <c r="Y759" s="241"/>
      <c r="Z759" s="241"/>
    </row>
    <row r="760" spans="16:26" ht="10.199999999999999" customHeight="1">
      <c r="P760" s="241"/>
      <c r="Q760" s="241"/>
      <c r="R760" s="241"/>
      <c r="S760" s="241"/>
      <c r="T760" s="241"/>
      <c r="U760" s="241"/>
      <c r="V760" s="241"/>
      <c r="W760" s="241"/>
      <c r="X760" s="241"/>
      <c r="Y760" s="241"/>
      <c r="Z760" s="241"/>
    </row>
    <row r="761" spans="16:26" ht="10.199999999999999" customHeight="1">
      <c r="P761" s="241"/>
      <c r="Q761" s="241"/>
      <c r="R761" s="241"/>
      <c r="S761" s="241"/>
      <c r="T761" s="241"/>
      <c r="U761" s="241"/>
      <c r="V761" s="241"/>
      <c r="W761" s="241"/>
      <c r="X761" s="241"/>
      <c r="Y761" s="241"/>
      <c r="Z761" s="241"/>
    </row>
    <row r="762" spans="16:26" ht="10.199999999999999" customHeight="1">
      <c r="P762" s="241"/>
      <c r="Q762" s="241"/>
      <c r="R762" s="241"/>
      <c r="S762" s="241"/>
      <c r="T762" s="241"/>
      <c r="U762" s="241"/>
      <c r="V762" s="241"/>
      <c r="W762" s="241"/>
      <c r="X762" s="241"/>
      <c r="Y762" s="241"/>
      <c r="Z762" s="241"/>
    </row>
    <row r="763" spans="16:26" ht="10.199999999999999" customHeight="1">
      <c r="P763" s="241"/>
      <c r="Q763" s="241"/>
      <c r="R763" s="241"/>
      <c r="S763" s="241"/>
      <c r="T763" s="241"/>
      <c r="U763" s="241"/>
      <c r="V763" s="241"/>
      <c r="W763" s="241"/>
      <c r="X763" s="241"/>
      <c r="Y763" s="241"/>
      <c r="Z763" s="241"/>
    </row>
    <row r="764" spans="16:26" ht="10.199999999999999" customHeight="1">
      <c r="P764" s="241"/>
      <c r="Q764" s="241"/>
      <c r="R764" s="241"/>
      <c r="S764" s="241"/>
      <c r="T764" s="241"/>
      <c r="U764" s="241"/>
      <c r="V764" s="241"/>
      <c r="W764" s="241"/>
      <c r="X764" s="241"/>
      <c r="Y764" s="241"/>
      <c r="Z764" s="241"/>
    </row>
    <row r="765" spans="16:26" ht="10.199999999999999" customHeight="1">
      <c r="P765" s="241"/>
      <c r="Q765" s="241"/>
      <c r="R765" s="241"/>
      <c r="S765" s="241"/>
      <c r="T765" s="241"/>
      <c r="U765" s="241"/>
      <c r="V765" s="241"/>
      <c r="W765" s="241"/>
      <c r="X765" s="241"/>
      <c r="Y765" s="241"/>
      <c r="Z765" s="241"/>
    </row>
    <row r="766" spans="16:26" ht="10.199999999999999" customHeight="1">
      <c r="P766" s="241"/>
      <c r="Q766" s="241"/>
      <c r="R766" s="241"/>
      <c r="S766" s="241"/>
      <c r="T766" s="241"/>
      <c r="U766" s="241"/>
      <c r="V766" s="241"/>
      <c r="W766" s="241"/>
      <c r="X766" s="241"/>
      <c r="Y766" s="241"/>
      <c r="Z766" s="241"/>
    </row>
    <row r="767" spans="16:26" ht="10.199999999999999" customHeight="1">
      <c r="P767" s="241"/>
      <c r="Q767" s="241"/>
      <c r="R767" s="241"/>
      <c r="S767" s="241"/>
      <c r="T767" s="241"/>
      <c r="U767" s="241"/>
      <c r="V767" s="241"/>
      <c r="W767" s="241"/>
      <c r="X767" s="241"/>
      <c r="Y767" s="241"/>
      <c r="Z767" s="241"/>
    </row>
    <row r="768" spans="16:26" ht="10.199999999999999" customHeight="1">
      <c r="P768" s="241"/>
      <c r="Q768" s="241"/>
      <c r="R768" s="241"/>
      <c r="S768" s="241"/>
      <c r="T768" s="241"/>
      <c r="U768" s="241"/>
      <c r="V768" s="241"/>
      <c r="W768" s="241"/>
      <c r="X768" s="241"/>
      <c r="Y768" s="241"/>
      <c r="Z768" s="241"/>
    </row>
    <row r="769" spans="16:26" ht="10.199999999999999" customHeight="1">
      <c r="P769" s="241"/>
      <c r="Q769" s="241"/>
      <c r="R769" s="241"/>
      <c r="S769" s="241"/>
      <c r="T769" s="241"/>
      <c r="U769" s="241"/>
      <c r="V769" s="241"/>
      <c r="W769" s="241"/>
      <c r="X769" s="241"/>
      <c r="Y769" s="241"/>
      <c r="Z769" s="241"/>
    </row>
    <row r="770" spans="16:26" ht="10.199999999999999" customHeight="1">
      <c r="P770" s="241"/>
      <c r="Q770" s="241"/>
      <c r="R770" s="241"/>
      <c r="S770" s="241"/>
      <c r="T770" s="241"/>
      <c r="U770" s="241"/>
      <c r="V770" s="241"/>
      <c r="W770" s="241"/>
      <c r="X770" s="241"/>
      <c r="Y770" s="241"/>
      <c r="Z770" s="241"/>
    </row>
    <row r="771" spans="16:26" ht="10.199999999999999" customHeight="1">
      <c r="P771" s="241"/>
      <c r="Q771" s="241"/>
      <c r="R771" s="241"/>
      <c r="S771" s="241"/>
      <c r="T771" s="241"/>
      <c r="U771" s="241"/>
      <c r="V771" s="241"/>
      <c r="W771" s="241"/>
      <c r="X771" s="241"/>
      <c r="Y771" s="241"/>
      <c r="Z771" s="241"/>
    </row>
    <row r="772" spans="16:26" ht="10.199999999999999" customHeight="1">
      <c r="P772" s="241"/>
      <c r="Q772" s="241"/>
      <c r="R772" s="241"/>
      <c r="S772" s="241"/>
      <c r="T772" s="241"/>
      <c r="U772" s="241"/>
      <c r="V772" s="241"/>
      <c r="W772" s="241"/>
      <c r="X772" s="241"/>
      <c r="Y772" s="241"/>
      <c r="Z772" s="241"/>
    </row>
    <row r="773" spans="16:26" ht="10.199999999999999" customHeight="1">
      <c r="P773" s="241"/>
      <c r="Q773" s="241"/>
      <c r="R773" s="241"/>
      <c r="S773" s="241"/>
      <c r="T773" s="241"/>
      <c r="U773" s="241"/>
      <c r="V773" s="241"/>
      <c r="W773" s="241"/>
      <c r="X773" s="241"/>
      <c r="Y773" s="241"/>
      <c r="Z773" s="241"/>
    </row>
    <row r="774" spans="16:26" ht="10.199999999999999" customHeight="1">
      <c r="P774" s="241"/>
      <c r="Q774" s="241"/>
      <c r="R774" s="241"/>
      <c r="S774" s="241"/>
      <c r="T774" s="241"/>
      <c r="U774" s="241"/>
      <c r="V774" s="241"/>
      <c r="W774" s="241"/>
      <c r="X774" s="241"/>
      <c r="Y774" s="241"/>
      <c r="Z774" s="241"/>
    </row>
    <row r="775" spans="16:26" ht="10.199999999999999" customHeight="1">
      <c r="P775" s="241"/>
      <c r="Q775" s="241"/>
      <c r="R775" s="241"/>
      <c r="S775" s="241"/>
      <c r="T775" s="241"/>
      <c r="U775" s="241"/>
      <c r="V775" s="241"/>
      <c r="W775" s="241"/>
      <c r="X775" s="241"/>
      <c r="Y775" s="241"/>
      <c r="Z775" s="241"/>
    </row>
    <row r="776" spans="16:26" ht="10.199999999999999" customHeight="1">
      <c r="P776" s="241"/>
      <c r="Q776" s="241"/>
      <c r="R776" s="241"/>
      <c r="S776" s="241"/>
      <c r="T776" s="241"/>
      <c r="U776" s="241"/>
      <c r="V776" s="241"/>
      <c r="W776" s="241"/>
      <c r="X776" s="241"/>
      <c r="Y776" s="241"/>
      <c r="Z776" s="241"/>
    </row>
    <row r="777" spans="16:26" ht="10.199999999999999" customHeight="1">
      <c r="P777" s="241"/>
      <c r="Q777" s="241"/>
      <c r="R777" s="241"/>
      <c r="S777" s="241"/>
      <c r="T777" s="241"/>
      <c r="U777" s="241"/>
      <c r="V777" s="241"/>
      <c r="W777" s="241"/>
      <c r="X777" s="241"/>
      <c r="Y777" s="241"/>
      <c r="Z777" s="241"/>
    </row>
    <row r="778" spans="16:26" ht="10.199999999999999" customHeight="1">
      <c r="P778" s="241"/>
      <c r="Q778" s="241"/>
      <c r="R778" s="241"/>
      <c r="S778" s="241"/>
      <c r="T778" s="241"/>
      <c r="U778" s="241"/>
      <c r="V778" s="241"/>
      <c r="W778" s="241"/>
      <c r="X778" s="241"/>
      <c r="Y778" s="241"/>
      <c r="Z778" s="241"/>
    </row>
    <row r="779" spans="16:26" ht="10.199999999999999" customHeight="1">
      <c r="P779" s="241"/>
      <c r="Q779" s="241"/>
      <c r="R779" s="241"/>
      <c r="S779" s="241"/>
      <c r="T779" s="241"/>
      <c r="U779" s="241"/>
      <c r="V779" s="241"/>
      <c r="W779" s="241"/>
      <c r="X779" s="241"/>
      <c r="Y779" s="241"/>
      <c r="Z779" s="241"/>
    </row>
    <row r="780" spans="16:26" ht="10.199999999999999" customHeight="1">
      <c r="P780" s="241"/>
      <c r="Q780" s="241"/>
      <c r="R780" s="241"/>
      <c r="S780" s="241"/>
      <c r="T780" s="241"/>
      <c r="U780" s="241"/>
      <c r="V780" s="241"/>
      <c r="W780" s="241"/>
      <c r="X780" s="241"/>
      <c r="Y780" s="241"/>
      <c r="Z780" s="241"/>
    </row>
    <row r="781" spans="16:26" ht="10.199999999999999" customHeight="1">
      <c r="P781" s="241"/>
      <c r="Q781" s="241"/>
      <c r="R781" s="241"/>
      <c r="S781" s="241"/>
      <c r="T781" s="241"/>
      <c r="U781" s="241"/>
      <c r="V781" s="241"/>
      <c r="W781" s="241"/>
      <c r="X781" s="241"/>
      <c r="Y781" s="241"/>
      <c r="Z781" s="241"/>
    </row>
    <row r="782" spans="16:26" ht="10.199999999999999" customHeight="1">
      <c r="P782" s="241"/>
      <c r="Q782" s="241"/>
      <c r="R782" s="241"/>
      <c r="S782" s="241"/>
      <c r="T782" s="241"/>
      <c r="U782" s="241"/>
      <c r="V782" s="241"/>
      <c r="W782" s="241"/>
      <c r="X782" s="241"/>
      <c r="Y782" s="241"/>
      <c r="Z782" s="241"/>
    </row>
    <row r="783" spans="16:26" ht="10.199999999999999" customHeight="1">
      <c r="P783" s="241"/>
      <c r="Q783" s="241"/>
      <c r="R783" s="241"/>
      <c r="S783" s="241"/>
      <c r="T783" s="241"/>
      <c r="U783" s="241"/>
      <c r="V783" s="241"/>
      <c r="W783" s="241"/>
      <c r="X783" s="241"/>
      <c r="Y783" s="241"/>
      <c r="Z783" s="241"/>
    </row>
    <row r="784" spans="16:26" ht="10.199999999999999" customHeight="1">
      <c r="P784" s="241"/>
      <c r="Q784" s="241"/>
      <c r="R784" s="241"/>
      <c r="S784" s="241"/>
      <c r="T784" s="241"/>
      <c r="U784" s="241"/>
      <c r="V784" s="241"/>
      <c r="W784" s="241"/>
      <c r="X784" s="241"/>
      <c r="Y784" s="241"/>
      <c r="Z784" s="241"/>
    </row>
    <row r="785" spans="16:26" ht="10.199999999999999" customHeight="1">
      <c r="P785" s="241"/>
      <c r="Q785" s="241"/>
      <c r="R785" s="241"/>
      <c r="S785" s="241"/>
      <c r="T785" s="241"/>
      <c r="U785" s="241"/>
      <c r="V785" s="241"/>
      <c r="W785" s="241"/>
      <c r="X785" s="241"/>
      <c r="Y785" s="241"/>
      <c r="Z785" s="241"/>
    </row>
    <row r="786" spans="16:26" ht="10.199999999999999" customHeight="1">
      <c r="P786" s="241"/>
      <c r="Q786" s="241"/>
      <c r="R786" s="241"/>
      <c r="S786" s="241"/>
      <c r="T786" s="241"/>
      <c r="U786" s="241"/>
      <c r="V786" s="241"/>
      <c r="W786" s="241"/>
      <c r="X786" s="241"/>
      <c r="Y786" s="241"/>
      <c r="Z786" s="241"/>
    </row>
    <row r="787" spans="16:26" ht="10.199999999999999" customHeight="1">
      <c r="P787" s="241"/>
      <c r="Q787" s="241"/>
      <c r="R787" s="241"/>
      <c r="S787" s="241"/>
      <c r="T787" s="241"/>
      <c r="U787" s="241"/>
      <c r="V787" s="241"/>
      <c r="W787" s="241"/>
      <c r="X787" s="241"/>
      <c r="Y787" s="241"/>
      <c r="Z787" s="241"/>
    </row>
    <row r="788" spans="16:26" ht="10.199999999999999" customHeight="1">
      <c r="P788" s="241"/>
      <c r="Q788" s="241"/>
      <c r="R788" s="241"/>
      <c r="S788" s="241"/>
      <c r="T788" s="241"/>
      <c r="U788" s="241"/>
      <c r="V788" s="241"/>
      <c r="W788" s="241"/>
      <c r="X788" s="241"/>
      <c r="Y788" s="241"/>
      <c r="Z788" s="241"/>
    </row>
    <row r="789" spans="16:26" ht="10.199999999999999" customHeight="1">
      <c r="P789" s="241"/>
      <c r="Q789" s="241"/>
      <c r="R789" s="241"/>
      <c r="S789" s="241"/>
      <c r="T789" s="241"/>
      <c r="U789" s="241"/>
      <c r="V789" s="241"/>
      <c r="W789" s="241"/>
      <c r="X789" s="241"/>
      <c r="Y789" s="241"/>
      <c r="Z789" s="241"/>
    </row>
    <row r="790" spans="16:26" ht="10.199999999999999" customHeight="1">
      <c r="P790" s="241"/>
      <c r="Q790" s="241"/>
      <c r="R790" s="241"/>
      <c r="S790" s="241"/>
      <c r="T790" s="241"/>
      <c r="U790" s="241"/>
      <c r="V790" s="241"/>
      <c r="W790" s="241"/>
      <c r="X790" s="241"/>
      <c r="Y790" s="241"/>
      <c r="Z790" s="241"/>
    </row>
    <row r="791" spans="16:26" ht="10.199999999999999" customHeight="1">
      <c r="P791" s="241"/>
      <c r="Q791" s="241"/>
      <c r="R791" s="241"/>
      <c r="S791" s="241"/>
      <c r="T791" s="241"/>
      <c r="U791" s="241"/>
      <c r="V791" s="241"/>
      <c r="W791" s="241"/>
      <c r="X791" s="241"/>
      <c r="Y791" s="241"/>
      <c r="Z791" s="241"/>
    </row>
    <row r="792" spans="16:26" ht="10.199999999999999" customHeight="1">
      <c r="P792" s="241"/>
      <c r="Q792" s="241"/>
      <c r="R792" s="241"/>
      <c r="S792" s="241"/>
      <c r="T792" s="241"/>
      <c r="U792" s="241"/>
      <c r="V792" s="241"/>
      <c r="W792" s="241"/>
      <c r="X792" s="241"/>
      <c r="Y792" s="241"/>
      <c r="Z792" s="241"/>
    </row>
    <row r="793" spans="16:26" ht="10.199999999999999" customHeight="1">
      <c r="P793" s="241"/>
      <c r="Q793" s="241"/>
      <c r="R793" s="241"/>
      <c r="S793" s="241"/>
      <c r="T793" s="241"/>
      <c r="U793" s="241"/>
      <c r="V793" s="241"/>
      <c r="W793" s="241"/>
      <c r="X793" s="241"/>
      <c r="Y793" s="241"/>
      <c r="Z793" s="241"/>
    </row>
    <row r="794" spans="16:26" ht="10.199999999999999" customHeight="1">
      <c r="P794" s="241"/>
      <c r="Q794" s="241"/>
      <c r="R794" s="241"/>
      <c r="S794" s="241"/>
      <c r="T794" s="241"/>
      <c r="U794" s="241"/>
      <c r="V794" s="241"/>
      <c r="W794" s="241"/>
      <c r="X794" s="241"/>
      <c r="Y794" s="241"/>
      <c r="Z794" s="241"/>
    </row>
    <row r="795" spans="16:26" ht="10.199999999999999" customHeight="1">
      <c r="P795" s="241"/>
      <c r="Q795" s="241"/>
      <c r="R795" s="241"/>
      <c r="S795" s="241"/>
      <c r="T795" s="241"/>
      <c r="U795" s="241"/>
      <c r="V795" s="241"/>
      <c r="W795" s="241"/>
      <c r="X795" s="241"/>
      <c r="Y795" s="241"/>
      <c r="Z795" s="241"/>
    </row>
    <row r="796" spans="16:26" ht="10.199999999999999" customHeight="1">
      <c r="P796" s="241"/>
      <c r="Q796" s="241"/>
      <c r="R796" s="241"/>
      <c r="S796" s="241"/>
      <c r="T796" s="241"/>
      <c r="U796" s="241"/>
      <c r="V796" s="241"/>
      <c r="W796" s="241"/>
      <c r="X796" s="241"/>
      <c r="Y796" s="241"/>
      <c r="Z796" s="241"/>
    </row>
    <row r="797" spans="16:26" ht="10.199999999999999" customHeight="1">
      <c r="P797" s="241"/>
      <c r="Q797" s="241"/>
      <c r="R797" s="241"/>
      <c r="S797" s="241"/>
      <c r="T797" s="241"/>
      <c r="U797" s="241"/>
      <c r="V797" s="241"/>
      <c r="W797" s="241"/>
      <c r="X797" s="241"/>
      <c r="Y797" s="241"/>
      <c r="Z797" s="241"/>
    </row>
    <row r="798" spans="16:26" ht="10.199999999999999" customHeight="1">
      <c r="P798" s="241"/>
      <c r="Q798" s="241"/>
      <c r="R798" s="241"/>
      <c r="S798" s="241"/>
      <c r="T798" s="241"/>
      <c r="U798" s="241"/>
      <c r="V798" s="241"/>
      <c r="W798" s="241"/>
      <c r="X798" s="241"/>
      <c r="Y798" s="241"/>
      <c r="Z798" s="241"/>
    </row>
    <row r="799" spans="16:26" ht="10.199999999999999" customHeight="1">
      <c r="P799" s="241"/>
      <c r="Q799" s="241"/>
      <c r="R799" s="241"/>
      <c r="S799" s="241"/>
      <c r="T799" s="241"/>
      <c r="U799" s="241"/>
      <c r="V799" s="241"/>
      <c r="W799" s="241"/>
      <c r="X799" s="241"/>
      <c r="Y799" s="241"/>
      <c r="Z799" s="241"/>
    </row>
    <row r="800" spans="16:26" ht="10.199999999999999" customHeight="1">
      <c r="P800" s="241"/>
      <c r="Q800" s="241"/>
      <c r="R800" s="241"/>
      <c r="S800" s="241"/>
      <c r="T800" s="241"/>
      <c r="U800" s="241"/>
      <c r="V800" s="241"/>
      <c r="W800" s="241"/>
      <c r="X800" s="241"/>
      <c r="Y800" s="241"/>
      <c r="Z800" s="241"/>
    </row>
    <row r="801" spans="16:26" ht="10.199999999999999" customHeight="1">
      <c r="P801" s="241"/>
      <c r="Q801" s="241"/>
      <c r="R801" s="241"/>
      <c r="S801" s="241"/>
      <c r="T801" s="241"/>
      <c r="U801" s="241"/>
      <c r="V801" s="241"/>
      <c r="W801" s="241"/>
      <c r="X801" s="241"/>
      <c r="Y801" s="241"/>
      <c r="Z801" s="241"/>
    </row>
    <row r="802" spans="16:26" ht="10.199999999999999" customHeight="1">
      <c r="P802" s="241"/>
      <c r="Q802" s="241"/>
      <c r="R802" s="241"/>
      <c r="S802" s="241"/>
      <c r="T802" s="241"/>
      <c r="U802" s="241"/>
      <c r="V802" s="241"/>
      <c r="W802" s="241"/>
      <c r="X802" s="241"/>
      <c r="Y802" s="241"/>
      <c r="Z802" s="241"/>
    </row>
    <row r="803" spans="16:26" ht="10.199999999999999" customHeight="1">
      <c r="P803" s="241"/>
      <c r="Q803" s="241"/>
      <c r="R803" s="241"/>
      <c r="S803" s="241"/>
      <c r="T803" s="241"/>
      <c r="U803" s="241"/>
      <c r="V803" s="241"/>
      <c r="W803" s="241"/>
      <c r="X803" s="241"/>
      <c r="Y803" s="241"/>
      <c r="Z803" s="241"/>
    </row>
    <row r="804" spans="16:26" ht="10.199999999999999" customHeight="1">
      <c r="P804" s="241"/>
      <c r="Q804" s="241"/>
      <c r="R804" s="241"/>
      <c r="S804" s="241"/>
      <c r="T804" s="241"/>
      <c r="U804" s="241"/>
      <c r="V804" s="241"/>
      <c r="W804" s="241"/>
      <c r="X804" s="241"/>
      <c r="Y804" s="241"/>
      <c r="Z804" s="241"/>
    </row>
    <row r="805" spans="16:26" ht="10.199999999999999" customHeight="1">
      <c r="P805" s="241"/>
      <c r="Q805" s="241"/>
      <c r="R805" s="241"/>
      <c r="S805" s="241"/>
      <c r="T805" s="241"/>
      <c r="U805" s="241"/>
      <c r="V805" s="241"/>
      <c r="W805" s="241"/>
      <c r="X805" s="241"/>
      <c r="Y805" s="241"/>
      <c r="Z805" s="241"/>
    </row>
    <row r="806" spans="16:26" ht="10.199999999999999" customHeight="1">
      <c r="P806" s="241"/>
      <c r="Q806" s="241"/>
      <c r="R806" s="241"/>
      <c r="S806" s="241"/>
      <c r="T806" s="241"/>
      <c r="U806" s="241"/>
      <c r="V806" s="241"/>
      <c r="W806" s="241"/>
      <c r="X806" s="241"/>
      <c r="Y806" s="241"/>
      <c r="Z806" s="241"/>
    </row>
    <row r="807" spans="16:26" ht="10.199999999999999" customHeight="1">
      <c r="P807" s="241"/>
      <c r="Q807" s="241"/>
      <c r="R807" s="241"/>
      <c r="S807" s="241"/>
      <c r="T807" s="241"/>
      <c r="U807" s="241"/>
      <c r="V807" s="241"/>
      <c r="W807" s="241"/>
      <c r="X807" s="241"/>
      <c r="Y807" s="241"/>
      <c r="Z807" s="241"/>
    </row>
    <row r="808" spans="16:26" ht="10.199999999999999" customHeight="1">
      <c r="P808" s="241"/>
      <c r="Q808" s="241"/>
      <c r="R808" s="241"/>
      <c r="S808" s="241"/>
      <c r="T808" s="241"/>
      <c r="U808" s="241"/>
      <c r="V808" s="241"/>
      <c r="W808" s="241"/>
      <c r="X808" s="241"/>
      <c r="Y808" s="241"/>
      <c r="Z808" s="241"/>
    </row>
    <row r="809" spans="16:26" ht="10.199999999999999" customHeight="1">
      <c r="P809" s="241"/>
      <c r="Q809" s="241"/>
      <c r="R809" s="241"/>
      <c r="S809" s="241"/>
      <c r="T809" s="241"/>
      <c r="U809" s="241"/>
      <c r="V809" s="241"/>
      <c r="W809" s="241"/>
      <c r="X809" s="241"/>
      <c r="Y809" s="241"/>
      <c r="Z809" s="241"/>
    </row>
    <row r="810" spans="16:26" ht="10.199999999999999" customHeight="1">
      <c r="P810" s="241"/>
      <c r="Q810" s="241"/>
      <c r="R810" s="241"/>
      <c r="S810" s="241"/>
      <c r="T810" s="241"/>
      <c r="U810" s="241"/>
      <c r="V810" s="241"/>
      <c r="W810" s="241"/>
      <c r="X810" s="241"/>
      <c r="Y810" s="241"/>
      <c r="Z810" s="241"/>
    </row>
    <row r="811" spans="16:26" ht="10.199999999999999" customHeight="1">
      <c r="P811" s="241"/>
      <c r="Q811" s="241"/>
      <c r="R811" s="241"/>
      <c r="S811" s="241"/>
      <c r="T811" s="241"/>
      <c r="U811" s="241"/>
      <c r="V811" s="241"/>
      <c r="W811" s="241"/>
      <c r="X811" s="241"/>
      <c r="Y811" s="241"/>
      <c r="Z811" s="241"/>
    </row>
    <row r="812" spans="16:26" ht="10.199999999999999" customHeight="1">
      <c r="P812" s="241"/>
      <c r="Q812" s="241"/>
      <c r="R812" s="241"/>
      <c r="S812" s="241"/>
      <c r="T812" s="241"/>
      <c r="U812" s="241"/>
      <c r="V812" s="241"/>
      <c r="W812" s="241"/>
      <c r="X812" s="241"/>
      <c r="Y812" s="241"/>
      <c r="Z812" s="241"/>
    </row>
    <row r="813" spans="16:26" ht="10.199999999999999" customHeight="1">
      <c r="P813" s="241"/>
      <c r="Q813" s="241"/>
      <c r="R813" s="241"/>
      <c r="S813" s="241"/>
      <c r="T813" s="241"/>
      <c r="U813" s="241"/>
      <c r="V813" s="241"/>
      <c r="W813" s="241"/>
      <c r="X813" s="241"/>
      <c r="Y813" s="241"/>
      <c r="Z813" s="241"/>
    </row>
    <row r="814" spans="16:26" ht="10.199999999999999" customHeight="1">
      <c r="P814" s="241"/>
      <c r="Q814" s="241"/>
      <c r="R814" s="241"/>
      <c r="S814" s="241"/>
      <c r="T814" s="241"/>
      <c r="U814" s="241"/>
      <c r="V814" s="241"/>
      <c r="W814" s="241"/>
      <c r="X814" s="241"/>
      <c r="Y814" s="241"/>
      <c r="Z814" s="241"/>
    </row>
    <row r="815" spans="16:26" ht="10.199999999999999" customHeight="1">
      <c r="P815" s="241"/>
      <c r="Q815" s="241"/>
      <c r="R815" s="241"/>
      <c r="S815" s="241"/>
      <c r="T815" s="241"/>
      <c r="U815" s="241"/>
      <c r="V815" s="241"/>
      <c r="W815" s="241"/>
      <c r="X815" s="241"/>
      <c r="Y815" s="241"/>
      <c r="Z815" s="241"/>
    </row>
    <row r="816" spans="16:26" ht="10.199999999999999" customHeight="1">
      <c r="P816" s="241"/>
      <c r="Q816" s="241"/>
      <c r="R816" s="241"/>
      <c r="S816" s="241"/>
      <c r="T816" s="241"/>
      <c r="U816" s="241"/>
      <c r="V816" s="241"/>
      <c r="W816" s="241"/>
      <c r="X816" s="241"/>
      <c r="Y816" s="241"/>
      <c r="Z816" s="241"/>
    </row>
    <row r="817" spans="16:26" ht="10.199999999999999" customHeight="1">
      <c r="P817" s="241"/>
      <c r="Q817" s="241"/>
      <c r="R817" s="241"/>
      <c r="S817" s="241"/>
      <c r="T817" s="241"/>
      <c r="U817" s="241"/>
      <c r="V817" s="241"/>
      <c r="W817" s="241"/>
      <c r="X817" s="241"/>
      <c r="Y817" s="241"/>
      <c r="Z817" s="241"/>
    </row>
    <row r="818" spans="16:26" ht="10.199999999999999" customHeight="1">
      <c r="P818" s="241"/>
      <c r="Q818" s="241"/>
      <c r="R818" s="241"/>
      <c r="S818" s="241"/>
      <c r="T818" s="241"/>
      <c r="U818" s="241"/>
      <c r="V818" s="241"/>
      <c r="W818" s="241"/>
      <c r="X818" s="241"/>
      <c r="Y818" s="241"/>
      <c r="Z818" s="241"/>
    </row>
    <row r="819" spans="16:26" ht="10.199999999999999" customHeight="1">
      <c r="P819" s="241"/>
      <c r="Q819" s="241"/>
      <c r="R819" s="241"/>
      <c r="S819" s="241"/>
      <c r="T819" s="241"/>
      <c r="U819" s="241"/>
      <c r="V819" s="241"/>
      <c r="W819" s="241"/>
      <c r="X819" s="241"/>
      <c r="Y819" s="241"/>
      <c r="Z819" s="241"/>
    </row>
    <row r="820" spans="16:26" ht="10.199999999999999" customHeight="1">
      <c r="P820" s="241"/>
      <c r="Q820" s="241"/>
      <c r="R820" s="241"/>
      <c r="S820" s="241"/>
      <c r="T820" s="241"/>
      <c r="U820" s="241"/>
      <c r="V820" s="241"/>
      <c r="W820" s="241"/>
      <c r="X820" s="241"/>
      <c r="Y820" s="241"/>
      <c r="Z820" s="241"/>
    </row>
    <row r="821" spans="16:26" ht="10.199999999999999" customHeight="1">
      <c r="P821" s="241"/>
      <c r="Q821" s="241"/>
      <c r="R821" s="241"/>
      <c r="S821" s="241"/>
      <c r="T821" s="241"/>
      <c r="U821" s="241"/>
      <c r="V821" s="241"/>
      <c r="W821" s="241"/>
      <c r="X821" s="241"/>
      <c r="Y821" s="241"/>
      <c r="Z821" s="241"/>
    </row>
    <row r="822" spans="16:26" ht="10.199999999999999" customHeight="1">
      <c r="P822" s="241"/>
      <c r="Q822" s="241"/>
      <c r="R822" s="241"/>
      <c r="S822" s="241"/>
      <c r="T822" s="241"/>
      <c r="U822" s="241"/>
      <c r="V822" s="241"/>
      <c r="W822" s="241"/>
      <c r="X822" s="241"/>
      <c r="Y822" s="241"/>
      <c r="Z822" s="241"/>
    </row>
    <row r="823" spans="16:26" ht="10.199999999999999" customHeight="1">
      <c r="P823" s="241"/>
      <c r="Q823" s="241"/>
      <c r="R823" s="241"/>
      <c r="S823" s="241"/>
      <c r="T823" s="241"/>
      <c r="U823" s="241"/>
      <c r="V823" s="241"/>
      <c r="W823" s="241"/>
      <c r="X823" s="241"/>
      <c r="Y823" s="241"/>
      <c r="Z823" s="241"/>
    </row>
    <row r="824" spans="16:26" ht="10.199999999999999" customHeight="1">
      <c r="P824" s="241"/>
      <c r="Q824" s="241"/>
      <c r="R824" s="241"/>
      <c r="S824" s="241"/>
      <c r="T824" s="241"/>
      <c r="U824" s="241"/>
      <c r="V824" s="241"/>
      <c r="W824" s="241"/>
      <c r="X824" s="241"/>
      <c r="Y824" s="241"/>
      <c r="Z824" s="241"/>
    </row>
    <row r="825" spans="16:26" ht="10.199999999999999" customHeight="1">
      <c r="P825" s="241"/>
      <c r="Q825" s="241"/>
      <c r="R825" s="241"/>
      <c r="S825" s="241"/>
      <c r="T825" s="241"/>
      <c r="U825" s="241"/>
      <c r="V825" s="241"/>
      <c r="W825" s="241"/>
      <c r="X825" s="241"/>
      <c r="Y825" s="241"/>
      <c r="Z825" s="241"/>
    </row>
    <row r="826" spans="16:26" ht="10.199999999999999" customHeight="1">
      <c r="P826" s="241"/>
      <c r="Q826" s="241"/>
      <c r="R826" s="241"/>
      <c r="S826" s="241"/>
      <c r="T826" s="241"/>
      <c r="U826" s="241"/>
      <c r="V826" s="241"/>
      <c r="W826" s="241"/>
      <c r="X826" s="241"/>
      <c r="Y826" s="241"/>
      <c r="Z826" s="241"/>
    </row>
    <row r="827" spans="16:26" ht="10.199999999999999" customHeight="1">
      <c r="P827" s="241"/>
      <c r="Q827" s="241"/>
      <c r="R827" s="241"/>
      <c r="S827" s="241"/>
      <c r="T827" s="241"/>
      <c r="U827" s="241"/>
      <c r="V827" s="241"/>
      <c r="W827" s="241"/>
      <c r="X827" s="241"/>
      <c r="Y827" s="241"/>
      <c r="Z827" s="241"/>
    </row>
    <row r="828" spans="16:26" ht="10.199999999999999" customHeight="1">
      <c r="P828" s="241"/>
      <c r="Q828" s="241"/>
      <c r="R828" s="241"/>
      <c r="S828" s="241"/>
      <c r="T828" s="241"/>
      <c r="U828" s="241"/>
      <c r="V828" s="241"/>
      <c r="W828" s="241"/>
      <c r="X828" s="241"/>
      <c r="Y828" s="241"/>
      <c r="Z828" s="241"/>
    </row>
    <row r="829" spans="16:26" ht="10.199999999999999" customHeight="1">
      <c r="P829" s="241"/>
      <c r="Q829" s="241"/>
      <c r="R829" s="241"/>
      <c r="S829" s="241"/>
      <c r="T829" s="241"/>
      <c r="U829" s="241"/>
      <c r="V829" s="241"/>
      <c r="W829" s="241"/>
      <c r="X829" s="241"/>
      <c r="Y829" s="241"/>
      <c r="Z829" s="241"/>
    </row>
    <row r="830" spans="16:26" ht="10.199999999999999" customHeight="1">
      <c r="P830" s="241"/>
      <c r="Q830" s="241"/>
      <c r="R830" s="241"/>
      <c r="S830" s="241"/>
      <c r="T830" s="241"/>
      <c r="U830" s="241"/>
      <c r="V830" s="241"/>
      <c r="W830" s="241"/>
      <c r="X830" s="241"/>
      <c r="Y830" s="241"/>
      <c r="Z830" s="241"/>
    </row>
    <row r="831" spans="16:26" ht="10.199999999999999" customHeight="1">
      <c r="P831" s="241"/>
      <c r="Q831" s="241"/>
      <c r="R831" s="241"/>
      <c r="S831" s="241"/>
      <c r="T831" s="241"/>
      <c r="U831" s="241"/>
      <c r="V831" s="241"/>
      <c r="W831" s="241"/>
      <c r="X831" s="241"/>
      <c r="Y831" s="241"/>
      <c r="Z831" s="241"/>
    </row>
    <row r="832" spans="16:26" ht="10.199999999999999" customHeight="1">
      <c r="P832" s="241"/>
      <c r="Q832" s="241"/>
      <c r="R832" s="241"/>
      <c r="S832" s="241"/>
      <c r="T832" s="241"/>
      <c r="U832" s="241"/>
      <c r="V832" s="241"/>
      <c r="W832" s="241"/>
      <c r="X832" s="241"/>
      <c r="Y832" s="241"/>
      <c r="Z832" s="241"/>
    </row>
    <row r="833" spans="16:26" ht="10.199999999999999" customHeight="1">
      <c r="P833" s="241"/>
      <c r="Q833" s="241"/>
      <c r="R833" s="241"/>
      <c r="S833" s="241"/>
      <c r="T833" s="241"/>
      <c r="U833" s="241"/>
      <c r="V833" s="241"/>
      <c r="W833" s="241"/>
      <c r="X833" s="241"/>
      <c r="Y833" s="241"/>
      <c r="Z833" s="241"/>
    </row>
    <row r="834" spans="16:26" ht="10.199999999999999" customHeight="1">
      <c r="P834" s="241"/>
      <c r="Q834" s="241"/>
      <c r="R834" s="241"/>
      <c r="S834" s="241"/>
      <c r="T834" s="241"/>
      <c r="U834" s="241"/>
      <c r="V834" s="241"/>
      <c r="W834" s="241"/>
      <c r="X834" s="241"/>
      <c r="Y834" s="241"/>
      <c r="Z834" s="241"/>
    </row>
    <row r="835" spans="16:26" ht="10.199999999999999" customHeight="1">
      <c r="P835" s="241"/>
      <c r="Q835" s="241"/>
      <c r="R835" s="241"/>
      <c r="S835" s="241"/>
      <c r="T835" s="241"/>
      <c r="U835" s="241"/>
      <c r="V835" s="241"/>
      <c r="W835" s="241"/>
      <c r="X835" s="241"/>
      <c r="Y835" s="241"/>
      <c r="Z835" s="241"/>
    </row>
    <row r="836" spans="16:26" ht="10.199999999999999" customHeight="1">
      <c r="P836" s="241"/>
      <c r="Q836" s="241"/>
      <c r="R836" s="241"/>
      <c r="S836" s="241"/>
      <c r="T836" s="241"/>
      <c r="U836" s="241"/>
      <c r="V836" s="241"/>
      <c r="W836" s="241"/>
      <c r="X836" s="241"/>
      <c r="Y836" s="241"/>
      <c r="Z836" s="241"/>
    </row>
    <row r="837" spans="16:26" ht="10.199999999999999" customHeight="1">
      <c r="P837" s="241"/>
      <c r="Q837" s="241"/>
      <c r="R837" s="241"/>
      <c r="S837" s="241"/>
      <c r="T837" s="241"/>
      <c r="U837" s="241"/>
      <c r="V837" s="241"/>
      <c r="W837" s="241"/>
      <c r="X837" s="241"/>
      <c r="Y837" s="241"/>
      <c r="Z837" s="241"/>
    </row>
    <row r="838" spans="16:26" ht="10.199999999999999" customHeight="1">
      <c r="P838" s="241"/>
      <c r="Q838" s="241"/>
      <c r="R838" s="241"/>
      <c r="S838" s="241"/>
      <c r="T838" s="241"/>
      <c r="U838" s="241"/>
      <c r="V838" s="241"/>
      <c r="W838" s="241"/>
      <c r="X838" s="241"/>
      <c r="Y838" s="241"/>
      <c r="Z838" s="241"/>
    </row>
    <row r="839" spans="16:26" ht="10.199999999999999" customHeight="1">
      <c r="P839" s="241"/>
      <c r="Q839" s="241"/>
      <c r="R839" s="241"/>
      <c r="S839" s="241"/>
      <c r="T839" s="241"/>
      <c r="U839" s="241"/>
      <c r="V839" s="241"/>
      <c r="W839" s="241"/>
      <c r="X839" s="241"/>
      <c r="Y839" s="241"/>
      <c r="Z839" s="241"/>
    </row>
    <row r="840" spans="16:26" ht="10.199999999999999" customHeight="1">
      <c r="P840" s="241"/>
      <c r="Q840" s="241"/>
      <c r="R840" s="241"/>
      <c r="S840" s="241"/>
      <c r="T840" s="241"/>
      <c r="U840" s="241"/>
      <c r="V840" s="241"/>
      <c r="W840" s="241"/>
      <c r="X840" s="241"/>
      <c r="Y840" s="241"/>
      <c r="Z840" s="241"/>
    </row>
    <row r="841" spans="16:26" ht="10.199999999999999" customHeight="1">
      <c r="P841" s="241"/>
      <c r="Q841" s="241"/>
      <c r="R841" s="241"/>
      <c r="S841" s="241"/>
      <c r="T841" s="241"/>
      <c r="U841" s="241"/>
      <c r="V841" s="241"/>
      <c r="W841" s="241"/>
      <c r="X841" s="241"/>
      <c r="Y841" s="241"/>
      <c r="Z841" s="241"/>
    </row>
    <row r="842" spans="16:26" ht="10.199999999999999" customHeight="1">
      <c r="P842" s="241"/>
      <c r="Q842" s="241"/>
      <c r="R842" s="241"/>
      <c r="S842" s="241"/>
      <c r="T842" s="241"/>
      <c r="U842" s="241"/>
      <c r="V842" s="241"/>
      <c r="W842" s="241"/>
      <c r="X842" s="241"/>
      <c r="Y842" s="241"/>
      <c r="Z842" s="241"/>
    </row>
    <row r="843" spans="16:26" ht="10.199999999999999" customHeight="1">
      <c r="P843" s="241"/>
      <c r="Q843" s="241"/>
      <c r="R843" s="241"/>
      <c r="S843" s="241"/>
      <c r="T843" s="241"/>
      <c r="U843" s="241"/>
      <c r="V843" s="241"/>
      <c r="W843" s="241"/>
      <c r="X843" s="241"/>
      <c r="Y843" s="241"/>
      <c r="Z843" s="241"/>
    </row>
    <row r="844" spans="16:26" ht="10.199999999999999" customHeight="1">
      <c r="P844" s="241"/>
      <c r="Q844" s="241"/>
      <c r="R844" s="241"/>
      <c r="S844" s="241"/>
      <c r="T844" s="241"/>
      <c r="U844" s="241"/>
      <c r="V844" s="241"/>
      <c r="W844" s="241"/>
      <c r="X844" s="241"/>
      <c r="Y844" s="241"/>
      <c r="Z844" s="241"/>
    </row>
    <row r="845" spans="16:26" ht="10.199999999999999" customHeight="1">
      <c r="P845" s="241"/>
      <c r="Q845" s="241"/>
      <c r="R845" s="241"/>
      <c r="S845" s="241"/>
      <c r="T845" s="241"/>
      <c r="U845" s="241"/>
      <c r="V845" s="241"/>
      <c r="W845" s="241"/>
      <c r="X845" s="241"/>
      <c r="Y845" s="241"/>
      <c r="Z845" s="241"/>
    </row>
    <row r="846" spans="16:26" ht="10.199999999999999" customHeight="1">
      <c r="P846" s="241"/>
      <c r="Q846" s="241"/>
      <c r="R846" s="241"/>
      <c r="S846" s="241"/>
      <c r="T846" s="241"/>
      <c r="U846" s="241"/>
      <c r="V846" s="241"/>
      <c r="W846" s="241"/>
      <c r="X846" s="241"/>
      <c r="Y846" s="241"/>
      <c r="Z846" s="241"/>
    </row>
    <row r="847" spans="16:26" ht="10.199999999999999" customHeight="1">
      <c r="P847" s="241"/>
      <c r="Q847" s="241"/>
      <c r="R847" s="241"/>
      <c r="S847" s="241"/>
      <c r="T847" s="241"/>
      <c r="U847" s="241"/>
      <c r="V847" s="241"/>
      <c r="W847" s="241"/>
      <c r="X847" s="241"/>
      <c r="Y847" s="241"/>
      <c r="Z847" s="241"/>
    </row>
    <row r="848" spans="16:26" ht="10.199999999999999" customHeight="1">
      <c r="P848" s="241"/>
      <c r="Q848" s="241"/>
      <c r="R848" s="241"/>
      <c r="S848" s="241"/>
      <c r="T848" s="241"/>
      <c r="U848" s="241"/>
      <c r="V848" s="241"/>
      <c r="W848" s="241"/>
      <c r="X848" s="241"/>
      <c r="Y848" s="241"/>
      <c r="Z848" s="241"/>
    </row>
    <row r="849" spans="16:26" ht="10.199999999999999" customHeight="1">
      <c r="P849" s="241"/>
      <c r="Q849" s="241"/>
      <c r="R849" s="241"/>
      <c r="S849" s="241"/>
      <c r="T849" s="241"/>
      <c r="U849" s="241"/>
      <c r="V849" s="241"/>
      <c r="W849" s="241"/>
      <c r="X849" s="241"/>
      <c r="Y849" s="241"/>
      <c r="Z849" s="241"/>
    </row>
    <row r="850" spans="16:26" ht="10.199999999999999" customHeight="1">
      <c r="P850" s="241"/>
      <c r="Q850" s="241"/>
      <c r="R850" s="241"/>
      <c r="S850" s="241"/>
      <c r="T850" s="241"/>
      <c r="U850" s="241"/>
      <c r="V850" s="241"/>
      <c r="W850" s="241"/>
      <c r="X850" s="241"/>
      <c r="Y850" s="241"/>
      <c r="Z850" s="241"/>
    </row>
    <row r="851" spans="16:26" ht="10.199999999999999" customHeight="1">
      <c r="P851" s="241"/>
      <c r="Q851" s="241"/>
      <c r="R851" s="241"/>
      <c r="S851" s="241"/>
      <c r="T851" s="241"/>
      <c r="U851" s="241"/>
      <c r="V851" s="241"/>
      <c r="W851" s="241"/>
      <c r="X851" s="241"/>
      <c r="Y851" s="241"/>
      <c r="Z851" s="241"/>
    </row>
    <row r="852" spans="16:26" ht="10.199999999999999" customHeight="1">
      <c r="P852" s="241"/>
      <c r="Q852" s="241"/>
      <c r="R852" s="241"/>
      <c r="S852" s="241"/>
      <c r="T852" s="241"/>
      <c r="U852" s="241"/>
      <c r="V852" s="241"/>
      <c r="W852" s="241"/>
      <c r="X852" s="241"/>
      <c r="Y852" s="241"/>
      <c r="Z852" s="241"/>
    </row>
    <row r="853" spans="16:26" ht="10.199999999999999" customHeight="1">
      <c r="P853" s="241"/>
      <c r="Q853" s="241"/>
      <c r="R853" s="241"/>
      <c r="S853" s="241"/>
      <c r="T853" s="241"/>
      <c r="U853" s="241"/>
      <c r="V853" s="241"/>
      <c r="W853" s="241"/>
      <c r="X853" s="241"/>
      <c r="Y853" s="241"/>
      <c r="Z853" s="241"/>
    </row>
    <row r="854" spans="16:26" ht="10.199999999999999" customHeight="1">
      <c r="P854" s="241"/>
      <c r="Q854" s="241"/>
      <c r="R854" s="241"/>
      <c r="S854" s="241"/>
      <c r="T854" s="241"/>
      <c r="U854" s="241"/>
      <c r="V854" s="241"/>
      <c r="W854" s="241"/>
      <c r="X854" s="241"/>
      <c r="Y854" s="241"/>
      <c r="Z854" s="241"/>
    </row>
    <row r="855" spans="16:26" ht="10.199999999999999" customHeight="1">
      <c r="P855" s="241"/>
      <c r="Q855" s="241"/>
      <c r="R855" s="241"/>
      <c r="S855" s="241"/>
      <c r="T855" s="241"/>
      <c r="U855" s="241"/>
      <c r="V855" s="241"/>
      <c r="W855" s="241"/>
      <c r="X855" s="241"/>
      <c r="Y855" s="241"/>
      <c r="Z855" s="241"/>
    </row>
    <row r="856" spans="16:26" ht="10.199999999999999" customHeight="1">
      <c r="P856" s="241"/>
      <c r="Q856" s="241"/>
      <c r="R856" s="241"/>
      <c r="S856" s="241"/>
      <c r="T856" s="241"/>
      <c r="U856" s="241"/>
      <c r="V856" s="241"/>
      <c r="W856" s="241"/>
      <c r="X856" s="241"/>
      <c r="Y856" s="241"/>
      <c r="Z856" s="241"/>
    </row>
    <row r="857" spans="16:26" ht="10.199999999999999" customHeight="1">
      <c r="P857" s="241"/>
      <c r="Q857" s="241"/>
      <c r="R857" s="241"/>
      <c r="S857" s="241"/>
      <c r="T857" s="241"/>
      <c r="U857" s="241"/>
      <c r="V857" s="241"/>
      <c r="W857" s="241"/>
      <c r="X857" s="241"/>
      <c r="Y857" s="241"/>
      <c r="Z857" s="241"/>
    </row>
    <row r="858" spans="16:26" ht="10.199999999999999" customHeight="1">
      <c r="P858" s="241"/>
      <c r="Q858" s="241"/>
      <c r="R858" s="241"/>
      <c r="S858" s="241"/>
      <c r="T858" s="241"/>
      <c r="U858" s="241"/>
      <c r="V858" s="241"/>
      <c r="W858" s="241"/>
      <c r="X858" s="241"/>
      <c r="Y858" s="241"/>
      <c r="Z858" s="241"/>
    </row>
    <row r="859" spans="16:26" ht="10.199999999999999" customHeight="1">
      <c r="P859" s="241"/>
      <c r="Q859" s="241"/>
      <c r="R859" s="241"/>
      <c r="S859" s="241"/>
      <c r="T859" s="241"/>
      <c r="U859" s="241"/>
      <c r="V859" s="241"/>
      <c r="W859" s="241"/>
      <c r="X859" s="241"/>
      <c r="Y859" s="241"/>
      <c r="Z859" s="241"/>
    </row>
    <row r="860" spans="16:26" ht="10.199999999999999" customHeight="1">
      <c r="P860" s="241"/>
      <c r="Q860" s="241"/>
      <c r="R860" s="241"/>
      <c r="S860" s="241"/>
      <c r="T860" s="241"/>
      <c r="U860" s="241"/>
      <c r="V860" s="241"/>
      <c r="W860" s="241"/>
      <c r="X860" s="241"/>
      <c r="Y860" s="241"/>
      <c r="Z860" s="241"/>
    </row>
    <row r="861" spans="16:26" ht="10.199999999999999" customHeight="1">
      <c r="P861" s="241"/>
      <c r="Q861" s="241"/>
      <c r="R861" s="241"/>
      <c r="S861" s="241"/>
      <c r="T861" s="241"/>
      <c r="U861" s="241"/>
      <c r="V861" s="241"/>
      <c r="W861" s="241"/>
      <c r="X861" s="241"/>
      <c r="Y861" s="241"/>
      <c r="Z861" s="241"/>
    </row>
    <row r="862" spans="16:26" ht="10.199999999999999" customHeight="1">
      <c r="P862" s="241"/>
      <c r="Q862" s="241"/>
      <c r="R862" s="241"/>
      <c r="S862" s="241"/>
      <c r="T862" s="241"/>
      <c r="U862" s="241"/>
      <c r="V862" s="241"/>
      <c r="W862" s="241"/>
      <c r="X862" s="241"/>
      <c r="Y862" s="241"/>
      <c r="Z862" s="241"/>
    </row>
    <row r="863" spans="16:26" ht="10.199999999999999" customHeight="1">
      <c r="P863" s="241"/>
      <c r="Q863" s="241"/>
      <c r="R863" s="241"/>
      <c r="S863" s="241"/>
      <c r="T863" s="241"/>
      <c r="U863" s="241"/>
      <c r="V863" s="241"/>
      <c r="W863" s="241"/>
      <c r="X863" s="241"/>
      <c r="Y863" s="241"/>
      <c r="Z863" s="241"/>
    </row>
    <row r="864" spans="16:26" ht="10.199999999999999" customHeight="1">
      <c r="P864" s="241"/>
      <c r="Q864" s="241"/>
      <c r="R864" s="241"/>
      <c r="S864" s="241"/>
      <c r="T864" s="241"/>
      <c r="U864" s="241"/>
      <c r="V864" s="241"/>
      <c r="W864" s="241"/>
      <c r="X864" s="241"/>
      <c r="Y864" s="241"/>
      <c r="Z864" s="241"/>
    </row>
    <row r="865" spans="16:26" ht="10.199999999999999" customHeight="1">
      <c r="P865" s="241"/>
      <c r="Q865" s="241"/>
      <c r="R865" s="241"/>
      <c r="S865" s="241"/>
      <c r="T865" s="241"/>
      <c r="U865" s="241"/>
      <c r="V865" s="241"/>
      <c r="W865" s="241"/>
      <c r="X865" s="241"/>
      <c r="Y865" s="241"/>
      <c r="Z865" s="241"/>
    </row>
    <row r="866" spans="16:26" ht="10.199999999999999" customHeight="1">
      <c r="P866" s="241"/>
      <c r="Q866" s="241"/>
      <c r="R866" s="241"/>
      <c r="S866" s="241"/>
      <c r="T866" s="241"/>
      <c r="U866" s="241"/>
      <c r="V866" s="241"/>
      <c r="W866" s="241"/>
      <c r="X866" s="241"/>
      <c r="Y866" s="241"/>
      <c r="Z866" s="241"/>
    </row>
    <row r="867" spans="16:26" ht="10.199999999999999" customHeight="1">
      <c r="P867" s="241"/>
      <c r="Q867" s="241"/>
      <c r="R867" s="241"/>
      <c r="S867" s="241"/>
      <c r="T867" s="241"/>
      <c r="U867" s="241"/>
      <c r="V867" s="241"/>
      <c r="W867" s="241"/>
      <c r="X867" s="241"/>
      <c r="Y867" s="241"/>
      <c r="Z867" s="241"/>
    </row>
    <row r="868" spans="16:26" ht="10.199999999999999" customHeight="1">
      <c r="P868" s="241"/>
      <c r="Q868" s="241"/>
      <c r="R868" s="241"/>
      <c r="S868" s="241"/>
      <c r="T868" s="241"/>
      <c r="U868" s="241"/>
      <c r="V868" s="241"/>
      <c r="W868" s="241"/>
      <c r="X868" s="241"/>
      <c r="Y868" s="241"/>
      <c r="Z868" s="241"/>
    </row>
    <row r="869" spans="16:26" ht="10.199999999999999" customHeight="1">
      <c r="P869" s="241"/>
      <c r="Q869" s="241"/>
      <c r="R869" s="241"/>
      <c r="S869" s="241"/>
      <c r="T869" s="241"/>
      <c r="U869" s="241"/>
      <c r="V869" s="241"/>
      <c r="W869" s="241"/>
      <c r="X869" s="241"/>
      <c r="Y869" s="241"/>
      <c r="Z869" s="241"/>
    </row>
    <row r="870" spans="16:26" ht="10.199999999999999" customHeight="1">
      <c r="P870" s="241"/>
      <c r="Q870" s="241"/>
      <c r="R870" s="241"/>
      <c r="S870" s="241"/>
      <c r="T870" s="241"/>
      <c r="U870" s="241"/>
      <c r="V870" s="241"/>
      <c r="W870" s="241"/>
      <c r="X870" s="241"/>
      <c r="Y870" s="241"/>
      <c r="Z870" s="241"/>
    </row>
    <row r="871" spans="16:26" ht="10.199999999999999" customHeight="1">
      <c r="P871" s="241"/>
      <c r="Q871" s="241"/>
      <c r="R871" s="241"/>
      <c r="S871" s="241"/>
      <c r="T871" s="241"/>
      <c r="U871" s="241"/>
      <c r="V871" s="241"/>
      <c r="W871" s="241"/>
      <c r="X871" s="241"/>
      <c r="Y871" s="241"/>
      <c r="Z871" s="241"/>
    </row>
    <row r="872" spans="16:26" ht="10.199999999999999" customHeight="1">
      <c r="P872" s="241"/>
      <c r="Q872" s="241"/>
      <c r="R872" s="241"/>
      <c r="S872" s="241"/>
      <c r="T872" s="241"/>
      <c r="U872" s="241"/>
      <c r="V872" s="241"/>
      <c r="W872" s="241"/>
      <c r="X872" s="241"/>
      <c r="Y872" s="241"/>
      <c r="Z872" s="241"/>
    </row>
    <row r="873" spans="16:26" ht="10.199999999999999" customHeight="1">
      <c r="P873" s="241"/>
      <c r="Q873" s="241"/>
      <c r="R873" s="241"/>
      <c r="S873" s="241"/>
      <c r="T873" s="241"/>
      <c r="U873" s="241"/>
      <c r="V873" s="241"/>
      <c r="W873" s="241"/>
      <c r="X873" s="241"/>
      <c r="Y873" s="241"/>
      <c r="Z873" s="241"/>
    </row>
    <row r="874" spans="16:26" ht="10.199999999999999" customHeight="1">
      <c r="P874" s="241"/>
      <c r="Q874" s="241"/>
      <c r="R874" s="241"/>
      <c r="S874" s="241"/>
      <c r="T874" s="241"/>
      <c r="U874" s="241"/>
      <c r="V874" s="241"/>
      <c r="W874" s="241"/>
      <c r="X874" s="241"/>
      <c r="Y874" s="241"/>
      <c r="Z874" s="241"/>
    </row>
    <row r="875" spans="16:26" ht="10.199999999999999" customHeight="1">
      <c r="P875" s="241"/>
      <c r="Q875" s="241"/>
      <c r="R875" s="241"/>
      <c r="S875" s="241"/>
      <c r="T875" s="241"/>
      <c r="U875" s="241"/>
      <c r="V875" s="241"/>
      <c r="W875" s="241"/>
      <c r="X875" s="241"/>
      <c r="Y875" s="241"/>
      <c r="Z875" s="241"/>
    </row>
    <row r="876" spans="16:26" ht="10.199999999999999" customHeight="1">
      <c r="P876" s="241"/>
      <c r="Q876" s="241"/>
      <c r="R876" s="241"/>
      <c r="S876" s="241"/>
      <c r="T876" s="241"/>
      <c r="U876" s="241"/>
      <c r="V876" s="241"/>
      <c r="W876" s="241"/>
      <c r="X876" s="241"/>
      <c r="Y876" s="241"/>
      <c r="Z876" s="241"/>
    </row>
    <row r="877" spans="16:26" ht="10.199999999999999" customHeight="1">
      <c r="P877" s="241"/>
      <c r="Q877" s="241"/>
      <c r="R877" s="241"/>
      <c r="S877" s="241"/>
      <c r="T877" s="241"/>
      <c r="U877" s="241"/>
      <c r="V877" s="241"/>
      <c r="W877" s="241"/>
      <c r="X877" s="241"/>
      <c r="Y877" s="241"/>
      <c r="Z877" s="241"/>
    </row>
    <row r="878" spans="16:26" ht="10.199999999999999" customHeight="1">
      <c r="P878" s="241"/>
      <c r="Q878" s="241"/>
      <c r="R878" s="241"/>
      <c r="S878" s="241"/>
      <c r="T878" s="241"/>
      <c r="U878" s="241"/>
      <c r="V878" s="241"/>
      <c r="W878" s="241"/>
      <c r="X878" s="241"/>
      <c r="Y878" s="241"/>
      <c r="Z878" s="241"/>
    </row>
    <row r="879" spans="16:26" ht="10.199999999999999" customHeight="1">
      <c r="P879" s="241"/>
      <c r="Q879" s="241"/>
      <c r="R879" s="241"/>
      <c r="S879" s="241"/>
      <c r="T879" s="241"/>
      <c r="U879" s="241"/>
      <c r="V879" s="241"/>
      <c r="W879" s="241"/>
      <c r="X879" s="241"/>
      <c r="Y879" s="241"/>
      <c r="Z879" s="241"/>
    </row>
    <row r="880" spans="16:26" ht="10.199999999999999" customHeight="1">
      <c r="P880" s="241"/>
      <c r="Q880" s="241"/>
      <c r="R880" s="241"/>
      <c r="S880" s="241"/>
      <c r="T880" s="241"/>
      <c r="U880" s="241"/>
      <c r="V880" s="241"/>
      <c r="W880" s="241"/>
      <c r="X880" s="241"/>
      <c r="Y880" s="241"/>
      <c r="Z880" s="241"/>
    </row>
    <row r="881" spans="16:26" ht="10.199999999999999" customHeight="1">
      <c r="P881" s="241"/>
      <c r="Q881" s="241"/>
      <c r="R881" s="241"/>
      <c r="S881" s="241"/>
      <c r="T881" s="241"/>
      <c r="U881" s="241"/>
      <c r="V881" s="241"/>
      <c r="W881" s="241"/>
      <c r="X881" s="241"/>
      <c r="Y881" s="241"/>
      <c r="Z881" s="241"/>
    </row>
    <row r="882" spans="16:26" ht="10.199999999999999" customHeight="1">
      <c r="P882" s="241"/>
      <c r="Q882" s="241"/>
      <c r="R882" s="241"/>
      <c r="S882" s="241"/>
      <c r="T882" s="241"/>
      <c r="U882" s="241"/>
      <c r="V882" s="241"/>
      <c r="W882" s="241"/>
      <c r="X882" s="241"/>
      <c r="Y882" s="241"/>
      <c r="Z882" s="241"/>
    </row>
    <row r="883" spans="16:26" ht="10.199999999999999" customHeight="1">
      <c r="P883" s="241"/>
      <c r="Q883" s="241"/>
      <c r="R883" s="241"/>
      <c r="S883" s="241"/>
      <c r="T883" s="241"/>
      <c r="U883" s="241"/>
      <c r="V883" s="241"/>
      <c r="W883" s="241"/>
      <c r="X883" s="241"/>
      <c r="Y883" s="241"/>
      <c r="Z883" s="241"/>
    </row>
    <row r="884" spans="16:26" ht="10.199999999999999" customHeight="1">
      <c r="P884" s="241"/>
      <c r="Q884" s="241"/>
      <c r="R884" s="241"/>
      <c r="S884" s="241"/>
      <c r="T884" s="241"/>
      <c r="U884" s="241"/>
      <c r="V884" s="241"/>
      <c r="W884" s="241"/>
      <c r="X884" s="241"/>
      <c r="Y884" s="241"/>
      <c r="Z884" s="241"/>
    </row>
  </sheetData>
  <sheetProtection password="8C51" sheet="1" objects="1" scenarios="1" selectLockedCells="1"/>
  <pageMargins left="0.75" right="0.75" top="1" bottom="1" header="0.5" footer="0.5"/>
  <pageSetup orientation="portrait" horizontalDpi="1200" verticalDpi="1200"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1:Z884"/>
  <sheetViews>
    <sheetView workbookViewId="0">
      <selection activeCell="P1" sqref="P1"/>
    </sheetView>
  </sheetViews>
  <sheetFormatPr defaultRowHeight="10.199999999999999" customHeight="1"/>
  <cols>
    <col min="1" max="15" width="8.88671875" style="57"/>
    <col min="16" max="26" width="8.88671875" style="243"/>
    <col min="27" max="16384" width="8.88671875" style="57"/>
  </cols>
  <sheetData>
    <row r="1" spans="2:26" ht="10.199999999999999" customHeight="1">
      <c r="B1" s="57" t="s">
        <v>46</v>
      </c>
      <c r="C1" s="57" t="s">
        <v>47</v>
      </c>
      <c r="D1" s="57" t="s">
        <v>48</v>
      </c>
      <c r="E1" s="57" t="s">
        <v>49</v>
      </c>
      <c r="F1" s="57" t="s">
        <v>50</v>
      </c>
      <c r="G1" s="57" t="s">
        <v>51</v>
      </c>
      <c r="H1" s="57" t="s">
        <v>52</v>
      </c>
      <c r="I1" s="57" t="s">
        <v>53</v>
      </c>
      <c r="J1" s="57" t="s">
        <v>54</v>
      </c>
      <c r="P1" s="251"/>
      <c r="Q1" s="251"/>
      <c r="R1" s="251"/>
      <c r="S1" s="251"/>
      <c r="T1" s="251"/>
      <c r="U1" s="251"/>
      <c r="V1" s="251"/>
      <c r="W1" s="251"/>
      <c r="X1" s="251"/>
      <c r="Y1" s="251"/>
      <c r="Z1" s="251"/>
    </row>
    <row r="2" spans="2:26" ht="10.199999999999999" customHeight="1">
      <c r="B2" s="57" t="s">
        <v>55</v>
      </c>
      <c r="C2" s="57" t="s">
        <v>56</v>
      </c>
      <c r="D2" s="57" t="s">
        <v>56</v>
      </c>
      <c r="E2" s="57" t="s">
        <v>57</v>
      </c>
      <c r="F2" s="57" t="s">
        <v>57</v>
      </c>
      <c r="G2" s="57" t="s">
        <v>58</v>
      </c>
      <c r="H2" s="57" t="s">
        <v>59</v>
      </c>
      <c r="I2" s="57" t="s">
        <v>60</v>
      </c>
      <c r="J2" s="57" t="s">
        <v>61</v>
      </c>
      <c r="K2" s="57" t="s">
        <v>62</v>
      </c>
      <c r="L2" s="57" t="s">
        <v>63</v>
      </c>
      <c r="P2" s="251"/>
      <c r="Q2" s="251"/>
      <c r="R2" s="251"/>
      <c r="S2" s="251"/>
      <c r="T2" s="251"/>
      <c r="U2" s="251"/>
      <c r="V2" s="251"/>
      <c r="W2" s="251"/>
      <c r="X2" s="251"/>
      <c r="Y2" s="251"/>
      <c r="Z2" s="251"/>
    </row>
    <row r="3" spans="2:26" ht="10.199999999999999" customHeight="1">
      <c r="P3" s="251"/>
      <c r="Q3" s="251"/>
      <c r="R3" s="251"/>
      <c r="S3" s="251"/>
      <c r="T3" s="251"/>
      <c r="U3" s="251"/>
      <c r="V3" s="251"/>
      <c r="W3" s="251"/>
      <c r="X3" s="251"/>
      <c r="Y3" s="251"/>
      <c r="Z3" s="251"/>
    </row>
    <row r="4" spans="2:26" ht="10.199999999999999" customHeight="1">
      <c r="B4" s="57" t="s">
        <v>64</v>
      </c>
      <c r="C4" s="234" t="str">
        <f ca="1">IF(P1="","","L"&amp;MID(INDIRECT("P"&amp;L4),6,FIND(" ",INDIRECT("P"&amp;L4),6)-5))</f>
        <v/>
      </c>
      <c r="D4" s="234" t="str">
        <f ca="1">IF(P1="","",MID(INDIRECT("P"&amp;L4),SEARCH("(",INDIRECT("P"&amp;L4),1)+1,3))</f>
        <v/>
      </c>
      <c r="E4" s="234" t="str">
        <f ca="1">IF(P1="","",MID(INDIRECT("P"&amp;L4),SEARCH(")",INDIRECT("P"&amp;L4),1)+2,LEN(INDIRECT("P"&amp;L4))))</f>
        <v/>
      </c>
      <c r="F4" s="234"/>
      <c r="G4" s="234"/>
      <c r="H4" s="234"/>
      <c r="I4" s="234"/>
      <c r="J4" s="234"/>
      <c r="K4" s="234"/>
      <c r="L4" s="234" t="str">
        <f>IF(P1="","",MATCH("CASE*",P1:P10,0))</f>
        <v/>
      </c>
      <c r="M4" s="55">
        <f>ROUND(COUNT(P:P)*1.6,0)</f>
        <v>0</v>
      </c>
      <c r="P4" s="251"/>
      <c r="Q4" s="251"/>
      <c r="R4" s="251"/>
      <c r="S4" s="251"/>
      <c r="T4" s="251"/>
      <c r="U4" s="251"/>
      <c r="V4" s="251"/>
      <c r="W4" s="251"/>
      <c r="X4" s="251"/>
      <c r="Y4" s="251"/>
      <c r="Z4" s="251"/>
    </row>
    <row r="5" spans="2:26" ht="10.199999999999999" customHeight="1">
      <c r="P5" s="251"/>
      <c r="Q5" s="251"/>
      <c r="R5" s="251"/>
      <c r="S5" s="251"/>
      <c r="T5" s="251"/>
      <c r="U5" s="251"/>
      <c r="V5" s="251"/>
      <c r="W5" s="251"/>
      <c r="X5" s="251"/>
      <c r="Y5" s="251"/>
      <c r="Z5" s="251"/>
    </row>
    <row r="6" spans="2:26" ht="10.199999999999999" customHeight="1">
      <c r="B6" s="56" t="str">
        <f>IF('Low Stress Type Gasket'!BE11="","",'Low Stress Type Gasket'!BE11)</f>
        <v/>
      </c>
      <c r="C6" s="58" t="str">
        <f t="shared" ref="C6:L21" ca="1" si="0">IF($M$4=0,"",VLOOKUP($B6,INDIRECT("$P$1:$Z$"&amp;$M$4),COLUMN()-1,0))</f>
        <v/>
      </c>
      <c r="D6" s="58" t="str">
        <f t="shared" ca="1" si="0"/>
        <v/>
      </c>
      <c r="E6" s="58" t="str">
        <f t="shared" ca="1" si="0"/>
        <v/>
      </c>
      <c r="F6" s="58" t="str">
        <f t="shared" ca="1" si="0"/>
        <v/>
      </c>
      <c r="G6" s="58" t="str">
        <f t="shared" ca="1" si="0"/>
        <v/>
      </c>
      <c r="H6" s="58" t="str">
        <f t="shared" ca="1" si="0"/>
        <v/>
      </c>
      <c r="I6" s="58" t="str">
        <f t="shared" ca="1" si="0"/>
        <v/>
      </c>
      <c r="J6" s="58" t="str">
        <f t="shared" ca="1" si="0"/>
        <v/>
      </c>
      <c r="K6" s="58" t="str">
        <f t="shared" ca="1" si="0"/>
        <v/>
      </c>
      <c r="L6" s="58" t="str">
        <f t="shared" ca="1" si="0"/>
        <v/>
      </c>
      <c r="P6" s="251"/>
      <c r="Q6" s="251"/>
      <c r="R6" s="251"/>
      <c r="S6" s="251"/>
      <c r="T6" s="251"/>
      <c r="U6" s="251"/>
      <c r="V6" s="251"/>
      <c r="W6" s="251"/>
      <c r="X6" s="251"/>
      <c r="Y6" s="251"/>
      <c r="Z6" s="251"/>
    </row>
    <row r="7" spans="2:26" ht="10.199999999999999" customHeight="1">
      <c r="B7" s="56" t="str">
        <f>IF('Low Stress Type Gasket'!BE12="","",'Low Stress Type Gasket'!BE12)</f>
        <v/>
      </c>
      <c r="C7" s="58" t="str">
        <f t="shared" ca="1" si="0"/>
        <v/>
      </c>
      <c r="D7" s="58" t="str">
        <f t="shared" ca="1" si="0"/>
        <v/>
      </c>
      <c r="E7" s="58" t="str">
        <f t="shared" ca="1" si="0"/>
        <v/>
      </c>
      <c r="F7" s="58" t="str">
        <f t="shared" ca="1" si="0"/>
        <v/>
      </c>
      <c r="G7" s="58" t="str">
        <f t="shared" ca="1" si="0"/>
        <v/>
      </c>
      <c r="H7" s="58" t="str">
        <f t="shared" ca="1" si="0"/>
        <v/>
      </c>
      <c r="I7" s="58" t="str">
        <f t="shared" ca="1" si="0"/>
        <v/>
      </c>
      <c r="J7" s="58" t="str">
        <f t="shared" ca="1" si="0"/>
        <v/>
      </c>
      <c r="K7" s="58" t="str">
        <f t="shared" ca="1" si="0"/>
        <v/>
      </c>
      <c r="L7" s="58" t="str">
        <f t="shared" ca="1" si="0"/>
        <v/>
      </c>
      <c r="P7" s="251"/>
      <c r="Q7" s="251"/>
      <c r="R7" s="251"/>
      <c r="S7" s="251"/>
      <c r="T7" s="251"/>
      <c r="U7" s="251"/>
      <c r="V7" s="251"/>
      <c r="W7" s="251"/>
      <c r="X7" s="251"/>
      <c r="Y7" s="251"/>
      <c r="Z7" s="251"/>
    </row>
    <row r="8" spans="2:26" ht="10.199999999999999" customHeight="1">
      <c r="B8" s="56" t="str">
        <f>IF('Low Stress Type Gasket'!BE13="","",'Low Stress Type Gasket'!BE13)</f>
        <v/>
      </c>
      <c r="C8" s="58" t="str">
        <f t="shared" ca="1" si="0"/>
        <v/>
      </c>
      <c r="D8" s="58" t="str">
        <f t="shared" ca="1" si="0"/>
        <v/>
      </c>
      <c r="E8" s="58" t="str">
        <f t="shared" ca="1" si="0"/>
        <v/>
      </c>
      <c r="F8" s="58" t="str">
        <f t="shared" ca="1" si="0"/>
        <v/>
      </c>
      <c r="G8" s="58" t="str">
        <f t="shared" ca="1" si="0"/>
        <v/>
      </c>
      <c r="H8" s="58" t="str">
        <f t="shared" ca="1" si="0"/>
        <v/>
      </c>
      <c r="I8" s="58" t="str">
        <f t="shared" ca="1" si="0"/>
        <v/>
      </c>
      <c r="J8" s="58" t="str">
        <f t="shared" ca="1" si="0"/>
        <v/>
      </c>
      <c r="K8" s="58" t="str">
        <f t="shared" ca="1" si="0"/>
        <v/>
      </c>
      <c r="L8" s="58" t="str">
        <f t="shared" ca="1" si="0"/>
        <v/>
      </c>
      <c r="P8" s="241"/>
      <c r="Q8" s="241"/>
      <c r="R8" s="241"/>
      <c r="S8" s="241"/>
      <c r="T8" s="241"/>
      <c r="U8" s="241"/>
      <c r="V8" s="241"/>
      <c r="W8" s="241"/>
      <c r="X8" s="241"/>
      <c r="Y8" s="241"/>
      <c r="Z8" s="241"/>
    </row>
    <row r="9" spans="2:26" ht="10.199999999999999" customHeight="1">
      <c r="B9" s="56" t="str">
        <f>IF('Low Stress Type Gasket'!BE14="","",'Low Stress Type Gasket'!BE14)</f>
        <v/>
      </c>
      <c r="C9" s="58" t="str">
        <f t="shared" ca="1" si="0"/>
        <v/>
      </c>
      <c r="D9" s="58" t="str">
        <f t="shared" ca="1" si="0"/>
        <v/>
      </c>
      <c r="E9" s="58" t="str">
        <f t="shared" ca="1" si="0"/>
        <v/>
      </c>
      <c r="F9" s="58" t="str">
        <f t="shared" ca="1" si="0"/>
        <v/>
      </c>
      <c r="G9" s="58" t="str">
        <f t="shared" ca="1" si="0"/>
        <v/>
      </c>
      <c r="H9" s="58" t="str">
        <f t="shared" ca="1" si="0"/>
        <v/>
      </c>
      <c r="I9" s="58" t="str">
        <f t="shared" ca="1" si="0"/>
        <v/>
      </c>
      <c r="J9" s="58" t="str">
        <f t="shared" ca="1" si="0"/>
        <v/>
      </c>
      <c r="K9" s="58" t="str">
        <f t="shared" ca="1" si="0"/>
        <v/>
      </c>
      <c r="L9" s="58" t="str">
        <f t="shared" ca="1" si="0"/>
        <v/>
      </c>
      <c r="P9" s="251"/>
      <c r="Q9" s="251"/>
      <c r="R9" s="251"/>
      <c r="S9" s="251"/>
      <c r="T9" s="251"/>
      <c r="U9" s="251"/>
      <c r="V9" s="251"/>
      <c r="W9" s="251"/>
      <c r="X9" s="251"/>
      <c r="Y9" s="251"/>
      <c r="Z9" s="251"/>
    </row>
    <row r="10" spans="2:26" ht="10.199999999999999" customHeight="1">
      <c r="B10" s="56" t="str">
        <f>IF('Low Stress Type Gasket'!BE15="","",'Low Stress Type Gasket'!BE15)</f>
        <v/>
      </c>
      <c r="C10" s="58" t="str">
        <f t="shared" ca="1" si="0"/>
        <v/>
      </c>
      <c r="D10" s="58" t="str">
        <f t="shared" ca="1" si="0"/>
        <v/>
      </c>
      <c r="E10" s="58" t="str">
        <f t="shared" ca="1" si="0"/>
        <v/>
      </c>
      <c r="F10" s="58" t="str">
        <f t="shared" ca="1" si="0"/>
        <v/>
      </c>
      <c r="G10" s="58" t="str">
        <f t="shared" ca="1" si="0"/>
        <v/>
      </c>
      <c r="H10" s="58" t="str">
        <f t="shared" ca="1" si="0"/>
        <v/>
      </c>
      <c r="I10" s="58" t="str">
        <f t="shared" ca="1" si="0"/>
        <v/>
      </c>
      <c r="J10" s="58" t="str">
        <f t="shared" ca="1" si="0"/>
        <v/>
      </c>
      <c r="K10" s="58" t="str">
        <f t="shared" ca="1" si="0"/>
        <v/>
      </c>
      <c r="L10" s="58" t="str">
        <f t="shared" ca="1" si="0"/>
        <v/>
      </c>
      <c r="P10" s="251"/>
      <c r="Q10" s="251"/>
      <c r="R10" s="251"/>
      <c r="S10" s="251"/>
      <c r="T10" s="251"/>
      <c r="U10" s="251"/>
      <c r="V10" s="251"/>
      <c r="W10" s="251"/>
      <c r="X10" s="251"/>
      <c r="Y10" s="251"/>
      <c r="Z10" s="251"/>
    </row>
    <row r="11" spans="2:26" ht="10.199999999999999" customHeight="1">
      <c r="B11" s="56" t="str">
        <f>IF('Low Stress Type Gasket'!BE16="","",'Low Stress Type Gasket'!BE16)</f>
        <v/>
      </c>
      <c r="C11" s="58" t="str">
        <f t="shared" ca="1" si="0"/>
        <v/>
      </c>
      <c r="D11" s="58" t="str">
        <f t="shared" ca="1" si="0"/>
        <v/>
      </c>
      <c r="E11" s="58" t="str">
        <f t="shared" ca="1" si="0"/>
        <v/>
      </c>
      <c r="F11" s="58" t="str">
        <f t="shared" ca="1" si="0"/>
        <v/>
      </c>
      <c r="G11" s="58" t="str">
        <f t="shared" ca="1" si="0"/>
        <v/>
      </c>
      <c r="H11" s="58" t="str">
        <f t="shared" ca="1" si="0"/>
        <v/>
      </c>
      <c r="I11" s="58" t="str">
        <f t="shared" ca="1" si="0"/>
        <v/>
      </c>
      <c r="J11" s="58" t="str">
        <f t="shared" ca="1" si="0"/>
        <v/>
      </c>
      <c r="K11" s="58" t="str">
        <f t="shared" ca="1" si="0"/>
        <v/>
      </c>
      <c r="L11" s="58" t="str">
        <f t="shared" ca="1" si="0"/>
        <v/>
      </c>
      <c r="P11" s="251"/>
      <c r="Q11" s="251"/>
      <c r="R11" s="251"/>
      <c r="S11" s="251"/>
      <c r="T11" s="251"/>
      <c r="U11" s="251"/>
      <c r="V11" s="251"/>
      <c r="W11" s="251"/>
      <c r="X11" s="251"/>
      <c r="Y11" s="251"/>
      <c r="Z11" s="251"/>
    </row>
    <row r="12" spans="2:26" ht="10.199999999999999" customHeight="1">
      <c r="B12" s="56" t="str">
        <f>IF('Low Stress Type Gasket'!BE17="","",'Low Stress Type Gasket'!BE17)</f>
        <v/>
      </c>
      <c r="C12" s="58" t="str">
        <f t="shared" ca="1" si="0"/>
        <v/>
      </c>
      <c r="D12" s="58" t="str">
        <f t="shared" ca="1" si="0"/>
        <v/>
      </c>
      <c r="E12" s="58" t="str">
        <f t="shared" ca="1" si="0"/>
        <v/>
      </c>
      <c r="F12" s="58" t="str">
        <f t="shared" ca="1" si="0"/>
        <v/>
      </c>
      <c r="G12" s="58" t="str">
        <f t="shared" ca="1" si="0"/>
        <v/>
      </c>
      <c r="H12" s="58" t="str">
        <f t="shared" ca="1" si="0"/>
        <v/>
      </c>
      <c r="I12" s="58" t="str">
        <f t="shared" ca="1" si="0"/>
        <v/>
      </c>
      <c r="J12" s="58" t="str">
        <f t="shared" ca="1" si="0"/>
        <v/>
      </c>
      <c r="K12" s="58" t="str">
        <f t="shared" ca="1" si="0"/>
        <v/>
      </c>
      <c r="L12" s="58" t="str">
        <f t="shared" ca="1" si="0"/>
        <v/>
      </c>
      <c r="P12" s="241"/>
      <c r="Q12" s="241"/>
      <c r="R12" s="241"/>
      <c r="S12" s="241"/>
      <c r="T12" s="241"/>
      <c r="U12" s="241"/>
      <c r="V12" s="241"/>
      <c r="W12" s="241"/>
      <c r="X12" s="241"/>
      <c r="Y12" s="241"/>
      <c r="Z12" s="241"/>
    </row>
    <row r="13" spans="2:26" ht="10.199999999999999" customHeight="1">
      <c r="B13" s="56" t="str">
        <f>IF('Low Stress Type Gasket'!BE18="","",'Low Stress Type Gasket'!BE18)</f>
        <v/>
      </c>
      <c r="C13" s="58" t="str">
        <f t="shared" ca="1" si="0"/>
        <v/>
      </c>
      <c r="D13" s="58" t="str">
        <f t="shared" ca="1" si="0"/>
        <v/>
      </c>
      <c r="E13" s="58" t="str">
        <f t="shared" ca="1" si="0"/>
        <v/>
      </c>
      <c r="F13" s="58" t="str">
        <f t="shared" ca="1" si="0"/>
        <v/>
      </c>
      <c r="G13" s="58" t="str">
        <f t="shared" ca="1" si="0"/>
        <v/>
      </c>
      <c r="H13" s="58" t="str">
        <f t="shared" ca="1" si="0"/>
        <v/>
      </c>
      <c r="I13" s="58" t="str">
        <f t="shared" ca="1" si="0"/>
        <v/>
      </c>
      <c r="J13" s="58" t="str">
        <f t="shared" ca="1" si="0"/>
        <v/>
      </c>
      <c r="K13" s="58" t="str">
        <f t="shared" ca="1" si="0"/>
        <v/>
      </c>
      <c r="L13" s="58" t="str">
        <f t="shared" ca="1" si="0"/>
        <v/>
      </c>
      <c r="P13" s="251"/>
      <c r="Q13" s="251"/>
      <c r="R13" s="251"/>
      <c r="S13" s="251"/>
      <c r="T13" s="251"/>
      <c r="U13" s="251"/>
      <c r="V13" s="251"/>
      <c r="W13" s="251"/>
      <c r="X13" s="251"/>
      <c r="Y13" s="251"/>
      <c r="Z13" s="251"/>
    </row>
    <row r="14" spans="2:26" ht="10.199999999999999" customHeight="1">
      <c r="B14" s="56" t="str">
        <f>IF('Low Stress Type Gasket'!BE19="","",'Low Stress Type Gasket'!BE19)</f>
        <v/>
      </c>
      <c r="C14" s="58" t="str">
        <f t="shared" ca="1" si="0"/>
        <v/>
      </c>
      <c r="D14" s="58" t="str">
        <f t="shared" ca="1" si="0"/>
        <v/>
      </c>
      <c r="E14" s="58" t="str">
        <f t="shared" ca="1" si="0"/>
        <v/>
      </c>
      <c r="F14" s="58" t="str">
        <f t="shared" ca="1" si="0"/>
        <v/>
      </c>
      <c r="G14" s="58" t="str">
        <f t="shared" ca="1" si="0"/>
        <v/>
      </c>
      <c r="H14" s="58" t="str">
        <f t="shared" ca="1" si="0"/>
        <v/>
      </c>
      <c r="I14" s="58" t="str">
        <f t="shared" ca="1" si="0"/>
        <v/>
      </c>
      <c r="J14" s="58" t="str">
        <f t="shared" ca="1" si="0"/>
        <v/>
      </c>
      <c r="K14" s="58" t="str">
        <f t="shared" ca="1" si="0"/>
        <v/>
      </c>
      <c r="L14" s="58" t="str">
        <f t="shared" ca="1" si="0"/>
        <v/>
      </c>
      <c r="P14" s="251"/>
      <c r="Q14" s="251"/>
      <c r="R14" s="251"/>
      <c r="S14" s="251"/>
      <c r="T14" s="251"/>
      <c r="U14" s="251"/>
      <c r="V14" s="251"/>
      <c r="W14" s="251"/>
      <c r="X14" s="251"/>
      <c r="Y14" s="251"/>
      <c r="Z14" s="251"/>
    </row>
    <row r="15" spans="2:26" ht="10.199999999999999" customHeight="1">
      <c r="B15" s="56" t="str">
        <f>IF('Low Stress Type Gasket'!BE20="","",'Low Stress Type Gasket'!BE20)</f>
        <v/>
      </c>
      <c r="C15" s="58" t="str">
        <f t="shared" ca="1" si="0"/>
        <v/>
      </c>
      <c r="D15" s="58" t="str">
        <f t="shared" ca="1" si="0"/>
        <v/>
      </c>
      <c r="E15" s="58" t="str">
        <f t="shared" ca="1" si="0"/>
        <v/>
      </c>
      <c r="F15" s="58" t="str">
        <f t="shared" ca="1" si="0"/>
        <v/>
      </c>
      <c r="G15" s="58" t="str">
        <f t="shared" ca="1" si="0"/>
        <v/>
      </c>
      <c r="H15" s="58" t="str">
        <f t="shared" ca="1" si="0"/>
        <v/>
      </c>
      <c r="I15" s="58" t="str">
        <f t="shared" ca="1" si="0"/>
        <v/>
      </c>
      <c r="J15" s="58" t="str">
        <f t="shared" ca="1" si="0"/>
        <v/>
      </c>
      <c r="K15" s="58" t="str">
        <f t="shared" ca="1" si="0"/>
        <v/>
      </c>
      <c r="L15" s="58" t="str">
        <f t="shared" ca="1" si="0"/>
        <v/>
      </c>
      <c r="P15" s="241"/>
      <c r="Q15" s="241"/>
      <c r="R15" s="241"/>
      <c r="S15" s="241"/>
      <c r="T15" s="241"/>
      <c r="U15" s="241"/>
      <c r="V15" s="241"/>
      <c r="W15" s="241"/>
      <c r="X15" s="241"/>
      <c r="Y15" s="241"/>
      <c r="Z15" s="241"/>
    </row>
    <row r="16" spans="2:26" ht="10.199999999999999" customHeight="1">
      <c r="B16" s="56" t="str">
        <f>IF('Low Stress Type Gasket'!BE21="","",'Low Stress Type Gasket'!BE21)</f>
        <v/>
      </c>
      <c r="C16" s="58" t="str">
        <f t="shared" ca="1" si="0"/>
        <v/>
      </c>
      <c r="D16" s="58" t="str">
        <f t="shared" ca="1" si="0"/>
        <v/>
      </c>
      <c r="E16" s="58" t="str">
        <f t="shared" ca="1" si="0"/>
        <v/>
      </c>
      <c r="F16" s="58" t="str">
        <f t="shared" ca="1" si="0"/>
        <v/>
      </c>
      <c r="G16" s="58" t="str">
        <f t="shared" ca="1" si="0"/>
        <v/>
      </c>
      <c r="H16" s="58" t="str">
        <f t="shared" ca="1" si="0"/>
        <v/>
      </c>
      <c r="I16" s="58" t="str">
        <f t="shared" ca="1" si="0"/>
        <v/>
      </c>
      <c r="J16" s="58" t="str">
        <f t="shared" ca="1" si="0"/>
        <v/>
      </c>
      <c r="K16" s="58" t="str">
        <f t="shared" ca="1" si="0"/>
        <v/>
      </c>
      <c r="L16" s="58" t="str">
        <f t="shared" ca="1" si="0"/>
        <v/>
      </c>
      <c r="P16" s="251"/>
      <c r="Q16" s="251"/>
      <c r="R16" s="251"/>
      <c r="S16" s="251"/>
      <c r="T16" s="251"/>
      <c r="U16" s="251"/>
      <c r="V16" s="251"/>
      <c r="W16" s="251"/>
      <c r="X16" s="251"/>
      <c r="Y16" s="251"/>
      <c r="Z16" s="251"/>
    </row>
    <row r="17" spans="2:26" ht="10.199999999999999" customHeight="1">
      <c r="B17" s="56" t="str">
        <f>IF('Low Stress Type Gasket'!BE22="","",'Low Stress Type Gasket'!BE22)</f>
        <v/>
      </c>
      <c r="C17" s="58" t="str">
        <f t="shared" ca="1" si="0"/>
        <v/>
      </c>
      <c r="D17" s="58" t="str">
        <f t="shared" ca="1" si="0"/>
        <v/>
      </c>
      <c r="E17" s="58" t="str">
        <f t="shared" ca="1" si="0"/>
        <v/>
      </c>
      <c r="F17" s="58" t="str">
        <f t="shared" ca="1" si="0"/>
        <v/>
      </c>
      <c r="G17" s="58" t="str">
        <f t="shared" ca="1" si="0"/>
        <v/>
      </c>
      <c r="H17" s="58" t="str">
        <f t="shared" ca="1" si="0"/>
        <v/>
      </c>
      <c r="I17" s="58" t="str">
        <f t="shared" ca="1" si="0"/>
        <v/>
      </c>
      <c r="J17" s="58" t="str">
        <f t="shared" ca="1" si="0"/>
        <v/>
      </c>
      <c r="K17" s="58" t="str">
        <f t="shared" ca="1" si="0"/>
        <v/>
      </c>
      <c r="L17" s="58" t="str">
        <f t="shared" ca="1" si="0"/>
        <v/>
      </c>
      <c r="P17" s="251"/>
      <c r="Q17" s="251"/>
      <c r="R17" s="251"/>
      <c r="S17" s="251"/>
      <c r="T17" s="251"/>
      <c r="U17" s="251"/>
      <c r="V17" s="251"/>
      <c r="W17" s="251"/>
      <c r="X17" s="251"/>
      <c r="Y17" s="251"/>
      <c r="Z17" s="251"/>
    </row>
    <row r="18" spans="2:26" ht="10.199999999999999" customHeight="1">
      <c r="B18" s="56" t="str">
        <f>IF('Low Stress Type Gasket'!BE23="","",'Low Stress Type Gasket'!BE23)</f>
        <v/>
      </c>
      <c r="C18" s="58" t="str">
        <f t="shared" ca="1" si="0"/>
        <v/>
      </c>
      <c r="D18" s="58" t="str">
        <f t="shared" ca="1" si="0"/>
        <v/>
      </c>
      <c r="E18" s="58" t="str">
        <f t="shared" ca="1" si="0"/>
        <v/>
      </c>
      <c r="F18" s="58" t="str">
        <f t="shared" ca="1" si="0"/>
        <v/>
      </c>
      <c r="G18" s="58" t="str">
        <f t="shared" ca="1" si="0"/>
        <v/>
      </c>
      <c r="H18" s="58" t="str">
        <f t="shared" ca="1" si="0"/>
        <v/>
      </c>
      <c r="I18" s="58" t="str">
        <f t="shared" ca="1" si="0"/>
        <v/>
      </c>
      <c r="J18" s="58" t="str">
        <f t="shared" ca="1" si="0"/>
        <v/>
      </c>
      <c r="K18" s="58" t="str">
        <f t="shared" ca="1" si="0"/>
        <v/>
      </c>
      <c r="L18" s="58" t="str">
        <f t="shared" ca="1" si="0"/>
        <v/>
      </c>
      <c r="P18" s="241"/>
      <c r="Q18" s="241"/>
      <c r="R18" s="241"/>
      <c r="S18" s="241"/>
      <c r="T18" s="241"/>
      <c r="U18" s="241"/>
      <c r="V18" s="241"/>
      <c r="W18" s="241"/>
      <c r="X18" s="241"/>
      <c r="Y18" s="241"/>
      <c r="Z18" s="241"/>
    </row>
    <row r="19" spans="2:26" ht="10.199999999999999" customHeight="1">
      <c r="B19" s="56" t="str">
        <f>IF('Low Stress Type Gasket'!BE24="","",'Low Stress Type Gasket'!BE24)</f>
        <v/>
      </c>
      <c r="C19" s="58" t="str">
        <f t="shared" ca="1" si="0"/>
        <v/>
      </c>
      <c r="D19" s="58" t="str">
        <f t="shared" ca="1" si="0"/>
        <v/>
      </c>
      <c r="E19" s="58" t="str">
        <f t="shared" ca="1" si="0"/>
        <v/>
      </c>
      <c r="F19" s="58" t="str">
        <f t="shared" ca="1" si="0"/>
        <v/>
      </c>
      <c r="G19" s="58" t="str">
        <f t="shared" ca="1" si="0"/>
        <v/>
      </c>
      <c r="H19" s="58" t="str">
        <f t="shared" ca="1" si="0"/>
        <v/>
      </c>
      <c r="I19" s="58" t="str">
        <f t="shared" ca="1" si="0"/>
        <v/>
      </c>
      <c r="J19" s="58" t="str">
        <f t="shared" ca="1" si="0"/>
        <v/>
      </c>
      <c r="K19" s="58" t="str">
        <f t="shared" ca="1" si="0"/>
        <v/>
      </c>
      <c r="L19" s="58" t="str">
        <f t="shared" ca="1" si="0"/>
        <v/>
      </c>
      <c r="P19" s="251"/>
      <c r="Q19" s="251"/>
      <c r="R19" s="251"/>
      <c r="S19" s="251"/>
      <c r="T19" s="251"/>
      <c r="U19" s="251"/>
      <c r="V19" s="251"/>
      <c r="W19" s="251"/>
      <c r="X19" s="251"/>
      <c r="Y19" s="251"/>
      <c r="Z19" s="251"/>
    </row>
    <row r="20" spans="2:26" ht="10.199999999999999" customHeight="1">
      <c r="B20" s="56" t="str">
        <f>IF('Low Stress Type Gasket'!BE25="","",'Low Stress Type Gasket'!BE25)</f>
        <v/>
      </c>
      <c r="C20" s="58" t="str">
        <f t="shared" ca="1" si="0"/>
        <v/>
      </c>
      <c r="D20" s="58" t="str">
        <f t="shared" ca="1" si="0"/>
        <v/>
      </c>
      <c r="E20" s="58" t="str">
        <f t="shared" ca="1" si="0"/>
        <v/>
      </c>
      <c r="F20" s="58" t="str">
        <f t="shared" ca="1" si="0"/>
        <v/>
      </c>
      <c r="G20" s="58" t="str">
        <f t="shared" ca="1" si="0"/>
        <v/>
      </c>
      <c r="H20" s="58" t="str">
        <f t="shared" ca="1" si="0"/>
        <v/>
      </c>
      <c r="I20" s="58" t="str">
        <f t="shared" ca="1" si="0"/>
        <v/>
      </c>
      <c r="J20" s="58" t="str">
        <f t="shared" ca="1" si="0"/>
        <v/>
      </c>
      <c r="K20" s="58" t="str">
        <f t="shared" ca="1" si="0"/>
        <v/>
      </c>
      <c r="L20" s="58" t="str">
        <f t="shared" ca="1" si="0"/>
        <v/>
      </c>
      <c r="P20" s="251"/>
      <c r="Q20" s="251"/>
      <c r="R20" s="251"/>
      <c r="S20" s="251"/>
      <c r="T20" s="251"/>
      <c r="U20" s="251"/>
      <c r="V20" s="251"/>
      <c r="W20" s="251"/>
      <c r="X20" s="251"/>
      <c r="Y20" s="251"/>
      <c r="Z20" s="251"/>
    </row>
    <row r="21" spans="2:26" ht="10.199999999999999" customHeight="1">
      <c r="B21" s="56" t="str">
        <f>IF('Low Stress Type Gasket'!BE26="","",'Low Stress Type Gasket'!BE26)</f>
        <v/>
      </c>
      <c r="C21" s="58" t="str">
        <f t="shared" ca="1" si="0"/>
        <v/>
      </c>
      <c r="D21" s="58" t="str">
        <f t="shared" ca="1" si="0"/>
        <v/>
      </c>
      <c r="E21" s="58" t="str">
        <f t="shared" ca="1" si="0"/>
        <v/>
      </c>
      <c r="F21" s="58" t="str">
        <f t="shared" ca="1" si="0"/>
        <v/>
      </c>
      <c r="G21" s="58" t="str">
        <f t="shared" ca="1" si="0"/>
        <v/>
      </c>
      <c r="H21" s="58" t="str">
        <f t="shared" ca="1" si="0"/>
        <v/>
      </c>
      <c r="I21" s="58" t="str">
        <f t="shared" ca="1" si="0"/>
        <v/>
      </c>
      <c r="J21" s="58" t="str">
        <f t="shared" ca="1" si="0"/>
        <v/>
      </c>
      <c r="K21" s="58" t="str">
        <f t="shared" ca="1" si="0"/>
        <v/>
      </c>
      <c r="L21" s="58" t="str">
        <f t="shared" ca="1" si="0"/>
        <v/>
      </c>
      <c r="P21" s="241"/>
      <c r="Q21" s="241"/>
      <c r="R21" s="241"/>
      <c r="S21" s="241"/>
      <c r="T21" s="241"/>
      <c r="U21" s="241"/>
      <c r="V21" s="241"/>
      <c r="W21" s="241"/>
      <c r="X21" s="241"/>
      <c r="Y21" s="241"/>
      <c r="Z21" s="241"/>
    </row>
    <row r="22" spans="2:26" ht="10.199999999999999" customHeight="1">
      <c r="B22" s="56" t="str">
        <f>IF('Low Stress Type Gasket'!BE27="","",'Low Stress Type Gasket'!BE27)</f>
        <v/>
      </c>
      <c r="C22" s="58" t="str">
        <f t="shared" ref="C22:L37" ca="1" si="1">IF($M$4=0,"",VLOOKUP($B22,INDIRECT("$P$1:$Z$"&amp;$M$4),COLUMN()-1,0))</f>
        <v/>
      </c>
      <c r="D22" s="58" t="str">
        <f t="shared" ca="1" si="1"/>
        <v/>
      </c>
      <c r="E22" s="58" t="str">
        <f t="shared" ca="1" si="1"/>
        <v/>
      </c>
      <c r="F22" s="58" t="str">
        <f t="shared" ca="1" si="1"/>
        <v/>
      </c>
      <c r="G22" s="58" t="str">
        <f t="shared" ca="1" si="1"/>
        <v/>
      </c>
      <c r="H22" s="58" t="str">
        <f t="shared" ca="1" si="1"/>
        <v/>
      </c>
      <c r="I22" s="58" t="str">
        <f t="shared" ca="1" si="1"/>
        <v/>
      </c>
      <c r="J22" s="58" t="str">
        <f t="shared" ca="1" si="1"/>
        <v/>
      </c>
      <c r="K22" s="58" t="str">
        <f t="shared" ca="1" si="1"/>
        <v/>
      </c>
      <c r="L22" s="58" t="str">
        <f t="shared" ca="1" si="1"/>
        <v/>
      </c>
      <c r="P22" s="251"/>
      <c r="Q22" s="251"/>
      <c r="R22" s="251"/>
      <c r="S22" s="251"/>
      <c r="T22" s="251"/>
      <c r="U22" s="251"/>
      <c r="V22" s="251"/>
      <c r="W22" s="251"/>
      <c r="X22" s="251"/>
      <c r="Y22" s="251"/>
      <c r="Z22" s="251"/>
    </row>
    <row r="23" spans="2:26" ht="10.199999999999999" customHeight="1">
      <c r="B23" s="56" t="str">
        <f>IF('Low Stress Type Gasket'!BE28="","",'Low Stress Type Gasket'!BE28)</f>
        <v/>
      </c>
      <c r="C23" s="58" t="str">
        <f t="shared" ca="1" si="1"/>
        <v/>
      </c>
      <c r="D23" s="58" t="str">
        <f t="shared" ca="1" si="1"/>
        <v/>
      </c>
      <c r="E23" s="58" t="str">
        <f t="shared" ca="1" si="1"/>
        <v/>
      </c>
      <c r="F23" s="58" t="str">
        <f t="shared" ca="1" si="1"/>
        <v/>
      </c>
      <c r="G23" s="58" t="str">
        <f t="shared" ca="1" si="1"/>
        <v/>
      </c>
      <c r="H23" s="58" t="str">
        <f t="shared" ca="1" si="1"/>
        <v/>
      </c>
      <c r="I23" s="58" t="str">
        <f t="shared" ca="1" si="1"/>
        <v/>
      </c>
      <c r="J23" s="58" t="str">
        <f t="shared" ca="1" si="1"/>
        <v/>
      </c>
      <c r="K23" s="58" t="str">
        <f t="shared" ca="1" si="1"/>
        <v/>
      </c>
      <c r="L23" s="58" t="str">
        <f t="shared" ca="1" si="1"/>
        <v/>
      </c>
      <c r="P23" s="251"/>
      <c r="Q23" s="251"/>
      <c r="R23" s="251"/>
      <c r="S23" s="251"/>
      <c r="T23" s="251"/>
      <c r="U23" s="251"/>
      <c r="V23" s="251"/>
      <c r="W23" s="251"/>
      <c r="X23" s="251"/>
      <c r="Y23" s="251"/>
      <c r="Z23" s="251"/>
    </row>
    <row r="24" spans="2:26" ht="10.199999999999999" customHeight="1">
      <c r="B24" s="56" t="str">
        <f>IF('Low Stress Type Gasket'!BE29="","",'Low Stress Type Gasket'!BE29)</f>
        <v/>
      </c>
      <c r="C24" s="58" t="str">
        <f t="shared" ca="1" si="1"/>
        <v/>
      </c>
      <c r="D24" s="58" t="str">
        <f t="shared" ca="1" si="1"/>
        <v/>
      </c>
      <c r="E24" s="58" t="str">
        <f t="shared" ca="1" si="1"/>
        <v/>
      </c>
      <c r="F24" s="58" t="str">
        <f t="shared" ca="1" si="1"/>
        <v/>
      </c>
      <c r="G24" s="58" t="str">
        <f t="shared" ca="1" si="1"/>
        <v/>
      </c>
      <c r="H24" s="58" t="str">
        <f t="shared" ca="1" si="1"/>
        <v/>
      </c>
      <c r="I24" s="58" t="str">
        <f t="shared" ca="1" si="1"/>
        <v/>
      </c>
      <c r="J24" s="58" t="str">
        <f t="shared" ca="1" si="1"/>
        <v/>
      </c>
      <c r="K24" s="58" t="str">
        <f t="shared" ca="1" si="1"/>
        <v/>
      </c>
      <c r="L24" s="58" t="str">
        <f t="shared" ca="1" si="1"/>
        <v/>
      </c>
      <c r="P24" s="241"/>
      <c r="Q24" s="241"/>
      <c r="R24" s="241"/>
      <c r="S24" s="241"/>
      <c r="T24" s="241"/>
      <c r="U24" s="241"/>
      <c r="V24" s="241"/>
      <c r="W24" s="241"/>
      <c r="X24" s="241"/>
      <c r="Y24" s="241"/>
      <c r="Z24" s="241"/>
    </row>
    <row r="25" spans="2:26" ht="10.199999999999999" customHeight="1">
      <c r="B25" s="56" t="str">
        <f>IF('Low Stress Type Gasket'!BE30="","",'Low Stress Type Gasket'!BE30)</f>
        <v/>
      </c>
      <c r="C25" s="58" t="str">
        <f t="shared" ca="1" si="1"/>
        <v/>
      </c>
      <c r="D25" s="58" t="str">
        <f t="shared" ca="1" si="1"/>
        <v/>
      </c>
      <c r="E25" s="58" t="str">
        <f t="shared" ca="1" si="1"/>
        <v/>
      </c>
      <c r="F25" s="58" t="str">
        <f t="shared" ca="1" si="1"/>
        <v/>
      </c>
      <c r="G25" s="58" t="str">
        <f t="shared" ca="1" si="1"/>
        <v/>
      </c>
      <c r="H25" s="58" t="str">
        <f t="shared" ca="1" si="1"/>
        <v/>
      </c>
      <c r="I25" s="58" t="str">
        <f t="shared" ca="1" si="1"/>
        <v/>
      </c>
      <c r="J25" s="58" t="str">
        <f t="shared" ca="1" si="1"/>
        <v/>
      </c>
      <c r="K25" s="58" t="str">
        <f t="shared" ca="1" si="1"/>
        <v/>
      </c>
      <c r="L25" s="58" t="str">
        <f t="shared" ca="1" si="1"/>
        <v/>
      </c>
      <c r="P25" s="251"/>
      <c r="Q25" s="251"/>
      <c r="R25" s="251"/>
      <c r="S25" s="251"/>
      <c r="T25" s="251"/>
      <c r="U25" s="251"/>
      <c r="V25" s="251"/>
      <c r="W25" s="251"/>
      <c r="X25" s="251"/>
      <c r="Y25" s="251"/>
      <c r="Z25" s="251"/>
    </row>
    <row r="26" spans="2:26" ht="10.199999999999999" customHeight="1">
      <c r="B26" s="56" t="str">
        <f>IF('Low Stress Type Gasket'!BE31="","",'Low Stress Type Gasket'!BE31)</f>
        <v/>
      </c>
      <c r="C26" s="58" t="str">
        <f t="shared" ca="1" si="1"/>
        <v/>
      </c>
      <c r="D26" s="58" t="str">
        <f t="shared" ca="1" si="1"/>
        <v/>
      </c>
      <c r="E26" s="58" t="str">
        <f t="shared" ca="1" si="1"/>
        <v/>
      </c>
      <c r="F26" s="58" t="str">
        <f t="shared" ca="1" si="1"/>
        <v/>
      </c>
      <c r="G26" s="58" t="str">
        <f t="shared" ca="1" si="1"/>
        <v/>
      </c>
      <c r="H26" s="58" t="str">
        <f t="shared" ca="1" si="1"/>
        <v/>
      </c>
      <c r="I26" s="58" t="str">
        <f t="shared" ca="1" si="1"/>
        <v/>
      </c>
      <c r="J26" s="58" t="str">
        <f t="shared" ca="1" si="1"/>
        <v/>
      </c>
      <c r="K26" s="58" t="str">
        <f t="shared" ca="1" si="1"/>
        <v/>
      </c>
      <c r="L26" s="58" t="str">
        <f t="shared" ca="1" si="1"/>
        <v/>
      </c>
      <c r="P26" s="251"/>
      <c r="Q26" s="251"/>
      <c r="R26" s="251"/>
      <c r="S26" s="251"/>
      <c r="T26" s="251"/>
      <c r="U26" s="251"/>
      <c r="V26" s="251"/>
      <c r="W26" s="251"/>
      <c r="X26" s="251"/>
      <c r="Y26" s="251"/>
      <c r="Z26" s="251"/>
    </row>
    <row r="27" spans="2:26" ht="10.199999999999999" customHeight="1">
      <c r="B27" s="56" t="str">
        <f>IF('Low Stress Type Gasket'!BE32="","",'Low Stress Type Gasket'!BE32)</f>
        <v/>
      </c>
      <c r="C27" s="58" t="str">
        <f t="shared" ca="1" si="1"/>
        <v/>
      </c>
      <c r="D27" s="58" t="str">
        <f t="shared" ca="1" si="1"/>
        <v/>
      </c>
      <c r="E27" s="58" t="str">
        <f t="shared" ca="1" si="1"/>
        <v/>
      </c>
      <c r="F27" s="58" t="str">
        <f t="shared" ca="1" si="1"/>
        <v/>
      </c>
      <c r="G27" s="58" t="str">
        <f t="shared" ca="1" si="1"/>
        <v/>
      </c>
      <c r="H27" s="58" t="str">
        <f t="shared" ca="1" si="1"/>
        <v/>
      </c>
      <c r="I27" s="58" t="str">
        <f t="shared" ca="1" si="1"/>
        <v/>
      </c>
      <c r="J27" s="58" t="str">
        <f t="shared" ca="1" si="1"/>
        <v/>
      </c>
      <c r="K27" s="58" t="str">
        <f t="shared" ca="1" si="1"/>
        <v/>
      </c>
      <c r="L27" s="58" t="str">
        <f t="shared" ca="1" si="1"/>
        <v/>
      </c>
      <c r="P27" s="241"/>
      <c r="Q27" s="241"/>
      <c r="R27" s="241"/>
      <c r="S27" s="241"/>
      <c r="T27" s="241"/>
      <c r="U27" s="241"/>
      <c r="V27" s="241"/>
      <c r="W27" s="241"/>
      <c r="X27" s="241"/>
      <c r="Y27" s="241"/>
      <c r="Z27" s="241"/>
    </row>
    <row r="28" spans="2:26" ht="10.199999999999999" customHeight="1">
      <c r="B28" s="56" t="str">
        <f>IF('Low Stress Type Gasket'!BE33="","",'Low Stress Type Gasket'!BE33)</f>
        <v/>
      </c>
      <c r="C28" s="58" t="str">
        <f t="shared" ca="1" si="1"/>
        <v/>
      </c>
      <c r="D28" s="58" t="str">
        <f t="shared" ca="1" si="1"/>
        <v/>
      </c>
      <c r="E28" s="58" t="str">
        <f t="shared" ca="1" si="1"/>
        <v/>
      </c>
      <c r="F28" s="58" t="str">
        <f t="shared" ca="1" si="1"/>
        <v/>
      </c>
      <c r="G28" s="58" t="str">
        <f t="shared" ca="1" si="1"/>
        <v/>
      </c>
      <c r="H28" s="58" t="str">
        <f t="shared" ca="1" si="1"/>
        <v/>
      </c>
      <c r="I28" s="58" t="str">
        <f t="shared" ca="1" si="1"/>
        <v/>
      </c>
      <c r="J28" s="58" t="str">
        <f t="shared" ca="1" si="1"/>
        <v/>
      </c>
      <c r="K28" s="58" t="str">
        <f t="shared" ca="1" si="1"/>
        <v/>
      </c>
      <c r="L28" s="58" t="str">
        <f t="shared" ca="1" si="1"/>
        <v/>
      </c>
      <c r="P28" s="251"/>
      <c r="Q28" s="251"/>
      <c r="R28" s="251"/>
      <c r="S28" s="251"/>
      <c r="T28" s="251"/>
      <c r="U28" s="251"/>
      <c r="V28" s="251"/>
      <c r="W28" s="251"/>
      <c r="X28" s="251"/>
      <c r="Y28" s="251"/>
      <c r="Z28" s="251"/>
    </row>
    <row r="29" spans="2:26" ht="10.199999999999999" customHeight="1">
      <c r="B29" s="56" t="str">
        <f>IF('Low Stress Type Gasket'!BE34="","",'Low Stress Type Gasket'!BE34)</f>
        <v/>
      </c>
      <c r="C29" s="58" t="str">
        <f t="shared" ca="1" si="1"/>
        <v/>
      </c>
      <c r="D29" s="58" t="str">
        <f t="shared" ca="1" si="1"/>
        <v/>
      </c>
      <c r="E29" s="58" t="str">
        <f t="shared" ca="1" si="1"/>
        <v/>
      </c>
      <c r="F29" s="58" t="str">
        <f t="shared" ca="1" si="1"/>
        <v/>
      </c>
      <c r="G29" s="58" t="str">
        <f t="shared" ca="1" si="1"/>
        <v/>
      </c>
      <c r="H29" s="58" t="str">
        <f t="shared" ca="1" si="1"/>
        <v/>
      </c>
      <c r="I29" s="58" t="str">
        <f t="shared" ca="1" si="1"/>
        <v/>
      </c>
      <c r="J29" s="58" t="str">
        <f t="shared" ca="1" si="1"/>
        <v/>
      </c>
      <c r="K29" s="58" t="str">
        <f t="shared" ca="1" si="1"/>
        <v/>
      </c>
      <c r="L29" s="58" t="str">
        <f t="shared" ca="1" si="1"/>
        <v/>
      </c>
      <c r="P29" s="251"/>
      <c r="Q29" s="251"/>
      <c r="R29" s="251"/>
      <c r="S29" s="251"/>
      <c r="T29" s="251"/>
      <c r="U29" s="251"/>
      <c r="V29" s="251"/>
      <c r="W29" s="251"/>
      <c r="X29" s="251"/>
      <c r="Y29" s="251"/>
      <c r="Z29" s="251"/>
    </row>
    <row r="30" spans="2:26" ht="10.199999999999999" customHeight="1">
      <c r="B30" s="56" t="str">
        <f>IF('Low Stress Type Gasket'!BE35="","",'Low Stress Type Gasket'!BE35)</f>
        <v/>
      </c>
      <c r="C30" s="58" t="str">
        <f t="shared" ca="1" si="1"/>
        <v/>
      </c>
      <c r="D30" s="58" t="str">
        <f t="shared" ca="1" si="1"/>
        <v/>
      </c>
      <c r="E30" s="58" t="str">
        <f t="shared" ca="1" si="1"/>
        <v/>
      </c>
      <c r="F30" s="58" t="str">
        <f t="shared" ca="1" si="1"/>
        <v/>
      </c>
      <c r="G30" s="58" t="str">
        <f t="shared" ca="1" si="1"/>
        <v/>
      </c>
      <c r="H30" s="58" t="str">
        <f t="shared" ca="1" si="1"/>
        <v/>
      </c>
      <c r="I30" s="58" t="str">
        <f t="shared" ca="1" si="1"/>
        <v/>
      </c>
      <c r="J30" s="58" t="str">
        <f t="shared" ca="1" si="1"/>
        <v/>
      </c>
      <c r="K30" s="58" t="str">
        <f t="shared" ca="1" si="1"/>
        <v/>
      </c>
      <c r="L30" s="58" t="str">
        <f t="shared" ca="1" si="1"/>
        <v/>
      </c>
      <c r="P30" s="241"/>
      <c r="Q30" s="241"/>
      <c r="R30" s="241"/>
      <c r="S30" s="241"/>
      <c r="T30" s="241"/>
      <c r="U30" s="241"/>
      <c r="V30" s="241"/>
      <c r="W30" s="241"/>
      <c r="X30" s="241"/>
      <c r="Y30" s="241"/>
      <c r="Z30" s="241"/>
    </row>
    <row r="31" spans="2:26" ht="10.199999999999999" customHeight="1">
      <c r="B31" s="56" t="str">
        <f>IF('Low Stress Type Gasket'!BE36="","",'Low Stress Type Gasket'!BE36)</f>
        <v/>
      </c>
      <c r="C31" s="58" t="str">
        <f t="shared" ca="1" si="1"/>
        <v/>
      </c>
      <c r="D31" s="58" t="str">
        <f t="shared" ca="1" si="1"/>
        <v/>
      </c>
      <c r="E31" s="58" t="str">
        <f t="shared" ca="1" si="1"/>
        <v/>
      </c>
      <c r="F31" s="58" t="str">
        <f t="shared" ca="1" si="1"/>
        <v/>
      </c>
      <c r="G31" s="58" t="str">
        <f t="shared" ca="1" si="1"/>
        <v/>
      </c>
      <c r="H31" s="58" t="str">
        <f t="shared" ca="1" si="1"/>
        <v/>
      </c>
      <c r="I31" s="58" t="str">
        <f t="shared" ca="1" si="1"/>
        <v/>
      </c>
      <c r="J31" s="58" t="str">
        <f t="shared" ca="1" si="1"/>
        <v/>
      </c>
      <c r="K31" s="58" t="str">
        <f t="shared" ca="1" si="1"/>
        <v/>
      </c>
      <c r="L31" s="58" t="str">
        <f t="shared" ca="1" si="1"/>
        <v/>
      </c>
      <c r="P31" s="251"/>
      <c r="Q31" s="251"/>
      <c r="R31" s="251"/>
      <c r="S31" s="251"/>
      <c r="T31" s="251"/>
      <c r="U31" s="251"/>
      <c r="V31" s="251"/>
      <c r="W31" s="251"/>
      <c r="X31" s="251"/>
      <c r="Y31" s="251"/>
      <c r="Z31" s="251"/>
    </row>
    <row r="32" spans="2:26" ht="10.199999999999999" customHeight="1">
      <c r="B32" s="56" t="str">
        <f>IF('Low Stress Type Gasket'!BE37="","",'Low Stress Type Gasket'!BE37)</f>
        <v/>
      </c>
      <c r="C32" s="58" t="str">
        <f t="shared" ca="1" si="1"/>
        <v/>
      </c>
      <c r="D32" s="58" t="str">
        <f t="shared" ca="1" si="1"/>
        <v/>
      </c>
      <c r="E32" s="58" t="str">
        <f t="shared" ca="1" si="1"/>
        <v/>
      </c>
      <c r="F32" s="58" t="str">
        <f t="shared" ca="1" si="1"/>
        <v/>
      </c>
      <c r="G32" s="58" t="str">
        <f t="shared" ca="1" si="1"/>
        <v/>
      </c>
      <c r="H32" s="58" t="str">
        <f t="shared" ca="1" si="1"/>
        <v/>
      </c>
      <c r="I32" s="58" t="str">
        <f t="shared" ca="1" si="1"/>
        <v/>
      </c>
      <c r="J32" s="58" t="str">
        <f t="shared" ca="1" si="1"/>
        <v/>
      </c>
      <c r="K32" s="58" t="str">
        <f t="shared" ca="1" si="1"/>
        <v/>
      </c>
      <c r="L32" s="58" t="str">
        <f t="shared" ca="1" si="1"/>
        <v/>
      </c>
      <c r="P32" s="251"/>
      <c r="Q32" s="251"/>
      <c r="R32" s="251"/>
      <c r="S32" s="251"/>
      <c r="T32" s="251"/>
      <c r="U32" s="251"/>
      <c r="V32" s="251"/>
      <c r="W32" s="251"/>
      <c r="X32" s="251"/>
      <c r="Y32" s="251"/>
      <c r="Z32" s="251"/>
    </row>
    <row r="33" spans="2:26" ht="10.199999999999999" customHeight="1">
      <c r="B33" s="56" t="str">
        <f>IF('Low Stress Type Gasket'!BE38="","",'Low Stress Type Gasket'!BE38)</f>
        <v/>
      </c>
      <c r="C33" s="58" t="str">
        <f t="shared" ca="1" si="1"/>
        <v/>
      </c>
      <c r="D33" s="58" t="str">
        <f t="shared" ca="1" si="1"/>
        <v/>
      </c>
      <c r="E33" s="58" t="str">
        <f t="shared" ca="1" si="1"/>
        <v/>
      </c>
      <c r="F33" s="58" t="str">
        <f t="shared" ca="1" si="1"/>
        <v/>
      </c>
      <c r="G33" s="58" t="str">
        <f t="shared" ca="1" si="1"/>
        <v/>
      </c>
      <c r="H33" s="58" t="str">
        <f t="shared" ca="1" si="1"/>
        <v/>
      </c>
      <c r="I33" s="58" t="str">
        <f t="shared" ca="1" si="1"/>
        <v/>
      </c>
      <c r="J33" s="58" t="str">
        <f t="shared" ca="1" si="1"/>
        <v/>
      </c>
      <c r="K33" s="58" t="str">
        <f t="shared" ca="1" si="1"/>
        <v/>
      </c>
      <c r="L33" s="58" t="str">
        <f t="shared" ca="1" si="1"/>
        <v/>
      </c>
      <c r="P33" s="241"/>
      <c r="Q33" s="241"/>
      <c r="R33" s="241"/>
      <c r="S33" s="241"/>
      <c r="T33" s="241"/>
      <c r="U33" s="241"/>
      <c r="V33" s="241"/>
      <c r="W33" s="241"/>
      <c r="X33" s="241"/>
      <c r="Y33" s="241"/>
      <c r="Z33" s="241"/>
    </row>
    <row r="34" spans="2:26" ht="10.199999999999999" customHeight="1">
      <c r="B34" s="56" t="str">
        <f>IF('Low Stress Type Gasket'!BE39="","",'Low Stress Type Gasket'!BE39)</f>
        <v/>
      </c>
      <c r="C34" s="58" t="str">
        <f t="shared" ca="1" si="1"/>
        <v/>
      </c>
      <c r="D34" s="58" t="str">
        <f t="shared" ca="1" si="1"/>
        <v/>
      </c>
      <c r="E34" s="58" t="str">
        <f t="shared" ca="1" si="1"/>
        <v/>
      </c>
      <c r="F34" s="58" t="str">
        <f t="shared" ca="1" si="1"/>
        <v/>
      </c>
      <c r="G34" s="58" t="str">
        <f t="shared" ca="1" si="1"/>
        <v/>
      </c>
      <c r="H34" s="58" t="str">
        <f t="shared" ca="1" si="1"/>
        <v/>
      </c>
      <c r="I34" s="58" t="str">
        <f t="shared" ca="1" si="1"/>
        <v/>
      </c>
      <c r="J34" s="58" t="str">
        <f t="shared" ca="1" si="1"/>
        <v/>
      </c>
      <c r="K34" s="58" t="str">
        <f t="shared" ca="1" si="1"/>
        <v/>
      </c>
      <c r="L34" s="58" t="str">
        <f t="shared" ca="1" si="1"/>
        <v/>
      </c>
      <c r="P34" s="251"/>
      <c r="Q34" s="251"/>
      <c r="R34" s="251"/>
      <c r="S34" s="251"/>
      <c r="T34" s="251"/>
      <c r="U34" s="251"/>
      <c r="V34" s="251"/>
      <c r="W34" s="251"/>
      <c r="X34" s="251"/>
      <c r="Y34" s="251"/>
      <c r="Z34" s="251"/>
    </row>
    <row r="35" spans="2:26" ht="10.199999999999999" customHeight="1">
      <c r="B35" s="56" t="str">
        <f>IF('Low Stress Type Gasket'!BE40="","",'Low Stress Type Gasket'!BE40)</f>
        <v/>
      </c>
      <c r="C35" s="58" t="str">
        <f t="shared" ca="1" si="1"/>
        <v/>
      </c>
      <c r="D35" s="58" t="str">
        <f t="shared" ca="1" si="1"/>
        <v/>
      </c>
      <c r="E35" s="58" t="str">
        <f t="shared" ca="1" si="1"/>
        <v/>
      </c>
      <c r="F35" s="58" t="str">
        <f t="shared" ca="1" si="1"/>
        <v/>
      </c>
      <c r="G35" s="58" t="str">
        <f t="shared" ca="1" si="1"/>
        <v/>
      </c>
      <c r="H35" s="58" t="str">
        <f t="shared" ca="1" si="1"/>
        <v/>
      </c>
      <c r="I35" s="58" t="str">
        <f t="shared" ca="1" si="1"/>
        <v/>
      </c>
      <c r="J35" s="58" t="str">
        <f t="shared" ca="1" si="1"/>
        <v/>
      </c>
      <c r="K35" s="58" t="str">
        <f t="shared" ca="1" si="1"/>
        <v/>
      </c>
      <c r="L35" s="58" t="str">
        <f t="shared" ca="1" si="1"/>
        <v/>
      </c>
      <c r="P35" s="251"/>
      <c r="Q35" s="251"/>
      <c r="R35" s="251"/>
      <c r="S35" s="251"/>
      <c r="T35" s="251"/>
      <c r="U35" s="251"/>
      <c r="V35" s="251"/>
      <c r="W35" s="251"/>
      <c r="X35" s="251"/>
      <c r="Y35" s="251"/>
      <c r="Z35" s="251"/>
    </row>
    <row r="36" spans="2:26" ht="10.199999999999999" customHeight="1">
      <c r="B36" s="56" t="str">
        <f>IF('Low Stress Type Gasket'!BE41="","",'Low Stress Type Gasket'!BE41)</f>
        <v/>
      </c>
      <c r="C36" s="58" t="str">
        <f t="shared" ca="1" si="1"/>
        <v/>
      </c>
      <c r="D36" s="58" t="str">
        <f t="shared" ca="1" si="1"/>
        <v/>
      </c>
      <c r="E36" s="58" t="str">
        <f t="shared" ca="1" si="1"/>
        <v/>
      </c>
      <c r="F36" s="58" t="str">
        <f t="shared" ca="1" si="1"/>
        <v/>
      </c>
      <c r="G36" s="58" t="str">
        <f t="shared" ca="1" si="1"/>
        <v/>
      </c>
      <c r="H36" s="58" t="str">
        <f t="shared" ca="1" si="1"/>
        <v/>
      </c>
      <c r="I36" s="58" t="str">
        <f t="shared" ca="1" si="1"/>
        <v/>
      </c>
      <c r="J36" s="58" t="str">
        <f t="shared" ca="1" si="1"/>
        <v/>
      </c>
      <c r="K36" s="58" t="str">
        <f t="shared" ca="1" si="1"/>
        <v/>
      </c>
      <c r="L36" s="58" t="str">
        <f t="shared" ca="1" si="1"/>
        <v/>
      </c>
      <c r="P36" s="241"/>
      <c r="Q36" s="241"/>
      <c r="R36" s="241"/>
      <c r="S36" s="241"/>
      <c r="T36" s="241"/>
      <c r="U36" s="241"/>
      <c r="V36" s="241"/>
      <c r="W36" s="241"/>
      <c r="X36" s="241"/>
      <c r="Y36" s="241"/>
      <c r="Z36" s="241"/>
    </row>
    <row r="37" spans="2:26" ht="10.199999999999999" customHeight="1">
      <c r="B37" s="56" t="str">
        <f>IF('Low Stress Type Gasket'!BE42="","",'Low Stress Type Gasket'!BE42)</f>
        <v/>
      </c>
      <c r="C37" s="58" t="str">
        <f t="shared" ca="1" si="1"/>
        <v/>
      </c>
      <c r="D37" s="58" t="str">
        <f t="shared" ca="1" si="1"/>
        <v/>
      </c>
      <c r="E37" s="58" t="str">
        <f t="shared" ca="1" si="1"/>
        <v/>
      </c>
      <c r="F37" s="58" t="str">
        <f t="shared" ca="1" si="1"/>
        <v/>
      </c>
      <c r="G37" s="58" t="str">
        <f t="shared" ca="1" si="1"/>
        <v/>
      </c>
      <c r="H37" s="58" t="str">
        <f t="shared" ca="1" si="1"/>
        <v/>
      </c>
      <c r="I37" s="58" t="str">
        <f t="shared" ca="1" si="1"/>
        <v/>
      </c>
      <c r="J37" s="58" t="str">
        <f t="shared" ca="1" si="1"/>
        <v/>
      </c>
      <c r="K37" s="58" t="str">
        <f t="shared" ca="1" si="1"/>
        <v/>
      </c>
      <c r="L37" s="58" t="str">
        <f t="shared" ca="1" si="1"/>
        <v/>
      </c>
      <c r="P37" s="251"/>
      <c r="Q37" s="251"/>
      <c r="R37" s="251"/>
      <c r="S37" s="251"/>
      <c r="T37" s="251"/>
      <c r="U37" s="251"/>
      <c r="V37" s="251"/>
      <c r="W37" s="251"/>
      <c r="X37" s="251"/>
      <c r="Y37" s="251"/>
      <c r="Z37" s="251"/>
    </row>
    <row r="38" spans="2:26" ht="10.199999999999999" customHeight="1">
      <c r="B38" s="56" t="str">
        <f>IF('Low Stress Type Gasket'!BE43="","",'Low Stress Type Gasket'!BE43)</f>
        <v/>
      </c>
      <c r="C38" s="58" t="str">
        <f t="shared" ref="C38:L53" ca="1" si="2">IF($M$4=0,"",VLOOKUP($B38,INDIRECT("$P$1:$Z$"&amp;$M$4),COLUMN()-1,0))</f>
        <v/>
      </c>
      <c r="D38" s="58" t="str">
        <f t="shared" ca="1" si="2"/>
        <v/>
      </c>
      <c r="E38" s="58" t="str">
        <f t="shared" ca="1" si="2"/>
        <v/>
      </c>
      <c r="F38" s="58" t="str">
        <f t="shared" ca="1" si="2"/>
        <v/>
      </c>
      <c r="G38" s="58" t="str">
        <f t="shared" ca="1" si="2"/>
        <v/>
      </c>
      <c r="H38" s="58" t="str">
        <f t="shared" ca="1" si="2"/>
        <v/>
      </c>
      <c r="I38" s="58" t="str">
        <f t="shared" ca="1" si="2"/>
        <v/>
      </c>
      <c r="J38" s="58" t="str">
        <f t="shared" ca="1" si="2"/>
        <v/>
      </c>
      <c r="K38" s="58" t="str">
        <f t="shared" ca="1" si="2"/>
        <v/>
      </c>
      <c r="L38" s="58" t="str">
        <f t="shared" ca="1" si="2"/>
        <v/>
      </c>
      <c r="P38" s="251"/>
      <c r="Q38" s="251"/>
      <c r="R38" s="251"/>
      <c r="S38" s="251"/>
      <c r="T38" s="251"/>
      <c r="U38" s="251"/>
      <c r="V38" s="251"/>
      <c r="W38" s="251"/>
      <c r="X38" s="251"/>
      <c r="Y38" s="251"/>
      <c r="Z38" s="251"/>
    </row>
    <row r="39" spans="2:26" ht="10.199999999999999" customHeight="1">
      <c r="B39" s="56" t="str">
        <f>IF('Low Stress Type Gasket'!BE44="","",'Low Stress Type Gasket'!BE44)</f>
        <v/>
      </c>
      <c r="C39" s="58" t="str">
        <f t="shared" ca="1" si="2"/>
        <v/>
      </c>
      <c r="D39" s="58" t="str">
        <f t="shared" ca="1" si="2"/>
        <v/>
      </c>
      <c r="E39" s="58" t="str">
        <f t="shared" ca="1" si="2"/>
        <v/>
      </c>
      <c r="F39" s="58" t="str">
        <f t="shared" ca="1" si="2"/>
        <v/>
      </c>
      <c r="G39" s="58" t="str">
        <f t="shared" ca="1" si="2"/>
        <v/>
      </c>
      <c r="H39" s="58" t="str">
        <f t="shared" ca="1" si="2"/>
        <v/>
      </c>
      <c r="I39" s="58" t="str">
        <f t="shared" ca="1" si="2"/>
        <v/>
      </c>
      <c r="J39" s="58" t="str">
        <f t="shared" ca="1" si="2"/>
        <v/>
      </c>
      <c r="K39" s="58" t="str">
        <f t="shared" ca="1" si="2"/>
        <v/>
      </c>
      <c r="L39" s="58" t="str">
        <f t="shared" ca="1" si="2"/>
        <v/>
      </c>
      <c r="P39" s="241"/>
      <c r="Q39" s="241"/>
      <c r="R39" s="241"/>
      <c r="S39" s="241"/>
      <c r="T39" s="241"/>
      <c r="U39" s="241"/>
      <c r="V39" s="241"/>
      <c r="W39" s="241"/>
      <c r="X39" s="241"/>
      <c r="Y39" s="241"/>
      <c r="Z39" s="241"/>
    </row>
    <row r="40" spans="2:26" ht="10.199999999999999" customHeight="1">
      <c r="B40" s="56" t="str">
        <f>IF('Low Stress Type Gasket'!BE45="","",'Low Stress Type Gasket'!BE45)</f>
        <v/>
      </c>
      <c r="C40" s="58" t="str">
        <f t="shared" ca="1" si="2"/>
        <v/>
      </c>
      <c r="D40" s="58" t="str">
        <f t="shared" ca="1" si="2"/>
        <v/>
      </c>
      <c r="E40" s="58" t="str">
        <f t="shared" ca="1" si="2"/>
        <v/>
      </c>
      <c r="F40" s="58" t="str">
        <f t="shared" ca="1" si="2"/>
        <v/>
      </c>
      <c r="G40" s="58" t="str">
        <f t="shared" ca="1" si="2"/>
        <v/>
      </c>
      <c r="H40" s="58" t="str">
        <f t="shared" ca="1" si="2"/>
        <v/>
      </c>
      <c r="I40" s="58" t="str">
        <f t="shared" ca="1" si="2"/>
        <v/>
      </c>
      <c r="J40" s="58" t="str">
        <f t="shared" ca="1" si="2"/>
        <v/>
      </c>
      <c r="K40" s="58" t="str">
        <f t="shared" ca="1" si="2"/>
        <v/>
      </c>
      <c r="L40" s="58" t="str">
        <f t="shared" ca="1" si="2"/>
        <v/>
      </c>
      <c r="P40" s="251"/>
      <c r="Q40" s="251"/>
      <c r="R40" s="251"/>
      <c r="S40" s="251"/>
      <c r="T40" s="251"/>
      <c r="U40" s="251"/>
      <c r="V40" s="251"/>
      <c r="W40" s="251"/>
      <c r="X40" s="251"/>
      <c r="Y40" s="251"/>
      <c r="Z40" s="251"/>
    </row>
    <row r="41" spans="2:26" ht="10.199999999999999" customHeight="1">
      <c r="B41" s="56" t="str">
        <f>IF('Low Stress Type Gasket'!BE46="","",'Low Stress Type Gasket'!BE46)</f>
        <v/>
      </c>
      <c r="C41" s="58" t="str">
        <f t="shared" ca="1" si="2"/>
        <v/>
      </c>
      <c r="D41" s="58" t="str">
        <f t="shared" ca="1" si="2"/>
        <v/>
      </c>
      <c r="E41" s="58" t="str">
        <f t="shared" ca="1" si="2"/>
        <v/>
      </c>
      <c r="F41" s="58" t="str">
        <f t="shared" ca="1" si="2"/>
        <v/>
      </c>
      <c r="G41" s="58" t="str">
        <f t="shared" ca="1" si="2"/>
        <v/>
      </c>
      <c r="H41" s="58" t="str">
        <f t="shared" ca="1" si="2"/>
        <v/>
      </c>
      <c r="I41" s="58" t="str">
        <f t="shared" ca="1" si="2"/>
        <v/>
      </c>
      <c r="J41" s="58" t="str">
        <f t="shared" ca="1" si="2"/>
        <v/>
      </c>
      <c r="K41" s="58" t="str">
        <f t="shared" ca="1" si="2"/>
        <v/>
      </c>
      <c r="L41" s="58" t="str">
        <f t="shared" ca="1" si="2"/>
        <v/>
      </c>
      <c r="P41" s="251"/>
      <c r="Q41" s="251"/>
      <c r="R41" s="251"/>
      <c r="S41" s="251"/>
      <c r="T41" s="251"/>
      <c r="U41" s="251"/>
      <c r="V41" s="251"/>
      <c r="W41" s="251"/>
      <c r="X41" s="251"/>
      <c r="Y41" s="251"/>
      <c r="Z41" s="251"/>
    </row>
    <row r="42" spans="2:26" ht="10.199999999999999" customHeight="1">
      <c r="B42" s="56" t="str">
        <f>IF('Low Stress Type Gasket'!BE47="","",'Low Stress Type Gasket'!BE47)</f>
        <v/>
      </c>
      <c r="C42" s="58" t="str">
        <f t="shared" ca="1" si="2"/>
        <v/>
      </c>
      <c r="D42" s="58" t="str">
        <f t="shared" ca="1" si="2"/>
        <v/>
      </c>
      <c r="E42" s="58" t="str">
        <f t="shared" ca="1" si="2"/>
        <v/>
      </c>
      <c r="F42" s="58" t="str">
        <f t="shared" ca="1" si="2"/>
        <v/>
      </c>
      <c r="G42" s="58" t="str">
        <f t="shared" ca="1" si="2"/>
        <v/>
      </c>
      <c r="H42" s="58" t="str">
        <f t="shared" ca="1" si="2"/>
        <v/>
      </c>
      <c r="I42" s="58" t="str">
        <f t="shared" ca="1" si="2"/>
        <v/>
      </c>
      <c r="J42" s="58" t="str">
        <f t="shared" ca="1" si="2"/>
        <v/>
      </c>
      <c r="K42" s="58" t="str">
        <f t="shared" ca="1" si="2"/>
        <v/>
      </c>
      <c r="L42" s="58" t="str">
        <f t="shared" ca="1" si="2"/>
        <v/>
      </c>
      <c r="P42" s="241"/>
      <c r="Q42" s="241"/>
      <c r="R42" s="241"/>
      <c r="S42" s="241"/>
      <c r="T42" s="241"/>
      <c r="U42" s="241"/>
      <c r="V42" s="241"/>
      <c r="W42" s="241"/>
      <c r="X42" s="241"/>
      <c r="Y42" s="241"/>
      <c r="Z42" s="241"/>
    </row>
    <row r="43" spans="2:26" ht="10.199999999999999" customHeight="1">
      <c r="B43" s="56" t="str">
        <f>IF('Low Stress Type Gasket'!BE48="","",'Low Stress Type Gasket'!BE48)</f>
        <v/>
      </c>
      <c r="C43" s="58" t="str">
        <f t="shared" ca="1" si="2"/>
        <v/>
      </c>
      <c r="D43" s="58" t="str">
        <f t="shared" ca="1" si="2"/>
        <v/>
      </c>
      <c r="E43" s="58" t="str">
        <f t="shared" ca="1" si="2"/>
        <v/>
      </c>
      <c r="F43" s="58" t="str">
        <f t="shared" ca="1" si="2"/>
        <v/>
      </c>
      <c r="G43" s="58" t="str">
        <f t="shared" ca="1" si="2"/>
        <v/>
      </c>
      <c r="H43" s="58" t="str">
        <f t="shared" ca="1" si="2"/>
        <v/>
      </c>
      <c r="I43" s="58" t="str">
        <f t="shared" ca="1" si="2"/>
        <v/>
      </c>
      <c r="J43" s="58" t="str">
        <f t="shared" ca="1" si="2"/>
        <v/>
      </c>
      <c r="K43" s="58" t="str">
        <f t="shared" ca="1" si="2"/>
        <v/>
      </c>
      <c r="L43" s="58" t="str">
        <f t="shared" ca="1" si="2"/>
        <v/>
      </c>
      <c r="P43" s="251"/>
      <c r="Q43" s="251"/>
      <c r="R43" s="251"/>
      <c r="S43" s="251"/>
      <c r="T43" s="251"/>
      <c r="U43" s="251"/>
      <c r="V43" s="251"/>
      <c r="W43" s="251"/>
      <c r="X43" s="251"/>
      <c r="Y43" s="251"/>
      <c r="Z43" s="251"/>
    </row>
    <row r="44" spans="2:26" ht="10.199999999999999" customHeight="1">
      <c r="B44" s="56" t="str">
        <f>IF('Low Stress Type Gasket'!BE49="","",'Low Stress Type Gasket'!BE49)</f>
        <v/>
      </c>
      <c r="C44" s="58" t="str">
        <f t="shared" ca="1" si="2"/>
        <v/>
      </c>
      <c r="D44" s="58" t="str">
        <f t="shared" ca="1" si="2"/>
        <v/>
      </c>
      <c r="E44" s="58" t="str">
        <f t="shared" ca="1" si="2"/>
        <v/>
      </c>
      <c r="F44" s="58" t="str">
        <f t="shared" ca="1" si="2"/>
        <v/>
      </c>
      <c r="G44" s="58" t="str">
        <f t="shared" ca="1" si="2"/>
        <v/>
      </c>
      <c r="H44" s="58" t="str">
        <f t="shared" ca="1" si="2"/>
        <v/>
      </c>
      <c r="I44" s="58" t="str">
        <f t="shared" ca="1" si="2"/>
        <v/>
      </c>
      <c r="J44" s="58" t="str">
        <f t="shared" ca="1" si="2"/>
        <v/>
      </c>
      <c r="K44" s="58" t="str">
        <f t="shared" ca="1" si="2"/>
        <v/>
      </c>
      <c r="L44" s="58" t="str">
        <f t="shared" ca="1" si="2"/>
        <v/>
      </c>
      <c r="P44" s="251"/>
      <c r="Q44" s="251"/>
      <c r="R44" s="251"/>
      <c r="S44" s="251"/>
      <c r="T44" s="251"/>
      <c r="U44" s="251"/>
      <c r="V44" s="251"/>
      <c r="W44" s="251"/>
      <c r="X44" s="251"/>
      <c r="Y44" s="251"/>
      <c r="Z44" s="251"/>
    </row>
    <row r="45" spans="2:26" ht="10.199999999999999" customHeight="1">
      <c r="B45" s="56" t="str">
        <f>IF('Low Stress Type Gasket'!BE50="","",'Low Stress Type Gasket'!BE50)</f>
        <v/>
      </c>
      <c r="C45" s="58" t="str">
        <f t="shared" ca="1" si="2"/>
        <v/>
      </c>
      <c r="D45" s="58" t="str">
        <f t="shared" ca="1" si="2"/>
        <v/>
      </c>
      <c r="E45" s="58" t="str">
        <f t="shared" ca="1" si="2"/>
        <v/>
      </c>
      <c r="F45" s="58" t="str">
        <f t="shared" ca="1" si="2"/>
        <v/>
      </c>
      <c r="G45" s="58" t="str">
        <f t="shared" ca="1" si="2"/>
        <v/>
      </c>
      <c r="H45" s="58" t="str">
        <f t="shared" ca="1" si="2"/>
        <v/>
      </c>
      <c r="I45" s="58" t="str">
        <f t="shared" ca="1" si="2"/>
        <v/>
      </c>
      <c r="J45" s="58" t="str">
        <f t="shared" ca="1" si="2"/>
        <v/>
      </c>
      <c r="K45" s="58" t="str">
        <f t="shared" ca="1" si="2"/>
        <v/>
      </c>
      <c r="L45" s="58" t="str">
        <f t="shared" ca="1" si="2"/>
        <v/>
      </c>
      <c r="P45" s="241"/>
      <c r="Q45" s="241"/>
      <c r="R45" s="241"/>
      <c r="S45" s="241"/>
      <c r="T45" s="241"/>
      <c r="U45" s="241"/>
      <c r="V45" s="241"/>
      <c r="W45" s="241"/>
      <c r="X45" s="241"/>
      <c r="Y45" s="241"/>
      <c r="Z45" s="241"/>
    </row>
    <row r="46" spans="2:26" ht="10.199999999999999" customHeight="1">
      <c r="B46" s="56" t="str">
        <f>IF('Low Stress Type Gasket'!BE51="","",'Low Stress Type Gasket'!BE51)</f>
        <v/>
      </c>
      <c r="C46" s="58" t="str">
        <f t="shared" ca="1" si="2"/>
        <v/>
      </c>
      <c r="D46" s="58" t="str">
        <f t="shared" ca="1" si="2"/>
        <v/>
      </c>
      <c r="E46" s="58" t="str">
        <f t="shared" ca="1" si="2"/>
        <v/>
      </c>
      <c r="F46" s="58" t="str">
        <f t="shared" ca="1" si="2"/>
        <v/>
      </c>
      <c r="G46" s="58" t="str">
        <f t="shared" ca="1" si="2"/>
        <v/>
      </c>
      <c r="H46" s="58" t="str">
        <f t="shared" ca="1" si="2"/>
        <v/>
      </c>
      <c r="I46" s="58" t="str">
        <f t="shared" ca="1" si="2"/>
        <v/>
      </c>
      <c r="J46" s="58" t="str">
        <f t="shared" ca="1" si="2"/>
        <v/>
      </c>
      <c r="K46" s="58" t="str">
        <f t="shared" ca="1" si="2"/>
        <v/>
      </c>
      <c r="L46" s="58" t="str">
        <f t="shared" ca="1" si="2"/>
        <v/>
      </c>
      <c r="P46" s="251"/>
      <c r="Q46" s="251"/>
      <c r="R46" s="251"/>
      <c r="S46" s="251"/>
      <c r="T46" s="251"/>
      <c r="U46" s="251"/>
      <c r="V46" s="251"/>
      <c r="W46" s="251"/>
      <c r="X46" s="251"/>
      <c r="Y46" s="251"/>
      <c r="Z46" s="251"/>
    </row>
    <row r="47" spans="2:26" ht="10.199999999999999" customHeight="1">
      <c r="B47" s="56" t="str">
        <f>IF('Low Stress Type Gasket'!BE52="","",'Low Stress Type Gasket'!BE52)</f>
        <v/>
      </c>
      <c r="C47" s="58" t="str">
        <f t="shared" ca="1" si="2"/>
        <v/>
      </c>
      <c r="D47" s="58" t="str">
        <f t="shared" ca="1" si="2"/>
        <v/>
      </c>
      <c r="E47" s="58" t="str">
        <f t="shared" ca="1" si="2"/>
        <v/>
      </c>
      <c r="F47" s="58" t="str">
        <f t="shared" ca="1" si="2"/>
        <v/>
      </c>
      <c r="G47" s="58" t="str">
        <f t="shared" ca="1" si="2"/>
        <v/>
      </c>
      <c r="H47" s="58" t="str">
        <f t="shared" ca="1" si="2"/>
        <v/>
      </c>
      <c r="I47" s="58" t="str">
        <f t="shared" ca="1" si="2"/>
        <v/>
      </c>
      <c r="J47" s="58" t="str">
        <f t="shared" ca="1" si="2"/>
        <v/>
      </c>
      <c r="K47" s="58" t="str">
        <f t="shared" ca="1" si="2"/>
        <v/>
      </c>
      <c r="L47" s="58" t="str">
        <f t="shared" ca="1" si="2"/>
        <v/>
      </c>
      <c r="P47" s="251"/>
      <c r="Q47" s="251"/>
      <c r="R47" s="251"/>
      <c r="S47" s="251"/>
      <c r="T47" s="251"/>
      <c r="U47" s="251"/>
      <c r="V47" s="251"/>
      <c r="W47" s="251"/>
      <c r="X47" s="251"/>
      <c r="Y47" s="251"/>
      <c r="Z47" s="251"/>
    </row>
    <row r="48" spans="2:26" ht="10.199999999999999" customHeight="1">
      <c r="B48" s="56" t="str">
        <f>IF('Low Stress Type Gasket'!BE53="","",'Low Stress Type Gasket'!BE53)</f>
        <v/>
      </c>
      <c r="C48" s="58" t="str">
        <f t="shared" ca="1" si="2"/>
        <v/>
      </c>
      <c r="D48" s="58" t="str">
        <f t="shared" ca="1" si="2"/>
        <v/>
      </c>
      <c r="E48" s="58" t="str">
        <f t="shared" ca="1" si="2"/>
        <v/>
      </c>
      <c r="F48" s="58" t="str">
        <f t="shared" ca="1" si="2"/>
        <v/>
      </c>
      <c r="G48" s="58" t="str">
        <f t="shared" ca="1" si="2"/>
        <v/>
      </c>
      <c r="H48" s="58" t="str">
        <f t="shared" ca="1" si="2"/>
        <v/>
      </c>
      <c r="I48" s="58" t="str">
        <f t="shared" ca="1" si="2"/>
        <v/>
      </c>
      <c r="J48" s="58" t="str">
        <f t="shared" ca="1" si="2"/>
        <v/>
      </c>
      <c r="K48" s="58" t="str">
        <f t="shared" ca="1" si="2"/>
        <v/>
      </c>
      <c r="L48" s="58" t="str">
        <f t="shared" ca="1" si="2"/>
        <v/>
      </c>
      <c r="P48" s="241"/>
      <c r="Q48" s="241"/>
      <c r="R48" s="241"/>
      <c r="S48" s="241"/>
      <c r="T48" s="241"/>
      <c r="U48" s="241"/>
      <c r="V48" s="241"/>
      <c r="W48" s="241"/>
      <c r="X48" s="241"/>
      <c r="Y48" s="241"/>
      <c r="Z48" s="241"/>
    </row>
    <row r="49" spans="2:26" ht="10.199999999999999" customHeight="1">
      <c r="B49" s="56" t="str">
        <f>IF('Low Stress Type Gasket'!BE54="","",'Low Stress Type Gasket'!BE54)</f>
        <v/>
      </c>
      <c r="C49" s="58" t="str">
        <f t="shared" ca="1" si="2"/>
        <v/>
      </c>
      <c r="D49" s="58" t="str">
        <f t="shared" ca="1" si="2"/>
        <v/>
      </c>
      <c r="E49" s="58" t="str">
        <f t="shared" ca="1" si="2"/>
        <v/>
      </c>
      <c r="F49" s="58" t="str">
        <f t="shared" ca="1" si="2"/>
        <v/>
      </c>
      <c r="G49" s="58" t="str">
        <f t="shared" ca="1" si="2"/>
        <v/>
      </c>
      <c r="H49" s="58" t="str">
        <f t="shared" ca="1" si="2"/>
        <v/>
      </c>
      <c r="I49" s="58" t="str">
        <f t="shared" ca="1" si="2"/>
        <v/>
      </c>
      <c r="J49" s="58" t="str">
        <f t="shared" ca="1" si="2"/>
        <v/>
      </c>
      <c r="K49" s="58" t="str">
        <f t="shared" ca="1" si="2"/>
        <v/>
      </c>
      <c r="L49" s="58" t="str">
        <f t="shared" ca="1" si="2"/>
        <v/>
      </c>
      <c r="P49" s="251"/>
      <c r="Q49" s="251"/>
      <c r="R49" s="251"/>
      <c r="S49" s="251"/>
      <c r="T49" s="251"/>
      <c r="U49" s="251"/>
      <c r="V49" s="251"/>
      <c r="W49" s="251"/>
      <c r="X49" s="251"/>
      <c r="Y49" s="251"/>
      <c r="Z49" s="251"/>
    </row>
    <row r="50" spans="2:26" ht="10.199999999999999" customHeight="1">
      <c r="B50" s="56" t="str">
        <f>IF('Low Stress Type Gasket'!BE55="","",'Low Stress Type Gasket'!BE55)</f>
        <v/>
      </c>
      <c r="C50" s="58" t="str">
        <f t="shared" ca="1" si="2"/>
        <v/>
      </c>
      <c r="D50" s="58" t="str">
        <f t="shared" ca="1" si="2"/>
        <v/>
      </c>
      <c r="E50" s="58" t="str">
        <f t="shared" ca="1" si="2"/>
        <v/>
      </c>
      <c r="F50" s="58" t="str">
        <f t="shared" ca="1" si="2"/>
        <v/>
      </c>
      <c r="G50" s="58" t="str">
        <f t="shared" ca="1" si="2"/>
        <v/>
      </c>
      <c r="H50" s="58" t="str">
        <f t="shared" ca="1" si="2"/>
        <v/>
      </c>
      <c r="I50" s="58" t="str">
        <f t="shared" ca="1" si="2"/>
        <v/>
      </c>
      <c r="J50" s="58" t="str">
        <f t="shared" ca="1" si="2"/>
        <v/>
      </c>
      <c r="K50" s="58" t="str">
        <f t="shared" ca="1" si="2"/>
        <v/>
      </c>
      <c r="L50" s="58" t="str">
        <f t="shared" ca="1" si="2"/>
        <v/>
      </c>
      <c r="P50" s="251"/>
      <c r="Q50" s="251"/>
      <c r="R50" s="251"/>
      <c r="S50" s="251"/>
      <c r="T50" s="251"/>
      <c r="U50" s="251"/>
      <c r="V50" s="251"/>
      <c r="W50" s="251"/>
      <c r="X50" s="251"/>
      <c r="Y50" s="251"/>
      <c r="Z50" s="251"/>
    </row>
    <row r="51" spans="2:26" ht="10.199999999999999" customHeight="1">
      <c r="B51" s="56" t="str">
        <f>IF('Low Stress Type Gasket'!BE56="","",'Low Stress Type Gasket'!BE56)</f>
        <v/>
      </c>
      <c r="C51" s="58" t="str">
        <f t="shared" ca="1" si="2"/>
        <v/>
      </c>
      <c r="D51" s="58" t="str">
        <f t="shared" ca="1" si="2"/>
        <v/>
      </c>
      <c r="E51" s="58" t="str">
        <f t="shared" ca="1" si="2"/>
        <v/>
      </c>
      <c r="F51" s="58" t="str">
        <f t="shared" ca="1" si="2"/>
        <v/>
      </c>
      <c r="G51" s="58" t="str">
        <f t="shared" ca="1" si="2"/>
        <v/>
      </c>
      <c r="H51" s="58" t="str">
        <f t="shared" ca="1" si="2"/>
        <v/>
      </c>
      <c r="I51" s="58" t="str">
        <f t="shared" ca="1" si="2"/>
        <v/>
      </c>
      <c r="J51" s="58" t="str">
        <f t="shared" ca="1" si="2"/>
        <v/>
      </c>
      <c r="K51" s="58" t="str">
        <f t="shared" ca="1" si="2"/>
        <v/>
      </c>
      <c r="L51" s="58" t="str">
        <f t="shared" ca="1" si="2"/>
        <v/>
      </c>
      <c r="P51" s="241"/>
      <c r="Q51" s="241"/>
      <c r="R51" s="241"/>
      <c r="S51" s="241"/>
      <c r="T51" s="241"/>
      <c r="U51" s="241"/>
      <c r="V51" s="241"/>
      <c r="W51" s="241"/>
      <c r="X51" s="241"/>
      <c r="Y51" s="241"/>
      <c r="Z51" s="241"/>
    </row>
    <row r="52" spans="2:26" ht="10.199999999999999" customHeight="1">
      <c r="B52" s="56" t="str">
        <f>IF('Low Stress Type Gasket'!BE57="","",'Low Stress Type Gasket'!BE57)</f>
        <v/>
      </c>
      <c r="C52" s="58" t="str">
        <f t="shared" ca="1" si="2"/>
        <v/>
      </c>
      <c r="D52" s="58" t="str">
        <f t="shared" ca="1" si="2"/>
        <v/>
      </c>
      <c r="E52" s="58" t="str">
        <f t="shared" ca="1" si="2"/>
        <v/>
      </c>
      <c r="F52" s="58" t="str">
        <f t="shared" ca="1" si="2"/>
        <v/>
      </c>
      <c r="G52" s="58" t="str">
        <f t="shared" ca="1" si="2"/>
        <v/>
      </c>
      <c r="H52" s="58" t="str">
        <f t="shared" ca="1" si="2"/>
        <v/>
      </c>
      <c r="I52" s="58" t="str">
        <f t="shared" ca="1" si="2"/>
        <v/>
      </c>
      <c r="J52" s="58" t="str">
        <f t="shared" ca="1" si="2"/>
        <v/>
      </c>
      <c r="K52" s="58" t="str">
        <f t="shared" ca="1" si="2"/>
        <v/>
      </c>
      <c r="L52" s="58" t="str">
        <f t="shared" ca="1" si="2"/>
        <v/>
      </c>
      <c r="P52" s="251"/>
      <c r="Q52" s="251"/>
      <c r="R52" s="251"/>
      <c r="S52" s="251"/>
      <c r="T52" s="251"/>
      <c r="U52" s="251"/>
      <c r="V52" s="251"/>
      <c r="W52" s="251"/>
      <c r="X52" s="251"/>
      <c r="Y52" s="251"/>
      <c r="Z52" s="251"/>
    </row>
    <row r="53" spans="2:26" ht="10.199999999999999" customHeight="1">
      <c r="B53" s="56" t="str">
        <f>IF('Low Stress Type Gasket'!BE58="","",'Low Stress Type Gasket'!BE58)</f>
        <v/>
      </c>
      <c r="C53" s="58" t="str">
        <f t="shared" ca="1" si="2"/>
        <v/>
      </c>
      <c r="D53" s="58" t="str">
        <f t="shared" ca="1" si="2"/>
        <v/>
      </c>
      <c r="E53" s="58" t="str">
        <f t="shared" ca="1" si="2"/>
        <v/>
      </c>
      <c r="F53" s="58" t="str">
        <f t="shared" ca="1" si="2"/>
        <v/>
      </c>
      <c r="G53" s="58" t="str">
        <f t="shared" ca="1" si="2"/>
        <v/>
      </c>
      <c r="H53" s="58" t="str">
        <f t="shared" ca="1" si="2"/>
        <v/>
      </c>
      <c r="I53" s="58" t="str">
        <f t="shared" ca="1" si="2"/>
        <v/>
      </c>
      <c r="J53" s="58" t="str">
        <f t="shared" ca="1" si="2"/>
        <v/>
      </c>
      <c r="K53" s="58" t="str">
        <f t="shared" ca="1" si="2"/>
        <v/>
      </c>
      <c r="L53" s="58" t="str">
        <f t="shared" ca="1" si="2"/>
        <v/>
      </c>
      <c r="P53" s="251"/>
      <c r="Q53" s="251"/>
      <c r="R53" s="251"/>
      <c r="S53" s="251"/>
      <c r="T53" s="251"/>
      <c r="U53" s="251"/>
      <c r="V53" s="251"/>
      <c r="W53" s="251"/>
      <c r="X53" s="251"/>
      <c r="Y53" s="251"/>
      <c r="Z53" s="251"/>
    </row>
    <row r="54" spans="2:26" ht="10.199999999999999" customHeight="1">
      <c r="B54" s="56" t="str">
        <f>IF('Low Stress Type Gasket'!BE59="","",'Low Stress Type Gasket'!BE59)</f>
        <v/>
      </c>
      <c r="C54" s="58" t="str">
        <f t="shared" ref="C54:L55" ca="1" si="3">IF($M$4=0,"",VLOOKUP($B54,INDIRECT("$P$1:$Z$"&amp;$M$4),COLUMN()-1,0))</f>
        <v/>
      </c>
      <c r="D54" s="58" t="str">
        <f t="shared" ca="1" si="3"/>
        <v/>
      </c>
      <c r="E54" s="58" t="str">
        <f t="shared" ca="1" si="3"/>
        <v/>
      </c>
      <c r="F54" s="58" t="str">
        <f t="shared" ca="1" si="3"/>
        <v/>
      </c>
      <c r="G54" s="58" t="str">
        <f t="shared" ca="1" si="3"/>
        <v/>
      </c>
      <c r="H54" s="58" t="str">
        <f t="shared" ca="1" si="3"/>
        <v/>
      </c>
      <c r="I54" s="58" t="str">
        <f t="shared" ca="1" si="3"/>
        <v/>
      </c>
      <c r="J54" s="58" t="str">
        <f t="shared" ca="1" si="3"/>
        <v/>
      </c>
      <c r="K54" s="58" t="str">
        <f t="shared" ca="1" si="3"/>
        <v/>
      </c>
      <c r="L54" s="58" t="str">
        <f t="shared" ca="1" si="3"/>
        <v/>
      </c>
      <c r="P54" s="241"/>
      <c r="Q54" s="241"/>
      <c r="R54" s="241"/>
      <c r="S54" s="241"/>
      <c r="T54" s="241"/>
      <c r="U54" s="241"/>
      <c r="V54" s="241"/>
      <c r="W54" s="241"/>
      <c r="X54" s="241"/>
      <c r="Y54" s="241"/>
      <c r="Z54" s="241"/>
    </row>
    <row r="55" spans="2:26" ht="10.199999999999999" customHeight="1">
      <c r="B55" s="56" t="str">
        <f>IF('Low Stress Type Gasket'!BE60="","",'Low Stress Type Gasket'!BE60)</f>
        <v/>
      </c>
      <c r="C55" s="58" t="str">
        <f t="shared" ca="1" si="3"/>
        <v/>
      </c>
      <c r="D55" s="58" t="str">
        <f t="shared" ca="1" si="3"/>
        <v/>
      </c>
      <c r="E55" s="58" t="str">
        <f t="shared" ca="1" si="3"/>
        <v/>
      </c>
      <c r="F55" s="58" t="str">
        <f t="shared" ca="1" si="3"/>
        <v/>
      </c>
      <c r="G55" s="58" t="str">
        <f t="shared" ca="1" si="3"/>
        <v/>
      </c>
      <c r="H55" s="58" t="str">
        <f t="shared" ca="1" si="3"/>
        <v/>
      </c>
      <c r="I55" s="58" t="str">
        <f t="shared" ca="1" si="3"/>
        <v/>
      </c>
      <c r="J55" s="58" t="str">
        <f t="shared" ca="1" si="3"/>
        <v/>
      </c>
      <c r="K55" s="58" t="str">
        <f t="shared" ca="1" si="3"/>
        <v/>
      </c>
      <c r="L55" s="58" t="str">
        <f t="shared" ca="1" si="3"/>
        <v/>
      </c>
      <c r="P55" s="251"/>
      <c r="Q55" s="251"/>
      <c r="R55" s="251"/>
      <c r="S55" s="251"/>
      <c r="T55" s="251"/>
      <c r="U55" s="251"/>
      <c r="V55" s="251"/>
      <c r="W55" s="251"/>
      <c r="X55" s="251"/>
      <c r="Y55" s="251"/>
      <c r="Z55" s="251"/>
    </row>
    <row r="56" spans="2:26" ht="10.199999999999999" customHeight="1">
      <c r="P56" s="251"/>
      <c r="Q56" s="251"/>
      <c r="R56" s="251"/>
      <c r="S56" s="251"/>
      <c r="T56" s="251"/>
      <c r="U56" s="251"/>
      <c r="V56" s="251"/>
      <c r="W56" s="251"/>
      <c r="X56" s="251"/>
      <c r="Y56" s="251"/>
      <c r="Z56" s="251"/>
    </row>
    <row r="57" spans="2:26" ht="10.199999999999999" customHeight="1">
      <c r="P57" s="241"/>
      <c r="Q57" s="241"/>
      <c r="R57" s="241"/>
      <c r="S57" s="241"/>
      <c r="T57" s="241"/>
      <c r="U57" s="241"/>
      <c r="V57" s="241"/>
      <c r="W57" s="241"/>
      <c r="X57" s="241"/>
      <c r="Y57" s="241"/>
      <c r="Z57" s="241"/>
    </row>
    <row r="58" spans="2:26" ht="10.199999999999999" customHeight="1">
      <c r="P58" s="251"/>
      <c r="Q58" s="251"/>
      <c r="R58" s="251"/>
      <c r="S58" s="251"/>
      <c r="T58" s="251"/>
      <c r="U58" s="251"/>
      <c r="V58" s="251"/>
      <c r="W58" s="251"/>
      <c r="X58" s="251"/>
      <c r="Y58" s="251"/>
      <c r="Z58" s="251"/>
    </row>
    <row r="59" spans="2:26" ht="10.199999999999999" customHeight="1">
      <c r="P59" s="251"/>
      <c r="Q59" s="251"/>
      <c r="R59" s="251"/>
      <c r="S59" s="251"/>
      <c r="T59" s="251"/>
      <c r="U59" s="251"/>
      <c r="V59" s="251"/>
      <c r="W59" s="251"/>
      <c r="X59" s="251"/>
      <c r="Y59" s="251"/>
      <c r="Z59" s="251"/>
    </row>
    <row r="60" spans="2:26" ht="10.199999999999999" customHeight="1">
      <c r="P60" s="241"/>
      <c r="Q60" s="241"/>
      <c r="R60" s="241"/>
      <c r="S60" s="241"/>
      <c r="T60" s="241"/>
      <c r="U60" s="241"/>
      <c r="V60" s="241"/>
      <c r="W60" s="241"/>
      <c r="X60" s="241"/>
      <c r="Y60" s="241"/>
      <c r="Z60" s="241"/>
    </row>
    <row r="61" spans="2:26" ht="10.199999999999999" customHeight="1">
      <c r="P61" s="251"/>
      <c r="Q61" s="251"/>
      <c r="R61" s="251"/>
      <c r="S61" s="251"/>
      <c r="T61" s="251"/>
      <c r="U61" s="251"/>
      <c r="V61" s="251"/>
      <c r="W61" s="251"/>
      <c r="X61" s="251"/>
      <c r="Y61" s="251"/>
      <c r="Z61" s="251"/>
    </row>
    <row r="62" spans="2:26" ht="10.199999999999999" customHeight="1">
      <c r="P62" s="251"/>
      <c r="Q62" s="251"/>
      <c r="R62" s="251"/>
      <c r="S62" s="251"/>
      <c r="T62" s="251"/>
      <c r="U62" s="251"/>
      <c r="V62" s="251"/>
      <c r="W62" s="251"/>
      <c r="X62" s="251"/>
      <c r="Y62" s="251"/>
      <c r="Z62" s="251"/>
    </row>
    <row r="63" spans="2:26" ht="10.199999999999999" customHeight="1">
      <c r="P63" s="241"/>
      <c r="Q63" s="241"/>
      <c r="R63" s="241"/>
      <c r="S63" s="241"/>
      <c r="T63" s="241"/>
      <c r="U63" s="241"/>
      <c r="V63" s="241"/>
      <c r="W63" s="241"/>
      <c r="X63" s="241"/>
      <c r="Y63" s="241"/>
      <c r="Z63" s="241"/>
    </row>
    <row r="64" spans="2:26" ht="10.199999999999999" customHeight="1">
      <c r="P64" s="251"/>
      <c r="Q64" s="251"/>
      <c r="R64" s="251"/>
      <c r="S64" s="251"/>
      <c r="T64" s="251"/>
      <c r="U64" s="251"/>
      <c r="V64" s="251"/>
      <c r="W64" s="251"/>
      <c r="X64" s="251"/>
      <c r="Y64" s="251"/>
      <c r="Z64" s="251"/>
    </row>
    <row r="65" spans="16:26" ht="10.199999999999999" customHeight="1">
      <c r="P65" s="251"/>
      <c r="Q65" s="251"/>
      <c r="R65" s="251"/>
      <c r="S65" s="251"/>
      <c r="T65" s="251"/>
      <c r="U65" s="251"/>
      <c r="V65" s="251"/>
      <c r="W65" s="251"/>
      <c r="X65" s="251"/>
      <c r="Y65" s="251"/>
      <c r="Z65" s="251"/>
    </row>
    <row r="66" spans="16:26" ht="10.199999999999999" customHeight="1">
      <c r="P66" s="241"/>
      <c r="Q66" s="241"/>
      <c r="R66" s="241"/>
      <c r="S66" s="241"/>
      <c r="T66" s="241"/>
      <c r="U66" s="241"/>
      <c r="V66" s="241"/>
      <c r="W66" s="241"/>
      <c r="X66" s="241"/>
      <c r="Y66" s="241"/>
      <c r="Z66" s="241"/>
    </row>
    <row r="67" spans="16:26" ht="10.199999999999999" customHeight="1">
      <c r="P67" s="251"/>
      <c r="Q67" s="251"/>
      <c r="R67" s="251"/>
      <c r="S67" s="251"/>
      <c r="T67" s="251"/>
      <c r="U67" s="251"/>
      <c r="V67" s="251"/>
      <c r="W67" s="251"/>
      <c r="X67" s="251"/>
      <c r="Y67" s="251"/>
      <c r="Z67" s="251"/>
    </row>
    <row r="68" spans="16:26" ht="10.199999999999999" customHeight="1">
      <c r="P68" s="251"/>
      <c r="Q68" s="251"/>
      <c r="R68" s="251"/>
      <c r="S68" s="251"/>
      <c r="T68" s="251"/>
      <c r="U68" s="251"/>
      <c r="V68" s="251"/>
      <c r="W68" s="251"/>
      <c r="X68" s="251"/>
      <c r="Y68" s="251"/>
      <c r="Z68" s="251"/>
    </row>
    <row r="69" spans="16:26" ht="10.199999999999999" customHeight="1">
      <c r="P69" s="241"/>
      <c r="Q69" s="241"/>
      <c r="R69" s="241"/>
      <c r="S69" s="241"/>
      <c r="T69" s="241"/>
      <c r="U69" s="241"/>
      <c r="V69" s="241"/>
      <c r="W69" s="241"/>
      <c r="X69" s="241"/>
      <c r="Y69" s="241"/>
      <c r="Z69" s="241"/>
    </row>
    <row r="70" spans="16:26" ht="10.199999999999999" customHeight="1">
      <c r="P70" s="251"/>
      <c r="Q70" s="251"/>
      <c r="R70" s="251"/>
      <c r="S70" s="251"/>
      <c r="T70" s="251"/>
      <c r="U70" s="251"/>
      <c r="V70" s="251"/>
      <c r="W70" s="251"/>
      <c r="X70" s="251"/>
      <c r="Y70" s="251"/>
      <c r="Z70" s="251"/>
    </row>
    <row r="71" spans="16:26" ht="10.199999999999999" customHeight="1">
      <c r="P71" s="251"/>
      <c r="Q71" s="251"/>
      <c r="R71" s="251"/>
      <c r="S71" s="251"/>
      <c r="T71" s="251"/>
      <c r="U71" s="251"/>
      <c r="V71" s="251"/>
      <c r="W71" s="251"/>
      <c r="X71" s="251"/>
      <c r="Y71" s="251"/>
      <c r="Z71" s="251"/>
    </row>
    <row r="72" spans="16:26" ht="10.199999999999999" customHeight="1">
      <c r="P72" s="241"/>
      <c r="Q72" s="241"/>
      <c r="R72" s="241"/>
      <c r="S72" s="241"/>
      <c r="T72" s="241"/>
      <c r="U72" s="241"/>
      <c r="V72" s="241"/>
      <c r="W72" s="241"/>
      <c r="X72" s="241"/>
      <c r="Y72" s="241"/>
      <c r="Z72" s="241"/>
    </row>
    <row r="73" spans="16:26" ht="10.199999999999999" customHeight="1">
      <c r="P73" s="251"/>
      <c r="Q73" s="251"/>
      <c r="R73" s="251"/>
      <c r="S73" s="251"/>
      <c r="T73" s="251"/>
      <c r="U73" s="251"/>
      <c r="V73" s="251"/>
      <c r="W73" s="251"/>
      <c r="X73" s="251"/>
      <c r="Y73" s="251"/>
      <c r="Z73" s="251"/>
    </row>
    <row r="74" spans="16:26" ht="10.199999999999999" customHeight="1">
      <c r="P74" s="251"/>
      <c r="Q74" s="251"/>
      <c r="R74" s="251"/>
      <c r="S74" s="251"/>
      <c r="T74" s="251"/>
      <c r="U74" s="251"/>
      <c r="V74" s="251"/>
      <c r="W74" s="251"/>
      <c r="X74" s="251"/>
      <c r="Y74" s="251"/>
      <c r="Z74" s="251"/>
    </row>
    <row r="75" spans="16:26" ht="10.199999999999999" customHeight="1">
      <c r="P75" s="241"/>
      <c r="Q75" s="241"/>
      <c r="R75" s="241"/>
      <c r="S75" s="241"/>
      <c r="T75" s="241"/>
      <c r="U75" s="241"/>
      <c r="V75" s="241"/>
      <c r="W75" s="241"/>
      <c r="X75" s="241"/>
      <c r="Y75" s="241"/>
      <c r="Z75" s="241"/>
    </row>
    <row r="76" spans="16:26" ht="10.199999999999999" customHeight="1">
      <c r="P76" s="251"/>
      <c r="Q76" s="251"/>
      <c r="R76" s="251"/>
      <c r="S76" s="251"/>
      <c r="T76" s="251"/>
      <c r="U76" s="251"/>
      <c r="V76" s="251"/>
      <c r="W76" s="251"/>
      <c r="X76" s="251"/>
      <c r="Y76" s="251"/>
      <c r="Z76" s="251"/>
    </row>
    <row r="77" spans="16:26" ht="10.199999999999999" customHeight="1">
      <c r="P77" s="251"/>
      <c r="Q77" s="251"/>
      <c r="R77" s="251"/>
      <c r="S77" s="251"/>
      <c r="T77" s="251"/>
      <c r="U77" s="251"/>
      <c r="V77" s="251"/>
      <c r="W77" s="251"/>
      <c r="X77" s="251"/>
      <c r="Y77" s="251"/>
      <c r="Z77" s="251"/>
    </row>
    <row r="78" spans="16:26" ht="10.199999999999999" customHeight="1">
      <c r="P78" s="241"/>
      <c r="Q78" s="241"/>
      <c r="R78" s="241"/>
      <c r="S78" s="241"/>
      <c r="T78" s="241"/>
      <c r="U78" s="241"/>
      <c r="V78" s="241"/>
      <c r="W78" s="241"/>
      <c r="X78" s="241"/>
      <c r="Y78" s="241"/>
      <c r="Z78" s="241"/>
    </row>
    <row r="79" spans="16:26" ht="10.199999999999999" customHeight="1">
      <c r="P79" s="251"/>
      <c r="Q79" s="251"/>
      <c r="R79" s="251"/>
      <c r="S79" s="251"/>
      <c r="T79" s="251"/>
      <c r="U79" s="251"/>
      <c r="V79" s="251"/>
      <c r="W79" s="251"/>
      <c r="X79" s="251"/>
      <c r="Y79" s="251"/>
      <c r="Z79" s="251"/>
    </row>
    <row r="80" spans="16:26" ht="10.199999999999999" customHeight="1">
      <c r="P80" s="251"/>
      <c r="Q80" s="251"/>
      <c r="R80" s="251"/>
      <c r="S80" s="251"/>
      <c r="T80" s="251"/>
      <c r="U80" s="251"/>
      <c r="V80" s="251"/>
      <c r="W80" s="251"/>
      <c r="X80" s="251"/>
      <c r="Y80" s="251"/>
      <c r="Z80" s="251"/>
    </row>
    <row r="81" spans="16:26" ht="10.199999999999999" customHeight="1">
      <c r="P81" s="241"/>
      <c r="Q81" s="241"/>
      <c r="R81" s="241"/>
      <c r="S81" s="241"/>
      <c r="T81" s="241"/>
      <c r="U81" s="241"/>
      <c r="V81" s="241"/>
      <c r="W81" s="241"/>
      <c r="X81" s="241"/>
      <c r="Y81" s="241"/>
      <c r="Z81" s="241"/>
    </row>
    <row r="82" spans="16:26" ht="10.199999999999999" customHeight="1">
      <c r="P82" s="251"/>
      <c r="Q82" s="251"/>
      <c r="R82" s="251"/>
      <c r="S82" s="251"/>
      <c r="T82" s="251"/>
      <c r="U82" s="251"/>
      <c r="V82" s="251"/>
      <c r="W82" s="251"/>
      <c r="X82" s="251"/>
      <c r="Y82" s="251"/>
      <c r="Z82" s="251"/>
    </row>
    <row r="83" spans="16:26" ht="10.199999999999999" customHeight="1">
      <c r="P83" s="251"/>
      <c r="Q83" s="251"/>
      <c r="R83" s="251"/>
      <c r="S83" s="251"/>
      <c r="T83" s="251"/>
      <c r="U83" s="251"/>
      <c r="V83" s="251"/>
      <c r="W83" s="251"/>
      <c r="X83" s="251"/>
      <c r="Y83" s="251"/>
      <c r="Z83" s="251"/>
    </row>
    <row r="84" spans="16:26" ht="10.199999999999999" customHeight="1">
      <c r="P84" s="241"/>
      <c r="Q84" s="241"/>
      <c r="R84" s="241"/>
      <c r="S84" s="241"/>
      <c r="T84" s="241"/>
      <c r="U84" s="241"/>
      <c r="V84" s="241"/>
      <c r="W84" s="241"/>
      <c r="X84" s="241"/>
      <c r="Y84" s="241"/>
      <c r="Z84" s="241"/>
    </row>
    <row r="85" spans="16:26" ht="10.199999999999999" customHeight="1">
      <c r="P85" s="251"/>
      <c r="Q85" s="251"/>
      <c r="R85" s="251"/>
      <c r="S85" s="251"/>
      <c r="T85" s="251"/>
      <c r="U85" s="251"/>
      <c r="V85" s="251"/>
      <c r="W85" s="251"/>
      <c r="X85" s="251"/>
      <c r="Y85" s="251"/>
      <c r="Z85" s="251"/>
    </row>
    <row r="86" spans="16:26" ht="10.199999999999999" customHeight="1">
      <c r="P86" s="251"/>
      <c r="Q86" s="251"/>
      <c r="R86" s="251"/>
      <c r="S86" s="251"/>
      <c r="T86" s="251"/>
      <c r="U86" s="251"/>
      <c r="V86" s="251"/>
      <c r="W86" s="251"/>
      <c r="X86" s="251"/>
      <c r="Y86" s="251"/>
      <c r="Z86" s="251"/>
    </row>
    <row r="87" spans="16:26" ht="10.199999999999999" customHeight="1">
      <c r="P87" s="241"/>
      <c r="Q87" s="241"/>
      <c r="R87" s="241"/>
      <c r="S87" s="241"/>
      <c r="T87" s="241"/>
      <c r="U87" s="241"/>
      <c r="V87" s="241"/>
      <c r="W87" s="241"/>
      <c r="X87" s="241"/>
      <c r="Y87" s="241"/>
      <c r="Z87" s="241"/>
    </row>
    <row r="88" spans="16:26" ht="10.199999999999999" customHeight="1">
      <c r="P88" s="251"/>
      <c r="Q88" s="251"/>
      <c r="R88" s="251"/>
      <c r="S88" s="251"/>
      <c r="T88" s="251"/>
      <c r="U88" s="251"/>
      <c r="V88" s="251"/>
      <c r="W88" s="251"/>
      <c r="X88" s="251"/>
      <c r="Y88" s="251"/>
      <c r="Z88" s="251"/>
    </row>
    <row r="89" spans="16:26" ht="10.199999999999999" customHeight="1">
      <c r="P89" s="251"/>
      <c r="Q89" s="251"/>
      <c r="R89" s="251"/>
      <c r="S89" s="251"/>
      <c r="T89" s="251"/>
      <c r="U89" s="251"/>
      <c r="V89" s="251"/>
      <c r="W89" s="251"/>
      <c r="X89" s="251"/>
      <c r="Y89" s="251"/>
      <c r="Z89" s="251"/>
    </row>
    <row r="90" spans="16:26" ht="10.199999999999999" customHeight="1">
      <c r="P90" s="241"/>
      <c r="Q90" s="241"/>
      <c r="R90" s="241"/>
      <c r="S90" s="241"/>
      <c r="T90" s="241"/>
      <c r="U90" s="241"/>
      <c r="V90" s="241"/>
      <c r="W90" s="241"/>
      <c r="X90" s="241"/>
      <c r="Y90" s="241"/>
      <c r="Z90" s="241"/>
    </row>
    <row r="91" spans="16:26" ht="10.199999999999999" customHeight="1">
      <c r="P91" s="251"/>
      <c r="Q91" s="251"/>
      <c r="R91" s="251"/>
      <c r="S91" s="251"/>
      <c r="T91" s="251"/>
      <c r="U91" s="251"/>
      <c r="V91" s="251"/>
      <c r="W91" s="251"/>
      <c r="X91" s="251"/>
      <c r="Y91" s="251"/>
      <c r="Z91" s="251"/>
    </row>
    <row r="92" spans="16:26" ht="10.199999999999999" customHeight="1">
      <c r="P92" s="251"/>
      <c r="Q92" s="251"/>
      <c r="R92" s="251"/>
      <c r="S92" s="251"/>
      <c r="T92" s="251"/>
      <c r="U92" s="251"/>
      <c r="V92" s="251"/>
      <c r="W92" s="251"/>
      <c r="X92" s="251"/>
      <c r="Y92" s="251"/>
      <c r="Z92" s="251"/>
    </row>
    <row r="93" spans="16:26" ht="10.199999999999999" customHeight="1">
      <c r="P93" s="241"/>
      <c r="Q93" s="241"/>
      <c r="R93" s="241"/>
      <c r="S93" s="241"/>
      <c r="T93" s="241"/>
      <c r="U93" s="241"/>
      <c r="V93" s="241"/>
      <c r="W93" s="241"/>
      <c r="X93" s="241"/>
      <c r="Y93" s="241"/>
      <c r="Z93" s="241"/>
    </row>
    <row r="94" spans="16:26" ht="10.199999999999999" customHeight="1">
      <c r="P94" s="251"/>
      <c r="Q94" s="251"/>
      <c r="R94" s="251"/>
      <c r="S94" s="251"/>
      <c r="T94" s="251"/>
      <c r="U94" s="251"/>
      <c r="V94" s="251"/>
      <c r="W94" s="251"/>
      <c r="X94" s="251"/>
      <c r="Y94" s="251"/>
      <c r="Z94" s="251"/>
    </row>
    <row r="95" spans="16:26" ht="10.199999999999999" customHeight="1">
      <c r="P95" s="251"/>
      <c r="Q95" s="251"/>
      <c r="R95" s="251"/>
      <c r="S95" s="251"/>
      <c r="T95" s="251"/>
      <c r="U95" s="251"/>
      <c r="V95" s="251"/>
      <c r="W95" s="251"/>
      <c r="X95" s="251"/>
      <c r="Y95" s="251"/>
      <c r="Z95" s="251"/>
    </row>
    <row r="96" spans="16:26" ht="10.199999999999999" customHeight="1">
      <c r="P96" s="241"/>
      <c r="Q96" s="241"/>
      <c r="R96" s="241"/>
      <c r="S96" s="241"/>
      <c r="T96" s="241"/>
      <c r="U96" s="241"/>
      <c r="V96" s="241"/>
      <c r="W96" s="241"/>
      <c r="X96" s="241"/>
      <c r="Y96" s="241"/>
      <c r="Z96" s="241"/>
    </row>
    <row r="97" spans="16:26" ht="10.199999999999999" customHeight="1">
      <c r="P97" s="251"/>
      <c r="Q97" s="251"/>
      <c r="R97" s="251"/>
      <c r="S97" s="251"/>
      <c r="T97" s="251"/>
      <c r="U97" s="251"/>
      <c r="V97" s="251"/>
      <c r="W97" s="251"/>
      <c r="X97" s="251"/>
      <c r="Y97" s="251"/>
      <c r="Z97" s="251"/>
    </row>
    <row r="98" spans="16:26" ht="10.199999999999999" customHeight="1">
      <c r="P98" s="251"/>
      <c r="Q98" s="251"/>
      <c r="R98" s="251"/>
      <c r="S98" s="251"/>
      <c r="T98" s="251"/>
      <c r="U98" s="251"/>
      <c r="V98" s="251"/>
      <c r="W98" s="251"/>
      <c r="X98" s="251"/>
      <c r="Y98" s="251"/>
      <c r="Z98" s="251"/>
    </row>
    <row r="99" spans="16:26" ht="10.199999999999999" customHeight="1">
      <c r="P99" s="241"/>
      <c r="Q99" s="241"/>
      <c r="R99" s="241"/>
      <c r="S99" s="241"/>
      <c r="T99" s="241"/>
      <c r="U99" s="241"/>
      <c r="V99" s="241"/>
      <c r="W99" s="241"/>
      <c r="X99" s="241"/>
      <c r="Y99" s="241"/>
      <c r="Z99" s="241"/>
    </row>
    <row r="100" spans="16:26" ht="10.199999999999999" customHeight="1">
      <c r="P100" s="251"/>
      <c r="Q100" s="251"/>
      <c r="R100" s="251"/>
      <c r="S100" s="251"/>
      <c r="T100" s="251"/>
      <c r="U100" s="251"/>
      <c r="V100" s="251"/>
      <c r="W100" s="251"/>
      <c r="X100" s="251"/>
      <c r="Y100" s="251"/>
      <c r="Z100" s="251"/>
    </row>
    <row r="101" spans="16:26" ht="10.199999999999999" customHeight="1">
      <c r="P101" s="251"/>
      <c r="Q101" s="251"/>
      <c r="R101" s="251"/>
      <c r="S101" s="251"/>
      <c r="T101" s="251"/>
      <c r="U101" s="251"/>
      <c r="V101" s="251"/>
      <c r="W101" s="251"/>
      <c r="X101" s="251"/>
      <c r="Y101" s="251"/>
      <c r="Z101" s="251"/>
    </row>
    <row r="102" spans="16:26" ht="10.199999999999999" customHeight="1">
      <c r="P102" s="241"/>
      <c r="Q102" s="241"/>
      <c r="R102" s="241"/>
      <c r="S102" s="241"/>
      <c r="T102" s="241"/>
      <c r="U102" s="241"/>
      <c r="V102" s="241"/>
      <c r="W102" s="241"/>
      <c r="X102" s="241"/>
      <c r="Y102" s="241"/>
      <c r="Z102" s="241"/>
    </row>
    <row r="103" spans="16:26" ht="10.199999999999999" customHeight="1">
      <c r="P103" s="251"/>
      <c r="Q103" s="251"/>
      <c r="R103" s="251"/>
      <c r="S103" s="251"/>
      <c r="T103" s="251"/>
      <c r="U103" s="251"/>
      <c r="V103" s="251"/>
      <c r="W103" s="251"/>
      <c r="X103" s="251"/>
      <c r="Y103" s="251"/>
      <c r="Z103" s="251"/>
    </row>
    <row r="104" spans="16:26" ht="10.199999999999999" customHeight="1">
      <c r="P104" s="251"/>
      <c r="Q104" s="251"/>
      <c r="R104" s="251"/>
      <c r="S104" s="251"/>
      <c r="T104" s="251"/>
      <c r="U104" s="251"/>
      <c r="V104" s="251"/>
      <c r="W104" s="251"/>
      <c r="X104" s="251"/>
      <c r="Y104" s="251"/>
      <c r="Z104" s="251"/>
    </row>
    <row r="105" spans="16:26" ht="10.199999999999999" customHeight="1">
      <c r="P105" s="241"/>
      <c r="Q105" s="241"/>
      <c r="R105" s="241"/>
      <c r="S105" s="241"/>
      <c r="T105" s="241"/>
      <c r="U105" s="241"/>
      <c r="V105" s="241"/>
      <c r="W105" s="241"/>
      <c r="X105" s="241"/>
      <c r="Y105" s="241"/>
      <c r="Z105" s="241"/>
    </row>
    <row r="106" spans="16:26" ht="10.199999999999999" customHeight="1">
      <c r="P106" s="251"/>
      <c r="Q106" s="251"/>
      <c r="R106" s="251"/>
      <c r="S106" s="251"/>
      <c r="T106" s="251"/>
      <c r="U106" s="251"/>
      <c r="V106" s="251"/>
      <c r="W106" s="251"/>
      <c r="X106" s="251"/>
      <c r="Y106" s="251"/>
      <c r="Z106" s="251"/>
    </row>
    <row r="107" spans="16:26" ht="10.199999999999999" customHeight="1">
      <c r="P107" s="251"/>
      <c r="Q107" s="251"/>
      <c r="R107" s="251"/>
      <c r="S107" s="251"/>
      <c r="T107" s="251"/>
      <c r="U107" s="251"/>
      <c r="V107" s="251"/>
      <c r="W107" s="251"/>
      <c r="X107" s="251"/>
      <c r="Y107" s="251"/>
      <c r="Z107" s="251"/>
    </row>
    <row r="108" spans="16:26" ht="10.199999999999999" customHeight="1">
      <c r="P108" s="241"/>
      <c r="Q108" s="241"/>
      <c r="R108" s="241"/>
      <c r="S108" s="241"/>
      <c r="T108" s="241"/>
      <c r="U108" s="241"/>
      <c r="V108" s="241"/>
      <c r="W108" s="241"/>
      <c r="X108" s="241"/>
      <c r="Y108" s="241"/>
      <c r="Z108" s="241"/>
    </row>
    <row r="109" spans="16:26" ht="10.199999999999999" customHeight="1">
      <c r="P109" s="251"/>
      <c r="Q109" s="251"/>
      <c r="R109" s="251"/>
      <c r="S109" s="251"/>
      <c r="T109" s="251"/>
      <c r="U109" s="251"/>
      <c r="V109" s="251"/>
      <c r="W109" s="251"/>
      <c r="X109" s="251"/>
      <c r="Y109" s="251"/>
      <c r="Z109" s="251"/>
    </row>
    <row r="110" spans="16:26" ht="10.199999999999999" customHeight="1">
      <c r="P110" s="251"/>
      <c r="Q110" s="251"/>
      <c r="R110" s="251"/>
      <c r="S110" s="251"/>
      <c r="T110" s="251"/>
      <c r="U110" s="251"/>
      <c r="V110" s="251"/>
      <c r="W110" s="251"/>
      <c r="X110" s="251"/>
      <c r="Y110" s="251"/>
      <c r="Z110" s="251"/>
    </row>
    <row r="111" spans="16:26" ht="10.199999999999999" customHeight="1">
      <c r="P111" s="241"/>
      <c r="Q111" s="241"/>
      <c r="R111" s="241"/>
      <c r="S111" s="241"/>
      <c r="T111" s="241"/>
      <c r="U111" s="241"/>
      <c r="V111" s="241"/>
      <c r="W111" s="241"/>
      <c r="X111" s="241"/>
      <c r="Y111" s="241"/>
      <c r="Z111" s="241"/>
    </row>
    <row r="112" spans="16:26" ht="10.199999999999999" customHeight="1">
      <c r="P112" s="251"/>
      <c r="Q112" s="251"/>
      <c r="R112" s="251"/>
      <c r="S112" s="251"/>
      <c r="T112" s="251"/>
      <c r="U112" s="251"/>
      <c r="V112" s="251"/>
      <c r="W112" s="251"/>
      <c r="X112" s="251"/>
      <c r="Y112" s="251"/>
      <c r="Z112" s="251"/>
    </row>
    <row r="113" spans="16:26" ht="10.199999999999999" customHeight="1">
      <c r="P113" s="251"/>
      <c r="Q113" s="251"/>
      <c r="R113" s="251"/>
      <c r="S113" s="251"/>
      <c r="T113" s="251"/>
      <c r="U113" s="251"/>
      <c r="V113" s="251"/>
      <c r="W113" s="251"/>
      <c r="X113" s="251"/>
      <c r="Y113" s="251"/>
      <c r="Z113" s="251"/>
    </row>
    <row r="114" spans="16:26" ht="10.199999999999999" customHeight="1">
      <c r="P114" s="241"/>
      <c r="Q114" s="241"/>
      <c r="R114" s="241"/>
      <c r="S114" s="241"/>
      <c r="T114" s="241"/>
      <c r="U114" s="241"/>
      <c r="V114" s="241"/>
      <c r="W114" s="241"/>
      <c r="X114" s="241"/>
      <c r="Y114" s="241"/>
      <c r="Z114" s="241"/>
    </row>
    <row r="115" spans="16:26" ht="10.199999999999999" customHeight="1">
      <c r="P115" s="251"/>
      <c r="Q115" s="251"/>
      <c r="R115" s="251"/>
      <c r="S115" s="251"/>
      <c r="T115" s="251"/>
      <c r="U115" s="251"/>
      <c r="V115" s="251"/>
      <c r="W115" s="251"/>
      <c r="X115" s="251"/>
      <c r="Y115" s="251"/>
      <c r="Z115" s="251"/>
    </row>
    <row r="116" spans="16:26" ht="10.199999999999999" customHeight="1">
      <c r="P116" s="251"/>
      <c r="Q116" s="251"/>
      <c r="R116" s="251"/>
      <c r="S116" s="251"/>
      <c r="T116" s="251"/>
      <c r="U116" s="251"/>
      <c r="V116" s="251"/>
      <c r="W116" s="251"/>
      <c r="X116" s="251"/>
      <c r="Y116" s="251"/>
      <c r="Z116" s="251"/>
    </row>
    <row r="117" spans="16:26" ht="10.199999999999999" customHeight="1">
      <c r="P117" s="241"/>
      <c r="Q117" s="241"/>
      <c r="R117" s="241"/>
      <c r="S117" s="241"/>
      <c r="T117" s="241"/>
      <c r="U117" s="241"/>
      <c r="V117" s="241"/>
      <c r="W117" s="241"/>
      <c r="X117" s="241"/>
      <c r="Y117" s="241"/>
      <c r="Z117" s="241"/>
    </row>
    <row r="118" spans="16:26" ht="10.199999999999999" customHeight="1">
      <c r="P118" s="251"/>
      <c r="Q118" s="251"/>
      <c r="R118" s="251"/>
      <c r="S118" s="251"/>
      <c r="T118" s="251"/>
      <c r="U118" s="251"/>
      <c r="V118" s="251"/>
      <c r="W118" s="251"/>
      <c r="X118" s="251"/>
      <c r="Y118" s="251"/>
      <c r="Z118" s="251"/>
    </row>
    <row r="119" spans="16:26" ht="10.199999999999999" customHeight="1">
      <c r="P119" s="251"/>
      <c r="Q119" s="251"/>
      <c r="R119" s="251"/>
      <c r="S119" s="251"/>
      <c r="T119" s="251"/>
      <c r="U119" s="251"/>
      <c r="V119" s="251"/>
      <c r="W119" s="251"/>
      <c r="X119" s="251"/>
      <c r="Y119" s="251"/>
      <c r="Z119" s="251"/>
    </row>
    <row r="120" spans="16:26" ht="10.199999999999999" customHeight="1">
      <c r="P120" s="241"/>
      <c r="Q120" s="241"/>
      <c r="R120" s="241"/>
      <c r="S120" s="241"/>
      <c r="T120" s="241"/>
      <c r="U120" s="241"/>
      <c r="V120" s="241"/>
      <c r="W120" s="241"/>
      <c r="X120" s="241"/>
      <c r="Y120" s="241"/>
      <c r="Z120" s="241"/>
    </row>
    <row r="121" spans="16:26" ht="10.199999999999999" customHeight="1">
      <c r="P121" s="251"/>
      <c r="Q121" s="251"/>
      <c r="R121" s="251"/>
      <c r="S121" s="251"/>
      <c r="T121" s="251"/>
      <c r="U121" s="251"/>
      <c r="V121" s="251"/>
      <c r="W121" s="251"/>
      <c r="X121" s="251"/>
      <c r="Y121" s="251"/>
      <c r="Z121" s="251"/>
    </row>
    <row r="122" spans="16:26" ht="10.199999999999999" customHeight="1">
      <c r="P122" s="251"/>
      <c r="Q122" s="251"/>
      <c r="R122" s="251"/>
      <c r="S122" s="251"/>
      <c r="T122" s="251"/>
      <c r="U122" s="251"/>
      <c r="V122" s="251"/>
      <c r="W122" s="251"/>
      <c r="X122" s="251"/>
      <c r="Y122" s="251"/>
      <c r="Z122" s="251"/>
    </row>
    <row r="123" spans="16:26" ht="10.199999999999999" customHeight="1">
      <c r="P123" s="241"/>
      <c r="Q123" s="241"/>
      <c r="R123" s="241"/>
      <c r="S123" s="241"/>
      <c r="T123" s="241"/>
      <c r="U123" s="241"/>
      <c r="V123" s="241"/>
      <c r="W123" s="241"/>
      <c r="X123" s="241"/>
      <c r="Y123" s="241"/>
      <c r="Z123" s="241"/>
    </row>
    <row r="124" spans="16:26" ht="10.199999999999999" customHeight="1">
      <c r="P124" s="251"/>
      <c r="Q124" s="251"/>
      <c r="R124" s="251"/>
      <c r="S124" s="251"/>
      <c r="T124" s="251"/>
      <c r="U124" s="251"/>
      <c r="V124" s="251"/>
      <c r="W124" s="251"/>
      <c r="X124" s="251"/>
      <c r="Y124" s="251"/>
      <c r="Z124" s="251"/>
    </row>
    <row r="125" spans="16:26" ht="10.199999999999999" customHeight="1">
      <c r="P125" s="251"/>
      <c r="Q125" s="251"/>
      <c r="R125" s="251"/>
      <c r="S125" s="251"/>
      <c r="T125" s="251"/>
      <c r="U125" s="251"/>
      <c r="V125" s="251"/>
      <c r="W125" s="251"/>
      <c r="X125" s="251"/>
      <c r="Y125" s="251"/>
      <c r="Z125" s="251"/>
    </row>
    <row r="126" spans="16:26" ht="10.199999999999999" customHeight="1">
      <c r="P126" s="241"/>
      <c r="Q126" s="241"/>
      <c r="R126" s="241"/>
      <c r="S126" s="241"/>
      <c r="T126" s="241"/>
      <c r="U126" s="241"/>
      <c r="V126" s="241"/>
      <c r="W126" s="241"/>
      <c r="X126" s="241"/>
      <c r="Y126" s="241"/>
      <c r="Z126" s="241"/>
    </row>
    <row r="127" spans="16:26" ht="10.199999999999999" customHeight="1">
      <c r="P127" s="251"/>
      <c r="Q127" s="251"/>
      <c r="R127" s="251"/>
      <c r="S127" s="251"/>
      <c r="T127" s="251"/>
      <c r="U127" s="251"/>
      <c r="V127" s="251"/>
      <c r="W127" s="251"/>
      <c r="X127" s="251"/>
      <c r="Y127" s="251"/>
      <c r="Z127" s="251"/>
    </row>
    <row r="128" spans="16:26" ht="10.199999999999999" customHeight="1">
      <c r="P128" s="251"/>
      <c r="Q128" s="251"/>
      <c r="R128" s="251"/>
      <c r="S128" s="251"/>
      <c r="T128" s="251"/>
      <c r="U128" s="251"/>
      <c r="V128" s="251"/>
      <c r="W128" s="251"/>
      <c r="X128" s="251"/>
      <c r="Y128" s="251"/>
      <c r="Z128" s="251"/>
    </row>
    <row r="129" spans="16:26" ht="10.199999999999999" customHeight="1">
      <c r="P129" s="241"/>
      <c r="Q129" s="241"/>
      <c r="R129" s="241"/>
      <c r="S129" s="241"/>
      <c r="T129" s="241"/>
      <c r="U129" s="241"/>
      <c r="V129" s="241"/>
      <c r="W129" s="241"/>
      <c r="X129" s="241"/>
      <c r="Y129" s="241"/>
      <c r="Z129" s="241"/>
    </row>
    <row r="130" spans="16:26" ht="10.199999999999999" customHeight="1">
      <c r="P130" s="251"/>
      <c r="Q130" s="251"/>
      <c r="R130" s="251"/>
      <c r="S130" s="251"/>
      <c r="T130" s="251"/>
      <c r="U130" s="251"/>
      <c r="V130" s="251"/>
      <c r="W130" s="251"/>
      <c r="X130" s="251"/>
      <c r="Y130" s="251"/>
      <c r="Z130" s="251"/>
    </row>
    <row r="131" spans="16:26" ht="10.199999999999999" customHeight="1">
      <c r="P131" s="251"/>
      <c r="Q131" s="251"/>
      <c r="R131" s="251"/>
      <c r="S131" s="251"/>
      <c r="T131" s="251"/>
      <c r="U131" s="251"/>
      <c r="V131" s="251"/>
      <c r="W131" s="251"/>
      <c r="X131" s="251"/>
      <c r="Y131" s="251"/>
      <c r="Z131" s="251"/>
    </row>
    <row r="132" spans="16:26" ht="10.199999999999999" customHeight="1">
      <c r="P132" s="241"/>
      <c r="Q132" s="241"/>
      <c r="R132" s="241"/>
      <c r="S132" s="241"/>
      <c r="T132" s="241"/>
      <c r="U132" s="241"/>
      <c r="V132" s="241"/>
      <c r="W132" s="241"/>
      <c r="X132" s="241"/>
      <c r="Y132" s="241"/>
      <c r="Z132" s="241"/>
    </row>
    <row r="133" spans="16:26" ht="10.199999999999999" customHeight="1">
      <c r="P133" s="251"/>
      <c r="Q133" s="251"/>
      <c r="R133" s="251"/>
      <c r="S133" s="251"/>
      <c r="T133" s="251"/>
      <c r="U133" s="251"/>
      <c r="V133" s="251"/>
      <c r="W133" s="251"/>
      <c r="X133" s="251"/>
      <c r="Y133" s="251"/>
      <c r="Z133" s="251"/>
    </row>
    <row r="134" spans="16:26" ht="10.199999999999999" customHeight="1">
      <c r="P134" s="251"/>
      <c r="Q134" s="251"/>
      <c r="R134" s="251"/>
      <c r="S134" s="251"/>
      <c r="T134" s="251"/>
      <c r="U134" s="251"/>
      <c r="V134" s="251"/>
      <c r="W134" s="251"/>
      <c r="X134" s="251"/>
      <c r="Y134" s="251"/>
      <c r="Z134" s="251"/>
    </row>
    <row r="135" spans="16:26" ht="10.199999999999999" customHeight="1">
      <c r="P135" s="241"/>
      <c r="Q135" s="241"/>
      <c r="R135" s="241"/>
      <c r="S135" s="241"/>
      <c r="T135" s="241"/>
      <c r="U135" s="241"/>
      <c r="V135" s="241"/>
      <c r="W135" s="241"/>
      <c r="X135" s="241"/>
      <c r="Y135" s="241"/>
      <c r="Z135" s="241"/>
    </row>
    <row r="136" spans="16:26" ht="10.199999999999999" customHeight="1">
      <c r="P136" s="251"/>
      <c r="Q136" s="251"/>
      <c r="R136" s="251"/>
      <c r="S136" s="251"/>
      <c r="T136" s="251"/>
      <c r="U136" s="251"/>
      <c r="V136" s="251"/>
      <c r="W136" s="251"/>
      <c r="X136" s="251"/>
      <c r="Y136" s="251"/>
      <c r="Z136" s="251"/>
    </row>
    <row r="137" spans="16:26" ht="10.199999999999999" customHeight="1">
      <c r="P137" s="251"/>
      <c r="Q137" s="251"/>
      <c r="R137" s="251"/>
      <c r="S137" s="251"/>
      <c r="T137" s="251"/>
      <c r="U137" s="251"/>
      <c r="V137" s="251"/>
      <c r="W137" s="251"/>
      <c r="X137" s="251"/>
      <c r="Y137" s="251"/>
      <c r="Z137" s="251"/>
    </row>
    <row r="138" spans="16:26" ht="10.199999999999999" customHeight="1">
      <c r="P138" s="241"/>
      <c r="Q138" s="241"/>
      <c r="R138" s="241"/>
      <c r="S138" s="241"/>
      <c r="T138" s="241"/>
      <c r="U138" s="241"/>
      <c r="V138" s="241"/>
      <c r="W138" s="241"/>
      <c r="X138" s="241"/>
      <c r="Y138" s="241"/>
      <c r="Z138" s="241"/>
    </row>
    <row r="139" spans="16:26" ht="10.199999999999999" customHeight="1">
      <c r="P139" s="251"/>
      <c r="Q139" s="251"/>
      <c r="R139" s="251"/>
      <c r="S139" s="251"/>
      <c r="T139" s="251"/>
      <c r="U139" s="251"/>
      <c r="V139" s="251"/>
      <c r="W139" s="251"/>
      <c r="X139" s="251"/>
      <c r="Y139" s="251"/>
      <c r="Z139" s="251"/>
    </row>
    <row r="140" spans="16:26" ht="10.199999999999999" customHeight="1">
      <c r="P140" s="251"/>
      <c r="Q140" s="251"/>
      <c r="R140" s="251"/>
      <c r="S140" s="251"/>
      <c r="T140" s="251"/>
      <c r="U140" s="251"/>
      <c r="V140" s="251"/>
      <c r="W140" s="251"/>
      <c r="X140" s="251"/>
      <c r="Y140" s="251"/>
      <c r="Z140" s="251"/>
    </row>
    <row r="141" spans="16:26" ht="10.199999999999999" customHeight="1">
      <c r="P141" s="241"/>
      <c r="Q141" s="241"/>
      <c r="R141" s="241"/>
      <c r="S141" s="241"/>
      <c r="T141" s="241"/>
      <c r="U141" s="241"/>
      <c r="V141" s="241"/>
      <c r="W141" s="241"/>
      <c r="X141" s="241"/>
      <c r="Y141" s="241"/>
      <c r="Z141" s="241"/>
    </row>
    <row r="142" spans="16:26" ht="10.199999999999999" customHeight="1">
      <c r="P142" s="251"/>
      <c r="Q142" s="251"/>
      <c r="R142" s="251"/>
      <c r="S142" s="251"/>
      <c r="T142" s="251"/>
      <c r="U142" s="251"/>
      <c r="V142" s="251"/>
      <c r="W142" s="251"/>
      <c r="X142" s="251"/>
      <c r="Y142" s="251"/>
      <c r="Z142" s="251"/>
    </row>
    <row r="143" spans="16:26" ht="10.199999999999999" customHeight="1">
      <c r="P143" s="251"/>
      <c r="Q143" s="251"/>
      <c r="R143" s="251"/>
      <c r="S143" s="251"/>
      <c r="T143" s="251"/>
      <c r="U143" s="251"/>
      <c r="V143" s="251"/>
      <c r="W143" s="251"/>
      <c r="X143" s="251"/>
      <c r="Y143" s="251"/>
      <c r="Z143" s="251"/>
    </row>
    <row r="144" spans="16:26" ht="10.199999999999999" customHeight="1">
      <c r="P144" s="241"/>
      <c r="Q144" s="241"/>
      <c r="R144" s="241"/>
      <c r="S144" s="241"/>
      <c r="T144" s="241"/>
      <c r="U144" s="241"/>
      <c r="V144" s="241"/>
      <c r="W144" s="241"/>
      <c r="X144" s="241"/>
      <c r="Y144" s="241"/>
      <c r="Z144" s="241"/>
    </row>
    <row r="145" spans="16:26" ht="10.199999999999999" customHeight="1">
      <c r="P145" s="251"/>
      <c r="Q145" s="251"/>
      <c r="R145" s="251"/>
      <c r="S145" s="251"/>
      <c r="T145" s="251"/>
      <c r="U145" s="251"/>
      <c r="V145" s="251"/>
      <c r="W145" s="251"/>
      <c r="X145" s="251"/>
      <c r="Y145" s="251"/>
      <c r="Z145" s="251"/>
    </row>
    <row r="146" spans="16:26" ht="10.199999999999999" customHeight="1">
      <c r="P146" s="251"/>
      <c r="Q146" s="251"/>
      <c r="R146" s="251"/>
      <c r="S146" s="251"/>
      <c r="T146" s="251"/>
      <c r="U146" s="251"/>
      <c r="V146" s="251"/>
      <c r="W146" s="251"/>
      <c r="X146" s="251"/>
      <c r="Y146" s="251"/>
      <c r="Z146" s="251"/>
    </row>
    <row r="147" spans="16:26" ht="10.199999999999999" customHeight="1">
      <c r="P147" s="241"/>
      <c r="Q147" s="241"/>
      <c r="R147" s="241"/>
      <c r="S147" s="241"/>
      <c r="T147" s="241"/>
      <c r="U147" s="241"/>
      <c r="V147" s="241"/>
      <c r="W147" s="241"/>
      <c r="X147" s="241"/>
      <c r="Y147" s="241"/>
      <c r="Z147" s="241"/>
    </row>
    <row r="148" spans="16:26" ht="10.199999999999999" customHeight="1">
      <c r="P148" s="251"/>
      <c r="Q148" s="251"/>
      <c r="R148" s="251"/>
      <c r="S148" s="251"/>
      <c r="T148" s="251"/>
      <c r="U148" s="251"/>
      <c r="V148" s="251"/>
      <c r="W148" s="251"/>
      <c r="X148" s="251"/>
      <c r="Y148" s="251"/>
      <c r="Z148" s="251"/>
    </row>
    <row r="149" spans="16:26" ht="10.199999999999999" customHeight="1">
      <c r="P149" s="251"/>
      <c r="Q149" s="251"/>
      <c r="R149" s="251"/>
      <c r="S149" s="251"/>
      <c r="T149" s="251"/>
      <c r="U149" s="251"/>
      <c r="V149" s="251"/>
      <c r="W149" s="251"/>
      <c r="X149" s="251"/>
      <c r="Y149" s="251"/>
      <c r="Z149" s="251"/>
    </row>
    <row r="150" spans="16:26" ht="10.199999999999999" customHeight="1">
      <c r="P150" s="241"/>
      <c r="Q150" s="241"/>
      <c r="R150" s="241"/>
      <c r="S150" s="241"/>
      <c r="T150" s="241"/>
      <c r="U150" s="241"/>
      <c r="V150" s="241"/>
      <c r="W150" s="241"/>
      <c r="X150" s="241"/>
      <c r="Y150" s="241"/>
      <c r="Z150" s="241"/>
    </row>
    <row r="151" spans="16:26" ht="10.199999999999999" customHeight="1">
      <c r="P151" s="251"/>
      <c r="Q151" s="251"/>
      <c r="R151" s="251"/>
      <c r="S151" s="251"/>
      <c r="T151" s="251"/>
      <c r="U151" s="251"/>
      <c r="V151" s="251"/>
      <c r="W151" s="251"/>
      <c r="X151" s="251"/>
      <c r="Y151" s="251"/>
      <c r="Z151" s="251"/>
    </row>
    <row r="152" spans="16:26" ht="10.199999999999999" customHeight="1">
      <c r="P152" s="251"/>
      <c r="Q152" s="251"/>
      <c r="R152" s="251"/>
      <c r="S152" s="251"/>
      <c r="T152" s="251"/>
      <c r="U152" s="251"/>
      <c r="V152" s="251"/>
      <c r="W152" s="251"/>
      <c r="X152" s="251"/>
      <c r="Y152" s="251"/>
      <c r="Z152" s="251"/>
    </row>
    <row r="153" spans="16:26" ht="10.199999999999999" customHeight="1">
      <c r="P153" s="241"/>
      <c r="Q153" s="241"/>
      <c r="R153" s="241"/>
      <c r="S153" s="241"/>
      <c r="T153" s="241"/>
      <c r="U153" s="241"/>
      <c r="V153" s="241"/>
      <c r="W153" s="241"/>
      <c r="X153" s="241"/>
      <c r="Y153" s="241"/>
      <c r="Z153" s="241"/>
    </row>
    <row r="154" spans="16:26" ht="10.199999999999999" customHeight="1">
      <c r="P154" s="251"/>
      <c r="Q154" s="251"/>
      <c r="R154" s="251"/>
      <c r="S154" s="251"/>
      <c r="T154" s="251"/>
      <c r="U154" s="251"/>
      <c r="V154" s="251"/>
      <c r="W154" s="251"/>
      <c r="X154" s="251"/>
      <c r="Y154" s="251"/>
      <c r="Z154" s="251"/>
    </row>
    <row r="155" spans="16:26" ht="10.199999999999999" customHeight="1">
      <c r="P155" s="251"/>
      <c r="Q155" s="251"/>
      <c r="R155" s="251"/>
      <c r="S155" s="251"/>
      <c r="T155" s="251"/>
      <c r="U155" s="251"/>
      <c r="V155" s="251"/>
      <c r="W155" s="251"/>
      <c r="X155" s="251"/>
      <c r="Y155" s="251"/>
      <c r="Z155" s="251"/>
    </row>
    <row r="156" spans="16:26" ht="10.199999999999999" customHeight="1">
      <c r="P156" s="241"/>
      <c r="Q156" s="241"/>
      <c r="R156" s="241"/>
      <c r="S156" s="241"/>
      <c r="T156" s="241"/>
      <c r="U156" s="241"/>
      <c r="V156" s="241"/>
      <c r="W156" s="241"/>
      <c r="X156" s="241"/>
      <c r="Y156" s="241"/>
      <c r="Z156" s="241"/>
    </row>
    <row r="157" spans="16:26" ht="10.199999999999999" customHeight="1">
      <c r="P157" s="251"/>
      <c r="Q157" s="251"/>
      <c r="R157" s="251"/>
      <c r="S157" s="251"/>
      <c r="T157" s="251"/>
      <c r="U157" s="251"/>
      <c r="V157" s="251"/>
      <c r="W157" s="251"/>
      <c r="X157" s="251"/>
      <c r="Y157" s="251"/>
      <c r="Z157" s="251"/>
    </row>
    <row r="158" spans="16:26" ht="10.199999999999999" customHeight="1">
      <c r="P158" s="251"/>
      <c r="Q158" s="251"/>
      <c r="R158" s="251"/>
      <c r="S158" s="251"/>
      <c r="T158" s="251"/>
      <c r="U158" s="251"/>
      <c r="V158" s="251"/>
      <c r="W158" s="251"/>
      <c r="X158" s="251"/>
      <c r="Y158" s="251"/>
      <c r="Z158" s="251"/>
    </row>
    <row r="159" spans="16:26" ht="10.199999999999999" customHeight="1">
      <c r="P159" s="241"/>
      <c r="Q159" s="241"/>
      <c r="R159" s="241"/>
      <c r="S159" s="241"/>
      <c r="T159" s="241"/>
      <c r="U159" s="241"/>
      <c r="V159" s="241"/>
      <c r="W159" s="241"/>
      <c r="X159" s="241"/>
      <c r="Y159" s="241"/>
      <c r="Z159" s="241"/>
    </row>
    <row r="160" spans="16:26" ht="10.199999999999999" customHeight="1">
      <c r="P160" s="251"/>
      <c r="Q160" s="251"/>
      <c r="R160" s="251"/>
      <c r="S160" s="251"/>
      <c r="T160" s="251"/>
      <c r="U160" s="251"/>
      <c r="V160" s="251"/>
      <c r="W160" s="251"/>
      <c r="X160" s="251"/>
      <c r="Y160" s="251"/>
      <c r="Z160" s="251"/>
    </row>
    <row r="161" spans="16:26" ht="10.199999999999999" customHeight="1">
      <c r="P161" s="251"/>
      <c r="Q161" s="251"/>
      <c r="R161" s="251"/>
      <c r="S161" s="251"/>
      <c r="T161" s="251"/>
      <c r="U161" s="251"/>
      <c r="V161" s="251"/>
      <c r="W161" s="251"/>
      <c r="X161" s="251"/>
      <c r="Y161" s="251"/>
      <c r="Z161" s="251"/>
    </row>
    <row r="162" spans="16:26" ht="10.199999999999999" customHeight="1">
      <c r="P162" s="241"/>
      <c r="Q162" s="241"/>
      <c r="R162" s="241"/>
      <c r="S162" s="241"/>
      <c r="T162" s="241"/>
      <c r="U162" s="241"/>
      <c r="V162" s="241"/>
      <c r="W162" s="241"/>
      <c r="X162" s="241"/>
      <c r="Y162" s="241"/>
      <c r="Z162" s="241"/>
    </row>
    <row r="163" spans="16:26" ht="10.199999999999999" customHeight="1">
      <c r="P163" s="251"/>
      <c r="Q163" s="251"/>
      <c r="R163" s="251"/>
      <c r="S163" s="251"/>
      <c r="T163" s="251"/>
      <c r="U163" s="251"/>
      <c r="V163" s="251"/>
      <c r="W163" s="251"/>
      <c r="X163" s="251"/>
      <c r="Y163" s="251"/>
      <c r="Z163" s="251"/>
    </row>
    <row r="164" spans="16:26" ht="10.199999999999999" customHeight="1">
      <c r="P164" s="251"/>
      <c r="Q164" s="251"/>
      <c r="R164" s="251"/>
      <c r="S164" s="251"/>
      <c r="T164" s="251"/>
      <c r="U164" s="251"/>
      <c r="V164" s="251"/>
      <c r="W164" s="251"/>
      <c r="X164" s="251"/>
      <c r="Y164" s="251"/>
      <c r="Z164" s="251"/>
    </row>
    <row r="165" spans="16:26" ht="10.199999999999999" customHeight="1">
      <c r="P165" s="241"/>
      <c r="Q165" s="241"/>
      <c r="R165" s="241"/>
      <c r="S165" s="241"/>
      <c r="T165" s="241"/>
      <c r="U165" s="241"/>
      <c r="V165" s="241"/>
      <c r="W165" s="241"/>
      <c r="X165" s="241"/>
      <c r="Y165" s="241"/>
      <c r="Z165" s="241"/>
    </row>
    <row r="166" spans="16:26" ht="10.199999999999999" customHeight="1">
      <c r="P166" s="251"/>
      <c r="Q166" s="251"/>
      <c r="R166" s="251"/>
      <c r="S166" s="251"/>
      <c r="T166" s="251"/>
      <c r="U166" s="251"/>
      <c r="V166" s="251"/>
      <c r="W166" s="251"/>
      <c r="X166" s="251"/>
      <c r="Y166" s="251"/>
      <c r="Z166" s="251"/>
    </row>
    <row r="167" spans="16:26" ht="10.199999999999999" customHeight="1">
      <c r="P167" s="251"/>
      <c r="Q167" s="251"/>
      <c r="R167" s="251"/>
      <c r="S167" s="251"/>
      <c r="T167" s="251"/>
      <c r="U167" s="251"/>
      <c r="V167" s="251"/>
      <c r="W167" s="251"/>
      <c r="X167" s="251"/>
      <c r="Y167" s="251"/>
      <c r="Z167" s="251"/>
    </row>
    <row r="168" spans="16:26" ht="10.199999999999999" customHeight="1">
      <c r="P168" s="241"/>
      <c r="Q168" s="241"/>
      <c r="R168" s="241"/>
      <c r="S168" s="241"/>
      <c r="T168" s="241"/>
      <c r="U168" s="241"/>
      <c r="V168" s="241"/>
      <c r="W168" s="241"/>
      <c r="X168" s="241"/>
      <c r="Y168" s="241"/>
      <c r="Z168" s="241"/>
    </row>
    <row r="169" spans="16:26" ht="10.199999999999999" customHeight="1">
      <c r="P169" s="251"/>
      <c r="Q169" s="251"/>
      <c r="R169" s="251"/>
      <c r="S169" s="251"/>
      <c r="T169" s="251"/>
      <c r="U169" s="251"/>
      <c r="V169" s="251"/>
      <c r="W169" s="251"/>
      <c r="X169" s="251"/>
      <c r="Y169" s="251"/>
      <c r="Z169" s="251"/>
    </row>
    <row r="170" spans="16:26" ht="10.199999999999999" customHeight="1">
      <c r="P170" s="251"/>
      <c r="Q170" s="251"/>
      <c r="R170" s="251"/>
      <c r="S170" s="251"/>
      <c r="T170" s="251"/>
      <c r="U170" s="251"/>
      <c r="V170" s="251"/>
      <c r="W170" s="251"/>
      <c r="X170" s="251"/>
      <c r="Y170" s="251"/>
      <c r="Z170" s="251"/>
    </row>
    <row r="171" spans="16:26" ht="10.199999999999999" customHeight="1">
      <c r="P171" s="241"/>
      <c r="Q171" s="241"/>
      <c r="R171" s="241"/>
      <c r="S171" s="241"/>
      <c r="T171" s="241"/>
      <c r="U171" s="241"/>
      <c r="V171" s="241"/>
      <c r="W171" s="241"/>
      <c r="X171" s="241"/>
      <c r="Y171" s="241"/>
      <c r="Z171" s="241"/>
    </row>
    <row r="172" spans="16:26" ht="10.199999999999999" customHeight="1">
      <c r="P172" s="251"/>
      <c r="Q172" s="251"/>
      <c r="R172" s="251"/>
      <c r="S172" s="251"/>
      <c r="T172" s="251"/>
      <c r="U172" s="251"/>
      <c r="V172" s="251"/>
      <c r="W172" s="251"/>
      <c r="X172" s="251"/>
      <c r="Y172" s="251"/>
      <c r="Z172" s="251"/>
    </row>
    <row r="173" spans="16:26" ht="10.199999999999999" customHeight="1">
      <c r="P173" s="251"/>
      <c r="Q173" s="251"/>
      <c r="R173" s="251"/>
      <c r="S173" s="251"/>
      <c r="T173" s="251"/>
      <c r="U173" s="251"/>
      <c r="V173" s="251"/>
      <c r="W173" s="251"/>
      <c r="X173" s="251"/>
      <c r="Y173" s="251"/>
      <c r="Z173" s="251"/>
    </row>
    <row r="174" spans="16:26" ht="10.199999999999999" customHeight="1">
      <c r="P174" s="241"/>
      <c r="Q174" s="241"/>
      <c r="R174" s="241"/>
      <c r="S174" s="241"/>
      <c r="T174" s="241"/>
      <c r="U174" s="241"/>
      <c r="V174" s="241"/>
      <c r="W174" s="241"/>
      <c r="X174" s="241"/>
      <c r="Y174" s="241"/>
      <c r="Z174" s="241"/>
    </row>
    <row r="175" spans="16:26" ht="10.199999999999999" customHeight="1">
      <c r="P175" s="251"/>
      <c r="Q175" s="251"/>
      <c r="R175" s="251"/>
      <c r="S175" s="251"/>
      <c r="T175" s="251"/>
      <c r="U175" s="251"/>
      <c r="V175" s="251"/>
      <c r="W175" s="251"/>
      <c r="X175" s="251"/>
      <c r="Y175" s="251"/>
      <c r="Z175" s="251"/>
    </row>
    <row r="176" spans="16:26" ht="10.199999999999999" customHeight="1">
      <c r="P176" s="251"/>
      <c r="Q176" s="251"/>
      <c r="R176" s="251"/>
      <c r="S176" s="251"/>
      <c r="T176" s="251"/>
      <c r="U176" s="251"/>
      <c r="V176" s="251"/>
      <c r="W176" s="251"/>
      <c r="X176" s="251"/>
      <c r="Y176" s="251"/>
      <c r="Z176" s="251"/>
    </row>
    <row r="177" spans="16:26" ht="10.199999999999999" customHeight="1">
      <c r="P177" s="241"/>
      <c r="Q177" s="241"/>
      <c r="R177" s="241"/>
      <c r="S177" s="241"/>
      <c r="T177" s="241"/>
      <c r="U177" s="241"/>
      <c r="V177" s="241"/>
      <c r="W177" s="241"/>
      <c r="X177" s="241"/>
      <c r="Y177" s="241"/>
      <c r="Z177" s="241"/>
    </row>
    <row r="178" spans="16:26" ht="10.199999999999999" customHeight="1">
      <c r="P178" s="251"/>
      <c r="Q178" s="251"/>
      <c r="R178" s="251"/>
      <c r="S178" s="251"/>
      <c r="T178" s="251"/>
      <c r="U178" s="251"/>
      <c r="V178" s="251"/>
      <c r="W178" s="251"/>
      <c r="X178" s="251"/>
      <c r="Y178" s="251"/>
      <c r="Z178" s="251"/>
    </row>
    <row r="179" spans="16:26" ht="10.199999999999999" customHeight="1">
      <c r="P179" s="251"/>
      <c r="Q179" s="251"/>
      <c r="R179" s="251"/>
      <c r="S179" s="251"/>
      <c r="T179" s="251"/>
      <c r="U179" s="251"/>
      <c r="V179" s="251"/>
      <c r="W179" s="251"/>
      <c r="X179" s="251"/>
      <c r="Y179" s="251"/>
      <c r="Z179" s="251"/>
    </row>
    <row r="180" spans="16:26" ht="10.199999999999999" customHeight="1">
      <c r="P180" s="241"/>
      <c r="Q180" s="241"/>
      <c r="R180" s="241"/>
      <c r="S180" s="241"/>
      <c r="T180" s="241"/>
      <c r="U180" s="241"/>
      <c r="V180" s="241"/>
      <c r="W180" s="241"/>
      <c r="X180" s="241"/>
      <c r="Y180" s="241"/>
      <c r="Z180" s="241"/>
    </row>
    <row r="181" spans="16:26" ht="10.199999999999999" customHeight="1">
      <c r="P181" s="251"/>
      <c r="Q181" s="251"/>
      <c r="R181" s="251"/>
      <c r="S181" s="251"/>
      <c r="T181" s="251"/>
      <c r="U181" s="251"/>
      <c r="V181" s="251"/>
      <c r="W181" s="251"/>
      <c r="X181" s="251"/>
      <c r="Y181" s="251"/>
      <c r="Z181" s="251"/>
    </row>
    <row r="182" spans="16:26" ht="10.199999999999999" customHeight="1">
      <c r="P182" s="251"/>
      <c r="Q182" s="251"/>
      <c r="R182" s="251"/>
      <c r="S182" s="251"/>
      <c r="T182" s="251"/>
      <c r="U182" s="251"/>
      <c r="V182" s="251"/>
      <c r="W182" s="251"/>
      <c r="X182" s="251"/>
      <c r="Y182" s="251"/>
      <c r="Z182" s="251"/>
    </row>
    <row r="183" spans="16:26" ht="10.199999999999999" customHeight="1">
      <c r="P183" s="241"/>
      <c r="Q183" s="241"/>
      <c r="R183" s="241"/>
      <c r="S183" s="241"/>
      <c r="T183" s="241"/>
      <c r="U183" s="241"/>
      <c r="V183" s="241"/>
      <c r="W183" s="241"/>
      <c r="X183" s="241"/>
      <c r="Y183" s="241"/>
      <c r="Z183" s="241"/>
    </row>
    <row r="184" spans="16:26" ht="10.199999999999999" customHeight="1">
      <c r="P184" s="251"/>
      <c r="Q184" s="251"/>
      <c r="R184" s="251"/>
      <c r="S184" s="251"/>
      <c r="T184" s="251"/>
      <c r="U184" s="251"/>
      <c r="V184" s="251"/>
      <c r="W184" s="251"/>
      <c r="X184" s="251"/>
      <c r="Y184" s="251"/>
      <c r="Z184" s="251"/>
    </row>
    <row r="185" spans="16:26" ht="10.199999999999999" customHeight="1">
      <c r="P185" s="251"/>
      <c r="Q185" s="251"/>
      <c r="R185" s="251"/>
      <c r="S185" s="251"/>
      <c r="T185" s="251"/>
      <c r="U185" s="251"/>
      <c r="V185" s="251"/>
      <c r="W185" s="251"/>
      <c r="X185" s="251"/>
      <c r="Y185" s="251"/>
      <c r="Z185" s="251"/>
    </row>
    <row r="186" spans="16:26" ht="10.199999999999999" customHeight="1">
      <c r="P186" s="241"/>
      <c r="Q186" s="241"/>
      <c r="R186" s="241"/>
      <c r="S186" s="241"/>
      <c r="T186" s="241"/>
      <c r="U186" s="241"/>
      <c r="V186" s="241"/>
      <c r="W186" s="241"/>
      <c r="X186" s="241"/>
      <c r="Y186" s="241"/>
      <c r="Z186" s="241"/>
    </row>
    <row r="187" spans="16:26" ht="10.199999999999999" customHeight="1">
      <c r="P187" s="251"/>
      <c r="Q187" s="251"/>
      <c r="R187" s="251"/>
      <c r="S187" s="251"/>
      <c r="T187" s="251"/>
      <c r="U187" s="251"/>
      <c r="V187" s="251"/>
      <c r="W187" s="251"/>
      <c r="X187" s="251"/>
      <c r="Y187" s="251"/>
      <c r="Z187" s="251"/>
    </row>
    <row r="188" spans="16:26" ht="10.199999999999999" customHeight="1">
      <c r="P188" s="251"/>
      <c r="Q188" s="251"/>
      <c r="R188" s="251"/>
      <c r="S188" s="251"/>
      <c r="T188" s="251"/>
      <c r="U188" s="251"/>
      <c r="V188" s="251"/>
      <c r="W188" s="251"/>
      <c r="X188" s="251"/>
      <c r="Y188" s="251"/>
      <c r="Z188" s="251"/>
    </row>
    <row r="189" spans="16:26" ht="10.199999999999999" customHeight="1">
      <c r="P189" s="241"/>
      <c r="Q189" s="241"/>
      <c r="R189" s="241"/>
      <c r="S189" s="241"/>
      <c r="T189" s="241"/>
      <c r="U189" s="241"/>
      <c r="V189" s="241"/>
      <c r="W189" s="241"/>
      <c r="X189" s="241"/>
      <c r="Y189" s="241"/>
      <c r="Z189" s="241"/>
    </row>
    <row r="190" spans="16:26" ht="10.199999999999999" customHeight="1">
      <c r="P190" s="251"/>
      <c r="Q190" s="251"/>
      <c r="R190" s="251"/>
      <c r="S190" s="251"/>
      <c r="T190" s="251"/>
      <c r="U190" s="251"/>
      <c r="V190" s="251"/>
      <c r="W190" s="251"/>
      <c r="X190" s="251"/>
      <c r="Y190" s="251"/>
      <c r="Z190" s="251"/>
    </row>
    <row r="191" spans="16:26" ht="10.199999999999999" customHeight="1">
      <c r="P191" s="251"/>
      <c r="Q191" s="251"/>
      <c r="R191" s="251"/>
      <c r="S191" s="251"/>
      <c r="T191" s="251"/>
      <c r="U191" s="251"/>
      <c r="V191" s="251"/>
      <c r="W191" s="251"/>
      <c r="X191" s="251"/>
      <c r="Y191" s="251"/>
      <c r="Z191" s="251"/>
    </row>
    <row r="192" spans="16:26" ht="10.199999999999999" customHeight="1">
      <c r="P192" s="241"/>
      <c r="Q192" s="241"/>
      <c r="R192" s="241"/>
      <c r="S192" s="241"/>
      <c r="T192" s="241"/>
      <c r="U192" s="241"/>
      <c r="V192" s="241"/>
      <c r="W192" s="241"/>
      <c r="X192" s="241"/>
      <c r="Y192" s="241"/>
      <c r="Z192" s="241"/>
    </row>
    <row r="193" spans="16:26" ht="10.199999999999999" customHeight="1">
      <c r="P193" s="251"/>
      <c r="Q193" s="251"/>
      <c r="R193" s="251"/>
      <c r="S193" s="251"/>
      <c r="T193" s="251"/>
      <c r="U193" s="251"/>
      <c r="V193" s="251"/>
      <c r="W193" s="251"/>
      <c r="X193" s="251"/>
      <c r="Y193" s="251"/>
      <c r="Z193" s="251"/>
    </row>
    <row r="194" spans="16:26" ht="10.199999999999999" customHeight="1">
      <c r="P194" s="251"/>
      <c r="Q194" s="251"/>
      <c r="R194" s="251"/>
      <c r="S194" s="251"/>
      <c r="T194" s="251"/>
      <c r="U194" s="251"/>
      <c r="V194" s="251"/>
      <c r="W194" s="251"/>
      <c r="X194" s="251"/>
      <c r="Y194" s="251"/>
      <c r="Z194" s="251"/>
    </row>
    <row r="195" spans="16:26" ht="10.199999999999999" customHeight="1">
      <c r="P195" s="241"/>
      <c r="Q195" s="241"/>
      <c r="R195" s="241"/>
      <c r="S195" s="241"/>
      <c r="T195" s="241"/>
      <c r="U195" s="241"/>
      <c r="V195" s="241"/>
      <c r="W195" s="241"/>
      <c r="X195" s="241"/>
      <c r="Y195" s="241"/>
      <c r="Z195" s="241"/>
    </row>
    <row r="196" spans="16:26" ht="10.199999999999999" customHeight="1">
      <c r="P196" s="251"/>
      <c r="Q196" s="251"/>
      <c r="R196" s="251"/>
      <c r="S196" s="251"/>
      <c r="T196" s="251"/>
      <c r="U196" s="251"/>
      <c r="V196" s="251"/>
      <c r="W196" s="251"/>
      <c r="X196" s="251"/>
      <c r="Y196" s="251"/>
      <c r="Z196" s="251"/>
    </row>
    <row r="197" spans="16:26" ht="10.199999999999999" customHeight="1">
      <c r="P197" s="251"/>
      <c r="Q197" s="251"/>
      <c r="R197" s="251"/>
      <c r="S197" s="251"/>
      <c r="T197" s="251"/>
      <c r="U197" s="251"/>
      <c r="V197" s="251"/>
      <c r="W197" s="251"/>
      <c r="X197" s="251"/>
      <c r="Y197" s="251"/>
      <c r="Z197" s="251"/>
    </row>
    <row r="198" spans="16:26" ht="10.199999999999999" customHeight="1">
      <c r="P198" s="241"/>
      <c r="Q198" s="241"/>
      <c r="R198" s="241"/>
      <c r="S198" s="241"/>
      <c r="T198" s="241"/>
      <c r="U198" s="241"/>
      <c r="V198" s="241"/>
      <c r="W198" s="241"/>
      <c r="X198" s="241"/>
      <c r="Y198" s="241"/>
      <c r="Z198" s="241"/>
    </row>
    <row r="199" spans="16:26" ht="10.199999999999999" customHeight="1">
      <c r="P199" s="251"/>
      <c r="Q199" s="251"/>
      <c r="R199" s="251"/>
      <c r="S199" s="251"/>
      <c r="T199" s="251"/>
      <c r="U199" s="251"/>
      <c r="V199" s="251"/>
      <c r="W199" s="251"/>
      <c r="X199" s="251"/>
      <c r="Y199" s="251"/>
      <c r="Z199" s="251"/>
    </row>
    <row r="200" spans="16:26" ht="10.199999999999999" customHeight="1">
      <c r="P200" s="251"/>
      <c r="Q200" s="251"/>
      <c r="R200" s="251"/>
      <c r="S200" s="251"/>
      <c r="T200" s="251"/>
      <c r="U200" s="251"/>
      <c r="V200" s="251"/>
      <c r="W200" s="251"/>
      <c r="X200" s="251"/>
      <c r="Y200" s="251"/>
      <c r="Z200" s="251"/>
    </row>
    <row r="201" spans="16:26" ht="10.199999999999999" customHeight="1">
      <c r="P201" s="241"/>
      <c r="Q201" s="241"/>
      <c r="R201" s="241"/>
      <c r="S201" s="241"/>
      <c r="T201" s="241"/>
      <c r="U201" s="241"/>
      <c r="V201" s="241"/>
      <c r="W201" s="241"/>
      <c r="X201" s="241"/>
      <c r="Y201" s="241"/>
      <c r="Z201" s="241"/>
    </row>
    <row r="202" spans="16:26" ht="10.199999999999999" customHeight="1">
      <c r="P202" s="251"/>
      <c r="Q202" s="251"/>
      <c r="R202" s="251"/>
      <c r="S202" s="251"/>
      <c r="T202" s="251"/>
      <c r="U202" s="251"/>
      <c r="V202" s="251"/>
      <c r="W202" s="251"/>
      <c r="X202" s="251"/>
      <c r="Y202" s="251"/>
      <c r="Z202" s="251"/>
    </row>
    <row r="203" spans="16:26" ht="10.199999999999999" customHeight="1">
      <c r="P203" s="251"/>
      <c r="Q203" s="251"/>
      <c r="R203" s="251"/>
      <c r="S203" s="251"/>
      <c r="T203" s="251"/>
      <c r="U203" s="251"/>
      <c r="V203" s="251"/>
      <c r="W203" s="251"/>
      <c r="X203" s="251"/>
      <c r="Y203" s="251"/>
      <c r="Z203" s="251"/>
    </row>
    <row r="204" spans="16:26" ht="10.199999999999999" customHeight="1">
      <c r="P204" s="241"/>
      <c r="Q204" s="241"/>
      <c r="R204" s="241"/>
      <c r="S204" s="241"/>
      <c r="T204" s="241"/>
      <c r="U204" s="241"/>
      <c r="V204" s="241"/>
      <c r="W204" s="241"/>
      <c r="X204" s="241"/>
      <c r="Y204" s="241"/>
      <c r="Z204" s="241"/>
    </row>
    <row r="205" spans="16:26" ht="10.199999999999999" customHeight="1">
      <c r="P205" s="251"/>
      <c r="Q205" s="251"/>
      <c r="R205" s="251"/>
      <c r="S205" s="251"/>
      <c r="T205" s="251"/>
      <c r="U205" s="251"/>
      <c r="V205" s="251"/>
      <c r="W205" s="251"/>
      <c r="X205" s="251"/>
      <c r="Y205" s="251"/>
      <c r="Z205" s="251"/>
    </row>
    <row r="206" spans="16:26" ht="10.199999999999999" customHeight="1">
      <c r="P206" s="251"/>
      <c r="Q206" s="251"/>
      <c r="R206" s="251"/>
      <c r="S206" s="251"/>
      <c r="T206" s="251"/>
      <c r="U206" s="251"/>
      <c r="V206" s="251"/>
      <c r="W206" s="251"/>
      <c r="X206" s="251"/>
      <c r="Y206" s="251"/>
      <c r="Z206" s="251"/>
    </row>
    <row r="207" spans="16:26" ht="10.199999999999999" customHeight="1">
      <c r="P207" s="241"/>
      <c r="Q207" s="241"/>
      <c r="R207" s="241"/>
      <c r="S207" s="241"/>
      <c r="T207" s="241"/>
      <c r="U207" s="241"/>
      <c r="V207" s="241"/>
      <c r="W207" s="241"/>
      <c r="X207" s="241"/>
      <c r="Y207" s="241"/>
      <c r="Z207" s="241"/>
    </row>
    <row r="208" spans="16:26" ht="10.199999999999999" customHeight="1">
      <c r="P208" s="251"/>
      <c r="Q208" s="251"/>
      <c r="R208" s="251"/>
      <c r="S208" s="251"/>
      <c r="T208" s="251"/>
      <c r="U208" s="251"/>
      <c r="V208" s="251"/>
      <c r="W208" s="251"/>
      <c r="X208" s="251"/>
      <c r="Y208" s="251"/>
      <c r="Z208" s="251"/>
    </row>
    <row r="209" spans="16:26" ht="10.199999999999999" customHeight="1">
      <c r="P209" s="251"/>
      <c r="Q209" s="251"/>
      <c r="R209" s="251"/>
      <c r="S209" s="251"/>
      <c r="T209" s="251"/>
      <c r="U209" s="251"/>
      <c r="V209" s="251"/>
      <c r="W209" s="251"/>
      <c r="X209" s="251"/>
      <c r="Y209" s="251"/>
      <c r="Z209" s="251"/>
    </row>
    <row r="210" spans="16:26" ht="10.199999999999999" customHeight="1">
      <c r="P210" s="241"/>
      <c r="Q210" s="241"/>
      <c r="R210" s="241"/>
      <c r="S210" s="241"/>
      <c r="T210" s="241"/>
      <c r="U210" s="241"/>
      <c r="V210" s="241"/>
      <c r="W210" s="241"/>
      <c r="X210" s="241"/>
      <c r="Y210" s="241"/>
      <c r="Z210" s="241"/>
    </row>
    <row r="211" spans="16:26" ht="10.199999999999999" customHeight="1">
      <c r="P211" s="251"/>
      <c r="Q211" s="251"/>
      <c r="R211" s="251"/>
      <c r="S211" s="251"/>
      <c r="T211" s="251"/>
      <c r="U211" s="251"/>
      <c r="V211" s="251"/>
      <c r="W211" s="251"/>
      <c r="X211" s="251"/>
      <c r="Y211" s="251"/>
      <c r="Z211" s="251"/>
    </row>
    <row r="212" spans="16:26" ht="10.199999999999999" customHeight="1">
      <c r="P212" s="251"/>
      <c r="Q212" s="251"/>
      <c r="R212" s="251"/>
      <c r="S212" s="251"/>
      <c r="T212" s="251"/>
      <c r="U212" s="251"/>
      <c r="V212" s="251"/>
      <c r="W212" s="251"/>
      <c r="X212" s="251"/>
      <c r="Y212" s="251"/>
      <c r="Z212" s="251"/>
    </row>
    <row r="213" spans="16:26" ht="10.199999999999999" customHeight="1">
      <c r="P213" s="241"/>
      <c r="Q213" s="241"/>
      <c r="R213" s="241"/>
      <c r="S213" s="241"/>
      <c r="T213" s="241"/>
      <c r="U213" s="241"/>
      <c r="V213" s="241"/>
      <c r="W213" s="241"/>
      <c r="X213" s="241"/>
      <c r="Y213" s="241"/>
      <c r="Z213" s="241"/>
    </row>
    <row r="214" spans="16:26" ht="10.199999999999999" customHeight="1">
      <c r="P214" s="251"/>
      <c r="Q214" s="251"/>
      <c r="R214" s="251"/>
      <c r="S214" s="251"/>
      <c r="T214" s="251"/>
      <c r="U214" s="251"/>
      <c r="V214" s="251"/>
      <c r="W214" s="251"/>
      <c r="X214" s="251"/>
      <c r="Y214" s="251"/>
      <c r="Z214" s="251"/>
    </row>
    <row r="215" spans="16:26" ht="10.199999999999999" customHeight="1">
      <c r="P215" s="251"/>
      <c r="Q215" s="251"/>
      <c r="R215" s="251"/>
      <c r="S215" s="251"/>
      <c r="T215" s="251"/>
      <c r="U215" s="251"/>
      <c r="V215" s="251"/>
      <c r="W215" s="251"/>
      <c r="X215" s="251"/>
      <c r="Y215" s="251"/>
      <c r="Z215" s="251"/>
    </row>
    <row r="216" spans="16:26" ht="10.199999999999999" customHeight="1">
      <c r="P216" s="241"/>
      <c r="Q216" s="241"/>
      <c r="R216" s="241"/>
      <c r="S216" s="241"/>
      <c r="T216" s="241"/>
      <c r="U216" s="241"/>
      <c r="V216" s="241"/>
      <c r="W216" s="241"/>
      <c r="X216" s="241"/>
      <c r="Y216" s="241"/>
      <c r="Z216" s="241"/>
    </row>
    <row r="217" spans="16:26" ht="10.199999999999999" customHeight="1">
      <c r="P217" s="251"/>
      <c r="Q217" s="251"/>
      <c r="R217" s="251"/>
      <c r="S217" s="251"/>
      <c r="T217" s="251"/>
      <c r="U217" s="251"/>
      <c r="V217" s="251"/>
      <c r="W217" s="251"/>
      <c r="X217" s="251"/>
      <c r="Y217" s="251"/>
      <c r="Z217" s="251"/>
    </row>
    <row r="218" spans="16:26" ht="10.199999999999999" customHeight="1">
      <c r="P218" s="251"/>
      <c r="Q218" s="251"/>
      <c r="R218" s="251"/>
      <c r="S218" s="251"/>
      <c r="T218" s="251"/>
      <c r="U218" s="251"/>
      <c r="V218" s="251"/>
      <c r="W218" s="251"/>
      <c r="X218" s="251"/>
      <c r="Y218" s="251"/>
      <c r="Z218" s="251"/>
    </row>
    <row r="219" spans="16:26" ht="10.199999999999999" customHeight="1">
      <c r="P219" s="241"/>
      <c r="Q219" s="241"/>
      <c r="R219" s="241"/>
      <c r="S219" s="241"/>
      <c r="T219" s="241"/>
      <c r="U219" s="241"/>
      <c r="V219" s="241"/>
      <c r="W219" s="241"/>
      <c r="X219" s="241"/>
      <c r="Y219" s="241"/>
      <c r="Z219" s="241"/>
    </row>
    <row r="220" spans="16:26" ht="10.199999999999999" customHeight="1">
      <c r="P220" s="251"/>
      <c r="Q220" s="251"/>
      <c r="R220" s="251"/>
      <c r="S220" s="251"/>
      <c r="T220" s="251"/>
      <c r="U220" s="251"/>
      <c r="V220" s="251"/>
      <c r="W220" s="251"/>
      <c r="X220" s="251"/>
      <c r="Y220" s="251"/>
      <c r="Z220" s="251"/>
    </row>
    <row r="221" spans="16:26" ht="10.199999999999999" customHeight="1">
      <c r="P221" s="251"/>
      <c r="Q221" s="251"/>
      <c r="R221" s="251"/>
      <c r="S221" s="251"/>
      <c r="T221" s="251"/>
      <c r="U221" s="251"/>
      <c r="V221" s="251"/>
      <c r="W221" s="251"/>
      <c r="X221" s="251"/>
      <c r="Y221" s="251"/>
      <c r="Z221" s="251"/>
    </row>
    <row r="222" spans="16:26" ht="10.199999999999999" customHeight="1">
      <c r="P222" s="241"/>
      <c r="Q222" s="241"/>
      <c r="R222" s="241"/>
      <c r="S222" s="241"/>
      <c r="T222" s="241"/>
      <c r="U222" s="241"/>
      <c r="V222" s="241"/>
      <c r="W222" s="241"/>
      <c r="X222" s="241"/>
      <c r="Y222" s="241"/>
      <c r="Z222" s="241"/>
    </row>
    <row r="223" spans="16:26" ht="10.199999999999999" customHeight="1">
      <c r="P223" s="251"/>
      <c r="Q223" s="251"/>
      <c r="R223" s="251"/>
      <c r="S223" s="251"/>
      <c r="T223" s="251"/>
      <c r="U223" s="251"/>
      <c r="V223" s="251"/>
      <c r="W223" s="251"/>
      <c r="X223" s="251"/>
      <c r="Y223" s="251"/>
      <c r="Z223" s="251"/>
    </row>
    <row r="224" spans="16:26" ht="10.199999999999999" customHeight="1">
      <c r="P224" s="251"/>
      <c r="Q224" s="251"/>
      <c r="R224" s="251"/>
      <c r="S224" s="251"/>
      <c r="T224" s="251"/>
      <c r="U224" s="251"/>
      <c r="V224" s="251"/>
      <c r="W224" s="251"/>
      <c r="X224" s="251"/>
      <c r="Y224" s="251"/>
      <c r="Z224" s="251"/>
    </row>
    <row r="225" spans="16:26" ht="10.199999999999999" customHeight="1">
      <c r="P225" s="241"/>
      <c r="Q225" s="241"/>
      <c r="R225" s="241"/>
      <c r="S225" s="241"/>
      <c r="T225" s="241"/>
      <c r="U225" s="241"/>
      <c r="V225" s="241"/>
      <c r="W225" s="241"/>
      <c r="X225" s="241"/>
      <c r="Y225" s="241"/>
      <c r="Z225" s="241"/>
    </row>
    <row r="226" spans="16:26" ht="10.199999999999999" customHeight="1">
      <c r="P226" s="251"/>
      <c r="Q226" s="251"/>
      <c r="R226" s="251"/>
      <c r="S226" s="251"/>
      <c r="T226" s="251"/>
      <c r="U226" s="251"/>
      <c r="V226" s="251"/>
      <c r="W226" s="251"/>
      <c r="X226" s="251"/>
      <c r="Y226" s="251"/>
      <c r="Z226" s="251"/>
    </row>
    <row r="227" spans="16:26" ht="10.199999999999999" customHeight="1">
      <c r="P227" s="251"/>
      <c r="Q227" s="251"/>
      <c r="R227" s="251"/>
      <c r="S227" s="251"/>
      <c r="T227" s="251"/>
      <c r="U227" s="251"/>
      <c r="V227" s="251"/>
      <c r="W227" s="251"/>
      <c r="X227" s="251"/>
      <c r="Y227" s="251"/>
      <c r="Z227" s="251"/>
    </row>
    <row r="228" spans="16:26" ht="10.199999999999999" customHeight="1">
      <c r="P228" s="241"/>
      <c r="Q228" s="241"/>
      <c r="R228" s="241"/>
      <c r="S228" s="241"/>
      <c r="T228" s="241"/>
      <c r="U228" s="241"/>
      <c r="V228" s="241"/>
      <c r="W228" s="241"/>
      <c r="X228" s="241"/>
      <c r="Y228" s="241"/>
      <c r="Z228" s="241"/>
    </row>
    <row r="229" spans="16:26" ht="10.199999999999999" customHeight="1">
      <c r="P229" s="251"/>
      <c r="Q229" s="251"/>
      <c r="R229" s="251"/>
      <c r="S229" s="251"/>
      <c r="T229" s="251"/>
      <c r="U229" s="251"/>
      <c r="V229" s="251"/>
      <c r="W229" s="251"/>
      <c r="X229" s="251"/>
      <c r="Y229" s="251"/>
      <c r="Z229" s="251"/>
    </row>
    <row r="230" spans="16:26" ht="10.199999999999999" customHeight="1">
      <c r="P230" s="251"/>
      <c r="Q230" s="251"/>
      <c r="R230" s="251"/>
      <c r="S230" s="251"/>
      <c r="T230" s="251"/>
      <c r="U230" s="251"/>
      <c r="V230" s="251"/>
      <c r="W230" s="251"/>
      <c r="X230" s="251"/>
      <c r="Y230" s="251"/>
      <c r="Z230" s="251"/>
    </row>
    <row r="231" spans="16:26" ht="10.199999999999999" customHeight="1">
      <c r="P231" s="241"/>
      <c r="Q231" s="241"/>
      <c r="R231" s="241"/>
      <c r="S231" s="241"/>
      <c r="T231" s="241"/>
      <c r="U231" s="241"/>
      <c r="V231" s="241"/>
      <c r="W231" s="241"/>
      <c r="X231" s="241"/>
      <c r="Y231" s="241"/>
      <c r="Z231" s="241"/>
    </row>
    <row r="232" spans="16:26" ht="10.199999999999999" customHeight="1">
      <c r="P232" s="251"/>
      <c r="Q232" s="251"/>
      <c r="R232" s="251"/>
      <c r="S232" s="251"/>
      <c r="T232" s="251"/>
      <c r="U232" s="251"/>
      <c r="V232" s="251"/>
      <c r="W232" s="251"/>
      <c r="X232" s="251"/>
      <c r="Y232" s="251"/>
      <c r="Z232" s="251"/>
    </row>
    <row r="233" spans="16:26" ht="10.199999999999999" customHeight="1">
      <c r="P233" s="251"/>
      <c r="Q233" s="251"/>
      <c r="R233" s="251"/>
      <c r="S233" s="251"/>
      <c r="T233" s="251"/>
      <c r="U233" s="251"/>
      <c r="V233" s="251"/>
      <c r="W233" s="251"/>
      <c r="X233" s="251"/>
      <c r="Y233" s="251"/>
      <c r="Z233" s="251"/>
    </row>
    <row r="234" spans="16:26" ht="10.199999999999999" customHeight="1">
      <c r="P234" s="241"/>
      <c r="Q234" s="241"/>
      <c r="R234" s="241"/>
      <c r="S234" s="241"/>
      <c r="T234" s="241"/>
      <c r="U234" s="241"/>
      <c r="V234" s="241"/>
      <c r="W234" s="241"/>
      <c r="X234" s="241"/>
      <c r="Y234" s="241"/>
      <c r="Z234" s="241"/>
    </row>
    <row r="235" spans="16:26" ht="10.199999999999999" customHeight="1">
      <c r="P235" s="251"/>
      <c r="Q235" s="251"/>
      <c r="R235" s="251"/>
      <c r="S235" s="251"/>
      <c r="T235" s="251"/>
      <c r="U235" s="251"/>
      <c r="V235" s="251"/>
      <c r="W235" s="251"/>
      <c r="X235" s="251"/>
      <c r="Y235" s="251"/>
      <c r="Z235" s="251"/>
    </row>
    <row r="236" spans="16:26" ht="10.199999999999999" customHeight="1">
      <c r="P236" s="251"/>
      <c r="Q236" s="251"/>
      <c r="R236" s="251"/>
      <c r="S236" s="251"/>
      <c r="T236" s="251"/>
      <c r="U236" s="251"/>
      <c r="V236" s="251"/>
      <c r="W236" s="251"/>
      <c r="X236" s="251"/>
      <c r="Y236" s="251"/>
      <c r="Z236" s="251"/>
    </row>
    <row r="237" spans="16:26" ht="10.199999999999999" customHeight="1">
      <c r="P237" s="241"/>
      <c r="Q237" s="241"/>
      <c r="R237" s="241"/>
      <c r="S237" s="241"/>
      <c r="T237" s="241"/>
      <c r="U237" s="241"/>
      <c r="V237" s="241"/>
      <c r="W237" s="241"/>
      <c r="X237" s="241"/>
      <c r="Y237" s="241"/>
      <c r="Z237" s="241"/>
    </row>
    <row r="238" spans="16:26" ht="10.199999999999999" customHeight="1">
      <c r="P238" s="251"/>
      <c r="Q238" s="251"/>
      <c r="R238" s="251"/>
      <c r="S238" s="251"/>
      <c r="T238" s="251"/>
      <c r="U238" s="251"/>
      <c r="V238" s="251"/>
      <c r="W238" s="251"/>
      <c r="X238" s="251"/>
      <c r="Y238" s="251"/>
      <c r="Z238" s="251"/>
    </row>
    <row r="239" spans="16:26" ht="10.199999999999999" customHeight="1">
      <c r="P239" s="251"/>
      <c r="Q239" s="251"/>
      <c r="R239" s="251"/>
      <c r="S239" s="251"/>
      <c r="T239" s="251"/>
      <c r="U239" s="251"/>
      <c r="V239" s="251"/>
      <c r="W239" s="251"/>
      <c r="X239" s="251"/>
      <c r="Y239" s="251"/>
      <c r="Z239" s="251"/>
    </row>
    <row r="240" spans="16:26" ht="10.199999999999999" customHeight="1">
      <c r="P240" s="241"/>
      <c r="Q240" s="241"/>
      <c r="R240" s="241"/>
      <c r="S240" s="241"/>
      <c r="T240" s="241"/>
      <c r="U240" s="241"/>
      <c r="V240" s="241"/>
      <c r="W240" s="241"/>
      <c r="X240" s="241"/>
      <c r="Y240" s="241"/>
      <c r="Z240" s="241"/>
    </row>
    <row r="241" spans="16:26" ht="10.199999999999999" customHeight="1">
      <c r="P241" s="251"/>
      <c r="Q241" s="251"/>
      <c r="R241" s="251"/>
      <c r="S241" s="251"/>
      <c r="T241" s="251"/>
      <c r="U241" s="251"/>
      <c r="V241" s="251"/>
      <c r="W241" s="251"/>
      <c r="X241" s="251"/>
      <c r="Y241" s="251"/>
      <c r="Z241" s="251"/>
    </row>
    <row r="242" spans="16:26" ht="10.199999999999999" customHeight="1">
      <c r="P242" s="251"/>
      <c r="Q242" s="251"/>
      <c r="R242" s="251"/>
      <c r="S242" s="251"/>
      <c r="T242" s="251"/>
      <c r="U242" s="251"/>
      <c r="V242" s="251"/>
      <c r="W242" s="251"/>
      <c r="X242" s="251"/>
      <c r="Y242" s="251"/>
      <c r="Z242" s="251"/>
    </row>
    <row r="243" spans="16:26" ht="10.199999999999999" customHeight="1">
      <c r="P243" s="241"/>
      <c r="Q243" s="241"/>
      <c r="R243" s="241"/>
      <c r="S243" s="241"/>
      <c r="T243" s="241"/>
      <c r="U243" s="241"/>
      <c r="V243" s="241"/>
      <c r="W243" s="241"/>
      <c r="X243" s="241"/>
      <c r="Y243" s="241"/>
      <c r="Z243" s="241"/>
    </row>
    <row r="244" spans="16:26" ht="10.199999999999999" customHeight="1">
      <c r="P244" s="251"/>
      <c r="Q244" s="251"/>
      <c r="R244" s="251"/>
      <c r="S244" s="251"/>
      <c r="T244" s="251"/>
      <c r="U244" s="251"/>
      <c r="V244" s="251"/>
      <c r="W244" s="251"/>
      <c r="X244" s="251"/>
      <c r="Y244" s="251"/>
      <c r="Z244" s="251"/>
    </row>
    <row r="245" spans="16:26" ht="10.199999999999999" customHeight="1">
      <c r="P245" s="251"/>
      <c r="Q245" s="251"/>
      <c r="R245" s="251"/>
      <c r="S245" s="251"/>
      <c r="T245" s="251"/>
      <c r="U245" s="251"/>
      <c r="V245" s="251"/>
      <c r="W245" s="251"/>
      <c r="X245" s="251"/>
      <c r="Y245" s="251"/>
      <c r="Z245" s="251"/>
    </row>
    <row r="246" spans="16:26" ht="10.199999999999999" customHeight="1">
      <c r="P246" s="241"/>
      <c r="Q246" s="241"/>
      <c r="R246" s="241"/>
      <c r="S246" s="241"/>
      <c r="T246" s="241"/>
      <c r="U246" s="241"/>
      <c r="V246" s="241"/>
      <c r="W246" s="241"/>
      <c r="X246" s="241"/>
      <c r="Y246" s="241"/>
      <c r="Z246" s="241"/>
    </row>
    <row r="247" spans="16:26" ht="10.199999999999999" customHeight="1">
      <c r="P247" s="251"/>
      <c r="Q247" s="251"/>
      <c r="R247" s="251"/>
      <c r="S247" s="251"/>
      <c r="T247" s="251"/>
      <c r="U247" s="251"/>
      <c r="V247" s="251"/>
      <c r="W247" s="251"/>
      <c r="X247" s="251"/>
      <c r="Y247" s="251"/>
      <c r="Z247" s="251"/>
    </row>
    <row r="248" spans="16:26" ht="10.199999999999999" customHeight="1">
      <c r="P248" s="251"/>
      <c r="Q248" s="251"/>
      <c r="R248" s="251"/>
      <c r="S248" s="251"/>
      <c r="T248" s="251"/>
      <c r="U248" s="251"/>
      <c r="V248" s="251"/>
      <c r="W248" s="251"/>
      <c r="X248" s="251"/>
      <c r="Y248" s="251"/>
      <c r="Z248" s="251"/>
    </row>
    <row r="249" spans="16:26" ht="10.199999999999999" customHeight="1">
      <c r="P249" s="241"/>
      <c r="Q249" s="241"/>
      <c r="R249" s="241"/>
      <c r="S249" s="241"/>
      <c r="T249" s="241"/>
      <c r="U249" s="241"/>
      <c r="V249" s="241"/>
      <c r="W249" s="241"/>
      <c r="X249" s="241"/>
      <c r="Y249" s="241"/>
      <c r="Z249" s="241"/>
    </row>
    <row r="250" spans="16:26" ht="10.199999999999999" customHeight="1">
      <c r="P250" s="251"/>
      <c r="Q250" s="251"/>
      <c r="R250" s="251"/>
      <c r="S250" s="251"/>
      <c r="T250" s="251"/>
      <c r="U250" s="251"/>
      <c r="V250" s="251"/>
      <c r="W250" s="251"/>
      <c r="X250" s="251"/>
      <c r="Y250" s="251"/>
      <c r="Z250" s="251"/>
    </row>
    <row r="251" spans="16:26" ht="10.199999999999999" customHeight="1">
      <c r="P251" s="251"/>
      <c r="Q251" s="251"/>
      <c r="R251" s="251"/>
      <c r="S251" s="251"/>
      <c r="T251" s="251"/>
      <c r="U251" s="251"/>
      <c r="V251" s="251"/>
      <c r="W251" s="251"/>
      <c r="X251" s="251"/>
      <c r="Y251" s="251"/>
      <c r="Z251" s="251"/>
    </row>
    <row r="252" spans="16:26" ht="10.199999999999999" customHeight="1">
      <c r="P252" s="241"/>
      <c r="Q252" s="241"/>
      <c r="R252" s="241"/>
      <c r="S252" s="241"/>
      <c r="T252" s="241"/>
      <c r="U252" s="241"/>
      <c r="V252" s="241"/>
      <c r="W252" s="241"/>
      <c r="X252" s="241"/>
      <c r="Y252" s="241"/>
      <c r="Z252" s="241"/>
    </row>
    <row r="253" spans="16:26" ht="10.199999999999999" customHeight="1">
      <c r="P253" s="251"/>
      <c r="Q253" s="251"/>
      <c r="R253" s="251"/>
      <c r="S253" s="251"/>
      <c r="T253" s="251"/>
      <c r="U253" s="251"/>
      <c r="V253" s="251"/>
      <c r="W253" s="251"/>
      <c r="X253" s="251"/>
      <c r="Y253" s="251"/>
      <c r="Z253" s="251"/>
    </row>
    <row r="254" spans="16:26" ht="10.199999999999999" customHeight="1">
      <c r="P254" s="251"/>
      <c r="Q254" s="251"/>
      <c r="R254" s="251"/>
      <c r="S254" s="251"/>
      <c r="T254" s="251"/>
      <c r="U254" s="251"/>
      <c r="V254" s="251"/>
      <c r="W254" s="251"/>
      <c r="X254" s="251"/>
      <c r="Y254" s="251"/>
      <c r="Z254" s="251"/>
    </row>
    <row r="255" spans="16:26" ht="10.199999999999999" customHeight="1">
      <c r="P255" s="241"/>
      <c r="Q255" s="241"/>
      <c r="R255" s="241"/>
      <c r="S255" s="241"/>
      <c r="T255" s="241"/>
      <c r="U255" s="241"/>
      <c r="V255" s="241"/>
      <c r="W255" s="241"/>
      <c r="X255" s="241"/>
      <c r="Y255" s="241"/>
      <c r="Z255" s="241"/>
    </row>
    <row r="256" spans="16:26" ht="10.199999999999999" customHeight="1">
      <c r="P256" s="251"/>
      <c r="Q256" s="251"/>
      <c r="R256" s="251"/>
      <c r="S256" s="251"/>
      <c r="T256" s="251"/>
      <c r="U256" s="251"/>
      <c r="V256" s="251"/>
      <c r="W256" s="251"/>
      <c r="X256" s="251"/>
      <c r="Y256" s="251"/>
      <c r="Z256" s="251"/>
    </row>
    <row r="257" spans="16:26" ht="10.199999999999999" customHeight="1">
      <c r="P257" s="251"/>
      <c r="Q257" s="251"/>
      <c r="R257" s="251"/>
      <c r="S257" s="251"/>
      <c r="T257" s="251"/>
      <c r="U257" s="251"/>
      <c r="V257" s="251"/>
      <c r="W257" s="251"/>
      <c r="X257" s="251"/>
      <c r="Y257" s="251"/>
      <c r="Z257" s="251"/>
    </row>
    <row r="258" spans="16:26" ht="10.199999999999999" customHeight="1">
      <c r="P258" s="241"/>
      <c r="Q258" s="241"/>
      <c r="R258" s="241"/>
      <c r="S258" s="241"/>
      <c r="T258" s="241"/>
      <c r="U258" s="241"/>
      <c r="V258" s="241"/>
      <c r="W258" s="241"/>
      <c r="X258" s="241"/>
      <c r="Y258" s="241"/>
      <c r="Z258" s="241"/>
    </row>
    <row r="259" spans="16:26" ht="10.199999999999999" customHeight="1">
      <c r="P259" s="251"/>
      <c r="Q259" s="251"/>
      <c r="R259" s="251"/>
      <c r="S259" s="251"/>
      <c r="T259" s="251"/>
      <c r="U259" s="251"/>
      <c r="V259" s="251"/>
      <c r="W259" s="251"/>
      <c r="X259" s="251"/>
      <c r="Y259" s="251"/>
      <c r="Z259" s="251"/>
    </row>
    <row r="260" spans="16:26" ht="10.199999999999999" customHeight="1">
      <c r="P260" s="251"/>
      <c r="Q260" s="251"/>
      <c r="R260" s="251"/>
      <c r="S260" s="251"/>
      <c r="T260" s="251"/>
      <c r="U260" s="251"/>
      <c r="V260" s="251"/>
      <c r="W260" s="251"/>
      <c r="X260" s="251"/>
      <c r="Y260" s="251"/>
      <c r="Z260" s="251"/>
    </row>
    <row r="261" spans="16:26" ht="10.199999999999999" customHeight="1">
      <c r="P261" s="241"/>
      <c r="Q261" s="241"/>
      <c r="R261" s="241"/>
      <c r="S261" s="241"/>
      <c r="T261" s="241"/>
      <c r="U261" s="241"/>
      <c r="V261" s="241"/>
      <c r="W261" s="241"/>
      <c r="X261" s="241"/>
      <c r="Y261" s="241"/>
      <c r="Z261" s="241"/>
    </row>
    <row r="262" spans="16:26" ht="10.199999999999999" customHeight="1">
      <c r="P262" s="251"/>
      <c r="Q262" s="251"/>
      <c r="R262" s="251"/>
      <c r="S262" s="251"/>
      <c r="T262" s="251"/>
      <c r="U262" s="251"/>
      <c r="V262" s="251"/>
      <c r="W262" s="251"/>
      <c r="X262" s="251"/>
      <c r="Y262" s="251"/>
      <c r="Z262" s="251"/>
    </row>
    <row r="263" spans="16:26" ht="10.199999999999999" customHeight="1">
      <c r="P263" s="251"/>
      <c r="Q263" s="251"/>
      <c r="R263" s="251"/>
      <c r="S263" s="251"/>
      <c r="T263" s="251"/>
      <c r="U263" s="251"/>
      <c r="V263" s="251"/>
      <c r="W263" s="251"/>
      <c r="X263" s="251"/>
      <c r="Y263" s="251"/>
      <c r="Z263" s="251"/>
    </row>
    <row r="264" spans="16:26" ht="10.199999999999999" customHeight="1">
      <c r="P264" s="241"/>
      <c r="Q264" s="241"/>
      <c r="R264" s="241"/>
      <c r="S264" s="241"/>
      <c r="T264" s="241"/>
      <c r="U264" s="241"/>
      <c r="V264" s="241"/>
      <c r="W264" s="241"/>
      <c r="X264" s="241"/>
      <c r="Y264" s="241"/>
      <c r="Z264" s="241"/>
    </row>
    <row r="265" spans="16:26" ht="10.199999999999999" customHeight="1">
      <c r="P265" s="251"/>
      <c r="Q265" s="251"/>
      <c r="R265" s="251"/>
      <c r="S265" s="251"/>
      <c r="T265" s="251"/>
      <c r="U265" s="251"/>
      <c r="V265" s="251"/>
      <c r="W265" s="251"/>
      <c r="X265" s="251"/>
      <c r="Y265" s="251"/>
      <c r="Z265" s="251"/>
    </row>
    <row r="266" spans="16:26" ht="10.199999999999999" customHeight="1">
      <c r="P266" s="251"/>
      <c r="Q266" s="251"/>
      <c r="R266" s="251"/>
      <c r="S266" s="251"/>
      <c r="T266" s="251"/>
      <c r="U266" s="251"/>
      <c r="V266" s="251"/>
      <c r="W266" s="251"/>
      <c r="X266" s="251"/>
      <c r="Y266" s="251"/>
      <c r="Z266" s="251"/>
    </row>
    <row r="267" spans="16:26" ht="10.199999999999999" customHeight="1">
      <c r="P267" s="241"/>
      <c r="Q267" s="241"/>
      <c r="R267" s="241"/>
      <c r="S267" s="241"/>
      <c r="T267" s="241"/>
      <c r="U267" s="241"/>
      <c r="V267" s="241"/>
      <c r="W267" s="241"/>
      <c r="X267" s="241"/>
      <c r="Y267" s="241"/>
      <c r="Z267" s="241"/>
    </row>
    <row r="268" spans="16:26" ht="10.199999999999999" customHeight="1">
      <c r="P268" s="251"/>
      <c r="Q268" s="251"/>
      <c r="R268" s="251"/>
      <c r="S268" s="251"/>
      <c r="T268" s="251"/>
      <c r="U268" s="251"/>
      <c r="V268" s="251"/>
      <c r="W268" s="251"/>
      <c r="X268" s="251"/>
      <c r="Y268" s="251"/>
      <c r="Z268" s="251"/>
    </row>
    <row r="269" spans="16:26" ht="10.199999999999999" customHeight="1">
      <c r="P269" s="251"/>
      <c r="Q269" s="251"/>
      <c r="R269" s="251"/>
      <c r="S269" s="251"/>
      <c r="T269" s="251"/>
      <c r="U269" s="251"/>
      <c r="V269" s="251"/>
      <c r="W269" s="251"/>
      <c r="X269" s="251"/>
      <c r="Y269" s="251"/>
      <c r="Z269" s="251"/>
    </row>
    <row r="270" spans="16:26" ht="10.199999999999999" customHeight="1">
      <c r="P270" s="241"/>
      <c r="Q270" s="241"/>
      <c r="R270" s="241"/>
      <c r="S270" s="241"/>
      <c r="T270" s="241"/>
      <c r="U270" s="241"/>
      <c r="V270" s="241"/>
      <c r="W270" s="241"/>
      <c r="X270" s="241"/>
      <c r="Y270" s="241"/>
      <c r="Z270" s="241"/>
    </row>
    <row r="271" spans="16:26" ht="10.199999999999999" customHeight="1">
      <c r="P271" s="251"/>
      <c r="Q271" s="251"/>
      <c r="R271" s="251"/>
      <c r="S271" s="251"/>
      <c r="T271" s="251"/>
      <c r="U271" s="251"/>
      <c r="V271" s="251"/>
      <c r="W271" s="251"/>
      <c r="X271" s="251"/>
      <c r="Y271" s="251"/>
      <c r="Z271" s="251"/>
    </row>
    <row r="272" spans="16:26" ht="10.199999999999999" customHeight="1">
      <c r="P272" s="251"/>
      <c r="Q272" s="251"/>
      <c r="R272" s="251"/>
      <c r="S272" s="251"/>
      <c r="T272" s="251"/>
      <c r="U272" s="251"/>
      <c r="V272" s="251"/>
      <c r="W272" s="251"/>
      <c r="X272" s="251"/>
      <c r="Y272" s="251"/>
      <c r="Z272" s="251"/>
    </row>
    <row r="273" spans="16:26" ht="10.199999999999999" customHeight="1">
      <c r="P273" s="241"/>
      <c r="Q273" s="241"/>
      <c r="R273" s="241"/>
      <c r="S273" s="241"/>
      <c r="T273" s="241"/>
      <c r="U273" s="241"/>
      <c r="V273" s="241"/>
      <c r="W273" s="241"/>
      <c r="X273" s="241"/>
      <c r="Y273" s="241"/>
      <c r="Z273" s="241"/>
    </row>
    <row r="274" spans="16:26" ht="10.199999999999999" customHeight="1">
      <c r="P274" s="251"/>
      <c r="Q274" s="251"/>
      <c r="R274" s="251"/>
      <c r="S274" s="251"/>
      <c r="T274" s="251"/>
      <c r="U274" s="251"/>
      <c r="V274" s="251"/>
      <c r="W274" s="251"/>
      <c r="X274" s="251"/>
      <c r="Y274" s="251"/>
      <c r="Z274" s="251"/>
    </row>
    <row r="275" spans="16:26" ht="10.199999999999999" customHeight="1">
      <c r="P275" s="251"/>
      <c r="Q275" s="251"/>
      <c r="R275" s="251"/>
      <c r="S275" s="251"/>
      <c r="T275" s="251"/>
      <c r="U275" s="251"/>
      <c r="V275" s="251"/>
      <c r="W275" s="251"/>
      <c r="X275" s="251"/>
      <c r="Y275" s="251"/>
      <c r="Z275" s="251"/>
    </row>
    <row r="276" spans="16:26" ht="10.199999999999999" customHeight="1">
      <c r="P276" s="241"/>
      <c r="Q276" s="241"/>
      <c r="R276" s="241"/>
      <c r="S276" s="241"/>
      <c r="T276" s="241"/>
      <c r="U276" s="241"/>
      <c r="V276" s="241"/>
      <c r="W276" s="241"/>
      <c r="X276" s="241"/>
      <c r="Y276" s="241"/>
      <c r="Z276" s="241"/>
    </row>
    <row r="277" spans="16:26" ht="10.199999999999999" customHeight="1">
      <c r="P277" s="251"/>
      <c r="Q277" s="251"/>
      <c r="R277" s="251"/>
      <c r="S277" s="251"/>
      <c r="T277" s="251"/>
      <c r="U277" s="251"/>
      <c r="V277" s="251"/>
      <c r="W277" s="251"/>
      <c r="X277" s="251"/>
      <c r="Y277" s="251"/>
      <c r="Z277" s="251"/>
    </row>
    <row r="278" spans="16:26" ht="10.199999999999999" customHeight="1">
      <c r="P278" s="251"/>
      <c r="Q278" s="251"/>
      <c r="R278" s="251"/>
      <c r="S278" s="251"/>
      <c r="T278" s="251"/>
      <c r="U278" s="251"/>
      <c r="V278" s="251"/>
      <c r="W278" s="251"/>
      <c r="X278" s="251"/>
      <c r="Y278" s="251"/>
      <c r="Z278" s="251"/>
    </row>
    <row r="279" spans="16:26" ht="10.199999999999999" customHeight="1">
      <c r="P279" s="241"/>
      <c r="Q279" s="241"/>
      <c r="R279" s="241"/>
      <c r="S279" s="241"/>
      <c r="T279" s="241"/>
      <c r="U279" s="241"/>
      <c r="V279" s="241"/>
      <c r="W279" s="241"/>
      <c r="X279" s="241"/>
      <c r="Y279" s="241"/>
      <c r="Z279" s="241"/>
    </row>
    <row r="280" spans="16:26" ht="10.199999999999999" customHeight="1">
      <c r="P280" s="251"/>
      <c r="Q280" s="251"/>
      <c r="R280" s="251"/>
      <c r="S280" s="251"/>
      <c r="T280" s="251"/>
      <c r="U280" s="251"/>
      <c r="V280" s="251"/>
      <c r="W280" s="251"/>
      <c r="X280" s="251"/>
      <c r="Y280" s="251"/>
      <c r="Z280" s="251"/>
    </row>
    <row r="281" spans="16:26" ht="10.199999999999999" customHeight="1">
      <c r="P281" s="251"/>
      <c r="Q281" s="251"/>
      <c r="R281" s="251"/>
      <c r="S281" s="251"/>
      <c r="T281" s="251"/>
      <c r="U281" s="251"/>
      <c r="V281" s="251"/>
      <c r="W281" s="251"/>
      <c r="X281" s="251"/>
      <c r="Y281" s="251"/>
      <c r="Z281" s="251"/>
    </row>
    <row r="282" spans="16:26" ht="10.199999999999999" customHeight="1">
      <c r="P282" s="241"/>
      <c r="Q282" s="241"/>
      <c r="R282" s="241"/>
      <c r="S282" s="241"/>
      <c r="T282" s="241"/>
      <c r="U282" s="241"/>
      <c r="V282" s="241"/>
      <c r="W282" s="241"/>
      <c r="X282" s="241"/>
      <c r="Y282" s="241"/>
      <c r="Z282" s="241"/>
    </row>
    <row r="283" spans="16:26" ht="10.199999999999999" customHeight="1">
      <c r="P283" s="251"/>
      <c r="Q283" s="251"/>
      <c r="R283" s="251"/>
      <c r="S283" s="251"/>
      <c r="T283" s="251"/>
      <c r="U283" s="251"/>
      <c r="V283" s="251"/>
      <c r="W283" s="251"/>
      <c r="X283" s="251"/>
      <c r="Y283" s="251"/>
      <c r="Z283" s="251"/>
    </row>
    <row r="284" spans="16:26" ht="10.199999999999999" customHeight="1">
      <c r="P284" s="251"/>
      <c r="Q284" s="251"/>
      <c r="R284" s="251"/>
      <c r="S284" s="251"/>
      <c r="T284" s="251"/>
      <c r="U284" s="251"/>
      <c r="V284" s="251"/>
      <c r="W284" s="251"/>
      <c r="X284" s="251"/>
      <c r="Y284" s="251"/>
      <c r="Z284" s="251"/>
    </row>
    <row r="285" spans="16:26" ht="10.199999999999999" customHeight="1">
      <c r="P285" s="241"/>
      <c r="Q285" s="241"/>
      <c r="R285" s="241"/>
      <c r="S285" s="241"/>
      <c r="T285" s="241"/>
      <c r="U285" s="241"/>
      <c r="V285" s="241"/>
      <c r="W285" s="241"/>
      <c r="X285" s="241"/>
      <c r="Y285" s="241"/>
      <c r="Z285" s="241"/>
    </row>
    <row r="286" spans="16:26" ht="10.199999999999999" customHeight="1">
      <c r="P286" s="251"/>
      <c r="Q286" s="251"/>
      <c r="R286" s="251"/>
      <c r="S286" s="251"/>
      <c r="T286" s="251"/>
      <c r="U286" s="251"/>
      <c r="V286" s="251"/>
      <c r="W286" s="251"/>
      <c r="X286" s="251"/>
      <c r="Y286" s="251"/>
      <c r="Z286" s="251"/>
    </row>
    <row r="287" spans="16:26" ht="10.199999999999999" customHeight="1">
      <c r="P287" s="251"/>
      <c r="Q287" s="251"/>
      <c r="R287" s="251"/>
      <c r="S287" s="251"/>
      <c r="T287" s="251"/>
      <c r="U287" s="251"/>
      <c r="V287" s="251"/>
      <c r="W287" s="251"/>
      <c r="X287" s="251"/>
      <c r="Y287" s="251"/>
      <c r="Z287" s="251"/>
    </row>
    <row r="288" spans="16:26" ht="10.199999999999999" customHeight="1">
      <c r="P288" s="241"/>
      <c r="Q288" s="241"/>
      <c r="R288" s="241"/>
      <c r="S288" s="241"/>
      <c r="T288" s="241"/>
      <c r="U288" s="241"/>
      <c r="V288" s="241"/>
      <c r="W288" s="241"/>
      <c r="X288" s="241"/>
      <c r="Y288" s="241"/>
      <c r="Z288" s="241"/>
    </row>
    <row r="289" spans="16:26" ht="10.199999999999999" customHeight="1">
      <c r="P289" s="251"/>
      <c r="Q289" s="251"/>
      <c r="R289" s="251"/>
      <c r="S289" s="251"/>
      <c r="T289" s="251"/>
      <c r="U289" s="251"/>
      <c r="V289" s="251"/>
      <c r="W289" s="251"/>
      <c r="X289" s="251"/>
      <c r="Y289" s="251"/>
      <c r="Z289" s="251"/>
    </row>
    <row r="290" spans="16:26" ht="10.199999999999999" customHeight="1">
      <c r="P290" s="251"/>
      <c r="Q290" s="251"/>
      <c r="R290" s="251"/>
      <c r="S290" s="251"/>
      <c r="T290" s="251"/>
      <c r="U290" s="251"/>
      <c r="V290" s="251"/>
      <c r="W290" s="251"/>
      <c r="X290" s="251"/>
      <c r="Y290" s="251"/>
      <c r="Z290" s="251"/>
    </row>
    <row r="291" spans="16:26" ht="10.199999999999999" customHeight="1">
      <c r="P291" s="241"/>
      <c r="Q291" s="241"/>
      <c r="R291" s="241"/>
      <c r="S291" s="241"/>
      <c r="T291" s="241"/>
      <c r="U291" s="241"/>
      <c r="V291" s="241"/>
      <c r="W291" s="241"/>
      <c r="X291" s="241"/>
      <c r="Y291" s="241"/>
      <c r="Z291" s="241"/>
    </row>
    <row r="292" spans="16:26" ht="10.199999999999999" customHeight="1">
      <c r="P292" s="251"/>
      <c r="Q292" s="251"/>
      <c r="R292" s="251"/>
      <c r="S292" s="251"/>
      <c r="T292" s="251"/>
      <c r="U292" s="251"/>
      <c r="V292" s="251"/>
      <c r="W292" s="251"/>
      <c r="X292" s="251"/>
      <c r="Y292" s="251"/>
      <c r="Z292" s="251"/>
    </row>
    <row r="293" spans="16:26" ht="10.199999999999999" customHeight="1">
      <c r="P293" s="251"/>
      <c r="Q293" s="251"/>
      <c r="R293" s="251"/>
      <c r="S293" s="251"/>
      <c r="T293" s="251"/>
      <c r="U293" s="251"/>
      <c r="V293" s="251"/>
      <c r="W293" s="251"/>
      <c r="X293" s="251"/>
      <c r="Y293" s="251"/>
      <c r="Z293" s="251"/>
    </row>
    <row r="294" spans="16:26" ht="10.199999999999999" customHeight="1">
      <c r="P294" s="241"/>
      <c r="Q294" s="241"/>
      <c r="R294" s="241"/>
      <c r="S294" s="241"/>
      <c r="T294" s="241"/>
      <c r="U294" s="241"/>
      <c r="V294" s="241"/>
      <c r="W294" s="241"/>
      <c r="X294" s="241"/>
      <c r="Y294" s="241"/>
      <c r="Z294" s="241"/>
    </row>
    <row r="295" spans="16:26" ht="10.199999999999999" customHeight="1">
      <c r="P295" s="251"/>
      <c r="Q295" s="251"/>
      <c r="R295" s="251"/>
      <c r="S295" s="251"/>
      <c r="T295" s="251"/>
      <c r="U295" s="251"/>
      <c r="V295" s="251"/>
      <c r="W295" s="251"/>
      <c r="X295" s="251"/>
      <c r="Y295" s="251"/>
      <c r="Z295" s="251"/>
    </row>
    <row r="296" spans="16:26" ht="10.199999999999999" customHeight="1">
      <c r="P296" s="251"/>
      <c r="Q296" s="251"/>
      <c r="R296" s="251"/>
      <c r="S296" s="251"/>
      <c r="T296" s="251"/>
      <c r="U296" s="251"/>
      <c r="V296" s="251"/>
      <c r="W296" s="251"/>
      <c r="X296" s="251"/>
      <c r="Y296" s="251"/>
      <c r="Z296" s="251"/>
    </row>
    <row r="297" spans="16:26" ht="10.199999999999999" customHeight="1">
      <c r="P297" s="241"/>
      <c r="Q297" s="241"/>
      <c r="R297" s="241"/>
      <c r="S297" s="241"/>
      <c r="T297" s="241"/>
      <c r="U297" s="241"/>
      <c r="V297" s="241"/>
      <c r="W297" s="241"/>
      <c r="X297" s="241"/>
      <c r="Y297" s="241"/>
      <c r="Z297" s="241"/>
    </row>
    <row r="298" spans="16:26" ht="10.199999999999999" customHeight="1">
      <c r="P298" s="251"/>
      <c r="Q298" s="251"/>
      <c r="R298" s="251"/>
      <c r="S298" s="251"/>
      <c r="T298" s="251"/>
      <c r="U298" s="251"/>
      <c r="V298" s="251"/>
      <c r="W298" s="251"/>
      <c r="X298" s="251"/>
      <c r="Y298" s="251"/>
      <c r="Z298" s="251"/>
    </row>
    <row r="299" spans="16:26" ht="10.199999999999999" customHeight="1">
      <c r="P299" s="251"/>
      <c r="Q299" s="251"/>
      <c r="R299" s="251"/>
      <c r="S299" s="251"/>
      <c r="T299" s="251"/>
      <c r="U299" s="251"/>
      <c r="V299" s="251"/>
      <c r="W299" s="251"/>
      <c r="X299" s="251"/>
      <c r="Y299" s="251"/>
      <c r="Z299" s="251"/>
    </row>
    <row r="300" spans="16:26" ht="10.199999999999999" customHeight="1">
      <c r="P300" s="241"/>
      <c r="Q300" s="241"/>
      <c r="R300" s="241"/>
      <c r="S300" s="241"/>
      <c r="T300" s="241"/>
      <c r="U300" s="241"/>
      <c r="V300" s="241"/>
      <c r="W300" s="241"/>
      <c r="X300" s="241"/>
      <c r="Y300" s="241"/>
      <c r="Z300" s="241"/>
    </row>
    <row r="301" spans="16:26" ht="10.199999999999999" customHeight="1">
      <c r="P301" s="251"/>
      <c r="Q301" s="251"/>
      <c r="R301" s="251"/>
      <c r="S301" s="251"/>
      <c r="T301" s="251"/>
      <c r="U301" s="251"/>
      <c r="V301" s="251"/>
      <c r="W301" s="251"/>
      <c r="X301" s="251"/>
      <c r="Y301" s="251"/>
      <c r="Z301" s="251"/>
    </row>
    <row r="302" spans="16:26" ht="10.199999999999999" customHeight="1">
      <c r="P302" s="251"/>
      <c r="Q302" s="251"/>
      <c r="R302" s="251"/>
      <c r="S302" s="251"/>
      <c r="T302" s="251"/>
      <c r="U302" s="251"/>
      <c r="V302" s="251"/>
      <c r="W302" s="251"/>
      <c r="X302" s="251"/>
      <c r="Y302" s="251"/>
      <c r="Z302" s="251"/>
    </row>
    <row r="303" spans="16:26" ht="10.199999999999999" customHeight="1">
      <c r="P303" s="241"/>
      <c r="Q303" s="241"/>
      <c r="R303" s="241"/>
      <c r="S303" s="241"/>
      <c r="T303" s="241"/>
      <c r="U303" s="241"/>
      <c r="V303" s="241"/>
      <c r="W303" s="241"/>
      <c r="X303" s="241"/>
      <c r="Y303" s="241"/>
      <c r="Z303" s="241"/>
    </row>
    <row r="304" spans="16:26" ht="10.199999999999999" customHeight="1">
      <c r="P304" s="251"/>
      <c r="Q304" s="251"/>
      <c r="R304" s="251"/>
      <c r="S304" s="251"/>
      <c r="T304" s="251"/>
      <c r="U304" s="251"/>
      <c r="V304" s="251"/>
      <c r="W304" s="251"/>
      <c r="X304" s="251"/>
      <c r="Y304" s="251"/>
      <c r="Z304" s="251"/>
    </row>
    <row r="305" spans="16:26" ht="10.199999999999999" customHeight="1">
      <c r="P305" s="251"/>
      <c r="Q305" s="251"/>
      <c r="R305" s="251"/>
      <c r="S305" s="251"/>
      <c r="T305" s="251"/>
      <c r="U305" s="251"/>
      <c r="V305" s="251"/>
      <c r="W305" s="251"/>
      <c r="X305" s="251"/>
      <c r="Y305" s="251"/>
      <c r="Z305" s="251"/>
    </row>
    <row r="306" spans="16:26" ht="10.199999999999999" customHeight="1">
      <c r="P306" s="241"/>
      <c r="Q306" s="241"/>
      <c r="R306" s="241"/>
      <c r="S306" s="241"/>
      <c r="T306" s="241"/>
      <c r="U306" s="241"/>
      <c r="V306" s="241"/>
      <c r="W306" s="241"/>
      <c r="X306" s="241"/>
      <c r="Y306" s="241"/>
      <c r="Z306" s="241"/>
    </row>
    <row r="307" spans="16:26" ht="10.199999999999999" customHeight="1">
      <c r="P307" s="251"/>
      <c r="Q307" s="251"/>
      <c r="R307" s="251"/>
      <c r="S307" s="251"/>
      <c r="T307" s="251"/>
      <c r="U307" s="251"/>
      <c r="V307" s="251"/>
      <c r="W307" s="251"/>
      <c r="X307" s="251"/>
      <c r="Y307" s="251"/>
      <c r="Z307" s="251"/>
    </row>
    <row r="308" spans="16:26" ht="10.199999999999999" customHeight="1">
      <c r="P308" s="251"/>
      <c r="Q308" s="251"/>
      <c r="R308" s="251"/>
      <c r="S308" s="251"/>
      <c r="T308" s="251"/>
      <c r="U308" s="251"/>
      <c r="V308" s="251"/>
      <c r="W308" s="251"/>
      <c r="X308" s="251"/>
      <c r="Y308" s="251"/>
      <c r="Z308" s="251"/>
    </row>
    <row r="309" spans="16:26" ht="10.199999999999999" customHeight="1">
      <c r="P309" s="241"/>
      <c r="Q309" s="241"/>
      <c r="R309" s="241"/>
      <c r="S309" s="241"/>
      <c r="T309" s="241"/>
      <c r="U309" s="241"/>
      <c r="V309" s="241"/>
      <c r="W309" s="241"/>
      <c r="X309" s="241"/>
      <c r="Y309" s="241"/>
      <c r="Z309" s="241"/>
    </row>
    <row r="310" spans="16:26" ht="10.199999999999999" customHeight="1">
      <c r="P310" s="251"/>
      <c r="Q310" s="251"/>
      <c r="R310" s="251"/>
      <c r="S310" s="251"/>
      <c r="T310" s="251"/>
      <c r="U310" s="251"/>
      <c r="V310" s="251"/>
      <c r="W310" s="251"/>
      <c r="X310" s="251"/>
      <c r="Y310" s="251"/>
      <c r="Z310" s="251"/>
    </row>
    <row r="311" spans="16:26" ht="10.199999999999999" customHeight="1">
      <c r="P311" s="251"/>
      <c r="Q311" s="251"/>
      <c r="R311" s="251"/>
      <c r="S311" s="251"/>
      <c r="T311" s="251"/>
      <c r="U311" s="251"/>
      <c r="V311" s="251"/>
      <c r="W311" s="251"/>
      <c r="X311" s="251"/>
      <c r="Y311" s="251"/>
      <c r="Z311" s="251"/>
    </row>
    <row r="312" spans="16:26" ht="10.199999999999999" customHeight="1">
      <c r="P312" s="241"/>
      <c r="Q312" s="241"/>
      <c r="R312" s="241"/>
      <c r="S312" s="241"/>
      <c r="T312" s="241"/>
      <c r="U312" s="241"/>
      <c r="V312" s="241"/>
      <c r="W312" s="241"/>
      <c r="X312" s="241"/>
      <c r="Y312" s="241"/>
      <c r="Z312" s="241"/>
    </row>
    <row r="313" spans="16:26" ht="10.199999999999999" customHeight="1">
      <c r="P313" s="251"/>
      <c r="Q313" s="251"/>
      <c r="R313" s="251"/>
      <c r="S313" s="251"/>
      <c r="T313" s="251"/>
      <c r="U313" s="251"/>
      <c r="V313" s="251"/>
      <c r="W313" s="251"/>
      <c r="X313" s="251"/>
      <c r="Y313" s="251"/>
      <c r="Z313" s="251"/>
    </row>
    <row r="314" spans="16:26" ht="10.199999999999999" customHeight="1">
      <c r="P314" s="251"/>
      <c r="Q314" s="251"/>
      <c r="R314" s="251"/>
      <c r="S314" s="251"/>
      <c r="T314" s="251"/>
      <c r="U314" s="251"/>
      <c r="V314" s="251"/>
      <c r="W314" s="251"/>
      <c r="X314" s="251"/>
      <c r="Y314" s="251"/>
      <c r="Z314" s="251"/>
    </row>
    <row r="315" spans="16:26" ht="10.199999999999999" customHeight="1">
      <c r="P315" s="241"/>
      <c r="Q315" s="241"/>
      <c r="R315" s="241"/>
      <c r="S315" s="241"/>
      <c r="T315" s="241"/>
      <c r="U315" s="241"/>
      <c r="V315" s="241"/>
      <c r="W315" s="241"/>
      <c r="X315" s="241"/>
      <c r="Y315" s="241"/>
      <c r="Z315" s="241"/>
    </row>
    <row r="316" spans="16:26" ht="10.199999999999999" customHeight="1">
      <c r="P316" s="251"/>
      <c r="Q316" s="251"/>
      <c r="R316" s="251"/>
      <c r="S316" s="251"/>
      <c r="T316" s="251"/>
      <c r="U316" s="251"/>
      <c r="V316" s="251"/>
      <c r="W316" s="251"/>
      <c r="X316" s="251"/>
      <c r="Y316" s="251"/>
      <c r="Z316" s="251"/>
    </row>
    <row r="317" spans="16:26" ht="10.199999999999999" customHeight="1">
      <c r="P317" s="251"/>
      <c r="Q317" s="251"/>
      <c r="R317" s="251"/>
      <c r="S317" s="251"/>
      <c r="T317" s="251"/>
      <c r="U317" s="251"/>
      <c r="V317" s="251"/>
      <c r="W317" s="251"/>
      <c r="X317" s="251"/>
      <c r="Y317" s="251"/>
      <c r="Z317" s="251"/>
    </row>
    <row r="318" spans="16:26" ht="10.199999999999999" customHeight="1">
      <c r="P318" s="241"/>
      <c r="Q318" s="241"/>
      <c r="R318" s="241"/>
      <c r="S318" s="241"/>
      <c r="T318" s="241"/>
      <c r="U318" s="241"/>
      <c r="V318" s="241"/>
      <c r="W318" s="241"/>
      <c r="X318" s="241"/>
      <c r="Y318" s="241"/>
      <c r="Z318" s="241"/>
    </row>
    <row r="319" spans="16:26" ht="10.199999999999999" customHeight="1">
      <c r="P319" s="251"/>
      <c r="Q319" s="251"/>
      <c r="R319" s="251"/>
      <c r="S319" s="251"/>
      <c r="T319" s="251"/>
      <c r="U319" s="251"/>
      <c r="V319" s="251"/>
      <c r="W319" s="251"/>
      <c r="X319" s="251"/>
      <c r="Y319" s="251"/>
      <c r="Z319" s="251"/>
    </row>
    <row r="320" spans="16:26" ht="10.199999999999999" customHeight="1">
      <c r="P320" s="251"/>
      <c r="Q320" s="251"/>
      <c r="R320" s="251"/>
      <c r="S320" s="251"/>
      <c r="T320" s="251"/>
      <c r="U320" s="251"/>
      <c r="V320" s="251"/>
      <c r="W320" s="251"/>
      <c r="X320" s="251"/>
      <c r="Y320" s="251"/>
      <c r="Z320" s="251"/>
    </row>
    <row r="321" spans="16:26" ht="10.199999999999999" customHeight="1">
      <c r="P321" s="241"/>
      <c r="Q321" s="241"/>
      <c r="R321" s="241"/>
      <c r="S321" s="241"/>
      <c r="T321" s="241"/>
      <c r="U321" s="241"/>
      <c r="V321" s="241"/>
      <c r="W321" s="241"/>
      <c r="X321" s="241"/>
      <c r="Y321" s="241"/>
      <c r="Z321" s="241"/>
    </row>
    <row r="322" spans="16:26" ht="10.199999999999999" customHeight="1">
      <c r="P322" s="251"/>
      <c r="Q322" s="251"/>
      <c r="R322" s="251"/>
      <c r="S322" s="251"/>
      <c r="T322" s="251"/>
      <c r="U322" s="251"/>
      <c r="V322" s="251"/>
      <c r="W322" s="251"/>
      <c r="X322" s="251"/>
      <c r="Y322" s="251"/>
      <c r="Z322" s="251"/>
    </row>
    <row r="323" spans="16:26" ht="10.199999999999999" customHeight="1">
      <c r="P323" s="251"/>
      <c r="Q323" s="251"/>
      <c r="R323" s="251"/>
      <c r="S323" s="251"/>
      <c r="T323" s="251"/>
      <c r="U323" s="251"/>
      <c r="V323" s="251"/>
      <c r="W323" s="251"/>
      <c r="X323" s="251"/>
      <c r="Y323" s="251"/>
      <c r="Z323" s="251"/>
    </row>
    <row r="324" spans="16:26" ht="10.199999999999999" customHeight="1">
      <c r="P324" s="241"/>
      <c r="Q324" s="241"/>
      <c r="R324" s="241"/>
      <c r="S324" s="241"/>
      <c r="T324" s="241"/>
      <c r="U324" s="241"/>
      <c r="V324" s="241"/>
      <c r="W324" s="241"/>
      <c r="X324" s="241"/>
      <c r="Y324" s="241"/>
      <c r="Z324" s="241"/>
    </row>
    <row r="325" spans="16:26" ht="10.199999999999999" customHeight="1">
      <c r="P325" s="251"/>
      <c r="Q325" s="251"/>
      <c r="R325" s="251"/>
      <c r="S325" s="251"/>
      <c r="T325" s="251"/>
      <c r="U325" s="251"/>
      <c r="V325" s="251"/>
      <c r="W325" s="251"/>
      <c r="X325" s="251"/>
      <c r="Y325" s="251"/>
      <c r="Z325" s="251"/>
    </row>
    <row r="326" spans="16:26" ht="10.199999999999999" customHeight="1">
      <c r="P326" s="251"/>
      <c r="Q326" s="251"/>
      <c r="R326" s="251"/>
      <c r="S326" s="251"/>
      <c r="T326" s="251"/>
      <c r="U326" s="251"/>
      <c r="V326" s="251"/>
      <c r="W326" s="251"/>
      <c r="X326" s="251"/>
      <c r="Y326" s="251"/>
      <c r="Z326" s="251"/>
    </row>
    <row r="327" spans="16:26" ht="10.199999999999999" customHeight="1">
      <c r="P327" s="241"/>
      <c r="Q327" s="241"/>
      <c r="R327" s="241"/>
      <c r="S327" s="241"/>
      <c r="T327" s="241"/>
      <c r="U327" s="241"/>
      <c r="V327" s="241"/>
      <c r="W327" s="241"/>
      <c r="X327" s="241"/>
      <c r="Y327" s="241"/>
      <c r="Z327" s="241"/>
    </row>
    <row r="328" spans="16:26" ht="10.199999999999999" customHeight="1">
      <c r="P328" s="251"/>
      <c r="Q328" s="251"/>
      <c r="R328" s="251"/>
      <c r="S328" s="251"/>
      <c r="T328" s="251"/>
      <c r="U328" s="251"/>
      <c r="V328" s="251"/>
      <c r="W328" s="251"/>
      <c r="X328" s="251"/>
      <c r="Y328" s="251"/>
      <c r="Z328" s="251"/>
    </row>
    <row r="329" spans="16:26" ht="10.199999999999999" customHeight="1">
      <c r="P329" s="251"/>
      <c r="Q329" s="251"/>
      <c r="R329" s="251"/>
      <c r="S329" s="251"/>
      <c r="T329" s="251"/>
      <c r="U329" s="251"/>
      <c r="V329" s="251"/>
      <c r="W329" s="251"/>
      <c r="X329" s="251"/>
      <c r="Y329" s="251"/>
      <c r="Z329" s="251"/>
    </row>
    <row r="330" spans="16:26" ht="10.199999999999999" customHeight="1">
      <c r="P330" s="241"/>
      <c r="Q330" s="241"/>
      <c r="R330" s="241"/>
      <c r="S330" s="241"/>
      <c r="T330" s="241"/>
      <c r="U330" s="241"/>
      <c r="V330" s="241"/>
      <c r="W330" s="241"/>
      <c r="X330" s="241"/>
      <c r="Y330" s="241"/>
      <c r="Z330" s="241"/>
    </row>
    <row r="331" spans="16:26" ht="10.199999999999999" customHeight="1">
      <c r="P331" s="251"/>
      <c r="Q331" s="251"/>
      <c r="R331" s="251"/>
      <c r="S331" s="251"/>
      <c r="T331" s="251"/>
      <c r="U331" s="251"/>
      <c r="V331" s="251"/>
      <c r="W331" s="251"/>
      <c r="X331" s="251"/>
      <c r="Y331" s="251"/>
      <c r="Z331" s="251"/>
    </row>
    <row r="332" spans="16:26" ht="10.199999999999999" customHeight="1">
      <c r="P332" s="251"/>
      <c r="Q332" s="251"/>
      <c r="R332" s="251"/>
      <c r="S332" s="251"/>
      <c r="T332" s="251"/>
      <c r="U332" s="251"/>
      <c r="V332" s="251"/>
      <c r="W332" s="251"/>
      <c r="X332" s="251"/>
      <c r="Y332" s="251"/>
      <c r="Z332" s="251"/>
    </row>
    <row r="333" spans="16:26" ht="10.199999999999999" customHeight="1">
      <c r="P333" s="241"/>
      <c r="Q333" s="241"/>
      <c r="R333" s="241"/>
      <c r="S333" s="241"/>
      <c r="T333" s="241"/>
      <c r="U333" s="241"/>
      <c r="V333" s="241"/>
      <c r="W333" s="241"/>
      <c r="X333" s="241"/>
      <c r="Y333" s="241"/>
      <c r="Z333" s="241"/>
    </row>
    <row r="334" spans="16:26" ht="10.199999999999999" customHeight="1">
      <c r="P334" s="251"/>
      <c r="Q334" s="251"/>
      <c r="R334" s="251"/>
      <c r="S334" s="251"/>
      <c r="T334" s="251"/>
      <c r="U334" s="251"/>
      <c r="V334" s="251"/>
      <c r="W334" s="251"/>
      <c r="X334" s="251"/>
      <c r="Y334" s="251"/>
      <c r="Z334" s="251"/>
    </row>
    <row r="335" spans="16:26" ht="10.199999999999999" customHeight="1">
      <c r="P335" s="251"/>
      <c r="Q335" s="251"/>
      <c r="R335" s="251"/>
      <c r="S335" s="251"/>
      <c r="T335" s="251"/>
      <c r="U335" s="251"/>
      <c r="V335" s="251"/>
      <c r="W335" s="251"/>
      <c r="X335" s="251"/>
      <c r="Y335" s="251"/>
      <c r="Z335" s="251"/>
    </row>
    <row r="336" spans="16:26" ht="10.199999999999999" customHeight="1">
      <c r="P336" s="241"/>
      <c r="Q336" s="241"/>
      <c r="R336" s="241"/>
      <c r="S336" s="241"/>
      <c r="T336" s="241"/>
      <c r="U336" s="241"/>
      <c r="V336" s="241"/>
      <c r="W336" s="241"/>
      <c r="X336" s="241"/>
      <c r="Y336" s="241"/>
      <c r="Z336" s="241"/>
    </row>
    <row r="337" spans="16:26" ht="10.199999999999999" customHeight="1">
      <c r="P337" s="251"/>
      <c r="Q337" s="251"/>
      <c r="R337" s="251"/>
      <c r="S337" s="251"/>
      <c r="T337" s="251"/>
      <c r="U337" s="251"/>
      <c r="V337" s="251"/>
      <c r="W337" s="251"/>
      <c r="X337" s="251"/>
      <c r="Y337" s="251"/>
      <c r="Z337" s="251"/>
    </row>
    <row r="338" spans="16:26" ht="10.199999999999999" customHeight="1">
      <c r="P338" s="251"/>
      <c r="Q338" s="251"/>
      <c r="R338" s="251"/>
      <c r="S338" s="251"/>
      <c r="T338" s="251"/>
      <c r="U338" s="251"/>
      <c r="V338" s="251"/>
      <c r="W338" s="251"/>
      <c r="X338" s="251"/>
      <c r="Y338" s="251"/>
      <c r="Z338" s="251"/>
    </row>
    <row r="339" spans="16:26" ht="10.199999999999999" customHeight="1">
      <c r="P339" s="241"/>
      <c r="Q339" s="241"/>
      <c r="R339" s="241"/>
      <c r="S339" s="241"/>
      <c r="T339" s="241"/>
      <c r="U339" s="241"/>
      <c r="V339" s="241"/>
      <c r="W339" s="241"/>
      <c r="X339" s="241"/>
      <c r="Y339" s="241"/>
      <c r="Z339" s="241"/>
    </row>
    <row r="340" spans="16:26" ht="10.199999999999999" customHeight="1">
      <c r="P340" s="251"/>
      <c r="Q340" s="251"/>
      <c r="R340" s="251"/>
      <c r="S340" s="251"/>
      <c r="T340" s="251"/>
      <c r="U340" s="251"/>
      <c r="V340" s="251"/>
      <c r="W340" s="251"/>
      <c r="X340" s="251"/>
      <c r="Y340" s="251"/>
      <c r="Z340" s="251"/>
    </row>
    <row r="341" spans="16:26" ht="10.199999999999999" customHeight="1">
      <c r="P341" s="251"/>
      <c r="Q341" s="251"/>
      <c r="R341" s="251"/>
      <c r="S341" s="251"/>
      <c r="T341" s="251"/>
      <c r="U341" s="251"/>
      <c r="V341" s="251"/>
      <c r="W341" s="251"/>
      <c r="X341" s="251"/>
      <c r="Y341" s="251"/>
      <c r="Z341" s="251"/>
    </row>
    <row r="342" spans="16:26" ht="10.199999999999999" customHeight="1">
      <c r="P342" s="241"/>
      <c r="Q342" s="241"/>
      <c r="R342" s="241"/>
      <c r="S342" s="241"/>
      <c r="T342" s="241"/>
      <c r="U342" s="241"/>
      <c r="V342" s="241"/>
      <c r="W342" s="241"/>
      <c r="X342" s="241"/>
      <c r="Y342" s="241"/>
      <c r="Z342" s="241"/>
    </row>
    <row r="343" spans="16:26" ht="10.199999999999999" customHeight="1">
      <c r="P343" s="251"/>
      <c r="Q343" s="251"/>
      <c r="R343" s="251"/>
      <c r="S343" s="251"/>
      <c r="T343" s="251"/>
      <c r="U343" s="251"/>
      <c r="V343" s="251"/>
      <c r="W343" s="251"/>
      <c r="X343" s="251"/>
      <c r="Y343" s="251"/>
      <c r="Z343" s="251"/>
    </row>
    <row r="344" spans="16:26" ht="10.199999999999999" customHeight="1">
      <c r="P344" s="251"/>
      <c r="Q344" s="251"/>
      <c r="R344" s="251"/>
      <c r="S344" s="251"/>
      <c r="T344" s="251"/>
      <c r="U344" s="251"/>
      <c r="V344" s="251"/>
      <c r="W344" s="251"/>
      <c r="X344" s="251"/>
      <c r="Y344" s="251"/>
      <c r="Z344" s="251"/>
    </row>
    <row r="345" spans="16:26" ht="10.199999999999999" customHeight="1">
      <c r="P345" s="241"/>
      <c r="Q345" s="241"/>
      <c r="R345" s="241"/>
      <c r="S345" s="241"/>
      <c r="T345" s="241"/>
      <c r="U345" s="241"/>
      <c r="V345" s="241"/>
      <c r="W345" s="241"/>
      <c r="X345" s="241"/>
      <c r="Y345" s="241"/>
      <c r="Z345" s="241"/>
    </row>
    <row r="346" spans="16:26" ht="10.199999999999999" customHeight="1">
      <c r="P346" s="251"/>
      <c r="Q346" s="251"/>
      <c r="R346" s="251"/>
      <c r="S346" s="251"/>
      <c r="T346" s="251"/>
      <c r="U346" s="251"/>
      <c r="V346" s="251"/>
      <c r="W346" s="251"/>
      <c r="X346" s="251"/>
      <c r="Y346" s="251"/>
      <c r="Z346" s="251"/>
    </row>
    <row r="347" spans="16:26" ht="10.199999999999999" customHeight="1">
      <c r="P347" s="251"/>
      <c r="Q347" s="251"/>
      <c r="R347" s="251"/>
      <c r="S347" s="251"/>
      <c r="T347" s="251"/>
      <c r="U347" s="251"/>
      <c r="V347" s="251"/>
      <c r="W347" s="251"/>
      <c r="X347" s="251"/>
      <c r="Y347" s="251"/>
      <c r="Z347" s="251"/>
    </row>
    <row r="348" spans="16:26" ht="10.199999999999999" customHeight="1">
      <c r="P348" s="241"/>
      <c r="Q348" s="241"/>
      <c r="R348" s="241"/>
      <c r="S348" s="241"/>
      <c r="T348" s="241"/>
      <c r="U348" s="241"/>
      <c r="V348" s="241"/>
      <c r="W348" s="241"/>
      <c r="X348" s="241"/>
      <c r="Y348" s="241"/>
      <c r="Z348" s="241"/>
    </row>
    <row r="349" spans="16:26" ht="10.199999999999999" customHeight="1">
      <c r="P349" s="251"/>
      <c r="Q349" s="251"/>
      <c r="R349" s="251"/>
      <c r="S349" s="251"/>
      <c r="T349" s="251"/>
      <c r="U349" s="251"/>
      <c r="V349" s="251"/>
      <c r="W349" s="251"/>
      <c r="X349" s="251"/>
      <c r="Y349" s="251"/>
      <c r="Z349" s="251"/>
    </row>
    <row r="350" spans="16:26" ht="10.199999999999999" customHeight="1">
      <c r="P350" s="251"/>
      <c r="Q350" s="251"/>
      <c r="R350" s="251"/>
      <c r="S350" s="251"/>
      <c r="T350" s="251"/>
      <c r="U350" s="251"/>
      <c r="V350" s="251"/>
      <c r="W350" s="251"/>
      <c r="X350" s="251"/>
      <c r="Y350" s="251"/>
      <c r="Z350" s="251"/>
    </row>
    <row r="351" spans="16:26" ht="10.199999999999999" customHeight="1">
      <c r="P351" s="241"/>
      <c r="Q351" s="241"/>
      <c r="R351" s="241"/>
      <c r="S351" s="241"/>
      <c r="T351" s="241"/>
      <c r="U351" s="241"/>
      <c r="V351" s="241"/>
      <c r="W351" s="241"/>
      <c r="X351" s="241"/>
      <c r="Y351" s="241"/>
      <c r="Z351" s="241"/>
    </row>
    <row r="352" spans="16:26" ht="10.199999999999999" customHeight="1">
      <c r="P352" s="251"/>
      <c r="Q352" s="251"/>
      <c r="R352" s="251"/>
      <c r="S352" s="251"/>
      <c r="T352" s="251"/>
      <c r="U352" s="251"/>
      <c r="V352" s="251"/>
      <c r="W352" s="251"/>
      <c r="X352" s="251"/>
      <c r="Y352" s="251"/>
      <c r="Z352" s="251"/>
    </row>
    <row r="353" spans="16:26" ht="10.199999999999999" customHeight="1">
      <c r="P353" s="251"/>
      <c r="Q353" s="251"/>
      <c r="R353" s="251"/>
      <c r="S353" s="251"/>
      <c r="T353" s="251"/>
      <c r="U353" s="251"/>
      <c r="V353" s="251"/>
      <c r="W353" s="251"/>
      <c r="X353" s="251"/>
      <c r="Y353" s="251"/>
      <c r="Z353" s="251"/>
    </row>
    <row r="354" spans="16:26" ht="10.199999999999999" customHeight="1">
      <c r="P354" s="241"/>
      <c r="Q354" s="241"/>
      <c r="R354" s="241"/>
      <c r="S354" s="241"/>
      <c r="T354" s="241"/>
      <c r="U354" s="241"/>
      <c r="V354" s="241"/>
      <c r="W354" s="241"/>
      <c r="X354" s="241"/>
      <c r="Y354" s="241"/>
      <c r="Z354" s="241"/>
    </row>
    <row r="355" spans="16:26" ht="10.199999999999999" customHeight="1">
      <c r="P355" s="251"/>
      <c r="Q355" s="251"/>
      <c r="R355" s="251"/>
      <c r="S355" s="251"/>
      <c r="T355" s="251"/>
      <c r="U355" s="251"/>
      <c r="V355" s="251"/>
      <c r="W355" s="251"/>
      <c r="X355" s="251"/>
      <c r="Y355" s="251"/>
      <c r="Z355" s="251"/>
    </row>
    <row r="356" spans="16:26" ht="10.199999999999999" customHeight="1">
      <c r="P356" s="251"/>
      <c r="Q356" s="251"/>
      <c r="R356" s="251"/>
      <c r="S356" s="251"/>
      <c r="T356" s="251"/>
      <c r="U356" s="251"/>
      <c r="V356" s="251"/>
      <c r="W356" s="251"/>
      <c r="X356" s="251"/>
      <c r="Y356" s="251"/>
      <c r="Z356" s="251"/>
    </row>
    <row r="357" spans="16:26" ht="10.199999999999999" customHeight="1">
      <c r="P357" s="241"/>
      <c r="Q357" s="241"/>
      <c r="R357" s="241"/>
      <c r="S357" s="241"/>
      <c r="T357" s="241"/>
      <c r="U357" s="241"/>
      <c r="V357" s="241"/>
      <c r="W357" s="241"/>
      <c r="X357" s="241"/>
      <c r="Y357" s="241"/>
      <c r="Z357" s="241"/>
    </row>
    <row r="358" spans="16:26" ht="10.199999999999999" customHeight="1">
      <c r="P358" s="251"/>
      <c r="Q358" s="251"/>
      <c r="R358" s="251"/>
      <c r="S358" s="251"/>
      <c r="T358" s="251"/>
      <c r="U358" s="251"/>
      <c r="V358" s="251"/>
      <c r="W358" s="251"/>
      <c r="X358" s="251"/>
      <c r="Y358" s="251"/>
      <c r="Z358" s="251"/>
    </row>
    <row r="359" spans="16:26" ht="10.199999999999999" customHeight="1">
      <c r="P359" s="251"/>
      <c r="Q359" s="251"/>
      <c r="R359" s="251"/>
      <c r="S359" s="251"/>
      <c r="T359" s="251"/>
      <c r="U359" s="251"/>
      <c r="V359" s="251"/>
      <c r="W359" s="251"/>
      <c r="X359" s="251"/>
      <c r="Y359" s="251"/>
      <c r="Z359" s="251"/>
    </row>
    <row r="360" spans="16:26" ht="10.199999999999999" customHeight="1">
      <c r="P360" s="241"/>
      <c r="Q360" s="241"/>
      <c r="R360" s="241"/>
      <c r="S360" s="241"/>
      <c r="T360" s="241"/>
      <c r="U360" s="241"/>
      <c r="V360" s="241"/>
      <c r="W360" s="241"/>
      <c r="X360" s="241"/>
      <c r="Y360" s="241"/>
      <c r="Z360" s="241"/>
    </row>
    <row r="361" spans="16:26" ht="10.199999999999999" customHeight="1">
      <c r="P361" s="251"/>
      <c r="Q361" s="251"/>
      <c r="R361" s="251"/>
      <c r="S361" s="251"/>
      <c r="T361" s="251"/>
      <c r="U361" s="251"/>
      <c r="V361" s="251"/>
      <c r="W361" s="251"/>
      <c r="X361" s="251"/>
      <c r="Y361" s="251"/>
      <c r="Z361" s="251"/>
    </row>
    <row r="362" spans="16:26" ht="10.199999999999999" customHeight="1">
      <c r="P362" s="251"/>
      <c r="Q362" s="251"/>
      <c r="R362" s="251"/>
      <c r="S362" s="251"/>
      <c r="T362" s="251"/>
      <c r="U362" s="251"/>
      <c r="V362" s="251"/>
      <c r="W362" s="251"/>
      <c r="X362" s="251"/>
      <c r="Y362" s="251"/>
      <c r="Z362" s="251"/>
    </row>
    <row r="363" spans="16:26" ht="10.199999999999999" customHeight="1">
      <c r="P363" s="241"/>
      <c r="Q363" s="241"/>
      <c r="R363" s="241"/>
      <c r="S363" s="241"/>
      <c r="T363" s="241"/>
      <c r="U363" s="241"/>
      <c r="V363" s="241"/>
      <c r="W363" s="241"/>
      <c r="X363" s="241"/>
      <c r="Y363" s="241"/>
      <c r="Z363" s="241"/>
    </row>
    <row r="364" spans="16:26" ht="10.199999999999999" customHeight="1">
      <c r="P364" s="251"/>
      <c r="Q364" s="251"/>
      <c r="R364" s="251"/>
      <c r="S364" s="251"/>
      <c r="T364" s="251"/>
      <c r="U364" s="251"/>
      <c r="V364" s="251"/>
      <c r="W364" s="251"/>
      <c r="X364" s="251"/>
      <c r="Y364" s="251"/>
      <c r="Z364" s="251"/>
    </row>
    <row r="365" spans="16:26" ht="10.199999999999999" customHeight="1">
      <c r="P365" s="251"/>
      <c r="Q365" s="251"/>
      <c r="R365" s="251"/>
      <c r="S365" s="251"/>
      <c r="T365" s="251"/>
      <c r="U365" s="251"/>
      <c r="V365" s="251"/>
      <c r="W365" s="251"/>
      <c r="X365" s="251"/>
      <c r="Y365" s="251"/>
      <c r="Z365" s="251"/>
    </row>
    <row r="366" spans="16:26" ht="10.199999999999999" customHeight="1">
      <c r="P366" s="241"/>
      <c r="Q366" s="241"/>
      <c r="R366" s="241"/>
      <c r="S366" s="241"/>
      <c r="T366" s="241"/>
      <c r="U366" s="241"/>
      <c r="V366" s="241"/>
      <c r="W366" s="241"/>
      <c r="X366" s="241"/>
      <c r="Y366" s="241"/>
      <c r="Z366" s="241"/>
    </row>
    <row r="367" spans="16:26" ht="10.199999999999999" customHeight="1">
      <c r="P367" s="251"/>
      <c r="Q367" s="251"/>
      <c r="R367" s="251"/>
      <c r="S367" s="251"/>
      <c r="T367" s="251"/>
      <c r="U367" s="251"/>
      <c r="V367" s="251"/>
      <c r="W367" s="251"/>
      <c r="X367" s="251"/>
      <c r="Y367" s="251"/>
      <c r="Z367" s="251"/>
    </row>
    <row r="368" spans="16:26" ht="10.199999999999999" customHeight="1">
      <c r="P368" s="251"/>
      <c r="Q368" s="251"/>
      <c r="R368" s="251"/>
      <c r="S368" s="251"/>
      <c r="T368" s="251"/>
      <c r="U368" s="251"/>
      <c r="V368" s="251"/>
      <c r="W368" s="251"/>
      <c r="X368" s="251"/>
      <c r="Y368" s="251"/>
      <c r="Z368" s="251"/>
    </row>
    <row r="369" spans="16:26" ht="10.199999999999999" customHeight="1">
      <c r="P369" s="241"/>
      <c r="Q369" s="241"/>
      <c r="R369" s="241"/>
      <c r="S369" s="241"/>
      <c r="T369" s="241"/>
      <c r="U369" s="241"/>
      <c r="V369" s="241"/>
      <c r="W369" s="241"/>
      <c r="X369" s="241"/>
      <c r="Y369" s="241"/>
      <c r="Z369" s="241"/>
    </row>
    <row r="370" spans="16:26" ht="10.199999999999999" customHeight="1">
      <c r="P370" s="251"/>
      <c r="Q370" s="251"/>
      <c r="R370" s="251"/>
      <c r="S370" s="251"/>
      <c r="T370" s="251"/>
      <c r="U370" s="251"/>
      <c r="V370" s="251"/>
      <c r="W370" s="251"/>
      <c r="X370" s="251"/>
      <c r="Y370" s="251"/>
      <c r="Z370" s="251"/>
    </row>
    <row r="371" spans="16:26" ht="10.199999999999999" customHeight="1">
      <c r="P371" s="251"/>
      <c r="Q371" s="251"/>
      <c r="R371" s="251"/>
      <c r="S371" s="251"/>
      <c r="T371" s="251"/>
      <c r="U371" s="251"/>
      <c r="V371" s="251"/>
      <c r="W371" s="251"/>
      <c r="X371" s="251"/>
      <c r="Y371" s="251"/>
      <c r="Z371" s="251"/>
    </row>
    <row r="372" spans="16:26" ht="10.199999999999999" customHeight="1">
      <c r="P372" s="241"/>
      <c r="Q372" s="241"/>
      <c r="R372" s="241"/>
      <c r="S372" s="241"/>
      <c r="T372" s="241"/>
      <c r="U372" s="241"/>
      <c r="V372" s="241"/>
      <c r="W372" s="241"/>
      <c r="X372" s="241"/>
      <c r="Y372" s="241"/>
      <c r="Z372" s="241"/>
    </row>
    <row r="373" spans="16:26" ht="10.199999999999999" customHeight="1">
      <c r="P373" s="251"/>
      <c r="Q373" s="251"/>
      <c r="R373" s="251"/>
      <c r="S373" s="251"/>
      <c r="T373" s="251"/>
      <c r="U373" s="251"/>
      <c r="V373" s="251"/>
      <c r="W373" s="251"/>
      <c r="X373" s="251"/>
      <c r="Y373" s="251"/>
      <c r="Z373" s="251"/>
    </row>
    <row r="374" spans="16:26" ht="10.199999999999999" customHeight="1">
      <c r="P374" s="251"/>
      <c r="Q374" s="251"/>
      <c r="R374" s="251"/>
      <c r="S374" s="251"/>
      <c r="T374" s="251"/>
      <c r="U374" s="251"/>
      <c r="V374" s="251"/>
      <c r="W374" s="251"/>
      <c r="X374" s="251"/>
      <c r="Y374" s="251"/>
      <c r="Z374" s="251"/>
    </row>
    <row r="375" spans="16:26" ht="10.199999999999999" customHeight="1">
      <c r="P375" s="241"/>
      <c r="Q375" s="241"/>
      <c r="R375" s="241"/>
      <c r="S375" s="241"/>
      <c r="T375" s="241"/>
      <c r="U375" s="241"/>
      <c r="V375" s="241"/>
      <c r="W375" s="241"/>
      <c r="X375" s="241"/>
      <c r="Y375" s="241"/>
      <c r="Z375" s="241"/>
    </row>
    <row r="376" spans="16:26" ht="10.199999999999999" customHeight="1">
      <c r="P376" s="251"/>
      <c r="Q376" s="251"/>
      <c r="R376" s="251"/>
      <c r="S376" s="251"/>
      <c r="T376" s="251"/>
      <c r="U376" s="251"/>
      <c r="V376" s="251"/>
      <c r="W376" s="251"/>
      <c r="X376" s="251"/>
      <c r="Y376" s="251"/>
      <c r="Z376" s="251"/>
    </row>
    <row r="377" spans="16:26" ht="10.199999999999999" customHeight="1">
      <c r="P377" s="251"/>
      <c r="Q377" s="251"/>
      <c r="R377" s="251"/>
      <c r="S377" s="251"/>
      <c r="T377" s="251"/>
      <c r="U377" s="251"/>
      <c r="V377" s="251"/>
      <c r="W377" s="251"/>
      <c r="X377" s="251"/>
      <c r="Y377" s="251"/>
      <c r="Z377" s="251"/>
    </row>
    <row r="378" spans="16:26" ht="10.199999999999999" customHeight="1">
      <c r="P378" s="241"/>
      <c r="Q378" s="241"/>
      <c r="R378" s="241"/>
      <c r="S378" s="241"/>
      <c r="T378" s="241"/>
      <c r="U378" s="241"/>
      <c r="V378" s="241"/>
      <c r="W378" s="241"/>
      <c r="X378" s="241"/>
      <c r="Y378" s="241"/>
      <c r="Z378" s="241"/>
    </row>
    <row r="379" spans="16:26" ht="10.199999999999999" customHeight="1">
      <c r="P379" s="251"/>
      <c r="Q379" s="251"/>
      <c r="R379" s="251"/>
      <c r="S379" s="251"/>
      <c r="T379" s="251"/>
      <c r="U379" s="251"/>
      <c r="V379" s="251"/>
      <c r="W379" s="251"/>
      <c r="X379" s="251"/>
      <c r="Y379" s="251"/>
      <c r="Z379" s="251"/>
    </row>
    <row r="380" spans="16:26" ht="10.199999999999999" customHeight="1">
      <c r="P380" s="251"/>
      <c r="Q380" s="251"/>
      <c r="R380" s="251"/>
      <c r="S380" s="251"/>
      <c r="T380" s="251"/>
      <c r="U380" s="251"/>
      <c r="V380" s="251"/>
      <c r="W380" s="251"/>
      <c r="X380" s="251"/>
      <c r="Y380" s="251"/>
      <c r="Z380" s="251"/>
    </row>
    <row r="381" spans="16:26" ht="10.199999999999999" customHeight="1">
      <c r="P381" s="241"/>
      <c r="Q381" s="241"/>
      <c r="R381" s="241"/>
      <c r="S381" s="241"/>
      <c r="T381" s="241"/>
      <c r="U381" s="241"/>
      <c r="V381" s="241"/>
      <c r="W381" s="241"/>
      <c r="X381" s="241"/>
      <c r="Y381" s="241"/>
      <c r="Z381" s="241"/>
    </row>
    <row r="382" spans="16:26" ht="10.199999999999999" customHeight="1">
      <c r="P382" s="251"/>
      <c r="Q382" s="251"/>
      <c r="R382" s="251"/>
      <c r="S382" s="251"/>
      <c r="T382" s="251"/>
      <c r="U382" s="251"/>
      <c r="V382" s="251"/>
      <c r="W382" s="251"/>
      <c r="X382" s="251"/>
      <c r="Y382" s="251"/>
      <c r="Z382" s="251"/>
    </row>
    <row r="383" spans="16:26" ht="10.199999999999999" customHeight="1">
      <c r="P383" s="251"/>
      <c r="Q383" s="251"/>
      <c r="R383" s="251"/>
      <c r="S383" s="251"/>
      <c r="T383" s="251"/>
      <c r="U383" s="251"/>
      <c r="V383" s="251"/>
      <c r="W383" s="251"/>
      <c r="X383" s="251"/>
      <c r="Y383" s="251"/>
      <c r="Z383" s="251"/>
    </row>
    <row r="384" spans="16:26" ht="10.199999999999999" customHeight="1">
      <c r="P384" s="241"/>
      <c r="Q384" s="241"/>
      <c r="R384" s="241"/>
      <c r="S384" s="241"/>
      <c r="T384" s="241"/>
      <c r="U384" s="241"/>
      <c r="V384" s="241"/>
      <c r="W384" s="241"/>
      <c r="X384" s="241"/>
      <c r="Y384" s="241"/>
      <c r="Z384" s="241"/>
    </row>
    <row r="385" spans="16:26" ht="10.199999999999999" customHeight="1">
      <c r="P385" s="251"/>
      <c r="Q385" s="251"/>
      <c r="R385" s="251"/>
      <c r="S385" s="251"/>
      <c r="T385" s="251"/>
      <c r="U385" s="251"/>
      <c r="V385" s="251"/>
      <c r="W385" s="251"/>
      <c r="X385" s="251"/>
      <c r="Y385" s="251"/>
      <c r="Z385" s="251"/>
    </row>
    <row r="386" spans="16:26" ht="10.199999999999999" customHeight="1">
      <c r="P386" s="251"/>
      <c r="Q386" s="251"/>
      <c r="R386" s="251"/>
      <c r="S386" s="251"/>
      <c r="T386" s="251"/>
      <c r="U386" s="251"/>
      <c r="V386" s="251"/>
      <c r="W386" s="251"/>
      <c r="X386" s="251"/>
      <c r="Y386" s="251"/>
      <c r="Z386" s="251"/>
    </row>
    <row r="387" spans="16:26" ht="10.199999999999999" customHeight="1">
      <c r="P387" s="241"/>
      <c r="Q387" s="241"/>
      <c r="R387" s="241"/>
      <c r="S387" s="241"/>
      <c r="T387" s="241"/>
      <c r="U387" s="241"/>
      <c r="V387" s="241"/>
      <c r="W387" s="241"/>
      <c r="X387" s="241"/>
      <c r="Y387" s="241"/>
      <c r="Z387" s="241"/>
    </row>
    <row r="388" spans="16:26" ht="10.199999999999999" customHeight="1">
      <c r="P388" s="251"/>
      <c r="Q388" s="251"/>
      <c r="R388" s="251"/>
      <c r="S388" s="251"/>
      <c r="T388" s="251"/>
      <c r="U388" s="251"/>
      <c r="V388" s="251"/>
      <c r="W388" s="251"/>
      <c r="X388" s="251"/>
      <c r="Y388" s="251"/>
      <c r="Z388" s="251"/>
    </row>
    <row r="389" spans="16:26" ht="10.199999999999999" customHeight="1">
      <c r="P389" s="251"/>
      <c r="Q389" s="251"/>
      <c r="R389" s="251"/>
      <c r="S389" s="251"/>
      <c r="T389" s="251"/>
      <c r="U389" s="251"/>
      <c r="V389" s="251"/>
      <c r="W389" s="251"/>
      <c r="X389" s="251"/>
      <c r="Y389" s="251"/>
      <c r="Z389" s="251"/>
    </row>
    <row r="390" spans="16:26" ht="10.199999999999999" customHeight="1">
      <c r="P390" s="241"/>
      <c r="Q390" s="241"/>
      <c r="R390" s="241"/>
      <c r="S390" s="241"/>
      <c r="T390" s="241"/>
      <c r="U390" s="241"/>
      <c r="V390" s="241"/>
      <c r="W390" s="241"/>
      <c r="X390" s="241"/>
      <c r="Y390" s="241"/>
      <c r="Z390" s="241"/>
    </row>
    <row r="391" spans="16:26" ht="10.199999999999999" customHeight="1">
      <c r="P391" s="251"/>
      <c r="Q391" s="251"/>
      <c r="R391" s="251"/>
      <c r="S391" s="251"/>
      <c r="T391" s="251"/>
      <c r="U391" s="251"/>
      <c r="V391" s="251"/>
      <c r="W391" s="251"/>
      <c r="X391" s="251"/>
      <c r="Y391" s="251"/>
      <c r="Z391" s="251"/>
    </row>
    <row r="392" spans="16:26" ht="10.199999999999999" customHeight="1">
      <c r="P392" s="251"/>
      <c r="Q392" s="251"/>
      <c r="R392" s="251"/>
      <c r="S392" s="251"/>
      <c r="T392" s="251"/>
      <c r="U392" s="251"/>
      <c r="V392" s="251"/>
      <c r="W392" s="251"/>
      <c r="X392" s="251"/>
      <c r="Y392" s="251"/>
      <c r="Z392" s="251"/>
    </row>
    <row r="393" spans="16:26" ht="10.199999999999999" customHeight="1">
      <c r="P393" s="241"/>
      <c r="Q393" s="241"/>
      <c r="R393" s="241"/>
      <c r="S393" s="241"/>
      <c r="T393" s="241"/>
      <c r="U393" s="241"/>
      <c r="V393" s="241"/>
      <c r="W393" s="241"/>
      <c r="X393" s="241"/>
      <c r="Y393" s="241"/>
      <c r="Z393" s="241"/>
    </row>
    <row r="394" spans="16:26" ht="10.199999999999999" customHeight="1">
      <c r="P394" s="251"/>
      <c r="Q394" s="251"/>
      <c r="R394" s="251"/>
      <c r="S394" s="251"/>
      <c r="T394" s="251"/>
      <c r="U394" s="251"/>
      <c r="V394" s="251"/>
      <c r="W394" s="251"/>
      <c r="X394" s="251"/>
      <c r="Y394" s="251"/>
      <c r="Z394" s="251"/>
    </row>
    <row r="395" spans="16:26" ht="10.199999999999999" customHeight="1">
      <c r="P395" s="251"/>
      <c r="Q395" s="251"/>
      <c r="R395" s="251"/>
      <c r="S395" s="251"/>
      <c r="T395" s="251"/>
      <c r="U395" s="251"/>
      <c r="V395" s="251"/>
      <c r="W395" s="251"/>
      <c r="X395" s="251"/>
      <c r="Y395" s="251"/>
      <c r="Z395" s="251"/>
    </row>
    <row r="396" spans="16:26" ht="10.199999999999999" customHeight="1">
      <c r="P396" s="241"/>
      <c r="Q396" s="241"/>
      <c r="R396" s="241"/>
      <c r="S396" s="241"/>
      <c r="T396" s="241"/>
      <c r="U396" s="241"/>
      <c r="V396" s="241"/>
      <c r="W396" s="241"/>
      <c r="X396" s="241"/>
      <c r="Y396" s="241"/>
      <c r="Z396" s="241"/>
    </row>
    <row r="397" spans="16:26" ht="10.199999999999999" customHeight="1">
      <c r="P397" s="251"/>
      <c r="Q397" s="251"/>
      <c r="R397" s="251"/>
      <c r="S397" s="251"/>
      <c r="T397" s="251"/>
      <c r="U397" s="251"/>
      <c r="V397" s="251"/>
      <c r="W397" s="251"/>
      <c r="X397" s="251"/>
      <c r="Y397" s="251"/>
      <c r="Z397" s="251"/>
    </row>
    <row r="398" spans="16:26" ht="10.199999999999999" customHeight="1">
      <c r="P398" s="251"/>
      <c r="Q398" s="251"/>
      <c r="R398" s="251"/>
      <c r="S398" s="251"/>
      <c r="T398" s="251"/>
      <c r="U398" s="251"/>
      <c r="V398" s="251"/>
      <c r="W398" s="251"/>
      <c r="X398" s="251"/>
      <c r="Y398" s="251"/>
      <c r="Z398" s="251"/>
    </row>
    <row r="399" spans="16:26" ht="10.199999999999999" customHeight="1">
      <c r="P399" s="241"/>
      <c r="Q399" s="241"/>
      <c r="R399" s="241"/>
      <c r="S399" s="241"/>
      <c r="T399" s="241"/>
      <c r="U399" s="241"/>
      <c r="V399" s="241"/>
      <c r="W399" s="241"/>
      <c r="X399" s="241"/>
      <c r="Y399" s="241"/>
      <c r="Z399" s="241"/>
    </row>
    <row r="400" spans="16:26" ht="10.199999999999999" customHeight="1">
      <c r="P400" s="251"/>
      <c r="Q400" s="251"/>
      <c r="R400" s="251"/>
      <c r="S400" s="251"/>
      <c r="T400" s="251"/>
      <c r="U400" s="251"/>
      <c r="V400" s="251"/>
      <c r="W400" s="251"/>
      <c r="X400" s="251"/>
      <c r="Y400" s="251"/>
      <c r="Z400" s="251"/>
    </row>
    <row r="401" spans="16:26" ht="10.199999999999999" customHeight="1">
      <c r="P401" s="251"/>
      <c r="Q401" s="251"/>
      <c r="R401" s="251"/>
      <c r="S401" s="251"/>
      <c r="T401" s="251"/>
      <c r="U401" s="251"/>
      <c r="V401" s="251"/>
      <c r="W401" s="251"/>
      <c r="X401" s="251"/>
      <c r="Y401" s="251"/>
      <c r="Z401" s="251"/>
    </row>
    <row r="402" spans="16:26" ht="10.199999999999999" customHeight="1">
      <c r="P402" s="241"/>
      <c r="Q402" s="241"/>
      <c r="R402" s="241"/>
      <c r="S402" s="241"/>
      <c r="T402" s="241"/>
      <c r="U402" s="241"/>
      <c r="V402" s="241"/>
      <c r="W402" s="241"/>
      <c r="X402" s="241"/>
      <c r="Y402" s="241"/>
      <c r="Z402" s="241"/>
    </row>
    <row r="403" spans="16:26" ht="10.199999999999999" customHeight="1">
      <c r="P403" s="251"/>
      <c r="Q403" s="251"/>
      <c r="R403" s="251"/>
      <c r="S403" s="251"/>
      <c r="T403" s="251"/>
      <c r="U403" s="251"/>
      <c r="V403" s="251"/>
      <c r="W403" s="251"/>
      <c r="X403" s="251"/>
      <c r="Y403" s="251"/>
      <c r="Z403" s="251"/>
    </row>
    <row r="404" spans="16:26" ht="10.199999999999999" customHeight="1">
      <c r="P404" s="251"/>
      <c r="Q404" s="251"/>
      <c r="R404" s="251"/>
      <c r="S404" s="251"/>
      <c r="T404" s="251"/>
      <c r="U404" s="251"/>
      <c r="V404" s="251"/>
      <c r="W404" s="251"/>
      <c r="X404" s="251"/>
      <c r="Y404" s="251"/>
      <c r="Z404" s="251"/>
    </row>
    <row r="405" spans="16:26" ht="10.199999999999999" customHeight="1">
      <c r="P405" s="241"/>
      <c r="Q405" s="241"/>
      <c r="R405" s="241"/>
      <c r="S405" s="241"/>
      <c r="T405" s="241"/>
      <c r="U405" s="241"/>
      <c r="V405" s="241"/>
      <c r="W405" s="241"/>
      <c r="X405" s="241"/>
      <c r="Y405" s="241"/>
      <c r="Z405" s="241"/>
    </row>
    <row r="406" spans="16:26" ht="10.199999999999999" customHeight="1">
      <c r="P406" s="251"/>
      <c r="Q406" s="251"/>
      <c r="R406" s="251"/>
      <c r="S406" s="251"/>
      <c r="T406" s="251"/>
      <c r="U406" s="251"/>
      <c r="V406" s="251"/>
      <c r="W406" s="251"/>
      <c r="X406" s="251"/>
      <c r="Y406" s="251"/>
      <c r="Z406" s="251"/>
    </row>
    <row r="407" spans="16:26" ht="10.199999999999999" customHeight="1">
      <c r="P407" s="251"/>
      <c r="Q407" s="251"/>
      <c r="R407" s="251"/>
      <c r="S407" s="251"/>
      <c r="T407" s="251"/>
      <c r="U407" s="251"/>
      <c r="V407" s="251"/>
      <c r="W407" s="251"/>
      <c r="X407" s="251"/>
      <c r="Y407" s="251"/>
      <c r="Z407" s="251"/>
    </row>
    <row r="408" spans="16:26" ht="10.199999999999999" customHeight="1">
      <c r="P408" s="241"/>
      <c r="Q408" s="241"/>
      <c r="R408" s="241"/>
      <c r="S408" s="241"/>
      <c r="T408" s="241"/>
      <c r="U408" s="241"/>
      <c r="V408" s="241"/>
      <c r="W408" s="241"/>
      <c r="X408" s="241"/>
      <c r="Y408" s="241"/>
      <c r="Z408" s="241"/>
    </row>
    <row r="409" spans="16:26" ht="10.199999999999999" customHeight="1">
      <c r="P409" s="251"/>
      <c r="Q409" s="251"/>
      <c r="R409" s="251"/>
      <c r="S409" s="251"/>
      <c r="T409" s="251"/>
      <c r="U409" s="251"/>
      <c r="V409" s="251"/>
      <c r="W409" s="251"/>
      <c r="X409" s="251"/>
      <c r="Y409" s="251"/>
      <c r="Z409" s="251"/>
    </row>
    <row r="410" spans="16:26" ht="10.199999999999999" customHeight="1">
      <c r="P410" s="251"/>
      <c r="Q410" s="251"/>
      <c r="R410" s="251"/>
      <c r="S410" s="251"/>
      <c r="T410" s="251"/>
      <c r="U410" s="251"/>
      <c r="V410" s="251"/>
      <c r="W410" s="251"/>
      <c r="X410" s="251"/>
      <c r="Y410" s="251"/>
      <c r="Z410" s="251"/>
    </row>
    <row r="411" spans="16:26" ht="10.199999999999999" customHeight="1">
      <c r="P411" s="241"/>
      <c r="Q411" s="241"/>
      <c r="R411" s="241"/>
      <c r="S411" s="241"/>
      <c r="T411" s="241"/>
      <c r="U411" s="241"/>
      <c r="V411" s="241"/>
      <c r="W411" s="241"/>
      <c r="X411" s="241"/>
      <c r="Y411" s="241"/>
      <c r="Z411" s="241"/>
    </row>
    <row r="412" spans="16:26" ht="10.199999999999999" customHeight="1">
      <c r="P412" s="251"/>
      <c r="Q412" s="251"/>
      <c r="R412" s="251"/>
      <c r="S412" s="251"/>
      <c r="T412" s="251"/>
      <c r="U412" s="251"/>
      <c r="V412" s="251"/>
      <c r="W412" s="251"/>
      <c r="X412" s="251"/>
      <c r="Y412" s="251"/>
      <c r="Z412" s="251"/>
    </row>
    <row r="413" spans="16:26" ht="10.199999999999999" customHeight="1">
      <c r="P413" s="251"/>
      <c r="Q413" s="251"/>
      <c r="R413" s="251"/>
      <c r="S413" s="251"/>
      <c r="T413" s="251"/>
      <c r="U413" s="251"/>
      <c r="V413" s="251"/>
      <c r="W413" s="251"/>
      <c r="X413" s="251"/>
      <c r="Y413" s="251"/>
      <c r="Z413" s="251"/>
    </row>
    <row r="414" spans="16:26" ht="10.199999999999999" customHeight="1">
      <c r="P414" s="241"/>
      <c r="Q414" s="241"/>
      <c r="R414" s="241"/>
      <c r="S414" s="241"/>
      <c r="T414" s="241"/>
      <c r="U414" s="241"/>
      <c r="V414" s="241"/>
      <c r="W414" s="241"/>
      <c r="X414" s="241"/>
      <c r="Y414" s="241"/>
      <c r="Z414" s="241"/>
    </row>
    <row r="415" spans="16:26" ht="10.199999999999999" customHeight="1">
      <c r="P415" s="251"/>
      <c r="Q415" s="251"/>
      <c r="R415" s="251"/>
      <c r="S415" s="251"/>
      <c r="T415" s="251"/>
      <c r="U415" s="251"/>
      <c r="V415" s="251"/>
      <c r="W415" s="251"/>
      <c r="X415" s="251"/>
      <c r="Y415" s="251"/>
      <c r="Z415" s="251"/>
    </row>
    <row r="416" spans="16:26" ht="10.199999999999999" customHeight="1">
      <c r="P416" s="251"/>
      <c r="Q416" s="251"/>
      <c r="R416" s="251"/>
      <c r="S416" s="251"/>
      <c r="T416" s="251"/>
      <c r="U416" s="251"/>
      <c r="V416" s="251"/>
      <c r="W416" s="251"/>
      <c r="X416" s="251"/>
      <c r="Y416" s="251"/>
      <c r="Z416" s="251"/>
    </row>
    <row r="417" spans="16:26" ht="10.199999999999999" customHeight="1">
      <c r="P417" s="241"/>
      <c r="Q417" s="241"/>
      <c r="R417" s="241"/>
      <c r="S417" s="241"/>
      <c r="T417" s="241"/>
      <c r="U417" s="241"/>
      <c r="V417" s="241"/>
      <c r="W417" s="241"/>
      <c r="X417" s="241"/>
      <c r="Y417" s="241"/>
      <c r="Z417" s="241"/>
    </row>
    <row r="418" spans="16:26" ht="10.199999999999999" customHeight="1">
      <c r="P418" s="251"/>
      <c r="Q418" s="251"/>
      <c r="R418" s="251"/>
      <c r="S418" s="251"/>
      <c r="T418" s="251"/>
      <c r="U418" s="251"/>
      <c r="V418" s="251"/>
      <c r="W418" s="251"/>
      <c r="X418" s="251"/>
      <c r="Y418" s="251"/>
      <c r="Z418" s="251"/>
    </row>
    <row r="419" spans="16:26" ht="10.199999999999999" customHeight="1">
      <c r="P419" s="251"/>
      <c r="Q419" s="251"/>
      <c r="R419" s="251"/>
      <c r="S419" s="251"/>
      <c r="T419" s="251"/>
      <c r="U419" s="251"/>
      <c r="V419" s="251"/>
      <c r="W419" s="251"/>
      <c r="X419" s="251"/>
      <c r="Y419" s="251"/>
      <c r="Z419" s="251"/>
    </row>
    <row r="420" spans="16:26" ht="10.199999999999999" customHeight="1">
      <c r="P420" s="241"/>
      <c r="Q420" s="241"/>
      <c r="R420" s="241"/>
      <c r="S420" s="241"/>
      <c r="T420" s="241"/>
      <c r="U420" s="241"/>
      <c r="V420" s="241"/>
      <c r="W420" s="241"/>
      <c r="X420" s="241"/>
      <c r="Y420" s="241"/>
      <c r="Z420" s="241"/>
    </row>
    <row r="421" spans="16:26" ht="10.199999999999999" customHeight="1">
      <c r="P421" s="251"/>
      <c r="Q421" s="251"/>
      <c r="R421" s="251"/>
      <c r="S421" s="251"/>
      <c r="T421" s="251"/>
      <c r="U421" s="251"/>
      <c r="V421" s="251"/>
      <c r="W421" s="251"/>
      <c r="X421" s="251"/>
      <c r="Y421" s="251"/>
      <c r="Z421" s="251"/>
    </row>
    <row r="422" spans="16:26" ht="10.199999999999999" customHeight="1">
      <c r="P422" s="251"/>
      <c r="Q422" s="251"/>
      <c r="R422" s="251"/>
      <c r="S422" s="251"/>
      <c r="T422" s="251"/>
      <c r="U422" s="251"/>
      <c r="V422" s="251"/>
      <c r="W422" s="251"/>
      <c r="X422" s="251"/>
      <c r="Y422" s="251"/>
      <c r="Z422" s="251"/>
    </row>
    <row r="423" spans="16:26" ht="10.199999999999999" customHeight="1">
      <c r="P423" s="241"/>
      <c r="Q423" s="241"/>
      <c r="R423" s="241"/>
      <c r="S423" s="241"/>
      <c r="T423" s="241"/>
      <c r="U423" s="241"/>
      <c r="V423" s="241"/>
      <c r="W423" s="241"/>
      <c r="X423" s="241"/>
      <c r="Y423" s="241"/>
      <c r="Z423" s="241"/>
    </row>
    <row r="424" spans="16:26" ht="10.199999999999999" customHeight="1">
      <c r="P424" s="251"/>
      <c r="Q424" s="251"/>
      <c r="R424" s="251"/>
      <c r="S424" s="251"/>
      <c r="T424" s="251"/>
      <c r="U424" s="251"/>
      <c r="V424" s="251"/>
      <c r="W424" s="251"/>
      <c r="X424" s="251"/>
      <c r="Y424" s="251"/>
      <c r="Z424" s="251"/>
    </row>
    <row r="425" spans="16:26" ht="10.199999999999999" customHeight="1">
      <c r="P425" s="251"/>
      <c r="Q425" s="251"/>
      <c r="R425" s="251"/>
      <c r="S425" s="251"/>
      <c r="T425" s="251"/>
      <c r="U425" s="251"/>
      <c r="V425" s="251"/>
      <c r="W425" s="251"/>
      <c r="X425" s="251"/>
      <c r="Y425" s="251"/>
      <c r="Z425" s="251"/>
    </row>
    <row r="426" spans="16:26" ht="10.199999999999999" customHeight="1">
      <c r="P426" s="241"/>
      <c r="Q426" s="241"/>
      <c r="R426" s="241"/>
      <c r="S426" s="241"/>
      <c r="T426" s="241"/>
      <c r="U426" s="241"/>
      <c r="V426" s="241"/>
      <c r="W426" s="241"/>
      <c r="X426" s="241"/>
      <c r="Y426" s="241"/>
      <c r="Z426" s="241"/>
    </row>
    <row r="427" spans="16:26" ht="10.199999999999999" customHeight="1">
      <c r="P427" s="251"/>
      <c r="Q427" s="251"/>
      <c r="R427" s="251"/>
      <c r="S427" s="251"/>
      <c r="T427" s="251"/>
      <c r="U427" s="251"/>
      <c r="V427" s="251"/>
      <c r="W427" s="251"/>
      <c r="X427" s="251"/>
      <c r="Y427" s="251"/>
      <c r="Z427" s="251"/>
    </row>
    <row r="428" spans="16:26" ht="10.199999999999999" customHeight="1">
      <c r="P428" s="251"/>
      <c r="Q428" s="251"/>
      <c r="R428" s="251"/>
      <c r="S428" s="251"/>
      <c r="T428" s="251"/>
      <c r="U428" s="251"/>
      <c r="V428" s="251"/>
      <c r="W428" s="251"/>
      <c r="X428" s="251"/>
      <c r="Y428" s="251"/>
      <c r="Z428" s="251"/>
    </row>
    <row r="429" spans="16:26" ht="10.199999999999999" customHeight="1">
      <c r="P429" s="241"/>
      <c r="Q429" s="241"/>
      <c r="R429" s="241"/>
      <c r="S429" s="241"/>
      <c r="T429" s="241"/>
      <c r="U429" s="241"/>
      <c r="V429" s="241"/>
      <c r="W429" s="241"/>
      <c r="X429" s="241"/>
      <c r="Y429" s="241"/>
      <c r="Z429" s="241"/>
    </row>
    <row r="430" spans="16:26" ht="10.199999999999999" customHeight="1">
      <c r="P430" s="251"/>
      <c r="Q430" s="251"/>
      <c r="R430" s="251"/>
      <c r="S430" s="251"/>
      <c r="T430" s="251"/>
      <c r="U430" s="251"/>
      <c r="V430" s="251"/>
      <c r="W430" s="251"/>
      <c r="X430" s="251"/>
      <c r="Y430" s="251"/>
      <c r="Z430" s="251"/>
    </row>
    <row r="431" spans="16:26" ht="10.199999999999999" customHeight="1">
      <c r="P431" s="251"/>
      <c r="Q431" s="251"/>
      <c r="R431" s="251"/>
      <c r="S431" s="251"/>
      <c r="T431" s="251"/>
      <c r="U431" s="251"/>
      <c r="V431" s="251"/>
      <c r="W431" s="251"/>
      <c r="X431" s="251"/>
      <c r="Y431" s="251"/>
      <c r="Z431" s="251"/>
    </row>
    <row r="432" spans="16:26" ht="10.199999999999999" customHeight="1">
      <c r="P432" s="241"/>
      <c r="Q432" s="241"/>
      <c r="R432" s="241"/>
      <c r="S432" s="241"/>
      <c r="T432" s="241"/>
      <c r="U432" s="241"/>
      <c r="V432" s="241"/>
      <c r="W432" s="241"/>
      <c r="X432" s="241"/>
      <c r="Y432" s="241"/>
      <c r="Z432" s="241"/>
    </row>
    <row r="433" spans="16:26" ht="10.199999999999999" customHeight="1">
      <c r="P433" s="251"/>
      <c r="Q433" s="251"/>
      <c r="R433" s="251"/>
      <c r="S433" s="251"/>
      <c r="T433" s="251"/>
      <c r="U433" s="251"/>
      <c r="V433" s="251"/>
      <c r="W433" s="251"/>
      <c r="X433" s="251"/>
      <c r="Y433" s="251"/>
      <c r="Z433" s="251"/>
    </row>
    <row r="434" spans="16:26" ht="10.199999999999999" customHeight="1">
      <c r="P434" s="251"/>
      <c r="Q434" s="251"/>
      <c r="R434" s="251"/>
      <c r="S434" s="251"/>
      <c r="T434" s="251"/>
      <c r="U434" s="251"/>
      <c r="V434" s="251"/>
      <c r="W434" s="251"/>
      <c r="X434" s="251"/>
      <c r="Y434" s="251"/>
      <c r="Z434" s="251"/>
    </row>
    <row r="435" spans="16:26" ht="10.199999999999999" customHeight="1">
      <c r="P435" s="241"/>
      <c r="Q435" s="241"/>
      <c r="R435" s="241"/>
      <c r="S435" s="241"/>
      <c r="T435" s="241"/>
      <c r="U435" s="241"/>
      <c r="V435" s="241"/>
      <c r="W435" s="241"/>
      <c r="X435" s="241"/>
      <c r="Y435" s="241"/>
      <c r="Z435" s="241"/>
    </row>
    <row r="436" spans="16:26" ht="10.199999999999999" customHeight="1">
      <c r="P436" s="251"/>
      <c r="Q436" s="251"/>
      <c r="R436" s="251"/>
      <c r="S436" s="251"/>
      <c r="T436" s="251"/>
      <c r="U436" s="251"/>
      <c r="V436" s="251"/>
      <c r="W436" s="251"/>
      <c r="X436" s="251"/>
      <c r="Y436" s="251"/>
      <c r="Z436" s="251"/>
    </row>
    <row r="437" spans="16:26" ht="10.199999999999999" customHeight="1">
      <c r="P437" s="251"/>
      <c r="Q437" s="251"/>
      <c r="R437" s="251"/>
      <c r="S437" s="251"/>
      <c r="T437" s="251"/>
      <c r="U437" s="251"/>
      <c r="V437" s="251"/>
      <c r="W437" s="251"/>
      <c r="X437" s="251"/>
      <c r="Y437" s="251"/>
      <c r="Z437" s="251"/>
    </row>
    <row r="438" spans="16:26" ht="10.199999999999999" customHeight="1">
      <c r="P438" s="241"/>
      <c r="Q438" s="241"/>
      <c r="R438" s="241"/>
      <c r="S438" s="241"/>
      <c r="T438" s="241"/>
      <c r="U438" s="241"/>
      <c r="V438" s="241"/>
      <c r="W438" s="241"/>
      <c r="X438" s="241"/>
      <c r="Y438" s="241"/>
      <c r="Z438" s="241"/>
    </row>
    <row r="439" spans="16:26" ht="10.199999999999999" customHeight="1">
      <c r="P439" s="251"/>
      <c r="Q439" s="251"/>
      <c r="R439" s="251"/>
      <c r="S439" s="251"/>
      <c r="T439" s="251"/>
      <c r="U439" s="251"/>
      <c r="V439" s="251"/>
      <c r="W439" s="251"/>
      <c r="X439" s="251"/>
      <c r="Y439" s="251"/>
      <c r="Z439" s="251"/>
    </row>
    <row r="440" spans="16:26" ht="10.199999999999999" customHeight="1">
      <c r="P440" s="251"/>
      <c r="Q440" s="251"/>
      <c r="R440" s="251"/>
      <c r="S440" s="251"/>
      <c r="T440" s="251"/>
      <c r="U440" s="251"/>
      <c r="V440" s="251"/>
      <c r="W440" s="251"/>
      <c r="X440" s="251"/>
      <c r="Y440" s="251"/>
      <c r="Z440" s="251"/>
    </row>
    <row r="441" spans="16:26" ht="10.199999999999999" customHeight="1">
      <c r="P441" s="241"/>
      <c r="Q441" s="241"/>
      <c r="R441" s="241"/>
      <c r="S441" s="241"/>
      <c r="T441" s="241"/>
      <c r="U441" s="241"/>
      <c r="V441" s="241"/>
      <c r="W441" s="241"/>
      <c r="X441" s="241"/>
      <c r="Y441" s="241"/>
      <c r="Z441" s="241"/>
    </row>
    <row r="442" spans="16:26" ht="10.199999999999999" customHeight="1">
      <c r="P442" s="251"/>
      <c r="Q442" s="251"/>
      <c r="R442" s="251"/>
      <c r="S442" s="251"/>
      <c r="T442" s="251"/>
      <c r="U442" s="251"/>
      <c r="V442" s="251"/>
      <c r="W442" s="251"/>
      <c r="X442" s="251"/>
      <c r="Y442" s="251"/>
      <c r="Z442" s="251"/>
    </row>
    <row r="443" spans="16:26" ht="10.199999999999999" customHeight="1">
      <c r="P443" s="251"/>
      <c r="Q443" s="251"/>
      <c r="R443" s="251"/>
      <c r="S443" s="251"/>
      <c r="T443" s="251"/>
      <c r="U443" s="251"/>
      <c r="V443" s="251"/>
      <c r="W443" s="251"/>
      <c r="X443" s="251"/>
      <c r="Y443" s="251"/>
      <c r="Z443" s="251"/>
    </row>
    <row r="444" spans="16:26" ht="10.199999999999999" customHeight="1">
      <c r="P444" s="241"/>
      <c r="Q444" s="241"/>
      <c r="R444" s="241"/>
      <c r="S444" s="241"/>
      <c r="T444" s="241"/>
      <c r="U444" s="241"/>
      <c r="V444" s="241"/>
      <c r="W444" s="241"/>
      <c r="X444" s="241"/>
      <c r="Y444" s="241"/>
      <c r="Z444" s="241"/>
    </row>
    <row r="445" spans="16:26" ht="10.199999999999999" customHeight="1">
      <c r="P445" s="251"/>
      <c r="Q445" s="251"/>
      <c r="R445" s="251"/>
      <c r="S445" s="251"/>
      <c r="T445" s="251"/>
      <c r="U445" s="251"/>
      <c r="V445" s="251"/>
      <c r="W445" s="251"/>
      <c r="X445" s="251"/>
      <c r="Y445" s="251"/>
      <c r="Z445" s="251"/>
    </row>
    <row r="446" spans="16:26" ht="10.199999999999999" customHeight="1">
      <c r="P446" s="251"/>
      <c r="Q446" s="251"/>
      <c r="R446" s="251"/>
      <c r="S446" s="251"/>
      <c r="T446" s="251"/>
      <c r="U446" s="251"/>
      <c r="V446" s="251"/>
      <c r="W446" s="251"/>
      <c r="X446" s="251"/>
      <c r="Y446" s="251"/>
      <c r="Z446" s="251"/>
    </row>
    <row r="447" spans="16:26" ht="10.199999999999999" customHeight="1">
      <c r="P447" s="241"/>
      <c r="Q447" s="241"/>
      <c r="R447" s="241"/>
      <c r="S447" s="241"/>
      <c r="T447" s="241"/>
      <c r="U447" s="241"/>
      <c r="V447" s="241"/>
      <c r="W447" s="241"/>
      <c r="X447" s="241"/>
      <c r="Y447" s="241"/>
      <c r="Z447" s="241"/>
    </row>
    <row r="448" spans="16:26" ht="10.199999999999999" customHeight="1">
      <c r="P448" s="251"/>
      <c r="Q448" s="251"/>
      <c r="R448" s="251"/>
      <c r="S448" s="251"/>
      <c r="T448" s="251"/>
      <c r="U448" s="251"/>
      <c r="V448" s="251"/>
      <c r="W448" s="251"/>
      <c r="X448" s="251"/>
      <c r="Y448" s="251"/>
      <c r="Z448" s="251"/>
    </row>
    <row r="449" spans="16:26" ht="10.199999999999999" customHeight="1">
      <c r="P449" s="251"/>
      <c r="Q449" s="251"/>
      <c r="R449" s="251"/>
      <c r="S449" s="251"/>
      <c r="T449" s="251"/>
      <c r="U449" s="251"/>
      <c r="V449" s="251"/>
      <c r="W449" s="251"/>
      <c r="X449" s="251"/>
      <c r="Y449" s="251"/>
      <c r="Z449" s="251"/>
    </row>
    <row r="450" spans="16:26" ht="10.199999999999999" customHeight="1">
      <c r="P450" s="241"/>
      <c r="Q450" s="241"/>
      <c r="R450" s="241"/>
      <c r="S450" s="241"/>
      <c r="T450" s="241"/>
      <c r="U450" s="241"/>
      <c r="V450" s="241"/>
      <c r="W450" s="241"/>
      <c r="X450" s="241"/>
      <c r="Y450" s="241"/>
      <c r="Z450" s="241"/>
    </row>
    <row r="451" spans="16:26" ht="10.199999999999999" customHeight="1">
      <c r="P451" s="251"/>
      <c r="Q451" s="251"/>
      <c r="R451" s="251"/>
      <c r="S451" s="251"/>
      <c r="T451" s="251"/>
      <c r="U451" s="251"/>
      <c r="V451" s="251"/>
      <c r="W451" s="251"/>
      <c r="X451" s="251"/>
      <c r="Y451" s="251"/>
      <c r="Z451" s="251"/>
    </row>
    <row r="452" spans="16:26" ht="10.199999999999999" customHeight="1">
      <c r="P452" s="251"/>
      <c r="Q452" s="251"/>
      <c r="R452" s="251"/>
      <c r="S452" s="251"/>
      <c r="T452" s="251"/>
      <c r="U452" s="251"/>
      <c r="V452" s="251"/>
      <c r="W452" s="251"/>
      <c r="X452" s="251"/>
      <c r="Y452" s="251"/>
      <c r="Z452" s="251"/>
    </row>
    <row r="453" spans="16:26" ht="10.199999999999999" customHeight="1">
      <c r="P453" s="241"/>
      <c r="Q453" s="241"/>
      <c r="R453" s="241"/>
      <c r="S453" s="241"/>
      <c r="T453" s="241"/>
      <c r="U453" s="241"/>
      <c r="V453" s="241"/>
      <c r="W453" s="241"/>
      <c r="X453" s="241"/>
      <c r="Y453" s="241"/>
      <c r="Z453" s="241"/>
    </row>
    <row r="454" spans="16:26" ht="10.199999999999999" customHeight="1">
      <c r="P454" s="251"/>
      <c r="Q454" s="251"/>
      <c r="R454" s="251"/>
      <c r="S454" s="251"/>
      <c r="T454" s="251"/>
      <c r="U454" s="251"/>
      <c r="V454" s="251"/>
      <c r="W454" s="251"/>
      <c r="X454" s="251"/>
      <c r="Y454" s="251"/>
      <c r="Z454" s="251"/>
    </row>
    <row r="455" spans="16:26" ht="10.199999999999999" customHeight="1">
      <c r="P455" s="251"/>
      <c r="Q455" s="251"/>
      <c r="R455" s="251"/>
      <c r="S455" s="251"/>
      <c r="T455" s="251"/>
      <c r="U455" s="251"/>
      <c r="V455" s="251"/>
      <c r="W455" s="251"/>
      <c r="X455" s="251"/>
      <c r="Y455" s="251"/>
      <c r="Z455" s="251"/>
    </row>
    <row r="456" spans="16:26" ht="10.199999999999999" customHeight="1">
      <c r="P456" s="241"/>
      <c r="Q456" s="241"/>
      <c r="R456" s="241"/>
      <c r="S456" s="241"/>
      <c r="T456" s="241"/>
      <c r="U456" s="241"/>
      <c r="V456" s="241"/>
      <c r="W456" s="241"/>
      <c r="X456" s="241"/>
      <c r="Y456" s="241"/>
      <c r="Z456" s="241"/>
    </row>
    <row r="457" spans="16:26" ht="10.199999999999999" customHeight="1">
      <c r="P457" s="251"/>
      <c r="Q457" s="251"/>
      <c r="R457" s="251"/>
      <c r="S457" s="251"/>
      <c r="T457" s="251"/>
      <c r="U457" s="251"/>
      <c r="V457" s="251"/>
      <c r="W457" s="251"/>
      <c r="X457" s="251"/>
      <c r="Y457" s="251"/>
      <c r="Z457" s="251"/>
    </row>
    <row r="458" spans="16:26" ht="10.199999999999999" customHeight="1">
      <c r="P458" s="251"/>
      <c r="Q458" s="251"/>
      <c r="R458" s="251"/>
      <c r="S458" s="251"/>
      <c r="T458" s="251"/>
      <c r="U458" s="251"/>
      <c r="V458" s="251"/>
      <c r="W458" s="251"/>
      <c r="X458" s="251"/>
      <c r="Y458" s="251"/>
      <c r="Z458" s="251"/>
    </row>
    <row r="459" spans="16:26" ht="10.199999999999999" customHeight="1">
      <c r="P459" s="241"/>
      <c r="Q459" s="241"/>
      <c r="R459" s="241"/>
      <c r="S459" s="241"/>
      <c r="T459" s="241"/>
      <c r="U459" s="241"/>
      <c r="V459" s="241"/>
      <c r="W459" s="241"/>
      <c r="X459" s="241"/>
      <c r="Y459" s="241"/>
      <c r="Z459" s="241"/>
    </row>
    <row r="460" spans="16:26" ht="10.199999999999999" customHeight="1">
      <c r="P460" s="251"/>
      <c r="Q460" s="251"/>
      <c r="R460" s="251"/>
      <c r="S460" s="251"/>
      <c r="T460" s="251"/>
      <c r="U460" s="251"/>
      <c r="V460" s="251"/>
      <c r="W460" s="251"/>
      <c r="X460" s="251"/>
      <c r="Y460" s="251"/>
      <c r="Z460" s="251"/>
    </row>
    <row r="461" spans="16:26" ht="10.199999999999999" customHeight="1">
      <c r="P461" s="251"/>
      <c r="Q461" s="251"/>
      <c r="R461" s="251"/>
      <c r="S461" s="251"/>
      <c r="T461" s="251"/>
      <c r="U461" s="251"/>
      <c r="V461" s="251"/>
      <c r="W461" s="251"/>
      <c r="X461" s="251"/>
      <c r="Y461" s="251"/>
      <c r="Z461" s="251"/>
    </row>
    <row r="462" spans="16:26" ht="10.199999999999999" customHeight="1">
      <c r="P462" s="241"/>
      <c r="Q462" s="241"/>
      <c r="R462" s="241"/>
      <c r="S462" s="241"/>
      <c r="T462" s="241"/>
      <c r="U462" s="241"/>
      <c r="V462" s="241"/>
      <c r="W462" s="241"/>
      <c r="X462" s="241"/>
      <c r="Y462" s="241"/>
      <c r="Z462" s="241"/>
    </row>
    <row r="463" spans="16:26" ht="10.199999999999999" customHeight="1">
      <c r="P463" s="251"/>
      <c r="Q463" s="251"/>
      <c r="R463" s="251"/>
      <c r="S463" s="251"/>
      <c r="T463" s="251"/>
      <c r="U463" s="251"/>
      <c r="V463" s="251"/>
      <c r="W463" s="251"/>
      <c r="X463" s="251"/>
      <c r="Y463" s="251"/>
      <c r="Z463" s="251"/>
    </row>
    <row r="464" spans="16:26" ht="10.199999999999999" customHeight="1">
      <c r="P464" s="251"/>
      <c r="Q464" s="251"/>
      <c r="R464" s="251"/>
      <c r="S464" s="251"/>
      <c r="T464" s="251"/>
      <c r="U464" s="251"/>
      <c r="V464" s="251"/>
      <c r="W464" s="251"/>
      <c r="X464" s="251"/>
      <c r="Y464" s="251"/>
      <c r="Z464" s="251"/>
    </row>
    <row r="465" spans="16:26" ht="10.199999999999999" customHeight="1">
      <c r="P465" s="241"/>
      <c r="Q465" s="241"/>
      <c r="R465" s="241"/>
      <c r="S465" s="241"/>
      <c r="T465" s="241"/>
      <c r="U465" s="241"/>
      <c r="V465" s="241"/>
      <c r="W465" s="241"/>
      <c r="X465" s="241"/>
      <c r="Y465" s="241"/>
      <c r="Z465" s="241"/>
    </row>
    <row r="466" spans="16:26" ht="10.199999999999999" customHeight="1">
      <c r="P466" s="251"/>
      <c r="Q466" s="251"/>
      <c r="R466" s="251"/>
      <c r="S466" s="251"/>
      <c r="T466" s="251"/>
      <c r="U466" s="251"/>
      <c r="V466" s="251"/>
      <c r="W466" s="251"/>
      <c r="X466" s="251"/>
      <c r="Y466" s="251"/>
      <c r="Z466" s="251"/>
    </row>
    <row r="467" spans="16:26" ht="10.199999999999999" customHeight="1">
      <c r="P467" s="251"/>
      <c r="Q467" s="251"/>
      <c r="R467" s="251"/>
      <c r="S467" s="251"/>
      <c r="T467" s="251"/>
      <c r="U467" s="251"/>
      <c r="V467" s="251"/>
      <c r="W467" s="251"/>
      <c r="X467" s="251"/>
      <c r="Y467" s="251"/>
      <c r="Z467" s="251"/>
    </row>
    <row r="468" spans="16:26" ht="10.199999999999999" customHeight="1">
      <c r="P468" s="241"/>
      <c r="Q468" s="241"/>
      <c r="R468" s="241"/>
      <c r="S468" s="241"/>
      <c r="T468" s="241"/>
      <c r="U468" s="241"/>
      <c r="V468" s="241"/>
      <c r="W468" s="241"/>
      <c r="X468" s="241"/>
      <c r="Y468" s="241"/>
      <c r="Z468" s="241"/>
    </row>
    <row r="469" spans="16:26" ht="10.199999999999999" customHeight="1">
      <c r="P469" s="251"/>
      <c r="Q469" s="251"/>
      <c r="R469" s="251"/>
      <c r="S469" s="251"/>
      <c r="T469" s="251"/>
      <c r="U469" s="251"/>
      <c r="V469" s="251"/>
      <c r="W469" s="251"/>
      <c r="X469" s="251"/>
      <c r="Y469" s="251"/>
      <c r="Z469" s="251"/>
    </row>
    <row r="470" spans="16:26" ht="10.199999999999999" customHeight="1">
      <c r="P470" s="251"/>
      <c r="Q470" s="251"/>
      <c r="R470" s="251"/>
      <c r="S470" s="251"/>
      <c r="T470" s="251"/>
      <c r="U470" s="251"/>
      <c r="V470" s="251"/>
      <c r="W470" s="251"/>
      <c r="X470" s="251"/>
      <c r="Y470" s="251"/>
      <c r="Z470" s="251"/>
    </row>
    <row r="471" spans="16:26" ht="10.199999999999999" customHeight="1">
      <c r="P471" s="241"/>
      <c r="Q471" s="241"/>
      <c r="R471" s="241"/>
      <c r="S471" s="241"/>
      <c r="T471" s="241"/>
      <c r="U471" s="241"/>
      <c r="V471" s="241"/>
      <c r="W471" s="241"/>
      <c r="X471" s="241"/>
      <c r="Y471" s="241"/>
      <c r="Z471" s="241"/>
    </row>
    <row r="472" spans="16:26" ht="10.199999999999999" customHeight="1">
      <c r="P472" s="251"/>
      <c r="Q472" s="251"/>
      <c r="R472" s="251"/>
      <c r="S472" s="251"/>
      <c r="T472" s="251"/>
      <c r="U472" s="251"/>
      <c r="V472" s="251"/>
      <c r="W472" s="251"/>
      <c r="X472" s="251"/>
      <c r="Y472" s="251"/>
      <c r="Z472" s="251"/>
    </row>
    <row r="473" spans="16:26" ht="10.199999999999999" customHeight="1">
      <c r="P473" s="251"/>
      <c r="Q473" s="251"/>
      <c r="R473" s="251"/>
      <c r="S473" s="251"/>
      <c r="T473" s="251"/>
      <c r="U473" s="251"/>
      <c r="V473" s="251"/>
      <c r="W473" s="251"/>
      <c r="X473" s="251"/>
      <c r="Y473" s="251"/>
      <c r="Z473" s="251"/>
    </row>
    <row r="474" spans="16:26" ht="10.199999999999999" customHeight="1">
      <c r="P474" s="241"/>
      <c r="Q474" s="241"/>
      <c r="R474" s="241"/>
      <c r="S474" s="241"/>
      <c r="T474" s="241"/>
      <c r="U474" s="241"/>
      <c r="V474" s="241"/>
      <c r="W474" s="241"/>
      <c r="X474" s="241"/>
      <c r="Y474" s="241"/>
      <c r="Z474" s="241"/>
    </row>
    <row r="475" spans="16:26" ht="10.199999999999999" customHeight="1">
      <c r="P475" s="251"/>
      <c r="Q475" s="251"/>
      <c r="R475" s="251"/>
      <c r="S475" s="251"/>
      <c r="T475" s="251"/>
      <c r="U475" s="251"/>
      <c r="V475" s="251"/>
      <c r="W475" s="251"/>
      <c r="X475" s="251"/>
      <c r="Y475" s="251"/>
      <c r="Z475" s="251"/>
    </row>
    <row r="476" spans="16:26" ht="10.199999999999999" customHeight="1">
      <c r="P476" s="251"/>
      <c r="Q476" s="251"/>
      <c r="R476" s="251"/>
      <c r="S476" s="251"/>
      <c r="T476" s="251"/>
      <c r="U476" s="251"/>
      <c r="V476" s="251"/>
      <c r="W476" s="251"/>
      <c r="X476" s="251"/>
      <c r="Y476" s="251"/>
      <c r="Z476" s="251"/>
    </row>
    <row r="477" spans="16:26" ht="10.199999999999999" customHeight="1">
      <c r="P477" s="241"/>
      <c r="Q477" s="241"/>
      <c r="R477" s="241"/>
      <c r="S477" s="241"/>
      <c r="T477" s="241"/>
      <c r="U477" s="241"/>
      <c r="V477" s="241"/>
      <c r="W477" s="241"/>
      <c r="X477" s="241"/>
      <c r="Y477" s="241"/>
      <c r="Z477" s="241"/>
    </row>
    <row r="478" spans="16:26" ht="10.199999999999999" customHeight="1">
      <c r="P478" s="251"/>
      <c r="Q478" s="251"/>
      <c r="R478" s="251"/>
      <c r="S478" s="251"/>
      <c r="T478" s="251"/>
      <c r="U478" s="251"/>
      <c r="V478" s="251"/>
      <c r="W478" s="251"/>
      <c r="X478" s="251"/>
      <c r="Y478" s="251"/>
      <c r="Z478" s="251"/>
    </row>
    <row r="479" spans="16:26" ht="10.199999999999999" customHeight="1">
      <c r="P479" s="251"/>
      <c r="Q479" s="251"/>
      <c r="R479" s="251"/>
      <c r="S479" s="251"/>
      <c r="T479" s="251"/>
      <c r="U479" s="251"/>
      <c r="V479" s="251"/>
      <c r="W479" s="251"/>
      <c r="X479" s="251"/>
      <c r="Y479" s="251"/>
      <c r="Z479" s="251"/>
    </row>
    <row r="480" spans="16:26" ht="10.199999999999999" customHeight="1">
      <c r="P480" s="241"/>
      <c r="Q480" s="241"/>
      <c r="R480" s="241"/>
      <c r="S480" s="241"/>
      <c r="T480" s="241"/>
      <c r="U480" s="241"/>
      <c r="V480" s="241"/>
      <c r="W480" s="241"/>
      <c r="X480" s="241"/>
      <c r="Y480" s="241"/>
      <c r="Z480" s="241"/>
    </row>
    <row r="481" spans="16:26" ht="10.199999999999999" customHeight="1">
      <c r="P481" s="251"/>
      <c r="Q481" s="251"/>
      <c r="R481" s="251"/>
      <c r="S481" s="251"/>
      <c r="T481" s="251"/>
      <c r="U481" s="251"/>
      <c r="V481" s="251"/>
      <c r="W481" s="251"/>
      <c r="X481" s="251"/>
      <c r="Y481" s="251"/>
      <c r="Z481" s="251"/>
    </row>
    <row r="482" spans="16:26" ht="10.199999999999999" customHeight="1">
      <c r="P482" s="251"/>
      <c r="Q482" s="251"/>
      <c r="R482" s="251"/>
      <c r="S482" s="251"/>
      <c r="T482" s="251"/>
      <c r="U482" s="251"/>
      <c r="V482" s="251"/>
      <c r="W482" s="251"/>
      <c r="X482" s="251"/>
      <c r="Y482" s="251"/>
      <c r="Z482" s="251"/>
    </row>
    <row r="483" spans="16:26" ht="10.199999999999999" customHeight="1">
      <c r="P483" s="241"/>
      <c r="Q483" s="241"/>
      <c r="R483" s="241"/>
      <c r="S483" s="241"/>
      <c r="T483" s="241"/>
      <c r="U483" s="241"/>
      <c r="V483" s="241"/>
      <c r="W483" s="241"/>
      <c r="X483" s="241"/>
      <c r="Y483" s="241"/>
      <c r="Z483" s="241"/>
    </row>
    <row r="484" spans="16:26" ht="10.199999999999999" customHeight="1">
      <c r="P484" s="251"/>
      <c r="Q484" s="251"/>
      <c r="R484" s="251"/>
      <c r="S484" s="251"/>
      <c r="T484" s="251"/>
      <c r="U484" s="251"/>
      <c r="V484" s="251"/>
      <c r="W484" s="251"/>
      <c r="X484" s="251"/>
      <c r="Y484" s="251"/>
      <c r="Z484" s="251"/>
    </row>
    <row r="485" spans="16:26" ht="10.199999999999999" customHeight="1">
      <c r="P485" s="251"/>
      <c r="Q485" s="251"/>
      <c r="R485" s="251"/>
      <c r="S485" s="251"/>
      <c r="T485" s="251"/>
      <c r="U485" s="251"/>
      <c r="V485" s="251"/>
      <c r="W485" s="251"/>
      <c r="X485" s="251"/>
      <c r="Y485" s="251"/>
      <c r="Z485" s="251"/>
    </row>
    <row r="486" spans="16:26" ht="10.199999999999999" customHeight="1">
      <c r="P486" s="241"/>
      <c r="Q486" s="241"/>
      <c r="R486" s="241"/>
      <c r="S486" s="241"/>
      <c r="T486" s="241"/>
      <c r="U486" s="241"/>
      <c r="V486" s="241"/>
      <c r="W486" s="241"/>
      <c r="X486" s="241"/>
      <c r="Y486" s="241"/>
      <c r="Z486" s="241"/>
    </row>
    <row r="487" spans="16:26" ht="10.199999999999999" customHeight="1">
      <c r="P487" s="251"/>
      <c r="Q487" s="251"/>
      <c r="R487" s="251"/>
      <c r="S487" s="251"/>
      <c r="T487" s="251"/>
      <c r="U487" s="251"/>
      <c r="V487" s="251"/>
      <c r="W487" s="251"/>
      <c r="X487" s="251"/>
      <c r="Y487" s="251"/>
      <c r="Z487" s="251"/>
    </row>
    <row r="488" spans="16:26" ht="10.199999999999999" customHeight="1">
      <c r="P488" s="251"/>
      <c r="Q488" s="251"/>
      <c r="R488" s="251"/>
      <c r="S488" s="251"/>
      <c r="T488" s="251"/>
      <c r="U488" s="251"/>
      <c r="V488" s="251"/>
      <c r="W488" s="251"/>
      <c r="X488" s="251"/>
      <c r="Y488" s="251"/>
      <c r="Z488" s="251"/>
    </row>
    <row r="489" spans="16:26" ht="10.199999999999999" customHeight="1">
      <c r="P489" s="241"/>
      <c r="Q489" s="241"/>
      <c r="R489" s="241"/>
      <c r="S489" s="241"/>
      <c r="T489" s="241"/>
      <c r="U489" s="241"/>
      <c r="V489" s="241"/>
      <c r="W489" s="241"/>
      <c r="X489" s="241"/>
      <c r="Y489" s="241"/>
      <c r="Z489" s="241"/>
    </row>
    <row r="490" spans="16:26" ht="10.199999999999999" customHeight="1">
      <c r="P490" s="251"/>
      <c r="Q490" s="251"/>
      <c r="R490" s="251"/>
      <c r="S490" s="251"/>
      <c r="T490" s="251"/>
      <c r="U490" s="251"/>
      <c r="V490" s="251"/>
      <c r="W490" s="251"/>
      <c r="X490" s="251"/>
      <c r="Y490" s="251"/>
      <c r="Z490" s="251"/>
    </row>
    <row r="491" spans="16:26" ht="10.199999999999999" customHeight="1">
      <c r="P491" s="251"/>
      <c r="Q491" s="251"/>
      <c r="R491" s="251"/>
      <c r="S491" s="251"/>
      <c r="T491" s="251"/>
      <c r="U491" s="251"/>
      <c r="V491" s="251"/>
      <c r="W491" s="251"/>
      <c r="X491" s="251"/>
      <c r="Y491" s="251"/>
      <c r="Z491" s="251"/>
    </row>
    <row r="492" spans="16:26" ht="10.199999999999999" customHeight="1">
      <c r="P492" s="241"/>
      <c r="Q492" s="241"/>
      <c r="R492" s="241"/>
      <c r="S492" s="241"/>
      <c r="T492" s="241"/>
      <c r="U492" s="241"/>
      <c r="V492" s="241"/>
      <c r="W492" s="241"/>
      <c r="X492" s="241"/>
      <c r="Y492" s="241"/>
      <c r="Z492" s="241"/>
    </row>
    <row r="493" spans="16:26" ht="10.199999999999999" customHeight="1">
      <c r="P493" s="251"/>
      <c r="Q493" s="251"/>
      <c r="R493" s="251"/>
      <c r="S493" s="251"/>
      <c r="T493" s="251"/>
      <c r="U493" s="251"/>
      <c r="V493" s="251"/>
      <c r="W493" s="251"/>
      <c r="X493" s="251"/>
      <c r="Y493" s="251"/>
      <c r="Z493" s="251"/>
    </row>
    <row r="494" spans="16:26" ht="10.199999999999999" customHeight="1">
      <c r="P494" s="251"/>
      <c r="Q494" s="251"/>
      <c r="R494" s="251"/>
      <c r="S494" s="251"/>
      <c r="T494" s="251"/>
      <c r="U494" s="251"/>
      <c r="V494" s="251"/>
      <c r="W494" s="251"/>
      <c r="X494" s="251"/>
      <c r="Y494" s="251"/>
      <c r="Z494" s="251"/>
    </row>
    <row r="495" spans="16:26" ht="10.199999999999999" customHeight="1">
      <c r="P495" s="241"/>
      <c r="Q495" s="241"/>
      <c r="R495" s="241"/>
      <c r="S495" s="241"/>
      <c r="T495" s="241"/>
      <c r="U495" s="241"/>
      <c r="V495" s="241"/>
      <c r="W495" s="241"/>
      <c r="X495" s="241"/>
      <c r="Y495" s="241"/>
      <c r="Z495" s="241"/>
    </row>
    <row r="496" spans="16:26" ht="10.199999999999999" customHeight="1">
      <c r="P496" s="251"/>
      <c r="Q496" s="251"/>
      <c r="R496" s="251"/>
      <c r="S496" s="251"/>
      <c r="T496" s="251"/>
      <c r="U496" s="251"/>
      <c r="V496" s="251"/>
      <c r="W496" s="251"/>
      <c r="X496" s="251"/>
      <c r="Y496" s="251"/>
      <c r="Z496" s="251"/>
    </row>
    <row r="497" spans="16:26" ht="10.199999999999999" customHeight="1">
      <c r="P497" s="251"/>
      <c r="Q497" s="251"/>
      <c r="R497" s="251"/>
      <c r="S497" s="251"/>
      <c r="T497" s="251"/>
      <c r="U497" s="251"/>
      <c r="V497" s="251"/>
      <c r="W497" s="251"/>
      <c r="X497" s="251"/>
      <c r="Y497" s="251"/>
      <c r="Z497" s="251"/>
    </row>
    <row r="498" spans="16:26" ht="10.199999999999999" customHeight="1">
      <c r="P498" s="241"/>
      <c r="Q498" s="241"/>
      <c r="R498" s="241"/>
      <c r="S498" s="241"/>
      <c r="T498" s="241"/>
      <c r="U498" s="241"/>
      <c r="V498" s="241"/>
      <c r="W498" s="241"/>
      <c r="X498" s="241"/>
      <c r="Y498" s="241"/>
      <c r="Z498" s="241"/>
    </row>
    <row r="499" spans="16:26" ht="10.199999999999999" customHeight="1">
      <c r="P499" s="251"/>
      <c r="Q499" s="251"/>
      <c r="R499" s="251"/>
      <c r="S499" s="251"/>
      <c r="T499" s="251"/>
      <c r="U499" s="251"/>
      <c r="V499" s="251"/>
      <c r="W499" s="251"/>
      <c r="X499" s="251"/>
      <c r="Y499" s="251"/>
      <c r="Z499" s="251"/>
    </row>
    <row r="500" spans="16:26" ht="10.199999999999999" customHeight="1">
      <c r="P500" s="251"/>
      <c r="Q500" s="251"/>
      <c r="R500" s="251"/>
      <c r="S500" s="251"/>
      <c r="T500" s="251"/>
      <c r="U500" s="251"/>
      <c r="V500" s="251"/>
      <c r="W500" s="251"/>
      <c r="X500" s="251"/>
      <c r="Y500" s="251"/>
      <c r="Z500" s="251"/>
    </row>
    <row r="501" spans="16:26" ht="10.199999999999999" customHeight="1">
      <c r="P501" s="241"/>
      <c r="Q501" s="241"/>
      <c r="R501" s="241"/>
      <c r="S501" s="241"/>
      <c r="T501" s="241"/>
      <c r="U501" s="241"/>
      <c r="V501" s="241"/>
      <c r="W501" s="241"/>
      <c r="X501" s="241"/>
      <c r="Y501" s="241"/>
      <c r="Z501" s="241"/>
    </row>
    <row r="502" spans="16:26" ht="10.199999999999999" customHeight="1">
      <c r="P502" s="251"/>
      <c r="Q502" s="251"/>
      <c r="R502" s="251"/>
      <c r="S502" s="251"/>
      <c r="T502" s="251"/>
      <c r="U502" s="251"/>
      <c r="V502" s="251"/>
      <c r="W502" s="251"/>
      <c r="X502" s="251"/>
      <c r="Y502" s="251"/>
      <c r="Z502" s="251"/>
    </row>
    <row r="503" spans="16:26" ht="10.199999999999999" customHeight="1">
      <c r="P503" s="251"/>
      <c r="Q503" s="251"/>
      <c r="R503" s="251"/>
      <c r="S503" s="251"/>
      <c r="T503" s="251"/>
      <c r="U503" s="251"/>
      <c r="V503" s="251"/>
      <c r="W503" s="251"/>
      <c r="X503" s="251"/>
      <c r="Y503" s="251"/>
      <c r="Z503" s="251"/>
    </row>
    <row r="504" spans="16:26" ht="10.199999999999999" customHeight="1">
      <c r="P504" s="241"/>
      <c r="Q504" s="241"/>
      <c r="R504" s="241"/>
      <c r="S504" s="241"/>
      <c r="T504" s="241"/>
      <c r="U504" s="241"/>
      <c r="V504" s="241"/>
      <c r="W504" s="241"/>
      <c r="X504" s="241"/>
      <c r="Y504" s="241"/>
      <c r="Z504" s="241"/>
    </row>
    <row r="505" spans="16:26" ht="10.199999999999999" customHeight="1">
      <c r="P505" s="251"/>
      <c r="Q505" s="251"/>
      <c r="R505" s="251"/>
      <c r="S505" s="251"/>
      <c r="T505" s="251"/>
      <c r="U505" s="251"/>
      <c r="V505" s="251"/>
      <c r="W505" s="251"/>
      <c r="X505" s="251"/>
      <c r="Y505" s="251"/>
      <c r="Z505" s="251"/>
    </row>
    <row r="506" spans="16:26" ht="10.199999999999999" customHeight="1">
      <c r="P506" s="251"/>
      <c r="Q506" s="251"/>
      <c r="R506" s="251"/>
      <c r="S506" s="251"/>
      <c r="T506" s="251"/>
      <c r="U506" s="251"/>
      <c r="V506" s="251"/>
      <c r="W506" s="251"/>
      <c r="X506" s="251"/>
      <c r="Y506" s="251"/>
      <c r="Z506" s="251"/>
    </row>
    <row r="507" spans="16:26" ht="10.199999999999999" customHeight="1">
      <c r="P507" s="241"/>
      <c r="Q507" s="241"/>
      <c r="R507" s="241"/>
      <c r="S507" s="241"/>
      <c r="T507" s="241"/>
      <c r="U507" s="241"/>
      <c r="V507" s="241"/>
      <c r="W507" s="241"/>
      <c r="X507" s="241"/>
      <c r="Y507" s="241"/>
      <c r="Z507" s="241"/>
    </row>
    <row r="508" spans="16:26" ht="10.199999999999999" customHeight="1">
      <c r="P508" s="251"/>
      <c r="Q508" s="251"/>
      <c r="R508" s="251"/>
      <c r="S508" s="251"/>
      <c r="T508" s="251"/>
      <c r="U508" s="251"/>
      <c r="V508" s="251"/>
      <c r="W508" s="251"/>
      <c r="X508" s="251"/>
      <c r="Y508" s="251"/>
      <c r="Z508" s="251"/>
    </row>
    <row r="509" spans="16:26" ht="10.199999999999999" customHeight="1">
      <c r="P509" s="251"/>
      <c r="Q509" s="251"/>
      <c r="R509" s="251"/>
      <c r="S509" s="251"/>
      <c r="T509" s="251"/>
      <c r="U509" s="251"/>
      <c r="V509" s="251"/>
      <c r="W509" s="251"/>
      <c r="X509" s="251"/>
      <c r="Y509" s="251"/>
      <c r="Z509" s="251"/>
    </row>
    <row r="510" spans="16:26" ht="10.199999999999999" customHeight="1">
      <c r="P510" s="241"/>
      <c r="Q510" s="241"/>
      <c r="R510" s="241"/>
      <c r="S510" s="241"/>
      <c r="T510" s="241"/>
      <c r="U510" s="241"/>
      <c r="V510" s="241"/>
      <c r="W510" s="241"/>
      <c r="X510" s="241"/>
      <c r="Y510" s="241"/>
      <c r="Z510" s="241"/>
    </row>
    <row r="511" spans="16:26" ht="10.199999999999999" customHeight="1">
      <c r="P511" s="251"/>
      <c r="Q511" s="251"/>
      <c r="R511" s="251"/>
      <c r="S511" s="251"/>
      <c r="T511" s="251"/>
      <c r="U511" s="251"/>
      <c r="V511" s="251"/>
      <c r="W511" s="251"/>
      <c r="X511" s="251"/>
      <c r="Y511" s="251"/>
      <c r="Z511" s="251"/>
    </row>
    <row r="512" spans="16:26" ht="10.199999999999999" customHeight="1">
      <c r="P512" s="251"/>
      <c r="Q512" s="251"/>
      <c r="R512" s="251"/>
      <c r="S512" s="251"/>
      <c r="T512" s="251"/>
      <c r="U512" s="251"/>
      <c r="V512" s="251"/>
      <c r="W512" s="251"/>
      <c r="X512" s="251"/>
      <c r="Y512" s="251"/>
      <c r="Z512" s="251"/>
    </row>
    <row r="513" spans="16:26" ht="10.199999999999999" customHeight="1">
      <c r="P513" s="241"/>
      <c r="Q513" s="241"/>
      <c r="R513" s="241"/>
      <c r="S513" s="241"/>
      <c r="T513" s="241"/>
      <c r="U513" s="241"/>
      <c r="V513" s="241"/>
      <c r="W513" s="241"/>
      <c r="X513" s="241"/>
      <c r="Y513" s="241"/>
      <c r="Z513" s="241"/>
    </row>
    <row r="514" spans="16:26" ht="10.199999999999999" customHeight="1">
      <c r="P514" s="251"/>
      <c r="Q514" s="251"/>
      <c r="R514" s="251"/>
      <c r="S514" s="251"/>
      <c r="T514" s="251"/>
      <c r="U514" s="251"/>
      <c r="V514" s="251"/>
      <c r="W514" s="251"/>
      <c r="X514" s="251"/>
      <c r="Y514" s="251"/>
      <c r="Z514" s="251"/>
    </row>
    <row r="515" spans="16:26" ht="10.199999999999999" customHeight="1">
      <c r="P515" s="251"/>
      <c r="Q515" s="251"/>
      <c r="R515" s="251"/>
      <c r="S515" s="251"/>
      <c r="T515" s="251"/>
      <c r="U515" s="251"/>
      <c r="V515" s="251"/>
      <c r="W515" s="251"/>
      <c r="X515" s="251"/>
      <c r="Y515" s="251"/>
      <c r="Z515" s="251"/>
    </row>
    <row r="516" spans="16:26" ht="10.199999999999999" customHeight="1">
      <c r="P516" s="241"/>
      <c r="Q516" s="241"/>
      <c r="R516" s="241"/>
      <c r="S516" s="241"/>
      <c r="T516" s="241"/>
      <c r="U516" s="241"/>
      <c r="V516" s="241"/>
      <c r="W516" s="241"/>
      <c r="X516" s="241"/>
      <c r="Y516" s="241"/>
      <c r="Z516" s="241"/>
    </row>
    <row r="517" spans="16:26" ht="10.199999999999999" customHeight="1">
      <c r="P517" s="251"/>
      <c r="Q517" s="251"/>
      <c r="R517" s="251"/>
      <c r="S517" s="251"/>
      <c r="T517" s="251"/>
      <c r="U517" s="251"/>
      <c r="V517" s="251"/>
      <c r="W517" s="251"/>
      <c r="X517" s="251"/>
      <c r="Y517" s="251"/>
      <c r="Z517" s="251"/>
    </row>
    <row r="518" spans="16:26" ht="10.199999999999999" customHeight="1">
      <c r="P518" s="251"/>
      <c r="Q518" s="251"/>
      <c r="R518" s="251"/>
      <c r="S518" s="251"/>
      <c r="T518" s="251"/>
      <c r="U518" s="251"/>
      <c r="V518" s="251"/>
      <c r="W518" s="251"/>
      <c r="X518" s="251"/>
      <c r="Y518" s="251"/>
      <c r="Z518" s="251"/>
    </row>
    <row r="519" spans="16:26" ht="10.199999999999999" customHeight="1">
      <c r="P519" s="241"/>
      <c r="Q519" s="241"/>
      <c r="R519" s="241"/>
      <c r="S519" s="241"/>
      <c r="T519" s="241"/>
      <c r="U519" s="241"/>
      <c r="V519" s="241"/>
      <c r="W519" s="241"/>
      <c r="X519" s="241"/>
      <c r="Y519" s="241"/>
      <c r="Z519" s="241"/>
    </row>
    <row r="520" spans="16:26" ht="10.199999999999999" customHeight="1">
      <c r="P520" s="251"/>
      <c r="Q520" s="251"/>
      <c r="R520" s="251"/>
      <c r="S520" s="251"/>
      <c r="T520" s="251"/>
      <c r="U520" s="251"/>
      <c r="V520" s="251"/>
      <c r="W520" s="251"/>
      <c r="X520" s="251"/>
      <c r="Y520" s="251"/>
      <c r="Z520" s="251"/>
    </row>
    <row r="521" spans="16:26" ht="10.199999999999999" customHeight="1">
      <c r="P521" s="251"/>
      <c r="Q521" s="251"/>
      <c r="R521" s="251"/>
      <c r="S521" s="251"/>
      <c r="T521" s="251"/>
      <c r="U521" s="251"/>
      <c r="V521" s="251"/>
      <c r="W521" s="251"/>
      <c r="X521" s="251"/>
      <c r="Y521" s="251"/>
      <c r="Z521" s="251"/>
    </row>
    <row r="522" spans="16:26" ht="10.199999999999999" customHeight="1">
      <c r="P522" s="241"/>
      <c r="Q522" s="241"/>
      <c r="R522" s="241"/>
      <c r="S522" s="241"/>
      <c r="T522" s="241"/>
      <c r="U522" s="241"/>
      <c r="V522" s="241"/>
      <c r="W522" s="241"/>
      <c r="X522" s="241"/>
      <c r="Y522" s="241"/>
      <c r="Z522" s="241"/>
    </row>
    <row r="523" spans="16:26" ht="10.199999999999999" customHeight="1">
      <c r="P523" s="251"/>
      <c r="Q523" s="251"/>
      <c r="R523" s="251"/>
      <c r="S523" s="251"/>
      <c r="T523" s="251"/>
      <c r="U523" s="251"/>
      <c r="V523" s="251"/>
      <c r="W523" s="251"/>
      <c r="X523" s="251"/>
      <c r="Y523" s="251"/>
      <c r="Z523" s="251"/>
    </row>
    <row r="524" spans="16:26" ht="10.199999999999999" customHeight="1">
      <c r="P524" s="251"/>
      <c r="Q524" s="251"/>
      <c r="R524" s="251"/>
      <c r="S524" s="251"/>
      <c r="T524" s="251"/>
      <c r="U524" s="251"/>
      <c r="V524" s="251"/>
      <c r="W524" s="251"/>
      <c r="X524" s="251"/>
      <c r="Y524" s="251"/>
      <c r="Z524" s="251"/>
    </row>
    <row r="525" spans="16:26" ht="10.199999999999999" customHeight="1">
      <c r="P525" s="241"/>
      <c r="Q525" s="241"/>
      <c r="R525" s="241"/>
      <c r="S525" s="241"/>
      <c r="T525" s="241"/>
      <c r="U525" s="241"/>
      <c r="V525" s="241"/>
      <c r="W525" s="241"/>
      <c r="X525" s="241"/>
      <c r="Y525" s="241"/>
      <c r="Z525" s="241"/>
    </row>
    <row r="526" spans="16:26" ht="10.199999999999999" customHeight="1">
      <c r="P526" s="251"/>
      <c r="Q526" s="251"/>
      <c r="R526" s="251"/>
      <c r="S526" s="251"/>
      <c r="T526" s="251"/>
      <c r="U526" s="251"/>
      <c r="V526" s="251"/>
      <c r="W526" s="251"/>
      <c r="X526" s="251"/>
      <c r="Y526" s="251"/>
      <c r="Z526" s="251"/>
    </row>
    <row r="527" spans="16:26" ht="10.199999999999999" customHeight="1">
      <c r="P527" s="251"/>
      <c r="Q527" s="251"/>
      <c r="R527" s="251"/>
      <c r="S527" s="251"/>
      <c r="T527" s="251"/>
      <c r="U527" s="251"/>
      <c r="V527" s="251"/>
      <c r="W527" s="251"/>
      <c r="X527" s="251"/>
      <c r="Y527" s="251"/>
      <c r="Z527" s="251"/>
    </row>
    <row r="528" spans="16:26" ht="10.199999999999999" customHeight="1">
      <c r="P528" s="241"/>
      <c r="Q528" s="241"/>
      <c r="R528" s="241"/>
      <c r="S528" s="241"/>
      <c r="T528" s="241"/>
      <c r="U528" s="241"/>
      <c r="V528" s="241"/>
      <c r="W528" s="241"/>
      <c r="X528" s="241"/>
      <c r="Y528" s="241"/>
      <c r="Z528" s="241"/>
    </row>
    <row r="529" spans="16:26" ht="10.199999999999999" customHeight="1">
      <c r="P529" s="251"/>
      <c r="Q529" s="251"/>
      <c r="R529" s="251"/>
      <c r="S529" s="251"/>
      <c r="T529" s="251"/>
      <c r="U529" s="251"/>
      <c r="V529" s="251"/>
      <c r="W529" s="251"/>
      <c r="X529" s="251"/>
      <c r="Y529" s="251"/>
      <c r="Z529" s="251"/>
    </row>
    <row r="530" spans="16:26" ht="10.199999999999999" customHeight="1">
      <c r="P530" s="251"/>
      <c r="Q530" s="251"/>
      <c r="R530" s="251"/>
      <c r="S530" s="251"/>
      <c r="T530" s="251"/>
      <c r="U530" s="251"/>
      <c r="V530" s="251"/>
      <c r="W530" s="251"/>
      <c r="X530" s="251"/>
      <c r="Y530" s="251"/>
      <c r="Z530" s="251"/>
    </row>
    <row r="531" spans="16:26" ht="10.199999999999999" customHeight="1">
      <c r="P531" s="241"/>
      <c r="Q531" s="241"/>
      <c r="R531" s="241"/>
      <c r="S531" s="241"/>
      <c r="T531" s="241"/>
      <c r="U531" s="241"/>
      <c r="V531" s="241"/>
      <c r="W531" s="241"/>
      <c r="X531" s="241"/>
      <c r="Y531" s="241"/>
      <c r="Z531" s="241"/>
    </row>
    <row r="532" spans="16:26" ht="10.199999999999999" customHeight="1">
      <c r="P532" s="251"/>
      <c r="Q532" s="251"/>
      <c r="R532" s="251"/>
      <c r="S532" s="251"/>
      <c r="T532" s="251"/>
      <c r="U532" s="251"/>
      <c r="V532" s="251"/>
      <c r="W532" s="251"/>
      <c r="X532" s="251"/>
      <c r="Y532" s="251"/>
      <c r="Z532" s="251"/>
    </row>
    <row r="533" spans="16:26" ht="10.199999999999999" customHeight="1">
      <c r="P533" s="251"/>
      <c r="Q533" s="251"/>
      <c r="R533" s="251"/>
      <c r="S533" s="251"/>
      <c r="T533" s="251"/>
      <c r="U533" s="251"/>
      <c r="V533" s="251"/>
      <c r="W533" s="251"/>
      <c r="X533" s="251"/>
      <c r="Y533" s="251"/>
      <c r="Z533" s="251"/>
    </row>
    <row r="534" spans="16:26" ht="10.199999999999999" customHeight="1">
      <c r="P534" s="241"/>
      <c r="Q534" s="241"/>
      <c r="R534" s="241"/>
      <c r="S534" s="241"/>
      <c r="T534" s="241"/>
      <c r="U534" s="241"/>
      <c r="V534" s="241"/>
      <c r="W534" s="241"/>
      <c r="X534" s="241"/>
      <c r="Y534" s="241"/>
      <c r="Z534" s="241"/>
    </row>
    <row r="535" spans="16:26" ht="10.199999999999999" customHeight="1">
      <c r="P535" s="251"/>
      <c r="Q535" s="251"/>
      <c r="R535" s="251"/>
      <c r="S535" s="251"/>
      <c r="T535" s="251"/>
      <c r="U535" s="251"/>
      <c r="V535" s="251"/>
      <c r="W535" s="251"/>
      <c r="X535" s="251"/>
      <c r="Y535" s="251"/>
      <c r="Z535" s="251"/>
    </row>
    <row r="536" spans="16:26" ht="10.199999999999999" customHeight="1">
      <c r="P536" s="251"/>
      <c r="Q536" s="251"/>
      <c r="R536" s="251"/>
      <c r="S536" s="251"/>
      <c r="T536" s="251"/>
      <c r="U536" s="251"/>
      <c r="V536" s="251"/>
      <c r="W536" s="251"/>
      <c r="X536" s="251"/>
      <c r="Y536" s="251"/>
      <c r="Z536" s="251"/>
    </row>
    <row r="537" spans="16:26" ht="10.199999999999999" customHeight="1">
      <c r="P537" s="241"/>
      <c r="Q537" s="241"/>
      <c r="R537" s="241"/>
      <c r="S537" s="241"/>
      <c r="T537" s="241"/>
      <c r="U537" s="241"/>
      <c r="V537" s="241"/>
      <c r="W537" s="241"/>
      <c r="X537" s="241"/>
      <c r="Y537" s="241"/>
      <c r="Z537" s="241"/>
    </row>
    <row r="538" spans="16:26" ht="10.199999999999999" customHeight="1">
      <c r="P538" s="251"/>
      <c r="Q538" s="251"/>
      <c r="R538" s="251"/>
      <c r="S538" s="251"/>
      <c r="T538" s="251"/>
      <c r="U538" s="251"/>
      <c r="V538" s="251"/>
      <c r="W538" s="251"/>
      <c r="X538" s="251"/>
      <c r="Y538" s="251"/>
      <c r="Z538" s="251"/>
    </row>
    <row r="539" spans="16:26" ht="10.199999999999999" customHeight="1">
      <c r="P539" s="251"/>
      <c r="Q539" s="251"/>
      <c r="R539" s="251"/>
      <c r="S539" s="251"/>
      <c r="T539" s="251"/>
      <c r="U539" s="251"/>
      <c r="V539" s="251"/>
      <c r="W539" s="251"/>
      <c r="X539" s="251"/>
      <c r="Y539" s="251"/>
      <c r="Z539" s="251"/>
    </row>
    <row r="540" spans="16:26" ht="10.199999999999999" customHeight="1">
      <c r="P540" s="241"/>
      <c r="Q540" s="241"/>
      <c r="R540" s="241"/>
      <c r="S540" s="241"/>
      <c r="T540" s="241"/>
      <c r="U540" s="241"/>
      <c r="V540" s="241"/>
      <c r="W540" s="241"/>
      <c r="X540" s="241"/>
      <c r="Y540" s="241"/>
      <c r="Z540" s="241"/>
    </row>
    <row r="541" spans="16:26" ht="10.199999999999999" customHeight="1">
      <c r="P541" s="251"/>
      <c r="Q541" s="251"/>
      <c r="R541" s="251"/>
      <c r="S541" s="251"/>
      <c r="T541" s="251"/>
      <c r="U541" s="251"/>
      <c r="V541" s="251"/>
      <c r="W541" s="251"/>
      <c r="X541" s="251"/>
      <c r="Y541" s="251"/>
      <c r="Z541" s="251"/>
    </row>
    <row r="542" spans="16:26" ht="10.199999999999999" customHeight="1">
      <c r="P542" s="251"/>
      <c r="Q542" s="251"/>
      <c r="R542" s="251"/>
      <c r="S542" s="251"/>
      <c r="T542" s="251"/>
      <c r="U542" s="251"/>
      <c r="V542" s="251"/>
      <c r="W542" s="251"/>
      <c r="X542" s="251"/>
      <c r="Y542" s="251"/>
      <c r="Z542" s="251"/>
    </row>
    <row r="543" spans="16:26" ht="10.199999999999999" customHeight="1">
      <c r="P543" s="241"/>
      <c r="Q543" s="241"/>
      <c r="R543" s="241"/>
      <c r="S543" s="241"/>
      <c r="T543" s="241"/>
      <c r="U543" s="241"/>
      <c r="V543" s="241"/>
      <c r="W543" s="241"/>
      <c r="X543" s="241"/>
      <c r="Y543" s="241"/>
      <c r="Z543" s="241"/>
    </row>
    <row r="544" spans="16:26" ht="10.199999999999999" customHeight="1">
      <c r="P544" s="251"/>
      <c r="Q544" s="251"/>
      <c r="R544" s="251"/>
      <c r="S544" s="251"/>
      <c r="T544" s="251"/>
      <c r="U544" s="251"/>
      <c r="V544" s="251"/>
      <c r="W544" s="251"/>
      <c r="X544" s="251"/>
      <c r="Y544" s="251"/>
      <c r="Z544" s="251"/>
    </row>
    <row r="545" spans="16:26" ht="10.199999999999999" customHeight="1">
      <c r="P545" s="251"/>
      <c r="Q545" s="251"/>
      <c r="R545" s="251"/>
      <c r="S545" s="251"/>
      <c r="T545" s="251"/>
      <c r="U545" s="251"/>
      <c r="V545" s="251"/>
      <c r="W545" s="251"/>
      <c r="X545" s="251"/>
      <c r="Y545" s="251"/>
      <c r="Z545" s="251"/>
    </row>
    <row r="546" spans="16:26" ht="10.199999999999999" customHeight="1">
      <c r="P546" s="241"/>
      <c r="Q546" s="241"/>
      <c r="R546" s="241"/>
      <c r="S546" s="241"/>
      <c r="T546" s="241"/>
      <c r="U546" s="241"/>
      <c r="V546" s="241"/>
      <c r="W546" s="241"/>
      <c r="X546" s="241"/>
      <c r="Y546" s="241"/>
      <c r="Z546" s="241"/>
    </row>
    <row r="547" spans="16:26" ht="10.199999999999999" customHeight="1">
      <c r="P547" s="251"/>
      <c r="Q547" s="251"/>
      <c r="R547" s="251"/>
      <c r="S547" s="251"/>
      <c r="T547" s="251"/>
      <c r="U547" s="251"/>
      <c r="V547" s="251"/>
      <c r="W547" s="251"/>
      <c r="X547" s="251"/>
      <c r="Y547" s="251"/>
      <c r="Z547" s="251"/>
    </row>
    <row r="548" spans="16:26" ht="10.199999999999999" customHeight="1">
      <c r="P548" s="251"/>
      <c r="Q548" s="251"/>
      <c r="R548" s="251"/>
      <c r="S548" s="251"/>
      <c r="T548" s="251"/>
      <c r="U548" s="251"/>
      <c r="V548" s="251"/>
      <c r="W548" s="251"/>
      <c r="X548" s="251"/>
      <c r="Y548" s="251"/>
      <c r="Z548" s="251"/>
    </row>
    <row r="549" spans="16:26" ht="10.199999999999999" customHeight="1">
      <c r="P549" s="241"/>
      <c r="Q549" s="241"/>
      <c r="R549" s="241"/>
      <c r="S549" s="241"/>
      <c r="T549" s="241"/>
      <c r="U549" s="241"/>
      <c r="V549" s="241"/>
      <c r="W549" s="241"/>
      <c r="X549" s="241"/>
      <c r="Y549" s="241"/>
      <c r="Z549" s="241"/>
    </row>
    <row r="550" spans="16:26" ht="10.199999999999999" customHeight="1">
      <c r="P550" s="251"/>
      <c r="Q550" s="251"/>
      <c r="R550" s="251"/>
      <c r="S550" s="251"/>
      <c r="T550" s="251"/>
      <c r="U550" s="251"/>
      <c r="V550" s="251"/>
      <c r="W550" s="251"/>
      <c r="X550" s="251"/>
      <c r="Y550" s="251"/>
      <c r="Z550" s="251"/>
    </row>
    <row r="551" spans="16:26" ht="10.199999999999999" customHeight="1">
      <c r="P551" s="251"/>
      <c r="Q551" s="251"/>
      <c r="R551" s="251"/>
      <c r="S551" s="251"/>
      <c r="T551" s="251"/>
      <c r="U551" s="251"/>
      <c r="V551" s="251"/>
      <c r="W551" s="251"/>
      <c r="X551" s="251"/>
      <c r="Y551" s="251"/>
      <c r="Z551" s="251"/>
    </row>
    <row r="552" spans="16:26" ht="10.199999999999999" customHeight="1">
      <c r="P552" s="241"/>
      <c r="Q552" s="241"/>
      <c r="R552" s="241"/>
      <c r="S552" s="241"/>
      <c r="T552" s="241"/>
      <c r="U552" s="241"/>
      <c r="V552" s="241"/>
      <c r="W552" s="241"/>
      <c r="X552" s="241"/>
      <c r="Y552" s="241"/>
      <c r="Z552" s="241"/>
    </row>
    <row r="553" spans="16:26" ht="10.199999999999999" customHeight="1">
      <c r="P553" s="251"/>
      <c r="Q553" s="251"/>
      <c r="R553" s="251"/>
      <c r="S553" s="251"/>
      <c r="T553" s="251"/>
      <c r="U553" s="251"/>
      <c r="V553" s="251"/>
      <c r="W553" s="251"/>
      <c r="X553" s="251"/>
      <c r="Y553" s="251"/>
      <c r="Z553" s="251"/>
    </row>
    <row r="554" spans="16:26" ht="10.199999999999999" customHeight="1">
      <c r="P554" s="251"/>
      <c r="Q554" s="251"/>
      <c r="R554" s="251"/>
      <c r="S554" s="251"/>
      <c r="T554" s="251"/>
      <c r="U554" s="251"/>
      <c r="V554" s="251"/>
      <c r="W554" s="251"/>
      <c r="X554" s="251"/>
      <c r="Y554" s="251"/>
      <c r="Z554" s="251"/>
    </row>
    <row r="555" spans="16:26" ht="10.199999999999999" customHeight="1">
      <c r="P555" s="241"/>
      <c r="Q555" s="241"/>
      <c r="R555" s="241"/>
      <c r="S555" s="241"/>
      <c r="T555" s="241"/>
      <c r="U555" s="241"/>
      <c r="V555" s="241"/>
      <c r="W555" s="241"/>
      <c r="X555" s="241"/>
      <c r="Y555" s="241"/>
      <c r="Z555" s="241"/>
    </row>
    <row r="556" spans="16:26" ht="10.199999999999999" customHeight="1">
      <c r="P556" s="251"/>
      <c r="Q556" s="251"/>
      <c r="R556" s="251"/>
      <c r="S556" s="251"/>
      <c r="T556" s="251"/>
      <c r="U556" s="251"/>
      <c r="V556" s="251"/>
      <c r="W556" s="251"/>
      <c r="X556" s="251"/>
      <c r="Y556" s="251"/>
      <c r="Z556" s="251"/>
    </row>
    <row r="557" spans="16:26" ht="10.199999999999999" customHeight="1">
      <c r="P557" s="251"/>
      <c r="Q557" s="251"/>
      <c r="R557" s="251"/>
      <c r="S557" s="251"/>
      <c r="T557" s="251"/>
      <c r="U557" s="251"/>
      <c r="V557" s="251"/>
      <c r="W557" s="251"/>
      <c r="X557" s="251"/>
      <c r="Y557" s="251"/>
      <c r="Z557" s="251"/>
    </row>
    <row r="558" spans="16:26" ht="10.199999999999999" customHeight="1">
      <c r="P558" s="241"/>
      <c r="Q558" s="241"/>
      <c r="R558" s="241"/>
      <c r="S558" s="241"/>
      <c r="T558" s="241"/>
      <c r="U558" s="241"/>
      <c r="V558" s="241"/>
      <c r="W558" s="241"/>
      <c r="X558" s="241"/>
      <c r="Y558" s="241"/>
      <c r="Z558" s="241"/>
    </row>
    <row r="559" spans="16:26" ht="10.199999999999999" customHeight="1">
      <c r="P559" s="251"/>
      <c r="Q559" s="251"/>
      <c r="R559" s="251"/>
      <c r="S559" s="251"/>
      <c r="T559" s="251"/>
      <c r="U559" s="251"/>
      <c r="V559" s="251"/>
      <c r="W559" s="251"/>
      <c r="X559" s="251"/>
      <c r="Y559" s="251"/>
      <c r="Z559" s="251"/>
    </row>
    <row r="560" spans="16:26" ht="10.199999999999999" customHeight="1">
      <c r="P560" s="251"/>
      <c r="Q560" s="251"/>
      <c r="R560" s="251"/>
      <c r="S560" s="251"/>
      <c r="T560" s="251"/>
      <c r="U560" s="251"/>
      <c r="V560" s="251"/>
      <c r="W560" s="251"/>
      <c r="X560" s="251"/>
      <c r="Y560" s="251"/>
      <c r="Z560" s="251"/>
    </row>
    <row r="561" spans="16:26" ht="10.199999999999999" customHeight="1">
      <c r="P561" s="241"/>
      <c r="Q561" s="241"/>
      <c r="R561" s="241"/>
      <c r="S561" s="241"/>
      <c r="T561" s="241"/>
      <c r="U561" s="241"/>
      <c r="V561" s="241"/>
      <c r="W561" s="241"/>
      <c r="X561" s="241"/>
      <c r="Y561" s="241"/>
      <c r="Z561" s="241"/>
    </row>
    <row r="562" spans="16:26" ht="10.199999999999999" customHeight="1">
      <c r="P562" s="251"/>
      <c r="Q562" s="251"/>
      <c r="R562" s="251"/>
      <c r="S562" s="251"/>
      <c r="T562" s="251"/>
      <c r="U562" s="251"/>
      <c r="V562" s="251"/>
      <c r="W562" s="251"/>
      <c r="X562" s="251"/>
      <c r="Y562" s="251"/>
      <c r="Z562" s="251"/>
    </row>
    <row r="563" spans="16:26" ht="10.199999999999999" customHeight="1">
      <c r="P563" s="251"/>
      <c r="Q563" s="251"/>
      <c r="R563" s="251"/>
      <c r="S563" s="251"/>
      <c r="T563" s="251"/>
      <c r="U563" s="251"/>
      <c r="V563" s="251"/>
      <c r="W563" s="251"/>
      <c r="X563" s="251"/>
      <c r="Y563" s="251"/>
      <c r="Z563" s="251"/>
    </row>
    <row r="564" spans="16:26" ht="10.199999999999999" customHeight="1">
      <c r="P564" s="241"/>
      <c r="Q564" s="241"/>
      <c r="R564" s="241"/>
      <c r="S564" s="241"/>
      <c r="T564" s="241"/>
      <c r="U564" s="241"/>
      <c r="V564" s="241"/>
      <c r="W564" s="241"/>
      <c r="X564" s="241"/>
      <c r="Y564" s="241"/>
      <c r="Z564" s="241"/>
    </row>
    <row r="565" spans="16:26" ht="10.199999999999999" customHeight="1">
      <c r="P565" s="251"/>
      <c r="Q565" s="251"/>
      <c r="R565" s="251"/>
      <c r="S565" s="251"/>
      <c r="T565" s="251"/>
      <c r="U565" s="251"/>
      <c r="V565" s="251"/>
      <c r="W565" s="251"/>
      <c r="X565" s="251"/>
      <c r="Y565" s="251"/>
      <c r="Z565" s="251"/>
    </row>
    <row r="566" spans="16:26" ht="10.199999999999999" customHeight="1">
      <c r="P566" s="251"/>
      <c r="Q566" s="251"/>
      <c r="R566" s="251"/>
      <c r="S566" s="251"/>
      <c r="T566" s="251"/>
      <c r="U566" s="251"/>
      <c r="V566" s="251"/>
      <c r="W566" s="251"/>
      <c r="X566" s="251"/>
      <c r="Y566" s="251"/>
      <c r="Z566" s="251"/>
    </row>
    <row r="567" spans="16:26" ht="10.199999999999999" customHeight="1">
      <c r="P567" s="241"/>
      <c r="Q567" s="241"/>
      <c r="R567" s="241"/>
      <c r="S567" s="241"/>
      <c r="T567" s="241"/>
      <c r="U567" s="241"/>
      <c r="V567" s="241"/>
      <c r="W567" s="241"/>
      <c r="X567" s="241"/>
      <c r="Y567" s="241"/>
      <c r="Z567" s="241"/>
    </row>
    <row r="568" spans="16:26" ht="10.199999999999999" customHeight="1">
      <c r="P568" s="251"/>
      <c r="Q568" s="251"/>
      <c r="R568" s="251"/>
      <c r="S568" s="251"/>
      <c r="T568" s="251"/>
      <c r="U568" s="251"/>
      <c r="V568" s="251"/>
      <c r="W568" s="251"/>
      <c r="X568" s="251"/>
      <c r="Y568" s="251"/>
      <c r="Z568" s="251"/>
    </row>
    <row r="569" spans="16:26" ht="10.199999999999999" customHeight="1">
      <c r="P569" s="251"/>
      <c r="Q569" s="251"/>
      <c r="R569" s="251"/>
      <c r="S569" s="251"/>
      <c r="T569" s="251"/>
      <c r="U569" s="251"/>
      <c r="V569" s="251"/>
      <c r="W569" s="251"/>
      <c r="X569" s="251"/>
      <c r="Y569" s="251"/>
      <c r="Z569" s="251"/>
    </row>
    <row r="570" spans="16:26" ht="10.199999999999999" customHeight="1">
      <c r="P570" s="241"/>
      <c r="Q570" s="241"/>
      <c r="R570" s="241"/>
      <c r="S570" s="241"/>
      <c r="T570" s="241"/>
      <c r="U570" s="241"/>
      <c r="V570" s="241"/>
      <c r="W570" s="241"/>
      <c r="X570" s="241"/>
      <c r="Y570" s="241"/>
      <c r="Z570" s="241"/>
    </row>
    <row r="571" spans="16:26" ht="10.199999999999999" customHeight="1">
      <c r="P571" s="251"/>
      <c r="Q571" s="251"/>
      <c r="R571" s="251"/>
      <c r="S571" s="251"/>
      <c r="T571" s="251"/>
      <c r="U571" s="251"/>
      <c r="V571" s="251"/>
      <c r="W571" s="251"/>
      <c r="X571" s="251"/>
      <c r="Y571" s="251"/>
      <c r="Z571" s="251"/>
    </row>
    <row r="572" spans="16:26" ht="10.199999999999999" customHeight="1">
      <c r="P572" s="251"/>
      <c r="Q572" s="251"/>
      <c r="R572" s="251"/>
      <c r="S572" s="251"/>
      <c r="T572" s="251"/>
      <c r="U572" s="251"/>
      <c r="V572" s="251"/>
      <c r="W572" s="251"/>
      <c r="X572" s="251"/>
      <c r="Y572" s="251"/>
      <c r="Z572" s="251"/>
    </row>
    <row r="573" spans="16:26" ht="10.199999999999999" customHeight="1">
      <c r="P573" s="241"/>
      <c r="Q573" s="241"/>
      <c r="R573" s="241"/>
      <c r="S573" s="241"/>
      <c r="T573" s="241"/>
      <c r="U573" s="241"/>
      <c r="V573" s="241"/>
      <c r="W573" s="241"/>
      <c r="X573" s="241"/>
      <c r="Y573" s="241"/>
      <c r="Z573" s="241"/>
    </row>
    <row r="574" spans="16:26" ht="10.199999999999999" customHeight="1">
      <c r="P574" s="251"/>
      <c r="Q574" s="251"/>
      <c r="R574" s="251"/>
      <c r="S574" s="251"/>
      <c r="T574" s="251"/>
      <c r="U574" s="251"/>
      <c r="V574" s="251"/>
      <c r="W574" s="251"/>
      <c r="X574" s="251"/>
      <c r="Y574" s="251"/>
      <c r="Z574" s="251"/>
    </row>
    <row r="575" spans="16:26" ht="10.199999999999999" customHeight="1">
      <c r="P575" s="251"/>
      <c r="Q575" s="251"/>
      <c r="R575" s="251"/>
      <c r="S575" s="251"/>
      <c r="T575" s="251"/>
      <c r="U575" s="251"/>
      <c r="V575" s="251"/>
      <c r="W575" s="251"/>
      <c r="X575" s="251"/>
      <c r="Y575" s="251"/>
      <c r="Z575" s="251"/>
    </row>
    <row r="576" spans="16:26" ht="10.199999999999999" customHeight="1">
      <c r="P576" s="241"/>
      <c r="Q576" s="241"/>
      <c r="R576" s="241"/>
      <c r="S576" s="241"/>
      <c r="T576" s="241"/>
      <c r="U576" s="241"/>
      <c r="V576" s="241"/>
      <c r="W576" s="241"/>
      <c r="X576" s="241"/>
      <c r="Y576" s="241"/>
      <c r="Z576" s="241"/>
    </row>
    <row r="577" spans="16:26" ht="10.199999999999999" customHeight="1">
      <c r="P577" s="251"/>
      <c r="Q577" s="251"/>
      <c r="R577" s="251"/>
      <c r="S577" s="251"/>
      <c r="T577" s="251"/>
      <c r="U577" s="251"/>
      <c r="V577" s="251"/>
      <c r="W577" s="251"/>
      <c r="X577" s="251"/>
      <c r="Y577" s="251"/>
      <c r="Z577" s="251"/>
    </row>
    <row r="578" spans="16:26" ht="10.199999999999999" customHeight="1">
      <c r="P578" s="251"/>
      <c r="Q578" s="251"/>
      <c r="R578" s="251"/>
      <c r="S578" s="251"/>
      <c r="T578" s="251"/>
      <c r="U578" s="251"/>
      <c r="V578" s="251"/>
      <c r="W578" s="251"/>
      <c r="X578" s="251"/>
      <c r="Y578" s="251"/>
      <c r="Z578" s="251"/>
    </row>
    <row r="579" spans="16:26" ht="10.199999999999999" customHeight="1">
      <c r="P579" s="241"/>
      <c r="Q579" s="241"/>
      <c r="R579" s="241"/>
      <c r="S579" s="241"/>
      <c r="T579" s="241"/>
      <c r="U579" s="241"/>
      <c r="V579" s="241"/>
      <c r="W579" s="241"/>
      <c r="X579" s="241"/>
      <c r="Y579" s="241"/>
      <c r="Z579" s="241"/>
    </row>
    <row r="580" spans="16:26" ht="10.199999999999999" customHeight="1">
      <c r="P580" s="251"/>
      <c r="Q580" s="251"/>
      <c r="R580" s="251"/>
      <c r="S580" s="251"/>
      <c r="T580" s="251"/>
      <c r="U580" s="251"/>
      <c r="V580" s="251"/>
      <c r="W580" s="251"/>
      <c r="X580" s="251"/>
      <c r="Y580" s="251"/>
      <c r="Z580" s="251"/>
    </row>
    <row r="581" spans="16:26" ht="10.199999999999999" customHeight="1">
      <c r="P581" s="251"/>
      <c r="Q581" s="251"/>
      <c r="R581" s="251"/>
      <c r="S581" s="251"/>
      <c r="T581" s="251"/>
      <c r="U581" s="251"/>
      <c r="V581" s="251"/>
      <c r="W581" s="251"/>
      <c r="X581" s="251"/>
      <c r="Y581" s="251"/>
      <c r="Z581" s="251"/>
    </row>
    <row r="582" spans="16:26" ht="10.199999999999999" customHeight="1">
      <c r="P582" s="241"/>
      <c r="Q582" s="241"/>
      <c r="R582" s="241"/>
      <c r="S582" s="241"/>
      <c r="T582" s="241"/>
      <c r="U582" s="241"/>
      <c r="V582" s="241"/>
      <c r="W582" s="241"/>
      <c r="X582" s="241"/>
      <c r="Y582" s="241"/>
      <c r="Z582" s="241"/>
    </row>
    <row r="583" spans="16:26" ht="10.199999999999999" customHeight="1">
      <c r="P583" s="251"/>
      <c r="Q583" s="251"/>
      <c r="R583" s="251"/>
      <c r="S583" s="251"/>
      <c r="T583" s="251"/>
      <c r="U583" s="251"/>
      <c r="V583" s="251"/>
      <c r="W583" s="251"/>
      <c r="X583" s="251"/>
      <c r="Y583" s="251"/>
      <c r="Z583" s="251"/>
    </row>
    <row r="584" spans="16:26" ht="10.199999999999999" customHeight="1">
      <c r="P584" s="251"/>
      <c r="Q584" s="251"/>
      <c r="R584" s="251"/>
      <c r="S584" s="251"/>
      <c r="T584" s="251"/>
      <c r="U584" s="251"/>
      <c r="V584" s="251"/>
      <c r="W584" s="251"/>
      <c r="X584" s="251"/>
      <c r="Y584" s="251"/>
      <c r="Z584" s="251"/>
    </row>
    <row r="585" spans="16:26" ht="10.199999999999999" customHeight="1">
      <c r="P585" s="241"/>
      <c r="Q585" s="241"/>
      <c r="R585" s="241"/>
      <c r="S585" s="241"/>
      <c r="T585" s="241"/>
      <c r="U585" s="241"/>
      <c r="V585" s="241"/>
      <c r="W585" s="241"/>
      <c r="X585" s="241"/>
      <c r="Y585" s="241"/>
      <c r="Z585" s="241"/>
    </row>
    <row r="586" spans="16:26" ht="10.199999999999999" customHeight="1">
      <c r="P586" s="251"/>
      <c r="Q586" s="251"/>
      <c r="R586" s="251"/>
      <c r="S586" s="251"/>
      <c r="T586" s="251"/>
      <c r="U586" s="251"/>
      <c r="V586" s="251"/>
      <c r="W586" s="251"/>
      <c r="X586" s="251"/>
      <c r="Y586" s="251"/>
      <c r="Z586" s="251"/>
    </row>
    <row r="587" spans="16:26" ht="10.199999999999999" customHeight="1">
      <c r="P587" s="251"/>
      <c r="Q587" s="251"/>
      <c r="R587" s="251"/>
      <c r="S587" s="251"/>
      <c r="T587" s="251"/>
      <c r="U587" s="251"/>
      <c r="V587" s="251"/>
      <c r="W587" s="251"/>
      <c r="X587" s="251"/>
      <c r="Y587" s="251"/>
      <c r="Z587" s="251"/>
    </row>
    <row r="588" spans="16:26" ht="10.199999999999999" customHeight="1">
      <c r="P588" s="241"/>
      <c r="Q588" s="241"/>
      <c r="R588" s="241"/>
      <c r="S588" s="241"/>
      <c r="T588" s="241"/>
      <c r="U588" s="241"/>
      <c r="V588" s="241"/>
      <c r="W588" s="241"/>
      <c r="X588" s="241"/>
      <c r="Y588" s="241"/>
      <c r="Z588" s="241"/>
    </row>
    <row r="589" spans="16:26" ht="10.199999999999999" customHeight="1">
      <c r="P589" s="251"/>
      <c r="Q589" s="251"/>
      <c r="R589" s="251"/>
      <c r="S589" s="251"/>
      <c r="T589" s="251"/>
      <c r="U589" s="251"/>
      <c r="V589" s="251"/>
      <c r="W589" s="251"/>
      <c r="X589" s="251"/>
      <c r="Y589" s="251"/>
      <c r="Z589" s="251"/>
    </row>
    <row r="590" spans="16:26" ht="10.199999999999999" customHeight="1">
      <c r="P590" s="251"/>
      <c r="Q590" s="251"/>
      <c r="R590" s="251"/>
      <c r="S590" s="251"/>
      <c r="T590" s="251"/>
      <c r="U590" s="251"/>
      <c r="V590" s="251"/>
      <c r="W590" s="251"/>
      <c r="X590" s="251"/>
      <c r="Y590" s="251"/>
      <c r="Z590" s="251"/>
    </row>
    <row r="591" spans="16:26" ht="10.199999999999999" customHeight="1">
      <c r="P591" s="241"/>
      <c r="Q591" s="241"/>
      <c r="R591" s="241"/>
      <c r="S591" s="241"/>
      <c r="T591" s="241"/>
      <c r="U591" s="241"/>
      <c r="V591" s="241"/>
      <c r="W591" s="241"/>
      <c r="X591" s="241"/>
      <c r="Y591" s="241"/>
      <c r="Z591" s="241"/>
    </row>
    <row r="592" spans="16:26" ht="10.199999999999999" customHeight="1">
      <c r="P592" s="251"/>
      <c r="Q592" s="251"/>
      <c r="R592" s="251"/>
      <c r="S592" s="251"/>
      <c r="T592" s="251"/>
      <c r="U592" s="251"/>
      <c r="V592" s="251"/>
      <c r="W592" s="251"/>
      <c r="X592" s="251"/>
      <c r="Y592" s="251"/>
      <c r="Z592" s="251"/>
    </row>
    <row r="593" spans="16:26" ht="10.199999999999999" customHeight="1">
      <c r="P593" s="251"/>
      <c r="Q593" s="251"/>
      <c r="R593" s="251"/>
      <c r="S593" s="251"/>
      <c r="T593" s="251"/>
      <c r="U593" s="251"/>
      <c r="V593" s="251"/>
      <c r="W593" s="251"/>
      <c r="X593" s="251"/>
      <c r="Y593" s="251"/>
      <c r="Z593" s="251"/>
    </row>
    <row r="594" spans="16:26" ht="10.199999999999999" customHeight="1">
      <c r="P594" s="241"/>
      <c r="Q594" s="241"/>
      <c r="R594" s="241"/>
      <c r="S594" s="241"/>
      <c r="T594" s="241"/>
      <c r="U594" s="241"/>
      <c r="V594" s="241"/>
      <c r="W594" s="241"/>
      <c r="X594" s="241"/>
      <c r="Y594" s="241"/>
      <c r="Z594" s="241"/>
    </row>
    <row r="595" spans="16:26" ht="10.199999999999999" customHeight="1">
      <c r="P595" s="251"/>
      <c r="Q595" s="251"/>
      <c r="R595" s="251"/>
      <c r="S595" s="251"/>
      <c r="T595" s="251"/>
      <c r="U595" s="251"/>
      <c r="V595" s="251"/>
      <c r="W595" s="251"/>
      <c r="X595" s="251"/>
      <c r="Y595" s="251"/>
      <c r="Z595" s="251"/>
    </row>
    <row r="596" spans="16:26" ht="10.199999999999999" customHeight="1">
      <c r="P596" s="251"/>
      <c r="Q596" s="251"/>
      <c r="R596" s="251"/>
      <c r="S596" s="251"/>
      <c r="T596" s="251"/>
      <c r="U596" s="251"/>
      <c r="V596" s="251"/>
      <c r="W596" s="251"/>
      <c r="X596" s="251"/>
      <c r="Y596" s="251"/>
      <c r="Z596" s="251"/>
    </row>
    <row r="597" spans="16:26" ht="10.199999999999999" customHeight="1">
      <c r="P597" s="241"/>
      <c r="Q597" s="241"/>
      <c r="R597" s="241"/>
      <c r="S597" s="241"/>
      <c r="T597" s="241"/>
      <c r="U597" s="241"/>
      <c r="V597" s="241"/>
      <c r="W597" s="241"/>
      <c r="X597" s="241"/>
      <c r="Y597" s="241"/>
      <c r="Z597" s="241"/>
    </row>
    <row r="598" spans="16:26" ht="10.199999999999999" customHeight="1">
      <c r="P598" s="251"/>
      <c r="Q598" s="251"/>
      <c r="R598" s="251"/>
      <c r="S598" s="251"/>
      <c r="T598" s="251"/>
      <c r="U598" s="251"/>
      <c r="V598" s="251"/>
      <c r="W598" s="251"/>
      <c r="X598" s="251"/>
      <c r="Y598" s="251"/>
      <c r="Z598" s="251"/>
    </row>
    <row r="599" spans="16:26" ht="10.199999999999999" customHeight="1">
      <c r="P599" s="251"/>
      <c r="Q599" s="251"/>
      <c r="R599" s="251"/>
      <c r="S599" s="251"/>
      <c r="T599" s="251"/>
      <c r="U599" s="251"/>
      <c r="V599" s="251"/>
      <c r="W599" s="251"/>
      <c r="X599" s="251"/>
      <c r="Y599" s="251"/>
      <c r="Z599" s="251"/>
    </row>
    <row r="600" spans="16:26" ht="10.199999999999999" customHeight="1">
      <c r="P600" s="241"/>
      <c r="Q600" s="241"/>
      <c r="R600" s="241"/>
      <c r="S600" s="241"/>
      <c r="T600" s="241"/>
      <c r="U600" s="241"/>
      <c r="V600" s="241"/>
      <c r="W600" s="241"/>
      <c r="X600" s="241"/>
      <c r="Y600" s="241"/>
      <c r="Z600" s="241"/>
    </row>
    <row r="601" spans="16:26" ht="10.199999999999999" customHeight="1">
      <c r="P601" s="251"/>
      <c r="Q601" s="251"/>
      <c r="R601" s="251"/>
      <c r="S601" s="251"/>
      <c r="T601" s="251"/>
      <c r="U601" s="251"/>
      <c r="V601" s="251"/>
      <c r="W601" s="251"/>
      <c r="X601" s="251"/>
      <c r="Y601" s="251"/>
      <c r="Z601" s="251"/>
    </row>
    <row r="602" spans="16:26" ht="10.199999999999999" customHeight="1">
      <c r="P602" s="251"/>
      <c r="Q602" s="251"/>
      <c r="R602" s="251"/>
      <c r="S602" s="251"/>
      <c r="T602" s="251"/>
      <c r="U602" s="251"/>
      <c r="V602" s="251"/>
      <c r="W602" s="251"/>
      <c r="X602" s="251"/>
      <c r="Y602" s="251"/>
      <c r="Z602" s="251"/>
    </row>
    <row r="603" spans="16:26" ht="10.199999999999999" customHeight="1">
      <c r="P603" s="241"/>
      <c r="Q603" s="241"/>
      <c r="R603" s="241"/>
      <c r="S603" s="241"/>
      <c r="T603" s="241"/>
      <c r="U603" s="241"/>
      <c r="V603" s="241"/>
      <c r="W603" s="241"/>
      <c r="X603" s="241"/>
      <c r="Y603" s="241"/>
      <c r="Z603" s="241"/>
    </row>
    <row r="604" spans="16:26" ht="10.199999999999999" customHeight="1">
      <c r="P604" s="251"/>
      <c r="Q604" s="251"/>
      <c r="R604" s="251"/>
      <c r="S604" s="251"/>
      <c r="T604" s="251"/>
      <c r="U604" s="251"/>
      <c r="V604" s="251"/>
      <c r="W604" s="251"/>
      <c r="X604" s="251"/>
      <c r="Y604" s="251"/>
      <c r="Z604" s="251"/>
    </row>
    <row r="605" spans="16:26" ht="10.199999999999999" customHeight="1">
      <c r="P605" s="251"/>
      <c r="Q605" s="251"/>
      <c r="R605" s="251"/>
      <c r="S605" s="251"/>
      <c r="T605" s="251"/>
      <c r="U605" s="251"/>
      <c r="V605" s="251"/>
      <c r="W605" s="251"/>
      <c r="X605" s="251"/>
      <c r="Y605" s="251"/>
      <c r="Z605" s="251"/>
    </row>
    <row r="606" spans="16:26" ht="10.199999999999999" customHeight="1">
      <c r="P606" s="241"/>
      <c r="Q606" s="241"/>
      <c r="R606" s="241"/>
      <c r="S606" s="241"/>
      <c r="T606" s="241"/>
      <c r="U606" s="241"/>
      <c r="V606" s="241"/>
      <c r="W606" s="241"/>
      <c r="X606" s="241"/>
      <c r="Y606" s="241"/>
      <c r="Z606" s="241"/>
    </row>
    <row r="607" spans="16:26" ht="10.199999999999999" customHeight="1">
      <c r="P607" s="251"/>
      <c r="Q607" s="251"/>
      <c r="R607" s="251"/>
      <c r="S607" s="251"/>
      <c r="T607" s="251"/>
      <c r="U607" s="251"/>
      <c r="V607" s="251"/>
      <c r="W607" s="251"/>
      <c r="X607" s="251"/>
      <c r="Y607" s="251"/>
      <c r="Z607" s="251"/>
    </row>
    <row r="608" spans="16:26" ht="10.199999999999999" customHeight="1">
      <c r="P608" s="251"/>
      <c r="Q608" s="251"/>
      <c r="R608" s="251"/>
      <c r="S608" s="251"/>
      <c r="T608" s="251"/>
      <c r="U608" s="251"/>
      <c r="V608" s="251"/>
      <c r="W608" s="251"/>
      <c r="X608" s="251"/>
      <c r="Y608" s="251"/>
      <c r="Z608" s="251"/>
    </row>
    <row r="609" spans="16:26" ht="10.199999999999999" customHeight="1">
      <c r="P609" s="241"/>
      <c r="Q609" s="241"/>
      <c r="R609" s="241"/>
      <c r="S609" s="241"/>
      <c r="T609" s="241"/>
      <c r="U609" s="241"/>
      <c r="V609" s="241"/>
      <c r="W609" s="241"/>
      <c r="X609" s="241"/>
      <c r="Y609" s="241"/>
      <c r="Z609" s="241"/>
    </row>
    <row r="610" spans="16:26" ht="10.199999999999999" customHeight="1">
      <c r="P610" s="251"/>
      <c r="Q610" s="251"/>
      <c r="R610" s="251"/>
      <c r="S610" s="251"/>
      <c r="T610" s="251"/>
      <c r="U610" s="251"/>
      <c r="V610" s="251"/>
      <c r="W610" s="251"/>
      <c r="X610" s="251"/>
      <c r="Y610" s="251"/>
      <c r="Z610" s="251"/>
    </row>
    <row r="611" spans="16:26" ht="10.199999999999999" customHeight="1">
      <c r="P611" s="251"/>
      <c r="Q611" s="251"/>
      <c r="R611" s="251"/>
      <c r="S611" s="251"/>
      <c r="T611" s="251"/>
      <c r="U611" s="251"/>
      <c r="V611" s="251"/>
      <c r="W611" s="251"/>
      <c r="X611" s="251"/>
      <c r="Y611" s="251"/>
      <c r="Z611" s="251"/>
    </row>
    <row r="612" spans="16:26" ht="10.199999999999999" customHeight="1">
      <c r="P612" s="241"/>
      <c r="Q612" s="241"/>
      <c r="R612" s="241"/>
      <c r="S612" s="241"/>
      <c r="T612" s="241"/>
      <c r="U612" s="241"/>
      <c r="V612" s="241"/>
      <c r="W612" s="241"/>
      <c r="X612" s="241"/>
      <c r="Y612" s="241"/>
      <c r="Z612" s="241"/>
    </row>
    <row r="613" spans="16:26" ht="10.199999999999999" customHeight="1">
      <c r="P613" s="251"/>
      <c r="Q613" s="251"/>
      <c r="R613" s="251"/>
      <c r="S613" s="251"/>
      <c r="T613" s="251"/>
      <c r="U613" s="251"/>
      <c r="V613" s="251"/>
      <c r="W613" s="251"/>
      <c r="X613" s="251"/>
      <c r="Y613" s="251"/>
      <c r="Z613" s="251"/>
    </row>
    <row r="614" spans="16:26" ht="10.199999999999999" customHeight="1">
      <c r="P614" s="251"/>
      <c r="Q614" s="251"/>
      <c r="R614" s="251"/>
      <c r="S614" s="251"/>
      <c r="T614" s="251"/>
      <c r="U614" s="251"/>
      <c r="V614" s="251"/>
      <c r="W614" s="251"/>
      <c r="X614" s="251"/>
      <c r="Y614" s="251"/>
      <c r="Z614" s="251"/>
    </row>
    <row r="615" spans="16:26" ht="10.199999999999999" customHeight="1">
      <c r="P615" s="241"/>
      <c r="Q615" s="241"/>
      <c r="R615" s="241"/>
      <c r="S615" s="241"/>
      <c r="T615" s="241"/>
      <c r="U615" s="241"/>
      <c r="V615" s="241"/>
      <c r="W615" s="241"/>
      <c r="X615" s="241"/>
      <c r="Y615" s="241"/>
      <c r="Z615" s="241"/>
    </row>
    <row r="616" spans="16:26" ht="10.199999999999999" customHeight="1">
      <c r="P616" s="251"/>
      <c r="Q616" s="251"/>
      <c r="R616" s="251"/>
      <c r="S616" s="251"/>
      <c r="T616" s="251"/>
      <c r="U616" s="251"/>
      <c r="V616" s="251"/>
      <c r="W616" s="251"/>
      <c r="X616" s="251"/>
      <c r="Y616" s="251"/>
      <c r="Z616" s="251"/>
    </row>
    <row r="617" spans="16:26" ht="10.199999999999999" customHeight="1">
      <c r="P617" s="251"/>
      <c r="Q617" s="251"/>
      <c r="R617" s="251"/>
      <c r="S617" s="251"/>
      <c r="T617" s="251"/>
      <c r="U617" s="251"/>
      <c r="V617" s="251"/>
      <c r="W617" s="251"/>
      <c r="X617" s="251"/>
      <c r="Y617" s="251"/>
      <c r="Z617" s="251"/>
    </row>
    <row r="618" spans="16:26" ht="10.199999999999999" customHeight="1">
      <c r="P618" s="241"/>
      <c r="Q618" s="241"/>
      <c r="R618" s="241"/>
      <c r="S618" s="241"/>
      <c r="T618" s="241"/>
      <c r="U618" s="241"/>
      <c r="V618" s="241"/>
      <c r="W618" s="241"/>
      <c r="X618" s="241"/>
      <c r="Y618" s="241"/>
      <c r="Z618" s="241"/>
    </row>
    <row r="619" spans="16:26" ht="10.199999999999999" customHeight="1">
      <c r="P619" s="251"/>
      <c r="Q619" s="251"/>
      <c r="R619" s="251"/>
      <c r="S619" s="251"/>
      <c r="T619" s="251"/>
      <c r="U619" s="251"/>
      <c r="V619" s="251"/>
      <c r="W619" s="251"/>
      <c r="X619" s="251"/>
      <c r="Y619" s="251"/>
      <c r="Z619" s="251"/>
    </row>
    <row r="620" spans="16:26" ht="10.199999999999999" customHeight="1">
      <c r="P620" s="251"/>
      <c r="Q620" s="251"/>
      <c r="R620" s="251"/>
      <c r="S620" s="251"/>
      <c r="T620" s="251"/>
      <c r="U620" s="251"/>
      <c r="V620" s="251"/>
      <c r="W620" s="251"/>
      <c r="X620" s="251"/>
      <c r="Y620" s="251"/>
      <c r="Z620" s="251"/>
    </row>
    <row r="621" spans="16:26" ht="10.199999999999999" customHeight="1">
      <c r="P621" s="241"/>
      <c r="Q621" s="241"/>
      <c r="R621" s="241"/>
      <c r="S621" s="241"/>
      <c r="T621" s="241"/>
      <c r="U621" s="241"/>
      <c r="V621" s="241"/>
      <c r="W621" s="241"/>
      <c r="X621" s="241"/>
      <c r="Y621" s="241"/>
      <c r="Z621" s="241"/>
    </row>
    <row r="622" spans="16:26" ht="10.199999999999999" customHeight="1">
      <c r="P622" s="251"/>
      <c r="Q622" s="251"/>
      <c r="R622" s="251"/>
      <c r="S622" s="251"/>
      <c r="T622" s="251"/>
      <c r="U622" s="251"/>
      <c r="V622" s="251"/>
      <c r="W622" s="251"/>
      <c r="X622" s="251"/>
      <c r="Y622" s="251"/>
      <c r="Z622" s="251"/>
    </row>
    <row r="623" spans="16:26" ht="10.199999999999999" customHeight="1">
      <c r="P623" s="251"/>
      <c r="Q623" s="251"/>
      <c r="R623" s="251"/>
      <c r="S623" s="251"/>
      <c r="T623" s="251"/>
      <c r="U623" s="251"/>
      <c r="V623" s="251"/>
      <c r="W623" s="251"/>
      <c r="X623" s="251"/>
      <c r="Y623" s="251"/>
      <c r="Z623" s="251"/>
    </row>
    <row r="624" spans="16:26" ht="10.199999999999999" customHeight="1">
      <c r="P624" s="241"/>
      <c r="Q624" s="241"/>
      <c r="R624" s="241"/>
      <c r="S624" s="241"/>
      <c r="T624" s="241"/>
      <c r="U624" s="241"/>
      <c r="V624" s="241"/>
      <c r="W624" s="241"/>
      <c r="X624" s="241"/>
      <c r="Y624" s="241"/>
      <c r="Z624" s="241"/>
    </row>
    <row r="625" spans="16:26" ht="10.199999999999999" customHeight="1">
      <c r="P625" s="251"/>
      <c r="Q625" s="251"/>
      <c r="R625" s="251"/>
      <c r="S625" s="251"/>
      <c r="T625" s="251"/>
      <c r="U625" s="251"/>
      <c r="V625" s="251"/>
      <c r="W625" s="251"/>
      <c r="X625" s="251"/>
      <c r="Y625" s="251"/>
      <c r="Z625" s="251"/>
    </row>
    <row r="626" spans="16:26" ht="10.199999999999999" customHeight="1">
      <c r="P626" s="251"/>
      <c r="Q626" s="251"/>
      <c r="R626" s="251"/>
      <c r="S626" s="251"/>
      <c r="T626" s="251"/>
      <c r="U626" s="251"/>
      <c r="V626" s="251"/>
      <c r="W626" s="251"/>
      <c r="X626" s="251"/>
      <c r="Y626" s="251"/>
      <c r="Z626" s="251"/>
    </row>
    <row r="627" spans="16:26" ht="10.199999999999999" customHeight="1">
      <c r="P627" s="241"/>
      <c r="Q627" s="241"/>
      <c r="R627" s="241"/>
      <c r="S627" s="241"/>
      <c r="T627" s="241"/>
      <c r="U627" s="241"/>
      <c r="V627" s="241"/>
      <c r="W627" s="241"/>
      <c r="X627" s="241"/>
      <c r="Y627" s="241"/>
      <c r="Z627" s="241"/>
    </row>
    <row r="628" spans="16:26" ht="10.199999999999999" customHeight="1">
      <c r="P628" s="251"/>
      <c r="Q628" s="251"/>
      <c r="R628" s="251"/>
      <c r="S628" s="251"/>
      <c r="T628" s="251"/>
      <c r="U628" s="251"/>
      <c r="V628" s="251"/>
      <c r="W628" s="251"/>
      <c r="X628" s="251"/>
      <c r="Y628" s="251"/>
      <c r="Z628" s="251"/>
    </row>
    <row r="629" spans="16:26" ht="10.199999999999999" customHeight="1">
      <c r="P629" s="251"/>
      <c r="Q629" s="251"/>
      <c r="R629" s="251"/>
      <c r="S629" s="251"/>
      <c r="T629" s="251"/>
      <c r="U629" s="251"/>
      <c r="V629" s="251"/>
      <c r="W629" s="251"/>
      <c r="X629" s="251"/>
      <c r="Y629" s="251"/>
      <c r="Z629" s="251"/>
    </row>
    <row r="630" spans="16:26" ht="10.199999999999999" customHeight="1">
      <c r="P630" s="241"/>
      <c r="Q630" s="241"/>
      <c r="R630" s="241"/>
      <c r="S630" s="241"/>
      <c r="T630" s="241"/>
      <c r="U630" s="241"/>
      <c r="V630" s="241"/>
      <c r="W630" s="241"/>
      <c r="X630" s="241"/>
      <c r="Y630" s="241"/>
      <c r="Z630" s="241"/>
    </row>
    <row r="631" spans="16:26" ht="10.199999999999999" customHeight="1">
      <c r="P631" s="251"/>
      <c r="Q631" s="251"/>
      <c r="R631" s="251"/>
      <c r="S631" s="251"/>
      <c r="T631" s="251"/>
      <c r="U631" s="251"/>
      <c r="V631" s="251"/>
      <c r="W631" s="251"/>
      <c r="X631" s="251"/>
      <c r="Y631" s="251"/>
      <c r="Z631" s="251"/>
    </row>
    <row r="632" spans="16:26" ht="10.199999999999999" customHeight="1">
      <c r="P632" s="251"/>
      <c r="Q632" s="251"/>
      <c r="R632" s="251"/>
      <c r="S632" s="251"/>
      <c r="T632" s="251"/>
      <c r="U632" s="251"/>
      <c r="V632" s="251"/>
      <c r="W632" s="251"/>
      <c r="X632" s="251"/>
      <c r="Y632" s="251"/>
      <c r="Z632" s="251"/>
    </row>
    <row r="633" spans="16:26" ht="10.199999999999999" customHeight="1">
      <c r="P633" s="241"/>
      <c r="Q633" s="241"/>
      <c r="R633" s="241"/>
      <c r="S633" s="241"/>
      <c r="T633" s="241"/>
      <c r="U633" s="241"/>
      <c r="V633" s="241"/>
      <c r="W633" s="241"/>
      <c r="X633" s="241"/>
      <c r="Y633" s="241"/>
      <c r="Z633" s="241"/>
    </row>
    <row r="634" spans="16:26" ht="10.199999999999999" customHeight="1">
      <c r="P634" s="251"/>
      <c r="Q634" s="251"/>
      <c r="R634" s="251"/>
      <c r="S634" s="251"/>
      <c r="T634" s="251"/>
      <c r="U634" s="251"/>
      <c r="V634" s="251"/>
      <c r="W634" s="251"/>
      <c r="X634" s="251"/>
      <c r="Y634" s="251"/>
      <c r="Z634" s="251"/>
    </row>
    <row r="635" spans="16:26" ht="10.199999999999999" customHeight="1">
      <c r="P635" s="251"/>
      <c r="Q635" s="251"/>
      <c r="R635" s="251"/>
      <c r="S635" s="251"/>
      <c r="T635" s="251"/>
      <c r="U635" s="251"/>
      <c r="V635" s="251"/>
      <c r="W635" s="251"/>
      <c r="X635" s="251"/>
      <c r="Y635" s="251"/>
      <c r="Z635" s="251"/>
    </row>
    <row r="636" spans="16:26" ht="10.199999999999999" customHeight="1">
      <c r="P636" s="241"/>
      <c r="Q636" s="241"/>
      <c r="R636" s="241"/>
      <c r="S636" s="241"/>
      <c r="T636" s="241"/>
      <c r="U636" s="241"/>
      <c r="V636" s="241"/>
      <c r="W636" s="241"/>
      <c r="X636" s="241"/>
      <c r="Y636" s="241"/>
      <c r="Z636" s="241"/>
    </row>
    <row r="637" spans="16:26" ht="10.199999999999999" customHeight="1">
      <c r="P637" s="251"/>
      <c r="Q637" s="251"/>
      <c r="R637" s="251"/>
      <c r="S637" s="251"/>
      <c r="T637" s="251"/>
      <c r="U637" s="251"/>
      <c r="V637" s="251"/>
      <c r="W637" s="251"/>
      <c r="X637" s="251"/>
      <c r="Y637" s="251"/>
      <c r="Z637" s="251"/>
    </row>
    <row r="638" spans="16:26" ht="10.199999999999999" customHeight="1">
      <c r="P638" s="251"/>
      <c r="Q638" s="251"/>
      <c r="R638" s="251"/>
      <c r="S638" s="251"/>
      <c r="T638" s="251"/>
      <c r="U638" s="251"/>
      <c r="V638" s="251"/>
      <c r="W638" s="251"/>
      <c r="X638" s="251"/>
      <c r="Y638" s="251"/>
      <c r="Z638" s="251"/>
    </row>
    <row r="639" spans="16:26" ht="10.199999999999999" customHeight="1">
      <c r="P639" s="241"/>
      <c r="Q639" s="241"/>
      <c r="R639" s="241"/>
      <c r="S639" s="241"/>
      <c r="T639" s="241"/>
      <c r="U639" s="241"/>
      <c r="V639" s="241"/>
      <c r="W639" s="241"/>
      <c r="X639" s="241"/>
      <c r="Y639" s="241"/>
      <c r="Z639" s="241"/>
    </row>
    <row r="640" spans="16:26" ht="10.199999999999999" customHeight="1">
      <c r="P640" s="251"/>
      <c r="Q640" s="251"/>
      <c r="R640" s="251"/>
      <c r="S640" s="251"/>
      <c r="T640" s="251"/>
      <c r="U640" s="251"/>
      <c r="V640" s="251"/>
      <c r="W640" s="251"/>
      <c r="X640" s="251"/>
      <c r="Y640" s="251"/>
      <c r="Z640" s="251"/>
    </row>
    <row r="641" spans="16:26" ht="10.199999999999999" customHeight="1">
      <c r="P641" s="251"/>
      <c r="Q641" s="251"/>
      <c r="R641" s="251"/>
      <c r="S641" s="251"/>
      <c r="T641" s="251"/>
      <c r="U641" s="251"/>
      <c r="V641" s="251"/>
      <c r="W641" s="251"/>
      <c r="X641" s="251"/>
      <c r="Y641" s="251"/>
      <c r="Z641" s="251"/>
    </row>
    <row r="642" spans="16:26" ht="10.199999999999999" customHeight="1">
      <c r="P642" s="241"/>
      <c r="Q642" s="241"/>
      <c r="R642" s="241"/>
      <c r="S642" s="241"/>
      <c r="T642" s="241"/>
      <c r="U642" s="241"/>
      <c r="V642" s="241"/>
      <c r="W642" s="241"/>
      <c r="X642" s="241"/>
      <c r="Y642" s="241"/>
      <c r="Z642" s="241"/>
    </row>
    <row r="643" spans="16:26" ht="10.199999999999999" customHeight="1">
      <c r="P643" s="241"/>
      <c r="Q643" s="241"/>
      <c r="R643" s="241"/>
      <c r="S643" s="241"/>
      <c r="T643" s="241"/>
      <c r="U643" s="241"/>
      <c r="V643" s="241"/>
      <c r="W643" s="241"/>
      <c r="X643" s="241"/>
      <c r="Y643" s="241"/>
      <c r="Z643" s="241"/>
    </row>
    <row r="644" spans="16:26" ht="10.199999999999999" customHeight="1">
      <c r="P644" s="241"/>
      <c r="Q644" s="241"/>
      <c r="R644" s="241"/>
      <c r="S644" s="241"/>
      <c r="T644" s="241"/>
      <c r="U644" s="241"/>
      <c r="V644" s="241"/>
      <c r="W644" s="241"/>
      <c r="X644" s="241"/>
      <c r="Y644" s="241"/>
      <c r="Z644" s="241"/>
    </row>
    <row r="645" spans="16:26" ht="10.199999999999999" customHeight="1">
      <c r="P645" s="241"/>
      <c r="Q645" s="241"/>
      <c r="R645" s="241"/>
      <c r="S645" s="241"/>
      <c r="T645" s="241"/>
      <c r="U645" s="241"/>
      <c r="V645" s="241"/>
      <c r="W645" s="241"/>
      <c r="X645" s="241"/>
      <c r="Y645" s="241"/>
      <c r="Z645" s="241"/>
    </row>
    <row r="646" spans="16:26" ht="10.199999999999999" customHeight="1">
      <c r="P646" s="241"/>
      <c r="Q646" s="241"/>
      <c r="R646" s="241"/>
      <c r="S646" s="241"/>
      <c r="T646" s="241"/>
      <c r="U646" s="241"/>
      <c r="V646" s="241"/>
      <c r="W646" s="241"/>
      <c r="X646" s="241"/>
      <c r="Y646" s="241"/>
      <c r="Z646" s="241"/>
    </row>
    <row r="647" spans="16:26" ht="10.199999999999999" customHeight="1">
      <c r="P647" s="241"/>
      <c r="Q647" s="241"/>
      <c r="R647" s="241"/>
      <c r="S647" s="241"/>
      <c r="T647" s="241"/>
      <c r="U647" s="241"/>
      <c r="V647" s="241"/>
      <c r="W647" s="241"/>
      <c r="X647" s="241"/>
      <c r="Y647" s="241"/>
      <c r="Z647" s="241"/>
    </row>
    <row r="648" spans="16:26" ht="10.199999999999999" customHeight="1">
      <c r="P648" s="241"/>
      <c r="Q648" s="241"/>
      <c r="R648" s="241"/>
      <c r="S648" s="241"/>
      <c r="T648" s="241"/>
      <c r="U648" s="241"/>
      <c r="V648" s="241"/>
      <c r="W648" s="241"/>
      <c r="X648" s="241"/>
      <c r="Y648" s="241"/>
      <c r="Z648" s="241"/>
    </row>
    <row r="649" spans="16:26" ht="10.199999999999999" customHeight="1">
      <c r="P649" s="241"/>
      <c r="Q649" s="241"/>
      <c r="R649" s="241"/>
      <c r="S649" s="241"/>
      <c r="T649" s="241"/>
      <c r="U649" s="241"/>
      <c r="V649" s="241"/>
      <c r="W649" s="241"/>
      <c r="X649" s="241"/>
      <c r="Y649" s="241"/>
      <c r="Z649" s="241"/>
    </row>
    <row r="650" spans="16:26" ht="10.199999999999999" customHeight="1">
      <c r="P650" s="241"/>
      <c r="Q650" s="241"/>
      <c r="R650" s="241"/>
      <c r="S650" s="241"/>
      <c r="T650" s="241"/>
      <c r="U650" s="241"/>
      <c r="V650" s="241"/>
      <c r="W650" s="241"/>
      <c r="X650" s="241"/>
      <c r="Y650" s="241"/>
      <c r="Z650" s="241"/>
    </row>
    <row r="651" spans="16:26" ht="10.199999999999999" customHeight="1">
      <c r="P651" s="241"/>
      <c r="Q651" s="241"/>
      <c r="R651" s="241"/>
      <c r="S651" s="241"/>
      <c r="T651" s="241"/>
      <c r="U651" s="241"/>
      <c r="V651" s="241"/>
      <c r="W651" s="241"/>
      <c r="X651" s="241"/>
      <c r="Y651" s="241"/>
      <c r="Z651" s="241"/>
    </row>
    <row r="652" spans="16:26" ht="10.199999999999999" customHeight="1">
      <c r="P652" s="241"/>
      <c r="Q652" s="241"/>
      <c r="R652" s="241"/>
      <c r="S652" s="241"/>
      <c r="T652" s="241"/>
      <c r="U652" s="241"/>
      <c r="V652" s="241"/>
      <c r="W652" s="241"/>
      <c r="X652" s="241"/>
      <c r="Y652" s="241"/>
      <c r="Z652" s="241"/>
    </row>
    <row r="653" spans="16:26" ht="10.199999999999999" customHeight="1">
      <c r="P653" s="241"/>
      <c r="Q653" s="241"/>
      <c r="R653" s="241"/>
      <c r="S653" s="241"/>
      <c r="T653" s="241"/>
      <c r="U653" s="241"/>
      <c r="V653" s="241"/>
      <c r="W653" s="241"/>
      <c r="X653" s="241"/>
      <c r="Y653" s="241"/>
      <c r="Z653" s="241"/>
    </row>
    <row r="654" spans="16:26" ht="10.199999999999999" customHeight="1">
      <c r="P654" s="241"/>
      <c r="Q654" s="241"/>
      <c r="R654" s="241"/>
      <c r="S654" s="241"/>
      <c r="T654" s="241"/>
      <c r="U654" s="241"/>
      <c r="V654" s="241"/>
      <c r="W654" s="241"/>
      <c r="X654" s="241"/>
      <c r="Y654" s="241"/>
      <c r="Z654" s="241"/>
    </row>
    <row r="655" spans="16:26" ht="10.199999999999999" customHeight="1">
      <c r="P655" s="241"/>
      <c r="Q655" s="241"/>
      <c r="R655" s="241"/>
      <c r="S655" s="241"/>
      <c r="T655" s="241"/>
      <c r="U655" s="241"/>
      <c r="V655" s="241"/>
      <c r="W655" s="241"/>
      <c r="X655" s="241"/>
      <c r="Y655" s="241"/>
      <c r="Z655" s="241"/>
    </row>
    <row r="656" spans="16:26" ht="10.199999999999999" customHeight="1">
      <c r="P656" s="241"/>
      <c r="Q656" s="241"/>
      <c r="R656" s="241"/>
      <c r="S656" s="241"/>
      <c r="T656" s="241"/>
      <c r="U656" s="241"/>
      <c r="V656" s="241"/>
      <c r="W656" s="241"/>
      <c r="X656" s="241"/>
      <c r="Y656" s="241"/>
      <c r="Z656" s="241"/>
    </row>
    <row r="657" spans="16:26" ht="10.199999999999999" customHeight="1">
      <c r="P657" s="241"/>
      <c r="Q657" s="241"/>
      <c r="R657" s="241"/>
      <c r="S657" s="241"/>
      <c r="T657" s="241"/>
      <c r="U657" s="241"/>
      <c r="V657" s="241"/>
      <c r="W657" s="241"/>
      <c r="X657" s="241"/>
      <c r="Y657" s="241"/>
      <c r="Z657" s="241"/>
    </row>
    <row r="658" spans="16:26" ht="10.199999999999999" customHeight="1">
      <c r="P658" s="241"/>
      <c r="Q658" s="241"/>
      <c r="R658" s="241"/>
      <c r="S658" s="241"/>
      <c r="T658" s="241"/>
      <c r="U658" s="241"/>
      <c r="V658" s="241"/>
      <c r="W658" s="241"/>
      <c r="X658" s="241"/>
      <c r="Y658" s="241"/>
      <c r="Z658" s="241"/>
    </row>
    <row r="659" spans="16:26" ht="10.199999999999999" customHeight="1">
      <c r="P659" s="241"/>
      <c r="Q659" s="241"/>
      <c r="R659" s="241"/>
      <c r="S659" s="241"/>
      <c r="T659" s="241"/>
      <c r="U659" s="241"/>
      <c r="V659" s="241"/>
      <c r="W659" s="241"/>
      <c r="X659" s="241"/>
      <c r="Y659" s="241"/>
      <c r="Z659" s="241"/>
    </row>
    <row r="660" spans="16:26" ht="10.199999999999999" customHeight="1">
      <c r="P660" s="241"/>
      <c r="Q660" s="241"/>
      <c r="R660" s="241"/>
      <c r="S660" s="241"/>
      <c r="T660" s="241"/>
      <c r="U660" s="241"/>
      <c r="V660" s="241"/>
      <c r="W660" s="241"/>
      <c r="X660" s="241"/>
      <c r="Y660" s="241"/>
      <c r="Z660" s="241"/>
    </row>
    <row r="661" spans="16:26" ht="10.199999999999999" customHeight="1">
      <c r="P661" s="241"/>
      <c r="Q661" s="241"/>
      <c r="R661" s="241"/>
      <c r="S661" s="241"/>
      <c r="T661" s="241"/>
      <c r="U661" s="241"/>
      <c r="V661" s="241"/>
      <c r="W661" s="241"/>
      <c r="X661" s="241"/>
      <c r="Y661" s="241"/>
      <c r="Z661" s="241"/>
    </row>
    <row r="662" spans="16:26" ht="10.199999999999999" customHeight="1">
      <c r="P662" s="241"/>
      <c r="Q662" s="241"/>
      <c r="R662" s="241"/>
      <c r="S662" s="241"/>
      <c r="T662" s="241"/>
      <c r="U662" s="241"/>
      <c r="V662" s="241"/>
      <c r="W662" s="241"/>
      <c r="X662" s="241"/>
      <c r="Y662" s="241"/>
      <c r="Z662" s="241"/>
    </row>
    <row r="663" spans="16:26" ht="10.199999999999999" customHeight="1">
      <c r="P663" s="241"/>
      <c r="Q663" s="241"/>
      <c r="R663" s="241"/>
      <c r="S663" s="241"/>
      <c r="T663" s="241"/>
      <c r="U663" s="241"/>
      <c r="V663" s="241"/>
      <c r="W663" s="241"/>
      <c r="X663" s="241"/>
      <c r="Y663" s="241"/>
      <c r="Z663" s="241"/>
    </row>
    <row r="664" spans="16:26" ht="10.199999999999999" customHeight="1">
      <c r="P664" s="241"/>
      <c r="Q664" s="241"/>
      <c r="R664" s="241"/>
      <c r="S664" s="241"/>
      <c r="T664" s="241"/>
      <c r="U664" s="241"/>
      <c r="V664" s="241"/>
      <c r="W664" s="241"/>
      <c r="X664" s="241"/>
      <c r="Y664" s="241"/>
      <c r="Z664" s="241"/>
    </row>
    <row r="665" spans="16:26" ht="10.199999999999999" customHeight="1">
      <c r="P665" s="241"/>
      <c r="Q665" s="241"/>
      <c r="R665" s="241"/>
      <c r="S665" s="241"/>
      <c r="T665" s="241"/>
      <c r="U665" s="241"/>
      <c r="V665" s="241"/>
      <c r="W665" s="241"/>
      <c r="X665" s="241"/>
      <c r="Y665" s="241"/>
      <c r="Z665" s="241"/>
    </row>
    <row r="666" spans="16:26" ht="10.199999999999999" customHeight="1">
      <c r="P666" s="241"/>
      <c r="Q666" s="241"/>
      <c r="R666" s="241"/>
      <c r="S666" s="241"/>
      <c r="T666" s="241"/>
      <c r="U666" s="241"/>
      <c r="V666" s="241"/>
      <c r="W666" s="241"/>
      <c r="X666" s="241"/>
      <c r="Y666" s="241"/>
      <c r="Z666" s="241"/>
    </row>
    <row r="667" spans="16:26" ht="10.199999999999999" customHeight="1">
      <c r="P667" s="241"/>
      <c r="Q667" s="241"/>
      <c r="R667" s="241"/>
      <c r="S667" s="241"/>
      <c r="T667" s="241"/>
      <c r="U667" s="241"/>
      <c r="V667" s="241"/>
      <c r="W667" s="241"/>
      <c r="X667" s="241"/>
      <c r="Y667" s="241"/>
      <c r="Z667" s="241"/>
    </row>
    <row r="668" spans="16:26" ht="10.199999999999999" customHeight="1">
      <c r="P668" s="241"/>
      <c r="Q668" s="241"/>
      <c r="R668" s="241"/>
      <c r="S668" s="241"/>
      <c r="T668" s="241"/>
      <c r="U668" s="241"/>
      <c r="V668" s="241"/>
      <c r="W668" s="241"/>
      <c r="X668" s="241"/>
      <c r="Y668" s="241"/>
      <c r="Z668" s="241"/>
    </row>
    <row r="669" spans="16:26" ht="10.199999999999999" customHeight="1">
      <c r="P669" s="241"/>
      <c r="Q669" s="241"/>
      <c r="R669" s="241"/>
      <c r="S669" s="241"/>
      <c r="T669" s="241"/>
      <c r="U669" s="241"/>
      <c r="V669" s="241"/>
      <c r="W669" s="241"/>
      <c r="X669" s="241"/>
      <c r="Y669" s="241"/>
      <c r="Z669" s="241"/>
    </row>
    <row r="670" spans="16:26" ht="10.199999999999999" customHeight="1">
      <c r="P670" s="241"/>
      <c r="Q670" s="241"/>
      <c r="R670" s="241"/>
      <c r="S670" s="241"/>
      <c r="T670" s="241"/>
      <c r="U670" s="241"/>
      <c r="V670" s="241"/>
      <c r="W670" s="241"/>
      <c r="X670" s="241"/>
      <c r="Y670" s="241"/>
      <c r="Z670" s="241"/>
    </row>
    <row r="671" spans="16:26" ht="10.199999999999999" customHeight="1">
      <c r="P671" s="241"/>
      <c r="Q671" s="241"/>
      <c r="R671" s="241"/>
      <c r="S671" s="241"/>
      <c r="T671" s="241"/>
      <c r="U671" s="241"/>
      <c r="V671" s="241"/>
      <c r="W671" s="241"/>
      <c r="X671" s="241"/>
      <c r="Y671" s="241"/>
      <c r="Z671" s="241"/>
    </row>
    <row r="672" spans="16:26" ht="10.199999999999999" customHeight="1">
      <c r="P672" s="241"/>
      <c r="Q672" s="241"/>
      <c r="R672" s="241"/>
      <c r="S672" s="241"/>
      <c r="T672" s="241"/>
      <c r="U672" s="241"/>
      <c r="V672" s="241"/>
      <c r="W672" s="241"/>
      <c r="X672" s="241"/>
      <c r="Y672" s="241"/>
      <c r="Z672" s="241"/>
    </row>
    <row r="673" spans="16:26" ht="10.199999999999999" customHeight="1">
      <c r="P673" s="241"/>
      <c r="Q673" s="241"/>
      <c r="R673" s="241"/>
      <c r="S673" s="241"/>
      <c r="T673" s="241"/>
      <c r="U673" s="241"/>
      <c r="V673" s="241"/>
      <c r="W673" s="241"/>
      <c r="X673" s="241"/>
      <c r="Y673" s="241"/>
      <c r="Z673" s="241"/>
    </row>
    <row r="674" spans="16:26" ht="10.199999999999999" customHeight="1">
      <c r="P674" s="241"/>
      <c r="Q674" s="241"/>
      <c r="R674" s="241"/>
      <c r="S674" s="241"/>
      <c r="T674" s="241"/>
      <c r="U674" s="241"/>
      <c r="V674" s="241"/>
      <c r="W674" s="241"/>
      <c r="X674" s="241"/>
      <c r="Y674" s="241"/>
      <c r="Z674" s="241"/>
    </row>
    <row r="675" spans="16:26" ht="10.199999999999999" customHeight="1">
      <c r="P675" s="241"/>
      <c r="Q675" s="241"/>
      <c r="R675" s="241"/>
      <c r="S675" s="241"/>
      <c r="T675" s="241"/>
      <c r="U675" s="241"/>
      <c r="V675" s="241"/>
      <c r="W675" s="241"/>
      <c r="X675" s="241"/>
      <c r="Y675" s="241"/>
      <c r="Z675" s="241"/>
    </row>
    <row r="676" spans="16:26" ht="10.199999999999999" customHeight="1">
      <c r="P676" s="241"/>
      <c r="Q676" s="241"/>
      <c r="R676" s="241"/>
      <c r="S676" s="241"/>
      <c r="T676" s="241"/>
      <c r="U676" s="241"/>
      <c r="V676" s="241"/>
      <c r="W676" s="241"/>
      <c r="X676" s="241"/>
      <c r="Y676" s="241"/>
      <c r="Z676" s="241"/>
    </row>
    <row r="677" spans="16:26" ht="10.199999999999999" customHeight="1">
      <c r="P677" s="241"/>
      <c r="Q677" s="241"/>
      <c r="R677" s="241"/>
      <c r="S677" s="241"/>
      <c r="T677" s="241"/>
      <c r="U677" s="241"/>
      <c r="V677" s="241"/>
      <c r="W677" s="241"/>
      <c r="X677" s="241"/>
      <c r="Y677" s="241"/>
      <c r="Z677" s="241"/>
    </row>
    <row r="678" spans="16:26" ht="10.199999999999999" customHeight="1">
      <c r="P678" s="241"/>
      <c r="Q678" s="241"/>
      <c r="R678" s="241"/>
      <c r="S678" s="241"/>
      <c r="T678" s="241"/>
      <c r="U678" s="241"/>
      <c r="V678" s="241"/>
      <c r="W678" s="241"/>
      <c r="X678" s="241"/>
      <c r="Y678" s="241"/>
      <c r="Z678" s="241"/>
    </row>
    <row r="679" spans="16:26" ht="10.199999999999999" customHeight="1">
      <c r="P679" s="241"/>
      <c r="Q679" s="241"/>
      <c r="R679" s="241"/>
      <c r="S679" s="241"/>
      <c r="T679" s="241"/>
      <c r="U679" s="241"/>
      <c r="V679" s="241"/>
      <c r="W679" s="241"/>
      <c r="X679" s="241"/>
      <c r="Y679" s="241"/>
      <c r="Z679" s="241"/>
    </row>
    <row r="680" spans="16:26" ht="10.199999999999999" customHeight="1">
      <c r="P680" s="241"/>
      <c r="Q680" s="241"/>
      <c r="R680" s="241"/>
      <c r="S680" s="241"/>
      <c r="T680" s="241"/>
      <c r="U680" s="241"/>
      <c r="V680" s="241"/>
      <c r="W680" s="241"/>
      <c r="X680" s="241"/>
      <c r="Y680" s="241"/>
      <c r="Z680" s="241"/>
    </row>
    <row r="681" spans="16:26" ht="10.199999999999999" customHeight="1">
      <c r="P681" s="241"/>
      <c r="Q681" s="241"/>
      <c r="R681" s="241"/>
      <c r="S681" s="241"/>
      <c r="T681" s="241"/>
      <c r="U681" s="241"/>
      <c r="V681" s="241"/>
      <c r="W681" s="241"/>
      <c r="X681" s="241"/>
      <c r="Y681" s="241"/>
      <c r="Z681" s="241"/>
    </row>
    <row r="682" spans="16:26" ht="10.199999999999999" customHeight="1">
      <c r="P682" s="241"/>
      <c r="Q682" s="241"/>
      <c r="R682" s="241"/>
      <c r="S682" s="241"/>
      <c r="T682" s="241"/>
      <c r="U682" s="241"/>
      <c r="V682" s="241"/>
      <c r="W682" s="241"/>
      <c r="X682" s="241"/>
      <c r="Y682" s="241"/>
      <c r="Z682" s="241"/>
    </row>
    <row r="683" spans="16:26" ht="10.199999999999999" customHeight="1">
      <c r="P683" s="241"/>
      <c r="Q683" s="241"/>
      <c r="R683" s="241"/>
      <c r="S683" s="241"/>
      <c r="T683" s="241"/>
      <c r="U683" s="241"/>
      <c r="V683" s="241"/>
      <c r="W683" s="241"/>
      <c r="X683" s="241"/>
      <c r="Y683" s="241"/>
      <c r="Z683" s="241"/>
    </row>
    <row r="684" spans="16:26" ht="10.199999999999999" customHeight="1">
      <c r="P684" s="241"/>
      <c r="Q684" s="241"/>
      <c r="R684" s="241"/>
      <c r="S684" s="241"/>
      <c r="T684" s="241"/>
      <c r="U684" s="241"/>
      <c r="V684" s="241"/>
      <c r="W684" s="241"/>
      <c r="X684" s="241"/>
      <c r="Y684" s="241"/>
      <c r="Z684" s="241"/>
    </row>
    <row r="685" spans="16:26" ht="10.199999999999999" customHeight="1">
      <c r="P685" s="241"/>
      <c r="Q685" s="241"/>
      <c r="R685" s="241"/>
      <c r="S685" s="241"/>
      <c r="T685" s="241"/>
      <c r="U685" s="241"/>
      <c r="V685" s="241"/>
      <c r="W685" s="241"/>
      <c r="X685" s="241"/>
      <c r="Y685" s="241"/>
      <c r="Z685" s="241"/>
    </row>
    <row r="686" spans="16:26" ht="10.199999999999999" customHeight="1">
      <c r="P686" s="241"/>
      <c r="Q686" s="241"/>
      <c r="R686" s="241"/>
      <c r="S686" s="241"/>
      <c r="T686" s="241"/>
      <c r="U686" s="241"/>
      <c r="V686" s="241"/>
      <c r="W686" s="241"/>
      <c r="X686" s="241"/>
      <c r="Y686" s="241"/>
      <c r="Z686" s="241"/>
    </row>
    <row r="687" spans="16:26" ht="10.199999999999999" customHeight="1">
      <c r="P687" s="241"/>
      <c r="Q687" s="241"/>
      <c r="R687" s="241"/>
      <c r="S687" s="241"/>
      <c r="T687" s="241"/>
      <c r="U687" s="241"/>
      <c r="V687" s="241"/>
      <c r="W687" s="241"/>
      <c r="X687" s="241"/>
      <c r="Y687" s="241"/>
      <c r="Z687" s="241"/>
    </row>
    <row r="688" spans="16:26" ht="10.199999999999999" customHeight="1">
      <c r="P688" s="241"/>
      <c r="Q688" s="241"/>
      <c r="R688" s="241"/>
      <c r="S688" s="241"/>
      <c r="T688" s="241"/>
      <c r="U688" s="241"/>
      <c r="V688" s="241"/>
      <c r="W688" s="241"/>
      <c r="X688" s="241"/>
      <c r="Y688" s="241"/>
      <c r="Z688" s="241"/>
    </row>
    <row r="689" spans="16:26" ht="10.199999999999999" customHeight="1">
      <c r="P689" s="241"/>
      <c r="Q689" s="241"/>
      <c r="R689" s="241"/>
      <c r="S689" s="241"/>
      <c r="T689" s="241"/>
      <c r="U689" s="241"/>
      <c r="V689" s="241"/>
      <c r="W689" s="241"/>
      <c r="X689" s="241"/>
      <c r="Y689" s="241"/>
      <c r="Z689" s="241"/>
    </row>
    <row r="690" spans="16:26" ht="10.199999999999999" customHeight="1">
      <c r="P690" s="241"/>
      <c r="Q690" s="241"/>
      <c r="R690" s="241"/>
      <c r="S690" s="241"/>
      <c r="T690" s="241"/>
      <c r="U690" s="241"/>
      <c r="V690" s="241"/>
      <c r="W690" s="241"/>
      <c r="X690" s="241"/>
      <c r="Y690" s="241"/>
      <c r="Z690" s="241"/>
    </row>
    <row r="691" spans="16:26" ht="10.199999999999999" customHeight="1">
      <c r="P691" s="241"/>
      <c r="Q691" s="241"/>
      <c r="R691" s="241"/>
      <c r="S691" s="241"/>
      <c r="T691" s="241"/>
      <c r="U691" s="241"/>
      <c r="V691" s="241"/>
      <c r="W691" s="241"/>
      <c r="X691" s="241"/>
      <c r="Y691" s="241"/>
      <c r="Z691" s="241"/>
    </row>
    <row r="692" spans="16:26" ht="10.199999999999999" customHeight="1">
      <c r="P692" s="241"/>
      <c r="Q692" s="241"/>
      <c r="R692" s="241"/>
      <c r="S692" s="241"/>
      <c r="T692" s="241"/>
      <c r="U692" s="241"/>
      <c r="V692" s="241"/>
      <c r="W692" s="241"/>
      <c r="X692" s="241"/>
      <c r="Y692" s="241"/>
      <c r="Z692" s="241"/>
    </row>
    <row r="693" spans="16:26" ht="10.199999999999999" customHeight="1">
      <c r="P693" s="241"/>
      <c r="Q693" s="241"/>
      <c r="R693" s="241"/>
      <c r="S693" s="241"/>
      <c r="T693" s="241"/>
      <c r="U693" s="241"/>
      <c r="V693" s="241"/>
      <c r="W693" s="241"/>
      <c r="X693" s="241"/>
      <c r="Y693" s="241"/>
      <c r="Z693" s="241"/>
    </row>
    <row r="694" spans="16:26" ht="10.199999999999999" customHeight="1">
      <c r="P694" s="241"/>
      <c r="Q694" s="241"/>
      <c r="R694" s="241"/>
      <c r="S694" s="241"/>
      <c r="T694" s="241"/>
      <c r="U694" s="241"/>
      <c r="V694" s="241"/>
      <c r="W694" s="241"/>
      <c r="X694" s="241"/>
      <c r="Y694" s="241"/>
      <c r="Z694" s="241"/>
    </row>
    <row r="695" spans="16:26" ht="10.199999999999999" customHeight="1">
      <c r="P695" s="241"/>
      <c r="Q695" s="241"/>
      <c r="R695" s="241"/>
      <c r="S695" s="241"/>
      <c r="T695" s="241"/>
      <c r="U695" s="241"/>
      <c r="V695" s="241"/>
      <c r="W695" s="241"/>
      <c r="X695" s="241"/>
      <c r="Y695" s="241"/>
      <c r="Z695" s="241"/>
    </row>
    <row r="696" spans="16:26" ht="10.199999999999999" customHeight="1">
      <c r="P696" s="241"/>
      <c r="Q696" s="241"/>
      <c r="R696" s="241"/>
      <c r="S696" s="241"/>
      <c r="T696" s="241"/>
      <c r="U696" s="241"/>
      <c r="V696" s="241"/>
      <c r="W696" s="241"/>
      <c r="X696" s="241"/>
      <c r="Y696" s="241"/>
      <c r="Z696" s="241"/>
    </row>
    <row r="697" spans="16:26" ht="10.199999999999999" customHeight="1">
      <c r="P697" s="241"/>
      <c r="Q697" s="241"/>
      <c r="R697" s="241"/>
      <c r="S697" s="241"/>
      <c r="T697" s="241"/>
      <c r="U697" s="241"/>
      <c r="V697" s="241"/>
      <c r="W697" s="241"/>
      <c r="X697" s="241"/>
      <c r="Y697" s="241"/>
      <c r="Z697" s="241"/>
    </row>
    <row r="698" spans="16:26" ht="10.199999999999999" customHeight="1">
      <c r="P698" s="241"/>
      <c r="Q698" s="241"/>
      <c r="R698" s="241"/>
      <c r="S698" s="241"/>
      <c r="T698" s="241"/>
      <c r="U698" s="241"/>
      <c r="V698" s="241"/>
      <c r="W698" s="241"/>
      <c r="X698" s="241"/>
      <c r="Y698" s="241"/>
      <c r="Z698" s="241"/>
    </row>
    <row r="699" spans="16:26" ht="10.199999999999999" customHeight="1">
      <c r="P699" s="241"/>
      <c r="Q699" s="241"/>
      <c r="R699" s="241"/>
      <c r="S699" s="241"/>
      <c r="T699" s="241"/>
      <c r="U699" s="241"/>
      <c r="V699" s="241"/>
      <c r="W699" s="241"/>
      <c r="X699" s="241"/>
      <c r="Y699" s="241"/>
      <c r="Z699" s="241"/>
    </row>
    <row r="700" spans="16:26" ht="10.199999999999999" customHeight="1">
      <c r="P700" s="241"/>
      <c r="Q700" s="241"/>
      <c r="R700" s="241"/>
      <c r="S700" s="241"/>
      <c r="T700" s="241"/>
      <c r="U700" s="241"/>
      <c r="V700" s="241"/>
      <c r="W700" s="241"/>
      <c r="X700" s="241"/>
      <c r="Y700" s="241"/>
      <c r="Z700" s="241"/>
    </row>
    <row r="701" spans="16:26" ht="10.199999999999999" customHeight="1">
      <c r="P701" s="241"/>
      <c r="Q701" s="241"/>
      <c r="R701" s="241"/>
      <c r="S701" s="241"/>
      <c r="T701" s="241"/>
      <c r="U701" s="241"/>
      <c r="V701" s="241"/>
      <c r="W701" s="241"/>
      <c r="X701" s="241"/>
      <c r="Y701" s="241"/>
      <c r="Z701" s="241"/>
    </row>
    <row r="702" spans="16:26" ht="10.199999999999999" customHeight="1">
      <c r="P702" s="241"/>
      <c r="Q702" s="241"/>
      <c r="R702" s="241"/>
      <c r="S702" s="241"/>
      <c r="T702" s="241"/>
      <c r="U702" s="241"/>
      <c r="V702" s="241"/>
      <c r="W702" s="241"/>
      <c r="X702" s="241"/>
      <c r="Y702" s="241"/>
      <c r="Z702" s="241"/>
    </row>
    <row r="703" spans="16:26" ht="10.199999999999999" customHeight="1">
      <c r="P703" s="241"/>
      <c r="Q703" s="241"/>
      <c r="R703" s="241"/>
      <c r="S703" s="241"/>
      <c r="T703" s="241"/>
      <c r="U703" s="241"/>
      <c r="V703" s="241"/>
      <c r="W703" s="241"/>
      <c r="X703" s="241"/>
      <c r="Y703" s="241"/>
      <c r="Z703" s="241"/>
    </row>
    <row r="704" spans="16:26" ht="10.199999999999999" customHeight="1">
      <c r="P704" s="241"/>
      <c r="Q704" s="241"/>
      <c r="R704" s="241"/>
      <c r="S704" s="241"/>
      <c r="T704" s="241"/>
      <c r="U704" s="241"/>
      <c r="V704" s="241"/>
      <c r="W704" s="241"/>
      <c r="X704" s="241"/>
      <c r="Y704" s="241"/>
      <c r="Z704" s="241"/>
    </row>
    <row r="705" spans="16:26" ht="10.199999999999999" customHeight="1">
      <c r="P705" s="241"/>
      <c r="Q705" s="241"/>
      <c r="R705" s="241"/>
      <c r="S705" s="241"/>
      <c r="T705" s="241"/>
      <c r="U705" s="241"/>
      <c r="V705" s="241"/>
      <c r="W705" s="241"/>
      <c r="X705" s="241"/>
      <c r="Y705" s="241"/>
      <c r="Z705" s="241"/>
    </row>
    <row r="706" spans="16:26" ht="10.199999999999999" customHeight="1">
      <c r="P706" s="241"/>
      <c r="Q706" s="241"/>
      <c r="R706" s="241"/>
      <c r="S706" s="241"/>
      <c r="T706" s="241"/>
      <c r="U706" s="241"/>
      <c r="V706" s="241"/>
      <c r="W706" s="241"/>
      <c r="X706" s="241"/>
      <c r="Y706" s="241"/>
      <c r="Z706" s="241"/>
    </row>
    <row r="707" spans="16:26" ht="10.199999999999999" customHeight="1">
      <c r="P707" s="241"/>
      <c r="Q707" s="241"/>
      <c r="R707" s="241"/>
      <c r="S707" s="241"/>
      <c r="T707" s="241"/>
      <c r="U707" s="241"/>
      <c r="V707" s="241"/>
      <c r="W707" s="241"/>
      <c r="X707" s="241"/>
      <c r="Y707" s="241"/>
      <c r="Z707" s="241"/>
    </row>
    <row r="708" spans="16:26" ht="10.199999999999999" customHeight="1">
      <c r="P708" s="241"/>
      <c r="Q708" s="241"/>
      <c r="R708" s="241"/>
      <c r="S708" s="241"/>
      <c r="T708" s="241"/>
      <c r="U708" s="241"/>
      <c r="V708" s="241"/>
      <c r="W708" s="241"/>
      <c r="X708" s="241"/>
      <c r="Y708" s="241"/>
      <c r="Z708" s="241"/>
    </row>
    <row r="709" spans="16:26" ht="10.199999999999999" customHeight="1">
      <c r="P709" s="241"/>
      <c r="Q709" s="241"/>
      <c r="R709" s="241"/>
      <c r="S709" s="241"/>
      <c r="T709" s="241"/>
      <c r="U709" s="241"/>
      <c r="V709" s="241"/>
      <c r="W709" s="241"/>
      <c r="X709" s="241"/>
      <c r="Y709" s="241"/>
      <c r="Z709" s="241"/>
    </row>
    <row r="710" spans="16:26" ht="10.199999999999999" customHeight="1">
      <c r="P710" s="241"/>
      <c r="Q710" s="241"/>
      <c r="R710" s="241"/>
      <c r="S710" s="241"/>
      <c r="T710" s="241"/>
      <c r="U710" s="241"/>
      <c r="V710" s="241"/>
      <c r="W710" s="241"/>
      <c r="X710" s="241"/>
      <c r="Y710" s="241"/>
      <c r="Z710" s="241"/>
    </row>
    <row r="711" spans="16:26" ht="10.199999999999999" customHeight="1">
      <c r="P711" s="241"/>
      <c r="Q711" s="241"/>
      <c r="R711" s="241"/>
      <c r="S711" s="241"/>
      <c r="T711" s="241"/>
      <c r="U711" s="241"/>
      <c r="V711" s="241"/>
      <c r="W711" s="241"/>
      <c r="X711" s="241"/>
      <c r="Y711" s="241"/>
      <c r="Z711" s="241"/>
    </row>
    <row r="712" spans="16:26" ht="10.199999999999999" customHeight="1">
      <c r="P712" s="241"/>
      <c r="Q712" s="241"/>
      <c r="R712" s="241"/>
      <c r="S712" s="241"/>
      <c r="T712" s="241"/>
      <c r="U712" s="241"/>
      <c r="V712" s="241"/>
      <c r="W712" s="241"/>
      <c r="X712" s="241"/>
      <c r="Y712" s="241"/>
      <c r="Z712" s="241"/>
    </row>
    <row r="713" spans="16:26" ht="10.199999999999999" customHeight="1">
      <c r="P713" s="241"/>
      <c r="Q713" s="241"/>
      <c r="R713" s="241"/>
      <c r="S713" s="241"/>
      <c r="T713" s="241"/>
      <c r="U713" s="241"/>
      <c r="V713" s="241"/>
      <c r="W713" s="241"/>
      <c r="X713" s="241"/>
      <c r="Y713" s="241"/>
      <c r="Z713" s="241"/>
    </row>
    <row r="714" spans="16:26" ht="10.199999999999999" customHeight="1">
      <c r="P714" s="241"/>
      <c r="Q714" s="241"/>
      <c r="R714" s="241"/>
      <c r="S714" s="241"/>
      <c r="T714" s="241"/>
      <c r="U714" s="241"/>
      <c r="V714" s="241"/>
      <c r="W714" s="241"/>
      <c r="X714" s="241"/>
      <c r="Y714" s="241"/>
      <c r="Z714" s="241"/>
    </row>
    <row r="715" spans="16:26" ht="10.199999999999999" customHeight="1">
      <c r="P715" s="241"/>
      <c r="Q715" s="241"/>
      <c r="R715" s="241"/>
      <c r="S715" s="241"/>
      <c r="T715" s="241"/>
      <c r="U715" s="241"/>
      <c r="V715" s="241"/>
      <c r="W715" s="241"/>
      <c r="X715" s="241"/>
      <c r="Y715" s="241"/>
      <c r="Z715" s="241"/>
    </row>
    <row r="716" spans="16:26" ht="10.199999999999999" customHeight="1">
      <c r="P716" s="241"/>
      <c r="Q716" s="241"/>
      <c r="R716" s="241"/>
      <c r="S716" s="241"/>
      <c r="T716" s="241"/>
      <c r="U716" s="241"/>
      <c r="V716" s="241"/>
      <c r="W716" s="241"/>
      <c r="X716" s="241"/>
      <c r="Y716" s="241"/>
      <c r="Z716" s="241"/>
    </row>
    <row r="717" spans="16:26" ht="10.199999999999999" customHeight="1">
      <c r="P717" s="241"/>
      <c r="Q717" s="241"/>
      <c r="R717" s="241"/>
      <c r="S717" s="241"/>
      <c r="T717" s="241"/>
      <c r="U717" s="241"/>
      <c r="V717" s="241"/>
      <c r="W717" s="241"/>
      <c r="X717" s="241"/>
      <c r="Y717" s="241"/>
      <c r="Z717" s="241"/>
    </row>
    <row r="718" spans="16:26" ht="10.199999999999999" customHeight="1">
      <c r="P718" s="241"/>
      <c r="Q718" s="241"/>
      <c r="R718" s="241"/>
      <c r="S718" s="241"/>
      <c r="T718" s="241"/>
      <c r="U718" s="241"/>
      <c r="V718" s="241"/>
      <c r="W718" s="241"/>
      <c r="X718" s="241"/>
      <c r="Y718" s="241"/>
      <c r="Z718" s="241"/>
    </row>
    <row r="719" spans="16:26" ht="10.199999999999999" customHeight="1">
      <c r="P719" s="241"/>
      <c r="Q719" s="241"/>
      <c r="R719" s="241"/>
      <c r="S719" s="241"/>
      <c r="T719" s="241"/>
      <c r="U719" s="241"/>
      <c r="V719" s="241"/>
      <c r="W719" s="241"/>
      <c r="X719" s="241"/>
      <c r="Y719" s="241"/>
      <c r="Z719" s="241"/>
    </row>
    <row r="720" spans="16:26" ht="10.199999999999999" customHeight="1">
      <c r="P720" s="241"/>
      <c r="Q720" s="241"/>
      <c r="R720" s="241"/>
      <c r="S720" s="241"/>
      <c r="T720" s="241"/>
      <c r="U720" s="241"/>
      <c r="V720" s="241"/>
      <c r="W720" s="241"/>
      <c r="X720" s="241"/>
      <c r="Y720" s="241"/>
      <c r="Z720" s="241"/>
    </row>
    <row r="721" spans="16:26" ht="10.199999999999999" customHeight="1">
      <c r="P721" s="241"/>
      <c r="Q721" s="241"/>
      <c r="R721" s="241"/>
      <c r="S721" s="241"/>
      <c r="T721" s="241"/>
      <c r="U721" s="241"/>
      <c r="V721" s="241"/>
      <c r="W721" s="241"/>
      <c r="X721" s="241"/>
      <c r="Y721" s="241"/>
      <c r="Z721" s="241"/>
    </row>
    <row r="722" spans="16:26" ht="10.199999999999999" customHeight="1">
      <c r="P722" s="241"/>
      <c r="Q722" s="241"/>
      <c r="R722" s="241"/>
      <c r="S722" s="241"/>
      <c r="T722" s="241"/>
      <c r="U722" s="241"/>
      <c r="V722" s="241"/>
      <c r="W722" s="241"/>
      <c r="X722" s="241"/>
      <c r="Y722" s="241"/>
      <c r="Z722" s="241"/>
    </row>
    <row r="723" spans="16:26" ht="10.199999999999999" customHeight="1">
      <c r="P723" s="241"/>
      <c r="Q723" s="241"/>
      <c r="R723" s="241"/>
      <c r="S723" s="241"/>
      <c r="T723" s="241"/>
      <c r="U723" s="241"/>
      <c r="V723" s="241"/>
      <c r="W723" s="241"/>
      <c r="X723" s="241"/>
      <c r="Y723" s="241"/>
      <c r="Z723" s="241"/>
    </row>
    <row r="724" spans="16:26" ht="10.199999999999999" customHeight="1">
      <c r="P724" s="241"/>
      <c r="Q724" s="241"/>
      <c r="R724" s="241"/>
      <c r="S724" s="241"/>
      <c r="T724" s="241"/>
      <c r="U724" s="241"/>
      <c r="V724" s="241"/>
      <c r="W724" s="241"/>
      <c r="X724" s="241"/>
      <c r="Y724" s="241"/>
      <c r="Z724" s="241"/>
    </row>
    <row r="725" spans="16:26" ht="10.199999999999999" customHeight="1">
      <c r="P725" s="241"/>
      <c r="Q725" s="241"/>
      <c r="R725" s="241"/>
      <c r="S725" s="241"/>
      <c r="T725" s="241"/>
      <c r="U725" s="241"/>
      <c r="V725" s="241"/>
      <c r="W725" s="241"/>
      <c r="X725" s="241"/>
      <c r="Y725" s="241"/>
      <c r="Z725" s="241"/>
    </row>
    <row r="726" spans="16:26" ht="10.199999999999999" customHeight="1">
      <c r="P726" s="241"/>
      <c r="Q726" s="241"/>
      <c r="R726" s="241"/>
      <c r="S726" s="241"/>
      <c r="T726" s="241"/>
      <c r="U726" s="241"/>
      <c r="V726" s="241"/>
      <c r="W726" s="241"/>
      <c r="X726" s="241"/>
      <c r="Y726" s="241"/>
      <c r="Z726" s="241"/>
    </row>
    <row r="727" spans="16:26" ht="10.199999999999999" customHeight="1">
      <c r="P727" s="241"/>
      <c r="Q727" s="241"/>
      <c r="R727" s="241"/>
      <c r="S727" s="241"/>
      <c r="T727" s="241"/>
      <c r="U727" s="241"/>
      <c r="V727" s="241"/>
      <c r="W727" s="241"/>
      <c r="X727" s="241"/>
      <c r="Y727" s="241"/>
      <c r="Z727" s="241"/>
    </row>
    <row r="728" spans="16:26" ht="10.199999999999999" customHeight="1">
      <c r="P728" s="241"/>
      <c r="Q728" s="241"/>
      <c r="R728" s="241"/>
      <c r="S728" s="241"/>
      <c r="T728" s="241"/>
      <c r="U728" s="241"/>
      <c r="V728" s="241"/>
      <c r="W728" s="241"/>
      <c r="X728" s="241"/>
      <c r="Y728" s="241"/>
      <c r="Z728" s="241"/>
    </row>
    <row r="729" spans="16:26" ht="10.199999999999999" customHeight="1">
      <c r="P729" s="241"/>
      <c r="Q729" s="241"/>
      <c r="R729" s="241"/>
      <c r="S729" s="241"/>
      <c r="T729" s="241"/>
      <c r="U729" s="241"/>
      <c r="V729" s="241"/>
      <c r="W729" s="241"/>
      <c r="X729" s="241"/>
      <c r="Y729" s="241"/>
      <c r="Z729" s="241"/>
    </row>
    <row r="730" spans="16:26" ht="10.199999999999999" customHeight="1">
      <c r="P730" s="241"/>
      <c r="Q730" s="241"/>
      <c r="R730" s="241"/>
      <c r="S730" s="241"/>
      <c r="T730" s="241"/>
      <c r="U730" s="241"/>
      <c r="V730" s="241"/>
      <c r="W730" s="241"/>
      <c r="X730" s="241"/>
      <c r="Y730" s="241"/>
      <c r="Z730" s="241"/>
    </row>
    <row r="731" spans="16:26" ht="10.199999999999999" customHeight="1">
      <c r="P731" s="241"/>
      <c r="Q731" s="241"/>
      <c r="R731" s="241"/>
      <c r="S731" s="241"/>
      <c r="T731" s="241"/>
      <c r="U731" s="241"/>
      <c r="V731" s="241"/>
      <c r="W731" s="241"/>
      <c r="X731" s="241"/>
      <c r="Y731" s="241"/>
      <c r="Z731" s="241"/>
    </row>
    <row r="732" spans="16:26" ht="10.199999999999999" customHeight="1">
      <c r="P732" s="241"/>
      <c r="Q732" s="241"/>
      <c r="R732" s="241"/>
      <c r="S732" s="241"/>
      <c r="T732" s="241"/>
      <c r="U732" s="241"/>
      <c r="V732" s="241"/>
      <c r="W732" s="241"/>
      <c r="X732" s="241"/>
      <c r="Y732" s="241"/>
      <c r="Z732" s="241"/>
    </row>
    <row r="733" spans="16:26" ht="10.199999999999999" customHeight="1">
      <c r="P733" s="241"/>
      <c r="Q733" s="241"/>
      <c r="R733" s="241"/>
      <c r="S733" s="241"/>
      <c r="T733" s="241"/>
      <c r="U733" s="241"/>
      <c r="V733" s="241"/>
      <c r="W733" s="241"/>
      <c r="X733" s="241"/>
      <c r="Y733" s="241"/>
      <c r="Z733" s="241"/>
    </row>
    <row r="734" spans="16:26" ht="10.199999999999999" customHeight="1">
      <c r="P734" s="241"/>
      <c r="Q734" s="241"/>
      <c r="R734" s="241"/>
      <c r="S734" s="241"/>
      <c r="T734" s="241"/>
      <c r="U734" s="241"/>
      <c r="V734" s="241"/>
      <c r="W734" s="241"/>
      <c r="X734" s="241"/>
      <c r="Y734" s="241"/>
      <c r="Z734" s="241"/>
    </row>
    <row r="735" spans="16:26" ht="10.199999999999999" customHeight="1">
      <c r="P735" s="241"/>
      <c r="Q735" s="241"/>
      <c r="R735" s="241"/>
      <c r="S735" s="241"/>
      <c r="T735" s="241"/>
      <c r="U735" s="241"/>
      <c r="V735" s="241"/>
      <c r="W735" s="241"/>
      <c r="X735" s="241"/>
      <c r="Y735" s="241"/>
      <c r="Z735" s="241"/>
    </row>
    <row r="736" spans="16:26" ht="10.199999999999999" customHeight="1">
      <c r="P736" s="241"/>
      <c r="Q736" s="241"/>
      <c r="R736" s="241"/>
      <c r="S736" s="241"/>
      <c r="T736" s="241"/>
      <c r="U736" s="241"/>
      <c r="V736" s="241"/>
      <c r="W736" s="241"/>
      <c r="X736" s="241"/>
      <c r="Y736" s="241"/>
      <c r="Z736" s="241"/>
    </row>
    <row r="737" spans="16:26" ht="10.199999999999999" customHeight="1">
      <c r="P737" s="241"/>
      <c r="Q737" s="241"/>
      <c r="R737" s="241"/>
      <c r="S737" s="241"/>
      <c r="T737" s="241"/>
      <c r="U737" s="241"/>
      <c r="V737" s="241"/>
      <c r="W737" s="241"/>
      <c r="X737" s="241"/>
      <c r="Y737" s="241"/>
      <c r="Z737" s="241"/>
    </row>
    <row r="738" spans="16:26" ht="10.199999999999999" customHeight="1">
      <c r="P738" s="241"/>
      <c r="Q738" s="241"/>
      <c r="R738" s="241"/>
      <c r="S738" s="241"/>
      <c r="T738" s="241"/>
      <c r="U738" s="241"/>
      <c r="V738" s="241"/>
      <c r="W738" s="241"/>
      <c r="X738" s="241"/>
      <c r="Y738" s="241"/>
      <c r="Z738" s="241"/>
    </row>
    <row r="739" spans="16:26" ht="10.199999999999999" customHeight="1">
      <c r="P739" s="241"/>
      <c r="Q739" s="241"/>
      <c r="R739" s="241"/>
      <c r="S739" s="241"/>
      <c r="T739" s="241"/>
      <c r="U739" s="241"/>
      <c r="V739" s="241"/>
      <c r="W739" s="241"/>
      <c r="X739" s="241"/>
      <c r="Y739" s="241"/>
      <c r="Z739" s="241"/>
    </row>
    <row r="740" spans="16:26" ht="10.199999999999999" customHeight="1">
      <c r="P740" s="241"/>
      <c r="Q740" s="241"/>
      <c r="R740" s="241"/>
      <c r="S740" s="241"/>
      <c r="T740" s="241"/>
      <c r="U740" s="241"/>
      <c r="V740" s="241"/>
      <c r="W740" s="241"/>
      <c r="X740" s="241"/>
      <c r="Y740" s="241"/>
      <c r="Z740" s="241"/>
    </row>
    <row r="741" spans="16:26" ht="10.199999999999999" customHeight="1">
      <c r="P741" s="241"/>
      <c r="Q741" s="241"/>
      <c r="R741" s="241"/>
      <c r="S741" s="241"/>
      <c r="T741" s="241"/>
      <c r="U741" s="241"/>
      <c r="V741" s="241"/>
      <c r="W741" s="241"/>
      <c r="X741" s="241"/>
      <c r="Y741" s="241"/>
      <c r="Z741" s="241"/>
    </row>
    <row r="742" spans="16:26" ht="10.199999999999999" customHeight="1">
      <c r="P742" s="241"/>
      <c r="Q742" s="241"/>
      <c r="R742" s="241"/>
      <c r="S742" s="241"/>
      <c r="T742" s="241"/>
      <c r="U742" s="241"/>
      <c r="V742" s="241"/>
      <c r="W742" s="241"/>
      <c r="X742" s="241"/>
      <c r="Y742" s="241"/>
      <c r="Z742" s="241"/>
    </row>
    <row r="743" spans="16:26" ht="10.199999999999999" customHeight="1">
      <c r="P743" s="241"/>
      <c r="Q743" s="241"/>
      <c r="R743" s="241"/>
      <c r="S743" s="241"/>
      <c r="T743" s="241"/>
      <c r="U743" s="241"/>
      <c r="V743" s="241"/>
      <c r="W743" s="241"/>
      <c r="X743" s="241"/>
      <c r="Y743" s="241"/>
      <c r="Z743" s="241"/>
    </row>
    <row r="744" spans="16:26" ht="10.199999999999999" customHeight="1">
      <c r="P744" s="241"/>
      <c r="Q744" s="241"/>
      <c r="R744" s="241"/>
      <c r="S744" s="241"/>
      <c r="T744" s="241"/>
      <c r="U744" s="241"/>
      <c r="V744" s="241"/>
      <c r="W744" s="241"/>
      <c r="X744" s="241"/>
      <c r="Y744" s="241"/>
      <c r="Z744" s="241"/>
    </row>
    <row r="745" spans="16:26" ht="10.199999999999999" customHeight="1">
      <c r="P745" s="241"/>
      <c r="Q745" s="241"/>
      <c r="R745" s="241"/>
      <c r="S745" s="241"/>
      <c r="T745" s="241"/>
      <c r="U745" s="241"/>
      <c r="V745" s="241"/>
      <c r="W745" s="241"/>
      <c r="X745" s="241"/>
      <c r="Y745" s="241"/>
      <c r="Z745" s="241"/>
    </row>
    <row r="746" spans="16:26" ht="10.199999999999999" customHeight="1">
      <c r="P746" s="241"/>
      <c r="Q746" s="241"/>
      <c r="R746" s="241"/>
      <c r="S746" s="241"/>
      <c r="T746" s="241"/>
      <c r="U746" s="241"/>
      <c r="V746" s="241"/>
      <c r="W746" s="241"/>
      <c r="X746" s="241"/>
      <c r="Y746" s="241"/>
      <c r="Z746" s="241"/>
    </row>
    <row r="747" spans="16:26" ht="10.199999999999999" customHeight="1">
      <c r="P747" s="241"/>
      <c r="Q747" s="241"/>
      <c r="R747" s="241"/>
      <c r="S747" s="241"/>
      <c r="T747" s="241"/>
      <c r="U747" s="241"/>
      <c r="V747" s="241"/>
      <c r="W747" s="241"/>
      <c r="X747" s="241"/>
      <c r="Y747" s="241"/>
      <c r="Z747" s="241"/>
    </row>
    <row r="748" spans="16:26" ht="10.199999999999999" customHeight="1">
      <c r="P748" s="241"/>
      <c r="Q748" s="241"/>
      <c r="R748" s="241"/>
      <c r="S748" s="241"/>
      <c r="T748" s="241"/>
      <c r="U748" s="241"/>
      <c r="V748" s="241"/>
      <c r="W748" s="241"/>
      <c r="X748" s="241"/>
      <c r="Y748" s="241"/>
      <c r="Z748" s="241"/>
    </row>
    <row r="749" spans="16:26" ht="10.199999999999999" customHeight="1">
      <c r="P749" s="241"/>
      <c r="Q749" s="241"/>
      <c r="R749" s="241"/>
      <c r="S749" s="241"/>
      <c r="T749" s="241"/>
      <c r="U749" s="241"/>
      <c r="V749" s="241"/>
      <c r="W749" s="241"/>
      <c r="X749" s="241"/>
      <c r="Y749" s="241"/>
      <c r="Z749" s="241"/>
    </row>
    <row r="750" spans="16:26" ht="10.199999999999999" customHeight="1">
      <c r="P750" s="241"/>
      <c r="Q750" s="241"/>
      <c r="R750" s="241"/>
      <c r="S750" s="241"/>
      <c r="T750" s="241"/>
      <c r="U750" s="241"/>
      <c r="V750" s="241"/>
      <c r="W750" s="241"/>
      <c r="X750" s="241"/>
      <c r="Y750" s="241"/>
      <c r="Z750" s="241"/>
    </row>
    <row r="751" spans="16:26" ht="10.199999999999999" customHeight="1">
      <c r="P751" s="241"/>
      <c r="Q751" s="241"/>
      <c r="R751" s="241"/>
      <c r="S751" s="241"/>
      <c r="T751" s="241"/>
      <c r="U751" s="241"/>
      <c r="V751" s="241"/>
      <c r="W751" s="241"/>
      <c r="X751" s="241"/>
      <c r="Y751" s="241"/>
      <c r="Z751" s="241"/>
    </row>
    <row r="752" spans="16:26" ht="10.199999999999999" customHeight="1">
      <c r="P752" s="241"/>
      <c r="Q752" s="241"/>
      <c r="R752" s="241"/>
      <c r="S752" s="241"/>
      <c r="T752" s="241"/>
      <c r="U752" s="241"/>
      <c r="V752" s="241"/>
      <c r="W752" s="241"/>
      <c r="X752" s="241"/>
      <c r="Y752" s="241"/>
      <c r="Z752" s="241"/>
    </row>
    <row r="753" spans="16:26" ht="10.199999999999999" customHeight="1">
      <c r="P753" s="241"/>
      <c r="Q753" s="241"/>
      <c r="R753" s="241"/>
      <c r="S753" s="241"/>
      <c r="T753" s="241"/>
      <c r="U753" s="241"/>
      <c r="V753" s="241"/>
      <c r="W753" s="241"/>
      <c r="X753" s="241"/>
      <c r="Y753" s="241"/>
      <c r="Z753" s="241"/>
    </row>
    <row r="754" spans="16:26" ht="10.199999999999999" customHeight="1">
      <c r="P754" s="241"/>
      <c r="Q754" s="241"/>
      <c r="R754" s="241"/>
      <c r="S754" s="241"/>
      <c r="T754" s="241"/>
      <c r="U754" s="241"/>
      <c r="V754" s="241"/>
      <c r="W754" s="241"/>
      <c r="X754" s="241"/>
      <c r="Y754" s="241"/>
      <c r="Z754" s="241"/>
    </row>
    <row r="755" spans="16:26" ht="10.199999999999999" customHeight="1">
      <c r="P755" s="241"/>
      <c r="Q755" s="241"/>
      <c r="R755" s="241"/>
      <c r="S755" s="241"/>
      <c r="T755" s="241"/>
      <c r="U755" s="241"/>
      <c r="V755" s="241"/>
      <c r="W755" s="241"/>
      <c r="X755" s="241"/>
      <c r="Y755" s="241"/>
      <c r="Z755" s="241"/>
    </row>
    <row r="756" spans="16:26" ht="10.199999999999999" customHeight="1">
      <c r="P756" s="241"/>
      <c r="Q756" s="241"/>
      <c r="R756" s="241"/>
      <c r="S756" s="241"/>
      <c r="T756" s="241"/>
      <c r="U756" s="241"/>
      <c r="V756" s="241"/>
      <c r="W756" s="241"/>
      <c r="X756" s="241"/>
      <c r="Y756" s="241"/>
      <c r="Z756" s="241"/>
    </row>
    <row r="757" spans="16:26" ht="10.199999999999999" customHeight="1">
      <c r="P757" s="241"/>
      <c r="Q757" s="241"/>
      <c r="R757" s="241"/>
      <c r="S757" s="241"/>
      <c r="T757" s="241"/>
      <c r="U757" s="241"/>
      <c r="V757" s="241"/>
      <c r="W757" s="241"/>
      <c r="X757" s="241"/>
      <c r="Y757" s="241"/>
      <c r="Z757" s="241"/>
    </row>
    <row r="758" spans="16:26" ht="10.199999999999999" customHeight="1">
      <c r="P758" s="241"/>
      <c r="Q758" s="241"/>
      <c r="R758" s="241"/>
      <c r="S758" s="241"/>
      <c r="T758" s="241"/>
      <c r="U758" s="241"/>
      <c r="V758" s="241"/>
      <c r="W758" s="241"/>
      <c r="X758" s="241"/>
      <c r="Y758" s="241"/>
      <c r="Z758" s="241"/>
    </row>
    <row r="759" spans="16:26" ht="10.199999999999999" customHeight="1">
      <c r="P759" s="241"/>
      <c r="Q759" s="241"/>
      <c r="R759" s="241"/>
      <c r="S759" s="241"/>
      <c r="T759" s="241"/>
      <c r="U759" s="241"/>
      <c r="V759" s="241"/>
      <c r="W759" s="241"/>
      <c r="X759" s="241"/>
      <c r="Y759" s="241"/>
      <c r="Z759" s="241"/>
    </row>
    <row r="760" spans="16:26" ht="10.199999999999999" customHeight="1">
      <c r="P760" s="241"/>
      <c r="Q760" s="241"/>
      <c r="R760" s="241"/>
      <c r="S760" s="241"/>
      <c r="T760" s="241"/>
      <c r="U760" s="241"/>
      <c r="V760" s="241"/>
      <c r="W760" s="241"/>
      <c r="X760" s="241"/>
      <c r="Y760" s="241"/>
      <c r="Z760" s="241"/>
    </row>
    <row r="761" spans="16:26" ht="10.199999999999999" customHeight="1">
      <c r="P761" s="241"/>
      <c r="Q761" s="241"/>
      <c r="R761" s="241"/>
      <c r="S761" s="241"/>
      <c r="T761" s="241"/>
      <c r="U761" s="241"/>
      <c r="V761" s="241"/>
      <c r="W761" s="241"/>
      <c r="X761" s="241"/>
      <c r="Y761" s="241"/>
      <c r="Z761" s="241"/>
    </row>
    <row r="762" spans="16:26" ht="10.199999999999999" customHeight="1">
      <c r="P762" s="241"/>
      <c r="Q762" s="241"/>
      <c r="R762" s="241"/>
      <c r="S762" s="241"/>
      <c r="T762" s="241"/>
      <c r="U762" s="241"/>
      <c r="V762" s="241"/>
      <c r="W762" s="241"/>
      <c r="X762" s="241"/>
      <c r="Y762" s="241"/>
      <c r="Z762" s="241"/>
    </row>
    <row r="763" spans="16:26" ht="10.199999999999999" customHeight="1">
      <c r="P763" s="241"/>
      <c r="Q763" s="241"/>
      <c r="R763" s="241"/>
      <c r="S763" s="241"/>
      <c r="T763" s="241"/>
      <c r="U763" s="241"/>
      <c r="V763" s="241"/>
      <c r="W763" s="241"/>
      <c r="X763" s="241"/>
      <c r="Y763" s="241"/>
      <c r="Z763" s="241"/>
    </row>
    <row r="764" spans="16:26" ht="10.199999999999999" customHeight="1">
      <c r="P764" s="241"/>
      <c r="Q764" s="241"/>
      <c r="R764" s="241"/>
      <c r="S764" s="241"/>
      <c r="T764" s="241"/>
      <c r="U764" s="241"/>
      <c r="V764" s="241"/>
      <c r="W764" s="241"/>
      <c r="X764" s="241"/>
      <c r="Y764" s="241"/>
      <c r="Z764" s="241"/>
    </row>
    <row r="765" spans="16:26" ht="10.199999999999999" customHeight="1">
      <c r="P765" s="241"/>
      <c r="Q765" s="241"/>
      <c r="R765" s="241"/>
      <c r="S765" s="241"/>
      <c r="T765" s="241"/>
      <c r="U765" s="241"/>
      <c r="V765" s="241"/>
      <c r="W765" s="241"/>
      <c r="X765" s="241"/>
      <c r="Y765" s="241"/>
      <c r="Z765" s="241"/>
    </row>
    <row r="766" spans="16:26" ht="10.199999999999999" customHeight="1">
      <c r="P766" s="241"/>
      <c r="Q766" s="241"/>
      <c r="R766" s="241"/>
      <c r="S766" s="241"/>
      <c r="T766" s="241"/>
      <c r="U766" s="241"/>
      <c r="V766" s="241"/>
      <c r="W766" s="241"/>
      <c r="X766" s="241"/>
      <c r="Y766" s="241"/>
      <c r="Z766" s="241"/>
    </row>
    <row r="767" spans="16:26" ht="10.199999999999999" customHeight="1">
      <c r="P767" s="241"/>
      <c r="Q767" s="241"/>
      <c r="R767" s="241"/>
      <c r="S767" s="241"/>
      <c r="T767" s="241"/>
      <c r="U767" s="241"/>
      <c r="V767" s="241"/>
      <c r="W767" s="241"/>
      <c r="X767" s="241"/>
      <c r="Y767" s="241"/>
      <c r="Z767" s="241"/>
    </row>
    <row r="768" spans="16:26" ht="10.199999999999999" customHeight="1">
      <c r="P768" s="241"/>
      <c r="Q768" s="241"/>
      <c r="R768" s="241"/>
      <c r="S768" s="241"/>
      <c r="T768" s="241"/>
      <c r="U768" s="241"/>
      <c r="V768" s="241"/>
      <c r="W768" s="241"/>
      <c r="X768" s="241"/>
      <c r="Y768" s="241"/>
      <c r="Z768" s="241"/>
    </row>
    <row r="769" spans="16:26" ht="10.199999999999999" customHeight="1">
      <c r="P769" s="241"/>
      <c r="Q769" s="241"/>
      <c r="R769" s="241"/>
      <c r="S769" s="241"/>
      <c r="T769" s="241"/>
      <c r="U769" s="241"/>
      <c r="V769" s="241"/>
      <c r="W769" s="241"/>
      <c r="X769" s="241"/>
      <c r="Y769" s="241"/>
      <c r="Z769" s="241"/>
    </row>
    <row r="770" spans="16:26" ht="10.199999999999999" customHeight="1">
      <c r="P770" s="241"/>
      <c r="Q770" s="241"/>
      <c r="R770" s="241"/>
      <c r="S770" s="241"/>
      <c r="T770" s="241"/>
      <c r="U770" s="241"/>
      <c r="V770" s="241"/>
      <c r="W770" s="241"/>
      <c r="X770" s="241"/>
      <c r="Y770" s="241"/>
      <c r="Z770" s="241"/>
    </row>
    <row r="771" spans="16:26" ht="10.199999999999999" customHeight="1">
      <c r="P771" s="241"/>
      <c r="Q771" s="241"/>
      <c r="R771" s="241"/>
      <c r="S771" s="241"/>
      <c r="T771" s="241"/>
      <c r="U771" s="241"/>
      <c r="V771" s="241"/>
      <c r="W771" s="241"/>
      <c r="X771" s="241"/>
      <c r="Y771" s="241"/>
      <c r="Z771" s="241"/>
    </row>
    <row r="772" spans="16:26" ht="10.199999999999999" customHeight="1">
      <c r="P772" s="241"/>
      <c r="Q772" s="241"/>
      <c r="R772" s="241"/>
      <c r="S772" s="241"/>
      <c r="T772" s="241"/>
      <c r="U772" s="241"/>
      <c r="V772" s="241"/>
      <c r="W772" s="241"/>
      <c r="X772" s="241"/>
      <c r="Y772" s="241"/>
      <c r="Z772" s="241"/>
    </row>
    <row r="773" spans="16:26" ht="10.199999999999999" customHeight="1">
      <c r="P773" s="241"/>
      <c r="Q773" s="241"/>
      <c r="R773" s="241"/>
      <c r="S773" s="241"/>
      <c r="T773" s="241"/>
      <c r="U773" s="241"/>
      <c r="V773" s="241"/>
      <c r="W773" s="241"/>
      <c r="X773" s="241"/>
      <c r="Y773" s="241"/>
      <c r="Z773" s="241"/>
    </row>
    <row r="774" spans="16:26" ht="10.199999999999999" customHeight="1">
      <c r="P774" s="241"/>
      <c r="Q774" s="241"/>
      <c r="R774" s="241"/>
      <c r="S774" s="241"/>
      <c r="T774" s="241"/>
      <c r="U774" s="241"/>
      <c r="V774" s="241"/>
      <c r="W774" s="241"/>
      <c r="X774" s="241"/>
      <c r="Y774" s="241"/>
      <c r="Z774" s="241"/>
    </row>
    <row r="775" spans="16:26" ht="10.199999999999999" customHeight="1">
      <c r="P775" s="241"/>
      <c r="Q775" s="241"/>
      <c r="R775" s="241"/>
      <c r="S775" s="241"/>
      <c r="T775" s="241"/>
      <c r="U775" s="241"/>
      <c r="V775" s="241"/>
      <c r="W775" s="241"/>
      <c r="X775" s="241"/>
      <c r="Y775" s="241"/>
      <c r="Z775" s="241"/>
    </row>
    <row r="776" spans="16:26" ht="10.199999999999999" customHeight="1">
      <c r="P776" s="241"/>
      <c r="Q776" s="241"/>
      <c r="R776" s="241"/>
      <c r="S776" s="241"/>
      <c r="T776" s="241"/>
      <c r="U776" s="241"/>
      <c r="V776" s="241"/>
      <c r="W776" s="241"/>
      <c r="X776" s="241"/>
      <c r="Y776" s="241"/>
      <c r="Z776" s="241"/>
    </row>
    <row r="777" spans="16:26" ht="10.199999999999999" customHeight="1">
      <c r="P777" s="241"/>
      <c r="Q777" s="241"/>
      <c r="R777" s="241"/>
      <c r="S777" s="241"/>
      <c r="T777" s="241"/>
      <c r="U777" s="241"/>
      <c r="V777" s="241"/>
      <c r="W777" s="241"/>
      <c r="X777" s="241"/>
      <c r="Y777" s="241"/>
      <c r="Z777" s="241"/>
    </row>
    <row r="778" spans="16:26" ht="10.199999999999999" customHeight="1">
      <c r="P778" s="241"/>
      <c r="Q778" s="241"/>
      <c r="R778" s="241"/>
      <c r="S778" s="241"/>
      <c r="T778" s="241"/>
      <c r="U778" s="241"/>
      <c r="V778" s="241"/>
      <c r="W778" s="241"/>
      <c r="X778" s="241"/>
      <c r="Y778" s="241"/>
      <c r="Z778" s="241"/>
    </row>
    <row r="779" spans="16:26" ht="10.199999999999999" customHeight="1">
      <c r="P779" s="241"/>
      <c r="Q779" s="241"/>
      <c r="R779" s="241"/>
      <c r="S779" s="241"/>
      <c r="T779" s="241"/>
      <c r="U779" s="241"/>
      <c r="V779" s="241"/>
      <c r="W779" s="241"/>
      <c r="X779" s="241"/>
      <c r="Y779" s="241"/>
      <c r="Z779" s="241"/>
    </row>
    <row r="780" spans="16:26" ht="10.199999999999999" customHeight="1">
      <c r="P780" s="241"/>
      <c r="Q780" s="241"/>
      <c r="R780" s="241"/>
      <c r="S780" s="241"/>
      <c r="T780" s="241"/>
      <c r="U780" s="241"/>
      <c r="V780" s="241"/>
      <c r="W780" s="241"/>
      <c r="X780" s="241"/>
      <c r="Y780" s="241"/>
      <c r="Z780" s="241"/>
    </row>
    <row r="781" spans="16:26" ht="10.199999999999999" customHeight="1">
      <c r="P781" s="241"/>
      <c r="Q781" s="241"/>
      <c r="R781" s="241"/>
      <c r="S781" s="241"/>
      <c r="T781" s="241"/>
      <c r="U781" s="241"/>
      <c r="V781" s="241"/>
      <c r="W781" s="241"/>
      <c r="X781" s="241"/>
      <c r="Y781" s="241"/>
      <c r="Z781" s="241"/>
    </row>
    <row r="782" spans="16:26" ht="10.199999999999999" customHeight="1">
      <c r="P782" s="241"/>
      <c r="Q782" s="241"/>
      <c r="R782" s="241"/>
      <c r="S782" s="241"/>
      <c r="T782" s="241"/>
      <c r="U782" s="241"/>
      <c r="V782" s="241"/>
      <c r="W782" s="241"/>
      <c r="X782" s="241"/>
      <c r="Y782" s="241"/>
      <c r="Z782" s="241"/>
    </row>
    <row r="783" spans="16:26" ht="10.199999999999999" customHeight="1">
      <c r="P783" s="241"/>
      <c r="Q783" s="241"/>
      <c r="R783" s="241"/>
      <c r="S783" s="241"/>
      <c r="T783" s="241"/>
      <c r="U783" s="241"/>
      <c r="V783" s="241"/>
      <c r="W783" s="241"/>
      <c r="X783" s="241"/>
      <c r="Y783" s="241"/>
      <c r="Z783" s="241"/>
    </row>
    <row r="784" spans="16:26" ht="10.199999999999999" customHeight="1">
      <c r="P784" s="241"/>
      <c r="Q784" s="241"/>
      <c r="R784" s="241"/>
      <c r="S784" s="241"/>
      <c r="T784" s="241"/>
      <c r="U784" s="241"/>
      <c r="V784" s="241"/>
      <c r="W784" s="241"/>
      <c r="X784" s="241"/>
      <c r="Y784" s="241"/>
      <c r="Z784" s="241"/>
    </row>
    <row r="785" spans="16:26" ht="10.199999999999999" customHeight="1">
      <c r="P785" s="241"/>
      <c r="Q785" s="241"/>
      <c r="R785" s="241"/>
      <c r="S785" s="241"/>
      <c r="T785" s="241"/>
      <c r="U785" s="241"/>
      <c r="V785" s="241"/>
      <c r="W785" s="241"/>
      <c r="X785" s="241"/>
      <c r="Y785" s="241"/>
      <c r="Z785" s="241"/>
    </row>
    <row r="786" spans="16:26" ht="10.199999999999999" customHeight="1">
      <c r="P786" s="241"/>
      <c r="Q786" s="241"/>
      <c r="R786" s="241"/>
      <c r="S786" s="241"/>
      <c r="T786" s="241"/>
      <c r="U786" s="241"/>
      <c r="V786" s="241"/>
      <c r="W786" s="241"/>
      <c r="X786" s="241"/>
      <c r="Y786" s="241"/>
      <c r="Z786" s="241"/>
    </row>
    <row r="787" spans="16:26" ht="10.199999999999999" customHeight="1">
      <c r="P787" s="241"/>
      <c r="Q787" s="241"/>
      <c r="R787" s="241"/>
      <c r="S787" s="241"/>
      <c r="T787" s="241"/>
      <c r="U787" s="241"/>
      <c r="V787" s="241"/>
      <c r="W787" s="241"/>
      <c r="X787" s="241"/>
      <c r="Y787" s="241"/>
      <c r="Z787" s="241"/>
    </row>
    <row r="788" spans="16:26" ht="10.199999999999999" customHeight="1">
      <c r="P788" s="241"/>
      <c r="Q788" s="241"/>
      <c r="R788" s="241"/>
      <c r="S788" s="241"/>
      <c r="T788" s="241"/>
      <c r="U788" s="241"/>
      <c r="V788" s="241"/>
      <c r="W788" s="241"/>
      <c r="X788" s="241"/>
      <c r="Y788" s="241"/>
      <c r="Z788" s="241"/>
    </row>
    <row r="789" spans="16:26" ht="10.199999999999999" customHeight="1">
      <c r="P789" s="241"/>
      <c r="Q789" s="241"/>
      <c r="R789" s="241"/>
      <c r="S789" s="241"/>
      <c r="T789" s="241"/>
      <c r="U789" s="241"/>
      <c r="V789" s="241"/>
      <c r="W789" s="241"/>
      <c r="X789" s="241"/>
      <c r="Y789" s="241"/>
      <c r="Z789" s="241"/>
    </row>
    <row r="790" spans="16:26" ht="10.199999999999999" customHeight="1">
      <c r="P790" s="241"/>
      <c r="Q790" s="241"/>
      <c r="R790" s="241"/>
      <c r="S790" s="241"/>
      <c r="T790" s="241"/>
      <c r="U790" s="241"/>
      <c r="V790" s="241"/>
      <c r="W790" s="241"/>
      <c r="X790" s="241"/>
      <c r="Y790" s="241"/>
      <c r="Z790" s="241"/>
    </row>
    <row r="791" spans="16:26" ht="10.199999999999999" customHeight="1">
      <c r="P791" s="241"/>
      <c r="Q791" s="241"/>
      <c r="R791" s="241"/>
      <c r="S791" s="241"/>
      <c r="T791" s="241"/>
      <c r="U791" s="241"/>
      <c r="V791" s="241"/>
      <c r="W791" s="241"/>
      <c r="X791" s="241"/>
      <c r="Y791" s="241"/>
      <c r="Z791" s="241"/>
    </row>
    <row r="792" spans="16:26" ht="10.199999999999999" customHeight="1">
      <c r="P792" s="241"/>
      <c r="Q792" s="241"/>
      <c r="R792" s="241"/>
      <c r="S792" s="241"/>
      <c r="T792" s="241"/>
      <c r="U792" s="241"/>
      <c r="V792" s="241"/>
      <c r="W792" s="241"/>
      <c r="X792" s="241"/>
      <c r="Y792" s="241"/>
      <c r="Z792" s="241"/>
    </row>
    <row r="793" spans="16:26" ht="10.199999999999999" customHeight="1">
      <c r="P793" s="241"/>
      <c r="Q793" s="241"/>
      <c r="R793" s="241"/>
      <c r="S793" s="241"/>
      <c r="T793" s="241"/>
      <c r="U793" s="241"/>
      <c r="V793" s="241"/>
      <c r="W793" s="241"/>
      <c r="X793" s="241"/>
      <c r="Y793" s="241"/>
      <c r="Z793" s="241"/>
    </row>
    <row r="794" spans="16:26" ht="10.199999999999999" customHeight="1">
      <c r="P794" s="241"/>
      <c r="Q794" s="241"/>
      <c r="R794" s="241"/>
      <c r="S794" s="241"/>
      <c r="T794" s="241"/>
      <c r="U794" s="241"/>
      <c r="V794" s="241"/>
      <c r="W794" s="241"/>
      <c r="X794" s="241"/>
      <c r="Y794" s="241"/>
      <c r="Z794" s="241"/>
    </row>
    <row r="795" spans="16:26" ht="10.199999999999999" customHeight="1">
      <c r="P795" s="241"/>
      <c r="Q795" s="241"/>
      <c r="R795" s="241"/>
      <c r="S795" s="241"/>
      <c r="T795" s="241"/>
      <c r="U795" s="241"/>
      <c r="V795" s="241"/>
      <c r="W795" s="241"/>
      <c r="X795" s="241"/>
      <c r="Y795" s="241"/>
      <c r="Z795" s="241"/>
    </row>
    <row r="796" spans="16:26" ht="10.199999999999999" customHeight="1">
      <c r="P796" s="241"/>
      <c r="Q796" s="241"/>
      <c r="R796" s="241"/>
      <c r="S796" s="241"/>
      <c r="T796" s="241"/>
      <c r="U796" s="241"/>
      <c r="V796" s="241"/>
      <c r="W796" s="241"/>
      <c r="X796" s="241"/>
      <c r="Y796" s="241"/>
      <c r="Z796" s="241"/>
    </row>
    <row r="797" spans="16:26" ht="10.199999999999999" customHeight="1">
      <c r="P797" s="241"/>
      <c r="Q797" s="241"/>
      <c r="R797" s="241"/>
      <c r="S797" s="241"/>
      <c r="T797" s="241"/>
      <c r="U797" s="241"/>
      <c r="V797" s="241"/>
      <c r="W797" s="241"/>
      <c r="X797" s="241"/>
      <c r="Y797" s="241"/>
      <c r="Z797" s="241"/>
    </row>
    <row r="798" spans="16:26" ht="10.199999999999999" customHeight="1">
      <c r="P798" s="241"/>
      <c r="Q798" s="241"/>
      <c r="R798" s="241"/>
      <c r="S798" s="241"/>
      <c r="T798" s="241"/>
      <c r="U798" s="241"/>
      <c r="V798" s="241"/>
      <c r="W798" s="241"/>
      <c r="X798" s="241"/>
      <c r="Y798" s="241"/>
      <c r="Z798" s="241"/>
    </row>
    <row r="799" spans="16:26" ht="10.199999999999999" customHeight="1">
      <c r="P799" s="241"/>
      <c r="Q799" s="241"/>
      <c r="R799" s="241"/>
      <c r="S799" s="241"/>
      <c r="T799" s="241"/>
      <c r="U799" s="241"/>
      <c r="V799" s="241"/>
      <c r="W799" s="241"/>
      <c r="X799" s="241"/>
      <c r="Y799" s="241"/>
      <c r="Z799" s="241"/>
    </row>
    <row r="800" spans="16:26" ht="10.199999999999999" customHeight="1">
      <c r="P800" s="241"/>
      <c r="Q800" s="241"/>
      <c r="R800" s="241"/>
      <c r="S800" s="241"/>
      <c r="T800" s="241"/>
      <c r="U800" s="241"/>
      <c r="V800" s="241"/>
      <c r="W800" s="241"/>
      <c r="X800" s="241"/>
      <c r="Y800" s="241"/>
      <c r="Z800" s="241"/>
    </row>
    <row r="801" spans="16:26" ht="10.199999999999999" customHeight="1">
      <c r="P801" s="241"/>
      <c r="Q801" s="241"/>
      <c r="R801" s="241"/>
      <c r="S801" s="241"/>
      <c r="T801" s="241"/>
      <c r="U801" s="241"/>
      <c r="V801" s="241"/>
      <c r="W801" s="241"/>
      <c r="X801" s="241"/>
      <c r="Y801" s="241"/>
      <c r="Z801" s="241"/>
    </row>
    <row r="802" spans="16:26" ht="10.199999999999999" customHeight="1">
      <c r="P802" s="241"/>
      <c r="Q802" s="241"/>
      <c r="R802" s="241"/>
      <c r="S802" s="241"/>
      <c r="T802" s="241"/>
      <c r="U802" s="241"/>
      <c r="V802" s="241"/>
      <c r="W802" s="241"/>
      <c r="X802" s="241"/>
      <c r="Y802" s="241"/>
      <c r="Z802" s="241"/>
    </row>
    <row r="803" spans="16:26" ht="10.199999999999999" customHeight="1">
      <c r="P803" s="241"/>
      <c r="Q803" s="241"/>
      <c r="R803" s="241"/>
      <c r="S803" s="241"/>
      <c r="T803" s="241"/>
      <c r="U803" s="241"/>
      <c r="V803" s="241"/>
      <c r="W803" s="241"/>
      <c r="X803" s="241"/>
      <c r="Y803" s="241"/>
      <c r="Z803" s="241"/>
    </row>
    <row r="804" spans="16:26" ht="10.199999999999999" customHeight="1">
      <c r="P804" s="241"/>
      <c r="Q804" s="241"/>
      <c r="R804" s="241"/>
      <c r="S804" s="241"/>
      <c r="T804" s="241"/>
      <c r="U804" s="241"/>
      <c r="V804" s="241"/>
      <c r="W804" s="241"/>
      <c r="X804" s="241"/>
      <c r="Y804" s="241"/>
      <c r="Z804" s="241"/>
    </row>
    <row r="805" spans="16:26" ht="10.199999999999999" customHeight="1">
      <c r="P805" s="241"/>
      <c r="Q805" s="241"/>
      <c r="R805" s="241"/>
      <c r="S805" s="241"/>
      <c r="T805" s="241"/>
      <c r="U805" s="241"/>
      <c r="V805" s="241"/>
      <c r="W805" s="241"/>
      <c r="X805" s="241"/>
      <c r="Y805" s="241"/>
      <c r="Z805" s="241"/>
    </row>
    <row r="806" spans="16:26" ht="10.199999999999999" customHeight="1">
      <c r="P806" s="241"/>
      <c r="Q806" s="241"/>
      <c r="R806" s="241"/>
      <c r="S806" s="241"/>
      <c r="T806" s="241"/>
      <c r="U806" s="241"/>
      <c r="V806" s="241"/>
      <c r="W806" s="241"/>
      <c r="X806" s="241"/>
      <c r="Y806" s="241"/>
      <c r="Z806" s="241"/>
    </row>
    <row r="807" spans="16:26" ht="10.199999999999999" customHeight="1">
      <c r="P807" s="241"/>
      <c r="Q807" s="241"/>
      <c r="R807" s="241"/>
      <c r="S807" s="241"/>
      <c r="T807" s="241"/>
      <c r="U807" s="241"/>
      <c r="V807" s="241"/>
      <c r="W807" s="241"/>
      <c r="X807" s="241"/>
      <c r="Y807" s="241"/>
      <c r="Z807" s="241"/>
    </row>
    <row r="808" spans="16:26" ht="10.199999999999999" customHeight="1">
      <c r="P808" s="241"/>
      <c r="Q808" s="241"/>
      <c r="R808" s="241"/>
      <c r="S808" s="241"/>
      <c r="T808" s="241"/>
      <c r="U808" s="241"/>
      <c r="V808" s="241"/>
      <c r="W808" s="241"/>
      <c r="X808" s="241"/>
      <c r="Y808" s="241"/>
      <c r="Z808" s="241"/>
    </row>
    <row r="809" spans="16:26" ht="10.199999999999999" customHeight="1">
      <c r="P809" s="241"/>
      <c r="Q809" s="241"/>
      <c r="R809" s="241"/>
      <c r="S809" s="241"/>
      <c r="T809" s="241"/>
      <c r="U809" s="241"/>
      <c r="V809" s="241"/>
      <c r="W809" s="241"/>
      <c r="X809" s="241"/>
      <c r="Y809" s="241"/>
      <c r="Z809" s="241"/>
    </row>
    <row r="810" spans="16:26" ht="10.199999999999999" customHeight="1">
      <c r="P810" s="241"/>
      <c r="Q810" s="241"/>
      <c r="R810" s="241"/>
      <c r="S810" s="241"/>
      <c r="T810" s="241"/>
      <c r="U810" s="241"/>
      <c r="V810" s="241"/>
      <c r="W810" s="241"/>
      <c r="X810" s="241"/>
      <c r="Y810" s="241"/>
      <c r="Z810" s="241"/>
    </row>
    <row r="811" spans="16:26" ht="10.199999999999999" customHeight="1">
      <c r="P811" s="241"/>
      <c r="Q811" s="241"/>
      <c r="R811" s="241"/>
      <c r="S811" s="241"/>
      <c r="T811" s="241"/>
      <c r="U811" s="241"/>
      <c r="V811" s="241"/>
      <c r="W811" s="241"/>
      <c r="X811" s="241"/>
      <c r="Y811" s="241"/>
      <c r="Z811" s="241"/>
    </row>
    <row r="812" spans="16:26" ht="10.199999999999999" customHeight="1">
      <c r="P812" s="241"/>
      <c r="Q812" s="241"/>
      <c r="R812" s="241"/>
      <c r="S812" s="241"/>
      <c r="T812" s="241"/>
      <c r="U812" s="241"/>
      <c r="V812" s="241"/>
      <c r="W812" s="241"/>
      <c r="X812" s="241"/>
      <c r="Y812" s="241"/>
      <c r="Z812" s="241"/>
    </row>
    <row r="813" spans="16:26" ht="10.199999999999999" customHeight="1">
      <c r="P813" s="241"/>
      <c r="Q813" s="241"/>
      <c r="R813" s="241"/>
      <c r="S813" s="241"/>
      <c r="T813" s="241"/>
      <c r="U813" s="241"/>
      <c r="V813" s="241"/>
      <c r="W813" s="241"/>
      <c r="X813" s="241"/>
      <c r="Y813" s="241"/>
      <c r="Z813" s="241"/>
    </row>
    <row r="814" spans="16:26" ht="10.199999999999999" customHeight="1">
      <c r="P814" s="241"/>
      <c r="Q814" s="241"/>
      <c r="R814" s="241"/>
      <c r="S814" s="241"/>
      <c r="T814" s="241"/>
      <c r="U814" s="241"/>
      <c r="V814" s="241"/>
      <c r="W814" s="241"/>
      <c r="X814" s="241"/>
      <c r="Y814" s="241"/>
      <c r="Z814" s="241"/>
    </row>
    <row r="815" spans="16:26" ht="10.199999999999999" customHeight="1">
      <c r="P815" s="241"/>
      <c r="Q815" s="241"/>
      <c r="R815" s="241"/>
      <c r="S815" s="241"/>
      <c r="T815" s="241"/>
      <c r="U815" s="241"/>
      <c r="V815" s="241"/>
      <c r="W815" s="241"/>
      <c r="X815" s="241"/>
      <c r="Y815" s="241"/>
      <c r="Z815" s="241"/>
    </row>
    <row r="816" spans="16:26" ht="10.199999999999999" customHeight="1">
      <c r="P816" s="241"/>
      <c r="Q816" s="241"/>
      <c r="R816" s="241"/>
      <c r="S816" s="241"/>
      <c r="T816" s="241"/>
      <c r="U816" s="241"/>
      <c r="V816" s="241"/>
      <c r="W816" s="241"/>
      <c r="X816" s="241"/>
      <c r="Y816" s="241"/>
      <c r="Z816" s="241"/>
    </row>
    <row r="817" spans="16:26" ht="10.199999999999999" customHeight="1">
      <c r="P817" s="241"/>
      <c r="Q817" s="241"/>
      <c r="R817" s="241"/>
      <c r="S817" s="241"/>
      <c r="T817" s="241"/>
      <c r="U817" s="241"/>
      <c r="V817" s="241"/>
      <c r="W817" s="241"/>
      <c r="X817" s="241"/>
      <c r="Y817" s="241"/>
      <c r="Z817" s="241"/>
    </row>
    <row r="818" spans="16:26" ht="10.199999999999999" customHeight="1">
      <c r="P818" s="241"/>
      <c r="Q818" s="241"/>
      <c r="R818" s="241"/>
      <c r="S818" s="241"/>
      <c r="T818" s="241"/>
      <c r="U818" s="241"/>
      <c r="V818" s="241"/>
      <c r="W818" s="241"/>
      <c r="X818" s="241"/>
      <c r="Y818" s="241"/>
      <c r="Z818" s="241"/>
    </row>
    <row r="819" spans="16:26" ht="10.199999999999999" customHeight="1">
      <c r="P819" s="241"/>
      <c r="Q819" s="241"/>
      <c r="R819" s="241"/>
      <c r="S819" s="241"/>
      <c r="T819" s="241"/>
      <c r="U819" s="241"/>
      <c r="V819" s="241"/>
      <c r="W819" s="241"/>
      <c r="X819" s="241"/>
      <c r="Y819" s="241"/>
      <c r="Z819" s="241"/>
    </row>
    <row r="820" spans="16:26" ht="10.199999999999999" customHeight="1">
      <c r="P820" s="241"/>
      <c r="Q820" s="241"/>
      <c r="R820" s="241"/>
      <c r="S820" s="241"/>
      <c r="T820" s="241"/>
      <c r="U820" s="241"/>
      <c r="V820" s="241"/>
      <c r="W820" s="241"/>
      <c r="X820" s="241"/>
      <c r="Y820" s="241"/>
      <c r="Z820" s="241"/>
    </row>
    <row r="821" spans="16:26" ht="10.199999999999999" customHeight="1">
      <c r="P821" s="241"/>
      <c r="Q821" s="241"/>
      <c r="R821" s="241"/>
      <c r="S821" s="241"/>
      <c r="T821" s="241"/>
      <c r="U821" s="241"/>
      <c r="V821" s="241"/>
      <c r="W821" s="241"/>
      <c r="X821" s="241"/>
      <c r="Y821" s="241"/>
      <c r="Z821" s="241"/>
    </row>
    <row r="822" spans="16:26" ht="10.199999999999999" customHeight="1">
      <c r="P822" s="241"/>
      <c r="Q822" s="241"/>
      <c r="R822" s="241"/>
      <c r="S822" s="241"/>
      <c r="T822" s="241"/>
      <c r="U822" s="241"/>
      <c r="V822" s="241"/>
      <c r="W822" s="241"/>
      <c r="X822" s="241"/>
      <c r="Y822" s="241"/>
      <c r="Z822" s="241"/>
    </row>
    <row r="823" spans="16:26" ht="10.199999999999999" customHeight="1">
      <c r="P823" s="241"/>
      <c r="Q823" s="241"/>
      <c r="R823" s="241"/>
      <c r="S823" s="241"/>
      <c r="T823" s="241"/>
      <c r="U823" s="241"/>
      <c r="V823" s="241"/>
      <c r="W823" s="241"/>
      <c r="X823" s="241"/>
      <c r="Y823" s="241"/>
      <c r="Z823" s="241"/>
    </row>
    <row r="824" spans="16:26" ht="10.199999999999999" customHeight="1">
      <c r="P824" s="241"/>
      <c r="Q824" s="241"/>
      <c r="R824" s="241"/>
      <c r="S824" s="241"/>
      <c r="T824" s="241"/>
      <c r="U824" s="241"/>
      <c r="V824" s="241"/>
      <c r="W824" s="241"/>
      <c r="X824" s="241"/>
      <c r="Y824" s="241"/>
      <c r="Z824" s="241"/>
    </row>
    <row r="825" spans="16:26" ht="10.199999999999999" customHeight="1">
      <c r="P825" s="241"/>
      <c r="Q825" s="241"/>
      <c r="R825" s="241"/>
      <c r="S825" s="241"/>
      <c r="T825" s="241"/>
      <c r="U825" s="241"/>
      <c r="V825" s="241"/>
      <c r="W825" s="241"/>
      <c r="X825" s="241"/>
      <c r="Y825" s="241"/>
      <c r="Z825" s="241"/>
    </row>
    <row r="826" spans="16:26" ht="10.199999999999999" customHeight="1">
      <c r="P826" s="241"/>
      <c r="Q826" s="241"/>
      <c r="R826" s="241"/>
      <c r="S826" s="241"/>
      <c r="T826" s="241"/>
      <c r="U826" s="241"/>
      <c r="V826" s="241"/>
      <c r="W826" s="241"/>
      <c r="X826" s="241"/>
      <c r="Y826" s="241"/>
      <c r="Z826" s="241"/>
    </row>
    <row r="827" spans="16:26" ht="10.199999999999999" customHeight="1">
      <c r="P827" s="241"/>
      <c r="Q827" s="241"/>
      <c r="R827" s="241"/>
      <c r="S827" s="241"/>
      <c r="T827" s="241"/>
      <c r="U827" s="241"/>
      <c r="V827" s="241"/>
      <c r="W827" s="241"/>
      <c r="X827" s="241"/>
      <c r="Y827" s="241"/>
      <c r="Z827" s="241"/>
    </row>
    <row r="828" spans="16:26" ht="10.199999999999999" customHeight="1">
      <c r="P828" s="241"/>
      <c r="Q828" s="241"/>
      <c r="R828" s="241"/>
      <c r="S828" s="241"/>
      <c r="T828" s="241"/>
      <c r="U828" s="241"/>
      <c r="V828" s="241"/>
      <c r="W828" s="241"/>
      <c r="X828" s="241"/>
      <c r="Y828" s="241"/>
      <c r="Z828" s="241"/>
    </row>
    <row r="829" spans="16:26" ht="10.199999999999999" customHeight="1">
      <c r="P829" s="241"/>
      <c r="Q829" s="241"/>
      <c r="R829" s="241"/>
      <c r="S829" s="241"/>
      <c r="T829" s="241"/>
      <c r="U829" s="241"/>
      <c r="V829" s="241"/>
      <c r="W829" s="241"/>
      <c r="X829" s="241"/>
      <c r="Y829" s="241"/>
      <c r="Z829" s="241"/>
    </row>
    <row r="830" spans="16:26" ht="10.199999999999999" customHeight="1">
      <c r="P830" s="241"/>
      <c r="Q830" s="241"/>
      <c r="R830" s="241"/>
      <c r="S830" s="241"/>
      <c r="T830" s="241"/>
      <c r="U830" s="241"/>
      <c r="V830" s="241"/>
      <c r="W830" s="241"/>
      <c r="X830" s="241"/>
      <c r="Y830" s="241"/>
      <c r="Z830" s="241"/>
    </row>
    <row r="831" spans="16:26" ht="10.199999999999999" customHeight="1">
      <c r="P831" s="241"/>
      <c r="Q831" s="241"/>
      <c r="R831" s="241"/>
      <c r="S831" s="241"/>
      <c r="T831" s="241"/>
      <c r="U831" s="241"/>
      <c r="V831" s="241"/>
      <c r="W831" s="241"/>
      <c r="X831" s="241"/>
      <c r="Y831" s="241"/>
      <c r="Z831" s="241"/>
    </row>
    <row r="832" spans="16:26" ht="10.199999999999999" customHeight="1">
      <c r="P832" s="241"/>
      <c r="Q832" s="241"/>
      <c r="R832" s="241"/>
      <c r="S832" s="241"/>
      <c r="T832" s="241"/>
      <c r="U832" s="241"/>
      <c r="V832" s="241"/>
      <c r="W832" s="241"/>
      <c r="X832" s="241"/>
      <c r="Y832" s="241"/>
      <c r="Z832" s="241"/>
    </row>
    <row r="833" spans="16:26" ht="10.199999999999999" customHeight="1">
      <c r="P833" s="241"/>
      <c r="Q833" s="241"/>
      <c r="R833" s="241"/>
      <c r="S833" s="241"/>
      <c r="T833" s="241"/>
      <c r="U833" s="241"/>
      <c r="V833" s="241"/>
      <c r="W833" s="241"/>
      <c r="X833" s="241"/>
      <c r="Y833" s="241"/>
      <c r="Z833" s="241"/>
    </row>
    <row r="834" spans="16:26" ht="10.199999999999999" customHeight="1">
      <c r="P834" s="241"/>
      <c r="Q834" s="241"/>
      <c r="R834" s="241"/>
      <c r="S834" s="241"/>
      <c r="T834" s="241"/>
      <c r="U834" s="241"/>
      <c r="V834" s="241"/>
      <c r="W834" s="241"/>
      <c r="X834" s="241"/>
      <c r="Y834" s="241"/>
      <c r="Z834" s="241"/>
    </row>
    <row r="835" spans="16:26" ht="10.199999999999999" customHeight="1">
      <c r="P835" s="241"/>
      <c r="Q835" s="241"/>
      <c r="R835" s="241"/>
      <c r="S835" s="241"/>
      <c r="T835" s="241"/>
      <c r="U835" s="241"/>
      <c r="V835" s="241"/>
      <c r="W835" s="241"/>
      <c r="X835" s="241"/>
      <c r="Y835" s="241"/>
      <c r="Z835" s="241"/>
    </row>
    <row r="836" spans="16:26" ht="10.199999999999999" customHeight="1">
      <c r="P836" s="241"/>
      <c r="Q836" s="241"/>
      <c r="R836" s="241"/>
      <c r="S836" s="241"/>
      <c r="T836" s="241"/>
      <c r="U836" s="241"/>
      <c r="V836" s="241"/>
      <c r="W836" s="241"/>
      <c r="X836" s="241"/>
      <c r="Y836" s="241"/>
      <c r="Z836" s="241"/>
    </row>
    <row r="837" spans="16:26" ht="10.199999999999999" customHeight="1">
      <c r="P837" s="241"/>
      <c r="Q837" s="241"/>
      <c r="R837" s="241"/>
      <c r="S837" s="241"/>
      <c r="T837" s="241"/>
      <c r="U837" s="241"/>
      <c r="V837" s="241"/>
      <c r="W837" s="241"/>
      <c r="X837" s="241"/>
      <c r="Y837" s="241"/>
      <c r="Z837" s="241"/>
    </row>
    <row r="838" spans="16:26" ht="10.199999999999999" customHeight="1">
      <c r="P838" s="241"/>
      <c r="Q838" s="241"/>
      <c r="R838" s="241"/>
      <c r="S838" s="241"/>
      <c r="T838" s="241"/>
      <c r="U838" s="241"/>
      <c r="V838" s="241"/>
      <c r="W838" s="241"/>
      <c r="X838" s="241"/>
      <c r="Y838" s="241"/>
      <c r="Z838" s="241"/>
    </row>
    <row r="839" spans="16:26" ht="10.199999999999999" customHeight="1">
      <c r="P839" s="241"/>
      <c r="Q839" s="241"/>
      <c r="R839" s="241"/>
      <c r="S839" s="241"/>
      <c r="T839" s="241"/>
      <c r="U839" s="241"/>
      <c r="V839" s="241"/>
      <c r="W839" s="241"/>
      <c r="X839" s="241"/>
      <c r="Y839" s="241"/>
      <c r="Z839" s="241"/>
    </row>
    <row r="840" spans="16:26" ht="10.199999999999999" customHeight="1">
      <c r="P840" s="241"/>
      <c r="Q840" s="241"/>
      <c r="R840" s="241"/>
      <c r="S840" s="241"/>
      <c r="T840" s="241"/>
      <c r="U840" s="241"/>
      <c r="V840" s="241"/>
      <c r="W840" s="241"/>
      <c r="X840" s="241"/>
      <c r="Y840" s="241"/>
      <c r="Z840" s="241"/>
    </row>
    <row r="841" spans="16:26" ht="10.199999999999999" customHeight="1">
      <c r="P841" s="241"/>
      <c r="Q841" s="241"/>
      <c r="R841" s="241"/>
      <c r="S841" s="241"/>
      <c r="T841" s="241"/>
      <c r="U841" s="241"/>
      <c r="V841" s="241"/>
      <c r="W841" s="241"/>
      <c r="X841" s="241"/>
      <c r="Y841" s="241"/>
      <c r="Z841" s="241"/>
    </row>
    <row r="842" spans="16:26" ht="10.199999999999999" customHeight="1">
      <c r="P842" s="241"/>
      <c r="Q842" s="241"/>
      <c r="R842" s="241"/>
      <c r="S842" s="241"/>
      <c r="T842" s="241"/>
      <c r="U842" s="241"/>
      <c r="V842" s="241"/>
      <c r="W842" s="241"/>
      <c r="X842" s="241"/>
      <c r="Y842" s="241"/>
      <c r="Z842" s="241"/>
    </row>
    <row r="843" spans="16:26" ht="10.199999999999999" customHeight="1">
      <c r="P843" s="241"/>
      <c r="Q843" s="241"/>
      <c r="R843" s="241"/>
      <c r="S843" s="241"/>
      <c r="T843" s="241"/>
      <c r="U843" s="241"/>
      <c r="V843" s="241"/>
      <c r="W843" s="241"/>
      <c r="X843" s="241"/>
      <c r="Y843" s="241"/>
      <c r="Z843" s="241"/>
    </row>
    <row r="844" spans="16:26" ht="10.199999999999999" customHeight="1">
      <c r="P844" s="241"/>
      <c r="Q844" s="241"/>
      <c r="R844" s="241"/>
      <c r="S844" s="241"/>
      <c r="T844" s="241"/>
      <c r="U844" s="241"/>
      <c r="V844" s="241"/>
      <c r="W844" s="241"/>
      <c r="X844" s="241"/>
      <c r="Y844" s="241"/>
      <c r="Z844" s="241"/>
    </row>
    <row r="845" spans="16:26" ht="10.199999999999999" customHeight="1">
      <c r="P845" s="241"/>
      <c r="Q845" s="241"/>
      <c r="R845" s="241"/>
      <c r="S845" s="241"/>
      <c r="T845" s="241"/>
      <c r="U845" s="241"/>
      <c r="V845" s="241"/>
      <c r="W845" s="241"/>
      <c r="X845" s="241"/>
      <c r="Y845" s="241"/>
      <c r="Z845" s="241"/>
    </row>
    <row r="846" spans="16:26" ht="10.199999999999999" customHeight="1">
      <c r="P846" s="241"/>
      <c r="Q846" s="241"/>
      <c r="R846" s="241"/>
      <c r="S846" s="241"/>
      <c r="T846" s="241"/>
      <c r="U846" s="241"/>
      <c r="V846" s="241"/>
      <c r="W846" s="241"/>
      <c r="X846" s="241"/>
      <c r="Y846" s="241"/>
      <c r="Z846" s="241"/>
    </row>
    <row r="847" spans="16:26" ht="10.199999999999999" customHeight="1">
      <c r="P847" s="241"/>
      <c r="Q847" s="241"/>
      <c r="R847" s="241"/>
      <c r="S847" s="241"/>
      <c r="T847" s="241"/>
      <c r="U847" s="241"/>
      <c r="V847" s="241"/>
      <c r="W847" s="241"/>
      <c r="X847" s="241"/>
      <c r="Y847" s="241"/>
      <c r="Z847" s="241"/>
    </row>
    <row r="848" spans="16:26" ht="10.199999999999999" customHeight="1">
      <c r="P848" s="241"/>
      <c r="Q848" s="241"/>
      <c r="R848" s="241"/>
      <c r="S848" s="241"/>
      <c r="T848" s="241"/>
      <c r="U848" s="241"/>
      <c r="V848" s="241"/>
      <c r="W848" s="241"/>
      <c r="X848" s="241"/>
      <c r="Y848" s="241"/>
      <c r="Z848" s="241"/>
    </row>
    <row r="849" spans="16:26" ht="10.199999999999999" customHeight="1">
      <c r="P849" s="241"/>
      <c r="Q849" s="241"/>
      <c r="R849" s="241"/>
      <c r="S849" s="241"/>
      <c r="T849" s="241"/>
      <c r="U849" s="241"/>
      <c r="V849" s="241"/>
      <c r="W849" s="241"/>
      <c r="X849" s="241"/>
      <c r="Y849" s="241"/>
      <c r="Z849" s="241"/>
    </row>
    <row r="850" spans="16:26" ht="10.199999999999999" customHeight="1">
      <c r="P850" s="241"/>
      <c r="Q850" s="241"/>
      <c r="R850" s="241"/>
      <c r="S850" s="241"/>
      <c r="T850" s="241"/>
      <c r="U850" s="241"/>
      <c r="V850" s="241"/>
      <c r="W850" s="241"/>
      <c r="X850" s="241"/>
      <c r="Y850" s="241"/>
      <c r="Z850" s="241"/>
    </row>
    <row r="851" spans="16:26" ht="10.199999999999999" customHeight="1">
      <c r="P851" s="241"/>
      <c r="Q851" s="241"/>
      <c r="R851" s="241"/>
      <c r="S851" s="241"/>
      <c r="T851" s="241"/>
      <c r="U851" s="241"/>
      <c r="V851" s="241"/>
      <c r="W851" s="241"/>
      <c r="X851" s="241"/>
      <c r="Y851" s="241"/>
      <c r="Z851" s="241"/>
    </row>
    <row r="852" spans="16:26" ht="10.199999999999999" customHeight="1">
      <c r="P852" s="241"/>
      <c r="Q852" s="241"/>
      <c r="R852" s="241"/>
      <c r="S852" s="241"/>
      <c r="T852" s="241"/>
      <c r="U852" s="241"/>
      <c r="V852" s="241"/>
      <c r="W852" s="241"/>
      <c r="X852" s="241"/>
      <c r="Y852" s="241"/>
      <c r="Z852" s="241"/>
    </row>
    <row r="853" spans="16:26" ht="10.199999999999999" customHeight="1">
      <c r="P853" s="241"/>
      <c r="Q853" s="241"/>
      <c r="R853" s="241"/>
      <c r="S853" s="241"/>
      <c r="T853" s="241"/>
      <c r="U853" s="241"/>
      <c r="V853" s="241"/>
      <c r="W853" s="241"/>
      <c r="X853" s="241"/>
      <c r="Y853" s="241"/>
      <c r="Z853" s="241"/>
    </row>
    <row r="854" spans="16:26" ht="10.199999999999999" customHeight="1">
      <c r="P854" s="241"/>
      <c r="Q854" s="241"/>
      <c r="R854" s="241"/>
      <c r="S854" s="241"/>
      <c r="T854" s="241"/>
      <c r="U854" s="241"/>
      <c r="V854" s="241"/>
      <c r="W854" s="241"/>
      <c r="X854" s="241"/>
      <c r="Y854" s="241"/>
      <c r="Z854" s="241"/>
    </row>
    <row r="855" spans="16:26" ht="10.199999999999999" customHeight="1">
      <c r="P855" s="241"/>
      <c r="Q855" s="241"/>
      <c r="R855" s="241"/>
      <c r="S855" s="241"/>
      <c r="T855" s="241"/>
      <c r="U855" s="241"/>
      <c r="V855" s="241"/>
      <c r="W855" s="241"/>
      <c r="X855" s="241"/>
      <c r="Y855" s="241"/>
      <c r="Z855" s="241"/>
    </row>
    <row r="856" spans="16:26" ht="10.199999999999999" customHeight="1">
      <c r="P856" s="241"/>
      <c r="Q856" s="241"/>
      <c r="R856" s="241"/>
      <c r="S856" s="241"/>
      <c r="T856" s="241"/>
      <c r="U856" s="241"/>
      <c r="V856" s="241"/>
      <c r="W856" s="241"/>
      <c r="X856" s="241"/>
      <c r="Y856" s="241"/>
      <c r="Z856" s="241"/>
    </row>
    <row r="857" spans="16:26" ht="10.199999999999999" customHeight="1">
      <c r="P857" s="241"/>
      <c r="Q857" s="241"/>
      <c r="R857" s="241"/>
      <c r="S857" s="241"/>
      <c r="T857" s="241"/>
      <c r="U857" s="241"/>
      <c r="V857" s="241"/>
      <c r="W857" s="241"/>
      <c r="X857" s="241"/>
      <c r="Y857" s="241"/>
      <c r="Z857" s="241"/>
    </row>
    <row r="858" spans="16:26" ht="10.199999999999999" customHeight="1">
      <c r="P858" s="241"/>
      <c r="Q858" s="241"/>
      <c r="R858" s="241"/>
      <c r="S858" s="241"/>
      <c r="T858" s="241"/>
      <c r="U858" s="241"/>
      <c r="V858" s="241"/>
      <c r="W858" s="241"/>
      <c r="X858" s="241"/>
      <c r="Y858" s="241"/>
      <c r="Z858" s="241"/>
    </row>
    <row r="859" spans="16:26" ht="10.199999999999999" customHeight="1">
      <c r="P859" s="241"/>
      <c r="Q859" s="241"/>
      <c r="R859" s="241"/>
      <c r="S859" s="241"/>
      <c r="T859" s="241"/>
      <c r="U859" s="241"/>
      <c r="V859" s="241"/>
      <c r="W859" s="241"/>
      <c r="X859" s="241"/>
      <c r="Y859" s="241"/>
      <c r="Z859" s="241"/>
    </row>
    <row r="860" spans="16:26" ht="10.199999999999999" customHeight="1">
      <c r="P860" s="241"/>
      <c r="Q860" s="241"/>
      <c r="R860" s="241"/>
      <c r="S860" s="241"/>
      <c r="T860" s="241"/>
      <c r="U860" s="241"/>
      <c r="V860" s="241"/>
      <c r="W860" s="241"/>
      <c r="X860" s="241"/>
      <c r="Y860" s="241"/>
      <c r="Z860" s="241"/>
    </row>
    <row r="861" spans="16:26" ht="10.199999999999999" customHeight="1">
      <c r="P861" s="241"/>
      <c r="Q861" s="241"/>
      <c r="R861" s="241"/>
      <c r="S861" s="241"/>
      <c r="T861" s="241"/>
      <c r="U861" s="241"/>
      <c r="V861" s="241"/>
      <c r="W861" s="241"/>
      <c r="X861" s="241"/>
      <c r="Y861" s="241"/>
      <c r="Z861" s="241"/>
    </row>
    <row r="862" spans="16:26" ht="10.199999999999999" customHeight="1">
      <c r="P862" s="241"/>
      <c r="Q862" s="241"/>
      <c r="R862" s="241"/>
      <c r="S862" s="241"/>
      <c r="T862" s="241"/>
      <c r="U862" s="241"/>
      <c r="V862" s="241"/>
      <c r="W862" s="241"/>
      <c r="X862" s="241"/>
      <c r="Y862" s="241"/>
      <c r="Z862" s="241"/>
    </row>
    <row r="863" spans="16:26" ht="10.199999999999999" customHeight="1">
      <c r="P863" s="241"/>
      <c r="Q863" s="241"/>
      <c r="R863" s="241"/>
      <c r="S863" s="241"/>
      <c r="T863" s="241"/>
      <c r="U863" s="241"/>
      <c r="V863" s="241"/>
      <c r="W863" s="241"/>
      <c r="X863" s="241"/>
      <c r="Y863" s="241"/>
      <c r="Z863" s="241"/>
    </row>
    <row r="864" spans="16:26" ht="10.199999999999999" customHeight="1">
      <c r="P864" s="241"/>
      <c r="Q864" s="241"/>
      <c r="R864" s="241"/>
      <c r="S864" s="241"/>
      <c r="T864" s="241"/>
      <c r="U864" s="241"/>
      <c r="V864" s="241"/>
      <c r="W864" s="241"/>
      <c r="X864" s="241"/>
      <c r="Y864" s="241"/>
      <c r="Z864" s="241"/>
    </row>
    <row r="865" spans="16:26" ht="10.199999999999999" customHeight="1">
      <c r="P865" s="241"/>
      <c r="Q865" s="241"/>
      <c r="R865" s="241"/>
      <c r="S865" s="241"/>
      <c r="T865" s="241"/>
      <c r="U865" s="241"/>
      <c r="V865" s="241"/>
      <c r="W865" s="241"/>
      <c r="X865" s="241"/>
      <c r="Y865" s="241"/>
      <c r="Z865" s="241"/>
    </row>
    <row r="866" spans="16:26" ht="10.199999999999999" customHeight="1">
      <c r="P866" s="241"/>
      <c r="Q866" s="241"/>
      <c r="R866" s="241"/>
      <c r="S866" s="241"/>
      <c r="T866" s="241"/>
      <c r="U866" s="241"/>
      <c r="V866" s="241"/>
      <c r="W866" s="241"/>
      <c r="X866" s="241"/>
      <c r="Y866" s="241"/>
      <c r="Z866" s="241"/>
    </row>
    <row r="867" spans="16:26" ht="10.199999999999999" customHeight="1">
      <c r="P867" s="241"/>
      <c r="Q867" s="241"/>
      <c r="R867" s="241"/>
      <c r="S867" s="241"/>
      <c r="T867" s="241"/>
      <c r="U867" s="241"/>
      <c r="V867" s="241"/>
      <c r="W867" s="241"/>
      <c r="X867" s="241"/>
      <c r="Y867" s="241"/>
      <c r="Z867" s="241"/>
    </row>
    <row r="868" spans="16:26" ht="10.199999999999999" customHeight="1">
      <c r="P868" s="241"/>
      <c r="Q868" s="241"/>
      <c r="R868" s="241"/>
      <c r="S868" s="241"/>
      <c r="T868" s="241"/>
      <c r="U868" s="241"/>
      <c r="V868" s="241"/>
      <c r="W868" s="241"/>
      <c r="X868" s="241"/>
      <c r="Y868" s="241"/>
      <c r="Z868" s="241"/>
    </row>
    <row r="869" spans="16:26" ht="10.199999999999999" customHeight="1">
      <c r="P869" s="241"/>
      <c r="Q869" s="241"/>
      <c r="R869" s="241"/>
      <c r="S869" s="241"/>
      <c r="T869" s="241"/>
      <c r="U869" s="241"/>
      <c r="V869" s="241"/>
      <c r="W869" s="241"/>
      <c r="X869" s="241"/>
      <c r="Y869" s="241"/>
      <c r="Z869" s="241"/>
    </row>
    <row r="870" spans="16:26" ht="10.199999999999999" customHeight="1">
      <c r="P870" s="241"/>
      <c r="Q870" s="241"/>
      <c r="R870" s="241"/>
      <c r="S870" s="241"/>
      <c r="T870" s="241"/>
      <c r="U870" s="241"/>
      <c r="V870" s="241"/>
      <c r="W870" s="241"/>
      <c r="X870" s="241"/>
      <c r="Y870" s="241"/>
      <c r="Z870" s="241"/>
    </row>
    <row r="871" spans="16:26" ht="10.199999999999999" customHeight="1">
      <c r="P871" s="241"/>
      <c r="Q871" s="241"/>
      <c r="R871" s="241"/>
      <c r="S871" s="241"/>
      <c r="T871" s="241"/>
      <c r="U871" s="241"/>
      <c r="V871" s="241"/>
      <c r="W871" s="241"/>
      <c r="X871" s="241"/>
      <c r="Y871" s="241"/>
      <c r="Z871" s="241"/>
    </row>
    <row r="872" spans="16:26" ht="10.199999999999999" customHeight="1">
      <c r="P872" s="241"/>
      <c r="Q872" s="241"/>
      <c r="R872" s="241"/>
      <c r="S872" s="241"/>
      <c r="T872" s="241"/>
      <c r="U872" s="241"/>
      <c r="V872" s="241"/>
      <c r="W872" s="241"/>
      <c r="X872" s="241"/>
      <c r="Y872" s="241"/>
      <c r="Z872" s="241"/>
    </row>
    <row r="873" spans="16:26" ht="10.199999999999999" customHeight="1">
      <c r="P873" s="241"/>
      <c r="Q873" s="241"/>
      <c r="R873" s="241"/>
      <c r="S873" s="241"/>
      <c r="T873" s="241"/>
      <c r="U873" s="241"/>
      <c r="V873" s="241"/>
      <c r="W873" s="241"/>
      <c r="X873" s="241"/>
      <c r="Y873" s="241"/>
      <c r="Z873" s="241"/>
    </row>
    <row r="874" spans="16:26" ht="10.199999999999999" customHeight="1">
      <c r="P874" s="241"/>
      <c r="Q874" s="241"/>
      <c r="R874" s="241"/>
      <c r="S874" s="241"/>
      <c r="T874" s="241"/>
      <c r="U874" s="241"/>
      <c r="V874" s="241"/>
      <c r="W874" s="241"/>
      <c r="X874" s="241"/>
      <c r="Y874" s="241"/>
      <c r="Z874" s="241"/>
    </row>
    <row r="875" spans="16:26" ht="10.199999999999999" customHeight="1">
      <c r="P875" s="241"/>
      <c r="Q875" s="241"/>
      <c r="R875" s="241"/>
      <c r="S875" s="241"/>
      <c r="T875" s="241"/>
      <c r="U875" s="241"/>
      <c r="V875" s="241"/>
      <c r="W875" s="241"/>
      <c r="X875" s="241"/>
      <c r="Y875" s="241"/>
      <c r="Z875" s="241"/>
    </row>
    <row r="876" spans="16:26" ht="10.199999999999999" customHeight="1">
      <c r="P876" s="241"/>
      <c r="Q876" s="241"/>
      <c r="R876" s="241"/>
      <c r="S876" s="241"/>
      <c r="T876" s="241"/>
      <c r="U876" s="241"/>
      <c r="V876" s="241"/>
      <c r="W876" s="241"/>
      <c r="X876" s="241"/>
      <c r="Y876" s="241"/>
      <c r="Z876" s="241"/>
    </row>
    <row r="877" spans="16:26" ht="10.199999999999999" customHeight="1">
      <c r="P877" s="241"/>
      <c r="Q877" s="241"/>
      <c r="R877" s="241"/>
      <c r="S877" s="241"/>
      <c r="T877" s="241"/>
      <c r="U877" s="241"/>
      <c r="V877" s="241"/>
      <c r="W877" s="241"/>
      <c r="X877" s="241"/>
      <c r="Y877" s="241"/>
      <c r="Z877" s="241"/>
    </row>
    <row r="878" spans="16:26" ht="10.199999999999999" customHeight="1">
      <c r="P878" s="241"/>
      <c r="Q878" s="241"/>
      <c r="R878" s="241"/>
      <c r="S878" s="241"/>
      <c r="T878" s="241"/>
      <c r="U878" s="241"/>
      <c r="V878" s="241"/>
      <c r="W878" s="241"/>
      <c r="X878" s="241"/>
      <c r="Y878" s="241"/>
      <c r="Z878" s="241"/>
    </row>
    <row r="879" spans="16:26" ht="10.199999999999999" customHeight="1">
      <c r="P879" s="241"/>
      <c r="Q879" s="241"/>
      <c r="R879" s="241"/>
      <c r="S879" s="241"/>
      <c r="T879" s="241"/>
      <c r="U879" s="241"/>
      <c r="V879" s="241"/>
      <c r="W879" s="241"/>
      <c r="X879" s="241"/>
      <c r="Y879" s="241"/>
      <c r="Z879" s="241"/>
    </row>
    <row r="880" spans="16:26" ht="10.199999999999999" customHeight="1">
      <c r="P880" s="241"/>
      <c r="Q880" s="241"/>
      <c r="R880" s="241"/>
      <c r="S880" s="241"/>
      <c r="T880" s="241"/>
      <c r="U880" s="241"/>
      <c r="V880" s="241"/>
      <c r="W880" s="241"/>
      <c r="X880" s="241"/>
      <c r="Y880" s="241"/>
      <c r="Z880" s="241"/>
    </row>
    <row r="881" spans="16:26" ht="10.199999999999999" customHeight="1">
      <c r="P881" s="241"/>
      <c r="Q881" s="241"/>
      <c r="R881" s="241"/>
      <c r="S881" s="241"/>
      <c r="T881" s="241"/>
      <c r="U881" s="241"/>
      <c r="V881" s="241"/>
      <c r="W881" s="241"/>
      <c r="X881" s="241"/>
      <c r="Y881" s="241"/>
      <c r="Z881" s="241"/>
    </row>
    <row r="882" spans="16:26" ht="10.199999999999999" customHeight="1">
      <c r="P882" s="241"/>
      <c r="Q882" s="241"/>
      <c r="R882" s="241"/>
      <c r="S882" s="241"/>
      <c r="T882" s="241"/>
      <c r="U882" s="241"/>
      <c r="V882" s="241"/>
      <c r="W882" s="241"/>
      <c r="X882" s="241"/>
      <c r="Y882" s="241"/>
      <c r="Z882" s="241"/>
    </row>
    <row r="883" spans="16:26" ht="10.199999999999999" customHeight="1">
      <c r="P883" s="241"/>
      <c r="Q883" s="241"/>
      <c r="R883" s="241"/>
      <c r="S883" s="241"/>
      <c r="T883" s="241"/>
      <c r="U883" s="241"/>
      <c r="V883" s="241"/>
      <c r="W883" s="241"/>
      <c r="X883" s="241"/>
      <c r="Y883" s="241"/>
      <c r="Z883" s="241"/>
    </row>
    <row r="884" spans="16:26" ht="10.199999999999999" customHeight="1">
      <c r="P884" s="241"/>
      <c r="Q884" s="241"/>
      <c r="R884" s="241"/>
      <c r="S884" s="241"/>
      <c r="T884" s="241"/>
      <c r="U884" s="241"/>
      <c r="V884" s="241"/>
      <c r="W884" s="241"/>
      <c r="X884" s="241"/>
      <c r="Y884" s="241"/>
      <c r="Z884" s="241"/>
    </row>
  </sheetData>
  <sheetProtection password="8C51" sheet="1" objects="1" scenarios="1" selectLockedCells="1"/>
  <pageMargins left="0.75" right="0.75" top="1" bottom="1" header="0.5" footer="0.5"/>
  <pageSetup orientation="portrait" horizontalDpi="1200" verticalDpi="1200"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1:Z884"/>
  <sheetViews>
    <sheetView workbookViewId="0">
      <selection activeCell="P1" sqref="P1"/>
    </sheetView>
  </sheetViews>
  <sheetFormatPr defaultRowHeight="10.199999999999999" customHeight="1"/>
  <cols>
    <col min="1" max="15" width="8.88671875" style="57"/>
    <col min="16" max="26" width="8.88671875" style="243"/>
    <col min="27" max="16384" width="8.88671875" style="57"/>
  </cols>
  <sheetData>
    <row r="1" spans="2:26" ht="10.199999999999999" customHeight="1">
      <c r="B1" s="57" t="s">
        <v>46</v>
      </c>
      <c r="C1" s="57" t="s">
        <v>47</v>
      </c>
      <c r="D1" s="57" t="s">
        <v>48</v>
      </c>
      <c r="E1" s="57" t="s">
        <v>49</v>
      </c>
      <c r="F1" s="57" t="s">
        <v>50</v>
      </c>
      <c r="G1" s="57" t="s">
        <v>51</v>
      </c>
      <c r="H1" s="57" t="s">
        <v>52</v>
      </c>
      <c r="I1" s="57" t="s">
        <v>53</v>
      </c>
      <c r="J1" s="57" t="s">
        <v>54</v>
      </c>
      <c r="P1" s="250"/>
      <c r="Q1" s="250"/>
      <c r="R1" s="250"/>
      <c r="S1" s="250"/>
      <c r="T1" s="250"/>
      <c r="U1" s="250"/>
      <c r="V1" s="250"/>
      <c r="W1" s="250"/>
      <c r="X1" s="250"/>
      <c r="Y1" s="250"/>
      <c r="Z1" s="250"/>
    </row>
    <row r="2" spans="2:26" ht="10.199999999999999" customHeight="1">
      <c r="B2" s="57" t="s">
        <v>55</v>
      </c>
      <c r="C2" s="57" t="s">
        <v>56</v>
      </c>
      <c r="D2" s="57" t="s">
        <v>56</v>
      </c>
      <c r="E2" s="57" t="s">
        <v>57</v>
      </c>
      <c r="F2" s="57" t="s">
        <v>57</v>
      </c>
      <c r="G2" s="57" t="s">
        <v>58</v>
      </c>
      <c r="H2" s="57" t="s">
        <v>59</v>
      </c>
      <c r="I2" s="57" t="s">
        <v>60</v>
      </c>
      <c r="J2" s="57" t="s">
        <v>61</v>
      </c>
      <c r="K2" s="57" t="s">
        <v>62</v>
      </c>
      <c r="L2" s="57" t="s">
        <v>63</v>
      </c>
      <c r="P2" s="250"/>
      <c r="Q2" s="250"/>
      <c r="R2" s="250"/>
      <c r="S2" s="250"/>
      <c r="T2" s="250"/>
      <c r="U2" s="250"/>
      <c r="V2" s="250"/>
      <c r="W2" s="250"/>
      <c r="X2" s="250"/>
      <c r="Y2" s="250"/>
      <c r="Z2" s="250"/>
    </row>
    <row r="3" spans="2:26" ht="10.199999999999999" customHeight="1">
      <c r="P3" s="250"/>
      <c r="Q3" s="250"/>
      <c r="R3" s="250"/>
      <c r="S3" s="250"/>
      <c r="T3" s="250"/>
      <c r="U3" s="250"/>
      <c r="V3" s="250"/>
      <c r="W3" s="250"/>
      <c r="X3" s="250"/>
      <c r="Y3" s="250"/>
      <c r="Z3" s="250"/>
    </row>
    <row r="4" spans="2:26" ht="10.199999999999999" customHeight="1">
      <c r="B4" s="57" t="s">
        <v>64</v>
      </c>
      <c r="C4" s="234" t="str">
        <f ca="1">IF(P1="","","L"&amp;MID(INDIRECT("P"&amp;L4),6,FIND(" ",INDIRECT("P"&amp;L4),6)-5))</f>
        <v/>
      </c>
      <c r="D4" s="234" t="str">
        <f ca="1">IF(P1="","",MID(INDIRECT("P"&amp;L4),SEARCH("(",INDIRECT("P"&amp;L4),1)+1,3))</f>
        <v/>
      </c>
      <c r="E4" s="234" t="str">
        <f ca="1">IF(P1="","",MID(INDIRECT("P"&amp;L4),SEARCH(")",INDIRECT("P"&amp;L4),1)+2,LEN(INDIRECT("P"&amp;L4))))</f>
        <v/>
      </c>
      <c r="F4" s="234"/>
      <c r="G4" s="234"/>
      <c r="H4" s="234"/>
      <c r="I4" s="234"/>
      <c r="J4" s="234"/>
      <c r="K4" s="234"/>
      <c r="L4" s="234" t="str">
        <f>IF(P1="","",MATCH("CASE*",P1:P10,0))</f>
        <v/>
      </c>
      <c r="M4" s="55">
        <f>ROUND(COUNT(P:P)*1.6,0)</f>
        <v>0</v>
      </c>
      <c r="P4" s="250"/>
      <c r="Q4" s="250"/>
      <c r="R4" s="250"/>
      <c r="S4" s="250"/>
      <c r="T4" s="250"/>
      <c r="U4" s="250"/>
      <c r="V4" s="250"/>
      <c r="W4" s="250"/>
      <c r="X4" s="250"/>
      <c r="Y4" s="250"/>
      <c r="Z4" s="250"/>
    </row>
    <row r="5" spans="2:26" ht="10.199999999999999" customHeight="1">
      <c r="P5" s="250"/>
      <c r="Q5" s="250"/>
      <c r="R5" s="250"/>
      <c r="S5" s="250"/>
      <c r="T5" s="250"/>
      <c r="U5" s="250"/>
      <c r="V5" s="250"/>
      <c r="W5" s="250"/>
      <c r="X5" s="250"/>
      <c r="Y5" s="250"/>
      <c r="Z5" s="250"/>
    </row>
    <row r="6" spans="2:26" ht="10.199999999999999" customHeight="1">
      <c r="B6" s="56" t="str">
        <f>IF('Low Stress Type Gasket'!BE11="","",'Low Stress Type Gasket'!BE11)</f>
        <v/>
      </c>
      <c r="C6" s="58" t="str">
        <f t="shared" ref="C6:L21" ca="1" si="0">IF($M$4=0,"",VLOOKUP($B6,INDIRECT("$P$1:$Z$"&amp;$M$4),COLUMN()-1,0))</f>
        <v/>
      </c>
      <c r="D6" s="58" t="str">
        <f t="shared" ca="1" si="0"/>
        <v/>
      </c>
      <c r="E6" s="58" t="str">
        <f t="shared" ca="1" si="0"/>
        <v/>
      </c>
      <c r="F6" s="58" t="str">
        <f t="shared" ca="1" si="0"/>
        <v/>
      </c>
      <c r="G6" s="58" t="str">
        <f t="shared" ca="1" si="0"/>
        <v/>
      </c>
      <c r="H6" s="58" t="str">
        <f t="shared" ca="1" si="0"/>
        <v/>
      </c>
      <c r="I6" s="58" t="str">
        <f t="shared" ca="1" si="0"/>
        <v/>
      </c>
      <c r="J6" s="58" t="str">
        <f t="shared" ca="1" si="0"/>
        <v/>
      </c>
      <c r="K6" s="58" t="str">
        <f t="shared" ca="1" si="0"/>
        <v/>
      </c>
      <c r="L6" s="58" t="str">
        <f t="shared" ca="1" si="0"/>
        <v/>
      </c>
      <c r="P6" s="250"/>
      <c r="Q6" s="250"/>
      <c r="R6" s="250"/>
      <c r="S6" s="250"/>
      <c r="T6" s="250"/>
      <c r="U6" s="250"/>
      <c r="V6" s="250"/>
      <c r="W6" s="250"/>
      <c r="X6" s="250"/>
      <c r="Y6" s="250"/>
      <c r="Z6" s="250"/>
    </row>
    <row r="7" spans="2:26" ht="10.199999999999999" customHeight="1">
      <c r="B7" s="56" t="str">
        <f>IF('Low Stress Type Gasket'!BE12="","",'Low Stress Type Gasket'!BE12)</f>
        <v/>
      </c>
      <c r="C7" s="58" t="str">
        <f t="shared" ca="1" si="0"/>
        <v/>
      </c>
      <c r="D7" s="58" t="str">
        <f t="shared" ca="1" si="0"/>
        <v/>
      </c>
      <c r="E7" s="58" t="str">
        <f t="shared" ca="1" si="0"/>
        <v/>
      </c>
      <c r="F7" s="58" t="str">
        <f t="shared" ca="1" si="0"/>
        <v/>
      </c>
      <c r="G7" s="58" t="str">
        <f t="shared" ca="1" si="0"/>
        <v/>
      </c>
      <c r="H7" s="58" t="str">
        <f t="shared" ca="1" si="0"/>
        <v/>
      </c>
      <c r="I7" s="58" t="str">
        <f t="shared" ca="1" si="0"/>
        <v/>
      </c>
      <c r="J7" s="58" t="str">
        <f t="shared" ca="1" si="0"/>
        <v/>
      </c>
      <c r="K7" s="58" t="str">
        <f t="shared" ca="1" si="0"/>
        <v/>
      </c>
      <c r="L7" s="58" t="str">
        <f t="shared" ca="1" si="0"/>
        <v/>
      </c>
      <c r="P7" s="250"/>
      <c r="Q7" s="250"/>
      <c r="R7" s="250"/>
      <c r="S7" s="250"/>
      <c r="T7" s="250"/>
      <c r="U7" s="250"/>
      <c r="V7" s="250"/>
      <c r="W7" s="250"/>
      <c r="X7" s="250"/>
      <c r="Y7" s="250"/>
      <c r="Z7" s="250"/>
    </row>
    <row r="8" spans="2:26" ht="10.199999999999999" customHeight="1">
      <c r="B8" s="56" t="str">
        <f>IF('Low Stress Type Gasket'!BE13="","",'Low Stress Type Gasket'!BE13)</f>
        <v/>
      </c>
      <c r="C8" s="58" t="str">
        <f t="shared" ca="1" si="0"/>
        <v/>
      </c>
      <c r="D8" s="58" t="str">
        <f t="shared" ca="1" si="0"/>
        <v/>
      </c>
      <c r="E8" s="58" t="str">
        <f t="shared" ca="1" si="0"/>
        <v/>
      </c>
      <c r="F8" s="58" t="str">
        <f t="shared" ca="1" si="0"/>
        <v/>
      </c>
      <c r="G8" s="58" t="str">
        <f t="shared" ca="1" si="0"/>
        <v/>
      </c>
      <c r="H8" s="58" t="str">
        <f t="shared" ca="1" si="0"/>
        <v/>
      </c>
      <c r="I8" s="58" t="str">
        <f t="shared" ca="1" si="0"/>
        <v/>
      </c>
      <c r="J8" s="58" t="str">
        <f t="shared" ca="1" si="0"/>
        <v/>
      </c>
      <c r="K8" s="58" t="str">
        <f t="shared" ca="1" si="0"/>
        <v/>
      </c>
      <c r="L8" s="58" t="str">
        <f t="shared" ca="1" si="0"/>
        <v/>
      </c>
      <c r="P8" s="241"/>
      <c r="Q8" s="241"/>
      <c r="R8" s="241"/>
      <c r="S8" s="241"/>
      <c r="T8" s="241"/>
      <c r="U8" s="241"/>
      <c r="V8" s="241"/>
      <c r="W8" s="241"/>
      <c r="X8" s="241"/>
      <c r="Y8" s="241"/>
      <c r="Z8" s="241"/>
    </row>
    <row r="9" spans="2:26" ht="10.199999999999999" customHeight="1">
      <c r="B9" s="56" t="str">
        <f>IF('Low Stress Type Gasket'!BE14="","",'Low Stress Type Gasket'!BE14)</f>
        <v/>
      </c>
      <c r="C9" s="58" t="str">
        <f t="shared" ca="1" si="0"/>
        <v/>
      </c>
      <c r="D9" s="58" t="str">
        <f t="shared" ca="1" si="0"/>
        <v/>
      </c>
      <c r="E9" s="58" t="str">
        <f t="shared" ca="1" si="0"/>
        <v/>
      </c>
      <c r="F9" s="58" t="str">
        <f t="shared" ca="1" si="0"/>
        <v/>
      </c>
      <c r="G9" s="58" t="str">
        <f t="shared" ca="1" si="0"/>
        <v/>
      </c>
      <c r="H9" s="58" t="str">
        <f t="shared" ca="1" si="0"/>
        <v/>
      </c>
      <c r="I9" s="58" t="str">
        <f t="shared" ca="1" si="0"/>
        <v/>
      </c>
      <c r="J9" s="58" t="str">
        <f t="shared" ca="1" si="0"/>
        <v/>
      </c>
      <c r="K9" s="58" t="str">
        <f t="shared" ca="1" si="0"/>
        <v/>
      </c>
      <c r="L9" s="58" t="str">
        <f t="shared" ca="1" si="0"/>
        <v/>
      </c>
      <c r="P9" s="250"/>
      <c r="Q9" s="250"/>
      <c r="R9" s="250"/>
      <c r="S9" s="250"/>
      <c r="T9" s="250"/>
      <c r="U9" s="250"/>
      <c r="V9" s="250"/>
      <c r="W9" s="250"/>
      <c r="X9" s="250"/>
      <c r="Y9" s="250"/>
      <c r="Z9" s="250"/>
    </row>
    <row r="10" spans="2:26" ht="10.199999999999999" customHeight="1">
      <c r="B10" s="56" t="str">
        <f>IF('Low Stress Type Gasket'!BE15="","",'Low Stress Type Gasket'!BE15)</f>
        <v/>
      </c>
      <c r="C10" s="58" t="str">
        <f t="shared" ca="1" si="0"/>
        <v/>
      </c>
      <c r="D10" s="58" t="str">
        <f t="shared" ca="1" si="0"/>
        <v/>
      </c>
      <c r="E10" s="58" t="str">
        <f t="shared" ca="1" si="0"/>
        <v/>
      </c>
      <c r="F10" s="58" t="str">
        <f t="shared" ca="1" si="0"/>
        <v/>
      </c>
      <c r="G10" s="58" t="str">
        <f t="shared" ca="1" si="0"/>
        <v/>
      </c>
      <c r="H10" s="58" t="str">
        <f t="shared" ca="1" si="0"/>
        <v/>
      </c>
      <c r="I10" s="58" t="str">
        <f t="shared" ca="1" si="0"/>
        <v/>
      </c>
      <c r="J10" s="58" t="str">
        <f t="shared" ca="1" si="0"/>
        <v/>
      </c>
      <c r="K10" s="58" t="str">
        <f t="shared" ca="1" si="0"/>
        <v/>
      </c>
      <c r="L10" s="58" t="str">
        <f t="shared" ca="1" si="0"/>
        <v/>
      </c>
      <c r="P10" s="250"/>
      <c r="Q10" s="250"/>
      <c r="R10" s="250"/>
      <c r="S10" s="250"/>
      <c r="T10" s="250"/>
      <c r="U10" s="250"/>
      <c r="V10" s="250"/>
      <c r="W10" s="250"/>
      <c r="X10" s="250"/>
      <c r="Y10" s="250"/>
      <c r="Z10" s="250"/>
    </row>
    <row r="11" spans="2:26" ht="10.199999999999999" customHeight="1">
      <c r="B11" s="56" t="str">
        <f>IF('Low Stress Type Gasket'!BE16="","",'Low Stress Type Gasket'!BE16)</f>
        <v/>
      </c>
      <c r="C11" s="58" t="str">
        <f t="shared" ca="1" si="0"/>
        <v/>
      </c>
      <c r="D11" s="58" t="str">
        <f t="shared" ca="1" si="0"/>
        <v/>
      </c>
      <c r="E11" s="58" t="str">
        <f t="shared" ca="1" si="0"/>
        <v/>
      </c>
      <c r="F11" s="58" t="str">
        <f t="shared" ca="1" si="0"/>
        <v/>
      </c>
      <c r="G11" s="58" t="str">
        <f t="shared" ca="1" si="0"/>
        <v/>
      </c>
      <c r="H11" s="58" t="str">
        <f t="shared" ca="1" si="0"/>
        <v/>
      </c>
      <c r="I11" s="58" t="str">
        <f t="shared" ca="1" si="0"/>
        <v/>
      </c>
      <c r="J11" s="58" t="str">
        <f t="shared" ca="1" si="0"/>
        <v/>
      </c>
      <c r="K11" s="58" t="str">
        <f t="shared" ca="1" si="0"/>
        <v/>
      </c>
      <c r="L11" s="58" t="str">
        <f t="shared" ca="1" si="0"/>
        <v/>
      </c>
      <c r="P11" s="250"/>
      <c r="Q11" s="250"/>
      <c r="R11" s="250"/>
      <c r="S11" s="250"/>
      <c r="T11" s="250"/>
      <c r="U11" s="250"/>
      <c r="V11" s="250"/>
      <c r="W11" s="250"/>
      <c r="X11" s="250"/>
      <c r="Y11" s="250"/>
      <c r="Z11" s="250"/>
    </row>
    <row r="12" spans="2:26" ht="10.199999999999999" customHeight="1">
      <c r="B12" s="56" t="str">
        <f>IF('Low Stress Type Gasket'!BE17="","",'Low Stress Type Gasket'!BE17)</f>
        <v/>
      </c>
      <c r="C12" s="58" t="str">
        <f t="shared" ca="1" si="0"/>
        <v/>
      </c>
      <c r="D12" s="58" t="str">
        <f t="shared" ca="1" si="0"/>
        <v/>
      </c>
      <c r="E12" s="58" t="str">
        <f t="shared" ca="1" si="0"/>
        <v/>
      </c>
      <c r="F12" s="58" t="str">
        <f t="shared" ca="1" si="0"/>
        <v/>
      </c>
      <c r="G12" s="58" t="str">
        <f t="shared" ca="1" si="0"/>
        <v/>
      </c>
      <c r="H12" s="58" t="str">
        <f t="shared" ca="1" si="0"/>
        <v/>
      </c>
      <c r="I12" s="58" t="str">
        <f t="shared" ca="1" si="0"/>
        <v/>
      </c>
      <c r="J12" s="58" t="str">
        <f t="shared" ca="1" si="0"/>
        <v/>
      </c>
      <c r="K12" s="58" t="str">
        <f t="shared" ca="1" si="0"/>
        <v/>
      </c>
      <c r="L12" s="58" t="str">
        <f t="shared" ca="1" si="0"/>
        <v/>
      </c>
      <c r="P12" s="241"/>
      <c r="Q12" s="241"/>
      <c r="R12" s="241"/>
      <c r="S12" s="241"/>
      <c r="T12" s="241"/>
      <c r="U12" s="241"/>
      <c r="V12" s="241"/>
      <c r="W12" s="241"/>
      <c r="X12" s="241"/>
      <c r="Y12" s="241"/>
      <c r="Z12" s="241"/>
    </row>
    <row r="13" spans="2:26" ht="10.199999999999999" customHeight="1">
      <c r="B13" s="56" t="str">
        <f>IF('Low Stress Type Gasket'!BE18="","",'Low Stress Type Gasket'!BE18)</f>
        <v/>
      </c>
      <c r="C13" s="58" t="str">
        <f t="shared" ca="1" si="0"/>
        <v/>
      </c>
      <c r="D13" s="58" t="str">
        <f t="shared" ca="1" si="0"/>
        <v/>
      </c>
      <c r="E13" s="58" t="str">
        <f t="shared" ca="1" si="0"/>
        <v/>
      </c>
      <c r="F13" s="58" t="str">
        <f t="shared" ca="1" si="0"/>
        <v/>
      </c>
      <c r="G13" s="58" t="str">
        <f t="shared" ca="1" si="0"/>
        <v/>
      </c>
      <c r="H13" s="58" t="str">
        <f t="shared" ca="1" si="0"/>
        <v/>
      </c>
      <c r="I13" s="58" t="str">
        <f t="shared" ca="1" si="0"/>
        <v/>
      </c>
      <c r="J13" s="58" t="str">
        <f t="shared" ca="1" si="0"/>
        <v/>
      </c>
      <c r="K13" s="58" t="str">
        <f t="shared" ca="1" si="0"/>
        <v/>
      </c>
      <c r="L13" s="58" t="str">
        <f t="shared" ca="1" si="0"/>
        <v/>
      </c>
      <c r="P13" s="250"/>
      <c r="Q13" s="250"/>
      <c r="R13" s="250"/>
      <c r="S13" s="250"/>
      <c r="T13" s="250"/>
      <c r="U13" s="250"/>
      <c r="V13" s="250"/>
      <c r="W13" s="250"/>
      <c r="X13" s="250"/>
      <c r="Y13" s="250"/>
      <c r="Z13" s="250"/>
    </row>
    <row r="14" spans="2:26" ht="10.199999999999999" customHeight="1">
      <c r="B14" s="56" t="str">
        <f>IF('Low Stress Type Gasket'!BE19="","",'Low Stress Type Gasket'!BE19)</f>
        <v/>
      </c>
      <c r="C14" s="58" t="str">
        <f t="shared" ca="1" si="0"/>
        <v/>
      </c>
      <c r="D14" s="58" t="str">
        <f t="shared" ca="1" si="0"/>
        <v/>
      </c>
      <c r="E14" s="58" t="str">
        <f t="shared" ca="1" si="0"/>
        <v/>
      </c>
      <c r="F14" s="58" t="str">
        <f t="shared" ca="1" si="0"/>
        <v/>
      </c>
      <c r="G14" s="58" t="str">
        <f t="shared" ca="1" si="0"/>
        <v/>
      </c>
      <c r="H14" s="58" t="str">
        <f t="shared" ca="1" si="0"/>
        <v/>
      </c>
      <c r="I14" s="58" t="str">
        <f t="shared" ca="1" si="0"/>
        <v/>
      </c>
      <c r="J14" s="58" t="str">
        <f t="shared" ca="1" si="0"/>
        <v/>
      </c>
      <c r="K14" s="58" t="str">
        <f t="shared" ca="1" si="0"/>
        <v/>
      </c>
      <c r="L14" s="58" t="str">
        <f t="shared" ca="1" si="0"/>
        <v/>
      </c>
      <c r="P14" s="250"/>
      <c r="Q14" s="250"/>
      <c r="R14" s="250"/>
      <c r="S14" s="250"/>
      <c r="T14" s="250"/>
      <c r="U14" s="250"/>
      <c r="V14" s="250"/>
      <c r="W14" s="250"/>
      <c r="X14" s="250"/>
      <c r="Y14" s="250"/>
      <c r="Z14" s="250"/>
    </row>
    <row r="15" spans="2:26" ht="10.199999999999999" customHeight="1">
      <c r="B15" s="56" t="str">
        <f>IF('Low Stress Type Gasket'!BE20="","",'Low Stress Type Gasket'!BE20)</f>
        <v/>
      </c>
      <c r="C15" s="58" t="str">
        <f t="shared" ca="1" si="0"/>
        <v/>
      </c>
      <c r="D15" s="58" t="str">
        <f t="shared" ca="1" si="0"/>
        <v/>
      </c>
      <c r="E15" s="58" t="str">
        <f t="shared" ca="1" si="0"/>
        <v/>
      </c>
      <c r="F15" s="58" t="str">
        <f t="shared" ca="1" si="0"/>
        <v/>
      </c>
      <c r="G15" s="58" t="str">
        <f t="shared" ca="1" si="0"/>
        <v/>
      </c>
      <c r="H15" s="58" t="str">
        <f t="shared" ca="1" si="0"/>
        <v/>
      </c>
      <c r="I15" s="58" t="str">
        <f t="shared" ca="1" si="0"/>
        <v/>
      </c>
      <c r="J15" s="58" t="str">
        <f t="shared" ca="1" si="0"/>
        <v/>
      </c>
      <c r="K15" s="58" t="str">
        <f t="shared" ca="1" si="0"/>
        <v/>
      </c>
      <c r="L15" s="58" t="str">
        <f t="shared" ca="1" si="0"/>
        <v/>
      </c>
      <c r="P15" s="241"/>
      <c r="Q15" s="241"/>
      <c r="R15" s="241"/>
      <c r="S15" s="241"/>
      <c r="T15" s="241"/>
      <c r="U15" s="241"/>
      <c r="V15" s="241"/>
      <c r="W15" s="241"/>
      <c r="X15" s="241"/>
      <c r="Y15" s="241"/>
      <c r="Z15" s="241"/>
    </row>
    <row r="16" spans="2:26" ht="10.199999999999999" customHeight="1">
      <c r="B16" s="56" t="str">
        <f>IF('Low Stress Type Gasket'!BE21="","",'Low Stress Type Gasket'!BE21)</f>
        <v/>
      </c>
      <c r="C16" s="58" t="str">
        <f t="shared" ca="1" si="0"/>
        <v/>
      </c>
      <c r="D16" s="58" t="str">
        <f t="shared" ca="1" si="0"/>
        <v/>
      </c>
      <c r="E16" s="58" t="str">
        <f t="shared" ca="1" si="0"/>
        <v/>
      </c>
      <c r="F16" s="58" t="str">
        <f t="shared" ca="1" si="0"/>
        <v/>
      </c>
      <c r="G16" s="58" t="str">
        <f t="shared" ca="1" si="0"/>
        <v/>
      </c>
      <c r="H16" s="58" t="str">
        <f t="shared" ca="1" si="0"/>
        <v/>
      </c>
      <c r="I16" s="58" t="str">
        <f t="shared" ca="1" si="0"/>
        <v/>
      </c>
      <c r="J16" s="58" t="str">
        <f t="shared" ca="1" si="0"/>
        <v/>
      </c>
      <c r="K16" s="58" t="str">
        <f t="shared" ca="1" si="0"/>
        <v/>
      </c>
      <c r="L16" s="58" t="str">
        <f t="shared" ca="1" si="0"/>
        <v/>
      </c>
      <c r="P16" s="250"/>
      <c r="Q16" s="250"/>
      <c r="R16" s="250"/>
      <c r="S16" s="250"/>
      <c r="T16" s="250"/>
      <c r="U16" s="250"/>
      <c r="V16" s="250"/>
      <c r="W16" s="250"/>
      <c r="X16" s="250"/>
      <c r="Y16" s="250"/>
      <c r="Z16" s="250"/>
    </row>
    <row r="17" spans="2:26" ht="10.199999999999999" customHeight="1">
      <c r="B17" s="56" t="str">
        <f>IF('Low Stress Type Gasket'!BE22="","",'Low Stress Type Gasket'!BE22)</f>
        <v/>
      </c>
      <c r="C17" s="58" t="str">
        <f t="shared" ca="1" si="0"/>
        <v/>
      </c>
      <c r="D17" s="58" t="str">
        <f t="shared" ca="1" si="0"/>
        <v/>
      </c>
      <c r="E17" s="58" t="str">
        <f t="shared" ca="1" si="0"/>
        <v/>
      </c>
      <c r="F17" s="58" t="str">
        <f t="shared" ca="1" si="0"/>
        <v/>
      </c>
      <c r="G17" s="58" t="str">
        <f t="shared" ca="1" si="0"/>
        <v/>
      </c>
      <c r="H17" s="58" t="str">
        <f t="shared" ca="1" si="0"/>
        <v/>
      </c>
      <c r="I17" s="58" t="str">
        <f t="shared" ca="1" si="0"/>
        <v/>
      </c>
      <c r="J17" s="58" t="str">
        <f t="shared" ca="1" si="0"/>
        <v/>
      </c>
      <c r="K17" s="58" t="str">
        <f t="shared" ca="1" si="0"/>
        <v/>
      </c>
      <c r="L17" s="58" t="str">
        <f t="shared" ca="1" si="0"/>
        <v/>
      </c>
      <c r="P17" s="250"/>
      <c r="Q17" s="250"/>
      <c r="R17" s="250"/>
      <c r="S17" s="250"/>
      <c r="T17" s="250"/>
      <c r="U17" s="250"/>
      <c r="V17" s="250"/>
      <c r="W17" s="250"/>
      <c r="X17" s="250"/>
      <c r="Y17" s="250"/>
      <c r="Z17" s="250"/>
    </row>
    <row r="18" spans="2:26" ht="10.199999999999999" customHeight="1">
      <c r="B18" s="56" t="str">
        <f>IF('Low Stress Type Gasket'!BE23="","",'Low Stress Type Gasket'!BE23)</f>
        <v/>
      </c>
      <c r="C18" s="58" t="str">
        <f t="shared" ca="1" si="0"/>
        <v/>
      </c>
      <c r="D18" s="58" t="str">
        <f t="shared" ca="1" si="0"/>
        <v/>
      </c>
      <c r="E18" s="58" t="str">
        <f t="shared" ca="1" si="0"/>
        <v/>
      </c>
      <c r="F18" s="58" t="str">
        <f t="shared" ca="1" si="0"/>
        <v/>
      </c>
      <c r="G18" s="58" t="str">
        <f t="shared" ca="1" si="0"/>
        <v/>
      </c>
      <c r="H18" s="58" t="str">
        <f t="shared" ca="1" si="0"/>
        <v/>
      </c>
      <c r="I18" s="58" t="str">
        <f t="shared" ca="1" si="0"/>
        <v/>
      </c>
      <c r="J18" s="58" t="str">
        <f t="shared" ca="1" si="0"/>
        <v/>
      </c>
      <c r="K18" s="58" t="str">
        <f t="shared" ca="1" si="0"/>
        <v/>
      </c>
      <c r="L18" s="58" t="str">
        <f t="shared" ca="1" si="0"/>
        <v/>
      </c>
      <c r="P18" s="241"/>
      <c r="Q18" s="241"/>
      <c r="R18" s="241"/>
      <c r="S18" s="241"/>
      <c r="T18" s="241"/>
      <c r="U18" s="241"/>
      <c r="V18" s="241"/>
      <c r="W18" s="241"/>
      <c r="X18" s="241"/>
      <c r="Y18" s="241"/>
      <c r="Z18" s="241"/>
    </row>
    <row r="19" spans="2:26" ht="10.199999999999999" customHeight="1">
      <c r="B19" s="56" t="str">
        <f>IF('Low Stress Type Gasket'!BE24="","",'Low Stress Type Gasket'!BE24)</f>
        <v/>
      </c>
      <c r="C19" s="58" t="str">
        <f t="shared" ca="1" si="0"/>
        <v/>
      </c>
      <c r="D19" s="58" t="str">
        <f t="shared" ca="1" si="0"/>
        <v/>
      </c>
      <c r="E19" s="58" t="str">
        <f t="shared" ca="1" si="0"/>
        <v/>
      </c>
      <c r="F19" s="58" t="str">
        <f t="shared" ca="1" si="0"/>
        <v/>
      </c>
      <c r="G19" s="58" t="str">
        <f t="shared" ca="1" si="0"/>
        <v/>
      </c>
      <c r="H19" s="58" t="str">
        <f t="shared" ca="1" si="0"/>
        <v/>
      </c>
      <c r="I19" s="58" t="str">
        <f t="shared" ca="1" si="0"/>
        <v/>
      </c>
      <c r="J19" s="58" t="str">
        <f t="shared" ca="1" si="0"/>
        <v/>
      </c>
      <c r="K19" s="58" t="str">
        <f t="shared" ca="1" si="0"/>
        <v/>
      </c>
      <c r="L19" s="58" t="str">
        <f t="shared" ca="1" si="0"/>
        <v/>
      </c>
      <c r="P19" s="250"/>
      <c r="Q19" s="250"/>
      <c r="R19" s="250"/>
      <c r="S19" s="250"/>
      <c r="T19" s="250"/>
      <c r="U19" s="250"/>
      <c r="V19" s="250"/>
      <c r="W19" s="250"/>
      <c r="X19" s="250"/>
      <c r="Y19" s="250"/>
      <c r="Z19" s="250"/>
    </row>
    <row r="20" spans="2:26" ht="10.199999999999999" customHeight="1">
      <c r="B20" s="56" t="str">
        <f>IF('Low Stress Type Gasket'!BE25="","",'Low Stress Type Gasket'!BE25)</f>
        <v/>
      </c>
      <c r="C20" s="58" t="str">
        <f t="shared" ca="1" si="0"/>
        <v/>
      </c>
      <c r="D20" s="58" t="str">
        <f t="shared" ca="1" si="0"/>
        <v/>
      </c>
      <c r="E20" s="58" t="str">
        <f t="shared" ca="1" si="0"/>
        <v/>
      </c>
      <c r="F20" s="58" t="str">
        <f t="shared" ca="1" si="0"/>
        <v/>
      </c>
      <c r="G20" s="58" t="str">
        <f t="shared" ca="1" si="0"/>
        <v/>
      </c>
      <c r="H20" s="58" t="str">
        <f t="shared" ca="1" si="0"/>
        <v/>
      </c>
      <c r="I20" s="58" t="str">
        <f t="shared" ca="1" si="0"/>
        <v/>
      </c>
      <c r="J20" s="58" t="str">
        <f t="shared" ca="1" si="0"/>
        <v/>
      </c>
      <c r="K20" s="58" t="str">
        <f t="shared" ca="1" si="0"/>
        <v/>
      </c>
      <c r="L20" s="58" t="str">
        <f t="shared" ca="1" si="0"/>
        <v/>
      </c>
      <c r="P20" s="250"/>
      <c r="Q20" s="250"/>
      <c r="R20" s="250"/>
      <c r="S20" s="250"/>
      <c r="T20" s="250"/>
      <c r="U20" s="250"/>
      <c r="V20" s="250"/>
      <c r="W20" s="250"/>
      <c r="X20" s="250"/>
      <c r="Y20" s="250"/>
      <c r="Z20" s="250"/>
    </row>
    <row r="21" spans="2:26" ht="10.199999999999999" customHeight="1">
      <c r="B21" s="56" t="str">
        <f>IF('Low Stress Type Gasket'!BE26="","",'Low Stress Type Gasket'!BE26)</f>
        <v/>
      </c>
      <c r="C21" s="58" t="str">
        <f t="shared" ca="1" si="0"/>
        <v/>
      </c>
      <c r="D21" s="58" t="str">
        <f t="shared" ca="1" si="0"/>
        <v/>
      </c>
      <c r="E21" s="58" t="str">
        <f t="shared" ca="1" si="0"/>
        <v/>
      </c>
      <c r="F21" s="58" t="str">
        <f t="shared" ca="1" si="0"/>
        <v/>
      </c>
      <c r="G21" s="58" t="str">
        <f t="shared" ca="1" si="0"/>
        <v/>
      </c>
      <c r="H21" s="58" t="str">
        <f t="shared" ca="1" si="0"/>
        <v/>
      </c>
      <c r="I21" s="58" t="str">
        <f t="shared" ca="1" si="0"/>
        <v/>
      </c>
      <c r="J21" s="58" t="str">
        <f t="shared" ca="1" si="0"/>
        <v/>
      </c>
      <c r="K21" s="58" t="str">
        <f t="shared" ca="1" si="0"/>
        <v/>
      </c>
      <c r="L21" s="58" t="str">
        <f t="shared" ca="1" si="0"/>
        <v/>
      </c>
      <c r="P21" s="241"/>
      <c r="Q21" s="241"/>
      <c r="R21" s="241"/>
      <c r="S21" s="241"/>
      <c r="T21" s="241"/>
      <c r="U21" s="241"/>
      <c r="V21" s="241"/>
      <c r="W21" s="241"/>
      <c r="X21" s="241"/>
      <c r="Y21" s="241"/>
      <c r="Z21" s="241"/>
    </row>
    <row r="22" spans="2:26" ht="10.199999999999999" customHeight="1">
      <c r="B22" s="56" t="str">
        <f>IF('Low Stress Type Gasket'!BE27="","",'Low Stress Type Gasket'!BE27)</f>
        <v/>
      </c>
      <c r="C22" s="58" t="str">
        <f t="shared" ref="C22:L37" ca="1" si="1">IF($M$4=0,"",VLOOKUP($B22,INDIRECT("$P$1:$Z$"&amp;$M$4),COLUMN()-1,0))</f>
        <v/>
      </c>
      <c r="D22" s="58" t="str">
        <f t="shared" ca="1" si="1"/>
        <v/>
      </c>
      <c r="E22" s="58" t="str">
        <f t="shared" ca="1" si="1"/>
        <v/>
      </c>
      <c r="F22" s="58" t="str">
        <f t="shared" ca="1" si="1"/>
        <v/>
      </c>
      <c r="G22" s="58" t="str">
        <f t="shared" ca="1" si="1"/>
        <v/>
      </c>
      <c r="H22" s="58" t="str">
        <f t="shared" ca="1" si="1"/>
        <v/>
      </c>
      <c r="I22" s="58" t="str">
        <f t="shared" ca="1" si="1"/>
        <v/>
      </c>
      <c r="J22" s="58" t="str">
        <f t="shared" ca="1" si="1"/>
        <v/>
      </c>
      <c r="K22" s="58" t="str">
        <f t="shared" ca="1" si="1"/>
        <v/>
      </c>
      <c r="L22" s="58" t="str">
        <f t="shared" ca="1" si="1"/>
        <v/>
      </c>
      <c r="P22" s="250"/>
      <c r="Q22" s="250"/>
      <c r="R22" s="250"/>
      <c r="S22" s="250"/>
      <c r="T22" s="250"/>
      <c r="U22" s="250"/>
      <c r="V22" s="250"/>
      <c r="W22" s="250"/>
      <c r="X22" s="250"/>
      <c r="Y22" s="250"/>
      <c r="Z22" s="250"/>
    </row>
    <row r="23" spans="2:26" ht="10.199999999999999" customHeight="1">
      <c r="B23" s="56" t="str">
        <f>IF('Low Stress Type Gasket'!BE28="","",'Low Stress Type Gasket'!BE28)</f>
        <v/>
      </c>
      <c r="C23" s="58" t="str">
        <f t="shared" ca="1" si="1"/>
        <v/>
      </c>
      <c r="D23" s="58" t="str">
        <f t="shared" ca="1" si="1"/>
        <v/>
      </c>
      <c r="E23" s="58" t="str">
        <f t="shared" ca="1" si="1"/>
        <v/>
      </c>
      <c r="F23" s="58" t="str">
        <f t="shared" ca="1" si="1"/>
        <v/>
      </c>
      <c r="G23" s="58" t="str">
        <f t="shared" ca="1" si="1"/>
        <v/>
      </c>
      <c r="H23" s="58" t="str">
        <f t="shared" ca="1" si="1"/>
        <v/>
      </c>
      <c r="I23" s="58" t="str">
        <f t="shared" ca="1" si="1"/>
        <v/>
      </c>
      <c r="J23" s="58" t="str">
        <f t="shared" ca="1" si="1"/>
        <v/>
      </c>
      <c r="K23" s="58" t="str">
        <f t="shared" ca="1" si="1"/>
        <v/>
      </c>
      <c r="L23" s="58" t="str">
        <f t="shared" ca="1" si="1"/>
        <v/>
      </c>
      <c r="P23" s="250"/>
      <c r="Q23" s="250"/>
      <c r="R23" s="250"/>
      <c r="S23" s="250"/>
      <c r="T23" s="250"/>
      <c r="U23" s="250"/>
      <c r="V23" s="250"/>
      <c r="W23" s="250"/>
      <c r="X23" s="250"/>
      <c r="Y23" s="250"/>
      <c r="Z23" s="250"/>
    </row>
    <row r="24" spans="2:26" ht="10.199999999999999" customHeight="1">
      <c r="B24" s="56" t="str">
        <f>IF('Low Stress Type Gasket'!BE29="","",'Low Stress Type Gasket'!BE29)</f>
        <v/>
      </c>
      <c r="C24" s="58" t="str">
        <f t="shared" ca="1" si="1"/>
        <v/>
      </c>
      <c r="D24" s="58" t="str">
        <f t="shared" ca="1" si="1"/>
        <v/>
      </c>
      <c r="E24" s="58" t="str">
        <f t="shared" ca="1" si="1"/>
        <v/>
      </c>
      <c r="F24" s="58" t="str">
        <f t="shared" ca="1" si="1"/>
        <v/>
      </c>
      <c r="G24" s="58" t="str">
        <f t="shared" ca="1" si="1"/>
        <v/>
      </c>
      <c r="H24" s="58" t="str">
        <f t="shared" ca="1" si="1"/>
        <v/>
      </c>
      <c r="I24" s="58" t="str">
        <f t="shared" ca="1" si="1"/>
        <v/>
      </c>
      <c r="J24" s="58" t="str">
        <f t="shared" ca="1" si="1"/>
        <v/>
      </c>
      <c r="K24" s="58" t="str">
        <f t="shared" ca="1" si="1"/>
        <v/>
      </c>
      <c r="L24" s="58" t="str">
        <f t="shared" ca="1" si="1"/>
        <v/>
      </c>
      <c r="P24" s="241"/>
      <c r="Q24" s="241"/>
      <c r="R24" s="241"/>
      <c r="S24" s="241"/>
      <c r="T24" s="241"/>
      <c r="U24" s="241"/>
      <c r="V24" s="241"/>
      <c r="W24" s="241"/>
      <c r="X24" s="241"/>
      <c r="Y24" s="241"/>
      <c r="Z24" s="241"/>
    </row>
    <row r="25" spans="2:26" ht="10.199999999999999" customHeight="1">
      <c r="B25" s="56" t="str">
        <f>IF('Low Stress Type Gasket'!BE30="","",'Low Stress Type Gasket'!BE30)</f>
        <v/>
      </c>
      <c r="C25" s="58" t="str">
        <f t="shared" ca="1" si="1"/>
        <v/>
      </c>
      <c r="D25" s="58" t="str">
        <f t="shared" ca="1" si="1"/>
        <v/>
      </c>
      <c r="E25" s="58" t="str">
        <f t="shared" ca="1" si="1"/>
        <v/>
      </c>
      <c r="F25" s="58" t="str">
        <f t="shared" ca="1" si="1"/>
        <v/>
      </c>
      <c r="G25" s="58" t="str">
        <f t="shared" ca="1" si="1"/>
        <v/>
      </c>
      <c r="H25" s="58" t="str">
        <f t="shared" ca="1" si="1"/>
        <v/>
      </c>
      <c r="I25" s="58" t="str">
        <f t="shared" ca="1" si="1"/>
        <v/>
      </c>
      <c r="J25" s="58" t="str">
        <f t="shared" ca="1" si="1"/>
        <v/>
      </c>
      <c r="K25" s="58" t="str">
        <f t="shared" ca="1" si="1"/>
        <v/>
      </c>
      <c r="L25" s="58" t="str">
        <f t="shared" ca="1" si="1"/>
        <v/>
      </c>
      <c r="P25" s="250"/>
      <c r="Q25" s="250"/>
      <c r="R25" s="250"/>
      <c r="S25" s="250"/>
      <c r="T25" s="250"/>
      <c r="U25" s="250"/>
      <c r="V25" s="250"/>
      <c r="W25" s="250"/>
      <c r="X25" s="250"/>
      <c r="Y25" s="250"/>
      <c r="Z25" s="250"/>
    </row>
    <row r="26" spans="2:26" ht="10.199999999999999" customHeight="1">
      <c r="B26" s="56" t="str">
        <f>IF('Low Stress Type Gasket'!BE31="","",'Low Stress Type Gasket'!BE31)</f>
        <v/>
      </c>
      <c r="C26" s="58" t="str">
        <f t="shared" ca="1" si="1"/>
        <v/>
      </c>
      <c r="D26" s="58" t="str">
        <f t="shared" ca="1" si="1"/>
        <v/>
      </c>
      <c r="E26" s="58" t="str">
        <f t="shared" ca="1" si="1"/>
        <v/>
      </c>
      <c r="F26" s="58" t="str">
        <f t="shared" ca="1" si="1"/>
        <v/>
      </c>
      <c r="G26" s="58" t="str">
        <f t="shared" ca="1" si="1"/>
        <v/>
      </c>
      <c r="H26" s="58" t="str">
        <f t="shared" ca="1" si="1"/>
        <v/>
      </c>
      <c r="I26" s="58" t="str">
        <f t="shared" ca="1" si="1"/>
        <v/>
      </c>
      <c r="J26" s="58" t="str">
        <f t="shared" ca="1" si="1"/>
        <v/>
      </c>
      <c r="K26" s="58" t="str">
        <f t="shared" ca="1" si="1"/>
        <v/>
      </c>
      <c r="L26" s="58" t="str">
        <f t="shared" ca="1" si="1"/>
        <v/>
      </c>
      <c r="P26" s="250"/>
      <c r="Q26" s="250"/>
      <c r="R26" s="250"/>
      <c r="S26" s="250"/>
      <c r="T26" s="250"/>
      <c r="U26" s="250"/>
      <c r="V26" s="250"/>
      <c r="W26" s="250"/>
      <c r="X26" s="250"/>
      <c r="Y26" s="250"/>
      <c r="Z26" s="250"/>
    </row>
    <row r="27" spans="2:26" ht="10.199999999999999" customHeight="1">
      <c r="B27" s="56" t="str">
        <f>IF('Low Stress Type Gasket'!BE32="","",'Low Stress Type Gasket'!BE32)</f>
        <v/>
      </c>
      <c r="C27" s="58" t="str">
        <f t="shared" ca="1" si="1"/>
        <v/>
      </c>
      <c r="D27" s="58" t="str">
        <f t="shared" ca="1" si="1"/>
        <v/>
      </c>
      <c r="E27" s="58" t="str">
        <f t="shared" ca="1" si="1"/>
        <v/>
      </c>
      <c r="F27" s="58" t="str">
        <f t="shared" ca="1" si="1"/>
        <v/>
      </c>
      <c r="G27" s="58" t="str">
        <f t="shared" ca="1" si="1"/>
        <v/>
      </c>
      <c r="H27" s="58" t="str">
        <f t="shared" ca="1" si="1"/>
        <v/>
      </c>
      <c r="I27" s="58" t="str">
        <f t="shared" ca="1" si="1"/>
        <v/>
      </c>
      <c r="J27" s="58" t="str">
        <f t="shared" ca="1" si="1"/>
        <v/>
      </c>
      <c r="K27" s="58" t="str">
        <f t="shared" ca="1" si="1"/>
        <v/>
      </c>
      <c r="L27" s="58" t="str">
        <f t="shared" ca="1" si="1"/>
        <v/>
      </c>
      <c r="P27" s="241"/>
      <c r="Q27" s="241"/>
      <c r="R27" s="241"/>
      <c r="S27" s="241"/>
      <c r="T27" s="241"/>
      <c r="U27" s="241"/>
      <c r="V27" s="241"/>
      <c r="W27" s="241"/>
      <c r="X27" s="241"/>
      <c r="Y27" s="241"/>
      <c r="Z27" s="241"/>
    </row>
    <row r="28" spans="2:26" ht="10.199999999999999" customHeight="1">
      <c r="B28" s="56" t="str">
        <f>IF('Low Stress Type Gasket'!BE33="","",'Low Stress Type Gasket'!BE33)</f>
        <v/>
      </c>
      <c r="C28" s="58" t="str">
        <f t="shared" ca="1" si="1"/>
        <v/>
      </c>
      <c r="D28" s="58" t="str">
        <f t="shared" ca="1" si="1"/>
        <v/>
      </c>
      <c r="E28" s="58" t="str">
        <f t="shared" ca="1" si="1"/>
        <v/>
      </c>
      <c r="F28" s="58" t="str">
        <f t="shared" ca="1" si="1"/>
        <v/>
      </c>
      <c r="G28" s="58" t="str">
        <f t="shared" ca="1" si="1"/>
        <v/>
      </c>
      <c r="H28" s="58" t="str">
        <f t="shared" ca="1" si="1"/>
        <v/>
      </c>
      <c r="I28" s="58" t="str">
        <f t="shared" ca="1" si="1"/>
        <v/>
      </c>
      <c r="J28" s="58" t="str">
        <f t="shared" ca="1" si="1"/>
        <v/>
      </c>
      <c r="K28" s="58" t="str">
        <f t="shared" ca="1" si="1"/>
        <v/>
      </c>
      <c r="L28" s="58" t="str">
        <f t="shared" ca="1" si="1"/>
        <v/>
      </c>
      <c r="P28" s="250"/>
      <c r="Q28" s="250"/>
      <c r="R28" s="250"/>
      <c r="S28" s="250"/>
      <c r="T28" s="250"/>
      <c r="U28" s="250"/>
      <c r="V28" s="250"/>
      <c r="W28" s="250"/>
      <c r="X28" s="250"/>
      <c r="Y28" s="250"/>
      <c r="Z28" s="250"/>
    </row>
    <row r="29" spans="2:26" ht="10.199999999999999" customHeight="1">
      <c r="B29" s="56" t="str">
        <f>IF('Low Stress Type Gasket'!BE34="","",'Low Stress Type Gasket'!BE34)</f>
        <v/>
      </c>
      <c r="C29" s="58" t="str">
        <f t="shared" ca="1" si="1"/>
        <v/>
      </c>
      <c r="D29" s="58" t="str">
        <f t="shared" ca="1" si="1"/>
        <v/>
      </c>
      <c r="E29" s="58" t="str">
        <f t="shared" ca="1" si="1"/>
        <v/>
      </c>
      <c r="F29" s="58" t="str">
        <f t="shared" ca="1" si="1"/>
        <v/>
      </c>
      <c r="G29" s="58" t="str">
        <f t="shared" ca="1" si="1"/>
        <v/>
      </c>
      <c r="H29" s="58" t="str">
        <f t="shared" ca="1" si="1"/>
        <v/>
      </c>
      <c r="I29" s="58" t="str">
        <f t="shared" ca="1" si="1"/>
        <v/>
      </c>
      <c r="J29" s="58" t="str">
        <f t="shared" ca="1" si="1"/>
        <v/>
      </c>
      <c r="K29" s="58" t="str">
        <f t="shared" ca="1" si="1"/>
        <v/>
      </c>
      <c r="L29" s="58" t="str">
        <f t="shared" ca="1" si="1"/>
        <v/>
      </c>
      <c r="P29" s="250"/>
      <c r="Q29" s="250"/>
      <c r="R29" s="250"/>
      <c r="S29" s="250"/>
      <c r="T29" s="250"/>
      <c r="U29" s="250"/>
      <c r="V29" s="250"/>
      <c r="W29" s="250"/>
      <c r="X29" s="250"/>
      <c r="Y29" s="250"/>
      <c r="Z29" s="250"/>
    </row>
    <row r="30" spans="2:26" ht="10.199999999999999" customHeight="1">
      <c r="B30" s="56" t="str">
        <f>IF('Low Stress Type Gasket'!BE35="","",'Low Stress Type Gasket'!BE35)</f>
        <v/>
      </c>
      <c r="C30" s="58" t="str">
        <f t="shared" ca="1" si="1"/>
        <v/>
      </c>
      <c r="D30" s="58" t="str">
        <f t="shared" ca="1" si="1"/>
        <v/>
      </c>
      <c r="E30" s="58" t="str">
        <f t="shared" ca="1" si="1"/>
        <v/>
      </c>
      <c r="F30" s="58" t="str">
        <f t="shared" ca="1" si="1"/>
        <v/>
      </c>
      <c r="G30" s="58" t="str">
        <f t="shared" ca="1" si="1"/>
        <v/>
      </c>
      <c r="H30" s="58" t="str">
        <f t="shared" ca="1" si="1"/>
        <v/>
      </c>
      <c r="I30" s="58" t="str">
        <f t="shared" ca="1" si="1"/>
        <v/>
      </c>
      <c r="J30" s="58" t="str">
        <f t="shared" ca="1" si="1"/>
        <v/>
      </c>
      <c r="K30" s="58" t="str">
        <f t="shared" ca="1" si="1"/>
        <v/>
      </c>
      <c r="L30" s="58" t="str">
        <f t="shared" ca="1" si="1"/>
        <v/>
      </c>
      <c r="P30" s="241"/>
      <c r="Q30" s="241"/>
      <c r="R30" s="241"/>
      <c r="S30" s="241"/>
      <c r="T30" s="241"/>
      <c r="U30" s="241"/>
      <c r="V30" s="241"/>
      <c r="W30" s="241"/>
      <c r="X30" s="241"/>
      <c r="Y30" s="241"/>
      <c r="Z30" s="241"/>
    </row>
    <row r="31" spans="2:26" ht="10.199999999999999" customHeight="1">
      <c r="B31" s="56" t="str">
        <f>IF('Low Stress Type Gasket'!BE36="","",'Low Stress Type Gasket'!BE36)</f>
        <v/>
      </c>
      <c r="C31" s="58" t="str">
        <f t="shared" ca="1" si="1"/>
        <v/>
      </c>
      <c r="D31" s="58" t="str">
        <f t="shared" ca="1" si="1"/>
        <v/>
      </c>
      <c r="E31" s="58" t="str">
        <f t="shared" ca="1" si="1"/>
        <v/>
      </c>
      <c r="F31" s="58" t="str">
        <f t="shared" ca="1" si="1"/>
        <v/>
      </c>
      <c r="G31" s="58" t="str">
        <f t="shared" ca="1" si="1"/>
        <v/>
      </c>
      <c r="H31" s="58" t="str">
        <f t="shared" ca="1" si="1"/>
        <v/>
      </c>
      <c r="I31" s="58" t="str">
        <f t="shared" ca="1" si="1"/>
        <v/>
      </c>
      <c r="J31" s="58" t="str">
        <f t="shared" ca="1" si="1"/>
        <v/>
      </c>
      <c r="K31" s="58" t="str">
        <f t="shared" ca="1" si="1"/>
        <v/>
      </c>
      <c r="L31" s="58" t="str">
        <f t="shared" ca="1" si="1"/>
        <v/>
      </c>
      <c r="P31" s="250"/>
      <c r="Q31" s="250"/>
      <c r="R31" s="250"/>
      <c r="S31" s="250"/>
      <c r="T31" s="250"/>
      <c r="U31" s="250"/>
      <c r="V31" s="250"/>
      <c r="W31" s="250"/>
      <c r="X31" s="250"/>
      <c r="Y31" s="250"/>
      <c r="Z31" s="250"/>
    </row>
    <row r="32" spans="2:26" ht="10.199999999999999" customHeight="1">
      <c r="B32" s="56" t="str">
        <f>IF('Low Stress Type Gasket'!BE37="","",'Low Stress Type Gasket'!BE37)</f>
        <v/>
      </c>
      <c r="C32" s="58" t="str">
        <f t="shared" ca="1" si="1"/>
        <v/>
      </c>
      <c r="D32" s="58" t="str">
        <f t="shared" ca="1" si="1"/>
        <v/>
      </c>
      <c r="E32" s="58" t="str">
        <f t="shared" ca="1" si="1"/>
        <v/>
      </c>
      <c r="F32" s="58" t="str">
        <f t="shared" ca="1" si="1"/>
        <v/>
      </c>
      <c r="G32" s="58" t="str">
        <f t="shared" ca="1" si="1"/>
        <v/>
      </c>
      <c r="H32" s="58" t="str">
        <f t="shared" ca="1" si="1"/>
        <v/>
      </c>
      <c r="I32" s="58" t="str">
        <f t="shared" ca="1" si="1"/>
        <v/>
      </c>
      <c r="J32" s="58" t="str">
        <f t="shared" ca="1" si="1"/>
        <v/>
      </c>
      <c r="K32" s="58" t="str">
        <f t="shared" ca="1" si="1"/>
        <v/>
      </c>
      <c r="L32" s="58" t="str">
        <f t="shared" ca="1" si="1"/>
        <v/>
      </c>
      <c r="P32" s="250"/>
      <c r="Q32" s="250"/>
      <c r="R32" s="250"/>
      <c r="S32" s="250"/>
      <c r="T32" s="250"/>
      <c r="U32" s="250"/>
      <c r="V32" s="250"/>
      <c r="W32" s="250"/>
      <c r="X32" s="250"/>
      <c r="Y32" s="250"/>
      <c r="Z32" s="250"/>
    </row>
    <row r="33" spans="2:26" ht="10.199999999999999" customHeight="1">
      <c r="B33" s="56" t="str">
        <f>IF('Low Stress Type Gasket'!BE38="","",'Low Stress Type Gasket'!BE38)</f>
        <v/>
      </c>
      <c r="C33" s="58" t="str">
        <f t="shared" ca="1" si="1"/>
        <v/>
      </c>
      <c r="D33" s="58" t="str">
        <f t="shared" ca="1" si="1"/>
        <v/>
      </c>
      <c r="E33" s="58" t="str">
        <f t="shared" ca="1" si="1"/>
        <v/>
      </c>
      <c r="F33" s="58" t="str">
        <f t="shared" ca="1" si="1"/>
        <v/>
      </c>
      <c r="G33" s="58" t="str">
        <f t="shared" ca="1" si="1"/>
        <v/>
      </c>
      <c r="H33" s="58" t="str">
        <f t="shared" ca="1" si="1"/>
        <v/>
      </c>
      <c r="I33" s="58" t="str">
        <f t="shared" ca="1" si="1"/>
        <v/>
      </c>
      <c r="J33" s="58" t="str">
        <f t="shared" ca="1" si="1"/>
        <v/>
      </c>
      <c r="K33" s="58" t="str">
        <f t="shared" ca="1" si="1"/>
        <v/>
      </c>
      <c r="L33" s="58" t="str">
        <f t="shared" ca="1" si="1"/>
        <v/>
      </c>
      <c r="P33" s="241"/>
      <c r="Q33" s="241"/>
      <c r="R33" s="241"/>
      <c r="S33" s="241"/>
      <c r="T33" s="241"/>
      <c r="U33" s="241"/>
      <c r="V33" s="241"/>
      <c r="W33" s="241"/>
      <c r="X33" s="241"/>
      <c r="Y33" s="241"/>
      <c r="Z33" s="241"/>
    </row>
    <row r="34" spans="2:26" ht="10.199999999999999" customHeight="1">
      <c r="B34" s="56" t="str">
        <f>IF('Low Stress Type Gasket'!BE39="","",'Low Stress Type Gasket'!BE39)</f>
        <v/>
      </c>
      <c r="C34" s="58" t="str">
        <f t="shared" ca="1" si="1"/>
        <v/>
      </c>
      <c r="D34" s="58" t="str">
        <f t="shared" ca="1" si="1"/>
        <v/>
      </c>
      <c r="E34" s="58" t="str">
        <f t="shared" ca="1" si="1"/>
        <v/>
      </c>
      <c r="F34" s="58" t="str">
        <f t="shared" ca="1" si="1"/>
        <v/>
      </c>
      <c r="G34" s="58" t="str">
        <f t="shared" ca="1" si="1"/>
        <v/>
      </c>
      <c r="H34" s="58" t="str">
        <f t="shared" ca="1" si="1"/>
        <v/>
      </c>
      <c r="I34" s="58" t="str">
        <f t="shared" ca="1" si="1"/>
        <v/>
      </c>
      <c r="J34" s="58" t="str">
        <f t="shared" ca="1" si="1"/>
        <v/>
      </c>
      <c r="K34" s="58" t="str">
        <f t="shared" ca="1" si="1"/>
        <v/>
      </c>
      <c r="L34" s="58" t="str">
        <f t="shared" ca="1" si="1"/>
        <v/>
      </c>
      <c r="P34" s="250"/>
      <c r="Q34" s="250"/>
      <c r="R34" s="250"/>
      <c r="S34" s="250"/>
      <c r="T34" s="250"/>
      <c r="U34" s="250"/>
      <c r="V34" s="250"/>
      <c r="W34" s="250"/>
      <c r="X34" s="250"/>
      <c r="Y34" s="250"/>
      <c r="Z34" s="250"/>
    </row>
    <row r="35" spans="2:26" ht="10.199999999999999" customHeight="1">
      <c r="B35" s="56" t="str">
        <f>IF('Low Stress Type Gasket'!BE40="","",'Low Stress Type Gasket'!BE40)</f>
        <v/>
      </c>
      <c r="C35" s="58" t="str">
        <f t="shared" ca="1" si="1"/>
        <v/>
      </c>
      <c r="D35" s="58" t="str">
        <f t="shared" ca="1" si="1"/>
        <v/>
      </c>
      <c r="E35" s="58" t="str">
        <f t="shared" ca="1" si="1"/>
        <v/>
      </c>
      <c r="F35" s="58" t="str">
        <f t="shared" ca="1" si="1"/>
        <v/>
      </c>
      <c r="G35" s="58" t="str">
        <f t="shared" ca="1" si="1"/>
        <v/>
      </c>
      <c r="H35" s="58" t="str">
        <f t="shared" ca="1" si="1"/>
        <v/>
      </c>
      <c r="I35" s="58" t="str">
        <f t="shared" ca="1" si="1"/>
        <v/>
      </c>
      <c r="J35" s="58" t="str">
        <f t="shared" ca="1" si="1"/>
        <v/>
      </c>
      <c r="K35" s="58" t="str">
        <f t="shared" ca="1" si="1"/>
        <v/>
      </c>
      <c r="L35" s="58" t="str">
        <f t="shared" ca="1" si="1"/>
        <v/>
      </c>
      <c r="P35" s="250"/>
      <c r="Q35" s="250"/>
      <c r="R35" s="250"/>
      <c r="S35" s="250"/>
      <c r="T35" s="250"/>
      <c r="U35" s="250"/>
      <c r="V35" s="250"/>
      <c r="W35" s="250"/>
      <c r="X35" s="250"/>
      <c r="Y35" s="250"/>
      <c r="Z35" s="250"/>
    </row>
    <row r="36" spans="2:26" ht="10.199999999999999" customHeight="1">
      <c r="B36" s="56" t="str">
        <f>IF('Low Stress Type Gasket'!BE41="","",'Low Stress Type Gasket'!BE41)</f>
        <v/>
      </c>
      <c r="C36" s="58" t="str">
        <f t="shared" ca="1" si="1"/>
        <v/>
      </c>
      <c r="D36" s="58" t="str">
        <f t="shared" ca="1" si="1"/>
        <v/>
      </c>
      <c r="E36" s="58" t="str">
        <f t="shared" ca="1" si="1"/>
        <v/>
      </c>
      <c r="F36" s="58" t="str">
        <f t="shared" ca="1" si="1"/>
        <v/>
      </c>
      <c r="G36" s="58" t="str">
        <f t="shared" ca="1" si="1"/>
        <v/>
      </c>
      <c r="H36" s="58" t="str">
        <f t="shared" ca="1" si="1"/>
        <v/>
      </c>
      <c r="I36" s="58" t="str">
        <f t="shared" ca="1" si="1"/>
        <v/>
      </c>
      <c r="J36" s="58" t="str">
        <f t="shared" ca="1" si="1"/>
        <v/>
      </c>
      <c r="K36" s="58" t="str">
        <f t="shared" ca="1" si="1"/>
        <v/>
      </c>
      <c r="L36" s="58" t="str">
        <f t="shared" ca="1" si="1"/>
        <v/>
      </c>
      <c r="P36" s="241"/>
      <c r="Q36" s="241"/>
      <c r="R36" s="241"/>
      <c r="S36" s="241"/>
      <c r="T36" s="241"/>
      <c r="U36" s="241"/>
      <c r="V36" s="241"/>
      <c r="W36" s="241"/>
      <c r="X36" s="241"/>
      <c r="Y36" s="241"/>
      <c r="Z36" s="241"/>
    </row>
    <row r="37" spans="2:26" ht="10.199999999999999" customHeight="1">
      <c r="B37" s="56" t="str">
        <f>IF('Low Stress Type Gasket'!BE42="","",'Low Stress Type Gasket'!BE42)</f>
        <v/>
      </c>
      <c r="C37" s="58" t="str">
        <f t="shared" ca="1" si="1"/>
        <v/>
      </c>
      <c r="D37" s="58" t="str">
        <f t="shared" ca="1" si="1"/>
        <v/>
      </c>
      <c r="E37" s="58" t="str">
        <f t="shared" ca="1" si="1"/>
        <v/>
      </c>
      <c r="F37" s="58" t="str">
        <f t="shared" ca="1" si="1"/>
        <v/>
      </c>
      <c r="G37" s="58" t="str">
        <f t="shared" ca="1" si="1"/>
        <v/>
      </c>
      <c r="H37" s="58" t="str">
        <f t="shared" ca="1" si="1"/>
        <v/>
      </c>
      <c r="I37" s="58" t="str">
        <f t="shared" ca="1" si="1"/>
        <v/>
      </c>
      <c r="J37" s="58" t="str">
        <f t="shared" ca="1" si="1"/>
        <v/>
      </c>
      <c r="K37" s="58" t="str">
        <f t="shared" ca="1" si="1"/>
        <v/>
      </c>
      <c r="L37" s="58" t="str">
        <f t="shared" ca="1" si="1"/>
        <v/>
      </c>
      <c r="P37" s="250"/>
      <c r="Q37" s="250"/>
      <c r="R37" s="250"/>
      <c r="S37" s="250"/>
      <c r="T37" s="250"/>
      <c r="U37" s="250"/>
      <c r="V37" s="250"/>
      <c r="W37" s="250"/>
      <c r="X37" s="250"/>
      <c r="Y37" s="250"/>
      <c r="Z37" s="250"/>
    </row>
    <row r="38" spans="2:26" ht="10.199999999999999" customHeight="1">
      <c r="B38" s="56" t="str">
        <f>IF('Low Stress Type Gasket'!BE43="","",'Low Stress Type Gasket'!BE43)</f>
        <v/>
      </c>
      <c r="C38" s="58" t="str">
        <f t="shared" ref="C38:L53" ca="1" si="2">IF($M$4=0,"",VLOOKUP($B38,INDIRECT("$P$1:$Z$"&amp;$M$4),COLUMN()-1,0))</f>
        <v/>
      </c>
      <c r="D38" s="58" t="str">
        <f t="shared" ca="1" si="2"/>
        <v/>
      </c>
      <c r="E38" s="58" t="str">
        <f t="shared" ca="1" si="2"/>
        <v/>
      </c>
      <c r="F38" s="58" t="str">
        <f t="shared" ca="1" si="2"/>
        <v/>
      </c>
      <c r="G38" s="58" t="str">
        <f t="shared" ca="1" si="2"/>
        <v/>
      </c>
      <c r="H38" s="58" t="str">
        <f t="shared" ca="1" si="2"/>
        <v/>
      </c>
      <c r="I38" s="58" t="str">
        <f t="shared" ca="1" si="2"/>
        <v/>
      </c>
      <c r="J38" s="58" t="str">
        <f t="shared" ca="1" si="2"/>
        <v/>
      </c>
      <c r="K38" s="58" t="str">
        <f t="shared" ca="1" si="2"/>
        <v/>
      </c>
      <c r="L38" s="58" t="str">
        <f t="shared" ca="1" si="2"/>
        <v/>
      </c>
      <c r="P38" s="250"/>
      <c r="Q38" s="250"/>
      <c r="R38" s="250"/>
      <c r="S38" s="250"/>
      <c r="T38" s="250"/>
      <c r="U38" s="250"/>
      <c r="V38" s="250"/>
      <c r="W38" s="250"/>
      <c r="X38" s="250"/>
      <c r="Y38" s="250"/>
      <c r="Z38" s="250"/>
    </row>
    <row r="39" spans="2:26" ht="10.199999999999999" customHeight="1">
      <c r="B39" s="56" t="str">
        <f>IF('Low Stress Type Gasket'!BE44="","",'Low Stress Type Gasket'!BE44)</f>
        <v/>
      </c>
      <c r="C39" s="58" t="str">
        <f t="shared" ca="1" si="2"/>
        <v/>
      </c>
      <c r="D39" s="58" t="str">
        <f t="shared" ca="1" si="2"/>
        <v/>
      </c>
      <c r="E39" s="58" t="str">
        <f t="shared" ca="1" si="2"/>
        <v/>
      </c>
      <c r="F39" s="58" t="str">
        <f t="shared" ca="1" si="2"/>
        <v/>
      </c>
      <c r="G39" s="58" t="str">
        <f t="shared" ca="1" si="2"/>
        <v/>
      </c>
      <c r="H39" s="58" t="str">
        <f t="shared" ca="1" si="2"/>
        <v/>
      </c>
      <c r="I39" s="58" t="str">
        <f t="shared" ca="1" si="2"/>
        <v/>
      </c>
      <c r="J39" s="58" t="str">
        <f t="shared" ca="1" si="2"/>
        <v/>
      </c>
      <c r="K39" s="58" t="str">
        <f t="shared" ca="1" si="2"/>
        <v/>
      </c>
      <c r="L39" s="58" t="str">
        <f t="shared" ca="1" si="2"/>
        <v/>
      </c>
      <c r="P39" s="241"/>
      <c r="Q39" s="241"/>
      <c r="R39" s="241"/>
      <c r="S39" s="241"/>
      <c r="T39" s="241"/>
      <c r="U39" s="241"/>
      <c r="V39" s="241"/>
      <c r="W39" s="241"/>
      <c r="X39" s="241"/>
      <c r="Y39" s="241"/>
      <c r="Z39" s="241"/>
    </row>
    <row r="40" spans="2:26" ht="10.199999999999999" customHeight="1">
      <c r="B40" s="56" t="str">
        <f>IF('Low Stress Type Gasket'!BE45="","",'Low Stress Type Gasket'!BE45)</f>
        <v/>
      </c>
      <c r="C40" s="58" t="str">
        <f t="shared" ca="1" si="2"/>
        <v/>
      </c>
      <c r="D40" s="58" t="str">
        <f t="shared" ca="1" si="2"/>
        <v/>
      </c>
      <c r="E40" s="58" t="str">
        <f t="shared" ca="1" si="2"/>
        <v/>
      </c>
      <c r="F40" s="58" t="str">
        <f t="shared" ca="1" si="2"/>
        <v/>
      </c>
      <c r="G40" s="58" t="str">
        <f t="shared" ca="1" si="2"/>
        <v/>
      </c>
      <c r="H40" s="58" t="str">
        <f t="shared" ca="1" si="2"/>
        <v/>
      </c>
      <c r="I40" s="58" t="str">
        <f t="shared" ca="1" si="2"/>
        <v/>
      </c>
      <c r="J40" s="58" t="str">
        <f t="shared" ca="1" si="2"/>
        <v/>
      </c>
      <c r="K40" s="58" t="str">
        <f t="shared" ca="1" si="2"/>
        <v/>
      </c>
      <c r="L40" s="58" t="str">
        <f t="shared" ca="1" si="2"/>
        <v/>
      </c>
      <c r="P40" s="250"/>
      <c r="Q40" s="250"/>
      <c r="R40" s="250"/>
      <c r="S40" s="250"/>
      <c r="T40" s="250"/>
      <c r="U40" s="250"/>
      <c r="V40" s="250"/>
      <c r="W40" s="250"/>
      <c r="X40" s="250"/>
      <c r="Y40" s="250"/>
      <c r="Z40" s="250"/>
    </row>
    <row r="41" spans="2:26" ht="10.199999999999999" customHeight="1">
      <c r="B41" s="56" t="str">
        <f>IF('Low Stress Type Gasket'!BE46="","",'Low Stress Type Gasket'!BE46)</f>
        <v/>
      </c>
      <c r="C41" s="58" t="str">
        <f t="shared" ca="1" si="2"/>
        <v/>
      </c>
      <c r="D41" s="58" t="str">
        <f t="shared" ca="1" si="2"/>
        <v/>
      </c>
      <c r="E41" s="58" t="str">
        <f t="shared" ca="1" si="2"/>
        <v/>
      </c>
      <c r="F41" s="58" t="str">
        <f t="shared" ca="1" si="2"/>
        <v/>
      </c>
      <c r="G41" s="58" t="str">
        <f t="shared" ca="1" si="2"/>
        <v/>
      </c>
      <c r="H41" s="58" t="str">
        <f t="shared" ca="1" si="2"/>
        <v/>
      </c>
      <c r="I41" s="58" t="str">
        <f t="shared" ca="1" si="2"/>
        <v/>
      </c>
      <c r="J41" s="58" t="str">
        <f t="shared" ca="1" si="2"/>
        <v/>
      </c>
      <c r="K41" s="58" t="str">
        <f t="shared" ca="1" si="2"/>
        <v/>
      </c>
      <c r="L41" s="58" t="str">
        <f t="shared" ca="1" si="2"/>
        <v/>
      </c>
      <c r="P41" s="250"/>
      <c r="Q41" s="250"/>
      <c r="R41" s="250"/>
      <c r="S41" s="250"/>
      <c r="T41" s="250"/>
      <c r="U41" s="250"/>
      <c r="V41" s="250"/>
      <c r="W41" s="250"/>
      <c r="X41" s="250"/>
      <c r="Y41" s="250"/>
      <c r="Z41" s="250"/>
    </row>
    <row r="42" spans="2:26" ht="10.199999999999999" customHeight="1">
      <c r="B42" s="56" t="str">
        <f>IF('Low Stress Type Gasket'!BE47="","",'Low Stress Type Gasket'!BE47)</f>
        <v/>
      </c>
      <c r="C42" s="58" t="str">
        <f t="shared" ca="1" si="2"/>
        <v/>
      </c>
      <c r="D42" s="58" t="str">
        <f t="shared" ca="1" si="2"/>
        <v/>
      </c>
      <c r="E42" s="58" t="str">
        <f t="shared" ca="1" si="2"/>
        <v/>
      </c>
      <c r="F42" s="58" t="str">
        <f t="shared" ca="1" si="2"/>
        <v/>
      </c>
      <c r="G42" s="58" t="str">
        <f t="shared" ca="1" si="2"/>
        <v/>
      </c>
      <c r="H42" s="58" t="str">
        <f t="shared" ca="1" si="2"/>
        <v/>
      </c>
      <c r="I42" s="58" t="str">
        <f t="shared" ca="1" si="2"/>
        <v/>
      </c>
      <c r="J42" s="58" t="str">
        <f t="shared" ca="1" si="2"/>
        <v/>
      </c>
      <c r="K42" s="58" t="str">
        <f t="shared" ca="1" si="2"/>
        <v/>
      </c>
      <c r="L42" s="58" t="str">
        <f t="shared" ca="1" si="2"/>
        <v/>
      </c>
      <c r="P42" s="241"/>
      <c r="Q42" s="241"/>
      <c r="R42" s="241"/>
      <c r="S42" s="241"/>
      <c r="T42" s="241"/>
      <c r="U42" s="241"/>
      <c r="V42" s="241"/>
      <c r="W42" s="241"/>
      <c r="X42" s="241"/>
      <c r="Y42" s="241"/>
      <c r="Z42" s="241"/>
    </row>
    <row r="43" spans="2:26" ht="10.199999999999999" customHeight="1">
      <c r="B43" s="56" t="str">
        <f>IF('Low Stress Type Gasket'!BE48="","",'Low Stress Type Gasket'!BE48)</f>
        <v/>
      </c>
      <c r="C43" s="58" t="str">
        <f t="shared" ca="1" si="2"/>
        <v/>
      </c>
      <c r="D43" s="58" t="str">
        <f t="shared" ca="1" si="2"/>
        <v/>
      </c>
      <c r="E43" s="58" t="str">
        <f t="shared" ca="1" si="2"/>
        <v/>
      </c>
      <c r="F43" s="58" t="str">
        <f t="shared" ca="1" si="2"/>
        <v/>
      </c>
      <c r="G43" s="58" t="str">
        <f t="shared" ca="1" si="2"/>
        <v/>
      </c>
      <c r="H43" s="58" t="str">
        <f t="shared" ca="1" si="2"/>
        <v/>
      </c>
      <c r="I43" s="58" t="str">
        <f t="shared" ca="1" si="2"/>
        <v/>
      </c>
      <c r="J43" s="58" t="str">
        <f t="shared" ca="1" si="2"/>
        <v/>
      </c>
      <c r="K43" s="58" t="str">
        <f t="shared" ca="1" si="2"/>
        <v/>
      </c>
      <c r="L43" s="58" t="str">
        <f t="shared" ca="1" si="2"/>
        <v/>
      </c>
      <c r="P43" s="250"/>
      <c r="Q43" s="250"/>
      <c r="R43" s="250"/>
      <c r="S43" s="250"/>
      <c r="T43" s="250"/>
      <c r="U43" s="250"/>
      <c r="V43" s="250"/>
      <c r="W43" s="250"/>
      <c r="X43" s="250"/>
      <c r="Y43" s="250"/>
      <c r="Z43" s="250"/>
    </row>
    <row r="44" spans="2:26" ht="10.199999999999999" customHeight="1">
      <c r="B44" s="56" t="str">
        <f>IF('Low Stress Type Gasket'!BE49="","",'Low Stress Type Gasket'!BE49)</f>
        <v/>
      </c>
      <c r="C44" s="58" t="str">
        <f t="shared" ca="1" si="2"/>
        <v/>
      </c>
      <c r="D44" s="58" t="str">
        <f t="shared" ca="1" si="2"/>
        <v/>
      </c>
      <c r="E44" s="58" t="str">
        <f t="shared" ca="1" si="2"/>
        <v/>
      </c>
      <c r="F44" s="58" t="str">
        <f t="shared" ca="1" si="2"/>
        <v/>
      </c>
      <c r="G44" s="58" t="str">
        <f t="shared" ca="1" si="2"/>
        <v/>
      </c>
      <c r="H44" s="58" t="str">
        <f t="shared" ca="1" si="2"/>
        <v/>
      </c>
      <c r="I44" s="58" t="str">
        <f t="shared" ca="1" si="2"/>
        <v/>
      </c>
      <c r="J44" s="58" t="str">
        <f t="shared" ca="1" si="2"/>
        <v/>
      </c>
      <c r="K44" s="58" t="str">
        <f t="shared" ca="1" si="2"/>
        <v/>
      </c>
      <c r="L44" s="58" t="str">
        <f t="shared" ca="1" si="2"/>
        <v/>
      </c>
      <c r="P44" s="250"/>
      <c r="Q44" s="250"/>
      <c r="R44" s="250"/>
      <c r="S44" s="250"/>
      <c r="T44" s="250"/>
      <c r="U44" s="250"/>
      <c r="V44" s="250"/>
      <c r="W44" s="250"/>
      <c r="X44" s="250"/>
      <c r="Y44" s="250"/>
      <c r="Z44" s="250"/>
    </row>
    <row r="45" spans="2:26" ht="10.199999999999999" customHeight="1">
      <c r="B45" s="56" t="str">
        <f>IF('Low Stress Type Gasket'!BE50="","",'Low Stress Type Gasket'!BE50)</f>
        <v/>
      </c>
      <c r="C45" s="58" t="str">
        <f t="shared" ca="1" si="2"/>
        <v/>
      </c>
      <c r="D45" s="58" t="str">
        <f t="shared" ca="1" si="2"/>
        <v/>
      </c>
      <c r="E45" s="58" t="str">
        <f t="shared" ca="1" si="2"/>
        <v/>
      </c>
      <c r="F45" s="58" t="str">
        <f t="shared" ca="1" si="2"/>
        <v/>
      </c>
      <c r="G45" s="58" t="str">
        <f t="shared" ca="1" si="2"/>
        <v/>
      </c>
      <c r="H45" s="58" t="str">
        <f t="shared" ca="1" si="2"/>
        <v/>
      </c>
      <c r="I45" s="58" t="str">
        <f t="shared" ca="1" si="2"/>
        <v/>
      </c>
      <c r="J45" s="58" t="str">
        <f t="shared" ca="1" si="2"/>
        <v/>
      </c>
      <c r="K45" s="58" t="str">
        <f t="shared" ca="1" si="2"/>
        <v/>
      </c>
      <c r="L45" s="58" t="str">
        <f t="shared" ca="1" si="2"/>
        <v/>
      </c>
      <c r="P45" s="241"/>
      <c r="Q45" s="241"/>
      <c r="R45" s="241"/>
      <c r="S45" s="241"/>
      <c r="T45" s="241"/>
      <c r="U45" s="241"/>
      <c r="V45" s="241"/>
      <c r="W45" s="241"/>
      <c r="X45" s="241"/>
      <c r="Y45" s="241"/>
      <c r="Z45" s="241"/>
    </row>
    <row r="46" spans="2:26" ht="10.199999999999999" customHeight="1">
      <c r="B46" s="56" t="str">
        <f>IF('Low Stress Type Gasket'!BE51="","",'Low Stress Type Gasket'!BE51)</f>
        <v/>
      </c>
      <c r="C46" s="58" t="str">
        <f t="shared" ca="1" si="2"/>
        <v/>
      </c>
      <c r="D46" s="58" t="str">
        <f t="shared" ca="1" si="2"/>
        <v/>
      </c>
      <c r="E46" s="58" t="str">
        <f t="shared" ca="1" si="2"/>
        <v/>
      </c>
      <c r="F46" s="58" t="str">
        <f t="shared" ca="1" si="2"/>
        <v/>
      </c>
      <c r="G46" s="58" t="str">
        <f t="shared" ca="1" si="2"/>
        <v/>
      </c>
      <c r="H46" s="58" t="str">
        <f t="shared" ca="1" si="2"/>
        <v/>
      </c>
      <c r="I46" s="58" t="str">
        <f t="shared" ca="1" si="2"/>
        <v/>
      </c>
      <c r="J46" s="58" t="str">
        <f t="shared" ca="1" si="2"/>
        <v/>
      </c>
      <c r="K46" s="58" t="str">
        <f t="shared" ca="1" si="2"/>
        <v/>
      </c>
      <c r="L46" s="58" t="str">
        <f t="shared" ca="1" si="2"/>
        <v/>
      </c>
      <c r="P46" s="250"/>
      <c r="Q46" s="250"/>
      <c r="R46" s="250"/>
      <c r="S46" s="250"/>
      <c r="T46" s="250"/>
      <c r="U46" s="250"/>
      <c r="V46" s="250"/>
      <c r="W46" s="250"/>
      <c r="X46" s="250"/>
      <c r="Y46" s="250"/>
      <c r="Z46" s="250"/>
    </row>
    <row r="47" spans="2:26" ht="10.199999999999999" customHeight="1">
      <c r="B47" s="56" t="str">
        <f>IF('Low Stress Type Gasket'!BE52="","",'Low Stress Type Gasket'!BE52)</f>
        <v/>
      </c>
      <c r="C47" s="58" t="str">
        <f t="shared" ca="1" si="2"/>
        <v/>
      </c>
      <c r="D47" s="58" t="str">
        <f t="shared" ca="1" si="2"/>
        <v/>
      </c>
      <c r="E47" s="58" t="str">
        <f t="shared" ca="1" si="2"/>
        <v/>
      </c>
      <c r="F47" s="58" t="str">
        <f t="shared" ca="1" si="2"/>
        <v/>
      </c>
      <c r="G47" s="58" t="str">
        <f t="shared" ca="1" si="2"/>
        <v/>
      </c>
      <c r="H47" s="58" t="str">
        <f t="shared" ca="1" si="2"/>
        <v/>
      </c>
      <c r="I47" s="58" t="str">
        <f t="shared" ca="1" si="2"/>
        <v/>
      </c>
      <c r="J47" s="58" t="str">
        <f t="shared" ca="1" si="2"/>
        <v/>
      </c>
      <c r="K47" s="58" t="str">
        <f t="shared" ca="1" si="2"/>
        <v/>
      </c>
      <c r="L47" s="58" t="str">
        <f t="shared" ca="1" si="2"/>
        <v/>
      </c>
      <c r="P47" s="250"/>
      <c r="Q47" s="250"/>
      <c r="R47" s="250"/>
      <c r="S47" s="250"/>
      <c r="T47" s="250"/>
      <c r="U47" s="250"/>
      <c r="V47" s="250"/>
      <c r="W47" s="250"/>
      <c r="X47" s="250"/>
      <c r="Y47" s="250"/>
      <c r="Z47" s="250"/>
    </row>
    <row r="48" spans="2:26" ht="10.199999999999999" customHeight="1">
      <c r="B48" s="56" t="str">
        <f>IF('Low Stress Type Gasket'!BE53="","",'Low Stress Type Gasket'!BE53)</f>
        <v/>
      </c>
      <c r="C48" s="58" t="str">
        <f t="shared" ca="1" si="2"/>
        <v/>
      </c>
      <c r="D48" s="58" t="str">
        <f t="shared" ca="1" si="2"/>
        <v/>
      </c>
      <c r="E48" s="58" t="str">
        <f t="shared" ca="1" si="2"/>
        <v/>
      </c>
      <c r="F48" s="58" t="str">
        <f t="shared" ca="1" si="2"/>
        <v/>
      </c>
      <c r="G48" s="58" t="str">
        <f t="shared" ca="1" si="2"/>
        <v/>
      </c>
      <c r="H48" s="58" t="str">
        <f t="shared" ca="1" si="2"/>
        <v/>
      </c>
      <c r="I48" s="58" t="str">
        <f t="shared" ca="1" si="2"/>
        <v/>
      </c>
      <c r="J48" s="58" t="str">
        <f t="shared" ca="1" si="2"/>
        <v/>
      </c>
      <c r="K48" s="58" t="str">
        <f t="shared" ca="1" si="2"/>
        <v/>
      </c>
      <c r="L48" s="58" t="str">
        <f t="shared" ca="1" si="2"/>
        <v/>
      </c>
      <c r="P48" s="241"/>
      <c r="Q48" s="241"/>
      <c r="R48" s="241"/>
      <c r="S48" s="241"/>
      <c r="T48" s="241"/>
      <c r="U48" s="241"/>
      <c r="V48" s="241"/>
      <c r="W48" s="241"/>
      <c r="X48" s="241"/>
      <c r="Y48" s="241"/>
      <c r="Z48" s="241"/>
    </row>
    <row r="49" spans="2:26" ht="10.199999999999999" customHeight="1">
      <c r="B49" s="56" t="str">
        <f>IF('Low Stress Type Gasket'!BE54="","",'Low Stress Type Gasket'!BE54)</f>
        <v/>
      </c>
      <c r="C49" s="58" t="str">
        <f t="shared" ca="1" si="2"/>
        <v/>
      </c>
      <c r="D49" s="58" t="str">
        <f t="shared" ca="1" si="2"/>
        <v/>
      </c>
      <c r="E49" s="58" t="str">
        <f t="shared" ca="1" si="2"/>
        <v/>
      </c>
      <c r="F49" s="58" t="str">
        <f t="shared" ca="1" si="2"/>
        <v/>
      </c>
      <c r="G49" s="58" t="str">
        <f t="shared" ca="1" si="2"/>
        <v/>
      </c>
      <c r="H49" s="58" t="str">
        <f t="shared" ca="1" si="2"/>
        <v/>
      </c>
      <c r="I49" s="58" t="str">
        <f t="shared" ca="1" si="2"/>
        <v/>
      </c>
      <c r="J49" s="58" t="str">
        <f t="shared" ca="1" si="2"/>
        <v/>
      </c>
      <c r="K49" s="58" t="str">
        <f t="shared" ca="1" si="2"/>
        <v/>
      </c>
      <c r="L49" s="58" t="str">
        <f t="shared" ca="1" si="2"/>
        <v/>
      </c>
      <c r="P49" s="250"/>
      <c r="Q49" s="250"/>
      <c r="R49" s="250"/>
      <c r="S49" s="250"/>
      <c r="T49" s="250"/>
      <c r="U49" s="250"/>
      <c r="V49" s="250"/>
      <c r="W49" s="250"/>
      <c r="X49" s="250"/>
      <c r="Y49" s="250"/>
      <c r="Z49" s="250"/>
    </row>
    <row r="50" spans="2:26" ht="10.199999999999999" customHeight="1">
      <c r="B50" s="56" t="str">
        <f>IF('Low Stress Type Gasket'!BE55="","",'Low Stress Type Gasket'!BE55)</f>
        <v/>
      </c>
      <c r="C50" s="58" t="str">
        <f t="shared" ca="1" si="2"/>
        <v/>
      </c>
      <c r="D50" s="58" t="str">
        <f t="shared" ca="1" si="2"/>
        <v/>
      </c>
      <c r="E50" s="58" t="str">
        <f t="shared" ca="1" si="2"/>
        <v/>
      </c>
      <c r="F50" s="58" t="str">
        <f t="shared" ca="1" si="2"/>
        <v/>
      </c>
      <c r="G50" s="58" t="str">
        <f t="shared" ca="1" si="2"/>
        <v/>
      </c>
      <c r="H50" s="58" t="str">
        <f t="shared" ca="1" si="2"/>
        <v/>
      </c>
      <c r="I50" s="58" t="str">
        <f t="shared" ca="1" si="2"/>
        <v/>
      </c>
      <c r="J50" s="58" t="str">
        <f t="shared" ca="1" si="2"/>
        <v/>
      </c>
      <c r="K50" s="58" t="str">
        <f t="shared" ca="1" si="2"/>
        <v/>
      </c>
      <c r="L50" s="58" t="str">
        <f t="shared" ca="1" si="2"/>
        <v/>
      </c>
      <c r="P50" s="250"/>
      <c r="Q50" s="250"/>
      <c r="R50" s="250"/>
      <c r="S50" s="250"/>
      <c r="T50" s="250"/>
      <c r="U50" s="250"/>
      <c r="V50" s="250"/>
      <c r="W50" s="250"/>
      <c r="X50" s="250"/>
      <c r="Y50" s="250"/>
      <c r="Z50" s="250"/>
    </row>
    <row r="51" spans="2:26" ht="10.199999999999999" customHeight="1">
      <c r="B51" s="56" t="str">
        <f>IF('Low Stress Type Gasket'!BE56="","",'Low Stress Type Gasket'!BE56)</f>
        <v/>
      </c>
      <c r="C51" s="58" t="str">
        <f t="shared" ca="1" si="2"/>
        <v/>
      </c>
      <c r="D51" s="58" t="str">
        <f t="shared" ca="1" si="2"/>
        <v/>
      </c>
      <c r="E51" s="58" t="str">
        <f t="shared" ca="1" si="2"/>
        <v/>
      </c>
      <c r="F51" s="58" t="str">
        <f t="shared" ca="1" si="2"/>
        <v/>
      </c>
      <c r="G51" s="58" t="str">
        <f t="shared" ca="1" si="2"/>
        <v/>
      </c>
      <c r="H51" s="58" t="str">
        <f t="shared" ca="1" si="2"/>
        <v/>
      </c>
      <c r="I51" s="58" t="str">
        <f t="shared" ca="1" si="2"/>
        <v/>
      </c>
      <c r="J51" s="58" t="str">
        <f t="shared" ca="1" si="2"/>
        <v/>
      </c>
      <c r="K51" s="58" t="str">
        <f t="shared" ca="1" si="2"/>
        <v/>
      </c>
      <c r="L51" s="58" t="str">
        <f t="shared" ca="1" si="2"/>
        <v/>
      </c>
      <c r="P51" s="241"/>
      <c r="Q51" s="241"/>
      <c r="R51" s="241"/>
      <c r="S51" s="241"/>
      <c r="T51" s="241"/>
      <c r="U51" s="241"/>
      <c r="V51" s="241"/>
      <c r="W51" s="241"/>
      <c r="X51" s="241"/>
      <c r="Y51" s="241"/>
      <c r="Z51" s="241"/>
    </row>
    <row r="52" spans="2:26" ht="10.199999999999999" customHeight="1">
      <c r="B52" s="56" t="str">
        <f>IF('Low Stress Type Gasket'!BE57="","",'Low Stress Type Gasket'!BE57)</f>
        <v/>
      </c>
      <c r="C52" s="58" t="str">
        <f t="shared" ca="1" si="2"/>
        <v/>
      </c>
      <c r="D52" s="58" t="str">
        <f t="shared" ca="1" si="2"/>
        <v/>
      </c>
      <c r="E52" s="58" t="str">
        <f t="shared" ca="1" si="2"/>
        <v/>
      </c>
      <c r="F52" s="58" t="str">
        <f t="shared" ca="1" si="2"/>
        <v/>
      </c>
      <c r="G52" s="58" t="str">
        <f t="shared" ca="1" si="2"/>
        <v/>
      </c>
      <c r="H52" s="58" t="str">
        <f t="shared" ca="1" si="2"/>
        <v/>
      </c>
      <c r="I52" s="58" t="str">
        <f t="shared" ca="1" si="2"/>
        <v/>
      </c>
      <c r="J52" s="58" t="str">
        <f t="shared" ca="1" si="2"/>
        <v/>
      </c>
      <c r="K52" s="58" t="str">
        <f t="shared" ca="1" si="2"/>
        <v/>
      </c>
      <c r="L52" s="58" t="str">
        <f t="shared" ca="1" si="2"/>
        <v/>
      </c>
      <c r="P52" s="250"/>
      <c r="Q52" s="250"/>
      <c r="R52" s="250"/>
      <c r="S52" s="250"/>
      <c r="T52" s="250"/>
      <c r="U52" s="250"/>
      <c r="V52" s="250"/>
      <c r="W52" s="250"/>
      <c r="X52" s="250"/>
      <c r="Y52" s="250"/>
      <c r="Z52" s="250"/>
    </row>
    <row r="53" spans="2:26" ht="10.199999999999999" customHeight="1">
      <c r="B53" s="56" t="str">
        <f>IF('Low Stress Type Gasket'!BE58="","",'Low Stress Type Gasket'!BE58)</f>
        <v/>
      </c>
      <c r="C53" s="58" t="str">
        <f t="shared" ca="1" si="2"/>
        <v/>
      </c>
      <c r="D53" s="58" t="str">
        <f t="shared" ca="1" si="2"/>
        <v/>
      </c>
      <c r="E53" s="58" t="str">
        <f t="shared" ca="1" si="2"/>
        <v/>
      </c>
      <c r="F53" s="58" t="str">
        <f t="shared" ca="1" si="2"/>
        <v/>
      </c>
      <c r="G53" s="58" t="str">
        <f t="shared" ca="1" si="2"/>
        <v/>
      </c>
      <c r="H53" s="58" t="str">
        <f t="shared" ca="1" si="2"/>
        <v/>
      </c>
      <c r="I53" s="58" t="str">
        <f t="shared" ca="1" si="2"/>
        <v/>
      </c>
      <c r="J53" s="58" t="str">
        <f t="shared" ca="1" si="2"/>
        <v/>
      </c>
      <c r="K53" s="58" t="str">
        <f t="shared" ca="1" si="2"/>
        <v/>
      </c>
      <c r="L53" s="58" t="str">
        <f t="shared" ca="1" si="2"/>
        <v/>
      </c>
      <c r="P53" s="250"/>
      <c r="Q53" s="250"/>
      <c r="R53" s="250"/>
      <c r="S53" s="250"/>
      <c r="T53" s="250"/>
      <c r="U53" s="250"/>
      <c r="V53" s="250"/>
      <c r="W53" s="250"/>
      <c r="X53" s="250"/>
      <c r="Y53" s="250"/>
      <c r="Z53" s="250"/>
    </row>
    <row r="54" spans="2:26" ht="10.199999999999999" customHeight="1">
      <c r="B54" s="56" t="str">
        <f>IF('Low Stress Type Gasket'!BE59="","",'Low Stress Type Gasket'!BE59)</f>
        <v/>
      </c>
      <c r="C54" s="58" t="str">
        <f t="shared" ref="C54:L55" ca="1" si="3">IF($M$4=0,"",VLOOKUP($B54,INDIRECT("$P$1:$Z$"&amp;$M$4),COLUMN()-1,0))</f>
        <v/>
      </c>
      <c r="D54" s="58" t="str">
        <f t="shared" ca="1" si="3"/>
        <v/>
      </c>
      <c r="E54" s="58" t="str">
        <f t="shared" ca="1" si="3"/>
        <v/>
      </c>
      <c r="F54" s="58" t="str">
        <f t="shared" ca="1" si="3"/>
        <v/>
      </c>
      <c r="G54" s="58" t="str">
        <f t="shared" ca="1" si="3"/>
        <v/>
      </c>
      <c r="H54" s="58" t="str">
        <f t="shared" ca="1" si="3"/>
        <v/>
      </c>
      <c r="I54" s="58" t="str">
        <f t="shared" ca="1" si="3"/>
        <v/>
      </c>
      <c r="J54" s="58" t="str">
        <f t="shared" ca="1" si="3"/>
        <v/>
      </c>
      <c r="K54" s="58" t="str">
        <f t="shared" ca="1" si="3"/>
        <v/>
      </c>
      <c r="L54" s="58" t="str">
        <f t="shared" ca="1" si="3"/>
        <v/>
      </c>
      <c r="P54" s="241"/>
      <c r="Q54" s="241"/>
      <c r="R54" s="241"/>
      <c r="S54" s="241"/>
      <c r="T54" s="241"/>
      <c r="U54" s="241"/>
      <c r="V54" s="241"/>
      <c r="W54" s="241"/>
      <c r="X54" s="241"/>
      <c r="Y54" s="241"/>
      <c r="Z54" s="241"/>
    </row>
    <row r="55" spans="2:26" ht="10.199999999999999" customHeight="1">
      <c r="B55" s="56" t="str">
        <f>IF('Low Stress Type Gasket'!BE60="","",'Low Stress Type Gasket'!BE60)</f>
        <v/>
      </c>
      <c r="C55" s="58" t="str">
        <f t="shared" ca="1" si="3"/>
        <v/>
      </c>
      <c r="D55" s="58" t="str">
        <f t="shared" ca="1" si="3"/>
        <v/>
      </c>
      <c r="E55" s="58" t="str">
        <f t="shared" ca="1" si="3"/>
        <v/>
      </c>
      <c r="F55" s="58" t="str">
        <f t="shared" ca="1" si="3"/>
        <v/>
      </c>
      <c r="G55" s="58" t="str">
        <f t="shared" ca="1" si="3"/>
        <v/>
      </c>
      <c r="H55" s="58" t="str">
        <f t="shared" ca="1" si="3"/>
        <v/>
      </c>
      <c r="I55" s="58" t="str">
        <f t="shared" ca="1" si="3"/>
        <v/>
      </c>
      <c r="J55" s="58" t="str">
        <f t="shared" ca="1" si="3"/>
        <v/>
      </c>
      <c r="K55" s="58" t="str">
        <f t="shared" ca="1" si="3"/>
        <v/>
      </c>
      <c r="L55" s="58" t="str">
        <f t="shared" ca="1" si="3"/>
        <v/>
      </c>
      <c r="P55" s="250"/>
      <c r="Q55" s="250"/>
      <c r="R55" s="250"/>
      <c r="S55" s="250"/>
      <c r="T55" s="250"/>
      <c r="U55" s="250"/>
      <c r="V55" s="250"/>
      <c r="W55" s="250"/>
      <c r="X55" s="250"/>
      <c r="Y55" s="250"/>
      <c r="Z55" s="250"/>
    </row>
    <row r="56" spans="2:26" ht="10.199999999999999" customHeight="1">
      <c r="P56" s="250"/>
      <c r="Q56" s="250"/>
      <c r="R56" s="250"/>
      <c r="S56" s="250"/>
      <c r="T56" s="250"/>
      <c r="U56" s="250"/>
      <c r="V56" s="250"/>
      <c r="W56" s="250"/>
      <c r="X56" s="250"/>
      <c r="Y56" s="250"/>
      <c r="Z56" s="250"/>
    </row>
    <row r="57" spans="2:26" ht="10.199999999999999" customHeight="1">
      <c r="P57" s="241"/>
      <c r="Q57" s="241"/>
      <c r="R57" s="241"/>
      <c r="S57" s="241"/>
      <c r="T57" s="241"/>
      <c r="U57" s="241"/>
      <c r="V57" s="241"/>
      <c r="W57" s="241"/>
      <c r="X57" s="241"/>
      <c r="Y57" s="241"/>
      <c r="Z57" s="241"/>
    </row>
    <row r="58" spans="2:26" ht="10.199999999999999" customHeight="1">
      <c r="P58" s="250"/>
      <c r="Q58" s="250"/>
      <c r="R58" s="250"/>
      <c r="S58" s="250"/>
      <c r="T58" s="250"/>
      <c r="U58" s="250"/>
      <c r="V58" s="250"/>
      <c r="W58" s="250"/>
      <c r="X58" s="250"/>
      <c r="Y58" s="250"/>
      <c r="Z58" s="250"/>
    </row>
    <row r="59" spans="2:26" ht="10.199999999999999" customHeight="1">
      <c r="P59" s="250"/>
      <c r="Q59" s="250"/>
      <c r="R59" s="250"/>
      <c r="S59" s="250"/>
      <c r="T59" s="250"/>
      <c r="U59" s="250"/>
      <c r="V59" s="250"/>
      <c r="W59" s="250"/>
      <c r="X59" s="250"/>
      <c r="Y59" s="250"/>
      <c r="Z59" s="250"/>
    </row>
    <row r="60" spans="2:26" ht="10.199999999999999" customHeight="1">
      <c r="P60" s="241"/>
      <c r="Q60" s="241"/>
      <c r="R60" s="241"/>
      <c r="S60" s="241"/>
      <c r="T60" s="241"/>
      <c r="U60" s="241"/>
      <c r="V60" s="241"/>
      <c r="W60" s="241"/>
      <c r="X60" s="241"/>
      <c r="Y60" s="241"/>
      <c r="Z60" s="241"/>
    </row>
    <row r="61" spans="2:26" ht="10.199999999999999" customHeight="1">
      <c r="P61" s="250"/>
      <c r="Q61" s="250"/>
      <c r="R61" s="250"/>
      <c r="S61" s="250"/>
      <c r="T61" s="250"/>
      <c r="U61" s="250"/>
      <c r="V61" s="250"/>
      <c r="W61" s="250"/>
      <c r="X61" s="250"/>
      <c r="Y61" s="250"/>
      <c r="Z61" s="250"/>
    </row>
    <row r="62" spans="2:26" ht="10.199999999999999" customHeight="1">
      <c r="P62" s="250"/>
      <c r="Q62" s="250"/>
      <c r="R62" s="250"/>
      <c r="S62" s="250"/>
      <c r="T62" s="250"/>
      <c r="U62" s="250"/>
      <c r="V62" s="250"/>
      <c r="W62" s="250"/>
      <c r="X62" s="250"/>
      <c r="Y62" s="250"/>
      <c r="Z62" s="250"/>
    </row>
    <row r="63" spans="2:26" ht="10.199999999999999" customHeight="1">
      <c r="P63" s="241"/>
      <c r="Q63" s="241"/>
      <c r="R63" s="241"/>
      <c r="S63" s="241"/>
      <c r="T63" s="241"/>
      <c r="U63" s="241"/>
      <c r="V63" s="241"/>
      <c r="W63" s="241"/>
      <c r="X63" s="241"/>
      <c r="Y63" s="241"/>
      <c r="Z63" s="241"/>
    </row>
    <row r="64" spans="2:26" ht="10.199999999999999" customHeight="1">
      <c r="P64" s="250"/>
      <c r="Q64" s="250"/>
      <c r="R64" s="250"/>
      <c r="S64" s="250"/>
      <c r="T64" s="250"/>
      <c r="U64" s="250"/>
      <c r="V64" s="250"/>
      <c r="W64" s="250"/>
      <c r="X64" s="250"/>
      <c r="Y64" s="250"/>
      <c r="Z64" s="250"/>
    </row>
    <row r="65" spans="16:26" ht="10.199999999999999" customHeight="1">
      <c r="P65" s="250"/>
      <c r="Q65" s="250"/>
      <c r="R65" s="250"/>
      <c r="S65" s="250"/>
      <c r="T65" s="250"/>
      <c r="U65" s="250"/>
      <c r="V65" s="250"/>
      <c r="W65" s="250"/>
      <c r="X65" s="250"/>
      <c r="Y65" s="250"/>
      <c r="Z65" s="250"/>
    </row>
    <row r="66" spans="16:26" ht="10.199999999999999" customHeight="1">
      <c r="P66" s="241"/>
      <c r="Q66" s="241"/>
      <c r="R66" s="241"/>
      <c r="S66" s="241"/>
      <c r="T66" s="241"/>
      <c r="U66" s="241"/>
      <c r="V66" s="241"/>
      <c r="W66" s="241"/>
      <c r="X66" s="241"/>
      <c r="Y66" s="241"/>
      <c r="Z66" s="241"/>
    </row>
    <row r="67" spans="16:26" ht="10.199999999999999" customHeight="1">
      <c r="P67" s="250"/>
      <c r="Q67" s="250"/>
      <c r="R67" s="250"/>
      <c r="S67" s="250"/>
      <c r="T67" s="250"/>
      <c r="U67" s="250"/>
      <c r="V67" s="250"/>
      <c r="W67" s="250"/>
      <c r="X67" s="250"/>
      <c r="Y67" s="250"/>
      <c r="Z67" s="250"/>
    </row>
    <row r="68" spans="16:26" ht="10.199999999999999" customHeight="1">
      <c r="P68" s="250"/>
      <c r="Q68" s="250"/>
      <c r="R68" s="250"/>
      <c r="S68" s="250"/>
      <c r="T68" s="250"/>
      <c r="U68" s="250"/>
      <c r="V68" s="250"/>
      <c r="W68" s="250"/>
      <c r="X68" s="250"/>
      <c r="Y68" s="250"/>
      <c r="Z68" s="250"/>
    </row>
    <row r="69" spans="16:26" ht="10.199999999999999" customHeight="1">
      <c r="P69" s="241"/>
      <c r="Q69" s="241"/>
      <c r="R69" s="241"/>
      <c r="S69" s="241"/>
      <c r="T69" s="241"/>
      <c r="U69" s="241"/>
      <c r="V69" s="241"/>
      <c r="W69" s="241"/>
      <c r="X69" s="241"/>
      <c r="Y69" s="241"/>
      <c r="Z69" s="241"/>
    </row>
    <row r="70" spans="16:26" ht="10.199999999999999" customHeight="1">
      <c r="P70" s="250"/>
      <c r="Q70" s="250"/>
      <c r="R70" s="250"/>
      <c r="S70" s="250"/>
      <c r="T70" s="250"/>
      <c r="U70" s="250"/>
      <c r="V70" s="250"/>
      <c r="W70" s="250"/>
      <c r="X70" s="250"/>
      <c r="Y70" s="250"/>
      <c r="Z70" s="250"/>
    </row>
    <row r="71" spans="16:26" ht="10.199999999999999" customHeight="1">
      <c r="P71" s="250"/>
      <c r="Q71" s="250"/>
      <c r="R71" s="250"/>
      <c r="S71" s="250"/>
      <c r="T71" s="250"/>
      <c r="U71" s="250"/>
      <c r="V71" s="250"/>
      <c r="W71" s="250"/>
      <c r="X71" s="250"/>
      <c r="Y71" s="250"/>
      <c r="Z71" s="250"/>
    </row>
    <row r="72" spans="16:26" ht="10.199999999999999" customHeight="1">
      <c r="P72" s="241"/>
      <c r="Q72" s="241"/>
      <c r="R72" s="241"/>
      <c r="S72" s="241"/>
      <c r="T72" s="241"/>
      <c r="U72" s="241"/>
      <c r="V72" s="241"/>
      <c r="W72" s="241"/>
      <c r="X72" s="241"/>
      <c r="Y72" s="241"/>
      <c r="Z72" s="241"/>
    </row>
    <row r="73" spans="16:26" ht="10.199999999999999" customHeight="1">
      <c r="P73" s="250"/>
      <c r="Q73" s="250"/>
      <c r="R73" s="250"/>
      <c r="S73" s="250"/>
      <c r="T73" s="250"/>
      <c r="U73" s="250"/>
      <c r="V73" s="250"/>
      <c r="W73" s="250"/>
      <c r="X73" s="250"/>
      <c r="Y73" s="250"/>
      <c r="Z73" s="250"/>
    </row>
    <row r="74" spans="16:26" ht="10.199999999999999" customHeight="1">
      <c r="P74" s="250"/>
      <c r="Q74" s="250"/>
      <c r="R74" s="250"/>
      <c r="S74" s="250"/>
      <c r="T74" s="250"/>
      <c r="U74" s="250"/>
      <c r="V74" s="250"/>
      <c r="W74" s="250"/>
      <c r="X74" s="250"/>
      <c r="Y74" s="250"/>
      <c r="Z74" s="250"/>
    </row>
    <row r="75" spans="16:26" ht="10.199999999999999" customHeight="1">
      <c r="P75" s="241"/>
      <c r="Q75" s="241"/>
      <c r="R75" s="241"/>
      <c r="S75" s="241"/>
      <c r="T75" s="241"/>
      <c r="U75" s="241"/>
      <c r="V75" s="241"/>
      <c r="W75" s="241"/>
      <c r="X75" s="241"/>
      <c r="Y75" s="241"/>
      <c r="Z75" s="241"/>
    </row>
    <row r="76" spans="16:26" ht="10.199999999999999" customHeight="1">
      <c r="P76" s="250"/>
      <c r="Q76" s="250"/>
      <c r="R76" s="250"/>
      <c r="S76" s="250"/>
      <c r="T76" s="250"/>
      <c r="U76" s="250"/>
      <c r="V76" s="250"/>
      <c r="W76" s="250"/>
      <c r="X76" s="250"/>
      <c r="Y76" s="250"/>
      <c r="Z76" s="250"/>
    </row>
    <row r="77" spans="16:26" ht="10.199999999999999" customHeight="1">
      <c r="P77" s="250"/>
      <c r="Q77" s="250"/>
      <c r="R77" s="250"/>
      <c r="S77" s="250"/>
      <c r="T77" s="250"/>
      <c r="U77" s="250"/>
      <c r="V77" s="250"/>
      <c r="W77" s="250"/>
      <c r="X77" s="250"/>
      <c r="Y77" s="250"/>
      <c r="Z77" s="250"/>
    </row>
    <row r="78" spans="16:26" ht="10.199999999999999" customHeight="1">
      <c r="P78" s="241"/>
      <c r="Q78" s="241"/>
      <c r="R78" s="241"/>
      <c r="S78" s="241"/>
      <c r="T78" s="241"/>
      <c r="U78" s="241"/>
      <c r="V78" s="241"/>
      <c r="W78" s="241"/>
      <c r="X78" s="241"/>
      <c r="Y78" s="241"/>
      <c r="Z78" s="241"/>
    </row>
    <row r="79" spans="16:26" ht="10.199999999999999" customHeight="1">
      <c r="P79" s="250"/>
      <c r="Q79" s="250"/>
      <c r="R79" s="250"/>
      <c r="S79" s="250"/>
      <c r="T79" s="250"/>
      <c r="U79" s="250"/>
      <c r="V79" s="250"/>
      <c r="W79" s="250"/>
      <c r="X79" s="250"/>
      <c r="Y79" s="250"/>
      <c r="Z79" s="250"/>
    </row>
    <row r="80" spans="16:26" ht="10.199999999999999" customHeight="1">
      <c r="P80" s="250"/>
      <c r="Q80" s="250"/>
      <c r="R80" s="250"/>
      <c r="S80" s="250"/>
      <c r="T80" s="250"/>
      <c r="U80" s="250"/>
      <c r="V80" s="250"/>
      <c r="W80" s="250"/>
      <c r="X80" s="250"/>
      <c r="Y80" s="250"/>
      <c r="Z80" s="250"/>
    </row>
    <row r="81" spans="16:26" ht="10.199999999999999" customHeight="1">
      <c r="P81" s="241"/>
      <c r="Q81" s="241"/>
      <c r="R81" s="241"/>
      <c r="S81" s="241"/>
      <c r="T81" s="241"/>
      <c r="U81" s="241"/>
      <c r="V81" s="241"/>
      <c r="W81" s="241"/>
      <c r="X81" s="241"/>
      <c r="Y81" s="241"/>
      <c r="Z81" s="241"/>
    </row>
    <row r="82" spans="16:26" ht="10.199999999999999" customHeight="1">
      <c r="P82" s="250"/>
      <c r="Q82" s="250"/>
      <c r="R82" s="250"/>
      <c r="S82" s="250"/>
      <c r="T82" s="250"/>
      <c r="U82" s="250"/>
      <c r="V82" s="250"/>
      <c r="W82" s="250"/>
      <c r="X82" s="250"/>
      <c r="Y82" s="250"/>
      <c r="Z82" s="250"/>
    </row>
    <row r="83" spans="16:26" ht="10.199999999999999" customHeight="1">
      <c r="P83" s="250"/>
      <c r="Q83" s="250"/>
      <c r="R83" s="250"/>
      <c r="S83" s="250"/>
      <c r="T83" s="250"/>
      <c r="U83" s="250"/>
      <c r="V83" s="250"/>
      <c r="W83" s="250"/>
      <c r="X83" s="250"/>
      <c r="Y83" s="250"/>
      <c r="Z83" s="250"/>
    </row>
    <row r="84" spans="16:26" ht="10.199999999999999" customHeight="1">
      <c r="P84" s="241"/>
      <c r="Q84" s="241"/>
      <c r="R84" s="241"/>
      <c r="S84" s="241"/>
      <c r="T84" s="241"/>
      <c r="U84" s="241"/>
      <c r="V84" s="241"/>
      <c r="W84" s="241"/>
      <c r="X84" s="241"/>
      <c r="Y84" s="241"/>
      <c r="Z84" s="241"/>
    </row>
    <row r="85" spans="16:26" ht="10.199999999999999" customHeight="1">
      <c r="P85" s="250"/>
      <c r="Q85" s="250"/>
      <c r="R85" s="250"/>
      <c r="S85" s="250"/>
      <c r="T85" s="250"/>
      <c r="U85" s="250"/>
      <c r="V85" s="250"/>
      <c r="W85" s="250"/>
      <c r="X85" s="250"/>
      <c r="Y85" s="250"/>
      <c r="Z85" s="250"/>
    </row>
    <row r="86" spans="16:26" ht="10.199999999999999" customHeight="1">
      <c r="P86" s="250"/>
      <c r="Q86" s="250"/>
      <c r="R86" s="250"/>
      <c r="S86" s="250"/>
      <c r="T86" s="250"/>
      <c r="U86" s="250"/>
      <c r="V86" s="250"/>
      <c r="W86" s="250"/>
      <c r="X86" s="250"/>
      <c r="Y86" s="250"/>
      <c r="Z86" s="250"/>
    </row>
    <row r="87" spans="16:26" ht="10.199999999999999" customHeight="1">
      <c r="P87" s="241"/>
      <c r="Q87" s="241"/>
      <c r="R87" s="241"/>
      <c r="S87" s="241"/>
      <c r="T87" s="241"/>
      <c r="U87" s="241"/>
      <c r="V87" s="241"/>
      <c r="W87" s="241"/>
      <c r="X87" s="241"/>
      <c r="Y87" s="241"/>
      <c r="Z87" s="241"/>
    </row>
    <row r="88" spans="16:26" ht="10.199999999999999" customHeight="1">
      <c r="P88" s="250"/>
      <c r="Q88" s="250"/>
      <c r="R88" s="250"/>
      <c r="S88" s="250"/>
      <c r="T88" s="250"/>
      <c r="U88" s="250"/>
      <c r="V88" s="250"/>
      <c r="W88" s="250"/>
      <c r="X88" s="250"/>
      <c r="Y88" s="250"/>
      <c r="Z88" s="250"/>
    </row>
    <row r="89" spans="16:26" ht="10.199999999999999" customHeight="1">
      <c r="P89" s="250"/>
      <c r="Q89" s="250"/>
      <c r="R89" s="250"/>
      <c r="S89" s="250"/>
      <c r="T89" s="250"/>
      <c r="U89" s="250"/>
      <c r="V89" s="250"/>
      <c r="W89" s="250"/>
      <c r="X89" s="250"/>
      <c r="Y89" s="250"/>
      <c r="Z89" s="250"/>
    </row>
    <row r="90" spans="16:26" ht="10.199999999999999" customHeight="1">
      <c r="P90" s="241"/>
      <c r="Q90" s="241"/>
      <c r="R90" s="241"/>
      <c r="S90" s="241"/>
      <c r="T90" s="241"/>
      <c r="U90" s="241"/>
      <c r="V90" s="241"/>
      <c r="W90" s="241"/>
      <c r="X90" s="241"/>
      <c r="Y90" s="241"/>
      <c r="Z90" s="241"/>
    </row>
    <row r="91" spans="16:26" ht="10.199999999999999" customHeight="1">
      <c r="P91" s="250"/>
      <c r="Q91" s="250"/>
      <c r="R91" s="250"/>
      <c r="S91" s="250"/>
      <c r="T91" s="250"/>
      <c r="U91" s="250"/>
      <c r="V91" s="250"/>
      <c r="W91" s="250"/>
      <c r="X91" s="250"/>
      <c r="Y91" s="250"/>
      <c r="Z91" s="250"/>
    </row>
    <row r="92" spans="16:26" ht="10.199999999999999" customHeight="1">
      <c r="P92" s="250"/>
      <c r="Q92" s="250"/>
      <c r="R92" s="250"/>
      <c r="S92" s="250"/>
      <c r="T92" s="250"/>
      <c r="U92" s="250"/>
      <c r="V92" s="250"/>
      <c r="W92" s="250"/>
      <c r="X92" s="250"/>
      <c r="Y92" s="250"/>
      <c r="Z92" s="250"/>
    </row>
    <row r="93" spans="16:26" ht="10.199999999999999" customHeight="1">
      <c r="P93" s="241"/>
      <c r="Q93" s="241"/>
      <c r="R93" s="241"/>
      <c r="S93" s="241"/>
      <c r="T93" s="241"/>
      <c r="U93" s="241"/>
      <c r="V93" s="241"/>
      <c r="W93" s="241"/>
      <c r="X93" s="241"/>
      <c r="Y93" s="241"/>
      <c r="Z93" s="241"/>
    </row>
    <row r="94" spans="16:26" ht="10.199999999999999" customHeight="1">
      <c r="P94" s="250"/>
      <c r="Q94" s="250"/>
      <c r="R94" s="250"/>
      <c r="S94" s="250"/>
      <c r="T94" s="250"/>
      <c r="U94" s="250"/>
      <c r="V94" s="250"/>
      <c r="W94" s="250"/>
      <c r="X94" s="250"/>
      <c r="Y94" s="250"/>
      <c r="Z94" s="250"/>
    </row>
    <row r="95" spans="16:26" ht="10.199999999999999" customHeight="1">
      <c r="P95" s="250"/>
      <c r="Q95" s="250"/>
      <c r="R95" s="250"/>
      <c r="S95" s="250"/>
      <c r="T95" s="250"/>
      <c r="U95" s="250"/>
      <c r="V95" s="250"/>
      <c r="W95" s="250"/>
      <c r="X95" s="250"/>
      <c r="Y95" s="250"/>
      <c r="Z95" s="250"/>
    </row>
    <row r="96" spans="16:26" ht="10.199999999999999" customHeight="1">
      <c r="P96" s="241"/>
      <c r="Q96" s="241"/>
      <c r="R96" s="241"/>
      <c r="S96" s="241"/>
      <c r="T96" s="241"/>
      <c r="U96" s="241"/>
      <c r="V96" s="241"/>
      <c r="W96" s="241"/>
      <c r="X96" s="241"/>
      <c r="Y96" s="241"/>
      <c r="Z96" s="241"/>
    </row>
    <row r="97" spans="16:26" ht="10.199999999999999" customHeight="1">
      <c r="P97" s="250"/>
      <c r="Q97" s="250"/>
      <c r="R97" s="250"/>
      <c r="S97" s="250"/>
      <c r="T97" s="250"/>
      <c r="U97" s="250"/>
      <c r="V97" s="250"/>
      <c r="W97" s="250"/>
      <c r="X97" s="250"/>
      <c r="Y97" s="250"/>
      <c r="Z97" s="250"/>
    </row>
    <row r="98" spans="16:26" ht="10.199999999999999" customHeight="1">
      <c r="P98" s="250"/>
      <c r="Q98" s="250"/>
      <c r="R98" s="250"/>
      <c r="S98" s="250"/>
      <c r="T98" s="250"/>
      <c r="U98" s="250"/>
      <c r="V98" s="250"/>
      <c r="W98" s="250"/>
      <c r="X98" s="250"/>
      <c r="Y98" s="250"/>
      <c r="Z98" s="250"/>
    </row>
    <row r="99" spans="16:26" ht="10.199999999999999" customHeight="1">
      <c r="P99" s="241"/>
      <c r="Q99" s="241"/>
      <c r="R99" s="241"/>
      <c r="S99" s="241"/>
      <c r="T99" s="241"/>
      <c r="U99" s="241"/>
      <c r="V99" s="241"/>
      <c r="W99" s="241"/>
      <c r="X99" s="241"/>
      <c r="Y99" s="241"/>
      <c r="Z99" s="241"/>
    </row>
    <row r="100" spans="16:26" ht="10.199999999999999" customHeight="1">
      <c r="P100" s="250"/>
      <c r="Q100" s="250"/>
      <c r="R100" s="250"/>
      <c r="S100" s="250"/>
      <c r="T100" s="250"/>
      <c r="U100" s="250"/>
      <c r="V100" s="250"/>
      <c r="W100" s="250"/>
      <c r="X100" s="250"/>
      <c r="Y100" s="250"/>
      <c r="Z100" s="250"/>
    </row>
    <row r="101" spans="16:26" ht="10.199999999999999" customHeight="1">
      <c r="P101" s="250"/>
      <c r="Q101" s="250"/>
      <c r="R101" s="250"/>
      <c r="S101" s="250"/>
      <c r="T101" s="250"/>
      <c r="U101" s="250"/>
      <c r="V101" s="250"/>
      <c r="W101" s="250"/>
      <c r="X101" s="250"/>
      <c r="Y101" s="250"/>
      <c r="Z101" s="250"/>
    </row>
    <row r="102" spans="16:26" ht="10.199999999999999" customHeight="1">
      <c r="P102" s="241"/>
      <c r="Q102" s="241"/>
      <c r="R102" s="241"/>
      <c r="S102" s="241"/>
      <c r="T102" s="241"/>
      <c r="U102" s="241"/>
      <c r="V102" s="241"/>
      <c r="W102" s="241"/>
      <c r="X102" s="241"/>
      <c r="Y102" s="241"/>
      <c r="Z102" s="241"/>
    </row>
    <row r="103" spans="16:26" ht="10.199999999999999" customHeight="1">
      <c r="P103" s="250"/>
      <c r="Q103" s="250"/>
      <c r="R103" s="250"/>
      <c r="S103" s="250"/>
      <c r="T103" s="250"/>
      <c r="U103" s="250"/>
      <c r="V103" s="250"/>
      <c r="W103" s="250"/>
      <c r="X103" s="250"/>
      <c r="Y103" s="250"/>
      <c r="Z103" s="250"/>
    </row>
    <row r="104" spans="16:26" ht="10.199999999999999" customHeight="1">
      <c r="P104" s="250"/>
      <c r="Q104" s="250"/>
      <c r="R104" s="250"/>
      <c r="S104" s="250"/>
      <c r="T104" s="250"/>
      <c r="U104" s="250"/>
      <c r="V104" s="250"/>
      <c r="W104" s="250"/>
      <c r="X104" s="250"/>
      <c r="Y104" s="250"/>
      <c r="Z104" s="250"/>
    </row>
    <row r="105" spans="16:26" ht="10.199999999999999" customHeight="1">
      <c r="P105" s="241"/>
      <c r="Q105" s="241"/>
      <c r="R105" s="241"/>
      <c r="S105" s="241"/>
      <c r="T105" s="241"/>
      <c r="U105" s="241"/>
      <c r="V105" s="241"/>
      <c r="W105" s="241"/>
      <c r="X105" s="241"/>
      <c r="Y105" s="241"/>
      <c r="Z105" s="241"/>
    </row>
    <row r="106" spans="16:26" ht="10.199999999999999" customHeight="1">
      <c r="P106" s="250"/>
      <c r="Q106" s="250"/>
      <c r="R106" s="250"/>
      <c r="S106" s="250"/>
      <c r="T106" s="250"/>
      <c r="U106" s="250"/>
      <c r="V106" s="250"/>
      <c r="W106" s="250"/>
      <c r="X106" s="250"/>
      <c r="Y106" s="250"/>
      <c r="Z106" s="250"/>
    </row>
    <row r="107" spans="16:26" ht="10.199999999999999" customHeight="1">
      <c r="P107" s="250"/>
      <c r="Q107" s="250"/>
      <c r="R107" s="250"/>
      <c r="S107" s="250"/>
      <c r="T107" s="250"/>
      <c r="U107" s="250"/>
      <c r="V107" s="250"/>
      <c r="W107" s="250"/>
      <c r="X107" s="250"/>
      <c r="Y107" s="250"/>
      <c r="Z107" s="250"/>
    </row>
    <row r="108" spans="16:26" ht="10.199999999999999" customHeight="1">
      <c r="P108" s="241"/>
      <c r="Q108" s="241"/>
      <c r="R108" s="241"/>
      <c r="S108" s="241"/>
      <c r="T108" s="241"/>
      <c r="U108" s="241"/>
      <c r="V108" s="241"/>
      <c r="W108" s="241"/>
      <c r="X108" s="241"/>
      <c r="Y108" s="241"/>
      <c r="Z108" s="241"/>
    </row>
    <row r="109" spans="16:26" ht="10.199999999999999" customHeight="1">
      <c r="P109" s="250"/>
      <c r="Q109" s="250"/>
      <c r="R109" s="250"/>
      <c r="S109" s="250"/>
      <c r="T109" s="250"/>
      <c r="U109" s="250"/>
      <c r="V109" s="250"/>
      <c r="W109" s="250"/>
      <c r="X109" s="250"/>
      <c r="Y109" s="250"/>
      <c r="Z109" s="250"/>
    </row>
    <row r="110" spans="16:26" ht="10.199999999999999" customHeight="1">
      <c r="P110" s="250"/>
      <c r="Q110" s="250"/>
      <c r="R110" s="250"/>
      <c r="S110" s="250"/>
      <c r="T110" s="250"/>
      <c r="U110" s="250"/>
      <c r="V110" s="250"/>
      <c r="W110" s="250"/>
      <c r="X110" s="250"/>
      <c r="Y110" s="250"/>
      <c r="Z110" s="250"/>
    </row>
    <row r="111" spans="16:26" ht="10.199999999999999" customHeight="1">
      <c r="P111" s="241"/>
      <c r="Q111" s="241"/>
      <c r="R111" s="241"/>
      <c r="S111" s="241"/>
      <c r="T111" s="241"/>
      <c r="U111" s="241"/>
      <c r="V111" s="241"/>
      <c r="W111" s="241"/>
      <c r="X111" s="241"/>
      <c r="Y111" s="241"/>
      <c r="Z111" s="241"/>
    </row>
    <row r="112" spans="16:26" ht="10.199999999999999" customHeight="1">
      <c r="P112" s="250"/>
      <c r="Q112" s="250"/>
      <c r="R112" s="250"/>
      <c r="S112" s="250"/>
      <c r="T112" s="250"/>
      <c r="U112" s="250"/>
      <c r="V112" s="250"/>
      <c r="W112" s="250"/>
      <c r="X112" s="250"/>
      <c r="Y112" s="250"/>
      <c r="Z112" s="250"/>
    </row>
    <row r="113" spans="16:26" ht="10.199999999999999" customHeight="1">
      <c r="P113" s="250"/>
      <c r="Q113" s="250"/>
      <c r="R113" s="250"/>
      <c r="S113" s="250"/>
      <c r="T113" s="250"/>
      <c r="U113" s="250"/>
      <c r="V113" s="250"/>
      <c r="W113" s="250"/>
      <c r="X113" s="250"/>
      <c r="Y113" s="250"/>
      <c r="Z113" s="250"/>
    </row>
    <row r="114" spans="16:26" ht="10.199999999999999" customHeight="1">
      <c r="P114" s="241"/>
      <c r="Q114" s="241"/>
      <c r="R114" s="241"/>
      <c r="S114" s="241"/>
      <c r="T114" s="241"/>
      <c r="U114" s="241"/>
      <c r="V114" s="241"/>
      <c r="W114" s="241"/>
      <c r="X114" s="241"/>
      <c r="Y114" s="241"/>
      <c r="Z114" s="241"/>
    </row>
    <row r="115" spans="16:26" ht="10.199999999999999" customHeight="1">
      <c r="P115" s="250"/>
      <c r="Q115" s="250"/>
      <c r="R115" s="250"/>
      <c r="S115" s="250"/>
      <c r="T115" s="250"/>
      <c r="U115" s="250"/>
      <c r="V115" s="250"/>
      <c r="W115" s="250"/>
      <c r="X115" s="250"/>
      <c r="Y115" s="250"/>
      <c r="Z115" s="250"/>
    </row>
    <row r="116" spans="16:26" ht="10.199999999999999" customHeight="1">
      <c r="P116" s="250"/>
      <c r="Q116" s="250"/>
      <c r="R116" s="250"/>
      <c r="S116" s="250"/>
      <c r="T116" s="250"/>
      <c r="U116" s="250"/>
      <c r="V116" s="250"/>
      <c r="W116" s="250"/>
      <c r="X116" s="250"/>
      <c r="Y116" s="250"/>
      <c r="Z116" s="250"/>
    </row>
    <row r="117" spans="16:26" ht="10.199999999999999" customHeight="1">
      <c r="P117" s="241"/>
      <c r="Q117" s="241"/>
      <c r="R117" s="241"/>
      <c r="S117" s="241"/>
      <c r="T117" s="241"/>
      <c r="U117" s="241"/>
      <c r="V117" s="241"/>
      <c r="W117" s="241"/>
      <c r="X117" s="241"/>
      <c r="Y117" s="241"/>
      <c r="Z117" s="241"/>
    </row>
    <row r="118" spans="16:26" ht="10.199999999999999" customHeight="1">
      <c r="P118" s="250"/>
      <c r="Q118" s="250"/>
      <c r="R118" s="250"/>
      <c r="S118" s="250"/>
      <c r="T118" s="250"/>
      <c r="U118" s="250"/>
      <c r="V118" s="250"/>
      <c r="W118" s="250"/>
      <c r="X118" s="250"/>
      <c r="Y118" s="250"/>
      <c r="Z118" s="250"/>
    </row>
    <row r="119" spans="16:26" ht="10.199999999999999" customHeight="1">
      <c r="P119" s="250"/>
      <c r="Q119" s="250"/>
      <c r="R119" s="250"/>
      <c r="S119" s="250"/>
      <c r="T119" s="250"/>
      <c r="U119" s="250"/>
      <c r="V119" s="250"/>
      <c r="W119" s="250"/>
      <c r="X119" s="250"/>
      <c r="Y119" s="250"/>
      <c r="Z119" s="250"/>
    </row>
    <row r="120" spans="16:26" ht="10.199999999999999" customHeight="1">
      <c r="P120" s="241"/>
      <c r="Q120" s="241"/>
      <c r="R120" s="241"/>
      <c r="S120" s="241"/>
      <c r="T120" s="241"/>
      <c r="U120" s="241"/>
      <c r="V120" s="241"/>
      <c r="W120" s="241"/>
      <c r="X120" s="241"/>
      <c r="Y120" s="241"/>
      <c r="Z120" s="241"/>
    </row>
    <row r="121" spans="16:26" ht="10.199999999999999" customHeight="1">
      <c r="P121" s="250"/>
      <c r="Q121" s="250"/>
      <c r="R121" s="250"/>
      <c r="S121" s="250"/>
      <c r="T121" s="250"/>
      <c r="U121" s="250"/>
      <c r="V121" s="250"/>
      <c r="W121" s="250"/>
      <c r="X121" s="250"/>
      <c r="Y121" s="250"/>
      <c r="Z121" s="250"/>
    </row>
    <row r="122" spans="16:26" ht="10.199999999999999" customHeight="1">
      <c r="P122" s="250"/>
      <c r="Q122" s="250"/>
      <c r="R122" s="250"/>
      <c r="S122" s="250"/>
      <c r="T122" s="250"/>
      <c r="U122" s="250"/>
      <c r="V122" s="250"/>
      <c r="W122" s="250"/>
      <c r="X122" s="250"/>
      <c r="Y122" s="250"/>
      <c r="Z122" s="250"/>
    </row>
    <row r="123" spans="16:26" ht="10.199999999999999" customHeight="1">
      <c r="P123" s="241"/>
      <c r="Q123" s="241"/>
      <c r="R123" s="241"/>
      <c r="S123" s="241"/>
      <c r="T123" s="241"/>
      <c r="U123" s="241"/>
      <c r="V123" s="241"/>
      <c r="W123" s="241"/>
      <c r="X123" s="241"/>
      <c r="Y123" s="241"/>
      <c r="Z123" s="241"/>
    </row>
    <row r="124" spans="16:26" ht="10.199999999999999" customHeight="1">
      <c r="P124" s="250"/>
      <c r="Q124" s="250"/>
      <c r="R124" s="250"/>
      <c r="S124" s="250"/>
      <c r="T124" s="250"/>
      <c r="U124" s="250"/>
      <c r="V124" s="250"/>
      <c r="W124" s="250"/>
      <c r="X124" s="250"/>
      <c r="Y124" s="250"/>
      <c r="Z124" s="250"/>
    </row>
    <row r="125" spans="16:26" ht="10.199999999999999" customHeight="1">
      <c r="P125" s="250"/>
      <c r="Q125" s="250"/>
      <c r="R125" s="250"/>
      <c r="S125" s="250"/>
      <c r="T125" s="250"/>
      <c r="U125" s="250"/>
      <c r="V125" s="250"/>
      <c r="W125" s="250"/>
      <c r="X125" s="250"/>
      <c r="Y125" s="250"/>
      <c r="Z125" s="250"/>
    </row>
    <row r="126" spans="16:26" ht="10.199999999999999" customHeight="1">
      <c r="P126" s="241"/>
      <c r="Q126" s="241"/>
      <c r="R126" s="241"/>
      <c r="S126" s="241"/>
      <c r="T126" s="241"/>
      <c r="U126" s="241"/>
      <c r="V126" s="241"/>
      <c r="W126" s="241"/>
      <c r="X126" s="241"/>
      <c r="Y126" s="241"/>
      <c r="Z126" s="241"/>
    </row>
    <row r="127" spans="16:26" ht="10.199999999999999" customHeight="1">
      <c r="P127" s="250"/>
      <c r="Q127" s="250"/>
      <c r="R127" s="250"/>
      <c r="S127" s="250"/>
      <c r="T127" s="250"/>
      <c r="U127" s="250"/>
      <c r="V127" s="250"/>
      <c r="W127" s="250"/>
      <c r="X127" s="250"/>
      <c r="Y127" s="250"/>
      <c r="Z127" s="250"/>
    </row>
    <row r="128" spans="16:26" ht="10.199999999999999" customHeight="1">
      <c r="P128" s="250"/>
      <c r="Q128" s="250"/>
      <c r="R128" s="250"/>
      <c r="S128" s="250"/>
      <c r="T128" s="250"/>
      <c r="U128" s="250"/>
      <c r="V128" s="250"/>
      <c r="W128" s="250"/>
      <c r="X128" s="250"/>
      <c r="Y128" s="250"/>
      <c r="Z128" s="250"/>
    </row>
    <row r="129" spans="16:26" ht="10.199999999999999" customHeight="1">
      <c r="P129" s="241"/>
      <c r="Q129" s="241"/>
      <c r="R129" s="241"/>
      <c r="S129" s="241"/>
      <c r="T129" s="241"/>
      <c r="U129" s="241"/>
      <c r="V129" s="241"/>
      <c r="W129" s="241"/>
      <c r="X129" s="241"/>
      <c r="Y129" s="241"/>
      <c r="Z129" s="241"/>
    </row>
    <row r="130" spans="16:26" ht="10.199999999999999" customHeight="1">
      <c r="P130" s="250"/>
      <c r="Q130" s="250"/>
      <c r="R130" s="250"/>
      <c r="S130" s="250"/>
      <c r="T130" s="250"/>
      <c r="U130" s="250"/>
      <c r="V130" s="250"/>
      <c r="W130" s="250"/>
      <c r="X130" s="250"/>
      <c r="Y130" s="250"/>
      <c r="Z130" s="250"/>
    </row>
    <row r="131" spans="16:26" ht="10.199999999999999" customHeight="1">
      <c r="P131" s="250"/>
      <c r="Q131" s="250"/>
      <c r="R131" s="250"/>
      <c r="S131" s="250"/>
      <c r="T131" s="250"/>
      <c r="U131" s="250"/>
      <c r="V131" s="250"/>
      <c r="W131" s="250"/>
      <c r="X131" s="250"/>
      <c r="Y131" s="250"/>
      <c r="Z131" s="250"/>
    </row>
    <row r="132" spans="16:26" ht="10.199999999999999" customHeight="1">
      <c r="P132" s="241"/>
      <c r="Q132" s="241"/>
      <c r="R132" s="241"/>
      <c r="S132" s="241"/>
      <c r="T132" s="241"/>
      <c r="U132" s="241"/>
      <c r="V132" s="241"/>
      <c r="W132" s="241"/>
      <c r="X132" s="241"/>
      <c r="Y132" s="241"/>
      <c r="Z132" s="241"/>
    </row>
    <row r="133" spans="16:26" ht="10.199999999999999" customHeight="1">
      <c r="P133" s="250"/>
      <c r="Q133" s="250"/>
      <c r="R133" s="250"/>
      <c r="S133" s="250"/>
      <c r="T133" s="250"/>
      <c r="U133" s="250"/>
      <c r="V133" s="250"/>
      <c r="W133" s="250"/>
      <c r="X133" s="250"/>
      <c r="Y133" s="250"/>
      <c r="Z133" s="250"/>
    </row>
    <row r="134" spans="16:26" ht="10.199999999999999" customHeight="1">
      <c r="P134" s="250"/>
      <c r="Q134" s="250"/>
      <c r="R134" s="250"/>
      <c r="S134" s="250"/>
      <c r="T134" s="250"/>
      <c r="U134" s="250"/>
      <c r="V134" s="250"/>
      <c r="W134" s="250"/>
      <c r="X134" s="250"/>
      <c r="Y134" s="250"/>
      <c r="Z134" s="250"/>
    </row>
    <row r="135" spans="16:26" ht="10.199999999999999" customHeight="1">
      <c r="P135" s="241"/>
      <c r="Q135" s="241"/>
      <c r="R135" s="241"/>
      <c r="S135" s="241"/>
      <c r="T135" s="241"/>
      <c r="U135" s="241"/>
      <c r="V135" s="241"/>
      <c r="W135" s="241"/>
      <c r="X135" s="241"/>
      <c r="Y135" s="241"/>
      <c r="Z135" s="241"/>
    </row>
    <row r="136" spans="16:26" ht="10.199999999999999" customHeight="1">
      <c r="P136" s="250"/>
      <c r="Q136" s="250"/>
      <c r="R136" s="250"/>
      <c r="S136" s="250"/>
      <c r="T136" s="250"/>
      <c r="U136" s="250"/>
      <c r="V136" s="250"/>
      <c r="W136" s="250"/>
      <c r="X136" s="250"/>
      <c r="Y136" s="250"/>
      <c r="Z136" s="250"/>
    </row>
    <row r="137" spans="16:26" ht="10.199999999999999" customHeight="1">
      <c r="P137" s="250"/>
      <c r="Q137" s="250"/>
      <c r="R137" s="250"/>
      <c r="S137" s="250"/>
      <c r="T137" s="250"/>
      <c r="U137" s="250"/>
      <c r="V137" s="250"/>
      <c r="W137" s="250"/>
      <c r="X137" s="250"/>
      <c r="Y137" s="250"/>
      <c r="Z137" s="250"/>
    </row>
    <row r="138" spans="16:26" ht="10.199999999999999" customHeight="1">
      <c r="P138" s="241"/>
      <c r="Q138" s="241"/>
      <c r="R138" s="241"/>
      <c r="S138" s="241"/>
      <c r="T138" s="241"/>
      <c r="U138" s="241"/>
      <c r="V138" s="241"/>
      <c r="W138" s="241"/>
      <c r="X138" s="241"/>
      <c r="Y138" s="241"/>
      <c r="Z138" s="241"/>
    </row>
    <row r="139" spans="16:26" ht="10.199999999999999" customHeight="1">
      <c r="P139" s="250"/>
      <c r="Q139" s="250"/>
      <c r="R139" s="250"/>
      <c r="S139" s="250"/>
      <c r="T139" s="250"/>
      <c r="U139" s="250"/>
      <c r="V139" s="250"/>
      <c r="W139" s="250"/>
      <c r="X139" s="250"/>
      <c r="Y139" s="250"/>
      <c r="Z139" s="250"/>
    </row>
    <row r="140" spans="16:26" ht="10.199999999999999" customHeight="1">
      <c r="P140" s="250"/>
      <c r="Q140" s="250"/>
      <c r="R140" s="250"/>
      <c r="S140" s="250"/>
      <c r="T140" s="250"/>
      <c r="U140" s="250"/>
      <c r="V140" s="250"/>
      <c r="W140" s="250"/>
      <c r="X140" s="250"/>
      <c r="Y140" s="250"/>
      <c r="Z140" s="250"/>
    </row>
    <row r="141" spans="16:26" ht="10.199999999999999" customHeight="1">
      <c r="P141" s="241"/>
      <c r="Q141" s="241"/>
      <c r="R141" s="241"/>
      <c r="S141" s="241"/>
      <c r="T141" s="241"/>
      <c r="U141" s="241"/>
      <c r="V141" s="241"/>
      <c r="W141" s="241"/>
      <c r="X141" s="241"/>
      <c r="Y141" s="241"/>
      <c r="Z141" s="241"/>
    </row>
    <row r="142" spans="16:26" ht="10.199999999999999" customHeight="1">
      <c r="P142" s="250"/>
      <c r="Q142" s="250"/>
      <c r="R142" s="250"/>
      <c r="S142" s="250"/>
      <c r="T142" s="250"/>
      <c r="U142" s="250"/>
      <c r="V142" s="250"/>
      <c r="W142" s="250"/>
      <c r="X142" s="250"/>
      <c r="Y142" s="250"/>
      <c r="Z142" s="250"/>
    </row>
    <row r="143" spans="16:26" ht="10.199999999999999" customHeight="1">
      <c r="P143" s="250"/>
      <c r="Q143" s="250"/>
      <c r="R143" s="250"/>
      <c r="S143" s="250"/>
      <c r="T143" s="250"/>
      <c r="U143" s="250"/>
      <c r="V143" s="250"/>
      <c r="W143" s="250"/>
      <c r="X143" s="250"/>
      <c r="Y143" s="250"/>
      <c r="Z143" s="250"/>
    </row>
    <row r="144" spans="16:26" ht="10.199999999999999" customHeight="1">
      <c r="P144" s="241"/>
      <c r="Q144" s="241"/>
      <c r="R144" s="241"/>
      <c r="S144" s="241"/>
      <c r="T144" s="241"/>
      <c r="U144" s="241"/>
      <c r="V144" s="241"/>
      <c r="W144" s="241"/>
      <c r="X144" s="241"/>
      <c r="Y144" s="241"/>
      <c r="Z144" s="241"/>
    </row>
    <row r="145" spans="16:26" ht="10.199999999999999" customHeight="1">
      <c r="P145" s="250"/>
      <c r="Q145" s="250"/>
      <c r="R145" s="250"/>
      <c r="S145" s="250"/>
      <c r="T145" s="250"/>
      <c r="U145" s="250"/>
      <c r="V145" s="250"/>
      <c r="W145" s="250"/>
      <c r="X145" s="250"/>
      <c r="Y145" s="250"/>
      <c r="Z145" s="250"/>
    </row>
    <row r="146" spans="16:26" ht="10.199999999999999" customHeight="1">
      <c r="P146" s="250"/>
      <c r="Q146" s="250"/>
      <c r="R146" s="250"/>
      <c r="S146" s="250"/>
      <c r="T146" s="250"/>
      <c r="U146" s="250"/>
      <c r="V146" s="250"/>
      <c r="W146" s="250"/>
      <c r="X146" s="250"/>
      <c r="Y146" s="250"/>
      <c r="Z146" s="250"/>
    </row>
    <row r="147" spans="16:26" ht="10.199999999999999" customHeight="1">
      <c r="P147" s="241"/>
      <c r="Q147" s="241"/>
      <c r="R147" s="241"/>
      <c r="S147" s="241"/>
      <c r="T147" s="241"/>
      <c r="U147" s="241"/>
      <c r="V147" s="241"/>
      <c r="W147" s="241"/>
      <c r="X147" s="241"/>
      <c r="Y147" s="241"/>
      <c r="Z147" s="241"/>
    </row>
    <row r="148" spans="16:26" ht="10.199999999999999" customHeight="1">
      <c r="P148" s="250"/>
      <c r="Q148" s="250"/>
      <c r="R148" s="250"/>
      <c r="S148" s="250"/>
      <c r="T148" s="250"/>
      <c r="U148" s="250"/>
      <c r="V148" s="250"/>
      <c r="W148" s="250"/>
      <c r="X148" s="250"/>
      <c r="Y148" s="250"/>
      <c r="Z148" s="250"/>
    </row>
    <row r="149" spans="16:26" ht="10.199999999999999" customHeight="1">
      <c r="P149" s="250"/>
      <c r="Q149" s="250"/>
      <c r="R149" s="250"/>
      <c r="S149" s="250"/>
      <c r="T149" s="250"/>
      <c r="U149" s="250"/>
      <c r="V149" s="250"/>
      <c r="W149" s="250"/>
      <c r="X149" s="250"/>
      <c r="Y149" s="250"/>
      <c r="Z149" s="250"/>
    </row>
    <row r="150" spans="16:26" ht="10.199999999999999" customHeight="1">
      <c r="P150" s="241"/>
      <c r="Q150" s="241"/>
      <c r="R150" s="241"/>
      <c r="S150" s="241"/>
      <c r="T150" s="241"/>
      <c r="U150" s="241"/>
      <c r="V150" s="241"/>
      <c r="W150" s="241"/>
      <c r="X150" s="241"/>
      <c r="Y150" s="241"/>
      <c r="Z150" s="241"/>
    </row>
    <row r="151" spans="16:26" ht="10.199999999999999" customHeight="1">
      <c r="P151" s="250"/>
      <c r="Q151" s="250"/>
      <c r="R151" s="250"/>
      <c r="S151" s="250"/>
      <c r="T151" s="250"/>
      <c r="U151" s="250"/>
      <c r="V151" s="250"/>
      <c r="W151" s="250"/>
      <c r="X151" s="250"/>
      <c r="Y151" s="250"/>
      <c r="Z151" s="250"/>
    </row>
    <row r="152" spans="16:26" ht="10.199999999999999" customHeight="1">
      <c r="P152" s="250"/>
      <c r="Q152" s="250"/>
      <c r="R152" s="250"/>
      <c r="S152" s="250"/>
      <c r="T152" s="250"/>
      <c r="U152" s="250"/>
      <c r="V152" s="250"/>
      <c r="W152" s="250"/>
      <c r="X152" s="250"/>
      <c r="Y152" s="250"/>
      <c r="Z152" s="250"/>
    </row>
    <row r="153" spans="16:26" ht="10.199999999999999" customHeight="1">
      <c r="P153" s="241"/>
      <c r="Q153" s="241"/>
      <c r="R153" s="241"/>
      <c r="S153" s="241"/>
      <c r="T153" s="241"/>
      <c r="U153" s="241"/>
      <c r="V153" s="241"/>
      <c r="W153" s="241"/>
      <c r="X153" s="241"/>
      <c r="Y153" s="241"/>
      <c r="Z153" s="241"/>
    </row>
    <row r="154" spans="16:26" ht="10.199999999999999" customHeight="1">
      <c r="P154" s="250"/>
      <c r="Q154" s="250"/>
      <c r="R154" s="250"/>
      <c r="S154" s="250"/>
      <c r="T154" s="250"/>
      <c r="U154" s="250"/>
      <c r="V154" s="250"/>
      <c r="W154" s="250"/>
      <c r="X154" s="250"/>
      <c r="Y154" s="250"/>
      <c r="Z154" s="250"/>
    </row>
    <row r="155" spans="16:26" ht="10.199999999999999" customHeight="1">
      <c r="P155" s="250"/>
      <c r="Q155" s="250"/>
      <c r="R155" s="250"/>
      <c r="S155" s="250"/>
      <c r="T155" s="250"/>
      <c r="U155" s="250"/>
      <c r="V155" s="250"/>
      <c r="W155" s="250"/>
      <c r="X155" s="250"/>
      <c r="Y155" s="250"/>
      <c r="Z155" s="250"/>
    </row>
    <row r="156" spans="16:26" ht="10.199999999999999" customHeight="1">
      <c r="P156" s="241"/>
      <c r="Q156" s="241"/>
      <c r="R156" s="241"/>
      <c r="S156" s="241"/>
      <c r="T156" s="241"/>
      <c r="U156" s="241"/>
      <c r="V156" s="241"/>
      <c r="W156" s="241"/>
      <c r="X156" s="241"/>
      <c r="Y156" s="241"/>
      <c r="Z156" s="241"/>
    </row>
    <row r="157" spans="16:26" ht="10.199999999999999" customHeight="1">
      <c r="P157" s="250"/>
      <c r="Q157" s="250"/>
      <c r="R157" s="250"/>
      <c r="S157" s="250"/>
      <c r="T157" s="250"/>
      <c r="U157" s="250"/>
      <c r="V157" s="250"/>
      <c r="W157" s="250"/>
      <c r="X157" s="250"/>
      <c r="Y157" s="250"/>
      <c r="Z157" s="250"/>
    </row>
    <row r="158" spans="16:26" ht="10.199999999999999" customHeight="1">
      <c r="P158" s="250"/>
      <c r="Q158" s="250"/>
      <c r="R158" s="250"/>
      <c r="S158" s="250"/>
      <c r="T158" s="250"/>
      <c r="U158" s="250"/>
      <c r="V158" s="250"/>
      <c r="W158" s="250"/>
      <c r="X158" s="250"/>
      <c r="Y158" s="250"/>
      <c r="Z158" s="250"/>
    </row>
    <row r="159" spans="16:26" ht="10.199999999999999" customHeight="1">
      <c r="P159" s="241"/>
      <c r="Q159" s="241"/>
      <c r="R159" s="241"/>
      <c r="S159" s="241"/>
      <c r="T159" s="241"/>
      <c r="U159" s="241"/>
      <c r="V159" s="241"/>
      <c r="W159" s="241"/>
      <c r="X159" s="241"/>
      <c r="Y159" s="241"/>
      <c r="Z159" s="241"/>
    </row>
    <row r="160" spans="16:26" ht="10.199999999999999" customHeight="1">
      <c r="P160" s="250"/>
      <c r="Q160" s="250"/>
      <c r="R160" s="250"/>
      <c r="S160" s="250"/>
      <c r="T160" s="250"/>
      <c r="U160" s="250"/>
      <c r="V160" s="250"/>
      <c r="W160" s="250"/>
      <c r="X160" s="250"/>
      <c r="Y160" s="250"/>
      <c r="Z160" s="250"/>
    </row>
    <row r="161" spans="16:26" ht="10.199999999999999" customHeight="1">
      <c r="P161" s="250"/>
      <c r="Q161" s="250"/>
      <c r="R161" s="250"/>
      <c r="S161" s="250"/>
      <c r="T161" s="250"/>
      <c r="U161" s="250"/>
      <c r="V161" s="250"/>
      <c r="W161" s="250"/>
      <c r="X161" s="250"/>
      <c r="Y161" s="250"/>
      <c r="Z161" s="250"/>
    </row>
    <row r="162" spans="16:26" ht="10.199999999999999" customHeight="1">
      <c r="P162" s="241"/>
      <c r="Q162" s="241"/>
      <c r="R162" s="241"/>
      <c r="S162" s="241"/>
      <c r="T162" s="241"/>
      <c r="U162" s="241"/>
      <c r="V162" s="241"/>
      <c r="W162" s="241"/>
      <c r="X162" s="241"/>
      <c r="Y162" s="241"/>
      <c r="Z162" s="241"/>
    </row>
    <row r="163" spans="16:26" ht="10.199999999999999" customHeight="1">
      <c r="P163" s="250"/>
      <c r="Q163" s="250"/>
      <c r="R163" s="250"/>
      <c r="S163" s="250"/>
      <c r="T163" s="250"/>
      <c r="U163" s="250"/>
      <c r="V163" s="250"/>
      <c r="W163" s="250"/>
      <c r="X163" s="250"/>
      <c r="Y163" s="250"/>
      <c r="Z163" s="250"/>
    </row>
    <row r="164" spans="16:26" ht="10.199999999999999" customHeight="1">
      <c r="P164" s="250"/>
      <c r="Q164" s="250"/>
      <c r="R164" s="250"/>
      <c r="S164" s="250"/>
      <c r="T164" s="250"/>
      <c r="U164" s="250"/>
      <c r="V164" s="250"/>
      <c r="W164" s="250"/>
      <c r="X164" s="250"/>
      <c r="Y164" s="250"/>
      <c r="Z164" s="250"/>
    </row>
    <row r="165" spans="16:26" ht="10.199999999999999" customHeight="1">
      <c r="P165" s="241"/>
      <c r="Q165" s="241"/>
      <c r="R165" s="241"/>
      <c r="S165" s="241"/>
      <c r="T165" s="241"/>
      <c r="U165" s="241"/>
      <c r="V165" s="241"/>
      <c r="W165" s="241"/>
      <c r="X165" s="241"/>
      <c r="Y165" s="241"/>
      <c r="Z165" s="241"/>
    </row>
    <row r="166" spans="16:26" ht="10.199999999999999" customHeight="1">
      <c r="P166" s="250"/>
      <c r="Q166" s="250"/>
      <c r="R166" s="250"/>
      <c r="S166" s="250"/>
      <c r="T166" s="250"/>
      <c r="U166" s="250"/>
      <c r="V166" s="250"/>
      <c r="W166" s="250"/>
      <c r="X166" s="250"/>
      <c r="Y166" s="250"/>
      <c r="Z166" s="250"/>
    </row>
    <row r="167" spans="16:26" ht="10.199999999999999" customHeight="1">
      <c r="P167" s="250"/>
      <c r="Q167" s="250"/>
      <c r="R167" s="250"/>
      <c r="S167" s="250"/>
      <c r="T167" s="250"/>
      <c r="U167" s="250"/>
      <c r="V167" s="250"/>
      <c r="W167" s="250"/>
      <c r="X167" s="250"/>
      <c r="Y167" s="250"/>
      <c r="Z167" s="250"/>
    </row>
    <row r="168" spans="16:26" ht="10.199999999999999" customHeight="1">
      <c r="P168" s="241"/>
      <c r="Q168" s="241"/>
      <c r="R168" s="241"/>
      <c r="S168" s="241"/>
      <c r="T168" s="241"/>
      <c r="U168" s="241"/>
      <c r="V168" s="241"/>
      <c r="W168" s="241"/>
      <c r="X168" s="241"/>
      <c r="Y168" s="241"/>
      <c r="Z168" s="241"/>
    </row>
    <row r="169" spans="16:26" ht="10.199999999999999" customHeight="1">
      <c r="P169" s="250"/>
      <c r="Q169" s="250"/>
      <c r="R169" s="250"/>
      <c r="S169" s="250"/>
      <c r="T169" s="250"/>
      <c r="U169" s="250"/>
      <c r="V169" s="250"/>
      <c r="W169" s="250"/>
      <c r="X169" s="250"/>
      <c r="Y169" s="250"/>
      <c r="Z169" s="250"/>
    </row>
    <row r="170" spans="16:26" ht="10.199999999999999" customHeight="1">
      <c r="P170" s="250"/>
      <c r="Q170" s="250"/>
      <c r="R170" s="250"/>
      <c r="S170" s="250"/>
      <c r="T170" s="250"/>
      <c r="U170" s="250"/>
      <c r="V170" s="250"/>
      <c r="W170" s="250"/>
      <c r="X170" s="250"/>
      <c r="Y170" s="250"/>
      <c r="Z170" s="250"/>
    </row>
    <row r="171" spans="16:26" ht="10.199999999999999" customHeight="1">
      <c r="P171" s="241"/>
      <c r="Q171" s="241"/>
      <c r="R171" s="241"/>
      <c r="S171" s="241"/>
      <c r="T171" s="241"/>
      <c r="U171" s="241"/>
      <c r="V171" s="241"/>
      <c r="W171" s="241"/>
      <c r="X171" s="241"/>
      <c r="Y171" s="241"/>
      <c r="Z171" s="241"/>
    </row>
    <row r="172" spans="16:26" ht="10.199999999999999" customHeight="1">
      <c r="P172" s="250"/>
      <c r="Q172" s="250"/>
      <c r="R172" s="250"/>
      <c r="S172" s="250"/>
      <c r="T172" s="250"/>
      <c r="U172" s="250"/>
      <c r="V172" s="250"/>
      <c r="W172" s="250"/>
      <c r="X172" s="250"/>
      <c r="Y172" s="250"/>
      <c r="Z172" s="250"/>
    </row>
    <row r="173" spans="16:26" ht="10.199999999999999" customHeight="1">
      <c r="P173" s="250"/>
      <c r="Q173" s="250"/>
      <c r="R173" s="250"/>
      <c r="S173" s="250"/>
      <c r="T173" s="250"/>
      <c r="U173" s="250"/>
      <c r="V173" s="250"/>
      <c r="W173" s="250"/>
      <c r="X173" s="250"/>
      <c r="Y173" s="250"/>
      <c r="Z173" s="250"/>
    </row>
    <row r="174" spans="16:26" ht="10.199999999999999" customHeight="1">
      <c r="P174" s="241"/>
      <c r="Q174" s="241"/>
      <c r="R174" s="241"/>
      <c r="S174" s="241"/>
      <c r="T174" s="241"/>
      <c r="U174" s="241"/>
      <c r="V174" s="241"/>
      <c r="W174" s="241"/>
      <c r="X174" s="241"/>
      <c r="Y174" s="241"/>
      <c r="Z174" s="241"/>
    </row>
    <row r="175" spans="16:26" ht="10.199999999999999" customHeight="1">
      <c r="P175" s="250"/>
      <c r="Q175" s="250"/>
      <c r="R175" s="250"/>
      <c r="S175" s="250"/>
      <c r="T175" s="250"/>
      <c r="U175" s="250"/>
      <c r="V175" s="250"/>
      <c r="W175" s="250"/>
      <c r="X175" s="250"/>
      <c r="Y175" s="250"/>
      <c r="Z175" s="250"/>
    </row>
    <row r="176" spans="16:26" ht="10.199999999999999" customHeight="1">
      <c r="P176" s="250"/>
      <c r="Q176" s="250"/>
      <c r="R176" s="250"/>
      <c r="S176" s="250"/>
      <c r="T176" s="250"/>
      <c r="U176" s="250"/>
      <c r="V176" s="250"/>
      <c r="W176" s="250"/>
      <c r="X176" s="250"/>
      <c r="Y176" s="250"/>
      <c r="Z176" s="250"/>
    </row>
    <row r="177" spans="16:26" ht="10.199999999999999" customHeight="1">
      <c r="P177" s="241"/>
      <c r="Q177" s="241"/>
      <c r="R177" s="241"/>
      <c r="S177" s="241"/>
      <c r="T177" s="241"/>
      <c r="U177" s="241"/>
      <c r="V177" s="241"/>
      <c r="W177" s="241"/>
      <c r="X177" s="241"/>
      <c r="Y177" s="241"/>
      <c r="Z177" s="241"/>
    </row>
    <row r="178" spans="16:26" ht="10.199999999999999" customHeight="1">
      <c r="P178" s="250"/>
      <c r="Q178" s="250"/>
      <c r="R178" s="250"/>
      <c r="S178" s="250"/>
      <c r="T178" s="250"/>
      <c r="U178" s="250"/>
      <c r="V178" s="250"/>
      <c r="W178" s="250"/>
      <c r="X178" s="250"/>
      <c r="Y178" s="250"/>
      <c r="Z178" s="250"/>
    </row>
    <row r="179" spans="16:26" ht="10.199999999999999" customHeight="1">
      <c r="P179" s="250"/>
      <c r="Q179" s="250"/>
      <c r="R179" s="250"/>
      <c r="S179" s="250"/>
      <c r="T179" s="250"/>
      <c r="U179" s="250"/>
      <c r="V179" s="250"/>
      <c r="W179" s="250"/>
      <c r="X179" s="250"/>
      <c r="Y179" s="250"/>
      <c r="Z179" s="250"/>
    </row>
    <row r="180" spans="16:26" ht="10.199999999999999" customHeight="1">
      <c r="P180" s="241"/>
      <c r="Q180" s="241"/>
      <c r="R180" s="241"/>
      <c r="S180" s="241"/>
      <c r="T180" s="241"/>
      <c r="U180" s="241"/>
      <c r="V180" s="241"/>
      <c r="W180" s="241"/>
      <c r="X180" s="241"/>
      <c r="Y180" s="241"/>
      <c r="Z180" s="241"/>
    </row>
    <row r="181" spans="16:26" ht="10.199999999999999" customHeight="1">
      <c r="P181" s="250"/>
      <c r="Q181" s="250"/>
      <c r="R181" s="250"/>
      <c r="S181" s="250"/>
      <c r="T181" s="250"/>
      <c r="U181" s="250"/>
      <c r="V181" s="250"/>
      <c r="W181" s="250"/>
      <c r="X181" s="250"/>
      <c r="Y181" s="250"/>
      <c r="Z181" s="250"/>
    </row>
    <row r="182" spans="16:26" ht="10.199999999999999" customHeight="1">
      <c r="P182" s="250"/>
      <c r="Q182" s="250"/>
      <c r="R182" s="250"/>
      <c r="S182" s="250"/>
      <c r="T182" s="250"/>
      <c r="U182" s="250"/>
      <c r="V182" s="250"/>
      <c r="W182" s="250"/>
      <c r="X182" s="250"/>
      <c r="Y182" s="250"/>
      <c r="Z182" s="250"/>
    </row>
    <row r="183" spans="16:26" ht="10.199999999999999" customHeight="1">
      <c r="P183" s="241"/>
      <c r="Q183" s="241"/>
      <c r="R183" s="241"/>
      <c r="S183" s="241"/>
      <c r="T183" s="241"/>
      <c r="U183" s="241"/>
      <c r="V183" s="241"/>
      <c r="W183" s="241"/>
      <c r="X183" s="241"/>
      <c r="Y183" s="241"/>
      <c r="Z183" s="241"/>
    </row>
    <row r="184" spans="16:26" ht="10.199999999999999" customHeight="1">
      <c r="P184" s="250"/>
      <c r="Q184" s="250"/>
      <c r="R184" s="250"/>
      <c r="S184" s="250"/>
      <c r="T184" s="250"/>
      <c r="U184" s="250"/>
      <c r="V184" s="250"/>
      <c r="W184" s="250"/>
      <c r="X184" s="250"/>
      <c r="Y184" s="250"/>
      <c r="Z184" s="250"/>
    </row>
    <row r="185" spans="16:26" ht="10.199999999999999" customHeight="1">
      <c r="P185" s="250"/>
      <c r="Q185" s="250"/>
      <c r="R185" s="250"/>
      <c r="S185" s="250"/>
      <c r="T185" s="250"/>
      <c r="U185" s="250"/>
      <c r="V185" s="250"/>
      <c r="W185" s="250"/>
      <c r="X185" s="250"/>
      <c r="Y185" s="250"/>
      <c r="Z185" s="250"/>
    </row>
    <row r="186" spans="16:26" ht="10.199999999999999" customHeight="1">
      <c r="P186" s="241"/>
      <c r="Q186" s="241"/>
      <c r="R186" s="241"/>
      <c r="S186" s="241"/>
      <c r="T186" s="241"/>
      <c r="U186" s="241"/>
      <c r="V186" s="241"/>
      <c r="W186" s="241"/>
      <c r="X186" s="241"/>
      <c r="Y186" s="241"/>
      <c r="Z186" s="241"/>
    </row>
    <row r="187" spans="16:26" ht="10.199999999999999" customHeight="1">
      <c r="P187" s="250"/>
      <c r="Q187" s="250"/>
      <c r="R187" s="250"/>
      <c r="S187" s="250"/>
      <c r="T187" s="250"/>
      <c r="U187" s="250"/>
      <c r="V187" s="250"/>
      <c r="W187" s="250"/>
      <c r="X187" s="250"/>
      <c r="Y187" s="250"/>
      <c r="Z187" s="250"/>
    </row>
    <row r="188" spans="16:26" ht="10.199999999999999" customHeight="1">
      <c r="P188" s="250"/>
      <c r="Q188" s="250"/>
      <c r="R188" s="250"/>
      <c r="S188" s="250"/>
      <c r="T188" s="250"/>
      <c r="U188" s="250"/>
      <c r="V188" s="250"/>
      <c r="W188" s="250"/>
      <c r="X188" s="250"/>
      <c r="Y188" s="250"/>
      <c r="Z188" s="250"/>
    </row>
    <row r="189" spans="16:26" ht="10.199999999999999" customHeight="1">
      <c r="P189" s="241"/>
      <c r="Q189" s="241"/>
      <c r="R189" s="241"/>
      <c r="S189" s="241"/>
      <c r="T189" s="241"/>
      <c r="U189" s="241"/>
      <c r="V189" s="241"/>
      <c r="W189" s="241"/>
      <c r="X189" s="241"/>
      <c r="Y189" s="241"/>
      <c r="Z189" s="241"/>
    </row>
    <row r="190" spans="16:26" ht="10.199999999999999" customHeight="1">
      <c r="P190" s="250"/>
      <c r="Q190" s="250"/>
      <c r="R190" s="250"/>
      <c r="S190" s="250"/>
      <c r="T190" s="250"/>
      <c r="U190" s="250"/>
      <c r="V190" s="250"/>
      <c r="W190" s="250"/>
      <c r="X190" s="250"/>
      <c r="Y190" s="250"/>
      <c r="Z190" s="250"/>
    </row>
    <row r="191" spans="16:26" ht="10.199999999999999" customHeight="1">
      <c r="P191" s="250"/>
      <c r="Q191" s="250"/>
      <c r="R191" s="250"/>
      <c r="S191" s="250"/>
      <c r="T191" s="250"/>
      <c r="U191" s="250"/>
      <c r="V191" s="250"/>
      <c r="W191" s="250"/>
      <c r="X191" s="250"/>
      <c r="Y191" s="250"/>
      <c r="Z191" s="250"/>
    </row>
    <row r="192" spans="16:26" ht="10.199999999999999" customHeight="1">
      <c r="P192" s="241"/>
      <c r="Q192" s="241"/>
      <c r="R192" s="241"/>
      <c r="S192" s="241"/>
      <c r="T192" s="241"/>
      <c r="U192" s="241"/>
      <c r="V192" s="241"/>
      <c r="W192" s="241"/>
      <c r="X192" s="241"/>
      <c r="Y192" s="241"/>
      <c r="Z192" s="241"/>
    </row>
    <row r="193" spans="16:26" ht="10.199999999999999" customHeight="1">
      <c r="P193" s="250"/>
      <c r="Q193" s="250"/>
      <c r="R193" s="250"/>
      <c r="S193" s="250"/>
      <c r="T193" s="250"/>
      <c r="U193" s="250"/>
      <c r="V193" s="250"/>
      <c r="W193" s="250"/>
      <c r="X193" s="250"/>
      <c r="Y193" s="250"/>
      <c r="Z193" s="250"/>
    </row>
    <row r="194" spans="16:26" ht="10.199999999999999" customHeight="1">
      <c r="P194" s="250"/>
      <c r="Q194" s="250"/>
      <c r="R194" s="250"/>
      <c r="S194" s="250"/>
      <c r="T194" s="250"/>
      <c r="U194" s="250"/>
      <c r="V194" s="250"/>
      <c r="W194" s="250"/>
      <c r="X194" s="250"/>
      <c r="Y194" s="250"/>
      <c r="Z194" s="250"/>
    </row>
    <row r="195" spans="16:26" ht="10.199999999999999" customHeight="1">
      <c r="P195" s="241"/>
      <c r="Q195" s="241"/>
      <c r="R195" s="241"/>
      <c r="S195" s="241"/>
      <c r="T195" s="241"/>
      <c r="U195" s="241"/>
      <c r="V195" s="241"/>
      <c r="W195" s="241"/>
      <c r="X195" s="241"/>
      <c r="Y195" s="241"/>
      <c r="Z195" s="241"/>
    </row>
    <row r="196" spans="16:26" ht="10.199999999999999" customHeight="1">
      <c r="P196" s="250"/>
      <c r="Q196" s="250"/>
      <c r="R196" s="250"/>
      <c r="S196" s="250"/>
      <c r="T196" s="250"/>
      <c r="U196" s="250"/>
      <c r="V196" s="250"/>
      <c r="W196" s="250"/>
      <c r="X196" s="250"/>
      <c r="Y196" s="250"/>
      <c r="Z196" s="250"/>
    </row>
    <row r="197" spans="16:26" ht="10.199999999999999" customHeight="1">
      <c r="P197" s="250"/>
      <c r="Q197" s="250"/>
      <c r="R197" s="250"/>
      <c r="S197" s="250"/>
      <c r="T197" s="250"/>
      <c r="U197" s="250"/>
      <c r="V197" s="250"/>
      <c r="W197" s="250"/>
      <c r="X197" s="250"/>
      <c r="Y197" s="250"/>
      <c r="Z197" s="250"/>
    </row>
    <row r="198" spans="16:26" ht="10.199999999999999" customHeight="1">
      <c r="P198" s="241"/>
      <c r="Q198" s="241"/>
      <c r="R198" s="241"/>
      <c r="S198" s="241"/>
      <c r="T198" s="241"/>
      <c r="U198" s="241"/>
      <c r="V198" s="241"/>
      <c r="W198" s="241"/>
      <c r="X198" s="241"/>
      <c r="Y198" s="241"/>
      <c r="Z198" s="241"/>
    </row>
    <row r="199" spans="16:26" ht="10.199999999999999" customHeight="1">
      <c r="P199" s="250"/>
      <c r="Q199" s="250"/>
      <c r="R199" s="250"/>
      <c r="S199" s="250"/>
      <c r="T199" s="250"/>
      <c r="U199" s="250"/>
      <c r="V199" s="250"/>
      <c r="W199" s="250"/>
      <c r="X199" s="250"/>
      <c r="Y199" s="250"/>
      <c r="Z199" s="250"/>
    </row>
    <row r="200" spans="16:26" ht="10.199999999999999" customHeight="1">
      <c r="P200" s="250"/>
      <c r="Q200" s="250"/>
      <c r="R200" s="250"/>
      <c r="S200" s="250"/>
      <c r="T200" s="250"/>
      <c r="U200" s="250"/>
      <c r="V200" s="250"/>
      <c r="W200" s="250"/>
      <c r="X200" s="250"/>
      <c r="Y200" s="250"/>
      <c r="Z200" s="250"/>
    </row>
    <row r="201" spans="16:26" ht="10.199999999999999" customHeight="1">
      <c r="P201" s="241"/>
      <c r="Q201" s="241"/>
      <c r="R201" s="241"/>
      <c r="S201" s="241"/>
      <c r="T201" s="241"/>
      <c r="U201" s="241"/>
      <c r="V201" s="241"/>
      <c r="W201" s="241"/>
      <c r="X201" s="241"/>
      <c r="Y201" s="241"/>
      <c r="Z201" s="241"/>
    </row>
    <row r="202" spans="16:26" ht="10.199999999999999" customHeight="1">
      <c r="P202" s="250"/>
      <c r="Q202" s="250"/>
      <c r="R202" s="250"/>
      <c r="S202" s="250"/>
      <c r="T202" s="250"/>
      <c r="U202" s="250"/>
      <c r="V202" s="250"/>
      <c r="W202" s="250"/>
      <c r="X202" s="250"/>
      <c r="Y202" s="250"/>
      <c r="Z202" s="250"/>
    </row>
    <row r="203" spans="16:26" ht="10.199999999999999" customHeight="1">
      <c r="P203" s="250"/>
      <c r="Q203" s="250"/>
      <c r="R203" s="250"/>
      <c r="S203" s="250"/>
      <c r="T203" s="250"/>
      <c r="U203" s="250"/>
      <c r="V203" s="250"/>
      <c r="W203" s="250"/>
      <c r="X203" s="250"/>
      <c r="Y203" s="250"/>
      <c r="Z203" s="250"/>
    </row>
    <row r="204" spans="16:26" ht="10.199999999999999" customHeight="1">
      <c r="P204" s="241"/>
      <c r="Q204" s="241"/>
      <c r="R204" s="241"/>
      <c r="S204" s="241"/>
      <c r="T204" s="241"/>
      <c r="U204" s="241"/>
      <c r="V204" s="241"/>
      <c r="W204" s="241"/>
      <c r="X204" s="241"/>
      <c r="Y204" s="241"/>
      <c r="Z204" s="241"/>
    </row>
    <row r="205" spans="16:26" ht="10.199999999999999" customHeight="1">
      <c r="P205" s="250"/>
      <c r="Q205" s="250"/>
      <c r="R205" s="250"/>
      <c r="S205" s="250"/>
      <c r="T205" s="250"/>
      <c r="U205" s="250"/>
      <c r="V205" s="250"/>
      <c r="W205" s="250"/>
      <c r="X205" s="250"/>
      <c r="Y205" s="250"/>
      <c r="Z205" s="250"/>
    </row>
    <row r="206" spans="16:26" ht="10.199999999999999" customHeight="1">
      <c r="P206" s="250"/>
      <c r="Q206" s="250"/>
      <c r="R206" s="250"/>
      <c r="S206" s="250"/>
      <c r="T206" s="250"/>
      <c r="U206" s="250"/>
      <c r="V206" s="250"/>
      <c r="W206" s="250"/>
      <c r="X206" s="250"/>
      <c r="Y206" s="250"/>
      <c r="Z206" s="250"/>
    </row>
    <row r="207" spans="16:26" ht="10.199999999999999" customHeight="1">
      <c r="P207" s="241"/>
      <c r="Q207" s="241"/>
      <c r="R207" s="241"/>
      <c r="S207" s="241"/>
      <c r="T207" s="241"/>
      <c r="U207" s="241"/>
      <c r="V207" s="241"/>
      <c r="W207" s="241"/>
      <c r="X207" s="241"/>
      <c r="Y207" s="241"/>
      <c r="Z207" s="241"/>
    </row>
    <row r="208" spans="16:26" ht="10.199999999999999" customHeight="1">
      <c r="P208" s="250"/>
      <c r="Q208" s="250"/>
      <c r="R208" s="250"/>
      <c r="S208" s="250"/>
      <c r="T208" s="250"/>
      <c r="U208" s="250"/>
      <c r="V208" s="250"/>
      <c r="W208" s="250"/>
      <c r="X208" s="250"/>
      <c r="Y208" s="250"/>
      <c r="Z208" s="250"/>
    </row>
    <row r="209" spans="16:26" ht="10.199999999999999" customHeight="1">
      <c r="P209" s="250"/>
      <c r="Q209" s="250"/>
      <c r="R209" s="250"/>
      <c r="S209" s="250"/>
      <c r="T209" s="250"/>
      <c r="U209" s="250"/>
      <c r="V209" s="250"/>
      <c r="W209" s="250"/>
      <c r="X209" s="250"/>
      <c r="Y209" s="250"/>
      <c r="Z209" s="250"/>
    </row>
    <row r="210" spans="16:26" ht="10.199999999999999" customHeight="1">
      <c r="P210" s="241"/>
      <c r="Q210" s="241"/>
      <c r="R210" s="241"/>
      <c r="S210" s="241"/>
      <c r="T210" s="241"/>
      <c r="U210" s="241"/>
      <c r="V210" s="241"/>
      <c r="W210" s="241"/>
      <c r="X210" s="241"/>
      <c r="Y210" s="241"/>
      <c r="Z210" s="241"/>
    </row>
    <row r="211" spans="16:26" ht="10.199999999999999" customHeight="1">
      <c r="P211" s="250"/>
      <c r="Q211" s="250"/>
      <c r="R211" s="250"/>
      <c r="S211" s="250"/>
      <c r="T211" s="250"/>
      <c r="U211" s="250"/>
      <c r="V211" s="250"/>
      <c r="W211" s="250"/>
      <c r="X211" s="250"/>
      <c r="Y211" s="250"/>
      <c r="Z211" s="250"/>
    </row>
    <row r="212" spans="16:26" ht="10.199999999999999" customHeight="1">
      <c r="P212" s="250"/>
      <c r="Q212" s="250"/>
      <c r="R212" s="250"/>
      <c r="S212" s="250"/>
      <c r="T212" s="250"/>
      <c r="U212" s="250"/>
      <c r="V212" s="250"/>
      <c r="W212" s="250"/>
      <c r="X212" s="250"/>
      <c r="Y212" s="250"/>
      <c r="Z212" s="250"/>
    </row>
    <row r="213" spans="16:26" ht="10.199999999999999" customHeight="1">
      <c r="P213" s="241"/>
      <c r="Q213" s="241"/>
      <c r="R213" s="241"/>
      <c r="S213" s="241"/>
      <c r="T213" s="241"/>
      <c r="U213" s="241"/>
      <c r="V213" s="241"/>
      <c r="W213" s="241"/>
      <c r="X213" s="241"/>
      <c r="Y213" s="241"/>
      <c r="Z213" s="241"/>
    </row>
    <row r="214" spans="16:26" ht="10.199999999999999" customHeight="1">
      <c r="P214" s="250"/>
      <c r="Q214" s="250"/>
      <c r="R214" s="250"/>
      <c r="S214" s="250"/>
      <c r="T214" s="250"/>
      <c r="U214" s="250"/>
      <c r="V214" s="250"/>
      <c r="W214" s="250"/>
      <c r="X214" s="250"/>
      <c r="Y214" s="250"/>
      <c r="Z214" s="250"/>
    </row>
    <row r="215" spans="16:26" ht="10.199999999999999" customHeight="1">
      <c r="P215" s="250"/>
      <c r="Q215" s="250"/>
      <c r="R215" s="250"/>
      <c r="S215" s="250"/>
      <c r="T215" s="250"/>
      <c r="U215" s="250"/>
      <c r="V215" s="250"/>
      <c r="W215" s="250"/>
      <c r="X215" s="250"/>
      <c r="Y215" s="250"/>
      <c r="Z215" s="250"/>
    </row>
    <row r="216" spans="16:26" ht="10.199999999999999" customHeight="1">
      <c r="P216" s="241"/>
      <c r="Q216" s="241"/>
      <c r="R216" s="241"/>
      <c r="S216" s="241"/>
      <c r="T216" s="241"/>
      <c r="U216" s="241"/>
      <c r="V216" s="241"/>
      <c r="W216" s="241"/>
      <c r="X216" s="241"/>
      <c r="Y216" s="241"/>
      <c r="Z216" s="241"/>
    </row>
    <row r="217" spans="16:26" ht="10.199999999999999" customHeight="1">
      <c r="P217" s="250"/>
      <c r="Q217" s="250"/>
      <c r="R217" s="250"/>
      <c r="S217" s="250"/>
      <c r="T217" s="250"/>
      <c r="U217" s="250"/>
      <c r="V217" s="250"/>
      <c r="W217" s="250"/>
      <c r="X217" s="250"/>
      <c r="Y217" s="250"/>
      <c r="Z217" s="250"/>
    </row>
    <row r="218" spans="16:26" ht="10.199999999999999" customHeight="1">
      <c r="P218" s="250"/>
      <c r="Q218" s="250"/>
      <c r="R218" s="250"/>
      <c r="S218" s="250"/>
      <c r="T218" s="250"/>
      <c r="U218" s="250"/>
      <c r="V218" s="250"/>
      <c r="W218" s="250"/>
      <c r="X218" s="250"/>
      <c r="Y218" s="250"/>
      <c r="Z218" s="250"/>
    </row>
    <row r="219" spans="16:26" ht="10.199999999999999" customHeight="1">
      <c r="P219" s="241"/>
      <c r="Q219" s="241"/>
      <c r="R219" s="241"/>
      <c r="S219" s="241"/>
      <c r="T219" s="241"/>
      <c r="U219" s="241"/>
      <c r="V219" s="241"/>
      <c r="W219" s="241"/>
      <c r="X219" s="241"/>
      <c r="Y219" s="241"/>
      <c r="Z219" s="241"/>
    </row>
    <row r="220" spans="16:26" ht="10.199999999999999" customHeight="1">
      <c r="P220" s="250"/>
      <c r="Q220" s="250"/>
      <c r="R220" s="250"/>
      <c r="S220" s="250"/>
      <c r="T220" s="250"/>
      <c r="U220" s="250"/>
      <c r="V220" s="250"/>
      <c r="W220" s="250"/>
      <c r="X220" s="250"/>
      <c r="Y220" s="250"/>
      <c r="Z220" s="250"/>
    </row>
    <row r="221" spans="16:26" ht="10.199999999999999" customHeight="1">
      <c r="P221" s="250"/>
      <c r="Q221" s="250"/>
      <c r="R221" s="250"/>
      <c r="S221" s="250"/>
      <c r="T221" s="250"/>
      <c r="U221" s="250"/>
      <c r="V221" s="250"/>
      <c r="W221" s="250"/>
      <c r="X221" s="250"/>
      <c r="Y221" s="250"/>
      <c r="Z221" s="250"/>
    </row>
    <row r="222" spans="16:26" ht="10.199999999999999" customHeight="1">
      <c r="P222" s="241"/>
      <c r="Q222" s="241"/>
      <c r="R222" s="241"/>
      <c r="S222" s="241"/>
      <c r="T222" s="241"/>
      <c r="U222" s="241"/>
      <c r="V222" s="241"/>
      <c r="W222" s="241"/>
      <c r="X222" s="241"/>
      <c r="Y222" s="241"/>
      <c r="Z222" s="241"/>
    </row>
    <row r="223" spans="16:26" ht="10.199999999999999" customHeight="1">
      <c r="P223" s="250"/>
      <c r="Q223" s="250"/>
      <c r="R223" s="250"/>
      <c r="S223" s="250"/>
      <c r="T223" s="250"/>
      <c r="U223" s="250"/>
      <c r="V223" s="250"/>
      <c r="W223" s="250"/>
      <c r="X223" s="250"/>
      <c r="Y223" s="250"/>
      <c r="Z223" s="250"/>
    </row>
    <row r="224" spans="16:26" ht="10.199999999999999" customHeight="1">
      <c r="P224" s="250"/>
      <c r="Q224" s="250"/>
      <c r="R224" s="250"/>
      <c r="S224" s="250"/>
      <c r="T224" s="250"/>
      <c r="U224" s="250"/>
      <c r="V224" s="250"/>
      <c r="W224" s="250"/>
      <c r="X224" s="250"/>
      <c r="Y224" s="250"/>
      <c r="Z224" s="250"/>
    </row>
    <row r="225" spans="16:26" ht="10.199999999999999" customHeight="1">
      <c r="P225" s="241"/>
      <c r="Q225" s="241"/>
      <c r="R225" s="241"/>
      <c r="S225" s="241"/>
      <c r="T225" s="241"/>
      <c r="U225" s="241"/>
      <c r="V225" s="241"/>
      <c r="W225" s="241"/>
      <c r="X225" s="241"/>
      <c r="Y225" s="241"/>
      <c r="Z225" s="241"/>
    </row>
    <row r="226" spans="16:26" ht="10.199999999999999" customHeight="1">
      <c r="P226" s="250"/>
      <c r="Q226" s="250"/>
      <c r="R226" s="250"/>
      <c r="S226" s="250"/>
      <c r="T226" s="250"/>
      <c r="U226" s="250"/>
      <c r="V226" s="250"/>
      <c r="W226" s="250"/>
      <c r="X226" s="250"/>
      <c r="Y226" s="250"/>
      <c r="Z226" s="250"/>
    </row>
    <row r="227" spans="16:26" ht="10.199999999999999" customHeight="1">
      <c r="P227" s="250"/>
      <c r="Q227" s="250"/>
      <c r="R227" s="250"/>
      <c r="S227" s="250"/>
      <c r="T227" s="250"/>
      <c r="U227" s="250"/>
      <c r="V227" s="250"/>
      <c r="W227" s="250"/>
      <c r="X227" s="250"/>
      <c r="Y227" s="250"/>
      <c r="Z227" s="250"/>
    </row>
    <row r="228" spans="16:26" ht="10.199999999999999" customHeight="1">
      <c r="P228" s="241"/>
      <c r="Q228" s="241"/>
      <c r="R228" s="241"/>
      <c r="S228" s="241"/>
      <c r="T228" s="241"/>
      <c r="U228" s="241"/>
      <c r="V228" s="241"/>
      <c r="W228" s="241"/>
      <c r="X228" s="241"/>
      <c r="Y228" s="241"/>
      <c r="Z228" s="241"/>
    </row>
    <row r="229" spans="16:26" ht="10.199999999999999" customHeight="1">
      <c r="P229" s="250"/>
      <c r="Q229" s="250"/>
      <c r="R229" s="250"/>
      <c r="S229" s="250"/>
      <c r="T229" s="250"/>
      <c r="U229" s="250"/>
      <c r="V229" s="250"/>
      <c r="W229" s="250"/>
      <c r="X229" s="250"/>
      <c r="Y229" s="250"/>
      <c r="Z229" s="250"/>
    </row>
    <row r="230" spans="16:26" ht="10.199999999999999" customHeight="1">
      <c r="P230" s="250"/>
      <c r="Q230" s="250"/>
      <c r="R230" s="250"/>
      <c r="S230" s="250"/>
      <c r="T230" s="250"/>
      <c r="U230" s="250"/>
      <c r="V230" s="250"/>
      <c r="W230" s="250"/>
      <c r="X230" s="250"/>
      <c r="Y230" s="250"/>
      <c r="Z230" s="250"/>
    </row>
    <row r="231" spans="16:26" ht="10.199999999999999" customHeight="1">
      <c r="P231" s="241"/>
      <c r="Q231" s="241"/>
      <c r="R231" s="241"/>
      <c r="S231" s="241"/>
      <c r="T231" s="241"/>
      <c r="U231" s="241"/>
      <c r="V231" s="241"/>
      <c r="W231" s="241"/>
      <c r="X231" s="241"/>
      <c r="Y231" s="241"/>
      <c r="Z231" s="241"/>
    </row>
    <row r="232" spans="16:26" ht="10.199999999999999" customHeight="1">
      <c r="P232" s="250"/>
      <c r="Q232" s="250"/>
      <c r="R232" s="250"/>
      <c r="S232" s="250"/>
      <c r="T232" s="250"/>
      <c r="U232" s="250"/>
      <c r="V232" s="250"/>
      <c r="W232" s="250"/>
      <c r="X232" s="250"/>
      <c r="Y232" s="250"/>
      <c r="Z232" s="250"/>
    </row>
    <row r="233" spans="16:26" ht="10.199999999999999" customHeight="1">
      <c r="P233" s="250"/>
      <c r="Q233" s="250"/>
      <c r="R233" s="250"/>
      <c r="S233" s="250"/>
      <c r="T233" s="250"/>
      <c r="U233" s="250"/>
      <c r="V233" s="250"/>
      <c r="W233" s="250"/>
      <c r="X233" s="250"/>
      <c r="Y233" s="250"/>
      <c r="Z233" s="250"/>
    </row>
    <row r="234" spans="16:26" ht="10.199999999999999" customHeight="1">
      <c r="P234" s="241"/>
      <c r="Q234" s="241"/>
      <c r="R234" s="241"/>
      <c r="S234" s="241"/>
      <c r="T234" s="241"/>
      <c r="U234" s="241"/>
      <c r="V234" s="241"/>
      <c r="W234" s="241"/>
      <c r="X234" s="241"/>
      <c r="Y234" s="241"/>
      <c r="Z234" s="241"/>
    </row>
    <row r="235" spans="16:26" ht="10.199999999999999" customHeight="1">
      <c r="P235" s="250"/>
      <c r="Q235" s="250"/>
      <c r="R235" s="250"/>
      <c r="S235" s="250"/>
      <c r="T235" s="250"/>
      <c r="U235" s="250"/>
      <c r="V235" s="250"/>
      <c r="W235" s="250"/>
      <c r="X235" s="250"/>
      <c r="Y235" s="250"/>
      <c r="Z235" s="250"/>
    </row>
    <row r="236" spans="16:26" ht="10.199999999999999" customHeight="1">
      <c r="P236" s="250"/>
      <c r="Q236" s="250"/>
      <c r="R236" s="250"/>
      <c r="S236" s="250"/>
      <c r="T236" s="250"/>
      <c r="U236" s="250"/>
      <c r="V236" s="250"/>
      <c r="W236" s="250"/>
      <c r="X236" s="250"/>
      <c r="Y236" s="250"/>
      <c r="Z236" s="250"/>
    </row>
    <row r="237" spans="16:26" ht="10.199999999999999" customHeight="1">
      <c r="P237" s="241"/>
      <c r="Q237" s="241"/>
      <c r="R237" s="241"/>
      <c r="S237" s="241"/>
      <c r="T237" s="241"/>
      <c r="U237" s="241"/>
      <c r="V237" s="241"/>
      <c r="W237" s="241"/>
      <c r="X237" s="241"/>
      <c r="Y237" s="241"/>
      <c r="Z237" s="241"/>
    </row>
    <row r="238" spans="16:26" ht="10.199999999999999" customHeight="1">
      <c r="P238" s="250"/>
      <c r="Q238" s="250"/>
      <c r="R238" s="250"/>
      <c r="S238" s="250"/>
      <c r="T238" s="250"/>
      <c r="U238" s="250"/>
      <c r="V238" s="250"/>
      <c r="W238" s="250"/>
      <c r="X238" s="250"/>
      <c r="Y238" s="250"/>
      <c r="Z238" s="250"/>
    </row>
    <row r="239" spans="16:26" ht="10.199999999999999" customHeight="1">
      <c r="P239" s="250"/>
      <c r="Q239" s="250"/>
      <c r="R239" s="250"/>
      <c r="S239" s="250"/>
      <c r="T239" s="250"/>
      <c r="U239" s="250"/>
      <c r="V239" s="250"/>
      <c r="W239" s="250"/>
      <c r="X239" s="250"/>
      <c r="Y239" s="250"/>
      <c r="Z239" s="250"/>
    </row>
    <row r="240" spans="16:26" ht="10.199999999999999" customHeight="1">
      <c r="P240" s="241"/>
      <c r="Q240" s="241"/>
      <c r="R240" s="241"/>
      <c r="S240" s="241"/>
      <c r="T240" s="241"/>
      <c r="U240" s="241"/>
      <c r="V240" s="241"/>
      <c r="W240" s="241"/>
      <c r="X240" s="241"/>
      <c r="Y240" s="241"/>
      <c r="Z240" s="241"/>
    </row>
    <row r="241" spans="16:26" ht="10.199999999999999" customHeight="1">
      <c r="P241" s="250"/>
      <c r="Q241" s="250"/>
      <c r="R241" s="250"/>
      <c r="S241" s="250"/>
      <c r="T241" s="250"/>
      <c r="U241" s="250"/>
      <c r="V241" s="250"/>
      <c r="W241" s="250"/>
      <c r="X241" s="250"/>
      <c r="Y241" s="250"/>
      <c r="Z241" s="250"/>
    </row>
    <row r="242" spans="16:26" ht="10.199999999999999" customHeight="1">
      <c r="P242" s="250"/>
      <c r="Q242" s="250"/>
      <c r="R242" s="250"/>
      <c r="S242" s="250"/>
      <c r="T242" s="250"/>
      <c r="U242" s="250"/>
      <c r="V242" s="250"/>
      <c r="W242" s="250"/>
      <c r="X242" s="250"/>
      <c r="Y242" s="250"/>
      <c r="Z242" s="250"/>
    </row>
    <row r="243" spans="16:26" ht="10.199999999999999" customHeight="1">
      <c r="P243" s="241"/>
      <c r="Q243" s="241"/>
      <c r="R243" s="241"/>
      <c r="S243" s="241"/>
      <c r="T243" s="241"/>
      <c r="U243" s="241"/>
      <c r="V243" s="241"/>
      <c r="W243" s="241"/>
      <c r="X243" s="241"/>
      <c r="Y243" s="241"/>
      <c r="Z243" s="241"/>
    </row>
    <row r="244" spans="16:26" ht="10.199999999999999" customHeight="1">
      <c r="P244" s="250"/>
      <c r="Q244" s="250"/>
      <c r="R244" s="250"/>
      <c r="S244" s="250"/>
      <c r="T244" s="250"/>
      <c r="U244" s="250"/>
      <c r="V244" s="250"/>
      <c r="W244" s="250"/>
      <c r="X244" s="250"/>
      <c r="Y244" s="250"/>
      <c r="Z244" s="250"/>
    </row>
    <row r="245" spans="16:26" ht="10.199999999999999" customHeight="1">
      <c r="P245" s="250"/>
      <c r="Q245" s="250"/>
      <c r="R245" s="250"/>
      <c r="S245" s="250"/>
      <c r="T245" s="250"/>
      <c r="U245" s="250"/>
      <c r="V245" s="250"/>
      <c r="W245" s="250"/>
      <c r="X245" s="250"/>
      <c r="Y245" s="250"/>
      <c r="Z245" s="250"/>
    </row>
    <row r="246" spans="16:26" ht="10.199999999999999" customHeight="1">
      <c r="P246" s="241"/>
      <c r="Q246" s="241"/>
      <c r="R246" s="241"/>
      <c r="S246" s="241"/>
      <c r="T246" s="241"/>
      <c r="U246" s="241"/>
      <c r="V246" s="241"/>
      <c r="W246" s="241"/>
      <c r="X246" s="241"/>
      <c r="Y246" s="241"/>
      <c r="Z246" s="241"/>
    </row>
    <row r="247" spans="16:26" ht="10.199999999999999" customHeight="1">
      <c r="P247" s="250"/>
      <c r="Q247" s="250"/>
      <c r="R247" s="250"/>
      <c r="S247" s="250"/>
      <c r="T247" s="250"/>
      <c r="U247" s="250"/>
      <c r="V247" s="250"/>
      <c r="W247" s="250"/>
      <c r="X247" s="250"/>
      <c r="Y247" s="250"/>
      <c r="Z247" s="250"/>
    </row>
    <row r="248" spans="16:26" ht="10.199999999999999" customHeight="1">
      <c r="P248" s="250"/>
      <c r="Q248" s="250"/>
      <c r="R248" s="250"/>
      <c r="S248" s="250"/>
      <c r="T248" s="250"/>
      <c r="U248" s="250"/>
      <c r="V248" s="250"/>
      <c r="W248" s="250"/>
      <c r="X248" s="250"/>
      <c r="Y248" s="250"/>
      <c r="Z248" s="250"/>
    </row>
    <row r="249" spans="16:26" ht="10.199999999999999" customHeight="1">
      <c r="P249" s="241"/>
      <c r="Q249" s="241"/>
      <c r="R249" s="241"/>
      <c r="S249" s="241"/>
      <c r="T249" s="241"/>
      <c r="U249" s="241"/>
      <c r="V249" s="241"/>
      <c r="W249" s="241"/>
      <c r="X249" s="241"/>
      <c r="Y249" s="241"/>
      <c r="Z249" s="241"/>
    </row>
    <row r="250" spans="16:26" ht="10.199999999999999" customHeight="1">
      <c r="P250" s="250"/>
      <c r="Q250" s="250"/>
      <c r="R250" s="250"/>
      <c r="S250" s="250"/>
      <c r="T250" s="250"/>
      <c r="U250" s="250"/>
      <c r="V250" s="250"/>
      <c r="W250" s="250"/>
      <c r="X250" s="250"/>
      <c r="Y250" s="250"/>
      <c r="Z250" s="250"/>
    </row>
    <row r="251" spans="16:26" ht="10.199999999999999" customHeight="1">
      <c r="P251" s="250"/>
      <c r="Q251" s="250"/>
      <c r="R251" s="250"/>
      <c r="S251" s="250"/>
      <c r="T251" s="250"/>
      <c r="U251" s="250"/>
      <c r="V251" s="250"/>
      <c r="W251" s="250"/>
      <c r="X251" s="250"/>
      <c r="Y251" s="250"/>
      <c r="Z251" s="250"/>
    </row>
    <row r="252" spans="16:26" ht="10.199999999999999" customHeight="1">
      <c r="P252" s="241"/>
      <c r="Q252" s="241"/>
      <c r="R252" s="241"/>
      <c r="S252" s="241"/>
      <c r="T252" s="241"/>
      <c r="U252" s="241"/>
      <c r="V252" s="241"/>
      <c r="W252" s="241"/>
      <c r="X252" s="241"/>
      <c r="Y252" s="241"/>
      <c r="Z252" s="241"/>
    </row>
    <row r="253" spans="16:26" ht="10.199999999999999" customHeight="1">
      <c r="P253" s="250"/>
      <c r="Q253" s="250"/>
      <c r="R253" s="250"/>
      <c r="S253" s="250"/>
      <c r="T253" s="250"/>
      <c r="U253" s="250"/>
      <c r="V253" s="250"/>
      <c r="W253" s="250"/>
      <c r="X253" s="250"/>
      <c r="Y253" s="250"/>
      <c r="Z253" s="250"/>
    </row>
    <row r="254" spans="16:26" ht="10.199999999999999" customHeight="1">
      <c r="P254" s="250"/>
      <c r="Q254" s="250"/>
      <c r="R254" s="250"/>
      <c r="S254" s="250"/>
      <c r="T254" s="250"/>
      <c r="U254" s="250"/>
      <c r="V254" s="250"/>
      <c r="W254" s="250"/>
      <c r="X254" s="250"/>
      <c r="Y254" s="250"/>
      <c r="Z254" s="250"/>
    </row>
    <row r="255" spans="16:26" ht="10.199999999999999" customHeight="1">
      <c r="P255" s="241"/>
      <c r="Q255" s="241"/>
      <c r="R255" s="241"/>
      <c r="S255" s="241"/>
      <c r="T255" s="241"/>
      <c r="U255" s="241"/>
      <c r="V255" s="241"/>
      <c r="W255" s="241"/>
      <c r="X255" s="241"/>
      <c r="Y255" s="241"/>
      <c r="Z255" s="241"/>
    </row>
    <row r="256" spans="16:26" ht="10.199999999999999" customHeight="1">
      <c r="P256" s="250"/>
      <c r="Q256" s="250"/>
      <c r="R256" s="250"/>
      <c r="S256" s="250"/>
      <c r="T256" s="250"/>
      <c r="U256" s="250"/>
      <c r="V256" s="250"/>
      <c r="W256" s="250"/>
      <c r="X256" s="250"/>
      <c r="Y256" s="250"/>
      <c r="Z256" s="250"/>
    </row>
    <row r="257" spans="16:26" ht="10.199999999999999" customHeight="1">
      <c r="P257" s="250"/>
      <c r="Q257" s="250"/>
      <c r="R257" s="250"/>
      <c r="S257" s="250"/>
      <c r="T257" s="250"/>
      <c r="U257" s="250"/>
      <c r="V257" s="250"/>
      <c r="W257" s="250"/>
      <c r="X257" s="250"/>
      <c r="Y257" s="250"/>
      <c r="Z257" s="250"/>
    </row>
    <row r="258" spans="16:26" ht="10.199999999999999" customHeight="1">
      <c r="P258" s="241"/>
      <c r="Q258" s="241"/>
      <c r="R258" s="241"/>
      <c r="S258" s="241"/>
      <c r="T258" s="241"/>
      <c r="U258" s="241"/>
      <c r="V258" s="241"/>
      <c r="W258" s="241"/>
      <c r="X258" s="241"/>
      <c r="Y258" s="241"/>
      <c r="Z258" s="241"/>
    </row>
    <row r="259" spans="16:26" ht="10.199999999999999" customHeight="1">
      <c r="P259" s="250"/>
      <c r="Q259" s="250"/>
      <c r="R259" s="250"/>
      <c r="S259" s="250"/>
      <c r="T259" s="250"/>
      <c r="U259" s="250"/>
      <c r="V259" s="250"/>
      <c r="W259" s="250"/>
      <c r="X259" s="250"/>
      <c r="Y259" s="250"/>
      <c r="Z259" s="250"/>
    </row>
    <row r="260" spans="16:26" ht="10.199999999999999" customHeight="1">
      <c r="P260" s="250"/>
      <c r="Q260" s="250"/>
      <c r="R260" s="250"/>
      <c r="S260" s="250"/>
      <c r="T260" s="250"/>
      <c r="U260" s="250"/>
      <c r="V260" s="250"/>
      <c r="W260" s="250"/>
      <c r="X260" s="250"/>
      <c r="Y260" s="250"/>
      <c r="Z260" s="250"/>
    </row>
    <row r="261" spans="16:26" ht="10.199999999999999" customHeight="1">
      <c r="P261" s="241"/>
      <c r="Q261" s="241"/>
      <c r="R261" s="241"/>
      <c r="S261" s="241"/>
      <c r="T261" s="241"/>
      <c r="U261" s="241"/>
      <c r="V261" s="241"/>
      <c r="W261" s="241"/>
      <c r="X261" s="241"/>
      <c r="Y261" s="241"/>
      <c r="Z261" s="241"/>
    </row>
    <row r="262" spans="16:26" ht="10.199999999999999" customHeight="1">
      <c r="P262" s="250"/>
      <c r="Q262" s="250"/>
      <c r="R262" s="250"/>
      <c r="S262" s="250"/>
      <c r="T262" s="250"/>
      <c r="U262" s="250"/>
      <c r="V262" s="250"/>
      <c r="W262" s="250"/>
      <c r="X262" s="250"/>
      <c r="Y262" s="250"/>
      <c r="Z262" s="250"/>
    </row>
    <row r="263" spans="16:26" ht="10.199999999999999" customHeight="1">
      <c r="P263" s="250"/>
      <c r="Q263" s="250"/>
      <c r="R263" s="250"/>
      <c r="S263" s="250"/>
      <c r="T263" s="250"/>
      <c r="U263" s="250"/>
      <c r="V263" s="250"/>
      <c r="W263" s="250"/>
      <c r="X263" s="250"/>
      <c r="Y263" s="250"/>
      <c r="Z263" s="250"/>
    </row>
    <row r="264" spans="16:26" ht="10.199999999999999" customHeight="1">
      <c r="P264" s="241"/>
      <c r="Q264" s="241"/>
      <c r="R264" s="241"/>
      <c r="S264" s="241"/>
      <c r="T264" s="241"/>
      <c r="U264" s="241"/>
      <c r="V264" s="241"/>
      <c r="W264" s="241"/>
      <c r="X264" s="241"/>
      <c r="Y264" s="241"/>
      <c r="Z264" s="241"/>
    </row>
    <row r="265" spans="16:26" ht="10.199999999999999" customHeight="1">
      <c r="P265" s="250"/>
      <c r="Q265" s="250"/>
      <c r="R265" s="250"/>
      <c r="S265" s="250"/>
      <c r="T265" s="250"/>
      <c r="U265" s="250"/>
      <c r="V265" s="250"/>
      <c r="W265" s="250"/>
      <c r="X265" s="250"/>
      <c r="Y265" s="250"/>
      <c r="Z265" s="250"/>
    </row>
    <row r="266" spans="16:26" ht="10.199999999999999" customHeight="1">
      <c r="P266" s="250"/>
      <c r="Q266" s="250"/>
      <c r="R266" s="250"/>
      <c r="S266" s="250"/>
      <c r="T266" s="250"/>
      <c r="U266" s="250"/>
      <c r="V266" s="250"/>
      <c r="W266" s="250"/>
      <c r="X266" s="250"/>
      <c r="Y266" s="250"/>
      <c r="Z266" s="250"/>
    </row>
    <row r="267" spans="16:26" ht="10.199999999999999" customHeight="1">
      <c r="P267" s="241"/>
      <c r="Q267" s="241"/>
      <c r="R267" s="241"/>
      <c r="S267" s="241"/>
      <c r="T267" s="241"/>
      <c r="U267" s="241"/>
      <c r="V267" s="241"/>
      <c r="W267" s="241"/>
      <c r="X267" s="241"/>
      <c r="Y267" s="241"/>
      <c r="Z267" s="241"/>
    </row>
    <row r="268" spans="16:26" ht="10.199999999999999" customHeight="1">
      <c r="P268" s="250"/>
      <c r="Q268" s="250"/>
      <c r="R268" s="250"/>
      <c r="S268" s="250"/>
      <c r="T268" s="250"/>
      <c r="U268" s="250"/>
      <c r="V268" s="250"/>
      <c r="W268" s="250"/>
      <c r="X268" s="250"/>
      <c r="Y268" s="250"/>
      <c r="Z268" s="250"/>
    </row>
    <row r="269" spans="16:26" ht="10.199999999999999" customHeight="1">
      <c r="P269" s="250"/>
      <c r="Q269" s="250"/>
      <c r="R269" s="250"/>
      <c r="S269" s="250"/>
      <c r="T269" s="250"/>
      <c r="U269" s="250"/>
      <c r="V269" s="250"/>
      <c r="W269" s="250"/>
      <c r="X269" s="250"/>
      <c r="Y269" s="250"/>
      <c r="Z269" s="250"/>
    </row>
    <row r="270" spans="16:26" ht="10.199999999999999" customHeight="1">
      <c r="P270" s="241"/>
      <c r="Q270" s="241"/>
      <c r="R270" s="241"/>
      <c r="S270" s="241"/>
      <c r="T270" s="241"/>
      <c r="U270" s="241"/>
      <c r="V270" s="241"/>
      <c r="W270" s="241"/>
      <c r="X270" s="241"/>
      <c r="Y270" s="241"/>
      <c r="Z270" s="241"/>
    </row>
    <row r="271" spans="16:26" ht="10.199999999999999" customHeight="1">
      <c r="P271" s="250"/>
      <c r="Q271" s="250"/>
      <c r="R271" s="250"/>
      <c r="S271" s="250"/>
      <c r="T271" s="250"/>
      <c r="U271" s="250"/>
      <c r="V271" s="250"/>
      <c r="W271" s="250"/>
      <c r="X271" s="250"/>
      <c r="Y271" s="250"/>
      <c r="Z271" s="250"/>
    </row>
    <row r="272" spans="16:26" ht="10.199999999999999" customHeight="1">
      <c r="P272" s="250"/>
      <c r="Q272" s="250"/>
      <c r="R272" s="250"/>
      <c r="S272" s="250"/>
      <c r="T272" s="250"/>
      <c r="U272" s="250"/>
      <c r="V272" s="250"/>
      <c r="W272" s="250"/>
      <c r="X272" s="250"/>
      <c r="Y272" s="250"/>
      <c r="Z272" s="250"/>
    </row>
    <row r="273" spans="16:26" ht="10.199999999999999" customHeight="1">
      <c r="P273" s="241"/>
      <c r="Q273" s="241"/>
      <c r="R273" s="241"/>
      <c r="S273" s="241"/>
      <c r="T273" s="241"/>
      <c r="U273" s="241"/>
      <c r="V273" s="241"/>
      <c r="W273" s="241"/>
      <c r="X273" s="241"/>
      <c r="Y273" s="241"/>
      <c r="Z273" s="241"/>
    </row>
    <row r="274" spans="16:26" ht="10.199999999999999" customHeight="1">
      <c r="P274" s="250"/>
      <c r="Q274" s="250"/>
      <c r="R274" s="250"/>
      <c r="S274" s="250"/>
      <c r="T274" s="250"/>
      <c r="U274" s="250"/>
      <c r="V274" s="250"/>
      <c r="W274" s="250"/>
      <c r="X274" s="250"/>
      <c r="Y274" s="250"/>
      <c r="Z274" s="250"/>
    </row>
    <row r="275" spans="16:26" ht="10.199999999999999" customHeight="1">
      <c r="P275" s="250"/>
      <c r="Q275" s="250"/>
      <c r="R275" s="250"/>
      <c r="S275" s="250"/>
      <c r="T275" s="250"/>
      <c r="U275" s="250"/>
      <c r="V275" s="250"/>
      <c r="W275" s="250"/>
      <c r="X275" s="250"/>
      <c r="Y275" s="250"/>
      <c r="Z275" s="250"/>
    </row>
    <row r="276" spans="16:26" ht="10.199999999999999" customHeight="1">
      <c r="P276" s="241"/>
      <c r="Q276" s="241"/>
      <c r="R276" s="241"/>
      <c r="S276" s="241"/>
      <c r="T276" s="241"/>
      <c r="U276" s="241"/>
      <c r="V276" s="241"/>
      <c r="W276" s="241"/>
      <c r="X276" s="241"/>
      <c r="Y276" s="241"/>
      <c r="Z276" s="241"/>
    </row>
    <row r="277" spans="16:26" ht="10.199999999999999" customHeight="1">
      <c r="P277" s="250"/>
      <c r="Q277" s="250"/>
      <c r="R277" s="250"/>
      <c r="S277" s="250"/>
      <c r="T277" s="250"/>
      <c r="U277" s="250"/>
      <c r="V277" s="250"/>
      <c r="W277" s="250"/>
      <c r="X277" s="250"/>
      <c r="Y277" s="250"/>
      <c r="Z277" s="250"/>
    </row>
    <row r="278" spans="16:26" ht="10.199999999999999" customHeight="1">
      <c r="P278" s="250"/>
      <c r="Q278" s="250"/>
      <c r="R278" s="250"/>
      <c r="S278" s="250"/>
      <c r="T278" s="250"/>
      <c r="U278" s="250"/>
      <c r="V278" s="250"/>
      <c r="W278" s="250"/>
      <c r="X278" s="250"/>
      <c r="Y278" s="250"/>
      <c r="Z278" s="250"/>
    </row>
    <row r="279" spans="16:26" ht="10.199999999999999" customHeight="1">
      <c r="P279" s="241"/>
      <c r="Q279" s="241"/>
      <c r="R279" s="241"/>
      <c r="S279" s="241"/>
      <c r="T279" s="241"/>
      <c r="U279" s="241"/>
      <c r="V279" s="241"/>
      <c r="W279" s="241"/>
      <c r="X279" s="241"/>
      <c r="Y279" s="241"/>
      <c r="Z279" s="241"/>
    </row>
    <row r="280" spans="16:26" ht="10.199999999999999" customHeight="1">
      <c r="P280" s="250"/>
      <c r="Q280" s="250"/>
      <c r="R280" s="250"/>
      <c r="S280" s="250"/>
      <c r="T280" s="250"/>
      <c r="U280" s="250"/>
      <c r="V280" s="250"/>
      <c r="W280" s="250"/>
      <c r="X280" s="250"/>
      <c r="Y280" s="250"/>
      <c r="Z280" s="250"/>
    </row>
    <row r="281" spans="16:26" ht="10.199999999999999" customHeight="1">
      <c r="P281" s="250"/>
      <c r="Q281" s="250"/>
      <c r="R281" s="250"/>
      <c r="S281" s="250"/>
      <c r="T281" s="250"/>
      <c r="U281" s="250"/>
      <c r="V281" s="250"/>
      <c r="W281" s="250"/>
      <c r="X281" s="250"/>
      <c r="Y281" s="250"/>
      <c r="Z281" s="250"/>
    </row>
    <row r="282" spans="16:26" ht="10.199999999999999" customHeight="1">
      <c r="P282" s="241"/>
      <c r="Q282" s="241"/>
      <c r="R282" s="241"/>
      <c r="S282" s="241"/>
      <c r="T282" s="241"/>
      <c r="U282" s="241"/>
      <c r="V282" s="241"/>
      <c r="W282" s="241"/>
      <c r="X282" s="241"/>
      <c r="Y282" s="241"/>
      <c r="Z282" s="241"/>
    </row>
    <row r="283" spans="16:26" ht="10.199999999999999" customHeight="1">
      <c r="P283" s="250"/>
      <c r="Q283" s="250"/>
      <c r="R283" s="250"/>
      <c r="S283" s="250"/>
      <c r="T283" s="250"/>
      <c r="U283" s="250"/>
      <c r="V283" s="250"/>
      <c r="W283" s="250"/>
      <c r="X283" s="250"/>
      <c r="Y283" s="250"/>
      <c r="Z283" s="250"/>
    </row>
    <row r="284" spans="16:26" ht="10.199999999999999" customHeight="1">
      <c r="P284" s="250"/>
      <c r="Q284" s="250"/>
      <c r="R284" s="250"/>
      <c r="S284" s="250"/>
      <c r="T284" s="250"/>
      <c r="U284" s="250"/>
      <c r="V284" s="250"/>
      <c r="W284" s="250"/>
      <c r="X284" s="250"/>
      <c r="Y284" s="250"/>
      <c r="Z284" s="250"/>
    </row>
    <row r="285" spans="16:26" ht="10.199999999999999" customHeight="1">
      <c r="P285" s="241"/>
      <c r="Q285" s="241"/>
      <c r="R285" s="241"/>
      <c r="S285" s="241"/>
      <c r="T285" s="241"/>
      <c r="U285" s="241"/>
      <c r="V285" s="241"/>
      <c r="W285" s="241"/>
      <c r="X285" s="241"/>
      <c r="Y285" s="241"/>
      <c r="Z285" s="241"/>
    </row>
    <row r="286" spans="16:26" ht="10.199999999999999" customHeight="1">
      <c r="P286" s="250"/>
      <c r="Q286" s="250"/>
      <c r="R286" s="250"/>
      <c r="S286" s="250"/>
      <c r="T286" s="250"/>
      <c r="U286" s="250"/>
      <c r="V286" s="250"/>
      <c r="W286" s="250"/>
      <c r="X286" s="250"/>
      <c r="Y286" s="250"/>
      <c r="Z286" s="250"/>
    </row>
    <row r="287" spans="16:26" ht="10.199999999999999" customHeight="1">
      <c r="P287" s="250"/>
      <c r="Q287" s="250"/>
      <c r="R287" s="250"/>
      <c r="S287" s="250"/>
      <c r="T287" s="250"/>
      <c r="U287" s="250"/>
      <c r="V287" s="250"/>
      <c r="W287" s="250"/>
      <c r="X287" s="250"/>
      <c r="Y287" s="250"/>
      <c r="Z287" s="250"/>
    </row>
    <row r="288" spans="16:26" ht="10.199999999999999" customHeight="1">
      <c r="P288" s="241"/>
      <c r="Q288" s="241"/>
      <c r="R288" s="241"/>
      <c r="S288" s="241"/>
      <c r="T288" s="241"/>
      <c r="U288" s="241"/>
      <c r="V288" s="241"/>
      <c r="W288" s="241"/>
      <c r="X288" s="241"/>
      <c r="Y288" s="241"/>
      <c r="Z288" s="241"/>
    </row>
    <row r="289" spans="16:26" ht="10.199999999999999" customHeight="1">
      <c r="P289" s="250"/>
      <c r="Q289" s="250"/>
      <c r="R289" s="250"/>
      <c r="S289" s="250"/>
      <c r="T289" s="250"/>
      <c r="U289" s="250"/>
      <c r="V289" s="250"/>
      <c r="W289" s="250"/>
      <c r="X289" s="250"/>
      <c r="Y289" s="250"/>
      <c r="Z289" s="250"/>
    </row>
    <row r="290" spans="16:26" ht="10.199999999999999" customHeight="1">
      <c r="P290" s="250"/>
      <c r="Q290" s="250"/>
      <c r="R290" s="250"/>
      <c r="S290" s="250"/>
      <c r="T290" s="250"/>
      <c r="U290" s="250"/>
      <c r="V290" s="250"/>
      <c r="W290" s="250"/>
      <c r="X290" s="250"/>
      <c r="Y290" s="250"/>
      <c r="Z290" s="250"/>
    </row>
    <row r="291" spans="16:26" ht="10.199999999999999" customHeight="1">
      <c r="P291" s="241"/>
      <c r="Q291" s="241"/>
      <c r="R291" s="241"/>
      <c r="S291" s="241"/>
      <c r="T291" s="241"/>
      <c r="U291" s="241"/>
      <c r="V291" s="241"/>
      <c r="W291" s="241"/>
      <c r="X291" s="241"/>
      <c r="Y291" s="241"/>
      <c r="Z291" s="241"/>
    </row>
    <row r="292" spans="16:26" ht="10.199999999999999" customHeight="1">
      <c r="P292" s="250"/>
      <c r="Q292" s="250"/>
      <c r="R292" s="250"/>
      <c r="S292" s="250"/>
      <c r="T292" s="250"/>
      <c r="U292" s="250"/>
      <c r="V292" s="250"/>
      <c r="W292" s="250"/>
      <c r="X292" s="250"/>
      <c r="Y292" s="250"/>
      <c r="Z292" s="250"/>
    </row>
    <row r="293" spans="16:26" ht="10.199999999999999" customHeight="1">
      <c r="P293" s="250"/>
      <c r="Q293" s="250"/>
      <c r="R293" s="250"/>
      <c r="S293" s="250"/>
      <c r="T293" s="250"/>
      <c r="U293" s="250"/>
      <c r="V293" s="250"/>
      <c r="W293" s="250"/>
      <c r="X293" s="250"/>
      <c r="Y293" s="250"/>
      <c r="Z293" s="250"/>
    </row>
    <row r="294" spans="16:26" ht="10.199999999999999" customHeight="1">
      <c r="P294" s="241"/>
      <c r="Q294" s="241"/>
      <c r="R294" s="241"/>
      <c r="S294" s="241"/>
      <c r="T294" s="241"/>
      <c r="U294" s="241"/>
      <c r="V294" s="241"/>
      <c r="W294" s="241"/>
      <c r="X294" s="241"/>
      <c r="Y294" s="241"/>
      <c r="Z294" s="241"/>
    </row>
    <row r="295" spans="16:26" ht="10.199999999999999" customHeight="1">
      <c r="P295" s="250"/>
      <c r="Q295" s="250"/>
      <c r="R295" s="250"/>
      <c r="S295" s="250"/>
      <c r="T295" s="250"/>
      <c r="U295" s="250"/>
      <c r="V295" s="250"/>
      <c r="W295" s="250"/>
      <c r="X295" s="250"/>
      <c r="Y295" s="250"/>
      <c r="Z295" s="250"/>
    </row>
    <row r="296" spans="16:26" ht="10.199999999999999" customHeight="1">
      <c r="P296" s="250"/>
      <c r="Q296" s="250"/>
      <c r="R296" s="250"/>
      <c r="S296" s="250"/>
      <c r="T296" s="250"/>
      <c r="U296" s="250"/>
      <c r="V296" s="250"/>
      <c r="W296" s="250"/>
      <c r="X296" s="250"/>
      <c r="Y296" s="250"/>
      <c r="Z296" s="250"/>
    </row>
    <row r="297" spans="16:26" ht="10.199999999999999" customHeight="1">
      <c r="P297" s="241"/>
      <c r="Q297" s="241"/>
      <c r="R297" s="241"/>
      <c r="S297" s="241"/>
      <c r="T297" s="241"/>
      <c r="U297" s="241"/>
      <c r="V297" s="241"/>
      <c r="W297" s="241"/>
      <c r="X297" s="241"/>
      <c r="Y297" s="241"/>
      <c r="Z297" s="241"/>
    </row>
    <row r="298" spans="16:26" ht="10.199999999999999" customHeight="1">
      <c r="P298" s="250"/>
      <c r="Q298" s="250"/>
      <c r="R298" s="250"/>
      <c r="S298" s="250"/>
      <c r="T298" s="250"/>
      <c r="U298" s="250"/>
      <c r="V298" s="250"/>
      <c r="W298" s="250"/>
      <c r="X298" s="250"/>
      <c r="Y298" s="250"/>
      <c r="Z298" s="250"/>
    </row>
    <row r="299" spans="16:26" ht="10.199999999999999" customHeight="1">
      <c r="P299" s="250"/>
      <c r="Q299" s="250"/>
      <c r="R299" s="250"/>
      <c r="S299" s="250"/>
      <c r="T299" s="250"/>
      <c r="U299" s="250"/>
      <c r="V299" s="250"/>
      <c r="W299" s="250"/>
      <c r="X299" s="250"/>
      <c r="Y299" s="250"/>
      <c r="Z299" s="250"/>
    </row>
    <row r="300" spans="16:26" ht="10.199999999999999" customHeight="1">
      <c r="P300" s="241"/>
      <c r="Q300" s="241"/>
      <c r="R300" s="241"/>
      <c r="S300" s="241"/>
      <c r="T300" s="241"/>
      <c r="U300" s="241"/>
      <c r="V300" s="241"/>
      <c r="W300" s="241"/>
      <c r="X300" s="241"/>
      <c r="Y300" s="241"/>
      <c r="Z300" s="241"/>
    </row>
    <row r="301" spans="16:26" ht="10.199999999999999" customHeight="1">
      <c r="P301" s="250"/>
      <c r="Q301" s="250"/>
      <c r="R301" s="250"/>
      <c r="S301" s="250"/>
      <c r="T301" s="250"/>
      <c r="U301" s="250"/>
      <c r="V301" s="250"/>
      <c r="W301" s="250"/>
      <c r="X301" s="250"/>
      <c r="Y301" s="250"/>
      <c r="Z301" s="250"/>
    </row>
    <row r="302" spans="16:26" ht="10.199999999999999" customHeight="1">
      <c r="P302" s="250"/>
      <c r="Q302" s="250"/>
      <c r="R302" s="250"/>
      <c r="S302" s="250"/>
      <c r="T302" s="250"/>
      <c r="U302" s="250"/>
      <c r="V302" s="250"/>
      <c r="W302" s="250"/>
      <c r="X302" s="250"/>
      <c r="Y302" s="250"/>
      <c r="Z302" s="250"/>
    </row>
    <row r="303" spans="16:26" ht="10.199999999999999" customHeight="1">
      <c r="P303" s="241"/>
      <c r="Q303" s="241"/>
      <c r="R303" s="241"/>
      <c r="S303" s="241"/>
      <c r="T303" s="241"/>
      <c r="U303" s="241"/>
      <c r="V303" s="241"/>
      <c r="W303" s="241"/>
      <c r="X303" s="241"/>
      <c r="Y303" s="241"/>
      <c r="Z303" s="241"/>
    </row>
    <row r="304" spans="16:26" ht="10.199999999999999" customHeight="1">
      <c r="P304" s="250"/>
      <c r="Q304" s="250"/>
      <c r="R304" s="250"/>
      <c r="S304" s="250"/>
      <c r="T304" s="250"/>
      <c r="U304" s="250"/>
      <c r="V304" s="250"/>
      <c r="W304" s="250"/>
      <c r="X304" s="250"/>
      <c r="Y304" s="250"/>
      <c r="Z304" s="250"/>
    </row>
    <row r="305" spans="16:26" ht="10.199999999999999" customHeight="1">
      <c r="P305" s="250"/>
      <c r="Q305" s="250"/>
      <c r="R305" s="250"/>
      <c r="S305" s="250"/>
      <c r="T305" s="250"/>
      <c r="U305" s="250"/>
      <c r="V305" s="250"/>
      <c r="W305" s="250"/>
      <c r="X305" s="250"/>
      <c r="Y305" s="250"/>
      <c r="Z305" s="250"/>
    </row>
    <row r="306" spans="16:26" ht="10.199999999999999" customHeight="1">
      <c r="P306" s="241"/>
      <c r="Q306" s="241"/>
      <c r="R306" s="241"/>
      <c r="S306" s="241"/>
      <c r="T306" s="241"/>
      <c r="U306" s="241"/>
      <c r="V306" s="241"/>
      <c r="W306" s="241"/>
      <c r="X306" s="241"/>
      <c r="Y306" s="241"/>
      <c r="Z306" s="241"/>
    </row>
    <row r="307" spans="16:26" ht="10.199999999999999" customHeight="1">
      <c r="P307" s="250"/>
      <c r="Q307" s="250"/>
      <c r="R307" s="250"/>
      <c r="S307" s="250"/>
      <c r="T307" s="250"/>
      <c r="U307" s="250"/>
      <c r="V307" s="250"/>
      <c r="W307" s="250"/>
      <c r="X307" s="250"/>
      <c r="Y307" s="250"/>
      <c r="Z307" s="250"/>
    </row>
    <row r="308" spans="16:26" ht="10.199999999999999" customHeight="1">
      <c r="P308" s="250"/>
      <c r="Q308" s="250"/>
      <c r="R308" s="250"/>
      <c r="S308" s="250"/>
      <c r="T308" s="250"/>
      <c r="U308" s="250"/>
      <c r="V308" s="250"/>
      <c r="W308" s="250"/>
      <c r="X308" s="250"/>
      <c r="Y308" s="250"/>
      <c r="Z308" s="250"/>
    </row>
    <row r="309" spans="16:26" ht="10.199999999999999" customHeight="1">
      <c r="P309" s="241"/>
      <c r="Q309" s="241"/>
      <c r="R309" s="241"/>
      <c r="S309" s="241"/>
      <c r="T309" s="241"/>
      <c r="U309" s="241"/>
      <c r="V309" s="241"/>
      <c r="W309" s="241"/>
      <c r="X309" s="241"/>
      <c r="Y309" s="241"/>
      <c r="Z309" s="241"/>
    </row>
    <row r="310" spans="16:26" ht="10.199999999999999" customHeight="1">
      <c r="P310" s="250"/>
      <c r="Q310" s="250"/>
      <c r="R310" s="250"/>
      <c r="S310" s="250"/>
      <c r="T310" s="250"/>
      <c r="U310" s="250"/>
      <c r="V310" s="250"/>
      <c r="W310" s="250"/>
      <c r="X310" s="250"/>
      <c r="Y310" s="250"/>
      <c r="Z310" s="250"/>
    </row>
    <row r="311" spans="16:26" ht="10.199999999999999" customHeight="1">
      <c r="P311" s="250"/>
      <c r="Q311" s="250"/>
      <c r="R311" s="250"/>
      <c r="S311" s="250"/>
      <c r="T311" s="250"/>
      <c r="U311" s="250"/>
      <c r="V311" s="250"/>
      <c r="W311" s="250"/>
      <c r="X311" s="250"/>
      <c r="Y311" s="250"/>
      <c r="Z311" s="250"/>
    </row>
    <row r="312" spans="16:26" ht="10.199999999999999" customHeight="1">
      <c r="P312" s="241"/>
      <c r="Q312" s="241"/>
      <c r="R312" s="241"/>
      <c r="S312" s="241"/>
      <c r="T312" s="241"/>
      <c r="U312" s="241"/>
      <c r="V312" s="241"/>
      <c r="W312" s="241"/>
      <c r="X312" s="241"/>
      <c r="Y312" s="241"/>
      <c r="Z312" s="241"/>
    </row>
    <row r="313" spans="16:26" ht="10.199999999999999" customHeight="1">
      <c r="P313" s="250"/>
      <c r="Q313" s="250"/>
      <c r="R313" s="250"/>
      <c r="S313" s="250"/>
      <c r="T313" s="250"/>
      <c r="U313" s="250"/>
      <c r="V313" s="250"/>
      <c r="W313" s="250"/>
      <c r="X313" s="250"/>
      <c r="Y313" s="250"/>
      <c r="Z313" s="250"/>
    </row>
    <row r="314" spans="16:26" ht="10.199999999999999" customHeight="1">
      <c r="P314" s="250"/>
      <c r="Q314" s="250"/>
      <c r="R314" s="250"/>
      <c r="S314" s="250"/>
      <c r="T314" s="250"/>
      <c r="U314" s="250"/>
      <c r="V314" s="250"/>
      <c r="W314" s="250"/>
      <c r="X314" s="250"/>
      <c r="Y314" s="250"/>
      <c r="Z314" s="250"/>
    </row>
    <row r="315" spans="16:26" ht="10.199999999999999" customHeight="1">
      <c r="P315" s="241"/>
      <c r="Q315" s="241"/>
      <c r="R315" s="241"/>
      <c r="S315" s="241"/>
      <c r="T315" s="241"/>
      <c r="U315" s="241"/>
      <c r="V315" s="241"/>
      <c r="W315" s="241"/>
      <c r="X315" s="241"/>
      <c r="Y315" s="241"/>
      <c r="Z315" s="241"/>
    </row>
    <row r="316" spans="16:26" ht="10.199999999999999" customHeight="1">
      <c r="P316" s="250"/>
      <c r="Q316" s="250"/>
      <c r="R316" s="250"/>
      <c r="S316" s="250"/>
      <c r="T316" s="250"/>
      <c r="U316" s="250"/>
      <c r="V316" s="250"/>
      <c r="W316" s="250"/>
      <c r="X316" s="250"/>
      <c r="Y316" s="250"/>
      <c r="Z316" s="250"/>
    </row>
    <row r="317" spans="16:26" ht="10.199999999999999" customHeight="1">
      <c r="P317" s="250"/>
      <c r="Q317" s="250"/>
      <c r="R317" s="250"/>
      <c r="S317" s="250"/>
      <c r="T317" s="250"/>
      <c r="U317" s="250"/>
      <c r="V317" s="250"/>
      <c r="W317" s="250"/>
      <c r="X317" s="250"/>
      <c r="Y317" s="250"/>
      <c r="Z317" s="250"/>
    </row>
    <row r="318" spans="16:26" ht="10.199999999999999" customHeight="1">
      <c r="P318" s="241"/>
      <c r="Q318" s="241"/>
      <c r="R318" s="241"/>
      <c r="S318" s="241"/>
      <c r="T318" s="241"/>
      <c r="U318" s="241"/>
      <c r="V318" s="241"/>
      <c r="W318" s="241"/>
      <c r="X318" s="241"/>
      <c r="Y318" s="241"/>
      <c r="Z318" s="241"/>
    </row>
    <row r="319" spans="16:26" ht="10.199999999999999" customHeight="1">
      <c r="P319" s="250"/>
      <c r="Q319" s="250"/>
      <c r="R319" s="250"/>
      <c r="S319" s="250"/>
      <c r="T319" s="250"/>
      <c r="U319" s="250"/>
      <c r="V319" s="250"/>
      <c r="W319" s="250"/>
      <c r="X319" s="250"/>
      <c r="Y319" s="250"/>
      <c r="Z319" s="250"/>
    </row>
    <row r="320" spans="16:26" ht="10.199999999999999" customHeight="1">
      <c r="P320" s="250"/>
      <c r="Q320" s="250"/>
      <c r="R320" s="250"/>
      <c r="S320" s="250"/>
      <c r="T320" s="250"/>
      <c r="U320" s="250"/>
      <c r="V320" s="250"/>
      <c r="W320" s="250"/>
      <c r="X320" s="250"/>
      <c r="Y320" s="250"/>
      <c r="Z320" s="250"/>
    </row>
    <row r="321" spans="16:26" ht="10.199999999999999" customHeight="1">
      <c r="P321" s="241"/>
      <c r="Q321" s="241"/>
      <c r="R321" s="241"/>
      <c r="S321" s="241"/>
      <c r="T321" s="241"/>
      <c r="U321" s="241"/>
      <c r="V321" s="241"/>
      <c r="W321" s="241"/>
      <c r="X321" s="241"/>
      <c r="Y321" s="241"/>
      <c r="Z321" s="241"/>
    </row>
    <row r="322" spans="16:26" ht="10.199999999999999" customHeight="1">
      <c r="P322" s="250"/>
      <c r="Q322" s="250"/>
      <c r="R322" s="250"/>
      <c r="S322" s="250"/>
      <c r="T322" s="250"/>
      <c r="U322" s="250"/>
      <c r="V322" s="250"/>
      <c r="W322" s="250"/>
      <c r="X322" s="250"/>
      <c r="Y322" s="250"/>
      <c r="Z322" s="250"/>
    </row>
    <row r="323" spans="16:26" ht="10.199999999999999" customHeight="1">
      <c r="P323" s="250"/>
      <c r="Q323" s="250"/>
      <c r="R323" s="250"/>
      <c r="S323" s="250"/>
      <c r="T323" s="250"/>
      <c r="U323" s="250"/>
      <c r="V323" s="250"/>
      <c r="W323" s="250"/>
      <c r="X323" s="250"/>
      <c r="Y323" s="250"/>
      <c r="Z323" s="250"/>
    </row>
    <row r="324" spans="16:26" ht="10.199999999999999" customHeight="1">
      <c r="P324" s="241"/>
      <c r="Q324" s="241"/>
      <c r="R324" s="241"/>
      <c r="S324" s="241"/>
      <c r="T324" s="241"/>
      <c r="U324" s="241"/>
      <c r="V324" s="241"/>
      <c r="W324" s="241"/>
      <c r="X324" s="241"/>
      <c r="Y324" s="241"/>
      <c r="Z324" s="241"/>
    </row>
    <row r="325" spans="16:26" ht="10.199999999999999" customHeight="1">
      <c r="P325" s="250"/>
      <c r="Q325" s="250"/>
      <c r="R325" s="250"/>
      <c r="S325" s="250"/>
      <c r="T325" s="250"/>
      <c r="U325" s="250"/>
      <c r="V325" s="250"/>
      <c r="W325" s="250"/>
      <c r="X325" s="250"/>
      <c r="Y325" s="250"/>
      <c r="Z325" s="250"/>
    </row>
    <row r="326" spans="16:26" ht="10.199999999999999" customHeight="1">
      <c r="P326" s="250"/>
      <c r="Q326" s="250"/>
      <c r="R326" s="250"/>
      <c r="S326" s="250"/>
      <c r="T326" s="250"/>
      <c r="U326" s="250"/>
      <c r="V326" s="250"/>
      <c r="W326" s="250"/>
      <c r="X326" s="250"/>
      <c r="Y326" s="250"/>
      <c r="Z326" s="250"/>
    </row>
    <row r="327" spans="16:26" ht="10.199999999999999" customHeight="1">
      <c r="P327" s="241"/>
      <c r="Q327" s="241"/>
      <c r="R327" s="241"/>
      <c r="S327" s="241"/>
      <c r="T327" s="241"/>
      <c r="U327" s="241"/>
      <c r="V327" s="241"/>
      <c r="W327" s="241"/>
      <c r="X327" s="241"/>
      <c r="Y327" s="241"/>
      <c r="Z327" s="241"/>
    </row>
    <row r="328" spans="16:26" ht="10.199999999999999" customHeight="1">
      <c r="P328" s="250"/>
      <c r="Q328" s="250"/>
      <c r="R328" s="250"/>
      <c r="S328" s="250"/>
      <c r="T328" s="250"/>
      <c r="U328" s="250"/>
      <c r="V328" s="250"/>
      <c r="W328" s="250"/>
      <c r="X328" s="250"/>
      <c r="Y328" s="250"/>
      <c r="Z328" s="250"/>
    </row>
    <row r="329" spans="16:26" ht="10.199999999999999" customHeight="1">
      <c r="P329" s="250"/>
      <c r="Q329" s="250"/>
      <c r="R329" s="250"/>
      <c r="S329" s="250"/>
      <c r="T329" s="250"/>
      <c r="U329" s="250"/>
      <c r="V329" s="250"/>
      <c r="W329" s="250"/>
      <c r="X329" s="250"/>
      <c r="Y329" s="250"/>
      <c r="Z329" s="250"/>
    </row>
    <row r="330" spans="16:26" ht="10.199999999999999" customHeight="1">
      <c r="P330" s="241"/>
      <c r="Q330" s="241"/>
      <c r="R330" s="241"/>
      <c r="S330" s="241"/>
      <c r="T330" s="241"/>
      <c r="U330" s="241"/>
      <c r="V330" s="241"/>
      <c r="W330" s="241"/>
      <c r="X330" s="241"/>
      <c r="Y330" s="241"/>
      <c r="Z330" s="241"/>
    </row>
    <row r="331" spans="16:26" ht="10.199999999999999" customHeight="1">
      <c r="P331" s="250"/>
      <c r="Q331" s="250"/>
      <c r="R331" s="250"/>
      <c r="S331" s="250"/>
      <c r="T331" s="250"/>
      <c r="U331" s="250"/>
      <c r="V331" s="250"/>
      <c r="W331" s="250"/>
      <c r="X331" s="250"/>
      <c r="Y331" s="250"/>
      <c r="Z331" s="250"/>
    </row>
    <row r="332" spans="16:26" ht="10.199999999999999" customHeight="1">
      <c r="P332" s="250"/>
      <c r="Q332" s="250"/>
      <c r="R332" s="250"/>
      <c r="S332" s="250"/>
      <c r="T332" s="250"/>
      <c r="U332" s="250"/>
      <c r="V332" s="250"/>
      <c r="W332" s="250"/>
      <c r="X332" s="250"/>
      <c r="Y332" s="250"/>
      <c r="Z332" s="250"/>
    </row>
    <row r="333" spans="16:26" ht="10.199999999999999" customHeight="1">
      <c r="P333" s="241"/>
      <c r="Q333" s="241"/>
      <c r="R333" s="241"/>
      <c r="S333" s="241"/>
      <c r="T333" s="241"/>
      <c r="U333" s="241"/>
      <c r="V333" s="241"/>
      <c r="W333" s="241"/>
      <c r="X333" s="241"/>
      <c r="Y333" s="241"/>
      <c r="Z333" s="241"/>
    </row>
    <row r="334" spans="16:26" ht="10.199999999999999" customHeight="1">
      <c r="P334" s="250"/>
      <c r="Q334" s="250"/>
      <c r="R334" s="250"/>
      <c r="S334" s="250"/>
      <c r="T334" s="250"/>
      <c r="U334" s="250"/>
      <c r="V334" s="250"/>
      <c r="W334" s="250"/>
      <c r="X334" s="250"/>
      <c r="Y334" s="250"/>
      <c r="Z334" s="250"/>
    </row>
    <row r="335" spans="16:26" ht="10.199999999999999" customHeight="1">
      <c r="P335" s="250"/>
      <c r="Q335" s="250"/>
      <c r="R335" s="250"/>
      <c r="S335" s="250"/>
      <c r="T335" s="250"/>
      <c r="U335" s="250"/>
      <c r="V335" s="250"/>
      <c r="W335" s="250"/>
      <c r="X335" s="250"/>
      <c r="Y335" s="250"/>
      <c r="Z335" s="250"/>
    </row>
    <row r="336" spans="16:26" ht="10.199999999999999" customHeight="1">
      <c r="P336" s="241"/>
      <c r="Q336" s="241"/>
      <c r="R336" s="241"/>
      <c r="S336" s="241"/>
      <c r="T336" s="241"/>
      <c r="U336" s="241"/>
      <c r="V336" s="241"/>
      <c r="W336" s="241"/>
      <c r="X336" s="241"/>
      <c r="Y336" s="241"/>
      <c r="Z336" s="241"/>
    </row>
    <row r="337" spans="16:26" ht="10.199999999999999" customHeight="1">
      <c r="P337" s="250"/>
      <c r="Q337" s="250"/>
      <c r="R337" s="250"/>
      <c r="S337" s="250"/>
      <c r="T337" s="250"/>
      <c r="U337" s="250"/>
      <c r="V337" s="250"/>
      <c r="W337" s="250"/>
      <c r="X337" s="250"/>
      <c r="Y337" s="250"/>
      <c r="Z337" s="250"/>
    </row>
    <row r="338" spans="16:26" ht="10.199999999999999" customHeight="1">
      <c r="P338" s="250"/>
      <c r="Q338" s="250"/>
      <c r="R338" s="250"/>
      <c r="S338" s="250"/>
      <c r="T338" s="250"/>
      <c r="U338" s="250"/>
      <c r="V338" s="250"/>
      <c r="W338" s="250"/>
      <c r="X338" s="250"/>
      <c r="Y338" s="250"/>
      <c r="Z338" s="250"/>
    </row>
    <row r="339" spans="16:26" ht="10.199999999999999" customHeight="1">
      <c r="P339" s="241"/>
      <c r="Q339" s="241"/>
      <c r="R339" s="241"/>
      <c r="S339" s="241"/>
      <c r="T339" s="241"/>
      <c r="U339" s="241"/>
      <c r="V339" s="241"/>
      <c r="W339" s="241"/>
      <c r="X339" s="241"/>
      <c r="Y339" s="241"/>
      <c r="Z339" s="241"/>
    </row>
    <row r="340" spans="16:26" ht="10.199999999999999" customHeight="1">
      <c r="P340" s="250"/>
      <c r="Q340" s="250"/>
      <c r="R340" s="250"/>
      <c r="S340" s="250"/>
      <c r="T340" s="250"/>
      <c r="U340" s="250"/>
      <c r="V340" s="250"/>
      <c r="W340" s="250"/>
      <c r="X340" s="250"/>
      <c r="Y340" s="250"/>
      <c r="Z340" s="250"/>
    </row>
    <row r="341" spans="16:26" ht="10.199999999999999" customHeight="1">
      <c r="P341" s="250"/>
      <c r="Q341" s="250"/>
      <c r="R341" s="250"/>
      <c r="S341" s="250"/>
      <c r="T341" s="250"/>
      <c r="U341" s="250"/>
      <c r="V341" s="250"/>
      <c r="W341" s="250"/>
      <c r="X341" s="250"/>
      <c r="Y341" s="250"/>
      <c r="Z341" s="250"/>
    </row>
    <row r="342" spans="16:26" ht="10.199999999999999" customHeight="1">
      <c r="P342" s="241"/>
      <c r="Q342" s="241"/>
      <c r="R342" s="241"/>
      <c r="S342" s="241"/>
      <c r="T342" s="241"/>
      <c r="U342" s="241"/>
      <c r="V342" s="241"/>
      <c r="W342" s="241"/>
      <c r="X342" s="241"/>
      <c r="Y342" s="241"/>
      <c r="Z342" s="241"/>
    </row>
    <row r="343" spans="16:26" ht="10.199999999999999" customHeight="1">
      <c r="P343" s="250"/>
      <c r="Q343" s="250"/>
      <c r="R343" s="250"/>
      <c r="S343" s="250"/>
      <c r="T343" s="250"/>
      <c r="U343" s="250"/>
      <c r="V343" s="250"/>
      <c r="W343" s="250"/>
      <c r="X343" s="250"/>
      <c r="Y343" s="250"/>
      <c r="Z343" s="250"/>
    </row>
    <row r="344" spans="16:26" ht="10.199999999999999" customHeight="1">
      <c r="P344" s="250"/>
      <c r="Q344" s="250"/>
      <c r="R344" s="250"/>
      <c r="S344" s="250"/>
      <c r="T344" s="250"/>
      <c r="U344" s="250"/>
      <c r="V344" s="250"/>
      <c r="W344" s="250"/>
      <c r="X344" s="250"/>
      <c r="Y344" s="250"/>
      <c r="Z344" s="250"/>
    </row>
    <row r="345" spans="16:26" ht="10.199999999999999" customHeight="1">
      <c r="P345" s="241"/>
      <c r="Q345" s="241"/>
      <c r="R345" s="241"/>
      <c r="S345" s="241"/>
      <c r="T345" s="241"/>
      <c r="U345" s="241"/>
      <c r="V345" s="241"/>
      <c r="W345" s="241"/>
      <c r="X345" s="241"/>
      <c r="Y345" s="241"/>
      <c r="Z345" s="241"/>
    </row>
    <row r="346" spans="16:26" ht="10.199999999999999" customHeight="1">
      <c r="P346" s="250"/>
      <c r="Q346" s="250"/>
      <c r="R346" s="250"/>
      <c r="S346" s="250"/>
      <c r="T346" s="250"/>
      <c r="U346" s="250"/>
      <c r="V346" s="250"/>
      <c r="W346" s="250"/>
      <c r="X346" s="250"/>
      <c r="Y346" s="250"/>
      <c r="Z346" s="250"/>
    </row>
    <row r="347" spans="16:26" ht="10.199999999999999" customHeight="1">
      <c r="P347" s="250"/>
      <c r="Q347" s="250"/>
      <c r="R347" s="250"/>
      <c r="S347" s="250"/>
      <c r="T347" s="250"/>
      <c r="U347" s="250"/>
      <c r="V347" s="250"/>
      <c r="W347" s="250"/>
      <c r="X347" s="250"/>
      <c r="Y347" s="250"/>
      <c r="Z347" s="250"/>
    </row>
    <row r="348" spans="16:26" ht="10.199999999999999" customHeight="1">
      <c r="P348" s="241"/>
      <c r="Q348" s="241"/>
      <c r="R348" s="241"/>
      <c r="S348" s="241"/>
      <c r="T348" s="241"/>
      <c r="U348" s="241"/>
      <c r="V348" s="241"/>
      <c r="W348" s="241"/>
      <c r="X348" s="241"/>
      <c r="Y348" s="241"/>
      <c r="Z348" s="241"/>
    </row>
    <row r="349" spans="16:26" ht="10.199999999999999" customHeight="1">
      <c r="P349" s="250"/>
      <c r="Q349" s="250"/>
      <c r="R349" s="250"/>
      <c r="S349" s="250"/>
      <c r="T349" s="250"/>
      <c r="U349" s="250"/>
      <c r="V349" s="250"/>
      <c r="W349" s="250"/>
      <c r="X349" s="250"/>
      <c r="Y349" s="250"/>
      <c r="Z349" s="250"/>
    </row>
    <row r="350" spans="16:26" ht="10.199999999999999" customHeight="1">
      <c r="P350" s="250"/>
      <c r="Q350" s="250"/>
      <c r="R350" s="250"/>
      <c r="S350" s="250"/>
      <c r="T350" s="250"/>
      <c r="U350" s="250"/>
      <c r="V350" s="250"/>
      <c r="W350" s="250"/>
      <c r="X350" s="250"/>
      <c r="Y350" s="250"/>
      <c r="Z350" s="250"/>
    </row>
    <row r="351" spans="16:26" ht="10.199999999999999" customHeight="1">
      <c r="P351" s="241"/>
      <c r="Q351" s="241"/>
      <c r="R351" s="241"/>
      <c r="S351" s="241"/>
      <c r="T351" s="241"/>
      <c r="U351" s="241"/>
      <c r="V351" s="241"/>
      <c r="W351" s="241"/>
      <c r="X351" s="241"/>
      <c r="Y351" s="241"/>
      <c r="Z351" s="241"/>
    </row>
    <row r="352" spans="16:26" ht="10.199999999999999" customHeight="1">
      <c r="P352" s="250"/>
      <c r="Q352" s="250"/>
      <c r="R352" s="250"/>
      <c r="S352" s="250"/>
      <c r="T352" s="250"/>
      <c r="U352" s="250"/>
      <c r="V352" s="250"/>
      <c r="W352" s="250"/>
      <c r="X352" s="250"/>
      <c r="Y352" s="250"/>
      <c r="Z352" s="250"/>
    </row>
    <row r="353" spans="16:26" ht="10.199999999999999" customHeight="1">
      <c r="P353" s="250"/>
      <c r="Q353" s="250"/>
      <c r="R353" s="250"/>
      <c r="S353" s="250"/>
      <c r="T353" s="250"/>
      <c r="U353" s="250"/>
      <c r="V353" s="250"/>
      <c r="W353" s="250"/>
      <c r="X353" s="250"/>
      <c r="Y353" s="250"/>
      <c r="Z353" s="250"/>
    </row>
    <row r="354" spans="16:26" ht="10.199999999999999" customHeight="1">
      <c r="P354" s="241"/>
      <c r="Q354" s="241"/>
      <c r="R354" s="241"/>
      <c r="S354" s="241"/>
      <c r="T354" s="241"/>
      <c r="U354" s="241"/>
      <c r="V354" s="241"/>
      <c r="W354" s="241"/>
      <c r="X354" s="241"/>
      <c r="Y354" s="241"/>
      <c r="Z354" s="241"/>
    </row>
    <row r="355" spans="16:26" ht="10.199999999999999" customHeight="1">
      <c r="P355" s="250"/>
      <c r="Q355" s="250"/>
      <c r="R355" s="250"/>
      <c r="S355" s="250"/>
      <c r="T355" s="250"/>
      <c r="U355" s="250"/>
      <c r="V355" s="250"/>
      <c r="W355" s="250"/>
      <c r="X355" s="250"/>
      <c r="Y355" s="250"/>
      <c r="Z355" s="250"/>
    </row>
    <row r="356" spans="16:26" ht="10.199999999999999" customHeight="1">
      <c r="P356" s="250"/>
      <c r="Q356" s="250"/>
      <c r="R356" s="250"/>
      <c r="S356" s="250"/>
      <c r="T356" s="250"/>
      <c r="U356" s="250"/>
      <c r="V356" s="250"/>
      <c r="W356" s="250"/>
      <c r="X356" s="250"/>
      <c r="Y356" s="250"/>
      <c r="Z356" s="250"/>
    </row>
    <row r="357" spans="16:26" ht="10.199999999999999" customHeight="1">
      <c r="P357" s="241"/>
      <c r="Q357" s="241"/>
      <c r="R357" s="241"/>
      <c r="S357" s="241"/>
      <c r="T357" s="241"/>
      <c r="U357" s="241"/>
      <c r="V357" s="241"/>
      <c r="W357" s="241"/>
      <c r="X357" s="241"/>
      <c r="Y357" s="241"/>
      <c r="Z357" s="241"/>
    </row>
    <row r="358" spans="16:26" ht="10.199999999999999" customHeight="1">
      <c r="P358" s="250"/>
      <c r="Q358" s="250"/>
      <c r="R358" s="250"/>
      <c r="S358" s="250"/>
      <c r="T358" s="250"/>
      <c r="U358" s="250"/>
      <c r="V358" s="250"/>
      <c r="W358" s="250"/>
      <c r="X358" s="250"/>
      <c r="Y358" s="250"/>
      <c r="Z358" s="250"/>
    </row>
    <row r="359" spans="16:26" ht="10.199999999999999" customHeight="1">
      <c r="P359" s="250"/>
      <c r="Q359" s="250"/>
      <c r="R359" s="250"/>
      <c r="S359" s="250"/>
      <c r="T359" s="250"/>
      <c r="U359" s="250"/>
      <c r="V359" s="250"/>
      <c r="W359" s="250"/>
      <c r="X359" s="250"/>
      <c r="Y359" s="250"/>
      <c r="Z359" s="250"/>
    </row>
    <row r="360" spans="16:26" ht="10.199999999999999" customHeight="1">
      <c r="P360" s="241"/>
      <c r="Q360" s="241"/>
      <c r="R360" s="241"/>
      <c r="S360" s="241"/>
      <c r="T360" s="241"/>
      <c r="U360" s="241"/>
      <c r="V360" s="241"/>
      <c r="W360" s="241"/>
      <c r="X360" s="241"/>
      <c r="Y360" s="241"/>
      <c r="Z360" s="241"/>
    </row>
    <row r="361" spans="16:26" ht="10.199999999999999" customHeight="1">
      <c r="P361" s="250"/>
      <c r="Q361" s="250"/>
      <c r="R361" s="250"/>
      <c r="S361" s="250"/>
      <c r="T361" s="250"/>
      <c r="U361" s="250"/>
      <c r="V361" s="250"/>
      <c r="W361" s="250"/>
      <c r="X361" s="250"/>
      <c r="Y361" s="250"/>
      <c r="Z361" s="250"/>
    </row>
    <row r="362" spans="16:26" ht="10.199999999999999" customHeight="1">
      <c r="P362" s="250"/>
      <c r="Q362" s="250"/>
      <c r="R362" s="250"/>
      <c r="S362" s="250"/>
      <c r="T362" s="250"/>
      <c r="U362" s="250"/>
      <c r="V362" s="250"/>
      <c r="W362" s="250"/>
      <c r="X362" s="250"/>
      <c r="Y362" s="250"/>
      <c r="Z362" s="250"/>
    </row>
    <row r="363" spans="16:26" ht="10.199999999999999" customHeight="1">
      <c r="P363" s="241"/>
      <c r="Q363" s="241"/>
      <c r="R363" s="241"/>
      <c r="S363" s="241"/>
      <c r="T363" s="241"/>
      <c r="U363" s="241"/>
      <c r="V363" s="241"/>
      <c r="W363" s="241"/>
      <c r="X363" s="241"/>
      <c r="Y363" s="241"/>
      <c r="Z363" s="241"/>
    </row>
    <row r="364" spans="16:26" ht="10.199999999999999" customHeight="1">
      <c r="P364" s="250"/>
      <c r="Q364" s="250"/>
      <c r="R364" s="250"/>
      <c r="S364" s="250"/>
      <c r="T364" s="250"/>
      <c r="U364" s="250"/>
      <c r="V364" s="250"/>
      <c r="W364" s="250"/>
      <c r="X364" s="250"/>
      <c r="Y364" s="250"/>
      <c r="Z364" s="250"/>
    </row>
    <row r="365" spans="16:26" ht="10.199999999999999" customHeight="1">
      <c r="P365" s="250"/>
      <c r="Q365" s="250"/>
      <c r="R365" s="250"/>
      <c r="S365" s="250"/>
      <c r="T365" s="250"/>
      <c r="U365" s="250"/>
      <c r="V365" s="250"/>
      <c r="W365" s="250"/>
      <c r="X365" s="250"/>
      <c r="Y365" s="250"/>
      <c r="Z365" s="250"/>
    </row>
    <row r="366" spans="16:26" ht="10.199999999999999" customHeight="1">
      <c r="P366" s="241"/>
      <c r="Q366" s="241"/>
      <c r="R366" s="241"/>
      <c r="S366" s="241"/>
      <c r="T366" s="241"/>
      <c r="U366" s="241"/>
      <c r="V366" s="241"/>
      <c r="W366" s="241"/>
      <c r="X366" s="241"/>
      <c r="Y366" s="241"/>
      <c r="Z366" s="241"/>
    </row>
    <row r="367" spans="16:26" ht="10.199999999999999" customHeight="1">
      <c r="P367" s="250"/>
      <c r="Q367" s="250"/>
      <c r="R367" s="250"/>
      <c r="S367" s="250"/>
      <c r="T367" s="250"/>
      <c r="U367" s="250"/>
      <c r="V367" s="250"/>
      <c r="W367" s="250"/>
      <c r="X367" s="250"/>
      <c r="Y367" s="250"/>
      <c r="Z367" s="250"/>
    </row>
    <row r="368" spans="16:26" ht="10.199999999999999" customHeight="1">
      <c r="P368" s="250"/>
      <c r="Q368" s="250"/>
      <c r="R368" s="250"/>
      <c r="S368" s="250"/>
      <c r="T368" s="250"/>
      <c r="U368" s="250"/>
      <c r="V368" s="250"/>
      <c r="W368" s="250"/>
      <c r="X368" s="250"/>
      <c r="Y368" s="250"/>
      <c r="Z368" s="250"/>
    </row>
    <row r="369" spans="16:26" ht="10.199999999999999" customHeight="1">
      <c r="P369" s="241"/>
      <c r="Q369" s="241"/>
      <c r="R369" s="241"/>
      <c r="S369" s="241"/>
      <c r="T369" s="241"/>
      <c r="U369" s="241"/>
      <c r="V369" s="241"/>
      <c r="W369" s="241"/>
      <c r="X369" s="241"/>
      <c r="Y369" s="241"/>
      <c r="Z369" s="241"/>
    </row>
    <row r="370" spans="16:26" ht="10.199999999999999" customHeight="1">
      <c r="P370" s="250"/>
      <c r="Q370" s="250"/>
      <c r="R370" s="250"/>
      <c r="S370" s="250"/>
      <c r="T370" s="250"/>
      <c r="U370" s="250"/>
      <c r="V370" s="250"/>
      <c r="W370" s="250"/>
      <c r="X370" s="250"/>
      <c r="Y370" s="250"/>
      <c r="Z370" s="250"/>
    </row>
    <row r="371" spans="16:26" ht="10.199999999999999" customHeight="1">
      <c r="P371" s="250"/>
      <c r="Q371" s="250"/>
      <c r="R371" s="250"/>
      <c r="S371" s="250"/>
      <c r="T371" s="250"/>
      <c r="U371" s="250"/>
      <c r="V371" s="250"/>
      <c r="W371" s="250"/>
      <c r="X371" s="250"/>
      <c r="Y371" s="250"/>
      <c r="Z371" s="250"/>
    </row>
    <row r="372" spans="16:26" ht="10.199999999999999" customHeight="1">
      <c r="P372" s="241"/>
      <c r="Q372" s="241"/>
      <c r="R372" s="241"/>
      <c r="S372" s="241"/>
      <c r="T372" s="241"/>
      <c r="U372" s="241"/>
      <c r="V372" s="241"/>
      <c r="W372" s="241"/>
      <c r="X372" s="241"/>
      <c r="Y372" s="241"/>
      <c r="Z372" s="241"/>
    </row>
    <row r="373" spans="16:26" ht="10.199999999999999" customHeight="1">
      <c r="P373" s="250"/>
      <c r="Q373" s="250"/>
      <c r="R373" s="250"/>
      <c r="S373" s="250"/>
      <c r="T373" s="250"/>
      <c r="U373" s="250"/>
      <c r="V373" s="250"/>
      <c r="W373" s="250"/>
      <c r="X373" s="250"/>
      <c r="Y373" s="250"/>
      <c r="Z373" s="250"/>
    </row>
    <row r="374" spans="16:26" ht="10.199999999999999" customHeight="1">
      <c r="P374" s="250"/>
      <c r="Q374" s="250"/>
      <c r="R374" s="250"/>
      <c r="S374" s="250"/>
      <c r="T374" s="250"/>
      <c r="U374" s="250"/>
      <c r="V374" s="250"/>
      <c r="W374" s="250"/>
      <c r="X374" s="250"/>
      <c r="Y374" s="250"/>
      <c r="Z374" s="250"/>
    </row>
    <row r="375" spans="16:26" ht="10.199999999999999" customHeight="1">
      <c r="P375" s="241"/>
      <c r="Q375" s="241"/>
      <c r="R375" s="241"/>
      <c r="S375" s="241"/>
      <c r="T375" s="241"/>
      <c r="U375" s="241"/>
      <c r="V375" s="241"/>
      <c r="W375" s="241"/>
      <c r="X375" s="241"/>
      <c r="Y375" s="241"/>
      <c r="Z375" s="241"/>
    </row>
    <row r="376" spans="16:26" ht="10.199999999999999" customHeight="1">
      <c r="P376" s="250"/>
      <c r="Q376" s="250"/>
      <c r="R376" s="250"/>
      <c r="S376" s="250"/>
      <c r="T376" s="250"/>
      <c r="U376" s="250"/>
      <c r="V376" s="250"/>
      <c r="W376" s="250"/>
      <c r="X376" s="250"/>
      <c r="Y376" s="250"/>
      <c r="Z376" s="250"/>
    </row>
    <row r="377" spans="16:26" ht="10.199999999999999" customHeight="1">
      <c r="P377" s="250"/>
      <c r="Q377" s="250"/>
      <c r="R377" s="250"/>
      <c r="S377" s="250"/>
      <c r="T377" s="250"/>
      <c r="U377" s="250"/>
      <c r="V377" s="250"/>
      <c r="W377" s="250"/>
      <c r="X377" s="250"/>
      <c r="Y377" s="250"/>
      <c r="Z377" s="250"/>
    </row>
    <row r="378" spans="16:26" ht="10.199999999999999" customHeight="1">
      <c r="P378" s="241"/>
      <c r="Q378" s="241"/>
      <c r="R378" s="241"/>
      <c r="S378" s="241"/>
      <c r="T378" s="241"/>
      <c r="U378" s="241"/>
      <c r="V378" s="241"/>
      <c r="W378" s="241"/>
      <c r="X378" s="241"/>
      <c r="Y378" s="241"/>
      <c r="Z378" s="241"/>
    </row>
    <row r="379" spans="16:26" ht="10.199999999999999" customHeight="1">
      <c r="P379" s="250"/>
      <c r="Q379" s="250"/>
      <c r="R379" s="250"/>
      <c r="S379" s="250"/>
      <c r="T379" s="250"/>
      <c r="U379" s="250"/>
      <c r="V379" s="250"/>
      <c r="W379" s="250"/>
      <c r="X379" s="250"/>
      <c r="Y379" s="250"/>
      <c r="Z379" s="250"/>
    </row>
    <row r="380" spans="16:26" ht="10.199999999999999" customHeight="1">
      <c r="P380" s="250"/>
      <c r="Q380" s="250"/>
      <c r="R380" s="250"/>
      <c r="S380" s="250"/>
      <c r="T380" s="250"/>
      <c r="U380" s="250"/>
      <c r="V380" s="250"/>
      <c r="W380" s="250"/>
      <c r="X380" s="250"/>
      <c r="Y380" s="250"/>
      <c r="Z380" s="250"/>
    </row>
    <row r="381" spans="16:26" ht="10.199999999999999" customHeight="1">
      <c r="P381" s="241"/>
      <c r="Q381" s="241"/>
      <c r="R381" s="241"/>
      <c r="S381" s="241"/>
      <c r="T381" s="241"/>
      <c r="U381" s="241"/>
      <c r="V381" s="241"/>
      <c r="W381" s="241"/>
      <c r="X381" s="241"/>
      <c r="Y381" s="241"/>
      <c r="Z381" s="241"/>
    </row>
    <row r="382" spans="16:26" ht="10.199999999999999" customHeight="1">
      <c r="P382" s="250"/>
      <c r="Q382" s="250"/>
      <c r="R382" s="250"/>
      <c r="S382" s="250"/>
      <c r="T382" s="250"/>
      <c r="U382" s="250"/>
      <c r="V382" s="250"/>
      <c r="W382" s="250"/>
      <c r="X382" s="250"/>
      <c r="Y382" s="250"/>
      <c r="Z382" s="250"/>
    </row>
    <row r="383" spans="16:26" ht="10.199999999999999" customHeight="1">
      <c r="P383" s="250"/>
      <c r="Q383" s="250"/>
      <c r="R383" s="250"/>
      <c r="S383" s="250"/>
      <c r="T383" s="250"/>
      <c r="U383" s="250"/>
      <c r="V383" s="250"/>
      <c r="W383" s="250"/>
      <c r="X383" s="250"/>
      <c r="Y383" s="250"/>
      <c r="Z383" s="250"/>
    </row>
    <row r="384" spans="16:26" ht="10.199999999999999" customHeight="1">
      <c r="P384" s="241"/>
      <c r="Q384" s="241"/>
      <c r="R384" s="241"/>
      <c r="S384" s="241"/>
      <c r="T384" s="241"/>
      <c r="U384" s="241"/>
      <c r="V384" s="241"/>
      <c r="W384" s="241"/>
      <c r="X384" s="241"/>
      <c r="Y384" s="241"/>
      <c r="Z384" s="241"/>
    </row>
    <row r="385" spans="16:26" ht="10.199999999999999" customHeight="1">
      <c r="P385" s="250"/>
      <c r="Q385" s="250"/>
      <c r="R385" s="250"/>
      <c r="S385" s="250"/>
      <c r="T385" s="250"/>
      <c r="U385" s="250"/>
      <c r="V385" s="250"/>
      <c r="W385" s="250"/>
      <c r="X385" s="250"/>
      <c r="Y385" s="250"/>
      <c r="Z385" s="250"/>
    </row>
    <row r="386" spans="16:26" ht="10.199999999999999" customHeight="1">
      <c r="P386" s="250"/>
      <c r="Q386" s="250"/>
      <c r="R386" s="250"/>
      <c r="S386" s="250"/>
      <c r="T386" s="250"/>
      <c r="U386" s="250"/>
      <c r="V386" s="250"/>
      <c r="W386" s="250"/>
      <c r="X386" s="250"/>
      <c r="Y386" s="250"/>
      <c r="Z386" s="250"/>
    </row>
    <row r="387" spans="16:26" ht="10.199999999999999" customHeight="1">
      <c r="P387" s="241"/>
      <c r="Q387" s="241"/>
      <c r="R387" s="241"/>
      <c r="S387" s="241"/>
      <c r="T387" s="241"/>
      <c r="U387" s="241"/>
      <c r="V387" s="241"/>
      <c r="W387" s="241"/>
      <c r="X387" s="241"/>
      <c r="Y387" s="241"/>
      <c r="Z387" s="241"/>
    </row>
    <row r="388" spans="16:26" ht="10.199999999999999" customHeight="1">
      <c r="P388" s="250"/>
      <c r="Q388" s="250"/>
      <c r="R388" s="250"/>
      <c r="S388" s="250"/>
      <c r="T388" s="250"/>
      <c r="U388" s="250"/>
      <c r="V388" s="250"/>
      <c r="W388" s="250"/>
      <c r="X388" s="250"/>
      <c r="Y388" s="250"/>
      <c r="Z388" s="250"/>
    </row>
    <row r="389" spans="16:26" ht="10.199999999999999" customHeight="1">
      <c r="P389" s="250"/>
      <c r="Q389" s="250"/>
      <c r="R389" s="250"/>
      <c r="S389" s="250"/>
      <c r="T389" s="250"/>
      <c r="U389" s="250"/>
      <c r="V389" s="250"/>
      <c r="W389" s="250"/>
      <c r="X389" s="250"/>
      <c r="Y389" s="250"/>
      <c r="Z389" s="250"/>
    </row>
    <row r="390" spans="16:26" ht="10.199999999999999" customHeight="1">
      <c r="P390" s="241"/>
      <c r="Q390" s="241"/>
      <c r="R390" s="241"/>
      <c r="S390" s="241"/>
      <c r="T390" s="241"/>
      <c r="U390" s="241"/>
      <c r="V390" s="241"/>
      <c r="W390" s="241"/>
      <c r="X390" s="241"/>
      <c r="Y390" s="241"/>
      <c r="Z390" s="241"/>
    </row>
    <row r="391" spans="16:26" ht="10.199999999999999" customHeight="1">
      <c r="P391" s="250"/>
      <c r="Q391" s="250"/>
      <c r="R391" s="250"/>
      <c r="S391" s="250"/>
      <c r="T391" s="250"/>
      <c r="U391" s="250"/>
      <c r="V391" s="250"/>
      <c r="W391" s="250"/>
      <c r="X391" s="250"/>
      <c r="Y391" s="250"/>
      <c r="Z391" s="250"/>
    </row>
    <row r="392" spans="16:26" ht="10.199999999999999" customHeight="1">
      <c r="P392" s="250"/>
      <c r="Q392" s="250"/>
      <c r="R392" s="250"/>
      <c r="S392" s="250"/>
      <c r="T392" s="250"/>
      <c r="U392" s="250"/>
      <c r="V392" s="250"/>
      <c r="W392" s="250"/>
      <c r="X392" s="250"/>
      <c r="Y392" s="250"/>
      <c r="Z392" s="250"/>
    </row>
    <row r="393" spans="16:26" ht="10.199999999999999" customHeight="1">
      <c r="P393" s="241"/>
      <c r="Q393" s="241"/>
      <c r="R393" s="241"/>
      <c r="S393" s="241"/>
      <c r="T393" s="241"/>
      <c r="U393" s="241"/>
      <c r="V393" s="241"/>
      <c r="W393" s="241"/>
      <c r="X393" s="241"/>
      <c r="Y393" s="241"/>
      <c r="Z393" s="241"/>
    </row>
    <row r="394" spans="16:26" ht="10.199999999999999" customHeight="1">
      <c r="P394" s="250"/>
      <c r="Q394" s="250"/>
      <c r="R394" s="250"/>
      <c r="S394" s="250"/>
      <c r="T394" s="250"/>
      <c r="U394" s="250"/>
      <c r="V394" s="250"/>
      <c r="W394" s="250"/>
      <c r="X394" s="250"/>
      <c r="Y394" s="250"/>
      <c r="Z394" s="250"/>
    </row>
    <row r="395" spans="16:26" ht="10.199999999999999" customHeight="1">
      <c r="P395" s="250"/>
      <c r="Q395" s="250"/>
      <c r="R395" s="250"/>
      <c r="S395" s="250"/>
      <c r="T395" s="250"/>
      <c r="U395" s="250"/>
      <c r="V395" s="250"/>
      <c r="W395" s="250"/>
      <c r="X395" s="250"/>
      <c r="Y395" s="250"/>
      <c r="Z395" s="250"/>
    </row>
    <row r="396" spans="16:26" ht="10.199999999999999" customHeight="1">
      <c r="P396" s="241"/>
      <c r="Q396" s="241"/>
      <c r="R396" s="241"/>
      <c r="S396" s="241"/>
      <c r="T396" s="241"/>
      <c r="U396" s="241"/>
      <c r="V396" s="241"/>
      <c r="W396" s="241"/>
      <c r="X396" s="241"/>
      <c r="Y396" s="241"/>
      <c r="Z396" s="241"/>
    </row>
    <row r="397" spans="16:26" ht="10.199999999999999" customHeight="1">
      <c r="P397" s="250"/>
      <c r="Q397" s="250"/>
      <c r="R397" s="250"/>
      <c r="S397" s="250"/>
      <c r="T397" s="250"/>
      <c r="U397" s="250"/>
      <c r="V397" s="250"/>
      <c r="W397" s="250"/>
      <c r="X397" s="250"/>
      <c r="Y397" s="250"/>
      <c r="Z397" s="250"/>
    </row>
    <row r="398" spans="16:26" ht="10.199999999999999" customHeight="1">
      <c r="P398" s="250"/>
      <c r="Q398" s="250"/>
      <c r="R398" s="250"/>
      <c r="S398" s="250"/>
      <c r="T398" s="250"/>
      <c r="U398" s="250"/>
      <c r="V398" s="250"/>
      <c r="W398" s="250"/>
      <c r="X398" s="250"/>
      <c r="Y398" s="250"/>
      <c r="Z398" s="250"/>
    </row>
    <row r="399" spans="16:26" ht="10.199999999999999" customHeight="1">
      <c r="P399" s="241"/>
      <c r="Q399" s="241"/>
      <c r="R399" s="241"/>
      <c r="S399" s="241"/>
      <c r="T399" s="241"/>
      <c r="U399" s="241"/>
      <c r="V399" s="241"/>
      <c r="W399" s="241"/>
      <c r="X399" s="241"/>
      <c r="Y399" s="241"/>
      <c r="Z399" s="241"/>
    </row>
    <row r="400" spans="16:26" ht="10.199999999999999" customHeight="1">
      <c r="P400" s="250"/>
      <c r="Q400" s="250"/>
      <c r="R400" s="250"/>
      <c r="S400" s="250"/>
      <c r="T400" s="250"/>
      <c r="U400" s="250"/>
      <c r="V400" s="250"/>
      <c r="W400" s="250"/>
      <c r="X400" s="250"/>
      <c r="Y400" s="250"/>
      <c r="Z400" s="250"/>
    </row>
    <row r="401" spans="16:26" ht="10.199999999999999" customHeight="1">
      <c r="P401" s="250"/>
      <c r="Q401" s="250"/>
      <c r="R401" s="250"/>
      <c r="S401" s="250"/>
      <c r="T401" s="250"/>
      <c r="U401" s="250"/>
      <c r="V401" s="250"/>
      <c r="W401" s="250"/>
      <c r="X401" s="250"/>
      <c r="Y401" s="250"/>
      <c r="Z401" s="250"/>
    </row>
    <row r="402" spans="16:26" ht="10.199999999999999" customHeight="1">
      <c r="P402" s="241"/>
      <c r="Q402" s="241"/>
      <c r="R402" s="241"/>
      <c r="S402" s="241"/>
      <c r="T402" s="241"/>
      <c r="U402" s="241"/>
      <c r="V402" s="241"/>
      <c r="W402" s="241"/>
      <c r="X402" s="241"/>
      <c r="Y402" s="241"/>
      <c r="Z402" s="241"/>
    </row>
    <row r="403" spans="16:26" ht="10.199999999999999" customHeight="1">
      <c r="P403" s="250"/>
      <c r="Q403" s="250"/>
      <c r="R403" s="250"/>
      <c r="S403" s="250"/>
      <c r="T403" s="250"/>
      <c r="U403" s="250"/>
      <c r="V403" s="250"/>
      <c r="W403" s="250"/>
      <c r="X403" s="250"/>
      <c r="Y403" s="250"/>
      <c r="Z403" s="250"/>
    </row>
    <row r="404" spans="16:26" ht="10.199999999999999" customHeight="1">
      <c r="P404" s="250"/>
      <c r="Q404" s="250"/>
      <c r="R404" s="250"/>
      <c r="S404" s="250"/>
      <c r="T404" s="250"/>
      <c r="U404" s="250"/>
      <c r="V404" s="250"/>
      <c r="W404" s="250"/>
      <c r="X404" s="250"/>
      <c r="Y404" s="250"/>
      <c r="Z404" s="250"/>
    </row>
    <row r="405" spans="16:26" ht="10.199999999999999" customHeight="1">
      <c r="P405" s="241"/>
      <c r="Q405" s="241"/>
      <c r="R405" s="241"/>
      <c r="S405" s="241"/>
      <c r="T405" s="241"/>
      <c r="U405" s="241"/>
      <c r="V405" s="241"/>
      <c r="W405" s="241"/>
      <c r="X405" s="241"/>
      <c r="Y405" s="241"/>
      <c r="Z405" s="241"/>
    </row>
    <row r="406" spans="16:26" ht="10.199999999999999" customHeight="1">
      <c r="P406" s="250"/>
      <c r="Q406" s="250"/>
      <c r="R406" s="250"/>
      <c r="S406" s="250"/>
      <c r="T406" s="250"/>
      <c r="U406" s="250"/>
      <c r="V406" s="250"/>
      <c r="W406" s="250"/>
      <c r="X406" s="250"/>
      <c r="Y406" s="250"/>
      <c r="Z406" s="250"/>
    </row>
    <row r="407" spans="16:26" ht="10.199999999999999" customHeight="1">
      <c r="P407" s="250"/>
      <c r="Q407" s="250"/>
      <c r="R407" s="250"/>
      <c r="S407" s="250"/>
      <c r="T407" s="250"/>
      <c r="U407" s="250"/>
      <c r="V407" s="250"/>
      <c r="W407" s="250"/>
      <c r="X407" s="250"/>
      <c r="Y407" s="250"/>
      <c r="Z407" s="250"/>
    </row>
    <row r="408" spans="16:26" ht="10.199999999999999" customHeight="1">
      <c r="P408" s="241"/>
      <c r="Q408" s="241"/>
      <c r="R408" s="241"/>
      <c r="S408" s="241"/>
      <c r="T408" s="241"/>
      <c r="U408" s="241"/>
      <c r="V408" s="241"/>
      <c r="W408" s="241"/>
      <c r="X408" s="241"/>
      <c r="Y408" s="241"/>
      <c r="Z408" s="241"/>
    </row>
    <row r="409" spans="16:26" ht="10.199999999999999" customHeight="1">
      <c r="P409" s="250"/>
      <c r="Q409" s="250"/>
      <c r="R409" s="250"/>
      <c r="S409" s="250"/>
      <c r="T409" s="250"/>
      <c r="U409" s="250"/>
      <c r="V409" s="250"/>
      <c r="W409" s="250"/>
      <c r="X409" s="250"/>
      <c r="Y409" s="250"/>
      <c r="Z409" s="250"/>
    </row>
    <row r="410" spans="16:26" ht="10.199999999999999" customHeight="1">
      <c r="P410" s="250"/>
      <c r="Q410" s="250"/>
      <c r="R410" s="250"/>
      <c r="S410" s="250"/>
      <c r="T410" s="250"/>
      <c r="U410" s="250"/>
      <c r="V410" s="250"/>
      <c r="W410" s="250"/>
      <c r="X410" s="250"/>
      <c r="Y410" s="250"/>
      <c r="Z410" s="250"/>
    </row>
    <row r="411" spans="16:26" ht="10.199999999999999" customHeight="1">
      <c r="P411" s="241"/>
      <c r="Q411" s="241"/>
      <c r="R411" s="241"/>
      <c r="S411" s="241"/>
      <c r="T411" s="241"/>
      <c r="U411" s="241"/>
      <c r="V411" s="241"/>
      <c r="W411" s="241"/>
      <c r="X411" s="241"/>
      <c r="Y411" s="241"/>
      <c r="Z411" s="241"/>
    </row>
    <row r="412" spans="16:26" ht="10.199999999999999" customHeight="1">
      <c r="P412" s="250"/>
      <c r="Q412" s="250"/>
      <c r="R412" s="250"/>
      <c r="S412" s="250"/>
      <c r="T412" s="250"/>
      <c r="U412" s="250"/>
      <c r="V412" s="250"/>
      <c r="W412" s="250"/>
      <c r="X412" s="250"/>
      <c r="Y412" s="250"/>
      <c r="Z412" s="250"/>
    </row>
    <row r="413" spans="16:26" ht="10.199999999999999" customHeight="1">
      <c r="P413" s="250"/>
      <c r="Q413" s="250"/>
      <c r="R413" s="250"/>
      <c r="S413" s="250"/>
      <c r="T413" s="250"/>
      <c r="U413" s="250"/>
      <c r="V413" s="250"/>
      <c r="W413" s="250"/>
      <c r="X413" s="250"/>
      <c r="Y413" s="250"/>
      <c r="Z413" s="250"/>
    </row>
    <row r="414" spans="16:26" ht="10.199999999999999" customHeight="1">
      <c r="P414" s="241"/>
      <c r="Q414" s="241"/>
      <c r="R414" s="241"/>
      <c r="S414" s="241"/>
      <c r="T414" s="241"/>
      <c r="U414" s="241"/>
      <c r="V414" s="241"/>
      <c r="W414" s="241"/>
      <c r="X414" s="241"/>
      <c r="Y414" s="241"/>
      <c r="Z414" s="241"/>
    </row>
    <row r="415" spans="16:26" ht="10.199999999999999" customHeight="1">
      <c r="P415" s="250"/>
      <c r="Q415" s="250"/>
      <c r="R415" s="250"/>
      <c r="S415" s="250"/>
      <c r="T415" s="250"/>
      <c r="U415" s="250"/>
      <c r="V415" s="250"/>
      <c r="W415" s="250"/>
      <c r="X415" s="250"/>
      <c r="Y415" s="250"/>
      <c r="Z415" s="250"/>
    </row>
    <row r="416" spans="16:26" ht="10.199999999999999" customHeight="1">
      <c r="P416" s="250"/>
      <c r="Q416" s="250"/>
      <c r="R416" s="250"/>
      <c r="S416" s="250"/>
      <c r="T416" s="250"/>
      <c r="U416" s="250"/>
      <c r="V416" s="250"/>
      <c r="W416" s="250"/>
      <c r="X416" s="250"/>
      <c r="Y416" s="250"/>
      <c r="Z416" s="250"/>
    </row>
    <row r="417" spans="16:26" ht="10.199999999999999" customHeight="1">
      <c r="P417" s="241"/>
      <c r="Q417" s="241"/>
      <c r="R417" s="241"/>
      <c r="S417" s="241"/>
      <c r="T417" s="241"/>
      <c r="U417" s="241"/>
      <c r="V417" s="241"/>
      <c r="W417" s="241"/>
      <c r="X417" s="241"/>
      <c r="Y417" s="241"/>
      <c r="Z417" s="241"/>
    </row>
    <row r="418" spans="16:26" ht="10.199999999999999" customHeight="1">
      <c r="P418" s="250"/>
      <c r="Q418" s="250"/>
      <c r="R418" s="250"/>
      <c r="S418" s="250"/>
      <c r="T418" s="250"/>
      <c r="U418" s="250"/>
      <c r="V418" s="250"/>
      <c r="W418" s="250"/>
      <c r="X418" s="250"/>
      <c r="Y418" s="250"/>
      <c r="Z418" s="250"/>
    </row>
    <row r="419" spans="16:26" ht="10.199999999999999" customHeight="1">
      <c r="P419" s="250"/>
      <c r="Q419" s="250"/>
      <c r="R419" s="250"/>
      <c r="S419" s="250"/>
      <c r="T419" s="250"/>
      <c r="U419" s="250"/>
      <c r="V419" s="250"/>
      <c r="W419" s="250"/>
      <c r="X419" s="250"/>
      <c r="Y419" s="250"/>
      <c r="Z419" s="250"/>
    </row>
    <row r="420" spans="16:26" ht="10.199999999999999" customHeight="1">
      <c r="P420" s="241"/>
      <c r="Q420" s="241"/>
      <c r="R420" s="241"/>
      <c r="S420" s="241"/>
      <c r="T420" s="241"/>
      <c r="U420" s="241"/>
      <c r="V420" s="241"/>
      <c r="W420" s="241"/>
      <c r="X420" s="241"/>
      <c r="Y420" s="241"/>
      <c r="Z420" s="241"/>
    </row>
    <row r="421" spans="16:26" ht="10.199999999999999" customHeight="1">
      <c r="P421" s="250"/>
      <c r="Q421" s="250"/>
      <c r="R421" s="250"/>
      <c r="S421" s="250"/>
      <c r="T421" s="250"/>
      <c r="U421" s="250"/>
      <c r="V421" s="250"/>
      <c r="W421" s="250"/>
      <c r="X421" s="250"/>
      <c r="Y421" s="250"/>
      <c r="Z421" s="250"/>
    </row>
    <row r="422" spans="16:26" ht="10.199999999999999" customHeight="1">
      <c r="P422" s="250"/>
      <c r="Q422" s="250"/>
      <c r="R422" s="250"/>
      <c r="S422" s="250"/>
      <c r="T422" s="250"/>
      <c r="U422" s="250"/>
      <c r="V422" s="250"/>
      <c r="W422" s="250"/>
      <c r="X422" s="250"/>
      <c r="Y422" s="250"/>
      <c r="Z422" s="250"/>
    </row>
    <row r="423" spans="16:26" ht="10.199999999999999" customHeight="1">
      <c r="P423" s="241"/>
      <c r="Q423" s="241"/>
      <c r="R423" s="241"/>
      <c r="S423" s="241"/>
      <c r="T423" s="241"/>
      <c r="U423" s="241"/>
      <c r="V423" s="241"/>
      <c r="W423" s="241"/>
      <c r="X423" s="241"/>
      <c r="Y423" s="241"/>
      <c r="Z423" s="241"/>
    </row>
    <row r="424" spans="16:26" ht="10.199999999999999" customHeight="1">
      <c r="P424" s="250"/>
      <c r="Q424" s="250"/>
      <c r="R424" s="250"/>
      <c r="S424" s="250"/>
      <c r="T424" s="250"/>
      <c r="U424" s="250"/>
      <c r="V424" s="250"/>
      <c r="W424" s="250"/>
      <c r="X424" s="250"/>
      <c r="Y424" s="250"/>
      <c r="Z424" s="250"/>
    </row>
    <row r="425" spans="16:26" ht="10.199999999999999" customHeight="1">
      <c r="P425" s="250"/>
      <c r="Q425" s="250"/>
      <c r="R425" s="250"/>
      <c r="S425" s="250"/>
      <c r="T425" s="250"/>
      <c r="U425" s="250"/>
      <c r="V425" s="250"/>
      <c r="W425" s="250"/>
      <c r="X425" s="250"/>
      <c r="Y425" s="250"/>
      <c r="Z425" s="250"/>
    </row>
    <row r="426" spans="16:26" ht="10.199999999999999" customHeight="1">
      <c r="P426" s="241"/>
      <c r="Q426" s="241"/>
      <c r="R426" s="241"/>
      <c r="S426" s="241"/>
      <c r="T426" s="241"/>
      <c r="U426" s="241"/>
      <c r="V426" s="241"/>
      <c r="W426" s="241"/>
      <c r="X426" s="241"/>
      <c r="Y426" s="241"/>
      <c r="Z426" s="241"/>
    </row>
    <row r="427" spans="16:26" ht="10.199999999999999" customHeight="1">
      <c r="P427" s="250"/>
      <c r="Q427" s="250"/>
      <c r="R427" s="250"/>
      <c r="S427" s="250"/>
      <c r="T427" s="250"/>
      <c r="U427" s="250"/>
      <c r="V427" s="250"/>
      <c r="W427" s="250"/>
      <c r="X427" s="250"/>
      <c r="Y427" s="250"/>
      <c r="Z427" s="250"/>
    </row>
    <row r="428" spans="16:26" ht="10.199999999999999" customHeight="1">
      <c r="P428" s="250"/>
      <c r="Q428" s="250"/>
      <c r="R428" s="250"/>
      <c r="S428" s="250"/>
      <c r="T428" s="250"/>
      <c r="U428" s="250"/>
      <c r="V428" s="250"/>
      <c r="W428" s="250"/>
      <c r="X428" s="250"/>
      <c r="Y428" s="250"/>
      <c r="Z428" s="250"/>
    </row>
    <row r="429" spans="16:26" ht="10.199999999999999" customHeight="1">
      <c r="P429" s="241"/>
      <c r="Q429" s="241"/>
      <c r="R429" s="241"/>
      <c r="S429" s="241"/>
      <c r="T429" s="241"/>
      <c r="U429" s="241"/>
      <c r="V429" s="241"/>
      <c r="W429" s="241"/>
      <c r="X429" s="241"/>
      <c r="Y429" s="241"/>
      <c r="Z429" s="241"/>
    </row>
    <row r="430" spans="16:26" ht="10.199999999999999" customHeight="1">
      <c r="P430" s="250"/>
      <c r="Q430" s="250"/>
      <c r="R430" s="250"/>
      <c r="S430" s="250"/>
      <c r="T430" s="250"/>
      <c r="U430" s="250"/>
      <c r="V430" s="250"/>
      <c r="W430" s="250"/>
      <c r="X430" s="250"/>
      <c r="Y430" s="250"/>
      <c r="Z430" s="250"/>
    </row>
    <row r="431" spans="16:26" ht="10.199999999999999" customHeight="1">
      <c r="P431" s="250"/>
      <c r="Q431" s="250"/>
      <c r="R431" s="250"/>
      <c r="S431" s="250"/>
      <c r="T431" s="250"/>
      <c r="U431" s="250"/>
      <c r="V431" s="250"/>
      <c r="W431" s="250"/>
      <c r="X431" s="250"/>
      <c r="Y431" s="250"/>
      <c r="Z431" s="250"/>
    </row>
    <row r="432" spans="16:26" ht="10.199999999999999" customHeight="1">
      <c r="P432" s="241"/>
      <c r="Q432" s="241"/>
      <c r="R432" s="241"/>
      <c r="S432" s="241"/>
      <c r="T432" s="241"/>
      <c r="U432" s="241"/>
      <c r="V432" s="241"/>
      <c r="W432" s="241"/>
      <c r="X432" s="241"/>
      <c r="Y432" s="241"/>
      <c r="Z432" s="241"/>
    </row>
    <row r="433" spans="16:26" ht="10.199999999999999" customHeight="1">
      <c r="P433" s="250"/>
      <c r="Q433" s="250"/>
      <c r="R433" s="250"/>
      <c r="S433" s="250"/>
      <c r="T433" s="250"/>
      <c r="U433" s="250"/>
      <c r="V433" s="250"/>
      <c r="W433" s="250"/>
      <c r="X433" s="250"/>
      <c r="Y433" s="250"/>
      <c r="Z433" s="250"/>
    </row>
    <row r="434" spans="16:26" ht="10.199999999999999" customHeight="1">
      <c r="P434" s="250"/>
      <c r="Q434" s="250"/>
      <c r="R434" s="250"/>
      <c r="S434" s="250"/>
      <c r="T434" s="250"/>
      <c r="U434" s="250"/>
      <c r="V434" s="250"/>
      <c r="W434" s="250"/>
      <c r="X434" s="250"/>
      <c r="Y434" s="250"/>
      <c r="Z434" s="250"/>
    </row>
    <row r="435" spans="16:26" ht="10.199999999999999" customHeight="1">
      <c r="P435" s="241"/>
      <c r="Q435" s="241"/>
      <c r="R435" s="241"/>
      <c r="S435" s="241"/>
      <c r="T435" s="241"/>
      <c r="U435" s="241"/>
      <c r="V435" s="241"/>
      <c r="W435" s="241"/>
      <c r="X435" s="241"/>
      <c r="Y435" s="241"/>
      <c r="Z435" s="241"/>
    </row>
    <row r="436" spans="16:26" ht="10.199999999999999" customHeight="1">
      <c r="P436" s="250"/>
      <c r="Q436" s="250"/>
      <c r="R436" s="250"/>
      <c r="S436" s="250"/>
      <c r="T436" s="250"/>
      <c r="U436" s="250"/>
      <c r="V436" s="250"/>
      <c r="W436" s="250"/>
      <c r="X436" s="250"/>
      <c r="Y436" s="250"/>
      <c r="Z436" s="250"/>
    </row>
    <row r="437" spans="16:26" ht="10.199999999999999" customHeight="1">
      <c r="P437" s="250"/>
      <c r="Q437" s="250"/>
      <c r="R437" s="250"/>
      <c r="S437" s="250"/>
      <c r="T437" s="250"/>
      <c r="U437" s="250"/>
      <c r="V437" s="250"/>
      <c r="W437" s="250"/>
      <c r="X437" s="250"/>
      <c r="Y437" s="250"/>
      <c r="Z437" s="250"/>
    </row>
    <row r="438" spans="16:26" ht="10.199999999999999" customHeight="1">
      <c r="P438" s="241"/>
      <c r="Q438" s="241"/>
      <c r="R438" s="241"/>
      <c r="S438" s="241"/>
      <c r="T438" s="241"/>
      <c r="U438" s="241"/>
      <c r="V438" s="241"/>
      <c r="W438" s="241"/>
      <c r="X438" s="241"/>
      <c r="Y438" s="241"/>
      <c r="Z438" s="241"/>
    </row>
    <row r="439" spans="16:26" ht="10.199999999999999" customHeight="1">
      <c r="P439" s="250"/>
      <c r="Q439" s="250"/>
      <c r="R439" s="250"/>
      <c r="S439" s="250"/>
      <c r="T439" s="250"/>
      <c r="U439" s="250"/>
      <c r="V439" s="250"/>
      <c r="W439" s="250"/>
      <c r="X439" s="250"/>
      <c r="Y439" s="250"/>
      <c r="Z439" s="250"/>
    </row>
    <row r="440" spans="16:26" ht="10.199999999999999" customHeight="1">
      <c r="P440" s="250"/>
      <c r="Q440" s="250"/>
      <c r="R440" s="250"/>
      <c r="S440" s="250"/>
      <c r="T440" s="250"/>
      <c r="U440" s="250"/>
      <c r="V440" s="250"/>
      <c r="W440" s="250"/>
      <c r="X440" s="250"/>
      <c r="Y440" s="250"/>
      <c r="Z440" s="250"/>
    </row>
    <row r="441" spans="16:26" ht="10.199999999999999" customHeight="1">
      <c r="P441" s="241"/>
      <c r="Q441" s="241"/>
      <c r="R441" s="241"/>
      <c r="S441" s="241"/>
      <c r="T441" s="241"/>
      <c r="U441" s="241"/>
      <c r="V441" s="241"/>
      <c r="W441" s="241"/>
      <c r="X441" s="241"/>
      <c r="Y441" s="241"/>
      <c r="Z441" s="241"/>
    </row>
    <row r="442" spans="16:26" ht="10.199999999999999" customHeight="1">
      <c r="P442" s="250"/>
      <c r="Q442" s="250"/>
      <c r="R442" s="250"/>
      <c r="S442" s="250"/>
      <c r="T442" s="250"/>
      <c r="U442" s="250"/>
      <c r="V442" s="250"/>
      <c r="W442" s="250"/>
      <c r="X442" s="250"/>
      <c r="Y442" s="250"/>
      <c r="Z442" s="250"/>
    </row>
    <row r="443" spans="16:26" ht="10.199999999999999" customHeight="1">
      <c r="P443" s="250"/>
      <c r="Q443" s="250"/>
      <c r="R443" s="250"/>
      <c r="S443" s="250"/>
      <c r="T443" s="250"/>
      <c r="U443" s="250"/>
      <c r="V443" s="250"/>
      <c r="W443" s="250"/>
      <c r="X443" s="250"/>
      <c r="Y443" s="250"/>
      <c r="Z443" s="250"/>
    </row>
    <row r="444" spans="16:26" ht="10.199999999999999" customHeight="1">
      <c r="P444" s="241"/>
      <c r="Q444" s="241"/>
      <c r="R444" s="241"/>
      <c r="S444" s="241"/>
      <c r="T444" s="241"/>
      <c r="U444" s="241"/>
      <c r="V444" s="241"/>
      <c r="W444" s="241"/>
      <c r="X444" s="241"/>
      <c r="Y444" s="241"/>
      <c r="Z444" s="241"/>
    </row>
    <row r="445" spans="16:26" ht="10.199999999999999" customHeight="1">
      <c r="P445" s="250"/>
      <c r="Q445" s="250"/>
      <c r="R445" s="250"/>
      <c r="S445" s="250"/>
      <c r="T445" s="250"/>
      <c r="U445" s="250"/>
      <c r="V445" s="250"/>
      <c r="W445" s="250"/>
      <c r="X445" s="250"/>
      <c r="Y445" s="250"/>
      <c r="Z445" s="250"/>
    </row>
    <row r="446" spans="16:26" ht="10.199999999999999" customHeight="1">
      <c r="P446" s="250"/>
      <c r="Q446" s="250"/>
      <c r="R446" s="250"/>
      <c r="S446" s="250"/>
      <c r="T446" s="250"/>
      <c r="U446" s="250"/>
      <c r="V446" s="250"/>
      <c r="W446" s="250"/>
      <c r="X446" s="250"/>
      <c r="Y446" s="250"/>
      <c r="Z446" s="250"/>
    </row>
    <row r="447" spans="16:26" ht="10.199999999999999" customHeight="1">
      <c r="P447" s="241"/>
      <c r="Q447" s="241"/>
      <c r="R447" s="241"/>
      <c r="S447" s="241"/>
      <c r="T447" s="241"/>
      <c r="U447" s="241"/>
      <c r="V447" s="241"/>
      <c r="W447" s="241"/>
      <c r="X447" s="241"/>
      <c r="Y447" s="241"/>
      <c r="Z447" s="241"/>
    </row>
    <row r="448" spans="16:26" ht="10.199999999999999" customHeight="1">
      <c r="P448" s="250"/>
      <c r="Q448" s="250"/>
      <c r="R448" s="250"/>
      <c r="S448" s="250"/>
      <c r="T448" s="250"/>
      <c r="U448" s="250"/>
      <c r="V448" s="250"/>
      <c r="W448" s="250"/>
      <c r="X448" s="250"/>
      <c r="Y448" s="250"/>
      <c r="Z448" s="250"/>
    </row>
    <row r="449" spans="16:26" ht="10.199999999999999" customHeight="1">
      <c r="P449" s="250"/>
      <c r="Q449" s="250"/>
      <c r="R449" s="250"/>
      <c r="S449" s="250"/>
      <c r="T449" s="250"/>
      <c r="U449" s="250"/>
      <c r="V449" s="250"/>
      <c r="W449" s="250"/>
      <c r="X449" s="250"/>
      <c r="Y449" s="250"/>
      <c r="Z449" s="250"/>
    </row>
    <row r="450" spans="16:26" ht="10.199999999999999" customHeight="1">
      <c r="P450" s="241"/>
      <c r="Q450" s="241"/>
      <c r="R450" s="241"/>
      <c r="S450" s="241"/>
      <c r="T450" s="241"/>
      <c r="U450" s="241"/>
      <c r="V450" s="241"/>
      <c r="W450" s="241"/>
      <c r="X450" s="241"/>
      <c r="Y450" s="241"/>
      <c r="Z450" s="241"/>
    </row>
    <row r="451" spans="16:26" ht="10.199999999999999" customHeight="1">
      <c r="P451" s="250"/>
      <c r="Q451" s="250"/>
      <c r="R451" s="250"/>
      <c r="S451" s="250"/>
      <c r="T451" s="250"/>
      <c r="U451" s="250"/>
      <c r="V451" s="250"/>
      <c r="W451" s="250"/>
      <c r="X451" s="250"/>
      <c r="Y451" s="250"/>
      <c r="Z451" s="250"/>
    </row>
    <row r="452" spans="16:26" ht="10.199999999999999" customHeight="1">
      <c r="P452" s="250"/>
      <c r="Q452" s="250"/>
      <c r="R452" s="250"/>
      <c r="S452" s="250"/>
      <c r="T452" s="250"/>
      <c r="U452" s="250"/>
      <c r="V452" s="250"/>
      <c r="W452" s="250"/>
      <c r="X452" s="250"/>
      <c r="Y452" s="250"/>
      <c r="Z452" s="250"/>
    </row>
    <row r="453" spans="16:26" ht="10.199999999999999" customHeight="1">
      <c r="P453" s="241"/>
      <c r="Q453" s="241"/>
      <c r="R453" s="241"/>
      <c r="S453" s="241"/>
      <c r="T453" s="241"/>
      <c r="U453" s="241"/>
      <c r="V453" s="241"/>
      <c r="W453" s="241"/>
      <c r="X453" s="241"/>
      <c r="Y453" s="241"/>
      <c r="Z453" s="241"/>
    </row>
    <row r="454" spans="16:26" ht="10.199999999999999" customHeight="1">
      <c r="P454" s="250"/>
      <c r="Q454" s="250"/>
      <c r="R454" s="250"/>
      <c r="S454" s="250"/>
      <c r="T454" s="250"/>
      <c r="U454" s="250"/>
      <c r="V454" s="250"/>
      <c r="W454" s="250"/>
      <c r="X454" s="250"/>
      <c r="Y454" s="250"/>
      <c r="Z454" s="250"/>
    </row>
    <row r="455" spans="16:26" ht="10.199999999999999" customHeight="1">
      <c r="P455" s="250"/>
      <c r="Q455" s="250"/>
      <c r="R455" s="250"/>
      <c r="S455" s="250"/>
      <c r="T455" s="250"/>
      <c r="U455" s="250"/>
      <c r="V455" s="250"/>
      <c r="W455" s="250"/>
      <c r="X455" s="250"/>
      <c r="Y455" s="250"/>
      <c r="Z455" s="250"/>
    </row>
    <row r="456" spans="16:26" ht="10.199999999999999" customHeight="1">
      <c r="P456" s="241"/>
      <c r="Q456" s="241"/>
      <c r="R456" s="241"/>
      <c r="S456" s="241"/>
      <c r="T456" s="241"/>
      <c r="U456" s="241"/>
      <c r="V456" s="241"/>
      <c r="W456" s="241"/>
      <c r="X456" s="241"/>
      <c r="Y456" s="241"/>
      <c r="Z456" s="241"/>
    </row>
    <row r="457" spans="16:26" ht="10.199999999999999" customHeight="1">
      <c r="P457" s="250"/>
      <c r="Q457" s="250"/>
      <c r="R457" s="250"/>
      <c r="S457" s="250"/>
      <c r="T457" s="250"/>
      <c r="U457" s="250"/>
      <c r="V457" s="250"/>
      <c r="W457" s="250"/>
      <c r="X457" s="250"/>
      <c r="Y457" s="250"/>
      <c r="Z457" s="250"/>
    </row>
    <row r="458" spans="16:26" ht="10.199999999999999" customHeight="1">
      <c r="P458" s="250"/>
      <c r="Q458" s="250"/>
      <c r="R458" s="250"/>
      <c r="S458" s="250"/>
      <c r="T458" s="250"/>
      <c r="U458" s="250"/>
      <c r="V458" s="250"/>
      <c r="W458" s="250"/>
      <c r="X458" s="250"/>
      <c r="Y458" s="250"/>
      <c r="Z458" s="250"/>
    </row>
    <row r="459" spans="16:26" ht="10.199999999999999" customHeight="1">
      <c r="P459" s="241"/>
      <c r="Q459" s="241"/>
      <c r="R459" s="241"/>
      <c r="S459" s="241"/>
      <c r="T459" s="241"/>
      <c r="U459" s="241"/>
      <c r="V459" s="241"/>
      <c r="W459" s="241"/>
      <c r="X459" s="241"/>
      <c r="Y459" s="241"/>
      <c r="Z459" s="241"/>
    </row>
    <row r="460" spans="16:26" ht="10.199999999999999" customHeight="1">
      <c r="P460" s="250"/>
      <c r="Q460" s="250"/>
      <c r="R460" s="250"/>
      <c r="S460" s="250"/>
      <c r="T460" s="250"/>
      <c r="U460" s="250"/>
      <c r="V460" s="250"/>
      <c r="W460" s="250"/>
      <c r="X460" s="250"/>
      <c r="Y460" s="250"/>
      <c r="Z460" s="250"/>
    </row>
    <row r="461" spans="16:26" ht="10.199999999999999" customHeight="1">
      <c r="P461" s="250"/>
      <c r="Q461" s="250"/>
      <c r="R461" s="250"/>
      <c r="S461" s="250"/>
      <c r="T461" s="250"/>
      <c r="U461" s="250"/>
      <c r="V461" s="250"/>
      <c r="W461" s="250"/>
      <c r="X461" s="250"/>
      <c r="Y461" s="250"/>
      <c r="Z461" s="250"/>
    </row>
    <row r="462" spans="16:26" ht="10.199999999999999" customHeight="1">
      <c r="P462" s="241"/>
      <c r="Q462" s="241"/>
      <c r="R462" s="241"/>
      <c r="S462" s="241"/>
      <c r="T462" s="241"/>
      <c r="U462" s="241"/>
      <c r="V462" s="241"/>
      <c r="W462" s="241"/>
      <c r="X462" s="241"/>
      <c r="Y462" s="241"/>
      <c r="Z462" s="241"/>
    </row>
    <row r="463" spans="16:26" ht="10.199999999999999" customHeight="1">
      <c r="P463" s="250"/>
      <c r="Q463" s="250"/>
      <c r="R463" s="250"/>
      <c r="S463" s="250"/>
      <c r="T463" s="250"/>
      <c r="U463" s="250"/>
      <c r="V463" s="250"/>
      <c r="W463" s="250"/>
      <c r="X463" s="250"/>
      <c r="Y463" s="250"/>
      <c r="Z463" s="250"/>
    </row>
    <row r="464" spans="16:26" ht="10.199999999999999" customHeight="1">
      <c r="P464" s="250"/>
      <c r="Q464" s="250"/>
      <c r="R464" s="250"/>
      <c r="S464" s="250"/>
      <c r="T464" s="250"/>
      <c r="U464" s="250"/>
      <c r="V464" s="250"/>
      <c r="W464" s="250"/>
      <c r="X464" s="250"/>
      <c r="Y464" s="250"/>
      <c r="Z464" s="250"/>
    </row>
    <row r="465" spans="16:26" ht="10.199999999999999" customHeight="1">
      <c r="P465" s="241"/>
      <c r="Q465" s="241"/>
      <c r="R465" s="241"/>
      <c r="S465" s="241"/>
      <c r="T465" s="241"/>
      <c r="U465" s="241"/>
      <c r="V465" s="241"/>
      <c r="W465" s="241"/>
      <c r="X465" s="241"/>
      <c r="Y465" s="241"/>
      <c r="Z465" s="241"/>
    </row>
    <row r="466" spans="16:26" ht="10.199999999999999" customHeight="1">
      <c r="P466" s="250"/>
      <c r="Q466" s="250"/>
      <c r="R466" s="250"/>
      <c r="S466" s="250"/>
      <c r="T466" s="250"/>
      <c r="U466" s="250"/>
      <c r="V466" s="250"/>
      <c r="W466" s="250"/>
      <c r="X466" s="250"/>
      <c r="Y466" s="250"/>
      <c r="Z466" s="250"/>
    </row>
    <row r="467" spans="16:26" ht="10.199999999999999" customHeight="1">
      <c r="P467" s="250"/>
      <c r="Q467" s="250"/>
      <c r="R467" s="250"/>
      <c r="S467" s="250"/>
      <c r="T467" s="250"/>
      <c r="U467" s="250"/>
      <c r="V467" s="250"/>
      <c r="W467" s="250"/>
      <c r="X467" s="250"/>
      <c r="Y467" s="250"/>
      <c r="Z467" s="250"/>
    </row>
    <row r="468" spans="16:26" ht="10.199999999999999" customHeight="1">
      <c r="P468" s="241"/>
      <c r="Q468" s="241"/>
      <c r="R468" s="241"/>
      <c r="S468" s="241"/>
      <c r="T468" s="241"/>
      <c r="U468" s="241"/>
      <c r="V468" s="241"/>
      <c r="W468" s="241"/>
      <c r="X468" s="241"/>
      <c r="Y468" s="241"/>
      <c r="Z468" s="241"/>
    </row>
    <row r="469" spans="16:26" ht="10.199999999999999" customHeight="1">
      <c r="P469" s="250"/>
      <c r="Q469" s="250"/>
      <c r="R469" s="250"/>
      <c r="S469" s="250"/>
      <c r="T469" s="250"/>
      <c r="U469" s="250"/>
      <c r="V469" s="250"/>
      <c r="W469" s="250"/>
      <c r="X469" s="250"/>
      <c r="Y469" s="250"/>
      <c r="Z469" s="250"/>
    </row>
    <row r="470" spans="16:26" ht="10.199999999999999" customHeight="1">
      <c r="P470" s="250"/>
      <c r="Q470" s="250"/>
      <c r="R470" s="250"/>
      <c r="S470" s="250"/>
      <c r="T470" s="250"/>
      <c r="U470" s="250"/>
      <c r="V470" s="250"/>
      <c r="W470" s="250"/>
      <c r="X470" s="250"/>
      <c r="Y470" s="250"/>
      <c r="Z470" s="250"/>
    </row>
    <row r="471" spans="16:26" ht="10.199999999999999" customHeight="1">
      <c r="P471" s="241"/>
      <c r="Q471" s="241"/>
      <c r="R471" s="241"/>
      <c r="S471" s="241"/>
      <c r="T471" s="241"/>
      <c r="U471" s="241"/>
      <c r="V471" s="241"/>
      <c r="W471" s="241"/>
      <c r="X471" s="241"/>
      <c r="Y471" s="241"/>
      <c r="Z471" s="241"/>
    </row>
    <row r="472" spans="16:26" ht="10.199999999999999" customHeight="1">
      <c r="P472" s="250"/>
      <c r="Q472" s="250"/>
      <c r="R472" s="250"/>
      <c r="S472" s="250"/>
      <c r="T472" s="250"/>
      <c r="U472" s="250"/>
      <c r="V472" s="250"/>
      <c r="W472" s="250"/>
      <c r="X472" s="250"/>
      <c r="Y472" s="250"/>
      <c r="Z472" s="250"/>
    </row>
    <row r="473" spans="16:26" ht="10.199999999999999" customHeight="1">
      <c r="P473" s="250"/>
      <c r="Q473" s="250"/>
      <c r="R473" s="250"/>
      <c r="S473" s="250"/>
      <c r="T473" s="250"/>
      <c r="U473" s="250"/>
      <c r="V473" s="250"/>
      <c r="W473" s="250"/>
      <c r="X473" s="250"/>
      <c r="Y473" s="250"/>
      <c r="Z473" s="250"/>
    </row>
    <row r="474" spans="16:26" ht="10.199999999999999" customHeight="1">
      <c r="P474" s="241"/>
      <c r="Q474" s="241"/>
      <c r="R474" s="241"/>
      <c r="S474" s="241"/>
      <c r="T474" s="241"/>
      <c r="U474" s="241"/>
      <c r="V474" s="241"/>
      <c r="W474" s="241"/>
      <c r="X474" s="241"/>
      <c r="Y474" s="241"/>
      <c r="Z474" s="241"/>
    </row>
    <row r="475" spans="16:26" ht="10.199999999999999" customHeight="1">
      <c r="P475" s="250"/>
      <c r="Q475" s="250"/>
      <c r="R475" s="250"/>
      <c r="S475" s="250"/>
      <c r="T475" s="250"/>
      <c r="U475" s="250"/>
      <c r="V475" s="250"/>
      <c r="W475" s="250"/>
      <c r="X475" s="250"/>
      <c r="Y475" s="250"/>
      <c r="Z475" s="250"/>
    </row>
    <row r="476" spans="16:26" ht="10.199999999999999" customHeight="1">
      <c r="P476" s="250"/>
      <c r="Q476" s="250"/>
      <c r="R476" s="250"/>
      <c r="S476" s="250"/>
      <c r="T476" s="250"/>
      <c r="U476" s="250"/>
      <c r="V476" s="250"/>
      <c r="W476" s="250"/>
      <c r="X476" s="250"/>
      <c r="Y476" s="250"/>
      <c r="Z476" s="250"/>
    </row>
    <row r="477" spans="16:26" ht="10.199999999999999" customHeight="1">
      <c r="P477" s="241"/>
      <c r="Q477" s="241"/>
      <c r="R477" s="241"/>
      <c r="S477" s="241"/>
      <c r="T477" s="241"/>
      <c r="U477" s="241"/>
      <c r="V477" s="241"/>
      <c r="W477" s="241"/>
      <c r="X477" s="241"/>
      <c r="Y477" s="241"/>
      <c r="Z477" s="241"/>
    </row>
    <row r="478" spans="16:26" ht="10.199999999999999" customHeight="1">
      <c r="P478" s="250"/>
      <c r="Q478" s="250"/>
      <c r="R478" s="250"/>
      <c r="S478" s="250"/>
      <c r="T478" s="250"/>
      <c r="U478" s="250"/>
      <c r="V478" s="250"/>
      <c r="W478" s="250"/>
      <c r="X478" s="250"/>
      <c r="Y478" s="250"/>
      <c r="Z478" s="250"/>
    </row>
    <row r="479" spans="16:26" ht="10.199999999999999" customHeight="1">
      <c r="P479" s="250"/>
      <c r="Q479" s="250"/>
      <c r="R479" s="250"/>
      <c r="S479" s="250"/>
      <c r="T479" s="250"/>
      <c r="U479" s="250"/>
      <c r="V479" s="250"/>
      <c r="W479" s="250"/>
      <c r="X479" s="250"/>
      <c r="Y479" s="250"/>
      <c r="Z479" s="250"/>
    </row>
    <row r="480" spans="16:26" ht="10.199999999999999" customHeight="1">
      <c r="P480" s="241"/>
      <c r="Q480" s="241"/>
      <c r="R480" s="241"/>
      <c r="S480" s="241"/>
      <c r="T480" s="241"/>
      <c r="U480" s="241"/>
      <c r="V480" s="241"/>
      <c r="W480" s="241"/>
      <c r="X480" s="241"/>
      <c r="Y480" s="241"/>
      <c r="Z480" s="241"/>
    </row>
    <row r="481" spans="16:26" ht="10.199999999999999" customHeight="1">
      <c r="P481" s="250"/>
      <c r="Q481" s="250"/>
      <c r="R481" s="250"/>
      <c r="S481" s="250"/>
      <c r="T481" s="250"/>
      <c r="U481" s="250"/>
      <c r="V481" s="250"/>
      <c r="W481" s="250"/>
      <c r="X481" s="250"/>
      <c r="Y481" s="250"/>
      <c r="Z481" s="250"/>
    </row>
    <row r="482" spans="16:26" ht="10.199999999999999" customHeight="1">
      <c r="P482" s="250"/>
      <c r="Q482" s="250"/>
      <c r="R482" s="250"/>
      <c r="S482" s="250"/>
      <c r="T482" s="250"/>
      <c r="U482" s="250"/>
      <c r="V482" s="250"/>
      <c r="W482" s="250"/>
      <c r="X482" s="250"/>
      <c r="Y482" s="250"/>
      <c r="Z482" s="250"/>
    </row>
    <row r="483" spans="16:26" ht="10.199999999999999" customHeight="1">
      <c r="P483" s="241"/>
      <c r="Q483" s="241"/>
      <c r="R483" s="241"/>
      <c r="S483" s="241"/>
      <c r="T483" s="241"/>
      <c r="U483" s="241"/>
      <c r="V483" s="241"/>
      <c r="W483" s="241"/>
      <c r="X483" s="241"/>
      <c r="Y483" s="241"/>
      <c r="Z483" s="241"/>
    </row>
    <row r="484" spans="16:26" ht="10.199999999999999" customHeight="1">
      <c r="P484" s="250"/>
      <c r="Q484" s="250"/>
      <c r="R484" s="250"/>
      <c r="S484" s="250"/>
      <c r="T484" s="250"/>
      <c r="U484" s="250"/>
      <c r="V484" s="250"/>
      <c r="W484" s="250"/>
      <c r="X484" s="250"/>
      <c r="Y484" s="250"/>
      <c r="Z484" s="250"/>
    </row>
    <row r="485" spans="16:26" ht="10.199999999999999" customHeight="1">
      <c r="P485" s="250"/>
      <c r="Q485" s="250"/>
      <c r="R485" s="250"/>
      <c r="S485" s="250"/>
      <c r="T485" s="250"/>
      <c r="U485" s="250"/>
      <c r="V485" s="250"/>
      <c r="W485" s="250"/>
      <c r="X485" s="250"/>
      <c r="Y485" s="250"/>
      <c r="Z485" s="250"/>
    </row>
    <row r="486" spans="16:26" ht="10.199999999999999" customHeight="1">
      <c r="P486" s="241"/>
      <c r="Q486" s="241"/>
      <c r="R486" s="241"/>
      <c r="S486" s="241"/>
      <c r="T486" s="241"/>
      <c r="U486" s="241"/>
      <c r="V486" s="241"/>
      <c r="W486" s="241"/>
      <c r="X486" s="241"/>
      <c r="Y486" s="241"/>
      <c r="Z486" s="241"/>
    </row>
    <row r="487" spans="16:26" ht="10.199999999999999" customHeight="1">
      <c r="P487" s="250"/>
      <c r="Q487" s="250"/>
      <c r="R487" s="250"/>
      <c r="S487" s="250"/>
      <c r="T487" s="250"/>
      <c r="U487" s="250"/>
      <c r="V487" s="250"/>
      <c r="W487" s="250"/>
      <c r="X487" s="250"/>
      <c r="Y487" s="250"/>
      <c r="Z487" s="250"/>
    </row>
    <row r="488" spans="16:26" ht="10.199999999999999" customHeight="1">
      <c r="P488" s="250"/>
      <c r="Q488" s="250"/>
      <c r="R488" s="250"/>
      <c r="S488" s="250"/>
      <c r="T488" s="250"/>
      <c r="U488" s="250"/>
      <c r="V488" s="250"/>
      <c r="W488" s="250"/>
      <c r="X488" s="250"/>
      <c r="Y488" s="250"/>
      <c r="Z488" s="250"/>
    </row>
    <row r="489" spans="16:26" ht="10.199999999999999" customHeight="1">
      <c r="P489" s="241"/>
      <c r="Q489" s="241"/>
      <c r="R489" s="241"/>
      <c r="S489" s="241"/>
      <c r="T489" s="241"/>
      <c r="U489" s="241"/>
      <c r="V489" s="241"/>
      <c r="W489" s="241"/>
      <c r="X489" s="241"/>
      <c r="Y489" s="241"/>
      <c r="Z489" s="241"/>
    </row>
    <row r="490" spans="16:26" ht="10.199999999999999" customHeight="1">
      <c r="P490" s="250"/>
      <c r="Q490" s="250"/>
      <c r="R490" s="250"/>
      <c r="S490" s="250"/>
      <c r="T490" s="250"/>
      <c r="U490" s="250"/>
      <c r="V490" s="250"/>
      <c r="W490" s="250"/>
      <c r="X490" s="250"/>
      <c r="Y490" s="250"/>
      <c r="Z490" s="250"/>
    </row>
    <row r="491" spans="16:26" ht="10.199999999999999" customHeight="1">
      <c r="P491" s="250"/>
      <c r="Q491" s="250"/>
      <c r="R491" s="250"/>
      <c r="S491" s="250"/>
      <c r="T491" s="250"/>
      <c r="U491" s="250"/>
      <c r="V491" s="250"/>
      <c r="W491" s="250"/>
      <c r="X491" s="250"/>
      <c r="Y491" s="250"/>
      <c r="Z491" s="250"/>
    </row>
    <row r="492" spans="16:26" ht="10.199999999999999" customHeight="1">
      <c r="P492" s="241"/>
      <c r="Q492" s="241"/>
      <c r="R492" s="241"/>
      <c r="S492" s="241"/>
      <c r="T492" s="241"/>
      <c r="U492" s="241"/>
      <c r="V492" s="241"/>
      <c r="W492" s="241"/>
      <c r="X492" s="241"/>
      <c r="Y492" s="241"/>
      <c r="Z492" s="241"/>
    </row>
    <row r="493" spans="16:26" ht="10.199999999999999" customHeight="1">
      <c r="P493" s="250"/>
      <c r="Q493" s="250"/>
      <c r="R493" s="250"/>
      <c r="S493" s="250"/>
      <c r="T493" s="250"/>
      <c r="U493" s="250"/>
      <c r="V493" s="250"/>
      <c r="W493" s="250"/>
      <c r="X493" s="250"/>
      <c r="Y493" s="250"/>
      <c r="Z493" s="250"/>
    </row>
    <row r="494" spans="16:26" ht="10.199999999999999" customHeight="1">
      <c r="P494" s="250"/>
      <c r="Q494" s="250"/>
      <c r="R494" s="250"/>
      <c r="S494" s="250"/>
      <c r="T494" s="250"/>
      <c r="U494" s="250"/>
      <c r="V494" s="250"/>
      <c r="W494" s="250"/>
      <c r="X494" s="250"/>
      <c r="Y494" s="250"/>
      <c r="Z494" s="250"/>
    </row>
    <row r="495" spans="16:26" ht="10.199999999999999" customHeight="1">
      <c r="P495" s="241"/>
      <c r="Q495" s="241"/>
      <c r="R495" s="241"/>
      <c r="S495" s="241"/>
      <c r="T495" s="241"/>
      <c r="U495" s="241"/>
      <c r="V495" s="241"/>
      <c r="W495" s="241"/>
      <c r="X495" s="241"/>
      <c r="Y495" s="241"/>
      <c r="Z495" s="241"/>
    </row>
    <row r="496" spans="16:26" ht="10.199999999999999" customHeight="1">
      <c r="P496" s="250"/>
      <c r="Q496" s="250"/>
      <c r="R496" s="250"/>
      <c r="S496" s="250"/>
      <c r="T496" s="250"/>
      <c r="U496" s="250"/>
      <c r="V496" s="250"/>
      <c r="W496" s="250"/>
      <c r="X496" s="250"/>
      <c r="Y496" s="250"/>
      <c r="Z496" s="250"/>
    </row>
    <row r="497" spans="16:26" ht="10.199999999999999" customHeight="1">
      <c r="P497" s="250"/>
      <c r="Q497" s="250"/>
      <c r="R497" s="250"/>
      <c r="S497" s="250"/>
      <c r="T497" s="250"/>
      <c r="U497" s="250"/>
      <c r="V497" s="250"/>
      <c r="W497" s="250"/>
      <c r="X497" s="250"/>
      <c r="Y497" s="250"/>
      <c r="Z497" s="250"/>
    </row>
    <row r="498" spans="16:26" ht="10.199999999999999" customHeight="1">
      <c r="P498" s="241"/>
      <c r="Q498" s="241"/>
      <c r="R498" s="241"/>
      <c r="S498" s="241"/>
      <c r="T498" s="241"/>
      <c r="U498" s="241"/>
      <c r="V498" s="241"/>
      <c r="W498" s="241"/>
      <c r="X498" s="241"/>
      <c r="Y498" s="241"/>
      <c r="Z498" s="241"/>
    </row>
    <row r="499" spans="16:26" ht="10.199999999999999" customHeight="1">
      <c r="P499" s="250"/>
      <c r="Q499" s="250"/>
      <c r="R499" s="250"/>
      <c r="S499" s="250"/>
      <c r="T499" s="250"/>
      <c r="U499" s="250"/>
      <c r="V499" s="250"/>
      <c r="W499" s="250"/>
      <c r="X499" s="250"/>
      <c r="Y499" s="250"/>
      <c r="Z499" s="250"/>
    </row>
    <row r="500" spans="16:26" ht="10.199999999999999" customHeight="1">
      <c r="P500" s="250"/>
      <c r="Q500" s="250"/>
      <c r="R500" s="250"/>
      <c r="S500" s="250"/>
      <c r="T500" s="250"/>
      <c r="U500" s="250"/>
      <c r="V500" s="250"/>
      <c r="W500" s="250"/>
      <c r="X500" s="250"/>
      <c r="Y500" s="250"/>
      <c r="Z500" s="250"/>
    </row>
    <row r="501" spans="16:26" ht="10.199999999999999" customHeight="1">
      <c r="P501" s="241"/>
      <c r="Q501" s="241"/>
      <c r="R501" s="241"/>
      <c r="S501" s="241"/>
      <c r="T501" s="241"/>
      <c r="U501" s="241"/>
      <c r="V501" s="241"/>
      <c r="W501" s="241"/>
      <c r="X501" s="241"/>
      <c r="Y501" s="241"/>
      <c r="Z501" s="241"/>
    </row>
    <row r="502" spans="16:26" ht="10.199999999999999" customHeight="1">
      <c r="P502" s="250"/>
      <c r="Q502" s="250"/>
      <c r="R502" s="250"/>
      <c r="S502" s="250"/>
      <c r="T502" s="250"/>
      <c r="U502" s="250"/>
      <c r="V502" s="250"/>
      <c r="W502" s="250"/>
      <c r="X502" s="250"/>
      <c r="Y502" s="250"/>
      <c r="Z502" s="250"/>
    </row>
    <row r="503" spans="16:26" ht="10.199999999999999" customHeight="1">
      <c r="P503" s="250"/>
      <c r="Q503" s="250"/>
      <c r="R503" s="250"/>
      <c r="S503" s="250"/>
      <c r="T503" s="250"/>
      <c r="U503" s="250"/>
      <c r="V503" s="250"/>
      <c r="W503" s="250"/>
      <c r="X503" s="250"/>
      <c r="Y503" s="250"/>
      <c r="Z503" s="250"/>
    </row>
    <row r="504" spans="16:26" ht="10.199999999999999" customHeight="1">
      <c r="P504" s="241"/>
      <c r="Q504" s="241"/>
      <c r="R504" s="241"/>
      <c r="S504" s="241"/>
      <c r="T504" s="241"/>
      <c r="U504" s="241"/>
      <c r="V504" s="241"/>
      <c r="W504" s="241"/>
      <c r="X504" s="241"/>
      <c r="Y504" s="241"/>
      <c r="Z504" s="241"/>
    </row>
    <row r="505" spans="16:26" ht="10.199999999999999" customHeight="1">
      <c r="P505" s="250"/>
      <c r="Q505" s="250"/>
      <c r="R505" s="250"/>
      <c r="S505" s="250"/>
      <c r="T505" s="250"/>
      <c r="U505" s="250"/>
      <c r="V505" s="250"/>
      <c r="W505" s="250"/>
      <c r="X505" s="250"/>
      <c r="Y505" s="250"/>
      <c r="Z505" s="250"/>
    </row>
    <row r="506" spans="16:26" ht="10.199999999999999" customHeight="1">
      <c r="P506" s="250"/>
      <c r="Q506" s="250"/>
      <c r="R506" s="250"/>
      <c r="S506" s="250"/>
      <c r="T506" s="250"/>
      <c r="U506" s="250"/>
      <c r="V506" s="250"/>
      <c r="W506" s="250"/>
      <c r="X506" s="250"/>
      <c r="Y506" s="250"/>
      <c r="Z506" s="250"/>
    </row>
    <row r="507" spans="16:26" ht="10.199999999999999" customHeight="1">
      <c r="P507" s="241"/>
      <c r="Q507" s="241"/>
      <c r="R507" s="241"/>
      <c r="S507" s="241"/>
      <c r="T507" s="241"/>
      <c r="U507" s="241"/>
      <c r="V507" s="241"/>
      <c r="W507" s="241"/>
      <c r="X507" s="241"/>
      <c r="Y507" s="241"/>
      <c r="Z507" s="241"/>
    </row>
    <row r="508" spans="16:26" ht="10.199999999999999" customHeight="1">
      <c r="P508" s="250"/>
      <c r="Q508" s="250"/>
      <c r="R508" s="250"/>
      <c r="S508" s="250"/>
      <c r="T508" s="250"/>
      <c r="U508" s="250"/>
      <c r="V508" s="250"/>
      <c r="W508" s="250"/>
      <c r="X508" s="250"/>
      <c r="Y508" s="250"/>
      <c r="Z508" s="250"/>
    </row>
    <row r="509" spans="16:26" ht="10.199999999999999" customHeight="1">
      <c r="P509" s="250"/>
      <c r="Q509" s="250"/>
      <c r="R509" s="250"/>
      <c r="S509" s="250"/>
      <c r="T509" s="250"/>
      <c r="U509" s="250"/>
      <c r="V509" s="250"/>
      <c r="W509" s="250"/>
      <c r="X509" s="250"/>
      <c r="Y509" s="250"/>
      <c r="Z509" s="250"/>
    </row>
    <row r="510" spans="16:26" ht="10.199999999999999" customHeight="1">
      <c r="P510" s="241"/>
      <c r="Q510" s="241"/>
      <c r="R510" s="241"/>
      <c r="S510" s="241"/>
      <c r="T510" s="241"/>
      <c r="U510" s="241"/>
      <c r="V510" s="241"/>
      <c r="W510" s="241"/>
      <c r="X510" s="241"/>
      <c r="Y510" s="241"/>
      <c r="Z510" s="241"/>
    </row>
    <row r="511" spans="16:26" ht="10.199999999999999" customHeight="1">
      <c r="P511" s="250"/>
      <c r="Q511" s="250"/>
      <c r="R511" s="250"/>
      <c r="S511" s="250"/>
      <c r="T511" s="250"/>
      <c r="U511" s="250"/>
      <c r="V511" s="250"/>
      <c r="W511" s="250"/>
      <c r="X511" s="250"/>
      <c r="Y511" s="250"/>
      <c r="Z511" s="250"/>
    </row>
    <row r="512" spans="16:26" ht="10.199999999999999" customHeight="1">
      <c r="P512" s="250"/>
      <c r="Q512" s="250"/>
      <c r="R512" s="250"/>
      <c r="S512" s="250"/>
      <c r="T512" s="250"/>
      <c r="U512" s="250"/>
      <c r="V512" s="250"/>
      <c r="W512" s="250"/>
      <c r="X512" s="250"/>
      <c r="Y512" s="250"/>
      <c r="Z512" s="250"/>
    </row>
    <row r="513" spans="16:26" ht="10.199999999999999" customHeight="1">
      <c r="P513" s="241"/>
      <c r="Q513" s="241"/>
      <c r="R513" s="241"/>
      <c r="S513" s="241"/>
      <c r="T513" s="241"/>
      <c r="U513" s="241"/>
      <c r="V513" s="241"/>
      <c r="W513" s="241"/>
      <c r="X513" s="241"/>
      <c r="Y513" s="241"/>
      <c r="Z513" s="241"/>
    </row>
    <row r="514" spans="16:26" ht="10.199999999999999" customHeight="1">
      <c r="P514" s="250"/>
      <c r="Q514" s="250"/>
      <c r="R514" s="250"/>
      <c r="S514" s="250"/>
      <c r="T514" s="250"/>
      <c r="U514" s="250"/>
      <c r="V514" s="250"/>
      <c r="W514" s="250"/>
      <c r="X514" s="250"/>
      <c r="Y514" s="250"/>
      <c r="Z514" s="250"/>
    </row>
    <row r="515" spans="16:26" ht="10.199999999999999" customHeight="1">
      <c r="P515" s="250"/>
      <c r="Q515" s="250"/>
      <c r="R515" s="250"/>
      <c r="S515" s="250"/>
      <c r="T515" s="250"/>
      <c r="U515" s="250"/>
      <c r="V515" s="250"/>
      <c r="W515" s="250"/>
      <c r="X515" s="250"/>
      <c r="Y515" s="250"/>
      <c r="Z515" s="250"/>
    </row>
    <row r="516" spans="16:26" ht="10.199999999999999" customHeight="1">
      <c r="P516" s="241"/>
      <c r="Q516" s="241"/>
      <c r="R516" s="241"/>
      <c r="S516" s="241"/>
      <c r="T516" s="241"/>
      <c r="U516" s="241"/>
      <c r="V516" s="241"/>
      <c r="W516" s="241"/>
      <c r="X516" s="241"/>
      <c r="Y516" s="241"/>
      <c r="Z516" s="241"/>
    </row>
    <row r="517" spans="16:26" ht="10.199999999999999" customHeight="1">
      <c r="P517" s="250"/>
      <c r="Q517" s="250"/>
      <c r="R517" s="250"/>
      <c r="S517" s="250"/>
      <c r="T517" s="250"/>
      <c r="U517" s="250"/>
      <c r="V517" s="250"/>
      <c r="W517" s="250"/>
      <c r="X517" s="250"/>
      <c r="Y517" s="250"/>
      <c r="Z517" s="250"/>
    </row>
    <row r="518" spans="16:26" ht="10.199999999999999" customHeight="1">
      <c r="P518" s="250"/>
      <c r="Q518" s="250"/>
      <c r="R518" s="250"/>
      <c r="S518" s="250"/>
      <c r="T518" s="250"/>
      <c r="U518" s="250"/>
      <c r="V518" s="250"/>
      <c r="W518" s="250"/>
      <c r="X518" s="250"/>
      <c r="Y518" s="250"/>
      <c r="Z518" s="250"/>
    </row>
    <row r="519" spans="16:26" ht="10.199999999999999" customHeight="1">
      <c r="P519" s="241"/>
      <c r="Q519" s="241"/>
      <c r="R519" s="241"/>
      <c r="S519" s="241"/>
      <c r="T519" s="241"/>
      <c r="U519" s="241"/>
      <c r="V519" s="241"/>
      <c r="W519" s="241"/>
      <c r="X519" s="241"/>
      <c r="Y519" s="241"/>
      <c r="Z519" s="241"/>
    </row>
    <row r="520" spans="16:26" ht="10.199999999999999" customHeight="1">
      <c r="P520" s="250"/>
      <c r="Q520" s="250"/>
      <c r="R520" s="250"/>
      <c r="S520" s="250"/>
      <c r="T520" s="250"/>
      <c r="U520" s="250"/>
      <c r="V520" s="250"/>
      <c r="W520" s="250"/>
      <c r="X520" s="250"/>
      <c r="Y520" s="250"/>
      <c r="Z520" s="250"/>
    </row>
    <row r="521" spans="16:26" ht="10.199999999999999" customHeight="1">
      <c r="P521" s="250"/>
      <c r="Q521" s="250"/>
      <c r="R521" s="250"/>
      <c r="S521" s="250"/>
      <c r="T521" s="250"/>
      <c r="U521" s="250"/>
      <c r="V521" s="250"/>
      <c r="W521" s="250"/>
      <c r="X521" s="250"/>
      <c r="Y521" s="250"/>
      <c r="Z521" s="250"/>
    </row>
    <row r="522" spans="16:26" ht="10.199999999999999" customHeight="1">
      <c r="P522" s="241"/>
      <c r="Q522" s="241"/>
      <c r="R522" s="241"/>
      <c r="S522" s="241"/>
      <c r="T522" s="241"/>
      <c r="U522" s="241"/>
      <c r="V522" s="241"/>
      <c r="W522" s="241"/>
      <c r="X522" s="241"/>
      <c r="Y522" s="241"/>
      <c r="Z522" s="241"/>
    </row>
    <row r="523" spans="16:26" ht="10.199999999999999" customHeight="1">
      <c r="P523" s="250"/>
      <c r="Q523" s="250"/>
      <c r="R523" s="250"/>
      <c r="S523" s="250"/>
      <c r="T523" s="250"/>
      <c r="U523" s="250"/>
      <c r="V523" s="250"/>
      <c r="W523" s="250"/>
      <c r="X523" s="250"/>
      <c r="Y523" s="250"/>
      <c r="Z523" s="250"/>
    </row>
    <row r="524" spans="16:26" ht="10.199999999999999" customHeight="1">
      <c r="P524" s="250"/>
      <c r="Q524" s="250"/>
      <c r="R524" s="250"/>
      <c r="S524" s="250"/>
      <c r="T524" s="250"/>
      <c r="U524" s="250"/>
      <c r="V524" s="250"/>
      <c r="W524" s="250"/>
      <c r="X524" s="250"/>
      <c r="Y524" s="250"/>
      <c r="Z524" s="250"/>
    </row>
    <row r="525" spans="16:26" ht="10.199999999999999" customHeight="1">
      <c r="P525" s="241"/>
      <c r="Q525" s="241"/>
      <c r="R525" s="241"/>
      <c r="S525" s="241"/>
      <c r="T525" s="241"/>
      <c r="U525" s="241"/>
      <c r="V525" s="241"/>
      <c r="W525" s="241"/>
      <c r="X525" s="241"/>
      <c r="Y525" s="241"/>
      <c r="Z525" s="241"/>
    </row>
    <row r="526" spans="16:26" ht="10.199999999999999" customHeight="1">
      <c r="P526" s="250"/>
      <c r="Q526" s="250"/>
      <c r="R526" s="250"/>
      <c r="S526" s="250"/>
      <c r="T526" s="250"/>
      <c r="U526" s="250"/>
      <c r="V526" s="250"/>
      <c r="W526" s="250"/>
      <c r="X526" s="250"/>
      <c r="Y526" s="250"/>
      <c r="Z526" s="250"/>
    </row>
    <row r="527" spans="16:26" ht="10.199999999999999" customHeight="1">
      <c r="P527" s="250"/>
      <c r="Q527" s="250"/>
      <c r="R527" s="250"/>
      <c r="S527" s="250"/>
      <c r="T527" s="250"/>
      <c r="U527" s="250"/>
      <c r="V527" s="250"/>
      <c r="W527" s="250"/>
      <c r="X527" s="250"/>
      <c r="Y527" s="250"/>
      <c r="Z527" s="250"/>
    </row>
    <row r="528" spans="16:26" ht="10.199999999999999" customHeight="1">
      <c r="P528" s="241"/>
      <c r="Q528" s="241"/>
      <c r="R528" s="241"/>
      <c r="S528" s="241"/>
      <c r="T528" s="241"/>
      <c r="U528" s="241"/>
      <c r="V528" s="241"/>
      <c r="W528" s="241"/>
      <c r="X528" s="241"/>
      <c r="Y528" s="241"/>
      <c r="Z528" s="241"/>
    </row>
    <row r="529" spans="16:26" ht="10.199999999999999" customHeight="1">
      <c r="P529" s="250"/>
      <c r="Q529" s="250"/>
      <c r="R529" s="250"/>
      <c r="S529" s="250"/>
      <c r="T529" s="250"/>
      <c r="U529" s="250"/>
      <c r="V529" s="250"/>
      <c r="W529" s="250"/>
      <c r="X529" s="250"/>
      <c r="Y529" s="250"/>
      <c r="Z529" s="250"/>
    </row>
    <row r="530" spans="16:26" ht="10.199999999999999" customHeight="1">
      <c r="P530" s="250"/>
      <c r="Q530" s="250"/>
      <c r="R530" s="250"/>
      <c r="S530" s="250"/>
      <c r="T530" s="250"/>
      <c r="U530" s="250"/>
      <c r="V530" s="250"/>
      <c r="W530" s="250"/>
      <c r="X530" s="250"/>
      <c r="Y530" s="250"/>
      <c r="Z530" s="250"/>
    </row>
    <row r="531" spans="16:26" ht="10.199999999999999" customHeight="1">
      <c r="P531" s="241"/>
      <c r="Q531" s="241"/>
      <c r="R531" s="241"/>
      <c r="S531" s="241"/>
      <c r="T531" s="241"/>
      <c r="U531" s="241"/>
      <c r="V531" s="241"/>
      <c r="W531" s="241"/>
      <c r="X531" s="241"/>
      <c r="Y531" s="241"/>
      <c r="Z531" s="241"/>
    </row>
    <row r="532" spans="16:26" ht="10.199999999999999" customHeight="1">
      <c r="P532" s="250"/>
      <c r="Q532" s="250"/>
      <c r="R532" s="250"/>
      <c r="S532" s="250"/>
      <c r="T532" s="250"/>
      <c r="U532" s="250"/>
      <c r="V532" s="250"/>
      <c r="W532" s="250"/>
      <c r="X532" s="250"/>
      <c r="Y532" s="250"/>
      <c r="Z532" s="250"/>
    </row>
    <row r="533" spans="16:26" ht="10.199999999999999" customHeight="1">
      <c r="P533" s="250"/>
      <c r="Q533" s="250"/>
      <c r="R533" s="250"/>
      <c r="S533" s="250"/>
      <c r="T533" s="250"/>
      <c r="U533" s="250"/>
      <c r="V533" s="250"/>
      <c r="W533" s="250"/>
      <c r="X533" s="250"/>
      <c r="Y533" s="250"/>
      <c r="Z533" s="250"/>
    </row>
    <row r="534" spans="16:26" ht="10.199999999999999" customHeight="1">
      <c r="P534" s="241"/>
      <c r="Q534" s="241"/>
      <c r="R534" s="241"/>
      <c r="S534" s="241"/>
      <c r="T534" s="241"/>
      <c r="U534" s="241"/>
      <c r="V534" s="241"/>
      <c r="W534" s="241"/>
      <c r="X534" s="241"/>
      <c r="Y534" s="241"/>
      <c r="Z534" s="241"/>
    </row>
    <row r="535" spans="16:26" ht="10.199999999999999" customHeight="1">
      <c r="P535" s="250"/>
      <c r="Q535" s="250"/>
      <c r="R535" s="250"/>
      <c r="S535" s="250"/>
      <c r="T535" s="250"/>
      <c r="U535" s="250"/>
      <c r="V535" s="250"/>
      <c r="W535" s="250"/>
      <c r="X535" s="250"/>
      <c r="Y535" s="250"/>
      <c r="Z535" s="250"/>
    </row>
    <row r="536" spans="16:26" ht="10.199999999999999" customHeight="1">
      <c r="P536" s="250"/>
      <c r="Q536" s="250"/>
      <c r="R536" s="250"/>
      <c r="S536" s="250"/>
      <c r="T536" s="250"/>
      <c r="U536" s="250"/>
      <c r="V536" s="250"/>
      <c r="W536" s="250"/>
      <c r="X536" s="250"/>
      <c r="Y536" s="250"/>
      <c r="Z536" s="250"/>
    </row>
    <row r="537" spans="16:26" ht="10.199999999999999" customHeight="1">
      <c r="P537" s="241"/>
      <c r="Q537" s="241"/>
      <c r="R537" s="241"/>
      <c r="S537" s="241"/>
      <c r="T537" s="241"/>
      <c r="U537" s="241"/>
      <c r="V537" s="241"/>
      <c r="W537" s="241"/>
      <c r="X537" s="241"/>
      <c r="Y537" s="241"/>
      <c r="Z537" s="241"/>
    </row>
    <row r="538" spans="16:26" ht="10.199999999999999" customHeight="1">
      <c r="P538" s="250"/>
      <c r="Q538" s="250"/>
      <c r="R538" s="250"/>
      <c r="S538" s="250"/>
      <c r="T538" s="250"/>
      <c r="U538" s="250"/>
      <c r="V538" s="250"/>
      <c r="W538" s="250"/>
      <c r="X538" s="250"/>
      <c r="Y538" s="250"/>
      <c r="Z538" s="250"/>
    </row>
    <row r="539" spans="16:26" ht="10.199999999999999" customHeight="1">
      <c r="P539" s="250"/>
      <c r="Q539" s="250"/>
      <c r="R539" s="250"/>
      <c r="S539" s="250"/>
      <c r="T539" s="250"/>
      <c r="U539" s="250"/>
      <c r="V539" s="250"/>
      <c r="W539" s="250"/>
      <c r="X539" s="250"/>
      <c r="Y539" s="250"/>
      <c r="Z539" s="250"/>
    </row>
    <row r="540" spans="16:26" ht="10.199999999999999" customHeight="1">
      <c r="P540" s="241"/>
      <c r="Q540" s="241"/>
      <c r="R540" s="241"/>
      <c r="S540" s="241"/>
      <c r="T540" s="241"/>
      <c r="U540" s="241"/>
      <c r="V540" s="241"/>
      <c r="W540" s="241"/>
      <c r="X540" s="241"/>
      <c r="Y540" s="241"/>
      <c r="Z540" s="241"/>
    </row>
    <row r="541" spans="16:26" ht="10.199999999999999" customHeight="1">
      <c r="P541" s="250"/>
      <c r="Q541" s="250"/>
      <c r="R541" s="250"/>
      <c r="S541" s="250"/>
      <c r="T541" s="250"/>
      <c r="U541" s="250"/>
      <c r="V541" s="250"/>
      <c r="W541" s="250"/>
      <c r="X541" s="250"/>
      <c r="Y541" s="250"/>
      <c r="Z541" s="250"/>
    </row>
    <row r="542" spans="16:26" ht="10.199999999999999" customHeight="1">
      <c r="P542" s="250"/>
      <c r="Q542" s="250"/>
      <c r="R542" s="250"/>
      <c r="S542" s="250"/>
      <c r="T542" s="250"/>
      <c r="U542" s="250"/>
      <c r="V542" s="250"/>
      <c r="W542" s="250"/>
      <c r="X542" s="250"/>
      <c r="Y542" s="250"/>
      <c r="Z542" s="250"/>
    </row>
    <row r="543" spans="16:26" ht="10.199999999999999" customHeight="1">
      <c r="P543" s="241"/>
      <c r="Q543" s="241"/>
      <c r="R543" s="241"/>
      <c r="S543" s="241"/>
      <c r="T543" s="241"/>
      <c r="U543" s="241"/>
      <c r="V543" s="241"/>
      <c r="W543" s="241"/>
      <c r="X543" s="241"/>
      <c r="Y543" s="241"/>
      <c r="Z543" s="241"/>
    </row>
    <row r="544" spans="16:26" ht="10.199999999999999" customHeight="1">
      <c r="P544" s="250"/>
      <c r="Q544" s="250"/>
      <c r="R544" s="250"/>
      <c r="S544" s="250"/>
      <c r="T544" s="250"/>
      <c r="U544" s="250"/>
      <c r="V544" s="250"/>
      <c r="W544" s="250"/>
      <c r="X544" s="250"/>
      <c r="Y544" s="250"/>
      <c r="Z544" s="250"/>
    </row>
    <row r="545" spans="16:26" ht="10.199999999999999" customHeight="1">
      <c r="P545" s="250"/>
      <c r="Q545" s="250"/>
      <c r="R545" s="250"/>
      <c r="S545" s="250"/>
      <c r="T545" s="250"/>
      <c r="U545" s="250"/>
      <c r="V545" s="250"/>
      <c r="W545" s="250"/>
      <c r="X545" s="250"/>
      <c r="Y545" s="250"/>
      <c r="Z545" s="250"/>
    </row>
    <row r="546" spans="16:26" ht="10.199999999999999" customHeight="1">
      <c r="P546" s="241"/>
      <c r="Q546" s="241"/>
      <c r="R546" s="241"/>
      <c r="S546" s="241"/>
      <c r="T546" s="241"/>
      <c r="U546" s="241"/>
      <c r="V546" s="241"/>
      <c r="W546" s="241"/>
      <c r="X546" s="241"/>
      <c r="Y546" s="241"/>
      <c r="Z546" s="241"/>
    </row>
    <row r="547" spans="16:26" ht="10.199999999999999" customHeight="1">
      <c r="P547" s="250"/>
      <c r="Q547" s="250"/>
      <c r="R547" s="250"/>
      <c r="S547" s="250"/>
      <c r="T547" s="250"/>
      <c r="U547" s="250"/>
      <c r="V547" s="250"/>
      <c r="W547" s="250"/>
      <c r="X547" s="250"/>
      <c r="Y547" s="250"/>
      <c r="Z547" s="250"/>
    </row>
    <row r="548" spans="16:26" ht="10.199999999999999" customHeight="1">
      <c r="P548" s="250"/>
      <c r="Q548" s="250"/>
      <c r="R548" s="250"/>
      <c r="S548" s="250"/>
      <c r="T548" s="250"/>
      <c r="U548" s="250"/>
      <c r="V548" s="250"/>
      <c r="W548" s="250"/>
      <c r="X548" s="250"/>
      <c r="Y548" s="250"/>
      <c r="Z548" s="250"/>
    </row>
    <row r="549" spans="16:26" ht="10.199999999999999" customHeight="1">
      <c r="P549" s="241"/>
      <c r="Q549" s="241"/>
      <c r="R549" s="241"/>
      <c r="S549" s="241"/>
      <c r="T549" s="241"/>
      <c r="U549" s="241"/>
      <c r="V549" s="241"/>
      <c r="W549" s="241"/>
      <c r="X549" s="241"/>
      <c r="Y549" s="241"/>
      <c r="Z549" s="241"/>
    </row>
    <row r="550" spans="16:26" ht="10.199999999999999" customHeight="1">
      <c r="P550" s="250"/>
      <c r="Q550" s="250"/>
      <c r="R550" s="250"/>
      <c r="S550" s="250"/>
      <c r="T550" s="250"/>
      <c r="U550" s="250"/>
      <c r="V550" s="250"/>
      <c r="W550" s="250"/>
      <c r="X550" s="250"/>
      <c r="Y550" s="250"/>
      <c r="Z550" s="250"/>
    </row>
    <row r="551" spans="16:26" ht="10.199999999999999" customHeight="1">
      <c r="P551" s="250"/>
      <c r="Q551" s="250"/>
      <c r="R551" s="250"/>
      <c r="S551" s="250"/>
      <c r="T551" s="250"/>
      <c r="U551" s="250"/>
      <c r="V551" s="250"/>
      <c r="W551" s="250"/>
      <c r="X551" s="250"/>
      <c r="Y551" s="250"/>
      <c r="Z551" s="250"/>
    </row>
    <row r="552" spans="16:26" ht="10.199999999999999" customHeight="1">
      <c r="P552" s="241"/>
      <c r="Q552" s="241"/>
      <c r="R552" s="241"/>
      <c r="S552" s="241"/>
      <c r="T552" s="241"/>
      <c r="U552" s="241"/>
      <c r="V552" s="241"/>
      <c r="W552" s="241"/>
      <c r="X552" s="241"/>
      <c r="Y552" s="241"/>
      <c r="Z552" s="241"/>
    </row>
    <row r="553" spans="16:26" ht="10.199999999999999" customHeight="1">
      <c r="P553" s="250"/>
      <c r="Q553" s="250"/>
      <c r="R553" s="250"/>
      <c r="S553" s="250"/>
      <c r="T553" s="250"/>
      <c r="U553" s="250"/>
      <c r="V553" s="250"/>
      <c r="W553" s="250"/>
      <c r="X553" s="250"/>
      <c r="Y553" s="250"/>
      <c r="Z553" s="250"/>
    </row>
    <row r="554" spans="16:26" ht="10.199999999999999" customHeight="1">
      <c r="P554" s="250"/>
      <c r="Q554" s="250"/>
      <c r="R554" s="250"/>
      <c r="S554" s="250"/>
      <c r="T554" s="250"/>
      <c r="U554" s="250"/>
      <c r="V554" s="250"/>
      <c r="W554" s="250"/>
      <c r="X554" s="250"/>
      <c r="Y554" s="250"/>
      <c r="Z554" s="250"/>
    </row>
    <row r="555" spans="16:26" ht="10.199999999999999" customHeight="1">
      <c r="P555" s="241"/>
      <c r="Q555" s="241"/>
      <c r="R555" s="241"/>
      <c r="S555" s="241"/>
      <c r="T555" s="241"/>
      <c r="U555" s="241"/>
      <c r="V555" s="241"/>
      <c r="W555" s="241"/>
      <c r="X555" s="241"/>
      <c r="Y555" s="241"/>
      <c r="Z555" s="241"/>
    </row>
    <row r="556" spans="16:26" ht="10.199999999999999" customHeight="1">
      <c r="P556" s="250"/>
      <c r="Q556" s="250"/>
      <c r="R556" s="250"/>
      <c r="S556" s="250"/>
      <c r="T556" s="250"/>
      <c r="U556" s="250"/>
      <c r="V556" s="250"/>
      <c r="W556" s="250"/>
      <c r="X556" s="250"/>
      <c r="Y556" s="250"/>
      <c r="Z556" s="250"/>
    </row>
    <row r="557" spans="16:26" ht="10.199999999999999" customHeight="1">
      <c r="P557" s="250"/>
      <c r="Q557" s="250"/>
      <c r="R557" s="250"/>
      <c r="S557" s="250"/>
      <c r="T557" s="250"/>
      <c r="U557" s="250"/>
      <c r="V557" s="250"/>
      <c r="W557" s="250"/>
      <c r="X557" s="250"/>
      <c r="Y557" s="250"/>
      <c r="Z557" s="250"/>
    </row>
    <row r="558" spans="16:26" ht="10.199999999999999" customHeight="1">
      <c r="P558" s="241"/>
      <c r="Q558" s="241"/>
      <c r="R558" s="241"/>
      <c r="S558" s="241"/>
      <c r="T558" s="241"/>
      <c r="U558" s="241"/>
      <c r="V558" s="241"/>
      <c r="W558" s="241"/>
      <c r="X558" s="241"/>
      <c r="Y558" s="241"/>
      <c r="Z558" s="241"/>
    </row>
    <row r="559" spans="16:26" ht="10.199999999999999" customHeight="1">
      <c r="P559" s="250"/>
      <c r="Q559" s="250"/>
      <c r="R559" s="250"/>
      <c r="S559" s="250"/>
      <c r="T559" s="250"/>
      <c r="U559" s="250"/>
      <c r="V559" s="250"/>
      <c r="W559" s="250"/>
      <c r="X559" s="250"/>
      <c r="Y559" s="250"/>
      <c r="Z559" s="250"/>
    </row>
    <row r="560" spans="16:26" ht="10.199999999999999" customHeight="1">
      <c r="P560" s="250"/>
      <c r="Q560" s="250"/>
      <c r="R560" s="250"/>
      <c r="S560" s="250"/>
      <c r="T560" s="250"/>
      <c r="U560" s="250"/>
      <c r="V560" s="250"/>
      <c r="W560" s="250"/>
      <c r="X560" s="250"/>
      <c r="Y560" s="250"/>
      <c r="Z560" s="250"/>
    </row>
    <row r="561" spans="16:26" ht="10.199999999999999" customHeight="1">
      <c r="P561" s="241"/>
      <c r="Q561" s="241"/>
      <c r="R561" s="241"/>
      <c r="S561" s="241"/>
      <c r="T561" s="241"/>
      <c r="U561" s="241"/>
      <c r="V561" s="241"/>
      <c r="W561" s="241"/>
      <c r="X561" s="241"/>
      <c r="Y561" s="241"/>
      <c r="Z561" s="241"/>
    </row>
    <row r="562" spans="16:26" ht="10.199999999999999" customHeight="1">
      <c r="P562" s="250"/>
      <c r="Q562" s="250"/>
      <c r="R562" s="250"/>
      <c r="S562" s="250"/>
      <c r="T562" s="250"/>
      <c r="U562" s="250"/>
      <c r="V562" s="250"/>
      <c r="W562" s="250"/>
      <c r="X562" s="250"/>
      <c r="Y562" s="250"/>
      <c r="Z562" s="250"/>
    </row>
    <row r="563" spans="16:26" ht="10.199999999999999" customHeight="1">
      <c r="P563" s="250"/>
      <c r="Q563" s="250"/>
      <c r="R563" s="250"/>
      <c r="S563" s="250"/>
      <c r="T563" s="250"/>
      <c r="U563" s="250"/>
      <c r="V563" s="250"/>
      <c r="W563" s="250"/>
      <c r="X563" s="250"/>
      <c r="Y563" s="250"/>
      <c r="Z563" s="250"/>
    </row>
    <row r="564" spans="16:26" ht="10.199999999999999" customHeight="1">
      <c r="P564" s="241"/>
      <c r="Q564" s="241"/>
      <c r="R564" s="241"/>
      <c r="S564" s="241"/>
      <c r="T564" s="241"/>
      <c r="U564" s="241"/>
      <c r="V564" s="241"/>
      <c r="W564" s="241"/>
      <c r="X564" s="241"/>
      <c r="Y564" s="241"/>
      <c r="Z564" s="241"/>
    </row>
    <row r="565" spans="16:26" ht="10.199999999999999" customHeight="1">
      <c r="P565" s="250"/>
      <c r="Q565" s="250"/>
      <c r="R565" s="250"/>
      <c r="S565" s="250"/>
      <c r="T565" s="250"/>
      <c r="U565" s="250"/>
      <c r="V565" s="250"/>
      <c r="W565" s="250"/>
      <c r="X565" s="250"/>
      <c r="Y565" s="250"/>
      <c r="Z565" s="250"/>
    </row>
    <row r="566" spans="16:26" ht="10.199999999999999" customHeight="1">
      <c r="P566" s="250"/>
      <c r="Q566" s="250"/>
      <c r="R566" s="250"/>
      <c r="S566" s="250"/>
      <c r="T566" s="250"/>
      <c r="U566" s="250"/>
      <c r="V566" s="250"/>
      <c r="W566" s="250"/>
      <c r="X566" s="250"/>
      <c r="Y566" s="250"/>
      <c r="Z566" s="250"/>
    </row>
    <row r="567" spans="16:26" ht="10.199999999999999" customHeight="1">
      <c r="P567" s="241"/>
      <c r="Q567" s="241"/>
      <c r="R567" s="241"/>
      <c r="S567" s="241"/>
      <c r="T567" s="241"/>
      <c r="U567" s="241"/>
      <c r="V567" s="241"/>
      <c r="W567" s="241"/>
      <c r="X567" s="241"/>
      <c r="Y567" s="241"/>
      <c r="Z567" s="241"/>
    </row>
    <row r="568" spans="16:26" ht="10.199999999999999" customHeight="1">
      <c r="P568" s="250"/>
      <c r="Q568" s="250"/>
      <c r="R568" s="250"/>
      <c r="S568" s="250"/>
      <c r="T568" s="250"/>
      <c r="U568" s="250"/>
      <c r="V568" s="250"/>
      <c r="W568" s="250"/>
      <c r="X568" s="250"/>
      <c r="Y568" s="250"/>
      <c r="Z568" s="250"/>
    </row>
    <row r="569" spans="16:26" ht="10.199999999999999" customHeight="1">
      <c r="P569" s="250"/>
      <c r="Q569" s="250"/>
      <c r="R569" s="250"/>
      <c r="S569" s="250"/>
      <c r="T569" s="250"/>
      <c r="U569" s="250"/>
      <c r="V569" s="250"/>
      <c r="W569" s="250"/>
      <c r="X569" s="250"/>
      <c r="Y569" s="250"/>
      <c r="Z569" s="250"/>
    </row>
    <row r="570" spans="16:26" ht="10.199999999999999" customHeight="1">
      <c r="P570" s="241"/>
      <c r="Q570" s="241"/>
      <c r="R570" s="241"/>
      <c r="S570" s="241"/>
      <c r="T570" s="241"/>
      <c r="U570" s="241"/>
      <c r="V570" s="241"/>
      <c r="W570" s="241"/>
      <c r="X570" s="241"/>
      <c r="Y570" s="241"/>
      <c r="Z570" s="241"/>
    </row>
    <row r="571" spans="16:26" ht="10.199999999999999" customHeight="1">
      <c r="P571" s="250"/>
      <c r="Q571" s="250"/>
      <c r="R571" s="250"/>
      <c r="S571" s="250"/>
      <c r="T571" s="250"/>
      <c r="U571" s="250"/>
      <c r="V571" s="250"/>
      <c r="W571" s="250"/>
      <c r="X571" s="250"/>
      <c r="Y571" s="250"/>
      <c r="Z571" s="250"/>
    </row>
    <row r="572" spans="16:26" ht="10.199999999999999" customHeight="1">
      <c r="P572" s="250"/>
      <c r="Q572" s="250"/>
      <c r="R572" s="250"/>
      <c r="S572" s="250"/>
      <c r="T572" s="250"/>
      <c r="U572" s="250"/>
      <c r="V572" s="250"/>
      <c r="W572" s="250"/>
      <c r="X572" s="250"/>
      <c r="Y572" s="250"/>
      <c r="Z572" s="250"/>
    </row>
    <row r="573" spans="16:26" ht="10.199999999999999" customHeight="1">
      <c r="P573" s="241"/>
      <c r="Q573" s="241"/>
      <c r="R573" s="241"/>
      <c r="S573" s="241"/>
      <c r="T573" s="241"/>
      <c r="U573" s="241"/>
      <c r="V573" s="241"/>
      <c r="W573" s="241"/>
      <c r="X573" s="241"/>
      <c r="Y573" s="241"/>
      <c r="Z573" s="241"/>
    </row>
    <row r="574" spans="16:26" ht="10.199999999999999" customHeight="1">
      <c r="P574" s="250"/>
      <c r="Q574" s="250"/>
      <c r="R574" s="250"/>
      <c r="S574" s="250"/>
      <c r="T574" s="250"/>
      <c r="U574" s="250"/>
      <c r="V574" s="250"/>
      <c r="W574" s="250"/>
      <c r="X574" s="250"/>
      <c r="Y574" s="250"/>
      <c r="Z574" s="250"/>
    </row>
    <row r="575" spans="16:26" ht="10.199999999999999" customHeight="1">
      <c r="P575" s="250"/>
      <c r="Q575" s="250"/>
      <c r="R575" s="250"/>
      <c r="S575" s="250"/>
      <c r="T575" s="250"/>
      <c r="U575" s="250"/>
      <c r="V575" s="250"/>
      <c r="W575" s="250"/>
      <c r="X575" s="250"/>
      <c r="Y575" s="250"/>
      <c r="Z575" s="250"/>
    </row>
    <row r="576" spans="16:26" ht="10.199999999999999" customHeight="1">
      <c r="P576" s="241"/>
      <c r="Q576" s="241"/>
      <c r="R576" s="241"/>
      <c r="S576" s="241"/>
      <c r="T576" s="241"/>
      <c r="U576" s="241"/>
      <c r="V576" s="241"/>
      <c r="W576" s="241"/>
      <c r="X576" s="241"/>
      <c r="Y576" s="241"/>
      <c r="Z576" s="241"/>
    </row>
    <row r="577" spans="16:26" ht="10.199999999999999" customHeight="1">
      <c r="P577" s="250"/>
      <c r="Q577" s="250"/>
      <c r="R577" s="250"/>
      <c r="S577" s="250"/>
      <c r="T577" s="250"/>
      <c r="U577" s="250"/>
      <c r="V577" s="250"/>
      <c r="W577" s="250"/>
      <c r="X577" s="250"/>
      <c r="Y577" s="250"/>
      <c r="Z577" s="250"/>
    </row>
    <row r="578" spans="16:26" ht="10.199999999999999" customHeight="1">
      <c r="P578" s="250"/>
      <c r="Q578" s="250"/>
      <c r="R578" s="250"/>
      <c r="S578" s="250"/>
      <c r="T578" s="250"/>
      <c r="U578" s="250"/>
      <c r="V578" s="250"/>
      <c r="W578" s="250"/>
      <c r="X578" s="250"/>
      <c r="Y578" s="250"/>
      <c r="Z578" s="250"/>
    </row>
    <row r="579" spans="16:26" ht="10.199999999999999" customHeight="1">
      <c r="P579" s="241"/>
      <c r="Q579" s="241"/>
      <c r="R579" s="241"/>
      <c r="S579" s="241"/>
      <c r="T579" s="241"/>
      <c r="U579" s="241"/>
      <c r="V579" s="241"/>
      <c r="W579" s="241"/>
      <c r="X579" s="241"/>
      <c r="Y579" s="241"/>
      <c r="Z579" s="241"/>
    </row>
    <row r="580" spans="16:26" ht="10.199999999999999" customHeight="1">
      <c r="P580" s="250"/>
      <c r="Q580" s="250"/>
      <c r="R580" s="250"/>
      <c r="S580" s="250"/>
      <c r="T580" s="250"/>
      <c r="U580" s="250"/>
      <c r="V580" s="250"/>
      <c r="W580" s="250"/>
      <c r="X580" s="250"/>
      <c r="Y580" s="250"/>
      <c r="Z580" s="250"/>
    </row>
    <row r="581" spans="16:26" ht="10.199999999999999" customHeight="1">
      <c r="P581" s="250"/>
      <c r="Q581" s="250"/>
      <c r="R581" s="250"/>
      <c r="S581" s="250"/>
      <c r="T581" s="250"/>
      <c r="U581" s="250"/>
      <c r="V581" s="250"/>
      <c r="W581" s="250"/>
      <c r="X581" s="250"/>
      <c r="Y581" s="250"/>
      <c r="Z581" s="250"/>
    </row>
    <row r="582" spans="16:26" ht="10.199999999999999" customHeight="1">
      <c r="P582" s="241"/>
      <c r="Q582" s="241"/>
      <c r="R582" s="241"/>
      <c r="S582" s="241"/>
      <c r="T582" s="241"/>
      <c r="U582" s="241"/>
      <c r="V582" s="241"/>
      <c r="W582" s="241"/>
      <c r="X582" s="241"/>
      <c r="Y582" s="241"/>
      <c r="Z582" s="241"/>
    </row>
    <row r="583" spans="16:26" ht="10.199999999999999" customHeight="1">
      <c r="P583" s="250"/>
      <c r="Q583" s="250"/>
      <c r="R583" s="250"/>
      <c r="S583" s="250"/>
      <c r="T583" s="250"/>
      <c r="U583" s="250"/>
      <c r="V583" s="250"/>
      <c r="W583" s="250"/>
      <c r="X583" s="250"/>
      <c r="Y583" s="250"/>
      <c r="Z583" s="250"/>
    </row>
    <row r="584" spans="16:26" ht="10.199999999999999" customHeight="1">
      <c r="P584" s="250"/>
      <c r="Q584" s="250"/>
      <c r="R584" s="250"/>
      <c r="S584" s="250"/>
      <c r="T584" s="250"/>
      <c r="U584" s="250"/>
      <c r="V584" s="250"/>
      <c r="W584" s="250"/>
      <c r="X584" s="250"/>
      <c r="Y584" s="250"/>
      <c r="Z584" s="250"/>
    </row>
    <row r="585" spans="16:26" ht="10.199999999999999" customHeight="1">
      <c r="P585" s="241"/>
      <c r="Q585" s="241"/>
      <c r="R585" s="241"/>
      <c r="S585" s="241"/>
      <c r="T585" s="241"/>
      <c r="U585" s="241"/>
      <c r="V585" s="241"/>
      <c r="W585" s="241"/>
      <c r="X585" s="241"/>
      <c r="Y585" s="241"/>
      <c r="Z585" s="241"/>
    </row>
    <row r="586" spans="16:26" ht="10.199999999999999" customHeight="1">
      <c r="P586" s="250"/>
      <c r="Q586" s="250"/>
      <c r="R586" s="250"/>
      <c r="S586" s="250"/>
      <c r="T586" s="250"/>
      <c r="U586" s="250"/>
      <c r="V586" s="250"/>
      <c r="W586" s="250"/>
      <c r="X586" s="250"/>
      <c r="Y586" s="250"/>
      <c r="Z586" s="250"/>
    </row>
    <row r="587" spans="16:26" ht="10.199999999999999" customHeight="1">
      <c r="P587" s="250"/>
      <c r="Q587" s="250"/>
      <c r="R587" s="250"/>
      <c r="S587" s="250"/>
      <c r="T587" s="250"/>
      <c r="U587" s="250"/>
      <c r="V587" s="250"/>
      <c r="W587" s="250"/>
      <c r="X587" s="250"/>
      <c r="Y587" s="250"/>
      <c r="Z587" s="250"/>
    </row>
    <row r="588" spans="16:26" ht="10.199999999999999" customHeight="1">
      <c r="P588" s="241"/>
      <c r="Q588" s="241"/>
      <c r="R588" s="241"/>
      <c r="S588" s="241"/>
      <c r="T588" s="241"/>
      <c r="U588" s="241"/>
      <c r="V588" s="241"/>
      <c r="W588" s="241"/>
      <c r="X588" s="241"/>
      <c r="Y588" s="241"/>
      <c r="Z588" s="241"/>
    </row>
    <row r="589" spans="16:26" ht="10.199999999999999" customHeight="1">
      <c r="P589" s="250"/>
      <c r="Q589" s="250"/>
      <c r="R589" s="250"/>
      <c r="S589" s="250"/>
      <c r="T589" s="250"/>
      <c r="U589" s="250"/>
      <c r="V589" s="250"/>
      <c r="W589" s="250"/>
      <c r="X589" s="250"/>
      <c r="Y589" s="250"/>
      <c r="Z589" s="250"/>
    </row>
    <row r="590" spans="16:26" ht="10.199999999999999" customHeight="1">
      <c r="P590" s="250"/>
      <c r="Q590" s="250"/>
      <c r="R590" s="250"/>
      <c r="S590" s="250"/>
      <c r="T590" s="250"/>
      <c r="U590" s="250"/>
      <c r="V590" s="250"/>
      <c r="W590" s="250"/>
      <c r="X590" s="250"/>
      <c r="Y590" s="250"/>
      <c r="Z590" s="250"/>
    </row>
    <row r="591" spans="16:26" ht="10.199999999999999" customHeight="1">
      <c r="P591" s="241"/>
      <c r="Q591" s="241"/>
      <c r="R591" s="241"/>
      <c r="S591" s="241"/>
      <c r="T591" s="241"/>
      <c r="U591" s="241"/>
      <c r="V591" s="241"/>
      <c r="W591" s="241"/>
      <c r="X591" s="241"/>
      <c r="Y591" s="241"/>
      <c r="Z591" s="241"/>
    </row>
    <row r="592" spans="16:26" ht="10.199999999999999" customHeight="1">
      <c r="P592" s="250"/>
      <c r="Q592" s="250"/>
      <c r="R592" s="250"/>
      <c r="S592" s="250"/>
      <c r="T592" s="250"/>
      <c r="U592" s="250"/>
      <c r="V592" s="250"/>
      <c r="W592" s="250"/>
      <c r="X592" s="250"/>
      <c r="Y592" s="250"/>
      <c r="Z592" s="250"/>
    </row>
    <row r="593" spans="16:26" ht="10.199999999999999" customHeight="1">
      <c r="P593" s="250"/>
      <c r="Q593" s="250"/>
      <c r="R593" s="250"/>
      <c r="S593" s="250"/>
      <c r="T593" s="250"/>
      <c r="U593" s="250"/>
      <c r="V593" s="250"/>
      <c r="W593" s="250"/>
      <c r="X593" s="250"/>
      <c r="Y593" s="250"/>
      <c r="Z593" s="250"/>
    </row>
    <row r="594" spans="16:26" ht="10.199999999999999" customHeight="1">
      <c r="P594" s="241"/>
      <c r="Q594" s="241"/>
      <c r="R594" s="241"/>
      <c r="S594" s="241"/>
      <c r="T594" s="241"/>
      <c r="U594" s="241"/>
      <c r="V594" s="241"/>
      <c r="W594" s="241"/>
      <c r="X594" s="241"/>
      <c r="Y594" s="241"/>
      <c r="Z594" s="241"/>
    </row>
    <row r="595" spans="16:26" ht="10.199999999999999" customHeight="1">
      <c r="P595" s="250"/>
      <c r="Q595" s="250"/>
      <c r="R595" s="250"/>
      <c r="S595" s="250"/>
      <c r="T595" s="250"/>
      <c r="U595" s="250"/>
      <c r="V595" s="250"/>
      <c r="W595" s="250"/>
      <c r="X595" s="250"/>
      <c r="Y595" s="250"/>
      <c r="Z595" s="250"/>
    </row>
    <row r="596" spans="16:26" ht="10.199999999999999" customHeight="1">
      <c r="P596" s="250"/>
      <c r="Q596" s="250"/>
      <c r="R596" s="250"/>
      <c r="S596" s="250"/>
      <c r="T596" s="250"/>
      <c r="U596" s="250"/>
      <c r="V596" s="250"/>
      <c r="W596" s="250"/>
      <c r="X596" s="250"/>
      <c r="Y596" s="250"/>
      <c r="Z596" s="250"/>
    </row>
    <row r="597" spans="16:26" ht="10.199999999999999" customHeight="1">
      <c r="P597" s="241"/>
      <c r="Q597" s="241"/>
      <c r="R597" s="241"/>
      <c r="S597" s="241"/>
      <c r="T597" s="241"/>
      <c r="U597" s="241"/>
      <c r="V597" s="241"/>
      <c r="W597" s="241"/>
      <c r="X597" s="241"/>
      <c r="Y597" s="241"/>
      <c r="Z597" s="241"/>
    </row>
    <row r="598" spans="16:26" ht="10.199999999999999" customHeight="1">
      <c r="P598" s="250"/>
      <c r="Q598" s="250"/>
      <c r="R598" s="250"/>
      <c r="S598" s="250"/>
      <c r="T598" s="250"/>
      <c r="U598" s="250"/>
      <c r="V598" s="250"/>
      <c r="W598" s="250"/>
      <c r="X598" s="250"/>
      <c r="Y598" s="250"/>
      <c r="Z598" s="250"/>
    </row>
    <row r="599" spans="16:26" ht="10.199999999999999" customHeight="1">
      <c r="P599" s="250"/>
      <c r="Q599" s="250"/>
      <c r="R599" s="250"/>
      <c r="S599" s="250"/>
      <c r="T599" s="250"/>
      <c r="U599" s="250"/>
      <c r="V599" s="250"/>
      <c r="W599" s="250"/>
      <c r="X599" s="250"/>
      <c r="Y599" s="250"/>
      <c r="Z599" s="250"/>
    </row>
    <row r="600" spans="16:26" ht="10.199999999999999" customHeight="1">
      <c r="P600" s="241"/>
      <c r="Q600" s="241"/>
      <c r="R600" s="241"/>
      <c r="S600" s="241"/>
      <c r="T600" s="241"/>
      <c r="U600" s="241"/>
      <c r="V600" s="241"/>
      <c r="W600" s="241"/>
      <c r="X600" s="241"/>
      <c r="Y600" s="241"/>
      <c r="Z600" s="241"/>
    </row>
    <row r="601" spans="16:26" ht="10.199999999999999" customHeight="1">
      <c r="P601" s="250"/>
      <c r="Q601" s="250"/>
      <c r="R601" s="250"/>
      <c r="S601" s="250"/>
      <c r="T601" s="250"/>
      <c r="U601" s="250"/>
      <c r="V601" s="250"/>
      <c r="W601" s="250"/>
      <c r="X601" s="250"/>
      <c r="Y601" s="250"/>
      <c r="Z601" s="250"/>
    </row>
    <row r="602" spans="16:26" ht="10.199999999999999" customHeight="1">
      <c r="P602" s="250"/>
      <c r="Q602" s="250"/>
      <c r="R602" s="250"/>
      <c r="S602" s="250"/>
      <c r="T602" s="250"/>
      <c r="U602" s="250"/>
      <c r="V602" s="250"/>
      <c r="W602" s="250"/>
      <c r="X602" s="250"/>
      <c r="Y602" s="250"/>
      <c r="Z602" s="250"/>
    </row>
    <row r="603" spans="16:26" ht="10.199999999999999" customHeight="1">
      <c r="P603" s="241"/>
      <c r="Q603" s="241"/>
      <c r="R603" s="241"/>
      <c r="S603" s="241"/>
      <c r="T603" s="241"/>
      <c r="U603" s="241"/>
      <c r="V603" s="241"/>
      <c r="W603" s="241"/>
      <c r="X603" s="241"/>
      <c r="Y603" s="241"/>
      <c r="Z603" s="241"/>
    </row>
    <row r="604" spans="16:26" ht="10.199999999999999" customHeight="1">
      <c r="P604" s="250"/>
      <c r="Q604" s="250"/>
      <c r="R604" s="250"/>
      <c r="S604" s="250"/>
      <c r="T604" s="250"/>
      <c r="U604" s="250"/>
      <c r="V604" s="250"/>
      <c r="W604" s="250"/>
      <c r="X604" s="250"/>
      <c r="Y604" s="250"/>
      <c r="Z604" s="250"/>
    </row>
    <row r="605" spans="16:26" ht="10.199999999999999" customHeight="1">
      <c r="P605" s="250"/>
      <c r="Q605" s="250"/>
      <c r="R605" s="250"/>
      <c r="S605" s="250"/>
      <c r="T605" s="250"/>
      <c r="U605" s="250"/>
      <c r="V605" s="250"/>
      <c r="W605" s="250"/>
      <c r="X605" s="250"/>
      <c r="Y605" s="250"/>
      <c r="Z605" s="250"/>
    </row>
    <row r="606" spans="16:26" ht="10.199999999999999" customHeight="1">
      <c r="P606" s="241"/>
      <c r="Q606" s="241"/>
      <c r="R606" s="241"/>
      <c r="S606" s="241"/>
      <c r="T606" s="241"/>
      <c r="U606" s="241"/>
      <c r="V606" s="241"/>
      <c r="W606" s="241"/>
      <c r="X606" s="241"/>
      <c r="Y606" s="241"/>
      <c r="Z606" s="241"/>
    </row>
    <row r="607" spans="16:26" ht="10.199999999999999" customHeight="1">
      <c r="P607" s="250"/>
      <c r="Q607" s="250"/>
      <c r="R607" s="250"/>
      <c r="S607" s="250"/>
      <c r="T607" s="250"/>
      <c r="U607" s="250"/>
      <c r="V607" s="250"/>
      <c r="W607" s="250"/>
      <c r="X607" s="250"/>
      <c r="Y607" s="250"/>
      <c r="Z607" s="250"/>
    </row>
    <row r="608" spans="16:26" ht="10.199999999999999" customHeight="1">
      <c r="P608" s="250"/>
      <c r="Q608" s="250"/>
      <c r="R608" s="250"/>
      <c r="S608" s="250"/>
      <c r="T608" s="250"/>
      <c r="U608" s="250"/>
      <c r="V608" s="250"/>
      <c r="W608" s="250"/>
      <c r="X608" s="250"/>
      <c r="Y608" s="250"/>
      <c r="Z608" s="250"/>
    </row>
    <row r="609" spans="16:26" ht="10.199999999999999" customHeight="1">
      <c r="P609" s="241"/>
      <c r="Q609" s="241"/>
      <c r="R609" s="241"/>
      <c r="S609" s="241"/>
      <c r="T609" s="241"/>
      <c r="U609" s="241"/>
      <c r="V609" s="241"/>
      <c r="W609" s="241"/>
      <c r="X609" s="241"/>
      <c r="Y609" s="241"/>
      <c r="Z609" s="241"/>
    </row>
    <row r="610" spans="16:26" ht="10.199999999999999" customHeight="1">
      <c r="P610" s="250"/>
      <c r="Q610" s="250"/>
      <c r="R610" s="250"/>
      <c r="S610" s="250"/>
      <c r="T610" s="250"/>
      <c r="U610" s="250"/>
      <c r="V610" s="250"/>
      <c r="W610" s="250"/>
      <c r="X610" s="250"/>
      <c r="Y610" s="250"/>
      <c r="Z610" s="250"/>
    </row>
    <row r="611" spans="16:26" ht="10.199999999999999" customHeight="1">
      <c r="P611" s="250"/>
      <c r="Q611" s="250"/>
      <c r="R611" s="250"/>
      <c r="S611" s="250"/>
      <c r="T611" s="250"/>
      <c r="U611" s="250"/>
      <c r="V611" s="250"/>
      <c r="W611" s="250"/>
      <c r="X611" s="250"/>
      <c r="Y611" s="250"/>
      <c r="Z611" s="250"/>
    </row>
    <row r="612" spans="16:26" ht="10.199999999999999" customHeight="1">
      <c r="P612" s="241"/>
      <c r="Q612" s="241"/>
      <c r="R612" s="241"/>
      <c r="S612" s="241"/>
      <c r="T612" s="241"/>
      <c r="U612" s="241"/>
      <c r="V612" s="241"/>
      <c r="W612" s="241"/>
      <c r="X612" s="241"/>
      <c r="Y612" s="241"/>
      <c r="Z612" s="241"/>
    </row>
    <row r="613" spans="16:26" ht="10.199999999999999" customHeight="1">
      <c r="P613" s="250"/>
      <c r="Q613" s="250"/>
      <c r="R613" s="250"/>
      <c r="S613" s="250"/>
      <c r="T613" s="250"/>
      <c r="U613" s="250"/>
      <c r="V613" s="250"/>
      <c r="W613" s="250"/>
      <c r="X613" s="250"/>
      <c r="Y613" s="250"/>
      <c r="Z613" s="250"/>
    </row>
    <row r="614" spans="16:26" ht="10.199999999999999" customHeight="1">
      <c r="P614" s="250"/>
      <c r="Q614" s="250"/>
      <c r="R614" s="250"/>
      <c r="S614" s="250"/>
      <c r="T614" s="250"/>
      <c r="U614" s="250"/>
      <c r="V614" s="250"/>
      <c r="W614" s="250"/>
      <c r="X614" s="250"/>
      <c r="Y614" s="250"/>
      <c r="Z614" s="250"/>
    </row>
    <row r="615" spans="16:26" ht="10.199999999999999" customHeight="1">
      <c r="P615" s="241"/>
      <c r="Q615" s="241"/>
      <c r="R615" s="241"/>
      <c r="S615" s="241"/>
      <c r="T615" s="241"/>
      <c r="U615" s="241"/>
      <c r="V615" s="241"/>
      <c r="W615" s="241"/>
      <c r="X615" s="241"/>
      <c r="Y615" s="241"/>
      <c r="Z615" s="241"/>
    </row>
    <row r="616" spans="16:26" ht="10.199999999999999" customHeight="1">
      <c r="P616" s="250"/>
      <c r="Q616" s="250"/>
      <c r="R616" s="250"/>
      <c r="S616" s="250"/>
      <c r="T616" s="250"/>
      <c r="U616" s="250"/>
      <c r="V616" s="250"/>
      <c r="W616" s="250"/>
      <c r="X616" s="250"/>
      <c r="Y616" s="250"/>
      <c r="Z616" s="250"/>
    </row>
    <row r="617" spans="16:26" ht="10.199999999999999" customHeight="1">
      <c r="P617" s="250"/>
      <c r="Q617" s="250"/>
      <c r="R617" s="250"/>
      <c r="S617" s="250"/>
      <c r="T617" s="250"/>
      <c r="U617" s="250"/>
      <c r="V617" s="250"/>
      <c r="W617" s="250"/>
      <c r="X617" s="250"/>
      <c r="Y617" s="250"/>
      <c r="Z617" s="250"/>
    </row>
    <row r="618" spans="16:26" ht="10.199999999999999" customHeight="1">
      <c r="P618" s="241"/>
      <c r="Q618" s="241"/>
      <c r="R618" s="241"/>
      <c r="S618" s="241"/>
      <c r="T618" s="241"/>
      <c r="U618" s="241"/>
      <c r="V618" s="241"/>
      <c r="W618" s="241"/>
      <c r="X618" s="241"/>
      <c r="Y618" s="241"/>
      <c r="Z618" s="241"/>
    </row>
    <row r="619" spans="16:26" ht="10.199999999999999" customHeight="1">
      <c r="P619" s="250"/>
      <c r="Q619" s="250"/>
      <c r="R619" s="250"/>
      <c r="S619" s="250"/>
      <c r="T619" s="250"/>
      <c r="U619" s="250"/>
      <c r="V619" s="250"/>
      <c r="W619" s="250"/>
      <c r="X619" s="250"/>
      <c r="Y619" s="250"/>
      <c r="Z619" s="250"/>
    </row>
    <row r="620" spans="16:26" ht="10.199999999999999" customHeight="1">
      <c r="P620" s="250"/>
      <c r="Q620" s="250"/>
      <c r="R620" s="250"/>
      <c r="S620" s="250"/>
      <c r="T620" s="250"/>
      <c r="U620" s="250"/>
      <c r="V620" s="250"/>
      <c r="W620" s="250"/>
      <c r="X620" s="250"/>
      <c r="Y620" s="250"/>
      <c r="Z620" s="250"/>
    </row>
    <row r="621" spans="16:26" ht="10.199999999999999" customHeight="1">
      <c r="P621" s="241"/>
      <c r="Q621" s="241"/>
      <c r="R621" s="241"/>
      <c r="S621" s="241"/>
      <c r="T621" s="241"/>
      <c r="U621" s="241"/>
      <c r="V621" s="241"/>
      <c r="W621" s="241"/>
      <c r="X621" s="241"/>
      <c r="Y621" s="241"/>
      <c r="Z621" s="241"/>
    </row>
    <row r="622" spans="16:26" ht="10.199999999999999" customHeight="1">
      <c r="P622" s="250"/>
      <c r="Q622" s="250"/>
      <c r="R622" s="250"/>
      <c r="S622" s="250"/>
      <c r="T622" s="250"/>
      <c r="U622" s="250"/>
      <c r="V622" s="250"/>
      <c r="W622" s="250"/>
      <c r="X622" s="250"/>
      <c r="Y622" s="250"/>
      <c r="Z622" s="250"/>
    </row>
    <row r="623" spans="16:26" ht="10.199999999999999" customHeight="1">
      <c r="P623" s="250"/>
      <c r="Q623" s="250"/>
      <c r="R623" s="250"/>
      <c r="S623" s="250"/>
      <c r="T623" s="250"/>
      <c r="U623" s="250"/>
      <c r="V623" s="250"/>
      <c r="W623" s="250"/>
      <c r="X623" s="250"/>
      <c r="Y623" s="250"/>
      <c r="Z623" s="250"/>
    </row>
    <row r="624" spans="16:26" ht="10.199999999999999" customHeight="1">
      <c r="P624" s="241"/>
      <c r="Q624" s="241"/>
      <c r="R624" s="241"/>
      <c r="S624" s="241"/>
      <c r="T624" s="241"/>
      <c r="U624" s="241"/>
      <c r="V624" s="241"/>
      <c r="W624" s="241"/>
      <c r="X624" s="241"/>
      <c r="Y624" s="241"/>
      <c r="Z624" s="241"/>
    </row>
    <row r="625" spans="16:26" ht="10.199999999999999" customHeight="1">
      <c r="P625" s="250"/>
      <c r="Q625" s="250"/>
      <c r="R625" s="250"/>
      <c r="S625" s="250"/>
      <c r="T625" s="250"/>
      <c r="U625" s="250"/>
      <c r="V625" s="250"/>
      <c r="W625" s="250"/>
      <c r="X625" s="250"/>
      <c r="Y625" s="250"/>
      <c r="Z625" s="250"/>
    </row>
    <row r="626" spans="16:26" ht="10.199999999999999" customHeight="1">
      <c r="P626" s="250"/>
      <c r="Q626" s="250"/>
      <c r="R626" s="250"/>
      <c r="S626" s="250"/>
      <c r="T626" s="250"/>
      <c r="U626" s="250"/>
      <c r="V626" s="250"/>
      <c r="W626" s="250"/>
      <c r="X626" s="250"/>
      <c r="Y626" s="250"/>
      <c r="Z626" s="250"/>
    </row>
    <row r="627" spans="16:26" ht="10.199999999999999" customHeight="1">
      <c r="P627" s="241"/>
      <c r="Q627" s="241"/>
      <c r="R627" s="241"/>
      <c r="S627" s="241"/>
      <c r="T627" s="241"/>
      <c r="U627" s="241"/>
      <c r="V627" s="241"/>
      <c r="W627" s="241"/>
      <c r="X627" s="241"/>
      <c r="Y627" s="241"/>
      <c r="Z627" s="241"/>
    </row>
    <row r="628" spans="16:26" ht="10.199999999999999" customHeight="1">
      <c r="P628" s="250"/>
      <c r="Q628" s="250"/>
      <c r="R628" s="250"/>
      <c r="S628" s="250"/>
      <c r="T628" s="250"/>
      <c r="U628" s="250"/>
      <c r="V628" s="250"/>
      <c r="W628" s="250"/>
      <c r="X628" s="250"/>
      <c r="Y628" s="250"/>
      <c r="Z628" s="250"/>
    </row>
    <row r="629" spans="16:26" ht="10.199999999999999" customHeight="1">
      <c r="P629" s="250"/>
      <c r="Q629" s="250"/>
      <c r="R629" s="250"/>
      <c r="S629" s="250"/>
      <c r="T629" s="250"/>
      <c r="U629" s="250"/>
      <c r="V629" s="250"/>
      <c r="W629" s="250"/>
      <c r="X629" s="250"/>
      <c r="Y629" s="250"/>
      <c r="Z629" s="250"/>
    </row>
    <row r="630" spans="16:26" ht="10.199999999999999" customHeight="1">
      <c r="P630" s="241"/>
      <c r="Q630" s="241"/>
      <c r="R630" s="241"/>
      <c r="S630" s="241"/>
      <c r="T630" s="241"/>
      <c r="U630" s="241"/>
      <c r="V630" s="241"/>
      <c r="W630" s="241"/>
      <c r="X630" s="241"/>
      <c r="Y630" s="241"/>
      <c r="Z630" s="241"/>
    </row>
    <row r="631" spans="16:26" ht="10.199999999999999" customHeight="1">
      <c r="P631" s="250"/>
      <c r="Q631" s="250"/>
      <c r="R631" s="250"/>
      <c r="S631" s="250"/>
      <c r="T631" s="250"/>
      <c r="U631" s="250"/>
      <c r="V631" s="250"/>
      <c r="W631" s="250"/>
      <c r="X631" s="250"/>
      <c r="Y631" s="250"/>
      <c r="Z631" s="250"/>
    </row>
    <row r="632" spans="16:26" ht="10.199999999999999" customHeight="1">
      <c r="P632" s="250"/>
      <c r="Q632" s="250"/>
      <c r="R632" s="250"/>
      <c r="S632" s="250"/>
      <c r="T632" s="250"/>
      <c r="U632" s="250"/>
      <c r="V632" s="250"/>
      <c r="W632" s="250"/>
      <c r="X632" s="250"/>
      <c r="Y632" s="250"/>
      <c r="Z632" s="250"/>
    </row>
    <row r="633" spans="16:26" ht="10.199999999999999" customHeight="1">
      <c r="P633" s="241"/>
      <c r="Q633" s="241"/>
      <c r="R633" s="241"/>
      <c r="S633" s="241"/>
      <c r="T633" s="241"/>
      <c r="U633" s="241"/>
      <c r="V633" s="241"/>
      <c r="W633" s="241"/>
      <c r="X633" s="241"/>
      <c r="Y633" s="241"/>
      <c r="Z633" s="241"/>
    </row>
    <row r="634" spans="16:26" ht="10.199999999999999" customHeight="1">
      <c r="P634" s="250"/>
      <c r="Q634" s="250"/>
      <c r="R634" s="250"/>
      <c r="S634" s="250"/>
      <c r="T634" s="250"/>
      <c r="U634" s="250"/>
      <c r="V634" s="250"/>
      <c r="W634" s="250"/>
      <c r="X634" s="250"/>
      <c r="Y634" s="250"/>
      <c r="Z634" s="250"/>
    </row>
    <row r="635" spans="16:26" ht="10.199999999999999" customHeight="1">
      <c r="P635" s="250"/>
      <c r="Q635" s="250"/>
      <c r="R635" s="250"/>
      <c r="S635" s="250"/>
      <c r="T635" s="250"/>
      <c r="U635" s="250"/>
      <c r="V635" s="250"/>
      <c r="W635" s="250"/>
      <c r="X635" s="250"/>
      <c r="Y635" s="250"/>
      <c r="Z635" s="250"/>
    </row>
    <row r="636" spans="16:26" ht="10.199999999999999" customHeight="1">
      <c r="P636" s="241"/>
      <c r="Q636" s="241"/>
      <c r="R636" s="241"/>
      <c r="S636" s="241"/>
      <c r="T636" s="241"/>
      <c r="U636" s="241"/>
      <c r="V636" s="241"/>
      <c r="W636" s="241"/>
      <c r="X636" s="241"/>
      <c r="Y636" s="241"/>
      <c r="Z636" s="241"/>
    </row>
    <row r="637" spans="16:26" ht="10.199999999999999" customHeight="1">
      <c r="P637" s="250"/>
      <c r="Q637" s="250"/>
      <c r="R637" s="250"/>
      <c r="S637" s="250"/>
      <c r="T637" s="250"/>
      <c r="U637" s="250"/>
      <c r="V637" s="250"/>
      <c r="W637" s="250"/>
      <c r="X637" s="250"/>
      <c r="Y637" s="250"/>
      <c r="Z637" s="250"/>
    </row>
    <row r="638" spans="16:26" ht="10.199999999999999" customHeight="1">
      <c r="P638" s="250"/>
      <c r="Q638" s="250"/>
      <c r="R638" s="250"/>
      <c r="S638" s="250"/>
      <c r="T638" s="250"/>
      <c r="U638" s="250"/>
      <c r="V638" s="250"/>
      <c r="W638" s="250"/>
      <c r="X638" s="250"/>
      <c r="Y638" s="250"/>
      <c r="Z638" s="250"/>
    </row>
    <row r="639" spans="16:26" ht="10.199999999999999" customHeight="1">
      <c r="P639" s="241"/>
      <c r="Q639" s="241"/>
      <c r="R639" s="241"/>
      <c r="S639" s="241"/>
      <c r="T639" s="241"/>
      <c r="U639" s="241"/>
      <c r="V639" s="241"/>
      <c r="W639" s="241"/>
      <c r="X639" s="241"/>
      <c r="Y639" s="241"/>
      <c r="Z639" s="241"/>
    </row>
    <row r="640" spans="16:26" ht="10.199999999999999" customHeight="1">
      <c r="P640" s="250"/>
      <c r="Q640" s="250"/>
      <c r="R640" s="250"/>
      <c r="S640" s="250"/>
      <c r="T640" s="250"/>
      <c r="U640" s="250"/>
      <c r="V640" s="250"/>
      <c r="W640" s="250"/>
      <c r="X640" s="250"/>
      <c r="Y640" s="250"/>
      <c r="Z640" s="250"/>
    </row>
    <row r="641" spans="16:26" ht="10.199999999999999" customHeight="1">
      <c r="P641" s="250"/>
      <c r="Q641" s="250"/>
      <c r="R641" s="250"/>
      <c r="S641" s="250"/>
      <c r="T641" s="250"/>
      <c r="U641" s="250"/>
      <c r="V641" s="250"/>
      <c r="W641" s="250"/>
      <c r="X641" s="250"/>
      <c r="Y641" s="250"/>
      <c r="Z641" s="250"/>
    </row>
    <row r="642" spans="16:26" ht="10.199999999999999" customHeight="1">
      <c r="P642" s="241"/>
      <c r="Q642" s="241"/>
      <c r="R642" s="241"/>
      <c r="S642" s="241"/>
      <c r="T642" s="241"/>
      <c r="U642" s="241"/>
      <c r="V642" s="241"/>
      <c r="W642" s="241"/>
      <c r="X642" s="241"/>
      <c r="Y642" s="241"/>
      <c r="Z642" s="241"/>
    </row>
    <row r="643" spans="16:26" ht="10.199999999999999" customHeight="1">
      <c r="P643" s="241"/>
      <c r="Q643" s="241"/>
      <c r="R643" s="241"/>
      <c r="S643" s="241"/>
      <c r="T643" s="241"/>
      <c r="U643" s="241"/>
      <c r="V643" s="241"/>
      <c r="W643" s="241"/>
      <c r="X643" s="241"/>
      <c r="Y643" s="241"/>
      <c r="Z643" s="241"/>
    </row>
    <row r="644" spans="16:26" ht="10.199999999999999" customHeight="1">
      <c r="P644" s="241"/>
      <c r="Q644" s="241"/>
      <c r="R644" s="241"/>
      <c r="S644" s="241"/>
      <c r="T644" s="241"/>
      <c r="U644" s="241"/>
      <c r="V644" s="241"/>
      <c r="W644" s="241"/>
      <c r="X644" s="241"/>
      <c r="Y644" s="241"/>
      <c r="Z644" s="241"/>
    </row>
    <row r="645" spans="16:26" ht="10.199999999999999" customHeight="1">
      <c r="P645" s="241"/>
      <c r="Q645" s="241"/>
      <c r="R645" s="241"/>
      <c r="S645" s="241"/>
      <c r="T645" s="241"/>
      <c r="U645" s="241"/>
      <c r="V645" s="241"/>
      <c r="W645" s="241"/>
      <c r="X645" s="241"/>
      <c r="Y645" s="241"/>
      <c r="Z645" s="241"/>
    </row>
    <row r="646" spans="16:26" ht="10.199999999999999" customHeight="1">
      <c r="P646" s="241"/>
      <c r="Q646" s="241"/>
      <c r="R646" s="241"/>
      <c r="S646" s="241"/>
      <c r="T646" s="241"/>
      <c r="U646" s="241"/>
      <c r="V646" s="241"/>
      <c r="W646" s="241"/>
      <c r="X646" s="241"/>
      <c r="Y646" s="241"/>
      <c r="Z646" s="241"/>
    </row>
    <row r="647" spans="16:26" ht="10.199999999999999" customHeight="1">
      <c r="P647" s="241"/>
      <c r="Q647" s="241"/>
      <c r="R647" s="241"/>
      <c r="S647" s="241"/>
      <c r="T647" s="241"/>
      <c r="U647" s="241"/>
      <c r="V647" s="241"/>
      <c r="W647" s="241"/>
      <c r="X647" s="241"/>
      <c r="Y647" s="241"/>
      <c r="Z647" s="241"/>
    </row>
    <row r="648" spans="16:26" ht="10.199999999999999" customHeight="1">
      <c r="P648" s="241"/>
      <c r="Q648" s="241"/>
      <c r="R648" s="241"/>
      <c r="S648" s="241"/>
      <c r="T648" s="241"/>
      <c r="U648" s="241"/>
      <c r="V648" s="241"/>
      <c r="W648" s="241"/>
      <c r="X648" s="241"/>
      <c r="Y648" s="241"/>
      <c r="Z648" s="241"/>
    </row>
    <row r="649" spans="16:26" ht="10.199999999999999" customHeight="1">
      <c r="P649" s="241"/>
      <c r="Q649" s="241"/>
      <c r="R649" s="241"/>
      <c r="S649" s="241"/>
      <c r="T649" s="241"/>
      <c r="U649" s="241"/>
      <c r="V649" s="241"/>
      <c r="W649" s="241"/>
      <c r="X649" s="241"/>
      <c r="Y649" s="241"/>
      <c r="Z649" s="241"/>
    </row>
    <row r="650" spans="16:26" ht="10.199999999999999" customHeight="1">
      <c r="P650" s="241"/>
      <c r="Q650" s="241"/>
      <c r="R650" s="241"/>
      <c r="S650" s="241"/>
      <c r="T650" s="241"/>
      <c r="U650" s="241"/>
      <c r="V650" s="241"/>
      <c r="W650" s="241"/>
      <c r="X650" s="241"/>
      <c r="Y650" s="241"/>
      <c r="Z650" s="241"/>
    </row>
    <row r="651" spans="16:26" ht="10.199999999999999" customHeight="1">
      <c r="P651" s="241"/>
      <c r="Q651" s="241"/>
      <c r="R651" s="241"/>
      <c r="S651" s="241"/>
      <c r="T651" s="241"/>
      <c r="U651" s="241"/>
      <c r="V651" s="241"/>
      <c r="W651" s="241"/>
      <c r="X651" s="241"/>
      <c r="Y651" s="241"/>
      <c r="Z651" s="241"/>
    </row>
    <row r="652" spans="16:26" ht="10.199999999999999" customHeight="1">
      <c r="P652" s="241"/>
      <c r="Q652" s="241"/>
      <c r="R652" s="241"/>
      <c r="S652" s="241"/>
      <c r="T652" s="241"/>
      <c r="U652" s="241"/>
      <c r="V652" s="241"/>
      <c r="W652" s="241"/>
      <c r="X652" s="241"/>
      <c r="Y652" s="241"/>
      <c r="Z652" s="241"/>
    </row>
    <row r="653" spans="16:26" ht="10.199999999999999" customHeight="1">
      <c r="P653" s="241"/>
      <c r="Q653" s="241"/>
      <c r="R653" s="241"/>
      <c r="S653" s="241"/>
      <c r="T653" s="241"/>
      <c r="U653" s="241"/>
      <c r="V653" s="241"/>
      <c r="W653" s="241"/>
      <c r="X653" s="241"/>
      <c r="Y653" s="241"/>
      <c r="Z653" s="241"/>
    </row>
    <row r="654" spans="16:26" ht="10.199999999999999" customHeight="1">
      <c r="P654" s="241"/>
      <c r="Q654" s="241"/>
      <c r="R654" s="241"/>
      <c r="S654" s="241"/>
      <c r="T654" s="241"/>
      <c r="U654" s="241"/>
      <c r="V654" s="241"/>
      <c r="W654" s="241"/>
      <c r="X654" s="241"/>
      <c r="Y654" s="241"/>
      <c r="Z654" s="241"/>
    </row>
    <row r="655" spans="16:26" ht="10.199999999999999" customHeight="1">
      <c r="P655" s="241"/>
      <c r="Q655" s="241"/>
      <c r="R655" s="241"/>
      <c r="S655" s="241"/>
      <c r="T655" s="241"/>
      <c r="U655" s="241"/>
      <c r="V655" s="241"/>
      <c r="W655" s="241"/>
      <c r="X655" s="241"/>
      <c r="Y655" s="241"/>
      <c r="Z655" s="241"/>
    </row>
    <row r="656" spans="16:26" ht="10.199999999999999" customHeight="1">
      <c r="P656" s="241"/>
      <c r="Q656" s="241"/>
      <c r="R656" s="241"/>
      <c r="S656" s="241"/>
      <c r="T656" s="241"/>
      <c r="U656" s="241"/>
      <c r="V656" s="241"/>
      <c r="W656" s="241"/>
      <c r="X656" s="241"/>
      <c r="Y656" s="241"/>
      <c r="Z656" s="241"/>
    </row>
    <row r="657" spans="16:26" ht="10.199999999999999" customHeight="1">
      <c r="P657" s="241"/>
      <c r="Q657" s="241"/>
      <c r="R657" s="241"/>
      <c r="S657" s="241"/>
      <c r="T657" s="241"/>
      <c r="U657" s="241"/>
      <c r="V657" s="241"/>
      <c r="W657" s="241"/>
      <c r="X657" s="241"/>
      <c r="Y657" s="241"/>
      <c r="Z657" s="241"/>
    </row>
    <row r="658" spans="16:26" ht="10.199999999999999" customHeight="1">
      <c r="P658" s="241"/>
      <c r="Q658" s="241"/>
      <c r="R658" s="241"/>
      <c r="S658" s="241"/>
      <c r="T658" s="241"/>
      <c r="U658" s="241"/>
      <c r="V658" s="241"/>
      <c r="W658" s="241"/>
      <c r="X658" s="241"/>
      <c r="Y658" s="241"/>
      <c r="Z658" s="241"/>
    </row>
    <row r="659" spans="16:26" ht="10.199999999999999" customHeight="1">
      <c r="P659" s="241"/>
      <c r="Q659" s="241"/>
      <c r="R659" s="241"/>
      <c r="S659" s="241"/>
      <c r="T659" s="241"/>
      <c r="U659" s="241"/>
      <c r="V659" s="241"/>
      <c r="W659" s="241"/>
      <c r="X659" s="241"/>
      <c r="Y659" s="241"/>
      <c r="Z659" s="241"/>
    </row>
    <row r="660" spans="16:26" ht="10.199999999999999" customHeight="1">
      <c r="P660" s="241"/>
      <c r="Q660" s="241"/>
      <c r="R660" s="241"/>
      <c r="S660" s="241"/>
      <c r="T660" s="241"/>
      <c r="U660" s="241"/>
      <c r="V660" s="241"/>
      <c r="W660" s="241"/>
      <c r="X660" s="241"/>
      <c r="Y660" s="241"/>
      <c r="Z660" s="241"/>
    </row>
    <row r="661" spans="16:26" ht="10.199999999999999" customHeight="1">
      <c r="P661" s="241"/>
      <c r="Q661" s="241"/>
      <c r="R661" s="241"/>
      <c r="S661" s="241"/>
      <c r="T661" s="241"/>
      <c r="U661" s="241"/>
      <c r="V661" s="241"/>
      <c r="W661" s="241"/>
      <c r="X661" s="241"/>
      <c r="Y661" s="241"/>
      <c r="Z661" s="241"/>
    </row>
    <row r="662" spans="16:26" ht="10.199999999999999" customHeight="1">
      <c r="P662" s="241"/>
      <c r="Q662" s="241"/>
      <c r="R662" s="241"/>
      <c r="S662" s="241"/>
      <c r="T662" s="241"/>
      <c r="U662" s="241"/>
      <c r="V662" s="241"/>
      <c r="W662" s="241"/>
      <c r="X662" s="241"/>
      <c r="Y662" s="241"/>
      <c r="Z662" s="241"/>
    </row>
    <row r="663" spans="16:26" ht="10.199999999999999" customHeight="1">
      <c r="P663" s="241"/>
      <c r="Q663" s="241"/>
      <c r="R663" s="241"/>
      <c r="S663" s="241"/>
      <c r="T663" s="241"/>
      <c r="U663" s="241"/>
      <c r="V663" s="241"/>
      <c r="W663" s="241"/>
      <c r="X663" s="241"/>
      <c r="Y663" s="241"/>
      <c r="Z663" s="241"/>
    </row>
    <row r="664" spans="16:26" ht="10.199999999999999" customHeight="1">
      <c r="P664" s="241"/>
      <c r="Q664" s="241"/>
      <c r="R664" s="241"/>
      <c r="S664" s="241"/>
      <c r="T664" s="241"/>
      <c r="U664" s="241"/>
      <c r="V664" s="241"/>
      <c r="W664" s="241"/>
      <c r="X664" s="241"/>
      <c r="Y664" s="241"/>
      <c r="Z664" s="241"/>
    </row>
    <row r="665" spans="16:26" ht="10.199999999999999" customHeight="1">
      <c r="P665" s="241"/>
      <c r="Q665" s="241"/>
      <c r="R665" s="241"/>
      <c r="S665" s="241"/>
      <c r="T665" s="241"/>
      <c r="U665" s="241"/>
      <c r="V665" s="241"/>
      <c r="W665" s="241"/>
      <c r="X665" s="241"/>
      <c r="Y665" s="241"/>
      <c r="Z665" s="241"/>
    </row>
    <row r="666" spans="16:26" ht="10.199999999999999" customHeight="1">
      <c r="P666" s="241"/>
      <c r="Q666" s="241"/>
      <c r="R666" s="241"/>
      <c r="S666" s="241"/>
      <c r="T666" s="241"/>
      <c r="U666" s="241"/>
      <c r="V666" s="241"/>
      <c r="W666" s="241"/>
      <c r="X666" s="241"/>
      <c r="Y666" s="241"/>
      <c r="Z666" s="241"/>
    </row>
    <row r="667" spans="16:26" ht="10.199999999999999" customHeight="1">
      <c r="P667" s="241"/>
      <c r="Q667" s="241"/>
      <c r="R667" s="241"/>
      <c r="S667" s="241"/>
      <c r="T667" s="241"/>
      <c r="U667" s="241"/>
      <c r="V667" s="241"/>
      <c r="W667" s="241"/>
      <c r="X667" s="241"/>
      <c r="Y667" s="241"/>
      <c r="Z667" s="241"/>
    </row>
    <row r="668" spans="16:26" ht="10.199999999999999" customHeight="1">
      <c r="P668" s="241"/>
      <c r="Q668" s="241"/>
      <c r="R668" s="241"/>
      <c r="S668" s="241"/>
      <c r="T668" s="241"/>
      <c r="U668" s="241"/>
      <c r="V668" s="241"/>
      <c r="W668" s="241"/>
      <c r="X668" s="241"/>
      <c r="Y668" s="241"/>
      <c r="Z668" s="241"/>
    </row>
    <row r="669" spans="16:26" ht="10.199999999999999" customHeight="1">
      <c r="P669" s="241"/>
      <c r="Q669" s="241"/>
      <c r="R669" s="241"/>
      <c r="S669" s="241"/>
      <c r="T669" s="241"/>
      <c r="U669" s="241"/>
      <c r="V669" s="241"/>
      <c r="W669" s="241"/>
      <c r="X669" s="241"/>
      <c r="Y669" s="241"/>
      <c r="Z669" s="241"/>
    </row>
    <row r="670" spans="16:26" ht="10.199999999999999" customHeight="1">
      <c r="P670" s="241"/>
      <c r="Q670" s="241"/>
      <c r="R670" s="241"/>
      <c r="S670" s="241"/>
      <c r="T670" s="241"/>
      <c r="U670" s="241"/>
      <c r="V670" s="241"/>
      <c r="W670" s="241"/>
      <c r="X670" s="241"/>
      <c r="Y670" s="241"/>
      <c r="Z670" s="241"/>
    </row>
    <row r="671" spans="16:26" ht="10.199999999999999" customHeight="1">
      <c r="P671" s="241"/>
      <c r="Q671" s="241"/>
      <c r="R671" s="241"/>
      <c r="S671" s="241"/>
      <c r="T671" s="241"/>
      <c r="U671" s="241"/>
      <c r="V671" s="241"/>
      <c r="W671" s="241"/>
      <c r="X671" s="241"/>
      <c r="Y671" s="241"/>
      <c r="Z671" s="241"/>
    </row>
    <row r="672" spans="16:26" ht="10.199999999999999" customHeight="1">
      <c r="P672" s="241"/>
      <c r="Q672" s="241"/>
      <c r="R672" s="241"/>
      <c r="S672" s="241"/>
      <c r="T672" s="241"/>
      <c r="U672" s="241"/>
      <c r="V672" s="241"/>
      <c r="W672" s="241"/>
      <c r="X672" s="241"/>
      <c r="Y672" s="241"/>
      <c r="Z672" s="241"/>
    </row>
    <row r="673" spans="16:26" ht="10.199999999999999" customHeight="1">
      <c r="P673" s="241"/>
      <c r="Q673" s="241"/>
      <c r="R673" s="241"/>
      <c r="S673" s="241"/>
      <c r="T673" s="241"/>
      <c r="U673" s="241"/>
      <c r="V673" s="241"/>
      <c r="W673" s="241"/>
      <c r="X673" s="241"/>
      <c r="Y673" s="241"/>
      <c r="Z673" s="241"/>
    </row>
    <row r="674" spans="16:26" ht="10.199999999999999" customHeight="1">
      <c r="P674" s="241"/>
      <c r="Q674" s="241"/>
      <c r="R674" s="241"/>
      <c r="S674" s="241"/>
      <c r="T674" s="241"/>
      <c r="U674" s="241"/>
      <c r="V674" s="241"/>
      <c r="W674" s="241"/>
      <c r="X674" s="241"/>
      <c r="Y674" s="241"/>
      <c r="Z674" s="241"/>
    </row>
    <row r="675" spans="16:26" ht="10.199999999999999" customHeight="1">
      <c r="P675" s="241"/>
      <c r="Q675" s="241"/>
      <c r="R675" s="241"/>
      <c r="S675" s="241"/>
      <c r="T675" s="241"/>
      <c r="U675" s="241"/>
      <c r="V675" s="241"/>
      <c r="W675" s="241"/>
      <c r="X675" s="241"/>
      <c r="Y675" s="241"/>
      <c r="Z675" s="241"/>
    </row>
    <row r="676" spans="16:26" ht="10.199999999999999" customHeight="1">
      <c r="P676" s="241"/>
      <c r="Q676" s="241"/>
      <c r="R676" s="241"/>
      <c r="S676" s="241"/>
      <c r="T676" s="241"/>
      <c r="U676" s="241"/>
      <c r="V676" s="241"/>
      <c r="W676" s="241"/>
      <c r="X676" s="241"/>
      <c r="Y676" s="241"/>
      <c r="Z676" s="241"/>
    </row>
    <row r="677" spans="16:26" ht="10.199999999999999" customHeight="1">
      <c r="P677" s="241"/>
      <c r="Q677" s="241"/>
      <c r="R677" s="241"/>
      <c r="S677" s="241"/>
      <c r="T677" s="241"/>
      <c r="U677" s="241"/>
      <c r="V677" s="241"/>
      <c r="W677" s="241"/>
      <c r="X677" s="241"/>
      <c r="Y677" s="241"/>
      <c r="Z677" s="241"/>
    </row>
    <row r="678" spans="16:26" ht="10.199999999999999" customHeight="1">
      <c r="P678" s="241"/>
      <c r="Q678" s="241"/>
      <c r="R678" s="241"/>
      <c r="S678" s="241"/>
      <c r="T678" s="241"/>
      <c r="U678" s="241"/>
      <c r="V678" s="241"/>
      <c r="W678" s="241"/>
      <c r="X678" s="241"/>
      <c r="Y678" s="241"/>
      <c r="Z678" s="241"/>
    </row>
    <row r="679" spans="16:26" ht="10.199999999999999" customHeight="1">
      <c r="P679" s="241"/>
      <c r="Q679" s="241"/>
      <c r="R679" s="241"/>
      <c r="S679" s="241"/>
      <c r="T679" s="241"/>
      <c r="U679" s="241"/>
      <c r="V679" s="241"/>
      <c r="W679" s="241"/>
      <c r="X679" s="241"/>
      <c r="Y679" s="241"/>
      <c r="Z679" s="241"/>
    </row>
    <row r="680" spans="16:26" ht="10.199999999999999" customHeight="1">
      <c r="P680" s="241"/>
      <c r="Q680" s="241"/>
      <c r="R680" s="241"/>
      <c r="S680" s="241"/>
      <c r="T680" s="241"/>
      <c r="U680" s="241"/>
      <c r="V680" s="241"/>
      <c r="W680" s="241"/>
      <c r="X680" s="241"/>
      <c r="Y680" s="241"/>
      <c r="Z680" s="241"/>
    </row>
    <row r="681" spans="16:26" ht="10.199999999999999" customHeight="1">
      <c r="P681" s="241"/>
      <c r="Q681" s="241"/>
      <c r="R681" s="241"/>
      <c r="S681" s="241"/>
      <c r="T681" s="241"/>
      <c r="U681" s="241"/>
      <c r="V681" s="241"/>
      <c r="W681" s="241"/>
      <c r="X681" s="241"/>
      <c r="Y681" s="241"/>
      <c r="Z681" s="241"/>
    </row>
    <row r="682" spans="16:26" ht="10.199999999999999" customHeight="1">
      <c r="P682" s="241"/>
      <c r="Q682" s="241"/>
      <c r="R682" s="241"/>
      <c r="S682" s="241"/>
      <c r="T682" s="241"/>
      <c r="U682" s="241"/>
      <c r="V682" s="241"/>
      <c r="W682" s="241"/>
      <c r="X682" s="241"/>
      <c r="Y682" s="241"/>
      <c r="Z682" s="241"/>
    </row>
    <row r="683" spans="16:26" ht="10.199999999999999" customHeight="1">
      <c r="P683" s="241"/>
      <c r="Q683" s="241"/>
      <c r="R683" s="241"/>
      <c r="S683" s="241"/>
      <c r="T683" s="241"/>
      <c r="U683" s="241"/>
      <c r="V683" s="241"/>
      <c r="W683" s="241"/>
      <c r="X683" s="241"/>
      <c r="Y683" s="241"/>
      <c r="Z683" s="241"/>
    </row>
    <row r="684" spans="16:26" ht="10.199999999999999" customHeight="1">
      <c r="P684" s="241"/>
      <c r="Q684" s="241"/>
      <c r="R684" s="241"/>
      <c r="S684" s="241"/>
      <c r="T684" s="241"/>
      <c r="U684" s="241"/>
      <c r="V684" s="241"/>
      <c r="W684" s="241"/>
      <c r="X684" s="241"/>
      <c r="Y684" s="241"/>
      <c r="Z684" s="241"/>
    </row>
    <row r="685" spans="16:26" ht="10.199999999999999" customHeight="1">
      <c r="P685" s="241"/>
      <c r="Q685" s="241"/>
      <c r="R685" s="241"/>
      <c r="S685" s="241"/>
      <c r="T685" s="241"/>
      <c r="U685" s="241"/>
      <c r="V685" s="241"/>
      <c r="W685" s="241"/>
      <c r="X685" s="241"/>
      <c r="Y685" s="241"/>
      <c r="Z685" s="241"/>
    </row>
    <row r="686" spans="16:26" ht="10.199999999999999" customHeight="1">
      <c r="P686" s="241"/>
      <c r="Q686" s="241"/>
      <c r="R686" s="241"/>
      <c r="S686" s="241"/>
      <c r="T686" s="241"/>
      <c r="U686" s="241"/>
      <c r="V686" s="241"/>
      <c r="W686" s="241"/>
      <c r="X686" s="241"/>
      <c r="Y686" s="241"/>
      <c r="Z686" s="241"/>
    </row>
    <row r="687" spans="16:26" ht="10.199999999999999" customHeight="1">
      <c r="P687" s="241"/>
      <c r="Q687" s="241"/>
      <c r="R687" s="241"/>
      <c r="S687" s="241"/>
      <c r="T687" s="241"/>
      <c r="U687" s="241"/>
      <c r="V687" s="241"/>
      <c r="W687" s="241"/>
      <c r="X687" s="241"/>
      <c r="Y687" s="241"/>
      <c r="Z687" s="241"/>
    </row>
    <row r="688" spans="16:26" ht="10.199999999999999" customHeight="1">
      <c r="P688" s="241"/>
      <c r="Q688" s="241"/>
      <c r="R688" s="241"/>
      <c r="S688" s="241"/>
      <c r="T688" s="241"/>
      <c r="U688" s="241"/>
      <c r="V688" s="241"/>
      <c r="W688" s="241"/>
      <c r="X688" s="241"/>
      <c r="Y688" s="241"/>
      <c r="Z688" s="241"/>
    </row>
    <row r="689" spans="16:26" ht="10.199999999999999" customHeight="1">
      <c r="P689" s="241"/>
      <c r="Q689" s="241"/>
      <c r="R689" s="241"/>
      <c r="S689" s="241"/>
      <c r="T689" s="241"/>
      <c r="U689" s="241"/>
      <c r="V689" s="241"/>
      <c r="W689" s="241"/>
      <c r="X689" s="241"/>
      <c r="Y689" s="241"/>
      <c r="Z689" s="241"/>
    </row>
    <row r="690" spans="16:26" ht="10.199999999999999" customHeight="1">
      <c r="P690" s="241"/>
      <c r="Q690" s="241"/>
      <c r="R690" s="241"/>
      <c r="S690" s="241"/>
      <c r="T690" s="241"/>
      <c r="U690" s="241"/>
      <c r="V690" s="241"/>
      <c r="W690" s="241"/>
      <c r="X690" s="241"/>
      <c r="Y690" s="241"/>
      <c r="Z690" s="241"/>
    </row>
    <row r="691" spans="16:26" ht="10.199999999999999" customHeight="1">
      <c r="P691" s="241"/>
      <c r="Q691" s="241"/>
      <c r="R691" s="241"/>
      <c r="S691" s="241"/>
      <c r="T691" s="241"/>
      <c r="U691" s="241"/>
      <c r="V691" s="241"/>
      <c r="W691" s="241"/>
      <c r="X691" s="241"/>
      <c r="Y691" s="241"/>
      <c r="Z691" s="241"/>
    </row>
    <row r="692" spans="16:26" ht="10.199999999999999" customHeight="1">
      <c r="P692" s="241"/>
      <c r="Q692" s="241"/>
      <c r="R692" s="241"/>
      <c r="S692" s="241"/>
      <c r="T692" s="241"/>
      <c r="U692" s="241"/>
      <c r="V692" s="241"/>
      <c r="W692" s="241"/>
      <c r="X692" s="241"/>
      <c r="Y692" s="241"/>
      <c r="Z692" s="241"/>
    </row>
    <row r="693" spans="16:26" ht="10.199999999999999" customHeight="1">
      <c r="P693" s="241"/>
      <c r="Q693" s="241"/>
      <c r="R693" s="241"/>
      <c r="S693" s="241"/>
      <c r="T693" s="241"/>
      <c r="U693" s="241"/>
      <c r="V693" s="241"/>
      <c r="W693" s="241"/>
      <c r="X693" s="241"/>
      <c r="Y693" s="241"/>
      <c r="Z693" s="241"/>
    </row>
    <row r="694" spans="16:26" ht="10.199999999999999" customHeight="1">
      <c r="P694" s="241"/>
      <c r="Q694" s="241"/>
      <c r="R694" s="241"/>
      <c r="S694" s="241"/>
      <c r="T694" s="241"/>
      <c r="U694" s="241"/>
      <c r="V694" s="241"/>
      <c r="W694" s="241"/>
      <c r="X694" s="241"/>
      <c r="Y694" s="241"/>
      <c r="Z694" s="241"/>
    </row>
    <row r="695" spans="16:26" ht="10.199999999999999" customHeight="1">
      <c r="P695" s="241"/>
      <c r="Q695" s="241"/>
      <c r="R695" s="241"/>
      <c r="S695" s="241"/>
      <c r="T695" s="241"/>
      <c r="U695" s="241"/>
      <c r="V695" s="241"/>
      <c r="W695" s="241"/>
      <c r="X695" s="241"/>
      <c r="Y695" s="241"/>
      <c r="Z695" s="241"/>
    </row>
    <row r="696" spans="16:26" ht="10.199999999999999" customHeight="1">
      <c r="P696" s="241"/>
      <c r="Q696" s="241"/>
      <c r="R696" s="241"/>
      <c r="S696" s="241"/>
      <c r="T696" s="241"/>
      <c r="U696" s="241"/>
      <c r="V696" s="241"/>
      <c r="W696" s="241"/>
      <c r="X696" s="241"/>
      <c r="Y696" s="241"/>
      <c r="Z696" s="241"/>
    </row>
    <row r="697" spans="16:26" ht="10.199999999999999" customHeight="1">
      <c r="P697" s="241"/>
      <c r="Q697" s="241"/>
      <c r="R697" s="241"/>
      <c r="S697" s="241"/>
      <c r="T697" s="241"/>
      <c r="U697" s="241"/>
      <c r="V697" s="241"/>
      <c r="W697" s="241"/>
      <c r="X697" s="241"/>
      <c r="Y697" s="241"/>
      <c r="Z697" s="241"/>
    </row>
    <row r="698" spans="16:26" ht="10.199999999999999" customHeight="1">
      <c r="P698" s="241"/>
      <c r="Q698" s="241"/>
      <c r="R698" s="241"/>
      <c r="S698" s="241"/>
      <c r="T698" s="241"/>
      <c r="U698" s="241"/>
      <c r="V698" s="241"/>
      <c r="W698" s="241"/>
      <c r="X698" s="241"/>
      <c r="Y698" s="241"/>
      <c r="Z698" s="241"/>
    </row>
    <row r="699" spans="16:26" ht="10.199999999999999" customHeight="1">
      <c r="P699" s="241"/>
      <c r="Q699" s="241"/>
      <c r="R699" s="241"/>
      <c r="S699" s="241"/>
      <c r="T699" s="241"/>
      <c r="U699" s="241"/>
      <c r="V699" s="241"/>
      <c r="W699" s="241"/>
      <c r="X699" s="241"/>
      <c r="Y699" s="241"/>
      <c r="Z699" s="241"/>
    </row>
    <row r="700" spans="16:26" ht="10.199999999999999" customHeight="1">
      <c r="P700" s="241"/>
      <c r="Q700" s="241"/>
      <c r="R700" s="241"/>
      <c r="S700" s="241"/>
      <c r="T700" s="241"/>
      <c r="U700" s="241"/>
      <c r="V700" s="241"/>
      <c r="W700" s="241"/>
      <c r="X700" s="241"/>
      <c r="Y700" s="241"/>
      <c r="Z700" s="241"/>
    </row>
    <row r="701" spans="16:26" ht="10.199999999999999" customHeight="1">
      <c r="P701" s="241"/>
      <c r="Q701" s="241"/>
      <c r="R701" s="241"/>
      <c r="S701" s="241"/>
      <c r="T701" s="241"/>
      <c r="U701" s="241"/>
      <c r="V701" s="241"/>
      <c r="W701" s="241"/>
      <c r="X701" s="241"/>
      <c r="Y701" s="241"/>
      <c r="Z701" s="241"/>
    </row>
    <row r="702" spans="16:26" ht="10.199999999999999" customHeight="1">
      <c r="P702" s="241"/>
      <c r="Q702" s="241"/>
      <c r="R702" s="241"/>
      <c r="S702" s="241"/>
      <c r="T702" s="241"/>
      <c r="U702" s="241"/>
      <c r="V702" s="241"/>
      <c r="W702" s="241"/>
      <c r="X702" s="241"/>
      <c r="Y702" s="241"/>
      <c r="Z702" s="241"/>
    </row>
    <row r="703" spans="16:26" ht="10.199999999999999" customHeight="1">
      <c r="P703" s="241"/>
      <c r="Q703" s="241"/>
      <c r="R703" s="241"/>
      <c r="S703" s="241"/>
      <c r="T703" s="241"/>
      <c r="U703" s="241"/>
      <c r="V703" s="241"/>
      <c r="W703" s="241"/>
      <c r="X703" s="241"/>
      <c r="Y703" s="241"/>
      <c r="Z703" s="241"/>
    </row>
    <row r="704" spans="16:26" ht="10.199999999999999" customHeight="1">
      <c r="P704" s="241"/>
      <c r="Q704" s="241"/>
      <c r="R704" s="241"/>
      <c r="S704" s="241"/>
      <c r="T704" s="241"/>
      <c r="U704" s="241"/>
      <c r="V704" s="241"/>
      <c r="W704" s="241"/>
      <c r="X704" s="241"/>
      <c r="Y704" s="241"/>
      <c r="Z704" s="241"/>
    </row>
    <row r="705" spans="16:26" ht="10.199999999999999" customHeight="1">
      <c r="P705" s="241"/>
      <c r="Q705" s="241"/>
      <c r="R705" s="241"/>
      <c r="S705" s="241"/>
      <c r="T705" s="241"/>
      <c r="U705" s="241"/>
      <c r="V705" s="241"/>
      <c r="W705" s="241"/>
      <c r="X705" s="241"/>
      <c r="Y705" s="241"/>
      <c r="Z705" s="241"/>
    </row>
    <row r="706" spans="16:26" ht="10.199999999999999" customHeight="1">
      <c r="P706" s="241"/>
      <c r="Q706" s="241"/>
      <c r="R706" s="241"/>
      <c r="S706" s="241"/>
      <c r="T706" s="241"/>
      <c r="U706" s="241"/>
      <c r="V706" s="241"/>
      <c r="W706" s="241"/>
      <c r="X706" s="241"/>
      <c r="Y706" s="241"/>
      <c r="Z706" s="241"/>
    </row>
    <row r="707" spans="16:26" ht="10.199999999999999" customHeight="1">
      <c r="P707" s="241"/>
      <c r="Q707" s="241"/>
      <c r="R707" s="241"/>
      <c r="S707" s="241"/>
      <c r="T707" s="241"/>
      <c r="U707" s="241"/>
      <c r="V707" s="241"/>
      <c r="W707" s="241"/>
      <c r="X707" s="241"/>
      <c r="Y707" s="241"/>
      <c r="Z707" s="241"/>
    </row>
    <row r="708" spans="16:26" ht="10.199999999999999" customHeight="1">
      <c r="P708" s="241"/>
      <c r="Q708" s="241"/>
      <c r="R708" s="241"/>
      <c r="S708" s="241"/>
      <c r="T708" s="241"/>
      <c r="U708" s="241"/>
      <c r="V708" s="241"/>
      <c r="W708" s="241"/>
      <c r="X708" s="241"/>
      <c r="Y708" s="241"/>
      <c r="Z708" s="241"/>
    </row>
    <row r="709" spans="16:26" ht="10.199999999999999" customHeight="1">
      <c r="P709" s="241"/>
      <c r="Q709" s="241"/>
      <c r="R709" s="241"/>
      <c r="S709" s="241"/>
      <c r="T709" s="241"/>
      <c r="U709" s="241"/>
      <c r="V709" s="241"/>
      <c r="W709" s="241"/>
      <c r="X709" s="241"/>
      <c r="Y709" s="241"/>
      <c r="Z709" s="241"/>
    </row>
    <row r="710" spans="16:26" ht="10.199999999999999" customHeight="1">
      <c r="P710" s="241"/>
      <c r="Q710" s="241"/>
      <c r="R710" s="241"/>
      <c r="S710" s="241"/>
      <c r="T710" s="241"/>
      <c r="U710" s="241"/>
      <c r="V710" s="241"/>
      <c r="W710" s="241"/>
      <c r="X710" s="241"/>
      <c r="Y710" s="241"/>
      <c r="Z710" s="241"/>
    </row>
    <row r="711" spans="16:26" ht="10.199999999999999" customHeight="1">
      <c r="P711" s="241"/>
      <c r="Q711" s="241"/>
      <c r="R711" s="241"/>
      <c r="S711" s="241"/>
      <c r="T711" s="241"/>
      <c r="U711" s="241"/>
      <c r="V711" s="241"/>
      <c r="W711" s="241"/>
      <c r="X711" s="241"/>
      <c r="Y711" s="241"/>
      <c r="Z711" s="241"/>
    </row>
    <row r="712" spans="16:26" ht="10.199999999999999" customHeight="1">
      <c r="P712" s="241"/>
      <c r="Q712" s="241"/>
      <c r="R712" s="241"/>
      <c r="S712" s="241"/>
      <c r="T712" s="241"/>
      <c r="U712" s="241"/>
      <c r="V712" s="241"/>
      <c r="W712" s="241"/>
      <c r="X712" s="241"/>
      <c r="Y712" s="241"/>
      <c r="Z712" s="241"/>
    </row>
    <row r="713" spans="16:26" ht="10.199999999999999" customHeight="1">
      <c r="P713" s="241"/>
      <c r="Q713" s="241"/>
      <c r="R713" s="241"/>
      <c r="S713" s="241"/>
      <c r="T713" s="241"/>
      <c r="U713" s="241"/>
      <c r="V713" s="241"/>
      <c r="W713" s="241"/>
      <c r="X713" s="241"/>
      <c r="Y713" s="241"/>
      <c r="Z713" s="241"/>
    </row>
    <row r="714" spans="16:26" ht="10.199999999999999" customHeight="1">
      <c r="P714" s="241"/>
      <c r="Q714" s="241"/>
      <c r="R714" s="241"/>
      <c r="S714" s="241"/>
      <c r="T714" s="241"/>
      <c r="U714" s="241"/>
      <c r="V714" s="241"/>
      <c r="W714" s="241"/>
      <c r="X714" s="241"/>
      <c r="Y714" s="241"/>
      <c r="Z714" s="241"/>
    </row>
    <row r="715" spans="16:26" ht="10.199999999999999" customHeight="1">
      <c r="P715" s="241"/>
      <c r="Q715" s="241"/>
      <c r="R715" s="241"/>
      <c r="S715" s="241"/>
      <c r="T715" s="241"/>
      <c r="U715" s="241"/>
      <c r="V715" s="241"/>
      <c r="W715" s="241"/>
      <c r="X715" s="241"/>
      <c r="Y715" s="241"/>
      <c r="Z715" s="241"/>
    </row>
    <row r="716" spans="16:26" ht="10.199999999999999" customHeight="1">
      <c r="P716" s="241"/>
      <c r="Q716" s="241"/>
      <c r="R716" s="241"/>
      <c r="S716" s="241"/>
      <c r="T716" s="241"/>
      <c r="U716" s="241"/>
      <c r="V716" s="241"/>
      <c r="W716" s="241"/>
      <c r="X716" s="241"/>
      <c r="Y716" s="241"/>
      <c r="Z716" s="241"/>
    </row>
    <row r="717" spans="16:26" ht="10.199999999999999" customHeight="1">
      <c r="P717" s="241"/>
      <c r="Q717" s="241"/>
      <c r="R717" s="241"/>
      <c r="S717" s="241"/>
      <c r="T717" s="241"/>
      <c r="U717" s="241"/>
      <c r="V717" s="241"/>
      <c r="W717" s="241"/>
      <c r="X717" s="241"/>
      <c r="Y717" s="241"/>
      <c r="Z717" s="241"/>
    </row>
    <row r="718" spans="16:26" ht="10.199999999999999" customHeight="1">
      <c r="P718" s="241"/>
      <c r="Q718" s="241"/>
      <c r="R718" s="241"/>
      <c r="S718" s="241"/>
      <c r="T718" s="241"/>
      <c r="U718" s="241"/>
      <c r="V718" s="241"/>
      <c r="W718" s="241"/>
      <c r="X718" s="241"/>
      <c r="Y718" s="241"/>
      <c r="Z718" s="241"/>
    </row>
    <row r="719" spans="16:26" ht="10.199999999999999" customHeight="1">
      <c r="P719" s="241"/>
      <c r="Q719" s="241"/>
      <c r="R719" s="241"/>
      <c r="S719" s="241"/>
      <c r="T719" s="241"/>
      <c r="U719" s="241"/>
      <c r="V719" s="241"/>
      <c r="W719" s="241"/>
      <c r="X719" s="241"/>
      <c r="Y719" s="241"/>
      <c r="Z719" s="241"/>
    </row>
    <row r="720" spans="16:26" ht="10.199999999999999" customHeight="1">
      <c r="P720" s="241"/>
      <c r="Q720" s="241"/>
      <c r="R720" s="241"/>
      <c r="S720" s="241"/>
      <c r="T720" s="241"/>
      <c r="U720" s="241"/>
      <c r="V720" s="241"/>
      <c r="W720" s="241"/>
      <c r="X720" s="241"/>
      <c r="Y720" s="241"/>
      <c r="Z720" s="241"/>
    </row>
    <row r="721" spans="16:26" ht="10.199999999999999" customHeight="1">
      <c r="P721" s="241"/>
      <c r="Q721" s="241"/>
      <c r="R721" s="241"/>
      <c r="S721" s="241"/>
      <c r="T721" s="241"/>
      <c r="U721" s="241"/>
      <c r="V721" s="241"/>
      <c r="W721" s="241"/>
      <c r="X721" s="241"/>
      <c r="Y721" s="241"/>
      <c r="Z721" s="241"/>
    </row>
    <row r="722" spans="16:26" ht="10.199999999999999" customHeight="1">
      <c r="P722" s="241"/>
      <c r="Q722" s="241"/>
      <c r="R722" s="241"/>
      <c r="S722" s="241"/>
      <c r="T722" s="241"/>
      <c r="U722" s="241"/>
      <c r="V722" s="241"/>
      <c r="W722" s="241"/>
      <c r="X722" s="241"/>
      <c r="Y722" s="241"/>
      <c r="Z722" s="241"/>
    </row>
    <row r="723" spans="16:26" ht="10.199999999999999" customHeight="1">
      <c r="P723" s="241"/>
      <c r="Q723" s="241"/>
      <c r="R723" s="241"/>
      <c r="S723" s="241"/>
      <c r="T723" s="241"/>
      <c r="U723" s="241"/>
      <c r="V723" s="241"/>
      <c r="W723" s="241"/>
      <c r="X723" s="241"/>
      <c r="Y723" s="241"/>
      <c r="Z723" s="241"/>
    </row>
    <row r="724" spans="16:26" ht="10.199999999999999" customHeight="1">
      <c r="P724" s="241"/>
      <c r="Q724" s="241"/>
      <c r="R724" s="241"/>
      <c r="S724" s="241"/>
      <c r="T724" s="241"/>
      <c r="U724" s="241"/>
      <c r="V724" s="241"/>
      <c r="W724" s="241"/>
      <c r="X724" s="241"/>
      <c r="Y724" s="241"/>
      <c r="Z724" s="241"/>
    </row>
    <row r="725" spans="16:26" ht="10.199999999999999" customHeight="1">
      <c r="P725" s="241"/>
      <c r="Q725" s="241"/>
      <c r="R725" s="241"/>
      <c r="S725" s="241"/>
      <c r="T725" s="241"/>
      <c r="U725" s="241"/>
      <c r="V725" s="241"/>
      <c r="W725" s="241"/>
      <c r="X725" s="241"/>
      <c r="Y725" s="241"/>
      <c r="Z725" s="241"/>
    </row>
    <row r="726" spans="16:26" ht="10.199999999999999" customHeight="1">
      <c r="P726" s="241"/>
      <c r="Q726" s="241"/>
      <c r="R726" s="241"/>
      <c r="S726" s="241"/>
      <c r="T726" s="241"/>
      <c r="U726" s="241"/>
      <c r="V726" s="241"/>
      <c r="W726" s="241"/>
      <c r="X726" s="241"/>
      <c r="Y726" s="241"/>
      <c r="Z726" s="241"/>
    </row>
    <row r="727" spans="16:26" ht="10.199999999999999" customHeight="1">
      <c r="P727" s="241"/>
      <c r="Q727" s="241"/>
      <c r="R727" s="241"/>
      <c r="S727" s="241"/>
      <c r="T727" s="241"/>
      <c r="U727" s="241"/>
      <c r="V727" s="241"/>
      <c r="W727" s="241"/>
      <c r="X727" s="241"/>
      <c r="Y727" s="241"/>
      <c r="Z727" s="241"/>
    </row>
    <row r="728" spans="16:26" ht="10.199999999999999" customHeight="1">
      <c r="P728" s="241"/>
      <c r="Q728" s="241"/>
      <c r="R728" s="241"/>
      <c r="S728" s="241"/>
      <c r="T728" s="241"/>
      <c r="U728" s="241"/>
      <c r="V728" s="241"/>
      <c r="W728" s="241"/>
      <c r="X728" s="241"/>
      <c r="Y728" s="241"/>
      <c r="Z728" s="241"/>
    </row>
    <row r="729" spans="16:26" ht="10.199999999999999" customHeight="1">
      <c r="P729" s="241"/>
      <c r="Q729" s="241"/>
      <c r="R729" s="241"/>
      <c r="S729" s="241"/>
      <c r="T729" s="241"/>
      <c r="U729" s="241"/>
      <c r="V729" s="241"/>
      <c r="W729" s="241"/>
      <c r="X729" s="241"/>
      <c r="Y729" s="241"/>
      <c r="Z729" s="241"/>
    </row>
    <row r="730" spans="16:26" ht="10.199999999999999" customHeight="1">
      <c r="P730" s="241"/>
      <c r="Q730" s="241"/>
      <c r="R730" s="241"/>
      <c r="S730" s="241"/>
      <c r="T730" s="241"/>
      <c r="U730" s="241"/>
      <c r="V730" s="241"/>
      <c r="W730" s="241"/>
      <c r="X730" s="241"/>
      <c r="Y730" s="241"/>
      <c r="Z730" s="241"/>
    </row>
    <row r="731" spans="16:26" ht="10.199999999999999" customHeight="1">
      <c r="P731" s="241"/>
      <c r="Q731" s="241"/>
      <c r="R731" s="241"/>
      <c r="S731" s="241"/>
      <c r="T731" s="241"/>
      <c r="U731" s="241"/>
      <c r="V731" s="241"/>
      <c r="W731" s="241"/>
      <c r="X731" s="241"/>
      <c r="Y731" s="241"/>
      <c r="Z731" s="241"/>
    </row>
    <row r="732" spans="16:26" ht="10.199999999999999" customHeight="1">
      <c r="P732" s="241"/>
      <c r="Q732" s="241"/>
      <c r="R732" s="241"/>
      <c r="S732" s="241"/>
      <c r="T732" s="241"/>
      <c r="U732" s="241"/>
      <c r="V732" s="241"/>
      <c r="W732" s="241"/>
      <c r="X732" s="241"/>
      <c r="Y732" s="241"/>
      <c r="Z732" s="241"/>
    </row>
    <row r="733" spans="16:26" ht="10.199999999999999" customHeight="1">
      <c r="P733" s="241"/>
      <c r="Q733" s="241"/>
      <c r="R733" s="241"/>
      <c r="S733" s="241"/>
      <c r="T733" s="241"/>
      <c r="U733" s="241"/>
      <c r="V733" s="241"/>
      <c r="W733" s="241"/>
      <c r="X733" s="241"/>
      <c r="Y733" s="241"/>
      <c r="Z733" s="241"/>
    </row>
    <row r="734" spans="16:26" ht="10.199999999999999" customHeight="1">
      <c r="P734" s="241"/>
      <c r="Q734" s="241"/>
      <c r="R734" s="241"/>
      <c r="S734" s="241"/>
      <c r="T734" s="241"/>
      <c r="U734" s="241"/>
      <c r="V734" s="241"/>
      <c r="W734" s="241"/>
      <c r="X734" s="241"/>
      <c r="Y734" s="241"/>
      <c r="Z734" s="241"/>
    </row>
    <row r="735" spans="16:26" ht="10.199999999999999" customHeight="1">
      <c r="P735" s="241"/>
      <c r="Q735" s="241"/>
      <c r="R735" s="241"/>
      <c r="S735" s="241"/>
      <c r="T735" s="241"/>
      <c r="U735" s="241"/>
      <c r="V735" s="241"/>
      <c r="W735" s="241"/>
      <c r="X735" s="241"/>
      <c r="Y735" s="241"/>
      <c r="Z735" s="241"/>
    </row>
    <row r="736" spans="16:26" ht="10.199999999999999" customHeight="1">
      <c r="P736" s="241"/>
      <c r="Q736" s="241"/>
      <c r="R736" s="241"/>
      <c r="S736" s="241"/>
      <c r="T736" s="241"/>
      <c r="U736" s="241"/>
      <c r="V736" s="241"/>
      <c r="W736" s="241"/>
      <c r="X736" s="241"/>
      <c r="Y736" s="241"/>
      <c r="Z736" s="241"/>
    </row>
    <row r="737" spans="16:26" ht="10.199999999999999" customHeight="1">
      <c r="P737" s="241"/>
      <c r="Q737" s="241"/>
      <c r="R737" s="241"/>
      <c r="S737" s="241"/>
      <c r="T737" s="241"/>
      <c r="U737" s="241"/>
      <c r="V737" s="241"/>
      <c r="W737" s="241"/>
      <c r="X737" s="241"/>
      <c r="Y737" s="241"/>
      <c r="Z737" s="241"/>
    </row>
    <row r="738" spans="16:26" ht="10.199999999999999" customHeight="1">
      <c r="P738" s="241"/>
      <c r="Q738" s="241"/>
      <c r="R738" s="241"/>
      <c r="S738" s="241"/>
      <c r="T738" s="241"/>
      <c r="U738" s="241"/>
      <c r="V738" s="241"/>
      <c r="W738" s="241"/>
      <c r="X738" s="241"/>
      <c r="Y738" s="241"/>
      <c r="Z738" s="241"/>
    </row>
    <row r="739" spans="16:26" ht="10.199999999999999" customHeight="1">
      <c r="P739" s="241"/>
      <c r="Q739" s="241"/>
      <c r="R739" s="241"/>
      <c r="S739" s="241"/>
      <c r="T739" s="241"/>
      <c r="U739" s="241"/>
      <c r="V739" s="241"/>
      <c r="W739" s="241"/>
      <c r="X739" s="241"/>
      <c r="Y739" s="241"/>
      <c r="Z739" s="241"/>
    </row>
    <row r="740" spans="16:26" ht="10.199999999999999" customHeight="1">
      <c r="P740" s="241"/>
      <c r="Q740" s="241"/>
      <c r="R740" s="241"/>
      <c r="S740" s="241"/>
      <c r="T740" s="241"/>
      <c r="U740" s="241"/>
      <c r="V740" s="241"/>
      <c r="W740" s="241"/>
      <c r="X740" s="241"/>
      <c r="Y740" s="241"/>
      <c r="Z740" s="241"/>
    </row>
    <row r="741" spans="16:26" ht="10.199999999999999" customHeight="1">
      <c r="P741" s="241"/>
      <c r="Q741" s="241"/>
      <c r="R741" s="241"/>
      <c r="S741" s="241"/>
      <c r="T741" s="241"/>
      <c r="U741" s="241"/>
      <c r="V741" s="241"/>
      <c r="W741" s="241"/>
      <c r="X741" s="241"/>
      <c r="Y741" s="241"/>
      <c r="Z741" s="241"/>
    </row>
    <row r="742" spans="16:26" ht="10.199999999999999" customHeight="1">
      <c r="P742" s="241"/>
      <c r="Q742" s="241"/>
      <c r="R742" s="241"/>
      <c r="S742" s="241"/>
      <c r="T742" s="241"/>
      <c r="U742" s="241"/>
      <c r="V742" s="241"/>
      <c r="W742" s="241"/>
      <c r="X742" s="241"/>
      <c r="Y742" s="241"/>
      <c r="Z742" s="241"/>
    </row>
    <row r="743" spans="16:26" ht="10.199999999999999" customHeight="1">
      <c r="P743" s="241"/>
      <c r="Q743" s="241"/>
      <c r="R743" s="241"/>
      <c r="S743" s="241"/>
      <c r="T743" s="241"/>
      <c r="U743" s="241"/>
      <c r="V743" s="241"/>
      <c r="W743" s="241"/>
      <c r="X743" s="241"/>
      <c r="Y743" s="241"/>
      <c r="Z743" s="241"/>
    </row>
    <row r="744" spans="16:26" ht="10.199999999999999" customHeight="1">
      <c r="P744" s="241"/>
      <c r="Q744" s="241"/>
      <c r="R744" s="241"/>
      <c r="S744" s="241"/>
      <c r="T744" s="241"/>
      <c r="U744" s="241"/>
      <c r="V744" s="241"/>
      <c r="W744" s="241"/>
      <c r="X744" s="241"/>
      <c r="Y744" s="241"/>
      <c r="Z744" s="241"/>
    </row>
    <row r="745" spans="16:26" ht="10.199999999999999" customHeight="1">
      <c r="P745" s="241"/>
      <c r="Q745" s="241"/>
      <c r="R745" s="241"/>
      <c r="S745" s="241"/>
      <c r="T745" s="241"/>
      <c r="U745" s="241"/>
      <c r="V745" s="241"/>
      <c r="W745" s="241"/>
      <c r="X745" s="241"/>
      <c r="Y745" s="241"/>
      <c r="Z745" s="241"/>
    </row>
    <row r="746" spans="16:26" ht="10.199999999999999" customHeight="1">
      <c r="P746" s="241"/>
      <c r="Q746" s="241"/>
      <c r="R746" s="241"/>
      <c r="S746" s="241"/>
      <c r="T746" s="241"/>
      <c r="U746" s="241"/>
      <c r="V746" s="241"/>
      <c r="W746" s="241"/>
      <c r="X746" s="241"/>
      <c r="Y746" s="241"/>
      <c r="Z746" s="241"/>
    </row>
    <row r="747" spans="16:26" ht="10.199999999999999" customHeight="1">
      <c r="P747" s="241"/>
      <c r="Q747" s="241"/>
      <c r="R747" s="241"/>
      <c r="S747" s="241"/>
      <c r="T747" s="241"/>
      <c r="U747" s="241"/>
      <c r="V747" s="241"/>
      <c r="W747" s="241"/>
      <c r="X747" s="241"/>
      <c r="Y747" s="241"/>
      <c r="Z747" s="241"/>
    </row>
    <row r="748" spans="16:26" ht="10.199999999999999" customHeight="1">
      <c r="P748" s="241"/>
      <c r="Q748" s="241"/>
      <c r="R748" s="241"/>
      <c r="S748" s="241"/>
      <c r="T748" s="241"/>
      <c r="U748" s="241"/>
      <c r="V748" s="241"/>
      <c r="W748" s="241"/>
      <c r="X748" s="241"/>
      <c r="Y748" s="241"/>
      <c r="Z748" s="241"/>
    </row>
    <row r="749" spans="16:26" ht="10.199999999999999" customHeight="1">
      <c r="P749" s="241"/>
      <c r="Q749" s="241"/>
      <c r="R749" s="241"/>
      <c r="S749" s="241"/>
      <c r="T749" s="241"/>
      <c r="U749" s="241"/>
      <c r="V749" s="241"/>
      <c r="W749" s="241"/>
      <c r="X749" s="241"/>
      <c r="Y749" s="241"/>
      <c r="Z749" s="241"/>
    </row>
    <row r="750" spans="16:26" ht="10.199999999999999" customHeight="1">
      <c r="P750" s="241"/>
      <c r="Q750" s="241"/>
      <c r="R750" s="241"/>
      <c r="S750" s="241"/>
      <c r="T750" s="241"/>
      <c r="U750" s="241"/>
      <c r="V750" s="241"/>
      <c r="W750" s="241"/>
      <c r="X750" s="241"/>
      <c r="Y750" s="241"/>
      <c r="Z750" s="241"/>
    </row>
    <row r="751" spans="16:26" ht="10.199999999999999" customHeight="1">
      <c r="P751" s="241"/>
      <c r="Q751" s="241"/>
      <c r="R751" s="241"/>
      <c r="S751" s="241"/>
      <c r="T751" s="241"/>
      <c r="U751" s="241"/>
      <c r="V751" s="241"/>
      <c r="W751" s="241"/>
      <c r="X751" s="241"/>
      <c r="Y751" s="241"/>
      <c r="Z751" s="241"/>
    </row>
    <row r="752" spans="16:26" ht="10.199999999999999" customHeight="1">
      <c r="P752" s="241"/>
      <c r="Q752" s="241"/>
      <c r="R752" s="241"/>
      <c r="S752" s="241"/>
      <c r="T752" s="241"/>
      <c r="U752" s="241"/>
      <c r="V752" s="241"/>
      <c r="W752" s="241"/>
      <c r="X752" s="241"/>
      <c r="Y752" s="241"/>
      <c r="Z752" s="241"/>
    </row>
    <row r="753" spans="16:26" ht="10.199999999999999" customHeight="1">
      <c r="P753" s="241"/>
      <c r="Q753" s="241"/>
      <c r="R753" s="241"/>
      <c r="S753" s="241"/>
      <c r="T753" s="241"/>
      <c r="U753" s="241"/>
      <c r="V753" s="241"/>
      <c r="W753" s="241"/>
      <c r="X753" s="241"/>
      <c r="Y753" s="241"/>
      <c r="Z753" s="241"/>
    </row>
    <row r="754" spans="16:26" ht="10.199999999999999" customHeight="1">
      <c r="P754" s="241"/>
      <c r="Q754" s="241"/>
      <c r="R754" s="241"/>
      <c r="S754" s="241"/>
      <c r="T754" s="241"/>
      <c r="U754" s="241"/>
      <c r="V754" s="241"/>
      <c r="W754" s="241"/>
      <c r="X754" s="241"/>
      <c r="Y754" s="241"/>
      <c r="Z754" s="241"/>
    </row>
    <row r="755" spans="16:26" ht="10.199999999999999" customHeight="1">
      <c r="P755" s="241"/>
      <c r="Q755" s="241"/>
      <c r="R755" s="241"/>
      <c r="S755" s="241"/>
      <c r="T755" s="241"/>
      <c r="U755" s="241"/>
      <c r="V755" s="241"/>
      <c r="W755" s="241"/>
      <c r="X755" s="241"/>
      <c r="Y755" s="241"/>
      <c r="Z755" s="241"/>
    </row>
    <row r="756" spans="16:26" ht="10.199999999999999" customHeight="1">
      <c r="P756" s="241"/>
      <c r="Q756" s="241"/>
      <c r="R756" s="241"/>
      <c r="S756" s="241"/>
      <c r="T756" s="241"/>
      <c r="U756" s="241"/>
      <c r="V756" s="241"/>
      <c r="W756" s="241"/>
      <c r="X756" s="241"/>
      <c r="Y756" s="241"/>
      <c r="Z756" s="241"/>
    </row>
    <row r="757" spans="16:26" ht="10.199999999999999" customHeight="1">
      <c r="P757" s="241"/>
      <c r="Q757" s="241"/>
      <c r="R757" s="241"/>
      <c r="S757" s="241"/>
      <c r="T757" s="241"/>
      <c r="U757" s="241"/>
      <c r="V757" s="241"/>
      <c r="W757" s="241"/>
      <c r="X757" s="241"/>
      <c r="Y757" s="241"/>
      <c r="Z757" s="241"/>
    </row>
    <row r="758" spans="16:26" ht="10.199999999999999" customHeight="1">
      <c r="P758" s="241"/>
      <c r="Q758" s="241"/>
      <c r="R758" s="241"/>
      <c r="S758" s="241"/>
      <c r="T758" s="241"/>
      <c r="U758" s="241"/>
      <c r="V758" s="241"/>
      <c r="W758" s="241"/>
      <c r="X758" s="241"/>
      <c r="Y758" s="241"/>
      <c r="Z758" s="241"/>
    </row>
    <row r="759" spans="16:26" ht="10.199999999999999" customHeight="1">
      <c r="P759" s="241"/>
      <c r="Q759" s="241"/>
      <c r="R759" s="241"/>
      <c r="S759" s="241"/>
      <c r="T759" s="241"/>
      <c r="U759" s="241"/>
      <c r="V759" s="241"/>
      <c r="W759" s="241"/>
      <c r="X759" s="241"/>
      <c r="Y759" s="241"/>
      <c r="Z759" s="241"/>
    </row>
    <row r="760" spans="16:26" ht="10.199999999999999" customHeight="1">
      <c r="P760" s="241"/>
      <c r="Q760" s="241"/>
      <c r="R760" s="241"/>
      <c r="S760" s="241"/>
      <c r="T760" s="241"/>
      <c r="U760" s="241"/>
      <c r="V760" s="241"/>
      <c r="W760" s="241"/>
      <c r="X760" s="241"/>
      <c r="Y760" s="241"/>
      <c r="Z760" s="241"/>
    </row>
    <row r="761" spans="16:26" ht="10.199999999999999" customHeight="1">
      <c r="P761" s="241"/>
      <c r="Q761" s="241"/>
      <c r="R761" s="241"/>
      <c r="S761" s="241"/>
      <c r="T761" s="241"/>
      <c r="U761" s="241"/>
      <c r="V761" s="241"/>
      <c r="W761" s="241"/>
      <c r="X761" s="241"/>
      <c r="Y761" s="241"/>
      <c r="Z761" s="241"/>
    </row>
    <row r="762" spans="16:26" ht="10.199999999999999" customHeight="1">
      <c r="P762" s="241"/>
      <c r="Q762" s="241"/>
      <c r="R762" s="241"/>
      <c r="S762" s="241"/>
      <c r="T762" s="241"/>
      <c r="U762" s="241"/>
      <c r="V762" s="241"/>
      <c r="W762" s="241"/>
      <c r="X762" s="241"/>
      <c r="Y762" s="241"/>
      <c r="Z762" s="241"/>
    </row>
    <row r="763" spans="16:26" ht="10.199999999999999" customHeight="1">
      <c r="P763" s="241"/>
      <c r="Q763" s="241"/>
      <c r="R763" s="241"/>
      <c r="S763" s="241"/>
      <c r="T763" s="241"/>
      <c r="U763" s="241"/>
      <c r="V763" s="241"/>
      <c r="W763" s="241"/>
      <c r="X763" s="241"/>
      <c r="Y763" s="241"/>
      <c r="Z763" s="241"/>
    </row>
    <row r="764" spans="16:26" ht="10.199999999999999" customHeight="1">
      <c r="P764" s="241"/>
      <c r="Q764" s="241"/>
      <c r="R764" s="241"/>
      <c r="S764" s="241"/>
      <c r="T764" s="241"/>
      <c r="U764" s="241"/>
      <c r="V764" s="241"/>
      <c r="W764" s="241"/>
      <c r="X764" s="241"/>
      <c r="Y764" s="241"/>
      <c r="Z764" s="241"/>
    </row>
    <row r="765" spans="16:26" ht="10.199999999999999" customHeight="1">
      <c r="P765" s="241"/>
      <c r="Q765" s="241"/>
      <c r="R765" s="241"/>
      <c r="S765" s="241"/>
      <c r="T765" s="241"/>
      <c r="U765" s="241"/>
      <c r="V765" s="241"/>
      <c r="W765" s="241"/>
      <c r="X765" s="241"/>
      <c r="Y765" s="241"/>
      <c r="Z765" s="241"/>
    </row>
    <row r="766" spans="16:26" ht="10.199999999999999" customHeight="1">
      <c r="P766" s="241"/>
      <c r="Q766" s="241"/>
      <c r="R766" s="241"/>
      <c r="S766" s="241"/>
      <c r="T766" s="241"/>
      <c r="U766" s="241"/>
      <c r="V766" s="241"/>
      <c r="W766" s="241"/>
      <c r="X766" s="241"/>
      <c r="Y766" s="241"/>
      <c r="Z766" s="241"/>
    </row>
    <row r="767" spans="16:26" ht="10.199999999999999" customHeight="1">
      <c r="P767" s="241"/>
      <c r="Q767" s="241"/>
      <c r="R767" s="241"/>
      <c r="S767" s="241"/>
      <c r="T767" s="241"/>
      <c r="U767" s="241"/>
      <c r="V767" s="241"/>
      <c r="W767" s="241"/>
      <c r="X767" s="241"/>
      <c r="Y767" s="241"/>
      <c r="Z767" s="241"/>
    </row>
    <row r="768" spans="16:26" ht="10.199999999999999" customHeight="1">
      <c r="P768" s="241"/>
      <c r="Q768" s="241"/>
      <c r="R768" s="241"/>
      <c r="S768" s="241"/>
      <c r="T768" s="241"/>
      <c r="U768" s="241"/>
      <c r="V768" s="241"/>
      <c r="W768" s="241"/>
      <c r="X768" s="241"/>
      <c r="Y768" s="241"/>
      <c r="Z768" s="241"/>
    </row>
    <row r="769" spans="16:26" ht="10.199999999999999" customHeight="1">
      <c r="P769" s="241"/>
      <c r="Q769" s="241"/>
      <c r="R769" s="241"/>
      <c r="S769" s="241"/>
      <c r="T769" s="241"/>
      <c r="U769" s="241"/>
      <c r="V769" s="241"/>
      <c r="W769" s="241"/>
      <c r="X769" s="241"/>
      <c r="Y769" s="241"/>
      <c r="Z769" s="241"/>
    </row>
    <row r="770" spans="16:26" ht="10.199999999999999" customHeight="1">
      <c r="P770" s="241"/>
      <c r="Q770" s="241"/>
      <c r="R770" s="241"/>
      <c r="S770" s="241"/>
      <c r="T770" s="241"/>
      <c r="U770" s="241"/>
      <c r="V770" s="241"/>
      <c r="W770" s="241"/>
      <c r="X770" s="241"/>
      <c r="Y770" s="241"/>
      <c r="Z770" s="241"/>
    </row>
    <row r="771" spans="16:26" ht="10.199999999999999" customHeight="1">
      <c r="P771" s="241"/>
      <c r="Q771" s="241"/>
      <c r="R771" s="241"/>
      <c r="S771" s="241"/>
      <c r="T771" s="241"/>
      <c r="U771" s="241"/>
      <c r="V771" s="241"/>
      <c r="W771" s="241"/>
      <c r="X771" s="241"/>
      <c r="Y771" s="241"/>
      <c r="Z771" s="241"/>
    </row>
    <row r="772" spans="16:26" ht="10.199999999999999" customHeight="1">
      <c r="P772" s="241"/>
      <c r="Q772" s="241"/>
      <c r="R772" s="241"/>
      <c r="S772" s="241"/>
      <c r="T772" s="241"/>
      <c r="U772" s="241"/>
      <c r="V772" s="241"/>
      <c r="W772" s="241"/>
      <c r="X772" s="241"/>
      <c r="Y772" s="241"/>
      <c r="Z772" s="241"/>
    </row>
    <row r="773" spans="16:26" ht="10.199999999999999" customHeight="1">
      <c r="P773" s="241"/>
      <c r="Q773" s="241"/>
      <c r="R773" s="241"/>
      <c r="S773" s="241"/>
      <c r="T773" s="241"/>
      <c r="U773" s="241"/>
      <c r="V773" s="241"/>
      <c r="W773" s="241"/>
      <c r="X773" s="241"/>
      <c r="Y773" s="241"/>
      <c r="Z773" s="241"/>
    </row>
    <row r="774" spans="16:26" ht="10.199999999999999" customHeight="1">
      <c r="P774" s="241"/>
      <c r="Q774" s="241"/>
      <c r="R774" s="241"/>
      <c r="S774" s="241"/>
      <c r="T774" s="241"/>
      <c r="U774" s="241"/>
      <c r="V774" s="241"/>
      <c r="W774" s="241"/>
      <c r="X774" s="241"/>
      <c r="Y774" s="241"/>
      <c r="Z774" s="241"/>
    </row>
    <row r="775" spans="16:26" ht="10.199999999999999" customHeight="1">
      <c r="P775" s="241"/>
      <c r="Q775" s="241"/>
      <c r="R775" s="241"/>
      <c r="S775" s="241"/>
      <c r="T775" s="241"/>
      <c r="U775" s="241"/>
      <c r="V775" s="241"/>
      <c r="W775" s="241"/>
      <c r="X775" s="241"/>
      <c r="Y775" s="241"/>
      <c r="Z775" s="241"/>
    </row>
    <row r="776" spans="16:26" ht="10.199999999999999" customHeight="1">
      <c r="P776" s="241"/>
      <c r="Q776" s="241"/>
      <c r="R776" s="241"/>
      <c r="S776" s="241"/>
      <c r="T776" s="241"/>
      <c r="U776" s="241"/>
      <c r="V776" s="241"/>
      <c r="W776" s="241"/>
      <c r="X776" s="241"/>
      <c r="Y776" s="241"/>
      <c r="Z776" s="241"/>
    </row>
    <row r="777" spans="16:26" ht="10.199999999999999" customHeight="1">
      <c r="P777" s="241"/>
      <c r="Q777" s="241"/>
      <c r="R777" s="241"/>
      <c r="S777" s="241"/>
      <c r="T777" s="241"/>
      <c r="U777" s="241"/>
      <c r="V777" s="241"/>
      <c r="W777" s="241"/>
      <c r="X777" s="241"/>
      <c r="Y777" s="241"/>
      <c r="Z777" s="241"/>
    </row>
    <row r="778" spans="16:26" ht="10.199999999999999" customHeight="1">
      <c r="P778" s="241"/>
      <c r="Q778" s="241"/>
      <c r="R778" s="241"/>
      <c r="S778" s="241"/>
      <c r="T778" s="241"/>
      <c r="U778" s="241"/>
      <c r="V778" s="241"/>
      <c r="W778" s="241"/>
      <c r="X778" s="241"/>
      <c r="Y778" s="241"/>
      <c r="Z778" s="241"/>
    </row>
    <row r="779" spans="16:26" ht="10.199999999999999" customHeight="1">
      <c r="P779" s="241"/>
      <c r="Q779" s="241"/>
      <c r="R779" s="241"/>
      <c r="S779" s="241"/>
      <c r="T779" s="241"/>
      <c r="U779" s="241"/>
      <c r="V779" s="241"/>
      <c r="W779" s="241"/>
      <c r="X779" s="241"/>
      <c r="Y779" s="241"/>
      <c r="Z779" s="241"/>
    </row>
    <row r="780" spans="16:26" ht="10.199999999999999" customHeight="1">
      <c r="P780" s="241"/>
      <c r="Q780" s="241"/>
      <c r="R780" s="241"/>
      <c r="S780" s="241"/>
      <c r="T780" s="241"/>
      <c r="U780" s="241"/>
      <c r="V780" s="241"/>
      <c r="W780" s="241"/>
      <c r="X780" s="241"/>
      <c r="Y780" s="241"/>
      <c r="Z780" s="241"/>
    </row>
    <row r="781" spans="16:26" ht="10.199999999999999" customHeight="1">
      <c r="P781" s="241"/>
      <c r="Q781" s="241"/>
      <c r="R781" s="241"/>
      <c r="S781" s="241"/>
      <c r="T781" s="241"/>
      <c r="U781" s="241"/>
      <c r="V781" s="241"/>
      <c r="W781" s="241"/>
      <c r="X781" s="241"/>
      <c r="Y781" s="241"/>
      <c r="Z781" s="241"/>
    </row>
    <row r="782" spans="16:26" ht="10.199999999999999" customHeight="1">
      <c r="P782" s="241"/>
      <c r="Q782" s="241"/>
      <c r="R782" s="241"/>
      <c r="S782" s="241"/>
      <c r="T782" s="241"/>
      <c r="U782" s="241"/>
      <c r="V782" s="241"/>
      <c r="W782" s="241"/>
      <c r="X782" s="241"/>
      <c r="Y782" s="241"/>
      <c r="Z782" s="241"/>
    </row>
    <row r="783" spans="16:26" ht="10.199999999999999" customHeight="1">
      <c r="P783" s="241"/>
      <c r="Q783" s="241"/>
      <c r="R783" s="241"/>
      <c r="S783" s="241"/>
      <c r="T783" s="241"/>
      <c r="U783" s="241"/>
      <c r="V783" s="241"/>
      <c r="W783" s="241"/>
      <c r="X783" s="241"/>
      <c r="Y783" s="241"/>
      <c r="Z783" s="241"/>
    </row>
    <row r="784" spans="16:26" ht="10.199999999999999" customHeight="1">
      <c r="P784" s="241"/>
      <c r="Q784" s="241"/>
      <c r="R784" s="241"/>
      <c r="S784" s="241"/>
      <c r="T784" s="241"/>
      <c r="U784" s="241"/>
      <c r="V784" s="241"/>
      <c r="W784" s="241"/>
      <c r="X784" s="241"/>
      <c r="Y784" s="241"/>
      <c r="Z784" s="241"/>
    </row>
    <row r="785" spans="16:26" ht="10.199999999999999" customHeight="1">
      <c r="P785" s="241"/>
      <c r="Q785" s="241"/>
      <c r="R785" s="241"/>
      <c r="S785" s="241"/>
      <c r="T785" s="241"/>
      <c r="U785" s="241"/>
      <c r="V785" s="241"/>
      <c r="W785" s="241"/>
      <c r="X785" s="241"/>
      <c r="Y785" s="241"/>
      <c r="Z785" s="241"/>
    </row>
    <row r="786" spans="16:26" ht="10.199999999999999" customHeight="1">
      <c r="P786" s="241"/>
      <c r="Q786" s="241"/>
      <c r="R786" s="241"/>
      <c r="S786" s="241"/>
      <c r="T786" s="241"/>
      <c r="U786" s="241"/>
      <c r="V786" s="241"/>
      <c r="W786" s="241"/>
      <c r="X786" s="241"/>
      <c r="Y786" s="241"/>
      <c r="Z786" s="241"/>
    </row>
    <row r="787" spans="16:26" ht="10.199999999999999" customHeight="1">
      <c r="P787" s="241"/>
      <c r="Q787" s="241"/>
      <c r="R787" s="241"/>
      <c r="S787" s="241"/>
      <c r="T787" s="241"/>
      <c r="U787" s="241"/>
      <c r="V787" s="241"/>
      <c r="W787" s="241"/>
      <c r="X787" s="241"/>
      <c r="Y787" s="241"/>
      <c r="Z787" s="241"/>
    </row>
    <row r="788" spans="16:26" ht="10.199999999999999" customHeight="1">
      <c r="P788" s="241"/>
      <c r="Q788" s="241"/>
      <c r="R788" s="241"/>
      <c r="S788" s="241"/>
      <c r="T788" s="241"/>
      <c r="U788" s="241"/>
      <c r="V788" s="241"/>
      <c r="W788" s="241"/>
      <c r="X788" s="241"/>
      <c r="Y788" s="241"/>
      <c r="Z788" s="241"/>
    </row>
    <row r="789" spans="16:26" ht="10.199999999999999" customHeight="1">
      <c r="P789" s="241"/>
      <c r="Q789" s="241"/>
      <c r="R789" s="241"/>
      <c r="S789" s="241"/>
      <c r="T789" s="241"/>
      <c r="U789" s="241"/>
      <c r="V789" s="241"/>
      <c r="W789" s="241"/>
      <c r="X789" s="241"/>
      <c r="Y789" s="241"/>
      <c r="Z789" s="241"/>
    </row>
    <row r="790" spans="16:26" ht="10.199999999999999" customHeight="1">
      <c r="P790" s="241"/>
      <c r="Q790" s="241"/>
      <c r="R790" s="241"/>
      <c r="S790" s="241"/>
      <c r="T790" s="241"/>
      <c r="U790" s="241"/>
      <c r="V790" s="241"/>
      <c r="W790" s="241"/>
      <c r="X790" s="241"/>
      <c r="Y790" s="241"/>
      <c r="Z790" s="241"/>
    </row>
    <row r="791" spans="16:26" ht="10.199999999999999" customHeight="1">
      <c r="P791" s="241"/>
      <c r="Q791" s="241"/>
      <c r="R791" s="241"/>
      <c r="S791" s="241"/>
      <c r="T791" s="241"/>
      <c r="U791" s="241"/>
      <c r="V791" s="241"/>
      <c r="W791" s="241"/>
      <c r="X791" s="241"/>
      <c r="Y791" s="241"/>
      <c r="Z791" s="241"/>
    </row>
    <row r="792" spans="16:26" ht="10.199999999999999" customHeight="1">
      <c r="P792" s="241"/>
      <c r="Q792" s="241"/>
      <c r="R792" s="241"/>
      <c r="S792" s="241"/>
      <c r="T792" s="241"/>
      <c r="U792" s="241"/>
      <c r="V792" s="241"/>
      <c r="W792" s="241"/>
      <c r="X792" s="241"/>
      <c r="Y792" s="241"/>
      <c r="Z792" s="241"/>
    </row>
    <row r="793" spans="16:26" ht="10.199999999999999" customHeight="1">
      <c r="P793" s="241"/>
      <c r="Q793" s="241"/>
      <c r="R793" s="241"/>
      <c r="S793" s="241"/>
      <c r="T793" s="241"/>
      <c r="U793" s="241"/>
      <c r="V793" s="241"/>
      <c r="W793" s="241"/>
      <c r="X793" s="241"/>
      <c r="Y793" s="241"/>
      <c r="Z793" s="241"/>
    </row>
    <row r="794" spans="16:26" ht="10.199999999999999" customHeight="1">
      <c r="P794" s="241"/>
      <c r="Q794" s="241"/>
      <c r="R794" s="241"/>
      <c r="S794" s="241"/>
      <c r="T794" s="241"/>
      <c r="U794" s="241"/>
      <c r="V794" s="241"/>
      <c r="W794" s="241"/>
      <c r="X794" s="241"/>
      <c r="Y794" s="241"/>
      <c r="Z794" s="241"/>
    </row>
    <row r="795" spans="16:26" ht="10.199999999999999" customHeight="1">
      <c r="P795" s="241"/>
      <c r="Q795" s="241"/>
      <c r="R795" s="241"/>
      <c r="S795" s="241"/>
      <c r="T795" s="241"/>
      <c r="U795" s="241"/>
      <c r="V795" s="241"/>
      <c r="W795" s="241"/>
      <c r="X795" s="241"/>
      <c r="Y795" s="241"/>
      <c r="Z795" s="241"/>
    </row>
    <row r="796" spans="16:26" ht="10.199999999999999" customHeight="1">
      <c r="P796" s="241"/>
      <c r="Q796" s="241"/>
      <c r="R796" s="241"/>
      <c r="S796" s="241"/>
      <c r="T796" s="241"/>
      <c r="U796" s="241"/>
      <c r="V796" s="241"/>
      <c r="W796" s="241"/>
      <c r="X796" s="241"/>
      <c r="Y796" s="241"/>
      <c r="Z796" s="241"/>
    </row>
    <row r="797" spans="16:26" ht="10.199999999999999" customHeight="1">
      <c r="P797" s="241"/>
      <c r="Q797" s="241"/>
      <c r="R797" s="241"/>
      <c r="S797" s="241"/>
      <c r="T797" s="241"/>
      <c r="U797" s="241"/>
      <c r="V797" s="241"/>
      <c r="W797" s="241"/>
      <c r="X797" s="241"/>
      <c r="Y797" s="241"/>
      <c r="Z797" s="241"/>
    </row>
    <row r="798" spans="16:26" ht="10.199999999999999" customHeight="1">
      <c r="P798" s="241"/>
      <c r="Q798" s="241"/>
      <c r="R798" s="241"/>
      <c r="S798" s="241"/>
      <c r="T798" s="241"/>
      <c r="U798" s="241"/>
      <c r="V798" s="241"/>
      <c r="W798" s="241"/>
      <c r="X798" s="241"/>
      <c r="Y798" s="241"/>
      <c r="Z798" s="241"/>
    </row>
    <row r="799" spans="16:26" ht="10.199999999999999" customHeight="1">
      <c r="P799" s="241"/>
      <c r="Q799" s="241"/>
      <c r="R799" s="241"/>
      <c r="S799" s="241"/>
      <c r="T799" s="241"/>
      <c r="U799" s="241"/>
      <c r="V799" s="241"/>
      <c r="W799" s="241"/>
      <c r="X799" s="241"/>
      <c r="Y799" s="241"/>
      <c r="Z799" s="241"/>
    </row>
    <row r="800" spans="16:26" ht="10.199999999999999" customHeight="1">
      <c r="P800" s="241"/>
      <c r="Q800" s="241"/>
      <c r="R800" s="241"/>
      <c r="S800" s="241"/>
      <c r="T800" s="241"/>
      <c r="U800" s="241"/>
      <c r="V800" s="241"/>
      <c r="W800" s="241"/>
      <c r="X800" s="241"/>
      <c r="Y800" s="241"/>
      <c r="Z800" s="241"/>
    </row>
    <row r="801" spans="16:26" ht="10.199999999999999" customHeight="1">
      <c r="P801" s="241"/>
      <c r="Q801" s="241"/>
      <c r="R801" s="241"/>
      <c r="S801" s="241"/>
      <c r="T801" s="241"/>
      <c r="U801" s="241"/>
      <c r="V801" s="241"/>
      <c r="W801" s="241"/>
      <c r="X801" s="241"/>
      <c r="Y801" s="241"/>
      <c r="Z801" s="241"/>
    </row>
    <row r="802" spans="16:26" ht="10.199999999999999" customHeight="1">
      <c r="P802" s="241"/>
      <c r="Q802" s="241"/>
      <c r="R802" s="241"/>
      <c r="S802" s="241"/>
      <c r="T802" s="241"/>
      <c r="U802" s="241"/>
      <c r="V802" s="241"/>
      <c r="W802" s="241"/>
      <c r="X802" s="241"/>
      <c r="Y802" s="241"/>
      <c r="Z802" s="241"/>
    </row>
    <row r="803" spans="16:26" ht="10.199999999999999" customHeight="1">
      <c r="P803" s="241"/>
      <c r="Q803" s="241"/>
      <c r="R803" s="241"/>
      <c r="S803" s="241"/>
      <c r="T803" s="241"/>
      <c r="U803" s="241"/>
      <c r="V803" s="241"/>
      <c r="W803" s="241"/>
      <c r="X803" s="241"/>
      <c r="Y803" s="241"/>
      <c r="Z803" s="241"/>
    </row>
    <row r="804" spans="16:26" ht="10.199999999999999" customHeight="1">
      <c r="P804" s="241"/>
      <c r="Q804" s="241"/>
      <c r="R804" s="241"/>
      <c r="S804" s="241"/>
      <c r="T804" s="241"/>
      <c r="U804" s="241"/>
      <c r="V804" s="241"/>
      <c r="W804" s="241"/>
      <c r="X804" s="241"/>
      <c r="Y804" s="241"/>
      <c r="Z804" s="241"/>
    </row>
    <row r="805" spans="16:26" ht="10.199999999999999" customHeight="1">
      <c r="P805" s="241"/>
      <c r="Q805" s="241"/>
      <c r="R805" s="241"/>
      <c r="S805" s="241"/>
      <c r="T805" s="241"/>
      <c r="U805" s="241"/>
      <c r="V805" s="241"/>
      <c r="W805" s="241"/>
      <c r="X805" s="241"/>
      <c r="Y805" s="241"/>
      <c r="Z805" s="241"/>
    </row>
    <row r="806" spans="16:26" ht="10.199999999999999" customHeight="1">
      <c r="P806" s="241"/>
      <c r="Q806" s="241"/>
      <c r="R806" s="241"/>
      <c r="S806" s="241"/>
      <c r="T806" s="241"/>
      <c r="U806" s="241"/>
      <c r="V806" s="241"/>
      <c r="W806" s="241"/>
      <c r="X806" s="241"/>
      <c r="Y806" s="241"/>
      <c r="Z806" s="241"/>
    </row>
    <row r="807" spans="16:26" ht="10.199999999999999" customHeight="1">
      <c r="P807" s="241"/>
      <c r="Q807" s="241"/>
      <c r="R807" s="241"/>
      <c r="S807" s="241"/>
      <c r="T807" s="241"/>
      <c r="U807" s="241"/>
      <c r="V807" s="241"/>
      <c r="W807" s="241"/>
      <c r="X807" s="241"/>
      <c r="Y807" s="241"/>
      <c r="Z807" s="241"/>
    </row>
    <row r="808" spans="16:26" ht="10.199999999999999" customHeight="1">
      <c r="P808" s="241"/>
      <c r="Q808" s="241"/>
      <c r="R808" s="241"/>
      <c r="S808" s="241"/>
      <c r="T808" s="241"/>
      <c r="U808" s="241"/>
      <c r="V808" s="241"/>
      <c r="W808" s="241"/>
      <c r="X808" s="241"/>
      <c r="Y808" s="241"/>
      <c r="Z808" s="241"/>
    </row>
    <row r="809" spans="16:26" ht="10.199999999999999" customHeight="1">
      <c r="P809" s="241"/>
      <c r="Q809" s="241"/>
      <c r="R809" s="241"/>
      <c r="S809" s="241"/>
      <c r="T809" s="241"/>
      <c r="U809" s="241"/>
      <c r="V809" s="241"/>
      <c r="W809" s="241"/>
      <c r="X809" s="241"/>
      <c r="Y809" s="241"/>
      <c r="Z809" s="241"/>
    </row>
    <row r="810" spans="16:26" ht="10.199999999999999" customHeight="1">
      <c r="P810" s="241"/>
      <c r="Q810" s="241"/>
      <c r="R810" s="241"/>
      <c r="S810" s="241"/>
      <c r="T810" s="241"/>
      <c r="U810" s="241"/>
      <c r="V810" s="241"/>
      <c r="W810" s="241"/>
      <c r="X810" s="241"/>
      <c r="Y810" s="241"/>
      <c r="Z810" s="241"/>
    </row>
    <row r="811" spans="16:26" ht="10.199999999999999" customHeight="1">
      <c r="P811" s="241"/>
      <c r="Q811" s="241"/>
      <c r="R811" s="241"/>
      <c r="S811" s="241"/>
      <c r="T811" s="241"/>
      <c r="U811" s="241"/>
      <c r="V811" s="241"/>
      <c r="W811" s="241"/>
      <c r="X811" s="241"/>
      <c r="Y811" s="241"/>
      <c r="Z811" s="241"/>
    </row>
    <row r="812" spans="16:26" ht="10.199999999999999" customHeight="1">
      <c r="P812" s="241"/>
      <c r="Q812" s="241"/>
      <c r="R812" s="241"/>
      <c r="S812" s="241"/>
      <c r="T812" s="241"/>
      <c r="U812" s="241"/>
      <c r="V812" s="241"/>
      <c r="W812" s="241"/>
      <c r="X812" s="241"/>
      <c r="Y812" s="241"/>
      <c r="Z812" s="241"/>
    </row>
    <row r="813" spans="16:26" ht="10.199999999999999" customHeight="1">
      <c r="P813" s="241"/>
      <c r="Q813" s="241"/>
      <c r="R813" s="241"/>
      <c r="S813" s="241"/>
      <c r="T813" s="241"/>
      <c r="U813" s="241"/>
      <c r="V813" s="241"/>
      <c r="W813" s="241"/>
      <c r="X813" s="241"/>
      <c r="Y813" s="241"/>
      <c r="Z813" s="241"/>
    </row>
    <row r="814" spans="16:26" ht="10.199999999999999" customHeight="1">
      <c r="P814" s="241"/>
      <c r="Q814" s="241"/>
      <c r="R814" s="241"/>
      <c r="S814" s="241"/>
      <c r="T814" s="241"/>
      <c r="U814" s="241"/>
      <c r="V814" s="241"/>
      <c r="W814" s="241"/>
      <c r="X814" s="241"/>
      <c r="Y814" s="241"/>
      <c r="Z814" s="241"/>
    </row>
    <row r="815" spans="16:26" ht="10.199999999999999" customHeight="1">
      <c r="P815" s="241"/>
      <c r="Q815" s="241"/>
      <c r="R815" s="241"/>
      <c r="S815" s="241"/>
      <c r="T815" s="241"/>
      <c r="U815" s="241"/>
      <c r="V815" s="241"/>
      <c r="W815" s="241"/>
      <c r="X815" s="241"/>
      <c r="Y815" s="241"/>
      <c r="Z815" s="241"/>
    </row>
    <row r="816" spans="16:26" ht="10.199999999999999" customHeight="1">
      <c r="P816" s="241"/>
      <c r="Q816" s="241"/>
      <c r="R816" s="241"/>
      <c r="S816" s="241"/>
      <c r="T816" s="241"/>
      <c r="U816" s="241"/>
      <c r="V816" s="241"/>
      <c r="W816" s="241"/>
      <c r="X816" s="241"/>
      <c r="Y816" s="241"/>
      <c r="Z816" s="241"/>
    </row>
    <row r="817" spans="16:26" ht="10.199999999999999" customHeight="1">
      <c r="P817" s="241"/>
      <c r="Q817" s="241"/>
      <c r="R817" s="241"/>
      <c r="S817" s="241"/>
      <c r="T817" s="241"/>
      <c r="U817" s="241"/>
      <c r="V817" s="241"/>
      <c r="W817" s="241"/>
      <c r="X817" s="241"/>
      <c r="Y817" s="241"/>
      <c r="Z817" s="241"/>
    </row>
    <row r="818" spans="16:26" ht="10.199999999999999" customHeight="1">
      <c r="P818" s="241"/>
      <c r="Q818" s="241"/>
      <c r="R818" s="241"/>
      <c r="S818" s="241"/>
      <c r="T818" s="241"/>
      <c r="U818" s="241"/>
      <c r="V818" s="241"/>
      <c r="W818" s="241"/>
      <c r="X818" s="241"/>
      <c r="Y818" s="241"/>
      <c r="Z818" s="241"/>
    </row>
    <row r="819" spans="16:26" ht="10.199999999999999" customHeight="1">
      <c r="P819" s="241"/>
      <c r="Q819" s="241"/>
      <c r="R819" s="241"/>
      <c r="S819" s="241"/>
      <c r="T819" s="241"/>
      <c r="U819" s="241"/>
      <c r="V819" s="241"/>
      <c r="W819" s="241"/>
      <c r="X819" s="241"/>
      <c r="Y819" s="241"/>
      <c r="Z819" s="241"/>
    </row>
    <row r="820" spans="16:26" ht="10.199999999999999" customHeight="1">
      <c r="P820" s="241"/>
      <c r="Q820" s="241"/>
      <c r="R820" s="241"/>
      <c r="S820" s="241"/>
      <c r="T820" s="241"/>
      <c r="U820" s="241"/>
      <c r="V820" s="241"/>
      <c r="W820" s="241"/>
      <c r="X820" s="241"/>
      <c r="Y820" s="241"/>
      <c r="Z820" s="241"/>
    </row>
    <row r="821" spans="16:26" ht="10.199999999999999" customHeight="1">
      <c r="P821" s="241"/>
      <c r="Q821" s="241"/>
      <c r="R821" s="241"/>
      <c r="S821" s="241"/>
      <c r="T821" s="241"/>
      <c r="U821" s="241"/>
      <c r="V821" s="241"/>
      <c r="W821" s="241"/>
      <c r="X821" s="241"/>
      <c r="Y821" s="241"/>
      <c r="Z821" s="241"/>
    </row>
    <row r="822" spans="16:26" ht="10.199999999999999" customHeight="1">
      <c r="P822" s="241"/>
      <c r="Q822" s="241"/>
      <c r="R822" s="241"/>
      <c r="S822" s="241"/>
      <c r="T822" s="241"/>
      <c r="U822" s="241"/>
      <c r="V822" s="241"/>
      <c r="W822" s="241"/>
      <c r="X822" s="241"/>
      <c r="Y822" s="241"/>
      <c r="Z822" s="241"/>
    </row>
    <row r="823" spans="16:26" ht="10.199999999999999" customHeight="1">
      <c r="P823" s="241"/>
      <c r="Q823" s="241"/>
      <c r="R823" s="241"/>
      <c r="S823" s="241"/>
      <c r="T823" s="241"/>
      <c r="U823" s="241"/>
      <c r="V823" s="241"/>
      <c r="W823" s="241"/>
      <c r="X823" s="241"/>
      <c r="Y823" s="241"/>
      <c r="Z823" s="241"/>
    </row>
    <row r="824" spans="16:26" ht="10.199999999999999" customHeight="1">
      <c r="P824" s="241"/>
      <c r="Q824" s="241"/>
      <c r="R824" s="241"/>
      <c r="S824" s="241"/>
      <c r="T824" s="241"/>
      <c r="U824" s="241"/>
      <c r="V824" s="241"/>
      <c r="W824" s="241"/>
      <c r="X824" s="241"/>
      <c r="Y824" s="241"/>
      <c r="Z824" s="241"/>
    </row>
    <row r="825" spans="16:26" ht="10.199999999999999" customHeight="1">
      <c r="P825" s="241"/>
      <c r="Q825" s="241"/>
      <c r="R825" s="241"/>
      <c r="S825" s="241"/>
      <c r="T825" s="241"/>
      <c r="U825" s="241"/>
      <c r="V825" s="241"/>
      <c r="W825" s="241"/>
      <c r="X825" s="241"/>
      <c r="Y825" s="241"/>
      <c r="Z825" s="241"/>
    </row>
    <row r="826" spans="16:26" ht="10.199999999999999" customHeight="1">
      <c r="P826" s="241"/>
      <c r="Q826" s="241"/>
      <c r="R826" s="241"/>
      <c r="S826" s="241"/>
      <c r="T826" s="241"/>
      <c r="U826" s="241"/>
      <c r="V826" s="241"/>
      <c r="W826" s="241"/>
      <c r="X826" s="241"/>
      <c r="Y826" s="241"/>
      <c r="Z826" s="241"/>
    </row>
    <row r="827" spans="16:26" ht="10.199999999999999" customHeight="1">
      <c r="P827" s="241"/>
      <c r="Q827" s="241"/>
      <c r="R827" s="241"/>
      <c r="S827" s="241"/>
      <c r="T827" s="241"/>
      <c r="U827" s="241"/>
      <c r="V827" s="241"/>
      <c r="W827" s="241"/>
      <c r="X827" s="241"/>
      <c r="Y827" s="241"/>
      <c r="Z827" s="241"/>
    </row>
    <row r="828" spans="16:26" ht="10.199999999999999" customHeight="1">
      <c r="P828" s="241"/>
      <c r="Q828" s="241"/>
      <c r="R828" s="241"/>
      <c r="S828" s="241"/>
      <c r="T828" s="241"/>
      <c r="U828" s="241"/>
      <c r="V828" s="241"/>
      <c r="W828" s="241"/>
      <c r="X828" s="241"/>
      <c r="Y828" s="241"/>
      <c r="Z828" s="241"/>
    </row>
    <row r="829" spans="16:26" ht="10.199999999999999" customHeight="1">
      <c r="P829" s="241"/>
      <c r="Q829" s="241"/>
      <c r="R829" s="241"/>
      <c r="S829" s="241"/>
      <c r="T829" s="241"/>
      <c r="U829" s="241"/>
      <c r="V829" s="241"/>
      <c r="W829" s="241"/>
      <c r="X829" s="241"/>
      <c r="Y829" s="241"/>
      <c r="Z829" s="241"/>
    </row>
    <row r="830" spans="16:26" ht="10.199999999999999" customHeight="1">
      <c r="P830" s="241"/>
      <c r="Q830" s="241"/>
      <c r="R830" s="241"/>
      <c r="S830" s="241"/>
      <c r="T830" s="241"/>
      <c r="U830" s="241"/>
      <c r="V830" s="241"/>
      <c r="W830" s="241"/>
      <c r="X830" s="241"/>
      <c r="Y830" s="241"/>
      <c r="Z830" s="241"/>
    </row>
    <row r="831" spans="16:26" ht="10.199999999999999" customHeight="1">
      <c r="P831" s="241"/>
      <c r="Q831" s="241"/>
      <c r="R831" s="241"/>
      <c r="S831" s="241"/>
      <c r="T831" s="241"/>
      <c r="U831" s="241"/>
      <c r="V831" s="241"/>
      <c r="W831" s="241"/>
      <c r="X831" s="241"/>
      <c r="Y831" s="241"/>
      <c r="Z831" s="241"/>
    </row>
    <row r="832" spans="16:26" ht="10.199999999999999" customHeight="1">
      <c r="P832" s="241"/>
      <c r="Q832" s="241"/>
      <c r="R832" s="241"/>
      <c r="S832" s="241"/>
      <c r="T832" s="241"/>
      <c r="U832" s="241"/>
      <c r="V832" s="241"/>
      <c r="W832" s="241"/>
      <c r="X832" s="241"/>
      <c r="Y832" s="241"/>
      <c r="Z832" s="241"/>
    </row>
    <row r="833" spans="16:26" ht="10.199999999999999" customHeight="1">
      <c r="P833" s="241"/>
      <c r="Q833" s="241"/>
      <c r="R833" s="241"/>
      <c r="S833" s="241"/>
      <c r="T833" s="241"/>
      <c r="U833" s="241"/>
      <c r="V833" s="241"/>
      <c r="W833" s="241"/>
      <c r="X833" s="241"/>
      <c r="Y833" s="241"/>
      <c r="Z833" s="241"/>
    </row>
    <row r="834" spans="16:26" ht="10.199999999999999" customHeight="1">
      <c r="P834" s="241"/>
      <c r="Q834" s="241"/>
      <c r="R834" s="241"/>
      <c r="S834" s="241"/>
      <c r="T834" s="241"/>
      <c r="U834" s="241"/>
      <c r="V834" s="241"/>
      <c r="W834" s="241"/>
      <c r="X834" s="241"/>
      <c r="Y834" s="241"/>
      <c r="Z834" s="241"/>
    </row>
    <row r="835" spans="16:26" ht="10.199999999999999" customHeight="1">
      <c r="P835" s="241"/>
      <c r="Q835" s="241"/>
      <c r="R835" s="241"/>
      <c r="S835" s="241"/>
      <c r="T835" s="241"/>
      <c r="U835" s="241"/>
      <c r="V835" s="241"/>
      <c r="W835" s="241"/>
      <c r="X835" s="241"/>
      <c r="Y835" s="241"/>
      <c r="Z835" s="241"/>
    </row>
    <row r="836" spans="16:26" ht="10.199999999999999" customHeight="1">
      <c r="P836" s="241"/>
      <c r="Q836" s="241"/>
      <c r="R836" s="241"/>
      <c r="S836" s="241"/>
      <c r="T836" s="241"/>
      <c r="U836" s="241"/>
      <c r="V836" s="241"/>
      <c r="W836" s="241"/>
      <c r="X836" s="241"/>
      <c r="Y836" s="241"/>
      <c r="Z836" s="241"/>
    </row>
    <row r="837" spans="16:26" ht="10.199999999999999" customHeight="1">
      <c r="P837" s="241"/>
      <c r="Q837" s="241"/>
      <c r="R837" s="241"/>
      <c r="S837" s="241"/>
      <c r="T837" s="241"/>
      <c r="U837" s="241"/>
      <c r="V837" s="241"/>
      <c r="W837" s="241"/>
      <c r="X837" s="241"/>
      <c r="Y837" s="241"/>
      <c r="Z837" s="241"/>
    </row>
    <row r="838" spans="16:26" ht="10.199999999999999" customHeight="1">
      <c r="P838" s="241"/>
      <c r="Q838" s="241"/>
      <c r="R838" s="241"/>
      <c r="S838" s="241"/>
      <c r="T838" s="241"/>
      <c r="U838" s="241"/>
      <c r="V838" s="241"/>
      <c r="W838" s="241"/>
      <c r="X838" s="241"/>
      <c r="Y838" s="241"/>
      <c r="Z838" s="241"/>
    </row>
    <row r="839" spans="16:26" ht="10.199999999999999" customHeight="1">
      <c r="P839" s="241"/>
      <c r="Q839" s="241"/>
      <c r="R839" s="241"/>
      <c r="S839" s="241"/>
      <c r="T839" s="241"/>
      <c r="U839" s="241"/>
      <c r="V839" s="241"/>
      <c r="W839" s="241"/>
      <c r="X839" s="241"/>
      <c r="Y839" s="241"/>
      <c r="Z839" s="241"/>
    </row>
    <row r="840" spans="16:26" ht="10.199999999999999" customHeight="1">
      <c r="P840" s="241"/>
      <c r="Q840" s="241"/>
      <c r="R840" s="241"/>
      <c r="S840" s="241"/>
      <c r="T840" s="241"/>
      <c r="U840" s="241"/>
      <c r="V840" s="241"/>
      <c r="W840" s="241"/>
      <c r="X840" s="241"/>
      <c r="Y840" s="241"/>
      <c r="Z840" s="241"/>
    </row>
    <row r="841" spans="16:26" ht="10.199999999999999" customHeight="1">
      <c r="P841" s="241"/>
      <c r="Q841" s="241"/>
      <c r="R841" s="241"/>
      <c r="S841" s="241"/>
      <c r="T841" s="241"/>
      <c r="U841" s="241"/>
      <c r="V841" s="241"/>
      <c r="W841" s="241"/>
      <c r="X841" s="241"/>
      <c r="Y841" s="241"/>
      <c r="Z841" s="241"/>
    </row>
    <row r="842" spans="16:26" ht="10.199999999999999" customHeight="1">
      <c r="P842" s="241"/>
      <c r="Q842" s="241"/>
      <c r="R842" s="241"/>
      <c r="S842" s="241"/>
      <c r="T842" s="241"/>
      <c r="U842" s="241"/>
      <c r="V842" s="241"/>
      <c r="W842" s="241"/>
      <c r="X842" s="241"/>
      <c r="Y842" s="241"/>
      <c r="Z842" s="241"/>
    </row>
    <row r="843" spans="16:26" ht="10.199999999999999" customHeight="1">
      <c r="P843" s="241"/>
      <c r="Q843" s="241"/>
      <c r="R843" s="241"/>
      <c r="S843" s="241"/>
      <c r="T843" s="241"/>
      <c r="U843" s="241"/>
      <c r="V843" s="241"/>
      <c r="W843" s="241"/>
      <c r="X843" s="241"/>
      <c r="Y843" s="241"/>
      <c r="Z843" s="241"/>
    </row>
    <row r="844" spans="16:26" ht="10.199999999999999" customHeight="1">
      <c r="P844" s="241"/>
      <c r="Q844" s="241"/>
      <c r="R844" s="241"/>
      <c r="S844" s="241"/>
      <c r="T844" s="241"/>
      <c r="U844" s="241"/>
      <c r="V844" s="241"/>
      <c r="W844" s="241"/>
      <c r="X844" s="241"/>
      <c r="Y844" s="241"/>
      <c r="Z844" s="241"/>
    </row>
    <row r="845" spans="16:26" ht="10.199999999999999" customHeight="1">
      <c r="P845" s="241"/>
      <c r="Q845" s="241"/>
      <c r="R845" s="241"/>
      <c r="S845" s="241"/>
      <c r="T845" s="241"/>
      <c r="U845" s="241"/>
      <c r="V845" s="241"/>
      <c r="W845" s="241"/>
      <c r="X845" s="241"/>
      <c r="Y845" s="241"/>
      <c r="Z845" s="241"/>
    </row>
    <row r="846" spans="16:26" ht="10.199999999999999" customHeight="1">
      <c r="P846" s="241"/>
      <c r="Q846" s="241"/>
      <c r="R846" s="241"/>
      <c r="S846" s="241"/>
      <c r="T846" s="241"/>
      <c r="U846" s="241"/>
      <c r="V846" s="241"/>
      <c r="W846" s="241"/>
      <c r="X846" s="241"/>
      <c r="Y846" s="241"/>
      <c r="Z846" s="241"/>
    </row>
    <row r="847" spans="16:26" ht="10.199999999999999" customHeight="1">
      <c r="P847" s="241"/>
      <c r="Q847" s="241"/>
      <c r="R847" s="241"/>
      <c r="S847" s="241"/>
      <c r="T847" s="241"/>
      <c r="U847" s="241"/>
      <c r="V847" s="241"/>
      <c r="W847" s="241"/>
      <c r="X847" s="241"/>
      <c r="Y847" s="241"/>
      <c r="Z847" s="241"/>
    </row>
    <row r="848" spans="16:26" ht="10.199999999999999" customHeight="1">
      <c r="P848" s="241"/>
      <c r="Q848" s="241"/>
      <c r="R848" s="241"/>
      <c r="S848" s="241"/>
      <c r="T848" s="241"/>
      <c r="U848" s="241"/>
      <c r="V848" s="241"/>
      <c r="W848" s="241"/>
      <c r="X848" s="241"/>
      <c r="Y848" s="241"/>
      <c r="Z848" s="241"/>
    </row>
    <row r="849" spans="16:26" ht="10.199999999999999" customHeight="1">
      <c r="P849" s="241"/>
      <c r="Q849" s="241"/>
      <c r="R849" s="241"/>
      <c r="S849" s="241"/>
      <c r="T849" s="241"/>
      <c r="U849" s="241"/>
      <c r="V849" s="241"/>
      <c r="W849" s="241"/>
      <c r="X849" s="241"/>
      <c r="Y849" s="241"/>
      <c r="Z849" s="241"/>
    </row>
    <row r="850" spans="16:26" ht="10.199999999999999" customHeight="1">
      <c r="P850" s="241"/>
      <c r="Q850" s="241"/>
      <c r="R850" s="241"/>
      <c r="S850" s="241"/>
      <c r="T850" s="241"/>
      <c r="U850" s="241"/>
      <c r="V850" s="241"/>
      <c r="W850" s="241"/>
      <c r="X850" s="241"/>
      <c r="Y850" s="241"/>
      <c r="Z850" s="241"/>
    </row>
    <row r="851" spans="16:26" ht="10.199999999999999" customHeight="1">
      <c r="P851" s="241"/>
      <c r="Q851" s="241"/>
      <c r="R851" s="241"/>
      <c r="S851" s="241"/>
      <c r="T851" s="241"/>
      <c r="U851" s="241"/>
      <c r="V851" s="241"/>
      <c r="W851" s="241"/>
      <c r="X851" s="241"/>
      <c r="Y851" s="241"/>
      <c r="Z851" s="241"/>
    </row>
    <row r="852" spans="16:26" ht="10.199999999999999" customHeight="1">
      <c r="P852" s="241"/>
      <c r="Q852" s="241"/>
      <c r="R852" s="241"/>
      <c r="S852" s="241"/>
      <c r="T852" s="241"/>
      <c r="U852" s="241"/>
      <c r="V852" s="241"/>
      <c r="W852" s="241"/>
      <c r="X852" s="241"/>
      <c r="Y852" s="241"/>
      <c r="Z852" s="241"/>
    </row>
    <row r="853" spans="16:26" ht="10.199999999999999" customHeight="1">
      <c r="P853" s="241"/>
      <c r="Q853" s="241"/>
      <c r="R853" s="241"/>
      <c r="S853" s="241"/>
      <c r="T853" s="241"/>
      <c r="U853" s="241"/>
      <c r="V853" s="241"/>
      <c r="W853" s="241"/>
      <c r="X853" s="241"/>
      <c r="Y853" s="241"/>
      <c r="Z853" s="241"/>
    </row>
    <row r="854" spans="16:26" ht="10.199999999999999" customHeight="1">
      <c r="P854" s="241"/>
      <c r="Q854" s="241"/>
      <c r="R854" s="241"/>
      <c r="S854" s="241"/>
      <c r="T854" s="241"/>
      <c r="U854" s="241"/>
      <c r="V854" s="241"/>
      <c r="W854" s="241"/>
      <c r="X854" s="241"/>
      <c r="Y854" s="241"/>
      <c r="Z854" s="241"/>
    </row>
    <row r="855" spans="16:26" ht="10.199999999999999" customHeight="1">
      <c r="P855" s="241"/>
      <c r="Q855" s="241"/>
      <c r="R855" s="241"/>
      <c r="S855" s="241"/>
      <c r="T855" s="241"/>
      <c r="U855" s="241"/>
      <c r="V855" s="241"/>
      <c r="W855" s="241"/>
      <c r="X855" s="241"/>
      <c r="Y855" s="241"/>
      <c r="Z855" s="241"/>
    </row>
    <row r="856" spans="16:26" ht="10.199999999999999" customHeight="1">
      <c r="P856" s="241"/>
      <c r="Q856" s="241"/>
      <c r="R856" s="241"/>
      <c r="S856" s="241"/>
      <c r="T856" s="241"/>
      <c r="U856" s="241"/>
      <c r="V856" s="241"/>
      <c r="W856" s="241"/>
      <c r="X856" s="241"/>
      <c r="Y856" s="241"/>
      <c r="Z856" s="241"/>
    </row>
    <row r="857" spans="16:26" ht="10.199999999999999" customHeight="1">
      <c r="P857" s="241"/>
      <c r="Q857" s="241"/>
      <c r="R857" s="241"/>
      <c r="S857" s="241"/>
      <c r="T857" s="241"/>
      <c r="U857" s="241"/>
      <c r="V857" s="241"/>
      <c r="W857" s="241"/>
      <c r="X857" s="241"/>
      <c r="Y857" s="241"/>
      <c r="Z857" s="241"/>
    </row>
    <row r="858" spans="16:26" ht="10.199999999999999" customHeight="1">
      <c r="P858" s="241"/>
      <c r="Q858" s="241"/>
      <c r="R858" s="241"/>
      <c r="S858" s="241"/>
      <c r="T858" s="241"/>
      <c r="U858" s="241"/>
      <c r="V858" s="241"/>
      <c r="W858" s="241"/>
      <c r="X858" s="241"/>
      <c r="Y858" s="241"/>
      <c r="Z858" s="241"/>
    </row>
    <row r="859" spans="16:26" ht="10.199999999999999" customHeight="1">
      <c r="P859" s="241"/>
      <c r="Q859" s="241"/>
      <c r="R859" s="241"/>
      <c r="S859" s="241"/>
      <c r="T859" s="241"/>
      <c r="U859" s="241"/>
      <c r="V859" s="241"/>
      <c r="W859" s="241"/>
      <c r="X859" s="241"/>
      <c r="Y859" s="241"/>
      <c r="Z859" s="241"/>
    </row>
    <row r="860" spans="16:26" ht="10.199999999999999" customHeight="1">
      <c r="P860" s="241"/>
      <c r="Q860" s="241"/>
      <c r="R860" s="241"/>
      <c r="S860" s="241"/>
      <c r="T860" s="241"/>
      <c r="U860" s="241"/>
      <c r="V860" s="241"/>
      <c r="W860" s="241"/>
      <c r="X860" s="241"/>
      <c r="Y860" s="241"/>
      <c r="Z860" s="241"/>
    </row>
    <row r="861" spans="16:26" ht="10.199999999999999" customHeight="1">
      <c r="P861" s="241"/>
      <c r="Q861" s="241"/>
      <c r="R861" s="241"/>
      <c r="S861" s="241"/>
      <c r="T861" s="241"/>
      <c r="U861" s="241"/>
      <c r="V861" s="241"/>
      <c r="W861" s="241"/>
      <c r="X861" s="241"/>
      <c r="Y861" s="241"/>
      <c r="Z861" s="241"/>
    </row>
    <row r="862" spans="16:26" ht="10.199999999999999" customHeight="1">
      <c r="P862" s="241"/>
      <c r="Q862" s="241"/>
      <c r="R862" s="241"/>
      <c r="S862" s="241"/>
      <c r="T862" s="241"/>
      <c r="U862" s="241"/>
      <c r="V862" s="241"/>
      <c r="W862" s="241"/>
      <c r="X862" s="241"/>
      <c r="Y862" s="241"/>
      <c r="Z862" s="241"/>
    </row>
    <row r="863" spans="16:26" ht="10.199999999999999" customHeight="1">
      <c r="P863" s="241"/>
      <c r="Q863" s="241"/>
      <c r="R863" s="241"/>
      <c r="S863" s="241"/>
      <c r="T863" s="241"/>
      <c r="U863" s="241"/>
      <c r="V863" s="241"/>
      <c r="W863" s="241"/>
      <c r="X863" s="241"/>
      <c r="Y863" s="241"/>
      <c r="Z863" s="241"/>
    </row>
    <row r="864" spans="16:26" ht="10.199999999999999" customHeight="1">
      <c r="P864" s="241"/>
      <c r="Q864" s="241"/>
      <c r="R864" s="241"/>
      <c r="S864" s="241"/>
      <c r="T864" s="241"/>
      <c r="U864" s="241"/>
      <c r="V864" s="241"/>
      <c r="W864" s="241"/>
      <c r="X864" s="241"/>
      <c r="Y864" s="241"/>
      <c r="Z864" s="241"/>
    </row>
    <row r="865" spans="16:26" ht="10.199999999999999" customHeight="1">
      <c r="P865" s="241"/>
      <c r="Q865" s="241"/>
      <c r="R865" s="241"/>
      <c r="S865" s="241"/>
      <c r="T865" s="241"/>
      <c r="U865" s="241"/>
      <c r="V865" s="241"/>
      <c r="W865" s="241"/>
      <c r="X865" s="241"/>
      <c r="Y865" s="241"/>
      <c r="Z865" s="241"/>
    </row>
    <row r="866" spans="16:26" ht="10.199999999999999" customHeight="1">
      <c r="P866" s="241"/>
      <c r="Q866" s="241"/>
      <c r="R866" s="241"/>
      <c r="S866" s="241"/>
      <c r="T866" s="241"/>
      <c r="U866" s="241"/>
      <c r="V866" s="241"/>
      <c r="W866" s="241"/>
      <c r="X866" s="241"/>
      <c r="Y866" s="241"/>
      <c r="Z866" s="241"/>
    </row>
    <row r="867" spans="16:26" ht="10.199999999999999" customHeight="1">
      <c r="P867" s="241"/>
      <c r="Q867" s="241"/>
      <c r="R867" s="241"/>
      <c r="S867" s="241"/>
      <c r="T867" s="241"/>
      <c r="U867" s="241"/>
      <c r="V867" s="241"/>
      <c r="W867" s="241"/>
      <c r="X867" s="241"/>
      <c r="Y867" s="241"/>
      <c r="Z867" s="241"/>
    </row>
    <row r="868" spans="16:26" ht="10.199999999999999" customHeight="1">
      <c r="P868" s="241"/>
      <c r="Q868" s="241"/>
      <c r="R868" s="241"/>
      <c r="S868" s="241"/>
      <c r="T868" s="241"/>
      <c r="U868" s="241"/>
      <c r="V868" s="241"/>
      <c r="W868" s="241"/>
      <c r="X868" s="241"/>
      <c r="Y868" s="241"/>
      <c r="Z868" s="241"/>
    </row>
    <row r="869" spans="16:26" ht="10.199999999999999" customHeight="1">
      <c r="P869" s="241"/>
      <c r="Q869" s="241"/>
      <c r="R869" s="241"/>
      <c r="S869" s="241"/>
      <c r="T869" s="241"/>
      <c r="U869" s="241"/>
      <c r="V869" s="241"/>
      <c r="W869" s="241"/>
      <c r="X869" s="241"/>
      <c r="Y869" s="241"/>
      <c r="Z869" s="241"/>
    </row>
    <row r="870" spans="16:26" ht="10.199999999999999" customHeight="1">
      <c r="P870" s="241"/>
      <c r="Q870" s="241"/>
      <c r="R870" s="241"/>
      <c r="S870" s="241"/>
      <c r="T870" s="241"/>
      <c r="U870" s="241"/>
      <c r="V870" s="241"/>
      <c r="W870" s="241"/>
      <c r="X870" s="241"/>
      <c r="Y870" s="241"/>
      <c r="Z870" s="241"/>
    </row>
    <row r="871" spans="16:26" ht="10.199999999999999" customHeight="1">
      <c r="P871" s="241"/>
      <c r="Q871" s="241"/>
      <c r="R871" s="241"/>
      <c r="S871" s="241"/>
      <c r="T871" s="241"/>
      <c r="U871" s="241"/>
      <c r="V871" s="241"/>
      <c r="W871" s="241"/>
      <c r="X871" s="241"/>
      <c r="Y871" s="241"/>
      <c r="Z871" s="241"/>
    </row>
    <row r="872" spans="16:26" ht="10.199999999999999" customHeight="1">
      <c r="P872" s="241"/>
      <c r="Q872" s="241"/>
      <c r="R872" s="241"/>
      <c r="S872" s="241"/>
      <c r="T872" s="241"/>
      <c r="U872" s="241"/>
      <c r="V872" s="241"/>
      <c r="W872" s="241"/>
      <c r="X872" s="241"/>
      <c r="Y872" s="241"/>
      <c r="Z872" s="241"/>
    </row>
    <row r="873" spans="16:26" ht="10.199999999999999" customHeight="1">
      <c r="P873" s="241"/>
      <c r="Q873" s="241"/>
      <c r="R873" s="241"/>
      <c r="S873" s="241"/>
      <c r="T873" s="241"/>
      <c r="U873" s="241"/>
      <c r="V873" s="241"/>
      <c r="W873" s="241"/>
      <c r="X873" s="241"/>
      <c r="Y873" s="241"/>
      <c r="Z873" s="241"/>
    </row>
    <row r="874" spans="16:26" ht="10.199999999999999" customHeight="1">
      <c r="P874" s="241"/>
      <c r="Q874" s="241"/>
      <c r="R874" s="241"/>
      <c r="S874" s="241"/>
      <c r="T874" s="241"/>
      <c r="U874" s="241"/>
      <c r="V874" s="241"/>
      <c r="W874" s="241"/>
      <c r="X874" s="241"/>
      <c r="Y874" s="241"/>
      <c r="Z874" s="241"/>
    </row>
    <row r="875" spans="16:26" ht="10.199999999999999" customHeight="1">
      <c r="P875" s="241"/>
      <c r="Q875" s="241"/>
      <c r="R875" s="241"/>
      <c r="S875" s="241"/>
      <c r="T875" s="241"/>
      <c r="U875" s="241"/>
      <c r="V875" s="241"/>
      <c r="W875" s="241"/>
      <c r="X875" s="241"/>
      <c r="Y875" s="241"/>
      <c r="Z875" s="241"/>
    </row>
    <row r="876" spans="16:26" ht="10.199999999999999" customHeight="1">
      <c r="P876" s="241"/>
      <c r="Q876" s="241"/>
      <c r="R876" s="241"/>
      <c r="S876" s="241"/>
      <c r="T876" s="241"/>
      <c r="U876" s="241"/>
      <c r="V876" s="241"/>
      <c r="W876" s="241"/>
      <c r="X876" s="241"/>
      <c r="Y876" s="241"/>
      <c r="Z876" s="241"/>
    </row>
    <row r="877" spans="16:26" ht="10.199999999999999" customHeight="1">
      <c r="P877" s="241"/>
      <c r="Q877" s="241"/>
      <c r="R877" s="241"/>
      <c r="S877" s="241"/>
      <c r="T877" s="241"/>
      <c r="U877" s="241"/>
      <c r="V877" s="241"/>
      <c r="W877" s="241"/>
      <c r="X877" s="241"/>
      <c r="Y877" s="241"/>
      <c r="Z877" s="241"/>
    </row>
    <row r="878" spans="16:26" ht="10.199999999999999" customHeight="1">
      <c r="P878" s="241"/>
      <c r="Q878" s="241"/>
      <c r="R878" s="241"/>
      <c r="S878" s="241"/>
      <c r="T878" s="241"/>
      <c r="U878" s="241"/>
      <c r="V878" s="241"/>
      <c r="W878" s="241"/>
      <c r="X878" s="241"/>
      <c r="Y878" s="241"/>
      <c r="Z878" s="241"/>
    </row>
    <row r="879" spans="16:26" ht="10.199999999999999" customHeight="1">
      <c r="P879" s="241"/>
      <c r="Q879" s="241"/>
      <c r="R879" s="241"/>
      <c r="S879" s="241"/>
      <c r="T879" s="241"/>
      <c r="U879" s="241"/>
      <c r="V879" s="241"/>
      <c r="W879" s="241"/>
      <c r="X879" s="241"/>
      <c r="Y879" s="241"/>
      <c r="Z879" s="241"/>
    </row>
    <row r="880" spans="16:26" ht="10.199999999999999" customHeight="1">
      <c r="P880" s="241"/>
      <c r="Q880" s="241"/>
      <c r="R880" s="241"/>
      <c r="S880" s="241"/>
      <c r="T880" s="241"/>
      <c r="U880" s="241"/>
      <c r="V880" s="241"/>
      <c r="W880" s="241"/>
      <c r="X880" s="241"/>
      <c r="Y880" s="241"/>
      <c r="Z880" s="241"/>
    </row>
    <row r="881" spans="16:26" ht="10.199999999999999" customHeight="1">
      <c r="P881" s="241"/>
      <c r="Q881" s="241"/>
      <c r="R881" s="241"/>
      <c r="S881" s="241"/>
      <c r="T881" s="241"/>
      <c r="U881" s="241"/>
      <c r="V881" s="241"/>
      <c r="W881" s="241"/>
      <c r="X881" s="241"/>
      <c r="Y881" s="241"/>
      <c r="Z881" s="241"/>
    </row>
    <row r="882" spans="16:26" ht="10.199999999999999" customHeight="1">
      <c r="P882" s="241"/>
      <c r="Q882" s="241"/>
      <c r="R882" s="241"/>
      <c r="S882" s="241"/>
      <c r="T882" s="241"/>
      <c r="U882" s="241"/>
      <c r="V882" s="241"/>
      <c r="W882" s="241"/>
      <c r="X882" s="241"/>
      <c r="Y882" s="241"/>
      <c r="Z882" s="241"/>
    </row>
    <row r="883" spans="16:26" ht="10.199999999999999" customHeight="1">
      <c r="P883" s="241"/>
      <c r="Q883" s="241"/>
      <c r="R883" s="241"/>
      <c r="S883" s="241"/>
      <c r="T883" s="241"/>
      <c r="U883" s="241"/>
      <c r="V883" s="241"/>
      <c r="W883" s="241"/>
      <c r="X883" s="241"/>
      <c r="Y883" s="241"/>
      <c r="Z883" s="241"/>
    </row>
    <row r="884" spans="16:26" ht="10.199999999999999" customHeight="1">
      <c r="P884" s="241"/>
      <c r="Q884" s="241"/>
      <c r="R884" s="241"/>
      <c r="S884" s="241"/>
      <c r="T884" s="241"/>
      <c r="U884" s="241"/>
      <c r="V884" s="241"/>
      <c r="W884" s="241"/>
      <c r="X884" s="241"/>
      <c r="Y884" s="241"/>
      <c r="Z884" s="241"/>
    </row>
  </sheetData>
  <sheetProtection password="8C51" sheet="1" objects="1" scenarios="1" selectLockedCells="1"/>
  <pageMargins left="0.75" right="0.75" top="1" bottom="1" header="0.5" footer="0.5"/>
  <pageSetup orientation="portrait" horizontalDpi="1200" verticalDpi="1200"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1:Z884"/>
  <sheetViews>
    <sheetView workbookViewId="0">
      <selection activeCell="P1" sqref="P1"/>
    </sheetView>
  </sheetViews>
  <sheetFormatPr defaultRowHeight="10.199999999999999" customHeight="1"/>
  <cols>
    <col min="1" max="15" width="8.88671875" style="57"/>
    <col min="16" max="26" width="8.88671875" style="243"/>
    <col min="27" max="16384" width="8.88671875" style="57"/>
  </cols>
  <sheetData>
    <row r="1" spans="2:26" ht="10.199999999999999" customHeight="1">
      <c r="B1" s="57" t="s">
        <v>46</v>
      </c>
      <c r="C1" s="57" t="s">
        <v>47</v>
      </c>
      <c r="D1" s="57" t="s">
        <v>48</v>
      </c>
      <c r="E1" s="57" t="s">
        <v>49</v>
      </c>
      <c r="F1" s="57" t="s">
        <v>50</v>
      </c>
      <c r="G1" s="57" t="s">
        <v>51</v>
      </c>
      <c r="H1" s="57" t="s">
        <v>52</v>
      </c>
      <c r="I1" s="57" t="s">
        <v>53</v>
      </c>
      <c r="J1" s="57" t="s">
        <v>54</v>
      </c>
      <c r="P1" s="249"/>
      <c r="Q1" s="249"/>
      <c r="R1" s="249"/>
      <c r="S1" s="249"/>
      <c r="T1" s="249"/>
      <c r="U1" s="249"/>
      <c r="V1" s="249"/>
      <c r="W1" s="249"/>
      <c r="X1" s="249"/>
      <c r="Y1" s="249"/>
      <c r="Z1" s="249"/>
    </row>
    <row r="2" spans="2:26" ht="10.199999999999999" customHeight="1">
      <c r="B2" s="57" t="s">
        <v>55</v>
      </c>
      <c r="C2" s="57" t="s">
        <v>56</v>
      </c>
      <c r="D2" s="57" t="s">
        <v>56</v>
      </c>
      <c r="E2" s="57" t="s">
        <v>57</v>
      </c>
      <c r="F2" s="57" t="s">
        <v>57</v>
      </c>
      <c r="G2" s="57" t="s">
        <v>58</v>
      </c>
      <c r="H2" s="57" t="s">
        <v>59</v>
      </c>
      <c r="I2" s="57" t="s">
        <v>60</v>
      </c>
      <c r="J2" s="57" t="s">
        <v>61</v>
      </c>
      <c r="K2" s="57" t="s">
        <v>62</v>
      </c>
      <c r="L2" s="57" t="s">
        <v>63</v>
      </c>
      <c r="P2" s="249"/>
      <c r="Q2" s="249"/>
      <c r="R2" s="249"/>
      <c r="S2" s="249"/>
      <c r="T2" s="249"/>
      <c r="U2" s="249"/>
      <c r="V2" s="249"/>
      <c r="W2" s="249"/>
      <c r="X2" s="249"/>
      <c r="Y2" s="249"/>
      <c r="Z2" s="249"/>
    </row>
    <row r="3" spans="2:26" ht="10.199999999999999" customHeight="1">
      <c r="P3" s="249"/>
      <c r="Q3" s="249"/>
      <c r="R3" s="249"/>
      <c r="S3" s="249"/>
      <c r="T3" s="249"/>
      <c r="U3" s="249"/>
      <c r="V3" s="249"/>
      <c r="W3" s="249"/>
      <c r="X3" s="249"/>
      <c r="Y3" s="249"/>
      <c r="Z3" s="249"/>
    </row>
    <row r="4" spans="2:26" ht="10.199999999999999" customHeight="1">
      <c r="B4" s="57" t="s">
        <v>64</v>
      </c>
      <c r="C4" s="234" t="str">
        <f ca="1">IF(P1="","","L"&amp;MID(INDIRECT("P"&amp;L4),6,FIND(" ",INDIRECT("P"&amp;L4),6)-5))</f>
        <v/>
      </c>
      <c r="D4" s="234" t="str">
        <f ca="1">IF(P1="","",MID(INDIRECT("P"&amp;L4),SEARCH("(",INDIRECT("P"&amp;L4),1)+1,3))</f>
        <v/>
      </c>
      <c r="E4" s="234" t="str">
        <f ca="1">IF(P1="","",MID(INDIRECT("P"&amp;L4),SEARCH(")",INDIRECT("P"&amp;L4),1)+2,LEN(INDIRECT("P"&amp;L4))))</f>
        <v/>
      </c>
      <c r="F4" s="234"/>
      <c r="G4" s="234"/>
      <c r="H4" s="234"/>
      <c r="I4" s="234"/>
      <c r="J4" s="234"/>
      <c r="K4" s="234"/>
      <c r="L4" s="234" t="str">
        <f>IF(P1="","",MATCH("CASE*",P1:P10,0))</f>
        <v/>
      </c>
      <c r="M4" s="55">
        <f>ROUND(COUNT(P:P)*1.6,0)</f>
        <v>0</v>
      </c>
      <c r="P4" s="249"/>
      <c r="Q4" s="249"/>
      <c r="R4" s="249"/>
      <c r="S4" s="249"/>
      <c r="T4" s="249"/>
      <c r="U4" s="249"/>
      <c r="V4" s="249"/>
      <c r="W4" s="249"/>
      <c r="X4" s="249"/>
      <c r="Y4" s="249"/>
      <c r="Z4" s="249"/>
    </row>
    <row r="5" spans="2:26" ht="10.199999999999999" customHeight="1">
      <c r="P5" s="249"/>
      <c r="Q5" s="249"/>
      <c r="R5" s="249"/>
      <c r="S5" s="249"/>
      <c r="T5" s="249"/>
      <c r="U5" s="249"/>
      <c r="V5" s="249"/>
      <c r="W5" s="249"/>
      <c r="X5" s="249"/>
      <c r="Y5" s="249"/>
      <c r="Z5" s="249"/>
    </row>
    <row r="6" spans="2:26" ht="10.199999999999999" customHeight="1">
      <c r="B6" s="56" t="str">
        <f>IF('Low Stress Type Gasket'!BE11="","",'Low Stress Type Gasket'!BE11)</f>
        <v/>
      </c>
      <c r="C6" s="58" t="str">
        <f t="shared" ref="C6:L21" ca="1" si="0">IF($M$4=0,"",VLOOKUP($B6,INDIRECT("$P$1:$Z$"&amp;$M$4),COLUMN()-1,0))</f>
        <v/>
      </c>
      <c r="D6" s="58" t="str">
        <f t="shared" ca="1" si="0"/>
        <v/>
      </c>
      <c r="E6" s="58" t="str">
        <f t="shared" ca="1" si="0"/>
        <v/>
      </c>
      <c r="F6" s="58" t="str">
        <f t="shared" ca="1" si="0"/>
        <v/>
      </c>
      <c r="G6" s="58" t="str">
        <f t="shared" ca="1" si="0"/>
        <v/>
      </c>
      <c r="H6" s="58" t="str">
        <f t="shared" ca="1" si="0"/>
        <v/>
      </c>
      <c r="I6" s="58" t="str">
        <f t="shared" ca="1" si="0"/>
        <v/>
      </c>
      <c r="J6" s="58" t="str">
        <f t="shared" ca="1" si="0"/>
        <v/>
      </c>
      <c r="K6" s="58" t="str">
        <f t="shared" ca="1" si="0"/>
        <v/>
      </c>
      <c r="L6" s="58" t="str">
        <f t="shared" ca="1" si="0"/>
        <v/>
      </c>
      <c r="P6" s="249"/>
      <c r="Q6" s="249"/>
      <c r="R6" s="249"/>
      <c r="S6" s="249"/>
      <c r="T6" s="249"/>
      <c r="U6" s="249"/>
      <c r="V6" s="249"/>
      <c r="W6" s="249"/>
      <c r="X6" s="249"/>
      <c r="Y6" s="249"/>
      <c r="Z6" s="249"/>
    </row>
    <row r="7" spans="2:26" ht="10.199999999999999" customHeight="1">
      <c r="B7" s="56" t="str">
        <f>IF('Low Stress Type Gasket'!BE12="","",'Low Stress Type Gasket'!BE12)</f>
        <v/>
      </c>
      <c r="C7" s="58" t="str">
        <f t="shared" ca="1" si="0"/>
        <v/>
      </c>
      <c r="D7" s="58" t="str">
        <f t="shared" ca="1" si="0"/>
        <v/>
      </c>
      <c r="E7" s="58" t="str">
        <f t="shared" ca="1" si="0"/>
        <v/>
      </c>
      <c r="F7" s="58" t="str">
        <f t="shared" ca="1" si="0"/>
        <v/>
      </c>
      <c r="G7" s="58" t="str">
        <f t="shared" ca="1" si="0"/>
        <v/>
      </c>
      <c r="H7" s="58" t="str">
        <f t="shared" ca="1" si="0"/>
        <v/>
      </c>
      <c r="I7" s="58" t="str">
        <f t="shared" ca="1" si="0"/>
        <v/>
      </c>
      <c r="J7" s="58" t="str">
        <f t="shared" ca="1" si="0"/>
        <v/>
      </c>
      <c r="K7" s="58" t="str">
        <f t="shared" ca="1" si="0"/>
        <v/>
      </c>
      <c r="L7" s="58" t="str">
        <f t="shared" ca="1" si="0"/>
        <v/>
      </c>
      <c r="P7" s="249"/>
      <c r="Q7" s="249"/>
      <c r="R7" s="249"/>
      <c r="S7" s="249"/>
      <c r="T7" s="249"/>
      <c r="U7" s="249"/>
      <c r="V7" s="249"/>
      <c r="W7" s="249"/>
      <c r="X7" s="249"/>
      <c r="Y7" s="249"/>
      <c r="Z7" s="249"/>
    </row>
    <row r="8" spans="2:26" ht="10.199999999999999" customHeight="1">
      <c r="B8" s="56" t="str">
        <f>IF('Low Stress Type Gasket'!BE13="","",'Low Stress Type Gasket'!BE13)</f>
        <v/>
      </c>
      <c r="C8" s="58" t="str">
        <f t="shared" ca="1" si="0"/>
        <v/>
      </c>
      <c r="D8" s="58" t="str">
        <f t="shared" ca="1" si="0"/>
        <v/>
      </c>
      <c r="E8" s="58" t="str">
        <f t="shared" ca="1" si="0"/>
        <v/>
      </c>
      <c r="F8" s="58" t="str">
        <f t="shared" ca="1" si="0"/>
        <v/>
      </c>
      <c r="G8" s="58" t="str">
        <f t="shared" ca="1" si="0"/>
        <v/>
      </c>
      <c r="H8" s="58" t="str">
        <f t="shared" ca="1" si="0"/>
        <v/>
      </c>
      <c r="I8" s="58" t="str">
        <f t="shared" ca="1" si="0"/>
        <v/>
      </c>
      <c r="J8" s="58" t="str">
        <f t="shared" ca="1" si="0"/>
        <v/>
      </c>
      <c r="K8" s="58" t="str">
        <f t="shared" ca="1" si="0"/>
        <v/>
      </c>
      <c r="L8" s="58" t="str">
        <f t="shared" ca="1" si="0"/>
        <v/>
      </c>
      <c r="P8" s="241"/>
      <c r="Q8" s="241"/>
      <c r="R8" s="241"/>
      <c r="S8" s="241"/>
      <c r="T8" s="241"/>
      <c r="U8" s="241"/>
      <c r="V8" s="241"/>
      <c r="W8" s="241"/>
      <c r="X8" s="241"/>
      <c r="Y8" s="241"/>
      <c r="Z8" s="241"/>
    </row>
    <row r="9" spans="2:26" ht="10.199999999999999" customHeight="1">
      <c r="B9" s="56" t="str">
        <f>IF('Low Stress Type Gasket'!BE14="","",'Low Stress Type Gasket'!BE14)</f>
        <v/>
      </c>
      <c r="C9" s="58" t="str">
        <f t="shared" ca="1" si="0"/>
        <v/>
      </c>
      <c r="D9" s="58" t="str">
        <f t="shared" ca="1" si="0"/>
        <v/>
      </c>
      <c r="E9" s="58" t="str">
        <f t="shared" ca="1" si="0"/>
        <v/>
      </c>
      <c r="F9" s="58" t="str">
        <f t="shared" ca="1" si="0"/>
        <v/>
      </c>
      <c r="G9" s="58" t="str">
        <f t="shared" ca="1" si="0"/>
        <v/>
      </c>
      <c r="H9" s="58" t="str">
        <f t="shared" ca="1" si="0"/>
        <v/>
      </c>
      <c r="I9" s="58" t="str">
        <f t="shared" ca="1" si="0"/>
        <v/>
      </c>
      <c r="J9" s="58" t="str">
        <f t="shared" ca="1" si="0"/>
        <v/>
      </c>
      <c r="K9" s="58" t="str">
        <f t="shared" ca="1" si="0"/>
        <v/>
      </c>
      <c r="L9" s="58" t="str">
        <f t="shared" ca="1" si="0"/>
        <v/>
      </c>
      <c r="P9" s="249"/>
      <c r="Q9" s="249"/>
      <c r="R9" s="249"/>
      <c r="S9" s="249"/>
      <c r="T9" s="249"/>
      <c r="U9" s="249"/>
      <c r="V9" s="249"/>
      <c r="W9" s="249"/>
      <c r="X9" s="249"/>
      <c r="Y9" s="249"/>
      <c r="Z9" s="249"/>
    </row>
    <row r="10" spans="2:26" ht="10.199999999999999" customHeight="1">
      <c r="B10" s="56" t="str">
        <f>IF('Low Stress Type Gasket'!BE15="","",'Low Stress Type Gasket'!BE15)</f>
        <v/>
      </c>
      <c r="C10" s="58" t="str">
        <f t="shared" ca="1" si="0"/>
        <v/>
      </c>
      <c r="D10" s="58" t="str">
        <f t="shared" ca="1" si="0"/>
        <v/>
      </c>
      <c r="E10" s="58" t="str">
        <f t="shared" ca="1" si="0"/>
        <v/>
      </c>
      <c r="F10" s="58" t="str">
        <f t="shared" ca="1" si="0"/>
        <v/>
      </c>
      <c r="G10" s="58" t="str">
        <f t="shared" ca="1" si="0"/>
        <v/>
      </c>
      <c r="H10" s="58" t="str">
        <f t="shared" ca="1" si="0"/>
        <v/>
      </c>
      <c r="I10" s="58" t="str">
        <f t="shared" ca="1" si="0"/>
        <v/>
      </c>
      <c r="J10" s="58" t="str">
        <f t="shared" ca="1" si="0"/>
        <v/>
      </c>
      <c r="K10" s="58" t="str">
        <f t="shared" ca="1" si="0"/>
        <v/>
      </c>
      <c r="L10" s="58" t="str">
        <f t="shared" ca="1" si="0"/>
        <v/>
      </c>
      <c r="P10" s="249"/>
      <c r="Q10" s="249"/>
      <c r="R10" s="249"/>
      <c r="S10" s="249"/>
      <c r="T10" s="249"/>
      <c r="U10" s="249"/>
      <c r="V10" s="249"/>
      <c r="W10" s="249"/>
      <c r="X10" s="249"/>
      <c r="Y10" s="249"/>
      <c r="Z10" s="249"/>
    </row>
    <row r="11" spans="2:26" ht="10.199999999999999" customHeight="1">
      <c r="B11" s="56" t="str">
        <f>IF('Low Stress Type Gasket'!BE16="","",'Low Stress Type Gasket'!BE16)</f>
        <v/>
      </c>
      <c r="C11" s="58" t="str">
        <f t="shared" ca="1" si="0"/>
        <v/>
      </c>
      <c r="D11" s="58" t="str">
        <f t="shared" ca="1" si="0"/>
        <v/>
      </c>
      <c r="E11" s="58" t="str">
        <f t="shared" ca="1" si="0"/>
        <v/>
      </c>
      <c r="F11" s="58" t="str">
        <f t="shared" ca="1" si="0"/>
        <v/>
      </c>
      <c r="G11" s="58" t="str">
        <f t="shared" ca="1" si="0"/>
        <v/>
      </c>
      <c r="H11" s="58" t="str">
        <f t="shared" ca="1" si="0"/>
        <v/>
      </c>
      <c r="I11" s="58" t="str">
        <f t="shared" ca="1" si="0"/>
        <v/>
      </c>
      <c r="J11" s="58" t="str">
        <f t="shared" ca="1" si="0"/>
        <v/>
      </c>
      <c r="K11" s="58" t="str">
        <f t="shared" ca="1" si="0"/>
        <v/>
      </c>
      <c r="L11" s="58" t="str">
        <f t="shared" ca="1" si="0"/>
        <v/>
      </c>
      <c r="P11" s="249"/>
      <c r="Q11" s="249"/>
      <c r="R11" s="249"/>
      <c r="S11" s="249"/>
      <c r="T11" s="249"/>
      <c r="U11" s="249"/>
      <c r="V11" s="249"/>
      <c r="W11" s="249"/>
      <c r="X11" s="249"/>
      <c r="Y11" s="249"/>
      <c r="Z11" s="249"/>
    </row>
    <row r="12" spans="2:26" ht="10.199999999999999" customHeight="1">
      <c r="B12" s="56" t="str">
        <f>IF('Low Stress Type Gasket'!BE17="","",'Low Stress Type Gasket'!BE17)</f>
        <v/>
      </c>
      <c r="C12" s="58" t="str">
        <f t="shared" ca="1" si="0"/>
        <v/>
      </c>
      <c r="D12" s="58" t="str">
        <f t="shared" ca="1" si="0"/>
        <v/>
      </c>
      <c r="E12" s="58" t="str">
        <f t="shared" ca="1" si="0"/>
        <v/>
      </c>
      <c r="F12" s="58" t="str">
        <f t="shared" ca="1" si="0"/>
        <v/>
      </c>
      <c r="G12" s="58" t="str">
        <f t="shared" ca="1" si="0"/>
        <v/>
      </c>
      <c r="H12" s="58" t="str">
        <f t="shared" ca="1" si="0"/>
        <v/>
      </c>
      <c r="I12" s="58" t="str">
        <f t="shared" ca="1" si="0"/>
        <v/>
      </c>
      <c r="J12" s="58" t="str">
        <f t="shared" ca="1" si="0"/>
        <v/>
      </c>
      <c r="K12" s="58" t="str">
        <f t="shared" ca="1" si="0"/>
        <v/>
      </c>
      <c r="L12" s="58" t="str">
        <f t="shared" ca="1" si="0"/>
        <v/>
      </c>
      <c r="P12" s="241"/>
      <c r="Q12" s="241"/>
      <c r="R12" s="241"/>
      <c r="S12" s="241"/>
      <c r="T12" s="241"/>
      <c r="U12" s="241"/>
      <c r="V12" s="241"/>
      <c r="W12" s="241"/>
      <c r="X12" s="241"/>
      <c r="Y12" s="241"/>
      <c r="Z12" s="241"/>
    </row>
    <row r="13" spans="2:26" ht="10.199999999999999" customHeight="1">
      <c r="B13" s="56" t="str">
        <f>IF('Low Stress Type Gasket'!BE18="","",'Low Stress Type Gasket'!BE18)</f>
        <v/>
      </c>
      <c r="C13" s="58" t="str">
        <f t="shared" ca="1" si="0"/>
        <v/>
      </c>
      <c r="D13" s="58" t="str">
        <f t="shared" ca="1" si="0"/>
        <v/>
      </c>
      <c r="E13" s="58" t="str">
        <f t="shared" ca="1" si="0"/>
        <v/>
      </c>
      <c r="F13" s="58" t="str">
        <f t="shared" ca="1" si="0"/>
        <v/>
      </c>
      <c r="G13" s="58" t="str">
        <f t="shared" ca="1" si="0"/>
        <v/>
      </c>
      <c r="H13" s="58" t="str">
        <f t="shared" ca="1" si="0"/>
        <v/>
      </c>
      <c r="I13" s="58" t="str">
        <f t="shared" ca="1" si="0"/>
        <v/>
      </c>
      <c r="J13" s="58" t="str">
        <f t="shared" ca="1" si="0"/>
        <v/>
      </c>
      <c r="K13" s="58" t="str">
        <f t="shared" ca="1" si="0"/>
        <v/>
      </c>
      <c r="L13" s="58" t="str">
        <f t="shared" ca="1" si="0"/>
        <v/>
      </c>
      <c r="P13" s="249"/>
      <c r="Q13" s="249"/>
      <c r="R13" s="249"/>
      <c r="S13" s="249"/>
      <c r="T13" s="249"/>
      <c r="U13" s="249"/>
      <c r="V13" s="249"/>
      <c r="W13" s="249"/>
      <c r="X13" s="249"/>
      <c r="Y13" s="249"/>
      <c r="Z13" s="249"/>
    </row>
    <row r="14" spans="2:26" ht="10.199999999999999" customHeight="1">
      <c r="B14" s="56" t="str">
        <f>IF('Low Stress Type Gasket'!BE19="","",'Low Stress Type Gasket'!BE19)</f>
        <v/>
      </c>
      <c r="C14" s="58" t="str">
        <f t="shared" ca="1" si="0"/>
        <v/>
      </c>
      <c r="D14" s="58" t="str">
        <f t="shared" ca="1" si="0"/>
        <v/>
      </c>
      <c r="E14" s="58" t="str">
        <f t="shared" ca="1" si="0"/>
        <v/>
      </c>
      <c r="F14" s="58" t="str">
        <f t="shared" ca="1" si="0"/>
        <v/>
      </c>
      <c r="G14" s="58" t="str">
        <f t="shared" ca="1" si="0"/>
        <v/>
      </c>
      <c r="H14" s="58" t="str">
        <f t="shared" ca="1" si="0"/>
        <v/>
      </c>
      <c r="I14" s="58" t="str">
        <f t="shared" ca="1" si="0"/>
        <v/>
      </c>
      <c r="J14" s="58" t="str">
        <f t="shared" ca="1" si="0"/>
        <v/>
      </c>
      <c r="K14" s="58" t="str">
        <f t="shared" ca="1" si="0"/>
        <v/>
      </c>
      <c r="L14" s="58" t="str">
        <f t="shared" ca="1" si="0"/>
        <v/>
      </c>
      <c r="P14" s="249"/>
      <c r="Q14" s="249"/>
      <c r="R14" s="249"/>
      <c r="S14" s="249"/>
      <c r="T14" s="249"/>
      <c r="U14" s="249"/>
      <c r="V14" s="249"/>
      <c r="W14" s="249"/>
      <c r="X14" s="249"/>
      <c r="Y14" s="249"/>
      <c r="Z14" s="249"/>
    </row>
    <row r="15" spans="2:26" ht="10.199999999999999" customHeight="1">
      <c r="B15" s="56" t="str">
        <f>IF('Low Stress Type Gasket'!BE20="","",'Low Stress Type Gasket'!BE20)</f>
        <v/>
      </c>
      <c r="C15" s="58" t="str">
        <f t="shared" ca="1" si="0"/>
        <v/>
      </c>
      <c r="D15" s="58" t="str">
        <f t="shared" ca="1" si="0"/>
        <v/>
      </c>
      <c r="E15" s="58" t="str">
        <f t="shared" ca="1" si="0"/>
        <v/>
      </c>
      <c r="F15" s="58" t="str">
        <f t="shared" ca="1" si="0"/>
        <v/>
      </c>
      <c r="G15" s="58" t="str">
        <f t="shared" ca="1" si="0"/>
        <v/>
      </c>
      <c r="H15" s="58" t="str">
        <f t="shared" ca="1" si="0"/>
        <v/>
      </c>
      <c r="I15" s="58" t="str">
        <f t="shared" ca="1" si="0"/>
        <v/>
      </c>
      <c r="J15" s="58" t="str">
        <f t="shared" ca="1" si="0"/>
        <v/>
      </c>
      <c r="K15" s="58" t="str">
        <f t="shared" ca="1" si="0"/>
        <v/>
      </c>
      <c r="L15" s="58" t="str">
        <f t="shared" ca="1" si="0"/>
        <v/>
      </c>
      <c r="P15" s="241"/>
      <c r="Q15" s="241"/>
      <c r="R15" s="241"/>
      <c r="S15" s="241"/>
      <c r="T15" s="241"/>
      <c r="U15" s="241"/>
      <c r="V15" s="241"/>
      <c r="W15" s="241"/>
      <c r="X15" s="241"/>
      <c r="Y15" s="241"/>
      <c r="Z15" s="241"/>
    </row>
    <row r="16" spans="2:26" ht="10.199999999999999" customHeight="1">
      <c r="B16" s="56" t="str">
        <f>IF('Low Stress Type Gasket'!BE21="","",'Low Stress Type Gasket'!BE21)</f>
        <v/>
      </c>
      <c r="C16" s="58" t="str">
        <f t="shared" ca="1" si="0"/>
        <v/>
      </c>
      <c r="D16" s="58" t="str">
        <f t="shared" ca="1" si="0"/>
        <v/>
      </c>
      <c r="E16" s="58" t="str">
        <f t="shared" ca="1" si="0"/>
        <v/>
      </c>
      <c r="F16" s="58" t="str">
        <f t="shared" ca="1" si="0"/>
        <v/>
      </c>
      <c r="G16" s="58" t="str">
        <f t="shared" ca="1" si="0"/>
        <v/>
      </c>
      <c r="H16" s="58" t="str">
        <f t="shared" ca="1" si="0"/>
        <v/>
      </c>
      <c r="I16" s="58" t="str">
        <f t="shared" ca="1" si="0"/>
        <v/>
      </c>
      <c r="J16" s="58" t="str">
        <f t="shared" ca="1" si="0"/>
        <v/>
      </c>
      <c r="K16" s="58" t="str">
        <f t="shared" ca="1" si="0"/>
        <v/>
      </c>
      <c r="L16" s="58" t="str">
        <f t="shared" ca="1" si="0"/>
        <v/>
      </c>
      <c r="P16" s="249"/>
      <c r="Q16" s="249"/>
      <c r="R16" s="249"/>
      <c r="S16" s="249"/>
      <c r="T16" s="249"/>
      <c r="U16" s="249"/>
      <c r="V16" s="249"/>
      <c r="W16" s="249"/>
      <c r="X16" s="249"/>
      <c r="Y16" s="249"/>
      <c r="Z16" s="249"/>
    </row>
    <row r="17" spans="2:26" ht="10.199999999999999" customHeight="1">
      <c r="B17" s="56" t="str">
        <f>IF('Low Stress Type Gasket'!BE22="","",'Low Stress Type Gasket'!BE22)</f>
        <v/>
      </c>
      <c r="C17" s="58" t="str">
        <f t="shared" ca="1" si="0"/>
        <v/>
      </c>
      <c r="D17" s="58" t="str">
        <f t="shared" ca="1" si="0"/>
        <v/>
      </c>
      <c r="E17" s="58" t="str">
        <f t="shared" ca="1" si="0"/>
        <v/>
      </c>
      <c r="F17" s="58" t="str">
        <f t="shared" ca="1" si="0"/>
        <v/>
      </c>
      <c r="G17" s="58" t="str">
        <f t="shared" ca="1" si="0"/>
        <v/>
      </c>
      <c r="H17" s="58" t="str">
        <f t="shared" ca="1" si="0"/>
        <v/>
      </c>
      <c r="I17" s="58" t="str">
        <f t="shared" ca="1" si="0"/>
        <v/>
      </c>
      <c r="J17" s="58" t="str">
        <f t="shared" ca="1" si="0"/>
        <v/>
      </c>
      <c r="K17" s="58" t="str">
        <f t="shared" ca="1" si="0"/>
        <v/>
      </c>
      <c r="L17" s="58" t="str">
        <f t="shared" ca="1" si="0"/>
        <v/>
      </c>
      <c r="P17" s="249"/>
      <c r="Q17" s="249"/>
      <c r="R17" s="249"/>
      <c r="S17" s="249"/>
      <c r="T17" s="249"/>
      <c r="U17" s="249"/>
      <c r="V17" s="249"/>
      <c r="W17" s="249"/>
      <c r="X17" s="249"/>
      <c r="Y17" s="249"/>
      <c r="Z17" s="249"/>
    </row>
    <row r="18" spans="2:26" ht="10.199999999999999" customHeight="1">
      <c r="B18" s="56" t="str">
        <f>IF('Low Stress Type Gasket'!BE23="","",'Low Stress Type Gasket'!BE23)</f>
        <v/>
      </c>
      <c r="C18" s="58" t="str">
        <f t="shared" ca="1" si="0"/>
        <v/>
      </c>
      <c r="D18" s="58" t="str">
        <f t="shared" ca="1" si="0"/>
        <v/>
      </c>
      <c r="E18" s="58" t="str">
        <f t="shared" ca="1" si="0"/>
        <v/>
      </c>
      <c r="F18" s="58" t="str">
        <f t="shared" ca="1" si="0"/>
        <v/>
      </c>
      <c r="G18" s="58" t="str">
        <f t="shared" ca="1" si="0"/>
        <v/>
      </c>
      <c r="H18" s="58" t="str">
        <f t="shared" ca="1" si="0"/>
        <v/>
      </c>
      <c r="I18" s="58" t="str">
        <f t="shared" ca="1" si="0"/>
        <v/>
      </c>
      <c r="J18" s="58" t="str">
        <f t="shared" ca="1" si="0"/>
        <v/>
      </c>
      <c r="K18" s="58" t="str">
        <f t="shared" ca="1" si="0"/>
        <v/>
      </c>
      <c r="L18" s="58" t="str">
        <f t="shared" ca="1" si="0"/>
        <v/>
      </c>
      <c r="P18" s="241"/>
      <c r="Q18" s="241"/>
      <c r="R18" s="241"/>
      <c r="S18" s="241"/>
      <c r="T18" s="241"/>
      <c r="U18" s="241"/>
      <c r="V18" s="241"/>
      <c r="W18" s="241"/>
      <c r="X18" s="241"/>
      <c r="Y18" s="241"/>
      <c r="Z18" s="241"/>
    </row>
    <row r="19" spans="2:26" ht="10.199999999999999" customHeight="1">
      <c r="B19" s="56" t="str">
        <f>IF('Low Stress Type Gasket'!BE24="","",'Low Stress Type Gasket'!BE24)</f>
        <v/>
      </c>
      <c r="C19" s="58" t="str">
        <f t="shared" ca="1" si="0"/>
        <v/>
      </c>
      <c r="D19" s="58" t="str">
        <f t="shared" ca="1" si="0"/>
        <v/>
      </c>
      <c r="E19" s="58" t="str">
        <f t="shared" ca="1" si="0"/>
        <v/>
      </c>
      <c r="F19" s="58" t="str">
        <f t="shared" ca="1" si="0"/>
        <v/>
      </c>
      <c r="G19" s="58" t="str">
        <f t="shared" ca="1" si="0"/>
        <v/>
      </c>
      <c r="H19" s="58" t="str">
        <f t="shared" ca="1" si="0"/>
        <v/>
      </c>
      <c r="I19" s="58" t="str">
        <f t="shared" ca="1" si="0"/>
        <v/>
      </c>
      <c r="J19" s="58" t="str">
        <f t="shared" ca="1" si="0"/>
        <v/>
      </c>
      <c r="K19" s="58" t="str">
        <f t="shared" ca="1" si="0"/>
        <v/>
      </c>
      <c r="L19" s="58" t="str">
        <f t="shared" ca="1" si="0"/>
        <v/>
      </c>
      <c r="P19" s="249"/>
      <c r="Q19" s="249"/>
      <c r="R19" s="249"/>
      <c r="S19" s="249"/>
      <c r="T19" s="249"/>
      <c r="U19" s="249"/>
      <c r="V19" s="249"/>
      <c r="W19" s="249"/>
      <c r="X19" s="249"/>
      <c r="Y19" s="249"/>
      <c r="Z19" s="249"/>
    </row>
    <row r="20" spans="2:26" ht="10.199999999999999" customHeight="1">
      <c r="B20" s="56" t="str">
        <f>IF('Low Stress Type Gasket'!BE25="","",'Low Stress Type Gasket'!BE25)</f>
        <v/>
      </c>
      <c r="C20" s="58" t="str">
        <f t="shared" ca="1" si="0"/>
        <v/>
      </c>
      <c r="D20" s="58" t="str">
        <f t="shared" ca="1" si="0"/>
        <v/>
      </c>
      <c r="E20" s="58" t="str">
        <f t="shared" ca="1" si="0"/>
        <v/>
      </c>
      <c r="F20" s="58" t="str">
        <f t="shared" ca="1" si="0"/>
        <v/>
      </c>
      <c r="G20" s="58" t="str">
        <f t="shared" ca="1" si="0"/>
        <v/>
      </c>
      <c r="H20" s="58" t="str">
        <f t="shared" ca="1" si="0"/>
        <v/>
      </c>
      <c r="I20" s="58" t="str">
        <f t="shared" ca="1" si="0"/>
        <v/>
      </c>
      <c r="J20" s="58" t="str">
        <f t="shared" ca="1" si="0"/>
        <v/>
      </c>
      <c r="K20" s="58" t="str">
        <f t="shared" ca="1" si="0"/>
        <v/>
      </c>
      <c r="L20" s="58" t="str">
        <f t="shared" ca="1" si="0"/>
        <v/>
      </c>
      <c r="P20" s="249"/>
      <c r="Q20" s="249"/>
      <c r="R20" s="249"/>
      <c r="S20" s="249"/>
      <c r="T20" s="249"/>
      <c r="U20" s="249"/>
      <c r="V20" s="249"/>
      <c r="W20" s="249"/>
      <c r="X20" s="249"/>
      <c r="Y20" s="249"/>
      <c r="Z20" s="249"/>
    </row>
    <row r="21" spans="2:26" ht="10.199999999999999" customHeight="1">
      <c r="B21" s="56" t="str">
        <f>IF('Low Stress Type Gasket'!BE26="","",'Low Stress Type Gasket'!BE26)</f>
        <v/>
      </c>
      <c r="C21" s="58" t="str">
        <f t="shared" ca="1" si="0"/>
        <v/>
      </c>
      <c r="D21" s="58" t="str">
        <f t="shared" ca="1" si="0"/>
        <v/>
      </c>
      <c r="E21" s="58" t="str">
        <f t="shared" ca="1" si="0"/>
        <v/>
      </c>
      <c r="F21" s="58" t="str">
        <f t="shared" ca="1" si="0"/>
        <v/>
      </c>
      <c r="G21" s="58" t="str">
        <f t="shared" ca="1" si="0"/>
        <v/>
      </c>
      <c r="H21" s="58" t="str">
        <f t="shared" ca="1" si="0"/>
        <v/>
      </c>
      <c r="I21" s="58" t="str">
        <f t="shared" ca="1" si="0"/>
        <v/>
      </c>
      <c r="J21" s="58" t="str">
        <f t="shared" ca="1" si="0"/>
        <v/>
      </c>
      <c r="K21" s="58" t="str">
        <f t="shared" ca="1" si="0"/>
        <v/>
      </c>
      <c r="L21" s="58" t="str">
        <f t="shared" ca="1" si="0"/>
        <v/>
      </c>
      <c r="P21" s="241"/>
      <c r="Q21" s="241"/>
      <c r="R21" s="241"/>
      <c r="S21" s="241"/>
      <c r="T21" s="241"/>
      <c r="U21" s="241"/>
      <c r="V21" s="241"/>
      <c r="W21" s="241"/>
      <c r="X21" s="241"/>
      <c r="Y21" s="241"/>
      <c r="Z21" s="241"/>
    </row>
    <row r="22" spans="2:26" ht="10.199999999999999" customHeight="1">
      <c r="B22" s="56" t="str">
        <f>IF('Low Stress Type Gasket'!BE27="","",'Low Stress Type Gasket'!BE27)</f>
        <v/>
      </c>
      <c r="C22" s="58" t="str">
        <f t="shared" ref="C22:L37" ca="1" si="1">IF($M$4=0,"",VLOOKUP($B22,INDIRECT("$P$1:$Z$"&amp;$M$4),COLUMN()-1,0))</f>
        <v/>
      </c>
      <c r="D22" s="58" t="str">
        <f t="shared" ca="1" si="1"/>
        <v/>
      </c>
      <c r="E22" s="58" t="str">
        <f t="shared" ca="1" si="1"/>
        <v/>
      </c>
      <c r="F22" s="58" t="str">
        <f t="shared" ca="1" si="1"/>
        <v/>
      </c>
      <c r="G22" s="58" t="str">
        <f t="shared" ca="1" si="1"/>
        <v/>
      </c>
      <c r="H22" s="58" t="str">
        <f t="shared" ca="1" si="1"/>
        <v/>
      </c>
      <c r="I22" s="58" t="str">
        <f t="shared" ca="1" si="1"/>
        <v/>
      </c>
      <c r="J22" s="58" t="str">
        <f t="shared" ca="1" si="1"/>
        <v/>
      </c>
      <c r="K22" s="58" t="str">
        <f t="shared" ca="1" si="1"/>
        <v/>
      </c>
      <c r="L22" s="58" t="str">
        <f t="shared" ca="1" si="1"/>
        <v/>
      </c>
      <c r="P22" s="249"/>
      <c r="Q22" s="249"/>
      <c r="R22" s="249"/>
      <c r="S22" s="249"/>
      <c r="T22" s="249"/>
      <c r="U22" s="249"/>
      <c r="V22" s="249"/>
      <c r="W22" s="249"/>
      <c r="X22" s="249"/>
      <c r="Y22" s="249"/>
      <c r="Z22" s="249"/>
    </row>
    <row r="23" spans="2:26" ht="10.199999999999999" customHeight="1">
      <c r="B23" s="56" t="str">
        <f>IF('Low Stress Type Gasket'!BE28="","",'Low Stress Type Gasket'!BE28)</f>
        <v/>
      </c>
      <c r="C23" s="58" t="str">
        <f t="shared" ca="1" si="1"/>
        <v/>
      </c>
      <c r="D23" s="58" t="str">
        <f t="shared" ca="1" si="1"/>
        <v/>
      </c>
      <c r="E23" s="58" t="str">
        <f t="shared" ca="1" si="1"/>
        <v/>
      </c>
      <c r="F23" s="58" t="str">
        <f t="shared" ca="1" si="1"/>
        <v/>
      </c>
      <c r="G23" s="58" t="str">
        <f t="shared" ca="1" si="1"/>
        <v/>
      </c>
      <c r="H23" s="58" t="str">
        <f t="shared" ca="1" si="1"/>
        <v/>
      </c>
      <c r="I23" s="58" t="str">
        <f t="shared" ca="1" si="1"/>
        <v/>
      </c>
      <c r="J23" s="58" t="str">
        <f t="shared" ca="1" si="1"/>
        <v/>
      </c>
      <c r="K23" s="58" t="str">
        <f t="shared" ca="1" si="1"/>
        <v/>
      </c>
      <c r="L23" s="58" t="str">
        <f t="shared" ca="1" si="1"/>
        <v/>
      </c>
      <c r="P23" s="249"/>
      <c r="Q23" s="249"/>
      <c r="R23" s="249"/>
      <c r="S23" s="249"/>
      <c r="T23" s="249"/>
      <c r="U23" s="249"/>
      <c r="V23" s="249"/>
      <c r="W23" s="249"/>
      <c r="X23" s="249"/>
      <c r="Y23" s="249"/>
      <c r="Z23" s="249"/>
    </row>
    <row r="24" spans="2:26" ht="10.199999999999999" customHeight="1">
      <c r="B24" s="56" t="str">
        <f>IF('Low Stress Type Gasket'!BE29="","",'Low Stress Type Gasket'!BE29)</f>
        <v/>
      </c>
      <c r="C24" s="58" t="str">
        <f t="shared" ca="1" si="1"/>
        <v/>
      </c>
      <c r="D24" s="58" t="str">
        <f t="shared" ca="1" si="1"/>
        <v/>
      </c>
      <c r="E24" s="58" t="str">
        <f t="shared" ca="1" si="1"/>
        <v/>
      </c>
      <c r="F24" s="58" t="str">
        <f t="shared" ca="1" si="1"/>
        <v/>
      </c>
      <c r="G24" s="58" t="str">
        <f t="shared" ca="1" si="1"/>
        <v/>
      </c>
      <c r="H24" s="58" t="str">
        <f t="shared" ca="1" si="1"/>
        <v/>
      </c>
      <c r="I24" s="58" t="str">
        <f t="shared" ca="1" si="1"/>
        <v/>
      </c>
      <c r="J24" s="58" t="str">
        <f t="shared" ca="1" si="1"/>
        <v/>
      </c>
      <c r="K24" s="58" t="str">
        <f t="shared" ca="1" si="1"/>
        <v/>
      </c>
      <c r="L24" s="58" t="str">
        <f t="shared" ca="1" si="1"/>
        <v/>
      </c>
      <c r="P24" s="241"/>
      <c r="Q24" s="241"/>
      <c r="R24" s="241"/>
      <c r="S24" s="241"/>
      <c r="T24" s="241"/>
      <c r="U24" s="241"/>
      <c r="V24" s="241"/>
      <c r="W24" s="241"/>
      <c r="X24" s="241"/>
      <c r="Y24" s="241"/>
      <c r="Z24" s="241"/>
    </row>
    <row r="25" spans="2:26" ht="10.199999999999999" customHeight="1">
      <c r="B25" s="56" t="str">
        <f>IF('Low Stress Type Gasket'!BE30="","",'Low Stress Type Gasket'!BE30)</f>
        <v/>
      </c>
      <c r="C25" s="58" t="str">
        <f t="shared" ca="1" si="1"/>
        <v/>
      </c>
      <c r="D25" s="58" t="str">
        <f t="shared" ca="1" si="1"/>
        <v/>
      </c>
      <c r="E25" s="58" t="str">
        <f t="shared" ca="1" si="1"/>
        <v/>
      </c>
      <c r="F25" s="58" t="str">
        <f t="shared" ca="1" si="1"/>
        <v/>
      </c>
      <c r="G25" s="58" t="str">
        <f t="shared" ca="1" si="1"/>
        <v/>
      </c>
      <c r="H25" s="58" t="str">
        <f t="shared" ca="1" si="1"/>
        <v/>
      </c>
      <c r="I25" s="58" t="str">
        <f t="shared" ca="1" si="1"/>
        <v/>
      </c>
      <c r="J25" s="58" t="str">
        <f t="shared" ca="1" si="1"/>
        <v/>
      </c>
      <c r="K25" s="58" t="str">
        <f t="shared" ca="1" si="1"/>
        <v/>
      </c>
      <c r="L25" s="58" t="str">
        <f t="shared" ca="1" si="1"/>
        <v/>
      </c>
      <c r="P25" s="249"/>
      <c r="Q25" s="249"/>
      <c r="R25" s="249"/>
      <c r="S25" s="249"/>
      <c r="T25" s="249"/>
      <c r="U25" s="249"/>
      <c r="V25" s="249"/>
      <c r="W25" s="249"/>
      <c r="X25" s="249"/>
      <c r="Y25" s="249"/>
      <c r="Z25" s="249"/>
    </row>
    <row r="26" spans="2:26" ht="10.199999999999999" customHeight="1">
      <c r="B26" s="56" t="str">
        <f>IF('Low Stress Type Gasket'!BE31="","",'Low Stress Type Gasket'!BE31)</f>
        <v/>
      </c>
      <c r="C26" s="58" t="str">
        <f t="shared" ca="1" si="1"/>
        <v/>
      </c>
      <c r="D26" s="58" t="str">
        <f t="shared" ca="1" si="1"/>
        <v/>
      </c>
      <c r="E26" s="58" t="str">
        <f t="shared" ca="1" si="1"/>
        <v/>
      </c>
      <c r="F26" s="58" t="str">
        <f t="shared" ca="1" si="1"/>
        <v/>
      </c>
      <c r="G26" s="58" t="str">
        <f t="shared" ca="1" si="1"/>
        <v/>
      </c>
      <c r="H26" s="58" t="str">
        <f t="shared" ca="1" si="1"/>
        <v/>
      </c>
      <c r="I26" s="58" t="str">
        <f t="shared" ca="1" si="1"/>
        <v/>
      </c>
      <c r="J26" s="58" t="str">
        <f t="shared" ca="1" si="1"/>
        <v/>
      </c>
      <c r="K26" s="58" t="str">
        <f t="shared" ca="1" si="1"/>
        <v/>
      </c>
      <c r="L26" s="58" t="str">
        <f t="shared" ca="1" si="1"/>
        <v/>
      </c>
      <c r="P26" s="249"/>
      <c r="Q26" s="249"/>
      <c r="R26" s="249"/>
      <c r="S26" s="249"/>
      <c r="T26" s="249"/>
      <c r="U26" s="249"/>
      <c r="V26" s="249"/>
      <c r="W26" s="249"/>
      <c r="X26" s="249"/>
      <c r="Y26" s="249"/>
      <c r="Z26" s="249"/>
    </row>
    <row r="27" spans="2:26" ht="10.199999999999999" customHeight="1">
      <c r="B27" s="56" t="str">
        <f>IF('Low Stress Type Gasket'!BE32="","",'Low Stress Type Gasket'!BE32)</f>
        <v/>
      </c>
      <c r="C27" s="58" t="str">
        <f t="shared" ca="1" si="1"/>
        <v/>
      </c>
      <c r="D27" s="58" t="str">
        <f t="shared" ca="1" si="1"/>
        <v/>
      </c>
      <c r="E27" s="58" t="str">
        <f t="shared" ca="1" si="1"/>
        <v/>
      </c>
      <c r="F27" s="58" t="str">
        <f t="shared" ca="1" si="1"/>
        <v/>
      </c>
      <c r="G27" s="58" t="str">
        <f t="shared" ca="1" si="1"/>
        <v/>
      </c>
      <c r="H27" s="58" t="str">
        <f t="shared" ca="1" si="1"/>
        <v/>
      </c>
      <c r="I27" s="58" t="str">
        <f t="shared" ca="1" si="1"/>
        <v/>
      </c>
      <c r="J27" s="58" t="str">
        <f t="shared" ca="1" si="1"/>
        <v/>
      </c>
      <c r="K27" s="58" t="str">
        <f t="shared" ca="1" si="1"/>
        <v/>
      </c>
      <c r="L27" s="58" t="str">
        <f t="shared" ca="1" si="1"/>
        <v/>
      </c>
      <c r="P27" s="241"/>
      <c r="Q27" s="241"/>
      <c r="R27" s="241"/>
      <c r="S27" s="241"/>
      <c r="T27" s="241"/>
      <c r="U27" s="241"/>
      <c r="V27" s="241"/>
      <c r="W27" s="241"/>
      <c r="X27" s="241"/>
      <c r="Y27" s="241"/>
      <c r="Z27" s="241"/>
    </row>
    <row r="28" spans="2:26" ht="10.199999999999999" customHeight="1">
      <c r="B28" s="56" t="str">
        <f>IF('Low Stress Type Gasket'!BE33="","",'Low Stress Type Gasket'!BE33)</f>
        <v/>
      </c>
      <c r="C28" s="58" t="str">
        <f t="shared" ca="1" si="1"/>
        <v/>
      </c>
      <c r="D28" s="58" t="str">
        <f t="shared" ca="1" si="1"/>
        <v/>
      </c>
      <c r="E28" s="58" t="str">
        <f t="shared" ca="1" si="1"/>
        <v/>
      </c>
      <c r="F28" s="58" t="str">
        <f t="shared" ca="1" si="1"/>
        <v/>
      </c>
      <c r="G28" s="58" t="str">
        <f t="shared" ca="1" si="1"/>
        <v/>
      </c>
      <c r="H28" s="58" t="str">
        <f t="shared" ca="1" si="1"/>
        <v/>
      </c>
      <c r="I28" s="58" t="str">
        <f t="shared" ca="1" si="1"/>
        <v/>
      </c>
      <c r="J28" s="58" t="str">
        <f t="shared" ca="1" si="1"/>
        <v/>
      </c>
      <c r="K28" s="58" t="str">
        <f t="shared" ca="1" si="1"/>
        <v/>
      </c>
      <c r="L28" s="58" t="str">
        <f t="shared" ca="1" si="1"/>
        <v/>
      </c>
      <c r="P28" s="249"/>
      <c r="Q28" s="249"/>
      <c r="R28" s="249"/>
      <c r="S28" s="249"/>
      <c r="T28" s="249"/>
      <c r="U28" s="249"/>
      <c r="V28" s="249"/>
      <c r="W28" s="249"/>
      <c r="X28" s="249"/>
      <c r="Y28" s="249"/>
      <c r="Z28" s="249"/>
    </row>
    <row r="29" spans="2:26" ht="10.199999999999999" customHeight="1">
      <c r="B29" s="56" t="str">
        <f>IF('Low Stress Type Gasket'!BE34="","",'Low Stress Type Gasket'!BE34)</f>
        <v/>
      </c>
      <c r="C29" s="58" t="str">
        <f t="shared" ca="1" si="1"/>
        <v/>
      </c>
      <c r="D29" s="58" t="str">
        <f t="shared" ca="1" si="1"/>
        <v/>
      </c>
      <c r="E29" s="58" t="str">
        <f t="shared" ca="1" si="1"/>
        <v/>
      </c>
      <c r="F29" s="58" t="str">
        <f t="shared" ca="1" si="1"/>
        <v/>
      </c>
      <c r="G29" s="58" t="str">
        <f t="shared" ca="1" si="1"/>
        <v/>
      </c>
      <c r="H29" s="58" t="str">
        <f t="shared" ca="1" si="1"/>
        <v/>
      </c>
      <c r="I29" s="58" t="str">
        <f t="shared" ca="1" si="1"/>
        <v/>
      </c>
      <c r="J29" s="58" t="str">
        <f t="shared" ca="1" si="1"/>
        <v/>
      </c>
      <c r="K29" s="58" t="str">
        <f t="shared" ca="1" si="1"/>
        <v/>
      </c>
      <c r="L29" s="58" t="str">
        <f t="shared" ca="1" si="1"/>
        <v/>
      </c>
      <c r="P29" s="249"/>
      <c r="Q29" s="249"/>
      <c r="R29" s="249"/>
      <c r="S29" s="249"/>
      <c r="T29" s="249"/>
      <c r="U29" s="249"/>
      <c r="V29" s="249"/>
      <c r="W29" s="249"/>
      <c r="X29" s="249"/>
      <c r="Y29" s="249"/>
      <c r="Z29" s="249"/>
    </row>
    <row r="30" spans="2:26" ht="10.199999999999999" customHeight="1">
      <c r="B30" s="56" t="str">
        <f>IF('Low Stress Type Gasket'!BE35="","",'Low Stress Type Gasket'!BE35)</f>
        <v/>
      </c>
      <c r="C30" s="58" t="str">
        <f t="shared" ca="1" si="1"/>
        <v/>
      </c>
      <c r="D30" s="58" t="str">
        <f t="shared" ca="1" si="1"/>
        <v/>
      </c>
      <c r="E30" s="58" t="str">
        <f t="shared" ca="1" si="1"/>
        <v/>
      </c>
      <c r="F30" s="58" t="str">
        <f t="shared" ca="1" si="1"/>
        <v/>
      </c>
      <c r="G30" s="58" t="str">
        <f t="shared" ca="1" si="1"/>
        <v/>
      </c>
      <c r="H30" s="58" t="str">
        <f t="shared" ca="1" si="1"/>
        <v/>
      </c>
      <c r="I30" s="58" t="str">
        <f t="shared" ca="1" si="1"/>
        <v/>
      </c>
      <c r="J30" s="58" t="str">
        <f t="shared" ca="1" si="1"/>
        <v/>
      </c>
      <c r="K30" s="58" t="str">
        <f t="shared" ca="1" si="1"/>
        <v/>
      </c>
      <c r="L30" s="58" t="str">
        <f t="shared" ca="1" si="1"/>
        <v/>
      </c>
      <c r="P30" s="241"/>
      <c r="Q30" s="241"/>
      <c r="R30" s="241"/>
      <c r="S30" s="241"/>
      <c r="T30" s="241"/>
      <c r="U30" s="241"/>
      <c r="V30" s="241"/>
      <c r="W30" s="241"/>
      <c r="X30" s="241"/>
      <c r="Y30" s="241"/>
      <c r="Z30" s="241"/>
    </row>
    <row r="31" spans="2:26" ht="10.199999999999999" customHeight="1">
      <c r="B31" s="56" t="str">
        <f>IF('Low Stress Type Gasket'!BE36="","",'Low Stress Type Gasket'!BE36)</f>
        <v/>
      </c>
      <c r="C31" s="58" t="str">
        <f t="shared" ca="1" si="1"/>
        <v/>
      </c>
      <c r="D31" s="58" t="str">
        <f t="shared" ca="1" si="1"/>
        <v/>
      </c>
      <c r="E31" s="58" t="str">
        <f t="shared" ca="1" si="1"/>
        <v/>
      </c>
      <c r="F31" s="58" t="str">
        <f t="shared" ca="1" si="1"/>
        <v/>
      </c>
      <c r="G31" s="58" t="str">
        <f t="shared" ca="1" si="1"/>
        <v/>
      </c>
      <c r="H31" s="58" t="str">
        <f t="shared" ca="1" si="1"/>
        <v/>
      </c>
      <c r="I31" s="58" t="str">
        <f t="shared" ca="1" si="1"/>
        <v/>
      </c>
      <c r="J31" s="58" t="str">
        <f t="shared" ca="1" si="1"/>
        <v/>
      </c>
      <c r="K31" s="58" t="str">
        <f t="shared" ca="1" si="1"/>
        <v/>
      </c>
      <c r="L31" s="58" t="str">
        <f t="shared" ca="1" si="1"/>
        <v/>
      </c>
      <c r="P31" s="249"/>
      <c r="Q31" s="249"/>
      <c r="R31" s="249"/>
      <c r="S31" s="249"/>
      <c r="T31" s="249"/>
      <c r="U31" s="249"/>
      <c r="V31" s="249"/>
      <c r="W31" s="249"/>
      <c r="X31" s="249"/>
      <c r="Y31" s="249"/>
      <c r="Z31" s="249"/>
    </row>
    <row r="32" spans="2:26" ht="10.199999999999999" customHeight="1">
      <c r="B32" s="56" t="str">
        <f>IF('Low Stress Type Gasket'!BE37="","",'Low Stress Type Gasket'!BE37)</f>
        <v/>
      </c>
      <c r="C32" s="58" t="str">
        <f t="shared" ca="1" si="1"/>
        <v/>
      </c>
      <c r="D32" s="58" t="str">
        <f t="shared" ca="1" si="1"/>
        <v/>
      </c>
      <c r="E32" s="58" t="str">
        <f t="shared" ca="1" si="1"/>
        <v/>
      </c>
      <c r="F32" s="58" t="str">
        <f t="shared" ca="1" si="1"/>
        <v/>
      </c>
      <c r="G32" s="58" t="str">
        <f t="shared" ca="1" si="1"/>
        <v/>
      </c>
      <c r="H32" s="58" t="str">
        <f t="shared" ca="1" si="1"/>
        <v/>
      </c>
      <c r="I32" s="58" t="str">
        <f t="shared" ca="1" si="1"/>
        <v/>
      </c>
      <c r="J32" s="58" t="str">
        <f t="shared" ca="1" si="1"/>
        <v/>
      </c>
      <c r="K32" s="58" t="str">
        <f t="shared" ca="1" si="1"/>
        <v/>
      </c>
      <c r="L32" s="58" t="str">
        <f t="shared" ca="1" si="1"/>
        <v/>
      </c>
      <c r="P32" s="249"/>
      <c r="Q32" s="249"/>
      <c r="R32" s="249"/>
      <c r="S32" s="249"/>
      <c r="T32" s="249"/>
      <c r="U32" s="249"/>
      <c r="V32" s="249"/>
      <c r="W32" s="249"/>
      <c r="X32" s="249"/>
      <c r="Y32" s="249"/>
      <c r="Z32" s="249"/>
    </row>
    <row r="33" spans="2:26" ht="10.199999999999999" customHeight="1">
      <c r="B33" s="56" t="str">
        <f>IF('Low Stress Type Gasket'!BE38="","",'Low Stress Type Gasket'!BE38)</f>
        <v/>
      </c>
      <c r="C33" s="58" t="str">
        <f t="shared" ca="1" si="1"/>
        <v/>
      </c>
      <c r="D33" s="58" t="str">
        <f t="shared" ca="1" si="1"/>
        <v/>
      </c>
      <c r="E33" s="58" t="str">
        <f t="shared" ca="1" si="1"/>
        <v/>
      </c>
      <c r="F33" s="58" t="str">
        <f t="shared" ca="1" si="1"/>
        <v/>
      </c>
      <c r="G33" s="58" t="str">
        <f t="shared" ca="1" si="1"/>
        <v/>
      </c>
      <c r="H33" s="58" t="str">
        <f t="shared" ca="1" si="1"/>
        <v/>
      </c>
      <c r="I33" s="58" t="str">
        <f t="shared" ca="1" si="1"/>
        <v/>
      </c>
      <c r="J33" s="58" t="str">
        <f t="shared" ca="1" si="1"/>
        <v/>
      </c>
      <c r="K33" s="58" t="str">
        <f t="shared" ca="1" si="1"/>
        <v/>
      </c>
      <c r="L33" s="58" t="str">
        <f t="shared" ca="1" si="1"/>
        <v/>
      </c>
      <c r="P33" s="241"/>
      <c r="Q33" s="241"/>
      <c r="R33" s="241"/>
      <c r="S33" s="241"/>
      <c r="T33" s="241"/>
      <c r="U33" s="241"/>
      <c r="V33" s="241"/>
      <c r="W33" s="241"/>
      <c r="X33" s="241"/>
      <c r="Y33" s="241"/>
      <c r="Z33" s="241"/>
    </row>
    <row r="34" spans="2:26" ht="10.199999999999999" customHeight="1">
      <c r="B34" s="56" t="str">
        <f>IF('Low Stress Type Gasket'!BE39="","",'Low Stress Type Gasket'!BE39)</f>
        <v/>
      </c>
      <c r="C34" s="58" t="str">
        <f t="shared" ca="1" si="1"/>
        <v/>
      </c>
      <c r="D34" s="58" t="str">
        <f t="shared" ca="1" si="1"/>
        <v/>
      </c>
      <c r="E34" s="58" t="str">
        <f t="shared" ca="1" si="1"/>
        <v/>
      </c>
      <c r="F34" s="58" t="str">
        <f t="shared" ca="1" si="1"/>
        <v/>
      </c>
      <c r="G34" s="58" t="str">
        <f t="shared" ca="1" si="1"/>
        <v/>
      </c>
      <c r="H34" s="58" t="str">
        <f t="shared" ca="1" si="1"/>
        <v/>
      </c>
      <c r="I34" s="58" t="str">
        <f t="shared" ca="1" si="1"/>
        <v/>
      </c>
      <c r="J34" s="58" t="str">
        <f t="shared" ca="1" si="1"/>
        <v/>
      </c>
      <c r="K34" s="58" t="str">
        <f t="shared" ca="1" si="1"/>
        <v/>
      </c>
      <c r="L34" s="58" t="str">
        <f t="shared" ca="1" si="1"/>
        <v/>
      </c>
      <c r="P34" s="249"/>
      <c r="Q34" s="249"/>
      <c r="R34" s="249"/>
      <c r="S34" s="249"/>
      <c r="T34" s="249"/>
      <c r="U34" s="249"/>
      <c r="V34" s="249"/>
      <c r="W34" s="249"/>
      <c r="X34" s="249"/>
      <c r="Y34" s="249"/>
      <c r="Z34" s="249"/>
    </row>
    <row r="35" spans="2:26" ht="10.199999999999999" customHeight="1">
      <c r="B35" s="56" t="str">
        <f>IF('Low Stress Type Gasket'!BE40="","",'Low Stress Type Gasket'!BE40)</f>
        <v/>
      </c>
      <c r="C35" s="58" t="str">
        <f t="shared" ca="1" si="1"/>
        <v/>
      </c>
      <c r="D35" s="58" t="str">
        <f t="shared" ca="1" si="1"/>
        <v/>
      </c>
      <c r="E35" s="58" t="str">
        <f t="shared" ca="1" si="1"/>
        <v/>
      </c>
      <c r="F35" s="58" t="str">
        <f t="shared" ca="1" si="1"/>
        <v/>
      </c>
      <c r="G35" s="58" t="str">
        <f t="shared" ca="1" si="1"/>
        <v/>
      </c>
      <c r="H35" s="58" t="str">
        <f t="shared" ca="1" si="1"/>
        <v/>
      </c>
      <c r="I35" s="58" t="str">
        <f t="shared" ca="1" si="1"/>
        <v/>
      </c>
      <c r="J35" s="58" t="str">
        <f t="shared" ca="1" si="1"/>
        <v/>
      </c>
      <c r="K35" s="58" t="str">
        <f t="shared" ca="1" si="1"/>
        <v/>
      </c>
      <c r="L35" s="58" t="str">
        <f t="shared" ca="1" si="1"/>
        <v/>
      </c>
      <c r="P35" s="249"/>
      <c r="Q35" s="249"/>
      <c r="R35" s="249"/>
      <c r="S35" s="249"/>
      <c r="T35" s="249"/>
      <c r="U35" s="249"/>
      <c r="V35" s="249"/>
      <c r="W35" s="249"/>
      <c r="X35" s="249"/>
      <c r="Y35" s="249"/>
      <c r="Z35" s="249"/>
    </row>
    <row r="36" spans="2:26" ht="10.199999999999999" customHeight="1">
      <c r="B36" s="56" t="str">
        <f>IF('Low Stress Type Gasket'!BE41="","",'Low Stress Type Gasket'!BE41)</f>
        <v/>
      </c>
      <c r="C36" s="58" t="str">
        <f t="shared" ca="1" si="1"/>
        <v/>
      </c>
      <c r="D36" s="58" t="str">
        <f t="shared" ca="1" si="1"/>
        <v/>
      </c>
      <c r="E36" s="58" t="str">
        <f t="shared" ca="1" si="1"/>
        <v/>
      </c>
      <c r="F36" s="58" t="str">
        <f t="shared" ca="1" si="1"/>
        <v/>
      </c>
      <c r="G36" s="58" t="str">
        <f t="shared" ca="1" si="1"/>
        <v/>
      </c>
      <c r="H36" s="58" t="str">
        <f t="shared" ca="1" si="1"/>
        <v/>
      </c>
      <c r="I36" s="58" t="str">
        <f t="shared" ca="1" si="1"/>
        <v/>
      </c>
      <c r="J36" s="58" t="str">
        <f t="shared" ca="1" si="1"/>
        <v/>
      </c>
      <c r="K36" s="58" t="str">
        <f t="shared" ca="1" si="1"/>
        <v/>
      </c>
      <c r="L36" s="58" t="str">
        <f t="shared" ca="1" si="1"/>
        <v/>
      </c>
      <c r="P36" s="241"/>
      <c r="Q36" s="241"/>
      <c r="R36" s="241"/>
      <c r="S36" s="241"/>
      <c r="T36" s="241"/>
      <c r="U36" s="241"/>
      <c r="V36" s="241"/>
      <c r="W36" s="241"/>
      <c r="X36" s="241"/>
      <c r="Y36" s="241"/>
      <c r="Z36" s="241"/>
    </row>
    <row r="37" spans="2:26" ht="10.199999999999999" customHeight="1">
      <c r="B37" s="56" t="str">
        <f>IF('Low Stress Type Gasket'!BE42="","",'Low Stress Type Gasket'!BE42)</f>
        <v/>
      </c>
      <c r="C37" s="58" t="str">
        <f t="shared" ca="1" si="1"/>
        <v/>
      </c>
      <c r="D37" s="58" t="str">
        <f t="shared" ca="1" si="1"/>
        <v/>
      </c>
      <c r="E37" s="58" t="str">
        <f t="shared" ca="1" si="1"/>
        <v/>
      </c>
      <c r="F37" s="58" t="str">
        <f t="shared" ca="1" si="1"/>
        <v/>
      </c>
      <c r="G37" s="58" t="str">
        <f t="shared" ca="1" si="1"/>
        <v/>
      </c>
      <c r="H37" s="58" t="str">
        <f t="shared" ca="1" si="1"/>
        <v/>
      </c>
      <c r="I37" s="58" t="str">
        <f t="shared" ca="1" si="1"/>
        <v/>
      </c>
      <c r="J37" s="58" t="str">
        <f t="shared" ca="1" si="1"/>
        <v/>
      </c>
      <c r="K37" s="58" t="str">
        <f t="shared" ca="1" si="1"/>
        <v/>
      </c>
      <c r="L37" s="58" t="str">
        <f t="shared" ca="1" si="1"/>
        <v/>
      </c>
      <c r="P37" s="249"/>
      <c r="Q37" s="249"/>
      <c r="R37" s="249"/>
      <c r="S37" s="249"/>
      <c r="T37" s="249"/>
      <c r="U37" s="249"/>
      <c r="V37" s="249"/>
      <c r="W37" s="249"/>
      <c r="X37" s="249"/>
      <c r="Y37" s="249"/>
      <c r="Z37" s="249"/>
    </row>
    <row r="38" spans="2:26" ht="10.199999999999999" customHeight="1">
      <c r="B38" s="56" t="str">
        <f>IF('Low Stress Type Gasket'!BE43="","",'Low Stress Type Gasket'!BE43)</f>
        <v/>
      </c>
      <c r="C38" s="58" t="str">
        <f t="shared" ref="C38:L53" ca="1" si="2">IF($M$4=0,"",VLOOKUP($B38,INDIRECT("$P$1:$Z$"&amp;$M$4),COLUMN()-1,0))</f>
        <v/>
      </c>
      <c r="D38" s="58" t="str">
        <f t="shared" ca="1" si="2"/>
        <v/>
      </c>
      <c r="E38" s="58" t="str">
        <f t="shared" ca="1" si="2"/>
        <v/>
      </c>
      <c r="F38" s="58" t="str">
        <f t="shared" ca="1" si="2"/>
        <v/>
      </c>
      <c r="G38" s="58" t="str">
        <f t="shared" ca="1" si="2"/>
        <v/>
      </c>
      <c r="H38" s="58" t="str">
        <f t="shared" ca="1" si="2"/>
        <v/>
      </c>
      <c r="I38" s="58" t="str">
        <f t="shared" ca="1" si="2"/>
        <v/>
      </c>
      <c r="J38" s="58" t="str">
        <f t="shared" ca="1" si="2"/>
        <v/>
      </c>
      <c r="K38" s="58" t="str">
        <f t="shared" ca="1" si="2"/>
        <v/>
      </c>
      <c r="L38" s="58" t="str">
        <f t="shared" ca="1" si="2"/>
        <v/>
      </c>
      <c r="P38" s="249"/>
      <c r="Q38" s="249"/>
      <c r="R38" s="249"/>
      <c r="S38" s="249"/>
      <c r="T38" s="249"/>
      <c r="U38" s="249"/>
      <c r="V38" s="249"/>
      <c r="W38" s="249"/>
      <c r="X38" s="249"/>
      <c r="Y38" s="249"/>
      <c r="Z38" s="249"/>
    </row>
    <row r="39" spans="2:26" ht="10.199999999999999" customHeight="1">
      <c r="B39" s="56" t="str">
        <f>IF('Low Stress Type Gasket'!BE44="","",'Low Stress Type Gasket'!BE44)</f>
        <v/>
      </c>
      <c r="C39" s="58" t="str">
        <f t="shared" ca="1" si="2"/>
        <v/>
      </c>
      <c r="D39" s="58" t="str">
        <f t="shared" ca="1" si="2"/>
        <v/>
      </c>
      <c r="E39" s="58" t="str">
        <f t="shared" ca="1" si="2"/>
        <v/>
      </c>
      <c r="F39" s="58" t="str">
        <f t="shared" ca="1" si="2"/>
        <v/>
      </c>
      <c r="G39" s="58" t="str">
        <f t="shared" ca="1" si="2"/>
        <v/>
      </c>
      <c r="H39" s="58" t="str">
        <f t="shared" ca="1" si="2"/>
        <v/>
      </c>
      <c r="I39" s="58" t="str">
        <f t="shared" ca="1" si="2"/>
        <v/>
      </c>
      <c r="J39" s="58" t="str">
        <f t="shared" ca="1" si="2"/>
        <v/>
      </c>
      <c r="K39" s="58" t="str">
        <f t="shared" ca="1" si="2"/>
        <v/>
      </c>
      <c r="L39" s="58" t="str">
        <f t="shared" ca="1" si="2"/>
        <v/>
      </c>
      <c r="P39" s="241"/>
      <c r="Q39" s="241"/>
      <c r="R39" s="241"/>
      <c r="S39" s="241"/>
      <c r="T39" s="241"/>
      <c r="U39" s="241"/>
      <c r="V39" s="241"/>
      <c r="W39" s="241"/>
      <c r="X39" s="241"/>
      <c r="Y39" s="241"/>
      <c r="Z39" s="241"/>
    </row>
    <row r="40" spans="2:26" ht="10.199999999999999" customHeight="1">
      <c r="B40" s="56" t="str">
        <f>IF('Low Stress Type Gasket'!BE45="","",'Low Stress Type Gasket'!BE45)</f>
        <v/>
      </c>
      <c r="C40" s="58" t="str">
        <f t="shared" ca="1" si="2"/>
        <v/>
      </c>
      <c r="D40" s="58" t="str">
        <f t="shared" ca="1" si="2"/>
        <v/>
      </c>
      <c r="E40" s="58" t="str">
        <f t="shared" ca="1" si="2"/>
        <v/>
      </c>
      <c r="F40" s="58" t="str">
        <f t="shared" ca="1" si="2"/>
        <v/>
      </c>
      <c r="G40" s="58" t="str">
        <f t="shared" ca="1" si="2"/>
        <v/>
      </c>
      <c r="H40" s="58" t="str">
        <f t="shared" ca="1" si="2"/>
        <v/>
      </c>
      <c r="I40" s="58" t="str">
        <f t="shared" ca="1" si="2"/>
        <v/>
      </c>
      <c r="J40" s="58" t="str">
        <f t="shared" ca="1" si="2"/>
        <v/>
      </c>
      <c r="K40" s="58" t="str">
        <f t="shared" ca="1" si="2"/>
        <v/>
      </c>
      <c r="L40" s="58" t="str">
        <f t="shared" ca="1" si="2"/>
        <v/>
      </c>
      <c r="P40" s="249"/>
      <c r="Q40" s="249"/>
      <c r="R40" s="249"/>
      <c r="S40" s="249"/>
      <c r="T40" s="249"/>
      <c r="U40" s="249"/>
      <c r="V40" s="249"/>
      <c r="W40" s="249"/>
      <c r="X40" s="249"/>
      <c r="Y40" s="249"/>
      <c r="Z40" s="249"/>
    </row>
    <row r="41" spans="2:26" ht="10.199999999999999" customHeight="1">
      <c r="B41" s="56" t="str">
        <f>IF('Low Stress Type Gasket'!BE46="","",'Low Stress Type Gasket'!BE46)</f>
        <v/>
      </c>
      <c r="C41" s="58" t="str">
        <f t="shared" ca="1" si="2"/>
        <v/>
      </c>
      <c r="D41" s="58" t="str">
        <f t="shared" ca="1" si="2"/>
        <v/>
      </c>
      <c r="E41" s="58" t="str">
        <f t="shared" ca="1" si="2"/>
        <v/>
      </c>
      <c r="F41" s="58" t="str">
        <f t="shared" ca="1" si="2"/>
        <v/>
      </c>
      <c r="G41" s="58" t="str">
        <f t="shared" ca="1" si="2"/>
        <v/>
      </c>
      <c r="H41" s="58" t="str">
        <f t="shared" ca="1" si="2"/>
        <v/>
      </c>
      <c r="I41" s="58" t="str">
        <f t="shared" ca="1" si="2"/>
        <v/>
      </c>
      <c r="J41" s="58" t="str">
        <f t="shared" ca="1" si="2"/>
        <v/>
      </c>
      <c r="K41" s="58" t="str">
        <f t="shared" ca="1" si="2"/>
        <v/>
      </c>
      <c r="L41" s="58" t="str">
        <f t="shared" ca="1" si="2"/>
        <v/>
      </c>
      <c r="P41" s="249"/>
      <c r="Q41" s="249"/>
      <c r="R41" s="249"/>
      <c r="S41" s="249"/>
      <c r="T41" s="249"/>
      <c r="U41" s="249"/>
      <c r="V41" s="249"/>
      <c r="W41" s="249"/>
      <c r="X41" s="249"/>
      <c r="Y41" s="249"/>
      <c r="Z41" s="249"/>
    </row>
    <row r="42" spans="2:26" ht="10.199999999999999" customHeight="1">
      <c r="B42" s="56" t="str">
        <f>IF('Low Stress Type Gasket'!BE47="","",'Low Stress Type Gasket'!BE47)</f>
        <v/>
      </c>
      <c r="C42" s="58" t="str">
        <f t="shared" ca="1" si="2"/>
        <v/>
      </c>
      <c r="D42" s="58" t="str">
        <f t="shared" ca="1" si="2"/>
        <v/>
      </c>
      <c r="E42" s="58" t="str">
        <f t="shared" ca="1" si="2"/>
        <v/>
      </c>
      <c r="F42" s="58" t="str">
        <f t="shared" ca="1" si="2"/>
        <v/>
      </c>
      <c r="G42" s="58" t="str">
        <f t="shared" ca="1" si="2"/>
        <v/>
      </c>
      <c r="H42" s="58" t="str">
        <f t="shared" ca="1" si="2"/>
        <v/>
      </c>
      <c r="I42" s="58" t="str">
        <f t="shared" ca="1" si="2"/>
        <v/>
      </c>
      <c r="J42" s="58" t="str">
        <f t="shared" ca="1" si="2"/>
        <v/>
      </c>
      <c r="K42" s="58" t="str">
        <f t="shared" ca="1" si="2"/>
        <v/>
      </c>
      <c r="L42" s="58" t="str">
        <f t="shared" ca="1" si="2"/>
        <v/>
      </c>
      <c r="P42" s="241"/>
      <c r="Q42" s="241"/>
      <c r="R42" s="241"/>
      <c r="S42" s="241"/>
      <c r="T42" s="241"/>
      <c r="U42" s="241"/>
      <c r="V42" s="241"/>
      <c r="W42" s="241"/>
      <c r="X42" s="241"/>
      <c r="Y42" s="241"/>
      <c r="Z42" s="241"/>
    </row>
    <row r="43" spans="2:26" ht="10.199999999999999" customHeight="1">
      <c r="B43" s="56" t="str">
        <f>IF('Low Stress Type Gasket'!BE48="","",'Low Stress Type Gasket'!BE48)</f>
        <v/>
      </c>
      <c r="C43" s="58" t="str">
        <f t="shared" ca="1" si="2"/>
        <v/>
      </c>
      <c r="D43" s="58" t="str">
        <f t="shared" ca="1" si="2"/>
        <v/>
      </c>
      <c r="E43" s="58" t="str">
        <f t="shared" ca="1" si="2"/>
        <v/>
      </c>
      <c r="F43" s="58" t="str">
        <f t="shared" ca="1" si="2"/>
        <v/>
      </c>
      <c r="G43" s="58" t="str">
        <f t="shared" ca="1" si="2"/>
        <v/>
      </c>
      <c r="H43" s="58" t="str">
        <f t="shared" ca="1" si="2"/>
        <v/>
      </c>
      <c r="I43" s="58" t="str">
        <f t="shared" ca="1" si="2"/>
        <v/>
      </c>
      <c r="J43" s="58" t="str">
        <f t="shared" ca="1" si="2"/>
        <v/>
      </c>
      <c r="K43" s="58" t="str">
        <f t="shared" ca="1" si="2"/>
        <v/>
      </c>
      <c r="L43" s="58" t="str">
        <f t="shared" ca="1" si="2"/>
        <v/>
      </c>
      <c r="P43" s="249"/>
      <c r="Q43" s="249"/>
      <c r="R43" s="249"/>
      <c r="S43" s="249"/>
      <c r="T43" s="249"/>
      <c r="U43" s="249"/>
      <c r="V43" s="249"/>
      <c r="W43" s="249"/>
      <c r="X43" s="249"/>
      <c r="Y43" s="249"/>
      <c r="Z43" s="249"/>
    </row>
    <row r="44" spans="2:26" ht="10.199999999999999" customHeight="1">
      <c r="B44" s="56" t="str">
        <f>IF('Low Stress Type Gasket'!BE49="","",'Low Stress Type Gasket'!BE49)</f>
        <v/>
      </c>
      <c r="C44" s="58" t="str">
        <f t="shared" ca="1" si="2"/>
        <v/>
      </c>
      <c r="D44" s="58" t="str">
        <f t="shared" ca="1" si="2"/>
        <v/>
      </c>
      <c r="E44" s="58" t="str">
        <f t="shared" ca="1" si="2"/>
        <v/>
      </c>
      <c r="F44" s="58" t="str">
        <f t="shared" ca="1" si="2"/>
        <v/>
      </c>
      <c r="G44" s="58" t="str">
        <f t="shared" ca="1" si="2"/>
        <v/>
      </c>
      <c r="H44" s="58" t="str">
        <f t="shared" ca="1" si="2"/>
        <v/>
      </c>
      <c r="I44" s="58" t="str">
        <f t="shared" ca="1" si="2"/>
        <v/>
      </c>
      <c r="J44" s="58" t="str">
        <f t="shared" ca="1" si="2"/>
        <v/>
      </c>
      <c r="K44" s="58" t="str">
        <f t="shared" ca="1" si="2"/>
        <v/>
      </c>
      <c r="L44" s="58" t="str">
        <f t="shared" ca="1" si="2"/>
        <v/>
      </c>
      <c r="P44" s="249"/>
      <c r="Q44" s="249"/>
      <c r="R44" s="249"/>
      <c r="S44" s="249"/>
      <c r="T44" s="249"/>
      <c r="U44" s="249"/>
      <c r="V44" s="249"/>
      <c r="W44" s="249"/>
      <c r="X44" s="249"/>
      <c r="Y44" s="249"/>
      <c r="Z44" s="249"/>
    </row>
    <row r="45" spans="2:26" ht="10.199999999999999" customHeight="1">
      <c r="B45" s="56" t="str">
        <f>IF('Low Stress Type Gasket'!BE50="","",'Low Stress Type Gasket'!BE50)</f>
        <v/>
      </c>
      <c r="C45" s="58" t="str">
        <f t="shared" ca="1" si="2"/>
        <v/>
      </c>
      <c r="D45" s="58" t="str">
        <f t="shared" ca="1" si="2"/>
        <v/>
      </c>
      <c r="E45" s="58" t="str">
        <f t="shared" ca="1" si="2"/>
        <v/>
      </c>
      <c r="F45" s="58" t="str">
        <f t="shared" ca="1" si="2"/>
        <v/>
      </c>
      <c r="G45" s="58" t="str">
        <f t="shared" ca="1" si="2"/>
        <v/>
      </c>
      <c r="H45" s="58" t="str">
        <f t="shared" ca="1" si="2"/>
        <v/>
      </c>
      <c r="I45" s="58" t="str">
        <f t="shared" ca="1" si="2"/>
        <v/>
      </c>
      <c r="J45" s="58" t="str">
        <f t="shared" ca="1" si="2"/>
        <v/>
      </c>
      <c r="K45" s="58" t="str">
        <f t="shared" ca="1" si="2"/>
        <v/>
      </c>
      <c r="L45" s="58" t="str">
        <f t="shared" ca="1" si="2"/>
        <v/>
      </c>
      <c r="P45" s="241"/>
      <c r="Q45" s="241"/>
      <c r="R45" s="241"/>
      <c r="S45" s="241"/>
      <c r="T45" s="241"/>
      <c r="U45" s="241"/>
      <c r="V45" s="241"/>
      <c r="W45" s="241"/>
      <c r="X45" s="241"/>
      <c r="Y45" s="241"/>
      <c r="Z45" s="241"/>
    </row>
    <row r="46" spans="2:26" ht="10.199999999999999" customHeight="1">
      <c r="B46" s="56" t="str">
        <f>IF('Low Stress Type Gasket'!BE51="","",'Low Stress Type Gasket'!BE51)</f>
        <v/>
      </c>
      <c r="C46" s="58" t="str">
        <f t="shared" ca="1" si="2"/>
        <v/>
      </c>
      <c r="D46" s="58" t="str">
        <f t="shared" ca="1" si="2"/>
        <v/>
      </c>
      <c r="E46" s="58" t="str">
        <f t="shared" ca="1" si="2"/>
        <v/>
      </c>
      <c r="F46" s="58" t="str">
        <f t="shared" ca="1" si="2"/>
        <v/>
      </c>
      <c r="G46" s="58" t="str">
        <f t="shared" ca="1" si="2"/>
        <v/>
      </c>
      <c r="H46" s="58" t="str">
        <f t="shared" ca="1" si="2"/>
        <v/>
      </c>
      <c r="I46" s="58" t="str">
        <f t="shared" ca="1" si="2"/>
        <v/>
      </c>
      <c r="J46" s="58" t="str">
        <f t="shared" ca="1" si="2"/>
        <v/>
      </c>
      <c r="K46" s="58" t="str">
        <f t="shared" ca="1" si="2"/>
        <v/>
      </c>
      <c r="L46" s="58" t="str">
        <f t="shared" ca="1" si="2"/>
        <v/>
      </c>
      <c r="P46" s="249"/>
      <c r="Q46" s="249"/>
      <c r="R46" s="249"/>
      <c r="S46" s="249"/>
      <c r="T46" s="249"/>
      <c r="U46" s="249"/>
      <c r="V46" s="249"/>
      <c r="W46" s="249"/>
      <c r="X46" s="249"/>
      <c r="Y46" s="249"/>
      <c r="Z46" s="249"/>
    </row>
    <row r="47" spans="2:26" ht="10.199999999999999" customHeight="1">
      <c r="B47" s="56" t="str">
        <f>IF('Low Stress Type Gasket'!BE52="","",'Low Stress Type Gasket'!BE52)</f>
        <v/>
      </c>
      <c r="C47" s="58" t="str">
        <f t="shared" ca="1" si="2"/>
        <v/>
      </c>
      <c r="D47" s="58" t="str">
        <f t="shared" ca="1" si="2"/>
        <v/>
      </c>
      <c r="E47" s="58" t="str">
        <f t="shared" ca="1" si="2"/>
        <v/>
      </c>
      <c r="F47" s="58" t="str">
        <f t="shared" ca="1" si="2"/>
        <v/>
      </c>
      <c r="G47" s="58" t="str">
        <f t="shared" ca="1" si="2"/>
        <v/>
      </c>
      <c r="H47" s="58" t="str">
        <f t="shared" ca="1" si="2"/>
        <v/>
      </c>
      <c r="I47" s="58" t="str">
        <f t="shared" ca="1" si="2"/>
        <v/>
      </c>
      <c r="J47" s="58" t="str">
        <f t="shared" ca="1" si="2"/>
        <v/>
      </c>
      <c r="K47" s="58" t="str">
        <f t="shared" ca="1" si="2"/>
        <v/>
      </c>
      <c r="L47" s="58" t="str">
        <f t="shared" ca="1" si="2"/>
        <v/>
      </c>
      <c r="P47" s="249"/>
      <c r="Q47" s="249"/>
      <c r="R47" s="249"/>
      <c r="S47" s="249"/>
      <c r="T47" s="249"/>
      <c r="U47" s="249"/>
      <c r="V47" s="249"/>
      <c r="W47" s="249"/>
      <c r="X47" s="249"/>
      <c r="Y47" s="249"/>
      <c r="Z47" s="249"/>
    </row>
    <row r="48" spans="2:26" ht="10.199999999999999" customHeight="1">
      <c r="B48" s="56" t="str">
        <f>IF('Low Stress Type Gasket'!BE53="","",'Low Stress Type Gasket'!BE53)</f>
        <v/>
      </c>
      <c r="C48" s="58" t="str">
        <f t="shared" ca="1" si="2"/>
        <v/>
      </c>
      <c r="D48" s="58" t="str">
        <f t="shared" ca="1" si="2"/>
        <v/>
      </c>
      <c r="E48" s="58" t="str">
        <f t="shared" ca="1" si="2"/>
        <v/>
      </c>
      <c r="F48" s="58" t="str">
        <f t="shared" ca="1" si="2"/>
        <v/>
      </c>
      <c r="G48" s="58" t="str">
        <f t="shared" ca="1" si="2"/>
        <v/>
      </c>
      <c r="H48" s="58" t="str">
        <f t="shared" ca="1" si="2"/>
        <v/>
      </c>
      <c r="I48" s="58" t="str">
        <f t="shared" ca="1" si="2"/>
        <v/>
      </c>
      <c r="J48" s="58" t="str">
        <f t="shared" ca="1" si="2"/>
        <v/>
      </c>
      <c r="K48" s="58" t="str">
        <f t="shared" ca="1" si="2"/>
        <v/>
      </c>
      <c r="L48" s="58" t="str">
        <f t="shared" ca="1" si="2"/>
        <v/>
      </c>
      <c r="P48" s="241"/>
      <c r="Q48" s="241"/>
      <c r="R48" s="241"/>
      <c r="S48" s="241"/>
      <c r="T48" s="241"/>
      <c r="U48" s="241"/>
      <c r="V48" s="241"/>
      <c r="W48" s="241"/>
      <c r="X48" s="241"/>
      <c r="Y48" s="241"/>
      <c r="Z48" s="241"/>
    </row>
    <row r="49" spans="2:26" ht="10.199999999999999" customHeight="1">
      <c r="B49" s="56" t="str">
        <f>IF('Low Stress Type Gasket'!BE54="","",'Low Stress Type Gasket'!BE54)</f>
        <v/>
      </c>
      <c r="C49" s="58" t="str">
        <f t="shared" ca="1" si="2"/>
        <v/>
      </c>
      <c r="D49" s="58" t="str">
        <f t="shared" ca="1" si="2"/>
        <v/>
      </c>
      <c r="E49" s="58" t="str">
        <f t="shared" ca="1" si="2"/>
        <v/>
      </c>
      <c r="F49" s="58" t="str">
        <f t="shared" ca="1" si="2"/>
        <v/>
      </c>
      <c r="G49" s="58" t="str">
        <f t="shared" ca="1" si="2"/>
        <v/>
      </c>
      <c r="H49" s="58" t="str">
        <f t="shared" ca="1" si="2"/>
        <v/>
      </c>
      <c r="I49" s="58" t="str">
        <f t="shared" ca="1" si="2"/>
        <v/>
      </c>
      <c r="J49" s="58" t="str">
        <f t="shared" ca="1" si="2"/>
        <v/>
      </c>
      <c r="K49" s="58" t="str">
        <f t="shared" ca="1" si="2"/>
        <v/>
      </c>
      <c r="L49" s="58" t="str">
        <f t="shared" ca="1" si="2"/>
        <v/>
      </c>
      <c r="P49" s="249"/>
      <c r="Q49" s="249"/>
      <c r="R49" s="249"/>
      <c r="S49" s="249"/>
      <c r="T49" s="249"/>
      <c r="U49" s="249"/>
      <c r="V49" s="249"/>
      <c r="W49" s="249"/>
      <c r="X49" s="249"/>
      <c r="Y49" s="249"/>
      <c r="Z49" s="249"/>
    </row>
    <row r="50" spans="2:26" ht="10.199999999999999" customHeight="1">
      <c r="B50" s="56" t="str">
        <f>IF('Low Stress Type Gasket'!BE55="","",'Low Stress Type Gasket'!BE55)</f>
        <v/>
      </c>
      <c r="C50" s="58" t="str">
        <f t="shared" ca="1" si="2"/>
        <v/>
      </c>
      <c r="D50" s="58" t="str">
        <f t="shared" ca="1" si="2"/>
        <v/>
      </c>
      <c r="E50" s="58" t="str">
        <f t="shared" ca="1" si="2"/>
        <v/>
      </c>
      <c r="F50" s="58" t="str">
        <f t="shared" ca="1" si="2"/>
        <v/>
      </c>
      <c r="G50" s="58" t="str">
        <f t="shared" ca="1" si="2"/>
        <v/>
      </c>
      <c r="H50" s="58" t="str">
        <f t="shared" ca="1" si="2"/>
        <v/>
      </c>
      <c r="I50" s="58" t="str">
        <f t="shared" ca="1" si="2"/>
        <v/>
      </c>
      <c r="J50" s="58" t="str">
        <f t="shared" ca="1" si="2"/>
        <v/>
      </c>
      <c r="K50" s="58" t="str">
        <f t="shared" ca="1" si="2"/>
        <v/>
      </c>
      <c r="L50" s="58" t="str">
        <f t="shared" ca="1" si="2"/>
        <v/>
      </c>
      <c r="P50" s="249"/>
      <c r="Q50" s="249"/>
      <c r="R50" s="249"/>
      <c r="S50" s="249"/>
      <c r="T50" s="249"/>
      <c r="U50" s="249"/>
      <c r="V50" s="249"/>
      <c r="W50" s="249"/>
      <c r="X50" s="249"/>
      <c r="Y50" s="249"/>
      <c r="Z50" s="249"/>
    </row>
    <row r="51" spans="2:26" ht="10.199999999999999" customHeight="1">
      <c r="B51" s="56" t="str">
        <f>IF('Low Stress Type Gasket'!BE56="","",'Low Stress Type Gasket'!BE56)</f>
        <v/>
      </c>
      <c r="C51" s="58" t="str">
        <f t="shared" ca="1" si="2"/>
        <v/>
      </c>
      <c r="D51" s="58" t="str">
        <f t="shared" ca="1" si="2"/>
        <v/>
      </c>
      <c r="E51" s="58" t="str">
        <f t="shared" ca="1" si="2"/>
        <v/>
      </c>
      <c r="F51" s="58" t="str">
        <f t="shared" ca="1" si="2"/>
        <v/>
      </c>
      <c r="G51" s="58" t="str">
        <f t="shared" ca="1" si="2"/>
        <v/>
      </c>
      <c r="H51" s="58" t="str">
        <f t="shared" ca="1" si="2"/>
        <v/>
      </c>
      <c r="I51" s="58" t="str">
        <f t="shared" ca="1" si="2"/>
        <v/>
      </c>
      <c r="J51" s="58" t="str">
        <f t="shared" ca="1" si="2"/>
        <v/>
      </c>
      <c r="K51" s="58" t="str">
        <f t="shared" ca="1" si="2"/>
        <v/>
      </c>
      <c r="L51" s="58" t="str">
        <f t="shared" ca="1" si="2"/>
        <v/>
      </c>
      <c r="P51" s="241"/>
      <c r="Q51" s="241"/>
      <c r="R51" s="241"/>
      <c r="S51" s="241"/>
      <c r="T51" s="241"/>
      <c r="U51" s="241"/>
      <c r="V51" s="241"/>
      <c r="W51" s="241"/>
      <c r="X51" s="241"/>
      <c r="Y51" s="241"/>
      <c r="Z51" s="241"/>
    </row>
    <row r="52" spans="2:26" ht="10.199999999999999" customHeight="1">
      <c r="B52" s="56" t="str">
        <f>IF('Low Stress Type Gasket'!BE57="","",'Low Stress Type Gasket'!BE57)</f>
        <v/>
      </c>
      <c r="C52" s="58" t="str">
        <f t="shared" ca="1" si="2"/>
        <v/>
      </c>
      <c r="D52" s="58" t="str">
        <f t="shared" ca="1" si="2"/>
        <v/>
      </c>
      <c r="E52" s="58" t="str">
        <f t="shared" ca="1" si="2"/>
        <v/>
      </c>
      <c r="F52" s="58" t="str">
        <f t="shared" ca="1" si="2"/>
        <v/>
      </c>
      <c r="G52" s="58" t="str">
        <f t="shared" ca="1" si="2"/>
        <v/>
      </c>
      <c r="H52" s="58" t="str">
        <f t="shared" ca="1" si="2"/>
        <v/>
      </c>
      <c r="I52" s="58" t="str">
        <f t="shared" ca="1" si="2"/>
        <v/>
      </c>
      <c r="J52" s="58" t="str">
        <f t="shared" ca="1" si="2"/>
        <v/>
      </c>
      <c r="K52" s="58" t="str">
        <f t="shared" ca="1" si="2"/>
        <v/>
      </c>
      <c r="L52" s="58" t="str">
        <f t="shared" ca="1" si="2"/>
        <v/>
      </c>
      <c r="P52" s="249"/>
      <c r="Q52" s="249"/>
      <c r="R52" s="249"/>
      <c r="S52" s="249"/>
      <c r="T52" s="249"/>
      <c r="U52" s="249"/>
      <c r="V52" s="249"/>
      <c r="W52" s="249"/>
      <c r="X52" s="249"/>
      <c r="Y52" s="249"/>
      <c r="Z52" s="249"/>
    </row>
    <row r="53" spans="2:26" ht="10.199999999999999" customHeight="1">
      <c r="B53" s="56" t="str">
        <f>IF('Low Stress Type Gasket'!BE58="","",'Low Stress Type Gasket'!BE58)</f>
        <v/>
      </c>
      <c r="C53" s="58" t="str">
        <f t="shared" ca="1" si="2"/>
        <v/>
      </c>
      <c r="D53" s="58" t="str">
        <f t="shared" ca="1" si="2"/>
        <v/>
      </c>
      <c r="E53" s="58" t="str">
        <f t="shared" ca="1" si="2"/>
        <v/>
      </c>
      <c r="F53" s="58" t="str">
        <f t="shared" ca="1" si="2"/>
        <v/>
      </c>
      <c r="G53" s="58" t="str">
        <f t="shared" ca="1" si="2"/>
        <v/>
      </c>
      <c r="H53" s="58" t="str">
        <f t="shared" ca="1" si="2"/>
        <v/>
      </c>
      <c r="I53" s="58" t="str">
        <f t="shared" ca="1" si="2"/>
        <v/>
      </c>
      <c r="J53" s="58" t="str">
        <f t="shared" ca="1" si="2"/>
        <v/>
      </c>
      <c r="K53" s="58" t="str">
        <f t="shared" ca="1" si="2"/>
        <v/>
      </c>
      <c r="L53" s="58" t="str">
        <f t="shared" ca="1" si="2"/>
        <v/>
      </c>
      <c r="P53" s="249"/>
      <c r="Q53" s="249"/>
      <c r="R53" s="249"/>
      <c r="S53" s="249"/>
      <c r="T53" s="249"/>
      <c r="U53" s="249"/>
      <c r="V53" s="249"/>
      <c r="W53" s="249"/>
      <c r="X53" s="249"/>
      <c r="Y53" s="249"/>
      <c r="Z53" s="249"/>
    </row>
    <row r="54" spans="2:26" ht="10.199999999999999" customHeight="1">
      <c r="B54" s="56" t="str">
        <f>IF('Low Stress Type Gasket'!BE59="","",'Low Stress Type Gasket'!BE59)</f>
        <v/>
      </c>
      <c r="C54" s="58" t="str">
        <f t="shared" ref="C54:L55" ca="1" si="3">IF($M$4=0,"",VLOOKUP($B54,INDIRECT("$P$1:$Z$"&amp;$M$4),COLUMN()-1,0))</f>
        <v/>
      </c>
      <c r="D54" s="58" t="str">
        <f t="shared" ca="1" si="3"/>
        <v/>
      </c>
      <c r="E54" s="58" t="str">
        <f t="shared" ca="1" si="3"/>
        <v/>
      </c>
      <c r="F54" s="58" t="str">
        <f t="shared" ca="1" si="3"/>
        <v/>
      </c>
      <c r="G54" s="58" t="str">
        <f t="shared" ca="1" si="3"/>
        <v/>
      </c>
      <c r="H54" s="58" t="str">
        <f t="shared" ca="1" si="3"/>
        <v/>
      </c>
      <c r="I54" s="58" t="str">
        <f t="shared" ca="1" si="3"/>
        <v/>
      </c>
      <c r="J54" s="58" t="str">
        <f t="shared" ca="1" si="3"/>
        <v/>
      </c>
      <c r="K54" s="58" t="str">
        <f t="shared" ca="1" si="3"/>
        <v/>
      </c>
      <c r="L54" s="58" t="str">
        <f t="shared" ca="1" si="3"/>
        <v/>
      </c>
      <c r="P54" s="241"/>
      <c r="Q54" s="241"/>
      <c r="R54" s="241"/>
      <c r="S54" s="241"/>
      <c r="T54" s="241"/>
      <c r="U54" s="241"/>
      <c r="V54" s="241"/>
      <c r="W54" s="241"/>
      <c r="X54" s="241"/>
      <c r="Y54" s="241"/>
      <c r="Z54" s="241"/>
    </row>
    <row r="55" spans="2:26" ht="10.199999999999999" customHeight="1">
      <c r="B55" s="56" t="str">
        <f>IF('Low Stress Type Gasket'!BE60="","",'Low Stress Type Gasket'!BE60)</f>
        <v/>
      </c>
      <c r="C55" s="58" t="str">
        <f t="shared" ca="1" si="3"/>
        <v/>
      </c>
      <c r="D55" s="58" t="str">
        <f t="shared" ca="1" si="3"/>
        <v/>
      </c>
      <c r="E55" s="58" t="str">
        <f t="shared" ca="1" si="3"/>
        <v/>
      </c>
      <c r="F55" s="58" t="str">
        <f t="shared" ca="1" si="3"/>
        <v/>
      </c>
      <c r="G55" s="58" t="str">
        <f t="shared" ca="1" si="3"/>
        <v/>
      </c>
      <c r="H55" s="58" t="str">
        <f t="shared" ca="1" si="3"/>
        <v/>
      </c>
      <c r="I55" s="58" t="str">
        <f t="shared" ca="1" si="3"/>
        <v/>
      </c>
      <c r="J55" s="58" t="str">
        <f t="shared" ca="1" si="3"/>
        <v/>
      </c>
      <c r="K55" s="58" t="str">
        <f t="shared" ca="1" si="3"/>
        <v/>
      </c>
      <c r="L55" s="58" t="str">
        <f t="shared" ca="1" si="3"/>
        <v/>
      </c>
      <c r="P55" s="249"/>
      <c r="Q55" s="249"/>
      <c r="R55" s="249"/>
      <c r="S55" s="249"/>
      <c r="T55" s="249"/>
      <c r="U55" s="249"/>
      <c r="V55" s="249"/>
      <c r="W55" s="249"/>
      <c r="X55" s="249"/>
      <c r="Y55" s="249"/>
      <c r="Z55" s="249"/>
    </row>
    <row r="56" spans="2:26" ht="10.199999999999999" customHeight="1">
      <c r="P56" s="249"/>
      <c r="Q56" s="249"/>
      <c r="R56" s="249"/>
      <c r="S56" s="249"/>
      <c r="T56" s="249"/>
      <c r="U56" s="249"/>
      <c r="V56" s="249"/>
      <c r="W56" s="249"/>
      <c r="X56" s="249"/>
      <c r="Y56" s="249"/>
      <c r="Z56" s="249"/>
    </row>
    <row r="57" spans="2:26" ht="10.199999999999999" customHeight="1">
      <c r="P57" s="241"/>
      <c r="Q57" s="241"/>
      <c r="R57" s="241"/>
      <c r="S57" s="241"/>
      <c r="T57" s="241"/>
      <c r="U57" s="241"/>
      <c r="V57" s="241"/>
      <c r="W57" s="241"/>
      <c r="X57" s="241"/>
      <c r="Y57" s="241"/>
      <c r="Z57" s="241"/>
    </row>
    <row r="58" spans="2:26" ht="10.199999999999999" customHeight="1">
      <c r="P58" s="249"/>
      <c r="Q58" s="249"/>
      <c r="R58" s="249"/>
      <c r="S58" s="249"/>
      <c r="T58" s="249"/>
      <c r="U58" s="249"/>
      <c r="V58" s="249"/>
      <c r="W58" s="249"/>
      <c r="X58" s="249"/>
      <c r="Y58" s="249"/>
      <c r="Z58" s="249"/>
    </row>
    <row r="59" spans="2:26" ht="10.199999999999999" customHeight="1">
      <c r="P59" s="249"/>
      <c r="Q59" s="249"/>
      <c r="R59" s="249"/>
      <c r="S59" s="249"/>
      <c r="T59" s="249"/>
      <c r="U59" s="249"/>
      <c r="V59" s="249"/>
      <c r="W59" s="249"/>
      <c r="X59" s="249"/>
      <c r="Y59" s="249"/>
      <c r="Z59" s="249"/>
    </row>
    <row r="60" spans="2:26" ht="10.199999999999999" customHeight="1">
      <c r="P60" s="241"/>
      <c r="Q60" s="241"/>
      <c r="R60" s="241"/>
      <c r="S60" s="241"/>
      <c r="T60" s="241"/>
      <c r="U60" s="241"/>
      <c r="V60" s="241"/>
      <c r="W60" s="241"/>
      <c r="X60" s="241"/>
      <c r="Y60" s="241"/>
      <c r="Z60" s="241"/>
    </row>
    <row r="61" spans="2:26" ht="10.199999999999999" customHeight="1">
      <c r="P61" s="249"/>
      <c r="Q61" s="249"/>
      <c r="R61" s="249"/>
      <c r="S61" s="249"/>
      <c r="T61" s="249"/>
      <c r="U61" s="249"/>
      <c r="V61" s="249"/>
      <c r="W61" s="249"/>
      <c r="X61" s="249"/>
      <c r="Y61" s="249"/>
      <c r="Z61" s="249"/>
    </row>
    <row r="62" spans="2:26" ht="10.199999999999999" customHeight="1">
      <c r="P62" s="249"/>
      <c r="Q62" s="249"/>
      <c r="R62" s="249"/>
      <c r="S62" s="249"/>
      <c r="T62" s="249"/>
      <c r="U62" s="249"/>
      <c r="V62" s="249"/>
      <c r="W62" s="249"/>
      <c r="X62" s="249"/>
      <c r="Y62" s="249"/>
      <c r="Z62" s="249"/>
    </row>
    <row r="63" spans="2:26" ht="10.199999999999999" customHeight="1">
      <c r="P63" s="241"/>
      <c r="Q63" s="241"/>
      <c r="R63" s="241"/>
      <c r="S63" s="241"/>
      <c r="T63" s="241"/>
      <c r="U63" s="241"/>
      <c r="V63" s="241"/>
      <c r="W63" s="241"/>
      <c r="X63" s="241"/>
      <c r="Y63" s="241"/>
      <c r="Z63" s="241"/>
    </row>
    <row r="64" spans="2:26" ht="10.199999999999999" customHeight="1">
      <c r="P64" s="249"/>
      <c r="Q64" s="249"/>
      <c r="R64" s="249"/>
      <c r="S64" s="249"/>
      <c r="T64" s="249"/>
      <c r="U64" s="249"/>
      <c r="V64" s="249"/>
      <c r="W64" s="249"/>
      <c r="X64" s="249"/>
      <c r="Y64" s="249"/>
      <c r="Z64" s="249"/>
    </row>
    <row r="65" spans="16:26" ht="10.199999999999999" customHeight="1">
      <c r="P65" s="249"/>
      <c r="Q65" s="249"/>
      <c r="R65" s="249"/>
      <c r="S65" s="249"/>
      <c r="T65" s="249"/>
      <c r="U65" s="249"/>
      <c r="V65" s="249"/>
      <c r="W65" s="249"/>
      <c r="X65" s="249"/>
      <c r="Y65" s="249"/>
      <c r="Z65" s="249"/>
    </row>
    <row r="66" spans="16:26" ht="10.199999999999999" customHeight="1">
      <c r="P66" s="241"/>
      <c r="Q66" s="241"/>
      <c r="R66" s="241"/>
      <c r="S66" s="241"/>
      <c r="T66" s="241"/>
      <c r="U66" s="241"/>
      <c r="V66" s="241"/>
      <c r="W66" s="241"/>
      <c r="X66" s="241"/>
      <c r="Y66" s="241"/>
      <c r="Z66" s="241"/>
    </row>
    <row r="67" spans="16:26" ht="10.199999999999999" customHeight="1">
      <c r="P67" s="249"/>
      <c r="Q67" s="249"/>
      <c r="R67" s="249"/>
      <c r="S67" s="249"/>
      <c r="T67" s="249"/>
      <c r="U67" s="249"/>
      <c r="V67" s="249"/>
      <c r="W67" s="249"/>
      <c r="X67" s="249"/>
      <c r="Y67" s="249"/>
      <c r="Z67" s="249"/>
    </row>
    <row r="68" spans="16:26" ht="10.199999999999999" customHeight="1">
      <c r="P68" s="249"/>
      <c r="Q68" s="249"/>
      <c r="R68" s="249"/>
      <c r="S68" s="249"/>
      <c r="T68" s="249"/>
      <c r="U68" s="249"/>
      <c r="V68" s="249"/>
      <c r="W68" s="249"/>
      <c r="X68" s="249"/>
      <c r="Y68" s="249"/>
      <c r="Z68" s="249"/>
    </row>
    <row r="69" spans="16:26" ht="10.199999999999999" customHeight="1">
      <c r="P69" s="241"/>
      <c r="Q69" s="241"/>
      <c r="R69" s="241"/>
      <c r="S69" s="241"/>
      <c r="T69" s="241"/>
      <c r="U69" s="241"/>
      <c r="V69" s="241"/>
      <c r="W69" s="241"/>
      <c r="X69" s="241"/>
      <c r="Y69" s="241"/>
      <c r="Z69" s="241"/>
    </row>
    <row r="70" spans="16:26" ht="10.199999999999999" customHeight="1">
      <c r="P70" s="249"/>
      <c r="Q70" s="249"/>
      <c r="R70" s="249"/>
      <c r="S70" s="249"/>
      <c r="T70" s="249"/>
      <c r="U70" s="249"/>
      <c r="V70" s="249"/>
      <c r="W70" s="249"/>
      <c r="X70" s="249"/>
      <c r="Y70" s="249"/>
      <c r="Z70" s="249"/>
    </row>
    <row r="71" spans="16:26" ht="10.199999999999999" customHeight="1">
      <c r="P71" s="249"/>
      <c r="Q71" s="249"/>
      <c r="R71" s="249"/>
      <c r="S71" s="249"/>
      <c r="T71" s="249"/>
      <c r="U71" s="249"/>
      <c r="V71" s="249"/>
      <c r="W71" s="249"/>
      <c r="X71" s="249"/>
      <c r="Y71" s="249"/>
      <c r="Z71" s="249"/>
    </row>
    <row r="72" spans="16:26" ht="10.199999999999999" customHeight="1">
      <c r="P72" s="241"/>
      <c r="Q72" s="241"/>
      <c r="R72" s="241"/>
      <c r="S72" s="241"/>
      <c r="T72" s="241"/>
      <c r="U72" s="241"/>
      <c r="V72" s="241"/>
      <c r="W72" s="241"/>
      <c r="X72" s="241"/>
      <c r="Y72" s="241"/>
      <c r="Z72" s="241"/>
    </row>
    <row r="73" spans="16:26" ht="10.199999999999999" customHeight="1">
      <c r="P73" s="249"/>
      <c r="Q73" s="249"/>
      <c r="R73" s="249"/>
      <c r="S73" s="249"/>
      <c r="T73" s="249"/>
      <c r="U73" s="249"/>
      <c r="V73" s="249"/>
      <c r="W73" s="249"/>
      <c r="X73" s="249"/>
      <c r="Y73" s="249"/>
      <c r="Z73" s="249"/>
    </row>
    <row r="74" spans="16:26" ht="10.199999999999999" customHeight="1">
      <c r="P74" s="249"/>
      <c r="Q74" s="249"/>
      <c r="R74" s="249"/>
      <c r="S74" s="249"/>
      <c r="T74" s="249"/>
      <c r="U74" s="249"/>
      <c r="V74" s="249"/>
      <c r="W74" s="249"/>
      <c r="X74" s="249"/>
      <c r="Y74" s="249"/>
      <c r="Z74" s="249"/>
    </row>
    <row r="75" spans="16:26" ht="10.199999999999999" customHeight="1">
      <c r="P75" s="241"/>
      <c r="Q75" s="241"/>
      <c r="R75" s="241"/>
      <c r="S75" s="241"/>
      <c r="T75" s="241"/>
      <c r="U75" s="241"/>
      <c r="V75" s="241"/>
      <c r="W75" s="241"/>
      <c r="X75" s="241"/>
      <c r="Y75" s="241"/>
      <c r="Z75" s="241"/>
    </row>
    <row r="76" spans="16:26" ht="10.199999999999999" customHeight="1">
      <c r="P76" s="249"/>
      <c r="Q76" s="249"/>
      <c r="R76" s="249"/>
      <c r="S76" s="249"/>
      <c r="T76" s="249"/>
      <c r="U76" s="249"/>
      <c r="V76" s="249"/>
      <c r="W76" s="249"/>
      <c r="X76" s="249"/>
      <c r="Y76" s="249"/>
      <c r="Z76" s="249"/>
    </row>
    <row r="77" spans="16:26" ht="10.199999999999999" customHeight="1">
      <c r="P77" s="249"/>
      <c r="Q77" s="249"/>
      <c r="R77" s="249"/>
      <c r="S77" s="249"/>
      <c r="T77" s="249"/>
      <c r="U77" s="249"/>
      <c r="V77" s="249"/>
      <c r="W77" s="249"/>
      <c r="X77" s="249"/>
      <c r="Y77" s="249"/>
      <c r="Z77" s="249"/>
    </row>
    <row r="78" spans="16:26" ht="10.199999999999999" customHeight="1">
      <c r="P78" s="241"/>
      <c r="Q78" s="241"/>
      <c r="R78" s="241"/>
      <c r="S78" s="241"/>
      <c r="T78" s="241"/>
      <c r="U78" s="241"/>
      <c r="V78" s="241"/>
      <c r="W78" s="241"/>
      <c r="X78" s="241"/>
      <c r="Y78" s="241"/>
      <c r="Z78" s="241"/>
    </row>
    <row r="79" spans="16:26" ht="10.199999999999999" customHeight="1">
      <c r="P79" s="249"/>
      <c r="Q79" s="249"/>
      <c r="R79" s="249"/>
      <c r="S79" s="249"/>
      <c r="T79" s="249"/>
      <c r="U79" s="249"/>
      <c r="V79" s="249"/>
      <c r="W79" s="249"/>
      <c r="X79" s="249"/>
      <c r="Y79" s="249"/>
      <c r="Z79" s="249"/>
    </row>
    <row r="80" spans="16:26" ht="10.199999999999999" customHeight="1">
      <c r="P80" s="249"/>
      <c r="Q80" s="249"/>
      <c r="R80" s="249"/>
      <c r="S80" s="249"/>
      <c r="T80" s="249"/>
      <c r="U80" s="249"/>
      <c r="V80" s="249"/>
      <c r="W80" s="249"/>
      <c r="X80" s="249"/>
      <c r="Y80" s="249"/>
      <c r="Z80" s="249"/>
    </row>
    <row r="81" spans="16:26" ht="10.199999999999999" customHeight="1">
      <c r="P81" s="241"/>
      <c r="Q81" s="241"/>
      <c r="R81" s="241"/>
      <c r="S81" s="241"/>
      <c r="T81" s="241"/>
      <c r="U81" s="241"/>
      <c r="V81" s="241"/>
      <c r="W81" s="241"/>
      <c r="X81" s="241"/>
      <c r="Y81" s="241"/>
      <c r="Z81" s="241"/>
    </row>
    <row r="82" spans="16:26" ht="10.199999999999999" customHeight="1">
      <c r="P82" s="249"/>
      <c r="Q82" s="249"/>
      <c r="R82" s="249"/>
      <c r="S82" s="249"/>
      <c r="T82" s="249"/>
      <c r="U82" s="249"/>
      <c r="V82" s="249"/>
      <c r="W82" s="249"/>
      <c r="X82" s="249"/>
      <c r="Y82" s="249"/>
      <c r="Z82" s="249"/>
    </row>
    <row r="83" spans="16:26" ht="10.199999999999999" customHeight="1">
      <c r="P83" s="249"/>
      <c r="Q83" s="249"/>
      <c r="R83" s="249"/>
      <c r="S83" s="249"/>
      <c r="T83" s="249"/>
      <c r="U83" s="249"/>
      <c r="V83" s="249"/>
      <c r="W83" s="249"/>
      <c r="X83" s="249"/>
      <c r="Y83" s="249"/>
      <c r="Z83" s="249"/>
    </row>
    <row r="84" spans="16:26" ht="10.199999999999999" customHeight="1">
      <c r="P84" s="241"/>
      <c r="Q84" s="241"/>
      <c r="R84" s="241"/>
      <c r="S84" s="241"/>
      <c r="T84" s="241"/>
      <c r="U84" s="241"/>
      <c r="V84" s="241"/>
      <c r="W84" s="241"/>
      <c r="X84" s="241"/>
      <c r="Y84" s="241"/>
      <c r="Z84" s="241"/>
    </row>
    <row r="85" spans="16:26" ht="10.199999999999999" customHeight="1">
      <c r="P85" s="249"/>
      <c r="Q85" s="249"/>
      <c r="R85" s="249"/>
      <c r="S85" s="249"/>
      <c r="T85" s="249"/>
      <c r="U85" s="249"/>
      <c r="V85" s="249"/>
      <c r="W85" s="249"/>
      <c r="X85" s="249"/>
      <c r="Y85" s="249"/>
      <c r="Z85" s="249"/>
    </row>
    <row r="86" spans="16:26" ht="10.199999999999999" customHeight="1">
      <c r="P86" s="249"/>
      <c r="Q86" s="249"/>
      <c r="R86" s="249"/>
      <c r="S86" s="249"/>
      <c r="T86" s="249"/>
      <c r="U86" s="249"/>
      <c r="V86" s="249"/>
      <c r="W86" s="249"/>
      <c r="X86" s="249"/>
      <c r="Y86" s="249"/>
      <c r="Z86" s="249"/>
    </row>
    <row r="87" spans="16:26" ht="10.199999999999999" customHeight="1">
      <c r="P87" s="241"/>
      <c r="Q87" s="241"/>
      <c r="R87" s="241"/>
      <c r="S87" s="241"/>
      <c r="T87" s="241"/>
      <c r="U87" s="241"/>
      <c r="V87" s="241"/>
      <c r="W87" s="241"/>
      <c r="X87" s="241"/>
      <c r="Y87" s="241"/>
      <c r="Z87" s="241"/>
    </row>
    <row r="88" spans="16:26" ht="10.199999999999999" customHeight="1">
      <c r="P88" s="249"/>
      <c r="Q88" s="249"/>
      <c r="R88" s="249"/>
      <c r="S88" s="249"/>
      <c r="T88" s="249"/>
      <c r="U88" s="249"/>
      <c r="V88" s="249"/>
      <c r="W88" s="249"/>
      <c r="X88" s="249"/>
      <c r="Y88" s="249"/>
      <c r="Z88" s="249"/>
    </row>
    <row r="89" spans="16:26" ht="10.199999999999999" customHeight="1">
      <c r="P89" s="249"/>
      <c r="Q89" s="249"/>
      <c r="R89" s="249"/>
      <c r="S89" s="249"/>
      <c r="T89" s="249"/>
      <c r="U89" s="249"/>
      <c r="V89" s="249"/>
      <c r="W89" s="249"/>
      <c r="X89" s="249"/>
      <c r="Y89" s="249"/>
      <c r="Z89" s="249"/>
    </row>
    <row r="90" spans="16:26" ht="10.199999999999999" customHeight="1">
      <c r="P90" s="241"/>
      <c r="Q90" s="241"/>
      <c r="R90" s="241"/>
      <c r="S90" s="241"/>
      <c r="T90" s="241"/>
      <c r="U90" s="241"/>
      <c r="V90" s="241"/>
      <c r="W90" s="241"/>
      <c r="X90" s="241"/>
      <c r="Y90" s="241"/>
      <c r="Z90" s="241"/>
    </row>
    <row r="91" spans="16:26" ht="10.199999999999999" customHeight="1">
      <c r="P91" s="249"/>
      <c r="Q91" s="249"/>
      <c r="R91" s="249"/>
      <c r="S91" s="249"/>
      <c r="T91" s="249"/>
      <c r="U91" s="249"/>
      <c r="V91" s="249"/>
      <c r="W91" s="249"/>
      <c r="X91" s="249"/>
      <c r="Y91" s="249"/>
      <c r="Z91" s="249"/>
    </row>
    <row r="92" spans="16:26" ht="10.199999999999999" customHeight="1">
      <c r="P92" s="249"/>
      <c r="Q92" s="249"/>
      <c r="R92" s="249"/>
      <c r="S92" s="249"/>
      <c r="T92" s="249"/>
      <c r="U92" s="249"/>
      <c r="V92" s="249"/>
      <c r="W92" s="249"/>
      <c r="X92" s="249"/>
      <c r="Y92" s="249"/>
      <c r="Z92" s="249"/>
    </row>
    <row r="93" spans="16:26" ht="10.199999999999999" customHeight="1">
      <c r="P93" s="241"/>
      <c r="Q93" s="241"/>
      <c r="R93" s="241"/>
      <c r="S93" s="241"/>
      <c r="T93" s="241"/>
      <c r="U93" s="241"/>
      <c r="V93" s="241"/>
      <c r="W93" s="241"/>
      <c r="X93" s="241"/>
      <c r="Y93" s="241"/>
      <c r="Z93" s="241"/>
    </row>
    <row r="94" spans="16:26" ht="10.199999999999999" customHeight="1">
      <c r="P94" s="249"/>
      <c r="Q94" s="249"/>
      <c r="R94" s="249"/>
      <c r="S94" s="249"/>
      <c r="T94" s="249"/>
      <c r="U94" s="249"/>
      <c r="V94" s="249"/>
      <c r="W94" s="249"/>
      <c r="X94" s="249"/>
      <c r="Y94" s="249"/>
      <c r="Z94" s="249"/>
    </row>
    <row r="95" spans="16:26" ht="10.199999999999999" customHeight="1">
      <c r="P95" s="249"/>
      <c r="Q95" s="249"/>
      <c r="R95" s="249"/>
      <c r="S95" s="249"/>
      <c r="T95" s="249"/>
      <c r="U95" s="249"/>
      <c r="V95" s="249"/>
      <c r="W95" s="249"/>
      <c r="X95" s="249"/>
      <c r="Y95" s="249"/>
      <c r="Z95" s="249"/>
    </row>
    <row r="96" spans="16:26" ht="10.199999999999999" customHeight="1">
      <c r="P96" s="241"/>
      <c r="Q96" s="241"/>
      <c r="R96" s="241"/>
      <c r="S96" s="241"/>
      <c r="T96" s="241"/>
      <c r="U96" s="241"/>
      <c r="V96" s="241"/>
      <c r="W96" s="241"/>
      <c r="X96" s="241"/>
      <c r="Y96" s="241"/>
      <c r="Z96" s="241"/>
    </row>
    <row r="97" spans="16:26" ht="10.199999999999999" customHeight="1">
      <c r="P97" s="249"/>
      <c r="Q97" s="249"/>
      <c r="R97" s="249"/>
      <c r="S97" s="249"/>
      <c r="T97" s="249"/>
      <c r="U97" s="249"/>
      <c r="V97" s="249"/>
      <c r="W97" s="249"/>
      <c r="X97" s="249"/>
      <c r="Y97" s="249"/>
      <c r="Z97" s="249"/>
    </row>
    <row r="98" spans="16:26" ht="10.199999999999999" customHeight="1">
      <c r="P98" s="249"/>
      <c r="Q98" s="249"/>
      <c r="R98" s="249"/>
      <c r="S98" s="249"/>
      <c r="T98" s="249"/>
      <c r="U98" s="249"/>
      <c r="V98" s="249"/>
      <c r="W98" s="249"/>
      <c r="X98" s="249"/>
      <c r="Y98" s="249"/>
      <c r="Z98" s="249"/>
    </row>
    <row r="99" spans="16:26" ht="10.199999999999999" customHeight="1">
      <c r="P99" s="241"/>
      <c r="Q99" s="241"/>
      <c r="R99" s="241"/>
      <c r="S99" s="241"/>
      <c r="T99" s="241"/>
      <c r="U99" s="241"/>
      <c r="V99" s="241"/>
      <c r="W99" s="241"/>
      <c r="X99" s="241"/>
      <c r="Y99" s="241"/>
      <c r="Z99" s="241"/>
    </row>
    <row r="100" spans="16:26" ht="10.199999999999999" customHeight="1">
      <c r="P100" s="249"/>
      <c r="Q100" s="249"/>
      <c r="R100" s="249"/>
      <c r="S100" s="249"/>
      <c r="T100" s="249"/>
      <c r="U100" s="249"/>
      <c r="V100" s="249"/>
      <c r="W100" s="249"/>
      <c r="X100" s="249"/>
      <c r="Y100" s="249"/>
      <c r="Z100" s="249"/>
    </row>
    <row r="101" spans="16:26" ht="10.199999999999999" customHeight="1">
      <c r="P101" s="249"/>
      <c r="Q101" s="249"/>
      <c r="R101" s="249"/>
      <c r="S101" s="249"/>
      <c r="T101" s="249"/>
      <c r="U101" s="249"/>
      <c r="V101" s="249"/>
      <c r="W101" s="249"/>
      <c r="X101" s="249"/>
      <c r="Y101" s="249"/>
      <c r="Z101" s="249"/>
    </row>
    <row r="102" spans="16:26" ht="10.199999999999999" customHeight="1">
      <c r="P102" s="241"/>
      <c r="Q102" s="241"/>
      <c r="R102" s="241"/>
      <c r="S102" s="241"/>
      <c r="T102" s="241"/>
      <c r="U102" s="241"/>
      <c r="V102" s="241"/>
      <c r="W102" s="241"/>
      <c r="X102" s="241"/>
      <c r="Y102" s="241"/>
      <c r="Z102" s="241"/>
    </row>
    <row r="103" spans="16:26" ht="10.199999999999999" customHeight="1">
      <c r="P103" s="249"/>
      <c r="Q103" s="249"/>
      <c r="R103" s="249"/>
      <c r="S103" s="249"/>
      <c r="T103" s="249"/>
      <c r="U103" s="249"/>
      <c r="V103" s="249"/>
      <c r="W103" s="249"/>
      <c r="X103" s="249"/>
      <c r="Y103" s="249"/>
      <c r="Z103" s="249"/>
    </row>
    <row r="104" spans="16:26" ht="10.199999999999999" customHeight="1">
      <c r="P104" s="249"/>
      <c r="Q104" s="249"/>
      <c r="R104" s="249"/>
      <c r="S104" s="249"/>
      <c r="T104" s="249"/>
      <c r="U104" s="249"/>
      <c r="V104" s="249"/>
      <c r="W104" s="249"/>
      <c r="X104" s="249"/>
      <c r="Y104" s="249"/>
      <c r="Z104" s="249"/>
    </row>
    <row r="105" spans="16:26" ht="10.199999999999999" customHeight="1">
      <c r="P105" s="241"/>
      <c r="Q105" s="241"/>
      <c r="R105" s="241"/>
      <c r="S105" s="241"/>
      <c r="T105" s="241"/>
      <c r="U105" s="241"/>
      <c r="V105" s="241"/>
      <c r="W105" s="241"/>
      <c r="X105" s="241"/>
      <c r="Y105" s="241"/>
      <c r="Z105" s="241"/>
    </row>
    <row r="106" spans="16:26" ht="10.199999999999999" customHeight="1">
      <c r="P106" s="249"/>
      <c r="Q106" s="249"/>
      <c r="R106" s="249"/>
      <c r="S106" s="249"/>
      <c r="T106" s="249"/>
      <c r="U106" s="249"/>
      <c r="V106" s="249"/>
      <c r="W106" s="249"/>
      <c r="X106" s="249"/>
      <c r="Y106" s="249"/>
      <c r="Z106" s="249"/>
    </row>
    <row r="107" spans="16:26" ht="10.199999999999999" customHeight="1">
      <c r="P107" s="249"/>
      <c r="Q107" s="249"/>
      <c r="R107" s="249"/>
      <c r="S107" s="249"/>
      <c r="T107" s="249"/>
      <c r="U107" s="249"/>
      <c r="V107" s="249"/>
      <c r="W107" s="249"/>
      <c r="X107" s="249"/>
      <c r="Y107" s="249"/>
      <c r="Z107" s="249"/>
    </row>
    <row r="108" spans="16:26" ht="10.199999999999999" customHeight="1">
      <c r="P108" s="241"/>
      <c r="Q108" s="241"/>
      <c r="R108" s="241"/>
      <c r="S108" s="241"/>
      <c r="T108" s="241"/>
      <c r="U108" s="241"/>
      <c r="V108" s="241"/>
      <c r="W108" s="241"/>
      <c r="X108" s="241"/>
      <c r="Y108" s="241"/>
      <c r="Z108" s="241"/>
    </row>
    <row r="109" spans="16:26" ht="10.199999999999999" customHeight="1">
      <c r="P109" s="249"/>
      <c r="Q109" s="249"/>
      <c r="R109" s="249"/>
      <c r="S109" s="249"/>
      <c r="T109" s="249"/>
      <c r="U109" s="249"/>
      <c r="V109" s="249"/>
      <c r="W109" s="249"/>
      <c r="X109" s="249"/>
      <c r="Y109" s="249"/>
      <c r="Z109" s="249"/>
    </row>
    <row r="110" spans="16:26" ht="10.199999999999999" customHeight="1">
      <c r="P110" s="249"/>
      <c r="Q110" s="249"/>
      <c r="R110" s="249"/>
      <c r="S110" s="249"/>
      <c r="T110" s="249"/>
      <c r="U110" s="249"/>
      <c r="V110" s="249"/>
      <c r="W110" s="249"/>
      <c r="X110" s="249"/>
      <c r="Y110" s="249"/>
      <c r="Z110" s="249"/>
    </row>
    <row r="111" spans="16:26" ht="10.199999999999999" customHeight="1">
      <c r="P111" s="241"/>
      <c r="Q111" s="241"/>
      <c r="R111" s="241"/>
      <c r="S111" s="241"/>
      <c r="T111" s="241"/>
      <c r="U111" s="241"/>
      <c r="V111" s="241"/>
      <c r="W111" s="241"/>
      <c r="X111" s="241"/>
      <c r="Y111" s="241"/>
      <c r="Z111" s="241"/>
    </row>
    <row r="112" spans="16:26" ht="10.199999999999999" customHeight="1">
      <c r="P112" s="249"/>
      <c r="Q112" s="249"/>
      <c r="R112" s="249"/>
      <c r="S112" s="249"/>
      <c r="T112" s="249"/>
      <c r="U112" s="249"/>
      <c r="V112" s="249"/>
      <c r="W112" s="249"/>
      <c r="X112" s="249"/>
      <c r="Y112" s="249"/>
      <c r="Z112" s="249"/>
    </row>
    <row r="113" spans="16:26" ht="10.199999999999999" customHeight="1">
      <c r="P113" s="249"/>
      <c r="Q113" s="249"/>
      <c r="R113" s="249"/>
      <c r="S113" s="249"/>
      <c r="T113" s="249"/>
      <c r="U113" s="249"/>
      <c r="V113" s="249"/>
      <c r="W113" s="249"/>
      <c r="X113" s="249"/>
      <c r="Y113" s="249"/>
      <c r="Z113" s="249"/>
    </row>
    <row r="114" spans="16:26" ht="10.199999999999999" customHeight="1">
      <c r="P114" s="241"/>
      <c r="Q114" s="241"/>
      <c r="R114" s="241"/>
      <c r="S114" s="241"/>
      <c r="T114" s="241"/>
      <c r="U114" s="241"/>
      <c r="V114" s="241"/>
      <c r="W114" s="241"/>
      <c r="X114" s="241"/>
      <c r="Y114" s="241"/>
      <c r="Z114" s="241"/>
    </row>
    <row r="115" spans="16:26" ht="10.199999999999999" customHeight="1">
      <c r="P115" s="249"/>
      <c r="Q115" s="249"/>
      <c r="R115" s="249"/>
      <c r="S115" s="249"/>
      <c r="T115" s="249"/>
      <c r="U115" s="249"/>
      <c r="V115" s="249"/>
      <c r="W115" s="249"/>
      <c r="X115" s="249"/>
      <c r="Y115" s="249"/>
      <c r="Z115" s="249"/>
    </row>
    <row r="116" spans="16:26" ht="10.199999999999999" customHeight="1">
      <c r="P116" s="249"/>
      <c r="Q116" s="249"/>
      <c r="R116" s="249"/>
      <c r="S116" s="249"/>
      <c r="T116" s="249"/>
      <c r="U116" s="249"/>
      <c r="V116" s="249"/>
      <c r="W116" s="249"/>
      <c r="X116" s="249"/>
      <c r="Y116" s="249"/>
      <c r="Z116" s="249"/>
    </row>
    <row r="117" spans="16:26" ht="10.199999999999999" customHeight="1">
      <c r="P117" s="241"/>
      <c r="Q117" s="241"/>
      <c r="R117" s="241"/>
      <c r="S117" s="241"/>
      <c r="T117" s="241"/>
      <c r="U117" s="241"/>
      <c r="V117" s="241"/>
      <c r="W117" s="241"/>
      <c r="X117" s="241"/>
      <c r="Y117" s="241"/>
      <c r="Z117" s="241"/>
    </row>
    <row r="118" spans="16:26" ht="10.199999999999999" customHeight="1">
      <c r="P118" s="249"/>
      <c r="Q118" s="249"/>
      <c r="R118" s="249"/>
      <c r="S118" s="249"/>
      <c r="T118" s="249"/>
      <c r="U118" s="249"/>
      <c r="V118" s="249"/>
      <c r="W118" s="249"/>
      <c r="X118" s="249"/>
      <c r="Y118" s="249"/>
      <c r="Z118" s="249"/>
    </row>
    <row r="119" spans="16:26" ht="10.199999999999999" customHeight="1">
      <c r="P119" s="249"/>
      <c r="Q119" s="249"/>
      <c r="R119" s="249"/>
      <c r="S119" s="249"/>
      <c r="T119" s="249"/>
      <c r="U119" s="249"/>
      <c r="V119" s="249"/>
      <c r="W119" s="249"/>
      <c r="X119" s="249"/>
      <c r="Y119" s="249"/>
      <c r="Z119" s="249"/>
    </row>
    <row r="120" spans="16:26" ht="10.199999999999999" customHeight="1">
      <c r="P120" s="241"/>
      <c r="Q120" s="241"/>
      <c r="R120" s="241"/>
      <c r="S120" s="241"/>
      <c r="T120" s="241"/>
      <c r="U120" s="241"/>
      <c r="V120" s="241"/>
      <c r="W120" s="241"/>
      <c r="X120" s="241"/>
      <c r="Y120" s="241"/>
      <c r="Z120" s="241"/>
    </row>
    <row r="121" spans="16:26" ht="10.199999999999999" customHeight="1">
      <c r="P121" s="249"/>
      <c r="Q121" s="249"/>
      <c r="R121" s="249"/>
      <c r="S121" s="249"/>
      <c r="T121" s="249"/>
      <c r="U121" s="249"/>
      <c r="V121" s="249"/>
      <c r="W121" s="249"/>
      <c r="X121" s="249"/>
      <c r="Y121" s="249"/>
      <c r="Z121" s="249"/>
    </row>
    <row r="122" spans="16:26" ht="10.199999999999999" customHeight="1">
      <c r="P122" s="249"/>
      <c r="Q122" s="249"/>
      <c r="R122" s="249"/>
      <c r="S122" s="249"/>
      <c r="T122" s="249"/>
      <c r="U122" s="249"/>
      <c r="V122" s="249"/>
      <c r="W122" s="249"/>
      <c r="X122" s="249"/>
      <c r="Y122" s="249"/>
      <c r="Z122" s="249"/>
    </row>
    <row r="123" spans="16:26" ht="10.199999999999999" customHeight="1">
      <c r="P123" s="241"/>
      <c r="Q123" s="241"/>
      <c r="R123" s="241"/>
      <c r="S123" s="241"/>
      <c r="T123" s="241"/>
      <c r="U123" s="241"/>
      <c r="V123" s="241"/>
      <c r="W123" s="241"/>
      <c r="X123" s="241"/>
      <c r="Y123" s="241"/>
      <c r="Z123" s="241"/>
    </row>
    <row r="124" spans="16:26" ht="10.199999999999999" customHeight="1">
      <c r="P124" s="249"/>
      <c r="Q124" s="249"/>
      <c r="R124" s="249"/>
      <c r="S124" s="249"/>
      <c r="T124" s="249"/>
      <c r="U124" s="249"/>
      <c r="V124" s="249"/>
      <c r="W124" s="249"/>
      <c r="X124" s="249"/>
      <c r="Y124" s="249"/>
      <c r="Z124" s="249"/>
    </row>
    <row r="125" spans="16:26" ht="10.199999999999999" customHeight="1">
      <c r="P125" s="249"/>
      <c r="Q125" s="249"/>
      <c r="R125" s="249"/>
      <c r="S125" s="249"/>
      <c r="T125" s="249"/>
      <c r="U125" s="249"/>
      <c r="V125" s="249"/>
      <c r="W125" s="249"/>
      <c r="X125" s="249"/>
      <c r="Y125" s="249"/>
      <c r="Z125" s="249"/>
    </row>
    <row r="126" spans="16:26" ht="10.199999999999999" customHeight="1">
      <c r="P126" s="241"/>
      <c r="Q126" s="241"/>
      <c r="R126" s="241"/>
      <c r="S126" s="241"/>
      <c r="T126" s="241"/>
      <c r="U126" s="241"/>
      <c r="V126" s="241"/>
      <c r="W126" s="241"/>
      <c r="X126" s="241"/>
      <c r="Y126" s="241"/>
      <c r="Z126" s="241"/>
    </row>
    <row r="127" spans="16:26" ht="10.199999999999999" customHeight="1">
      <c r="P127" s="249"/>
      <c r="Q127" s="249"/>
      <c r="R127" s="249"/>
      <c r="S127" s="249"/>
      <c r="T127" s="249"/>
      <c r="U127" s="249"/>
      <c r="V127" s="249"/>
      <c r="W127" s="249"/>
      <c r="X127" s="249"/>
      <c r="Y127" s="249"/>
      <c r="Z127" s="249"/>
    </row>
    <row r="128" spans="16:26" ht="10.199999999999999" customHeight="1">
      <c r="P128" s="249"/>
      <c r="Q128" s="249"/>
      <c r="R128" s="249"/>
      <c r="S128" s="249"/>
      <c r="T128" s="249"/>
      <c r="U128" s="249"/>
      <c r="V128" s="249"/>
      <c r="W128" s="249"/>
      <c r="X128" s="249"/>
      <c r="Y128" s="249"/>
      <c r="Z128" s="249"/>
    </row>
    <row r="129" spans="16:26" ht="10.199999999999999" customHeight="1">
      <c r="P129" s="241"/>
      <c r="Q129" s="241"/>
      <c r="R129" s="241"/>
      <c r="S129" s="241"/>
      <c r="T129" s="241"/>
      <c r="U129" s="241"/>
      <c r="V129" s="241"/>
      <c r="W129" s="241"/>
      <c r="X129" s="241"/>
      <c r="Y129" s="241"/>
      <c r="Z129" s="241"/>
    </row>
    <row r="130" spans="16:26" ht="10.199999999999999" customHeight="1">
      <c r="P130" s="249"/>
      <c r="Q130" s="249"/>
      <c r="R130" s="249"/>
      <c r="S130" s="249"/>
      <c r="T130" s="249"/>
      <c r="U130" s="249"/>
      <c r="V130" s="249"/>
      <c r="W130" s="249"/>
      <c r="X130" s="249"/>
      <c r="Y130" s="249"/>
      <c r="Z130" s="249"/>
    </row>
    <row r="131" spans="16:26" ht="10.199999999999999" customHeight="1">
      <c r="P131" s="249"/>
      <c r="Q131" s="249"/>
      <c r="R131" s="249"/>
      <c r="S131" s="249"/>
      <c r="T131" s="249"/>
      <c r="U131" s="249"/>
      <c r="V131" s="249"/>
      <c r="W131" s="249"/>
      <c r="X131" s="249"/>
      <c r="Y131" s="249"/>
      <c r="Z131" s="249"/>
    </row>
    <row r="132" spans="16:26" ht="10.199999999999999" customHeight="1">
      <c r="P132" s="241"/>
      <c r="Q132" s="241"/>
      <c r="R132" s="241"/>
      <c r="S132" s="241"/>
      <c r="T132" s="241"/>
      <c r="U132" s="241"/>
      <c r="V132" s="241"/>
      <c r="W132" s="241"/>
      <c r="X132" s="241"/>
      <c r="Y132" s="241"/>
      <c r="Z132" s="241"/>
    </row>
    <row r="133" spans="16:26" ht="10.199999999999999" customHeight="1">
      <c r="P133" s="249"/>
      <c r="Q133" s="249"/>
      <c r="R133" s="249"/>
      <c r="S133" s="249"/>
      <c r="T133" s="249"/>
      <c r="U133" s="249"/>
      <c r="V133" s="249"/>
      <c r="W133" s="249"/>
      <c r="X133" s="249"/>
      <c r="Y133" s="249"/>
      <c r="Z133" s="249"/>
    </row>
    <row r="134" spans="16:26" ht="10.199999999999999" customHeight="1">
      <c r="P134" s="249"/>
      <c r="Q134" s="249"/>
      <c r="R134" s="249"/>
      <c r="S134" s="249"/>
      <c r="T134" s="249"/>
      <c r="U134" s="249"/>
      <c r="V134" s="249"/>
      <c r="W134" s="249"/>
      <c r="X134" s="249"/>
      <c r="Y134" s="249"/>
      <c r="Z134" s="249"/>
    </row>
    <row r="135" spans="16:26" ht="10.199999999999999" customHeight="1">
      <c r="P135" s="241"/>
      <c r="Q135" s="241"/>
      <c r="R135" s="241"/>
      <c r="S135" s="241"/>
      <c r="T135" s="241"/>
      <c r="U135" s="241"/>
      <c r="V135" s="241"/>
      <c r="W135" s="241"/>
      <c r="X135" s="241"/>
      <c r="Y135" s="241"/>
      <c r="Z135" s="241"/>
    </row>
    <row r="136" spans="16:26" ht="10.199999999999999" customHeight="1">
      <c r="P136" s="249"/>
      <c r="Q136" s="249"/>
      <c r="R136" s="249"/>
      <c r="S136" s="249"/>
      <c r="T136" s="249"/>
      <c r="U136" s="249"/>
      <c r="V136" s="249"/>
      <c r="W136" s="249"/>
      <c r="X136" s="249"/>
      <c r="Y136" s="249"/>
      <c r="Z136" s="249"/>
    </row>
    <row r="137" spans="16:26" ht="10.199999999999999" customHeight="1">
      <c r="P137" s="249"/>
      <c r="Q137" s="249"/>
      <c r="R137" s="249"/>
      <c r="S137" s="249"/>
      <c r="T137" s="249"/>
      <c r="U137" s="249"/>
      <c r="V137" s="249"/>
      <c r="W137" s="249"/>
      <c r="X137" s="249"/>
      <c r="Y137" s="249"/>
      <c r="Z137" s="249"/>
    </row>
    <row r="138" spans="16:26" ht="10.199999999999999" customHeight="1">
      <c r="P138" s="241"/>
      <c r="Q138" s="241"/>
      <c r="R138" s="241"/>
      <c r="S138" s="241"/>
      <c r="T138" s="241"/>
      <c r="U138" s="241"/>
      <c r="V138" s="241"/>
      <c r="W138" s="241"/>
      <c r="X138" s="241"/>
      <c r="Y138" s="241"/>
      <c r="Z138" s="241"/>
    </row>
    <row r="139" spans="16:26" ht="10.199999999999999" customHeight="1">
      <c r="P139" s="249"/>
      <c r="Q139" s="249"/>
      <c r="R139" s="249"/>
      <c r="S139" s="249"/>
      <c r="T139" s="249"/>
      <c r="U139" s="249"/>
      <c r="V139" s="249"/>
      <c r="W139" s="249"/>
      <c r="X139" s="249"/>
      <c r="Y139" s="249"/>
      <c r="Z139" s="249"/>
    </row>
    <row r="140" spans="16:26" ht="10.199999999999999" customHeight="1">
      <c r="P140" s="249"/>
      <c r="Q140" s="249"/>
      <c r="R140" s="249"/>
      <c r="S140" s="249"/>
      <c r="T140" s="249"/>
      <c r="U140" s="249"/>
      <c r="V140" s="249"/>
      <c r="W140" s="249"/>
      <c r="X140" s="249"/>
      <c r="Y140" s="249"/>
      <c r="Z140" s="249"/>
    </row>
    <row r="141" spans="16:26" ht="10.199999999999999" customHeight="1">
      <c r="P141" s="241"/>
      <c r="Q141" s="241"/>
      <c r="R141" s="241"/>
      <c r="S141" s="241"/>
      <c r="T141" s="241"/>
      <c r="U141" s="241"/>
      <c r="V141" s="241"/>
      <c r="W141" s="241"/>
      <c r="X141" s="241"/>
      <c r="Y141" s="241"/>
      <c r="Z141" s="241"/>
    </row>
    <row r="142" spans="16:26" ht="10.199999999999999" customHeight="1">
      <c r="P142" s="249"/>
      <c r="Q142" s="249"/>
      <c r="R142" s="249"/>
      <c r="S142" s="249"/>
      <c r="T142" s="249"/>
      <c r="U142" s="249"/>
      <c r="V142" s="249"/>
      <c r="W142" s="249"/>
      <c r="X142" s="249"/>
      <c r="Y142" s="249"/>
      <c r="Z142" s="249"/>
    </row>
    <row r="143" spans="16:26" ht="10.199999999999999" customHeight="1">
      <c r="P143" s="249"/>
      <c r="Q143" s="249"/>
      <c r="R143" s="249"/>
      <c r="S143" s="249"/>
      <c r="T143" s="249"/>
      <c r="U143" s="249"/>
      <c r="V143" s="249"/>
      <c r="W143" s="249"/>
      <c r="X143" s="249"/>
      <c r="Y143" s="249"/>
      <c r="Z143" s="249"/>
    </row>
    <row r="144" spans="16:26" ht="10.199999999999999" customHeight="1">
      <c r="P144" s="241"/>
      <c r="Q144" s="241"/>
      <c r="R144" s="241"/>
      <c r="S144" s="241"/>
      <c r="T144" s="241"/>
      <c r="U144" s="241"/>
      <c r="V144" s="241"/>
      <c r="W144" s="241"/>
      <c r="X144" s="241"/>
      <c r="Y144" s="241"/>
      <c r="Z144" s="241"/>
    </row>
    <row r="145" spans="16:26" ht="10.199999999999999" customHeight="1">
      <c r="P145" s="249"/>
      <c r="Q145" s="249"/>
      <c r="R145" s="249"/>
      <c r="S145" s="249"/>
      <c r="T145" s="249"/>
      <c r="U145" s="249"/>
      <c r="V145" s="249"/>
      <c r="W145" s="249"/>
      <c r="X145" s="249"/>
      <c r="Y145" s="249"/>
      <c r="Z145" s="249"/>
    </row>
    <row r="146" spans="16:26" ht="10.199999999999999" customHeight="1">
      <c r="P146" s="249"/>
      <c r="Q146" s="249"/>
      <c r="R146" s="249"/>
      <c r="S146" s="249"/>
      <c r="T146" s="249"/>
      <c r="U146" s="249"/>
      <c r="V146" s="249"/>
      <c r="W146" s="249"/>
      <c r="X146" s="249"/>
      <c r="Y146" s="249"/>
      <c r="Z146" s="249"/>
    </row>
    <row r="147" spans="16:26" ht="10.199999999999999" customHeight="1">
      <c r="P147" s="241"/>
      <c r="Q147" s="241"/>
      <c r="R147" s="241"/>
      <c r="S147" s="241"/>
      <c r="T147" s="241"/>
      <c r="U147" s="241"/>
      <c r="V147" s="241"/>
      <c r="W147" s="241"/>
      <c r="X147" s="241"/>
      <c r="Y147" s="241"/>
      <c r="Z147" s="241"/>
    </row>
    <row r="148" spans="16:26" ht="10.199999999999999" customHeight="1">
      <c r="P148" s="249"/>
      <c r="Q148" s="249"/>
      <c r="R148" s="249"/>
      <c r="S148" s="249"/>
      <c r="T148" s="249"/>
      <c r="U148" s="249"/>
      <c r="V148" s="249"/>
      <c r="W148" s="249"/>
      <c r="X148" s="249"/>
      <c r="Y148" s="249"/>
      <c r="Z148" s="249"/>
    </row>
    <row r="149" spans="16:26" ht="10.199999999999999" customHeight="1">
      <c r="P149" s="249"/>
      <c r="Q149" s="249"/>
      <c r="R149" s="249"/>
      <c r="S149" s="249"/>
      <c r="T149" s="249"/>
      <c r="U149" s="249"/>
      <c r="V149" s="249"/>
      <c r="W149" s="249"/>
      <c r="X149" s="249"/>
      <c r="Y149" s="249"/>
      <c r="Z149" s="249"/>
    </row>
    <row r="150" spans="16:26" ht="10.199999999999999" customHeight="1">
      <c r="P150" s="241"/>
      <c r="Q150" s="241"/>
      <c r="R150" s="241"/>
      <c r="S150" s="241"/>
      <c r="T150" s="241"/>
      <c r="U150" s="241"/>
      <c r="V150" s="241"/>
      <c r="W150" s="241"/>
      <c r="X150" s="241"/>
      <c r="Y150" s="241"/>
      <c r="Z150" s="241"/>
    </row>
    <row r="151" spans="16:26" ht="10.199999999999999" customHeight="1">
      <c r="P151" s="249"/>
      <c r="Q151" s="249"/>
      <c r="R151" s="249"/>
      <c r="S151" s="249"/>
      <c r="T151" s="249"/>
      <c r="U151" s="249"/>
      <c r="V151" s="249"/>
      <c r="W151" s="249"/>
      <c r="X151" s="249"/>
      <c r="Y151" s="249"/>
      <c r="Z151" s="249"/>
    </row>
    <row r="152" spans="16:26" ht="10.199999999999999" customHeight="1">
      <c r="P152" s="249"/>
      <c r="Q152" s="249"/>
      <c r="R152" s="249"/>
      <c r="S152" s="249"/>
      <c r="T152" s="249"/>
      <c r="U152" s="249"/>
      <c r="V152" s="249"/>
      <c r="W152" s="249"/>
      <c r="X152" s="249"/>
      <c r="Y152" s="249"/>
      <c r="Z152" s="249"/>
    </row>
    <row r="153" spans="16:26" ht="10.199999999999999" customHeight="1">
      <c r="P153" s="241"/>
      <c r="Q153" s="241"/>
      <c r="R153" s="241"/>
      <c r="S153" s="241"/>
      <c r="T153" s="241"/>
      <c r="U153" s="241"/>
      <c r="V153" s="241"/>
      <c r="W153" s="241"/>
      <c r="X153" s="241"/>
      <c r="Y153" s="241"/>
      <c r="Z153" s="241"/>
    </row>
    <row r="154" spans="16:26" ht="10.199999999999999" customHeight="1">
      <c r="P154" s="249"/>
      <c r="Q154" s="249"/>
      <c r="R154" s="249"/>
      <c r="S154" s="249"/>
      <c r="T154" s="249"/>
      <c r="U154" s="249"/>
      <c r="V154" s="249"/>
      <c r="W154" s="249"/>
      <c r="X154" s="249"/>
      <c r="Y154" s="249"/>
      <c r="Z154" s="249"/>
    </row>
    <row r="155" spans="16:26" ht="10.199999999999999" customHeight="1">
      <c r="P155" s="249"/>
      <c r="Q155" s="249"/>
      <c r="R155" s="249"/>
      <c r="S155" s="249"/>
      <c r="T155" s="249"/>
      <c r="U155" s="249"/>
      <c r="V155" s="249"/>
      <c r="W155" s="249"/>
      <c r="X155" s="249"/>
      <c r="Y155" s="249"/>
      <c r="Z155" s="249"/>
    </row>
    <row r="156" spans="16:26" ht="10.199999999999999" customHeight="1">
      <c r="P156" s="241"/>
      <c r="Q156" s="241"/>
      <c r="R156" s="241"/>
      <c r="S156" s="241"/>
      <c r="T156" s="241"/>
      <c r="U156" s="241"/>
      <c r="V156" s="241"/>
      <c r="W156" s="241"/>
      <c r="X156" s="241"/>
      <c r="Y156" s="241"/>
      <c r="Z156" s="241"/>
    </row>
    <row r="157" spans="16:26" ht="10.199999999999999" customHeight="1">
      <c r="P157" s="249"/>
      <c r="Q157" s="249"/>
      <c r="R157" s="249"/>
      <c r="S157" s="249"/>
      <c r="T157" s="249"/>
      <c r="U157" s="249"/>
      <c r="V157" s="249"/>
      <c r="W157" s="249"/>
      <c r="X157" s="249"/>
      <c r="Y157" s="249"/>
      <c r="Z157" s="249"/>
    </row>
    <row r="158" spans="16:26" ht="10.199999999999999" customHeight="1">
      <c r="P158" s="249"/>
      <c r="Q158" s="249"/>
      <c r="R158" s="249"/>
      <c r="S158" s="249"/>
      <c r="T158" s="249"/>
      <c r="U158" s="249"/>
      <c r="V158" s="249"/>
      <c r="W158" s="249"/>
      <c r="X158" s="249"/>
      <c r="Y158" s="249"/>
      <c r="Z158" s="249"/>
    </row>
    <row r="159" spans="16:26" ht="10.199999999999999" customHeight="1">
      <c r="P159" s="241"/>
      <c r="Q159" s="241"/>
      <c r="R159" s="241"/>
      <c r="S159" s="241"/>
      <c r="T159" s="241"/>
      <c r="U159" s="241"/>
      <c r="V159" s="241"/>
      <c r="W159" s="241"/>
      <c r="X159" s="241"/>
      <c r="Y159" s="241"/>
      <c r="Z159" s="241"/>
    </row>
    <row r="160" spans="16:26" ht="10.199999999999999" customHeight="1">
      <c r="P160" s="249"/>
      <c r="Q160" s="249"/>
      <c r="R160" s="249"/>
      <c r="S160" s="249"/>
      <c r="T160" s="249"/>
      <c r="U160" s="249"/>
      <c r="V160" s="249"/>
      <c r="W160" s="249"/>
      <c r="X160" s="249"/>
      <c r="Y160" s="249"/>
      <c r="Z160" s="249"/>
    </row>
    <row r="161" spans="16:26" ht="10.199999999999999" customHeight="1">
      <c r="P161" s="249"/>
      <c r="Q161" s="249"/>
      <c r="R161" s="249"/>
      <c r="S161" s="249"/>
      <c r="T161" s="249"/>
      <c r="U161" s="249"/>
      <c r="V161" s="249"/>
      <c r="W161" s="249"/>
      <c r="X161" s="249"/>
      <c r="Y161" s="249"/>
      <c r="Z161" s="249"/>
    </row>
    <row r="162" spans="16:26" ht="10.199999999999999" customHeight="1">
      <c r="P162" s="241"/>
      <c r="Q162" s="241"/>
      <c r="R162" s="241"/>
      <c r="S162" s="241"/>
      <c r="T162" s="241"/>
      <c r="U162" s="241"/>
      <c r="V162" s="241"/>
      <c r="W162" s="241"/>
      <c r="X162" s="241"/>
      <c r="Y162" s="241"/>
      <c r="Z162" s="241"/>
    </row>
    <row r="163" spans="16:26" ht="10.199999999999999" customHeight="1">
      <c r="P163" s="249"/>
      <c r="Q163" s="249"/>
      <c r="R163" s="249"/>
      <c r="S163" s="249"/>
      <c r="T163" s="249"/>
      <c r="U163" s="249"/>
      <c r="V163" s="249"/>
      <c r="W163" s="249"/>
      <c r="X163" s="249"/>
      <c r="Y163" s="249"/>
      <c r="Z163" s="249"/>
    </row>
    <row r="164" spans="16:26" ht="10.199999999999999" customHeight="1">
      <c r="P164" s="249"/>
      <c r="Q164" s="249"/>
      <c r="R164" s="249"/>
      <c r="S164" s="249"/>
      <c r="T164" s="249"/>
      <c r="U164" s="249"/>
      <c r="V164" s="249"/>
      <c r="W164" s="249"/>
      <c r="X164" s="249"/>
      <c r="Y164" s="249"/>
      <c r="Z164" s="249"/>
    </row>
    <row r="165" spans="16:26" ht="10.199999999999999" customHeight="1">
      <c r="P165" s="241"/>
      <c r="Q165" s="241"/>
      <c r="R165" s="241"/>
      <c r="S165" s="241"/>
      <c r="T165" s="241"/>
      <c r="U165" s="241"/>
      <c r="V165" s="241"/>
      <c r="W165" s="241"/>
      <c r="X165" s="241"/>
      <c r="Y165" s="241"/>
      <c r="Z165" s="241"/>
    </row>
    <row r="166" spans="16:26" ht="10.199999999999999" customHeight="1">
      <c r="P166" s="249"/>
      <c r="Q166" s="249"/>
      <c r="R166" s="249"/>
      <c r="S166" s="249"/>
      <c r="T166" s="249"/>
      <c r="U166" s="249"/>
      <c r="V166" s="249"/>
      <c r="W166" s="249"/>
      <c r="X166" s="249"/>
      <c r="Y166" s="249"/>
      <c r="Z166" s="249"/>
    </row>
    <row r="167" spans="16:26" ht="10.199999999999999" customHeight="1">
      <c r="P167" s="249"/>
      <c r="Q167" s="249"/>
      <c r="R167" s="249"/>
      <c r="S167" s="249"/>
      <c r="T167" s="249"/>
      <c r="U167" s="249"/>
      <c r="V167" s="249"/>
      <c r="W167" s="249"/>
      <c r="X167" s="249"/>
      <c r="Y167" s="249"/>
      <c r="Z167" s="249"/>
    </row>
    <row r="168" spans="16:26" ht="10.199999999999999" customHeight="1">
      <c r="P168" s="241"/>
      <c r="Q168" s="241"/>
      <c r="R168" s="241"/>
      <c r="S168" s="241"/>
      <c r="T168" s="241"/>
      <c r="U168" s="241"/>
      <c r="V168" s="241"/>
      <c r="W168" s="241"/>
      <c r="X168" s="241"/>
      <c r="Y168" s="241"/>
      <c r="Z168" s="241"/>
    </row>
    <row r="169" spans="16:26" ht="10.199999999999999" customHeight="1">
      <c r="P169" s="249"/>
      <c r="Q169" s="249"/>
      <c r="R169" s="249"/>
      <c r="S169" s="249"/>
      <c r="T169" s="249"/>
      <c r="U169" s="249"/>
      <c r="V169" s="249"/>
      <c r="W169" s="249"/>
      <c r="X169" s="249"/>
      <c r="Y169" s="249"/>
      <c r="Z169" s="249"/>
    </row>
    <row r="170" spans="16:26" ht="10.199999999999999" customHeight="1">
      <c r="P170" s="249"/>
      <c r="Q170" s="249"/>
      <c r="R170" s="249"/>
      <c r="S170" s="249"/>
      <c r="T170" s="249"/>
      <c r="U170" s="249"/>
      <c r="V170" s="249"/>
      <c r="W170" s="249"/>
      <c r="X170" s="249"/>
      <c r="Y170" s="249"/>
      <c r="Z170" s="249"/>
    </row>
    <row r="171" spans="16:26" ht="10.199999999999999" customHeight="1">
      <c r="P171" s="241"/>
      <c r="Q171" s="241"/>
      <c r="R171" s="241"/>
      <c r="S171" s="241"/>
      <c r="T171" s="241"/>
      <c r="U171" s="241"/>
      <c r="V171" s="241"/>
      <c r="W171" s="241"/>
      <c r="X171" s="241"/>
      <c r="Y171" s="241"/>
      <c r="Z171" s="241"/>
    </row>
    <row r="172" spans="16:26" ht="10.199999999999999" customHeight="1">
      <c r="P172" s="249"/>
      <c r="Q172" s="249"/>
      <c r="R172" s="249"/>
      <c r="S172" s="249"/>
      <c r="T172" s="249"/>
      <c r="U172" s="249"/>
      <c r="V172" s="249"/>
      <c r="W172" s="249"/>
      <c r="X172" s="249"/>
      <c r="Y172" s="249"/>
      <c r="Z172" s="249"/>
    </row>
    <row r="173" spans="16:26" ht="10.199999999999999" customHeight="1">
      <c r="P173" s="249"/>
      <c r="Q173" s="249"/>
      <c r="R173" s="249"/>
      <c r="S173" s="249"/>
      <c r="T173" s="249"/>
      <c r="U173" s="249"/>
      <c r="V173" s="249"/>
      <c r="W173" s="249"/>
      <c r="X173" s="249"/>
      <c r="Y173" s="249"/>
      <c r="Z173" s="249"/>
    </row>
    <row r="174" spans="16:26" ht="10.199999999999999" customHeight="1">
      <c r="P174" s="241"/>
      <c r="Q174" s="241"/>
      <c r="R174" s="241"/>
      <c r="S174" s="241"/>
      <c r="T174" s="241"/>
      <c r="U174" s="241"/>
      <c r="V174" s="241"/>
      <c r="W174" s="241"/>
      <c r="X174" s="241"/>
      <c r="Y174" s="241"/>
      <c r="Z174" s="241"/>
    </row>
    <row r="175" spans="16:26" ht="10.199999999999999" customHeight="1">
      <c r="P175" s="249"/>
      <c r="Q175" s="249"/>
      <c r="R175" s="249"/>
      <c r="S175" s="249"/>
      <c r="T175" s="249"/>
      <c r="U175" s="249"/>
      <c r="V175" s="249"/>
      <c r="W175" s="249"/>
      <c r="X175" s="249"/>
      <c r="Y175" s="249"/>
      <c r="Z175" s="249"/>
    </row>
    <row r="176" spans="16:26" ht="10.199999999999999" customHeight="1">
      <c r="P176" s="249"/>
      <c r="Q176" s="249"/>
      <c r="R176" s="249"/>
      <c r="S176" s="249"/>
      <c r="T176" s="249"/>
      <c r="U176" s="249"/>
      <c r="V176" s="249"/>
      <c r="W176" s="249"/>
      <c r="X176" s="249"/>
      <c r="Y176" s="249"/>
      <c r="Z176" s="249"/>
    </row>
    <row r="177" spans="16:26" ht="10.199999999999999" customHeight="1">
      <c r="P177" s="241"/>
      <c r="Q177" s="241"/>
      <c r="R177" s="241"/>
      <c r="S177" s="241"/>
      <c r="T177" s="241"/>
      <c r="U177" s="241"/>
      <c r="V177" s="241"/>
      <c r="W177" s="241"/>
      <c r="X177" s="241"/>
      <c r="Y177" s="241"/>
      <c r="Z177" s="241"/>
    </row>
    <row r="178" spans="16:26" ht="10.199999999999999" customHeight="1">
      <c r="P178" s="249"/>
      <c r="Q178" s="249"/>
      <c r="R178" s="249"/>
      <c r="S178" s="249"/>
      <c r="T178" s="249"/>
      <c r="U178" s="249"/>
      <c r="V178" s="249"/>
      <c r="W178" s="249"/>
      <c r="X178" s="249"/>
      <c r="Y178" s="249"/>
      <c r="Z178" s="249"/>
    </row>
    <row r="179" spans="16:26" ht="10.199999999999999" customHeight="1">
      <c r="P179" s="249"/>
      <c r="Q179" s="249"/>
      <c r="R179" s="249"/>
      <c r="S179" s="249"/>
      <c r="T179" s="249"/>
      <c r="U179" s="249"/>
      <c r="V179" s="249"/>
      <c r="W179" s="249"/>
      <c r="X179" s="249"/>
      <c r="Y179" s="249"/>
      <c r="Z179" s="249"/>
    </row>
    <row r="180" spans="16:26" ht="10.199999999999999" customHeight="1">
      <c r="P180" s="241"/>
      <c r="Q180" s="241"/>
      <c r="R180" s="241"/>
      <c r="S180" s="241"/>
      <c r="T180" s="241"/>
      <c r="U180" s="241"/>
      <c r="V180" s="241"/>
      <c r="W180" s="241"/>
      <c r="X180" s="241"/>
      <c r="Y180" s="241"/>
      <c r="Z180" s="241"/>
    </row>
    <row r="181" spans="16:26" ht="10.199999999999999" customHeight="1">
      <c r="P181" s="249"/>
      <c r="Q181" s="249"/>
      <c r="R181" s="249"/>
      <c r="S181" s="249"/>
      <c r="T181" s="249"/>
      <c r="U181" s="249"/>
      <c r="V181" s="249"/>
      <c r="W181" s="249"/>
      <c r="X181" s="249"/>
      <c r="Y181" s="249"/>
      <c r="Z181" s="249"/>
    </row>
    <row r="182" spans="16:26" ht="10.199999999999999" customHeight="1">
      <c r="P182" s="249"/>
      <c r="Q182" s="249"/>
      <c r="R182" s="249"/>
      <c r="S182" s="249"/>
      <c r="T182" s="249"/>
      <c r="U182" s="249"/>
      <c r="V182" s="249"/>
      <c r="W182" s="249"/>
      <c r="X182" s="249"/>
      <c r="Y182" s="249"/>
      <c r="Z182" s="249"/>
    </row>
    <row r="183" spans="16:26" ht="10.199999999999999" customHeight="1">
      <c r="P183" s="241"/>
      <c r="Q183" s="241"/>
      <c r="R183" s="241"/>
      <c r="S183" s="241"/>
      <c r="T183" s="241"/>
      <c r="U183" s="241"/>
      <c r="V183" s="241"/>
      <c r="W183" s="241"/>
      <c r="X183" s="241"/>
      <c r="Y183" s="241"/>
      <c r="Z183" s="241"/>
    </row>
    <row r="184" spans="16:26" ht="10.199999999999999" customHeight="1">
      <c r="P184" s="249"/>
      <c r="Q184" s="249"/>
      <c r="R184" s="249"/>
      <c r="S184" s="249"/>
      <c r="T184" s="249"/>
      <c r="U184" s="249"/>
      <c r="V184" s="249"/>
      <c r="W184" s="249"/>
      <c r="X184" s="249"/>
      <c r="Y184" s="249"/>
      <c r="Z184" s="249"/>
    </row>
    <row r="185" spans="16:26" ht="10.199999999999999" customHeight="1">
      <c r="P185" s="249"/>
      <c r="Q185" s="249"/>
      <c r="R185" s="249"/>
      <c r="S185" s="249"/>
      <c r="T185" s="249"/>
      <c r="U185" s="249"/>
      <c r="V185" s="249"/>
      <c r="W185" s="249"/>
      <c r="X185" s="249"/>
      <c r="Y185" s="249"/>
      <c r="Z185" s="249"/>
    </row>
    <row r="186" spans="16:26" ht="10.199999999999999" customHeight="1">
      <c r="P186" s="241"/>
      <c r="Q186" s="241"/>
      <c r="R186" s="241"/>
      <c r="S186" s="241"/>
      <c r="T186" s="241"/>
      <c r="U186" s="241"/>
      <c r="V186" s="241"/>
      <c r="W186" s="241"/>
      <c r="X186" s="241"/>
      <c r="Y186" s="241"/>
      <c r="Z186" s="241"/>
    </row>
    <row r="187" spans="16:26" ht="10.199999999999999" customHeight="1">
      <c r="P187" s="249"/>
      <c r="Q187" s="249"/>
      <c r="R187" s="249"/>
      <c r="S187" s="249"/>
      <c r="T187" s="249"/>
      <c r="U187" s="249"/>
      <c r="V187" s="249"/>
      <c r="W187" s="249"/>
      <c r="X187" s="249"/>
      <c r="Y187" s="249"/>
      <c r="Z187" s="249"/>
    </row>
    <row r="188" spans="16:26" ht="10.199999999999999" customHeight="1">
      <c r="P188" s="249"/>
      <c r="Q188" s="249"/>
      <c r="R188" s="249"/>
      <c r="S188" s="249"/>
      <c r="T188" s="249"/>
      <c r="U188" s="249"/>
      <c r="V188" s="249"/>
      <c r="W188" s="249"/>
      <c r="X188" s="249"/>
      <c r="Y188" s="249"/>
      <c r="Z188" s="249"/>
    </row>
    <row r="189" spans="16:26" ht="10.199999999999999" customHeight="1">
      <c r="P189" s="241"/>
      <c r="Q189" s="241"/>
      <c r="R189" s="241"/>
      <c r="S189" s="241"/>
      <c r="T189" s="241"/>
      <c r="U189" s="241"/>
      <c r="V189" s="241"/>
      <c r="W189" s="241"/>
      <c r="X189" s="241"/>
      <c r="Y189" s="241"/>
      <c r="Z189" s="241"/>
    </row>
    <row r="190" spans="16:26" ht="10.199999999999999" customHeight="1">
      <c r="P190" s="249"/>
      <c r="Q190" s="249"/>
      <c r="R190" s="249"/>
      <c r="S190" s="249"/>
      <c r="T190" s="249"/>
      <c r="U190" s="249"/>
      <c r="V190" s="249"/>
      <c r="W190" s="249"/>
      <c r="X190" s="249"/>
      <c r="Y190" s="249"/>
      <c r="Z190" s="249"/>
    </row>
    <row r="191" spans="16:26" ht="10.199999999999999" customHeight="1">
      <c r="P191" s="249"/>
      <c r="Q191" s="249"/>
      <c r="R191" s="249"/>
      <c r="S191" s="249"/>
      <c r="T191" s="249"/>
      <c r="U191" s="249"/>
      <c r="V191" s="249"/>
      <c r="W191" s="249"/>
      <c r="X191" s="249"/>
      <c r="Y191" s="249"/>
      <c r="Z191" s="249"/>
    </row>
    <row r="192" spans="16:26" ht="10.199999999999999" customHeight="1">
      <c r="P192" s="241"/>
      <c r="Q192" s="241"/>
      <c r="R192" s="241"/>
      <c r="S192" s="241"/>
      <c r="T192" s="241"/>
      <c r="U192" s="241"/>
      <c r="V192" s="241"/>
      <c r="W192" s="241"/>
      <c r="X192" s="241"/>
      <c r="Y192" s="241"/>
      <c r="Z192" s="241"/>
    </row>
    <row r="193" spans="16:26" ht="10.199999999999999" customHeight="1">
      <c r="P193" s="249"/>
      <c r="Q193" s="249"/>
      <c r="R193" s="249"/>
      <c r="S193" s="249"/>
      <c r="T193" s="249"/>
      <c r="U193" s="249"/>
      <c r="V193" s="249"/>
      <c r="W193" s="249"/>
      <c r="X193" s="249"/>
      <c r="Y193" s="249"/>
      <c r="Z193" s="249"/>
    </row>
    <row r="194" spans="16:26" ht="10.199999999999999" customHeight="1">
      <c r="P194" s="249"/>
      <c r="Q194" s="249"/>
      <c r="R194" s="249"/>
      <c r="S194" s="249"/>
      <c r="T194" s="249"/>
      <c r="U194" s="249"/>
      <c r="V194" s="249"/>
      <c r="W194" s="249"/>
      <c r="X194" s="249"/>
      <c r="Y194" s="249"/>
      <c r="Z194" s="249"/>
    </row>
    <row r="195" spans="16:26" ht="10.199999999999999" customHeight="1">
      <c r="P195" s="241"/>
      <c r="Q195" s="241"/>
      <c r="R195" s="241"/>
      <c r="S195" s="241"/>
      <c r="T195" s="241"/>
      <c r="U195" s="241"/>
      <c r="V195" s="241"/>
      <c r="W195" s="241"/>
      <c r="X195" s="241"/>
      <c r="Y195" s="241"/>
      <c r="Z195" s="241"/>
    </row>
    <row r="196" spans="16:26" ht="10.199999999999999" customHeight="1">
      <c r="P196" s="249"/>
      <c r="Q196" s="249"/>
      <c r="R196" s="249"/>
      <c r="S196" s="249"/>
      <c r="T196" s="249"/>
      <c r="U196" s="249"/>
      <c r="V196" s="249"/>
      <c r="W196" s="249"/>
      <c r="X196" s="249"/>
      <c r="Y196" s="249"/>
      <c r="Z196" s="249"/>
    </row>
    <row r="197" spans="16:26" ht="10.199999999999999" customHeight="1">
      <c r="P197" s="249"/>
      <c r="Q197" s="249"/>
      <c r="R197" s="249"/>
      <c r="S197" s="249"/>
      <c r="T197" s="249"/>
      <c r="U197" s="249"/>
      <c r="V197" s="249"/>
      <c r="W197" s="249"/>
      <c r="X197" s="249"/>
      <c r="Y197" s="249"/>
      <c r="Z197" s="249"/>
    </row>
    <row r="198" spans="16:26" ht="10.199999999999999" customHeight="1">
      <c r="P198" s="241"/>
      <c r="Q198" s="241"/>
      <c r="R198" s="241"/>
      <c r="S198" s="241"/>
      <c r="T198" s="241"/>
      <c r="U198" s="241"/>
      <c r="V198" s="241"/>
      <c r="W198" s="241"/>
      <c r="X198" s="241"/>
      <c r="Y198" s="241"/>
      <c r="Z198" s="241"/>
    </row>
    <row r="199" spans="16:26" ht="10.199999999999999" customHeight="1">
      <c r="P199" s="249"/>
      <c r="Q199" s="249"/>
      <c r="R199" s="249"/>
      <c r="S199" s="249"/>
      <c r="T199" s="249"/>
      <c r="U199" s="249"/>
      <c r="V199" s="249"/>
      <c r="W199" s="249"/>
      <c r="X199" s="249"/>
      <c r="Y199" s="249"/>
      <c r="Z199" s="249"/>
    </row>
    <row r="200" spans="16:26" ht="10.199999999999999" customHeight="1">
      <c r="P200" s="249"/>
      <c r="Q200" s="249"/>
      <c r="R200" s="249"/>
      <c r="S200" s="249"/>
      <c r="T200" s="249"/>
      <c r="U200" s="249"/>
      <c r="V200" s="249"/>
      <c r="W200" s="249"/>
      <c r="X200" s="249"/>
      <c r="Y200" s="249"/>
      <c r="Z200" s="249"/>
    </row>
    <row r="201" spans="16:26" ht="10.199999999999999" customHeight="1">
      <c r="P201" s="241"/>
      <c r="Q201" s="241"/>
      <c r="R201" s="241"/>
      <c r="S201" s="241"/>
      <c r="T201" s="241"/>
      <c r="U201" s="241"/>
      <c r="V201" s="241"/>
      <c r="W201" s="241"/>
      <c r="X201" s="241"/>
      <c r="Y201" s="241"/>
      <c r="Z201" s="241"/>
    </row>
    <row r="202" spans="16:26" ht="10.199999999999999" customHeight="1">
      <c r="P202" s="249"/>
      <c r="Q202" s="249"/>
      <c r="R202" s="249"/>
      <c r="S202" s="249"/>
      <c r="T202" s="249"/>
      <c r="U202" s="249"/>
      <c r="V202" s="249"/>
      <c r="W202" s="249"/>
      <c r="X202" s="249"/>
      <c r="Y202" s="249"/>
      <c r="Z202" s="249"/>
    </row>
    <row r="203" spans="16:26" ht="10.199999999999999" customHeight="1">
      <c r="P203" s="249"/>
      <c r="Q203" s="249"/>
      <c r="R203" s="249"/>
      <c r="S203" s="249"/>
      <c r="T203" s="249"/>
      <c r="U203" s="249"/>
      <c r="V203" s="249"/>
      <c r="W203" s="249"/>
      <c r="X203" s="249"/>
      <c r="Y203" s="249"/>
      <c r="Z203" s="249"/>
    </row>
    <row r="204" spans="16:26" ht="10.199999999999999" customHeight="1">
      <c r="P204" s="241"/>
      <c r="Q204" s="241"/>
      <c r="R204" s="241"/>
      <c r="S204" s="241"/>
      <c r="T204" s="241"/>
      <c r="U204" s="241"/>
      <c r="V204" s="241"/>
      <c r="W204" s="241"/>
      <c r="X204" s="241"/>
      <c r="Y204" s="241"/>
      <c r="Z204" s="241"/>
    </row>
    <row r="205" spans="16:26" ht="10.199999999999999" customHeight="1">
      <c r="P205" s="249"/>
      <c r="Q205" s="249"/>
      <c r="R205" s="249"/>
      <c r="S205" s="249"/>
      <c r="T205" s="249"/>
      <c r="U205" s="249"/>
      <c r="V205" s="249"/>
      <c r="W205" s="249"/>
      <c r="X205" s="249"/>
      <c r="Y205" s="249"/>
      <c r="Z205" s="249"/>
    </row>
    <row r="206" spans="16:26" ht="10.199999999999999" customHeight="1">
      <c r="P206" s="249"/>
      <c r="Q206" s="249"/>
      <c r="R206" s="249"/>
      <c r="S206" s="249"/>
      <c r="T206" s="249"/>
      <c r="U206" s="249"/>
      <c r="V206" s="249"/>
      <c r="W206" s="249"/>
      <c r="X206" s="249"/>
      <c r="Y206" s="249"/>
      <c r="Z206" s="249"/>
    </row>
    <row r="207" spans="16:26" ht="10.199999999999999" customHeight="1">
      <c r="P207" s="241"/>
      <c r="Q207" s="241"/>
      <c r="R207" s="241"/>
      <c r="S207" s="241"/>
      <c r="T207" s="241"/>
      <c r="U207" s="241"/>
      <c r="V207" s="241"/>
      <c r="W207" s="241"/>
      <c r="X207" s="241"/>
      <c r="Y207" s="241"/>
      <c r="Z207" s="241"/>
    </row>
    <row r="208" spans="16:26" ht="10.199999999999999" customHeight="1">
      <c r="P208" s="249"/>
      <c r="Q208" s="249"/>
      <c r="R208" s="249"/>
      <c r="S208" s="249"/>
      <c r="T208" s="249"/>
      <c r="U208" s="249"/>
      <c r="V208" s="249"/>
      <c r="W208" s="249"/>
      <c r="X208" s="249"/>
      <c r="Y208" s="249"/>
      <c r="Z208" s="249"/>
    </row>
    <row r="209" spans="16:26" ht="10.199999999999999" customHeight="1">
      <c r="P209" s="249"/>
      <c r="Q209" s="249"/>
      <c r="R209" s="249"/>
      <c r="S209" s="249"/>
      <c r="T209" s="249"/>
      <c r="U209" s="249"/>
      <c r="V209" s="249"/>
      <c r="W209" s="249"/>
      <c r="X209" s="249"/>
      <c r="Y209" s="249"/>
      <c r="Z209" s="249"/>
    </row>
    <row r="210" spans="16:26" ht="10.199999999999999" customHeight="1">
      <c r="P210" s="241"/>
      <c r="Q210" s="241"/>
      <c r="R210" s="241"/>
      <c r="S210" s="241"/>
      <c r="T210" s="241"/>
      <c r="U210" s="241"/>
      <c r="V210" s="241"/>
      <c r="W210" s="241"/>
      <c r="X210" s="241"/>
      <c r="Y210" s="241"/>
      <c r="Z210" s="241"/>
    </row>
    <row r="211" spans="16:26" ht="10.199999999999999" customHeight="1">
      <c r="P211" s="249"/>
      <c r="Q211" s="249"/>
      <c r="R211" s="249"/>
      <c r="S211" s="249"/>
      <c r="T211" s="249"/>
      <c r="U211" s="249"/>
      <c r="V211" s="249"/>
      <c r="W211" s="249"/>
      <c r="X211" s="249"/>
      <c r="Y211" s="249"/>
      <c r="Z211" s="249"/>
    </row>
    <row r="212" spans="16:26" ht="10.199999999999999" customHeight="1">
      <c r="P212" s="249"/>
      <c r="Q212" s="249"/>
      <c r="R212" s="249"/>
      <c r="S212" s="249"/>
      <c r="T212" s="249"/>
      <c r="U212" s="249"/>
      <c r="V212" s="249"/>
      <c r="W212" s="249"/>
      <c r="X212" s="249"/>
      <c r="Y212" s="249"/>
      <c r="Z212" s="249"/>
    </row>
    <row r="213" spans="16:26" ht="10.199999999999999" customHeight="1">
      <c r="P213" s="241"/>
      <c r="Q213" s="241"/>
      <c r="R213" s="241"/>
      <c r="S213" s="241"/>
      <c r="T213" s="241"/>
      <c r="U213" s="241"/>
      <c r="V213" s="241"/>
      <c r="W213" s="241"/>
      <c r="X213" s="241"/>
      <c r="Y213" s="241"/>
      <c r="Z213" s="241"/>
    </row>
    <row r="214" spans="16:26" ht="10.199999999999999" customHeight="1">
      <c r="P214" s="249"/>
      <c r="Q214" s="249"/>
      <c r="R214" s="249"/>
      <c r="S214" s="249"/>
      <c r="T214" s="249"/>
      <c r="U214" s="249"/>
      <c r="V214" s="249"/>
      <c r="W214" s="249"/>
      <c r="X214" s="249"/>
      <c r="Y214" s="249"/>
      <c r="Z214" s="249"/>
    </row>
    <row r="215" spans="16:26" ht="10.199999999999999" customHeight="1">
      <c r="P215" s="249"/>
      <c r="Q215" s="249"/>
      <c r="R215" s="249"/>
      <c r="S215" s="249"/>
      <c r="T215" s="249"/>
      <c r="U215" s="249"/>
      <c r="V215" s="249"/>
      <c r="W215" s="249"/>
      <c r="X215" s="249"/>
      <c r="Y215" s="249"/>
      <c r="Z215" s="249"/>
    </row>
    <row r="216" spans="16:26" ht="10.199999999999999" customHeight="1">
      <c r="P216" s="241"/>
      <c r="Q216" s="241"/>
      <c r="R216" s="241"/>
      <c r="S216" s="241"/>
      <c r="T216" s="241"/>
      <c r="U216" s="241"/>
      <c r="V216" s="241"/>
      <c r="W216" s="241"/>
      <c r="X216" s="241"/>
      <c r="Y216" s="241"/>
      <c r="Z216" s="241"/>
    </row>
    <row r="217" spans="16:26" ht="10.199999999999999" customHeight="1">
      <c r="P217" s="249"/>
      <c r="Q217" s="249"/>
      <c r="R217" s="249"/>
      <c r="S217" s="249"/>
      <c r="T217" s="249"/>
      <c r="U217" s="249"/>
      <c r="V217" s="249"/>
      <c r="W217" s="249"/>
      <c r="X217" s="249"/>
      <c r="Y217" s="249"/>
      <c r="Z217" s="249"/>
    </row>
    <row r="218" spans="16:26" ht="10.199999999999999" customHeight="1">
      <c r="P218" s="249"/>
      <c r="Q218" s="249"/>
      <c r="R218" s="249"/>
      <c r="S218" s="249"/>
      <c r="T218" s="249"/>
      <c r="U218" s="249"/>
      <c r="V218" s="249"/>
      <c r="W218" s="249"/>
      <c r="X218" s="249"/>
      <c r="Y218" s="249"/>
      <c r="Z218" s="249"/>
    </row>
    <row r="219" spans="16:26" ht="10.199999999999999" customHeight="1">
      <c r="P219" s="241"/>
      <c r="Q219" s="241"/>
      <c r="R219" s="241"/>
      <c r="S219" s="241"/>
      <c r="T219" s="241"/>
      <c r="U219" s="241"/>
      <c r="V219" s="241"/>
      <c r="W219" s="241"/>
      <c r="X219" s="241"/>
      <c r="Y219" s="241"/>
      <c r="Z219" s="241"/>
    </row>
    <row r="220" spans="16:26" ht="10.199999999999999" customHeight="1">
      <c r="P220" s="249"/>
      <c r="Q220" s="249"/>
      <c r="R220" s="249"/>
      <c r="S220" s="249"/>
      <c r="T220" s="249"/>
      <c r="U220" s="249"/>
      <c r="V220" s="249"/>
      <c r="W220" s="249"/>
      <c r="X220" s="249"/>
      <c r="Y220" s="249"/>
      <c r="Z220" s="249"/>
    </row>
    <row r="221" spans="16:26" ht="10.199999999999999" customHeight="1">
      <c r="P221" s="249"/>
      <c r="Q221" s="249"/>
      <c r="R221" s="249"/>
      <c r="S221" s="249"/>
      <c r="T221" s="249"/>
      <c r="U221" s="249"/>
      <c r="V221" s="249"/>
      <c r="W221" s="249"/>
      <c r="X221" s="249"/>
      <c r="Y221" s="249"/>
      <c r="Z221" s="249"/>
    </row>
    <row r="222" spans="16:26" ht="10.199999999999999" customHeight="1">
      <c r="P222" s="241"/>
      <c r="Q222" s="241"/>
      <c r="R222" s="241"/>
      <c r="S222" s="241"/>
      <c r="T222" s="241"/>
      <c r="U222" s="241"/>
      <c r="V222" s="241"/>
      <c r="W222" s="241"/>
      <c r="X222" s="241"/>
      <c r="Y222" s="241"/>
      <c r="Z222" s="241"/>
    </row>
    <row r="223" spans="16:26" ht="10.199999999999999" customHeight="1">
      <c r="P223" s="249"/>
      <c r="Q223" s="249"/>
      <c r="R223" s="249"/>
      <c r="S223" s="249"/>
      <c r="T223" s="249"/>
      <c r="U223" s="249"/>
      <c r="V223" s="249"/>
      <c r="W223" s="249"/>
      <c r="X223" s="249"/>
      <c r="Y223" s="249"/>
      <c r="Z223" s="249"/>
    </row>
    <row r="224" spans="16:26" ht="10.199999999999999" customHeight="1">
      <c r="P224" s="249"/>
      <c r="Q224" s="249"/>
      <c r="R224" s="249"/>
      <c r="S224" s="249"/>
      <c r="T224" s="249"/>
      <c r="U224" s="249"/>
      <c r="V224" s="249"/>
      <c r="W224" s="249"/>
      <c r="X224" s="249"/>
      <c r="Y224" s="249"/>
      <c r="Z224" s="249"/>
    </row>
    <row r="225" spans="16:26" ht="10.199999999999999" customHeight="1">
      <c r="P225" s="241"/>
      <c r="Q225" s="241"/>
      <c r="R225" s="241"/>
      <c r="S225" s="241"/>
      <c r="T225" s="241"/>
      <c r="U225" s="241"/>
      <c r="V225" s="241"/>
      <c r="W225" s="241"/>
      <c r="X225" s="241"/>
      <c r="Y225" s="241"/>
      <c r="Z225" s="241"/>
    </row>
    <row r="226" spans="16:26" ht="10.199999999999999" customHeight="1">
      <c r="P226" s="249"/>
      <c r="Q226" s="249"/>
      <c r="R226" s="249"/>
      <c r="S226" s="249"/>
      <c r="T226" s="249"/>
      <c r="U226" s="249"/>
      <c r="V226" s="249"/>
      <c r="W226" s="249"/>
      <c r="X226" s="249"/>
      <c r="Y226" s="249"/>
      <c r="Z226" s="249"/>
    </row>
    <row r="227" spans="16:26" ht="10.199999999999999" customHeight="1">
      <c r="P227" s="249"/>
      <c r="Q227" s="249"/>
      <c r="R227" s="249"/>
      <c r="S227" s="249"/>
      <c r="T227" s="249"/>
      <c r="U227" s="249"/>
      <c r="V227" s="249"/>
      <c r="W227" s="249"/>
      <c r="X227" s="249"/>
      <c r="Y227" s="249"/>
      <c r="Z227" s="249"/>
    </row>
    <row r="228" spans="16:26" ht="10.199999999999999" customHeight="1">
      <c r="P228" s="241"/>
      <c r="Q228" s="241"/>
      <c r="R228" s="241"/>
      <c r="S228" s="241"/>
      <c r="T228" s="241"/>
      <c r="U228" s="241"/>
      <c r="V228" s="241"/>
      <c r="W228" s="241"/>
      <c r="X228" s="241"/>
      <c r="Y228" s="241"/>
      <c r="Z228" s="241"/>
    </row>
    <row r="229" spans="16:26" ht="10.199999999999999" customHeight="1">
      <c r="P229" s="249"/>
      <c r="Q229" s="249"/>
      <c r="R229" s="249"/>
      <c r="S229" s="249"/>
      <c r="T229" s="249"/>
      <c r="U229" s="249"/>
      <c r="V229" s="249"/>
      <c r="W229" s="249"/>
      <c r="X229" s="249"/>
      <c r="Y229" s="249"/>
      <c r="Z229" s="249"/>
    </row>
    <row r="230" spans="16:26" ht="10.199999999999999" customHeight="1">
      <c r="P230" s="249"/>
      <c r="Q230" s="249"/>
      <c r="R230" s="249"/>
      <c r="S230" s="249"/>
      <c r="T230" s="249"/>
      <c r="U230" s="249"/>
      <c r="V230" s="249"/>
      <c r="W230" s="249"/>
      <c r="X230" s="249"/>
      <c r="Y230" s="249"/>
      <c r="Z230" s="249"/>
    </row>
    <row r="231" spans="16:26" ht="10.199999999999999" customHeight="1">
      <c r="P231" s="241"/>
      <c r="Q231" s="241"/>
      <c r="R231" s="241"/>
      <c r="S231" s="241"/>
      <c r="T231" s="241"/>
      <c r="U231" s="241"/>
      <c r="V231" s="241"/>
      <c r="W231" s="241"/>
      <c r="X231" s="241"/>
      <c r="Y231" s="241"/>
      <c r="Z231" s="241"/>
    </row>
    <row r="232" spans="16:26" ht="10.199999999999999" customHeight="1">
      <c r="P232" s="249"/>
      <c r="Q232" s="249"/>
      <c r="R232" s="249"/>
      <c r="S232" s="249"/>
      <c r="T232" s="249"/>
      <c r="U232" s="249"/>
      <c r="V232" s="249"/>
      <c r="W232" s="249"/>
      <c r="X232" s="249"/>
      <c r="Y232" s="249"/>
      <c r="Z232" s="249"/>
    </row>
    <row r="233" spans="16:26" ht="10.199999999999999" customHeight="1">
      <c r="P233" s="249"/>
      <c r="Q233" s="249"/>
      <c r="R233" s="249"/>
      <c r="S233" s="249"/>
      <c r="T233" s="249"/>
      <c r="U233" s="249"/>
      <c r="V233" s="249"/>
      <c r="W233" s="249"/>
      <c r="X233" s="249"/>
      <c r="Y233" s="249"/>
      <c r="Z233" s="249"/>
    </row>
    <row r="234" spans="16:26" ht="10.199999999999999" customHeight="1">
      <c r="P234" s="241"/>
      <c r="Q234" s="241"/>
      <c r="R234" s="241"/>
      <c r="S234" s="241"/>
      <c r="T234" s="241"/>
      <c r="U234" s="241"/>
      <c r="V234" s="241"/>
      <c r="W234" s="241"/>
      <c r="X234" s="241"/>
      <c r="Y234" s="241"/>
      <c r="Z234" s="241"/>
    </row>
    <row r="235" spans="16:26" ht="10.199999999999999" customHeight="1">
      <c r="P235" s="249"/>
      <c r="Q235" s="249"/>
      <c r="R235" s="249"/>
      <c r="S235" s="249"/>
      <c r="T235" s="249"/>
      <c r="U235" s="249"/>
      <c r="V235" s="249"/>
      <c r="W235" s="249"/>
      <c r="X235" s="249"/>
      <c r="Y235" s="249"/>
      <c r="Z235" s="249"/>
    </row>
    <row r="236" spans="16:26" ht="10.199999999999999" customHeight="1">
      <c r="P236" s="249"/>
      <c r="Q236" s="249"/>
      <c r="R236" s="249"/>
      <c r="S236" s="249"/>
      <c r="T236" s="249"/>
      <c r="U236" s="249"/>
      <c r="V236" s="249"/>
      <c r="W236" s="249"/>
      <c r="X236" s="249"/>
      <c r="Y236" s="249"/>
      <c r="Z236" s="249"/>
    </row>
    <row r="237" spans="16:26" ht="10.199999999999999" customHeight="1">
      <c r="P237" s="241"/>
      <c r="Q237" s="241"/>
      <c r="R237" s="241"/>
      <c r="S237" s="241"/>
      <c r="T237" s="241"/>
      <c r="U237" s="241"/>
      <c r="V237" s="241"/>
      <c r="W237" s="241"/>
      <c r="X237" s="241"/>
      <c r="Y237" s="241"/>
      <c r="Z237" s="241"/>
    </row>
    <row r="238" spans="16:26" ht="10.199999999999999" customHeight="1">
      <c r="P238" s="249"/>
      <c r="Q238" s="249"/>
      <c r="R238" s="249"/>
      <c r="S238" s="249"/>
      <c r="T238" s="249"/>
      <c r="U238" s="249"/>
      <c r="V238" s="249"/>
      <c r="W238" s="249"/>
      <c r="X238" s="249"/>
      <c r="Y238" s="249"/>
      <c r="Z238" s="249"/>
    </row>
    <row r="239" spans="16:26" ht="10.199999999999999" customHeight="1">
      <c r="P239" s="249"/>
      <c r="Q239" s="249"/>
      <c r="R239" s="249"/>
      <c r="S239" s="249"/>
      <c r="T239" s="249"/>
      <c r="U239" s="249"/>
      <c r="V239" s="249"/>
      <c r="W239" s="249"/>
      <c r="X239" s="249"/>
      <c r="Y239" s="249"/>
      <c r="Z239" s="249"/>
    </row>
    <row r="240" spans="16:26" ht="10.199999999999999" customHeight="1">
      <c r="P240" s="241"/>
      <c r="Q240" s="241"/>
      <c r="R240" s="241"/>
      <c r="S240" s="241"/>
      <c r="T240" s="241"/>
      <c r="U240" s="241"/>
      <c r="V240" s="241"/>
      <c r="W240" s="241"/>
      <c r="X240" s="241"/>
      <c r="Y240" s="241"/>
      <c r="Z240" s="241"/>
    </row>
    <row r="241" spans="16:26" ht="10.199999999999999" customHeight="1">
      <c r="P241" s="249"/>
      <c r="Q241" s="249"/>
      <c r="R241" s="249"/>
      <c r="S241" s="249"/>
      <c r="T241" s="249"/>
      <c r="U241" s="249"/>
      <c r="V241" s="249"/>
      <c r="W241" s="249"/>
      <c r="X241" s="249"/>
      <c r="Y241" s="249"/>
      <c r="Z241" s="249"/>
    </row>
    <row r="242" spans="16:26" ht="10.199999999999999" customHeight="1">
      <c r="P242" s="249"/>
      <c r="Q242" s="249"/>
      <c r="R242" s="249"/>
      <c r="S242" s="249"/>
      <c r="T242" s="249"/>
      <c r="U242" s="249"/>
      <c r="V242" s="249"/>
      <c r="W242" s="249"/>
      <c r="X242" s="249"/>
      <c r="Y242" s="249"/>
      <c r="Z242" s="249"/>
    </row>
    <row r="243" spans="16:26" ht="10.199999999999999" customHeight="1">
      <c r="P243" s="241"/>
      <c r="Q243" s="241"/>
      <c r="R243" s="241"/>
      <c r="S243" s="241"/>
      <c r="T243" s="241"/>
      <c r="U243" s="241"/>
      <c r="V243" s="241"/>
      <c r="W243" s="241"/>
      <c r="X243" s="241"/>
      <c r="Y243" s="241"/>
      <c r="Z243" s="241"/>
    </row>
    <row r="244" spans="16:26" ht="10.199999999999999" customHeight="1">
      <c r="P244" s="249"/>
      <c r="Q244" s="249"/>
      <c r="R244" s="249"/>
      <c r="S244" s="249"/>
      <c r="T244" s="249"/>
      <c r="U244" s="249"/>
      <c r="V244" s="249"/>
      <c r="W244" s="249"/>
      <c r="X244" s="249"/>
      <c r="Y244" s="249"/>
      <c r="Z244" s="249"/>
    </row>
    <row r="245" spans="16:26" ht="10.199999999999999" customHeight="1">
      <c r="P245" s="249"/>
      <c r="Q245" s="249"/>
      <c r="R245" s="249"/>
      <c r="S245" s="249"/>
      <c r="T245" s="249"/>
      <c r="U245" s="249"/>
      <c r="V245" s="249"/>
      <c r="W245" s="249"/>
      <c r="X245" s="249"/>
      <c r="Y245" s="249"/>
      <c r="Z245" s="249"/>
    </row>
    <row r="246" spans="16:26" ht="10.199999999999999" customHeight="1">
      <c r="P246" s="241"/>
      <c r="Q246" s="241"/>
      <c r="R246" s="241"/>
      <c r="S246" s="241"/>
      <c r="T246" s="241"/>
      <c r="U246" s="241"/>
      <c r="V246" s="241"/>
      <c r="W246" s="241"/>
      <c r="X246" s="241"/>
      <c r="Y246" s="241"/>
      <c r="Z246" s="241"/>
    </row>
    <row r="247" spans="16:26" ht="10.199999999999999" customHeight="1">
      <c r="P247" s="249"/>
      <c r="Q247" s="249"/>
      <c r="R247" s="249"/>
      <c r="S247" s="249"/>
      <c r="T247" s="249"/>
      <c r="U247" s="249"/>
      <c r="V247" s="249"/>
      <c r="W247" s="249"/>
      <c r="X247" s="249"/>
      <c r="Y247" s="249"/>
      <c r="Z247" s="249"/>
    </row>
    <row r="248" spans="16:26" ht="10.199999999999999" customHeight="1">
      <c r="P248" s="249"/>
      <c r="Q248" s="249"/>
      <c r="R248" s="249"/>
      <c r="S248" s="249"/>
      <c r="T248" s="249"/>
      <c r="U248" s="249"/>
      <c r="V248" s="249"/>
      <c r="W248" s="249"/>
      <c r="X248" s="249"/>
      <c r="Y248" s="249"/>
      <c r="Z248" s="249"/>
    </row>
    <row r="249" spans="16:26" ht="10.199999999999999" customHeight="1">
      <c r="P249" s="241"/>
      <c r="Q249" s="241"/>
      <c r="R249" s="241"/>
      <c r="S249" s="241"/>
      <c r="T249" s="241"/>
      <c r="U249" s="241"/>
      <c r="V249" s="241"/>
      <c r="W249" s="241"/>
      <c r="X249" s="241"/>
      <c r="Y249" s="241"/>
      <c r="Z249" s="241"/>
    </row>
    <row r="250" spans="16:26" ht="10.199999999999999" customHeight="1">
      <c r="P250" s="249"/>
      <c r="Q250" s="249"/>
      <c r="R250" s="249"/>
      <c r="S250" s="249"/>
      <c r="T250" s="249"/>
      <c r="U250" s="249"/>
      <c r="V250" s="249"/>
      <c r="W250" s="249"/>
      <c r="X250" s="249"/>
      <c r="Y250" s="249"/>
      <c r="Z250" s="249"/>
    </row>
    <row r="251" spans="16:26" ht="10.199999999999999" customHeight="1">
      <c r="P251" s="249"/>
      <c r="Q251" s="249"/>
      <c r="R251" s="249"/>
      <c r="S251" s="249"/>
      <c r="T251" s="249"/>
      <c r="U251" s="249"/>
      <c r="V251" s="249"/>
      <c r="W251" s="249"/>
      <c r="X251" s="249"/>
      <c r="Y251" s="249"/>
      <c r="Z251" s="249"/>
    </row>
    <row r="252" spans="16:26" ht="10.199999999999999" customHeight="1">
      <c r="P252" s="241"/>
      <c r="Q252" s="241"/>
      <c r="R252" s="241"/>
      <c r="S252" s="241"/>
      <c r="T252" s="241"/>
      <c r="U252" s="241"/>
      <c r="V252" s="241"/>
      <c r="W252" s="241"/>
      <c r="X252" s="241"/>
      <c r="Y252" s="241"/>
      <c r="Z252" s="241"/>
    </row>
    <row r="253" spans="16:26" ht="10.199999999999999" customHeight="1">
      <c r="P253" s="249"/>
      <c r="Q253" s="249"/>
      <c r="R253" s="249"/>
      <c r="S253" s="249"/>
      <c r="T253" s="249"/>
      <c r="U253" s="249"/>
      <c r="V253" s="249"/>
      <c r="W253" s="249"/>
      <c r="X253" s="249"/>
      <c r="Y253" s="249"/>
      <c r="Z253" s="249"/>
    </row>
    <row r="254" spans="16:26" ht="10.199999999999999" customHeight="1">
      <c r="P254" s="249"/>
      <c r="Q254" s="249"/>
      <c r="R254" s="249"/>
      <c r="S254" s="249"/>
      <c r="T254" s="249"/>
      <c r="U254" s="249"/>
      <c r="V254" s="249"/>
      <c r="W254" s="249"/>
      <c r="X254" s="249"/>
      <c r="Y254" s="249"/>
      <c r="Z254" s="249"/>
    </row>
    <row r="255" spans="16:26" ht="10.199999999999999" customHeight="1">
      <c r="P255" s="241"/>
      <c r="Q255" s="241"/>
      <c r="R255" s="241"/>
      <c r="S255" s="241"/>
      <c r="T255" s="241"/>
      <c r="U255" s="241"/>
      <c r="V255" s="241"/>
      <c r="W255" s="241"/>
      <c r="X255" s="241"/>
      <c r="Y255" s="241"/>
      <c r="Z255" s="241"/>
    </row>
    <row r="256" spans="16:26" ht="10.199999999999999" customHeight="1">
      <c r="P256" s="249"/>
      <c r="Q256" s="249"/>
      <c r="R256" s="249"/>
      <c r="S256" s="249"/>
      <c r="T256" s="249"/>
      <c r="U256" s="249"/>
      <c r="V256" s="249"/>
      <c r="W256" s="249"/>
      <c r="X256" s="249"/>
      <c r="Y256" s="249"/>
      <c r="Z256" s="249"/>
    </row>
    <row r="257" spans="16:26" ht="10.199999999999999" customHeight="1">
      <c r="P257" s="249"/>
      <c r="Q257" s="249"/>
      <c r="R257" s="249"/>
      <c r="S257" s="249"/>
      <c r="T257" s="249"/>
      <c r="U257" s="249"/>
      <c r="V257" s="249"/>
      <c r="W257" s="249"/>
      <c r="X257" s="249"/>
      <c r="Y257" s="249"/>
      <c r="Z257" s="249"/>
    </row>
    <row r="258" spans="16:26" ht="10.199999999999999" customHeight="1">
      <c r="P258" s="241"/>
      <c r="Q258" s="241"/>
      <c r="R258" s="241"/>
      <c r="S258" s="241"/>
      <c r="T258" s="241"/>
      <c r="U258" s="241"/>
      <c r="V258" s="241"/>
      <c r="W258" s="241"/>
      <c r="X258" s="241"/>
      <c r="Y258" s="241"/>
      <c r="Z258" s="241"/>
    </row>
    <row r="259" spans="16:26" ht="10.199999999999999" customHeight="1">
      <c r="P259" s="249"/>
      <c r="Q259" s="249"/>
      <c r="R259" s="249"/>
      <c r="S259" s="249"/>
      <c r="T259" s="249"/>
      <c r="U259" s="249"/>
      <c r="V259" s="249"/>
      <c r="W259" s="249"/>
      <c r="X259" s="249"/>
      <c r="Y259" s="249"/>
      <c r="Z259" s="249"/>
    </row>
    <row r="260" spans="16:26" ht="10.199999999999999" customHeight="1">
      <c r="P260" s="249"/>
      <c r="Q260" s="249"/>
      <c r="R260" s="249"/>
      <c r="S260" s="249"/>
      <c r="T260" s="249"/>
      <c r="U260" s="249"/>
      <c r="V260" s="249"/>
      <c r="W260" s="249"/>
      <c r="X260" s="249"/>
      <c r="Y260" s="249"/>
      <c r="Z260" s="249"/>
    </row>
    <row r="261" spans="16:26" ht="10.199999999999999" customHeight="1">
      <c r="P261" s="241"/>
      <c r="Q261" s="241"/>
      <c r="R261" s="241"/>
      <c r="S261" s="241"/>
      <c r="T261" s="241"/>
      <c r="U261" s="241"/>
      <c r="V261" s="241"/>
      <c r="W261" s="241"/>
      <c r="X261" s="241"/>
      <c r="Y261" s="241"/>
      <c r="Z261" s="241"/>
    </row>
    <row r="262" spans="16:26" ht="10.199999999999999" customHeight="1">
      <c r="P262" s="249"/>
      <c r="Q262" s="249"/>
      <c r="R262" s="249"/>
      <c r="S262" s="249"/>
      <c r="T262" s="249"/>
      <c r="U262" s="249"/>
      <c r="V262" s="249"/>
      <c r="W262" s="249"/>
      <c r="X262" s="249"/>
      <c r="Y262" s="249"/>
      <c r="Z262" s="249"/>
    </row>
    <row r="263" spans="16:26" ht="10.199999999999999" customHeight="1">
      <c r="P263" s="249"/>
      <c r="Q263" s="249"/>
      <c r="R263" s="249"/>
      <c r="S263" s="249"/>
      <c r="T263" s="249"/>
      <c r="U263" s="249"/>
      <c r="V263" s="249"/>
      <c r="W263" s="249"/>
      <c r="X263" s="249"/>
      <c r="Y263" s="249"/>
      <c r="Z263" s="249"/>
    </row>
    <row r="264" spans="16:26" ht="10.199999999999999" customHeight="1">
      <c r="P264" s="241"/>
      <c r="Q264" s="241"/>
      <c r="R264" s="241"/>
      <c r="S264" s="241"/>
      <c r="T264" s="241"/>
      <c r="U264" s="241"/>
      <c r="V264" s="241"/>
      <c r="W264" s="241"/>
      <c r="X264" s="241"/>
      <c r="Y264" s="241"/>
      <c r="Z264" s="241"/>
    </row>
    <row r="265" spans="16:26" ht="10.199999999999999" customHeight="1">
      <c r="P265" s="249"/>
      <c r="Q265" s="249"/>
      <c r="R265" s="249"/>
      <c r="S265" s="249"/>
      <c r="T265" s="249"/>
      <c r="U265" s="249"/>
      <c r="V265" s="249"/>
      <c r="W265" s="249"/>
      <c r="X265" s="249"/>
      <c r="Y265" s="249"/>
      <c r="Z265" s="249"/>
    </row>
    <row r="266" spans="16:26" ht="10.199999999999999" customHeight="1">
      <c r="P266" s="249"/>
      <c r="Q266" s="249"/>
      <c r="R266" s="249"/>
      <c r="S266" s="249"/>
      <c r="T266" s="249"/>
      <c r="U266" s="249"/>
      <c r="V266" s="249"/>
      <c r="W266" s="249"/>
      <c r="X266" s="249"/>
      <c r="Y266" s="249"/>
      <c r="Z266" s="249"/>
    </row>
    <row r="267" spans="16:26" ht="10.199999999999999" customHeight="1">
      <c r="P267" s="241"/>
      <c r="Q267" s="241"/>
      <c r="R267" s="241"/>
      <c r="S267" s="241"/>
      <c r="T267" s="241"/>
      <c r="U267" s="241"/>
      <c r="V267" s="241"/>
      <c r="W267" s="241"/>
      <c r="X267" s="241"/>
      <c r="Y267" s="241"/>
      <c r="Z267" s="241"/>
    </row>
    <row r="268" spans="16:26" ht="10.199999999999999" customHeight="1">
      <c r="P268" s="249"/>
      <c r="Q268" s="249"/>
      <c r="R268" s="249"/>
      <c r="S268" s="249"/>
      <c r="T268" s="249"/>
      <c r="U268" s="249"/>
      <c r="V268" s="249"/>
      <c r="W268" s="249"/>
      <c r="X268" s="249"/>
      <c r="Y268" s="249"/>
      <c r="Z268" s="249"/>
    </row>
    <row r="269" spans="16:26" ht="10.199999999999999" customHeight="1">
      <c r="P269" s="249"/>
      <c r="Q269" s="249"/>
      <c r="R269" s="249"/>
      <c r="S269" s="249"/>
      <c r="T269" s="249"/>
      <c r="U269" s="249"/>
      <c r="V269" s="249"/>
      <c r="W269" s="249"/>
      <c r="X269" s="249"/>
      <c r="Y269" s="249"/>
      <c r="Z269" s="249"/>
    </row>
    <row r="270" spans="16:26" ht="10.199999999999999" customHeight="1">
      <c r="P270" s="241"/>
      <c r="Q270" s="241"/>
      <c r="R270" s="241"/>
      <c r="S270" s="241"/>
      <c r="T270" s="241"/>
      <c r="U270" s="241"/>
      <c r="V270" s="241"/>
      <c r="W270" s="241"/>
      <c r="X270" s="241"/>
      <c r="Y270" s="241"/>
      <c r="Z270" s="241"/>
    </row>
    <row r="271" spans="16:26" ht="10.199999999999999" customHeight="1">
      <c r="P271" s="249"/>
      <c r="Q271" s="249"/>
      <c r="R271" s="249"/>
      <c r="S271" s="249"/>
      <c r="T271" s="249"/>
      <c r="U271" s="249"/>
      <c r="V271" s="249"/>
      <c r="W271" s="249"/>
      <c r="X271" s="249"/>
      <c r="Y271" s="249"/>
      <c r="Z271" s="249"/>
    </row>
    <row r="272" spans="16:26" ht="10.199999999999999" customHeight="1">
      <c r="P272" s="249"/>
      <c r="Q272" s="249"/>
      <c r="R272" s="249"/>
      <c r="S272" s="249"/>
      <c r="T272" s="249"/>
      <c r="U272" s="249"/>
      <c r="V272" s="249"/>
      <c r="W272" s="249"/>
      <c r="X272" s="249"/>
      <c r="Y272" s="249"/>
      <c r="Z272" s="249"/>
    </row>
    <row r="273" spans="16:26" ht="10.199999999999999" customHeight="1">
      <c r="P273" s="241"/>
      <c r="Q273" s="241"/>
      <c r="R273" s="241"/>
      <c r="S273" s="241"/>
      <c r="T273" s="241"/>
      <c r="U273" s="241"/>
      <c r="V273" s="241"/>
      <c r="W273" s="241"/>
      <c r="X273" s="241"/>
      <c r="Y273" s="241"/>
      <c r="Z273" s="241"/>
    </row>
    <row r="274" spans="16:26" ht="10.199999999999999" customHeight="1">
      <c r="P274" s="249"/>
      <c r="Q274" s="249"/>
      <c r="R274" s="249"/>
      <c r="S274" s="249"/>
      <c r="T274" s="249"/>
      <c r="U274" s="249"/>
      <c r="V274" s="249"/>
      <c r="W274" s="249"/>
      <c r="X274" s="249"/>
      <c r="Y274" s="249"/>
      <c r="Z274" s="249"/>
    </row>
    <row r="275" spans="16:26" ht="10.199999999999999" customHeight="1">
      <c r="P275" s="249"/>
      <c r="Q275" s="249"/>
      <c r="R275" s="249"/>
      <c r="S275" s="249"/>
      <c r="T275" s="249"/>
      <c r="U275" s="249"/>
      <c r="V275" s="249"/>
      <c r="W275" s="249"/>
      <c r="X275" s="249"/>
      <c r="Y275" s="249"/>
      <c r="Z275" s="249"/>
    </row>
    <row r="276" spans="16:26" ht="10.199999999999999" customHeight="1">
      <c r="P276" s="241"/>
      <c r="Q276" s="241"/>
      <c r="R276" s="241"/>
      <c r="S276" s="241"/>
      <c r="T276" s="241"/>
      <c r="U276" s="241"/>
      <c r="V276" s="241"/>
      <c r="W276" s="241"/>
      <c r="X276" s="241"/>
      <c r="Y276" s="241"/>
      <c r="Z276" s="241"/>
    </row>
    <row r="277" spans="16:26" ht="10.199999999999999" customHeight="1">
      <c r="P277" s="249"/>
      <c r="Q277" s="249"/>
      <c r="R277" s="249"/>
      <c r="S277" s="249"/>
      <c r="T277" s="249"/>
      <c r="U277" s="249"/>
      <c r="V277" s="249"/>
      <c r="W277" s="249"/>
      <c r="X277" s="249"/>
      <c r="Y277" s="249"/>
      <c r="Z277" s="249"/>
    </row>
    <row r="278" spans="16:26" ht="10.199999999999999" customHeight="1">
      <c r="P278" s="249"/>
      <c r="Q278" s="249"/>
      <c r="R278" s="249"/>
      <c r="S278" s="249"/>
      <c r="T278" s="249"/>
      <c r="U278" s="249"/>
      <c r="V278" s="249"/>
      <c r="W278" s="249"/>
      <c r="X278" s="249"/>
      <c r="Y278" s="249"/>
      <c r="Z278" s="249"/>
    </row>
    <row r="279" spans="16:26" ht="10.199999999999999" customHeight="1">
      <c r="P279" s="241"/>
      <c r="Q279" s="241"/>
      <c r="R279" s="241"/>
      <c r="S279" s="241"/>
      <c r="T279" s="241"/>
      <c r="U279" s="241"/>
      <c r="V279" s="241"/>
      <c r="W279" s="241"/>
      <c r="X279" s="241"/>
      <c r="Y279" s="241"/>
      <c r="Z279" s="241"/>
    </row>
    <row r="280" spans="16:26" ht="10.199999999999999" customHeight="1">
      <c r="P280" s="249"/>
      <c r="Q280" s="249"/>
      <c r="R280" s="249"/>
      <c r="S280" s="249"/>
      <c r="T280" s="249"/>
      <c r="U280" s="249"/>
      <c r="V280" s="249"/>
      <c r="W280" s="249"/>
      <c r="X280" s="249"/>
      <c r="Y280" s="249"/>
      <c r="Z280" s="249"/>
    </row>
    <row r="281" spans="16:26" ht="10.199999999999999" customHeight="1">
      <c r="P281" s="249"/>
      <c r="Q281" s="249"/>
      <c r="R281" s="249"/>
      <c r="S281" s="249"/>
      <c r="T281" s="249"/>
      <c r="U281" s="249"/>
      <c r="V281" s="249"/>
      <c r="W281" s="249"/>
      <c r="X281" s="249"/>
      <c r="Y281" s="249"/>
      <c r="Z281" s="249"/>
    </row>
    <row r="282" spans="16:26" ht="10.199999999999999" customHeight="1">
      <c r="P282" s="241"/>
      <c r="Q282" s="241"/>
      <c r="R282" s="241"/>
      <c r="S282" s="241"/>
      <c r="T282" s="241"/>
      <c r="U282" s="241"/>
      <c r="V282" s="241"/>
      <c r="W282" s="241"/>
      <c r="X282" s="241"/>
      <c r="Y282" s="241"/>
      <c r="Z282" s="241"/>
    </row>
    <row r="283" spans="16:26" ht="10.199999999999999" customHeight="1">
      <c r="P283" s="249"/>
      <c r="Q283" s="249"/>
      <c r="R283" s="249"/>
      <c r="S283" s="249"/>
      <c r="T283" s="249"/>
      <c r="U283" s="249"/>
      <c r="V283" s="249"/>
      <c r="W283" s="249"/>
      <c r="X283" s="249"/>
      <c r="Y283" s="249"/>
      <c r="Z283" s="249"/>
    </row>
    <row r="284" spans="16:26" ht="10.199999999999999" customHeight="1">
      <c r="P284" s="249"/>
      <c r="Q284" s="249"/>
      <c r="R284" s="249"/>
      <c r="S284" s="249"/>
      <c r="T284" s="249"/>
      <c r="U284" s="249"/>
      <c r="V284" s="249"/>
      <c r="W284" s="249"/>
      <c r="X284" s="249"/>
      <c r="Y284" s="249"/>
      <c r="Z284" s="249"/>
    </row>
    <row r="285" spans="16:26" ht="10.199999999999999" customHeight="1">
      <c r="P285" s="241"/>
      <c r="Q285" s="241"/>
      <c r="R285" s="241"/>
      <c r="S285" s="241"/>
      <c r="T285" s="241"/>
      <c r="U285" s="241"/>
      <c r="V285" s="241"/>
      <c r="W285" s="241"/>
      <c r="X285" s="241"/>
      <c r="Y285" s="241"/>
      <c r="Z285" s="241"/>
    </row>
    <row r="286" spans="16:26" ht="10.199999999999999" customHeight="1">
      <c r="P286" s="249"/>
      <c r="Q286" s="249"/>
      <c r="R286" s="249"/>
      <c r="S286" s="249"/>
      <c r="T286" s="249"/>
      <c r="U286" s="249"/>
      <c r="V286" s="249"/>
      <c r="W286" s="249"/>
      <c r="X286" s="249"/>
      <c r="Y286" s="249"/>
      <c r="Z286" s="249"/>
    </row>
    <row r="287" spans="16:26" ht="10.199999999999999" customHeight="1">
      <c r="P287" s="249"/>
      <c r="Q287" s="249"/>
      <c r="R287" s="249"/>
      <c r="S287" s="249"/>
      <c r="T287" s="249"/>
      <c r="U287" s="249"/>
      <c r="V287" s="249"/>
      <c r="W287" s="249"/>
      <c r="X287" s="249"/>
      <c r="Y287" s="249"/>
      <c r="Z287" s="249"/>
    </row>
    <row r="288" spans="16:26" ht="10.199999999999999" customHeight="1">
      <c r="P288" s="241"/>
      <c r="Q288" s="241"/>
      <c r="R288" s="241"/>
      <c r="S288" s="241"/>
      <c r="T288" s="241"/>
      <c r="U288" s="241"/>
      <c r="V288" s="241"/>
      <c r="W288" s="241"/>
      <c r="X288" s="241"/>
      <c r="Y288" s="241"/>
      <c r="Z288" s="241"/>
    </row>
    <row r="289" spans="16:26" ht="10.199999999999999" customHeight="1">
      <c r="P289" s="249"/>
      <c r="Q289" s="249"/>
      <c r="R289" s="249"/>
      <c r="S289" s="249"/>
      <c r="T289" s="249"/>
      <c r="U289" s="249"/>
      <c r="V289" s="249"/>
      <c r="W289" s="249"/>
      <c r="X289" s="249"/>
      <c r="Y289" s="249"/>
      <c r="Z289" s="249"/>
    </row>
    <row r="290" spans="16:26" ht="10.199999999999999" customHeight="1">
      <c r="P290" s="249"/>
      <c r="Q290" s="249"/>
      <c r="R290" s="249"/>
      <c r="S290" s="249"/>
      <c r="T290" s="249"/>
      <c r="U290" s="249"/>
      <c r="V290" s="249"/>
      <c r="W290" s="249"/>
      <c r="X290" s="249"/>
      <c r="Y290" s="249"/>
      <c r="Z290" s="249"/>
    </row>
    <row r="291" spans="16:26" ht="10.199999999999999" customHeight="1">
      <c r="P291" s="241"/>
      <c r="Q291" s="241"/>
      <c r="R291" s="241"/>
      <c r="S291" s="241"/>
      <c r="T291" s="241"/>
      <c r="U291" s="241"/>
      <c r="V291" s="241"/>
      <c r="W291" s="241"/>
      <c r="X291" s="241"/>
      <c r="Y291" s="241"/>
      <c r="Z291" s="241"/>
    </row>
    <row r="292" spans="16:26" ht="10.199999999999999" customHeight="1">
      <c r="P292" s="249"/>
      <c r="Q292" s="249"/>
      <c r="R292" s="249"/>
      <c r="S292" s="249"/>
      <c r="T292" s="249"/>
      <c r="U292" s="249"/>
      <c r="V292" s="249"/>
      <c r="W292" s="249"/>
      <c r="X292" s="249"/>
      <c r="Y292" s="249"/>
      <c r="Z292" s="249"/>
    </row>
    <row r="293" spans="16:26" ht="10.199999999999999" customHeight="1">
      <c r="P293" s="249"/>
      <c r="Q293" s="249"/>
      <c r="R293" s="249"/>
      <c r="S293" s="249"/>
      <c r="T293" s="249"/>
      <c r="U293" s="249"/>
      <c r="V293" s="249"/>
      <c r="W293" s="249"/>
      <c r="X293" s="249"/>
      <c r="Y293" s="249"/>
      <c r="Z293" s="249"/>
    </row>
    <row r="294" spans="16:26" ht="10.199999999999999" customHeight="1">
      <c r="P294" s="241"/>
      <c r="Q294" s="241"/>
      <c r="R294" s="241"/>
      <c r="S294" s="241"/>
      <c r="T294" s="241"/>
      <c r="U294" s="241"/>
      <c r="V294" s="241"/>
      <c r="W294" s="241"/>
      <c r="X294" s="241"/>
      <c r="Y294" s="241"/>
      <c r="Z294" s="241"/>
    </row>
    <row r="295" spans="16:26" ht="10.199999999999999" customHeight="1">
      <c r="P295" s="249"/>
      <c r="Q295" s="249"/>
      <c r="R295" s="249"/>
      <c r="S295" s="249"/>
      <c r="T295" s="249"/>
      <c r="U295" s="249"/>
      <c r="V295" s="249"/>
      <c r="W295" s="249"/>
      <c r="X295" s="249"/>
      <c r="Y295" s="249"/>
      <c r="Z295" s="249"/>
    </row>
    <row r="296" spans="16:26" ht="10.199999999999999" customHeight="1">
      <c r="P296" s="249"/>
      <c r="Q296" s="249"/>
      <c r="R296" s="249"/>
      <c r="S296" s="249"/>
      <c r="T296" s="249"/>
      <c r="U296" s="249"/>
      <c r="V296" s="249"/>
      <c r="W296" s="249"/>
      <c r="X296" s="249"/>
      <c r="Y296" s="249"/>
      <c r="Z296" s="249"/>
    </row>
    <row r="297" spans="16:26" ht="10.199999999999999" customHeight="1">
      <c r="P297" s="241"/>
      <c r="Q297" s="241"/>
      <c r="R297" s="241"/>
      <c r="S297" s="241"/>
      <c r="T297" s="241"/>
      <c r="U297" s="241"/>
      <c r="V297" s="241"/>
      <c r="W297" s="241"/>
      <c r="X297" s="241"/>
      <c r="Y297" s="241"/>
      <c r="Z297" s="241"/>
    </row>
    <row r="298" spans="16:26" ht="10.199999999999999" customHeight="1">
      <c r="P298" s="249"/>
      <c r="Q298" s="249"/>
      <c r="R298" s="249"/>
      <c r="S298" s="249"/>
      <c r="T298" s="249"/>
      <c r="U298" s="249"/>
      <c r="V298" s="249"/>
      <c r="W298" s="249"/>
      <c r="X298" s="249"/>
      <c r="Y298" s="249"/>
      <c r="Z298" s="249"/>
    </row>
    <row r="299" spans="16:26" ht="10.199999999999999" customHeight="1">
      <c r="P299" s="249"/>
      <c r="Q299" s="249"/>
      <c r="R299" s="249"/>
      <c r="S299" s="249"/>
      <c r="T299" s="249"/>
      <c r="U299" s="249"/>
      <c r="V299" s="249"/>
      <c r="W299" s="249"/>
      <c r="X299" s="249"/>
      <c r="Y299" s="249"/>
      <c r="Z299" s="249"/>
    </row>
    <row r="300" spans="16:26" ht="10.199999999999999" customHeight="1">
      <c r="P300" s="241"/>
      <c r="Q300" s="241"/>
      <c r="R300" s="241"/>
      <c r="S300" s="241"/>
      <c r="T300" s="241"/>
      <c r="U300" s="241"/>
      <c r="V300" s="241"/>
      <c r="W300" s="241"/>
      <c r="X300" s="241"/>
      <c r="Y300" s="241"/>
      <c r="Z300" s="241"/>
    </row>
    <row r="301" spans="16:26" ht="10.199999999999999" customHeight="1">
      <c r="P301" s="249"/>
      <c r="Q301" s="249"/>
      <c r="R301" s="249"/>
      <c r="S301" s="249"/>
      <c r="T301" s="249"/>
      <c r="U301" s="249"/>
      <c r="V301" s="249"/>
      <c r="W301" s="249"/>
      <c r="X301" s="249"/>
      <c r="Y301" s="249"/>
      <c r="Z301" s="249"/>
    </row>
    <row r="302" spans="16:26" ht="10.199999999999999" customHeight="1">
      <c r="P302" s="249"/>
      <c r="Q302" s="249"/>
      <c r="R302" s="249"/>
      <c r="S302" s="249"/>
      <c r="T302" s="249"/>
      <c r="U302" s="249"/>
      <c r="V302" s="249"/>
      <c r="W302" s="249"/>
      <c r="X302" s="249"/>
      <c r="Y302" s="249"/>
      <c r="Z302" s="249"/>
    </row>
    <row r="303" spans="16:26" ht="10.199999999999999" customHeight="1">
      <c r="P303" s="241"/>
      <c r="Q303" s="241"/>
      <c r="R303" s="241"/>
      <c r="S303" s="241"/>
      <c r="T303" s="241"/>
      <c r="U303" s="241"/>
      <c r="V303" s="241"/>
      <c r="W303" s="241"/>
      <c r="X303" s="241"/>
      <c r="Y303" s="241"/>
      <c r="Z303" s="241"/>
    </row>
    <row r="304" spans="16:26" ht="10.199999999999999" customHeight="1">
      <c r="P304" s="249"/>
      <c r="Q304" s="249"/>
      <c r="R304" s="249"/>
      <c r="S304" s="249"/>
      <c r="T304" s="249"/>
      <c r="U304" s="249"/>
      <c r="V304" s="249"/>
      <c r="W304" s="249"/>
      <c r="X304" s="249"/>
      <c r="Y304" s="249"/>
      <c r="Z304" s="249"/>
    </row>
    <row r="305" spans="16:26" ht="10.199999999999999" customHeight="1">
      <c r="P305" s="249"/>
      <c r="Q305" s="249"/>
      <c r="R305" s="249"/>
      <c r="S305" s="249"/>
      <c r="T305" s="249"/>
      <c r="U305" s="249"/>
      <c r="V305" s="249"/>
      <c r="W305" s="249"/>
      <c r="X305" s="249"/>
      <c r="Y305" s="249"/>
      <c r="Z305" s="249"/>
    </row>
    <row r="306" spans="16:26" ht="10.199999999999999" customHeight="1">
      <c r="P306" s="241"/>
      <c r="Q306" s="241"/>
      <c r="R306" s="241"/>
      <c r="S306" s="241"/>
      <c r="T306" s="241"/>
      <c r="U306" s="241"/>
      <c r="V306" s="241"/>
      <c r="W306" s="241"/>
      <c r="X306" s="241"/>
      <c r="Y306" s="241"/>
      <c r="Z306" s="241"/>
    </row>
    <row r="307" spans="16:26" ht="10.199999999999999" customHeight="1">
      <c r="P307" s="249"/>
      <c r="Q307" s="249"/>
      <c r="R307" s="249"/>
      <c r="S307" s="249"/>
      <c r="T307" s="249"/>
      <c r="U307" s="249"/>
      <c r="V307" s="249"/>
      <c r="W307" s="249"/>
      <c r="X307" s="249"/>
      <c r="Y307" s="249"/>
      <c r="Z307" s="249"/>
    </row>
    <row r="308" spans="16:26" ht="10.199999999999999" customHeight="1">
      <c r="P308" s="249"/>
      <c r="Q308" s="249"/>
      <c r="R308" s="249"/>
      <c r="S308" s="249"/>
      <c r="T308" s="249"/>
      <c r="U308" s="249"/>
      <c r="V308" s="249"/>
      <c r="W308" s="249"/>
      <c r="X308" s="249"/>
      <c r="Y308" s="249"/>
      <c r="Z308" s="249"/>
    </row>
    <row r="309" spans="16:26" ht="10.199999999999999" customHeight="1">
      <c r="P309" s="241"/>
      <c r="Q309" s="241"/>
      <c r="R309" s="241"/>
      <c r="S309" s="241"/>
      <c r="T309" s="241"/>
      <c r="U309" s="241"/>
      <c r="V309" s="241"/>
      <c r="W309" s="241"/>
      <c r="X309" s="241"/>
      <c r="Y309" s="241"/>
      <c r="Z309" s="241"/>
    </row>
    <row r="310" spans="16:26" ht="10.199999999999999" customHeight="1">
      <c r="P310" s="249"/>
      <c r="Q310" s="249"/>
      <c r="R310" s="249"/>
      <c r="S310" s="249"/>
      <c r="T310" s="249"/>
      <c r="U310" s="249"/>
      <c r="V310" s="249"/>
      <c r="W310" s="249"/>
      <c r="X310" s="249"/>
      <c r="Y310" s="249"/>
      <c r="Z310" s="249"/>
    </row>
    <row r="311" spans="16:26" ht="10.199999999999999" customHeight="1">
      <c r="P311" s="249"/>
      <c r="Q311" s="249"/>
      <c r="R311" s="249"/>
      <c r="S311" s="249"/>
      <c r="T311" s="249"/>
      <c r="U311" s="249"/>
      <c r="V311" s="249"/>
      <c r="W311" s="249"/>
      <c r="X311" s="249"/>
      <c r="Y311" s="249"/>
      <c r="Z311" s="249"/>
    </row>
    <row r="312" spans="16:26" ht="10.199999999999999" customHeight="1">
      <c r="P312" s="241"/>
      <c r="Q312" s="241"/>
      <c r="R312" s="241"/>
      <c r="S312" s="241"/>
      <c r="T312" s="241"/>
      <c r="U312" s="241"/>
      <c r="V312" s="241"/>
      <c r="W312" s="241"/>
      <c r="X312" s="241"/>
      <c r="Y312" s="241"/>
      <c r="Z312" s="241"/>
    </row>
    <row r="313" spans="16:26" ht="10.199999999999999" customHeight="1">
      <c r="P313" s="249"/>
      <c r="Q313" s="249"/>
      <c r="R313" s="249"/>
      <c r="S313" s="249"/>
      <c r="T313" s="249"/>
      <c r="U313" s="249"/>
      <c r="V313" s="249"/>
      <c r="W313" s="249"/>
      <c r="X313" s="249"/>
      <c r="Y313" s="249"/>
      <c r="Z313" s="249"/>
    </row>
    <row r="314" spans="16:26" ht="10.199999999999999" customHeight="1">
      <c r="P314" s="249"/>
      <c r="Q314" s="249"/>
      <c r="R314" s="249"/>
      <c r="S314" s="249"/>
      <c r="T314" s="249"/>
      <c r="U314" s="249"/>
      <c r="V314" s="249"/>
      <c r="W314" s="249"/>
      <c r="X314" s="249"/>
      <c r="Y314" s="249"/>
      <c r="Z314" s="249"/>
    </row>
    <row r="315" spans="16:26" ht="10.199999999999999" customHeight="1">
      <c r="P315" s="241"/>
      <c r="Q315" s="241"/>
      <c r="R315" s="241"/>
      <c r="S315" s="241"/>
      <c r="T315" s="241"/>
      <c r="U315" s="241"/>
      <c r="V315" s="241"/>
      <c r="W315" s="241"/>
      <c r="X315" s="241"/>
      <c r="Y315" s="241"/>
      <c r="Z315" s="241"/>
    </row>
    <row r="316" spans="16:26" ht="10.199999999999999" customHeight="1">
      <c r="P316" s="249"/>
      <c r="Q316" s="249"/>
      <c r="R316" s="249"/>
      <c r="S316" s="249"/>
      <c r="T316" s="249"/>
      <c r="U316" s="249"/>
      <c r="V316" s="249"/>
      <c r="W316" s="249"/>
      <c r="X316" s="249"/>
      <c r="Y316" s="249"/>
      <c r="Z316" s="249"/>
    </row>
    <row r="317" spans="16:26" ht="10.199999999999999" customHeight="1">
      <c r="P317" s="249"/>
      <c r="Q317" s="249"/>
      <c r="R317" s="249"/>
      <c r="S317" s="249"/>
      <c r="T317" s="249"/>
      <c r="U317" s="249"/>
      <c r="V317" s="249"/>
      <c r="W317" s="249"/>
      <c r="X317" s="249"/>
      <c r="Y317" s="249"/>
      <c r="Z317" s="249"/>
    </row>
    <row r="318" spans="16:26" ht="10.199999999999999" customHeight="1">
      <c r="P318" s="241"/>
      <c r="Q318" s="241"/>
      <c r="R318" s="241"/>
      <c r="S318" s="241"/>
      <c r="T318" s="241"/>
      <c r="U318" s="241"/>
      <c r="V318" s="241"/>
      <c r="W318" s="241"/>
      <c r="X318" s="241"/>
      <c r="Y318" s="241"/>
      <c r="Z318" s="241"/>
    </row>
    <row r="319" spans="16:26" ht="10.199999999999999" customHeight="1">
      <c r="P319" s="249"/>
      <c r="Q319" s="249"/>
      <c r="R319" s="249"/>
      <c r="S319" s="249"/>
      <c r="T319" s="249"/>
      <c r="U319" s="249"/>
      <c r="V319" s="249"/>
      <c r="W319" s="249"/>
      <c r="X319" s="249"/>
      <c r="Y319" s="249"/>
      <c r="Z319" s="249"/>
    </row>
    <row r="320" spans="16:26" ht="10.199999999999999" customHeight="1">
      <c r="P320" s="249"/>
      <c r="Q320" s="249"/>
      <c r="R320" s="249"/>
      <c r="S320" s="249"/>
      <c r="T320" s="249"/>
      <c r="U320" s="249"/>
      <c r="V320" s="249"/>
      <c r="W320" s="249"/>
      <c r="X320" s="249"/>
      <c r="Y320" s="249"/>
      <c r="Z320" s="249"/>
    </row>
    <row r="321" spans="16:26" ht="10.199999999999999" customHeight="1">
      <c r="P321" s="241"/>
      <c r="Q321" s="241"/>
      <c r="R321" s="241"/>
      <c r="S321" s="241"/>
      <c r="T321" s="241"/>
      <c r="U321" s="241"/>
      <c r="V321" s="241"/>
      <c r="W321" s="241"/>
      <c r="X321" s="241"/>
      <c r="Y321" s="241"/>
      <c r="Z321" s="241"/>
    </row>
    <row r="322" spans="16:26" ht="10.199999999999999" customHeight="1">
      <c r="P322" s="249"/>
      <c r="Q322" s="249"/>
      <c r="R322" s="249"/>
      <c r="S322" s="249"/>
      <c r="T322" s="249"/>
      <c r="U322" s="249"/>
      <c r="V322" s="249"/>
      <c r="W322" s="249"/>
      <c r="X322" s="249"/>
      <c r="Y322" s="249"/>
      <c r="Z322" s="249"/>
    </row>
    <row r="323" spans="16:26" ht="10.199999999999999" customHeight="1">
      <c r="P323" s="249"/>
      <c r="Q323" s="249"/>
      <c r="R323" s="249"/>
      <c r="S323" s="249"/>
      <c r="T323" s="249"/>
      <c r="U323" s="249"/>
      <c r="V323" s="249"/>
      <c r="W323" s="249"/>
      <c r="X323" s="249"/>
      <c r="Y323" s="249"/>
      <c r="Z323" s="249"/>
    </row>
    <row r="324" spans="16:26" ht="10.199999999999999" customHeight="1">
      <c r="P324" s="241"/>
      <c r="Q324" s="241"/>
      <c r="R324" s="241"/>
      <c r="S324" s="241"/>
      <c r="T324" s="241"/>
      <c r="U324" s="241"/>
      <c r="V324" s="241"/>
      <c r="W324" s="241"/>
      <c r="X324" s="241"/>
      <c r="Y324" s="241"/>
      <c r="Z324" s="241"/>
    </row>
    <row r="325" spans="16:26" ht="10.199999999999999" customHeight="1">
      <c r="P325" s="249"/>
      <c r="Q325" s="249"/>
      <c r="R325" s="249"/>
      <c r="S325" s="249"/>
      <c r="T325" s="249"/>
      <c r="U325" s="249"/>
      <c r="V325" s="249"/>
      <c r="W325" s="249"/>
      <c r="X325" s="249"/>
      <c r="Y325" s="249"/>
      <c r="Z325" s="249"/>
    </row>
    <row r="326" spans="16:26" ht="10.199999999999999" customHeight="1">
      <c r="P326" s="249"/>
      <c r="Q326" s="249"/>
      <c r="R326" s="249"/>
      <c r="S326" s="249"/>
      <c r="T326" s="249"/>
      <c r="U326" s="249"/>
      <c r="V326" s="249"/>
      <c r="W326" s="249"/>
      <c r="X326" s="249"/>
      <c r="Y326" s="249"/>
      <c r="Z326" s="249"/>
    </row>
    <row r="327" spans="16:26" ht="10.199999999999999" customHeight="1">
      <c r="P327" s="241"/>
      <c r="Q327" s="241"/>
      <c r="R327" s="241"/>
      <c r="S327" s="241"/>
      <c r="T327" s="241"/>
      <c r="U327" s="241"/>
      <c r="V327" s="241"/>
      <c r="W327" s="241"/>
      <c r="X327" s="241"/>
      <c r="Y327" s="241"/>
      <c r="Z327" s="241"/>
    </row>
    <row r="328" spans="16:26" ht="10.199999999999999" customHeight="1">
      <c r="P328" s="249"/>
      <c r="Q328" s="249"/>
      <c r="R328" s="249"/>
      <c r="S328" s="249"/>
      <c r="T328" s="249"/>
      <c r="U328" s="249"/>
      <c r="V328" s="249"/>
      <c r="W328" s="249"/>
      <c r="X328" s="249"/>
      <c r="Y328" s="249"/>
      <c r="Z328" s="249"/>
    </row>
    <row r="329" spans="16:26" ht="10.199999999999999" customHeight="1">
      <c r="P329" s="249"/>
      <c r="Q329" s="249"/>
      <c r="R329" s="249"/>
      <c r="S329" s="249"/>
      <c r="T329" s="249"/>
      <c r="U329" s="249"/>
      <c r="V329" s="249"/>
      <c r="W329" s="249"/>
      <c r="X329" s="249"/>
      <c r="Y329" s="249"/>
      <c r="Z329" s="249"/>
    </row>
    <row r="330" spans="16:26" ht="10.199999999999999" customHeight="1">
      <c r="P330" s="241"/>
      <c r="Q330" s="241"/>
      <c r="R330" s="241"/>
      <c r="S330" s="241"/>
      <c r="T330" s="241"/>
      <c r="U330" s="241"/>
      <c r="V330" s="241"/>
      <c r="W330" s="241"/>
      <c r="X330" s="241"/>
      <c r="Y330" s="241"/>
      <c r="Z330" s="241"/>
    </row>
    <row r="331" spans="16:26" ht="10.199999999999999" customHeight="1">
      <c r="P331" s="249"/>
      <c r="Q331" s="249"/>
      <c r="R331" s="249"/>
      <c r="S331" s="249"/>
      <c r="T331" s="249"/>
      <c r="U331" s="249"/>
      <c r="V331" s="249"/>
      <c r="W331" s="249"/>
      <c r="X331" s="249"/>
      <c r="Y331" s="249"/>
      <c r="Z331" s="249"/>
    </row>
    <row r="332" spans="16:26" ht="10.199999999999999" customHeight="1">
      <c r="P332" s="249"/>
      <c r="Q332" s="249"/>
      <c r="R332" s="249"/>
      <c r="S332" s="249"/>
      <c r="T332" s="249"/>
      <c r="U332" s="249"/>
      <c r="V332" s="249"/>
      <c r="W332" s="249"/>
      <c r="X332" s="249"/>
      <c r="Y332" s="249"/>
      <c r="Z332" s="249"/>
    </row>
    <row r="333" spans="16:26" ht="10.199999999999999" customHeight="1">
      <c r="P333" s="241"/>
      <c r="Q333" s="241"/>
      <c r="R333" s="241"/>
      <c r="S333" s="241"/>
      <c r="T333" s="241"/>
      <c r="U333" s="241"/>
      <c r="V333" s="241"/>
      <c r="W333" s="241"/>
      <c r="X333" s="241"/>
      <c r="Y333" s="241"/>
      <c r="Z333" s="241"/>
    </row>
    <row r="334" spans="16:26" ht="10.199999999999999" customHeight="1">
      <c r="P334" s="249"/>
      <c r="Q334" s="249"/>
      <c r="R334" s="249"/>
      <c r="S334" s="249"/>
      <c r="T334" s="249"/>
      <c r="U334" s="249"/>
      <c r="V334" s="249"/>
      <c r="W334" s="249"/>
      <c r="X334" s="249"/>
      <c r="Y334" s="249"/>
      <c r="Z334" s="249"/>
    </row>
    <row r="335" spans="16:26" ht="10.199999999999999" customHeight="1">
      <c r="P335" s="249"/>
      <c r="Q335" s="249"/>
      <c r="R335" s="249"/>
      <c r="S335" s="249"/>
      <c r="T335" s="249"/>
      <c r="U335" s="249"/>
      <c r="V335" s="249"/>
      <c r="W335" s="249"/>
      <c r="X335" s="249"/>
      <c r="Y335" s="249"/>
      <c r="Z335" s="249"/>
    </row>
    <row r="336" spans="16:26" ht="10.199999999999999" customHeight="1">
      <c r="P336" s="241"/>
      <c r="Q336" s="241"/>
      <c r="R336" s="241"/>
      <c r="S336" s="241"/>
      <c r="T336" s="241"/>
      <c r="U336" s="241"/>
      <c r="V336" s="241"/>
      <c r="W336" s="241"/>
      <c r="X336" s="241"/>
      <c r="Y336" s="241"/>
      <c r="Z336" s="241"/>
    </row>
    <row r="337" spans="16:26" ht="10.199999999999999" customHeight="1">
      <c r="P337" s="249"/>
      <c r="Q337" s="249"/>
      <c r="R337" s="249"/>
      <c r="S337" s="249"/>
      <c r="T337" s="249"/>
      <c r="U337" s="249"/>
      <c r="V337" s="249"/>
      <c r="W337" s="249"/>
      <c r="X337" s="249"/>
      <c r="Y337" s="249"/>
      <c r="Z337" s="249"/>
    </row>
    <row r="338" spans="16:26" ht="10.199999999999999" customHeight="1">
      <c r="P338" s="249"/>
      <c r="Q338" s="249"/>
      <c r="R338" s="249"/>
      <c r="S338" s="249"/>
      <c r="T338" s="249"/>
      <c r="U338" s="249"/>
      <c r="V338" s="249"/>
      <c r="W338" s="249"/>
      <c r="X338" s="249"/>
      <c r="Y338" s="249"/>
      <c r="Z338" s="249"/>
    </row>
    <row r="339" spans="16:26" ht="10.199999999999999" customHeight="1">
      <c r="P339" s="241"/>
      <c r="Q339" s="241"/>
      <c r="R339" s="241"/>
      <c r="S339" s="241"/>
      <c r="T339" s="241"/>
      <c r="U339" s="241"/>
      <c r="V339" s="241"/>
      <c r="W339" s="241"/>
      <c r="X339" s="241"/>
      <c r="Y339" s="241"/>
      <c r="Z339" s="241"/>
    </row>
    <row r="340" spans="16:26" ht="10.199999999999999" customHeight="1">
      <c r="P340" s="249"/>
      <c r="Q340" s="249"/>
      <c r="R340" s="249"/>
      <c r="S340" s="249"/>
      <c r="T340" s="249"/>
      <c r="U340" s="249"/>
      <c r="V340" s="249"/>
      <c r="W340" s="249"/>
      <c r="X340" s="249"/>
      <c r="Y340" s="249"/>
      <c r="Z340" s="249"/>
    </row>
    <row r="341" spans="16:26" ht="10.199999999999999" customHeight="1">
      <c r="P341" s="249"/>
      <c r="Q341" s="249"/>
      <c r="R341" s="249"/>
      <c r="S341" s="249"/>
      <c r="T341" s="249"/>
      <c r="U341" s="249"/>
      <c r="V341" s="249"/>
      <c r="W341" s="249"/>
      <c r="X341" s="249"/>
      <c r="Y341" s="249"/>
      <c r="Z341" s="249"/>
    </row>
    <row r="342" spans="16:26" ht="10.199999999999999" customHeight="1">
      <c r="P342" s="241"/>
      <c r="Q342" s="241"/>
      <c r="R342" s="241"/>
      <c r="S342" s="241"/>
      <c r="T342" s="241"/>
      <c r="U342" s="241"/>
      <c r="V342" s="241"/>
      <c r="W342" s="241"/>
      <c r="X342" s="241"/>
      <c r="Y342" s="241"/>
      <c r="Z342" s="241"/>
    </row>
    <row r="343" spans="16:26" ht="10.199999999999999" customHeight="1">
      <c r="P343" s="249"/>
      <c r="Q343" s="249"/>
      <c r="R343" s="249"/>
      <c r="S343" s="249"/>
      <c r="T343" s="249"/>
      <c r="U343" s="249"/>
      <c r="V343" s="249"/>
      <c r="W343" s="249"/>
      <c r="X343" s="249"/>
      <c r="Y343" s="249"/>
      <c r="Z343" s="249"/>
    </row>
    <row r="344" spans="16:26" ht="10.199999999999999" customHeight="1">
      <c r="P344" s="249"/>
      <c r="Q344" s="249"/>
      <c r="R344" s="249"/>
      <c r="S344" s="249"/>
      <c r="T344" s="249"/>
      <c r="U344" s="249"/>
      <c r="V344" s="249"/>
      <c r="W344" s="249"/>
      <c r="X344" s="249"/>
      <c r="Y344" s="249"/>
      <c r="Z344" s="249"/>
    </row>
    <row r="345" spans="16:26" ht="10.199999999999999" customHeight="1">
      <c r="P345" s="241"/>
      <c r="Q345" s="241"/>
      <c r="R345" s="241"/>
      <c r="S345" s="241"/>
      <c r="T345" s="241"/>
      <c r="U345" s="241"/>
      <c r="V345" s="241"/>
      <c r="W345" s="241"/>
      <c r="X345" s="241"/>
      <c r="Y345" s="241"/>
      <c r="Z345" s="241"/>
    </row>
    <row r="346" spans="16:26" ht="10.199999999999999" customHeight="1">
      <c r="P346" s="249"/>
      <c r="Q346" s="249"/>
      <c r="R346" s="249"/>
      <c r="S346" s="249"/>
      <c r="T346" s="249"/>
      <c r="U346" s="249"/>
      <c r="V346" s="249"/>
      <c r="W346" s="249"/>
      <c r="X346" s="249"/>
      <c r="Y346" s="249"/>
      <c r="Z346" s="249"/>
    </row>
    <row r="347" spans="16:26" ht="10.199999999999999" customHeight="1">
      <c r="P347" s="249"/>
      <c r="Q347" s="249"/>
      <c r="R347" s="249"/>
      <c r="S347" s="249"/>
      <c r="T347" s="249"/>
      <c r="U347" s="249"/>
      <c r="V347" s="249"/>
      <c r="W347" s="249"/>
      <c r="X347" s="249"/>
      <c r="Y347" s="249"/>
      <c r="Z347" s="249"/>
    </row>
    <row r="348" spans="16:26" ht="10.199999999999999" customHeight="1">
      <c r="P348" s="241"/>
      <c r="Q348" s="241"/>
      <c r="R348" s="241"/>
      <c r="S348" s="241"/>
      <c r="T348" s="241"/>
      <c r="U348" s="241"/>
      <c r="V348" s="241"/>
      <c r="W348" s="241"/>
      <c r="X348" s="241"/>
      <c r="Y348" s="241"/>
      <c r="Z348" s="241"/>
    </row>
    <row r="349" spans="16:26" ht="10.199999999999999" customHeight="1">
      <c r="P349" s="249"/>
      <c r="Q349" s="249"/>
      <c r="R349" s="249"/>
      <c r="S349" s="249"/>
      <c r="T349" s="249"/>
      <c r="U349" s="249"/>
      <c r="V349" s="249"/>
      <c r="W349" s="249"/>
      <c r="X349" s="249"/>
      <c r="Y349" s="249"/>
      <c r="Z349" s="249"/>
    </row>
    <row r="350" spans="16:26" ht="10.199999999999999" customHeight="1">
      <c r="P350" s="249"/>
      <c r="Q350" s="249"/>
      <c r="R350" s="249"/>
      <c r="S350" s="249"/>
      <c r="T350" s="249"/>
      <c r="U350" s="249"/>
      <c r="V350" s="249"/>
      <c r="W350" s="249"/>
      <c r="X350" s="249"/>
      <c r="Y350" s="249"/>
      <c r="Z350" s="249"/>
    </row>
    <row r="351" spans="16:26" ht="10.199999999999999" customHeight="1">
      <c r="P351" s="241"/>
      <c r="Q351" s="241"/>
      <c r="R351" s="241"/>
      <c r="S351" s="241"/>
      <c r="T351" s="241"/>
      <c r="U351" s="241"/>
      <c r="V351" s="241"/>
      <c r="W351" s="241"/>
      <c r="X351" s="241"/>
      <c r="Y351" s="241"/>
      <c r="Z351" s="241"/>
    </row>
    <row r="352" spans="16:26" ht="10.199999999999999" customHeight="1">
      <c r="P352" s="249"/>
      <c r="Q352" s="249"/>
      <c r="R352" s="249"/>
      <c r="S352" s="249"/>
      <c r="T352" s="249"/>
      <c r="U352" s="249"/>
      <c r="V352" s="249"/>
      <c r="W352" s="249"/>
      <c r="X352" s="249"/>
      <c r="Y352" s="249"/>
      <c r="Z352" s="249"/>
    </row>
    <row r="353" spans="16:26" ht="10.199999999999999" customHeight="1">
      <c r="P353" s="249"/>
      <c r="Q353" s="249"/>
      <c r="R353" s="249"/>
      <c r="S353" s="249"/>
      <c r="T353" s="249"/>
      <c r="U353" s="249"/>
      <c r="V353" s="249"/>
      <c r="W353" s="249"/>
      <c r="X353" s="249"/>
      <c r="Y353" s="249"/>
      <c r="Z353" s="249"/>
    </row>
    <row r="354" spans="16:26" ht="10.199999999999999" customHeight="1">
      <c r="P354" s="241"/>
      <c r="Q354" s="241"/>
      <c r="R354" s="241"/>
      <c r="S354" s="241"/>
      <c r="T354" s="241"/>
      <c r="U354" s="241"/>
      <c r="V354" s="241"/>
      <c r="W354" s="241"/>
      <c r="X354" s="241"/>
      <c r="Y354" s="241"/>
      <c r="Z354" s="241"/>
    </row>
    <row r="355" spans="16:26" ht="10.199999999999999" customHeight="1">
      <c r="P355" s="249"/>
      <c r="Q355" s="249"/>
      <c r="R355" s="249"/>
      <c r="S355" s="249"/>
      <c r="T355" s="249"/>
      <c r="U355" s="249"/>
      <c r="V355" s="249"/>
      <c r="W355" s="249"/>
      <c r="X355" s="249"/>
      <c r="Y355" s="249"/>
      <c r="Z355" s="249"/>
    </row>
    <row r="356" spans="16:26" ht="10.199999999999999" customHeight="1">
      <c r="P356" s="249"/>
      <c r="Q356" s="249"/>
      <c r="R356" s="249"/>
      <c r="S356" s="249"/>
      <c r="T356" s="249"/>
      <c r="U356" s="249"/>
      <c r="V356" s="249"/>
      <c r="W356" s="249"/>
      <c r="X356" s="249"/>
      <c r="Y356" s="249"/>
      <c r="Z356" s="249"/>
    </row>
    <row r="357" spans="16:26" ht="10.199999999999999" customHeight="1">
      <c r="P357" s="241"/>
      <c r="Q357" s="241"/>
      <c r="R357" s="241"/>
      <c r="S357" s="241"/>
      <c r="T357" s="241"/>
      <c r="U357" s="241"/>
      <c r="V357" s="241"/>
      <c r="W357" s="241"/>
      <c r="X357" s="241"/>
      <c r="Y357" s="241"/>
      <c r="Z357" s="241"/>
    </row>
    <row r="358" spans="16:26" ht="10.199999999999999" customHeight="1">
      <c r="P358" s="249"/>
      <c r="Q358" s="249"/>
      <c r="R358" s="249"/>
      <c r="S358" s="249"/>
      <c r="T358" s="249"/>
      <c r="U358" s="249"/>
      <c r="V358" s="249"/>
      <c r="W358" s="249"/>
      <c r="X358" s="249"/>
      <c r="Y358" s="249"/>
      <c r="Z358" s="249"/>
    </row>
    <row r="359" spans="16:26" ht="10.199999999999999" customHeight="1">
      <c r="P359" s="249"/>
      <c r="Q359" s="249"/>
      <c r="R359" s="249"/>
      <c r="S359" s="249"/>
      <c r="T359" s="249"/>
      <c r="U359" s="249"/>
      <c r="V359" s="249"/>
      <c r="W359" s="249"/>
      <c r="X359" s="249"/>
      <c r="Y359" s="249"/>
      <c r="Z359" s="249"/>
    </row>
    <row r="360" spans="16:26" ht="10.199999999999999" customHeight="1">
      <c r="P360" s="241"/>
      <c r="Q360" s="241"/>
      <c r="R360" s="241"/>
      <c r="S360" s="241"/>
      <c r="T360" s="241"/>
      <c r="U360" s="241"/>
      <c r="V360" s="241"/>
      <c r="W360" s="241"/>
      <c r="X360" s="241"/>
      <c r="Y360" s="241"/>
      <c r="Z360" s="241"/>
    </row>
    <row r="361" spans="16:26" ht="10.199999999999999" customHeight="1">
      <c r="P361" s="249"/>
      <c r="Q361" s="249"/>
      <c r="R361" s="249"/>
      <c r="S361" s="249"/>
      <c r="T361" s="249"/>
      <c r="U361" s="249"/>
      <c r="V361" s="249"/>
      <c r="W361" s="249"/>
      <c r="X361" s="249"/>
      <c r="Y361" s="249"/>
      <c r="Z361" s="249"/>
    </row>
    <row r="362" spans="16:26" ht="10.199999999999999" customHeight="1">
      <c r="P362" s="249"/>
      <c r="Q362" s="249"/>
      <c r="R362" s="249"/>
      <c r="S362" s="249"/>
      <c r="T362" s="249"/>
      <c r="U362" s="249"/>
      <c r="V362" s="249"/>
      <c r="W362" s="249"/>
      <c r="X362" s="249"/>
      <c r="Y362" s="249"/>
      <c r="Z362" s="249"/>
    </row>
    <row r="363" spans="16:26" ht="10.199999999999999" customHeight="1">
      <c r="P363" s="241"/>
      <c r="Q363" s="241"/>
      <c r="R363" s="241"/>
      <c r="S363" s="241"/>
      <c r="T363" s="241"/>
      <c r="U363" s="241"/>
      <c r="V363" s="241"/>
      <c r="W363" s="241"/>
      <c r="X363" s="241"/>
      <c r="Y363" s="241"/>
      <c r="Z363" s="241"/>
    </row>
    <row r="364" spans="16:26" ht="10.199999999999999" customHeight="1">
      <c r="P364" s="249"/>
      <c r="Q364" s="249"/>
      <c r="R364" s="249"/>
      <c r="S364" s="249"/>
      <c r="T364" s="249"/>
      <c r="U364" s="249"/>
      <c r="V364" s="249"/>
      <c r="W364" s="249"/>
      <c r="X364" s="249"/>
      <c r="Y364" s="249"/>
      <c r="Z364" s="249"/>
    </row>
    <row r="365" spans="16:26" ht="10.199999999999999" customHeight="1">
      <c r="P365" s="249"/>
      <c r="Q365" s="249"/>
      <c r="R365" s="249"/>
      <c r="S365" s="249"/>
      <c r="T365" s="249"/>
      <c r="U365" s="249"/>
      <c r="V365" s="249"/>
      <c r="W365" s="249"/>
      <c r="X365" s="249"/>
      <c r="Y365" s="249"/>
      <c r="Z365" s="249"/>
    </row>
    <row r="366" spans="16:26" ht="10.199999999999999" customHeight="1">
      <c r="P366" s="241"/>
      <c r="Q366" s="241"/>
      <c r="R366" s="241"/>
      <c r="S366" s="241"/>
      <c r="T366" s="241"/>
      <c r="U366" s="241"/>
      <c r="V366" s="241"/>
      <c r="W366" s="241"/>
      <c r="X366" s="241"/>
      <c r="Y366" s="241"/>
      <c r="Z366" s="241"/>
    </row>
    <row r="367" spans="16:26" ht="10.199999999999999" customHeight="1">
      <c r="P367" s="249"/>
      <c r="Q367" s="249"/>
      <c r="R367" s="249"/>
      <c r="S367" s="249"/>
      <c r="T367" s="249"/>
      <c r="U367" s="249"/>
      <c r="V367" s="249"/>
      <c r="W367" s="249"/>
      <c r="X367" s="249"/>
      <c r="Y367" s="249"/>
      <c r="Z367" s="249"/>
    </row>
    <row r="368" spans="16:26" ht="10.199999999999999" customHeight="1">
      <c r="P368" s="249"/>
      <c r="Q368" s="249"/>
      <c r="R368" s="249"/>
      <c r="S368" s="249"/>
      <c r="T368" s="249"/>
      <c r="U368" s="249"/>
      <c r="V368" s="249"/>
      <c r="W368" s="249"/>
      <c r="X368" s="249"/>
      <c r="Y368" s="249"/>
      <c r="Z368" s="249"/>
    </row>
    <row r="369" spans="16:26" ht="10.199999999999999" customHeight="1">
      <c r="P369" s="241"/>
      <c r="Q369" s="241"/>
      <c r="R369" s="241"/>
      <c r="S369" s="241"/>
      <c r="T369" s="241"/>
      <c r="U369" s="241"/>
      <c r="V369" s="241"/>
      <c r="W369" s="241"/>
      <c r="X369" s="241"/>
      <c r="Y369" s="241"/>
      <c r="Z369" s="241"/>
    </row>
    <row r="370" spans="16:26" ht="10.199999999999999" customHeight="1">
      <c r="P370" s="249"/>
      <c r="Q370" s="249"/>
      <c r="R370" s="249"/>
      <c r="S370" s="249"/>
      <c r="T370" s="249"/>
      <c r="U370" s="249"/>
      <c r="V370" s="249"/>
      <c r="W370" s="249"/>
      <c r="X370" s="249"/>
      <c r="Y370" s="249"/>
      <c r="Z370" s="249"/>
    </row>
    <row r="371" spans="16:26" ht="10.199999999999999" customHeight="1">
      <c r="P371" s="249"/>
      <c r="Q371" s="249"/>
      <c r="R371" s="249"/>
      <c r="S371" s="249"/>
      <c r="T371" s="249"/>
      <c r="U371" s="249"/>
      <c r="V371" s="249"/>
      <c r="W371" s="249"/>
      <c r="X371" s="249"/>
      <c r="Y371" s="249"/>
      <c r="Z371" s="249"/>
    </row>
    <row r="372" spans="16:26" ht="10.199999999999999" customHeight="1">
      <c r="P372" s="241"/>
      <c r="Q372" s="241"/>
      <c r="R372" s="241"/>
      <c r="S372" s="241"/>
      <c r="T372" s="241"/>
      <c r="U372" s="241"/>
      <c r="V372" s="241"/>
      <c r="W372" s="241"/>
      <c r="X372" s="241"/>
      <c r="Y372" s="241"/>
      <c r="Z372" s="241"/>
    </row>
    <row r="373" spans="16:26" ht="10.199999999999999" customHeight="1">
      <c r="P373" s="249"/>
      <c r="Q373" s="249"/>
      <c r="R373" s="249"/>
      <c r="S373" s="249"/>
      <c r="T373" s="249"/>
      <c r="U373" s="249"/>
      <c r="V373" s="249"/>
      <c r="W373" s="249"/>
      <c r="X373" s="249"/>
      <c r="Y373" s="249"/>
      <c r="Z373" s="249"/>
    </row>
    <row r="374" spans="16:26" ht="10.199999999999999" customHeight="1">
      <c r="P374" s="249"/>
      <c r="Q374" s="249"/>
      <c r="R374" s="249"/>
      <c r="S374" s="249"/>
      <c r="T374" s="249"/>
      <c r="U374" s="249"/>
      <c r="V374" s="249"/>
      <c r="W374" s="249"/>
      <c r="X374" s="249"/>
      <c r="Y374" s="249"/>
      <c r="Z374" s="249"/>
    </row>
    <row r="375" spans="16:26" ht="10.199999999999999" customHeight="1">
      <c r="P375" s="241"/>
      <c r="Q375" s="241"/>
      <c r="R375" s="241"/>
      <c r="S375" s="241"/>
      <c r="T375" s="241"/>
      <c r="U375" s="241"/>
      <c r="V375" s="241"/>
      <c r="W375" s="241"/>
      <c r="X375" s="241"/>
      <c r="Y375" s="241"/>
      <c r="Z375" s="241"/>
    </row>
    <row r="376" spans="16:26" ht="10.199999999999999" customHeight="1">
      <c r="P376" s="249"/>
      <c r="Q376" s="249"/>
      <c r="R376" s="249"/>
      <c r="S376" s="249"/>
      <c r="T376" s="249"/>
      <c r="U376" s="249"/>
      <c r="V376" s="249"/>
      <c r="W376" s="249"/>
      <c r="X376" s="249"/>
      <c r="Y376" s="249"/>
      <c r="Z376" s="249"/>
    </row>
    <row r="377" spans="16:26" ht="10.199999999999999" customHeight="1">
      <c r="P377" s="249"/>
      <c r="Q377" s="249"/>
      <c r="R377" s="249"/>
      <c r="S377" s="249"/>
      <c r="T377" s="249"/>
      <c r="U377" s="249"/>
      <c r="V377" s="249"/>
      <c r="W377" s="249"/>
      <c r="X377" s="249"/>
      <c r="Y377" s="249"/>
      <c r="Z377" s="249"/>
    </row>
    <row r="378" spans="16:26" ht="10.199999999999999" customHeight="1">
      <c r="P378" s="241"/>
      <c r="Q378" s="241"/>
      <c r="R378" s="241"/>
      <c r="S378" s="241"/>
      <c r="T378" s="241"/>
      <c r="U378" s="241"/>
      <c r="V378" s="241"/>
      <c r="W378" s="241"/>
      <c r="X378" s="241"/>
      <c r="Y378" s="241"/>
      <c r="Z378" s="241"/>
    </row>
    <row r="379" spans="16:26" ht="10.199999999999999" customHeight="1">
      <c r="P379" s="249"/>
      <c r="Q379" s="249"/>
      <c r="R379" s="249"/>
      <c r="S379" s="249"/>
      <c r="T379" s="249"/>
      <c r="U379" s="249"/>
      <c r="V379" s="249"/>
      <c r="W379" s="249"/>
      <c r="X379" s="249"/>
      <c r="Y379" s="249"/>
      <c r="Z379" s="249"/>
    </row>
    <row r="380" spans="16:26" ht="10.199999999999999" customHeight="1">
      <c r="P380" s="249"/>
      <c r="Q380" s="249"/>
      <c r="R380" s="249"/>
      <c r="S380" s="249"/>
      <c r="T380" s="249"/>
      <c r="U380" s="249"/>
      <c r="V380" s="249"/>
      <c r="W380" s="249"/>
      <c r="X380" s="249"/>
      <c r="Y380" s="249"/>
      <c r="Z380" s="249"/>
    </row>
    <row r="381" spans="16:26" ht="10.199999999999999" customHeight="1">
      <c r="P381" s="241"/>
      <c r="Q381" s="241"/>
      <c r="R381" s="241"/>
      <c r="S381" s="241"/>
      <c r="T381" s="241"/>
      <c r="U381" s="241"/>
      <c r="V381" s="241"/>
      <c r="W381" s="241"/>
      <c r="X381" s="241"/>
      <c r="Y381" s="241"/>
      <c r="Z381" s="241"/>
    </row>
    <row r="382" spans="16:26" ht="10.199999999999999" customHeight="1">
      <c r="P382" s="249"/>
      <c r="Q382" s="249"/>
      <c r="R382" s="249"/>
      <c r="S382" s="249"/>
      <c r="T382" s="249"/>
      <c r="U382" s="249"/>
      <c r="V382" s="249"/>
      <c r="W382" s="249"/>
      <c r="X382" s="249"/>
      <c r="Y382" s="249"/>
      <c r="Z382" s="249"/>
    </row>
    <row r="383" spans="16:26" ht="10.199999999999999" customHeight="1">
      <c r="P383" s="249"/>
      <c r="Q383" s="249"/>
      <c r="R383" s="249"/>
      <c r="S383" s="249"/>
      <c r="T383" s="249"/>
      <c r="U383" s="249"/>
      <c r="V383" s="249"/>
      <c r="W383" s="249"/>
      <c r="X383" s="249"/>
      <c r="Y383" s="249"/>
      <c r="Z383" s="249"/>
    </row>
    <row r="384" spans="16:26" ht="10.199999999999999" customHeight="1">
      <c r="P384" s="241"/>
      <c r="Q384" s="241"/>
      <c r="R384" s="241"/>
      <c r="S384" s="241"/>
      <c r="T384" s="241"/>
      <c r="U384" s="241"/>
      <c r="V384" s="241"/>
      <c r="W384" s="241"/>
      <c r="X384" s="241"/>
      <c r="Y384" s="241"/>
      <c r="Z384" s="241"/>
    </row>
    <row r="385" spans="16:26" ht="10.199999999999999" customHeight="1">
      <c r="P385" s="249"/>
      <c r="Q385" s="249"/>
      <c r="R385" s="249"/>
      <c r="S385" s="249"/>
      <c r="T385" s="249"/>
      <c r="U385" s="249"/>
      <c r="V385" s="249"/>
      <c r="W385" s="249"/>
      <c r="X385" s="249"/>
      <c r="Y385" s="249"/>
      <c r="Z385" s="249"/>
    </row>
    <row r="386" spans="16:26" ht="10.199999999999999" customHeight="1">
      <c r="P386" s="249"/>
      <c r="Q386" s="249"/>
      <c r="R386" s="249"/>
      <c r="S386" s="249"/>
      <c r="T386" s="249"/>
      <c r="U386" s="249"/>
      <c r="V386" s="249"/>
      <c r="W386" s="249"/>
      <c r="X386" s="249"/>
      <c r="Y386" s="249"/>
      <c r="Z386" s="249"/>
    </row>
    <row r="387" spans="16:26" ht="10.199999999999999" customHeight="1">
      <c r="P387" s="241"/>
      <c r="Q387" s="241"/>
      <c r="R387" s="241"/>
      <c r="S387" s="241"/>
      <c r="T387" s="241"/>
      <c r="U387" s="241"/>
      <c r="V387" s="241"/>
      <c r="W387" s="241"/>
      <c r="X387" s="241"/>
      <c r="Y387" s="241"/>
      <c r="Z387" s="241"/>
    </row>
    <row r="388" spans="16:26" ht="10.199999999999999" customHeight="1">
      <c r="P388" s="249"/>
      <c r="Q388" s="249"/>
      <c r="R388" s="249"/>
      <c r="S388" s="249"/>
      <c r="T388" s="249"/>
      <c r="U388" s="249"/>
      <c r="V388" s="249"/>
      <c r="W388" s="249"/>
      <c r="X388" s="249"/>
      <c r="Y388" s="249"/>
      <c r="Z388" s="249"/>
    </row>
    <row r="389" spans="16:26" ht="10.199999999999999" customHeight="1">
      <c r="P389" s="249"/>
      <c r="Q389" s="249"/>
      <c r="R389" s="249"/>
      <c r="S389" s="249"/>
      <c r="T389" s="249"/>
      <c r="U389" s="249"/>
      <c r="V389" s="249"/>
      <c r="W389" s="249"/>
      <c r="X389" s="249"/>
      <c r="Y389" s="249"/>
      <c r="Z389" s="249"/>
    </row>
    <row r="390" spans="16:26" ht="10.199999999999999" customHeight="1">
      <c r="P390" s="241"/>
      <c r="Q390" s="241"/>
      <c r="R390" s="241"/>
      <c r="S390" s="241"/>
      <c r="T390" s="241"/>
      <c r="U390" s="241"/>
      <c r="V390" s="241"/>
      <c r="W390" s="241"/>
      <c r="X390" s="241"/>
      <c r="Y390" s="241"/>
      <c r="Z390" s="241"/>
    </row>
    <row r="391" spans="16:26" ht="10.199999999999999" customHeight="1">
      <c r="P391" s="249"/>
      <c r="Q391" s="249"/>
      <c r="R391" s="249"/>
      <c r="S391" s="249"/>
      <c r="T391" s="249"/>
      <c r="U391" s="249"/>
      <c r="V391" s="249"/>
      <c r="W391" s="249"/>
      <c r="X391" s="249"/>
      <c r="Y391" s="249"/>
      <c r="Z391" s="249"/>
    </row>
    <row r="392" spans="16:26" ht="10.199999999999999" customHeight="1">
      <c r="P392" s="249"/>
      <c r="Q392" s="249"/>
      <c r="R392" s="249"/>
      <c r="S392" s="249"/>
      <c r="T392" s="249"/>
      <c r="U392" s="249"/>
      <c r="V392" s="249"/>
      <c r="W392" s="249"/>
      <c r="X392" s="249"/>
      <c r="Y392" s="249"/>
      <c r="Z392" s="249"/>
    </row>
    <row r="393" spans="16:26" ht="10.199999999999999" customHeight="1">
      <c r="P393" s="241"/>
      <c r="Q393" s="241"/>
      <c r="R393" s="241"/>
      <c r="S393" s="241"/>
      <c r="T393" s="241"/>
      <c r="U393" s="241"/>
      <c r="V393" s="241"/>
      <c r="W393" s="241"/>
      <c r="X393" s="241"/>
      <c r="Y393" s="241"/>
      <c r="Z393" s="241"/>
    </row>
    <row r="394" spans="16:26" ht="10.199999999999999" customHeight="1">
      <c r="P394" s="249"/>
      <c r="Q394" s="249"/>
      <c r="R394" s="249"/>
      <c r="S394" s="249"/>
      <c r="T394" s="249"/>
      <c r="U394" s="249"/>
      <c r="V394" s="249"/>
      <c r="W394" s="249"/>
      <c r="X394" s="249"/>
      <c r="Y394" s="249"/>
      <c r="Z394" s="249"/>
    </row>
    <row r="395" spans="16:26" ht="10.199999999999999" customHeight="1">
      <c r="P395" s="249"/>
      <c r="Q395" s="249"/>
      <c r="R395" s="249"/>
      <c r="S395" s="249"/>
      <c r="T395" s="249"/>
      <c r="U395" s="249"/>
      <c r="V395" s="249"/>
      <c r="W395" s="249"/>
      <c r="X395" s="249"/>
      <c r="Y395" s="249"/>
      <c r="Z395" s="249"/>
    </row>
    <row r="396" spans="16:26" ht="10.199999999999999" customHeight="1">
      <c r="P396" s="241"/>
      <c r="Q396" s="241"/>
      <c r="R396" s="241"/>
      <c r="S396" s="241"/>
      <c r="T396" s="241"/>
      <c r="U396" s="241"/>
      <c r="V396" s="241"/>
      <c r="W396" s="241"/>
      <c r="X396" s="241"/>
      <c r="Y396" s="241"/>
      <c r="Z396" s="241"/>
    </row>
    <row r="397" spans="16:26" ht="10.199999999999999" customHeight="1">
      <c r="P397" s="249"/>
      <c r="Q397" s="249"/>
      <c r="R397" s="249"/>
      <c r="S397" s="249"/>
      <c r="T397" s="249"/>
      <c r="U397" s="249"/>
      <c r="V397" s="249"/>
      <c r="W397" s="249"/>
      <c r="X397" s="249"/>
      <c r="Y397" s="249"/>
      <c r="Z397" s="249"/>
    </row>
    <row r="398" spans="16:26" ht="10.199999999999999" customHeight="1">
      <c r="P398" s="249"/>
      <c r="Q398" s="249"/>
      <c r="R398" s="249"/>
      <c r="S398" s="249"/>
      <c r="T398" s="249"/>
      <c r="U398" s="249"/>
      <c r="V398" s="249"/>
      <c r="W398" s="249"/>
      <c r="X398" s="249"/>
      <c r="Y398" s="249"/>
      <c r="Z398" s="249"/>
    </row>
    <row r="399" spans="16:26" ht="10.199999999999999" customHeight="1">
      <c r="P399" s="241"/>
      <c r="Q399" s="241"/>
      <c r="R399" s="241"/>
      <c r="S399" s="241"/>
      <c r="T399" s="241"/>
      <c r="U399" s="241"/>
      <c r="V399" s="241"/>
      <c r="W399" s="241"/>
      <c r="X399" s="241"/>
      <c r="Y399" s="241"/>
      <c r="Z399" s="241"/>
    </row>
    <row r="400" spans="16:26" ht="10.199999999999999" customHeight="1">
      <c r="P400" s="249"/>
      <c r="Q400" s="249"/>
      <c r="R400" s="249"/>
      <c r="S400" s="249"/>
      <c r="T400" s="249"/>
      <c r="U400" s="249"/>
      <c r="V400" s="249"/>
      <c r="W400" s="249"/>
      <c r="X400" s="249"/>
      <c r="Y400" s="249"/>
      <c r="Z400" s="249"/>
    </row>
    <row r="401" spans="16:26" ht="10.199999999999999" customHeight="1">
      <c r="P401" s="249"/>
      <c r="Q401" s="249"/>
      <c r="R401" s="249"/>
      <c r="S401" s="249"/>
      <c r="T401" s="249"/>
      <c r="U401" s="249"/>
      <c r="V401" s="249"/>
      <c r="W401" s="249"/>
      <c r="X401" s="249"/>
      <c r="Y401" s="249"/>
      <c r="Z401" s="249"/>
    </row>
    <row r="402" spans="16:26" ht="10.199999999999999" customHeight="1">
      <c r="P402" s="241"/>
      <c r="Q402" s="241"/>
      <c r="R402" s="241"/>
      <c r="S402" s="241"/>
      <c r="T402" s="241"/>
      <c r="U402" s="241"/>
      <c r="V402" s="241"/>
      <c r="W402" s="241"/>
      <c r="X402" s="241"/>
      <c r="Y402" s="241"/>
      <c r="Z402" s="241"/>
    </row>
    <row r="403" spans="16:26" ht="10.199999999999999" customHeight="1">
      <c r="P403" s="249"/>
      <c r="Q403" s="249"/>
      <c r="R403" s="249"/>
      <c r="S403" s="249"/>
      <c r="T403" s="249"/>
      <c r="U403" s="249"/>
      <c r="V403" s="249"/>
      <c r="W403" s="249"/>
      <c r="X403" s="249"/>
      <c r="Y403" s="249"/>
      <c r="Z403" s="249"/>
    </row>
    <row r="404" spans="16:26" ht="10.199999999999999" customHeight="1">
      <c r="P404" s="249"/>
      <c r="Q404" s="249"/>
      <c r="R404" s="249"/>
      <c r="S404" s="249"/>
      <c r="T404" s="249"/>
      <c r="U404" s="249"/>
      <c r="V404" s="249"/>
      <c r="W404" s="249"/>
      <c r="X404" s="249"/>
      <c r="Y404" s="249"/>
      <c r="Z404" s="249"/>
    </row>
    <row r="405" spans="16:26" ht="10.199999999999999" customHeight="1">
      <c r="P405" s="241"/>
      <c r="Q405" s="241"/>
      <c r="R405" s="241"/>
      <c r="S405" s="241"/>
      <c r="T405" s="241"/>
      <c r="U405" s="241"/>
      <c r="V405" s="241"/>
      <c r="W405" s="241"/>
      <c r="X405" s="241"/>
      <c r="Y405" s="241"/>
      <c r="Z405" s="241"/>
    </row>
    <row r="406" spans="16:26" ht="10.199999999999999" customHeight="1">
      <c r="P406" s="249"/>
      <c r="Q406" s="249"/>
      <c r="R406" s="249"/>
      <c r="S406" s="249"/>
      <c r="T406" s="249"/>
      <c r="U406" s="249"/>
      <c r="V406" s="249"/>
      <c r="W406" s="249"/>
      <c r="X406" s="249"/>
      <c r="Y406" s="249"/>
      <c r="Z406" s="249"/>
    </row>
    <row r="407" spans="16:26" ht="10.199999999999999" customHeight="1">
      <c r="P407" s="249"/>
      <c r="Q407" s="249"/>
      <c r="R407" s="249"/>
      <c r="S407" s="249"/>
      <c r="T407" s="249"/>
      <c r="U407" s="249"/>
      <c r="V407" s="249"/>
      <c r="W407" s="249"/>
      <c r="X407" s="249"/>
      <c r="Y407" s="249"/>
      <c r="Z407" s="249"/>
    </row>
    <row r="408" spans="16:26" ht="10.199999999999999" customHeight="1">
      <c r="P408" s="241"/>
      <c r="Q408" s="241"/>
      <c r="R408" s="241"/>
      <c r="S408" s="241"/>
      <c r="T408" s="241"/>
      <c r="U408" s="241"/>
      <c r="V408" s="241"/>
      <c r="W408" s="241"/>
      <c r="X408" s="241"/>
      <c r="Y408" s="241"/>
      <c r="Z408" s="241"/>
    </row>
    <row r="409" spans="16:26" ht="10.199999999999999" customHeight="1">
      <c r="P409" s="249"/>
      <c r="Q409" s="249"/>
      <c r="R409" s="249"/>
      <c r="S409" s="249"/>
      <c r="T409" s="249"/>
      <c r="U409" s="249"/>
      <c r="V409" s="249"/>
      <c r="W409" s="249"/>
      <c r="X409" s="249"/>
      <c r="Y409" s="249"/>
      <c r="Z409" s="249"/>
    </row>
    <row r="410" spans="16:26" ht="10.199999999999999" customHeight="1">
      <c r="P410" s="249"/>
      <c r="Q410" s="249"/>
      <c r="R410" s="249"/>
      <c r="S410" s="249"/>
      <c r="T410" s="249"/>
      <c r="U410" s="249"/>
      <c r="V410" s="249"/>
      <c r="W410" s="249"/>
      <c r="X410" s="249"/>
      <c r="Y410" s="249"/>
      <c r="Z410" s="249"/>
    </row>
    <row r="411" spans="16:26" ht="10.199999999999999" customHeight="1">
      <c r="P411" s="241"/>
      <c r="Q411" s="241"/>
      <c r="R411" s="241"/>
      <c r="S411" s="241"/>
      <c r="T411" s="241"/>
      <c r="U411" s="241"/>
      <c r="V411" s="241"/>
      <c r="W411" s="241"/>
      <c r="X411" s="241"/>
      <c r="Y411" s="241"/>
      <c r="Z411" s="241"/>
    </row>
    <row r="412" spans="16:26" ht="10.199999999999999" customHeight="1">
      <c r="P412" s="249"/>
      <c r="Q412" s="249"/>
      <c r="R412" s="249"/>
      <c r="S412" s="249"/>
      <c r="T412" s="249"/>
      <c r="U412" s="249"/>
      <c r="V412" s="249"/>
      <c r="W412" s="249"/>
      <c r="X412" s="249"/>
      <c r="Y412" s="249"/>
      <c r="Z412" s="249"/>
    </row>
    <row r="413" spans="16:26" ht="10.199999999999999" customHeight="1">
      <c r="P413" s="249"/>
      <c r="Q413" s="249"/>
      <c r="R413" s="249"/>
      <c r="S413" s="249"/>
      <c r="T413" s="249"/>
      <c r="U413" s="249"/>
      <c r="V413" s="249"/>
      <c r="W413" s="249"/>
      <c r="X413" s="249"/>
      <c r="Y413" s="249"/>
      <c r="Z413" s="249"/>
    </row>
    <row r="414" spans="16:26" ht="10.199999999999999" customHeight="1">
      <c r="P414" s="241"/>
      <c r="Q414" s="241"/>
      <c r="R414" s="241"/>
      <c r="S414" s="241"/>
      <c r="T414" s="241"/>
      <c r="U414" s="241"/>
      <c r="V414" s="241"/>
      <c r="W414" s="241"/>
      <c r="X414" s="241"/>
      <c r="Y414" s="241"/>
      <c r="Z414" s="241"/>
    </row>
    <row r="415" spans="16:26" ht="10.199999999999999" customHeight="1">
      <c r="P415" s="249"/>
      <c r="Q415" s="249"/>
      <c r="R415" s="249"/>
      <c r="S415" s="249"/>
      <c r="T415" s="249"/>
      <c r="U415" s="249"/>
      <c r="V415" s="249"/>
      <c r="W415" s="249"/>
      <c r="X415" s="249"/>
      <c r="Y415" s="249"/>
      <c r="Z415" s="249"/>
    </row>
    <row r="416" spans="16:26" ht="10.199999999999999" customHeight="1">
      <c r="P416" s="249"/>
      <c r="Q416" s="249"/>
      <c r="R416" s="249"/>
      <c r="S416" s="249"/>
      <c r="T416" s="249"/>
      <c r="U416" s="249"/>
      <c r="V416" s="249"/>
      <c r="W416" s="249"/>
      <c r="X416" s="249"/>
      <c r="Y416" s="249"/>
      <c r="Z416" s="249"/>
    </row>
    <row r="417" spans="16:26" ht="10.199999999999999" customHeight="1">
      <c r="P417" s="241"/>
      <c r="Q417" s="241"/>
      <c r="R417" s="241"/>
      <c r="S417" s="241"/>
      <c r="T417" s="241"/>
      <c r="U417" s="241"/>
      <c r="V417" s="241"/>
      <c r="W417" s="241"/>
      <c r="X417" s="241"/>
      <c r="Y417" s="241"/>
      <c r="Z417" s="241"/>
    </row>
    <row r="418" spans="16:26" ht="10.199999999999999" customHeight="1">
      <c r="P418" s="249"/>
      <c r="Q418" s="249"/>
      <c r="R418" s="249"/>
      <c r="S418" s="249"/>
      <c r="T418" s="249"/>
      <c r="U418" s="249"/>
      <c r="V418" s="249"/>
      <c r="W418" s="249"/>
      <c r="X418" s="249"/>
      <c r="Y418" s="249"/>
      <c r="Z418" s="249"/>
    </row>
    <row r="419" spans="16:26" ht="10.199999999999999" customHeight="1">
      <c r="P419" s="249"/>
      <c r="Q419" s="249"/>
      <c r="R419" s="249"/>
      <c r="S419" s="249"/>
      <c r="T419" s="249"/>
      <c r="U419" s="249"/>
      <c r="V419" s="249"/>
      <c r="W419" s="249"/>
      <c r="X419" s="249"/>
      <c r="Y419" s="249"/>
      <c r="Z419" s="249"/>
    </row>
    <row r="420" spans="16:26" ht="10.199999999999999" customHeight="1">
      <c r="P420" s="241"/>
      <c r="Q420" s="241"/>
      <c r="R420" s="241"/>
      <c r="S420" s="241"/>
      <c r="T420" s="241"/>
      <c r="U420" s="241"/>
      <c r="V420" s="241"/>
      <c r="W420" s="241"/>
      <c r="X420" s="241"/>
      <c r="Y420" s="241"/>
      <c r="Z420" s="241"/>
    </row>
    <row r="421" spans="16:26" ht="10.199999999999999" customHeight="1">
      <c r="P421" s="249"/>
      <c r="Q421" s="249"/>
      <c r="R421" s="249"/>
      <c r="S421" s="249"/>
      <c r="T421" s="249"/>
      <c r="U421" s="249"/>
      <c r="V421" s="249"/>
      <c r="W421" s="249"/>
      <c r="X421" s="249"/>
      <c r="Y421" s="249"/>
      <c r="Z421" s="249"/>
    </row>
    <row r="422" spans="16:26" ht="10.199999999999999" customHeight="1">
      <c r="P422" s="249"/>
      <c r="Q422" s="249"/>
      <c r="R422" s="249"/>
      <c r="S422" s="249"/>
      <c r="T422" s="249"/>
      <c r="U422" s="249"/>
      <c r="V422" s="249"/>
      <c r="W422" s="249"/>
      <c r="X422" s="249"/>
      <c r="Y422" s="249"/>
      <c r="Z422" s="249"/>
    </row>
    <row r="423" spans="16:26" ht="10.199999999999999" customHeight="1">
      <c r="P423" s="241"/>
      <c r="Q423" s="241"/>
      <c r="R423" s="241"/>
      <c r="S423" s="241"/>
      <c r="T423" s="241"/>
      <c r="U423" s="241"/>
      <c r="V423" s="241"/>
      <c r="W423" s="241"/>
      <c r="X423" s="241"/>
      <c r="Y423" s="241"/>
      <c r="Z423" s="241"/>
    </row>
    <row r="424" spans="16:26" ht="10.199999999999999" customHeight="1">
      <c r="P424" s="249"/>
      <c r="Q424" s="249"/>
      <c r="R424" s="249"/>
      <c r="S424" s="249"/>
      <c r="T424" s="249"/>
      <c r="U424" s="249"/>
      <c r="V424" s="249"/>
      <c r="W424" s="249"/>
      <c r="X424" s="249"/>
      <c r="Y424" s="249"/>
      <c r="Z424" s="249"/>
    </row>
    <row r="425" spans="16:26" ht="10.199999999999999" customHeight="1">
      <c r="P425" s="249"/>
      <c r="Q425" s="249"/>
      <c r="R425" s="249"/>
      <c r="S425" s="249"/>
      <c r="T425" s="249"/>
      <c r="U425" s="249"/>
      <c r="V425" s="249"/>
      <c r="W425" s="249"/>
      <c r="X425" s="249"/>
      <c r="Y425" s="249"/>
      <c r="Z425" s="249"/>
    </row>
    <row r="426" spans="16:26" ht="10.199999999999999" customHeight="1">
      <c r="P426" s="241"/>
      <c r="Q426" s="241"/>
      <c r="R426" s="241"/>
      <c r="S426" s="241"/>
      <c r="T426" s="241"/>
      <c r="U426" s="241"/>
      <c r="V426" s="241"/>
      <c r="W426" s="241"/>
      <c r="X426" s="241"/>
      <c r="Y426" s="241"/>
      <c r="Z426" s="241"/>
    </row>
    <row r="427" spans="16:26" ht="10.199999999999999" customHeight="1">
      <c r="P427" s="249"/>
      <c r="Q427" s="249"/>
      <c r="R427" s="249"/>
      <c r="S427" s="249"/>
      <c r="T427" s="249"/>
      <c r="U427" s="249"/>
      <c r="V427" s="249"/>
      <c r="W427" s="249"/>
      <c r="X427" s="249"/>
      <c r="Y427" s="249"/>
      <c r="Z427" s="249"/>
    </row>
    <row r="428" spans="16:26" ht="10.199999999999999" customHeight="1">
      <c r="P428" s="249"/>
      <c r="Q428" s="249"/>
      <c r="R428" s="249"/>
      <c r="S428" s="249"/>
      <c r="T428" s="249"/>
      <c r="U428" s="249"/>
      <c r="V428" s="249"/>
      <c r="W428" s="249"/>
      <c r="X428" s="249"/>
      <c r="Y428" s="249"/>
      <c r="Z428" s="249"/>
    </row>
    <row r="429" spans="16:26" ht="10.199999999999999" customHeight="1">
      <c r="P429" s="241"/>
      <c r="Q429" s="241"/>
      <c r="R429" s="241"/>
      <c r="S429" s="241"/>
      <c r="T429" s="241"/>
      <c r="U429" s="241"/>
      <c r="V429" s="241"/>
      <c r="W429" s="241"/>
      <c r="X429" s="241"/>
      <c r="Y429" s="241"/>
      <c r="Z429" s="241"/>
    </row>
    <row r="430" spans="16:26" ht="10.199999999999999" customHeight="1">
      <c r="P430" s="249"/>
      <c r="Q430" s="249"/>
      <c r="R430" s="249"/>
      <c r="S430" s="249"/>
      <c r="T430" s="249"/>
      <c r="U430" s="249"/>
      <c r="V430" s="249"/>
      <c r="W430" s="249"/>
      <c r="X430" s="249"/>
      <c r="Y430" s="249"/>
      <c r="Z430" s="249"/>
    </row>
    <row r="431" spans="16:26" ht="10.199999999999999" customHeight="1">
      <c r="P431" s="249"/>
      <c r="Q431" s="249"/>
      <c r="R431" s="249"/>
      <c r="S431" s="249"/>
      <c r="T431" s="249"/>
      <c r="U431" s="249"/>
      <c r="V431" s="249"/>
      <c r="W431" s="249"/>
      <c r="X431" s="249"/>
      <c r="Y431" s="249"/>
      <c r="Z431" s="249"/>
    </row>
    <row r="432" spans="16:26" ht="10.199999999999999" customHeight="1">
      <c r="P432" s="241"/>
      <c r="Q432" s="241"/>
      <c r="R432" s="241"/>
      <c r="S432" s="241"/>
      <c r="T432" s="241"/>
      <c r="U432" s="241"/>
      <c r="V432" s="241"/>
      <c r="W432" s="241"/>
      <c r="X432" s="241"/>
      <c r="Y432" s="241"/>
      <c r="Z432" s="241"/>
    </row>
    <row r="433" spans="16:26" ht="10.199999999999999" customHeight="1">
      <c r="P433" s="249"/>
      <c r="Q433" s="249"/>
      <c r="R433" s="249"/>
      <c r="S433" s="249"/>
      <c r="T433" s="249"/>
      <c r="U433" s="249"/>
      <c r="V433" s="249"/>
      <c r="W433" s="249"/>
      <c r="X433" s="249"/>
      <c r="Y433" s="249"/>
      <c r="Z433" s="249"/>
    </row>
    <row r="434" spans="16:26" ht="10.199999999999999" customHeight="1">
      <c r="P434" s="249"/>
      <c r="Q434" s="249"/>
      <c r="R434" s="249"/>
      <c r="S434" s="249"/>
      <c r="T434" s="249"/>
      <c r="U434" s="249"/>
      <c r="V434" s="249"/>
      <c r="W434" s="249"/>
      <c r="X434" s="249"/>
      <c r="Y434" s="249"/>
      <c r="Z434" s="249"/>
    </row>
    <row r="435" spans="16:26" ht="10.199999999999999" customHeight="1">
      <c r="P435" s="241"/>
      <c r="Q435" s="241"/>
      <c r="R435" s="241"/>
      <c r="S435" s="241"/>
      <c r="T435" s="241"/>
      <c r="U435" s="241"/>
      <c r="V435" s="241"/>
      <c r="W435" s="241"/>
      <c r="X435" s="241"/>
      <c r="Y435" s="241"/>
      <c r="Z435" s="241"/>
    </row>
    <row r="436" spans="16:26" ht="10.199999999999999" customHeight="1">
      <c r="P436" s="249"/>
      <c r="Q436" s="249"/>
      <c r="R436" s="249"/>
      <c r="S436" s="249"/>
      <c r="T436" s="249"/>
      <c r="U436" s="249"/>
      <c r="V436" s="249"/>
      <c r="W436" s="249"/>
      <c r="X436" s="249"/>
      <c r="Y436" s="249"/>
      <c r="Z436" s="249"/>
    </row>
    <row r="437" spans="16:26" ht="10.199999999999999" customHeight="1">
      <c r="P437" s="249"/>
      <c r="Q437" s="249"/>
      <c r="R437" s="249"/>
      <c r="S437" s="249"/>
      <c r="T437" s="249"/>
      <c r="U437" s="249"/>
      <c r="V437" s="249"/>
      <c r="W437" s="249"/>
      <c r="X437" s="249"/>
      <c r="Y437" s="249"/>
      <c r="Z437" s="249"/>
    </row>
    <row r="438" spans="16:26" ht="10.199999999999999" customHeight="1">
      <c r="P438" s="241"/>
      <c r="Q438" s="241"/>
      <c r="R438" s="241"/>
      <c r="S438" s="241"/>
      <c r="T438" s="241"/>
      <c r="U438" s="241"/>
      <c r="V438" s="241"/>
      <c r="W438" s="241"/>
      <c r="X438" s="241"/>
      <c r="Y438" s="241"/>
      <c r="Z438" s="241"/>
    </row>
    <row r="439" spans="16:26" ht="10.199999999999999" customHeight="1">
      <c r="P439" s="249"/>
      <c r="Q439" s="249"/>
      <c r="R439" s="249"/>
      <c r="S439" s="249"/>
      <c r="T439" s="249"/>
      <c r="U439" s="249"/>
      <c r="V439" s="249"/>
      <c r="W439" s="249"/>
      <c r="X439" s="249"/>
      <c r="Y439" s="249"/>
      <c r="Z439" s="249"/>
    </row>
    <row r="440" spans="16:26" ht="10.199999999999999" customHeight="1">
      <c r="P440" s="249"/>
      <c r="Q440" s="249"/>
      <c r="R440" s="249"/>
      <c r="S440" s="249"/>
      <c r="T440" s="249"/>
      <c r="U440" s="249"/>
      <c r="V440" s="249"/>
      <c r="W440" s="249"/>
      <c r="X440" s="249"/>
      <c r="Y440" s="249"/>
      <c r="Z440" s="249"/>
    </row>
    <row r="441" spans="16:26" ht="10.199999999999999" customHeight="1">
      <c r="P441" s="241"/>
      <c r="Q441" s="241"/>
      <c r="R441" s="241"/>
      <c r="S441" s="241"/>
      <c r="T441" s="241"/>
      <c r="U441" s="241"/>
      <c r="V441" s="241"/>
      <c r="W441" s="241"/>
      <c r="X441" s="241"/>
      <c r="Y441" s="241"/>
      <c r="Z441" s="241"/>
    </row>
    <row r="442" spans="16:26" ht="10.199999999999999" customHeight="1">
      <c r="P442" s="249"/>
      <c r="Q442" s="249"/>
      <c r="R442" s="249"/>
      <c r="S442" s="249"/>
      <c r="T442" s="249"/>
      <c r="U442" s="249"/>
      <c r="V442" s="249"/>
      <c r="W442" s="249"/>
      <c r="X442" s="249"/>
      <c r="Y442" s="249"/>
      <c r="Z442" s="249"/>
    </row>
    <row r="443" spans="16:26" ht="10.199999999999999" customHeight="1">
      <c r="P443" s="249"/>
      <c r="Q443" s="249"/>
      <c r="R443" s="249"/>
      <c r="S443" s="249"/>
      <c r="T443" s="249"/>
      <c r="U443" s="249"/>
      <c r="V443" s="249"/>
      <c r="W443" s="249"/>
      <c r="X443" s="249"/>
      <c r="Y443" s="249"/>
      <c r="Z443" s="249"/>
    </row>
    <row r="444" spans="16:26" ht="10.199999999999999" customHeight="1">
      <c r="P444" s="241"/>
      <c r="Q444" s="241"/>
      <c r="R444" s="241"/>
      <c r="S444" s="241"/>
      <c r="T444" s="241"/>
      <c r="U444" s="241"/>
      <c r="V444" s="241"/>
      <c r="W444" s="241"/>
      <c r="X444" s="241"/>
      <c r="Y444" s="241"/>
      <c r="Z444" s="241"/>
    </row>
    <row r="445" spans="16:26" ht="10.199999999999999" customHeight="1">
      <c r="P445" s="249"/>
      <c r="Q445" s="249"/>
      <c r="R445" s="249"/>
      <c r="S445" s="249"/>
      <c r="T445" s="249"/>
      <c r="U445" s="249"/>
      <c r="V445" s="249"/>
      <c r="W445" s="249"/>
      <c r="X445" s="249"/>
      <c r="Y445" s="249"/>
      <c r="Z445" s="249"/>
    </row>
    <row r="446" spans="16:26" ht="10.199999999999999" customHeight="1">
      <c r="P446" s="249"/>
      <c r="Q446" s="249"/>
      <c r="R446" s="249"/>
      <c r="S446" s="249"/>
      <c r="T446" s="249"/>
      <c r="U446" s="249"/>
      <c r="V446" s="249"/>
      <c r="W446" s="249"/>
      <c r="X446" s="249"/>
      <c r="Y446" s="249"/>
      <c r="Z446" s="249"/>
    </row>
    <row r="447" spans="16:26" ht="10.199999999999999" customHeight="1">
      <c r="P447" s="241"/>
      <c r="Q447" s="241"/>
      <c r="R447" s="241"/>
      <c r="S447" s="241"/>
      <c r="T447" s="241"/>
      <c r="U447" s="241"/>
      <c r="V447" s="241"/>
      <c r="W447" s="241"/>
      <c r="X447" s="241"/>
      <c r="Y447" s="241"/>
      <c r="Z447" s="241"/>
    </row>
    <row r="448" spans="16:26" ht="10.199999999999999" customHeight="1">
      <c r="P448" s="249"/>
      <c r="Q448" s="249"/>
      <c r="R448" s="249"/>
      <c r="S448" s="249"/>
      <c r="T448" s="249"/>
      <c r="U448" s="249"/>
      <c r="V448" s="249"/>
      <c r="W448" s="249"/>
      <c r="X448" s="249"/>
      <c r="Y448" s="249"/>
      <c r="Z448" s="249"/>
    </row>
    <row r="449" spans="16:26" ht="10.199999999999999" customHeight="1">
      <c r="P449" s="249"/>
      <c r="Q449" s="249"/>
      <c r="R449" s="249"/>
      <c r="S449" s="249"/>
      <c r="T449" s="249"/>
      <c r="U449" s="249"/>
      <c r="V449" s="249"/>
      <c r="W449" s="249"/>
      <c r="X449" s="249"/>
      <c r="Y449" s="249"/>
      <c r="Z449" s="249"/>
    </row>
    <row r="450" spans="16:26" ht="10.199999999999999" customHeight="1">
      <c r="P450" s="241"/>
      <c r="Q450" s="241"/>
      <c r="R450" s="241"/>
      <c r="S450" s="241"/>
      <c r="T450" s="241"/>
      <c r="U450" s="241"/>
      <c r="V450" s="241"/>
      <c r="W450" s="241"/>
      <c r="X450" s="241"/>
      <c r="Y450" s="241"/>
      <c r="Z450" s="241"/>
    </row>
    <row r="451" spans="16:26" ht="10.199999999999999" customHeight="1">
      <c r="P451" s="249"/>
      <c r="Q451" s="249"/>
      <c r="R451" s="249"/>
      <c r="S451" s="249"/>
      <c r="T451" s="249"/>
      <c r="U451" s="249"/>
      <c r="V451" s="249"/>
      <c r="W451" s="249"/>
      <c r="X451" s="249"/>
      <c r="Y451" s="249"/>
      <c r="Z451" s="249"/>
    </row>
    <row r="452" spans="16:26" ht="10.199999999999999" customHeight="1">
      <c r="P452" s="249"/>
      <c r="Q452" s="249"/>
      <c r="R452" s="249"/>
      <c r="S452" s="249"/>
      <c r="T452" s="249"/>
      <c r="U452" s="249"/>
      <c r="V452" s="249"/>
      <c r="W452" s="249"/>
      <c r="X452" s="249"/>
      <c r="Y452" s="249"/>
      <c r="Z452" s="249"/>
    </row>
    <row r="453" spans="16:26" ht="10.199999999999999" customHeight="1">
      <c r="P453" s="241"/>
      <c r="Q453" s="241"/>
      <c r="R453" s="241"/>
      <c r="S453" s="241"/>
      <c r="T453" s="241"/>
      <c r="U453" s="241"/>
      <c r="V453" s="241"/>
      <c r="W453" s="241"/>
      <c r="X453" s="241"/>
      <c r="Y453" s="241"/>
      <c r="Z453" s="241"/>
    </row>
    <row r="454" spans="16:26" ht="10.199999999999999" customHeight="1">
      <c r="P454" s="249"/>
      <c r="Q454" s="249"/>
      <c r="R454" s="249"/>
      <c r="S454" s="249"/>
      <c r="T454" s="249"/>
      <c r="U454" s="249"/>
      <c r="V454" s="249"/>
      <c r="W454" s="249"/>
      <c r="X454" s="249"/>
      <c r="Y454" s="249"/>
      <c r="Z454" s="249"/>
    </row>
    <row r="455" spans="16:26" ht="10.199999999999999" customHeight="1">
      <c r="P455" s="249"/>
      <c r="Q455" s="249"/>
      <c r="R455" s="249"/>
      <c r="S455" s="249"/>
      <c r="T455" s="249"/>
      <c r="U455" s="249"/>
      <c r="V455" s="249"/>
      <c r="W455" s="249"/>
      <c r="X455" s="249"/>
      <c r="Y455" s="249"/>
      <c r="Z455" s="249"/>
    </row>
    <row r="456" spans="16:26" ht="10.199999999999999" customHeight="1">
      <c r="P456" s="241"/>
      <c r="Q456" s="241"/>
      <c r="R456" s="241"/>
      <c r="S456" s="241"/>
      <c r="T456" s="241"/>
      <c r="U456" s="241"/>
      <c r="V456" s="241"/>
      <c r="W456" s="241"/>
      <c r="X456" s="241"/>
      <c r="Y456" s="241"/>
      <c r="Z456" s="241"/>
    </row>
    <row r="457" spans="16:26" ht="10.199999999999999" customHeight="1">
      <c r="P457" s="249"/>
      <c r="Q457" s="249"/>
      <c r="R457" s="249"/>
      <c r="S457" s="249"/>
      <c r="T457" s="249"/>
      <c r="U457" s="249"/>
      <c r="V457" s="249"/>
      <c r="W457" s="249"/>
      <c r="X457" s="249"/>
      <c r="Y457" s="249"/>
      <c r="Z457" s="249"/>
    </row>
    <row r="458" spans="16:26" ht="10.199999999999999" customHeight="1">
      <c r="P458" s="249"/>
      <c r="Q458" s="249"/>
      <c r="R458" s="249"/>
      <c r="S458" s="249"/>
      <c r="T458" s="249"/>
      <c r="U458" s="249"/>
      <c r="V458" s="249"/>
      <c r="W458" s="249"/>
      <c r="X458" s="249"/>
      <c r="Y458" s="249"/>
      <c r="Z458" s="249"/>
    </row>
    <row r="459" spans="16:26" ht="10.199999999999999" customHeight="1">
      <c r="P459" s="241"/>
      <c r="Q459" s="241"/>
      <c r="R459" s="241"/>
      <c r="S459" s="241"/>
      <c r="T459" s="241"/>
      <c r="U459" s="241"/>
      <c r="V459" s="241"/>
      <c r="W459" s="241"/>
      <c r="X459" s="241"/>
      <c r="Y459" s="241"/>
      <c r="Z459" s="241"/>
    </row>
    <row r="460" spans="16:26" ht="10.199999999999999" customHeight="1">
      <c r="P460" s="249"/>
      <c r="Q460" s="249"/>
      <c r="R460" s="249"/>
      <c r="S460" s="249"/>
      <c r="T460" s="249"/>
      <c r="U460" s="249"/>
      <c r="V460" s="249"/>
      <c r="W460" s="249"/>
      <c r="X460" s="249"/>
      <c r="Y460" s="249"/>
      <c r="Z460" s="249"/>
    </row>
    <row r="461" spans="16:26" ht="10.199999999999999" customHeight="1">
      <c r="P461" s="249"/>
      <c r="Q461" s="249"/>
      <c r="R461" s="249"/>
      <c r="S461" s="249"/>
      <c r="T461" s="249"/>
      <c r="U461" s="249"/>
      <c r="V461" s="249"/>
      <c r="W461" s="249"/>
      <c r="X461" s="249"/>
      <c r="Y461" s="249"/>
      <c r="Z461" s="249"/>
    </row>
    <row r="462" spans="16:26" ht="10.199999999999999" customHeight="1">
      <c r="P462" s="241"/>
      <c r="Q462" s="241"/>
      <c r="R462" s="241"/>
      <c r="S462" s="241"/>
      <c r="T462" s="241"/>
      <c r="U462" s="241"/>
      <c r="V462" s="241"/>
      <c r="W462" s="241"/>
      <c r="X462" s="241"/>
      <c r="Y462" s="241"/>
      <c r="Z462" s="241"/>
    </row>
    <row r="463" spans="16:26" ht="10.199999999999999" customHeight="1">
      <c r="P463" s="249"/>
      <c r="Q463" s="249"/>
      <c r="R463" s="249"/>
      <c r="S463" s="249"/>
      <c r="T463" s="249"/>
      <c r="U463" s="249"/>
      <c r="V463" s="249"/>
      <c r="W463" s="249"/>
      <c r="X463" s="249"/>
      <c r="Y463" s="249"/>
      <c r="Z463" s="249"/>
    </row>
    <row r="464" spans="16:26" ht="10.199999999999999" customHeight="1">
      <c r="P464" s="249"/>
      <c r="Q464" s="249"/>
      <c r="R464" s="249"/>
      <c r="S464" s="249"/>
      <c r="T464" s="249"/>
      <c r="U464" s="249"/>
      <c r="V464" s="249"/>
      <c r="W464" s="249"/>
      <c r="X464" s="249"/>
      <c r="Y464" s="249"/>
      <c r="Z464" s="249"/>
    </row>
    <row r="465" spans="16:26" ht="10.199999999999999" customHeight="1">
      <c r="P465" s="241"/>
      <c r="Q465" s="241"/>
      <c r="R465" s="241"/>
      <c r="S465" s="241"/>
      <c r="T465" s="241"/>
      <c r="U465" s="241"/>
      <c r="V465" s="241"/>
      <c r="W465" s="241"/>
      <c r="X465" s="241"/>
      <c r="Y465" s="241"/>
      <c r="Z465" s="241"/>
    </row>
    <row r="466" spans="16:26" ht="10.199999999999999" customHeight="1">
      <c r="P466" s="249"/>
      <c r="Q466" s="249"/>
      <c r="R466" s="249"/>
      <c r="S466" s="249"/>
      <c r="T466" s="249"/>
      <c r="U466" s="249"/>
      <c r="V466" s="249"/>
      <c r="W466" s="249"/>
      <c r="X466" s="249"/>
      <c r="Y466" s="249"/>
      <c r="Z466" s="249"/>
    </row>
    <row r="467" spans="16:26" ht="10.199999999999999" customHeight="1">
      <c r="P467" s="249"/>
      <c r="Q467" s="249"/>
      <c r="R467" s="249"/>
      <c r="S467" s="249"/>
      <c r="T467" s="249"/>
      <c r="U467" s="249"/>
      <c r="V467" s="249"/>
      <c r="W467" s="249"/>
      <c r="X467" s="249"/>
      <c r="Y467" s="249"/>
      <c r="Z467" s="249"/>
    </row>
    <row r="468" spans="16:26" ht="10.199999999999999" customHeight="1">
      <c r="P468" s="241"/>
      <c r="Q468" s="241"/>
      <c r="R468" s="241"/>
      <c r="S468" s="241"/>
      <c r="T468" s="241"/>
      <c r="U468" s="241"/>
      <c r="V468" s="241"/>
      <c r="W468" s="241"/>
      <c r="X468" s="241"/>
      <c r="Y468" s="241"/>
      <c r="Z468" s="241"/>
    </row>
    <row r="469" spans="16:26" ht="10.199999999999999" customHeight="1">
      <c r="P469" s="249"/>
      <c r="Q469" s="249"/>
      <c r="R469" s="249"/>
      <c r="S469" s="249"/>
      <c r="T469" s="249"/>
      <c r="U469" s="249"/>
      <c r="V469" s="249"/>
      <c r="W469" s="249"/>
      <c r="X469" s="249"/>
      <c r="Y469" s="249"/>
      <c r="Z469" s="249"/>
    </row>
    <row r="470" spans="16:26" ht="10.199999999999999" customHeight="1">
      <c r="P470" s="249"/>
      <c r="Q470" s="249"/>
      <c r="R470" s="249"/>
      <c r="S470" s="249"/>
      <c r="T470" s="249"/>
      <c r="U470" s="249"/>
      <c r="V470" s="249"/>
      <c r="W470" s="249"/>
      <c r="X470" s="249"/>
      <c r="Y470" s="249"/>
      <c r="Z470" s="249"/>
    </row>
    <row r="471" spans="16:26" ht="10.199999999999999" customHeight="1">
      <c r="P471" s="241"/>
      <c r="Q471" s="241"/>
      <c r="R471" s="241"/>
      <c r="S471" s="241"/>
      <c r="T471" s="241"/>
      <c r="U471" s="241"/>
      <c r="V471" s="241"/>
      <c r="W471" s="241"/>
      <c r="X471" s="241"/>
      <c r="Y471" s="241"/>
      <c r="Z471" s="241"/>
    </row>
    <row r="472" spans="16:26" ht="10.199999999999999" customHeight="1">
      <c r="P472" s="249"/>
      <c r="Q472" s="249"/>
      <c r="R472" s="249"/>
      <c r="S472" s="249"/>
      <c r="T472" s="249"/>
      <c r="U472" s="249"/>
      <c r="V472" s="249"/>
      <c r="W472" s="249"/>
      <c r="X472" s="249"/>
      <c r="Y472" s="249"/>
      <c r="Z472" s="249"/>
    </row>
    <row r="473" spans="16:26" ht="10.199999999999999" customHeight="1">
      <c r="P473" s="249"/>
      <c r="Q473" s="249"/>
      <c r="R473" s="249"/>
      <c r="S473" s="249"/>
      <c r="T473" s="249"/>
      <c r="U473" s="249"/>
      <c r="V473" s="249"/>
      <c r="W473" s="249"/>
      <c r="X473" s="249"/>
      <c r="Y473" s="249"/>
      <c r="Z473" s="249"/>
    </row>
    <row r="474" spans="16:26" ht="10.199999999999999" customHeight="1">
      <c r="P474" s="241"/>
      <c r="Q474" s="241"/>
      <c r="R474" s="241"/>
      <c r="S474" s="241"/>
      <c r="T474" s="241"/>
      <c r="U474" s="241"/>
      <c r="V474" s="241"/>
      <c r="W474" s="241"/>
      <c r="X474" s="241"/>
      <c r="Y474" s="241"/>
      <c r="Z474" s="241"/>
    </row>
    <row r="475" spans="16:26" ht="10.199999999999999" customHeight="1">
      <c r="P475" s="249"/>
      <c r="Q475" s="249"/>
      <c r="R475" s="249"/>
      <c r="S475" s="249"/>
      <c r="T475" s="249"/>
      <c r="U475" s="249"/>
      <c r="V475" s="249"/>
      <c r="W475" s="249"/>
      <c r="X475" s="249"/>
      <c r="Y475" s="249"/>
      <c r="Z475" s="249"/>
    </row>
    <row r="476" spans="16:26" ht="10.199999999999999" customHeight="1">
      <c r="P476" s="249"/>
      <c r="Q476" s="249"/>
      <c r="R476" s="249"/>
      <c r="S476" s="249"/>
      <c r="T476" s="249"/>
      <c r="U476" s="249"/>
      <c r="V476" s="249"/>
      <c r="W476" s="249"/>
      <c r="X476" s="249"/>
      <c r="Y476" s="249"/>
      <c r="Z476" s="249"/>
    </row>
    <row r="477" spans="16:26" ht="10.199999999999999" customHeight="1">
      <c r="P477" s="241"/>
      <c r="Q477" s="241"/>
      <c r="R477" s="241"/>
      <c r="S477" s="241"/>
      <c r="T477" s="241"/>
      <c r="U477" s="241"/>
      <c r="V477" s="241"/>
      <c r="W477" s="241"/>
      <c r="X477" s="241"/>
      <c r="Y477" s="241"/>
      <c r="Z477" s="241"/>
    </row>
    <row r="478" spans="16:26" ht="10.199999999999999" customHeight="1">
      <c r="P478" s="249"/>
      <c r="Q478" s="249"/>
      <c r="R478" s="249"/>
      <c r="S478" s="249"/>
      <c r="T478" s="249"/>
      <c r="U478" s="249"/>
      <c r="V478" s="249"/>
      <c r="W478" s="249"/>
      <c r="X478" s="249"/>
      <c r="Y478" s="249"/>
      <c r="Z478" s="249"/>
    </row>
    <row r="479" spans="16:26" ht="10.199999999999999" customHeight="1">
      <c r="P479" s="249"/>
      <c r="Q479" s="249"/>
      <c r="R479" s="249"/>
      <c r="S479" s="249"/>
      <c r="T479" s="249"/>
      <c r="U479" s="249"/>
      <c r="V479" s="249"/>
      <c r="W479" s="249"/>
      <c r="X479" s="249"/>
      <c r="Y479" s="249"/>
      <c r="Z479" s="249"/>
    </row>
    <row r="480" spans="16:26" ht="10.199999999999999" customHeight="1">
      <c r="P480" s="241"/>
      <c r="Q480" s="241"/>
      <c r="R480" s="241"/>
      <c r="S480" s="241"/>
      <c r="T480" s="241"/>
      <c r="U480" s="241"/>
      <c r="V480" s="241"/>
      <c r="W480" s="241"/>
      <c r="X480" s="241"/>
      <c r="Y480" s="241"/>
      <c r="Z480" s="241"/>
    </row>
    <row r="481" spans="16:26" ht="10.199999999999999" customHeight="1">
      <c r="P481" s="249"/>
      <c r="Q481" s="249"/>
      <c r="R481" s="249"/>
      <c r="S481" s="249"/>
      <c r="T481" s="249"/>
      <c r="U481" s="249"/>
      <c r="V481" s="249"/>
      <c r="W481" s="249"/>
      <c r="X481" s="249"/>
      <c r="Y481" s="249"/>
      <c r="Z481" s="249"/>
    </row>
    <row r="482" spans="16:26" ht="10.199999999999999" customHeight="1">
      <c r="P482" s="249"/>
      <c r="Q482" s="249"/>
      <c r="R482" s="249"/>
      <c r="S482" s="249"/>
      <c r="T482" s="249"/>
      <c r="U482" s="249"/>
      <c r="V482" s="249"/>
      <c r="W482" s="249"/>
      <c r="X482" s="249"/>
      <c r="Y482" s="249"/>
      <c r="Z482" s="249"/>
    </row>
    <row r="483" spans="16:26" ht="10.199999999999999" customHeight="1">
      <c r="P483" s="241"/>
      <c r="Q483" s="241"/>
      <c r="R483" s="241"/>
      <c r="S483" s="241"/>
      <c r="T483" s="241"/>
      <c r="U483" s="241"/>
      <c r="V483" s="241"/>
      <c r="W483" s="241"/>
      <c r="X483" s="241"/>
      <c r="Y483" s="241"/>
      <c r="Z483" s="241"/>
    </row>
    <row r="484" spans="16:26" ht="10.199999999999999" customHeight="1">
      <c r="P484" s="249"/>
      <c r="Q484" s="249"/>
      <c r="R484" s="249"/>
      <c r="S484" s="249"/>
      <c r="T484" s="249"/>
      <c r="U484" s="249"/>
      <c r="V484" s="249"/>
      <c r="W484" s="249"/>
      <c r="X484" s="249"/>
      <c r="Y484" s="249"/>
      <c r="Z484" s="249"/>
    </row>
    <row r="485" spans="16:26" ht="10.199999999999999" customHeight="1">
      <c r="P485" s="249"/>
      <c r="Q485" s="249"/>
      <c r="R485" s="249"/>
      <c r="S485" s="249"/>
      <c r="T485" s="249"/>
      <c r="U485" s="249"/>
      <c r="V485" s="249"/>
      <c r="W485" s="249"/>
      <c r="X485" s="249"/>
      <c r="Y485" s="249"/>
      <c r="Z485" s="249"/>
    </row>
    <row r="486" spans="16:26" ht="10.199999999999999" customHeight="1">
      <c r="P486" s="241"/>
      <c r="Q486" s="241"/>
      <c r="R486" s="241"/>
      <c r="S486" s="241"/>
      <c r="T486" s="241"/>
      <c r="U486" s="241"/>
      <c r="V486" s="241"/>
      <c r="W486" s="241"/>
      <c r="X486" s="241"/>
      <c r="Y486" s="241"/>
      <c r="Z486" s="241"/>
    </row>
    <row r="487" spans="16:26" ht="10.199999999999999" customHeight="1">
      <c r="P487" s="249"/>
      <c r="Q487" s="249"/>
      <c r="R487" s="249"/>
      <c r="S487" s="249"/>
      <c r="T487" s="249"/>
      <c r="U487" s="249"/>
      <c r="V487" s="249"/>
      <c r="W487" s="249"/>
      <c r="X487" s="249"/>
      <c r="Y487" s="249"/>
      <c r="Z487" s="249"/>
    </row>
    <row r="488" spans="16:26" ht="10.199999999999999" customHeight="1">
      <c r="P488" s="249"/>
      <c r="Q488" s="249"/>
      <c r="R488" s="249"/>
      <c r="S488" s="249"/>
      <c r="T488" s="249"/>
      <c r="U488" s="249"/>
      <c r="V488" s="249"/>
      <c r="W488" s="249"/>
      <c r="X488" s="249"/>
      <c r="Y488" s="249"/>
      <c r="Z488" s="249"/>
    </row>
    <row r="489" spans="16:26" ht="10.199999999999999" customHeight="1">
      <c r="P489" s="241"/>
      <c r="Q489" s="241"/>
      <c r="R489" s="241"/>
      <c r="S489" s="241"/>
      <c r="T489" s="241"/>
      <c r="U489" s="241"/>
      <c r="V489" s="241"/>
      <c r="W489" s="241"/>
      <c r="X489" s="241"/>
      <c r="Y489" s="241"/>
      <c r="Z489" s="241"/>
    </row>
    <row r="490" spans="16:26" ht="10.199999999999999" customHeight="1">
      <c r="P490" s="249"/>
      <c r="Q490" s="249"/>
      <c r="R490" s="249"/>
      <c r="S490" s="249"/>
      <c r="T490" s="249"/>
      <c r="U490" s="249"/>
      <c r="V490" s="249"/>
      <c r="W490" s="249"/>
      <c r="X490" s="249"/>
      <c r="Y490" s="249"/>
      <c r="Z490" s="249"/>
    </row>
    <row r="491" spans="16:26" ht="10.199999999999999" customHeight="1">
      <c r="P491" s="249"/>
      <c r="Q491" s="249"/>
      <c r="R491" s="249"/>
      <c r="S491" s="249"/>
      <c r="T491" s="249"/>
      <c r="U491" s="249"/>
      <c r="V491" s="249"/>
      <c r="W491" s="249"/>
      <c r="X491" s="249"/>
      <c r="Y491" s="249"/>
      <c r="Z491" s="249"/>
    </row>
    <row r="492" spans="16:26" ht="10.199999999999999" customHeight="1">
      <c r="P492" s="241"/>
      <c r="Q492" s="241"/>
      <c r="R492" s="241"/>
      <c r="S492" s="241"/>
      <c r="T492" s="241"/>
      <c r="U492" s="241"/>
      <c r="V492" s="241"/>
      <c r="W492" s="241"/>
      <c r="X492" s="241"/>
      <c r="Y492" s="241"/>
      <c r="Z492" s="241"/>
    </row>
    <row r="493" spans="16:26" ht="10.199999999999999" customHeight="1">
      <c r="P493" s="249"/>
      <c r="Q493" s="249"/>
      <c r="R493" s="249"/>
      <c r="S493" s="249"/>
      <c r="T493" s="249"/>
      <c r="U493" s="249"/>
      <c r="V493" s="249"/>
      <c r="W493" s="249"/>
      <c r="X493" s="249"/>
      <c r="Y493" s="249"/>
      <c r="Z493" s="249"/>
    </row>
    <row r="494" spans="16:26" ht="10.199999999999999" customHeight="1">
      <c r="P494" s="249"/>
      <c r="Q494" s="249"/>
      <c r="R494" s="249"/>
      <c r="S494" s="249"/>
      <c r="T494" s="249"/>
      <c r="U494" s="249"/>
      <c r="V494" s="249"/>
      <c r="W494" s="249"/>
      <c r="X494" s="249"/>
      <c r="Y494" s="249"/>
      <c r="Z494" s="249"/>
    </row>
    <row r="495" spans="16:26" ht="10.199999999999999" customHeight="1">
      <c r="P495" s="241"/>
      <c r="Q495" s="241"/>
      <c r="R495" s="241"/>
      <c r="S495" s="241"/>
      <c r="T495" s="241"/>
      <c r="U495" s="241"/>
      <c r="V495" s="241"/>
      <c r="W495" s="241"/>
      <c r="X495" s="241"/>
      <c r="Y495" s="241"/>
      <c r="Z495" s="241"/>
    </row>
    <row r="496" spans="16:26" ht="10.199999999999999" customHeight="1">
      <c r="P496" s="249"/>
      <c r="Q496" s="249"/>
      <c r="R496" s="249"/>
      <c r="S496" s="249"/>
      <c r="T496" s="249"/>
      <c r="U496" s="249"/>
      <c r="V496" s="249"/>
      <c r="W496" s="249"/>
      <c r="X496" s="249"/>
      <c r="Y496" s="249"/>
      <c r="Z496" s="249"/>
    </row>
    <row r="497" spans="16:26" ht="10.199999999999999" customHeight="1">
      <c r="P497" s="249"/>
      <c r="Q497" s="249"/>
      <c r="R497" s="249"/>
      <c r="S497" s="249"/>
      <c r="T497" s="249"/>
      <c r="U497" s="249"/>
      <c r="V497" s="249"/>
      <c r="W497" s="249"/>
      <c r="X497" s="249"/>
      <c r="Y497" s="249"/>
      <c r="Z497" s="249"/>
    </row>
    <row r="498" spans="16:26" ht="10.199999999999999" customHeight="1">
      <c r="P498" s="241"/>
      <c r="Q498" s="241"/>
      <c r="R498" s="241"/>
      <c r="S498" s="241"/>
      <c r="T498" s="241"/>
      <c r="U498" s="241"/>
      <c r="V498" s="241"/>
      <c r="W498" s="241"/>
      <c r="X498" s="241"/>
      <c r="Y498" s="241"/>
      <c r="Z498" s="241"/>
    </row>
    <row r="499" spans="16:26" ht="10.199999999999999" customHeight="1">
      <c r="P499" s="249"/>
      <c r="Q499" s="249"/>
      <c r="R499" s="249"/>
      <c r="S499" s="249"/>
      <c r="T499" s="249"/>
      <c r="U499" s="249"/>
      <c r="V499" s="249"/>
      <c r="W499" s="249"/>
      <c r="X499" s="249"/>
      <c r="Y499" s="249"/>
      <c r="Z499" s="249"/>
    </row>
    <row r="500" spans="16:26" ht="10.199999999999999" customHeight="1">
      <c r="P500" s="249"/>
      <c r="Q500" s="249"/>
      <c r="R500" s="249"/>
      <c r="S500" s="249"/>
      <c r="T500" s="249"/>
      <c r="U500" s="249"/>
      <c r="V500" s="249"/>
      <c r="W500" s="249"/>
      <c r="X500" s="249"/>
      <c r="Y500" s="249"/>
      <c r="Z500" s="249"/>
    </row>
    <row r="501" spans="16:26" ht="10.199999999999999" customHeight="1">
      <c r="P501" s="241"/>
      <c r="Q501" s="241"/>
      <c r="R501" s="241"/>
      <c r="S501" s="241"/>
      <c r="T501" s="241"/>
      <c r="U501" s="241"/>
      <c r="V501" s="241"/>
      <c r="W501" s="241"/>
      <c r="X501" s="241"/>
      <c r="Y501" s="241"/>
      <c r="Z501" s="241"/>
    </row>
    <row r="502" spans="16:26" ht="10.199999999999999" customHeight="1">
      <c r="P502" s="249"/>
      <c r="Q502" s="249"/>
      <c r="R502" s="249"/>
      <c r="S502" s="249"/>
      <c r="T502" s="249"/>
      <c r="U502" s="249"/>
      <c r="V502" s="249"/>
      <c r="W502" s="249"/>
      <c r="X502" s="249"/>
      <c r="Y502" s="249"/>
      <c r="Z502" s="249"/>
    </row>
    <row r="503" spans="16:26" ht="10.199999999999999" customHeight="1">
      <c r="P503" s="249"/>
      <c r="Q503" s="249"/>
      <c r="R503" s="249"/>
      <c r="S503" s="249"/>
      <c r="T503" s="249"/>
      <c r="U503" s="249"/>
      <c r="V503" s="249"/>
      <c r="W503" s="249"/>
      <c r="X503" s="249"/>
      <c r="Y503" s="249"/>
      <c r="Z503" s="249"/>
    </row>
    <row r="504" spans="16:26" ht="10.199999999999999" customHeight="1">
      <c r="P504" s="241"/>
      <c r="Q504" s="241"/>
      <c r="R504" s="241"/>
      <c r="S504" s="241"/>
      <c r="T504" s="241"/>
      <c r="U504" s="241"/>
      <c r="V504" s="241"/>
      <c r="W504" s="241"/>
      <c r="X504" s="241"/>
      <c r="Y504" s="241"/>
      <c r="Z504" s="241"/>
    </row>
    <row r="505" spans="16:26" ht="10.199999999999999" customHeight="1">
      <c r="P505" s="249"/>
      <c r="Q505" s="249"/>
      <c r="R505" s="249"/>
      <c r="S505" s="249"/>
      <c r="T505" s="249"/>
      <c r="U505" s="249"/>
      <c r="V505" s="249"/>
      <c r="W505" s="249"/>
      <c r="X505" s="249"/>
      <c r="Y505" s="249"/>
      <c r="Z505" s="249"/>
    </row>
    <row r="506" spans="16:26" ht="10.199999999999999" customHeight="1">
      <c r="P506" s="249"/>
      <c r="Q506" s="249"/>
      <c r="R506" s="249"/>
      <c r="S506" s="249"/>
      <c r="T506" s="249"/>
      <c r="U506" s="249"/>
      <c r="V506" s="249"/>
      <c r="W506" s="249"/>
      <c r="X506" s="249"/>
      <c r="Y506" s="249"/>
      <c r="Z506" s="249"/>
    </row>
    <row r="507" spans="16:26" ht="10.199999999999999" customHeight="1">
      <c r="P507" s="241"/>
      <c r="Q507" s="241"/>
      <c r="R507" s="241"/>
      <c r="S507" s="241"/>
      <c r="T507" s="241"/>
      <c r="U507" s="241"/>
      <c r="V507" s="241"/>
      <c r="W507" s="241"/>
      <c r="X507" s="241"/>
      <c r="Y507" s="241"/>
      <c r="Z507" s="241"/>
    </row>
    <row r="508" spans="16:26" ht="10.199999999999999" customHeight="1">
      <c r="P508" s="249"/>
      <c r="Q508" s="249"/>
      <c r="R508" s="249"/>
      <c r="S508" s="249"/>
      <c r="T508" s="249"/>
      <c r="U508" s="249"/>
      <c r="V508" s="249"/>
      <c r="W508" s="249"/>
      <c r="X508" s="249"/>
      <c r="Y508" s="249"/>
      <c r="Z508" s="249"/>
    </row>
    <row r="509" spans="16:26" ht="10.199999999999999" customHeight="1">
      <c r="P509" s="249"/>
      <c r="Q509" s="249"/>
      <c r="R509" s="249"/>
      <c r="S509" s="249"/>
      <c r="T509" s="249"/>
      <c r="U509" s="249"/>
      <c r="V509" s="249"/>
      <c r="W509" s="249"/>
      <c r="X509" s="249"/>
      <c r="Y509" s="249"/>
      <c r="Z509" s="249"/>
    </row>
    <row r="510" spans="16:26" ht="10.199999999999999" customHeight="1">
      <c r="P510" s="241"/>
      <c r="Q510" s="241"/>
      <c r="R510" s="241"/>
      <c r="S510" s="241"/>
      <c r="T510" s="241"/>
      <c r="U510" s="241"/>
      <c r="V510" s="241"/>
      <c r="W510" s="241"/>
      <c r="X510" s="241"/>
      <c r="Y510" s="241"/>
      <c r="Z510" s="241"/>
    </row>
    <row r="511" spans="16:26" ht="10.199999999999999" customHeight="1">
      <c r="P511" s="249"/>
      <c r="Q511" s="249"/>
      <c r="R511" s="249"/>
      <c r="S511" s="249"/>
      <c r="T511" s="249"/>
      <c r="U511" s="249"/>
      <c r="V511" s="249"/>
      <c r="W511" s="249"/>
      <c r="X511" s="249"/>
      <c r="Y511" s="249"/>
      <c r="Z511" s="249"/>
    </row>
    <row r="512" spans="16:26" ht="10.199999999999999" customHeight="1">
      <c r="P512" s="249"/>
      <c r="Q512" s="249"/>
      <c r="R512" s="249"/>
      <c r="S512" s="249"/>
      <c r="T512" s="249"/>
      <c r="U512" s="249"/>
      <c r="V512" s="249"/>
      <c r="W512" s="249"/>
      <c r="X512" s="249"/>
      <c r="Y512" s="249"/>
      <c r="Z512" s="249"/>
    </row>
    <row r="513" spans="16:26" ht="10.199999999999999" customHeight="1">
      <c r="P513" s="241"/>
      <c r="Q513" s="241"/>
      <c r="R513" s="241"/>
      <c r="S513" s="241"/>
      <c r="T513" s="241"/>
      <c r="U513" s="241"/>
      <c r="V513" s="241"/>
      <c r="W513" s="241"/>
      <c r="X513" s="241"/>
      <c r="Y513" s="241"/>
      <c r="Z513" s="241"/>
    </row>
    <row r="514" spans="16:26" ht="10.199999999999999" customHeight="1">
      <c r="P514" s="249"/>
      <c r="Q514" s="249"/>
      <c r="R514" s="249"/>
      <c r="S514" s="249"/>
      <c r="T514" s="249"/>
      <c r="U514" s="249"/>
      <c r="V514" s="249"/>
      <c r="W514" s="249"/>
      <c r="X514" s="249"/>
      <c r="Y514" s="249"/>
      <c r="Z514" s="249"/>
    </row>
    <row r="515" spans="16:26" ht="10.199999999999999" customHeight="1">
      <c r="P515" s="249"/>
      <c r="Q515" s="249"/>
      <c r="R515" s="249"/>
      <c r="S515" s="249"/>
      <c r="T515" s="249"/>
      <c r="U515" s="249"/>
      <c r="V515" s="249"/>
      <c r="W515" s="249"/>
      <c r="X515" s="249"/>
      <c r="Y515" s="249"/>
      <c r="Z515" s="249"/>
    </row>
    <row r="516" spans="16:26" ht="10.199999999999999" customHeight="1">
      <c r="P516" s="241"/>
      <c r="Q516" s="241"/>
      <c r="R516" s="241"/>
      <c r="S516" s="241"/>
      <c r="T516" s="241"/>
      <c r="U516" s="241"/>
      <c r="V516" s="241"/>
      <c r="W516" s="241"/>
      <c r="X516" s="241"/>
      <c r="Y516" s="241"/>
      <c r="Z516" s="241"/>
    </row>
    <row r="517" spans="16:26" ht="10.199999999999999" customHeight="1">
      <c r="P517" s="249"/>
      <c r="Q517" s="249"/>
      <c r="R517" s="249"/>
      <c r="S517" s="249"/>
      <c r="T517" s="249"/>
      <c r="U517" s="249"/>
      <c r="V517" s="249"/>
      <c r="W517" s="249"/>
      <c r="X517" s="249"/>
      <c r="Y517" s="249"/>
      <c r="Z517" s="249"/>
    </row>
    <row r="518" spans="16:26" ht="10.199999999999999" customHeight="1">
      <c r="P518" s="249"/>
      <c r="Q518" s="249"/>
      <c r="R518" s="249"/>
      <c r="S518" s="249"/>
      <c r="T518" s="249"/>
      <c r="U518" s="249"/>
      <c r="V518" s="249"/>
      <c r="W518" s="249"/>
      <c r="X518" s="249"/>
      <c r="Y518" s="249"/>
      <c r="Z518" s="249"/>
    </row>
    <row r="519" spans="16:26" ht="10.199999999999999" customHeight="1">
      <c r="P519" s="241"/>
      <c r="Q519" s="241"/>
      <c r="R519" s="241"/>
      <c r="S519" s="241"/>
      <c r="T519" s="241"/>
      <c r="U519" s="241"/>
      <c r="V519" s="241"/>
      <c r="W519" s="241"/>
      <c r="X519" s="241"/>
      <c r="Y519" s="241"/>
      <c r="Z519" s="241"/>
    </row>
    <row r="520" spans="16:26" ht="10.199999999999999" customHeight="1">
      <c r="P520" s="249"/>
      <c r="Q520" s="249"/>
      <c r="R520" s="249"/>
      <c r="S520" s="249"/>
      <c r="T520" s="249"/>
      <c r="U520" s="249"/>
      <c r="V520" s="249"/>
      <c r="W520" s="249"/>
      <c r="X520" s="249"/>
      <c r="Y520" s="249"/>
      <c r="Z520" s="249"/>
    </row>
    <row r="521" spans="16:26" ht="10.199999999999999" customHeight="1">
      <c r="P521" s="249"/>
      <c r="Q521" s="249"/>
      <c r="R521" s="249"/>
      <c r="S521" s="249"/>
      <c r="T521" s="249"/>
      <c r="U521" s="249"/>
      <c r="V521" s="249"/>
      <c r="W521" s="249"/>
      <c r="X521" s="249"/>
      <c r="Y521" s="249"/>
      <c r="Z521" s="249"/>
    </row>
    <row r="522" spans="16:26" ht="10.199999999999999" customHeight="1">
      <c r="P522" s="241"/>
      <c r="Q522" s="241"/>
      <c r="R522" s="241"/>
      <c r="S522" s="241"/>
      <c r="T522" s="241"/>
      <c r="U522" s="241"/>
      <c r="V522" s="241"/>
      <c r="W522" s="241"/>
      <c r="X522" s="241"/>
      <c r="Y522" s="241"/>
      <c r="Z522" s="241"/>
    </row>
    <row r="523" spans="16:26" ht="10.199999999999999" customHeight="1">
      <c r="P523" s="249"/>
      <c r="Q523" s="249"/>
      <c r="R523" s="249"/>
      <c r="S523" s="249"/>
      <c r="T523" s="249"/>
      <c r="U523" s="249"/>
      <c r="V523" s="249"/>
      <c r="W523" s="249"/>
      <c r="X523" s="249"/>
      <c r="Y523" s="249"/>
      <c r="Z523" s="249"/>
    </row>
    <row r="524" spans="16:26" ht="10.199999999999999" customHeight="1">
      <c r="P524" s="249"/>
      <c r="Q524" s="249"/>
      <c r="R524" s="249"/>
      <c r="S524" s="249"/>
      <c r="T524" s="249"/>
      <c r="U524" s="249"/>
      <c r="V524" s="249"/>
      <c r="W524" s="249"/>
      <c r="X524" s="249"/>
      <c r="Y524" s="249"/>
      <c r="Z524" s="249"/>
    </row>
    <row r="525" spans="16:26" ht="10.199999999999999" customHeight="1">
      <c r="P525" s="241"/>
      <c r="Q525" s="241"/>
      <c r="R525" s="241"/>
      <c r="S525" s="241"/>
      <c r="T525" s="241"/>
      <c r="U525" s="241"/>
      <c r="V525" s="241"/>
      <c r="W525" s="241"/>
      <c r="X525" s="241"/>
      <c r="Y525" s="241"/>
      <c r="Z525" s="241"/>
    </row>
    <row r="526" spans="16:26" ht="10.199999999999999" customHeight="1">
      <c r="P526" s="249"/>
      <c r="Q526" s="249"/>
      <c r="R526" s="249"/>
      <c r="S526" s="249"/>
      <c r="T526" s="249"/>
      <c r="U526" s="249"/>
      <c r="V526" s="249"/>
      <c r="W526" s="249"/>
      <c r="X526" s="249"/>
      <c r="Y526" s="249"/>
      <c r="Z526" s="249"/>
    </row>
    <row r="527" spans="16:26" ht="10.199999999999999" customHeight="1">
      <c r="P527" s="249"/>
      <c r="Q527" s="249"/>
      <c r="R527" s="249"/>
      <c r="S527" s="249"/>
      <c r="T527" s="249"/>
      <c r="U527" s="249"/>
      <c r="V527" s="249"/>
      <c r="W527" s="249"/>
      <c r="X527" s="249"/>
      <c r="Y527" s="249"/>
      <c r="Z527" s="249"/>
    </row>
    <row r="528" spans="16:26" ht="10.199999999999999" customHeight="1">
      <c r="P528" s="241"/>
      <c r="Q528" s="241"/>
      <c r="R528" s="241"/>
      <c r="S528" s="241"/>
      <c r="T528" s="241"/>
      <c r="U528" s="241"/>
      <c r="V528" s="241"/>
      <c r="W528" s="241"/>
      <c r="X528" s="241"/>
      <c r="Y528" s="241"/>
      <c r="Z528" s="241"/>
    </row>
    <row r="529" spans="16:26" ht="10.199999999999999" customHeight="1">
      <c r="P529" s="249"/>
      <c r="Q529" s="249"/>
      <c r="R529" s="249"/>
      <c r="S529" s="249"/>
      <c r="T529" s="249"/>
      <c r="U529" s="249"/>
      <c r="V529" s="249"/>
      <c r="W529" s="249"/>
      <c r="X529" s="249"/>
      <c r="Y529" s="249"/>
      <c r="Z529" s="249"/>
    </row>
    <row r="530" spans="16:26" ht="10.199999999999999" customHeight="1">
      <c r="P530" s="249"/>
      <c r="Q530" s="249"/>
      <c r="R530" s="249"/>
      <c r="S530" s="249"/>
      <c r="T530" s="249"/>
      <c r="U530" s="249"/>
      <c r="V530" s="249"/>
      <c r="W530" s="249"/>
      <c r="X530" s="249"/>
      <c r="Y530" s="249"/>
      <c r="Z530" s="249"/>
    </row>
    <row r="531" spans="16:26" ht="10.199999999999999" customHeight="1">
      <c r="P531" s="241"/>
      <c r="Q531" s="241"/>
      <c r="R531" s="241"/>
      <c r="S531" s="241"/>
      <c r="T531" s="241"/>
      <c r="U531" s="241"/>
      <c r="V531" s="241"/>
      <c r="W531" s="241"/>
      <c r="X531" s="241"/>
      <c r="Y531" s="241"/>
      <c r="Z531" s="241"/>
    </row>
    <row r="532" spans="16:26" ht="10.199999999999999" customHeight="1">
      <c r="P532" s="249"/>
      <c r="Q532" s="249"/>
      <c r="R532" s="249"/>
      <c r="S532" s="249"/>
      <c r="T532" s="249"/>
      <c r="U532" s="249"/>
      <c r="V532" s="249"/>
      <c r="W532" s="249"/>
      <c r="X532" s="249"/>
      <c r="Y532" s="249"/>
      <c r="Z532" s="249"/>
    </row>
    <row r="533" spans="16:26" ht="10.199999999999999" customHeight="1">
      <c r="P533" s="249"/>
      <c r="Q533" s="249"/>
      <c r="R533" s="249"/>
      <c r="S533" s="249"/>
      <c r="T533" s="249"/>
      <c r="U533" s="249"/>
      <c r="V533" s="249"/>
      <c r="W533" s="249"/>
      <c r="X533" s="249"/>
      <c r="Y533" s="249"/>
      <c r="Z533" s="249"/>
    </row>
    <row r="534" spans="16:26" ht="10.199999999999999" customHeight="1">
      <c r="P534" s="241"/>
      <c r="Q534" s="241"/>
      <c r="R534" s="241"/>
      <c r="S534" s="241"/>
      <c r="T534" s="241"/>
      <c r="U534" s="241"/>
      <c r="V534" s="241"/>
      <c r="W534" s="241"/>
      <c r="X534" s="241"/>
      <c r="Y534" s="241"/>
      <c r="Z534" s="241"/>
    </row>
    <row r="535" spans="16:26" ht="10.199999999999999" customHeight="1">
      <c r="P535" s="249"/>
      <c r="Q535" s="249"/>
      <c r="R535" s="249"/>
      <c r="S535" s="249"/>
      <c r="T535" s="249"/>
      <c r="U535" s="249"/>
      <c r="V535" s="249"/>
      <c r="W535" s="249"/>
      <c r="X535" s="249"/>
      <c r="Y535" s="249"/>
      <c r="Z535" s="249"/>
    </row>
    <row r="536" spans="16:26" ht="10.199999999999999" customHeight="1">
      <c r="P536" s="249"/>
      <c r="Q536" s="249"/>
      <c r="R536" s="249"/>
      <c r="S536" s="249"/>
      <c r="T536" s="249"/>
      <c r="U536" s="249"/>
      <c r="V536" s="249"/>
      <c r="W536" s="249"/>
      <c r="X536" s="249"/>
      <c r="Y536" s="249"/>
      <c r="Z536" s="249"/>
    </row>
    <row r="537" spans="16:26" ht="10.199999999999999" customHeight="1">
      <c r="P537" s="241"/>
      <c r="Q537" s="241"/>
      <c r="R537" s="241"/>
      <c r="S537" s="241"/>
      <c r="T537" s="241"/>
      <c r="U537" s="241"/>
      <c r="V537" s="241"/>
      <c r="W537" s="241"/>
      <c r="X537" s="241"/>
      <c r="Y537" s="241"/>
      <c r="Z537" s="241"/>
    </row>
    <row r="538" spans="16:26" ht="10.199999999999999" customHeight="1">
      <c r="P538" s="249"/>
      <c r="Q538" s="249"/>
      <c r="R538" s="249"/>
      <c r="S538" s="249"/>
      <c r="T538" s="249"/>
      <c r="U538" s="249"/>
      <c r="V538" s="249"/>
      <c r="W538" s="249"/>
      <c r="X538" s="249"/>
      <c r="Y538" s="249"/>
      <c r="Z538" s="249"/>
    </row>
    <row r="539" spans="16:26" ht="10.199999999999999" customHeight="1">
      <c r="P539" s="249"/>
      <c r="Q539" s="249"/>
      <c r="R539" s="249"/>
      <c r="S539" s="249"/>
      <c r="T539" s="249"/>
      <c r="U539" s="249"/>
      <c r="V539" s="249"/>
      <c r="W539" s="249"/>
      <c r="X539" s="249"/>
      <c r="Y539" s="249"/>
      <c r="Z539" s="249"/>
    </row>
    <row r="540" spans="16:26" ht="10.199999999999999" customHeight="1">
      <c r="P540" s="241"/>
      <c r="Q540" s="241"/>
      <c r="R540" s="241"/>
      <c r="S540" s="241"/>
      <c r="T540" s="241"/>
      <c r="U540" s="241"/>
      <c r="V540" s="241"/>
      <c r="W540" s="241"/>
      <c r="X540" s="241"/>
      <c r="Y540" s="241"/>
      <c r="Z540" s="241"/>
    </row>
    <row r="541" spans="16:26" ht="10.199999999999999" customHeight="1">
      <c r="P541" s="249"/>
      <c r="Q541" s="249"/>
      <c r="R541" s="249"/>
      <c r="S541" s="249"/>
      <c r="T541" s="249"/>
      <c r="U541" s="249"/>
      <c r="V541" s="249"/>
      <c r="W541" s="249"/>
      <c r="X541" s="249"/>
      <c r="Y541" s="249"/>
      <c r="Z541" s="249"/>
    </row>
    <row r="542" spans="16:26" ht="10.199999999999999" customHeight="1">
      <c r="P542" s="249"/>
      <c r="Q542" s="249"/>
      <c r="R542" s="249"/>
      <c r="S542" s="249"/>
      <c r="T542" s="249"/>
      <c r="U542" s="249"/>
      <c r="V542" s="249"/>
      <c r="W542" s="249"/>
      <c r="X542" s="249"/>
      <c r="Y542" s="249"/>
      <c r="Z542" s="249"/>
    </row>
    <row r="543" spans="16:26" ht="10.199999999999999" customHeight="1">
      <c r="P543" s="241"/>
      <c r="Q543" s="241"/>
      <c r="R543" s="241"/>
      <c r="S543" s="241"/>
      <c r="T543" s="241"/>
      <c r="U543" s="241"/>
      <c r="V543" s="241"/>
      <c r="W543" s="241"/>
      <c r="X543" s="241"/>
      <c r="Y543" s="241"/>
      <c r="Z543" s="241"/>
    </row>
    <row r="544" spans="16:26" ht="10.199999999999999" customHeight="1">
      <c r="P544" s="249"/>
      <c r="Q544" s="249"/>
      <c r="R544" s="249"/>
      <c r="S544" s="249"/>
      <c r="T544" s="249"/>
      <c r="U544" s="249"/>
      <c r="V544" s="249"/>
      <c r="W544" s="249"/>
      <c r="X544" s="249"/>
      <c r="Y544" s="249"/>
      <c r="Z544" s="249"/>
    </row>
    <row r="545" spans="16:26" ht="10.199999999999999" customHeight="1">
      <c r="P545" s="249"/>
      <c r="Q545" s="249"/>
      <c r="R545" s="249"/>
      <c r="S545" s="249"/>
      <c r="T545" s="249"/>
      <c r="U545" s="249"/>
      <c r="V545" s="249"/>
      <c r="W545" s="249"/>
      <c r="X545" s="249"/>
      <c r="Y545" s="249"/>
      <c r="Z545" s="249"/>
    </row>
    <row r="546" spans="16:26" ht="10.199999999999999" customHeight="1">
      <c r="P546" s="241"/>
      <c r="Q546" s="241"/>
      <c r="R546" s="241"/>
      <c r="S546" s="241"/>
      <c r="T546" s="241"/>
      <c r="U546" s="241"/>
      <c r="V546" s="241"/>
      <c r="W546" s="241"/>
      <c r="X546" s="241"/>
      <c r="Y546" s="241"/>
      <c r="Z546" s="241"/>
    </row>
    <row r="547" spans="16:26" ht="10.199999999999999" customHeight="1">
      <c r="P547" s="249"/>
      <c r="Q547" s="249"/>
      <c r="R547" s="249"/>
      <c r="S547" s="249"/>
      <c r="T547" s="249"/>
      <c r="U547" s="249"/>
      <c r="V547" s="249"/>
      <c r="W547" s="249"/>
      <c r="X547" s="249"/>
      <c r="Y547" s="249"/>
      <c r="Z547" s="249"/>
    </row>
    <row r="548" spans="16:26" ht="10.199999999999999" customHeight="1">
      <c r="P548" s="249"/>
      <c r="Q548" s="249"/>
      <c r="R548" s="249"/>
      <c r="S548" s="249"/>
      <c r="T548" s="249"/>
      <c r="U548" s="249"/>
      <c r="V548" s="249"/>
      <c r="W548" s="249"/>
      <c r="X548" s="249"/>
      <c r="Y548" s="249"/>
      <c r="Z548" s="249"/>
    </row>
    <row r="549" spans="16:26" ht="10.199999999999999" customHeight="1">
      <c r="P549" s="241"/>
      <c r="Q549" s="241"/>
      <c r="R549" s="241"/>
      <c r="S549" s="241"/>
      <c r="T549" s="241"/>
      <c r="U549" s="241"/>
      <c r="V549" s="241"/>
      <c r="W549" s="241"/>
      <c r="X549" s="241"/>
      <c r="Y549" s="241"/>
      <c r="Z549" s="241"/>
    </row>
    <row r="550" spans="16:26" ht="10.199999999999999" customHeight="1">
      <c r="P550" s="249"/>
      <c r="Q550" s="249"/>
      <c r="R550" s="249"/>
      <c r="S550" s="249"/>
      <c r="T550" s="249"/>
      <c r="U550" s="249"/>
      <c r="V550" s="249"/>
      <c r="W550" s="249"/>
      <c r="X550" s="249"/>
      <c r="Y550" s="249"/>
      <c r="Z550" s="249"/>
    </row>
    <row r="551" spans="16:26" ht="10.199999999999999" customHeight="1">
      <c r="P551" s="249"/>
      <c r="Q551" s="249"/>
      <c r="R551" s="249"/>
      <c r="S551" s="249"/>
      <c r="T551" s="249"/>
      <c r="U551" s="249"/>
      <c r="V551" s="249"/>
      <c r="W551" s="249"/>
      <c r="X551" s="249"/>
      <c r="Y551" s="249"/>
      <c r="Z551" s="249"/>
    </row>
    <row r="552" spans="16:26" ht="10.199999999999999" customHeight="1">
      <c r="P552" s="241"/>
      <c r="Q552" s="241"/>
      <c r="R552" s="241"/>
      <c r="S552" s="241"/>
      <c r="T552" s="241"/>
      <c r="U552" s="241"/>
      <c r="V552" s="241"/>
      <c r="W552" s="241"/>
      <c r="X552" s="241"/>
      <c r="Y552" s="241"/>
      <c r="Z552" s="241"/>
    </row>
    <row r="553" spans="16:26" ht="10.199999999999999" customHeight="1">
      <c r="P553" s="249"/>
      <c r="Q553" s="249"/>
      <c r="R553" s="249"/>
      <c r="S553" s="249"/>
      <c r="T553" s="249"/>
      <c r="U553" s="249"/>
      <c r="V553" s="249"/>
      <c r="W553" s="249"/>
      <c r="X553" s="249"/>
      <c r="Y553" s="249"/>
      <c r="Z553" s="249"/>
    </row>
    <row r="554" spans="16:26" ht="10.199999999999999" customHeight="1">
      <c r="P554" s="249"/>
      <c r="Q554" s="249"/>
      <c r="R554" s="249"/>
      <c r="S554" s="249"/>
      <c r="T554" s="249"/>
      <c r="U554" s="249"/>
      <c r="V554" s="249"/>
      <c r="W554" s="249"/>
      <c r="X554" s="249"/>
      <c r="Y554" s="249"/>
      <c r="Z554" s="249"/>
    </row>
    <row r="555" spans="16:26" ht="10.199999999999999" customHeight="1">
      <c r="P555" s="241"/>
      <c r="Q555" s="241"/>
      <c r="R555" s="241"/>
      <c r="S555" s="241"/>
      <c r="T555" s="241"/>
      <c r="U555" s="241"/>
      <c r="V555" s="241"/>
      <c r="W555" s="241"/>
      <c r="X555" s="241"/>
      <c r="Y555" s="241"/>
      <c r="Z555" s="241"/>
    </row>
    <row r="556" spans="16:26" ht="10.199999999999999" customHeight="1">
      <c r="P556" s="249"/>
      <c r="Q556" s="249"/>
      <c r="R556" s="249"/>
      <c r="S556" s="249"/>
      <c r="T556" s="249"/>
      <c r="U556" s="249"/>
      <c r="V556" s="249"/>
      <c r="W556" s="249"/>
      <c r="X556" s="249"/>
      <c r="Y556" s="249"/>
      <c r="Z556" s="249"/>
    </row>
    <row r="557" spans="16:26" ht="10.199999999999999" customHeight="1">
      <c r="P557" s="249"/>
      <c r="Q557" s="249"/>
      <c r="R557" s="249"/>
      <c r="S557" s="249"/>
      <c r="T557" s="249"/>
      <c r="U557" s="249"/>
      <c r="V557" s="249"/>
      <c r="W557" s="249"/>
      <c r="X557" s="249"/>
      <c r="Y557" s="249"/>
      <c r="Z557" s="249"/>
    </row>
    <row r="558" spans="16:26" ht="10.199999999999999" customHeight="1">
      <c r="P558" s="241"/>
      <c r="Q558" s="241"/>
      <c r="R558" s="241"/>
      <c r="S558" s="241"/>
      <c r="T558" s="241"/>
      <c r="U558" s="241"/>
      <c r="V558" s="241"/>
      <c r="W558" s="241"/>
      <c r="X558" s="241"/>
      <c r="Y558" s="241"/>
      <c r="Z558" s="241"/>
    </row>
    <row r="559" spans="16:26" ht="10.199999999999999" customHeight="1">
      <c r="P559" s="249"/>
      <c r="Q559" s="249"/>
      <c r="R559" s="249"/>
      <c r="S559" s="249"/>
      <c r="T559" s="249"/>
      <c r="U559" s="249"/>
      <c r="V559" s="249"/>
      <c r="W559" s="249"/>
      <c r="X559" s="249"/>
      <c r="Y559" s="249"/>
      <c r="Z559" s="249"/>
    </row>
    <row r="560" spans="16:26" ht="10.199999999999999" customHeight="1">
      <c r="P560" s="249"/>
      <c r="Q560" s="249"/>
      <c r="R560" s="249"/>
      <c r="S560" s="249"/>
      <c r="T560" s="249"/>
      <c r="U560" s="249"/>
      <c r="V560" s="249"/>
      <c r="W560" s="249"/>
      <c r="X560" s="249"/>
      <c r="Y560" s="249"/>
      <c r="Z560" s="249"/>
    </row>
    <row r="561" spans="16:26" ht="10.199999999999999" customHeight="1">
      <c r="P561" s="241"/>
      <c r="Q561" s="241"/>
      <c r="R561" s="241"/>
      <c r="S561" s="241"/>
      <c r="T561" s="241"/>
      <c r="U561" s="241"/>
      <c r="V561" s="241"/>
      <c r="W561" s="241"/>
      <c r="X561" s="241"/>
      <c r="Y561" s="241"/>
      <c r="Z561" s="241"/>
    </row>
    <row r="562" spans="16:26" ht="10.199999999999999" customHeight="1">
      <c r="P562" s="249"/>
      <c r="Q562" s="249"/>
      <c r="R562" s="249"/>
      <c r="S562" s="249"/>
      <c r="T562" s="249"/>
      <c r="U562" s="249"/>
      <c r="V562" s="249"/>
      <c r="W562" s="249"/>
      <c r="X562" s="249"/>
      <c r="Y562" s="249"/>
      <c r="Z562" s="249"/>
    </row>
    <row r="563" spans="16:26" ht="10.199999999999999" customHeight="1">
      <c r="P563" s="249"/>
      <c r="Q563" s="249"/>
      <c r="R563" s="249"/>
      <c r="S563" s="249"/>
      <c r="T563" s="249"/>
      <c r="U563" s="249"/>
      <c r="V563" s="249"/>
      <c r="W563" s="249"/>
      <c r="X563" s="249"/>
      <c r="Y563" s="249"/>
      <c r="Z563" s="249"/>
    </row>
    <row r="564" spans="16:26" ht="10.199999999999999" customHeight="1">
      <c r="P564" s="241"/>
      <c r="Q564" s="241"/>
      <c r="R564" s="241"/>
      <c r="S564" s="241"/>
      <c r="T564" s="241"/>
      <c r="U564" s="241"/>
      <c r="V564" s="241"/>
      <c r="W564" s="241"/>
      <c r="X564" s="241"/>
      <c r="Y564" s="241"/>
      <c r="Z564" s="241"/>
    </row>
    <row r="565" spans="16:26" ht="10.199999999999999" customHeight="1">
      <c r="P565" s="249"/>
      <c r="Q565" s="249"/>
      <c r="R565" s="249"/>
      <c r="S565" s="249"/>
      <c r="T565" s="249"/>
      <c r="U565" s="249"/>
      <c r="V565" s="249"/>
      <c r="W565" s="249"/>
      <c r="X565" s="249"/>
      <c r="Y565" s="249"/>
      <c r="Z565" s="249"/>
    </row>
    <row r="566" spans="16:26" ht="10.199999999999999" customHeight="1">
      <c r="P566" s="249"/>
      <c r="Q566" s="249"/>
      <c r="R566" s="249"/>
      <c r="S566" s="249"/>
      <c r="T566" s="249"/>
      <c r="U566" s="249"/>
      <c r="V566" s="249"/>
      <c r="W566" s="249"/>
      <c r="X566" s="249"/>
      <c r="Y566" s="249"/>
      <c r="Z566" s="249"/>
    </row>
    <row r="567" spans="16:26" ht="10.199999999999999" customHeight="1">
      <c r="P567" s="241"/>
      <c r="Q567" s="241"/>
      <c r="R567" s="241"/>
      <c r="S567" s="241"/>
      <c r="T567" s="241"/>
      <c r="U567" s="241"/>
      <c r="V567" s="241"/>
      <c r="W567" s="241"/>
      <c r="X567" s="241"/>
      <c r="Y567" s="241"/>
      <c r="Z567" s="241"/>
    </row>
    <row r="568" spans="16:26" ht="10.199999999999999" customHeight="1">
      <c r="P568" s="249"/>
      <c r="Q568" s="249"/>
      <c r="R568" s="249"/>
      <c r="S568" s="249"/>
      <c r="T568" s="249"/>
      <c r="U568" s="249"/>
      <c r="V568" s="249"/>
      <c r="W568" s="249"/>
      <c r="X568" s="249"/>
      <c r="Y568" s="249"/>
      <c r="Z568" s="249"/>
    </row>
    <row r="569" spans="16:26" ht="10.199999999999999" customHeight="1">
      <c r="P569" s="249"/>
      <c r="Q569" s="249"/>
      <c r="R569" s="249"/>
      <c r="S569" s="249"/>
      <c r="T569" s="249"/>
      <c r="U569" s="249"/>
      <c r="V569" s="249"/>
      <c r="W569" s="249"/>
      <c r="X569" s="249"/>
      <c r="Y569" s="249"/>
      <c r="Z569" s="249"/>
    </row>
    <row r="570" spans="16:26" ht="10.199999999999999" customHeight="1">
      <c r="P570" s="241"/>
      <c r="Q570" s="241"/>
      <c r="R570" s="241"/>
      <c r="S570" s="241"/>
      <c r="T570" s="241"/>
      <c r="U570" s="241"/>
      <c r="V570" s="241"/>
      <c r="W570" s="241"/>
      <c r="X570" s="241"/>
      <c r="Y570" s="241"/>
      <c r="Z570" s="241"/>
    </row>
    <row r="571" spans="16:26" ht="10.199999999999999" customHeight="1">
      <c r="P571" s="249"/>
      <c r="Q571" s="249"/>
      <c r="R571" s="249"/>
      <c r="S571" s="249"/>
      <c r="T571" s="249"/>
      <c r="U571" s="249"/>
      <c r="V571" s="249"/>
      <c r="W571" s="249"/>
      <c r="X571" s="249"/>
      <c r="Y571" s="249"/>
      <c r="Z571" s="249"/>
    </row>
    <row r="572" spans="16:26" ht="10.199999999999999" customHeight="1">
      <c r="P572" s="249"/>
      <c r="Q572" s="249"/>
      <c r="R572" s="249"/>
      <c r="S572" s="249"/>
      <c r="T572" s="249"/>
      <c r="U572" s="249"/>
      <c r="V572" s="249"/>
      <c r="W572" s="249"/>
      <c r="X572" s="249"/>
      <c r="Y572" s="249"/>
      <c r="Z572" s="249"/>
    </row>
    <row r="573" spans="16:26" ht="10.199999999999999" customHeight="1">
      <c r="P573" s="241"/>
      <c r="Q573" s="241"/>
      <c r="R573" s="241"/>
      <c r="S573" s="241"/>
      <c r="T573" s="241"/>
      <c r="U573" s="241"/>
      <c r="V573" s="241"/>
      <c r="W573" s="241"/>
      <c r="X573" s="241"/>
      <c r="Y573" s="241"/>
      <c r="Z573" s="241"/>
    </row>
    <row r="574" spans="16:26" ht="10.199999999999999" customHeight="1">
      <c r="P574" s="249"/>
      <c r="Q574" s="249"/>
      <c r="R574" s="249"/>
      <c r="S574" s="249"/>
      <c r="T574" s="249"/>
      <c r="U574" s="249"/>
      <c r="V574" s="249"/>
      <c r="W574" s="249"/>
      <c r="X574" s="249"/>
      <c r="Y574" s="249"/>
      <c r="Z574" s="249"/>
    </row>
    <row r="575" spans="16:26" ht="10.199999999999999" customHeight="1">
      <c r="P575" s="249"/>
      <c r="Q575" s="249"/>
      <c r="R575" s="249"/>
      <c r="S575" s="249"/>
      <c r="T575" s="249"/>
      <c r="U575" s="249"/>
      <c r="V575" s="249"/>
      <c r="W575" s="249"/>
      <c r="X575" s="249"/>
      <c r="Y575" s="249"/>
      <c r="Z575" s="249"/>
    </row>
    <row r="576" spans="16:26" ht="10.199999999999999" customHeight="1">
      <c r="P576" s="241"/>
      <c r="Q576" s="241"/>
      <c r="R576" s="241"/>
      <c r="S576" s="241"/>
      <c r="T576" s="241"/>
      <c r="U576" s="241"/>
      <c r="V576" s="241"/>
      <c r="W576" s="241"/>
      <c r="X576" s="241"/>
      <c r="Y576" s="241"/>
      <c r="Z576" s="241"/>
    </row>
    <row r="577" spans="16:26" ht="10.199999999999999" customHeight="1">
      <c r="P577" s="249"/>
      <c r="Q577" s="249"/>
      <c r="R577" s="249"/>
      <c r="S577" s="249"/>
      <c r="T577" s="249"/>
      <c r="U577" s="249"/>
      <c r="V577" s="249"/>
      <c r="W577" s="249"/>
      <c r="X577" s="249"/>
      <c r="Y577" s="249"/>
      <c r="Z577" s="249"/>
    </row>
    <row r="578" spans="16:26" ht="10.199999999999999" customHeight="1">
      <c r="P578" s="249"/>
      <c r="Q578" s="249"/>
      <c r="R578" s="249"/>
      <c r="S578" s="249"/>
      <c r="T578" s="249"/>
      <c r="U578" s="249"/>
      <c r="V578" s="249"/>
      <c r="W578" s="249"/>
      <c r="X578" s="249"/>
      <c r="Y578" s="249"/>
      <c r="Z578" s="249"/>
    </row>
    <row r="579" spans="16:26" ht="10.199999999999999" customHeight="1">
      <c r="P579" s="241"/>
      <c r="Q579" s="241"/>
      <c r="R579" s="241"/>
      <c r="S579" s="241"/>
      <c r="T579" s="241"/>
      <c r="U579" s="241"/>
      <c r="V579" s="241"/>
      <c r="W579" s="241"/>
      <c r="X579" s="241"/>
      <c r="Y579" s="241"/>
      <c r="Z579" s="241"/>
    </row>
    <row r="580" spans="16:26" ht="10.199999999999999" customHeight="1">
      <c r="P580" s="249"/>
      <c r="Q580" s="249"/>
      <c r="R580" s="249"/>
      <c r="S580" s="249"/>
      <c r="T580" s="249"/>
      <c r="U580" s="249"/>
      <c r="V580" s="249"/>
      <c r="W580" s="249"/>
      <c r="X580" s="249"/>
      <c r="Y580" s="249"/>
      <c r="Z580" s="249"/>
    </row>
    <row r="581" spans="16:26" ht="10.199999999999999" customHeight="1">
      <c r="P581" s="249"/>
      <c r="Q581" s="249"/>
      <c r="R581" s="249"/>
      <c r="S581" s="249"/>
      <c r="T581" s="249"/>
      <c r="U581" s="249"/>
      <c r="V581" s="249"/>
      <c r="W581" s="249"/>
      <c r="X581" s="249"/>
      <c r="Y581" s="249"/>
      <c r="Z581" s="249"/>
    </row>
    <row r="582" spans="16:26" ht="10.199999999999999" customHeight="1">
      <c r="P582" s="241"/>
      <c r="Q582" s="241"/>
      <c r="R582" s="241"/>
      <c r="S582" s="241"/>
      <c r="T582" s="241"/>
      <c r="U582" s="241"/>
      <c r="V582" s="241"/>
      <c r="W582" s="241"/>
      <c r="X582" s="241"/>
      <c r="Y582" s="241"/>
      <c r="Z582" s="241"/>
    </row>
    <row r="583" spans="16:26" ht="10.199999999999999" customHeight="1">
      <c r="P583" s="249"/>
      <c r="Q583" s="249"/>
      <c r="R583" s="249"/>
      <c r="S583" s="249"/>
      <c r="T583" s="249"/>
      <c r="U583" s="249"/>
      <c r="V583" s="249"/>
      <c r="W583" s="249"/>
      <c r="X583" s="249"/>
      <c r="Y583" s="249"/>
      <c r="Z583" s="249"/>
    </row>
    <row r="584" spans="16:26" ht="10.199999999999999" customHeight="1">
      <c r="P584" s="249"/>
      <c r="Q584" s="249"/>
      <c r="R584" s="249"/>
      <c r="S584" s="249"/>
      <c r="T584" s="249"/>
      <c r="U584" s="249"/>
      <c r="V584" s="249"/>
      <c r="W584" s="249"/>
      <c r="X584" s="249"/>
      <c r="Y584" s="249"/>
      <c r="Z584" s="249"/>
    </row>
    <row r="585" spans="16:26" ht="10.199999999999999" customHeight="1">
      <c r="P585" s="241"/>
      <c r="Q585" s="241"/>
      <c r="R585" s="241"/>
      <c r="S585" s="241"/>
      <c r="T585" s="241"/>
      <c r="U585" s="241"/>
      <c r="V585" s="241"/>
      <c r="W585" s="241"/>
      <c r="X585" s="241"/>
      <c r="Y585" s="241"/>
      <c r="Z585" s="241"/>
    </row>
    <row r="586" spans="16:26" ht="10.199999999999999" customHeight="1">
      <c r="P586" s="249"/>
      <c r="Q586" s="249"/>
      <c r="R586" s="249"/>
      <c r="S586" s="249"/>
      <c r="T586" s="249"/>
      <c r="U586" s="249"/>
      <c r="V586" s="249"/>
      <c r="W586" s="249"/>
      <c r="X586" s="249"/>
      <c r="Y586" s="249"/>
      <c r="Z586" s="249"/>
    </row>
    <row r="587" spans="16:26" ht="10.199999999999999" customHeight="1">
      <c r="P587" s="249"/>
      <c r="Q587" s="249"/>
      <c r="R587" s="249"/>
      <c r="S587" s="249"/>
      <c r="T587" s="249"/>
      <c r="U587" s="249"/>
      <c r="V587" s="249"/>
      <c r="W587" s="249"/>
      <c r="X587" s="249"/>
      <c r="Y587" s="249"/>
      <c r="Z587" s="249"/>
    </row>
    <row r="588" spans="16:26" ht="10.199999999999999" customHeight="1">
      <c r="P588" s="241"/>
      <c r="Q588" s="241"/>
      <c r="R588" s="241"/>
      <c r="S588" s="241"/>
      <c r="T588" s="241"/>
      <c r="U588" s="241"/>
      <c r="V588" s="241"/>
      <c r="W588" s="241"/>
      <c r="X588" s="241"/>
      <c r="Y588" s="241"/>
      <c r="Z588" s="241"/>
    </row>
    <row r="589" spans="16:26" ht="10.199999999999999" customHeight="1">
      <c r="P589" s="249"/>
      <c r="Q589" s="249"/>
      <c r="R589" s="249"/>
      <c r="S589" s="249"/>
      <c r="T589" s="249"/>
      <c r="U589" s="249"/>
      <c r="V589" s="249"/>
      <c r="W589" s="249"/>
      <c r="X589" s="249"/>
      <c r="Y589" s="249"/>
      <c r="Z589" s="249"/>
    </row>
    <row r="590" spans="16:26" ht="10.199999999999999" customHeight="1">
      <c r="P590" s="249"/>
      <c r="Q590" s="249"/>
      <c r="R590" s="249"/>
      <c r="S590" s="249"/>
      <c r="T590" s="249"/>
      <c r="U590" s="249"/>
      <c r="V590" s="249"/>
      <c r="W590" s="249"/>
      <c r="X590" s="249"/>
      <c r="Y590" s="249"/>
      <c r="Z590" s="249"/>
    </row>
    <row r="591" spans="16:26" ht="10.199999999999999" customHeight="1">
      <c r="P591" s="241"/>
      <c r="Q591" s="241"/>
      <c r="R591" s="241"/>
      <c r="S591" s="241"/>
      <c r="T591" s="241"/>
      <c r="U591" s="241"/>
      <c r="V591" s="241"/>
      <c r="W591" s="241"/>
      <c r="X591" s="241"/>
      <c r="Y591" s="241"/>
      <c r="Z591" s="241"/>
    </row>
    <row r="592" spans="16:26" ht="10.199999999999999" customHeight="1">
      <c r="P592" s="249"/>
      <c r="Q592" s="249"/>
      <c r="R592" s="249"/>
      <c r="S592" s="249"/>
      <c r="T592" s="249"/>
      <c r="U592" s="249"/>
      <c r="V592" s="249"/>
      <c r="W592" s="249"/>
      <c r="X592" s="249"/>
      <c r="Y592" s="249"/>
      <c r="Z592" s="249"/>
    </row>
    <row r="593" spans="16:26" ht="10.199999999999999" customHeight="1">
      <c r="P593" s="249"/>
      <c r="Q593" s="249"/>
      <c r="R593" s="249"/>
      <c r="S593" s="249"/>
      <c r="T593" s="249"/>
      <c r="U593" s="249"/>
      <c r="V593" s="249"/>
      <c r="W593" s="249"/>
      <c r="X593" s="249"/>
      <c r="Y593" s="249"/>
      <c r="Z593" s="249"/>
    </row>
    <row r="594" spans="16:26" ht="10.199999999999999" customHeight="1">
      <c r="P594" s="241"/>
      <c r="Q594" s="241"/>
      <c r="R594" s="241"/>
      <c r="S594" s="241"/>
      <c r="T594" s="241"/>
      <c r="U594" s="241"/>
      <c r="V594" s="241"/>
      <c r="W594" s="241"/>
      <c r="X594" s="241"/>
      <c r="Y594" s="241"/>
      <c r="Z594" s="241"/>
    </row>
    <row r="595" spans="16:26" ht="10.199999999999999" customHeight="1">
      <c r="P595" s="249"/>
      <c r="Q595" s="249"/>
      <c r="R595" s="249"/>
      <c r="S595" s="249"/>
      <c r="T595" s="249"/>
      <c r="U595" s="249"/>
      <c r="V595" s="249"/>
      <c r="W595" s="249"/>
      <c r="X595" s="249"/>
      <c r="Y595" s="249"/>
      <c r="Z595" s="249"/>
    </row>
    <row r="596" spans="16:26" ht="10.199999999999999" customHeight="1">
      <c r="P596" s="249"/>
      <c r="Q596" s="249"/>
      <c r="R596" s="249"/>
      <c r="S596" s="249"/>
      <c r="T596" s="249"/>
      <c r="U596" s="249"/>
      <c r="V596" s="249"/>
      <c r="W596" s="249"/>
      <c r="X596" s="249"/>
      <c r="Y596" s="249"/>
      <c r="Z596" s="249"/>
    </row>
    <row r="597" spans="16:26" ht="10.199999999999999" customHeight="1">
      <c r="P597" s="241"/>
      <c r="Q597" s="241"/>
      <c r="R597" s="241"/>
      <c r="S597" s="241"/>
      <c r="T597" s="241"/>
      <c r="U597" s="241"/>
      <c r="V597" s="241"/>
      <c r="W597" s="241"/>
      <c r="X597" s="241"/>
      <c r="Y597" s="241"/>
      <c r="Z597" s="241"/>
    </row>
    <row r="598" spans="16:26" ht="10.199999999999999" customHeight="1">
      <c r="P598" s="249"/>
      <c r="Q598" s="249"/>
      <c r="R598" s="249"/>
      <c r="S598" s="249"/>
      <c r="T598" s="249"/>
      <c r="U598" s="249"/>
      <c r="V598" s="249"/>
      <c r="W598" s="249"/>
      <c r="X598" s="249"/>
      <c r="Y598" s="249"/>
      <c r="Z598" s="249"/>
    </row>
    <row r="599" spans="16:26" ht="10.199999999999999" customHeight="1">
      <c r="P599" s="249"/>
      <c r="Q599" s="249"/>
      <c r="R599" s="249"/>
      <c r="S599" s="249"/>
      <c r="T599" s="249"/>
      <c r="U599" s="249"/>
      <c r="V599" s="249"/>
      <c r="W599" s="249"/>
      <c r="X599" s="249"/>
      <c r="Y599" s="249"/>
      <c r="Z599" s="249"/>
    </row>
    <row r="600" spans="16:26" ht="10.199999999999999" customHeight="1">
      <c r="P600" s="241"/>
      <c r="Q600" s="241"/>
      <c r="R600" s="241"/>
      <c r="S600" s="241"/>
      <c r="T600" s="241"/>
      <c r="U600" s="241"/>
      <c r="V600" s="241"/>
      <c r="W600" s="241"/>
      <c r="X600" s="241"/>
      <c r="Y600" s="241"/>
      <c r="Z600" s="241"/>
    </row>
    <row r="601" spans="16:26" ht="10.199999999999999" customHeight="1">
      <c r="P601" s="249"/>
      <c r="Q601" s="249"/>
      <c r="R601" s="249"/>
      <c r="S601" s="249"/>
      <c r="T601" s="249"/>
      <c r="U601" s="249"/>
      <c r="V601" s="249"/>
      <c r="W601" s="249"/>
      <c r="X601" s="249"/>
      <c r="Y601" s="249"/>
      <c r="Z601" s="249"/>
    </row>
    <row r="602" spans="16:26" ht="10.199999999999999" customHeight="1">
      <c r="P602" s="249"/>
      <c r="Q602" s="249"/>
      <c r="R602" s="249"/>
      <c r="S602" s="249"/>
      <c r="T602" s="249"/>
      <c r="U602" s="249"/>
      <c r="V602" s="249"/>
      <c r="W602" s="249"/>
      <c r="X602" s="249"/>
      <c r="Y602" s="249"/>
      <c r="Z602" s="249"/>
    </row>
    <row r="603" spans="16:26" ht="10.199999999999999" customHeight="1">
      <c r="P603" s="241"/>
      <c r="Q603" s="241"/>
      <c r="R603" s="241"/>
      <c r="S603" s="241"/>
      <c r="T603" s="241"/>
      <c r="U603" s="241"/>
      <c r="V603" s="241"/>
      <c r="W603" s="241"/>
      <c r="X603" s="241"/>
      <c r="Y603" s="241"/>
      <c r="Z603" s="241"/>
    </row>
    <row r="604" spans="16:26" ht="10.199999999999999" customHeight="1">
      <c r="P604" s="249"/>
      <c r="Q604" s="249"/>
      <c r="R604" s="249"/>
      <c r="S604" s="249"/>
      <c r="T604" s="249"/>
      <c r="U604" s="249"/>
      <c r="V604" s="249"/>
      <c r="W604" s="249"/>
      <c r="X604" s="249"/>
      <c r="Y604" s="249"/>
      <c r="Z604" s="249"/>
    </row>
    <row r="605" spans="16:26" ht="10.199999999999999" customHeight="1">
      <c r="P605" s="249"/>
      <c r="Q605" s="249"/>
      <c r="R605" s="249"/>
      <c r="S605" s="249"/>
      <c r="T605" s="249"/>
      <c r="U605" s="249"/>
      <c r="V605" s="249"/>
      <c r="W605" s="249"/>
      <c r="X605" s="249"/>
      <c r="Y605" s="249"/>
      <c r="Z605" s="249"/>
    </row>
    <row r="606" spans="16:26" ht="10.199999999999999" customHeight="1">
      <c r="P606" s="241"/>
      <c r="Q606" s="241"/>
      <c r="R606" s="241"/>
      <c r="S606" s="241"/>
      <c r="T606" s="241"/>
      <c r="U606" s="241"/>
      <c r="V606" s="241"/>
      <c r="W606" s="241"/>
      <c r="X606" s="241"/>
      <c r="Y606" s="241"/>
      <c r="Z606" s="241"/>
    </row>
    <row r="607" spans="16:26" ht="10.199999999999999" customHeight="1">
      <c r="P607" s="249"/>
      <c r="Q607" s="249"/>
      <c r="R607" s="249"/>
      <c r="S607" s="249"/>
      <c r="T607" s="249"/>
      <c r="U607" s="249"/>
      <c r="V607" s="249"/>
      <c r="W607" s="249"/>
      <c r="X607" s="249"/>
      <c r="Y607" s="249"/>
      <c r="Z607" s="249"/>
    </row>
    <row r="608" spans="16:26" ht="10.199999999999999" customHeight="1">
      <c r="P608" s="249"/>
      <c r="Q608" s="249"/>
      <c r="R608" s="249"/>
      <c r="S608" s="249"/>
      <c r="T608" s="249"/>
      <c r="U608" s="249"/>
      <c r="V608" s="249"/>
      <c r="W608" s="249"/>
      <c r="X608" s="249"/>
      <c r="Y608" s="249"/>
      <c r="Z608" s="249"/>
    </row>
    <row r="609" spans="16:26" ht="10.199999999999999" customHeight="1">
      <c r="P609" s="241"/>
      <c r="Q609" s="241"/>
      <c r="R609" s="241"/>
      <c r="S609" s="241"/>
      <c r="T609" s="241"/>
      <c r="U609" s="241"/>
      <c r="V609" s="241"/>
      <c r="W609" s="241"/>
      <c r="X609" s="241"/>
      <c r="Y609" s="241"/>
      <c r="Z609" s="241"/>
    </row>
    <row r="610" spans="16:26" ht="10.199999999999999" customHeight="1">
      <c r="P610" s="249"/>
      <c r="Q610" s="249"/>
      <c r="R610" s="249"/>
      <c r="S610" s="249"/>
      <c r="T610" s="249"/>
      <c r="U610" s="249"/>
      <c r="V610" s="249"/>
      <c r="W610" s="249"/>
      <c r="X610" s="249"/>
      <c r="Y610" s="249"/>
      <c r="Z610" s="249"/>
    </row>
    <row r="611" spans="16:26" ht="10.199999999999999" customHeight="1">
      <c r="P611" s="249"/>
      <c r="Q611" s="249"/>
      <c r="R611" s="249"/>
      <c r="S611" s="249"/>
      <c r="T611" s="249"/>
      <c r="U611" s="249"/>
      <c r="V611" s="249"/>
      <c r="W611" s="249"/>
      <c r="X611" s="249"/>
      <c r="Y611" s="249"/>
      <c r="Z611" s="249"/>
    </row>
    <row r="612" spans="16:26" ht="10.199999999999999" customHeight="1">
      <c r="P612" s="241"/>
      <c r="Q612" s="241"/>
      <c r="R612" s="241"/>
      <c r="S612" s="241"/>
      <c r="T612" s="241"/>
      <c r="U612" s="241"/>
      <c r="V612" s="241"/>
      <c r="W612" s="241"/>
      <c r="X612" s="241"/>
      <c r="Y612" s="241"/>
      <c r="Z612" s="241"/>
    </row>
    <row r="613" spans="16:26" ht="10.199999999999999" customHeight="1">
      <c r="P613" s="249"/>
      <c r="Q613" s="249"/>
      <c r="R613" s="249"/>
      <c r="S613" s="249"/>
      <c r="T613" s="249"/>
      <c r="U613" s="249"/>
      <c r="V613" s="249"/>
      <c r="W613" s="249"/>
      <c r="X613" s="249"/>
      <c r="Y613" s="249"/>
      <c r="Z613" s="249"/>
    </row>
    <row r="614" spans="16:26" ht="10.199999999999999" customHeight="1">
      <c r="P614" s="249"/>
      <c r="Q614" s="249"/>
      <c r="R614" s="249"/>
      <c r="S614" s="249"/>
      <c r="T614" s="249"/>
      <c r="U614" s="249"/>
      <c r="V614" s="249"/>
      <c r="W614" s="249"/>
      <c r="X614" s="249"/>
      <c r="Y614" s="249"/>
      <c r="Z614" s="249"/>
    </row>
    <row r="615" spans="16:26" ht="10.199999999999999" customHeight="1">
      <c r="P615" s="241"/>
      <c r="Q615" s="241"/>
      <c r="R615" s="241"/>
      <c r="S615" s="241"/>
      <c r="T615" s="241"/>
      <c r="U615" s="241"/>
      <c r="V615" s="241"/>
      <c r="W615" s="241"/>
      <c r="X615" s="241"/>
      <c r="Y615" s="241"/>
      <c r="Z615" s="241"/>
    </row>
    <row r="616" spans="16:26" ht="10.199999999999999" customHeight="1">
      <c r="P616" s="249"/>
      <c r="Q616" s="249"/>
      <c r="R616" s="249"/>
      <c r="S616" s="249"/>
      <c r="T616" s="249"/>
      <c r="U616" s="249"/>
      <c r="V616" s="249"/>
      <c r="W616" s="249"/>
      <c r="X616" s="249"/>
      <c r="Y616" s="249"/>
      <c r="Z616" s="249"/>
    </row>
    <row r="617" spans="16:26" ht="10.199999999999999" customHeight="1">
      <c r="P617" s="249"/>
      <c r="Q617" s="249"/>
      <c r="R617" s="249"/>
      <c r="S617" s="249"/>
      <c r="T617" s="249"/>
      <c r="U617" s="249"/>
      <c r="V617" s="249"/>
      <c r="W617" s="249"/>
      <c r="X617" s="249"/>
      <c r="Y617" s="249"/>
      <c r="Z617" s="249"/>
    </row>
    <row r="618" spans="16:26" ht="10.199999999999999" customHeight="1">
      <c r="P618" s="241"/>
      <c r="Q618" s="241"/>
      <c r="R618" s="241"/>
      <c r="S618" s="241"/>
      <c r="T618" s="241"/>
      <c r="U618" s="241"/>
      <c r="V618" s="241"/>
      <c r="W618" s="241"/>
      <c r="X618" s="241"/>
      <c r="Y618" s="241"/>
      <c r="Z618" s="241"/>
    </row>
    <row r="619" spans="16:26" ht="10.199999999999999" customHeight="1">
      <c r="P619" s="249"/>
      <c r="Q619" s="249"/>
      <c r="R619" s="249"/>
      <c r="S619" s="249"/>
      <c r="T619" s="249"/>
      <c r="U619" s="249"/>
      <c r="V619" s="249"/>
      <c r="W619" s="249"/>
      <c r="X619" s="249"/>
      <c r="Y619" s="249"/>
      <c r="Z619" s="249"/>
    </row>
    <row r="620" spans="16:26" ht="10.199999999999999" customHeight="1">
      <c r="P620" s="249"/>
      <c r="Q620" s="249"/>
      <c r="R620" s="249"/>
      <c r="S620" s="249"/>
      <c r="T620" s="249"/>
      <c r="U620" s="249"/>
      <c r="V620" s="249"/>
      <c r="W620" s="249"/>
      <c r="X620" s="249"/>
      <c r="Y620" s="249"/>
      <c r="Z620" s="249"/>
    </row>
    <row r="621" spans="16:26" ht="10.199999999999999" customHeight="1">
      <c r="P621" s="241"/>
      <c r="Q621" s="241"/>
      <c r="R621" s="241"/>
      <c r="S621" s="241"/>
      <c r="T621" s="241"/>
      <c r="U621" s="241"/>
      <c r="V621" s="241"/>
      <c r="W621" s="241"/>
      <c r="X621" s="241"/>
      <c r="Y621" s="241"/>
      <c r="Z621" s="241"/>
    </row>
    <row r="622" spans="16:26" ht="10.199999999999999" customHeight="1">
      <c r="P622" s="249"/>
      <c r="Q622" s="249"/>
      <c r="R622" s="249"/>
      <c r="S622" s="249"/>
      <c r="T622" s="249"/>
      <c r="U622" s="249"/>
      <c r="V622" s="249"/>
      <c r="W622" s="249"/>
      <c r="X622" s="249"/>
      <c r="Y622" s="249"/>
      <c r="Z622" s="249"/>
    </row>
    <row r="623" spans="16:26" ht="10.199999999999999" customHeight="1">
      <c r="P623" s="249"/>
      <c r="Q623" s="249"/>
      <c r="R623" s="249"/>
      <c r="S623" s="249"/>
      <c r="T623" s="249"/>
      <c r="U623" s="249"/>
      <c r="V623" s="249"/>
      <c r="W623" s="249"/>
      <c r="X623" s="249"/>
      <c r="Y623" s="249"/>
      <c r="Z623" s="249"/>
    </row>
    <row r="624" spans="16:26" ht="10.199999999999999" customHeight="1">
      <c r="P624" s="241"/>
      <c r="Q624" s="241"/>
      <c r="R624" s="241"/>
      <c r="S624" s="241"/>
      <c r="T624" s="241"/>
      <c r="U624" s="241"/>
      <c r="V624" s="241"/>
      <c r="W624" s="241"/>
      <c r="X624" s="241"/>
      <c r="Y624" s="241"/>
      <c r="Z624" s="241"/>
    </row>
    <row r="625" spans="16:26" ht="10.199999999999999" customHeight="1">
      <c r="P625" s="249"/>
      <c r="Q625" s="249"/>
      <c r="R625" s="249"/>
      <c r="S625" s="249"/>
      <c r="T625" s="249"/>
      <c r="U625" s="249"/>
      <c r="V625" s="249"/>
      <c r="W625" s="249"/>
      <c r="X625" s="249"/>
      <c r="Y625" s="249"/>
      <c r="Z625" s="249"/>
    </row>
    <row r="626" spans="16:26" ht="10.199999999999999" customHeight="1">
      <c r="P626" s="249"/>
      <c r="Q626" s="249"/>
      <c r="R626" s="249"/>
      <c r="S626" s="249"/>
      <c r="T626" s="249"/>
      <c r="U626" s="249"/>
      <c r="V626" s="249"/>
      <c r="W626" s="249"/>
      <c r="X626" s="249"/>
      <c r="Y626" s="249"/>
      <c r="Z626" s="249"/>
    </row>
    <row r="627" spans="16:26" ht="10.199999999999999" customHeight="1">
      <c r="P627" s="241"/>
      <c r="Q627" s="241"/>
      <c r="R627" s="241"/>
      <c r="S627" s="241"/>
      <c r="T627" s="241"/>
      <c r="U627" s="241"/>
      <c r="V627" s="241"/>
      <c r="W627" s="241"/>
      <c r="X627" s="241"/>
      <c r="Y627" s="241"/>
      <c r="Z627" s="241"/>
    </row>
    <row r="628" spans="16:26" ht="10.199999999999999" customHeight="1">
      <c r="P628" s="249"/>
      <c r="Q628" s="249"/>
      <c r="R628" s="249"/>
      <c r="S628" s="249"/>
      <c r="T628" s="249"/>
      <c r="U628" s="249"/>
      <c r="V628" s="249"/>
      <c r="W628" s="249"/>
      <c r="X628" s="249"/>
      <c r="Y628" s="249"/>
      <c r="Z628" s="249"/>
    </row>
    <row r="629" spans="16:26" ht="10.199999999999999" customHeight="1">
      <c r="P629" s="249"/>
      <c r="Q629" s="249"/>
      <c r="R629" s="249"/>
      <c r="S629" s="249"/>
      <c r="T629" s="249"/>
      <c r="U629" s="249"/>
      <c r="V629" s="249"/>
      <c r="W629" s="249"/>
      <c r="X629" s="249"/>
      <c r="Y629" s="249"/>
      <c r="Z629" s="249"/>
    </row>
    <row r="630" spans="16:26" ht="10.199999999999999" customHeight="1">
      <c r="P630" s="241"/>
      <c r="Q630" s="241"/>
      <c r="R630" s="241"/>
      <c r="S630" s="241"/>
      <c r="T630" s="241"/>
      <c r="U630" s="241"/>
      <c r="V630" s="241"/>
      <c r="W630" s="241"/>
      <c r="X630" s="241"/>
      <c r="Y630" s="241"/>
      <c r="Z630" s="241"/>
    </row>
    <row r="631" spans="16:26" ht="10.199999999999999" customHeight="1">
      <c r="P631" s="249"/>
      <c r="Q631" s="249"/>
      <c r="R631" s="249"/>
      <c r="S631" s="249"/>
      <c r="T631" s="249"/>
      <c r="U631" s="249"/>
      <c r="V631" s="249"/>
      <c r="W631" s="249"/>
      <c r="X631" s="249"/>
      <c r="Y631" s="249"/>
      <c r="Z631" s="249"/>
    </row>
    <row r="632" spans="16:26" ht="10.199999999999999" customHeight="1">
      <c r="P632" s="249"/>
      <c r="Q632" s="249"/>
      <c r="R632" s="249"/>
      <c r="S632" s="249"/>
      <c r="T632" s="249"/>
      <c r="U632" s="249"/>
      <c r="V632" s="249"/>
      <c r="W632" s="249"/>
      <c r="X632" s="249"/>
      <c r="Y632" s="249"/>
      <c r="Z632" s="249"/>
    </row>
    <row r="633" spans="16:26" ht="10.199999999999999" customHeight="1">
      <c r="P633" s="241"/>
      <c r="Q633" s="241"/>
      <c r="R633" s="241"/>
      <c r="S633" s="241"/>
      <c r="T633" s="241"/>
      <c r="U633" s="241"/>
      <c r="V633" s="241"/>
      <c r="W633" s="241"/>
      <c r="X633" s="241"/>
      <c r="Y633" s="241"/>
      <c r="Z633" s="241"/>
    </row>
    <row r="634" spans="16:26" ht="10.199999999999999" customHeight="1">
      <c r="P634" s="249"/>
      <c r="Q634" s="249"/>
      <c r="R634" s="249"/>
      <c r="S634" s="249"/>
      <c r="T634" s="249"/>
      <c r="U634" s="249"/>
      <c r="V634" s="249"/>
      <c r="W634" s="249"/>
      <c r="X634" s="249"/>
      <c r="Y634" s="249"/>
      <c r="Z634" s="249"/>
    </row>
    <row r="635" spans="16:26" ht="10.199999999999999" customHeight="1">
      <c r="P635" s="249"/>
      <c r="Q635" s="249"/>
      <c r="R635" s="249"/>
      <c r="S635" s="249"/>
      <c r="T635" s="249"/>
      <c r="U635" s="249"/>
      <c r="V635" s="249"/>
      <c r="W635" s="249"/>
      <c r="X635" s="249"/>
      <c r="Y635" s="249"/>
      <c r="Z635" s="249"/>
    </row>
    <row r="636" spans="16:26" ht="10.199999999999999" customHeight="1">
      <c r="P636" s="241"/>
      <c r="Q636" s="241"/>
      <c r="R636" s="241"/>
      <c r="S636" s="241"/>
      <c r="T636" s="241"/>
      <c r="U636" s="241"/>
      <c r="V636" s="241"/>
      <c r="W636" s="241"/>
      <c r="X636" s="241"/>
      <c r="Y636" s="241"/>
      <c r="Z636" s="241"/>
    </row>
    <row r="637" spans="16:26" ht="10.199999999999999" customHeight="1">
      <c r="P637" s="249"/>
      <c r="Q637" s="249"/>
      <c r="R637" s="249"/>
      <c r="S637" s="249"/>
      <c r="T637" s="249"/>
      <c r="U637" s="249"/>
      <c r="V637" s="249"/>
      <c r="W637" s="249"/>
      <c r="X637" s="249"/>
      <c r="Y637" s="249"/>
      <c r="Z637" s="249"/>
    </row>
    <row r="638" spans="16:26" ht="10.199999999999999" customHeight="1">
      <c r="P638" s="249"/>
      <c r="Q638" s="249"/>
      <c r="R638" s="249"/>
      <c r="S638" s="249"/>
      <c r="T638" s="249"/>
      <c r="U638" s="249"/>
      <c r="V638" s="249"/>
      <c r="W638" s="249"/>
      <c r="X638" s="249"/>
      <c r="Y638" s="249"/>
      <c r="Z638" s="249"/>
    </row>
    <row r="639" spans="16:26" ht="10.199999999999999" customHeight="1">
      <c r="P639" s="241"/>
      <c r="Q639" s="241"/>
      <c r="R639" s="241"/>
      <c r="S639" s="241"/>
      <c r="T639" s="241"/>
      <c r="U639" s="241"/>
      <c r="V639" s="241"/>
      <c r="W639" s="241"/>
      <c r="X639" s="241"/>
      <c r="Y639" s="241"/>
      <c r="Z639" s="241"/>
    </row>
    <row r="640" spans="16:26" ht="10.199999999999999" customHeight="1">
      <c r="P640" s="249"/>
      <c r="Q640" s="249"/>
      <c r="R640" s="249"/>
      <c r="S640" s="249"/>
      <c r="T640" s="249"/>
      <c r="U640" s="249"/>
      <c r="V640" s="249"/>
      <c r="W640" s="249"/>
      <c r="X640" s="249"/>
      <c r="Y640" s="249"/>
      <c r="Z640" s="249"/>
    </row>
    <row r="641" spans="16:26" ht="10.199999999999999" customHeight="1">
      <c r="P641" s="249"/>
      <c r="Q641" s="249"/>
      <c r="R641" s="249"/>
      <c r="S641" s="249"/>
      <c r="T641" s="249"/>
      <c r="U641" s="249"/>
      <c r="V641" s="249"/>
      <c r="W641" s="249"/>
      <c r="X641" s="249"/>
      <c r="Y641" s="249"/>
      <c r="Z641" s="249"/>
    </row>
    <row r="642" spans="16:26" ht="10.199999999999999" customHeight="1">
      <c r="P642" s="241"/>
      <c r="Q642" s="241"/>
      <c r="R642" s="241"/>
      <c r="S642" s="241"/>
      <c r="T642" s="241"/>
      <c r="U642" s="241"/>
      <c r="V642" s="241"/>
      <c r="W642" s="241"/>
      <c r="X642" s="241"/>
      <c r="Y642" s="241"/>
      <c r="Z642" s="241"/>
    </row>
    <row r="643" spans="16:26" ht="10.199999999999999" customHeight="1">
      <c r="P643" s="241"/>
      <c r="Q643" s="241"/>
      <c r="R643" s="241"/>
      <c r="S643" s="241"/>
      <c r="T643" s="241"/>
      <c r="U643" s="241"/>
      <c r="V643" s="241"/>
      <c r="W643" s="241"/>
      <c r="X643" s="241"/>
      <c r="Y643" s="241"/>
      <c r="Z643" s="241"/>
    </row>
    <row r="644" spans="16:26" ht="10.199999999999999" customHeight="1">
      <c r="P644" s="241"/>
      <c r="Q644" s="241"/>
      <c r="R644" s="241"/>
      <c r="S644" s="241"/>
      <c r="T644" s="241"/>
      <c r="U644" s="241"/>
      <c r="V644" s="241"/>
      <c r="W644" s="241"/>
      <c r="X644" s="241"/>
      <c r="Y644" s="241"/>
      <c r="Z644" s="241"/>
    </row>
    <row r="645" spans="16:26" ht="10.199999999999999" customHeight="1">
      <c r="P645" s="241"/>
      <c r="Q645" s="241"/>
      <c r="R645" s="241"/>
      <c r="S645" s="241"/>
      <c r="T645" s="241"/>
      <c r="U645" s="241"/>
      <c r="V645" s="241"/>
      <c r="W645" s="241"/>
      <c r="X645" s="241"/>
      <c r="Y645" s="241"/>
      <c r="Z645" s="241"/>
    </row>
    <row r="646" spans="16:26" ht="10.199999999999999" customHeight="1">
      <c r="P646" s="241"/>
      <c r="Q646" s="241"/>
      <c r="R646" s="241"/>
      <c r="S646" s="241"/>
      <c r="T646" s="241"/>
      <c r="U646" s="241"/>
      <c r="V646" s="241"/>
      <c r="W646" s="241"/>
      <c r="X646" s="241"/>
      <c r="Y646" s="241"/>
      <c r="Z646" s="241"/>
    </row>
    <row r="647" spans="16:26" ht="10.199999999999999" customHeight="1">
      <c r="P647" s="241"/>
      <c r="Q647" s="241"/>
      <c r="R647" s="241"/>
      <c r="S647" s="241"/>
      <c r="T647" s="241"/>
      <c r="U647" s="241"/>
      <c r="V647" s="241"/>
      <c r="W647" s="241"/>
      <c r="X647" s="241"/>
      <c r="Y647" s="241"/>
      <c r="Z647" s="241"/>
    </row>
    <row r="648" spans="16:26" ht="10.199999999999999" customHeight="1">
      <c r="P648" s="241"/>
      <c r="Q648" s="241"/>
      <c r="R648" s="241"/>
      <c r="S648" s="241"/>
      <c r="T648" s="241"/>
      <c r="U648" s="241"/>
      <c r="V648" s="241"/>
      <c r="W648" s="241"/>
      <c r="X648" s="241"/>
      <c r="Y648" s="241"/>
      <c r="Z648" s="241"/>
    </row>
    <row r="649" spans="16:26" ht="10.199999999999999" customHeight="1">
      <c r="P649" s="241"/>
      <c r="Q649" s="241"/>
      <c r="R649" s="241"/>
      <c r="S649" s="241"/>
      <c r="T649" s="241"/>
      <c r="U649" s="241"/>
      <c r="V649" s="241"/>
      <c r="W649" s="241"/>
      <c r="X649" s="241"/>
      <c r="Y649" s="241"/>
      <c r="Z649" s="241"/>
    </row>
    <row r="650" spans="16:26" ht="10.199999999999999" customHeight="1">
      <c r="P650" s="241"/>
      <c r="Q650" s="241"/>
      <c r="R650" s="241"/>
      <c r="S650" s="241"/>
      <c r="T650" s="241"/>
      <c r="U650" s="241"/>
      <c r="V650" s="241"/>
      <c r="W650" s="241"/>
      <c r="X650" s="241"/>
      <c r="Y650" s="241"/>
      <c r="Z650" s="241"/>
    </row>
    <row r="651" spans="16:26" ht="10.199999999999999" customHeight="1">
      <c r="P651" s="241"/>
      <c r="Q651" s="241"/>
      <c r="R651" s="241"/>
      <c r="S651" s="241"/>
      <c r="T651" s="241"/>
      <c r="U651" s="241"/>
      <c r="V651" s="241"/>
      <c r="W651" s="241"/>
      <c r="X651" s="241"/>
      <c r="Y651" s="241"/>
      <c r="Z651" s="241"/>
    </row>
    <row r="652" spans="16:26" ht="10.199999999999999" customHeight="1">
      <c r="P652" s="241"/>
      <c r="Q652" s="241"/>
      <c r="R652" s="241"/>
      <c r="S652" s="241"/>
      <c r="T652" s="241"/>
      <c r="U652" s="241"/>
      <c r="V652" s="241"/>
      <c r="W652" s="241"/>
      <c r="X652" s="241"/>
      <c r="Y652" s="241"/>
      <c r="Z652" s="241"/>
    </row>
    <row r="653" spans="16:26" ht="10.199999999999999" customHeight="1">
      <c r="P653" s="241"/>
      <c r="Q653" s="241"/>
      <c r="R653" s="241"/>
      <c r="S653" s="241"/>
      <c r="T653" s="241"/>
      <c r="U653" s="241"/>
      <c r="V653" s="241"/>
      <c r="W653" s="241"/>
      <c r="X653" s="241"/>
      <c r="Y653" s="241"/>
      <c r="Z653" s="241"/>
    </row>
    <row r="654" spans="16:26" ht="10.199999999999999" customHeight="1">
      <c r="P654" s="241"/>
      <c r="Q654" s="241"/>
      <c r="R654" s="241"/>
      <c r="S654" s="241"/>
      <c r="T654" s="241"/>
      <c r="U654" s="241"/>
      <c r="V654" s="241"/>
      <c r="W654" s="241"/>
      <c r="X654" s="241"/>
      <c r="Y654" s="241"/>
      <c r="Z654" s="241"/>
    </row>
    <row r="655" spans="16:26" ht="10.199999999999999" customHeight="1">
      <c r="P655" s="241"/>
      <c r="Q655" s="241"/>
      <c r="R655" s="241"/>
      <c r="S655" s="241"/>
      <c r="T655" s="241"/>
      <c r="U655" s="241"/>
      <c r="V655" s="241"/>
      <c r="W655" s="241"/>
      <c r="X655" s="241"/>
      <c r="Y655" s="241"/>
      <c r="Z655" s="241"/>
    </row>
    <row r="656" spans="16:26" ht="10.199999999999999" customHeight="1">
      <c r="P656" s="241"/>
      <c r="Q656" s="241"/>
      <c r="R656" s="241"/>
      <c r="S656" s="241"/>
      <c r="T656" s="241"/>
      <c r="U656" s="241"/>
      <c r="V656" s="241"/>
      <c r="W656" s="241"/>
      <c r="X656" s="241"/>
      <c r="Y656" s="241"/>
      <c r="Z656" s="241"/>
    </row>
    <row r="657" spans="16:26" ht="10.199999999999999" customHeight="1">
      <c r="P657" s="241"/>
      <c r="Q657" s="241"/>
      <c r="R657" s="241"/>
      <c r="S657" s="241"/>
      <c r="T657" s="241"/>
      <c r="U657" s="241"/>
      <c r="V657" s="241"/>
      <c r="W657" s="241"/>
      <c r="X657" s="241"/>
      <c r="Y657" s="241"/>
      <c r="Z657" s="241"/>
    </row>
    <row r="658" spans="16:26" ht="10.199999999999999" customHeight="1">
      <c r="P658" s="241"/>
      <c r="Q658" s="241"/>
      <c r="R658" s="241"/>
      <c r="S658" s="241"/>
      <c r="T658" s="241"/>
      <c r="U658" s="241"/>
      <c r="V658" s="241"/>
      <c r="W658" s="241"/>
      <c r="X658" s="241"/>
      <c r="Y658" s="241"/>
      <c r="Z658" s="241"/>
    </row>
    <row r="659" spans="16:26" ht="10.199999999999999" customHeight="1">
      <c r="P659" s="241"/>
      <c r="Q659" s="241"/>
      <c r="R659" s="241"/>
      <c r="S659" s="241"/>
      <c r="T659" s="241"/>
      <c r="U659" s="241"/>
      <c r="V659" s="241"/>
      <c r="W659" s="241"/>
      <c r="X659" s="241"/>
      <c r="Y659" s="241"/>
      <c r="Z659" s="241"/>
    </row>
    <row r="660" spans="16:26" ht="10.199999999999999" customHeight="1">
      <c r="P660" s="241"/>
      <c r="Q660" s="241"/>
      <c r="R660" s="241"/>
      <c r="S660" s="241"/>
      <c r="T660" s="241"/>
      <c r="U660" s="241"/>
      <c r="V660" s="241"/>
      <c r="W660" s="241"/>
      <c r="X660" s="241"/>
      <c r="Y660" s="241"/>
      <c r="Z660" s="241"/>
    </row>
    <row r="661" spans="16:26" ht="10.199999999999999" customHeight="1">
      <c r="P661" s="241"/>
      <c r="Q661" s="241"/>
      <c r="R661" s="241"/>
      <c r="S661" s="241"/>
      <c r="T661" s="241"/>
      <c r="U661" s="241"/>
      <c r="V661" s="241"/>
      <c r="W661" s="241"/>
      <c r="X661" s="241"/>
      <c r="Y661" s="241"/>
      <c r="Z661" s="241"/>
    </row>
    <row r="662" spans="16:26" ht="10.199999999999999" customHeight="1">
      <c r="P662" s="241"/>
      <c r="Q662" s="241"/>
      <c r="R662" s="241"/>
      <c r="S662" s="241"/>
      <c r="T662" s="241"/>
      <c r="U662" s="241"/>
      <c r="V662" s="241"/>
      <c r="W662" s="241"/>
      <c r="X662" s="241"/>
      <c r="Y662" s="241"/>
      <c r="Z662" s="241"/>
    </row>
    <row r="663" spans="16:26" ht="10.199999999999999" customHeight="1">
      <c r="P663" s="241"/>
      <c r="Q663" s="241"/>
      <c r="R663" s="241"/>
      <c r="S663" s="241"/>
      <c r="T663" s="241"/>
      <c r="U663" s="241"/>
      <c r="V663" s="241"/>
      <c r="W663" s="241"/>
      <c r="X663" s="241"/>
      <c r="Y663" s="241"/>
      <c r="Z663" s="241"/>
    </row>
    <row r="664" spans="16:26" ht="10.199999999999999" customHeight="1">
      <c r="P664" s="241"/>
      <c r="Q664" s="241"/>
      <c r="R664" s="241"/>
      <c r="S664" s="241"/>
      <c r="T664" s="241"/>
      <c r="U664" s="241"/>
      <c r="V664" s="241"/>
      <c r="W664" s="241"/>
      <c r="X664" s="241"/>
      <c r="Y664" s="241"/>
      <c r="Z664" s="241"/>
    </row>
    <row r="665" spans="16:26" ht="10.199999999999999" customHeight="1">
      <c r="P665" s="241"/>
      <c r="Q665" s="241"/>
      <c r="R665" s="241"/>
      <c r="S665" s="241"/>
      <c r="T665" s="241"/>
      <c r="U665" s="241"/>
      <c r="V665" s="241"/>
      <c r="W665" s="241"/>
      <c r="X665" s="241"/>
      <c r="Y665" s="241"/>
      <c r="Z665" s="241"/>
    </row>
    <row r="666" spans="16:26" ht="10.199999999999999" customHeight="1">
      <c r="P666" s="241"/>
      <c r="Q666" s="241"/>
      <c r="R666" s="241"/>
      <c r="S666" s="241"/>
      <c r="T666" s="241"/>
      <c r="U666" s="241"/>
      <c r="V666" s="241"/>
      <c r="W666" s="241"/>
      <c r="X666" s="241"/>
      <c r="Y666" s="241"/>
      <c r="Z666" s="241"/>
    </row>
    <row r="667" spans="16:26" ht="10.199999999999999" customHeight="1">
      <c r="P667" s="241"/>
      <c r="Q667" s="241"/>
      <c r="R667" s="241"/>
      <c r="S667" s="241"/>
      <c r="T667" s="241"/>
      <c r="U667" s="241"/>
      <c r="V667" s="241"/>
      <c r="W667" s="241"/>
      <c r="X667" s="241"/>
      <c r="Y667" s="241"/>
      <c r="Z667" s="241"/>
    </row>
    <row r="668" spans="16:26" ht="10.199999999999999" customHeight="1">
      <c r="P668" s="241"/>
      <c r="Q668" s="241"/>
      <c r="R668" s="241"/>
      <c r="S668" s="241"/>
      <c r="T668" s="241"/>
      <c r="U668" s="241"/>
      <c r="V668" s="241"/>
      <c r="W668" s="241"/>
      <c r="X668" s="241"/>
      <c r="Y668" s="241"/>
      <c r="Z668" s="241"/>
    </row>
    <row r="669" spans="16:26" ht="10.199999999999999" customHeight="1">
      <c r="P669" s="241"/>
      <c r="Q669" s="241"/>
      <c r="R669" s="241"/>
      <c r="S669" s="241"/>
      <c r="T669" s="241"/>
      <c r="U669" s="241"/>
      <c r="V669" s="241"/>
      <c r="W669" s="241"/>
      <c r="X669" s="241"/>
      <c r="Y669" s="241"/>
      <c r="Z669" s="241"/>
    </row>
    <row r="670" spans="16:26" ht="10.199999999999999" customHeight="1">
      <c r="P670" s="241"/>
      <c r="Q670" s="241"/>
      <c r="R670" s="241"/>
      <c r="S670" s="241"/>
      <c r="T670" s="241"/>
      <c r="U670" s="241"/>
      <c r="V670" s="241"/>
      <c r="W670" s="241"/>
      <c r="X670" s="241"/>
      <c r="Y670" s="241"/>
      <c r="Z670" s="241"/>
    </row>
    <row r="671" spans="16:26" ht="10.199999999999999" customHeight="1">
      <c r="P671" s="241"/>
      <c r="Q671" s="241"/>
      <c r="R671" s="241"/>
      <c r="S671" s="241"/>
      <c r="T671" s="241"/>
      <c r="U671" s="241"/>
      <c r="V671" s="241"/>
      <c r="W671" s="241"/>
      <c r="X671" s="241"/>
      <c r="Y671" s="241"/>
      <c r="Z671" s="241"/>
    </row>
    <row r="672" spans="16:26" ht="10.199999999999999" customHeight="1">
      <c r="P672" s="241"/>
      <c r="Q672" s="241"/>
      <c r="R672" s="241"/>
      <c r="S672" s="241"/>
      <c r="T672" s="241"/>
      <c r="U672" s="241"/>
      <c r="V672" s="241"/>
      <c r="W672" s="241"/>
      <c r="X672" s="241"/>
      <c r="Y672" s="241"/>
      <c r="Z672" s="241"/>
    </row>
    <row r="673" spans="16:26" ht="10.199999999999999" customHeight="1">
      <c r="P673" s="241"/>
      <c r="Q673" s="241"/>
      <c r="R673" s="241"/>
      <c r="S673" s="241"/>
      <c r="T673" s="241"/>
      <c r="U673" s="241"/>
      <c r="V673" s="241"/>
      <c r="W673" s="241"/>
      <c r="X673" s="241"/>
      <c r="Y673" s="241"/>
      <c r="Z673" s="241"/>
    </row>
    <row r="674" spans="16:26" ht="10.199999999999999" customHeight="1">
      <c r="P674" s="241"/>
      <c r="Q674" s="241"/>
      <c r="R674" s="241"/>
      <c r="S674" s="241"/>
      <c r="T674" s="241"/>
      <c r="U674" s="241"/>
      <c r="V674" s="241"/>
      <c r="W674" s="241"/>
      <c r="X674" s="241"/>
      <c r="Y674" s="241"/>
      <c r="Z674" s="241"/>
    </row>
    <row r="675" spans="16:26" ht="10.199999999999999" customHeight="1">
      <c r="P675" s="241"/>
      <c r="Q675" s="241"/>
      <c r="R675" s="241"/>
      <c r="S675" s="241"/>
      <c r="T675" s="241"/>
      <c r="U675" s="241"/>
      <c r="V675" s="241"/>
      <c r="W675" s="241"/>
      <c r="X675" s="241"/>
      <c r="Y675" s="241"/>
      <c r="Z675" s="241"/>
    </row>
    <row r="676" spans="16:26" ht="10.199999999999999" customHeight="1">
      <c r="P676" s="241"/>
      <c r="Q676" s="241"/>
      <c r="R676" s="241"/>
      <c r="S676" s="241"/>
      <c r="T676" s="241"/>
      <c r="U676" s="241"/>
      <c r="V676" s="241"/>
      <c r="W676" s="241"/>
      <c r="X676" s="241"/>
      <c r="Y676" s="241"/>
      <c r="Z676" s="241"/>
    </row>
    <row r="677" spans="16:26" ht="10.199999999999999" customHeight="1">
      <c r="P677" s="241"/>
      <c r="Q677" s="241"/>
      <c r="R677" s="241"/>
      <c r="S677" s="241"/>
      <c r="T677" s="241"/>
      <c r="U677" s="241"/>
      <c r="V677" s="241"/>
      <c r="W677" s="241"/>
      <c r="X677" s="241"/>
      <c r="Y677" s="241"/>
      <c r="Z677" s="241"/>
    </row>
    <row r="678" spans="16:26" ht="10.199999999999999" customHeight="1">
      <c r="P678" s="241"/>
      <c r="Q678" s="241"/>
      <c r="R678" s="241"/>
      <c r="S678" s="241"/>
      <c r="T678" s="241"/>
      <c r="U678" s="241"/>
      <c r="V678" s="241"/>
      <c r="W678" s="241"/>
      <c r="X678" s="241"/>
      <c r="Y678" s="241"/>
      <c r="Z678" s="241"/>
    </row>
    <row r="679" spans="16:26" ht="10.199999999999999" customHeight="1">
      <c r="P679" s="241"/>
      <c r="Q679" s="241"/>
      <c r="R679" s="241"/>
      <c r="S679" s="241"/>
      <c r="T679" s="241"/>
      <c r="U679" s="241"/>
      <c r="V679" s="241"/>
      <c r="W679" s="241"/>
      <c r="X679" s="241"/>
      <c r="Y679" s="241"/>
      <c r="Z679" s="241"/>
    </row>
    <row r="680" spans="16:26" ht="10.199999999999999" customHeight="1">
      <c r="P680" s="241"/>
      <c r="Q680" s="241"/>
      <c r="R680" s="241"/>
      <c r="S680" s="241"/>
      <c r="T680" s="241"/>
      <c r="U680" s="241"/>
      <c r="V680" s="241"/>
      <c r="W680" s="241"/>
      <c r="X680" s="241"/>
      <c r="Y680" s="241"/>
      <c r="Z680" s="241"/>
    </row>
    <row r="681" spans="16:26" ht="10.199999999999999" customHeight="1">
      <c r="P681" s="241"/>
      <c r="Q681" s="241"/>
      <c r="R681" s="241"/>
      <c r="S681" s="241"/>
      <c r="T681" s="241"/>
      <c r="U681" s="241"/>
      <c r="V681" s="241"/>
      <c r="W681" s="241"/>
      <c r="X681" s="241"/>
      <c r="Y681" s="241"/>
      <c r="Z681" s="241"/>
    </row>
    <row r="682" spans="16:26" ht="10.199999999999999" customHeight="1">
      <c r="P682" s="241"/>
      <c r="Q682" s="241"/>
      <c r="R682" s="241"/>
      <c r="S682" s="241"/>
      <c r="T682" s="241"/>
      <c r="U682" s="241"/>
      <c r="V682" s="241"/>
      <c r="W682" s="241"/>
      <c r="X682" s="241"/>
      <c r="Y682" s="241"/>
      <c r="Z682" s="241"/>
    </row>
    <row r="683" spans="16:26" ht="10.199999999999999" customHeight="1">
      <c r="P683" s="241"/>
      <c r="Q683" s="241"/>
      <c r="R683" s="241"/>
      <c r="S683" s="241"/>
      <c r="T683" s="241"/>
      <c r="U683" s="241"/>
      <c r="V683" s="241"/>
      <c r="W683" s="241"/>
      <c r="X683" s="241"/>
      <c r="Y683" s="241"/>
      <c r="Z683" s="241"/>
    </row>
    <row r="684" spans="16:26" ht="10.199999999999999" customHeight="1">
      <c r="P684" s="241"/>
      <c r="Q684" s="241"/>
      <c r="R684" s="241"/>
      <c r="S684" s="241"/>
      <c r="T684" s="241"/>
      <c r="U684" s="241"/>
      <c r="V684" s="241"/>
      <c r="W684" s="241"/>
      <c r="X684" s="241"/>
      <c r="Y684" s="241"/>
      <c r="Z684" s="241"/>
    </row>
    <row r="685" spans="16:26" ht="10.199999999999999" customHeight="1">
      <c r="P685" s="241"/>
      <c r="Q685" s="241"/>
      <c r="R685" s="241"/>
      <c r="S685" s="241"/>
      <c r="T685" s="241"/>
      <c r="U685" s="241"/>
      <c r="V685" s="241"/>
      <c r="W685" s="241"/>
      <c r="X685" s="241"/>
      <c r="Y685" s="241"/>
      <c r="Z685" s="241"/>
    </row>
    <row r="686" spans="16:26" ht="10.199999999999999" customHeight="1">
      <c r="P686" s="241"/>
      <c r="Q686" s="241"/>
      <c r="R686" s="241"/>
      <c r="S686" s="241"/>
      <c r="T686" s="241"/>
      <c r="U686" s="241"/>
      <c r="V686" s="241"/>
      <c r="W686" s="241"/>
      <c r="X686" s="241"/>
      <c r="Y686" s="241"/>
      <c r="Z686" s="241"/>
    </row>
    <row r="687" spans="16:26" ht="10.199999999999999" customHeight="1">
      <c r="P687" s="241"/>
      <c r="Q687" s="241"/>
      <c r="R687" s="241"/>
      <c r="S687" s="241"/>
      <c r="T687" s="241"/>
      <c r="U687" s="241"/>
      <c r="V687" s="241"/>
      <c r="W687" s="241"/>
      <c r="X687" s="241"/>
      <c r="Y687" s="241"/>
      <c r="Z687" s="241"/>
    </row>
    <row r="688" spans="16:26" ht="10.199999999999999" customHeight="1">
      <c r="P688" s="241"/>
      <c r="Q688" s="241"/>
      <c r="R688" s="241"/>
      <c r="S688" s="241"/>
      <c r="T688" s="241"/>
      <c r="U688" s="241"/>
      <c r="V688" s="241"/>
      <c r="W688" s="241"/>
      <c r="X688" s="241"/>
      <c r="Y688" s="241"/>
      <c r="Z688" s="241"/>
    </row>
    <row r="689" spans="16:26" ht="10.199999999999999" customHeight="1">
      <c r="P689" s="241"/>
      <c r="Q689" s="241"/>
      <c r="R689" s="241"/>
      <c r="S689" s="241"/>
      <c r="T689" s="241"/>
      <c r="U689" s="241"/>
      <c r="V689" s="241"/>
      <c r="W689" s="241"/>
      <c r="X689" s="241"/>
      <c r="Y689" s="241"/>
      <c r="Z689" s="241"/>
    </row>
    <row r="690" spans="16:26" ht="10.199999999999999" customHeight="1">
      <c r="P690" s="241"/>
      <c r="Q690" s="241"/>
      <c r="R690" s="241"/>
      <c r="S690" s="241"/>
      <c r="T690" s="241"/>
      <c r="U690" s="241"/>
      <c r="V690" s="241"/>
      <c r="W690" s="241"/>
      <c r="X690" s="241"/>
      <c r="Y690" s="241"/>
      <c r="Z690" s="241"/>
    </row>
    <row r="691" spans="16:26" ht="10.199999999999999" customHeight="1">
      <c r="P691" s="241"/>
      <c r="Q691" s="241"/>
      <c r="R691" s="241"/>
      <c r="S691" s="241"/>
      <c r="T691" s="241"/>
      <c r="U691" s="241"/>
      <c r="V691" s="241"/>
      <c r="W691" s="241"/>
      <c r="X691" s="241"/>
      <c r="Y691" s="241"/>
      <c r="Z691" s="241"/>
    </row>
    <row r="692" spans="16:26" ht="10.199999999999999" customHeight="1">
      <c r="P692" s="241"/>
      <c r="Q692" s="241"/>
      <c r="R692" s="241"/>
      <c r="S692" s="241"/>
      <c r="T692" s="241"/>
      <c r="U692" s="241"/>
      <c r="V692" s="241"/>
      <c r="W692" s="241"/>
      <c r="X692" s="241"/>
      <c r="Y692" s="241"/>
      <c r="Z692" s="241"/>
    </row>
    <row r="693" spans="16:26" ht="10.199999999999999" customHeight="1">
      <c r="P693" s="241"/>
      <c r="Q693" s="241"/>
      <c r="R693" s="241"/>
      <c r="S693" s="241"/>
      <c r="T693" s="241"/>
      <c r="U693" s="241"/>
      <c r="V693" s="241"/>
      <c r="W693" s="241"/>
      <c r="X693" s="241"/>
      <c r="Y693" s="241"/>
      <c r="Z693" s="241"/>
    </row>
    <row r="694" spans="16:26" ht="10.199999999999999" customHeight="1">
      <c r="P694" s="241"/>
      <c r="Q694" s="241"/>
      <c r="R694" s="241"/>
      <c r="S694" s="241"/>
      <c r="T694" s="241"/>
      <c r="U694" s="241"/>
      <c r="V694" s="241"/>
      <c r="W694" s="241"/>
      <c r="X694" s="241"/>
      <c r="Y694" s="241"/>
      <c r="Z694" s="241"/>
    </row>
    <row r="695" spans="16:26" ht="10.199999999999999" customHeight="1">
      <c r="P695" s="241"/>
      <c r="Q695" s="241"/>
      <c r="R695" s="241"/>
      <c r="S695" s="241"/>
      <c r="T695" s="241"/>
      <c r="U695" s="241"/>
      <c r="V695" s="241"/>
      <c r="W695" s="241"/>
      <c r="X695" s="241"/>
      <c r="Y695" s="241"/>
      <c r="Z695" s="241"/>
    </row>
    <row r="696" spans="16:26" ht="10.199999999999999" customHeight="1">
      <c r="P696" s="241"/>
      <c r="Q696" s="241"/>
      <c r="R696" s="241"/>
      <c r="S696" s="241"/>
      <c r="T696" s="241"/>
      <c r="U696" s="241"/>
      <c r="V696" s="241"/>
      <c r="W696" s="241"/>
      <c r="X696" s="241"/>
      <c r="Y696" s="241"/>
      <c r="Z696" s="241"/>
    </row>
    <row r="697" spans="16:26" ht="10.199999999999999" customHeight="1">
      <c r="P697" s="241"/>
      <c r="Q697" s="241"/>
      <c r="R697" s="241"/>
      <c r="S697" s="241"/>
      <c r="T697" s="241"/>
      <c r="U697" s="241"/>
      <c r="V697" s="241"/>
      <c r="W697" s="241"/>
      <c r="X697" s="241"/>
      <c r="Y697" s="241"/>
      <c r="Z697" s="241"/>
    </row>
    <row r="698" spans="16:26" ht="10.199999999999999" customHeight="1">
      <c r="P698" s="241"/>
      <c r="Q698" s="241"/>
      <c r="R698" s="241"/>
      <c r="S698" s="241"/>
      <c r="T698" s="241"/>
      <c r="U698" s="241"/>
      <c r="V698" s="241"/>
      <c r="W698" s="241"/>
      <c r="X698" s="241"/>
      <c r="Y698" s="241"/>
      <c r="Z698" s="241"/>
    </row>
    <row r="699" spans="16:26" ht="10.199999999999999" customHeight="1">
      <c r="P699" s="241"/>
      <c r="Q699" s="241"/>
      <c r="R699" s="241"/>
      <c r="S699" s="241"/>
      <c r="T699" s="241"/>
      <c r="U699" s="241"/>
      <c r="V699" s="241"/>
      <c r="W699" s="241"/>
      <c r="X699" s="241"/>
      <c r="Y699" s="241"/>
      <c r="Z699" s="241"/>
    </row>
    <row r="700" spans="16:26" ht="10.199999999999999" customHeight="1">
      <c r="P700" s="241"/>
      <c r="Q700" s="241"/>
      <c r="R700" s="241"/>
      <c r="S700" s="241"/>
      <c r="T700" s="241"/>
      <c r="U700" s="241"/>
      <c r="V700" s="241"/>
      <c r="W700" s="241"/>
      <c r="X700" s="241"/>
      <c r="Y700" s="241"/>
      <c r="Z700" s="241"/>
    </row>
    <row r="701" spans="16:26" ht="10.199999999999999" customHeight="1">
      <c r="P701" s="241"/>
      <c r="Q701" s="241"/>
      <c r="R701" s="241"/>
      <c r="S701" s="241"/>
      <c r="T701" s="241"/>
      <c r="U701" s="241"/>
      <c r="V701" s="241"/>
      <c r="W701" s="241"/>
      <c r="X701" s="241"/>
      <c r="Y701" s="241"/>
      <c r="Z701" s="241"/>
    </row>
    <row r="702" spans="16:26" ht="10.199999999999999" customHeight="1">
      <c r="P702" s="241"/>
      <c r="Q702" s="241"/>
      <c r="R702" s="241"/>
      <c r="S702" s="241"/>
      <c r="T702" s="241"/>
      <c r="U702" s="241"/>
      <c r="V702" s="241"/>
      <c r="W702" s="241"/>
      <c r="X702" s="241"/>
      <c r="Y702" s="241"/>
      <c r="Z702" s="241"/>
    </row>
    <row r="703" spans="16:26" ht="10.199999999999999" customHeight="1">
      <c r="P703" s="241"/>
      <c r="Q703" s="241"/>
      <c r="R703" s="241"/>
      <c r="S703" s="241"/>
      <c r="T703" s="241"/>
      <c r="U703" s="241"/>
      <c r="V703" s="241"/>
      <c r="W703" s="241"/>
      <c r="X703" s="241"/>
      <c r="Y703" s="241"/>
      <c r="Z703" s="241"/>
    </row>
    <row r="704" spans="16:26" ht="10.199999999999999" customHeight="1">
      <c r="P704" s="241"/>
      <c r="Q704" s="241"/>
      <c r="R704" s="241"/>
      <c r="S704" s="241"/>
      <c r="T704" s="241"/>
      <c r="U704" s="241"/>
      <c r="V704" s="241"/>
      <c r="W704" s="241"/>
      <c r="X704" s="241"/>
      <c r="Y704" s="241"/>
      <c r="Z704" s="241"/>
    </row>
    <row r="705" spans="16:26" ht="10.199999999999999" customHeight="1">
      <c r="P705" s="241"/>
      <c r="Q705" s="241"/>
      <c r="R705" s="241"/>
      <c r="S705" s="241"/>
      <c r="T705" s="241"/>
      <c r="U705" s="241"/>
      <c r="V705" s="241"/>
      <c r="W705" s="241"/>
      <c r="X705" s="241"/>
      <c r="Y705" s="241"/>
      <c r="Z705" s="241"/>
    </row>
    <row r="706" spans="16:26" ht="10.199999999999999" customHeight="1">
      <c r="P706" s="241"/>
      <c r="Q706" s="241"/>
      <c r="R706" s="241"/>
      <c r="S706" s="241"/>
      <c r="T706" s="241"/>
      <c r="U706" s="241"/>
      <c r="V706" s="241"/>
      <c r="W706" s="241"/>
      <c r="X706" s="241"/>
      <c r="Y706" s="241"/>
      <c r="Z706" s="241"/>
    </row>
    <row r="707" spans="16:26" ht="10.199999999999999" customHeight="1">
      <c r="P707" s="241"/>
      <c r="Q707" s="241"/>
      <c r="R707" s="241"/>
      <c r="S707" s="241"/>
      <c r="T707" s="241"/>
      <c r="U707" s="241"/>
      <c r="V707" s="241"/>
      <c r="W707" s="241"/>
      <c r="X707" s="241"/>
      <c r="Y707" s="241"/>
      <c r="Z707" s="241"/>
    </row>
    <row r="708" spans="16:26" ht="10.199999999999999" customHeight="1">
      <c r="P708" s="241"/>
      <c r="Q708" s="241"/>
      <c r="R708" s="241"/>
      <c r="S708" s="241"/>
      <c r="T708" s="241"/>
      <c r="U708" s="241"/>
      <c r="V708" s="241"/>
      <c r="W708" s="241"/>
      <c r="X708" s="241"/>
      <c r="Y708" s="241"/>
      <c r="Z708" s="241"/>
    </row>
    <row r="709" spans="16:26" ht="10.199999999999999" customHeight="1">
      <c r="P709" s="241"/>
      <c r="Q709" s="241"/>
      <c r="R709" s="241"/>
      <c r="S709" s="241"/>
      <c r="T709" s="241"/>
      <c r="U709" s="241"/>
      <c r="V709" s="241"/>
      <c r="W709" s="241"/>
      <c r="X709" s="241"/>
      <c r="Y709" s="241"/>
      <c r="Z709" s="241"/>
    </row>
    <row r="710" spans="16:26" ht="10.199999999999999" customHeight="1">
      <c r="P710" s="241"/>
      <c r="Q710" s="241"/>
      <c r="R710" s="241"/>
      <c r="S710" s="241"/>
      <c r="T710" s="241"/>
      <c r="U710" s="241"/>
      <c r="V710" s="241"/>
      <c r="W710" s="241"/>
      <c r="X710" s="241"/>
      <c r="Y710" s="241"/>
      <c r="Z710" s="241"/>
    </row>
    <row r="711" spans="16:26" ht="10.199999999999999" customHeight="1">
      <c r="P711" s="241"/>
      <c r="Q711" s="241"/>
      <c r="R711" s="241"/>
      <c r="S711" s="241"/>
      <c r="T711" s="241"/>
      <c r="U711" s="241"/>
      <c r="V711" s="241"/>
      <c r="W711" s="241"/>
      <c r="X711" s="241"/>
      <c r="Y711" s="241"/>
      <c r="Z711" s="241"/>
    </row>
    <row r="712" spans="16:26" ht="10.199999999999999" customHeight="1">
      <c r="P712" s="241"/>
      <c r="Q712" s="241"/>
      <c r="R712" s="241"/>
      <c r="S712" s="241"/>
      <c r="T712" s="241"/>
      <c r="U712" s="241"/>
      <c r="V712" s="241"/>
      <c r="W712" s="241"/>
      <c r="X712" s="241"/>
      <c r="Y712" s="241"/>
      <c r="Z712" s="241"/>
    </row>
    <row r="713" spans="16:26" ht="10.199999999999999" customHeight="1">
      <c r="P713" s="241"/>
      <c r="Q713" s="241"/>
      <c r="R713" s="241"/>
      <c r="S713" s="241"/>
      <c r="T713" s="241"/>
      <c r="U713" s="241"/>
      <c r="V713" s="241"/>
      <c r="W713" s="241"/>
      <c r="X713" s="241"/>
      <c r="Y713" s="241"/>
      <c r="Z713" s="241"/>
    </row>
    <row r="714" spans="16:26" ht="10.199999999999999" customHeight="1">
      <c r="P714" s="241"/>
      <c r="Q714" s="241"/>
      <c r="R714" s="241"/>
      <c r="S714" s="241"/>
      <c r="T714" s="241"/>
      <c r="U714" s="241"/>
      <c r="V714" s="241"/>
      <c r="W714" s="241"/>
      <c r="X714" s="241"/>
      <c r="Y714" s="241"/>
      <c r="Z714" s="241"/>
    </row>
    <row r="715" spans="16:26" ht="10.199999999999999" customHeight="1">
      <c r="P715" s="241"/>
      <c r="Q715" s="241"/>
      <c r="R715" s="241"/>
      <c r="S715" s="241"/>
      <c r="T715" s="241"/>
      <c r="U715" s="241"/>
      <c r="V715" s="241"/>
      <c r="W715" s="241"/>
      <c r="X715" s="241"/>
      <c r="Y715" s="241"/>
      <c r="Z715" s="241"/>
    </row>
    <row r="716" spans="16:26" ht="10.199999999999999" customHeight="1">
      <c r="P716" s="241"/>
      <c r="Q716" s="241"/>
      <c r="R716" s="241"/>
      <c r="S716" s="241"/>
      <c r="T716" s="241"/>
      <c r="U716" s="241"/>
      <c r="V716" s="241"/>
      <c r="W716" s="241"/>
      <c r="X716" s="241"/>
      <c r="Y716" s="241"/>
      <c r="Z716" s="241"/>
    </row>
    <row r="717" spans="16:26" ht="10.199999999999999" customHeight="1">
      <c r="P717" s="241"/>
      <c r="Q717" s="241"/>
      <c r="R717" s="241"/>
      <c r="S717" s="241"/>
      <c r="T717" s="241"/>
      <c r="U717" s="241"/>
      <c r="V717" s="241"/>
      <c r="W717" s="241"/>
      <c r="X717" s="241"/>
      <c r="Y717" s="241"/>
      <c r="Z717" s="241"/>
    </row>
    <row r="718" spans="16:26" ht="10.199999999999999" customHeight="1">
      <c r="P718" s="241"/>
      <c r="Q718" s="241"/>
      <c r="R718" s="241"/>
      <c r="S718" s="241"/>
      <c r="T718" s="241"/>
      <c r="U718" s="241"/>
      <c r="V718" s="241"/>
      <c r="W718" s="241"/>
      <c r="X718" s="241"/>
      <c r="Y718" s="241"/>
      <c r="Z718" s="241"/>
    </row>
    <row r="719" spans="16:26" ht="10.199999999999999" customHeight="1">
      <c r="P719" s="241"/>
      <c r="Q719" s="241"/>
      <c r="R719" s="241"/>
      <c r="S719" s="241"/>
      <c r="T719" s="241"/>
      <c r="U719" s="241"/>
      <c r="V719" s="241"/>
      <c r="W719" s="241"/>
      <c r="X719" s="241"/>
      <c r="Y719" s="241"/>
      <c r="Z719" s="241"/>
    </row>
    <row r="720" spans="16:26" ht="10.199999999999999" customHeight="1">
      <c r="P720" s="241"/>
      <c r="Q720" s="241"/>
      <c r="R720" s="241"/>
      <c r="S720" s="241"/>
      <c r="T720" s="241"/>
      <c r="U720" s="241"/>
      <c r="V720" s="241"/>
      <c r="W720" s="241"/>
      <c r="X720" s="241"/>
      <c r="Y720" s="241"/>
      <c r="Z720" s="241"/>
    </row>
    <row r="721" spans="16:26" ht="10.199999999999999" customHeight="1">
      <c r="P721" s="241"/>
      <c r="Q721" s="241"/>
      <c r="R721" s="241"/>
      <c r="S721" s="241"/>
      <c r="T721" s="241"/>
      <c r="U721" s="241"/>
      <c r="V721" s="241"/>
      <c r="W721" s="241"/>
      <c r="X721" s="241"/>
      <c r="Y721" s="241"/>
      <c r="Z721" s="241"/>
    </row>
    <row r="722" spans="16:26" ht="10.199999999999999" customHeight="1">
      <c r="P722" s="241"/>
      <c r="Q722" s="241"/>
      <c r="R722" s="241"/>
      <c r="S722" s="241"/>
      <c r="T722" s="241"/>
      <c r="U722" s="241"/>
      <c r="V722" s="241"/>
      <c r="W722" s="241"/>
      <c r="X722" s="241"/>
      <c r="Y722" s="241"/>
      <c r="Z722" s="241"/>
    </row>
    <row r="723" spans="16:26" ht="10.199999999999999" customHeight="1">
      <c r="P723" s="241"/>
      <c r="Q723" s="241"/>
      <c r="R723" s="241"/>
      <c r="S723" s="241"/>
      <c r="T723" s="241"/>
      <c r="U723" s="241"/>
      <c r="V723" s="241"/>
      <c r="W723" s="241"/>
      <c r="X723" s="241"/>
      <c r="Y723" s="241"/>
      <c r="Z723" s="241"/>
    </row>
    <row r="724" spans="16:26" ht="10.199999999999999" customHeight="1">
      <c r="P724" s="241"/>
      <c r="Q724" s="241"/>
      <c r="R724" s="241"/>
      <c r="S724" s="241"/>
      <c r="T724" s="241"/>
      <c r="U724" s="241"/>
      <c r="V724" s="241"/>
      <c r="W724" s="241"/>
      <c r="X724" s="241"/>
      <c r="Y724" s="241"/>
      <c r="Z724" s="241"/>
    </row>
    <row r="725" spans="16:26" ht="10.199999999999999" customHeight="1">
      <c r="P725" s="241"/>
      <c r="Q725" s="241"/>
      <c r="R725" s="241"/>
      <c r="S725" s="241"/>
      <c r="T725" s="241"/>
      <c r="U725" s="241"/>
      <c r="V725" s="241"/>
      <c r="W725" s="241"/>
      <c r="X725" s="241"/>
      <c r="Y725" s="241"/>
      <c r="Z725" s="241"/>
    </row>
    <row r="726" spans="16:26" ht="10.199999999999999" customHeight="1">
      <c r="P726" s="241"/>
      <c r="Q726" s="241"/>
      <c r="R726" s="241"/>
      <c r="S726" s="241"/>
      <c r="T726" s="241"/>
      <c r="U726" s="241"/>
      <c r="V726" s="241"/>
      <c r="W726" s="241"/>
      <c r="X726" s="241"/>
      <c r="Y726" s="241"/>
      <c r="Z726" s="241"/>
    </row>
    <row r="727" spans="16:26" ht="10.199999999999999" customHeight="1">
      <c r="P727" s="241"/>
      <c r="Q727" s="241"/>
      <c r="R727" s="241"/>
      <c r="S727" s="241"/>
      <c r="T727" s="241"/>
      <c r="U727" s="241"/>
      <c r="V727" s="241"/>
      <c r="W727" s="241"/>
      <c r="X727" s="241"/>
      <c r="Y727" s="241"/>
      <c r="Z727" s="241"/>
    </row>
    <row r="728" spans="16:26" ht="10.199999999999999" customHeight="1">
      <c r="P728" s="241"/>
      <c r="Q728" s="241"/>
      <c r="R728" s="241"/>
      <c r="S728" s="241"/>
      <c r="T728" s="241"/>
      <c r="U728" s="241"/>
      <c r="V728" s="241"/>
      <c r="W728" s="241"/>
      <c r="X728" s="241"/>
      <c r="Y728" s="241"/>
      <c r="Z728" s="241"/>
    </row>
    <row r="729" spans="16:26" ht="10.199999999999999" customHeight="1">
      <c r="P729" s="241"/>
      <c r="Q729" s="241"/>
      <c r="R729" s="241"/>
      <c r="S729" s="241"/>
      <c r="T729" s="241"/>
      <c r="U729" s="241"/>
      <c r="V729" s="241"/>
      <c r="W729" s="241"/>
      <c r="X729" s="241"/>
      <c r="Y729" s="241"/>
      <c r="Z729" s="241"/>
    </row>
    <row r="730" spans="16:26" ht="10.199999999999999" customHeight="1">
      <c r="P730" s="241"/>
      <c r="Q730" s="241"/>
      <c r="R730" s="241"/>
      <c r="S730" s="241"/>
      <c r="T730" s="241"/>
      <c r="U730" s="241"/>
      <c r="V730" s="241"/>
      <c r="W730" s="241"/>
      <c r="X730" s="241"/>
      <c r="Y730" s="241"/>
      <c r="Z730" s="241"/>
    </row>
    <row r="731" spans="16:26" ht="10.199999999999999" customHeight="1">
      <c r="P731" s="241"/>
      <c r="Q731" s="241"/>
      <c r="R731" s="241"/>
      <c r="S731" s="241"/>
      <c r="T731" s="241"/>
      <c r="U731" s="241"/>
      <c r="V731" s="241"/>
      <c r="W731" s="241"/>
      <c r="X731" s="241"/>
      <c r="Y731" s="241"/>
      <c r="Z731" s="241"/>
    </row>
    <row r="732" spans="16:26" ht="10.199999999999999" customHeight="1">
      <c r="P732" s="241"/>
      <c r="Q732" s="241"/>
      <c r="R732" s="241"/>
      <c r="S732" s="241"/>
      <c r="T732" s="241"/>
      <c r="U732" s="241"/>
      <c r="V732" s="241"/>
      <c r="W732" s="241"/>
      <c r="X732" s="241"/>
      <c r="Y732" s="241"/>
      <c r="Z732" s="241"/>
    </row>
    <row r="733" spans="16:26" ht="10.199999999999999" customHeight="1">
      <c r="P733" s="241"/>
      <c r="Q733" s="241"/>
      <c r="R733" s="241"/>
      <c r="S733" s="241"/>
      <c r="T733" s="241"/>
      <c r="U733" s="241"/>
      <c r="V733" s="241"/>
      <c r="W733" s="241"/>
      <c r="X733" s="241"/>
      <c r="Y733" s="241"/>
      <c r="Z733" s="241"/>
    </row>
    <row r="734" spans="16:26" ht="10.199999999999999" customHeight="1">
      <c r="P734" s="241"/>
      <c r="Q734" s="241"/>
      <c r="R734" s="241"/>
      <c r="S734" s="241"/>
      <c r="T734" s="241"/>
      <c r="U734" s="241"/>
      <c r="V734" s="241"/>
      <c r="W734" s="241"/>
      <c r="X734" s="241"/>
      <c r="Y734" s="241"/>
      <c r="Z734" s="241"/>
    </row>
    <row r="735" spans="16:26" ht="10.199999999999999" customHeight="1">
      <c r="P735" s="241"/>
      <c r="Q735" s="241"/>
      <c r="R735" s="241"/>
      <c r="S735" s="241"/>
      <c r="T735" s="241"/>
      <c r="U735" s="241"/>
      <c r="V735" s="241"/>
      <c r="W735" s="241"/>
      <c r="X735" s="241"/>
      <c r="Y735" s="241"/>
      <c r="Z735" s="241"/>
    </row>
    <row r="736" spans="16:26" ht="10.199999999999999" customHeight="1">
      <c r="P736" s="241"/>
      <c r="Q736" s="241"/>
      <c r="R736" s="241"/>
      <c r="S736" s="241"/>
      <c r="T736" s="241"/>
      <c r="U736" s="241"/>
      <c r="V736" s="241"/>
      <c r="W736" s="241"/>
      <c r="X736" s="241"/>
      <c r="Y736" s="241"/>
      <c r="Z736" s="241"/>
    </row>
    <row r="737" spans="16:26" ht="10.199999999999999" customHeight="1">
      <c r="P737" s="241"/>
      <c r="Q737" s="241"/>
      <c r="R737" s="241"/>
      <c r="S737" s="241"/>
      <c r="T737" s="241"/>
      <c r="U737" s="241"/>
      <c r="V737" s="241"/>
      <c r="W737" s="241"/>
      <c r="X737" s="241"/>
      <c r="Y737" s="241"/>
      <c r="Z737" s="241"/>
    </row>
    <row r="738" spans="16:26" ht="10.199999999999999" customHeight="1">
      <c r="P738" s="241"/>
      <c r="Q738" s="241"/>
      <c r="R738" s="241"/>
      <c r="S738" s="241"/>
      <c r="T738" s="241"/>
      <c r="U738" s="241"/>
      <c r="V738" s="241"/>
      <c r="W738" s="241"/>
      <c r="X738" s="241"/>
      <c r="Y738" s="241"/>
      <c r="Z738" s="241"/>
    </row>
    <row r="739" spans="16:26" ht="10.199999999999999" customHeight="1">
      <c r="P739" s="241"/>
      <c r="Q739" s="241"/>
      <c r="R739" s="241"/>
      <c r="S739" s="241"/>
      <c r="T739" s="241"/>
      <c r="U739" s="241"/>
      <c r="V739" s="241"/>
      <c r="W739" s="241"/>
      <c r="X739" s="241"/>
      <c r="Y739" s="241"/>
      <c r="Z739" s="241"/>
    </row>
    <row r="740" spans="16:26" ht="10.199999999999999" customHeight="1">
      <c r="P740" s="241"/>
      <c r="Q740" s="241"/>
      <c r="R740" s="241"/>
      <c r="S740" s="241"/>
      <c r="T740" s="241"/>
      <c r="U740" s="241"/>
      <c r="V740" s="241"/>
      <c r="W740" s="241"/>
      <c r="X740" s="241"/>
      <c r="Y740" s="241"/>
      <c r="Z740" s="241"/>
    </row>
    <row r="741" spans="16:26" ht="10.199999999999999" customHeight="1">
      <c r="P741" s="241"/>
      <c r="Q741" s="241"/>
      <c r="R741" s="241"/>
      <c r="S741" s="241"/>
      <c r="T741" s="241"/>
      <c r="U741" s="241"/>
      <c r="V741" s="241"/>
      <c r="W741" s="241"/>
      <c r="X741" s="241"/>
      <c r="Y741" s="241"/>
      <c r="Z741" s="241"/>
    </row>
    <row r="742" spans="16:26" ht="10.199999999999999" customHeight="1">
      <c r="P742" s="241"/>
      <c r="Q742" s="241"/>
      <c r="R742" s="241"/>
      <c r="S742" s="241"/>
      <c r="T742" s="241"/>
      <c r="U742" s="241"/>
      <c r="V742" s="241"/>
      <c r="W742" s="241"/>
      <c r="X742" s="241"/>
      <c r="Y742" s="241"/>
      <c r="Z742" s="241"/>
    </row>
    <row r="743" spans="16:26" ht="10.199999999999999" customHeight="1">
      <c r="P743" s="241"/>
      <c r="Q743" s="241"/>
      <c r="R743" s="241"/>
      <c r="S743" s="241"/>
      <c r="T743" s="241"/>
      <c r="U743" s="241"/>
      <c r="V743" s="241"/>
      <c r="W743" s="241"/>
      <c r="X743" s="241"/>
      <c r="Y743" s="241"/>
      <c r="Z743" s="241"/>
    </row>
    <row r="744" spans="16:26" ht="10.199999999999999" customHeight="1">
      <c r="P744" s="241"/>
      <c r="Q744" s="241"/>
      <c r="R744" s="241"/>
      <c r="S744" s="241"/>
      <c r="T744" s="241"/>
      <c r="U744" s="241"/>
      <c r="V744" s="241"/>
      <c r="W744" s="241"/>
      <c r="X744" s="241"/>
      <c r="Y744" s="241"/>
      <c r="Z744" s="241"/>
    </row>
    <row r="745" spans="16:26" ht="10.199999999999999" customHeight="1">
      <c r="P745" s="241"/>
      <c r="Q745" s="241"/>
      <c r="R745" s="241"/>
      <c r="S745" s="241"/>
      <c r="T745" s="241"/>
      <c r="U745" s="241"/>
      <c r="V745" s="241"/>
      <c r="W745" s="241"/>
      <c r="X745" s="241"/>
      <c r="Y745" s="241"/>
      <c r="Z745" s="241"/>
    </row>
    <row r="746" spans="16:26" ht="10.199999999999999" customHeight="1">
      <c r="P746" s="241"/>
      <c r="Q746" s="241"/>
      <c r="R746" s="241"/>
      <c r="S746" s="241"/>
      <c r="T746" s="241"/>
      <c r="U746" s="241"/>
      <c r="V746" s="241"/>
      <c r="W746" s="241"/>
      <c r="X746" s="241"/>
      <c r="Y746" s="241"/>
      <c r="Z746" s="241"/>
    </row>
    <row r="747" spans="16:26" ht="10.199999999999999" customHeight="1">
      <c r="P747" s="241"/>
      <c r="Q747" s="241"/>
      <c r="R747" s="241"/>
      <c r="S747" s="241"/>
      <c r="T747" s="241"/>
      <c r="U747" s="241"/>
      <c r="V747" s="241"/>
      <c r="W747" s="241"/>
      <c r="X747" s="241"/>
      <c r="Y747" s="241"/>
      <c r="Z747" s="241"/>
    </row>
    <row r="748" spans="16:26" ht="10.199999999999999" customHeight="1">
      <c r="P748" s="241"/>
      <c r="Q748" s="241"/>
      <c r="R748" s="241"/>
      <c r="S748" s="241"/>
      <c r="T748" s="241"/>
      <c r="U748" s="241"/>
      <c r="V748" s="241"/>
      <c r="W748" s="241"/>
      <c r="X748" s="241"/>
      <c r="Y748" s="241"/>
      <c r="Z748" s="241"/>
    </row>
    <row r="749" spans="16:26" ht="10.199999999999999" customHeight="1">
      <c r="P749" s="241"/>
      <c r="Q749" s="241"/>
      <c r="R749" s="241"/>
      <c r="S749" s="241"/>
      <c r="T749" s="241"/>
      <c r="U749" s="241"/>
      <c r="V749" s="241"/>
      <c r="W749" s="241"/>
      <c r="X749" s="241"/>
      <c r="Y749" s="241"/>
      <c r="Z749" s="241"/>
    </row>
    <row r="750" spans="16:26" ht="10.199999999999999" customHeight="1">
      <c r="P750" s="241"/>
      <c r="Q750" s="241"/>
      <c r="R750" s="241"/>
      <c r="S750" s="241"/>
      <c r="T750" s="241"/>
      <c r="U750" s="241"/>
      <c r="V750" s="241"/>
      <c r="W750" s="241"/>
      <c r="X750" s="241"/>
      <c r="Y750" s="241"/>
      <c r="Z750" s="241"/>
    </row>
    <row r="751" spans="16:26" ht="10.199999999999999" customHeight="1">
      <c r="P751" s="241"/>
      <c r="Q751" s="241"/>
      <c r="R751" s="241"/>
      <c r="S751" s="241"/>
      <c r="T751" s="241"/>
      <c r="U751" s="241"/>
      <c r="V751" s="241"/>
      <c r="W751" s="241"/>
      <c r="X751" s="241"/>
      <c r="Y751" s="241"/>
      <c r="Z751" s="241"/>
    </row>
    <row r="752" spans="16:26" ht="10.199999999999999" customHeight="1">
      <c r="P752" s="241"/>
      <c r="Q752" s="241"/>
      <c r="R752" s="241"/>
      <c r="S752" s="241"/>
      <c r="T752" s="241"/>
      <c r="U752" s="241"/>
      <c r="V752" s="241"/>
      <c r="W752" s="241"/>
      <c r="X752" s="241"/>
      <c r="Y752" s="241"/>
      <c r="Z752" s="241"/>
    </row>
    <row r="753" spans="16:26" ht="10.199999999999999" customHeight="1">
      <c r="P753" s="241"/>
      <c r="Q753" s="241"/>
      <c r="R753" s="241"/>
      <c r="S753" s="241"/>
      <c r="T753" s="241"/>
      <c r="U753" s="241"/>
      <c r="V753" s="241"/>
      <c r="W753" s="241"/>
      <c r="X753" s="241"/>
      <c r="Y753" s="241"/>
      <c r="Z753" s="241"/>
    </row>
    <row r="754" spans="16:26" ht="10.199999999999999" customHeight="1">
      <c r="P754" s="241"/>
      <c r="Q754" s="241"/>
      <c r="R754" s="241"/>
      <c r="S754" s="241"/>
      <c r="T754" s="241"/>
      <c r="U754" s="241"/>
      <c r="V754" s="241"/>
      <c r="W754" s="241"/>
      <c r="X754" s="241"/>
      <c r="Y754" s="241"/>
      <c r="Z754" s="241"/>
    </row>
    <row r="755" spans="16:26" ht="10.199999999999999" customHeight="1">
      <c r="P755" s="241"/>
      <c r="Q755" s="241"/>
      <c r="R755" s="241"/>
      <c r="S755" s="241"/>
      <c r="T755" s="241"/>
      <c r="U755" s="241"/>
      <c r="V755" s="241"/>
      <c r="W755" s="241"/>
      <c r="X755" s="241"/>
      <c r="Y755" s="241"/>
      <c r="Z755" s="241"/>
    </row>
    <row r="756" spans="16:26" ht="10.199999999999999" customHeight="1">
      <c r="P756" s="241"/>
      <c r="Q756" s="241"/>
      <c r="R756" s="241"/>
      <c r="S756" s="241"/>
      <c r="T756" s="241"/>
      <c r="U756" s="241"/>
      <c r="V756" s="241"/>
      <c r="W756" s="241"/>
      <c r="X756" s="241"/>
      <c r="Y756" s="241"/>
      <c r="Z756" s="241"/>
    </row>
    <row r="757" spans="16:26" ht="10.199999999999999" customHeight="1">
      <c r="P757" s="241"/>
      <c r="Q757" s="241"/>
      <c r="R757" s="241"/>
      <c r="S757" s="241"/>
      <c r="T757" s="241"/>
      <c r="U757" s="241"/>
      <c r="V757" s="241"/>
      <c r="W757" s="241"/>
      <c r="X757" s="241"/>
      <c r="Y757" s="241"/>
      <c r="Z757" s="241"/>
    </row>
    <row r="758" spans="16:26" ht="10.199999999999999" customHeight="1">
      <c r="P758" s="241"/>
      <c r="Q758" s="241"/>
      <c r="R758" s="241"/>
      <c r="S758" s="241"/>
      <c r="T758" s="241"/>
      <c r="U758" s="241"/>
      <c r="V758" s="241"/>
      <c r="W758" s="241"/>
      <c r="X758" s="241"/>
      <c r="Y758" s="241"/>
      <c r="Z758" s="241"/>
    </row>
    <row r="759" spans="16:26" ht="10.199999999999999" customHeight="1">
      <c r="P759" s="241"/>
      <c r="Q759" s="241"/>
      <c r="R759" s="241"/>
      <c r="S759" s="241"/>
      <c r="T759" s="241"/>
      <c r="U759" s="241"/>
      <c r="V759" s="241"/>
      <c r="W759" s="241"/>
      <c r="X759" s="241"/>
      <c r="Y759" s="241"/>
      <c r="Z759" s="241"/>
    </row>
    <row r="760" spans="16:26" ht="10.199999999999999" customHeight="1">
      <c r="P760" s="241"/>
      <c r="Q760" s="241"/>
      <c r="R760" s="241"/>
      <c r="S760" s="241"/>
      <c r="T760" s="241"/>
      <c r="U760" s="241"/>
      <c r="V760" s="241"/>
      <c r="W760" s="241"/>
      <c r="X760" s="241"/>
      <c r="Y760" s="241"/>
      <c r="Z760" s="241"/>
    </row>
    <row r="761" spans="16:26" ht="10.199999999999999" customHeight="1">
      <c r="P761" s="241"/>
      <c r="Q761" s="241"/>
      <c r="R761" s="241"/>
      <c r="S761" s="241"/>
      <c r="T761" s="241"/>
      <c r="U761" s="241"/>
      <c r="V761" s="241"/>
      <c r="W761" s="241"/>
      <c r="X761" s="241"/>
      <c r="Y761" s="241"/>
      <c r="Z761" s="241"/>
    </row>
    <row r="762" spans="16:26" ht="10.199999999999999" customHeight="1">
      <c r="P762" s="241"/>
      <c r="Q762" s="241"/>
      <c r="R762" s="241"/>
      <c r="S762" s="241"/>
      <c r="T762" s="241"/>
      <c r="U762" s="241"/>
      <c r="V762" s="241"/>
      <c r="W762" s="241"/>
      <c r="X762" s="241"/>
      <c r="Y762" s="241"/>
      <c r="Z762" s="241"/>
    </row>
    <row r="763" spans="16:26" ht="10.199999999999999" customHeight="1">
      <c r="P763" s="241"/>
      <c r="Q763" s="241"/>
      <c r="R763" s="241"/>
      <c r="S763" s="241"/>
      <c r="T763" s="241"/>
      <c r="U763" s="241"/>
      <c r="V763" s="241"/>
      <c r="W763" s="241"/>
      <c r="X763" s="241"/>
      <c r="Y763" s="241"/>
      <c r="Z763" s="241"/>
    </row>
    <row r="764" spans="16:26" ht="10.199999999999999" customHeight="1">
      <c r="P764" s="241"/>
      <c r="Q764" s="241"/>
      <c r="R764" s="241"/>
      <c r="S764" s="241"/>
      <c r="T764" s="241"/>
      <c r="U764" s="241"/>
      <c r="V764" s="241"/>
      <c r="W764" s="241"/>
      <c r="X764" s="241"/>
      <c r="Y764" s="241"/>
      <c r="Z764" s="241"/>
    </row>
    <row r="765" spans="16:26" ht="10.199999999999999" customHeight="1">
      <c r="P765" s="241"/>
      <c r="Q765" s="241"/>
      <c r="R765" s="241"/>
      <c r="S765" s="241"/>
      <c r="T765" s="241"/>
      <c r="U765" s="241"/>
      <c r="V765" s="241"/>
      <c r="W765" s="241"/>
      <c r="X765" s="241"/>
      <c r="Y765" s="241"/>
      <c r="Z765" s="241"/>
    </row>
    <row r="766" spans="16:26" ht="10.199999999999999" customHeight="1">
      <c r="P766" s="241"/>
      <c r="Q766" s="241"/>
      <c r="R766" s="241"/>
      <c r="S766" s="241"/>
      <c r="T766" s="241"/>
      <c r="U766" s="241"/>
      <c r="V766" s="241"/>
      <c r="W766" s="241"/>
      <c r="X766" s="241"/>
      <c r="Y766" s="241"/>
      <c r="Z766" s="241"/>
    </row>
    <row r="767" spans="16:26" ht="10.199999999999999" customHeight="1">
      <c r="P767" s="241"/>
      <c r="Q767" s="241"/>
      <c r="R767" s="241"/>
      <c r="S767" s="241"/>
      <c r="T767" s="241"/>
      <c r="U767" s="241"/>
      <c r="V767" s="241"/>
      <c r="W767" s="241"/>
      <c r="X767" s="241"/>
      <c r="Y767" s="241"/>
      <c r="Z767" s="241"/>
    </row>
    <row r="768" spans="16:26" ht="10.199999999999999" customHeight="1">
      <c r="P768" s="241"/>
      <c r="Q768" s="241"/>
      <c r="R768" s="241"/>
      <c r="S768" s="241"/>
      <c r="T768" s="241"/>
      <c r="U768" s="241"/>
      <c r="V768" s="241"/>
      <c r="W768" s="241"/>
      <c r="X768" s="241"/>
      <c r="Y768" s="241"/>
      <c r="Z768" s="241"/>
    </row>
    <row r="769" spans="16:26" ht="10.199999999999999" customHeight="1">
      <c r="P769" s="241"/>
      <c r="Q769" s="241"/>
      <c r="R769" s="241"/>
      <c r="S769" s="241"/>
      <c r="T769" s="241"/>
      <c r="U769" s="241"/>
      <c r="V769" s="241"/>
      <c r="W769" s="241"/>
      <c r="X769" s="241"/>
      <c r="Y769" s="241"/>
      <c r="Z769" s="241"/>
    </row>
    <row r="770" spans="16:26" ht="10.199999999999999" customHeight="1">
      <c r="P770" s="241"/>
      <c r="Q770" s="241"/>
      <c r="R770" s="241"/>
      <c r="S770" s="241"/>
      <c r="T770" s="241"/>
      <c r="U770" s="241"/>
      <c r="V770" s="241"/>
      <c r="W770" s="241"/>
      <c r="X770" s="241"/>
      <c r="Y770" s="241"/>
      <c r="Z770" s="241"/>
    </row>
    <row r="771" spans="16:26" ht="10.199999999999999" customHeight="1">
      <c r="P771" s="241"/>
      <c r="Q771" s="241"/>
      <c r="R771" s="241"/>
      <c r="S771" s="241"/>
      <c r="T771" s="241"/>
      <c r="U771" s="241"/>
      <c r="V771" s="241"/>
      <c r="W771" s="241"/>
      <c r="X771" s="241"/>
      <c r="Y771" s="241"/>
      <c r="Z771" s="241"/>
    </row>
    <row r="772" spans="16:26" ht="10.199999999999999" customHeight="1">
      <c r="P772" s="241"/>
      <c r="Q772" s="241"/>
      <c r="R772" s="241"/>
      <c r="S772" s="241"/>
      <c r="T772" s="241"/>
      <c r="U772" s="241"/>
      <c r="V772" s="241"/>
      <c r="W772" s="241"/>
      <c r="X772" s="241"/>
      <c r="Y772" s="241"/>
      <c r="Z772" s="241"/>
    </row>
    <row r="773" spans="16:26" ht="10.199999999999999" customHeight="1">
      <c r="P773" s="241"/>
      <c r="Q773" s="241"/>
      <c r="R773" s="241"/>
      <c r="S773" s="241"/>
      <c r="T773" s="241"/>
      <c r="U773" s="241"/>
      <c r="V773" s="241"/>
      <c r="W773" s="241"/>
      <c r="X773" s="241"/>
      <c r="Y773" s="241"/>
      <c r="Z773" s="241"/>
    </row>
    <row r="774" spans="16:26" ht="10.199999999999999" customHeight="1">
      <c r="P774" s="241"/>
      <c r="Q774" s="241"/>
      <c r="R774" s="241"/>
      <c r="S774" s="241"/>
      <c r="T774" s="241"/>
      <c r="U774" s="241"/>
      <c r="V774" s="241"/>
      <c r="W774" s="241"/>
      <c r="X774" s="241"/>
      <c r="Y774" s="241"/>
      <c r="Z774" s="241"/>
    </row>
    <row r="775" spans="16:26" ht="10.199999999999999" customHeight="1">
      <c r="P775" s="241"/>
      <c r="Q775" s="241"/>
      <c r="R775" s="241"/>
      <c r="S775" s="241"/>
      <c r="T775" s="241"/>
      <c r="U775" s="241"/>
      <c r="V775" s="241"/>
      <c r="W775" s="241"/>
      <c r="X775" s="241"/>
      <c r="Y775" s="241"/>
      <c r="Z775" s="241"/>
    </row>
    <row r="776" spans="16:26" ht="10.199999999999999" customHeight="1">
      <c r="P776" s="241"/>
      <c r="Q776" s="241"/>
      <c r="R776" s="241"/>
      <c r="S776" s="241"/>
      <c r="T776" s="241"/>
      <c r="U776" s="241"/>
      <c r="V776" s="241"/>
      <c r="W776" s="241"/>
      <c r="X776" s="241"/>
      <c r="Y776" s="241"/>
      <c r="Z776" s="241"/>
    </row>
    <row r="777" spans="16:26" ht="10.199999999999999" customHeight="1">
      <c r="P777" s="241"/>
      <c r="Q777" s="241"/>
      <c r="R777" s="241"/>
      <c r="S777" s="241"/>
      <c r="T777" s="241"/>
      <c r="U777" s="241"/>
      <c r="V777" s="241"/>
      <c r="W777" s="241"/>
      <c r="X777" s="241"/>
      <c r="Y777" s="241"/>
      <c r="Z777" s="241"/>
    </row>
    <row r="778" spans="16:26" ht="10.199999999999999" customHeight="1">
      <c r="P778" s="241"/>
      <c r="Q778" s="241"/>
      <c r="R778" s="241"/>
      <c r="S778" s="241"/>
      <c r="T778" s="241"/>
      <c r="U778" s="241"/>
      <c r="V778" s="241"/>
      <c r="W778" s="241"/>
      <c r="X778" s="241"/>
      <c r="Y778" s="241"/>
      <c r="Z778" s="241"/>
    </row>
    <row r="779" spans="16:26" ht="10.199999999999999" customHeight="1">
      <c r="P779" s="241"/>
      <c r="Q779" s="241"/>
      <c r="R779" s="241"/>
      <c r="S779" s="241"/>
      <c r="T779" s="241"/>
      <c r="U779" s="241"/>
      <c r="V779" s="241"/>
      <c r="W779" s="241"/>
      <c r="X779" s="241"/>
      <c r="Y779" s="241"/>
      <c r="Z779" s="241"/>
    </row>
    <row r="780" spans="16:26" ht="10.199999999999999" customHeight="1">
      <c r="P780" s="241"/>
      <c r="Q780" s="241"/>
      <c r="R780" s="241"/>
      <c r="S780" s="241"/>
      <c r="T780" s="241"/>
      <c r="U780" s="241"/>
      <c r="V780" s="241"/>
      <c r="W780" s="241"/>
      <c r="X780" s="241"/>
      <c r="Y780" s="241"/>
      <c r="Z780" s="241"/>
    </row>
    <row r="781" spans="16:26" ht="10.199999999999999" customHeight="1">
      <c r="P781" s="241"/>
      <c r="Q781" s="241"/>
      <c r="R781" s="241"/>
      <c r="S781" s="241"/>
      <c r="T781" s="241"/>
      <c r="U781" s="241"/>
      <c r="V781" s="241"/>
      <c r="W781" s="241"/>
      <c r="X781" s="241"/>
      <c r="Y781" s="241"/>
      <c r="Z781" s="241"/>
    </row>
    <row r="782" spans="16:26" ht="10.199999999999999" customHeight="1">
      <c r="P782" s="241"/>
      <c r="Q782" s="241"/>
      <c r="R782" s="241"/>
      <c r="S782" s="241"/>
      <c r="T782" s="241"/>
      <c r="U782" s="241"/>
      <c r="V782" s="241"/>
      <c r="W782" s="241"/>
      <c r="X782" s="241"/>
      <c r="Y782" s="241"/>
      <c r="Z782" s="241"/>
    </row>
    <row r="783" spans="16:26" ht="10.199999999999999" customHeight="1">
      <c r="P783" s="241"/>
      <c r="Q783" s="241"/>
      <c r="R783" s="241"/>
      <c r="S783" s="241"/>
      <c r="T783" s="241"/>
      <c r="U783" s="241"/>
      <c r="V783" s="241"/>
      <c r="W783" s="241"/>
      <c r="X783" s="241"/>
      <c r="Y783" s="241"/>
      <c r="Z783" s="241"/>
    </row>
    <row r="784" spans="16:26" ht="10.199999999999999" customHeight="1">
      <c r="P784" s="241"/>
      <c r="Q784" s="241"/>
      <c r="R784" s="241"/>
      <c r="S784" s="241"/>
      <c r="T784" s="241"/>
      <c r="U784" s="241"/>
      <c r="V784" s="241"/>
      <c r="W784" s="241"/>
      <c r="X784" s="241"/>
      <c r="Y784" s="241"/>
      <c r="Z784" s="241"/>
    </row>
    <row r="785" spans="16:26" ht="10.199999999999999" customHeight="1">
      <c r="P785" s="241"/>
      <c r="Q785" s="241"/>
      <c r="R785" s="241"/>
      <c r="S785" s="241"/>
      <c r="T785" s="241"/>
      <c r="U785" s="241"/>
      <c r="V785" s="241"/>
      <c r="W785" s="241"/>
      <c r="X785" s="241"/>
      <c r="Y785" s="241"/>
      <c r="Z785" s="241"/>
    </row>
    <row r="786" spans="16:26" ht="10.199999999999999" customHeight="1">
      <c r="P786" s="241"/>
      <c r="Q786" s="241"/>
      <c r="R786" s="241"/>
      <c r="S786" s="241"/>
      <c r="T786" s="241"/>
      <c r="U786" s="241"/>
      <c r="V786" s="241"/>
      <c r="W786" s="241"/>
      <c r="X786" s="241"/>
      <c r="Y786" s="241"/>
      <c r="Z786" s="241"/>
    </row>
    <row r="787" spans="16:26" ht="10.199999999999999" customHeight="1">
      <c r="P787" s="241"/>
      <c r="Q787" s="241"/>
      <c r="R787" s="241"/>
      <c r="S787" s="241"/>
      <c r="T787" s="241"/>
      <c r="U787" s="241"/>
      <c r="V787" s="241"/>
      <c r="W787" s="241"/>
      <c r="X787" s="241"/>
      <c r="Y787" s="241"/>
      <c r="Z787" s="241"/>
    </row>
    <row r="788" spans="16:26" ht="10.199999999999999" customHeight="1">
      <c r="P788" s="241"/>
      <c r="Q788" s="241"/>
      <c r="R788" s="241"/>
      <c r="S788" s="241"/>
      <c r="T788" s="241"/>
      <c r="U788" s="241"/>
      <c r="V788" s="241"/>
      <c r="W788" s="241"/>
      <c r="X788" s="241"/>
      <c r="Y788" s="241"/>
      <c r="Z788" s="241"/>
    </row>
    <row r="789" spans="16:26" ht="10.199999999999999" customHeight="1">
      <c r="P789" s="241"/>
      <c r="Q789" s="241"/>
      <c r="R789" s="241"/>
      <c r="S789" s="241"/>
      <c r="T789" s="241"/>
      <c r="U789" s="241"/>
      <c r="V789" s="241"/>
      <c r="W789" s="241"/>
      <c r="X789" s="241"/>
      <c r="Y789" s="241"/>
      <c r="Z789" s="241"/>
    </row>
    <row r="790" spans="16:26" ht="10.199999999999999" customHeight="1">
      <c r="P790" s="241"/>
      <c r="Q790" s="241"/>
      <c r="R790" s="241"/>
      <c r="S790" s="241"/>
      <c r="T790" s="241"/>
      <c r="U790" s="241"/>
      <c r="V790" s="241"/>
      <c r="W790" s="241"/>
      <c r="X790" s="241"/>
      <c r="Y790" s="241"/>
      <c r="Z790" s="241"/>
    </row>
    <row r="791" spans="16:26" ht="10.199999999999999" customHeight="1">
      <c r="P791" s="241"/>
      <c r="Q791" s="241"/>
      <c r="R791" s="241"/>
      <c r="S791" s="241"/>
      <c r="T791" s="241"/>
      <c r="U791" s="241"/>
      <c r="V791" s="241"/>
      <c r="W791" s="241"/>
      <c r="X791" s="241"/>
      <c r="Y791" s="241"/>
      <c r="Z791" s="241"/>
    </row>
    <row r="792" spans="16:26" ht="10.199999999999999" customHeight="1">
      <c r="P792" s="241"/>
      <c r="Q792" s="241"/>
      <c r="R792" s="241"/>
      <c r="S792" s="241"/>
      <c r="T792" s="241"/>
      <c r="U792" s="241"/>
      <c r="V792" s="241"/>
      <c r="W792" s="241"/>
      <c r="X792" s="241"/>
      <c r="Y792" s="241"/>
      <c r="Z792" s="241"/>
    </row>
    <row r="793" spans="16:26" ht="10.199999999999999" customHeight="1">
      <c r="P793" s="241"/>
      <c r="Q793" s="241"/>
      <c r="R793" s="241"/>
      <c r="S793" s="241"/>
      <c r="T793" s="241"/>
      <c r="U793" s="241"/>
      <c r="V793" s="241"/>
      <c r="W793" s="241"/>
      <c r="X793" s="241"/>
      <c r="Y793" s="241"/>
      <c r="Z793" s="241"/>
    </row>
    <row r="794" spans="16:26" ht="10.199999999999999" customHeight="1">
      <c r="P794" s="241"/>
      <c r="Q794" s="241"/>
      <c r="R794" s="241"/>
      <c r="S794" s="241"/>
      <c r="T794" s="241"/>
      <c r="U794" s="241"/>
      <c r="V794" s="241"/>
      <c r="W794" s="241"/>
      <c r="X794" s="241"/>
      <c r="Y794" s="241"/>
      <c r="Z794" s="241"/>
    </row>
    <row r="795" spans="16:26" ht="10.199999999999999" customHeight="1">
      <c r="P795" s="241"/>
      <c r="Q795" s="241"/>
      <c r="R795" s="241"/>
      <c r="S795" s="241"/>
      <c r="T795" s="241"/>
      <c r="U795" s="241"/>
      <c r="V795" s="241"/>
      <c r="W795" s="241"/>
      <c r="X795" s="241"/>
      <c r="Y795" s="241"/>
      <c r="Z795" s="241"/>
    </row>
    <row r="796" spans="16:26" ht="10.199999999999999" customHeight="1">
      <c r="P796" s="241"/>
      <c r="Q796" s="241"/>
      <c r="R796" s="241"/>
      <c r="S796" s="241"/>
      <c r="T796" s="241"/>
      <c r="U796" s="241"/>
      <c r="V796" s="241"/>
      <c r="W796" s="241"/>
      <c r="X796" s="241"/>
      <c r="Y796" s="241"/>
      <c r="Z796" s="241"/>
    </row>
    <row r="797" spans="16:26" ht="10.199999999999999" customHeight="1">
      <c r="P797" s="241"/>
      <c r="Q797" s="241"/>
      <c r="R797" s="241"/>
      <c r="S797" s="241"/>
      <c r="T797" s="241"/>
      <c r="U797" s="241"/>
      <c r="V797" s="241"/>
      <c r="W797" s="241"/>
      <c r="X797" s="241"/>
      <c r="Y797" s="241"/>
      <c r="Z797" s="241"/>
    </row>
    <row r="798" spans="16:26" ht="10.199999999999999" customHeight="1">
      <c r="P798" s="241"/>
      <c r="Q798" s="241"/>
      <c r="R798" s="241"/>
      <c r="S798" s="241"/>
      <c r="T798" s="241"/>
      <c r="U798" s="241"/>
      <c r="V798" s="241"/>
      <c r="W798" s="241"/>
      <c r="X798" s="241"/>
      <c r="Y798" s="241"/>
      <c r="Z798" s="241"/>
    </row>
    <row r="799" spans="16:26" ht="10.199999999999999" customHeight="1">
      <c r="P799" s="241"/>
      <c r="Q799" s="241"/>
      <c r="R799" s="241"/>
      <c r="S799" s="241"/>
      <c r="T799" s="241"/>
      <c r="U799" s="241"/>
      <c r="V799" s="241"/>
      <c r="W799" s="241"/>
      <c r="X799" s="241"/>
      <c r="Y799" s="241"/>
      <c r="Z799" s="241"/>
    </row>
    <row r="800" spans="16:26" ht="10.199999999999999" customHeight="1">
      <c r="P800" s="241"/>
      <c r="Q800" s="241"/>
      <c r="R800" s="241"/>
      <c r="S800" s="241"/>
      <c r="T800" s="241"/>
      <c r="U800" s="241"/>
      <c r="V800" s="241"/>
      <c r="W800" s="241"/>
      <c r="X800" s="241"/>
      <c r="Y800" s="241"/>
      <c r="Z800" s="241"/>
    </row>
    <row r="801" spans="16:26" ht="10.199999999999999" customHeight="1">
      <c r="P801" s="241"/>
      <c r="Q801" s="241"/>
      <c r="R801" s="241"/>
      <c r="S801" s="241"/>
      <c r="T801" s="241"/>
      <c r="U801" s="241"/>
      <c r="V801" s="241"/>
      <c r="W801" s="241"/>
      <c r="X801" s="241"/>
      <c r="Y801" s="241"/>
      <c r="Z801" s="241"/>
    </row>
    <row r="802" spans="16:26" ht="10.199999999999999" customHeight="1">
      <c r="P802" s="241"/>
      <c r="Q802" s="241"/>
      <c r="R802" s="241"/>
      <c r="S802" s="241"/>
      <c r="T802" s="241"/>
      <c r="U802" s="241"/>
      <c r="V802" s="241"/>
      <c r="W802" s="241"/>
      <c r="X802" s="241"/>
      <c r="Y802" s="241"/>
      <c r="Z802" s="241"/>
    </row>
    <row r="803" spans="16:26" ht="10.199999999999999" customHeight="1">
      <c r="P803" s="241"/>
      <c r="Q803" s="241"/>
      <c r="R803" s="241"/>
      <c r="S803" s="241"/>
      <c r="T803" s="241"/>
      <c r="U803" s="241"/>
      <c r="V803" s="241"/>
      <c r="W803" s="241"/>
      <c r="X803" s="241"/>
      <c r="Y803" s="241"/>
      <c r="Z803" s="241"/>
    </row>
    <row r="804" spans="16:26" ht="10.199999999999999" customHeight="1">
      <c r="P804" s="241"/>
      <c r="Q804" s="241"/>
      <c r="R804" s="241"/>
      <c r="S804" s="241"/>
      <c r="T804" s="241"/>
      <c r="U804" s="241"/>
      <c r="V804" s="241"/>
      <c r="W804" s="241"/>
      <c r="X804" s="241"/>
      <c r="Y804" s="241"/>
      <c r="Z804" s="241"/>
    </row>
    <row r="805" spans="16:26" ht="10.199999999999999" customHeight="1">
      <c r="P805" s="241"/>
      <c r="Q805" s="241"/>
      <c r="R805" s="241"/>
      <c r="S805" s="241"/>
      <c r="T805" s="241"/>
      <c r="U805" s="241"/>
      <c r="V805" s="241"/>
      <c r="W805" s="241"/>
      <c r="X805" s="241"/>
      <c r="Y805" s="241"/>
      <c r="Z805" s="241"/>
    </row>
    <row r="806" spans="16:26" ht="10.199999999999999" customHeight="1">
      <c r="P806" s="241"/>
      <c r="Q806" s="241"/>
      <c r="R806" s="241"/>
      <c r="S806" s="241"/>
      <c r="T806" s="241"/>
      <c r="U806" s="241"/>
      <c r="V806" s="241"/>
      <c r="W806" s="241"/>
      <c r="X806" s="241"/>
      <c r="Y806" s="241"/>
      <c r="Z806" s="241"/>
    </row>
    <row r="807" spans="16:26" ht="10.199999999999999" customHeight="1">
      <c r="P807" s="241"/>
      <c r="Q807" s="241"/>
      <c r="R807" s="241"/>
      <c r="S807" s="241"/>
      <c r="T807" s="241"/>
      <c r="U807" s="241"/>
      <c r="V807" s="241"/>
      <c r="W807" s="241"/>
      <c r="X807" s="241"/>
      <c r="Y807" s="241"/>
      <c r="Z807" s="241"/>
    </row>
    <row r="808" spans="16:26" ht="10.199999999999999" customHeight="1">
      <c r="P808" s="241"/>
      <c r="Q808" s="241"/>
      <c r="R808" s="241"/>
      <c r="S808" s="241"/>
      <c r="T808" s="241"/>
      <c r="U808" s="241"/>
      <c r="V808" s="241"/>
      <c r="W808" s="241"/>
      <c r="X808" s="241"/>
      <c r="Y808" s="241"/>
      <c r="Z808" s="241"/>
    </row>
    <row r="809" spans="16:26" ht="10.199999999999999" customHeight="1">
      <c r="P809" s="241"/>
      <c r="Q809" s="241"/>
      <c r="R809" s="241"/>
      <c r="S809" s="241"/>
      <c r="T809" s="241"/>
      <c r="U809" s="241"/>
      <c r="V809" s="241"/>
      <c r="W809" s="241"/>
      <c r="X809" s="241"/>
      <c r="Y809" s="241"/>
      <c r="Z809" s="241"/>
    </row>
    <row r="810" spans="16:26" ht="10.199999999999999" customHeight="1">
      <c r="P810" s="241"/>
      <c r="Q810" s="241"/>
      <c r="R810" s="241"/>
      <c r="S810" s="241"/>
      <c r="T810" s="241"/>
      <c r="U810" s="241"/>
      <c r="V810" s="241"/>
      <c r="W810" s="241"/>
      <c r="X810" s="241"/>
      <c r="Y810" s="241"/>
      <c r="Z810" s="241"/>
    </row>
    <row r="811" spans="16:26" ht="10.199999999999999" customHeight="1">
      <c r="P811" s="241"/>
      <c r="Q811" s="241"/>
      <c r="R811" s="241"/>
      <c r="S811" s="241"/>
      <c r="T811" s="241"/>
      <c r="U811" s="241"/>
      <c r="V811" s="241"/>
      <c r="W811" s="241"/>
      <c r="X811" s="241"/>
      <c r="Y811" s="241"/>
      <c r="Z811" s="241"/>
    </row>
    <row r="812" spans="16:26" ht="10.199999999999999" customHeight="1">
      <c r="P812" s="241"/>
      <c r="Q812" s="241"/>
      <c r="R812" s="241"/>
      <c r="S812" s="241"/>
      <c r="T812" s="241"/>
      <c r="U812" s="241"/>
      <c r="V812" s="241"/>
      <c r="W812" s="241"/>
      <c r="X812" s="241"/>
      <c r="Y812" s="241"/>
      <c r="Z812" s="241"/>
    </row>
    <row r="813" spans="16:26" ht="10.199999999999999" customHeight="1">
      <c r="P813" s="241"/>
      <c r="Q813" s="241"/>
      <c r="R813" s="241"/>
      <c r="S813" s="241"/>
      <c r="T813" s="241"/>
      <c r="U813" s="241"/>
      <c r="V813" s="241"/>
      <c r="W813" s="241"/>
      <c r="X813" s="241"/>
      <c r="Y813" s="241"/>
      <c r="Z813" s="241"/>
    </row>
    <row r="814" spans="16:26" ht="10.199999999999999" customHeight="1">
      <c r="P814" s="241"/>
      <c r="Q814" s="241"/>
      <c r="R814" s="241"/>
      <c r="S814" s="241"/>
      <c r="T814" s="241"/>
      <c r="U814" s="241"/>
      <c r="V814" s="241"/>
      <c r="W814" s="241"/>
      <c r="X814" s="241"/>
      <c r="Y814" s="241"/>
      <c r="Z814" s="241"/>
    </row>
    <row r="815" spans="16:26" ht="10.199999999999999" customHeight="1">
      <c r="P815" s="241"/>
      <c r="Q815" s="241"/>
      <c r="R815" s="241"/>
      <c r="S815" s="241"/>
      <c r="T815" s="241"/>
      <c r="U815" s="241"/>
      <c r="V815" s="241"/>
      <c r="W815" s="241"/>
      <c r="X815" s="241"/>
      <c r="Y815" s="241"/>
      <c r="Z815" s="241"/>
    </row>
    <row r="816" spans="16:26" ht="10.199999999999999" customHeight="1">
      <c r="P816" s="241"/>
      <c r="Q816" s="241"/>
      <c r="R816" s="241"/>
      <c r="S816" s="241"/>
      <c r="T816" s="241"/>
      <c r="U816" s="241"/>
      <c r="V816" s="241"/>
      <c r="W816" s="241"/>
      <c r="X816" s="241"/>
      <c r="Y816" s="241"/>
      <c r="Z816" s="241"/>
    </row>
    <row r="817" spans="16:26" ht="10.199999999999999" customHeight="1">
      <c r="P817" s="241"/>
      <c r="Q817" s="241"/>
      <c r="R817" s="241"/>
      <c r="S817" s="241"/>
      <c r="T817" s="241"/>
      <c r="U817" s="241"/>
      <c r="V817" s="241"/>
      <c r="W817" s="241"/>
      <c r="X817" s="241"/>
      <c r="Y817" s="241"/>
      <c r="Z817" s="241"/>
    </row>
    <row r="818" spans="16:26" ht="10.199999999999999" customHeight="1">
      <c r="P818" s="241"/>
      <c r="Q818" s="241"/>
      <c r="R818" s="241"/>
      <c r="S818" s="241"/>
      <c r="T818" s="241"/>
      <c r="U818" s="241"/>
      <c r="V818" s="241"/>
      <c r="W818" s="241"/>
      <c r="X818" s="241"/>
      <c r="Y818" s="241"/>
      <c r="Z818" s="241"/>
    </row>
    <row r="819" spans="16:26" ht="10.199999999999999" customHeight="1">
      <c r="P819" s="241"/>
      <c r="Q819" s="241"/>
      <c r="R819" s="241"/>
      <c r="S819" s="241"/>
      <c r="T819" s="241"/>
      <c r="U819" s="241"/>
      <c r="V819" s="241"/>
      <c r="W819" s="241"/>
      <c r="X819" s="241"/>
      <c r="Y819" s="241"/>
      <c r="Z819" s="241"/>
    </row>
    <row r="820" spans="16:26" ht="10.199999999999999" customHeight="1">
      <c r="P820" s="241"/>
      <c r="Q820" s="241"/>
      <c r="R820" s="241"/>
      <c r="S820" s="241"/>
      <c r="T820" s="241"/>
      <c r="U820" s="241"/>
      <c r="V820" s="241"/>
      <c r="W820" s="241"/>
      <c r="X820" s="241"/>
      <c r="Y820" s="241"/>
      <c r="Z820" s="241"/>
    </row>
    <row r="821" spans="16:26" ht="10.199999999999999" customHeight="1">
      <c r="P821" s="241"/>
      <c r="Q821" s="241"/>
      <c r="R821" s="241"/>
      <c r="S821" s="241"/>
      <c r="T821" s="241"/>
      <c r="U821" s="241"/>
      <c r="V821" s="241"/>
      <c r="W821" s="241"/>
      <c r="X821" s="241"/>
      <c r="Y821" s="241"/>
      <c r="Z821" s="241"/>
    </row>
    <row r="822" spans="16:26" ht="10.199999999999999" customHeight="1">
      <c r="P822" s="241"/>
      <c r="Q822" s="241"/>
      <c r="R822" s="241"/>
      <c r="S822" s="241"/>
      <c r="T822" s="241"/>
      <c r="U822" s="241"/>
      <c r="V822" s="241"/>
      <c r="W822" s="241"/>
      <c r="X822" s="241"/>
      <c r="Y822" s="241"/>
      <c r="Z822" s="241"/>
    </row>
    <row r="823" spans="16:26" ht="10.199999999999999" customHeight="1">
      <c r="P823" s="241"/>
      <c r="Q823" s="241"/>
      <c r="R823" s="241"/>
      <c r="S823" s="241"/>
      <c r="T823" s="241"/>
      <c r="U823" s="241"/>
      <c r="V823" s="241"/>
      <c r="W823" s="241"/>
      <c r="X823" s="241"/>
      <c r="Y823" s="241"/>
      <c r="Z823" s="241"/>
    </row>
    <row r="824" spans="16:26" ht="10.199999999999999" customHeight="1">
      <c r="P824" s="241"/>
      <c r="Q824" s="241"/>
      <c r="R824" s="241"/>
      <c r="S824" s="241"/>
      <c r="T824" s="241"/>
      <c r="U824" s="241"/>
      <c r="V824" s="241"/>
      <c r="W824" s="241"/>
      <c r="X824" s="241"/>
      <c r="Y824" s="241"/>
      <c r="Z824" s="241"/>
    </row>
    <row r="825" spans="16:26" ht="10.199999999999999" customHeight="1">
      <c r="P825" s="241"/>
      <c r="Q825" s="241"/>
      <c r="R825" s="241"/>
      <c r="S825" s="241"/>
      <c r="T825" s="241"/>
      <c r="U825" s="241"/>
      <c r="V825" s="241"/>
      <c r="W825" s="241"/>
      <c r="X825" s="241"/>
      <c r="Y825" s="241"/>
      <c r="Z825" s="241"/>
    </row>
    <row r="826" spans="16:26" ht="10.199999999999999" customHeight="1">
      <c r="P826" s="241"/>
      <c r="Q826" s="241"/>
      <c r="R826" s="241"/>
      <c r="S826" s="241"/>
      <c r="T826" s="241"/>
      <c r="U826" s="241"/>
      <c r="V826" s="241"/>
      <c r="W826" s="241"/>
      <c r="X826" s="241"/>
      <c r="Y826" s="241"/>
      <c r="Z826" s="241"/>
    </row>
    <row r="827" spans="16:26" ht="10.199999999999999" customHeight="1">
      <c r="P827" s="241"/>
      <c r="Q827" s="241"/>
      <c r="R827" s="241"/>
      <c r="S827" s="241"/>
      <c r="T827" s="241"/>
      <c r="U827" s="241"/>
      <c r="V827" s="241"/>
      <c r="W827" s="241"/>
      <c r="X827" s="241"/>
      <c r="Y827" s="241"/>
      <c r="Z827" s="241"/>
    </row>
    <row r="828" spans="16:26" ht="10.199999999999999" customHeight="1">
      <c r="P828" s="241"/>
      <c r="Q828" s="241"/>
      <c r="R828" s="241"/>
      <c r="S828" s="241"/>
      <c r="T828" s="241"/>
      <c r="U828" s="241"/>
      <c r="V828" s="241"/>
      <c r="W828" s="241"/>
      <c r="X828" s="241"/>
      <c r="Y828" s="241"/>
      <c r="Z828" s="241"/>
    </row>
    <row r="829" spans="16:26" ht="10.199999999999999" customHeight="1">
      <c r="P829" s="241"/>
      <c r="Q829" s="241"/>
      <c r="R829" s="241"/>
      <c r="S829" s="241"/>
      <c r="T829" s="241"/>
      <c r="U829" s="241"/>
      <c r="V829" s="241"/>
      <c r="W829" s="241"/>
      <c r="X829" s="241"/>
      <c r="Y829" s="241"/>
      <c r="Z829" s="241"/>
    </row>
    <row r="830" spans="16:26" ht="10.199999999999999" customHeight="1">
      <c r="P830" s="241"/>
      <c r="Q830" s="241"/>
      <c r="R830" s="241"/>
      <c r="S830" s="241"/>
      <c r="T830" s="241"/>
      <c r="U830" s="241"/>
      <c r="V830" s="241"/>
      <c r="W830" s="241"/>
      <c r="X830" s="241"/>
      <c r="Y830" s="241"/>
      <c r="Z830" s="241"/>
    </row>
    <row r="831" spans="16:26" ht="10.199999999999999" customHeight="1">
      <c r="P831" s="241"/>
      <c r="Q831" s="241"/>
      <c r="R831" s="241"/>
      <c r="S831" s="241"/>
      <c r="T831" s="241"/>
      <c r="U831" s="241"/>
      <c r="V831" s="241"/>
      <c r="W831" s="241"/>
      <c r="X831" s="241"/>
      <c r="Y831" s="241"/>
      <c r="Z831" s="241"/>
    </row>
    <row r="832" spans="16:26" ht="10.199999999999999" customHeight="1">
      <c r="P832" s="241"/>
      <c r="Q832" s="241"/>
      <c r="R832" s="241"/>
      <c r="S832" s="241"/>
      <c r="T832" s="241"/>
      <c r="U832" s="241"/>
      <c r="V832" s="241"/>
      <c r="W832" s="241"/>
      <c r="X832" s="241"/>
      <c r="Y832" s="241"/>
      <c r="Z832" s="241"/>
    </row>
    <row r="833" spans="16:26" ht="10.199999999999999" customHeight="1">
      <c r="P833" s="241"/>
      <c r="Q833" s="241"/>
      <c r="R833" s="241"/>
      <c r="S833" s="241"/>
      <c r="T833" s="241"/>
      <c r="U833" s="241"/>
      <c r="V833" s="241"/>
      <c r="W833" s="241"/>
      <c r="X833" s="241"/>
      <c r="Y833" s="241"/>
      <c r="Z833" s="241"/>
    </row>
    <row r="834" spans="16:26" ht="10.199999999999999" customHeight="1">
      <c r="P834" s="241"/>
      <c r="Q834" s="241"/>
      <c r="R834" s="241"/>
      <c r="S834" s="241"/>
      <c r="T834" s="241"/>
      <c r="U834" s="241"/>
      <c r="V834" s="241"/>
      <c r="W834" s="241"/>
      <c r="X834" s="241"/>
      <c r="Y834" s="241"/>
      <c r="Z834" s="241"/>
    </row>
    <row r="835" spans="16:26" ht="10.199999999999999" customHeight="1">
      <c r="P835" s="241"/>
      <c r="Q835" s="241"/>
      <c r="R835" s="241"/>
      <c r="S835" s="241"/>
      <c r="T835" s="241"/>
      <c r="U835" s="241"/>
      <c r="V835" s="241"/>
      <c r="W835" s="241"/>
      <c r="X835" s="241"/>
      <c r="Y835" s="241"/>
      <c r="Z835" s="241"/>
    </row>
    <row r="836" spans="16:26" ht="10.199999999999999" customHeight="1">
      <c r="P836" s="241"/>
      <c r="Q836" s="241"/>
      <c r="R836" s="241"/>
      <c r="S836" s="241"/>
      <c r="T836" s="241"/>
      <c r="U836" s="241"/>
      <c r="V836" s="241"/>
      <c r="W836" s="241"/>
      <c r="X836" s="241"/>
      <c r="Y836" s="241"/>
      <c r="Z836" s="241"/>
    </row>
    <row r="837" spans="16:26" ht="10.199999999999999" customHeight="1">
      <c r="P837" s="241"/>
      <c r="Q837" s="241"/>
      <c r="R837" s="241"/>
      <c r="S837" s="241"/>
      <c r="T837" s="241"/>
      <c r="U837" s="241"/>
      <c r="V837" s="241"/>
      <c r="W837" s="241"/>
      <c r="X837" s="241"/>
      <c r="Y837" s="241"/>
      <c r="Z837" s="241"/>
    </row>
    <row r="838" spans="16:26" ht="10.199999999999999" customHeight="1">
      <c r="P838" s="241"/>
      <c r="Q838" s="241"/>
      <c r="R838" s="241"/>
      <c r="S838" s="241"/>
      <c r="T838" s="241"/>
      <c r="U838" s="241"/>
      <c r="V838" s="241"/>
      <c r="W838" s="241"/>
      <c r="X838" s="241"/>
      <c r="Y838" s="241"/>
      <c r="Z838" s="241"/>
    </row>
    <row r="839" spans="16:26" ht="10.199999999999999" customHeight="1">
      <c r="P839" s="241"/>
      <c r="Q839" s="241"/>
      <c r="R839" s="241"/>
      <c r="S839" s="241"/>
      <c r="T839" s="241"/>
      <c r="U839" s="241"/>
      <c r="V839" s="241"/>
      <c r="W839" s="241"/>
      <c r="X839" s="241"/>
      <c r="Y839" s="241"/>
      <c r="Z839" s="241"/>
    </row>
    <row r="840" spans="16:26" ht="10.199999999999999" customHeight="1">
      <c r="P840" s="241"/>
      <c r="Q840" s="241"/>
      <c r="R840" s="241"/>
      <c r="S840" s="241"/>
      <c r="T840" s="241"/>
      <c r="U840" s="241"/>
      <c r="V840" s="241"/>
      <c r="W840" s="241"/>
      <c r="X840" s="241"/>
      <c r="Y840" s="241"/>
      <c r="Z840" s="241"/>
    </row>
    <row r="841" spans="16:26" ht="10.199999999999999" customHeight="1">
      <c r="P841" s="241"/>
      <c r="Q841" s="241"/>
      <c r="R841" s="241"/>
      <c r="S841" s="241"/>
      <c r="T841" s="241"/>
      <c r="U841" s="241"/>
      <c r="V841" s="241"/>
      <c r="W841" s="241"/>
      <c r="X841" s="241"/>
      <c r="Y841" s="241"/>
      <c r="Z841" s="241"/>
    </row>
    <row r="842" spans="16:26" ht="10.199999999999999" customHeight="1">
      <c r="P842" s="241"/>
      <c r="Q842" s="241"/>
      <c r="R842" s="241"/>
      <c r="S842" s="241"/>
      <c r="T842" s="241"/>
      <c r="U842" s="241"/>
      <c r="V842" s="241"/>
      <c r="W842" s="241"/>
      <c r="X842" s="241"/>
      <c r="Y842" s="241"/>
      <c r="Z842" s="241"/>
    </row>
    <row r="843" spans="16:26" ht="10.199999999999999" customHeight="1">
      <c r="P843" s="241"/>
      <c r="Q843" s="241"/>
      <c r="R843" s="241"/>
      <c r="S843" s="241"/>
      <c r="T843" s="241"/>
      <c r="U843" s="241"/>
      <c r="V843" s="241"/>
      <c r="W843" s="241"/>
      <c r="X843" s="241"/>
      <c r="Y843" s="241"/>
      <c r="Z843" s="241"/>
    </row>
    <row r="844" spans="16:26" ht="10.199999999999999" customHeight="1">
      <c r="P844" s="241"/>
      <c r="Q844" s="241"/>
      <c r="R844" s="241"/>
      <c r="S844" s="241"/>
      <c r="T844" s="241"/>
      <c r="U844" s="241"/>
      <c r="V844" s="241"/>
      <c r="W844" s="241"/>
      <c r="X844" s="241"/>
      <c r="Y844" s="241"/>
      <c r="Z844" s="241"/>
    </row>
    <row r="845" spans="16:26" ht="10.199999999999999" customHeight="1">
      <c r="P845" s="241"/>
      <c r="Q845" s="241"/>
      <c r="R845" s="241"/>
      <c r="S845" s="241"/>
      <c r="T845" s="241"/>
      <c r="U845" s="241"/>
      <c r="V845" s="241"/>
      <c r="W845" s="241"/>
      <c r="X845" s="241"/>
      <c r="Y845" s="241"/>
      <c r="Z845" s="241"/>
    </row>
    <row r="846" spans="16:26" ht="10.199999999999999" customHeight="1">
      <c r="P846" s="241"/>
      <c r="Q846" s="241"/>
      <c r="R846" s="241"/>
      <c r="S846" s="241"/>
      <c r="T846" s="241"/>
      <c r="U846" s="241"/>
      <c r="V846" s="241"/>
      <c r="W846" s="241"/>
      <c r="X846" s="241"/>
      <c r="Y846" s="241"/>
      <c r="Z846" s="241"/>
    </row>
    <row r="847" spans="16:26" ht="10.199999999999999" customHeight="1">
      <c r="P847" s="241"/>
      <c r="Q847" s="241"/>
      <c r="R847" s="241"/>
      <c r="S847" s="241"/>
      <c r="T847" s="241"/>
      <c r="U847" s="241"/>
      <c r="V847" s="241"/>
      <c r="W847" s="241"/>
      <c r="X847" s="241"/>
      <c r="Y847" s="241"/>
      <c r="Z847" s="241"/>
    </row>
    <row r="848" spans="16:26" ht="10.199999999999999" customHeight="1">
      <c r="P848" s="241"/>
      <c r="Q848" s="241"/>
      <c r="R848" s="241"/>
      <c r="S848" s="241"/>
      <c r="T848" s="241"/>
      <c r="U848" s="241"/>
      <c r="V848" s="241"/>
      <c r="W848" s="241"/>
      <c r="X848" s="241"/>
      <c r="Y848" s="241"/>
      <c r="Z848" s="241"/>
    </row>
    <row r="849" spans="16:26" ht="10.199999999999999" customHeight="1">
      <c r="P849" s="241"/>
      <c r="Q849" s="241"/>
      <c r="R849" s="241"/>
      <c r="S849" s="241"/>
      <c r="T849" s="241"/>
      <c r="U849" s="241"/>
      <c r="V849" s="241"/>
      <c r="W849" s="241"/>
      <c r="X849" s="241"/>
      <c r="Y849" s="241"/>
      <c r="Z849" s="241"/>
    </row>
    <row r="850" spans="16:26" ht="10.199999999999999" customHeight="1">
      <c r="P850" s="241"/>
      <c r="Q850" s="241"/>
      <c r="R850" s="241"/>
      <c r="S850" s="241"/>
      <c r="T850" s="241"/>
      <c r="U850" s="241"/>
      <c r="V850" s="241"/>
      <c r="W850" s="241"/>
      <c r="X850" s="241"/>
      <c r="Y850" s="241"/>
      <c r="Z850" s="241"/>
    </row>
    <row r="851" spans="16:26" ht="10.199999999999999" customHeight="1">
      <c r="P851" s="241"/>
      <c r="Q851" s="241"/>
      <c r="R851" s="241"/>
      <c r="S851" s="241"/>
      <c r="T851" s="241"/>
      <c r="U851" s="241"/>
      <c r="V851" s="241"/>
      <c r="W851" s="241"/>
      <c r="X851" s="241"/>
      <c r="Y851" s="241"/>
      <c r="Z851" s="241"/>
    </row>
    <row r="852" spans="16:26" ht="10.199999999999999" customHeight="1">
      <c r="P852" s="241"/>
      <c r="Q852" s="241"/>
      <c r="R852" s="241"/>
      <c r="S852" s="241"/>
      <c r="T852" s="241"/>
      <c r="U852" s="241"/>
      <c r="V852" s="241"/>
      <c r="W852" s="241"/>
      <c r="X852" s="241"/>
      <c r="Y852" s="241"/>
      <c r="Z852" s="241"/>
    </row>
    <row r="853" spans="16:26" ht="10.199999999999999" customHeight="1">
      <c r="P853" s="241"/>
      <c r="Q853" s="241"/>
      <c r="R853" s="241"/>
      <c r="S853" s="241"/>
      <c r="T853" s="241"/>
      <c r="U853" s="241"/>
      <c r="V853" s="241"/>
      <c r="W853" s="241"/>
      <c r="X853" s="241"/>
      <c r="Y853" s="241"/>
      <c r="Z853" s="241"/>
    </row>
    <row r="854" spans="16:26" ht="10.199999999999999" customHeight="1">
      <c r="P854" s="241"/>
      <c r="Q854" s="241"/>
      <c r="R854" s="241"/>
      <c r="S854" s="241"/>
      <c r="T854" s="241"/>
      <c r="U854" s="241"/>
      <c r="V854" s="241"/>
      <c r="W854" s="241"/>
      <c r="X854" s="241"/>
      <c r="Y854" s="241"/>
      <c r="Z854" s="241"/>
    </row>
    <row r="855" spans="16:26" ht="10.199999999999999" customHeight="1">
      <c r="P855" s="241"/>
      <c r="Q855" s="241"/>
      <c r="R855" s="241"/>
      <c r="S855" s="241"/>
      <c r="T855" s="241"/>
      <c r="U855" s="241"/>
      <c r="V855" s="241"/>
      <c r="W855" s="241"/>
      <c r="X855" s="241"/>
      <c r="Y855" s="241"/>
      <c r="Z855" s="241"/>
    </row>
    <row r="856" spans="16:26" ht="10.199999999999999" customHeight="1">
      <c r="P856" s="241"/>
      <c r="Q856" s="241"/>
      <c r="R856" s="241"/>
      <c r="S856" s="241"/>
      <c r="T856" s="241"/>
      <c r="U856" s="241"/>
      <c r="V856" s="241"/>
      <c r="W856" s="241"/>
      <c r="X856" s="241"/>
      <c r="Y856" s="241"/>
      <c r="Z856" s="241"/>
    </row>
    <row r="857" spans="16:26" ht="10.199999999999999" customHeight="1">
      <c r="P857" s="241"/>
      <c r="Q857" s="241"/>
      <c r="R857" s="241"/>
      <c r="S857" s="241"/>
      <c r="T857" s="241"/>
      <c r="U857" s="241"/>
      <c r="V857" s="241"/>
      <c r="W857" s="241"/>
      <c r="X857" s="241"/>
      <c r="Y857" s="241"/>
      <c r="Z857" s="241"/>
    </row>
    <row r="858" spans="16:26" ht="10.199999999999999" customHeight="1">
      <c r="P858" s="241"/>
      <c r="Q858" s="241"/>
      <c r="R858" s="241"/>
      <c r="S858" s="241"/>
      <c r="T858" s="241"/>
      <c r="U858" s="241"/>
      <c r="V858" s="241"/>
      <c r="W858" s="241"/>
      <c r="X858" s="241"/>
      <c r="Y858" s="241"/>
      <c r="Z858" s="241"/>
    </row>
    <row r="859" spans="16:26" ht="10.199999999999999" customHeight="1">
      <c r="P859" s="241"/>
      <c r="Q859" s="241"/>
      <c r="R859" s="241"/>
      <c r="S859" s="241"/>
      <c r="T859" s="241"/>
      <c r="U859" s="241"/>
      <c r="V859" s="241"/>
      <c r="W859" s="241"/>
      <c r="X859" s="241"/>
      <c r="Y859" s="241"/>
      <c r="Z859" s="241"/>
    </row>
    <row r="860" spans="16:26" ht="10.199999999999999" customHeight="1">
      <c r="P860" s="241"/>
      <c r="Q860" s="241"/>
      <c r="R860" s="241"/>
      <c r="S860" s="241"/>
      <c r="T860" s="241"/>
      <c r="U860" s="241"/>
      <c r="V860" s="241"/>
      <c r="W860" s="241"/>
      <c r="X860" s="241"/>
      <c r="Y860" s="241"/>
      <c r="Z860" s="241"/>
    </row>
    <row r="861" spans="16:26" ht="10.199999999999999" customHeight="1">
      <c r="P861" s="241"/>
      <c r="Q861" s="241"/>
      <c r="R861" s="241"/>
      <c r="S861" s="241"/>
      <c r="T861" s="241"/>
      <c r="U861" s="241"/>
      <c r="V861" s="241"/>
      <c r="W861" s="241"/>
      <c r="X861" s="241"/>
      <c r="Y861" s="241"/>
      <c r="Z861" s="241"/>
    </row>
    <row r="862" spans="16:26" ht="10.199999999999999" customHeight="1">
      <c r="P862" s="241"/>
      <c r="Q862" s="241"/>
      <c r="R862" s="241"/>
      <c r="S862" s="241"/>
      <c r="T862" s="241"/>
      <c r="U862" s="241"/>
      <c r="V862" s="241"/>
      <c r="W862" s="241"/>
      <c r="X862" s="241"/>
      <c r="Y862" s="241"/>
      <c r="Z862" s="241"/>
    </row>
    <row r="863" spans="16:26" ht="10.199999999999999" customHeight="1">
      <c r="P863" s="241"/>
      <c r="Q863" s="241"/>
      <c r="R863" s="241"/>
      <c r="S863" s="241"/>
      <c r="T863" s="241"/>
      <c r="U863" s="241"/>
      <c r="V863" s="241"/>
      <c r="W863" s="241"/>
      <c r="X863" s="241"/>
      <c r="Y863" s="241"/>
      <c r="Z863" s="241"/>
    </row>
    <row r="864" spans="16:26" ht="10.199999999999999" customHeight="1">
      <c r="P864" s="241"/>
      <c r="Q864" s="241"/>
      <c r="R864" s="241"/>
      <c r="S864" s="241"/>
      <c r="T864" s="241"/>
      <c r="U864" s="241"/>
      <c r="V864" s="241"/>
      <c r="W864" s="241"/>
      <c r="X864" s="241"/>
      <c r="Y864" s="241"/>
      <c r="Z864" s="241"/>
    </row>
    <row r="865" spans="16:26" ht="10.199999999999999" customHeight="1">
      <c r="P865" s="241"/>
      <c r="Q865" s="241"/>
      <c r="R865" s="241"/>
      <c r="S865" s="241"/>
      <c r="T865" s="241"/>
      <c r="U865" s="241"/>
      <c r="V865" s="241"/>
      <c r="W865" s="241"/>
      <c r="X865" s="241"/>
      <c r="Y865" s="241"/>
      <c r="Z865" s="241"/>
    </row>
    <row r="866" spans="16:26" ht="10.199999999999999" customHeight="1">
      <c r="P866" s="241"/>
      <c r="Q866" s="241"/>
      <c r="R866" s="241"/>
      <c r="S866" s="241"/>
      <c r="T866" s="241"/>
      <c r="U866" s="241"/>
      <c r="V866" s="241"/>
      <c r="W866" s="241"/>
      <c r="X866" s="241"/>
      <c r="Y866" s="241"/>
      <c r="Z866" s="241"/>
    </row>
    <row r="867" spans="16:26" ht="10.199999999999999" customHeight="1">
      <c r="P867" s="241"/>
      <c r="Q867" s="241"/>
      <c r="R867" s="241"/>
      <c r="S867" s="241"/>
      <c r="T867" s="241"/>
      <c r="U867" s="241"/>
      <c r="V867" s="241"/>
      <c r="W867" s="241"/>
      <c r="X867" s="241"/>
      <c r="Y867" s="241"/>
      <c r="Z867" s="241"/>
    </row>
    <row r="868" spans="16:26" ht="10.199999999999999" customHeight="1">
      <c r="P868" s="241"/>
      <c r="Q868" s="241"/>
      <c r="R868" s="241"/>
      <c r="S868" s="241"/>
      <c r="T868" s="241"/>
      <c r="U868" s="241"/>
      <c r="V868" s="241"/>
      <c r="W868" s="241"/>
      <c r="X868" s="241"/>
      <c r="Y868" s="241"/>
      <c r="Z868" s="241"/>
    </row>
    <row r="869" spans="16:26" ht="10.199999999999999" customHeight="1">
      <c r="P869" s="241"/>
      <c r="Q869" s="241"/>
      <c r="R869" s="241"/>
      <c r="S869" s="241"/>
      <c r="T869" s="241"/>
      <c r="U869" s="241"/>
      <c r="V869" s="241"/>
      <c r="W869" s="241"/>
      <c r="X869" s="241"/>
      <c r="Y869" s="241"/>
      <c r="Z869" s="241"/>
    </row>
    <row r="870" spans="16:26" ht="10.199999999999999" customHeight="1">
      <c r="P870" s="241"/>
      <c r="Q870" s="241"/>
      <c r="R870" s="241"/>
      <c r="S870" s="241"/>
      <c r="T870" s="241"/>
      <c r="U870" s="241"/>
      <c r="V870" s="241"/>
      <c r="W870" s="241"/>
      <c r="X870" s="241"/>
      <c r="Y870" s="241"/>
      <c r="Z870" s="241"/>
    </row>
    <row r="871" spans="16:26" ht="10.199999999999999" customHeight="1">
      <c r="P871" s="241"/>
      <c r="Q871" s="241"/>
      <c r="R871" s="241"/>
      <c r="S871" s="241"/>
      <c r="T871" s="241"/>
      <c r="U871" s="241"/>
      <c r="V871" s="241"/>
      <c r="W871" s="241"/>
      <c r="X871" s="241"/>
      <c r="Y871" s="241"/>
      <c r="Z871" s="241"/>
    </row>
    <row r="872" spans="16:26" ht="10.199999999999999" customHeight="1">
      <c r="P872" s="241"/>
      <c r="Q872" s="241"/>
      <c r="R872" s="241"/>
      <c r="S872" s="241"/>
      <c r="T872" s="241"/>
      <c r="U872" s="241"/>
      <c r="V872" s="241"/>
      <c r="W872" s="241"/>
      <c r="X872" s="241"/>
      <c r="Y872" s="241"/>
      <c r="Z872" s="241"/>
    </row>
    <row r="873" spans="16:26" ht="10.199999999999999" customHeight="1">
      <c r="P873" s="241"/>
      <c r="Q873" s="241"/>
      <c r="R873" s="241"/>
      <c r="S873" s="241"/>
      <c r="T873" s="241"/>
      <c r="U873" s="241"/>
      <c r="V873" s="241"/>
      <c r="W873" s="241"/>
      <c r="X873" s="241"/>
      <c r="Y873" s="241"/>
      <c r="Z873" s="241"/>
    </row>
    <row r="874" spans="16:26" ht="10.199999999999999" customHeight="1">
      <c r="P874" s="241"/>
      <c r="Q874" s="241"/>
      <c r="R874" s="241"/>
      <c r="S874" s="241"/>
      <c r="T874" s="241"/>
      <c r="U874" s="241"/>
      <c r="V874" s="241"/>
      <c r="W874" s="241"/>
      <c r="X874" s="241"/>
      <c r="Y874" s="241"/>
      <c r="Z874" s="241"/>
    </row>
    <row r="875" spans="16:26" ht="10.199999999999999" customHeight="1">
      <c r="P875" s="241"/>
      <c r="Q875" s="241"/>
      <c r="R875" s="241"/>
      <c r="S875" s="241"/>
      <c r="T875" s="241"/>
      <c r="U875" s="241"/>
      <c r="V875" s="241"/>
      <c r="W875" s="241"/>
      <c r="X875" s="241"/>
      <c r="Y875" s="241"/>
      <c r="Z875" s="241"/>
    </row>
    <row r="876" spans="16:26" ht="10.199999999999999" customHeight="1">
      <c r="P876" s="241"/>
      <c r="Q876" s="241"/>
      <c r="R876" s="241"/>
      <c r="S876" s="241"/>
      <c r="T876" s="241"/>
      <c r="U876" s="241"/>
      <c r="V876" s="241"/>
      <c r="W876" s="241"/>
      <c r="X876" s="241"/>
      <c r="Y876" s="241"/>
      <c r="Z876" s="241"/>
    </row>
    <row r="877" spans="16:26" ht="10.199999999999999" customHeight="1">
      <c r="P877" s="241"/>
      <c r="Q877" s="241"/>
      <c r="R877" s="241"/>
      <c r="S877" s="241"/>
      <c r="T877" s="241"/>
      <c r="U877" s="241"/>
      <c r="V877" s="241"/>
      <c r="W877" s="241"/>
      <c r="X877" s="241"/>
      <c r="Y877" s="241"/>
      <c r="Z877" s="241"/>
    </row>
    <row r="878" spans="16:26" ht="10.199999999999999" customHeight="1">
      <c r="P878" s="241"/>
      <c r="Q878" s="241"/>
      <c r="R878" s="241"/>
      <c r="S878" s="241"/>
      <c r="T878" s="241"/>
      <c r="U878" s="241"/>
      <c r="V878" s="241"/>
      <c r="W878" s="241"/>
      <c r="X878" s="241"/>
      <c r="Y878" s="241"/>
      <c r="Z878" s="241"/>
    </row>
    <row r="879" spans="16:26" ht="10.199999999999999" customHeight="1">
      <c r="P879" s="241"/>
      <c r="Q879" s="241"/>
      <c r="R879" s="241"/>
      <c r="S879" s="241"/>
      <c r="T879" s="241"/>
      <c r="U879" s="241"/>
      <c r="V879" s="241"/>
      <c r="W879" s="241"/>
      <c r="X879" s="241"/>
      <c r="Y879" s="241"/>
      <c r="Z879" s="241"/>
    </row>
    <row r="880" spans="16:26" ht="10.199999999999999" customHeight="1">
      <c r="P880" s="241"/>
      <c r="Q880" s="241"/>
      <c r="R880" s="241"/>
      <c r="S880" s="241"/>
      <c r="T880" s="241"/>
      <c r="U880" s="241"/>
      <c r="V880" s="241"/>
      <c r="W880" s="241"/>
      <c r="X880" s="241"/>
      <c r="Y880" s="241"/>
      <c r="Z880" s="241"/>
    </row>
    <row r="881" spans="16:26" ht="10.199999999999999" customHeight="1">
      <c r="P881" s="241"/>
      <c r="Q881" s="241"/>
      <c r="R881" s="241"/>
      <c r="S881" s="241"/>
      <c r="T881" s="241"/>
      <c r="U881" s="241"/>
      <c r="V881" s="241"/>
      <c r="W881" s="241"/>
      <c r="X881" s="241"/>
      <c r="Y881" s="241"/>
      <c r="Z881" s="241"/>
    </row>
    <row r="882" spans="16:26" ht="10.199999999999999" customHeight="1">
      <c r="P882" s="241"/>
      <c r="Q882" s="241"/>
      <c r="R882" s="241"/>
      <c r="S882" s="241"/>
      <c r="T882" s="241"/>
      <c r="U882" s="241"/>
      <c r="V882" s="241"/>
      <c r="W882" s="241"/>
      <c r="X882" s="241"/>
      <c r="Y882" s="241"/>
      <c r="Z882" s="241"/>
    </row>
    <row r="883" spans="16:26" ht="10.199999999999999" customHeight="1">
      <c r="P883" s="241"/>
      <c r="Q883" s="241"/>
      <c r="R883" s="241"/>
      <c r="S883" s="241"/>
      <c r="T883" s="241"/>
      <c r="U883" s="241"/>
      <c r="V883" s="241"/>
      <c r="W883" s="241"/>
      <c r="X883" s="241"/>
      <c r="Y883" s="241"/>
      <c r="Z883" s="241"/>
    </row>
    <row r="884" spans="16:26" ht="10.199999999999999" customHeight="1">
      <c r="P884" s="241"/>
      <c r="Q884" s="241"/>
      <c r="R884" s="241"/>
      <c r="S884" s="241"/>
      <c r="T884" s="241"/>
      <c r="U884" s="241"/>
      <c r="V884" s="241"/>
      <c r="W884" s="241"/>
      <c r="X884" s="241"/>
      <c r="Y884" s="241"/>
      <c r="Z884" s="241"/>
    </row>
  </sheetData>
  <sheetProtection password="8C51" sheet="1" objects="1" scenarios="1" selectLockedCells="1"/>
  <pageMargins left="0.75" right="0.75" top="1" bottom="1" header="0.5" footer="0.5"/>
  <pageSetup orientation="portrait" horizontalDpi="1200" verticalDpi="1200"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Z884"/>
  <sheetViews>
    <sheetView zoomScaleNormal="100" workbookViewId="0">
      <selection activeCell="P1" sqref="P1"/>
    </sheetView>
  </sheetViews>
  <sheetFormatPr defaultColWidth="8.88671875" defaultRowHeight="10.199999999999999"/>
  <cols>
    <col min="1" max="15" width="8.88671875" style="57"/>
    <col min="16" max="26" width="8.88671875" style="243"/>
    <col min="27" max="16384" width="8.88671875" style="57"/>
  </cols>
  <sheetData>
    <row r="1" spans="2:26">
      <c r="B1" s="57" t="s">
        <v>46</v>
      </c>
      <c r="C1" s="57" t="s">
        <v>47</v>
      </c>
      <c r="D1" s="57" t="s">
        <v>48</v>
      </c>
      <c r="E1" s="57" t="s">
        <v>49</v>
      </c>
      <c r="F1" s="57" t="s">
        <v>50</v>
      </c>
      <c r="G1" s="57" t="s">
        <v>51</v>
      </c>
      <c r="H1" s="57" t="s">
        <v>52</v>
      </c>
      <c r="I1" s="57" t="s">
        <v>53</v>
      </c>
      <c r="J1" s="57" t="s">
        <v>54</v>
      </c>
      <c r="P1" s="248"/>
      <c r="Q1" s="248"/>
      <c r="R1" s="248"/>
      <c r="S1" s="248"/>
      <c r="T1" s="248"/>
      <c r="U1" s="248"/>
      <c r="V1" s="248"/>
      <c r="W1" s="248"/>
      <c r="X1" s="248"/>
      <c r="Y1" s="248"/>
      <c r="Z1" s="248"/>
    </row>
    <row r="2" spans="2:26">
      <c r="B2" s="57" t="s">
        <v>55</v>
      </c>
      <c r="C2" s="57" t="s">
        <v>56</v>
      </c>
      <c r="D2" s="57" t="s">
        <v>56</v>
      </c>
      <c r="E2" s="57" t="s">
        <v>57</v>
      </c>
      <c r="F2" s="57" t="s">
        <v>57</v>
      </c>
      <c r="G2" s="57" t="s">
        <v>58</v>
      </c>
      <c r="H2" s="57" t="s">
        <v>59</v>
      </c>
      <c r="I2" s="57" t="s">
        <v>60</v>
      </c>
      <c r="J2" s="57" t="s">
        <v>61</v>
      </c>
      <c r="K2" s="57" t="s">
        <v>62</v>
      </c>
      <c r="L2" s="57" t="s">
        <v>63</v>
      </c>
      <c r="P2" s="248"/>
      <c r="Q2" s="248"/>
      <c r="R2" s="248"/>
      <c r="S2" s="248"/>
      <c r="T2" s="248"/>
      <c r="U2" s="248"/>
      <c r="V2" s="248"/>
      <c r="W2" s="248"/>
      <c r="X2" s="248"/>
      <c r="Y2" s="248"/>
      <c r="Z2" s="248"/>
    </row>
    <row r="3" spans="2:26">
      <c r="P3" s="248"/>
      <c r="Q3" s="248"/>
      <c r="R3" s="248"/>
      <c r="S3" s="248"/>
      <c r="T3" s="248"/>
      <c r="U3" s="248"/>
      <c r="V3" s="248"/>
      <c r="W3" s="248"/>
      <c r="X3" s="248"/>
      <c r="Y3" s="248"/>
      <c r="Z3" s="248"/>
    </row>
    <row r="4" spans="2:26">
      <c r="B4" s="57" t="s">
        <v>64</v>
      </c>
      <c r="C4" s="234" t="str">
        <f ca="1">IF(P1="","","L"&amp;MID(INDIRECT("P"&amp;L4),6,FIND(" ",INDIRECT("P"&amp;L4),6)-5))</f>
        <v/>
      </c>
      <c r="D4" s="234" t="str">
        <f ca="1">IF(P1="","",MID(INDIRECT("P"&amp;L4),SEARCH("(",INDIRECT("P"&amp;L4),1)+1,3))</f>
        <v/>
      </c>
      <c r="E4" s="234" t="str">
        <f ca="1">IF(P1="","",MID(INDIRECT("P"&amp;L4),SEARCH(")",INDIRECT("P"&amp;L4),1)+2,LEN(INDIRECT("P"&amp;L4))))</f>
        <v/>
      </c>
      <c r="F4" s="234"/>
      <c r="G4" s="234"/>
      <c r="H4" s="234"/>
      <c r="I4" s="234"/>
      <c r="J4" s="234"/>
      <c r="K4" s="234"/>
      <c r="L4" s="234" t="str">
        <f>IF(P1="","",MATCH("CASE*",P1:P10,0))</f>
        <v/>
      </c>
      <c r="M4" s="55">
        <f>ROUND(COUNT(P:P)*1.6,0)</f>
        <v>0</v>
      </c>
      <c r="P4" s="248"/>
      <c r="Q4" s="248"/>
      <c r="R4" s="248"/>
      <c r="S4" s="248"/>
      <c r="T4" s="248"/>
      <c r="U4" s="248"/>
      <c r="V4" s="248"/>
      <c r="W4" s="248"/>
      <c r="X4" s="248"/>
      <c r="Y4" s="248"/>
      <c r="Z4" s="248"/>
    </row>
    <row r="5" spans="2:26">
      <c r="P5" s="248"/>
      <c r="Q5" s="248"/>
      <c r="R5" s="248"/>
      <c r="S5" s="248"/>
      <c r="T5" s="248"/>
      <c r="U5" s="248"/>
      <c r="V5" s="248"/>
      <c r="W5" s="248"/>
      <c r="X5" s="248"/>
      <c r="Y5" s="248"/>
      <c r="Z5" s="248"/>
    </row>
    <row r="6" spans="2:26">
      <c r="B6" s="56" t="str">
        <f>IF('Low Stress Type Gasket'!BE11="","",'Low Stress Type Gasket'!BE11)</f>
        <v/>
      </c>
      <c r="C6" s="58" t="str">
        <f t="shared" ref="C6:L21" ca="1" si="0">IF($M$4=0,"",VLOOKUP($B6,INDIRECT("$P$1:$Z$"&amp;$M$4),COLUMN()-1,0))</f>
        <v/>
      </c>
      <c r="D6" s="58" t="str">
        <f t="shared" ca="1" si="0"/>
        <v/>
      </c>
      <c r="E6" s="58" t="str">
        <f t="shared" ca="1" si="0"/>
        <v/>
      </c>
      <c r="F6" s="58" t="str">
        <f t="shared" ca="1" si="0"/>
        <v/>
      </c>
      <c r="G6" s="58" t="str">
        <f t="shared" ca="1" si="0"/>
        <v/>
      </c>
      <c r="H6" s="58" t="str">
        <f t="shared" ca="1" si="0"/>
        <v/>
      </c>
      <c r="I6" s="58" t="str">
        <f t="shared" ca="1" si="0"/>
        <v/>
      </c>
      <c r="J6" s="58" t="str">
        <f t="shared" ca="1" si="0"/>
        <v/>
      </c>
      <c r="K6" s="58" t="str">
        <f t="shared" ca="1" si="0"/>
        <v/>
      </c>
      <c r="L6" s="58" t="str">
        <f t="shared" ca="1" si="0"/>
        <v/>
      </c>
      <c r="P6" s="248"/>
      <c r="Q6" s="248"/>
      <c r="R6" s="248"/>
      <c r="S6" s="248"/>
      <c r="T6" s="248"/>
      <c r="U6" s="248"/>
      <c r="V6" s="248"/>
      <c r="W6" s="248"/>
      <c r="X6" s="248"/>
      <c r="Y6" s="248"/>
      <c r="Z6" s="248"/>
    </row>
    <row r="7" spans="2:26">
      <c r="B7" s="56" t="str">
        <f>IF('Low Stress Type Gasket'!BE12="","",'Low Stress Type Gasket'!BE12)</f>
        <v/>
      </c>
      <c r="C7" s="58" t="str">
        <f t="shared" ca="1" si="0"/>
        <v/>
      </c>
      <c r="D7" s="58" t="str">
        <f t="shared" ca="1" si="0"/>
        <v/>
      </c>
      <c r="E7" s="58" t="str">
        <f t="shared" ca="1" si="0"/>
        <v/>
      </c>
      <c r="F7" s="58" t="str">
        <f t="shared" ca="1" si="0"/>
        <v/>
      </c>
      <c r="G7" s="58" t="str">
        <f t="shared" ca="1" si="0"/>
        <v/>
      </c>
      <c r="H7" s="58" t="str">
        <f t="shared" ca="1" si="0"/>
        <v/>
      </c>
      <c r="I7" s="58" t="str">
        <f t="shared" ca="1" si="0"/>
        <v/>
      </c>
      <c r="J7" s="58" t="str">
        <f t="shared" ca="1" si="0"/>
        <v/>
      </c>
      <c r="K7" s="58" t="str">
        <f t="shared" ca="1" si="0"/>
        <v/>
      </c>
      <c r="L7" s="58" t="str">
        <f t="shared" ca="1" si="0"/>
        <v/>
      </c>
      <c r="P7" s="248"/>
      <c r="Q7" s="248"/>
      <c r="R7" s="248"/>
      <c r="S7" s="248"/>
      <c r="T7" s="248"/>
      <c r="U7" s="248"/>
      <c r="V7" s="248"/>
      <c r="W7" s="248"/>
      <c r="X7" s="248"/>
      <c r="Y7" s="248"/>
      <c r="Z7" s="248"/>
    </row>
    <row r="8" spans="2:26">
      <c r="B8" s="56" t="str">
        <f>IF('Low Stress Type Gasket'!BE13="","",'Low Stress Type Gasket'!BE13)</f>
        <v/>
      </c>
      <c r="C8" s="58" t="str">
        <f t="shared" ca="1" si="0"/>
        <v/>
      </c>
      <c r="D8" s="58" t="str">
        <f t="shared" ca="1" si="0"/>
        <v/>
      </c>
      <c r="E8" s="58" t="str">
        <f t="shared" ca="1" si="0"/>
        <v/>
      </c>
      <c r="F8" s="58" t="str">
        <f t="shared" ca="1" si="0"/>
        <v/>
      </c>
      <c r="G8" s="58" t="str">
        <f t="shared" ca="1" si="0"/>
        <v/>
      </c>
      <c r="H8" s="58" t="str">
        <f t="shared" ca="1" si="0"/>
        <v/>
      </c>
      <c r="I8" s="58" t="str">
        <f t="shared" ca="1" si="0"/>
        <v/>
      </c>
      <c r="J8" s="58" t="str">
        <f t="shared" ca="1" si="0"/>
        <v/>
      </c>
      <c r="K8" s="58" t="str">
        <f t="shared" ca="1" si="0"/>
        <v/>
      </c>
      <c r="L8" s="58" t="str">
        <f t="shared" ca="1" si="0"/>
        <v/>
      </c>
      <c r="P8" s="241"/>
      <c r="Q8" s="241"/>
      <c r="R8" s="241"/>
      <c r="S8" s="241"/>
      <c r="T8" s="241"/>
      <c r="U8" s="241"/>
      <c r="V8" s="241"/>
      <c r="W8" s="241"/>
      <c r="X8" s="241"/>
      <c r="Y8" s="241"/>
      <c r="Z8" s="241"/>
    </row>
    <row r="9" spans="2:26">
      <c r="B9" s="56" t="str">
        <f>IF('Low Stress Type Gasket'!BE14="","",'Low Stress Type Gasket'!BE14)</f>
        <v/>
      </c>
      <c r="C9" s="58" t="str">
        <f t="shared" ca="1" si="0"/>
        <v/>
      </c>
      <c r="D9" s="58" t="str">
        <f t="shared" ca="1" si="0"/>
        <v/>
      </c>
      <c r="E9" s="58" t="str">
        <f t="shared" ca="1" si="0"/>
        <v/>
      </c>
      <c r="F9" s="58" t="str">
        <f t="shared" ca="1" si="0"/>
        <v/>
      </c>
      <c r="G9" s="58" t="str">
        <f t="shared" ca="1" si="0"/>
        <v/>
      </c>
      <c r="H9" s="58" t="str">
        <f t="shared" ca="1" si="0"/>
        <v/>
      </c>
      <c r="I9" s="58" t="str">
        <f t="shared" ca="1" si="0"/>
        <v/>
      </c>
      <c r="J9" s="58" t="str">
        <f t="shared" ca="1" si="0"/>
        <v/>
      </c>
      <c r="K9" s="58" t="str">
        <f t="shared" ca="1" si="0"/>
        <v/>
      </c>
      <c r="L9" s="58" t="str">
        <f t="shared" ca="1" si="0"/>
        <v/>
      </c>
      <c r="P9" s="248"/>
      <c r="Q9" s="248"/>
      <c r="R9" s="248"/>
      <c r="S9" s="248"/>
      <c r="T9" s="248"/>
      <c r="U9" s="248"/>
      <c r="V9" s="248"/>
      <c r="W9" s="248"/>
      <c r="X9" s="248"/>
      <c r="Y9" s="248"/>
      <c r="Z9" s="248"/>
    </row>
    <row r="10" spans="2:26">
      <c r="B10" s="56" t="str">
        <f>IF('Low Stress Type Gasket'!BE15="","",'Low Stress Type Gasket'!BE15)</f>
        <v/>
      </c>
      <c r="C10" s="58" t="str">
        <f t="shared" ca="1" si="0"/>
        <v/>
      </c>
      <c r="D10" s="58" t="str">
        <f t="shared" ca="1" si="0"/>
        <v/>
      </c>
      <c r="E10" s="58" t="str">
        <f t="shared" ca="1" si="0"/>
        <v/>
      </c>
      <c r="F10" s="58" t="str">
        <f t="shared" ca="1" si="0"/>
        <v/>
      </c>
      <c r="G10" s="58" t="str">
        <f t="shared" ca="1" si="0"/>
        <v/>
      </c>
      <c r="H10" s="58" t="str">
        <f t="shared" ca="1" si="0"/>
        <v/>
      </c>
      <c r="I10" s="58" t="str">
        <f t="shared" ca="1" si="0"/>
        <v/>
      </c>
      <c r="J10" s="58" t="str">
        <f t="shared" ca="1" si="0"/>
        <v/>
      </c>
      <c r="K10" s="58" t="str">
        <f t="shared" ca="1" si="0"/>
        <v/>
      </c>
      <c r="L10" s="58" t="str">
        <f t="shared" ca="1" si="0"/>
        <v/>
      </c>
      <c r="P10" s="248"/>
      <c r="Q10" s="248"/>
      <c r="R10" s="248"/>
      <c r="S10" s="248"/>
      <c r="T10" s="248"/>
      <c r="U10" s="248"/>
      <c r="V10" s="248"/>
      <c r="W10" s="248"/>
      <c r="X10" s="248"/>
      <c r="Y10" s="248"/>
      <c r="Z10" s="248"/>
    </row>
    <row r="11" spans="2:26">
      <c r="B11" s="56" t="str">
        <f>IF('Low Stress Type Gasket'!BE16="","",'Low Stress Type Gasket'!BE16)</f>
        <v/>
      </c>
      <c r="C11" s="58" t="str">
        <f t="shared" ca="1" si="0"/>
        <v/>
      </c>
      <c r="D11" s="58" t="str">
        <f t="shared" ca="1" si="0"/>
        <v/>
      </c>
      <c r="E11" s="58" t="str">
        <f t="shared" ca="1" si="0"/>
        <v/>
      </c>
      <c r="F11" s="58" t="str">
        <f t="shared" ca="1" si="0"/>
        <v/>
      </c>
      <c r="G11" s="58" t="str">
        <f t="shared" ca="1" si="0"/>
        <v/>
      </c>
      <c r="H11" s="58" t="str">
        <f t="shared" ca="1" si="0"/>
        <v/>
      </c>
      <c r="I11" s="58" t="str">
        <f t="shared" ca="1" si="0"/>
        <v/>
      </c>
      <c r="J11" s="58" t="str">
        <f t="shared" ca="1" si="0"/>
        <v/>
      </c>
      <c r="K11" s="58" t="str">
        <f t="shared" ca="1" si="0"/>
        <v/>
      </c>
      <c r="L11" s="58" t="str">
        <f t="shared" ca="1" si="0"/>
        <v/>
      </c>
      <c r="P11" s="248"/>
      <c r="Q11" s="248"/>
      <c r="R11" s="248"/>
      <c r="S11" s="248"/>
      <c r="T11" s="248"/>
      <c r="U11" s="248"/>
      <c r="V11" s="248"/>
      <c r="W11" s="248"/>
      <c r="X11" s="248"/>
      <c r="Y11" s="248"/>
      <c r="Z11" s="248"/>
    </row>
    <row r="12" spans="2:26">
      <c r="B12" s="56" t="str">
        <f>IF('Low Stress Type Gasket'!BE17="","",'Low Stress Type Gasket'!BE17)</f>
        <v/>
      </c>
      <c r="C12" s="58" t="str">
        <f t="shared" ca="1" si="0"/>
        <v/>
      </c>
      <c r="D12" s="58" t="str">
        <f t="shared" ca="1" si="0"/>
        <v/>
      </c>
      <c r="E12" s="58" t="str">
        <f t="shared" ca="1" si="0"/>
        <v/>
      </c>
      <c r="F12" s="58" t="str">
        <f t="shared" ca="1" si="0"/>
        <v/>
      </c>
      <c r="G12" s="58" t="str">
        <f t="shared" ca="1" si="0"/>
        <v/>
      </c>
      <c r="H12" s="58" t="str">
        <f t="shared" ca="1" si="0"/>
        <v/>
      </c>
      <c r="I12" s="58" t="str">
        <f t="shared" ca="1" si="0"/>
        <v/>
      </c>
      <c r="J12" s="58" t="str">
        <f t="shared" ca="1" si="0"/>
        <v/>
      </c>
      <c r="K12" s="58" t="str">
        <f t="shared" ca="1" si="0"/>
        <v/>
      </c>
      <c r="L12" s="58" t="str">
        <f t="shared" ca="1" si="0"/>
        <v/>
      </c>
      <c r="P12" s="241"/>
      <c r="Q12" s="241"/>
      <c r="R12" s="241"/>
      <c r="S12" s="241"/>
      <c r="T12" s="241"/>
      <c r="U12" s="241"/>
      <c r="V12" s="241"/>
      <c r="W12" s="241"/>
      <c r="X12" s="241"/>
      <c r="Y12" s="241"/>
      <c r="Z12" s="241"/>
    </row>
    <row r="13" spans="2:26">
      <c r="B13" s="56" t="str">
        <f>IF('Low Stress Type Gasket'!BE18="","",'Low Stress Type Gasket'!BE18)</f>
        <v/>
      </c>
      <c r="C13" s="58" t="str">
        <f t="shared" ca="1" si="0"/>
        <v/>
      </c>
      <c r="D13" s="58" t="str">
        <f t="shared" ca="1" si="0"/>
        <v/>
      </c>
      <c r="E13" s="58" t="str">
        <f t="shared" ca="1" si="0"/>
        <v/>
      </c>
      <c r="F13" s="58" t="str">
        <f t="shared" ca="1" si="0"/>
        <v/>
      </c>
      <c r="G13" s="58" t="str">
        <f t="shared" ca="1" si="0"/>
        <v/>
      </c>
      <c r="H13" s="58" t="str">
        <f t="shared" ca="1" si="0"/>
        <v/>
      </c>
      <c r="I13" s="58" t="str">
        <f t="shared" ca="1" si="0"/>
        <v/>
      </c>
      <c r="J13" s="58" t="str">
        <f t="shared" ca="1" si="0"/>
        <v/>
      </c>
      <c r="K13" s="58" t="str">
        <f t="shared" ca="1" si="0"/>
        <v/>
      </c>
      <c r="L13" s="58" t="str">
        <f t="shared" ca="1" si="0"/>
        <v/>
      </c>
      <c r="P13" s="248"/>
      <c r="Q13" s="248"/>
      <c r="R13" s="248"/>
      <c r="S13" s="248"/>
      <c r="T13" s="248"/>
      <c r="U13" s="248"/>
      <c r="V13" s="248"/>
      <c r="W13" s="248"/>
      <c r="X13" s="248"/>
      <c r="Y13" s="248"/>
      <c r="Z13" s="248"/>
    </row>
    <row r="14" spans="2:26">
      <c r="B14" s="56" t="str">
        <f>IF('Low Stress Type Gasket'!BE19="","",'Low Stress Type Gasket'!BE19)</f>
        <v/>
      </c>
      <c r="C14" s="58" t="str">
        <f t="shared" ca="1" si="0"/>
        <v/>
      </c>
      <c r="D14" s="58" t="str">
        <f t="shared" ca="1" si="0"/>
        <v/>
      </c>
      <c r="E14" s="58" t="str">
        <f t="shared" ca="1" si="0"/>
        <v/>
      </c>
      <c r="F14" s="58" t="str">
        <f t="shared" ca="1" si="0"/>
        <v/>
      </c>
      <c r="G14" s="58" t="str">
        <f t="shared" ca="1" si="0"/>
        <v/>
      </c>
      <c r="H14" s="58" t="str">
        <f t="shared" ca="1" si="0"/>
        <v/>
      </c>
      <c r="I14" s="58" t="str">
        <f t="shared" ca="1" si="0"/>
        <v/>
      </c>
      <c r="J14" s="58" t="str">
        <f t="shared" ca="1" si="0"/>
        <v/>
      </c>
      <c r="K14" s="58" t="str">
        <f t="shared" ca="1" si="0"/>
        <v/>
      </c>
      <c r="L14" s="58" t="str">
        <f t="shared" ca="1" si="0"/>
        <v/>
      </c>
      <c r="P14" s="248"/>
      <c r="Q14" s="248"/>
      <c r="R14" s="248"/>
      <c r="S14" s="248"/>
      <c r="T14" s="248"/>
      <c r="U14" s="248"/>
      <c r="V14" s="248"/>
      <c r="W14" s="248"/>
      <c r="X14" s="248"/>
      <c r="Y14" s="248"/>
      <c r="Z14" s="248"/>
    </row>
    <row r="15" spans="2:26">
      <c r="B15" s="56" t="str">
        <f>IF('Low Stress Type Gasket'!BE20="","",'Low Stress Type Gasket'!BE20)</f>
        <v/>
      </c>
      <c r="C15" s="58" t="str">
        <f t="shared" ca="1" si="0"/>
        <v/>
      </c>
      <c r="D15" s="58" t="str">
        <f t="shared" ca="1" si="0"/>
        <v/>
      </c>
      <c r="E15" s="58" t="str">
        <f t="shared" ca="1" si="0"/>
        <v/>
      </c>
      <c r="F15" s="58" t="str">
        <f t="shared" ca="1" si="0"/>
        <v/>
      </c>
      <c r="G15" s="58" t="str">
        <f t="shared" ca="1" si="0"/>
        <v/>
      </c>
      <c r="H15" s="58" t="str">
        <f t="shared" ca="1" si="0"/>
        <v/>
      </c>
      <c r="I15" s="58" t="str">
        <f t="shared" ca="1" si="0"/>
        <v/>
      </c>
      <c r="J15" s="58" t="str">
        <f t="shared" ca="1" si="0"/>
        <v/>
      </c>
      <c r="K15" s="58" t="str">
        <f t="shared" ca="1" si="0"/>
        <v/>
      </c>
      <c r="L15" s="58" t="str">
        <f t="shared" ca="1" si="0"/>
        <v/>
      </c>
      <c r="P15" s="241"/>
      <c r="Q15" s="241"/>
      <c r="R15" s="241"/>
      <c r="S15" s="241"/>
      <c r="T15" s="241"/>
      <c r="U15" s="241"/>
      <c r="V15" s="241"/>
      <c r="W15" s="241"/>
      <c r="X15" s="241"/>
      <c r="Y15" s="241"/>
      <c r="Z15" s="241"/>
    </row>
    <row r="16" spans="2:26">
      <c r="B16" s="56" t="str">
        <f>IF('Low Stress Type Gasket'!BE21="","",'Low Stress Type Gasket'!BE21)</f>
        <v/>
      </c>
      <c r="C16" s="58" t="str">
        <f t="shared" ca="1" si="0"/>
        <v/>
      </c>
      <c r="D16" s="58" t="str">
        <f t="shared" ca="1" si="0"/>
        <v/>
      </c>
      <c r="E16" s="58" t="str">
        <f t="shared" ca="1" si="0"/>
        <v/>
      </c>
      <c r="F16" s="58" t="str">
        <f t="shared" ca="1" si="0"/>
        <v/>
      </c>
      <c r="G16" s="58" t="str">
        <f t="shared" ca="1" si="0"/>
        <v/>
      </c>
      <c r="H16" s="58" t="str">
        <f t="shared" ca="1" si="0"/>
        <v/>
      </c>
      <c r="I16" s="58" t="str">
        <f t="shared" ca="1" si="0"/>
        <v/>
      </c>
      <c r="J16" s="58" t="str">
        <f t="shared" ca="1" si="0"/>
        <v/>
      </c>
      <c r="K16" s="58" t="str">
        <f t="shared" ca="1" si="0"/>
        <v/>
      </c>
      <c r="L16" s="58" t="str">
        <f t="shared" ca="1" si="0"/>
        <v/>
      </c>
      <c r="P16" s="248"/>
      <c r="Q16" s="248"/>
      <c r="R16" s="248"/>
      <c r="S16" s="248"/>
      <c r="T16" s="248"/>
      <c r="U16" s="248"/>
      <c r="V16" s="248"/>
      <c r="W16" s="248"/>
      <c r="X16" s="248"/>
      <c r="Y16" s="248"/>
      <c r="Z16" s="248"/>
    </row>
    <row r="17" spans="2:26">
      <c r="B17" s="56" t="str">
        <f>IF('Low Stress Type Gasket'!BE22="","",'Low Stress Type Gasket'!BE22)</f>
        <v/>
      </c>
      <c r="C17" s="58" t="str">
        <f t="shared" ca="1" si="0"/>
        <v/>
      </c>
      <c r="D17" s="58" t="str">
        <f t="shared" ca="1" si="0"/>
        <v/>
      </c>
      <c r="E17" s="58" t="str">
        <f t="shared" ca="1" si="0"/>
        <v/>
      </c>
      <c r="F17" s="58" t="str">
        <f t="shared" ca="1" si="0"/>
        <v/>
      </c>
      <c r="G17" s="58" t="str">
        <f t="shared" ca="1" si="0"/>
        <v/>
      </c>
      <c r="H17" s="58" t="str">
        <f t="shared" ca="1" si="0"/>
        <v/>
      </c>
      <c r="I17" s="58" t="str">
        <f t="shared" ca="1" si="0"/>
        <v/>
      </c>
      <c r="J17" s="58" t="str">
        <f t="shared" ca="1" si="0"/>
        <v/>
      </c>
      <c r="K17" s="58" t="str">
        <f t="shared" ca="1" si="0"/>
        <v/>
      </c>
      <c r="L17" s="58" t="str">
        <f t="shared" ca="1" si="0"/>
        <v/>
      </c>
      <c r="P17" s="248"/>
      <c r="Q17" s="248"/>
      <c r="R17" s="248"/>
      <c r="S17" s="248"/>
      <c r="T17" s="248"/>
      <c r="U17" s="248"/>
      <c r="V17" s="248"/>
      <c r="W17" s="248"/>
      <c r="X17" s="248"/>
      <c r="Y17" s="248"/>
      <c r="Z17" s="248"/>
    </row>
    <row r="18" spans="2:26">
      <c r="B18" s="56" t="str">
        <f>IF('Low Stress Type Gasket'!BE23="","",'Low Stress Type Gasket'!BE23)</f>
        <v/>
      </c>
      <c r="C18" s="58" t="str">
        <f t="shared" ca="1" si="0"/>
        <v/>
      </c>
      <c r="D18" s="58" t="str">
        <f t="shared" ca="1" si="0"/>
        <v/>
      </c>
      <c r="E18" s="58" t="str">
        <f t="shared" ca="1" si="0"/>
        <v/>
      </c>
      <c r="F18" s="58" t="str">
        <f t="shared" ca="1" si="0"/>
        <v/>
      </c>
      <c r="G18" s="58" t="str">
        <f t="shared" ca="1" si="0"/>
        <v/>
      </c>
      <c r="H18" s="58" t="str">
        <f t="shared" ca="1" si="0"/>
        <v/>
      </c>
      <c r="I18" s="58" t="str">
        <f t="shared" ca="1" si="0"/>
        <v/>
      </c>
      <c r="J18" s="58" t="str">
        <f t="shared" ca="1" si="0"/>
        <v/>
      </c>
      <c r="K18" s="58" t="str">
        <f t="shared" ca="1" si="0"/>
        <v/>
      </c>
      <c r="L18" s="58" t="str">
        <f t="shared" ca="1" si="0"/>
        <v/>
      </c>
      <c r="P18" s="241"/>
      <c r="Q18" s="241"/>
      <c r="R18" s="241"/>
      <c r="S18" s="241"/>
      <c r="T18" s="241"/>
      <c r="U18" s="241"/>
      <c r="V18" s="241"/>
      <c r="W18" s="241"/>
      <c r="X18" s="241"/>
      <c r="Y18" s="241"/>
      <c r="Z18" s="241"/>
    </row>
    <row r="19" spans="2:26">
      <c r="B19" s="56" t="str">
        <f>IF('Low Stress Type Gasket'!BE24="","",'Low Stress Type Gasket'!BE24)</f>
        <v/>
      </c>
      <c r="C19" s="58" t="str">
        <f t="shared" ca="1" si="0"/>
        <v/>
      </c>
      <c r="D19" s="58" t="str">
        <f t="shared" ca="1" si="0"/>
        <v/>
      </c>
      <c r="E19" s="58" t="str">
        <f t="shared" ca="1" si="0"/>
        <v/>
      </c>
      <c r="F19" s="58" t="str">
        <f t="shared" ca="1" si="0"/>
        <v/>
      </c>
      <c r="G19" s="58" t="str">
        <f t="shared" ca="1" si="0"/>
        <v/>
      </c>
      <c r="H19" s="58" t="str">
        <f t="shared" ca="1" si="0"/>
        <v/>
      </c>
      <c r="I19" s="58" t="str">
        <f t="shared" ca="1" si="0"/>
        <v/>
      </c>
      <c r="J19" s="58" t="str">
        <f t="shared" ca="1" si="0"/>
        <v/>
      </c>
      <c r="K19" s="58" t="str">
        <f t="shared" ca="1" si="0"/>
        <v/>
      </c>
      <c r="L19" s="58" t="str">
        <f t="shared" ca="1" si="0"/>
        <v/>
      </c>
      <c r="P19" s="248"/>
      <c r="Q19" s="248"/>
      <c r="R19" s="248"/>
      <c r="S19" s="248"/>
      <c r="T19" s="248"/>
      <c r="U19" s="248"/>
      <c r="V19" s="248"/>
      <c r="W19" s="248"/>
      <c r="X19" s="248"/>
      <c r="Y19" s="248"/>
      <c r="Z19" s="248"/>
    </row>
    <row r="20" spans="2:26">
      <c r="B20" s="56" t="str">
        <f>IF('Low Stress Type Gasket'!BE25="","",'Low Stress Type Gasket'!BE25)</f>
        <v/>
      </c>
      <c r="C20" s="58" t="str">
        <f t="shared" ca="1" si="0"/>
        <v/>
      </c>
      <c r="D20" s="58" t="str">
        <f t="shared" ca="1" si="0"/>
        <v/>
      </c>
      <c r="E20" s="58" t="str">
        <f t="shared" ca="1" si="0"/>
        <v/>
      </c>
      <c r="F20" s="58" t="str">
        <f t="shared" ca="1" si="0"/>
        <v/>
      </c>
      <c r="G20" s="58" t="str">
        <f t="shared" ca="1" si="0"/>
        <v/>
      </c>
      <c r="H20" s="58" t="str">
        <f t="shared" ca="1" si="0"/>
        <v/>
      </c>
      <c r="I20" s="58" t="str">
        <f t="shared" ca="1" si="0"/>
        <v/>
      </c>
      <c r="J20" s="58" t="str">
        <f t="shared" ca="1" si="0"/>
        <v/>
      </c>
      <c r="K20" s="58" t="str">
        <f t="shared" ca="1" si="0"/>
        <v/>
      </c>
      <c r="L20" s="58" t="str">
        <f t="shared" ca="1" si="0"/>
        <v/>
      </c>
      <c r="P20" s="248"/>
      <c r="Q20" s="248"/>
      <c r="R20" s="248"/>
      <c r="S20" s="248"/>
      <c r="T20" s="248"/>
      <c r="U20" s="248"/>
      <c r="V20" s="248"/>
      <c r="W20" s="248"/>
      <c r="X20" s="248"/>
      <c r="Y20" s="248"/>
      <c r="Z20" s="248"/>
    </row>
    <row r="21" spans="2:26">
      <c r="B21" s="56" t="str">
        <f>IF('Low Stress Type Gasket'!BE26="","",'Low Stress Type Gasket'!BE26)</f>
        <v/>
      </c>
      <c r="C21" s="58" t="str">
        <f t="shared" ca="1" si="0"/>
        <v/>
      </c>
      <c r="D21" s="58" t="str">
        <f t="shared" ca="1" si="0"/>
        <v/>
      </c>
      <c r="E21" s="58" t="str">
        <f t="shared" ca="1" si="0"/>
        <v/>
      </c>
      <c r="F21" s="58" t="str">
        <f t="shared" ca="1" si="0"/>
        <v/>
      </c>
      <c r="G21" s="58" t="str">
        <f t="shared" ca="1" si="0"/>
        <v/>
      </c>
      <c r="H21" s="58" t="str">
        <f t="shared" ca="1" si="0"/>
        <v/>
      </c>
      <c r="I21" s="58" t="str">
        <f t="shared" ca="1" si="0"/>
        <v/>
      </c>
      <c r="J21" s="58" t="str">
        <f t="shared" ca="1" si="0"/>
        <v/>
      </c>
      <c r="K21" s="58" t="str">
        <f t="shared" ca="1" si="0"/>
        <v/>
      </c>
      <c r="L21" s="58" t="str">
        <f t="shared" ca="1" si="0"/>
        <v/>
      </c>
      <c r="P21" s="241"/>
      <c r="Q21" s="241"/>
      <c r="R21" s="241"/>
      <c r="S21" s="241"/>
      <c r="T21" s="241"/>
      <c r="U21" s="241"/>
      <c r="V21" s="241"/>
      <c r="W21" s="241"/>
      <c r="X21" s="241"/>
      <c r="Y21" s="241"/>
      <c r="Z21" s="241"/>
    </row>
    <row r="22" spans="2:26">
      <c r="B22" s="56" t="str">
        <f>IF('Low Stress Type Gasket'!BE27="","",'Low Stress Type Gasket'!BE27)</f>
        <v/>
      </c>
      <c r="C22" s="58" t="str">
        <f t="shared" ref="C22:L37" ca="1" si="1">IF($M$4=0,"",VLOOKUP($B22,INDIRECT("$P$1:$Z$"&amp;$M$4),COLUMN()-1,0))</f>
        <v/>
      </c>
      <c r="D22" s="58" t="str">
        <f t="shared" ca="1" si="1"/>
        <v/>
      </c>
      <c r="E22" s="58" t="str">
        <f t="shared" ca="1" si="1"/>
        <v/>
      </c>
      <c r="F22" s="58" t="str">
        <f t="shared" ca="1" si="1"/>
        <v/>
      </c>
      <c r="G22" s="58" t="str">
        <f t="shared" ca="1" si="1"/>
        <v/>
      </c>
      <c r="H22" s="58" t="str">
        <f t="shared" ca="1" si="1"/>
        <v/>
      </c>
      <c r="I22" s="58" t="str">
        <f t="shared" ca="1" si="1"/>
        <v/>
      </c>
      <c r="J22" s="58" t="str">
        <f t="shared" ca="1" si="1"/>
        <v/>
      </c>
      <c r="K22" s="58" t="str">
        <f t="shared" ca="1" si="1"/>
        <v/>
      </c>
      <c r="L22" s="58" t="str">
        <f t="shared" ca="1" si="1"/>
        <v/>
      </c>
      <c r="P22" s="248"/>
      <c r="Q22" s="248"/>
      <c r="R22" s="248"/>
      <c r="S22" s="248"/>
      <c r="T22" s="248"/>
      <c r="U22" s="248"/>
      <c r="V22" s="248"/>
      <c r="W22" s="248"/>
      <c r="X22" s="248"/>
      <c r="Y22" s="248"/>
      <c r="Z22" s="248"/>
    </row>
    <row r="23" spans="2:26">
      <c r="B23" s="56" t="str">
        <f>IF('Low Stress Type Gasket'!BE28="","",'Low Stress Type Gasket'!BE28)</f>
        <v/>
      </c>
      <c r="C23" s="58" t="str">
        <f t="shared" ca="1" si="1"/>
        <v/>
      </c>
      <c r="D23" s="58" t="str">
        <f t="shared" ca="1" si="1"/>
        <v/>
      </c>
      <c r="E23" s="58" t="str">
        <f t="shared" ca="1" si="1"/>
        <v/>
      </c>
      <c r="F23" s="58" t="str">
        <f t="shared" ca="1" si="1"/>
        <v/>
      </c>
      <c r="G23" s="58" t="str">
        <f t="shared" ca="1" si="1"/>
        <v/>
      </c>
      <c r="H23" s="58" t="str">
        <f t="shared" ca="1" si="1"/>
        <v/>
      </c>
      <c r="I23" s="58" t="str">
        <f t="shared" ca="1" si="1"/>
        <v/>
      </c>
      <c r="J23" s="58" t="str">
        <f t="shared" ca="1" si="1"/>
        <v/>
      </c>
      <c r="K23" s="58" t="str">
        <f t="shared" ca="1" si="1"/>
        <v/>
      </c>
      <c r="L23" s="58" t="str">
        <f t="shared" ca="1" si="1"/>
        <v/>
      </c>
      <c r="P23" s="248"/>
      <c r="Q23" s="248"/>
      <c r="R23" s="248"/>
      <c r="S23" s="248"/>
      <c r="T23" s="248"/>
      <c r="U23" s="248"/>
      <c r="V23" s="248"/>
      <c r="W23" s="248"/>
      <c r="X23" s="248"/>
      <c r="Y23" s="248"/>
      <c r="Z23" s="248"/>
    </row>
    <row r="24" spans="2:26">
      <c r="B24" s="56" t="str">
        <f>IF('Low Stress Type Gasket'!BE29="","",'Low Stress Type Gasket'!BE29)</f>
        <v/>
      </c>
      <c r="C24" s="58" t="str">
        <f t="shared" ca="1" si="1"/>
        <v/>
      </c>
      <c r="D24" s="58" t="str">
        <f t="shared" ca="1" si="1"/>
        <v/>
      </c>
      <c r="E24" s="58" t="str">
        <f t="shared" ca="1" si="1"/>
        <v/>
      </c>
      <c r="F24" s="58" t="str">
        <f t="shared" ca="1" si="1"/>
        <v/>
      </c>
      <c r="G24" s="58" t="str">
        <f t="shared" ca="1" si="1"/>
        <v/>
      </c>
      <c r="H24" s="58" t="str">
        <f t="shared" ca="1" si="1"/>
        <v/>
      </c>
      <c r="I24" s="58" t="str">
        <f t="shared" ca="1" si="1"/>
        <v/>
      </c>
      <c r="J24" s="58" t="str">
        <f t="shared" ca="1" si="1"/>
        <v/>
      </c>
      <c r="K24" s="58" t="str">
        <f t="shared" ca="1" si="1"/>
        <v/>
      </c>
      <c r="L24" s="58" t="str">
        <f t="shared" ca="1" si="1"/>
        <v/>
      </c>
      <c r="P24" s="241"/>
      <c r="Q24" s="241"/>
      <c r="R24" s="241"/>
      <c r="S24" s="241"/>
      <c r="T24" s="241"/>
      <c r="U24" s="241"/>
      <c r="V24" s="241"/>
      <c r="W24" s="241"/>
      <c r="X24" s="241"/>
      <c r="Y24" s="241"/>
      <c r="Z24" s="241"/>
    </row>
    <row r="25" spans="2:26">
      <c r="B25" s="56" t="str">
        <f>IF('Low Stress Type Gasket'!BE30="","",'Low Stress Type Gasket'!BE30)</f>
        <v/>
      </c>
      <c r="C25" s="58" t="str">
        <f t="shared" ca="1" si="1"/>
        <v/>
      </c>
      <c r="D25" s="58" t="str">
        <f t="shared" ca="1" si="1"/>
        <v/>
      </c>
      <c r="E25" s="58" t="str">
        <f t="shared" ca="1" si="1"/>
        <v/>
      </c>
      <c r="F25" s="58" t="str">
        <f t="shared" ca="1" si="1"/>
        <v/>
      </c>
      <c r="G25" s="58" t="str">
        <f t="shared" ca="1" si="1"/>
        <v/>
      </c>
      <c r="H25" s="58" t="str">
        <f t="shared" ca="1" si="1"/>
        <v/>
      </c>
      <c r="I25" s="58" t="str">
        <f t="shared" ca="1" si="1"/>
        <v/>
      </c>
      <c r="J25" s="58" t="str">
        <f t="shared" ca="1" si="1"/>
        <v/>
      </c>
      <c r="K25" s="58" t="str">
        <f t="shared" ca="1" si="1"/>
        <v/>
      </c>
      <c r="L25" s="58" t="str">
        <f t="shared" ca="1" si="1"/>
        <v/>
      </c>
      <c r="P25" s="248"/>
      <c r="Q25" s="248"/>
      <c r="R25" s="248"/>
      <c r="S25" s="248"/>
      <c r="T25" s="248"/>
      <c r="U25" s="248"/>
      <c r="V25" s="248"/>
      <c r="W25" s="248"/>
      <c r="X25" s="248"/>
      <c r="Y25" s="248"/>
      <c r="Z25" s="248"/>
    </row>
    <row r="26" spans="2:26">
      <c r="B26" s="56" t="str">
        <f>IF('Low Stress Type Gasket'!BE31="","",'Low Stress Type Gasket'!BE31)</f>
        <v/>
      </c>
      <c r="C26" s="58" t="str">
        <f t="shared" ca="1" si="1"/>
        <v/>
      </c>
      <c r="D26" s="58" t="str">
        <f t="shared" ca="1" si="1"/>
        <v/>
      </c>
      <c r="E26" s="58" t="str">
        <f t="shared" ca="1" si="1"/>
        <v/>
      </c>
      <c r="F26" s="58" t="str">
        <f t="shared" ca="1" si="1"/>
        <v/>
      </c>
      <c r="G26" s="58" t="str">
        <f t="shared" ca="1" si="1"/>
        <v/>
      </c>
      <c r="H26" s="58" t="str">
        <f t="shared" ca="1" si="1"/>
        <v/>
      </c>
      <c r="I26" s="58" t="str">
        <f t="shared" ca="1" si="1"/>
        <v/>
      </c>
      <c r="J26" s="58" t="str">
        <f t="shared" ca="1" si="1"/>
        <v/>
      </c>
      <c r="K26" s="58" t="str">
        <f t="shared" ca="1" si="1"/>
        <v/>
      </c>
      <c r="L26" s="58" t="str">
        <f t="shared" ca="1" si="1"/>
        <v/>
      </c>
      <c r="P26" s="248"/>
      <c r="Q26" s="248"/>
      <c r="R26" s="248"/>
      <c r="S26" s="248"/>
      <c r="T26" s="248"/>
      <c r="U26" s="248"/>
      <c r="V26" s="248"/>
      <c r="W26" s="248"/>
      <c r="X26" s="248"/>
      <c r="Y26" s="248"/>
      <c r="Z26" s="248"/>
    </row>
    <row r="27" spans="2:26">
      <c r="B27" s="56" t="str">
        <f>IF('Low Stress Type Gasket'!BE32="","",'Low Stress Type Gasket'!BE32)</f>
        <v/>
      </c>
      <c r="C27" s="58" t="str">
        <f t="shared" ca="1" si="1"/>
        <v/>
      </c>
      <c r="D27" s="58" t="str">
        <f t="shared" ca="1" si="1"/>
        <v/>
      </c>
      <c r="E27" s="58" t="str">
        <f t="shared" ca="1" si="1"/>
        <v/>
      </c>
      <c r="F27" s="58" t="str">
        <f t="shared" ca="1" si="1"/>
        <v/>
      </c>
      <c r="G27" s="58" t="str">
        <f t="shared" ca="1" si="1"/>
        <v/>
      </c>
      <c r="H27" s="58" t="str">
        <f t="shared" ca="1" si="1"/>
        <v/>
      </c>
      <c r="I27" s="58" t="str">
        <f t="shared" ca="1" si="1"/>
        <v/>
      </c>
      <c r="J27" s="58" t="str">
        <f t="shared" ca="1" si="1"/>
        <v/>
      </c>
      <c r="K27" s="58" t="str">
        <f t="shared" ca="1" si="1"/>
        <v/>
      </c>
      <c r="L27" s="58" t="str">
        <f t="shared" ca="1" si="1"/>
        <v/>
      </c>
      <c r="P27" s="241"/>
      <c r="Q27" s="241"/>
      <c r="R27" s="241"/>
      <c r="S27" s="241"/>
      <c r="T27" s="241"/>
      <c r="U27" s="241"/>
      <c r="V27" s="241"/>
      <c r="W27" s="241"/>
      <c r="X27" s="241"/>
      <c r="Y27" s="241"/>
      <c r="Z27" s="241"/>
    </row>
    <row r="28" spans="2:26">
      <c r="B28" s="56" t="str">
        <f>IF('Low Stress Type Gasket'!BE33="","",'Low Stress Type Gasket'!BE33)</f>
        <v/>
      </c>
      <c r="C28" s="58" t="str">
        <f t="shared" ca="1" si="1"/>
        <v/>
      </c>
      <c r="D28" s="58" t="str">
        <f t="shared" ca="1" si="1"/>
        <v/>
      </c>
      <c r="E28" s="58" t="str">
        <f t="shared" ca="1" si="1"/>
        <v/>
      </c>
      <c r="F28" s="58" t="str">
        <f t="shared" ca="1" si="1"/>
        <v/>
      </c>
      <c r="G28" s="58" t="str">
        <f t="shared" ca="1" si="1"/>
        <v/>
      </c>
      <c r="H28" s="58" t="str">
        <f t="shared" ca="1" si="1"/>
        <v/>
      </c>
      <c r="I28" s="58" t="str">
        <f t="shared" ca="1" si="1"/>
        <v/>
      </c>
      <c r="J28" s="58" t="str">
        <f t="shared" ca="1" si="1"/>
        <v/>
      </c>
      <c r="K28" s="58" t="str">
        <f t="shared" ca="1" si="1"/>
        <v/>
      </c>
      <c r="L28" s="58" t="str">
        <f t="shared" ca="1" si="1"/>
        <v/>
      </c>
      <c r="P28" s="248"/>
      <c r="Q28" s="248"/>
      <c r="R28" s="248"/>
      <c r="S28" s="248"/>
      <c r="T28" s="248"/>
      <c r="U28" s="248"/>
      <c r="V28" s="248"/>
      <c r="W28" s="248"/>
      <c r="X28" s="248"/>
      <c r="Y28" s="248"/>
      <c r="Z28" s="248"/>
    </row>
    <row r="29" spans="2:26">
      <c r="B29" s="56" t="str">
        <f>IF('Low Stress Type Gasket'!BE34="","",'Low Stress Type Gasket'!BE34)</f>
        <v/>
      </c>
      <c r="C29" s="58" t="str">
        <f t="shared" ca="1" si="1"/>
        <v/>
      </c>
      <c r="D29" s="58" t="str">
        <f t="shared" ca="1" si="1"/>
        <v/>
      </c>
      <c r="E29" s="58" t="str">
        <f t="shared" ca="1" si="1"/>
        <v/>
      </c>
      <c r="F29" s="58" t="str">
        <f t="shared" ca="1" si="1"/>
        <v/>
      </c>
      <c r="G29" s="58" t="str">
        <f t="shared" ca="1" si="1"/>
        <v/>
      </c>
      <c r="H29" s="58" t="str">
        <f t="shared" ca="1" si="1"/>
        <v/>
      </c>
      <c r="I29" s="58" t="str">
        <f t="shared" ca="1" si="1"/>
        <v/>
      </c>
      <c r="J29" s="58" t="str">
        <f t="shared" ca="1" si="1"/>
        <v/>
      </c>
      <c r="K29" s="58" t="str">
        <f t="shared" ca="1" si="1"/>
        <v/>
      </c>
      <c r="L29" s="58" t="str">
        <f t="shared" ca="1" si="1"/>
        <v/>
      </c>
      <c r="P29" s="248"/>
      <c r="Q29" s="248"/>
      <c r="R29" s="248"/>
      <c r="S29" s="248"/>
      <c r="T29" s="248"/>
      <c r="U29" s="248"/>
      <c r="V29" s="248"/>
      <c r="W29" s="248"/>
      <c r="X29" s="248"/>
      <c r="Y29" s="248"/>
      <c r="Z29" s="248"/>
    </row>
    <row r="30" spans="2:26">
      <c r="B30" s="56" t="str">
        <f>IF('Low Stress Type Gasket'!BE35="","",'Low Stress Type Gasket'!BE35)</f>
        <v/>
      </c>
      <c r="C30" s="58" t="str">
        <f t="shared" ca="1" si="1"/>
        <v/>
      </c>
      <c r="D30" s="58" t="str">
        <f t="shared" ca="1" si="1"/>
        <v/>
      </c>
      <c r="E30" s="58" t="str">
        <f t="shared" ca="1" si="1"/>
        <v/>
      </c>
      <c r="F30" s="58" t="str">
        <f t="shared" ca="1" si="1"/>
        <v/>
      </c>
      <c r="G30" s="58" t="str">
        <f t="shared" ca="1" si="1"/>
        <v/>
      </c>
      <c r="H30" s="58" t="str">
        <f t="shared" ca="1" si="1"/>
        <v/>
      </c>
      <c r="I30" s="58" t="str">
        <f t="shared" ca="1" si="1"/>
        <v/>
      </c>
      <c r="J30" s="58" t="str">
        <f t="shared" ca="1" si="1"/>
        <v/>
      </c>
      <c r="K30" s="58" t="str">
        <f t="shared" ca="1" si="1"/>
        <v/>
      </c>
      <c r="L30" s="58" t="str">
        <f t="shared" ca="1" si="1"/>
        <v/>
      </c>
      <c r="P30" s="241"/>
      <c r="Q30" s="241"/>
      <c r="R30" s="241"/>
      <c r="S30" s="241"/>
      <c r="T30" s="241"/>
      <c r="U30" s="241"/>
      <c r="V30" s="241"/>
      <c r="W30" s="241"/>
      <c r="X30" s="241"/>
      <c r="Y30" s="241"/>
      <c r="Z30" s="241"/>
    </row>
    <row r="31" spans="2:26">
      <c r="B31" s="56" t="str">
        <f>IF('Low Stress Type Gasket'!BE36="","",'Low Stress Type Gasket'!BE36)</f>
        <v/>
      </c>
      <c r="C31" s="58" t="str">
        <f t="shared" ca="1" si="1"/>
        <v/>
      </c>
      <c r="D31" s="58" t="str">
        <f t="shared" ca="1" si="1"/>
        <v/>
      </c>
      <c r="E31" s="58" t="str">
        <f t="shared" ca="1" si="1"/>
        <v/>
      </c>
      <c r="F31" s="58" t="str">
        <f t="shared" ca="1" si="1"/>
        <v/>
      </c>
      <c r="G31" s="58" t="str">
        <f t="shared" ca="1" si="1"/>
        <v/>
      </c>
      <c r="H31" s="58" t="str">
        <f t="shared" ca="1" si="1"/>
        <v/>
      </c>
      <c r="I31" s="58" t="str">
        <f t="shared" ca="1" si="1"/>
        <v/>
      </c>
      <c r="J31" s="58" t="str">
        <f t="shared" ca="1" si="1"/>
        <v/>
      </c>
      <c r="K31" s="58" t="str">
        <f t="shared" ca="1" si="1"/>
        <v/>
      </c>
      <c r="L31" s="58" t="str">
        <f t="shared" ca="1" si="1"/>
        <v/>
      </c>
      <c r="P31" s="248"/>
      <c r="Q31" s="248"/>
      <c r="R31" s="248"/>
      <c r="S31" s="248"/>
      <c r="T31" s="248"/>
      <c r="U31" s="248"/>
      <c r="V31" s="248"/>
      <c r="W31" s="248"/>
      <c r="X31" s="248"/>
      <c r="Y31" s="248"/>
      <c r="Z31" s="248"/>
    </row>
    <row r="32" spans="2:26">
      <c r="B32" s="56" t="str">
        <f>IF('Low Stress Type Gasket'!BE37="","",'Low Stress Type Gasket'!BE37)</f>
        <v/>
      </c>
      <c r="C32" s="58" t="str">
        <f t="shared" ca="1" si="1"/>
        <v/>
      </c>
      <c r="D32" s="58" t="str">
        <f t="shared" ca="1" si="1"/>
        <v/>
      </c>
      <c r="E32" s="58" t="str">
        <f t="shared" ca="1" si="1"/>
        <v/>
      </c>
      <c r="F32" s="58" t="str">
        <f t="shared" ca="1" si="1"/>
        <v/>
      </c>
      <c r="G32" s="58" t="str">
        <f t="shared" ca="1" si="1"/>
        <v/>
      </c>
      <c r="H32" s="58" t="str">
        <f t="shared" ca="1" si="1"/>
        <v/>
      </c>
      <c r="I32" s="58" t="str">
        <f t="shared" ca="1" si="1"/>
        <v/>
      </c>
      <c r="J32" s="58" t="str">
        <f t="shared" ca="1" si="1"/>
        <v/>
      </c>
      <c r="K32" s="58" t="str">
        <f t="shared" ca="1" si="1"/>
        <v/>
      </c>
      <c r="L32" s="58" t="str">
        <f t="shared" ca="1" si="1"/>
        <v/>
      </c>
      <c r="P32" s="248"/>
      <c r="Q32" s="248"/>
      <c r="R32" s="248"/>
      <c r="S32" s="248"/>
      <c r="T32" s="248"/>
      <c r="U32" s="248"/>
      <c r="V32" s="248"/>
      <c r="W32" s="248"/>
      <c r="X32" s="248"/>
      <c r="Y32" s="248"/>
      <c r="Z32" s="248"/>
    </row>
    <row r="33" spans="2:26">
      <c r="B33" s="56" t="str">
        <f>IF('Low Stress Type Gasket'!BE38="","",'Low Stress Type Gasket'!BE38)</f>
        <v/>
      </c>
      <c r="C33" s="58" t="str">
        <f t="shared" ca="1" si="1"/>
        <v/>
      </c>
      <c r="D33" s="58" t="str">
        <f t="shared" ca="1" si="1"/>
        <v/>
      </c>
      <c r="E33" s="58" t="str">
        <f t="shared" ca="1" si="1"/>
        <v/>
      </c>
      <c r="F33" s="58" t="str">
        <f t="shared" ca="1" si="1"/>
        <v/>
      </c>
      <c r="G33" s="58" t="str">
        <f t="shared" ca="1" si="1"/>
        <v/>
      </c>
      <c r="H33" s="58" t="str">
        <f t="shared" ca="1" si="1"/>
        <v/>
      </c>
      <c r="I33" s="58" t="str">
        <f t="shared" ca="1" si="1"/>
        <v/>
      </c>
      <c r="J33" s="58" t="str">
        <f t="shared" ca="1" si="1"/>
        <v/>
      </c>
      <c r="K33" s="58" t="str">
        <f t="shared" ca="1" si="1"/>
        <v/>
      </c>
      <c r="L33" s="58" t="str">
        <f t="shared" ca="1" si="1"/>
        <v/>
      </c>
      <c r="P33" s="241"/>
      <c r="Q33" s="241"/>
      <c r="R33" s="241"/>
      <c r="S33" s="241"/>
      <c r="T33" s="241"/>
      <c r="U33" s="241"/>
      <c r="V33" s="241"/>
      <c r="W33" s="241"/>
      <c r="X33" s="241"/>
      <c r="Y33" s="241"/>
      <c r="Z33" s="241"/>
    </row>
    <row r="34" spans="2:26">
      <c r="B34" s="56" t="str">
        <f>IF('Low Stress Type Gasket'!BE39="","",'Low Stress Type Gasket'!BE39)</f>
        <v/>
      </c>
      <c r="C34" s="58" t="str">
        <f t="shared" ca="1" si="1"/>
        <v/>
      </c>
      <c r="D34" s="58" t="str">
        <f t="shared" ca="1" si="1"/>
        <v/>
      </c>
      <c r="E34" s="58" t="str">
        <f t="shared" ca="1" si="1"/>
        <v/>
      </c>
      <c r="F34" s="58" t="str">
        <f t="shared" ca="1" si="1"/>
        <v/>
      </c>
      <c r="G34" s="58" t="str">
        <f t="shared" ca="1" si="1"/>
        <v/>
      </c>
      <c r="H34" s="58" t="str">
        <f t="shared" ca="1" si="1"/>
        <v/>
      </c>
      <c r="I34" s="58" t="str">
        <f t="shared" ca="1" si="1"/>
        <v/>
      </c>
      <c r="J34" s="58" t="str">
        <f t="shared" ca="1" si="1"/>
        <v/>
      </c>
      <c r="K34" s="58" t="str">
        <f t="shared" ca="1" si="1"/>
        <v/>
      </c>
      <c r="L34" s="58" t="str">
        <f t="shared" ca="1" si="1"/>
        <v/>
      </c>
      <c r="P34" s="248"/>
      <c r="Q34" s="248"/>
      <c r="R34" s="248"/>
      <c r="S34" s="248"/>
      <c r="T34" s="248"/>
      <c r="U34" s="248"/>
      <c r="V34" s="248"/>
      <c r="W34" s="248"/>
      <c r="X34" s="248"/>
      <c r="Y34" s="248"/>
      <c r="Z34" s="248"/>
    </row>
    <row r="35" spans="2:26">
      <c r="B35" s="56" t="str">
        <f>IF('Low Stress Type Gasket'!BE40="","",'Low Stress Type Gasket'!BE40)</f>
        <v/>
      </c>
      <c r="C35" s="58" t="str">
        <f t="shared" ca="1" si="1"/>
        <v/>
      </c>
      <c r="D35" s="58" t="str">
        <f t="shared" ca="1" si="1"/>
        <v/>
      </c>
      <c r="E35" s="58" t="str">
        <f t="shared" ca="1" si="1"/>
        <v/>
      </c>
      <c r="F35" s="58" t="str">
        <f t="shared" ca="1" si="1"/>
        <v/>
      </c>
      <c r="G35" s="58" t="str">
        <f t="shared" ca="1" si="1"/>
        <v/>
      </c>
      <c r="H35" s="58" t="str">
        <f t="shared" ca="1" si="1"/>
        <v/>
      </c>
      <c r="I35" s="58" t="str">
        <f t="shared" ca="1" si="1"/>
        <v/>
      </c>
      <c r="J35" s="58" t="str">
        <f t="shared" ca="1" si="1"/>
        <v/>
      </c>
      <c r="K35" s="58" t="str">
        <f t="shared" ca="1" si="1"/>
        <v/>
      </c>
      <c r="L35" s="58" t="str">
        <f t="shared" ca="1" si="1"/>
        <v/>
      </c>
      <c r="P35" s="248"/>
      <c r="Q35" s="248"/>
      <c r="R35" s="248"/>
      <c r="S35" s="248"/>
      <c r="T35" s="248"/>
      <c r="U35" s="248"/>
      <c r="V35" s="248"/>
      <c r="W35" s="248"/>
      <c r="X35" s="248"/>
      <c r="Y35" s="248"/>
      <c r="Z35" s="248"/>
    </row>
    <row r="36" spans="2:26">
      <c r="B36" s="56" t="str">
        <f>IF('Low Stress Type Gasket'!BE41="","",'Low Stress Type Gasket'!BE41)</f>
        <v/>
      </c>
      <c r="C36" s="58" t="str">
        <f t="shared" ca="1" si="1"/>
        <v/>
      </c>
      <c r="D36" s="58" t="str">
        <f t="shared" ca="1" si="1"/>
        <v/>
      </c>
      <c r="E36" s="58" t="str">
        <f t="shared" ca="1" si="1"/>
        <v/>
      </c>
      <c r="F36" s="58" t="str">
        <f t="shared" ca="1" si="1"/>
        <v/>
      </c>
      <c r="G36" s="58" t="str">
        <f t="shared" ca="1" si="1"/>
        <v/>
      </c>
      <c r="H36" s="58" t="str">
        <f t="shared" ca="1" si="1"/>
        <v/>
      </c>
      <c r="I36" s="58" t="str">
        <f t="shared" ca="1" si="1"/>
        <v/>
      </c>
      <c r="J36" s="58" t="str">
        <f t="shared" ca="1" si="1"/>
        <v/>
      </c>
      <c r="K36" s="58" t="str">
        <f t="shared" ca="1" si="1"/>
        <v/>
      </c>
      <c r="L36" s="58" t="str">
        <f t="shared" ca="1" si="1"/>
        <v/>
      </c>
      <c r="P36" s="241"/>
      <c r="Q36" s="241"/>
      <c r="R36" s="241"/>
      <c r="S36" s="241"/>
      <c r="T36" s="241"/>
      <c r="U36" s="241"/>
      <c r="V36" s="241"/>
      <c r="W36" s="241"/>
      <c r="X36" s="241"/>
      <c r="Y36" s="241"/>
      <c r="Z36" s="241"/>
    </row>
    <row r="37" spans="2:26">
      <c r="B37" s="56" t="str">
        <f>IF('Low Stress Type Gasket'!BE42="","",'Low Stress Type Gasket'!BE42)</f>
        <v/>
      </c>
      <c r="C37" s="58" t="str">
        <f t="shared" ca="1" si="1"/>
        <v/>
      </c>
      <c r="D37" s="58" t="str">
        <f t="shared" ca="1" si="1"/>
        <v/>
      </c>
      <c r="E37" s="58" t="str">
        <f t="shared" ca="1" si="1"/>
        <v/>
      </c>
      <c r="F37" s="58" t="str">
        <f t="shared" ca="1" si="1"/>
        <v/>
      </c>
      <c r="G37" s="58" t="str">
        <f t="shared" ca="1" si="1"/>
        <v/>
      </c>
      <c r="H37" s="58" t="str">
        <f t="shared" ca="1" si="1"/>
        <v/>
      </c>
      <c r="I37" s="58" t="str">
        <f t="shared" ca="1" si="1"/>
        <v/>
      </c>
      <c r="J37" s="58" t="str">
        <f t="shared" ca="1" si="1"/>
        <v/>
      </c>
      <c r="K37" s="58" t="str">
        <f t="shared" ca="1" si="1"/>
        <v/>
      </c>
      <c r="L37" s="58" t="str">
        <f t="shared" ca="1" si="1"/>
        <v/>
      </c>
      <c r="P37" s="248"/>
      <c r="Q37" s="248"/>
      <c r="R37" s="248"/>
      <c r="S37" s="248"/>
      <c r="T37" s="248"/>
      <c r="U37" s="248"/>
      <c r="V37" s="248"/>
      <c r="W37" s="248"/>
      <c r="X37" s="248"/>
      <c r="Y37" s="248"/>
      <c r="Z37" s="248"/>
    </row>
    <row r="38" spans="2:26">
      <c r="B38" s="56" t="str">
        <f>IF('Low Stress Type Gasket'!BE43="","",'Low Stress Type Gasket'!BE43)</f>
        <v/>
      </c>
      <c r="C38" s="58" t="str">
        <f t="shared" ref="C38:L53" ca="1" si="2">IF($M$4=0,"",VLOOKUP($B38,INDIRECT("$P$1:$Z$"&amp;$M$4),COLUMN()-1,0))</f>
        <v/>
      </c>
      <c r="D38" s="58" t="str">
        <f t="shared" ca="1" si="2"/>
        <v/>
      </c>
      <c r="E38" s="58" t="str">
        <f t="shared" ca="1" si="2"/>
        <v/>
      </c>
      <c r="F38" s="58" t="str">
        <f t="shared" ca="1" si="2"/>
        <v/>
      </c>
      <c r="G38" s="58" t="str">
        <f t="shared" ca="1" si="2"/>
        <v/>
      </c>
      <c r="H38" s="58" t="str">
        <f t="shared" ca="1" si="2"/>
        <v/>
      </c>
      <c r="I38" s="58" t="str">
        <f t="shared" ca="1" si="2"/>
        <v/>
      </c>
      <c r="J38" s="58" t="str">
        <f t="shared" ca="1" si="2"/>
        <v/>
      </c>
      <c r="K38" s="58" t="str">
        <f t="shared" ca="1" si="2"/>
        <v/>
      </c>
      <c r="L38" s="58" t="str">
        <f t="shared" ca="1" si="2"/>
        <v/>
      </c>
      <c r="P38" s="248"/>
      <c r="Q38" s="248"/>
      <c r="R38" s="248"/>
      <c r="S38" s="248"/>
      <c r="T38" s="248"/>
      <c r="U38" s="248"/>
      <c r="V38" s="248"/>
      <c r="W38" s="248"/>
      <c r="X38" s="248"/>
      <c r="Y38" s="248"/>
      <c r="Z38" s="248"/>
    </row>
    <row r="39" spans="2:26">
      <c r="B39" s="56" t="str">
        <f>IF('Low Stress Type Gasket'!BE44="","",'Low Stress Type Gasket'!BE44)</f>
        <v/>
      </c>
      <c r="C39" s="58" t="str">
        <f t="shared" ca="1" si="2"/>
        <v/>
      </c>
      <c r="D39" s="58" t="str">
        <f t="shared" ca="1" si="2"/>
        <v/>
      </c>
      <c r="E39" s="58" t="str">
        <f t="shared" ca="1" si="2"/>
        <v/>
      </c>
      <c r="F39" s="58" t="str">
        <f t="shared" ca="1" si="2"/>
        <v/>
      </c>
      <c r="G39" s="58" t="str">
        <f t="shared" ca="1" si="2"/>
        <v/>
      </c>
      <c r="H39" s="58" t="str">
        <f t="shared" ca="1" si="2"/>
        <v/>
      </c>
      <c r="I39" s="58" t="str">
        <f t="shared" ca="1" si="2"/>
        <v/>
      </c>
      <c r="J39" s="58" t="str">
        <f t="shared" ca="1" si="2"/>
        <v/>
      </c>
      <c r="K39" s="58" t="str">
        <f t="shared" ca="1" si="2"/>
        <v/>
      </c>
      <c r="L39" s="58" t="str">
        <f t="shared" ca="1" si="2"/>
        <v/>
      </c>
      <c r="P39" s="241"/>
      <c r="Q39" s="241"/>
      <c r="R39" s="241"/>
      <c r="S39" s="241"/>
      <c r="T39" s="241"/>
      <c r="U39" s="241"/>
      <c r="V39" s="241"/>
      <c r="W39" s="241"/>
      <c r="X39" s="241"/>
      <c r="Y39" s="241"/>
      <c r="Z39" s="241"/>
    </row>
    <row r="40" spans="2:26">
      <c r="B40" s="56" t="str">
        <f>IF('Low Stress Type Gasket'!BE45="","",'Low Stress Type Gasket'!BE45)</f>
        <v/>
      </c>
      <c r="C40" s="58" t="str">
        <f t="shared" ca="1" si="2"/>
        <v/>
      </c>
      <c r="D40" s="58" t="str">
        <f t="shared" ca="1" si="2"/>
        <v/>
      </c>
      <c r="E40" s="58" t="str">
        <f t="shared" ca="1" si="2"/>
        <v/>
      </c>
      <c r="F40" s="58" t="str">
        <f t="shared" ca="1" si="2"/>
        <v/>
      </c>
      <c r="G40" s="58" t="str">
        <f t="shared" ca="1" si="2"/>
        <v/>
      </c>
      <c r="H40" s="58" t="str">
        <f t="shared" ca="1" si="2"/>
        <v/>
      </c>
      <c r="I40" s="58" t="str">
        <f t="shared" ca="1" si="2"/>
        <v/>
      </c>
      <c r="J40" s="58" t="str">
        <f t="shared" ca="1" si="2"/>
        <v/>
      </c>
      <c r="K40" s="58" t="str">
        <f t="shared" ca="1" si="2"/>
        <v/>
      </c>
      <c r="L40" s="58" t="str">
        <f t="shared" ca="1" si="2"/>
        <v/>
      </c>
      <c r="P40" s="248"/>
      <c r="Q40" s="248"/>
      <c r="R40" s="248"/>
      <c r="S40" s="248"/>
      <c r="T40" s="248"/>
      <c r="U40" s="248"/>
      <c r="V40" s="248"/>
      <c r="W40" s="248"/>
      <c r="X40" s="248"/>
      <c r="Y40" s="248"/>
      <c r="Z40" s="248"/>
    </row>
    <row r="41" spans="2:26">
      <c r="B41" s="56" t="str">
        <f>IF('Low Stress Type Gasket'!BE46="","",'Low Stress Type Gasket'!BE46)</f>
        <v/>
      </c>
      <c r="C41" s="58" t="str">
        <f t="shared" ca="1" si="2"/>
        <v/>
      </c>
      <c r="D41" s="58" t="str">
        <f t="shared" ca="1" si="2"/>
        <v/>
      </c>
      <c r="E41" s="58" t="str">
        <f t="shared" ca="1" si="2"/>
        <v/>
      </c>
      <c r="F41" s="58" t="str">
        <f t="shared" ca="1" si="2"/>
        <v/>
      </c>
      <c r="G41" s="58" t="str">
        <f t="shared" ca="1" si="2"/>
        <v/>
      </c>
      <c r="H41" s="58" t="str">
        <f t="shared" ca="1" si="2"/>
        <v/>
      </c>
      <c r="I41" s="58" t="str">
        <f t="shared" ca="1" si="2"/>
        <v/>
      </c>
      <c r="J41" s="58" t="str">
        <f t="shared" ca="1" si="2"/>
        <v/>
      </c>
      <c r="K41" s="58" t="str">
        <f t="shared" ca="1" si="2"/>
        <v/>
      </c>
      <c r="L41" s="58" t="str">
        <f t="shared" ca="1" si="2"/>
        <v/>
      </c>
      <c r="P41" s="248"/>
      <c r="Q41" s="248"/>
      <c r="R41" s="248"/>
      <c r="S41" s="248"/>
      <c r="T41" s="248"/>
      <c r="U41" s="248"/>
      <c r="V41" s="248"/>
      <c r="W41" s="248"/>
      <c r="X41" s="248"/>
      <c r="Y41" s="248"/>
      <c r="Z41" s="248"/>
    </row>
    <row r="42" spans="2:26">
      <c r="B42" s="56" t="str">
        <f>IF('Low Stress Type Gasket'!BE47="","",'Low Stress Type Gasket'!BE47)</f>
        <v/>
      </c>
      <c r="C42" s="58" t="str">
        <f t="shared" ca="1" si="2"/>
        <v/>
      </c>
      <c r="D42" s="58" t="str">
        <f t="shared" ca="1" si="2"/>
        <v/>
      </c>
      <c r="E42" s="58" t="str">
        <f t="shared" ca="1" si="2"/>
        <v/>
      </c>
      <c r="F42" s="58" t="str">
        <f t="shared" ca="1" si="2"/>
        <v/>
      </c>
      <c r="G42" s="58" t="str">
        <f t="shared" ca="1" si="2"/>
        <v/>
      </c>
      <c r="H42" s="58" t="str">
        <f t="shared" ca="1" si="2"/>
        <v/>
      </c>
      <c r="I42" s="58" t="str">
        <f t="shared" ca="1" si="2"/>
        <v/>
      </c>
      <c r="J42" s="58" t="str">
        <f t="shared" ca="1" si="2"/>
        <v/>
      </c>
      <c r="K42" s="58" t="str">
        <f t="shared" ca="1" si="2"/>
        <v/>
      </c>
      <c r="L42" s="58" t="str">
        <f t="shared" ca="1" si="2"/>
        <v/>
      </c>
      <c r="P42" s="241"/>
      <c r="Q42" s="241"/>
      <c r="R42" s="241"/>
      <c r="S42" s="241"/>
      <c r="T42" s="241"/>
      <c r="U42" s="241"/>
      <c r="V42" s="241"/>
      <c r="W42" s="241"/>
      <c r="X42" s="241"/>
      <c r="Y42" s="241"/>
      <c r="Z42" s="241"/>
    </row>
    <row r="43" spans="2:26">
      <c r="B43" s="56" t="str">
        <f>IF('Low Stress Type Gasket'!BE48="","",'Low Stress Type Gasket'!BE48)</f>
        <v/>
      </c>
      <c r="C43" s="58" t="str">
        <f t="shared" ca="1" si="2"/>
        <v/>
      </c>
      <c r="D43" s="58" t="str">
        <f t="shared" ca="1" si="2"/>
        <v/>
      </c>
      <c r="E43" s="58" t="str">
        <f t="shared" ca="1" si="2"/>
        <v/>
      </c>
      <c r="F43" s="58" t="str">
        <f t="shared" ca="1" si="2"/>
        <v/>
      </c>
      <c r="G43" s="58" t="str">
        <f t="shared" ca="1" si="2"/>
        <v/>
      </c>
      <c r="H43" s="58" t="str">
        <f t="shared" ca="1" si="2"/>
        <v/>
      </c>
      <c r="I43" s="58" t="str">
        <f t="shared" ca="1" si="2"/>
        <v/>
      </c>
      <c r="J43" s="58" t="str">
        <f t="shared" ca="1" si="2"/>
        <v/>
      </c>
      <c r="K43" s="58" t="str">
        <f t="shared" ca="1" si="2"/>
        <v/>
      </c>
      <c r="L43" s="58" t="str">
        <f t="shared" ca="1" si="2"/>
        <v/>
      </c>
      <c r="P43" s="248"/>
      <c r="Q43" s="248"/>
      <c r="R43" s="248"/>
      <c r="S43" s="248"/>
      <c r="T43" s="248"/>
      <c r="U43" s="248"/>
      <c r="V43" s="248"/>
      <c r="W43" s="248"/>
      <c r="X43" s="248"/>
      <c r="Y43" s="248"/>
      <c r="Z43" s="248"/>
    </row>
    <row r="44" spans="2:26">
      <c r="B44" s="56" t="str">
        <f>IF('Low Stress Type Gasket'!BE49="","",'Low Stress Type Gasket'!BE49)</f>
        <v/>
      </c>
      <c r="C44" s="58" t="str">
        <f t="shared" ca="1" si="2"/>
        <v/>
      </c>
      <c r="D44" s="58" t="str">
        <f t="shared" ca="1" si="2"/>
        <v/>
      </c>
      <c r="E44" s="58" t="str">
        <f t="shared" ca="1" si="2"/>
        <v/>
      </c>
      <c r="F44" s="58" t="str">
        <f t="shared" ca="1" si="2"/>
        <v/>
      </c>
      <c r="G44" s="58" t="str">
        <f t="shared" ca="1" si="2"/>
        <v/>
      </c>
      <c r="H44" s="58" t="str">
        <f t="shared" ca="1" si="2"/>
        <v/>
      </c>
      <c r="I44" s="58" t="str">
        <f t="shared" ca="1" si="2"/>
        <v/>
      </c>
      <c r="J44" s="58" t="str">
        <f t="shared" ca="1" si="2"/>
        <v/>
      </c>
      <c r="K44" s="58" t="str">
        <f t="shared" ca="1" si="2"/>
        <v/>
      </c>
      <c r="L44" s="58" t="str">
        <f t="shared" ca="1" si="2"/>
        <v/>
      </c>
      <c r="P44" s="248"/>
      <c r="Q44" s="248"/>
      <c r="R44" s="248"/>
      <c r="S44" s="248"/>
      <c r="T44" s="248"/>
      <c r="U44" s="248"/>
      <c r="V44" s="248"/>
      <c r="W44" s="248"/>
      <c r="X44" s="248"/>
      <c r="Y44" s="248"/>
      <c r="Z44" s="248"/>
    </row>
    <row r="45" spans="2:26">
      <c r="B45" s="56" t="str">
        <f>IF('Low Stress Type Gasket'!BE50="","",'Low Stress Type Gasket'!BE50)</f>
        <v/>
      </c>
      <c r="C45" s="58" t="str">
        <f t="shared" ca="1" si="2"/>
        <v/>
      </c>
      <c r="D45" s="58" t="str">
        <f t="shared" ca="1" si="2"/>
        <v/>
      </c>
      <c r="E45" s="58" t="str">
        <f t="shared" ca="1" si="2"/>
        <v/>
      </c>
      <c r="F45" s="58" t="str">
        <f t="shared" ca="1" si="2"/>
        <v/>
      </c>
      <c r="G45" s="58" t="str">
        <f t="shared" ca="1" si="2"/>
        <v/>
      </c>
      <c r="H45" s="58" t="str">
        <f t="shared" ca="1" si="2"/>
        <v/>
      </c>
      <c r="I45" s="58" t="str">
        <f t="shared" ca="1" si="2"/>
        <v/>
      </c>
      <c r="J45" s="58" t="str">
        <f t="shared" ca="1" si="2"/>
        <v/>
      </c>
      <c r="K45" s="58" t="str">
        <f t="shared" ca="1" si="2"/>
        <v/>
      </c>
      <c r="L45" s="58" t="str">
        <f t="shared" ca="1" si="2"/>
        <v/>
      </c>
      <c r="P45" s="241"/>
      <c r="Q45" s="241"/>
      <c r="R45" s="241"/>
      <c r="S45" s="241"/>
      <c r="T45" s="241"/>
      <c r="U45" s="241"/>
      <c r="V45" s="241"/>
      <c r="W45" s="241"/>
      <c r="X45" s="241"/>
      <c r="Y45" s="241"/>
      <c r="Z45" s="241"/>
    </row>
    <row r="46" spans="2:26">
      <c r="B46" s="56" t="str">
        <f>IF('Low Stress Type Gasket'!BE51="","",'Low Stress Type Gasket'!BE51)</f>
        <v/>
      </c>
      <c r="C46" s="58" t="str">
        <f t="shared" ca="1" si="2"/>
        <v/>
      </c>
      <c r="D46" s="58" t="str">
        <f t="shared" ca="1" si="2"/>
        <v/>
      </c>
      <c r="E46" s="58" t="str">
        <f t="shared" ca="1" si="2"/>
        <v/>
      </c>
      <c r="F46" s="58" t="str">
        <f t="shared" ca="1" si="2"/>
        <v/>
      </c>
      <c r="G46" s="58" t="str">
        <f t="shared" ca="1" si="2"/>
        <v/>
      </c>
      <c r="H46" s="58" t="str">
        <f t="shared" ca="1" si="2"/>
        <v/>
      </c>
      <c r="I46" s="58" t="str">
        <f t="shared" ca="1" si="2"/>
        <v/>
      </c>
      <c r="J46" s="58" t="str">
        <f t="shared" ca="1" si="2"/>
        <v/>
      </c>
      <c r="K46" s="58" t="str">
        <f t="shared" ca="1" si="2"/>
        <v/>
      </c>
      <c r="L46" s="58" t="str">
        <f t="shared" ca="1" si="2"/>
        <v/>
      </c>
      <c r="P46" s="248"/>
      <c r="Q46" s="248"/>
      <c r="R46" s="248"/>
      <c r="S46" s="248"/>
      <c r="T46" s="248"/>
      <c r="U46" s="248"/>
      <c r="V46" s="248"/>
      <c r="W46" s="248"/>
      <c r="X46" s="248"/>
      <c r="Y46" s="248"/>
      <c r="Z46" s="248"/>
    </row>
    <row r="47" spans="2:26">
      <c r="B47" s="56" t="str">
        <f>IF('Low Stress Type Gasket'!BE52="","",'Low Stress Type Gasket'!BE52)</f>
        <v/>
      </c>
      <c r="C47" s="58" t="str">
        <f t="shared" ca="1" si="2"/>
        <v/>
      </c>
      <c r="D47" s="58" t="str">
        <f t="shared" ca="1" si="2"/>
        <v/>
      </c>
      <c r="E47" s="58" t="str">
        <f t="shared" ca="1" si="2"/>
        <v/>
      </c>
      <c r="F47" s="58" t="str">
        <f t="shared" ca="1" si="2"/>
        <v/>
      </c>
      <c r="G47" s="58" t="str">
        <f t="shared" ca="1" si="2"/>
        <v/>
      </c>
      <c r="H47" s="58" t="str">
        <f t="shared" ca="1" si="2"/>
        <v/>
      </c>
      <c r="I47" s="58" t="str">
        <f t="shared" ca="1" si="2"/>
        <v/>
      </c>
      <c r="J47" s="58" t="str">
        <f t="shared" ca="1" si="2"/>
        <v/>
      </c>
      <c r="K47" s="58" t="str">
        <f t="shared" ca="1" si="2"/>
        <v/>
      </c>
      <c r="L47" s="58" t="str">
        <f t="shared" ca="1" si="2"/>
        <v/>
      </c>
      <c r="P47" s="248"/>
      <c r="Q47" s="248"/>
      <c r="R47" s="248"/>
      <c r="S47" s="248"/>
      <c r="T47" s="248"/>
      <c r="U47" s="248"/>
      <c r="V47" s="248"/>
      <c r="W47" s="248"/>
      <c r="X47" s="248"/>
      <c r="Y47" s="248"/>
      <c r="Z47" s="248"/>
    </row>
    <row r="48" spans="2:26">
      <c r="B48" s="56" t="str">
        <f>IF('Low Stress Type Gasket'!BE53="","",'Low Stress Type Gasket'!BE53)</f>
        <v/>
      </c>
      <c r="C48" s="58" t="str">
        <f t="shared" ca="1" si="2"/>
        <v/>
      </c>
      <c r="D48" s="58" t="str">
        <f t="shared" ca="1" si="2"/>
        <v/>
      </c>
      <c r="E48" s="58" t="str">
        <f t="shared" ca="1" si="2"/>
        <v/>
      </c>
      <c r="F48" s="58" t="str">
        <f t="shared" ca="1" si="2"/>
        <v/>
      </c>
      <c r="G48" s="58" t="str">
        <f t="shared" ca="1" si="2"/>
        <v/>
      </c>
      <c r="H48" s="58" t="str">
        <f t="shared" ca="1" si="2"/>
        <v/>
      </c>
      <c r="I48" s="58" t="str">
        <f t="shared" ca="1" si="2"/>
        <v/>
      </c>
      <c r="J48" s="58" t="str">
        <f t="shared" ca="1" si="2"/>
        <v/>
      </c>
      <c r="K48" s="58" t="str">
        <f t="shared" ca="1" si="2"/>
        <v/>
      </c>
      <c r="L48" s="58" t="str">
        <f t="shared" ca="1" si="2"/>
        <v/>
      </c>
      <c r="P48" s="241"/>
      <c r="Q48" s="241"/>
      <c r="R48" s="241"/>
      <c r="S48" s="241"/>
      <c r="T48" s="241"/>
      <c r="U48" s="241"/>
      <c r="V48" s="241"/>
      <c r="W48" s="241"/>
      <c r="X48" s="241"/>
      <c r="Y48" s="241"/>
      <c r="Z48" s="241"/>
    </row>
    <row r="49" spans="2:26">
      <c r="B49" s="56" t="str">
        <f>IF('Low Stress Type Gasket'!BE54="","",'Low Stress Type Gasket'!BE54)</f>
        <v/>
      </c>
      <c r="C49" s="58" t="str">
        <f t="shared" ca="1" si="2"/>
        <v/>
      </c>
      <c r="D49" s="58" t="str">
        <f t="shared" ca="1" si="2"/>
        <v/>
      </c>
      <c r="E49" s="58" t="str">
        <f t="shared" ca="1" si="2"/>
        <v/>
      </c>
      <c r="F49" s="58" t="str">
        <f t="shared" ca="1" si="2"/>
        <v/>
      </c>
      <c r="G49" s="58" t="str">
        <f t="shared" ca="1" si="2"/>
        <v/>
      </c>
      <c r="H49" s="58" t="str">
        <f t="shared" ca="1" si="2"/>
        <v/>
      </c>
      <c r="I49" s="58" t="str">
        <f t="shared" ca="1" si="2"/>
        <v/>
      </c>
      <c r="J49" s="58" t="str">
        <f t="shared" ca="1" si="2"/>
        <v/>
      </c>
      <c r="K49" s="58" t="str">
        <f t="shared" ca="1" si="2"/>
        <v/>
      </c>
      <c r="L49" s="58" t="str">
        <f t="shared" ca="1" si="2"/>
        <v/>
      </c>
      <c r="P49" s="248"/>
      <c r="Q49" s="248"/>
      <c r="R49" s="248"/>
      <c r="S49" s="248"/>
      <c r="T49" s="248"/>
      <c r="U49" s="248"/>
      <c r="V49" s="248"/>
      <c r="W49" s="248"/>
      <c r="X49" s="248"/>
      <c r="Y49" s="248"/>
      <c r="Z49" s="248"/>
    </row>
    <row r="50" spans="2:26">
      <c r="B50" s="56" t="str">
        <f>IF('Low Stress Type Gasket'!BE55="","",'Low Stress Type Gasket'!BE55)</f>
        <v/>
      </c>
      <c r="C50" s="58" t="str">
        <f t="shared" ca="1" si="2"/>
        <v/>
      </c>
      <c r="D50" s="58" t="str">
        <f t="shared" ca="1" si="2"/>
        <v/>
      </c>
      <c r="E50" s="58" t="str">
        <f t="shared" ca="1" si="2"/>
        <v/>
      </c>
      <c r="F50" s="58" t="str">
        <f t="shared" ca="1" si="2"/>
        <v/>
      </c>
      <c r="G50" s="58" t="str">
        <f t="shared" ca="1" si="2"/>
        <v/>
      </c>
      <c r="H50" s="58" t="str">
        <f t="shared" ca="1" si="2"/>
        <v/>
      </c>
      <c r="I50" s="58" t="str">
        <f t="shared" ca="1" si="2"/>
        <v/>
      </c>
      <c r="J50" s="58" t="str">
        <f t="shared" ca="1" si="2"/>
        <v/>
      </c>
      <c r="K50" s="58" t="str">
        <f t="shared" ca="1" si="2"/>
        <v/>
      </c>
      <c r="L50" s="58" t="str">
        <f t="shared" ca="1" si="2"/>
        <v/>
      </c>
      <c r="P50" s="248"/>
      <c r="Q50" s="248"/>
      <c r="R50" s="248"/>
      <c r="S50" s="248"/>
      <c r="T50" s="248"/>
      <c r="U50" s="248"/>
      <c r="V50" s="248"/>
      <c r="W50" s="248"/>
      <c r="X50" s="248"/>
      <c r="Y50" s="248"/>
      <c r="Z50" s="248"/>
    </row>
    <row r="51" spans="2:26">
      <c r="B51" s="56" t="str">
        <f>IF('Low Stress Type Gasket'!BE56="","",'Low Stress Type Gasket'!BE56)</f>
        <v/>
      </c>
      <c r="C51" s="58" t="str">
        <f t="shared" ca="1" si="2"/>
        <v/>
      </c>
      <c r="D51" s="58" t="str">
        <f t="shared" ca="1" si="2"/>
        <v/>
      </c>
      <c r="E51" s="58" t="str">
        <f t="shared" ca="1" si="2"/>
        <v/>
      </c>
      <c r="F51" s="58" t="str">
        <f t="shared" ca="1" si="2"/>
        <v/>
      </c>
      <c r="G51" s="58" t="str">
        <f t="shared" ca="1" si="2"/>
        <v/>
      </c>
      <c r="H51" s="58" t="str">
        <f t="shared" ca="1" si="2"/>
        <v/>
      </c>
      <c r="I51" s="58" t="str">
        <f t="shared" ca="1" si="2"/>
        <v/>
      </c>
      <c r="J51" s="58" t="str">
        <f t="shared" ca="1" si="2"/>
        <v/>
      </c>
      <c r="K51" s="58" t="str">
        <f t="shared" ca="1" si="2"/>
        <v/>
      </c>
      <c r="L51" s="58" t="str">
        <f t="shared" ca="1" si="2"/>
        <v/>
      </c>
      <c r="P51" s="241"/>
      <c r="Q51" s="241"/>
      <c r="R51" s="241"/>
      <c r="S51" s="241"/>
      <c r="T51" s="241"/>
      <c r="U51" s="241"/>
      <c r="V51" s="241"/>
      <c r="W51" s="241"/>
      <c r="X51" s="241"/>
      <c r="Y51" s="241"/>
      <c r="Z51" s="241"/>
    </row>
    <row r="52" spans="2:26">
      <c r="B52" s="56" t="str">
        <f>IF('Low Stress Type Gasket'!BE57="","",'Low Stress Type Gasket'!BE57)</f>
        <v/>
      </c>
      <c r="C52" s="58" t="str">
        <f t="shared" ca="1" si="2"/>
        <v/>
      </c>
      <c r="D52" s="58" t="str">
        <f t="shared" ca="1" si="2"/>
        <v/>
      </c>
      <c r="E52" s="58" t="str">
        <f t="shared" ca="1" si="2"/>
        <v/>
      </c>
      <c r="F52" s="58" t="str">
        <f t="shared" ca="1" si="2"/>
        <v/>
      </c>
      <c r="G52" s="58" t="str">
        <f t="shared" ca="1" si="2"/>
        <v/>
      </c>
      <c r="H52" s="58" t="str">
        <f t="shared" ca="1" si="2"/>
        <v/>
      </c>
      <c r="I52" s="58" t="str">
        <f t="shared" ca="1" si="2"/>
        <v/>
      </c>
      <c r="J52" s="58" t="str">
        <f t="shared" ca="1" si="2"/>
        <v/>
      </c>
      <c r="K52" s="58" t="str">
        <f t="shared" ca="1" si="2"/>
        <v/>
      </c>
      <c r="L52" s="58" t="str">
        <f t="shared" ca="1" si="2"/>
        <v/>
      </c>
      <c r="P52" s="248"/>
      <c r="Q52" s="248"/>
      <c r="R52" s="248"/>
      <c r="S52" s="248"/>
      <c r="T52" s="248"/>
      <c r="U52" s="248"/>
      <c r="V52" s="248"/>
      <c r="W52" s="248"/>
      <c r="X52" s="248"/>
      <c r="Y52" s="248"/>
      <c r="Z52" s="248"/>
    </row>
    <row r="53" spans="2:26">
      <c r="B53" s="56" t="str">
        <f>IF('Low Stress Type Gasket'!BE58="","",'Low Stress Type Gasket'!BE58)</f>
        <v/>
      </c>
      <c r="C53" s="58" t="str">
        <f t="shared" ca="1" si="2"/>
        <v/>
      </c>
      <c r="D53" s="58" t="str">
        <f t="shared" ca="1" si="2"/>
        <v/>
      </c>
      <c r="E53" s="58" t="str">
        <f t="shared" ca="1" si="2"/>
        <v/>
      </c>
      <c r="F53" s="58" t="str">
        <f t="shared" ca="1" si="2"/>
        <v/>
      </c>
      <c r="G53" s="58" t="str">
        <f t="shared" ca="1" si="2"/>
        <v/>
      </c>
      <c r="H53" s="58" t="str">
        <f t="shared" ca="1" si="2"/>
        <v/>
      </c>
      <c r="I53" s="58" t="str">
        <f t="shared" ca="1" si="2"/>
        <v/>
      </c>
      <c r="J53" s="58" t="str">
        <f t="shared" ca="1" si="2"/>
        <v/>
      </c>
      <c r="K53" s="58" t="str">
        <f t="shared" ca="1" si="2"/>
        <v/>
      </c>
      <c r="L53" s="58" t="str">
        <f t="shared" ca="1" si="2"/>
        <v/>
      </c>
      <c r="P53" s="248"/>
      <c r="Q53" s="248"/>
      <c r="R53" s="248"/>
      <c r="S53" s="248"/>
      <c r="T53" s="248"/>
      <c r="U53" s="248"/>
      <c r="V53" s="248"/>
      <c r="W53" s="248"/>
      <c r="X53" s="248"/>
      <c r="Y53" s="248"/>
      <c r="Z53" s="248"/>
    </row>
    <row r="54" spans="2:26">
      <c r="B54" s="56" t="str">
        <f>IF('Low Stress Type Gasket'!BE59="","",'Low Stress Type Gasket'!BE59)</f>
        <v/>
      </c>
      <c r="C54" s="58" t="str">
        <f t="shared" ref="C54:L55" ca="1" si="3">IF($M$4=0,"",VLOOKUP($B54,INDIRECT("$P$1:$Z$"&amp;$M$4),COLUMN()-1,0))</f>
        <v/>
      </c>
      <c r="D54" s="58" t="str">
        <f t="shared" ca="1" si="3"/>
        <v/>
      </c>
      <c r="E54" s="58" t="str">
        <f t="shared" ca="1" si="3"/>
        <v/>
      </c>
      <c r="F54" s="58" t="str">
        <f t="shared" ca="1" si="3"/>
        <v/>
      </c>
      <c r="G54" s="58" t="str">
        <f t="shared" ca="1" si="3"/>
        <v/>
      </c>
      <c r="H54" s="58" t="str">
        <f t="shared" ca="1" si="3"/>
        <v/>
      </c>
      <c r="I54" s="58" t="str">
        <f t="shared" ca="1" si="3"/>
        <v/>
      </c>
      <c r="J54" s="58" t="str">
        <f t="shared" ca="1" si="3"/>
        <v/>
      </c>
      <c r="K54" s="58" t="str">
        <f t="shared" ca="1" si="3"/>
        <v/>
      </c>
      <c r="L54" s="58" t="str">
        <f t="shared" ca="1" si="3"/>
        <v/>
      </c>
      <c r="P54" s="241"/>
      <c r="Q54" s="241"/>
      <c r="R54" s="241"/>
      <c r="S54" s="241"/>
      <c r="T54" s="241"/>
      <c r="U54" s="241"/>
      <c r="V54" s="241"/>
      <c r="W54" s="241"/>
      <c r="X54" s="241"/>
      <c r="Y54" s="241"/>
      <c r="Z54" s="241"/>
    </row>
    <row r="55" spans="2:26">
      <c r="B55" s="56" t="str">
        <f>IF('Low Stress Type Gasket'!BE60="","",'Low Stress Type Gasket'!BE60)</f>
        <v/>
      </c>
      <c r="C55" s="58" t="str">
        <f t="shared" ca="1" si="3"/>
        <v/>
      </c>
      <c r="D55" s="58" t="str">
        <f t="shared" ca="1" si="3"/>
        <v/>
      </c>
      <c r="E55" s="58" t="str">
        <f t="shared" ca="1" si="3"/>
        <v/>
      </c>
      <c r="F55" s="58" t="str">
        <f t="shared" ca="1" si="3"/>
        <v/>
      </c>
      <c r="G55" s="58" t="str">
        <f t="shared" ca="1" si="3"/>
        <v/>
      </c>
      <c r="H55" s="58" t="str">
        <f t="shared" ca="1" si="3"/>
        <v/>
      </c>
      <c r="I55" s="58" t="str">
        <f t="shared" ca="1" si="3"/>
        <v/>
      </c>
      <c r="J55" s="58" t="str">
        <f t="shared" ca="1" si="3"/>
        <v/>
      </c>
      <c r="K55" s="58" t="str">
        <f t="shared" ca="1" si="3"/>
        <v/>
      </c>
      <c r="L55" s="58" t="str">
        <f t="shared" ca="1" si="3"/>
        <v/>
      </c>
      <c r="P55" s="248"/>
      <c r="Q55" s="248"/>
      <c r="R55" s="248"/>
      <c r="S55" s="248"/>
      <c r="T55" s="248"/>
      <c r="U55" s="248"/>
      <c r="V55" s="248"/>
      <c r="W55" s="248"/>
      <c r="X55" s="248"/>
      <c r="Y55" s="248"/>
      <c r="Z55" s="248"/>
    </row>
    <row r="56" spans="2:26">
      <c r="P56" s="248"/>
      <c r="Q56" s="248"/>
      <c r="R56" s="248"/>
      <c r="S56" s="248"/>
      <c r="T56" s="248"/>
      <c r="U56" s="248"/>
      <c r="V56" s="248"/>
      <c r="W56" s="248"/>
      <c r="X56" s="248"/>
      <c r="Y56" s="248"/>
      <c r="Z56" s="248"/>
    </row>
    <row r="57" spans="2:26">
      <c r="P57" s="241"/>
      <c r="Q57" s="241"/>
      <c r="R57" s="241"/>
      <c r="S57" s="241"/>
      <c r="T57" s="241"/>
      <c r="U57" s="241"/>
      <c r="V57" s="241"/>
      <c r="W57" s="241"/>
      <c r="X57" s="241"/>
      <c r="Y57" s="241"/>
      <c r="Z57" s="241"/>
    </row>
    <row r="58" spans="2:26">
      <c r="P58" s="248"/>
      <c r="Q58" s="248"/>
      <c r="R58" s="248"/>
      <c r="S58" s="248"/>
      <c r="T58" s="248"/>
      <c r="U58" s="248"/>
      <c r="V58" s="248"/>
      <c r="W58" s="248"/>
      <c r="X58" s="248"/>
      <c r="Y58" s="248"/>
      <c r="Z58" s="248"/>
    </row>
    <row r="59" spans="2:26">
      <c r="P59" s="248"/>
      <c r="Q59" s="248"/>
      <c r="R59" s="248"/>
      <c r="S59" s="248"/>
      <c r="T59" s="248"/>
      <c r="U59" s="248"/>
      <c r="V59" s="248"/>
      <c r="W59" s="248"/>
      <c r="X59" s="248"/>
      <c r="Y59" s="248"/>
      <c r="Z59" s="248"/>
    </row>
    <row r="60" spans="2:26">
      <c r="P60" s="241"/>
      <c r="Q60" s="241"/>
      <c r="R60" s="241"/>
      <c r="S60" s="241"/>
      <c r="T60" s="241"/>
      <c r="U60" s="241"/>
      <c r="V60" s="241"/>
      <c r="W60" s="241"/>
      <c r="X60" s="241"/>
      <c r="Y60" s="241"/>
      <c r="Z60" s="241"/>
    </row>
    <row r="61" spans="2:26">
      <c r="P61" s="248"/>
      <c r="Q61" s="248"/>
      <c r="R61" s="248"/>
      <c r="S61" s="248"/>
      <c r="T61" s="248"/>
      <c r="U61" s="248"/>
      <c r="V61" s="248"/>
      <c r="W61" s="248"/>
      <c r="X61" s="248"/>
      <c r="Y61" s="248"/>
      <c r="Z61" s="248"/>
    </row>
    <row r="62" spans="2:26">
      <c r="P62" s="248"/>
      <c r="Q62" s="248"/>
      <c r="R62" s="248"/>
      <c r="S62" s="248"/>
      <c r="T62" s="248"/>
      <c r="U62" s="248"/>
      <c r="V62" s="248"/>
      <c r="W62" s="248"/>
      <c r="X62" s="248"/>
      <c r="Y62" s="248"/>
      <c r="Z62" s="248"/>
    </row>
    <row r="63" spans="2:26">
      <c r="P63" s="241"/>
      <c r="Q63" s="241"/>
      <c r="R63" s="241"/>
      <c r="S63" s="241"/>
      <c r="T63" s="241"/>
      <c r="U63" s="241"/>
      <c r="V63" s="241"/>
      <c r="W63" s="241"/>
      <c r="X63" s="241"/>
      <c r="Y63" s="241"/>
      <c r="Z63" s="241"/>
    </row>
    <row r="64" spans="2:26">
      <c r="P64" s="248"/>
      <c r="Q64" s="248"/>
      <c r="R64" s="248"/>
      <c r="S64" s="248"/>
      <c r="T64" s="248"/>
      <c r="U64" s="248"/>
      <c r="V64" s="248"/>
      <c r="W64" s="248"/>
      <c r="X64" s="248"/>
      <c r="Y64" s="248"/>
      <c r="Z64" s="248"/>
    </row>
    <row r="65" spans="16:26">
      <c r="P65" s="248"/>
      <c r="Q65" s="248"/>
      <c r="R65" s="248"/>
      <c r="S65" s="248"/>
      <c r="T65" s="248"/>
      <c r="U65" s="248"/>
      <c r="V65" s="248"/>
      <c r="W65" s="248"/>
      <c r="X65" s="248"/>
      <c r="Y65" s="248"/>
      <c r="Z65" s="248"/>
    </row>
    <row r="66" spans="16:26">
      <c r="P66" s="241"/>
      <c r="Q66" s="241"/>
      <c r="R66" s="241"/>
      <c r="S66" s="241"/>
      <c r="T66" s="241"/>
      <c r="U66" s="241"/>
      <c r="V66" s="241"/>
      <c r="W66" s="241"/>
      <c r="X66" s="241"/>
      <c r="Y66" s="241"/>
      <c r="Z66" s="241"/>
    </row>
    <row r="67" spans="16:26">
      <c r="P67" s="248"/>
      <c r="Q67" s="248"/>
      <c r="R67" s="248"/>
      <c r="S67" s="248"/>
      <c r="T67" s="248"/>
      <c r="U67" s="248"/>
      <c r="V67" s="248"/>
      <c r="W67" s="248"/>
      <c r="X67" s="248"/>
      <c r="Y67" s="248"/>
      <c r="Z67" s="248"/>
    </row>
    <row r="68" spans="16:26">
      <c r="P68" s="248"/>
      <c r="Q68" s="248"/>
      <c r="R68" s="248"/>
      <c r="S68" s="248"/>
      <c r="T68" s="248"/>
      <c r="U68" s="248"/>
      <c r="V68" s="248"/>
      <c r="W68" s="248"/>
      <c r="X68" s="248"/>
      <c r="Y68" s="248"/>
      <c r="Z68" s="248"/>
    </row>
    <row r="69" spans="16:26">
      <c r="P69" s="241"/>
      <c r="Q69" s="241"/>
      <c r="R69" s="241"/>
      <c r="S69" s="241"/>
      <c r="T69" s="241"/>
      <c r="U69" s="241"/>
      <c r="V69" s="241"/>
      <c r="W69" s="241"/>
      <c r="X69" s="241"/>
      <c r="Y69" s="241"/>
      <c r="Z69" s="241"/>
    </row>
    <row r="70" spans="16:26">
      <c r="P70" s="248"/>
      <c r="Q70" s="248"/>
      <c r="R70" s="248"/>
      <c r="S70" s="248"/>
      <c r="T70" s="248"/>
      <c r="U70" s="248"/>
      <c r="V70" s="248"/>
      <c r="W70" s="248"/>
      <c r="X70" s="248"/>
      <c r="Y70" s="248"/>
      <c r="Z70" s="248"/>
    </row>
    <row r="71" spans="16:26">
      <c r="P71" s="248"/>
      <c r="Q71" s="248"/>
      <c r="R71" s="248"/>
      <c r="S71" s="248"/>
      <c r="T71" s="248"/>
      <c r="U71" s="248"/>
      <c r="V71" s="248"/>
      <c r="W71" s="248"/>
      <c r="X71" s="248"/>
      <c r="Y71" s="248"/>
      <c r="Z71" s="248"/>
    </row>
    <row r="72" spans="16:26">
      <c r="P72" s="241"/>
      <c r="Q72" s="241"/>
      <c r="R72" s="241"/>
      <c r="S72" s="241"/>
      <c r="T72" s="241"/>
      <c r="U72" s="241"/>
      <c r="V72" s="241"/>
      <c r="W72" s="241"/>
      <c r="X72" s="241"/>
      <c r="Y72" s="241"/>
      <c r="Z72" s="241"/>
    </row>
    <row r="73" spans="16:26">
      <c r="P73" s="248"/>
      <c r="Q73" s="248"/>
      <c r="R73" s="248"/>
      <c r="S73" s="248"/>
      <c r="T73" s="248"/>
      <c r="U73" s="248"/>
      <c r="V73" s="248"/>
      <c r="W73" s="248"/>
      <c r="X73" s="248"/>
      <c r="Y73" s="248"/>
      <c r="Z73" s="248"/>
    </row>
    <row r="74" spans="16:26">
      <c r="P74" s="248"/>
      <c r="Q74" s="248"/>
      <c r="R74" s="248"/>
      <c r="S74" s="248"/>
      <c r="T74" s="248"/>
      <c r="U74" s="248"/>
      <c r="V74" s="248"/>
      <c r="W74" s="248"/>
      <c r="X74" s="248"/>
      <c r="Y74" s="248"/>
      <c r="Z74" s="248"/>
    </row>
    <row r="75" spans="16:26">
      <c r="P75" s="241"/>
      <c r="Q75" s="241"/>
      <c r="R75" s="241"/>
      <c r="S75" s="241"/>
      <c r="T75" s="241"/>
      <c r="U75" s="241"/>
      <c r="V75" s="241"/>
      <c r="W75" s="241"/>
      <c r="X75" s="241"/>
      <c r="Y75" s="241"/>
      <c r="Z75" s="241"/>
    </row>
    <row r="76" spans="16:26">
      <c r="P76" s="248"/>
      <c r="Q76" s="248"/>
      <c r="R76" s="248"/>
      <c r="S76" s="248"/>
      <c r="T76" s="248"/>
      <c r="U76" s="248"/>
      <c r="V76" s="248"/>
      <c r="W76" s="248"/>
      <c r="X76" s="248"/>
      <c r="Y76" s="248"/>
      <c r="Z76" s="248"/>
    </row>
    <row r="77" spans="16:26">
      <c r="P77" s="248"/>
      <c r="Q77" s="248"/>
      <c r="R77" s="248"/>
      <c r="S77" s="248"/>
      <c r="T77" s="248"/>
      <c r="U77" s="248"/>
      <c r="V77" s="248"/>
      <c r="W77" s="248"/>
      <c r="X77" s="248"/>
      <c r="Y77" s="248"/>
      <c r="Z77" s="248"/>
    </row>
    <row r="78" spans="16:26">
      <c r="P78" s="241"/>
      <c r="Q78" s="241"/>
      <c r="R78" s="241"/>
      <c r="S78" s="241"/>
      <c r="T78" s="241"/>
      <c r="U78" s="241"/>
      <c r="V78" s="241"/>
      <c r="W78" s="241"/>
      <c r="X78" s="241"/>
      <c r="Y78" s="241"/>
      <c r="Z78" s="241"/>
    </row>
    <row r="79" spans="16:26">
      <c r="P79" s="248"/>
      <c r="Q79" s="248"/>
      <c r="R79" s="248"/>
      <c r="S79" s="248"/>
      <c r="T79" s="248"/>
      <c r="U79" s="248"/>
      <c r="V79" s="248"/>
      <c r="W79" s="248"/>
      <c r="X79" s="248"/>
      <c r="Y79" s="248"/>
      <c r="Z79" s="248"/>
    </row>
    <row r="80" spans="16:26">
      <c r="P80" s="248"/>
      <c r="Q80" s="248"/>
      <c r="R80" s="248"/>
      <c r="S80" s="248"/>
      <c r="T80" s="248"/>
      <c r="U80" s="248"/>
      <c r="V80" s="248"/>
      <c r="W80" s="248"/>
      <c r="X80" s="248"/>
      <c r="Y80" s="248"/>
      <c r="Z80" s="248"/>
    </row>
    <row r="81" spans="16:26">
      <c r="P81" s="241"/>
      <c r="Q81" s="241"/>
      <c r="R81" s="241"/>
      <c r="S81" s="241"/>
      <c r="T81" s="241"/>
      <c r="U81" s="241"/>
      <c r="V81" s="241"/>
      <c r="W81" s="241"/>
      <c r="X81" s="241"/>
      <c r="Y81" s="241"/>
      <c r="Z81" s="241"/>
    </row>
    <row r="82" spans="16:26">
      <c r="P82" s="248"/>
      <c r="Q82" s="248"/>
      <c r="R82" s="248"/>
      <c r="S82" s="248"/>
      <c r="T82" s="248"/>
      <c r="U82" s="248"/>
      <c r="V82" s="248"/>
      <c r="W82" s="248"/>
      <c r="X82" s="248"/>
      <c r="Y82" s="248"/>
      <c r="Z82" s="248"/>
    </row>
    <row r="83" spans="16:26">
      <c r="P83" s="248"/>
      <c r="Q83" s="248"/>
      <c r="R83" s="248"/>
      <c r="S83" s="248"/>
      <c r="T83" s="248"/>
      <c r="U83" s="248"/>
      <c r="V83" s="248"/>
      <c r="W83" s="248"/>
      <c r="X83" s="248"/>
      <c r="Y83" s="248"/>
      <c r="Z83" s="248"/>
    </row>
    <row r="84" spans="16:26">
      <c r="P84" s="241"/>
      <c r="Q84" s="241"/>
      <c r="R84" s="241"/>
      <c r="S84" s="241"/>
      <c r="T84" s="241"/>
      <c r="U84" s="241"/>
      <c r="V84" s="241"/>
      <c r="W84" s="241"/>
      <c r="X84" s="241"/>
      <c r="Y84" s="241"/>
      <c r="Z84" s="241"/>
    </row>
    <row r="85" spans="16:26">
      <c r="P85" s="248"/>
      <c r="Q85" s="248"/>
      <c r="R85" s="248"/>
      <c r="S85" s="248"/>
      <c r="T85" s="248"/>
      <c r="U85" s="248"/>
      <c r="V85" s="248"/>
      <c r="W85" s="248"/>
      <c r="X85" s="248"/>
      <c r="Y85" s="248"/>
      <c r="Z85" s="248"/>
    </row>
    <row r="86" spans="16:26">
      <c r="P86" s="248"/>
      <c r="Q86" s="248"/>
      <c r="R86" s="248"/>
      <c r="S86" s="248"/>
      <c r="T86" s="248"/>
      <c r="U86" s="248"/>
      <c r="V86" s="248"/>
      <c r="W86" s="248"/>
      <c r="X86" s="248"/>
      <c r="Y86" s="248"/>
      <c r="Z86" s="248"/>
    </row>
    <row r="87" spans="16:26">
      <c r="P87" s="241"/>
      <c r="Q87" s="241"/>
      <c r="R87" s="241"/>
      <c r="S87" s="241"/>
      <c r="T87" s="241"/>
      <c r="U87" s="241"/>
      <c r="V87" s="241"/>
      <c r="W87" s="241"/>
      <c r="X87" s="241"/>
      <c r="Y87" s="241"/>
      <c r="Z87" s="241"/>
    </row>
    <row r="88" spans="16:26">
      <c r="P88" s="248"/>
      <c r="Q88" s="248"/>
      <c r="R88" s="248"/>
      <c r="S88" s="248"/>
      <c r="T88" s="248"/>
      <c r="U88" s="248"/>
      <c r="V88" s="248"/>
      <c r="W88" s="248"/>
      <c r="X88" s="248"/>
      <c r="Y88" s="248"/>
      <c r="Z88" s="248"/>
    </row>
    <row r="89" spans="16:26">
      <c r="P89" s="248"/>
      <c r="Q89" s="248"/>
      <c r="R89" s="248"/>
      <c r="S89" s="248"/>
      <c r="T89" s="248"/>
      <c r="U89" s="248"/>
      <c r="V89" s="248"/>
      <c r="W89" s="248"/>
      <c r="X89" s="248"/>
      <c r="Y89" s="248"/>
      <c r="Z89" s="248"/>
    </row>
    <row r="90" spans="16:26">
      <c r="P90" s="241"/>
      <c r="Q90" s="241"/>
      <c r="R90" s="241"/>
      <c r="S90" s="241"/>
      <c r="T90" s="241"/>
      <c r="U90" s="241"/>
      <c r="V90" s="241"/>
      <c r="W90" s="241"/>
      <c r="X90" s="241"/>
      <c r="Y90" s="241"/>
      <c r="Z90" s="241"/>
    </row>
    <row r="91" spans="16:26">
      <c r="P91" s="248"/>
      <c r="Q91" s="248"/>
      <c r="R91" s="248"/>
      <c r="S91" s="248"/>
      <c r="T91" s="248"/>
      <c r="U91" s="248"/>
      <c r="V91" s="248"/>
      <c r="W91" s="248"/>
      <c r="X91" s="248"/>
      <c r="Y91" s="248"/>
      <c r="Z91" s="248"/>
    </row>
    <row r="92" spans="16:26">
      <c r="P92" s="248"/>
      <c r="Q92" s="248"/>
      <c r="R92" s="248"/>
      <c r="S92" s="248"/>
      <c r="T92" s="248"/>
      <c r="U92" s="248"/>
      <c r="V92" s="248"/>
      <c r="W92" s="248"/>
      <c r="X92" s="248"/>
      <c r="Y92" s="248"/>
      <c r="Z92" s="248"/>
    </row>
    <row r="93" spans="16:26">
      <c r="P93" s="241"/>
      <c r="Q93" s="241"/>
      <c r="R93" s="241"/>
      <c r="S93" s="241"/>
      <c r="T93" s="241"/>
      <c r="U93" s="241"/>
      <c r="V93" s="241"/>
      <c r="W93" s="241"/>
      <c r="X93" s="241"/>
      <c r="Y93" s="241"/>
      <c r="Z93" s="241"/>
    </row>
    <row r="94" spans="16:26">
      <c r="P94" s="248"/>
      <c r="Q94" s="248"/>
      <c r="R94" s="248"/>
      <c r="S94" s="248"/>
      <c r="T94" s="248"/>
      <c r="U94" s="248"/>
      <c r="V94" s="248"/>
      <c r="W94" s="248"/>
      <c r="X94" s="248"/>
      <c r="Y94" s="248"/>
      <c r="Z94" s="248"/>
    </row>
    <row r="95" spans="16:26">
      <c r="P95" s="248"/>
      <c r="Q95" s="248"/>
      <c r="R95" s="248"/>
      <c r="S95" s="248"/>
      <c r="T95" s="248"/>
      <c r="U95" s="248"/>
      <c r="V95" s="248"/>
      <c r="W95" s="248"/>
      <c r="X95" s="248"/>
      <c r="Y95" s="248"/>
      <c r="Z95" s="248"/>
    </row>
    <row r="96" spans="16:26">
      <c r="P96" s="241"/>
      <c r="Q96" s="241"/>
      <c r="R96" s="241"/>
      <c r="S96" s="241"/>
      <c r="T96" s="241"/>
      <c r="U96" s="241"/>
      <c r="V96" s="241"/>
      <c r="W96" s="241"/>
      <c r="X96" s="241"/>
      <c r="Y96" s="241"/>
      <c r="Z96" s="241"/>
    </row>
    <row r="97" spans="16:26">
      <c r="P97" s="248"/>
      <c r="Q97" s="248"/>
      <c r="R97" s="248"/>
      <c r="S97" s="248"/>
      <c r="T97" s="248"/>
      <c r="U97" s="248"/>
      <c r="V97" s="248"/>
      <c r="W97" s="248"/>
      <c r="X97" s="248"/>
      <c r="Y97" s="248"/>
      <c r="Z97" s="248"/>
    </row>
    <row r="98" spans="16:26">
      <c r="P98" s="248"/>
      <c r="Q98" s="248"/>
      <c r="R98" s="248"/>
      <c r="S98" s="248"/>
      <c r="T98" s="248"/>
      <c r="U98" s="248"/>
      <c r="V98" s="248"/>
      <c r="W98" s="248"/>
      <c r="X98" s="248"/>
      <c r="Y98" s="248"/>
      <c r="Z98" s="248"/>
    </row>
    <row r="99" spans="16:26">
      <c r="P99" s="241"/>
      <c r="Q99" s="241"/>
      <c r="R99" s="241"/>
      <c r="S99" s="241"/>
      <c r="T99" s="241"/>
      <c r="U99" s="241"/>
      <c r="V99" s="241"/>
      <c r="W99" s="241"/>
      <c r="X99" s="241"/>
      <c r="Y99" s="241"/>
      <c r="Z99" s="241"/>
    </row>
    <row r="100" spans="16:26">
      <c r="P100" s="248"/>
      <c r="Q100" s="248"/>
      <c r="R100" s="248"/>
      <c r="S100" s="248"/>
      <c r="T100" s="248"/>
      <c r="U100" s="248"/>
      <c r="V100" s="248"/>
      <c r="W100" s="248"/>
      <c r="X100" s="248"/>
      <c r="Y100" s="248"/>
      <c r="Z100" s="248"/>
    </row>
    <row r="101" spans="16:26">
      <c r="P101" s="248"/>
      <c r="Q101" s="248"/>
      <c r="R101" s="248"/>
      <c r="S101" s="248"/>
      <c r="T101" s="248"/>
      <c r="U101" s="248"/>
      <c r="V101" s="248"/>
      <c r="W101" s="248"/>
      <c r="X101" s="248"/>
      <c r="Y101" s="248"/>
      <c r="Z101" s="248"/>
    </row>
    <row r="102" spans="16:26">
      <c r="P102" s="241"/>
      <c r="Q102" s="241"/>
      <c r="R102" s="241"/>
      <c r="S102" s="241"/>
      <c r="T102" s="241"/>
      <c r="U102" s="241"/>
      <c r="V102" s="241"/>
      <c r="W102" s="241"/>
      <c r="X102" s="241"/>
      <c r="Y102" s="241"/>
      <c r="Z102" s="241"/>
    </row>
    <row r="103" spans="16:26">
      <c r="P103" s="248"/>
      <c r="Q103" s="248"/>
      <c r="R103" s="248"/>
      <c r="S103" s="248"/>
      <c r="T103" s="248"/>
      <c r="U103" s="248"/>
      <c r="V103" s="248"/>
      <c r="W103" s="248"/>
      <c r="X103" s="248"/>
      <c r="Y103" s="248"/>
      <c r="Z103" s="248"/>
    </row>
    <row r="104" spans="16:26">
      <c r="P104" s="248"/>
      <c r="Q104" s="248"/>
      <c r="R104" s="248"/>
      <c r="S104" s="248"/>
      <c r="T104" s="248"/>
      <c r="U104" s="248"/>
      <c r="V104" s="248"/>
      <c r="W104" s="248"/>
      <c r="X104" s="248"/>
      <c r="Y104" s="248"/>
      <c r="Z104" s="248"/>
    </row>
    <row r="105" spans="16:26">
      <c r="P105" s="241"/>
      <c r="Q105" s="241"/>
      <c r="R105" s="241"/>
      <c r="S105" s="241"/>
      <c r="T105" s="241"/>
      <c r="U105" s="241"/>
      <c r="V105" s="241"/>
      <c r="W105" s="241"/>
      <c r="X105" s="241"/>
      <c r="Y105" s="241"/>
      <c r="Z105" s="241"/>
    </row>
    <row r="106" spans="16:26">
      <c r="P106" s="248"/>
      <c r="Q106" s="248"/>
      <c r="R106" s="248"/>
      <c r="S106" s="248"/>
      <c r="T106" s="248"/>
      <c r="U106" s="248"/>
      <c r="V106" s="248"/>
      <c r="W106" s="248"/>
      <c r="X106" s="248"/>
      <c r="Y106" s="248"/>
      <c r="Z106" s="248"/>
    </row>
    <row r="107" spans="16:26">
      <c r="P107" s="248"/>
      <c r="Q107" s="248"/>
      <c r="R107" s="248"/>
      <c r="S107" s="248"/>
      <c r="T107" s="248"/>
      <c r="U107" s="248"/>
      <c r="V107" s="248"/>
      <c r="W107" s="248"/>
      <c r="X107" s="248"/>
      <c r="Y107" s="248"/>
      <c r="Z107" s="248"/>
    </row>
    <row r="108" spans="16:26">
      <c r="P108" s="241"/>
      <c r="Q108" s="241"/>
      <c r="R108" s="241"/>
      <c r="S108" s="241"/>
      <c r="T108" s="241"/>
      <c r="U108" s="241"/>
      <c r="V108" s="241"/>
      <c r="W108" s="241"/>
      <c r="X108" s="241"/>
      <c r="Y108" s="241"/>
      <c r="Z108" s="241"/>
    </row>
    <row r="109" spans="16:26">
      <c r="P109" s="248"/>
      <c r="Q109" s="248"/>
      <c r="R109" s="248"/>
      <c r="S109" s="248"/>
      <c r="T109" s="248"/>
      <c r="U109" s="248"/>
      <c r="V109" s="248"/>
      <c r="W109" s="248"/>
      <c r="X109" s="248"/>
      <c r="Y109" s="248"/>
      <c r="Z109" s="248"/>
    </row>
    <row r="110" spans="16:26">
      <c r="P110" s="248"/>
      <c r="Q110" s="248"/>
      <c r="R110" s="248"/>
      <c r="S110" s="248"/>
      <c r="T110" s="248"/>
      <c r="U110" s="248"/>
      <c r="V110" s="248"/>
      <c r="W110" s="248"/>
      <c r="X110" s="248"/>
      <c r="Y110" s="248"/>
      <c r="Z110" s="248"/>
    </row>
    <row r="111" spans="16:26">
      <c r="P111" s="241"/>
      <c r="Q111" s="241"/>
      <c r="R111" s="241"/>
      <c r="S111" s="241"/>
      <c r="T111" s="241"/>
      <c r="U111" s="241"/>
      <c r="V111" s="241"/>
      <c r="W111" s="241"/>
      <c r="X111" s="241"/>
      <c r="Y111" s="241"/>
      <c r="Z111" s="241"/>
    </row>
    <row r="112" spans="16:26">
      <c r="P112" s="248"/>
      <c r="Q112" s="248"/>
      <c r="R112" s="248"/>
      <c r="S112" s="248"/>
      <c r="T112" s="248"/>
      <c r="U112" s="248"/>
      <c r="V112" s="248"/>
      <c r="W112" s="248"/>
      <c r="X112" s="248"/>
      <c r="Y112" s="248"/>
      <c r="Z112" s="248"/>
    </row>
    <row r="113" spans="16:26">
      <c r="P113" s="248"/>
      <c r="Q113" s="248"/>
      <c r="R113" s="248"/>
      <c r="S113" s="248"/>
      <c r="T113" s="248"/>
      <c r="U113" s="248"/>
      <c r="V113" s="248"/>
      <c r="W113" s="248"/>
      <c r="X113" s="248"/>
      <c r="Y113" s="248"/>
      <c r="Z113" s="248"/>
    </row>
    <row r="114" spans="16:26">
      <c r="P114" s="241"/>
      <c r="Q114" s="241"/>
      <c r="R114" s="241"/>
      <c r="S114" s="241"/>
      <c r="T114" s="241"/>
      <c r="U114" s="241"/>
      <c r="V114" s="241"/>
      <c r="W114" s="241"/>
      <c r="X114" s="241"/>
      <c r="Y114" s="241"/>
      <c r="Z114" s="241"/>
    </row>
    <row r="115" spans="16:26">
      <c r="P115" s="248"/>
      <c r="Q115" s="248"/>
      <c r="R115" s="248"/>
      <c r="S115" s="248"/>
      <c r="T115" s="248"/>
      <c r="U115" s="248"/>
      <c r="V115" s="248"/>
      <c r="W115" s="248"/>
      <c r="X115" s="248"/>
      <c r="Y115" s="248"/>
      <c r="Z115" s="248"/>
    </row>
    <row r="116" spans="16:26">
      <c r="P116" s="248"/>
      <c r="Q116" s="248"/>
      <c r="R116" s="248"/>
      <c r="S116" s="248"/>
      <c r="T116" s="248"/>
      <c r="U116" s="248"/>
      <c r="V116" s="248"/>
      <c r="W116" s="248"/>
      <c r="X116" s="248"/>
      <c r="Y116" s="248"/>
      <c r="Z116" s="248"/>
    </row>
    <row r="117" spans="16:26">
      <c r="P117" s="241"/>
      <c r="Q117" s="241"/>
      <c r="R117" s="241"/>
      <c r="S117" s="241"/>
      <c r="T117" s="241"/>
      <c r="U117" s="241"/>
      <c r="V117" s="241"/>
      <c r="W117" s="241"/>
      <c r="X117" s="241"/>
      <c r="Y117" s="241"/>
      <c r="Z117" s="241"/>
    </row>
    <row r="118" spans="16:26">
      <c r="P118" s="248"/>
      <c r="Q118" s="248"/>
      <c r="R118" s="248"/>
      <c r="S118" s="248"/>
      <c r="T118" s="248"/>
      <c r="U118" s="248"/>
      <c r="V118" s="248"/>
      <c r="W118" s="248"/>
      <c r="X118" s="248"/>
      <c r="Y118" s="248"/>
      <c r="Z118" s="248"/>
    </row>
    <row r="119" spans="16:26">
      <c r="P119" s="248"/>
      <c r="Q119" s="248"/>
      <c r="R119" s="248"/>
      <c r="S119" s="248"/>
      <c r="T119" s="248"/>
      <c r="U119" s="248"/>
      <c r="V119" s="248"/>
      <c r="W119" s="248"/>
      <c r="X119" s="248"/>
      <c r="Y119" s="248"/>
      <c r="Z119" s="248"/>
    </row>
    <row r="120" spans="16:26">
      <c r="P120" s="241"/>
      <c r="Q120" s="241"/>
      <c r="R120" s="241"/>
      <c r="S120" s="241"/>
      <c r="T120" s="241"/>
      <c r="U120" s="241"/>
      <c r="V120" s="241"/>
      <c r="W120" s="241"/>
      <c r="X120" s="241"/>
      <c r="Y120" s="241"/>
      <c r="Z120" s="241"/>
    </row>
    <row r="121" spans="16:26">
      <c r="P121" s="248"/>
      <c r="Q121" s="248"/>
      <c r="R121" s="248"/>
      <c r="S121" s="248"/>
      <c r="T121" s="248"/>
      <c r="U121" s="248"/>
      <c r="V121" s="248"/>
      <c r="W121" s="248"/>
      <c r="X121" s="248"/>
      <c r="Y121" s="248"/>
      <c r="Z121" s="248"/>
    </row>
    <row r="122" spans="16:26">
      <c r="P122" s="248"/>
      <c r="Q122" s="248"/>
      <c r="R122" s="248"/>
      <c r="S122" s="248"/>
      <c r="T122" s="248"/>
      <c r="U122" s="248"/>
      <c r="V122" s="248"/>
      <c r="W122" s="248"/>
      <c r="X122" s="248"/>
      <c r="Y122" s="248"/>
      <c r="Z122" s="248"/>
    </row>
    <row r="123" spans="16:26">
      <c r="P123" s="241"/>
      <c r="Q123" s="241"/>
      <c r="R123" s="241"/>
      <c r="S123" s="241"/>
      <c r="T123" s="241"/>
      <c r="U123" s="241"/>
      <c r="V123" s="241"/>
      <c r="W123" s="241"/>
      <c r="X123" s="241"/>
      <c r="Y123" s="241"/>
      <c r="Z123" s="241"/>
    </row>
    <row r="124" spans="16:26">
      <c r="P124" s="248"/>
      <c r="Q124" s="248"/>
      <c r="R124" s="248"/>
      <c r="S124" s="248"/>
      <c r="T124" s="248"/>
      <c r="U124" s="248"/>
      <c r="V124" s="248"/>
      <c r="W124" s="248"/>
      <c r="X124" s="248"/>
      <c r="Y124" s="248"/>
      <c r="Z124" s="248"/>
    </row>
    <row r="125" spans="16:26">
      <c r="P125" s="248"/>
      <c r="Q125" s="248"/>
      <c r="R125" s="248"/>
      <c r="S125" s="248"/>
      <c r="T125" s="248"/>
      <c r="U125" s="248"/>
      <c r="V125" s="248"/>
      <c r="W125" s="248"/>
      <c r="X125" s="248"/>
      <c r="Y125" s="248"/>
      <c r="Z125" s="248"/>
    </row>
    <row r="126" spans="16:26">
      <c r="P126" s="241"/>
      <c r="Q126" s="241"/>
      <c r="R126" s="241"/>
      <c r="S126" s="241"/>
      <c r="T126" s="241"/>
      <c r="U126" s="241"/>
      <c r="V126" s="241"/>
      <c r="W126" s="241"/>
      <c r="X126" s="241"/>
      <c r="Y126" s="241"/>
      <c r="Z126" s="241"/>
    </row>
    <row r="127" spans="16:26">
      <c r="P127" s="248"/>
      <c r="Q127" s="248"/>
      <c r="R127" s="248"/>
      <c r="S127" s="248"/>
      <c r="T127" s="248"/>
      <c r="U127" s="248"/>
      <c r="V127" s="248"/>
      <c r="W127" s="248"/>
      <c r="X127" s="248"/>
      <c r="Y127" s="248"/>
      <c r="Z127" s="248"/>
    </row>
    <row r="128" spans="16:26">
      <c r="P128" s="248"/>
      <c r="Q128" s="248"/>
      <c r="R128" s="248"/>
      <c r="S128" s="248"/>
      <c r="T128" s="248"/>
      <c r="U128" s="248"/>
      <c r="V128" s="248"/>
      <c r="W128" s="248"/>
      <c r="X128" s="248"/>
      <c r="Y128" s="248"/>
      <c r="Z128" s="248"/>
    </row>
    <row r="129" spans="16:26">
      <c r="P129" s="241"/>
      <c r="Q129" s="241"/>
      <c r="R129" s="241"/>
      <c r="S129" s="241"/>
      <c r="T129" s="241"/>
      <c r="U129" s="241"/>
      <c r="V129" s="241"/>
      <c r="W129" s="241"/>
      <c r="X129" s="241"/>
      <c r="Y129" s="241"/>
      <c r="Z129" s="241"/>
    </row>
    <row r="130" spans="16:26">
      <c r="P130" s="248"/>
      <c r="Q130" s="248"/>
      <c r="R130" s="248"/>
      <c r="S130" s="248"/>
      <c r="T130" s="248"/>
      <c r="U130" s="248"/>
      <c r="V130" s="248"/>
      <c r="W130" s="248"/>
      <c r="X130" s="248"/>
      <c r="Y130" s="248"/>
      <c r="Z130" s="248"/>
    </row>
    <row r="131" spans="16:26">
      <c r="P131" s="248"/>
      <c r="Q131" s="248"/>
      <c r="R131" s="248"/>
      <c r="S131" s="248"/>
      <c r="T131" s="248"/>
      <c r="U131" s="248"/>
      <c r="V131" s="248"/>
      <c r="W131" s="248"/>
      <c r="X131" s="248"/>
      <c r="Y131" s="248"/>
      <c r="Z131" s="248"/>
    </row>
    <row r="132" spans="16:26">
      <c r="P132" s="241"/>
      <c r="Q132" s="241"/>
      <c r="R132" s="241"/>
      <c r="S132" s="241"/>
      <c r="T132" s="241"/>
      <c r="U132" s="241"/>
      <c r="V132" s="241"/>
      <c r="W132" s="241"/>
      <c r="X132" s="241"/>
      <c r="Y132" s="241"/>
      <c r="Z132" s="241"/>
    </row>
    <row r="133" spans="16:26">
      <c r="P133" s="248"/>
      <c r="Q133" s="248"/>
      <c r="R133" s="248"/>
      <c r="S133" s="248"/>
      <c r="T133" s="248"/>
      <c r="U133" s="248"/>
      <c r="V133" s="248"/>
      <c r="W133" s="248"/>
      <c r="X133" s="248"/>
      <c r="Y133" s="248"/>
      <c r="Z133" s="248"/>
    </row>
    <row r="134" spans="16:26">
      <c r="P134" s="248"/>
      <c r="Q134" s="248"/>
      <c r="R134" s="248"/>
      <c r="S134" s="248"/>
      <c r="T134" s="248"/>
      <c r="U134" s="248"/>
      <c r="V134" s="248"/>
      <c r="W134" s="248"/>
      <c r="X134" s="248"/>
      <c r="Y134" s="248"/>
      <c r="Z134" s="248"/>
    </row>
    <row r="135" spans="16:26">
      <c r="P135" s="241"/>
      <c r="Q135" s="241"/>
      <c r="R135" s="241"/>
      <c r="S135" s="241"/>
      <c r="T135" s="241"/>
      <c r="U135" s="241"/>
      <c r="V135" s="241"/>
      <c r="W135" s="241"/>
      <c r="X135" s="241"/>
      <c r="Y135" s="241"/>
      <c r="Z135" s="241"/>
    </row>
    <row r="136" spans="16:26">
      <c r="P136" s="248"/>
      <c r="Q136" s="248"/>
      <c r="R136" s="248"/>
      <c r="S136" s="248"/>
      <c r="T136" s="248"/>
      <c r="U136" s="248"/>
      <c r="V136" s="248"/>
      <c r="W136" s="248"/>
      <c r="X136" s="248"/>
      <c r="Y136" s="248"/>
      <c r="Z136" s="248"/>
    </row>
    <row r="137" spans="16:26">
      <c r="P137" s="248"/>
      <c r="Q137" s="248"/>
      <c r="R137" s="248"/>
      <c r="S137" s="248"/>
      <c r="T137" s="248"/>
      <c r="U137" s="248"/>
      <c r="V137" s="248"/>
      <c r="W137" s="248"/>
      <c r="X137" s="248"/>
      <c r="Y137" s="248"/>
      <c r="Z137" s="248"/>
    </row>
    <row r="138" spans="16:26">
      <c r="P138" s="241"/>
      <c r="Q138" s="241"/>
      <c r="R138" s="241"/>
      <c r="S138" s="241"/>
      <c r="T138" s="241"/>
      <c r="U138" s="241"/>
      <c r="V138" s="241"/>
      <c r="W138" s="241"/>
      <c r="X138" s="241"/>
      <c r="Y138" s="241"/>
      <c r="Z138" s="241"/>
    </row>
    <row r="139" spans="16:26">
      <c r="P139" s="248"/>
      <c r="Q139" s="248"/>
      <c r="R139" s="248"/>
      <c r="S139" s="248"/>
      <c r="T139" s="248"/>
      <c r="U139" s="248"/>
      <c r="V139" s="248"/>
      <c r="W139" s="248"/>
      <c r="X139" s="248"/>
      <c r="Y139" s="248"/>
      <c r="Z139" s="248"/>
    </row>
    <row r="140" spans="16:26">
      <c r="P140" s="248"/>
      <c r="Q140" s="248"/>
      <c r="R140" s="248"/>
      <c r="S140" s="248"/>
      <c r="T140" s="248"/>
      <c r="U140" s="248"/>
      <c r="V140" s="248"/>
      <c r="W140" s="248"/>
      <c r="X140" s="248"/>
      <c r="Y140" s="248"/>
      <c r="Z140" s="248"/>
    </row>
    <row r="141" spans="16:26">
      <c r="P141" s="241"/>
      <c r="Q141" s="241"/>
      <c r="R141" s="241"/>
      <c r="S141" s="241"/>
      <c r="T141" s="241"/>
      <c r="U141" s="241"/>
      <c r="V141" s="241"/>
      <c r="W141" s="241"/>
      <c r="X141" s="241"/>
      <c r="Y141" s="241"/>
      <c r="Z141" s="241"/>
    </row>
    <row r="142" spans="16:26">
      <c r="P142" s="248"/>
      <c r="Q142" s="248"/>
      <c r="R142" s="248"/>
      <c r="S142" s="248"/>
      <c r="T142" s="248"/>
      <c r="U142" s="248"/>
      <c r="V142" s="248"/>
      <c r="W142" s="248"/>
      <c r="X142" s="248"/>
      <c r="Y142" s="248"/>
      <c r="Z142" s="248"/>
    </row>
    <row r="143" spans="16:26">
      <c r="P143" s="248"/>
      <c r="Q143" s="248"/>
      <c r="R143" s="248"/>
      <c r="S143" s="248"/>
      <c r="T143" s="248"/>
      <c r="U143" s="248"/>
      <c r="V143" s="248"/>
      <c r="W143" s="248"/>
      <c r="X143" s="248"/>
      <c r="Y143" s="248"/>
      <c r="Z143" s="248"/>
    </row>
    <row r="144" spans="16:26">
      <c r="P144" s="241"/>
      <c r="Q144" s="241"/>
      <c r="R144" s="241"/>
      <c r="S144" s="241"/>
      <c r="T144" s="241"/>
      <c r="U144" s="241"/>
      <c r="V144" s="241"/>
      <c r="W144" s="241"/>
      <c r="X144" s="241"/>
      <c r="Y144" s="241"/>
      <c r="Z144" s="241"/>
    </row>
    <row r="145" spans="16:26">
      <c r="P145" s="248"/>
      <c r="Q145" s="248"/>
      <c r="R145" s="248"/>
      <c r="S145" s="248"/>
      <c r="T145" s="248"/>
      <c r="U145" s="248"/>
      <c r="V145" s="248"/>
      <c r="W145" s="248"/>
      <c r="X145" s="248"/>
      <c r="Y145" s="248"/>
      <c r="Z145" s="248"/>
    </row>
    <row r="146" spans="16:26">
      <c r="P146" s="248"/>
      <c r="Q146" s="248"/>
      <c r="R146" s="248"/>
      <c r="S146" s="248"/>
      <c r="T146" s="248"/>
      <c r="U146" s="248"/>
      <c r="V146" s="248"/>
      <c r="W146" s="248"/>
      <c r="X146" s="248"/>
      <c r="Y146" s="248"/>
      <c r="Z146" s="248"/>
    </row>
    <row r="147" spans="16:26">
      <c r="P147" s="241"/>
      <c r="Q147" s="241"/>
      <c r="R147" s="241"/>
      <c r="S147" s="241"/>
      <c r="T147" s="241"/>
      <c r="U147" s="241"/>
      <c r="V147" s="241"/>
      <c r="W147" s="241"/>
      <c r="X147" s="241"/>
      <c r="Y147" s="241"/>
      <c r="Z147" s="241"/>
    </row>
    <row r="148" spans="16:26">
      <c r="P148" s="248"/>
      <c r="Q148" s="248"/>
      <c r="R148" s="248"/>
      <c r="S148" s="248"/>
      <c r="T148" s="248"/>
      <c r="U148" s="248"/>
      <c r="V148" s="248"/>
      <c r="W148" s="248"/>
      <c r="X148" s="248"/>
      <c r="Y148" s="248"/>
      <c r="Z148" s="248"/>
    </row>
    <row r="149" spans="16:26">
      <c r="P149" s="248"/>
      <c r="Q149" s="248"/>
      <c r="R149" s="248"/>
      <c r="S149" s="248"/>
      <c r="T149" s="248"/>
      <c r="U149" s="248"/>
      <c r="V149" s="248"/>
      <c r="W149" s="248"/>
      <c r="X149" s="248"/>
      <c r="Y149" s="248"/>
      <c r="Z149" s="248"/>
    </row>
    <row r="150" spans="16:26">
      <c r="P150" s="241"/>
      <c r="Q150" s="241"/>
      <c r="R150" s="241"/>
      <c r="S150" s="241"/>
      <c r="T150" s="241"/>
      <c r="U150" s="241"/>
      <c r="V150" s="241"/>
      <c r="W150" s="241"/>
      <c r="X150" s="241"/>
      <c r="Y150" s="241"/>
      <c r="Z150" s="241"/>
    </row>
    <row r="151" spans="16:26">
      <c r="P151" s="248"/>
      <c r="Q151" s="248"/>
      <c r="R151" s="248"/>
      <c r="S151" s="248"/>
      <c r="T151" s="248"/>
      <c r="U151" s="248"/>
      <c r="V151" s="248"/>
      <c r="W151" s="248"/>
      <c r="X151" s="248"/>
      <c r="Y151" s="248"/>
      <c r="Z151" s="248"/>
    </row>
    <row r="152" spans="16:26">
      <c r="P152" s="248"/>
      <c r="Q152" s="248"/>
      <c r="R152" s="248"/>
      <c r="S152" s="248"/>
      <c r="T152" s="248"/>
      <c r="U152" s="248"/>
      <c r="V152" s="248"/>
      <c r="W152" s="248"/>
      <c r="X152" s="248"/>
      <c r="Y152" s="248"/>
      <c r="Z152" s="248"/>
    </row>
    <row r="153" spans="16:26">
      <c r="P153" s="241"/>
      <c r="Q153" s="241"/>
      <c r="R153" s="241"/>
      <c r="S153" s="241"/>
      <c r="T153" s="241"/>
      <c r="U153" s="241"/>
      <c r="V153" s="241"/>
      <c r="W153" s="241"/>
      <c r="X153" s="241"/>
      <c r="Y153" s="241"/>
      <c r="Z153" s="241"/>
    </row>
    <row r="154" spans="16:26">
      <c r="P154" s="248"/>
      <c r="Q154" s="248"/>
      <c r="R154" s="248"/>
      <c r="S154" s="248"/>
      <c r="T154" s="248"/>
      <c r="U154" s="248"/>
      <c r="V154" s="248"/>
      <c r="W154" s="248"/>
      <c r="X154" s="248"/>
      <c r="Y154" s="248"/>
      <c r="Z154" s="248"/>
    </row>
    <row r="155" spans="16:26">
      <c r="P155" s="248"/>
      <c r="Q155" s="248"/>
      <c r="R155" s="248"/>
      <c r="S155" s="248"/>
      <c r="T155" s="248"/>
      <c r="U155" s="248"/>
      <c r="V155" s="248"/>
      <c r="W155" s="248"/>
      <c r="X155" s="248"/>
      <c r="Y155" s="248"/>
      <c r="Z155" s="248"/>
    </row>
    <row r="156" spans="16:26">
      <c r="P156" s="241"/>
      <c r="Q156" s="241"/>
      <c r="R156" s="241"/>
      <c r="S156" s="241"/>
      <c r="T156" s="241"/>
      <c r="U156" s="241"/>
      <c r="V156" s="241"/>
      <c r="W156" s="241"/>
      <c r="X156" s="241"/>
      <c r="Y156" s="241"/>
      <c r="Z156" s="241"/>
    </row>
    <row r="157" spans="16:26">
      <c r="P157" s="248"/>
      <c r="Q157" s="248"/>
      <c r="R157" s="248"/>
      <c r="S157" s="248"/>
      <c r="T157" s="248"/>
      <c r="U157" s="248"/>
      <c r="V157" s="248"/>
      <c r="W157" s="248"/>
      <c r="X157" s="248"/>
      <c r="Y157" s="248"/>
      <c r="Z157" s="248"/>
    </row>
    <row r="158" spans="16:26">
      <c r="P158" s="248"/>
      <c r="Q158" s="248"/>
      <c r="R158" s="248"/>
      <c r="S158" s="248"/>
      <c r="T158" s="248"/>
      <c r="U158" s="248"/>
      <c r="V158" s="248"/>
      <c r="W158" s="248"/>
      <c r="X158" s="248"/>
      <c r="Y158" s="248"/>
      <c r="Z158" s="248"/>
    </row>
    <row r="159" spans="16:26">
      <c r="P159" s="241"/>
      <c r="Q159" s="241"/>
      <c r="R159" s="241"/>
      <c r="S159" s="241"/>
      <c r="T159" s="241"/>
      <c r="U159" s="241"/>
      <c r="V159" s="241"/>
      <c r="W159" s="241"/>
      <c r="X159" s="241"/>
      <c r="Y159" s="241"/>
      <c r="Z159" s="241"/>
    </row>
    <row r="160" spans="16:26">
      <c r="P160" s="248"/>
      <c r="Q160" s="248"/>
      <c r="R160" s="248"/>
      <c r="S160" s="248"/>
      <c r="T160" s="248"/>
      <c r="U160" s="248"/>
      <c r="V160" s="248"/>
      <c r="W160" s="248"/>
      <c r="X160" s="248"/>
      <c r="Y160" s="248"/>
      <c r="Z160" s="248"/>
    </row>
    <row r="161" spans="16:26">
      <c r="P161" s="248"/>
      <c r="Q161" s="248"/>
      <c r="R161" s="248"/>
      <c r="S161" s="248"/>
      <c r="T161" s="248"/>
      <c r="U161" s="248"/>
      <c r="V161" s="248"/>
      <c r="W161" s="248"/>
      <c r="X161" s="248"/>
      <c r="Y161" s="248"/>
      <c r="Z161" s="248"/>
    </row>
    <row r="162" spans="16:26">
      <c r="P162" s="241"/>
      <c r="Q162" s="241"/>
      <c r="R162" s="241"/>
      <c r="S162" s="241"/>
      <c r="T162" s="241"/>
      <c r="U162" s="241"/>
      <c r="V162" s="241"/>
      <c r="W162" s="241"/>
      <c r="X162" s="241"/>
      <c r="Y162" s="241"/>
      <c r="Z162" s="241"/>
    </row>
    <row r="163" spans="16:26">
      <c r="P163" s="248"/>
      <c r="Q163" s="248"/>
      <c r="R163" s="248"/>
      <c r="S163" s="248"/>
      <c r="T163" s="248"/>
      <c r="U163" s="248"/>
      <c r="V163" s="248"/>
      <c r="W163" s="248"/>
      <c r="X163" s="248"/>
      <c r="Y163" s="248"/>
      <c r="Z163" s="248"/>
    </row>
    <row r="164" spans="16:26">
      <c r="P164" s="248"/>
      <c r="Q164" s="248"/>
      <c r="R164" s="248"/>
      <c r="S164" s="248"/>
      <c r="T164" s="248"/>
      <c r="U164" s="248"/>
      <c r="V164" s="248"/>
      <c r="W164" s="248"/>
      <c r="X164" s="248"/>
      <c r="Y164" s="248"/>
      <c r="Z164" s="248"/>
    </row>
    <row r="165" spans="16:26">
      <c r="P165" s="241"/>
      <c r="Q165" s="241"/>
      <c r="R165" s="241"/>
      <c r="S165" s="241"/>
      <c r="T165" s="241"/>
      <c r="U165" s="241"/>
      <c r="V165" s="241"/>
      <c r="W165" s="241"/>
      <c r="X165" s="241"/>
      <c r="Y165" s="241"/>
      <c r="Z165" s="241"/>
    </row>
    <row r="166" spans="16:26">
      <c r="P166" s="248"/>
      <c r="Q166" s="248"/>
      <c r="R166" s="248"/>
      <c r="S166" s="248"/>
      <c r="T166" s="248"/>
      <c r="U166" s="248"/>
      <c r="V166" s="248"/>
      <c r="W166" s="248"/>
      <c r="X166" s="248"/>
      <c r="Y166" s="248"/>
      <c r="Z166" s="248"/>
    </row>
    <row r="167" spans="16:26">
      <c r="P167" s="248"/>
      <c r="Q167" s="248"/>
      <c r="R167" s="248"/>
      <c r="S167" s="248"/>
      <c r="T167" s="248"/>
      <c r="U167" s="248"/>
      <c r="V167" s="248"/>
      <c r="W167" s="248"/>
      <c r="X167" s="248"/>
      <c r="Y167" s="248"/>
      <c r="Z167" s="248"/>
    </row>
    <row r="168" spans="16:26">
      <c r="P168" s="241"/>
      <c r="Q168" s="241"/>
      <c r="R168" s="241"/>
      <c r="S168" s="241"/>
      <c r="T168" s="241"/>
      <c r="U168" s="241"/>
      <c r="V168" s="241"/>
      <c r="W168" s="241"/>
      <c r="X168" s="241"/>
      <c r="Y168" s="241"/>
      <c r="Z168" s="241"/>
    </row>
    <row r="169" spans="16:26">
      <c r="P169" s="248"/>
      <c r="Q169" s="248"/>
      <c r="R169" s="248"/>
      <c r="S169" s="248"/>
      <c r="T169" s="248"/>
      <c r="U169" s="248"/>
      <c r="V169" s="248"/>
      <c r="W169" s="248"/>
      <c r="X169" s="248"/>
      <c r="Y169" s="248"/>
      <c r="Z169" s="248"/>
    </row>
    <row r="170" spans="16:26">
      <c r="P170" s="248"/>
      <c r="Q170" s="248"/>
      <c r="R170" s="248"/>
      <c r="S170" s="248"/>
      <c r="T170" s="248"/>
      <c r="U170" s="248"/>
      <c r="V170" s="248"/>
      <c r="W170" s="248"/>
      <c r="X170" s="248"/>
      <c r="Y170" s="248"/>
      <c r="Z170" s="248"/>
    </row>
    <row r="171" spans="16:26">
      <c r="P171" s="241"/>
      <c r="Q171" s="241"/>
      <c r="R171" s="241"/>
      <c r="S171" s="241"/>
      <c r="T171" s="241"/>
      <c r="U171" s="241"/>
      <c r="V171" s="241"/>
      <c r="W171" s="241"/>
      <c r="X171" s="241"/>
      <c r="Y171" s="241"/>
      <c r="Z171" s="241"/>
    </row>
    <row r="172" spans="16:26">
      <c r="P172" s="248"/>
      <c r="Q172" s="248"/>
      <c r="R172" s="248"/>
      <c r="S172" s="248"/>
      <c r="T172" s="248"/>
      <c r="U172" s="248"/>
      <c r="V172" s="248"/>
      <c r="W172" s="248"/>
      <c r="X172" s="248"/>
      <c r="Y172" s="248"/>
      <c r="Z172" s="248"/>
    </row>
    <row r="173" spans="16:26">
      <c r="P173" s="248"/>
      <c r="Q173" s="248"/>
      <c r="R173" s="248"/>
      <c r="S173" s="248"/>
      <c r="T173" s="248"/>
      <c r="U173" s="248"/>
      <c r="V173" s="248"/>
      <c r="W173" s="248"/>
      <c r="X173" s="248"/>
      <c r="Y173" s="248"/>
      <c r="Z173" s="248"/>
    </row>
    <row r="174" spans="16:26">
      <c r="P174" s="241"/>
      <c r="Q174" s="241"/>
      <c r="R174" s="241"/>
      <c r="S174" s="241"/>
      <c r="T174" s="241"/>
      <c r="U174" s="241"/>
      <c r="V174" s="241"/>
      <c r="W174" s="241"/>
      <c r="X174" s="241"/>
      <c r="Y174" s="241"/>
      <c r="Z174" s="241"/>
    </row>
    <row r="175" spans="16:26">
      <c r="P175" s="248"/>
      <c r="Q175" s="248"/>
      <c r="R175" s="248"/>
      <c r="S175" s="248"/>
      <c r="T175" s="248"/>
      <c r="U175" s="248"/>
      <c r="V175" s="248"/>
      <c r="W175" s="248"/>
      <c r="X175" s="248"/>
      <c r="Y175" s="248"/>
      <c r="Z175" s="248"/>
    </row>
    <row r="176" spans="16:26">
      <c r="P176" s="248"/>
      <c r="Q176" s="248"/>
      <c r="R176" s="248"/>
      <c r="S176" s="248"/>
      <c r="T176" s="248"/>
      <c r="U176" s="248"/>
      <c r="V176" s="248"/>
      <c r="W176" s="248"/>
      <c r="X176" s="248"/>
      <c r="Y176" s="248"/>
      <c r="Z176" s="248"/>
    </row>
    <row r="177" spans="16:26">
      <c r="P177" s="241"/>
      <c r="Q177" s="241"/>
      <c r="R177" s="241"/>
      <c r="S177" s="241"/>
      <c r="T177" s="241"/>
      <c r="U177" s="241"/>
      <c r="V177" s="241"/>
      <c r="W177" s="241"/>
      <c r="X177" s="241"/>
      <c r="Y177" s="241"/>
      <c r="Z177" s="241"/>
    </row>
    <row r="178" spans="16:26">
      <c r="P178" s="248"/>
      <c r="Q178" s="248"/>
      <c r="R178" s="248"/>
      <c r="S178" s="248"/>
      <c r="T178" s="248"/>
      <c r="U178" s="248"/>
      <c r="V178" s="248"/>
      <c r="W178" s="248"/>
      <c r="X178" s="248"/>
      <c r="Y178" s="248"/>
      <c r="Z178" s="248"/>
    </row>
    <row r="179" spans="16:26">
      <c r="P179" s="248"/>
      <c r="Q179" s="248"/>
      <c r="R179" s="248"/>
      <c r="S179" s="248"/>
      <c r="T179" s="248"/>
      <c r="U179" s="248"/>
      <c r="V179" s="248"/>
      <c r="W179" s="248"/>
      <c r="X179" s="248"/>
      <c r="Y179" s="248"/>
      <c r="Z179" s="248"/>
    </row>
    <row r="180" spans="16:26">
      <c r="P180" s="241"/>
      <c r="Q180" s="241"/>
      <c r="R180" s="241"/>
      <c r="S180" s="241"/>
      <c r="T180" s="241"/>
      <c r="U180" s="241"/>
      <c r="V180" s="241"/>
      <c r="W180" s="241"/>
      <c r="X180" s="241"/>
      <c r="Y180" s="241"/>
      <c r="Z180" s="241"/>
    </row>
    <row r="181" spans="16:26">
      <c r="P181" s="248"/>
      <c r="Q181" s="248"/>
      <c r="R181" s="248"/>
      <c r="S181" s="248"/>
      <c r="T181" s="248"/>
      <c r="U181" s="248"/>
      <c r="V181" s="248"/>
      <c r="W181" s="248"/>
      <c r="X181" s="248"/>
      <c r="Y181" s="248"/>
      <c r="Z181" s="248"/>
    </row>
    <row r="182" spans="16:26">
      <c r="P182" s="248"/>
      <c r="Q182" s="248"/>
      <c r="R182" s="248"/>
      <c r="S182" s="248"/>
      <c r="T182" s="248"/>
      <c r="U182" s="248"/>
      <c r="V182" s="248"/>
      <c r="W182" s="248"/>
      <c r="X182" s="248"/>
      <c r="Y182" s="248"/>
      <c r="Z182" s="248"/>
    </row>
    <row r="183" spans="16:26">
      <c r="P183" s="241"/>
      <c r="Q183" s="241"/>
      <c r="R183" s="241"/>
      <c r="S183" s="241"/>
      <c r="T183" s="241"/>
      <c r="U183" s="241"/>
      <c r="V183" s="241"/>
      <c r="W183" s="241"/>
      <c r="X183" s="241"/>
      <c r="Y183" s="241"/>
      <c r="Z183" s="241"/>
    </row>
    <row r="184" spans="16:26">
      <c r="P184" s="248"/>
      <c r="Q184" s="248"/>
      <c r="R184" s="248"/>
      <c r="S184" s="248"/>
      <c r="T184" s="248"/>
      <c r="U184" s="248"/>
      <c r="V184" s="248"/>
      <c r="W184" s="248"/>
      <c r="X184" s="248"/>
      <c r="Y184" s="248"/>
      <c r="Z184" s="248"/>
    </row>
    <row r="185" spans="16:26">
      <c r="P185" s="248"/>
      <c r="Q185" s="248"/>
      <c r="R185" s="248"/>
      <c r="S185" s="248"/>
      <c r="T185" s="248"/>
      <c r="U185" s="248"/>
      <c r="V185" s="248"/>
      <c r="W185" s="248"/>
      <c r="X185" s="248"/>
      <c r="Y185" s="248"/>
      <c r="Z185" s="248"/>
    </row>
    <row r="186" spans="16:26">
      <c r="P186" s="241"/>
      <c r="Q186" s="241"/>
      <c r="R186" s="241"/>
      <c r="S186" s="241"/>
      <c r="T186" s="241"/>
      <c r="U186" s="241"/>
      <c r="V186" s="241"/>
      <c r="W186" s="241"/>
      <c r="X186" s="241"/>
      <c r="Y186" s="241"/>
      <c r="Z186" s="241"/>
    </row>
    <row r="187" spans="16:26">
      <c r="P187" s="248"/>
      <c r="Q187" s="248"/>
      <c r="R187" s="248"/>
      <c r="S187" s="248"/>
      <c r="T187" s="248"/>
      <c r="U187" s="248"/>
      <c r="V187" s="248"/>
      <c r="W187" s="248"/>
      <c r="X187" s="248"/>
      <c r="Y187" s="248"/>
      <c r="Z187" s="248"/>
    </row>
    <row r="188" spans="16:26">
      <c r="P188" s="248"/>
      <c r="Q188" s="248"/>
      <c r="R188" s="248"/>
      <c r="S188" s="248"/>
      <c r="T188" s="248"/>
      <c r="U188" s="248"/>
      <c r="V188" s="248"/>
      <c r="W188" s="248"/>
      <c r="X188" s="248"/>
      <c r="Y188" s="248"/>
      <c r="Z188" s="248"/>
    </row>
    <row r="189" spans="16:26">
      <c r="P189" s="241"/>
      <c r="Q189" s="241"/>
      <c r="R189" s="241"/>
      <c r="S189" s="241"/>
      <c r="T189" s="241"/>
      <c r="U189" s="241"/>
      <c r="V189" s="241"/>
      <c r="W189" s="241"/>
      <c r="X189" s="241"/>
      <c r="Y189" s="241"/>
      <c r="Z189" s="241"/>
    </row>
    <row r="190" spans="16:26">
      <c r="P190" s="248"/>
      <c r="Q190" s="248"/>
      <c r="R190" s="248"/>
      <c r="S190" s="248"/>
      <c r="T190" s="248"/>
      <c r="U190" s="248"/>
      <c r="V190" s="248"/>
      <c r="W190" s="248"/>
      <c r="X190" s="248"/>
      <c r="Y190" s="248"/>
      <c r="Z190" s="248"/>
    </row>
    <row r="191" spans="16:26">
      <c r="P191" s="248"/>
      <c r="Q191" s="248"/>
      <c r="R191" s="248"/>
      <c r="S191" s="248"/>
      <c r="T191" s="248"/>
      <c r="U191" s="248"/>
      <c r="V191" s="248"/>
      <c r="W191" s="248"/>
      <c r="X191" s="248"/>
      <c r="Y191" s="248"/>
      <c r="Z191" s="248"/>
    </row>
    <row r="192" spans="16:26">
      <c r="P192" s="241"/>
      <c r="Q192" s="241"/>
      <c r="R192" s="241"/>
      <c r="S192" s="241"/>
      <c r="T192" s="241"/>
      <c r="U192" s="241"/>
      <c r="V192" s="241"/>
      <c r="W192" s="241"/>
      <c r="X192" s="241"/>
      <c r="Y192" s="241"/>
      <c r="Z192" s="241"/>
    </row>
    <row r="193" spans="16:26">
      <c r="P193" s="248"/>
      <c r="Q193" s="248"/>
      <c r="R193" s="248"/>
      <c r="S193" s="248"/>
      <c r="T193" s="248"/>
      <c r="U193" s="248"/>
      <c r="V193" s="248"/>
      <c r="W193" s="248"/>
      <c r="X193" s="248"/>
      <c r="Y193" s="248"/>
      <c r="Z193" s="248"/>
    </row>
    <row r="194" spans="16:26">
      <c r="P194" s="248"/>
      <c r="Q194" s="248"/>
      <c r="R194" s="248"/>
      <c r="S194" s="248"/>
      <c r="T194" s="248"/>
      <c r="U194" s="248"/>
      <c r="V194" s="248"/>
      <c r="W194" s="248"/>
      <c r="X194" s="248"/>
      <c r="Y194" s="248"/>
      <c r="Z194" s="248"/>
    </row>
    <row r="195" spans="16:26">
      <c r="P195" s="241"/>
      <c r="Q195" s="241"/>
      <c r="R195" s="241"/>
      <c r="S195" s="241"/>
      <c r="T195" s="241"/>
      <c r="U195" s="241"/>
      <c r="V195" s="241"/>
      <c r="W195" s="241"/>
      <c r="X195" s="241"/>
      <c r="Y195" s="241"/>
      <c r="Z195" s="241"/>
    </row>
    <row r="196" spans="16:26">
      <c r="P196" s="248"/>
      <c r="Q196" s="248"/>
      <c r="R196" s="248"/>
      <c r="S196" s="248"/>
      <c r="T196" s="248"/>
      <c r="U196" s="248"/>
      <c r="V196" s="248"/>
      <c r="W196" s="248"/>
      <c r="X196" s="248"/>
      <c r="Y196" s="248"/>
      <c r="Z196" s="248"/>
    </row>
    <row r="197" spans="16:26">
      <c r="P197" s="248"/>
      <c r="Q197" s="248"/>
      <c r="R197" s="248"/>
      <c r="S197" s="248"/>
      <c r="T197" s="248"/>
      <c r="U197" s="248"/>
      <c r="V197" s="248"/>
      <c r="W197" s="248"/>
      <c r="X197" s="248"/>
      <c r="Y197" s="248"/>
      <c r="Z197" s="248"/>
    </row>
    <row r="198" spans="16:26">
      <c r="P198" s="241"/>
      <c r="Q198" s="241"/>
      <c r="R198" s="241"/>
      <c r="S198" s="241"/>
      <c r="T198" s="241"/>
      <c r="U198" s="241"/>
      <c r="V198" s="241"/>
      <c r="W198" s="241"/>
      <c r="X198" s="241"/>
      <c r="Y198" s="241"/>
      <c r="Z198" s="241"/>
    </row>
    <row r="199" spans="16:26">
      <c r="P199" s="248"/>
      <c r="Q199" s="248"/>
      <c r="R199" s="248"/>
      <c r="S199" s="248"/>
      <c r="T199" s="248"/>
      <c r="U199" s="248"/>
      <c r="V199" s="248"/>
      <c r="W199" s="248"/>
      <c r="X199" s="248"/>
      <c r="Y199" s="248"/>
      <c r="Z199" s="248"/>
    </row>
    <row r="200" spans="16:26">
      <c r="P200" s="248"/>
      <c r="Q200" s="248"/>
      <c r="R200" s="248"/>
      <c r="S200" s="248"/>
      <c r="T200" s="248"/>
      <c r="U200" s="248"/>
      <c r="V200" s="248"/>
      <c r="W200" s="248"/>
      <c r="X200" s="248"/>
      <c r="Y200" s="248"/>
      <c r="Z200" s="248"/>
    </row>
    <row r="201" spans="16:26">
      <c r="P201" s="241"/>
      <c r="Q201" s="241"/>
      <c r="R201" s="241"/>
      <c r="S201" s="241"/>
      <c r="T201" s="241"/>
      <c r="U201" s="241"/>
      <c r="V201" s="241"/>
      <c r="W201" s="241"/>
      <c r="X201" s="241"/>
      <c r="Y201" s="241"/>
      <c r="Z201" s="241"/>
    </row>
    <row r="202" spans="16:26">
      <c r="P202" s="248"/>
      <c r="Q202" s="248"/>
      <c r="R202" s="248"/>
      <c r="S202" s="248"/>
      <c r="T202" s="248"/>
      <c r="U202" s="248"/>
      <c r="V202" s="248"/>
      <c r="W202" s="248"/>
      <c r="X202" s="248"/>
      <c r="Y202" s="248"/>
      <c r="Z202" s="248"/>
    </row>
    <row r="203" spans="16:26">
      <c r="P203" s="248"/>
      <c r="Q203" s="248"/>
      <c r="R203" s="248"/>
      <c r="S203" s="248"/>
      <c r="T203" s="248"/>
      <c r="U203" s="248"/>
      <c r="V203" s="248"/>
      <c r="W203" s="248"/>
      <c r="X203" s="248"/>
      <c r="Y203" s="248"/>
      <c r="Z203" s="248"/>
    </row>
    <row r="204" spans="16:26">
      <c r="P204" s="241"/>
      <c r="Q204" s="241"/>
      <c r="R204" s="241"/>
      <c r="S204" s="241"/>
      <c r="T204" s="241"/>
      <c r="U204" s="241"/>
      <c r="V204" s="241"/>
      <c r="W204" s="241"/>
      <c r="X204" s="241"/>
      <c r="Y204" s="241"/>
      <c r="Z204" s="241"/>
    </row>
    <row r="205" spans="16:26">
      <c r="P205" s="248"/>
      <c r="Q205" s="248"/>
      <c r="R205" s="248"/>
      <c r="S205" s="248"/>
      <c r="T205" s="248"/>
      <c r="U205" s="248"/>
      <c r="V205" s="248"/>
      <c r="W205" s="248"/>
      <c r="X205" s="248"/>
      <c r="Y205" s="248"/>
      <c r="Z205" s="248"/>
    </row>
    <row r="206" spans="16:26">
      <c r="P206" s="248"/>
      <c r="Q206" s="248"/>
      <c r="R206" s="248"/>
      <c r="S206" s="248"/>
      <c r="T206" s="248"/>
      <c r="U206" s="248"/>
      <c r="V206" s="248"/>
      <c r="W206" s="248"/>
      <c r="X206" s="248"/>
      <c r="Y206" s="248"/>
      <c r="Z206" s="248"/>
    </row>
    <row r="207" spans="16:26">
      <c r="P207" s="241"/>
      <c r="Q207" s="241"/>
      <c r="R207" s="241"/>
      <c r="S207" s="241"/>
      <c r="T207" s="241"/>
      <c r="U207" s="241"/>
      <c r="V207" s="241"/>
      <c r="W207" s="241"/>
      <c r="X207" s="241"/>
      <c r="Y207" s="241"/>
      <c r="Z207" s="241"/>
    </row>
    <row r="208" spans="16:26">
      <c r="P208" s="248"/>
      <c r="Q208" s="248"/>
      <c r="R208" s="248"/>
      <c r="S208" s="248"/>
      <c r="T208" s="248"/>
      <c r="U208" s="248"/>
      <c r="V208" s="248"/>
      <c r="W208" s="248"/>
      <c r="X208" s="248"/>
      <c r="Y208" s="248"/>
      <c r="Z208" s="248"/>
    </row>
    <row r="209" spans="16:26">
      <c r="P209" s="248"/>
      <c r="Q209" s="248"/>
      <c r="R209" s="248"/>
      <c r="S209" s="248"/>
      <c r="T209" s="248"/>
      <c r="U209" s="248"/>
      <c r="V209" s="248"/>
      <c r="W209" s="248"/>
      <c r="X209" s="248"/>
      <c r="Y209" s="248"/>
      <c r="Z209" s="248"/>
    </row>
    <row r="210" spans="16:26">
      <c r="P210" s="241"/>
      <c r="Q210" s="241"/>
      <c r="R210" s="241"/>
      <c r="S210" s="241"/>
      <c r="T210" s="241"/>
      <c r="U210" s="241"/>
      <c r="V210" s="241"/>
      <c r="W210" s="241"/>
      <c r="X210" s="241"/>
      <c r="Y210" s="241"/>
      <c r="Z210" s="241"/>
    </row>
    <row r="211" spans="16:26">
      <c r="P211" s="248"/>
      <c r="Q211" s="248"/>
      <c r="R211" s="248"/>
      <c r="S211" s="248"/>
      <c r="T211" s="248"/>
      <c r="U211" s="248"/>
      <c r="V211" s="248"/>
      <c r="W211" s="248"/>
      <c r="X211" s="248"/>
      <c r="Y211" s="248"/>
      <c r="Z211" s="248"/>
    </row>
    <row r="212" spans="16:26">
      <c r="P212" s="248"/>
      <c r="Q212" s="248"/>
      <c r="R212" s="248"/>
      <c r="S212" s="248"/>
      <c r="T212" s="248"/>
      <c r="U212" s="248"/>
      <c r="V212" s="248"/>
      <c r="W212" s="248"/>
      <c r="X212" s="248"/>
      <c r="Y212" s="248"/>
      <c r="Z212" s="248"/>
    </row>
    <row r="213" spans="16:26">
      <c r="P213" s="241"/>
      <c r="Q213" s="241"/>
      <c r="R213" s="241"/>
      <c r="S213" s="241"/>
      <c r="T213" s="241"/>
      <c r="U213" s="241"/>
      <c r="V213" s="241"/>
      <c r="W213" s="241"/>
      <c r="X213" s="241"/>
      <c r="Y213" s="241"/>
      <c r="Z213" s="241"/>
    </row>
    <row r="214" spans="16:26">
      <c r="P214" s="248"/>
      <c r="Q214" s="248"/>
      <c r="R214" s="248"/>
      <c r="S214" s="248"/>
      <c r="T214" s="248"/>
      <c r="U214" s="248"/>
      <c r="V214" s="248"/>
      <c r="W214" s="248"/>
      <c r="X214" s="248"/>
      <c r="Y214" s="248"/>
      <c r="Z214" s="248"/>
    </row>
    <row r="215" spans="16:26">
      <c r="P215" s="248"/>
      <c r="Q215" s="248"/>
      <c r="R215" s="248"/>
      <c r="S215" s="248"/>
      <c r="T215" s="248"/>
      <c r="U215" s="248"/>
      <c r="V215" s="248"/>
      <c r="W215" s="248"/>
      <c r="X215" s="248"/>
      <c r="Y215" s="248"/>
      <c r="Z215" s="248"/>
    </row>
    <row r="216" spans="16:26">
      <c r="P216" s="241"/>
      <c r="Q216" s="241"/>
      <c r="R216" s="241"/>
      <c r="S216" s="241"/>
      <c r="T216" s="241"/>
      <c r="U216" s="241"/>
      <c r="V216" s="241"/>
      <c r="W216" s="241"/>
      <c r="X216" s="241"/>
      <c r="Y216" s="241"/>
      <c r="Z216" s="241"/>
    </row>
    <row r="217" spans="16:26">
      <c r="P217" s="248"/>
      <c r="Q217" s="248"/>
      <c r="R217" s="248"/>
      <c r="S217" s="248"/>
      <c r="T217" s="248"/>
      <c r="U217" s="248"/>
      <c r="V217" s="248"/>
      <c r="W217" s="248"/>
      <c r="X217" s="248"/>
      <c r="Y217" s="248"/>
      <c r="Z217" s="248"/>
    </row>
    <row r="218" spans="16:26">
      <c r="P218" s="248"/>
      <c r="Q218" s="248"/>
      <c r="R218" s="248"/>
      <c r="S218" s="248"/>
      <c r="T218" s="248"/>
      <c r="U218" s="248"/>
      <c r="V218" s="248"/>
      <c r="W218" s="248"/>
      <c r="X218" s="248"/>
      <c r="Y218" s="248"/>
      <c r="Z218" s="248"/>
    </row>
    <row r="219" spans="16:26">
      <c r="P219" s="241"/>
      <c r="Q219" s="241"/>
      <c r="R219" s="241"/>
      <c r="S219" s="241"/>
      <c r="T219" s="241"/>
      <c r="U219" s="241"/>
      <c r="V219" s="241"/>
      <c r="W219" s="241"/>
      <c r="X219" s="241"/>
      <c r="Y219" s="241"/>
      <c r="Z219" s="241"/>
    </row>
    <row r="220" spans="16:26">
      <c r="P220" s="248"/>
      <c r="Q220" s="248"/>
      <c r="R220" s="248"/>
      <c r="S220" s="248"/>
      <c r="T220" s="248"/>
      <c r="U220" s="248"/>
      <c r="V220" s="248"/>
      <c r="W220" s="248"/>
      <c r="X220" s="248"/>
      <c r="Y220" s="248"/>
      <c r="Z220" s="248"/>
    </row>
    <row r="221" spans="16:26">
      <c r="P221" s="248"/>
      <c r="Q221" s="248"/>
      <c r="R221" s="248"/>
      <c r="S221" s="248"/>
      <c r="T221" s="248"/>
      <c r="U221" s="248"/>
      <c r="V221" s="248"/>
      <c r="W221" s="248"/>
      <c r="X221" s="248"/>
      <c r="Y221" s="248"/>
      <c r="Z221" s="248"/>
    </row>
    <row r="222" spans="16:26">
      <c r="P222" s="241"/>
      <c r="Q222" s="241"/>
      <c r="R222" s="241"/>
      <c r="S222" s="241"/>
      <c r="T222" s="241"/>
      <c r="U222" s="241"/>
      <c r="V222" s="241"/>
      <c r="W222" s="241"/>
      <c r="X222" s="241"/>
      <c r="Y222" s="241"/>
      <c r="Z222" s="241"/>
    </row>
    <row r="223" spans="16:26">
      <c r="P223" s="248"/>
      <c r="Q223" s="248"/>
      <c r="R223" s="248"/>
      <c r="S223" s="248"/>
      <c r="T223" s="248"/>
      <c r="U223" s="248"/>
      <c r="V223" s="248"/>
      <c r="W223" s="248"/>
      <c r="X223" s="248"/>
      <c r="Y223" s="248"/>
      <c r="Z223" s="248"/>
    </row>
    <row r="224" spans="16:26">
      <c r="P224" s="248"/>
      <c r="Q224" s="248"/>
      <c r="R224" s="248"/>
      <c r="S224" s="248"/>
      <c r="T224" s="248"/>
      <c r="U224" s="248"/>
      <c r="V224" s="248"/>
      <c r="W224" s="248"/>
      <c r="X224" s="248"/>
      <c r="Y224" s="248"/>
      <c r="Z224" s="248"/>
    </row>
    <row r="225" spans="16:26">
      <c r="P225" s="241"/>
      <c r="Q225" s="241"/>
      <c r="R225" s="241"/>
      <c r="S225" s="241"/>
      <c r="T225" s="241"/>
      <c r="U225" s="241"/>
      <c r="V225" s="241"/>
      <c r="W225" s="241"/>
      <c r="X225" s="241"/>
      <c r="Y225" s="241"/>
      <c r="Z225" s="241"/>
    </row>
    <row r="226" spans="16:26">
      <c r="P226" s="248"/>
      <c r="Q226" s="248"/>
      <c r="R226" s="248"/>
      <c r="S226" s="248"/>
      <c r="T226" s="248"/>
      <c r="U226" s="248"/>
      <c r="V226" s="248"/>
      <c r="W226" s="248"/>
      <c r="X226" s="248"/>
      <c r="Y226" s="248"/>
      <c r="Z226" s="248"/>
    </row>
    <row r="227" spans="16:26">
      <c r="P227" s="248"/>
      <c r="Q227" s="248"/>
      <c r="R227" s="248"/>
      <c r="S227" s="248"/>
      <c r="T227" s="248"/>
      <c r="U227" s="248"/>
      <c r="V227" s="248"/>
      <c r="W227" s="248"/>
      <c r="X227" s="248"/>
      <c r="Y227" s="248"/>
      <c r="Z227" s="248"/>
    </row>
    <row r="228" spans="16:26">
      <c r="P228" s="241"/>
      <c r="Q228" s="241"/>
      <c r="R228" s="241"/>
      <c r="S228" s="241"/>
      <c r="T228" s="241"/>
      <c r="U228" s="241"/>
      <c r="V228" s="241"/>
      <c r="W228" s="241"/>
      <c r="X228" s="241"/>
      <c r="Y228" s="241"/>
      <c r="Z228" s="241"/>
    </row>
    <row r="229" spans="16:26">
      <c r="P229" s="248"/>
      <c r="Q229" s="248"/>
      <c r="R229" s="248"/>
      <c r="S229" s="248"/>
      <c r="T229" s="248"/>
      <c r="U229" s="248"/>
      <c r="V229" s="248"/>
      <c r="W229" s="248"/>
      <c r="X229" s="248"/>
      <c r="Y229" s="248"/>
      <c r="Z229" s="248"/>
    </row>
    <row r="230" spans="16:26">
      <c r="P230" s="248"/>
      <c r="Q230" s="248"/>
      <c r="R230" s="248"/>
      <c r="S230" s="248"/>
      <c r="T230" s="248"/>
      <c r="U230" s="248"/>
      <c r="V230" s="248"/>
      <c r="W230" s="248"/>
      <c r="X230" s="248"/>
      <c r="Y230" s="248"/>
      <c r="Z230" s="248"/>
    </row>
    <row r="231" spans="16:26">
      <c r="P231" s="241"/>
      <c r="Q231" s="241"/>
      <c r="R231" s="241"/>
      <c r="S231" s="241"/>
      <c r="T231" s="241"/>
      <c r="U231" s="241"/>
      <c r="V231" s="241"/>
      <c r="W231" s="241"/>
      <c r="X231" s="241"/>
      <c r="Y231" s="241"/>
      <c r="Z231" s="241"/>
    </row>
    <row r="232" spans="16:26">
      <c r="P232" s="248"/>
      <c r="Q232" s="248"/>
      <c r="R232" s="248"/>
      <c r="S232" s="248"/>
      <c r="T232" s="248"/>
      <c r="U232" s="248"/>
      <c r="V232" s="248"/>
      <c r="W232" s="248"/>
      <c r="X232" s="248"/>
      <c r="Y232" s="248"/>
      <c r="Z232" s="248"/>
    </row>
    <row r="233" spans="16:26">
      <c r="P233" s="248"/>
      <c r="Q233" s="248"/>
      <c r="R233" s="248"/>
      <c r="S233" s="248"/>
      <c r="T233" s="248"/>
      <c r="U233" s="248"/>
      <c r="V233" s="248"/>
      <c r="W233" s="248"/>
      <c r="X233" s="248"/>
      <c r="Y233" s="248"/>
      <c r="Z233" s="248"/>
    </row>
    <row r="234" spans="16:26">
      <c r="P234" s="241"/>
      <c r="Q234" s="241"/>
      <c r="R234" s="241"/>
      <c r="S234" s="241"/>
      <c r="T234" s="241"/>
      <c r="U234" s="241"/>
      <c r="V234" s="241"/>
      <c r="W234" s="241"/>
      <c r="X234" s="241"/>
      <c r="Y234" s="241"/>
      <c r="Z234" s="241"/>
    </row>
    <row r="235" spans="16:26">
      <c r="P235" s="248"/>
      <c r="Q235" s="248"/>
      <c r="R235" s="248"/>
      <c r="S235" s="248"/>
      <c r="T235" s="248"/>
      <c r="U235" s="248"/>
      <c r="V235" s="248"/>
      <c r="W235" s="248"/>
      <c r="X235" s="248"/>
      <c r="Y235" s="248"/>
      <c r="Z235" s="248"/>
    </row>
    <row r="236" spans="16:26">
      <c r="P236" s="248"/>
      <c r="Q236" s="248"/>
      <c r="R236" s="248"/>
      <c r="S236" s="248"/>
      <c r="T236" s="248"/>
      <c r="U236" s="248"/>
      <c r="V236" s="248"/>
      <c r="W236" s="248"/>
      <c r="X236" s="248"/>
      <c r="Y236" s="248"/>
      <c r="Z236" s="248"/>
    </row>
    <row r="237" spans="16:26">
      <c r="P237" s="241"/>
      <c r="Q237" s="241"/>
      <c r="R237" s="241"/>
      <c r="S237" s="241"/>
      <c r="T237" s="241"/>
      <c r="U237" s="241"/>
      <c r="V237" s="241"/>
      <c r="W237" s="241"/>
      <c r="X237" s="241"/>
      <c r="Y237" s="241"/>
      <c r="Z237" s="241"/>
    </row>
    <row r="238" spans="16:26">
      <c r="P238" s="248"/>
      <c r="Q238" s="248"/>
      <c r="R238" s="248"/>
      <c r="S238" s="248"/>
      <c r="T238" s="248"/>
      <c r="U238" s="248"/>
      <c r="V238" s="248"/>
      <c r="W238" s="248"/>
      <c r="X238" s="248"/>
      <c r="Y238" s="248"/>
      <c r="Z238" s="248"/>
    </row>
    <row r="239" spans="16:26">
      <c r="P239" s="248"/>
      <c r="Q239" s="248"/>
      <c r="R239" s="248"/>
      <c r="S239" s="248"/>
      <c r="T239" s="248"/>
      <c r="U239" s="248"/>
      <c r="V239" s="248"/>
      <c r="W239" s="248"/>
      <c r="X239" s="248"/>
      <c r="Y239" s="248"/>
      <c r="Z239" s="248"/>
    </row>
    <row r="240" spans="16:26">
      <c r="P240" s="241"/>
      <c r="Q240" s="241"/>
      <c r="R240" s="241"/>
      <c r="S240" s="241"/>
      <c r="T240" s="241"/>
      <c r="U240" s="241"/>
      <c r="V240" s="241"/>
      <c r="W240" s="241"/>
      <c r="X240" s="241"/>
      <c r="Y240" s="241"/>
      <c r="Z240" s="241"/>
    </row>
    <row r="241" spans="16:26">
      <c r="P241" s="248"/>
      <c r="Q241" s="248"/>
      <c r="R241" s="248"/>
      <c r="S241" s="248"/>
      <c r="T241" s="248"/>
      <c r="U241" s="248"/>
      <c r="V241" s="248"/>
      <c r="W241" s="248"/>
      <c r="X241" s="248"/>
      <c r="Y241" s="248"/>
      <c r="Z241" s="248"/>
    </row>
    <row r="242" spans="16:26">
      <c r="P242" s="248"/>
      <c r="Q242" s="248"/>
      <c r="R242" s="248"/>
      <c r="S242" s="248"/>
      <c r="T242" s="248"/>
      <c r="U242" s="248"/>
      <c r="V242" s="248"/>
      <c r="W242" s="248"/>
      <c r="X242" s="248"/>
      <c r="Y242" s="248"/>
      <c r="Z242" s="248"/>
    </row>
    <row r="243" spans="16:26">
      <c r="P243" s="241"/>
      <c r="Q243" s="241"/>
      <c r="R243" s="241"/>
      <c r="S243" s="241"/>
      <c r="T243" s="241"/>
      <c r="U243" s="241"/>
      <c r="V243" s="241"/>
      <c r="W243" s="241"/>
      <c r="X243" s="241"/>
      <c r="Y243" s="241"/>
      <c r="Z243" s="241"/>
    </row>
    <row r="244" spans="16:26">
      <c r="P244" s="248"/>
      <c r="Q244" s="248"/>
      <c r="R244" s="248"/>
      <c r="S244" s="248"/>
      <c r="T244" s="248"/>
      <c r="U244" s="248"/>
      <c r="V244" s="248"/>
      <c r="W244" s="248"/>
      <c r="X244" s="248"/>
      <c r="Y244" s="248"/>
      <c r="Z244" s="248"/>
    </row>
    <row r="245" spans="16:26">
      <c r="P245" s="248"/>
      <c r="Q245" s="248"/>
      <c r="R245" s="248"/>
      <c r="S245" s="248"/>
      <c r="T245" s="248"/>
      <c r="U245" s="248"/>
      <c r="V245" s="248"/>
      <c r="W245" s="248"/>
      <c r="X245" s="248"/>
      <c r="Y245" s="248"/>
      <c r="Z245" s="248"/>
    </row>
    <row r="246" spans="16:26">
      <c r="P246" s="241"/>
      <c r="Q246" s="241"/>
      <c r="R246" s="241"/>
      <c r="S246" s="241"/>
      <c r="T246" s="241"/>
      <c r="U246" s="241"/>
      <c r="V246" s="241"/>
      <c r="W246" s="241"/>
      <c r="X246" s="241"/>
      <c r="Y246" s="241"/>
      <c r="Z246" s="241"/>
    </row>
    <row r="247" spans="16:26">
      <c r="P247" s="248"/>
      <c r="Q247" s="248"/>
      <c r="R247" s="248"/>
      <c r="S247" s="248"/>
      <c r="T247" s="248"/>
      <c r="U247" s="248"/>
      <c r="V247" s="248"/>
      <c r="W247" s="248"/>
      <c r="X247" s="248"/>
      <c r="Y247" s="248"/>
      <c r="Z247" s="248"/>
    </row>
    <row r="248" spans="16:26">
      <c r="P248" s="248"/>
      <c r="Q248" s="248"/>
      <c r="R248" s="248"/>
      <c r="S248" s="248"/>
      <c r="T248" s="248"/>
      <c r="U248" s="248"/>
      <c r="V248" s="248"/>
      <c r="W248" s="248"/>
      <c r="X248" s="248"/>
      <c r="Y248" s="248"/>
      <c r="Z248" s="248"/>
    </row>
    <row r="249" spans="16:26">
      <c r="P249" s="241"/>
      <c r="Q249" s="241"/>
      <c r="R249" s="241"/>
      <c r="S249" s="241"/>
      <c r="T249" s="241"/>
      <c r="U249" s="241"/>
      <c r="V249" s="241"/>
      <c r="W249" s="241"/>
      <c r="X249" s="241"/>
      <c r="Y249" s="241"/>
      <c r="Z249" s="241"/>
    </row>
    <row r="250" spans="16:26">
      <c r="P250" s="248"/>
      <c r="Q250" s="248"/>
      <c r="R250" s="248"/>
      <c r="S250" s="248"/>
      <c r="T250" s="248"/>
      <c r="U250" s="248"/>
      <c r="V250" s="248"/>
      <c r="W250" s="248"/>
      <c r="X250" s="248"/>
      <c r="Y250" s="248"/>
      <c r="Z250" s="248"/>
    </row>
    <row r="251" spans="16:26">
      <c r="P251" s="248"/>
      <c r="Q251" s="248"/>
      <c r="R251" s="248"/>
      <c r="S251" s="248"/>
      <c r="T251" s="248"/>
      <c r="U251" s="248"/>
      <c r="V251" s="248"/>
      <c r="W251" s="248"/>
      <c r="X251" s="248"/>
      <c r="Y251" s="248"/>
      <c r="Z251" s="248"/>
    </row>
    <row r="252" spans="16:26">
      <c r="P252" s="241"/>
      <c r="Q252" s="241"/>
      <c r="R252" s="241"/>
      <c r="S252" s="241"/>
      <c r="T252" s="241"/>
      <c r="U252" s="241"/>
      <c r="V252" s="241"/>
      <c r="W252" s="241"/>
      <c r="X252" s="241"/>
      <c r="Y252" s="241"/>
      <c r="Z252" s="241"/>
    </row>
    <row r="253" spans="16:26">
      <c r="P253" s="248"/>
      <c r="Q253" s="248"/>
      <c r="R253" s="248"/>
      <c r="S253" s="248"/>
      <c r="T253" s="248"/>
      <c r="U253" s="248"/>
      <c r="V253" s="248"/>
      <c r="W253" s="248"/>
      <c r="X253" s="248"/>
      <c r="Y253" s="248"/>
      <c r="Z253" s="248"/>
    </row>
    <row r="254" spans="16:26">
      <c r="P254" s="248"/>
      <c r="Q254" s="248"/>
      <c r="R254" s="248"/>
      <c r="S254" s="248"/>
      <c r="T254" s="248"/>
      <c r="U254" s="248"/>
      <c r="V254" s="248"/>
      <c r="W254" s="248"/>
      <c r="X254" s="248"/>
      <c r="Y254" s="248"/>
      <c r="Z254" s="248"/>
    </row>
    <row r="255" spans="16:26">
      <c r="P255" s="241"/>
      <c r="Q255" s="241"/>
      <c r="R255" s="241"/>
      <c r="S255" s="241"/>
      <c r="T255" s="241"/>
      <c r="U255" s="241"/>
      <c r="V255" s="241"/>
      <c r="W255" s="241"/>
      <c r="X255" s="241"/>
      <c r="Y255" s="241"/>
      <c r="Z255" s="241"/>
    </row>
    <row r="256" spans="16:26">
      <c r="P256" s="248"/>
      <c r="Q256" s="248"/>
      <c r="R256" s="248"/>
      <c r="S256" s="248"/>
      <c r="T256" s="248"/>
      <c r="U256" s="248"/>
      <c r="V256" s="248"/>
      <c r="W256" s="248"/>
      <c r="X256" s="248"/>
      <c r="Y256" s="248"/>
      <c r="Z256" s="248"/>
    </row>
    <row r="257" spans="16:26">
      <c r="P257" s="248"/>
      <c r="Q257" s="248"/>
      <c r="R257" s="248"/>
      <c r="S257" s="248"/>
      <c r="T257" s="248"/>
      <c r="U257" s="248"/>
      <c r="V257" s="248"/>
      <c r="W257" s="248"/>
      <c r="X257" s="248"/>
      <c r="Y257" s="248"/>
      <c r="Z257" s="248"/>
    </row>
    <row r="258" spans="16:26">
      <c r="P258" s="241"/>
      <c r="Q258" s="241"/>
      <c r="R258" s="241"/>
      <c r="S258" s="241"/>
      <c r="T258" s="241"/>
      <c r="U258" s="241"/>
      <c r="V258" s="241"/>
      <c r="W258" s="241"/>
      <c r="X258" s="241"/>
      <c r="Y258" s="241"/>
      <c r="Z258" s="241"/>
    </row>
    <row r="259" spans="16:26">
      <c r="P259" s="248"/>
      <c r="Q259" s="248"/>
      <c r="R259" s="248"/>
      <c r="S259" s="248"/>
      <c r="T259" s="248"/>
      <c r="U259" s="248"/>
      <c r="V259" s="248"/>
      <c r="W259" s="248"/>
      <c r="X259" s="248"/>
      <c r="Y259" s="248"/>
      <c r="Z259" s="248"/>
    </row>
    <row r="260" spans="16:26">
      <c r="P260" s="248"/>
      <c r="Q260" s="248"/>
      <c r="R260" s="248"/>
      <c r="S260" s="248"/>
      <c r="T260" s="248"/>
      <c r="U260" s="248"/>
      <c r="V260" s="248"/>
      <c r="W260" s="248"/>
      <c r="X260" s="248"/>
      <c r="Y260" s="248"/>
      <c r="Z260" s="248"/>
    </row>
    <row r="261" spans="16:26">
      <c r="P261" s="241"/>
      <c r="Q261" s="241"/>
      <c r="R261" s="241"/>
      <c r="S261" s="241"/>
      <c r="T261" s="241"/>
      <c r="U261" s="241"/>
      <c r="V261" s="241"/>
      <c r="W261" s="241"/>
      <c r="X261" s="241"/>
      <c r="Y261" s="241"/>
      <c r="Z261" s="241"/>
    </row>
    <row r="262" spans="16:26">
      <c r="P262" s="248"/>
      <c r="Q262" s="248"/>
      <c r="R262" s="248"/>
      <c r="S262" s="248"/>
      <c r="T262" s="248"/>
      <c r="U262" s="248"/>
      <c r="V262" s="248"/>
      <c r="W262" s="248"/>
      <c r="X262" s="248"/>
      <c r="Y262" s="248"/>
      <c r="Z262" s="248"/>
    </row>
    <row r="263" spans="16:26">
      <c r="P263" s="248"/>
      <c r="Q263" s="248"/>
      <c r="R263" s="248"/>
      <c r="S263" s="248"/>
      <c r="T263" s="248"/>
      <c r="U263" s="248"/>
      <c r="V263" s="248"/>
      <c r="W263" s="248"/>
      <c r="X263" s="248"/>
      <c r="Y263" s="248"/>
      <c r="Z263" s="248"/>
    </row>
    <row r="264" spans="16:26">
      <c r="P264" s="241"/>
      <c r="Q264" s="241"/>
      <c r="R264" s="241"/>
      <c r="S264" s="241"/>
      <c r="T264" s="241"/>
      <c r="U264" s="241"/>
      <c r="V264" s="241"/>
      <c r="W264" s="241"/>
      <c r="X264" s="241"/>
      <c r="Y264" s="241"/>
      <c r="Z264" s="241"/>
    </row>
    <row r="265" spans="16:26">
      <c r="P265" s="248"/>
      <c r="Q265" s="248"/>
      <c r="R265" s="248"/>
      <c r="S265" s="248"/>
      <c r="T265" s="248"/>
      <c r="U265" s="248"/>
      <c r="V265" s="248"/>
      <c r="W265" s="248"/>
      <c r="X265" s="248"/>
      <c r="Y265" s="248"/>
      <c r="Z265" s="248"/>
    </row>
    <row r="266" spans="16:26">
      <c r="P266" s="248"/>
      <c r="Q266" s="248"/>
      <c r="R266" s="248"/>
      <c r="S266" s="248"/>
      <c r="T266" s="248"/>
      <c r="U266" s="248"/>
      <c r="V266" s="248"/>
      <c r="W266" s="248"/>
      <c r="X266" s="248"/>
      <c r="Y266" s="248"/>
      <c r="Z266" s="248"/>
    </row>
    <row r="267" spans="16:26">
      <c r="P267" s="241"/>
      <c r="Q267" s="241"/>
      <c r="R267" s="241"/>
      <c r="S267" s="241"/>
      <c r="T267" s="241"/>
      <c r="U267" s="241"/>
      <c r="V267" s="241"/>
      <c r="W267" s="241"/>
      <c r="X267" s="241"/>
      <c r="Y267" s="241"/>
      <c r="Z267" s="241"/>
    </row>
    <row r="268" spans="16:26">
      <c r="P268" s="248"/>
      <c r="Q268" s="248"/>
      <c r="R268" s="248"/>
      <c r="S268" s="248"/>
      <c r="T268" s="248"/>
      <c r="U268" s="248"/>
      <c r="V268" s="248"/>
      <c r="W268" s="248"/>
      <c r="X268" s="248"/>
      <c r="Y268" s="248"/>
      <c r="Z268" s="248"/>
    </row>
    <row r="269" spans="16:26">
      <c r="P269" s="248"/>
      <c r="Q269" s="248"/>
      <c r="R269" s="248"/>
      <c r="S269" s="248"/>
      <c r="T269" s="248"/>
      <c r="U269" s="248"/>
      <c r="V269" s="248"/>
      <c r="W269" s="248"/>
      <c r="X269" s="248"/>
      <c r="Y269" s="248"/>
      <c r="Z269" s="248"/>
    </row>
    <row r="270" spans="16:26">
      <c r="P270" s="241"/>
      <c r="Q270" s="241"/>
      <c r="R270" s="241"/>
      <c r="S270" s="241"/>
      <c r="T270" s="241"/>
      <c r="U270" s="241"/>
      <c r="V270" s="241"/>
      <c r="W270" s="241"/>
      <c r="X270" s="241"/>
      <c r="Y270" s="241"/>
      <c r="Z270" s="241"/>
    </row>
    <row r="271" spans="16:26">
      <c r="P271" s="248"/>
      <c r="Q271" s="248"/>
      <c r="R271" s="248"/>
      <c r="S271" s="248"/>
      <c r="T271" s="248"/>
      <c r="U271" s="248"/>
      <c r="V271" s="248"/>
      <c r="W271" s="248"/>
      <c r="X271" s="248"/>
      <c r="Y271" s="248"/>
      <c r="Z271" s="248"/>
    </row>
    <row r="272" spans="16:26">
      <c r="P272" s="248"/>
      <c r="Q272" s="248"/>
      <c r="R272" s="248"/>
      <c r="S272" s="248"/>
      <c r="T272" s="248"/>
      <c r="U272" s="248"/>
      <c r="V272" s="248"/>
      <c r="W272" s="248"/>
      <c r="X272" s="248"/>
      <c r="Y272" s="248"/>
      <c r="Z272" s="248"/>
    </row>
    <row r="273" spans="16:26">
      <c r="P273" s="241"/>
      <c r="Q273" s="241"/>
      <c r="R273" s="241"/>
      <c r="S273" s="241"/>
      <c r="T273" s="241"/>
      <c r="U273" s="241"/>
      <c r="V273" s="241"/>
      <c r="W273" s="241"/>
      <c r="X273" s="241"/>
      <c r="Y273" s="241"/>
      <c r="Z273" s="241"/>
    </row>
    <row r="274" spans="16:26">
      <c r="P274" s="248"/>
      <c r="Q274" s="248"/>
      <c r="R274" s="248"/>
      <c r="S274" s="248"/>
      <c r="T274" s="248"/>
      <c r="U274" s="248"/>
      <c r="V274" s="248"/>
      <c r="W274" s="248"/>
      <c r="X274" s="248"/>
      <c r="Y274" s="248"/>
      <c r="Z274" s="248"/>
    </row>
    <row r="275" spans="16:26">
      <c r="P275" s="248"/>
      <c r="Q275" s="248"/>
      <c r="R275" s="248"/>
      <c r="S275" s="248"/>
      <c r="T275" s="248"/>
      <c r="U275" s="248"/>
      <c r="V275" s="248"/>
      <c r="W275" s="248"/>
      <c r="X275" s="248"/>
      <c r="Y275" s="248"/>
      <c r="Z275" s="248"/>
    </row>
    <row r="276" spans="16:26">
      <c r="P276" s="241"/>
      <c r="Q276" s="241"/>
      <c r="R276" s="241"/>
      <c r="S276" s="241"/>
      <c r="T276" s="241"/>
      <c r="U276" s="241"/>
      <c r="V276" s="241"/>
      <c r="W276" s="241"/>
      <c r="X276" s="241"/>
      <c r="Y276" s="241"/>
      <c r="Z276" s="241"/>
    </row>
    <row r="277" spans="16:26">
      <c r="P277" s="248"/>
      <c r="Q277" s="248"/>
      <c r="R277" s="248"/>
      <c r="S277" s="248"/>
      <c r="T277" s="248"/>
      <c r="U277" s="248"/>
      <c r="V277" s="248"/>
      <c r="W277" s="248"/>
      <c r="X277" s="248"/>
      <c r="Y277" s="248"/>
      <c r="Z277" s="248"/>
    </row>
    <row r="278" spans="16:26">
      <c r="P278" s="248"/>
      <c r="Q278" s="248"/>
      <c r="R278" s="248"/>
      <c r="S278" s="248"/>
      <c r="T278" s="248"/>
      <c r="U278" s="248"/>
      <c r="V278" s="248"/>
      <c r="W278" s="248"/>
      <c r="X278" s="248"/>
      <c r="Y278" s="248"/>
      <c r="Z278" s="248"/>
    </row>
    <row r="279" spans="16:26">
      <c r="P279" s="241"/>
      <c r="Q279" s="241"/>
      <c r="R279" s="241"/>
      <c r="S279" s="241"/>
      <c r="T279" s="241"/>
      <c r="U279" s="241"/>
      <c r="V279" s="241"/>
      <c r="W279" s="241"/>
      <c r="X279" s="241"/>
      <c r="Y279" s="241"/>
      <c r="Z279" s="241"/>
    </row>
    <row r="280" spans="16:26">
      <c r="P280" s="248"/>
      <c r="Q280" s="248"/>
      <c r="R280" s="248"/>
      <c r="S280" s="248"/>
      <c r="T280" s="248"/>
      <c r="U280" s="248"/>
      <c r="V280" s="248"/>
      <c r="W280" s="248"/>
      <c r="X280" s="248"/>
      <c r="Y280" s="248"/>
      <c r="Z280" s="248"/>
    </row>
    <row r="281" spans="16:26">
      <c r="P281" s="248"/>
      <c r="Q281" s="248"/>
      <c r="R281" s="248"/>
      <c r="S281" s="248"/>
      <c r="T281" s="248"/>
      <c r="U281" s="248"/>
      <c r="V281" s="248"/>
      <c r="W281" s="248"/>
      <c r="X281" s="248"/>
      <c r="Y281" s="248"/>
      <c r="Z281" s="248"/>
    </row>
    <row r="282" spans="16:26">
      <c r="P282" s="241"/>
      <c r="Q282" s="241"/>
      <c r="R282" s="241"/>
      <c r="S282" s="241"/>
      <c r="T282" s="241"/>
      <c r="U282" s="241"/>
      <c r="V282" s="241"/>
      <c r="W282" s="241"/>
      <c r="X282" s="241"/>
      <c r="Y282" s="241"/>
      <c r="Z282" s="241"/>
    </row>
    <row r="283" spans="16:26">
      <c r="P283" s="248"/>
      <c r="Q283" s="248"/>
      <c r="R283" s="248"/>
      <c r="S283" s="248"/>
      <c r="T283" s="248"/>
      <c r="U283" s="248"/>
      <c r="V283" s="248"/>
      <c r="W283" s="248"/>
      <c r="X283" s="248"/>
      <c r="Y283" s="248"/>
      <c r="Z283" s="248"/>
    </row>
    <row r="284" spans="16:26">
      <c r="P284" s="248"/>
      <c r="Q284" s="248"/>
      <c r="R284" s="248"/>
      <c r="S284" s="248"/>
      <c r="T284" s="248"/>
      <c r="U284" s="248"/>
      <c r="V284" s="248"/>
      <c r="W284" s="248"/>
      <c r="X284" s="248"/>
      <c r="Y284" s="248"/>
      <c r="Z284" s="248"/>
    </row>
    <row r="285" spans="16:26">
      <c r="P285" s="241"/>
      <c r="Q285" s="241"/>
      <c r="R285" s="241"/>
      <c r="S285" s="241"/>
      <c r="T285" s="241"/>
      <c r="U285" s="241"/>
      <c r="V285" s="241"/>
      <c r="W285" s="241"/>
      <c r="X285" s="241"/>
      <c r="Y285" s="241"/>
      <c r="Z285" s="241"/>
    </row>
    <row r="286" spans="16:26">
      <c r="P286" s="248"/>
      <c r="Q286" s="248"/>
      <c r="R286" s="248"/>
      <c r="S286" s="248"/>
      <c r="T286" s="248"/>
      <c r="U286" s="248"/>
      <c r="V286" s="248"/>
      <c r="W286" s="248"/>
      <c r="X286" s="248"/>
      <c r="Y286" s="248"/>
      <c r="Z286" s="248"/>
    </row>
    <row r="287" spans="16:26">
      <c r="P287" s="248"/>
      <c r="Q287" s="248"/>
      <c r="R287" s="248"/>
      <c r="S287" s="248"/>
      <c r="T287" s="248"/>
      <c r="U287" s="248"/>
      <c r="V287" s="248"/>
      <c r="W287" s="248"/>
      <c r="X287" s="248"/>
      <c r="Y287" s="248"/>
      <c r="Z287" s="248"/>
    </row>
    <row r="288" spans="16:26">
      <c r="P288" s="241"/>
      <c r="Q288" s="241"/>
      <c r="R288" s="241"/>
      <c r="S288" s="241"/>
      <c r="T288" s="241"/>
      <c r="U288" s="241"/>
      <c r="V288" s="241"/>
      <c r="W288" s="241"/>
      <c r="X288" s="241"/>
      <c r="Y288" s="241"/>
      <c r="Z288" s="241"/>
    </row>
    <row r="289" spans="16:26">
      <c r="P289" s="248"/>
      <c r="Q289" s="248"/>
      <c r="R289" s="248"/>
      <c r="S289" s="248"/>
      <c r="T289" s="248"/>
      <c r="U289" s="248"/>
      <c r="V289" s="248"/>
      <c r="W289" s="248"/>
      <c r="X289" s="248"/>
      <c r="Y289" s="248"/>
      <c r="Z289" s="248"/>
    </row>
    <row r="290" spans="16:26">
      <c r="P290" s="248"/>
      <c r="Q290" s="248"/>
      <c r="R290" s="248"/>
      <c r="S290" s="248"/>
      <c r="T290" s="248"/>
      <c r="U290" s="248"/>
      <c r="V290" s="248"/>
      <c r="W290" s="248"/>
      <c r="X290" s="248"/>
      <c r="Y290" s="248"/>
      <c r="Z290" s="248"/>
    </row>
    <row r="291" spans="16:26">
      <c r="P291" s="241"/>
      <c r="Q291" s="241"/>
      <c r="R291" s="241"/>
      <c r="S291" s="241"/>
      <c r="T291" s="241"/>
      <c r="U291" s="241"/>
      <c r="V291" s="241"/>
      <c r="W291" s="241"/>
      <c r="X291" s="241"/>
      <c r="Y291" s="241"/>
      <c r="Z291" s="241"/>
    </row>
    <row r="292" spans="16:26">
      <c r="P292" s="248"/>
      <c r="Q292" s="248"/>
      <c r="R292" s="248"/>
      <c r="S292" s="248"/>
      <c r="T292" s="248"/>
      <c r="U292" s="248"/>
      <c r="V292" s="248"/>
      <c r="W292" s="248"/>
      <c r="X292" s="248"/>
      <c r="Y292" s="248"/>
      <c r="Z292" s="248"/>
    </row>
    <row r="293" spans="16:26">
      <c r="P293" s="248"/>
      <c r="Q293" s="248"/>
      <c r="R293" s="248"/>
      <c r="S293" s="248"/>
      <c r="T293" s="248"/>
      <c r="U293" s="248"/>
      <c r="V293" s="248"/>
      <c r="W293" s="248"/>
      <c r="X293" s="248"/>
      <c r="Y293" s="248"/>
      <c r="Z293" s="248"/>
    </row>
    <row r="294" spans="16:26">
      <c r="P294" s="241"/>
      <c r="Q294" s="241"/>
      <c r="R294" s="241"/>
      <c r="S294" s="241"/>
      <c r="T294" s="241"/>
      <c r="U294" s="241"/>
      <c r="V294" s="241"/>
      <c r="W294" s="241"/>
      <c r="X294" s="241"/>
      <c r="Y294" s="241"/>
      <c r="Z294" s="241"/>
    </row>
    <row r="295" spans="16:26">
      <c r="P295" s="248"/>
      <c r="Q295" s="248"/>
      <c r="R295" s="248"/>
      <c r="S295" s="248"/>
      <c r="T295" s="248"/>
      <c r="U295" s="248"/>
      <c r="V295" s="248"/>
      <c r="W295" s="248"/>
      <c r="X295" s="248"/>
      <c r="Y295" s="248"/>
      <c r="Z295" s="248"/>
    </row>
    <row r="296" spans="16:26">
      <c r="P296" s="248"/>
      <c r="Q296" s="248"/>
      <c r="R296" s="248"/>
      <c r="S296" s="248"/>
      <c r="T296" s="248"/>
      <c r="U296" s="248"/>
      <c r="V296" s="248"/>
      <c r="W296" s="248"/>
      <c r="X296" s="248"/>
      <c r="Y296" s="248"/>
      <c r="Z296" s="248"/>
    </row>
    <row r="297" spans="16:26">
      <c r="P297" s="241"/>
      <c r="Q297" s="241"/>
      <c r="R297" s="241"/>
      <c r="S297" s="241"/>
      <c r="T297" s="241"/>
      <c r="U297" s="241"/>
      <c r="V297" s="241"/>
      <c r="W297" s="241"/>
      <c r="X297" s="241"/>
      <c r="Y297" s="241"/>
      <c r="Z297" s="241"/>
    </row>
    <row r="298" spans="16:26">
      <c r="P298" s="248"/>
      <c r="Q298" s="248"/>
      <c r="R298" s="248"/>
      <c r="S298" s="248"/>
      <c r="T298" s="248"/>
      <c r="U298" s="248"/>
      <c r="V298" s="248"/>
      <c r="W298" s="248"/>
      <c r="X298" s="248"/>
      <c r="Y298" s="248"/>
      <c r="Z298" s="248"/>
    </row>
    <row r="299" spans="16:26">
      <c r="P299" s="248"/>
      <c r="Q299" s="248"/>
      <c r="R299" s="248"/>
      <c r="S299" s="248"/>
      <c r="T299" s="248"/>
      <c r="U299" s="248"/>
      <c r="V299" s="248"/>
      <c r="W299" s="248"/>
      <c r="X299" s="248"/>
      <c r="Y299" s="248"/>
      <c r="Z299" s="248"/>
    </row>
    <row r="300" spans="16:26">
      <c r="P300" s="241"/>
      <c r="Q300" s="241"/>
      <c r="R300" s="241"/>
      <c r="S300" s="241"/>
      <c r="T300" s="241"/>
      <c r="U300" s="241"/>
      <c r="V300" s="241"/>
      <c r="W300" s="241"/>
      <c r="X300" s="241"/>
      <c r="Y300" s="241"/>
      <c r="Z300" s="241"/>
    </row>
    <row r="301" spans="16:26">
      <c r="P301" s="248"/>
      <c r="Q301" s="248"/>
      <c r="R301" s="248"/>
      <c r="S301" s="248"/>
      <c r="T301" s="248"/>
      <c r="U301" s="248"/>
      <c r="V301" s="248"/>
      <c r="W301" s="248"/>
      <c r="X301" s="248"/>
      <c r="Y301" s="248"/>
      <c r="Z301" s="248"/>
    </row>
    <row r="302" spans="16:26">
      <c r="P302" s="248"/>
      <c r="Q302" s="248"/>
      <c r="R302" s="248"/>
      <c r="S302" s="248"/>
      <c r="T302" s="248"/>
      <c r="U302" s="248"/>
      <c r="V302" s="248"/>
      <c r="W302" s="248"/>
      <c r="X302" s="248"/>
      <c r="Y302" s="248"/>
      <c r="Z302" s="248"/>
    </row>
    <row r="303" spans="16:26">
      <c r="P303" s="241"/>
      <c r="Q303" s="241"/>
      <c r="R303" s="241"/>
      <c r="S303" s="241"/>
      <c r="T303" s="241"/>
      <c r="U303" s="241"/>
      <c r="V303" s="241"/>
      <c r="W303" s="241"/>
      <c r="X303" s="241"/>
      <c r="Y303" s="241"/>
      <c r="Z303" s="241"/>
    </row>
    <row r="304" spans="16:26">
      <c r="P304" s="248"/>
      <c r="Q304" s="248"/>
      <c r="R304" s="248"/>
      <c r="S304" s="248"/>
      <c r="T304" s="248"/>
      <c r="U304" s="248"/>
      <c r="V304" s="248"/>
      <c r="W304" s="248"/>
      <c r="X304" s="248"/>
      <c r="Y304" s="248"/>
      <c r="Z304" s="248"/>
    </row>
    <row r="305" spans="16:26">
      <c r="P305" s="248"/>
      <c r="Q305" s="248"/>
      <c r="R305" s="248"/>
      <c r="S305" s="248"/>
      <c r="T305" s="248"/>
      <c r="U305" s="248"/>
      <c r="V305" s="248"/>
      <c r="W305" s="248"/>
      <c r="X305" s="248"/>
      <c r="Y305" s="248"/>
      <c r="Z305" s="248"/>
    </row>
    <row r="306" spans="16:26">
      <c r="P306" s="241"/>
      <c r="Q306" s="241"/>
      <c r="R306" s="241"/>
      <c r="S306" s="241"/>
      <c r="T306" s="241"/>
      <c r="U306" s="241"/>
      <c r="V306" s="241"/>
      <c r="W306" s="241"/>
      <c r="X306" s="241"/>
      <c r="Y306" s="241"/>
      <c r="Z306" s="241"/>
    </row>
    <row r="307" spans="16:26">
      <c r="P307" s="248"/>
      <c r="Q307" s="248"/>
      <c r="R307" s="248"/>
      <c r="S307" s="248"/>
      <c r="T307" s="248"/>
      <c r="U307" s="248"/>
      <c r="V307" s="248"/>
      <c r="W307" s="248"/>
      <c r="X307" s="248"/>
      <c r="Y307" s="248"/>
      <c r="Z307" s="248"/>
    </row>
    <row r="308" spans="16:26">
      <c r="P308" s="248"/>
      <c r="Q308" s="248"/>
      <c r="R308" s="248"/>
      <c r="S308" s="248"/>
      <c r="T308" s="248"/>
      <c r="U308" s="248"/>
      <c r="V308" s="248"/>
      <c r="W308" s="248"/>
      <c r="X308" s="248"/>
      <c r="Y308" s="248"/>
      <c r="Z308" s="248"/>
    </row>
    <row r="309" spans="16:26">
      <c r="P309" s="241"/>
      <c r="Q309" s="241"/>
      <c r="R309" s="241"/>
      <c r="S309" s="241"/>
      <c r="T309" s="241"/>
      <c r="U309" s="241"/>
      <c r="V309" s="241"/>
      <c r="W309" s="241"/>
      <c r="X309" s="241"/>
      <c r="Y309" s="241"/>
      <c r="Z309" s="241"/>
    </row>
    <row r="310" spans="16:26">
      <c r="P310" s="248"/>
      <c r="Q310" s="248"/>
      <c r="R310" s="248"/>
      <c r="S310" s="248"/>
      <c r="T310" s="248"/>
      <c r="U310" s="248"/>
      <c r="V310" s="248"/>
      <c r="W310" s="248"/>
      <c r="X310" s="248"/>
      <c r="Y310" s="248"/>
      <c r="Z310" s="248"/>
    </row>
    <row r="311" spans="16:26">
      <c r="P311" s="248"/>
      <c r="Q311" s="248"/>
      <c r="R311" s="248"/>
      <c r="S311" s="248"/>
      <c r="T311" s="248"/>
      <c r="U311" s="248"/>
      <c r="V311" s="248"/>
      <c r="W311" s="248"/>
      <c r="X311" s="248"/>
      <c r="Y311" s="248"/>
      <c r="Z311" s="248"/>
    </row>
    <row r="312" spans="16:26">
      <c r="P312" s="241"/>
      <c r="Q312" s="241"/>
      <c r="R312" s="241"/>
      <c r="S312" s="241"/>
      <c r="T312" s="241"/>
      <c r="U312" s="241"/>
      <c r="V312" s="241"/>
      <c r="W312" s="241"/>
      <c r="X312" s="241"/>
      <c r="Y312" s="241"/>
      <c r="Z312" s="241"/>
    </row>
    <row r="313" spans="16:26">
      <c r="P313" s="248"/>
      <c r="Q313" s="248"/>
      <c r="R313" s="248"/>
      <c r="S313" s="248"/>
      <c r="T313" s="248"/>
      <c r="U313" s="248"/>
      <c r="V313" s="248"/>
      <c r="W313" s="248"/>
      <c r="X313" s="248"/>
      <c r="Y313" s="248"/>
      <c r="Z313" s="248"/>
    </row>
    <row r="314" spans="16:26">
      <c r="P314" s="248"/>
      <c r="Q314" s="248"/>
      <c r="R314" s="248"/>
      <c r="S314" s="248"/>
      <c r="T314" s="248"/>
      <c r="U314" s="248"/>
      <c r="V314" s="248"/>
      <c r="W314" s="248"/>
      <c r="X314" s="248"/>
      <c r="Y314" s="248"/>
      <c r="Z314" s="248"/>
    </row>
    <row r="315" spans="16:26">
      <c r="P315" s="241"/>
      <c r="Q315" s="241"/>
      <c r="R315" s="241"/>
      <c r="S315" s="241"/>
      <c r="T315" s="241"/>
      <c r="U315" s="241"/>
      <c r="V315" s="241"/>
      <c r="W315" s="241"/>
      <c r="X315" s="241"/>
      <c r="Y315" s="241"/>
      <c r="Z315" s="241"/>
    </row>
    <row r="316" spans="16:26">
      <c r="P316" s="248"/>
      <c r="Q316" s="248"/>
      <c r="R316" s="248"/>
      <c r="S316" s="248"/>
      <c r="T316" s="248"/>
      <c r="U316" s="248"/>
      <c r="V316" s="248"/>
      <c r="W316" s="248"/>
      <c r="X316" s="248"/>
      <c r="Y316" s="248"/>
      <c r="Z316" s="248"/>
    </row>
    <row r="317" spans="16:26">
      <c r="P317" s="248"/>
      <c r="Q317" s="248"/>
      <c r="R317" s="248"/>
      <c r="S317" s="248"/>
      <c r="T317" s="248"/>
      <c r="U317" s="248"/>
      <c r="V317" s="248"/>
      <c r="W317" s="248"/>
      <c r="X317" s="248"/>
      <c r="Y317" s="248"/>
      <c r="Z317" s="248"/>
    </row>
    <row r="318" spans="16:26">
      <c r="P318" s="241"/>
      <c r="Q318" s="241"/>
      <c r="R318" s="241"/>
      <c r="S318" s="241"/>
      <c r="T318" s="241"/>
      <c r="U318" s="241"/>
      <c r="V318" s="241"/>
      <c r="W318" s="241"/>
      <c r="X318" s="241"/>
      <c r="Y318" s="241"/>
      <c r="Z318" s="241"/>
    </row>
    <row r="319" spans="16:26">
      <c r="P319" s="248"/>
      <c r="Q319" s="248"/>
      <c r="R319" s="248"/>
      <c r="S319" s="248"/>
      <c r="T319" s="248"/>
      <c r="U319" s="248"/>
      <c r="V319" s="248"/>
      <c r="W319" s="248"/>
      <c r="X319" s="248"/>
      <c r="Y319" s="248"/>
      <c r="Z319" s="248"/>
    </row>
    <row r="320" spans="16:26">
      <c r="P320" s="248"/>
      <c r="Q320" s="248"/>
      <c r="R320" s="248"/>
      <c r="S320" s="248"/>
      <c r="T320" s="248"/>
      <c r="U320" s="248"/>
      <c r="V320" s="248"/>
      <c r="W320" s="248"/>
      <c r="X320" s="248"/>
      <c r="Y320" s="248"/>
      <c r="Z320" s="248"/>
    </row>
    <row r="321" spans="16:26">
      <c r="P321" s="241"/>
      <c r="Q321" s="241"/>
      <c r="R321" s="241"/>
      <c r="S321" s="241"/>
      <c r="T321" s="241"/>
      <c r="U321" s="241"/>
      <c r="V321" s="241"/>
      <c r="W321" s="241"/>
      <c r="X321" s="241"/>
      <c r="Y321" s="241"/>
      <c r="Z321" s="241"/>
    </row>
    <row r="322" spans="16:26">
      <c r="P322" s="248"/>
      <c r="Q322" s="248"/>
      <c r="R322" s="248"/>
      <c r="S322" s="248"/>
      <c r="T322" s="248"/>
      <c r="U322" s="248"/>
      <c r="V322" s="248"/>
      <c r="W322" s="248"/>
      <c r="X322" s="248"/>
      <c r="Y322" s="248"/>
      <c r="Z322" s="248"/>
    </row>
    <row r="323" spans="16:26">
      <c r="P323" s="248"/>
      <c r="Q323" s="248"/>
      <c r="R323" s="248"/>
      <c r="S323" s="248"/>
      <c r="T323" s="248"/>
      <c r="U323" s="248"/>
      <c r="V323" s="248"/>
      <c r="W323" s="248"/>
      <c r="X323" s="248"/>
      <c r="Y323" s="248"/>
      <c r="Z323" s="248"/>
    </row>
    <row r="324" spans="16:26">
      <c r="P324" s="241"/>
      <c r="Q324" s="241"/>
      <c r="R324" s="241"/>
      <c r="S324" s="241"/>
      <c r="T324" s="241"/>
      <c r="U324" s="241"/>
      <c r="V324" s="241"/>
      <c r="W324" s="241"/>
      <c r="X324" s="241"/>
      <c r="Y324" s="241"/>
      <c r="Z324" s="241"/>
    </row>
    <row r="325" spans="16:26">
      <c r="P325" s="248"/>
      <c r="Q325" s="248"/>
      <c r="R325" s="248"/>
      <c r="S325" s="248"/>
      <c r="T325" s="248"/>
      <c r="U325" s="248"/>
      <c r="V325" s="248"/>
      <c r="W325" s="248"/>
      <c r="X325" s="248"/>
      <c r="Y325" s="248"/>
      <c r="Z325" s="248"/>
    </row>
    <row r="326" spans="16:26">
      <c r="P326" s="248"/>
      <c r="Q326" s="248"/>
      <c r="R326" s="248"/>
      <c r="S326" s="248"/>
      <c r="T326" s="248"/>
      <c r="U326" s="248"/>
      <c r="V326" s="248"/>
      <c r="W326" s="248"/>
      <c r="X326" s="248"/>
      <c r="Y326" s="248"/>
      <c r="Z326" s="248"/>
    </row>
    <row r="327" spans="16:26">
      <c r="P327" s="241"/>
      <c r="Q327" s="241"/>
      <c r="R327" s="241"/>
      <c r="S327" s="241"/>
      <c r="T327" s="241"/>
      <c r="U327" s="241"/>
      <c r="V327" s="241"/>
      <c r="W327" s="241"/>
      <c r="X327" s="241"/>
      <c r="Y327" s="241"/>
      <c r="Z327" s="241"/>
    </row>
    <row r="328" spans="16:26">
      <c r="P328" s="248"/>
      <c r="Q328" s="248"/>
      <c r="R328" s="248"/>
      <c r="S328" s="248"/>
      <c r="T328" s="248"/>
      <c r="U328" s="248"/>
      <c r="V328" s="248"/>
      <c r="W328" s="248"/>
      <c r="X328" s="248"/>
      <c r="Y328" s="248"/>
      <c r="Z328" s="248"/>
    </row>
    <row r="329" spans="16:26">
      <c r="P329" s="248"/>
      <c r="Q329" s="248"/>
      <c r="R329" s="248"/>
      <c r="S329" s="248"/>
      <c r="T329" s="248"/>
      <c r="U329" s="248"/>
      <c r="V329" s="248"/>
      <c r="W329" s="248"/>
      <c r="X329" s="248"/>
      <c r="Y329" s="248"/>
      <c r="Z329" s="248"/>
    </row>
    <row r="330" spans="16:26">
      <c r="P330" s="241"/>
      <c r="Q330" s="241"/>
      <c r="R330" s="241"/>
      <c r="S330" s="241"/>
      <c r="T330" s="241"/>
      <c r="U330" s="241"/>
      <c r="V330" s="241"/>
      <c r="W330" s="241"/>
      <c r="X330" s="241"/>
      <c r="Y330" s="241"/>
      <c r="Z330" s="241"/>
    </row>
    <row r="331" spans="16:26">
      <c r="P331" s="248"/>
      <c r="Q331" s="248"/>
      <c r="R331" s="248"/>
      <c r="S331" s="248"/>
      <c r="T331" s="248"/>
      <c r="U331" s="248"/>
      <c r="V331" s="248"/>
      <c r="W331" s="248"/>
      <c r="X331" s="248"/>
      <c r="Y331" s="248"/>
      <c r="Z331" s="248"/>
    </row>
    <row r="332" spans="16:26">
      <c r="P332" s="248"/>
      <c r="Q332" s="248"/>
      <c r="R332" s="248"/>
      <c r="S332" s="248"/>
      <c r="T332" s="248"/>
      <c r="U332" s="248"/>
      <c r="V332" s="248"/>
      <c r="W332" s="248"/>
      <c r="X332" s="248"/>
      <c r="Y332" s="248"/>
      <c r="Z332" s="248"/>
    </row>
    <row r="333" spans="16:26">
      <c r="P333" s="241"/>
      <c r="Q333" s="241"/>
      <c r="R333" s="241"/>
      <c r="S333" s="241"/>
      <c r="T333" s="241"/>
      <c r="U333" s="241"/>
      <c r="V333" s="241"/>
      <c r="W333" s="241"/>
      <c r="X333" s="241"/>
      <c r="Y333" s="241"/>
      <c r="Z333" s="241"/>
    </row>
    <row r="334" spans="16:26">
      <c r="P334" s="248"/>
      <c r="Q334" s="248"/>
      <c r="R334" s="248"/>
      <c r="S334" s="248"/>
      <c r="T334" s="248"/>
      <c r="U334" s="248"/>
      <c r="V334" s="248"/>
      <c r="W334" s="248"/>
      <c r="X334" s="248"/>
      <c r="Y334" s="248"/>
      <c r="Z334" s="248"/>
    </row>
    <row r="335" spans="16:26">
      <c r="P335" s="248"/>
      <c r="Q335" s="248"/>
      <c r="R335" s="248"/>
      <c r="S335" s="248"/>
      <c r="T335" s="248"/>
      <c r="U335" s="248"/>
      <c r="V335" s="248"/>
      <c r="W335" s="248"/>
      <c r="X335" s="248"/>
      <c r="Y335" s="248"/>
      <c r="Z335" s="248"/>
    </row>
    <row r="336" spans="16:26">
      <c r="P336" s="241"/>
      <c r="Q336" s="241"/>
      <c r="R336" s="241"/>
      <c r="S336" s="241"/>
      <c r="T336" s="241"/>
      <c r="U336" s="241"/>
      <c r="V336" s="241"/>
      <c r="W336" s="241"/>
      <c r="X336" s="241"/>
      <c r="Y336" s="241"/>
      <c r="Z336" s="241"/>
    </row>
    <row r="337" spans="16:26">
      <c r="P337" s="248"/>
      <c r="Q337" s="248"/>
      <c r="R337" s="248"/>
      <c r="S337" s="248"/>
      <c r="T337" s="248"/>
      <c r="U337" s="248"/>
      <c r="V337" s="248"/>
      <c r="W337" s="248"/>
      <c r="X337" s="248"/>
      <c r="Y337" s="248"/>
      <c r="Z337" s="248"/>
    </row>
    <row r="338" spans="16:26">
      <c r="P338" s="248"/>
      <c r="Q338" s="248"/>
      <c r="R338" s="248"/>
      <c r="S338" s="248"/>
      <c r="T338" s="248"/>
      <c r="U338" s="248"/>
      <c r="V338" s="248"/>
      <c r="W338" s="248"/>
      <c r="X338" s="248"/>
      <c r="Y338" s="248"/>
      <c r="Z338" s="248"/>
    </row>
    <row r="339" spans="16:26">
      <c r="P339" s="241"/>
      <c r="Q339" s="241"/>
      <c r="R339" s="241"/>
      <c r="S339" s="241"/>
      <c r="T339" s="241"/>
      <c r="U339" s="241"/>
      <c r="V339" s="241"/>
      <c r="W339" s="241"/>
      <c r="X339" s="241"/>
      <c r="Y339" s="241"/>
      <c r="Z339" s="241"/>
    </row>
    <row r="340" spans="16:26">
      <c r="P340" s="248"/>
      <c r="Q340" s="248"/>
      <c r="R340" s="248"/>
      <c r="S340" s="248"/>
      <c r="T340" s="248"/>
      <c r="U340" s="248"/>
      <c r="V340" s="248"/>
      <c r="W340" s="248"/>
      <c r="X340" s="248"/>
      <c r="Y340" s="248"/>
      <c r="Z340" s="248"/>
    </row>
    <row r="341" spans="16:26">
      <c r="P341" s="248"/>
      <c r="Q341" s="248"/>
      <c r="R341" s="248"/>
      <c r="S341" s="248"/>
      <c r="T341" s="248"/>
      <c r="U341" s="248"/>
      <c r="V341" s="248"/>
      <c r="W341" s="248"/>
      <c r="X341" s="248"/>
      <c r="Y341" s="248"/>
      <c r="Z341" s="248"/>
    </row>
    <row r="342" spans="16:26">
      <c r="P342" s="241"/>
      <c r="Q342" s="241"/>
      <c r="R342" s="241"/>
      <c r="S342" s="241"/>
      <c r="T342" s="241"/>
      <c r="U342" s="241"/>
      <c r="V342" s="241"/>
      <c r="W342" s="241"/>
      <c r="X342" s="241"/>
      <c r="Y342" s="241"/>
      <c r="Z342" s="241"/>
    </row>
    <row r="343" spans="16:26">
      <c r="P343" s="248"/>
      <c r="Q343" s="248"/>
      <c r="R343" s="248"/>
      <c r="S343" s="248"/>
      <c r="T343" s="248"/>
      <c r="U343" s="248"/>
      <c r="V343" s="248"/>
      <c r="W343" s="248"/>
      <c r="X343" s="248"/>
      <c r="Y343" s="248"/>
      <c r="Z343" s="248"/>
    </row>
    <row r="344" spans="16:26">
      <c r="P344" s="248"/>
      <c r="Q344" s="248"/>
      <c r="R344" s="248"/>
      <c r="S344" s="248"/>
      <c r="T344" s="248"/>
      <c r="U344" s="248"/>
      <c r="V344" s="248"/>
      <c r="W344" s="248"/>
      <c r="X344" s="248"/>
      <c r="Y344" s="248"/>
      <c r="Z344" s="248"/>
    </row>
    <row r="345" spans="16:26">
      <c r="P345" s="241"/>
      <c r="Q345" s="241"/>
      <c r="R345" s="241"/>
      <c r="S345" s="241"/>
      <c r="T345" s="241"/>
      <c r="U345" s="241"/>
      <c r="V345" s="241"/>
      <c r="W345" s="241"/>
      <c r="X345" s="241"/>
      <c r="Y345" s="241"/>
      <c r="Z345" s="241"/>
    </row>
    <row r="346" spans="16:26">
      <c r="P346" s="248"/>
      <c r="Q346" s="248"/>
      <c r="R346" s="248"/>
      <c r="S346" s="248"/>
      <c r="T346" s="248"/>
      <c r="U346" s="248"/>
      <c r="V346" s="248"/>
      <c r="W346" s="248"/>
      <c r="X346" s="248"/>
      <c r="Y346" s="248"/>
      <c r="Z346" s="248"/>
    </row>
    <row r="347" spans="16:26">
      <c r="P347" s="248"/>
      <c r="Q347" s="248"/>
      <c r="R347" s="248"/>
      <c r="S347" s="248"/>
      <c r="T347" s="248"/>
      <c r="U347" s="248"/>
      <c r="V347" s="248"/>
      <c r="W347" s="248"/>
      <c r="X347" s="248"/>
      <c r="Y347" s="248"/>
      <c r="Z347" s="248"/>
    </row>
    <row r="348" spans="16:26">
      <c r="P348" s="241"/>
      <c r="Q348" s="241"/>
      <c r="R348" s="241"/>
      <c r="S348" s="241"/>
      <c r="T348" s="241"/>
      <c r="U348" s="241"/>
      <c r="V348" s="241"/>
      <c r="W348" s="241"/>
      <c r="X348" s="241"/>
      <c r="Y348" s="241"/>
      <c r="Z348" s="241"/>
    </row>
    <row r="349" spans="16:26">
      <c r="P349" s="248"/>
      <c r="Q349" s="248"/>
      <c r="R349" s="248"/>
      <c r="S349" s="248"/>
      <c r="T349" s="248"/>
      <c r="U349" s="248"/>
      <c r="V349" s="248"/>
      <c r="W349" s="248"/>
      <c r="X349" s="248"/>
      <c r="Y349" s="248"/>
      <c r="Z349" s="248"/>
    </row>
    <row r="350" spans="16:26">
      <c r="P350" s="248"/>
      <c r="Q350" s="248"/>
      <c r="R350" s="248"/>
      <c r="S350" s="248"/>
      <c r="T350" s="248"/>
      <c r="U350" s="248"/>
      <c r="V350" s="248"/>
      <c r="W350" s="248"/>
      <c r="X350" s="248"/>
      <c r="Y350" s="248"/>
      <c r="Z350" s="248"/>
    </row>
    <row r="351" spans="16:26">
      <c r="P351" s="241"/>
      <c r="Q351" s="241"/>
      <c r="R351" s="241"/>
      <c r="S351" s="241"/>
      <c r="T351" s="241"/>
      <c r="U351" s="241"/>
      <c r="V351" s="241"/>
      <c r="W351" s="241"/>
      <c r="X351" s="241"/>
      <c r="Y351" s="241"/>
      <c r="Z351" s="241"/>
    </row>
    <row r="352" spans="16:26">
      <c r="P352" s="248"/>
      <c r="Q352" s="248"/>
      <c r="R352" s="248"/>
      <c r="S352" s="248"/>
      <c r="T352" s="248"/>
      <c r="U352" s="248"/>
      <c r="V352" s="248"/>
      <c r="W352" s="248"/>
      <c r="X352" s="248"/>
      <c r="Y352" s="248"/>
      <c r="Z352" s="248"/>
    </row>
    <row r="353" spans="16:26">
      <c r="P353" s="248"/>
      <c r="Q353" s="248"/>
      <c r="R353" s="248"/>
      <c r="S353" s="248"/>
      <c r="T353" s="248"/>
      <c r="U353" s="248"/>
      <c r="V353" s="248"/>
      <c r="W353" s="248"/>
      <c r="X353" s="248"/>
      <c r="Y353" s="248"/>
      <c r="Z353" s="248"/>
    </row>
    <row r="354" spans="16:26">
      <c r="P354" s="241"/>
      <c r="Q354" s="241"/>
      <c r="R354" s="241"/>
      <c r="S354" s="241"/>
      <c r="T354" s="241"/>
      <c r="U354" s="241"/>
      <c r="V354" s="241"/>
      <c r="W354" s="241"/>
      <c r="X354" s="241"/>
      <c r="Y354" s="241"/>
      <c r="Z354" s="241"/>
    </row>
    <row r="355" spans="16:26">
      <c r="P355" s="248"/>
      <c r="Q355" s="248"/>
      <c r="R355" s="248"/>
      <c r="S355" s="248"/>
      <c r="T355" s="248"/>
      <c r="U355" s="248"/>
      <c r="V355" s="248"/>
      <c r="W355" s="248"/>
      <c r="X355" s="248"/>
      <c r="Y355" s="248"/>
      <c r="Z355" s="248"/>
    </row>
    <row r="356" spans="16:26">
      <c r="P356" s="248"/>
      <c r="Q356" s="248"/>
      <c r="R356" s="248"/>
      <c r="S356" s="248"/>
      <c r="T356" s="248"/>
      <c r="U356" s="248"/>
      <c r="V356" s="248"/>
      <c r="W356" s="248"/>
      <c r="X356" s="248"/>
      <c r="Y356" s="248"/>
      <c r="Z356" s="248"/>
    </row>
    <row r="357" spans="16:26">
      <c r="P357" s="241"/>
      <c r="Q357" s="241"/>
      <c r="R357" s="241"/>
      <c r="S357" s="241"/>
      <c r="T357" s="241"/>
      <c r="U357" s="241"/>
      <c r="V357" s="241"/>
      <c r="W357" s="241"/>
      <c r="X357" s="241"/>
      <c r="Y357" s="241"/>
      <c r="Z357" s="241"/>
    </row>
    <row r="358" spans="16:26">
      <c r="P358" s="248"/>
      <c r="Q358" s="248"/>
      <c r="R358" s="248"/>
      <c r="S358" s="248"/>
      <c r="T358" s="248"/>
      <c r="U358" s="248"/>
      <c r="V358" s="248"/>
      <c r="W358" s="248"/>
      <c r="X358" s="248"/>
      <c r="Y358" s="248"/>
      <c r="Z358" s="248"/>
    </row>
    <row r="359" spans="16:26">
      <c r="P359" s="248"/>
      <c r="Q359" s="248"/>
      <c r="R359" s="248"/>
      <c r="S359" s="248"/>
      <c r="T359" s="248"/>
      <c r="U359" s="248"/>
      <c r="V359" s="248"/>
      <c r="W359" s="248"/>
      <c r="X359" s="248"/>
      <c r="Y359" s="248"/>
      <c r="Z359" s="248"/>
    </row>
    <row r="360" spans="16:26">
      <c r="P360" s="241"/>
      <c r="Q360" s="241"/>
      <c r="R360" s="241"/>
      <c r="S360" s="241"/>
      <c r="T360" s="241"/>
      <c r="U360" s="241"/>
      <c r="V360" s="241"/>
      <c r="W360" s="241"/>
      <c r="X360" s="241"/>
      <c r="Y360" s="241"/>
      <c r="Z360" s="241"/>
    </row>
    <row r="361" spans="16:26">
      <c r="P361" s="248"/>
      <c r="Q361" s="248"/>
      <c r="R361" s="248"/>
      <c r="S361" s="248"/>
      <c r="T361" s="248"/>
      <c r="U361" s="248"/>
      <c r="V361" s="248"/>
      <c r="W361" s="248"/>
      <c r="X361" s="248"/>
      <c r="Y361" s="248"/>
      <c r="Z361" s="248"/>
    </row>
    <row r="362" spans="16:26">
      <c r="P362" s="248"/>
      <c r="Q362" s="248"/>
      <c r="R362" s="248"/>
      <c r="S362" s="248"/>
      <c r="T362" s="248"/>
      <c r="U362" s="248"/>
      <c r="V362" s="248"/>
      <c r="W362" s="248"/>
      <c r="X362" s="248"/>
      <c r="Y362" s="248"/>
      <c r="Z362" s="248"/>
    </row>
    <row r="363" spans="16:26">
      <c r="P363" s="241"/>
      <c r="Q363" s="241"/>
      <c r="R363" s="241"/>
      <c r="S363" s="241"/>
      <c r="T363" s="241"/>
      <c r="U363" s="241"/>
      <c r="V363" s="241"/>
      <c r="W363" s="241"/>
      <c r="X363" s="241"/>
      <c r="Y363" s="241"/>
      <c r="Z363" s="241"/>
    </row>
    <row r="364" spans="16:26">
      <c r="P364" s="248"/>
      <c r="Q364" s="248"/>
      <c r="R364" s="248"/>
      <c r="S364" s="248"/>
      <c r="T364" s="248"/>
      <c r="U364" s="248"/>
      <c r="V364" s="248"/>
      <c r="W364" s="248"/>
      <c r="X364" s="248"/>
      <c r="Y364" s="248"/>
      <c r="Z364" s="248"/>
    </row>
    <row r="365" spans="16:26">
      <c r="P365" s="248"/>
      <c r="Q365" s="248"/>
      <c r="R365" s="248"/>
      <c r="S365" s="248"/>
      <c r="T365" s="248"/>
      <c r="U365" s="248"/>
      <c r="V365" s="248"/>
      <c r="W365" s="248"/>
      <c r="X365" s="248"/>
      <c r="Y365" s="248"/>
      <c r="Z365" s="248"/>
    </row>
    <row r="366" spans="16:26">
      <c r="P366" s="241"/>
      <c r="Q366" s="241"/>
      <c r="R366" s="241"/>
      <c r="S366" s="241"/>
      <c r="T366" s="241"/>
      <c r="U366" s="241"/>
      <c r="V366" s="241"/>
      <c r="W366" s="241"/>
      <c r="X366" s="241"/>
      <c r="Y366" s="241"/>
      <c r="Z366" s="241"/>
    </row>
    <row r="367" spans="16:26">
      <c r="P367" s="248"/>
      <c r="Q367" s="248"/>
      <c r="R367" s="248"/>
      <c r="S367" s="248"/>
      <c r="T367" s="248"/>
      <c r="U367" s="248"/>
      <c r="V367" s="248"/>
      <c r="W367" s="248"/>
      <c r="X367" s="248"/>
      <c r="Y367" s="248"/>
      <c r="Z367" s="248"/>
    </row>
    <row r="368" spans="16:26">
      <c r="P368" s="248"/>
      <c r="Q368" s="248"/>
      <c r="R368" s="248"/>
      <c r="S368" s="248"/>
      <c r="T368" s="248"/>
      <c r="U368" s="248"/>
      <c r="V368" s="248"/>
      <c r="W368" s="248"/>
      <c r="X368" s="248"/>
      <c r="Y368" s="248"/>
      <c r="Z368" s="248"/>
    </row>
    <row r="369" spans="16:26">
      <c r="P369" s="241"/>
      <c r="Q369" s="241"/>
      <c r="R369" s="241"/>
      <c r="S369" s="241"/>
      <c r="T369" s="241"/>
      <c r="U369" s="241"/>
      <c r="V369" s="241"/>
      <c r="W369" s="241"/>
      <c r="X369" s="241"/>
      <c r="Y369" s="241"/>
      <c r="Z369" s="241"/>
    </row>
    <row r="370" spans="16:26">
      <c r="P370" s="248"/>
      <c r="Q370" s="248"/>
      <c r="R370" s="248"/>
      <c r="S370" s="248"/>
      <c r="T370" s="248"/>
      <c r="U370" s="248"/>
      <c r="V370" s="248"/>
      <c r="W370" s="248"/>
      <c r="X370" s="248"/>
      <c r="Y370" s="248"/>
      <c r="Z370" s="248"/>
    </row>
    <row r="371" spans="16:26">
      <c r="P371" s="248"/>
      <c r="Q371" s="248"/>
      <c r="R371" s="248"/>
      <c r="S371" s="248"/>
      <c r="T371" s="248"/>
      <c r="U371" s="248"/>
      <c r="V371" s="248"/>
      <c r="W371" s="248"/>
      <c r="X371" s="248"/>
      <c r="Y371" s="248"/>
      <c r="Z371" s="248"/>
    </row>
    <row r="372" spans="16:26">
      <c r="P372" s="241"/>
      <c r="Q372" s="241"/>
      <c r="R372" s="241"/>
      <c r="S372" s="241"/>
      <c r="T372" s="241"/>
      <c r="U372" s="241"/>
      <c r="V372" s="241"/>
      <c r="W372" s="241"/>
      <c r="X372" s="241"/>
      <c r="Y372" s="241"/>
      <c r="Z372" s="241"/>
    </row>
    <row r="373" spans="16:26">
      <c r="P373" s="248"/>
      <c r="Q373" s="248"/>
      <c r="R373" s="248"/>
      <c r="S373" s="248"/>
      <c r="T373" s="248"/>
      <c r="U373" s="248"/>
      <c r="V373" s="248"/>
      <c r="W373" s="248"/>
      <c r="X373" s="248"/>
      <c r="Y373" s="248"/>
      <c r="Z373" s="248"/>
    </row>
    <row r="374" spans="16:26">
      <c r="P374" s="248"/>
      <c r="Q374" s="248"/>
      <c r="R374" s="248"/>
      <c r="S374" s="248"/>
      <c r="T374" s="248"/>
      <c r="U374" s="248"/>
      <c r="V374" s="248"/>
      <c r="W374" s="248"/>
      <c r="X374" s="248"/>
      <c r="Y374" s="248"/>
      <c r="Z374" s="248"/>
    </row>
    <row r="375" spans="16:26">
      <c r="P375" s="241"/>
      <c r="Q375" s="241"/>
      <c r="R375" s="241"/>
      <c r="S375" s="241"/>
      <c r="T375" s="241"/>
      <c r="U375" s="241"/>
      <c r="V375" s="241"/>
      <c r="W375" s="241"/>
      <c r="X375" s="241"/>
      <c r="Y375" s="241"/>
      <c r="Z375" s="241"/>
    </row>
    <row r="376" spans="16:26">
      <c r="P376" s="248"/>
      <c r="Q376" s="248"/>
      <c r="R376" s="248"/>
      <c r="S376" s="248"/>
      <c r="T376" s="248"/>
      <c r="U376" s="248"/>
      <c r="V376" s="248"/>
      <c r="W376" s="248"/>
      <c r="X376" s="248"/>
      <c r="Y376" s="248"/>
      <c r="Z376" s="248"/>
    </row>
    <row r="377" spans="16:26">
      <c r="P377" s="248"/>
      <c r="Q377" s="248"/>
      <c r="R377" s="248"/>
      <c r="S377" s="248"/>
      <c r="T377" s="248"/>
      <c r="U377" s="248"/>
      <c r="V377" s="248"/>
      <c r="W377" s="248"/>
      <c r="X377" s="248"/>
      <c r="Y377" s="248"/>
      <c r="Z377" s="248"/>
    </row>
    <row r="378" spans="16:26">
      <c r="P378" s="241"/>
      <c r="Q378" s="241"/>
      <c r="R378" s="241"/>
      <c r="S378" s="241"/>
      <c r="T378" s="241"/>
      <c r="U378" s="241"/>
      <c r="V378" s="241"/>
      <c r="W378" s="241"/>
      <c r="X378" s="241"/>
      <c r="Y378" s="241"/>
      <c r="Z378" s="241"/>
    </row>
    <row r="379" spans="16:26">
      <c r="P379" s="248"/>
      <c r="Q379" s="248"/>
      <c r="R379" s="248"/>
      <c r="S379" s="248"/>
      <c r="T379" s="248"/>
      <c r="U379" s="248"/>
      <c r="V379" s="248"/>
      <c r="W379" s="248"/>
      <c r="X379" s="248"/>
      <c r="Y379" s="248"/>
      <c r="Z379" s="248"/>
    </row>
    <row r="380" spans="16:26">
      <c r="P380" s="248"/>
      <c r="Q380" s="248"/>
      <c r="R380" s="248"/>
      <c r="S380" s="248"/>
      <c r="T380" s="248"/>
      <c r="U380" s="248"/>
      <c r="V380" s="248"/>
      <c r="W380" s="248"/>
      <c r="X380" s="248"/>
      <c r="Y380" s="248"/>
      <c r="Z380" s="248"/>
    </row>
    <row r="381" spans="16:26">
      <c r="P381" s="241"/>
      <c r="Q381" s="241"/>
      <c r="R381" s="241"/>
      <c r="S381" s="241"/>
      <c r="T381" s="241"/>
      <c r="U381" s="241"/>
      <c r="V381" s="241"/>
      <c r="W381" s="241"/>
      <c r="X381" s="241"/>
      <c r="Y381" s="241"/>
      <c r="Z381" s="241"/>
    </row>
    <row r="382" spans="16:26">
      <c r="P382" s="248"/>
      <c r="Q382" s="248"/>
      <c r="R382" s="248"/>
      <c r="S382" s="248"/>
      <c r="T382" s="248"/>
      <c r="U382" s="248"/>
      <c r="V382" s="248"/>
      <c r="W382" s="248"/>
      <c r="X382" s="248"/>
      <c r="Y382" s="248"/>
      <c r="Z382" s="248"/>
    </row>
    <row r="383" spans="16:26">
      <c r="P383" s="248"/>
      <c r="Q383" s="248"/>
      <c r="R383" s="248"/>
      <c r="S383" s="248"/>
      <c r="T383" s="248"/>
      <c r="U383" s="248"/>
      <c r="V383" s="248"/>
      <c r="W383" s="248"/>
      <c r="X383" s="248"/>
      <c r="Y383" s="248"/>
      <c r="Z383" s="248"/>
    </row>
    <row r="384" spans="16:26">
      <c r="P384" s="241"/>
      <c r="Q384" s="241"/>
      <c r="R384" s="241"/>
      <c r="S384" s="241"/>
      <c r="T384" s="241"/>
      <c r="U384" s="241"/>
      <c r="V384" s="241"/>
      <c r="W384" s="241"/>
      <c r="X384" s="241"/>
      <c r="Y384" s="241"/>
      <c r="Z384" s="241"/>
    </row>
    <row r="385" spans="16:26">
      <c r="P385" s="248"/>
      <c r="Q385" s="248"/>
      <c r="R385" s="248"/>
      <c r="S385" s="248"/>
      <c r="T385" s="248"/>
      <c r="U385" s="248"/>
      <c r="V385" s="248"/>
      <c r="W385" s="248"/>
      <c r="X385" s="248"/>
      <c r="Y385" s="248"/>
      <c r="Z385" s="248"/>
    </row>
    <row r="386" spans="16:26">
      <c r="P386" s="248"/>
      <c r="Q386" s="248"/>
      <c r="R386" s="248"/>
      <c r="S386" s="248"/>
      <c r="T386" s="248"/>
      <c r="U386" s="248"/>
      <c r="V386" s="248"/>
      <c r="W386" s="248"/>
      <c r="X386" s="248"/>
      <c r="Y386" s="248"/>
      <c r="Z386" s="248"/>
    </row>
    <row r="387" spans="16:26">
      <c r="P387" s="241"/>
      <c r="Q387" s="241"/>
      <c r="R387" s="241"/>
      <c r="S387" s="241"/>
      <c r="T387" s="241"/>
      <c r="U387" s="241"/>
      <c r="V387" s="241"/>
      <c r="W387" s="241"/>
      <c r="X387" s="241"/>
      <c r="Y387" s="241"/>
      <c r="Z387" s="241"/>
    </row>
    <row r="388" spans="16:26">
      <c r="P388" s="248"/>
      <c r="Q388" s="248"/>
      <c r="R388" s="248"/>
      <c r="S388" s="248"/>
      <c r="T388" s="248"/>
      <c r="U388" s="248"/>
      <c r="V388" s="248"/>
      <c r="W388" s="248"/>
      <c r="X388" s="248"/>
      <c r="Y388" s="248"/>
      <c r="Z388" s="248"/>
    </row>
    <row r="389" spans="16:26">
      <c r="P389" s="248"/>
      <c r="Q389" s="248"/>
      <c r="R389" s="248"/>
      <c r="S389" s="248"/>
      <c r="T389" s="248"/>
      <c r="U389" s="248"/>
      <c r="V389" s="248"/>
      <c r="W389" s="248"/>
      <c r="X389" s="248"/>
      <c r="Y389" s="248"/>
      <c r="Z389" s="248"/>
    </row>
    <row r="390" spans="16:26">
      <c r="P390" s="241"/>
      <c r="Q390" s="241"/>
      <c r="R390" s="241"/>
      <c r="S390" s="241"/>
      <c r="T390" s="241"/>
      <c r="U390" s="241"/>
      <c r="V390" s="241"/>
      <c r="W390" s="241"/>
      <c r="X390" s="241"/>
      <c r="Y390" s="241"/>
      <c r="Z390" s="241"/>
    </row>
    <row r="391" spans="16:26">
      <c r="P391" s="248"/>
      <c r="Q391" s="248"/>
      <c r="R391" s="248"/>
      <c r="S391" s="248"/>
      <c r="T391" s="248"/>
      <c r="U391" s="248"/>
      <c r="V391" s="248"/>
      <c r="W391" s="248"/>
      <c r="X391" s="248"/>
      <c r="Y391" s="248"/>
      <c r="Z391" s="248"/>
    </row>
    <row r="392" spans="16:26">
      <c r="P392" s="248"/>
      <c r="Q392" s="248"/>
      <c r="R392" s="248"/>
      <c r="S392" s="248"/>
      <c r="T392" s="248"/>
      <c r="U392" s="248"/>
      <c r="V392" s="248"/>
      <c r="W392" s="248"/>
      <c r="X392" s="248"/>
      <c r="Y392" s="248"/>
      <c r="Z392" s="248"/>
    </row>
    <row r="393" spans="16:26">
      <c r="P393" s="241"/>
      <c r="Q393" s="241"/>
      <c r="R393" s="241"/>
      <c r="S393" s="241"/>
      <c r="T393" s="241"/>
      <c r="U393" s="241"/>
      <c r="V393" s="241"/>
      <c r="W393" s="241"/>
      <c r="X393" s="241"/>
      <c r="Y393" s="241"/>
      <c r="Z393" s="241"/>
    </row>
    <row r="394" spans="16:26">
      <c r="P394" s="248"/>
      <c r="Q394" s="248"/>
      <c r="R394" s="248"/>
      <c r="S394" s="248"/>
      <c r="T394" s="248"/>
      <c r="U394" s="248"/>
      <c r="V394" s="248"/>
      <c r="W394" s="248"/>
      <c r="X394" s="248"/>
      <c r="Y394" s="248"/>
      <c r="Z394" s="248"/>
    </row>
    <row r="395" spans="16:26">
      <c r="P395" s="248"/>
      <c r="Q395" s="248"/>
      <c r="R395" s="248"/>
      <c r="S395" s="248"/>
      <c r="T395" s="248"/>
      <c r="U395" s="248"/>
      <c r="V395" s="248"/>
      <c r="W395" s="248"/>
      <c r="X395" s="248"/>
      <c r="Y395" s="248"/>
      <c r="Z395" s="248"/>
    </row>
    <row r="396" spans="16:26">
      <c r="P396" s="241"/>
      <c r="Q396" s="241"/>
      <c r="R396" s="241"/>
      <c r="S396" s="241"/>
      <c r="T396" s="241"/>
      <c r="U396" s="241"/>
      <c r="V396" s="241"/>
      <c r="W396" s="241"/>
      <c r="X396" s="241"/>
      <c r="Y396" s="241"/>
      <c r="Z396" s="241"/>
    </row>
    <row r="397" spans="16:26">
      <c r="P397" s="248"/>
      <c r="Q397" s="248"/>
      <c r="R397" s="248"/>
      <c r="S397" s="248"/>
      <c r="T397" s="248"/>
      <c r="U397" s="248"/>
      <c r="V397" s="248"/>
      <c r="W397" s="248"/>
      <c r="X397" s="248"/>
      <c r="Y397" s="248"/>
      <c r="Z397" s="248"/>
    </row>
    <row r="398" spans="16:26">
      <c r="P398" s="248"/>
      <c r="Q398" s="248"/>
      <c r="R398" s="248"/>
      <c r="S398" s="248"/>
      <c r="T398" s="248"/>
      <c r="U398" s="248"/>
      <c r="V398" s="248"/>
      <c r="W398" s="248"/>
      <c r="X398" s="248"/>
      <c r="Y398" s="248"/>
      <c r="Z398" s="248"/>
    </row>
    <row r="399" spans="16:26">
      <c r="P399" s="241"/>
      <c r="Q399" s="241"/>
      <c r="R399" s="241"/>
      <c r="S399" s="241"/>
      <c r="T399" s="241"/>
      <c r="U399" s="241"/>
      <c r="V399" s="241"/>
      <c r="W399" s="241"/>
      <c r="X399" s="241"/>
      <c r="Y399" s="241"/>
      <c r="Z399" s="241"/>
    </row>
    <row r="400" spans="16:26">
      <c r="P400" s="248"/>
      <c r="Q400" s="248"/>
      <c r="R400" s="248"/>
      <c r="S400" s="248"/>
      <c r="T400" s="248"/>
      <c r="U400" s="248"/>
      <c r="V400" s="248"/>
      <c r="W400" s="248"/>
      <c r="X400" s="248"/>
      <c r="Y400" s="248"/>
      <c r="Z400" s="248"/>
    </row>
    <row r="401" spans="16:26">
      <c r="P401" s="248"/>
      <c r="Q401" s="248"/>
      <c r="R401" s="248"/>
      <c r="S401" s="248"/>
      <c r="T401" s="248"/>
      <c r="U401" s="248"/>
      <c r="V401" s="248"/>
      <c r="W401" s="248"/>
      <c r="X401" s="248"/>
      <c r="Y401" s="248"/>
      <c r="Z401" s="248"/>
    </row>
    <row r="402" spans="16:26">
      <c r="P402" s="241"/>
      <c r="Q402" s="241"/>
      <c r="R402" s="241"/>
      <c r="S402" s="241"/>
      <c r="T402" s="241"/>
      <c r="U402" s="241"/>
      <c r="V402" s="241"/>
      <c r="W402" s="241"/>
      <c r="X402" s="241"/>
      <c r="Y402" s="241"/>
      <c r="Z402" s="241"/>
    </row>
    <row r="403" spans="16:26">
      <c r="P403" s="248"/>
      <c r="Q403" s="248"/>
      <c r="R403" s="248"/>
      <c r="S403" s="248"/>
      <c r="T403" s="248"/>
      <c r="U403" s="248"/>
      <c r="V403" s="248"/>
      <c r="W403" s="248"/>
      <c r="X403" s="248"/>
      <c r="Y403" s="248"/>
      <c r="Z403" s="248"/>
    </row>
    <row r="404" spans="16:26">
      <c r="P404" s="248"/>
      <c r="Q404" s="248"/>
      <c r="R404" s="248"/>
      <c r="S404" s="248"/>
      <c r="T404" s="248"/>
      <c r="U404" s="248"/>
      <c r="V404" s="248"/>
      <c r="W404" s="248"/>
      <c r="X404" s="248"/>
      <c r="Y404" s="248"/>
      <c r="Z404" s="248"/>
    </row>
    <row r="405" spans="16:26">
      <c r="P405" s="241"/>
      <c r="Q405" s="241"/>
      <c r="R405" s="241"/>
      <c r="S405" s="241"/>
      <c r="T405" s="241"/>
      <c r="U405" s="241"/>
      <c r="V405" s="241"/>
      <c r="W405" s="241"/>
      <c r="X405" s="241"/>
      <c r="Y405" s="241"/>
      <c r="Z405" s="241"/>
    </row>
    <row r="406" spans="16:26">
      <c r="P406" s="248"/>
      <c r="Q406" s="248"/>
      <c r="R406" s="248"/>
      <c r="S406" s="248"/>
      <c r="T406" s="248"/>
      <c r="U406" s="248"/>
      <c r="V406" s="248"/>
      <c r="W406" s="248"/>
      <c r="X406" s="248"/>
      <c r="Y406" s="248"/>
      <c r="Z406" s="248"/>
    </row>
    <row r="407" spans="16:26">
      <c r="P407" s="248"/>
      <c r="Q407" s="248"/>
      <c r="R407" s="248"/>
      <c r="S407" s="248"/>
      <c r="T407" s="248"/>
      <c r="U407" s="248"/>
      <c r="V407" s="248"/>
      <c r="W407" s="248"/>
      <c r="X407" s="248"/>
      <c r="Y407" s="248"/>
      <c r="Z407" s="248"/>
    </row>
    <row r="408" spans="16:26">
      <c r="P408" s="241"/>
      <c r="Q408" s="241"/>
      <c r="R408" s="241"/>
      <c r="S408" s="241"/>
      <c r="T408" s="241"/>
      <c r="U408" s="241"/>
      <c r="V408" s="241"/>
      <c r="W408" s="241"/>
      <c r="X408" s="241"/>
      <c r="Y408" s="241"/>
      <c r="Z408" s="241"/>
    </row>
    <row r="409" spans="16:26">
      <c r="P409" s="248"/>
      <c r="Q409" s="248"/>
      <c r="R409" s="248"/>
      <c r="S409" s="248"/>
      <c r="T409" s="248"/>
      <c r="U409" s="248"/>
      <c r="V409" s="248"/>
      <c r="W409" s="248"/>
      <c r="X409" s="248"/>
      <c r="Y409" s="248"/>
      <c r="Z409" s="248"/>
    </row>
    <row r="410" spans="16:26">
      <c r="P410" s="248"/>
      <c r="Q410" s="248"/>
      <c r="R410" s="248"/>
      <c r="S410" s="248"/>
      <c r="T410" s="248"/>
      <c r="U410" s="248"/>
      <c r="V410" s="248"/>
      <c r="W410" s="248"/>
      <c r="X410" s="248"/>
      <c r="Y410" s="248"/>
      <c r="Z410" s="248"/>
    </row>
    <row r="411" spans="16:26">
      <c r="P411" s="241"/>
      <c r="Q411" s="241"/>
      <c r="R411" s="241"/>
      <c r="S411" s="241"/>
      <c r="T411" s="241"/>
      <c r="U411" s="241"/>
      <c r="V411" s="241"/>
      <c r="W411" s="241"/>
      <c r="X411" s="241"/>
      <c r="Y411" s="241"/>
      <c r="Z411" s="241"/>
    </row>
    <row r="412" spans="16:26">
      <c r="P412" s="248"/>
      <c r="Q412" s="248"/>
      <c r="R412" s="248"/>
      <c r="S412" s="248"/>
      <c r="T412" s="248"/>
      <c r="U412" s="248"/>
      <c r="V412" s="248"/>
      <c r="W412" s="248"/>
      <c r="X412" s="248"/>
      <c r="Y412" s="248"/>
      <c r="Z412" s="248"/>
    </row>
    <row r="413" spans="16:26">
      <c r="P413" s="248"/>
      <c r="Q413" s="248"/>
      <c r="R413" s="248"/>
      <c r="S413" s="248"/>
      <c r="T413" s="248"/>
      <c r="U413" s="248"/>
      <c r="V413" s="248"/>
      <c r="W413" s="248"/>
      <c r="X413" s="248"/>
      <c r="Y413" s="248"/>
      <c r="Z413" s="248"/>
    </row>
    <row r="414" spans="16:26">
      <c r="P414" s="241"/>
      <c r="Q414" s="241"/>
      <c r="R414" s="241"/>
      <c r="S414" s="241"/>
      <c r="T414" s="241"/>
      <c r="U414" s="241"/>
      <c r="V414" s="241"/>
      <c r="W414" s="241"/>
      <c r="X414" s="241"/>
      <c r="Y414" s="241"/>
      <c r="Z414" s="241"/>
    </row>
    <row r="415" spans="16:26">
      <c r="P415" s="248"/>
      <c r="Q415" s="248"/>
      <c r="R415" s="248"/>
      <c r="S415" s="248"/>
      <c r="T415" s="248"/>
      <c r="U415" s="248"/>
      <c r="V415" s="248"/>
      <c r="W415" s="248"/>
      <c r="X415" s="248"/>
      <c r="Y415" s="248"/>
      <c r="Z415" s="248"/>
    </row>
    <row r="416" spans="16:26">
      <c r="P416" s="248"/>
      <c r="Q416" s="248"/>
      <c r="R416" s="248"/>
      <c r="S416" s="248"/>
      <c r="T416" s="248"/>
      <c r="U416" s="248"/>
      <c r="V416" s="248"/>
      <c r="W416" s="248"/>
      <c r="X416" s="248"/>
      <c r="Y416" s="248"/>
      <c r="Z416" s="248"/>
    </row>
    <row r="417" spans="16:26">
      <c r="P417" s="241"/>
      <c r="Q417" s="241"/>
      <c r="R417" s="241"/>
      <c r="S417" s="241"/>
      <c r="T417" s="241"/>
      <c r="U417" s="241"/>
      <c r="V417" s="241"/>
      <c r="W417" s="241"/>
      <c r="X417" s="241"/>
      <c r="Y417" s="241"/>
      <c r="Z417" s="241"/>
    </row>
    <row r="418" spans="16:26">
      <c r="P418" s="248"/>
      <c r="Q418" s="248"/>
      <c r="R418" s="248"/>
      <c r="S418" s="248"/>
      <c r="T418" s="248"/>
      <c r="U418" s="248"/>
      <c r="V418" s="248"/>
      <c r="W418" s="248"/>
      <c r="X418" s="248"/>
      <c r="Y418" s="248"/>
      <c r="Z418" s="248"/>
    </row>
    <row r="419" spans="16:26">
      <c r="P419" s="248"/>
      <c r="Q419" s="248"/>
      <c r="R419" s="248"/>
      <c r="S419" s="248"/>
      <c r="T419" s="248"/>
      <c r="U419" s="248"/>
      <c r="V419" s="248"/>
      <c r="W419" s="248"/>
      <c r="X419" s="248"/>
      <c r="Y419" s="248"/>
      <c r="Z419" s="248"/>
    </row>
    <row r="420" spans="16:26">
      <c r="P420" s="241"/>
      <c r="Q420" s="241"/>
      <c r="R420" s="241"/>
      <c r="S420" s="241"/>
      <c r="T420" s="241"/>
      <c r="U420" s="241"/>
      <c r="V420" s="241"/>
      <c r="W420" s="241"/>
      <c r="X420" s="241"/>
      <c r="Y420" s="241"/>
      <c r="Z420" s="241"/>
    </row>
    <row r="421" spans="16:26">
      <c r="P421" s="248"/>
      <c r="Q421" s="248"/>
      <c r="R421" s="248"/>
      <c r="S421" s="248"/>
      <c r="T421" s="248"/>
      <c r="U421" s="248"/>
      <c r="V421" s="248"/>
      <c r="W421" s="248"/>
      <c r="X421" s="248"/>
      <c r="Y421" s="248"/>
      <c r="Z421" s="248"/>
    </row>
    <row r="422" spans="16:26">
      <c r="P422" s="248"/>
      <c r="Q422" s="248"/>
      <c r="R422" s="248"/>
      <c r="S422" s="248"/>
      <c r="T422" s="248"/>
      <c r="U422" s="248"/>
      <c r="V422" s="248"/>
      <c r="W422" s="248"/>
      <c r="X422" s="248"/>
      <c r="Y422" s="248"/>
      <c r="Z422" s="248"/>
    </row>
    <row r="423" spans="16:26">
      <c r="P423" s="241"/>
      <c r="Q423" s="241"/>
      <c r="R423" s="241"/>
      <c r="S423" s="241"/>
      <c r="T423" s="241"/>
      <c r="U423" s="241"/>
      <c r="V423" s="241"/>
      <c r="W423" s="241"/>
      <c r="X423" s="241"/>
      <c r="Y423" s="241"/>
      <c r="Z423" s="241"/>
    </row>
    <row r="424" spans="16:26">
      <c r="P424" s="248"/>
      <c r="Q424" s="248"/>
      <c r="R424" s="248"/>
      <c r="S424" s="248"/>
      <c r="T424" s="248"/>
      <c r="U424" s="248"/>
      <c r="V424" s="248"/>
      <c r="W424" s="248"/>
      <c r="X424" s="248"/>
      <c r="Y424" s="248"/>
      <c r="Z424" s="248"/>
    </row>
    <row r="425" spans="16:26">
      <c r="P425" s="248"/>
      <c r="Q425" s="248"/>
      <c r="R425" s="248"/>
      <c r="S425" s="248"/>
      <c r="T425" s="248"/>
      <c r="U425" s="248"/>
      <c r="V425" s="248"/>
      <c r="W425" s="248"/>
      <c r="X425" s="248"/>
      <c r="Y425" s="248"/>
      <c r="Z425" s="248"/>
    </row>
    <row r="426" spans="16:26">
      <c r="P426" s="241"/>
      <c r="Q426" s="241"/>
      <c r="R426" s="241"/>
      <c r="S426" s="241"/>
      <c r="T426" s="241"/>
      <c r="U426" s="241"/>
      <c r="V426" s="241"/>
      <c r="W426" s="241"/>
      <c r="X426" s="241"/>
      <c r="Y426" s="241"/>
      <c r="Z426" s="241"/>
    </row>
    <row r="427" spans="16:26">
      <c r="P427" s="248"/>
      <c r="Q427" s="248"/>
      <c r="R427" s="248"/>
      <c r="S427" s="248"/>
      <c r="T427" s="248"/>
      <c r="U427" s="248"/>
      <c r="V427" s="248"/>
      <c r="W427" s="248"/>
      <c r="X427" s="248"/>
      <c r="Y427" s="248"/>
      <c r="Z427" s="248"/>
    </row>
    <row r="428" spans="16:26">
      <c r="P428" s="248"/>
      <c r="Q428" s="248"/>
      <c r="R428" s="248"/>
      <c r="S428" s="248"/>
      <c r="T428" s="248"/>
      <c r="U428" s="248"/>
      <c r="V428" s="248"/>
      <c r="W428" s="248"/>
      <c r="X428" s="248"/>
      <c r="Y428" s="248"/>
      <c r="Z428" s="248"/>
    </row>
    <row r="429" spans="16:26">
      <c r="P429" s="241"/>
      <c r="Q429" s="241"/>
      <c r="R429" s="241"/>
      <c r="S429" s="241"/>
      <c r="T429" s="241"/>
      <c r="U429" s="241"/>
      <c r="V429" s="241"/>
      <c r="W429" s="241"/>
      <c r="X429" s="241"/>
      <c r="Y429" s="241"/>
      <c r="Z429" s="241"/>
    </row>
    <row r="430" spans="16:26">
      <c r="P430" s="248"/>
      <c r="Q430" s="248"/>
      <c r="R430" s="248"/>
      <c r="S430" s="248"/>
      <c r="T430" s="248"/>
      <c r="U430" s="248"/>
      <c r="V430" s="248"/>
      <c r="W430" s="248"/>
      <c r="X430" s="248"/>
      <c r="Y430" s="248"/>
      <c r="Z430" s="248"/>
    </row>
    <row r="431" spans="16:26">
      <c r="P431" s="248"/>
      <c r="Q431" s="248"/>
      <c r="R431" s="248"/>
      <c r="S431" s="248"/>
      <c r="T431" s="248"/>
      <c r="U431" s="248"/>
      <c r="V431" s="248"/>
      <c r="W431" s="248"/>
      <c r="X431" s="248"/>
      <c r="Y431" s="248"/>
      <c r="Z431" s="248"/>
    </row>
    <row r="432" spans="16:26">
      <c r="P432" s="241"/>
      <c r="Q432" s="241"/>
      <c r="R432" s="241"/>
      <c r="S432" s="241"/>
      <c r="T432" s="241"/>
      <c r="U432" s="241"/>
      <c r="V432" s="241"/>
      <c r="W432" s="241"/>
      <c r="X432" s="241"/>
      <c r="Y432" s="241"/>
      <c r="Z432" s="241"/>
    </row>
    <row r="433" spans="16:26">
      <c r="P433" s="248"/>
      <c r="Q433" s="248"/>
      <c r="R433" s="248"/>
      <c r="S433" s="248"/>
      <c r="T433" s="248"/>
      <c r="U433" s="248"/>
      <c r="V433" s="248"/>
      <c r="W433" s="248"/>
      <c r="X433" s="248"/>
      <c r="Y433" s="248"/>
      <c r="Z433" s="248"/>
    </row>
    <row r="434" spans="16:26">
      <c r="P434" s="248"/>
      <c r="Q434" s="248"/>
      <c r="R434" s="248"/>
      <c r="S434" s="248"/>
      <c r="T434" s="248"/>
      <c r="U434" s="248"/>
      <c r="V434" s="248"/>
      <c r="W434" s="248"/>
      <c r="X434" s="248"/>
      <c r="Y434" s="248"/>
      <c r="Z434" s="248"/>
    </row>
    <row r="435" spans="16:26">
      <c r="P435" s="241"/>
      <c r="Q435" s="241"/>
      <c r="R435" s="241"/>
      <c r="S435" s="241"/>
      <c r="T435" s="241"/>
      <c r="U435" s="241"/>
      <c r="V435" s="241"/>
      <c r="W435" s="241"/>
      <c r="X435" s="241"/>
      <c r="Y435" s="241"/>
      <c r="Z435" s="241"/>
    </row>
    <row r="436" spans="16:26">
      <c r="P436" s="248"/>
      <c r="Q436" s="248"/>
      <c r="R436" s="248"/>
      <c r="S436" s="248"/>
      <c r="T436" s="248"/>
      <c r="U436" s="248"/>
      <c r="V436" s="248"/>
      <c r="W436" s="248"/>
      <c r="X436" s="248"/>
      <c r="Y436" s="248"/>
      <c r="Z436" s="248"/>
    </row>
    <row r="437" spans="16:26">
      <c r="P437" s="248"/>
      <c r="Q437" s="248"/>
      <c r="R437" s="248"/>
      <c r="S437" s="248"/>
      <c r="T437" s="248"/>
      <c r="U437" s="248"/>
      <c r="V437" s="248"/>
      <c r="W437" s="248"/>
      <c r="X437" s="248"/>
      <c r="Y437" s="248"/>
      <c r="Z437" s="248"/>
    </row>
    <row r="438" spans="16:26">
      <c r="P438" s="241"/>
      <c r="Q438" s="241"/>
      <c r="R438" s="241"/>
      <c r="S438" s="241"/>
      <c r="T438" s="241"/>
      <c r="U438" s="241"/>
      <c r="V438" s="241"/>
      <c r="W438" s="241"/>
      <c r="X438" s="241"/>
      <c r="Y438" s="241"/>
      <c r="Z438" s="241"/>
    </row>
    <row r="439" spans="16:26">
      <c r="P439" s="248"/>
      <c r="Q439" s="248"/>
      <c r="R439" s="248"/>
      <c r="S439" s="248"/>
      <c r="T439" s="248"/>
      <c r="U439" s="248"/>
      <c r="V439" s="248"/>
      <c r="W439" s="248"/>
      <c r="X439" s="248"/>
      <c r="Y439" s="248"/>
      <c r="Z439" s="248"/>
    </row>
    <row r="440" spans="16:26">
      <c r="P440" s="248"/>
      <c r="Q440" s="248"/>
      <c r="R440" s="248"/>
      <c r="S440" s="248"/>
      <c r="T440" s="248"/>
      <c r="U440" s="248"/>
      <c r="V440" s="248"/>
      <c r="W440" s="248"/>
      <c r="X440" s="248"/>
      <c r="Y440" s="248"/>
      <c r="Z440" s="248"/>
    </row>
    <row r="441" spans="16:26">
      <c r="P441" s="241"/>
      <c r="Q441" s="241"/>
      <c r="R441" s="241"/>
      <c r="S441" s="241"/>
      <c r="T441" s="241"/>
      <c r="U441" s="241"/>
      <c r="V441" s="241"/>
      <c r="W441" s="241"/>
      <c r="X441" s="241"/>
      <c r="Y441" s="241"/>
      <c r="Z441" s="241"/>
    </row>
    <row r="442" spans="16:26">
      <c r="P442" s="248"/>
      <c r="Q442" s="248"/>
      <c r="R442" s="248"/>
      <c r="S442" s="248"/>
      <c r="T442" s="248"/>
      <c r="U442" s="248"/>
      <c r="V442" s="248"/>
      <c r="W442" s="248"/>
      <c r="X442" s="248"/>
      <c r="Y442" s="248"/>
      <c r="Z442" s="248"/>
    </row>
    <row r="443" spans="16:26">
      <c r="P443" s="248"/>
      <c r="Q443" s="248"/>
      <c r="R443" s="248"/>
      <c r="S443" s="248"/>
      <c r="T443" s="248"/>
      <c r="U443" s="248"/>
      <c r="V443" s="248"/>
      <c r="W443" s="248"/>
      <c r="X443" s="248"/>
      <c r="Y443" s="248"/>
      <c r="Z443" s="248"/>
    </row>
    <row r="444" spans="16:26">
      <c r="P444" s="241"/>
      <c r="Q444" s="241"/>
      <c r="R444" s="241"/>
      <c r="S444" s="241"/>
      <c r="T444" s="241"/>
      <c r="U444" s="241"/>
      <c r="V444" s="241"/>
      <c r="W444" s="241"/>
      <c r="X444" s="241"/>
      <c r="Y444" s="241"/>
      <c r="Z444" s="241"/>
    </row>
    <row r="445" spans="16:26">
      <c r="P445" s="248"/>
      <c r="Q445" s="248"/>
      <c r="R445" s="248"/>
      <c r="S445" s="248"/>
      <c r="T445" s="248"/>
      <c r="U445" s="248"/>
      <c r="V445" s="248"/>
      <c r="W445" s="248"/>
      <c r="X445" s="248"/>
      <c r="Y445" s="248"/>
      <c r="Z445" s="248"/>
    </row>
    <row r="446" spans="16:26">
      <c r="P446" s="248"/>
      <c r="Q446" s="248"/>
      <c r="R446" s="248"/>
      <c r="S446" s="248"/>
      <c r="T446" s="248"/>
      <c r="U446" s="248"/>
      <c r="V446" s="248"/>
      <c r="W446" s="248"/>
      <c r="X446" s="248"/>
      <c r="Y446" s="248"/>
      <c r="Z446" s="248"/>
    </row>
    <row r="447" spans="16:26">
      <c r="P447" s="241"/>
      <c r="Q447" s="241"/>
      <c r="R447" s="241"/>
      <c r="S447" s="241"/>
      <c r="T447" s="241"/>
      <c r="U447" s="241"/>
      <c r="V447" s="241"/>
      <c r="W447" s="241"/>
      <c r="X447" s="241"/>
      <c r="Y447" s="241"/>
      <c r="Z447" s="241"/>
    </row>
    <row r="448" spans="16:26">
      <c r="P448" s="248"/>
      <c r="Q448" s="248"/>
      <c r="R448" s="248"/>
      <c r="S448" s="248"/>
      <c r="T448" s="248"/>
      <c r="U448" s="248"/>
      <c r="V448" s="248"/>
      <c r="W448" s="248"/>
      <c r="X448" s="248"/>
      <c r="Y448" s="248"/>
      <c r="Z448" s="248"/>
    </row>
    <row r="449" spans="16:26">
      <c r="P449" s="248"/>
      <c r="Q449" s="248"/>
      <c r="R449" s="248"/>
      <c r="S449" s="248"/>
      <c r="T449" s="248"/>
      <c r="U449" s="248"/>
      <c r="V449" s="248"/>
      <c r="W449" s="248"/>
      <c r="X449" s="248"/>
      <c r="Y449" s="248"/>
      <c r="Z449" s="248"/>
    </row>
    <row r="450" spans="16:26">
      <c r="P450" s="241"/>
      <c r="Q450" s="241"/>
      <c r="R450" s="241"/>
      <c r="S450" s="241"/>
      <c r="T450" s="241"/>
      <c r="U450" s="241"/>
      <c r="V450" s="241"/>
      <c r="W450" s="241"/>
      <c r="X450" s="241"/>
      <c r="Y450" s="241"/>
      <c r="Z450" s="241"/>
    </row>
    <row r="451" spans="16:26">
      <c r="P451" s="248"/>
      <c r="Q451" s="248"/>
      <c r="R451" s="248"/>
      <c r="S451" s="248"/>
      <c r="T451" s="248"/>
      <c r="U451" s="248"/>
      <c r="V451" s="248"/>
      <c r="W451" s="248"/>
      <c r="X451" s="248"/>
      <c r="Y451" s="248"/>
      <c r="Z451" s="248"/>
    </row>
    <row r="452" spans="16:26">
      <c r="P452" s="248"/>
      <c r="Q452" s="248"/>
      <c r="R452" s="248"/>
      <c r="S452" s="248"/>
      <c r="T452" s="248"/>
      <c r="U452" s="248"/>
      <c r="V452" s="248"/>
      <c r="W452" s="248"/>
      <c r="X452" s="248"/>
      <c r="Y452" s="248"/>
      <c r="Z452" s="248"/>
    </row>
    <row r="453" spans="16:26">
      <c r="P453" s="241"/>
      <c r="Q453" s="241"/>
      <c r="R453" s="241"/>
      <c r="S453" s="241"/>
      <c r="T453" s="241"/>
      <c r="U453" s="241"/>
      <c r="V453" s="241"/>
      <c r="W453" s="241"/>
      <c r="X453" s="241"/>
      <c r="Y453" s="241"/>
      <c r="Z453" s="241"/>
    </row>
    <row r="454" spans="16:26">
      <c r="P454" s="248"/>
      <c r="Q454" s="248"/>
      <c r="R454" s="248"/>
      <c r="S454" s="248"/>
      <c r="T454" s="248"/>
      <c r="U454" s="248"/>
      <c r="V454" s="248"/>
      <c r="W454" s="248"/>
      <c r="X454" s="248"/>
      <c r="Y454" s="248"/>
      <c r="Z454" s="248"/>
    </row>
    <row r="455" spans="16:26">
      <c r="P455" s="248"/>
      <c r="Q455" s="248"/>
      <c r="R455" s="248"/>
      <c r="S455" s="248"/>
      <c r="T455" s="248"/>
      <c r="U455" s="248"/>
      <c r="V455" s="248"/>
      <c r="W455" s="248"/>
      <c r="X455" s="248"/>
      <c r="Y455" s="248"/>
      <c r="Z455" s="248"/>
    </row>
    <row r="456" spans="16:26">
      <c r="P456" s="241"/>
      <c r="Q456" s="241"/>
      <c r="R456" s="241"/>
      <c r="S456" s="241"/>
      <c r="T456" s="241"/>
      <c r="U456" s="241"/>
      <c r="V456" s="241"/>
      <c r="W456" s="241"/>
      <c r="X456" s="241"/>
      <c r="Y456" s="241"/>
      <c r="Z456" s="241"/>
    </row>
    <row r="457" spans="16:26">
      <c r="P457" s="248"/>
      <c r="Q457" s="248"/>
      <c r="R457" s="248"/>
      <c r="S457" s="248"/>
      <c r="T457" s="248"/>
      <c r="U457" s="248"/>
      <c r="V457" s="248"/>
      <c r="W457" s="248"/>
      <c r="X457" s="248"/>
      <c r="Y457" s="248"/>
      <c r="Z457" s="248"/>
    </row>
    <row r="458" spans="16:26">
      <c r="P458" s="248"/>
      <c r="Q458" s="248"/>
      <c r="R458" s="248"/>
      <c r="S458" s="248"/>
      <c r="T458" s="248"/>
      <c r="U458" s="248"/>
      <c r="V458" s="248"/>
      <c r="W458" s="248"/>
      <c r="X458" s="248"/>
      <c r="Y458" s="248"/>
      <c r="Z458" s="248"/>
    </row>
    <row r="459" spans="16:26">
      <c r="P459" s="241"/>
      <c r="Q459" s="241"/>
      <c r="R459" s="241"/>
      <c r="S459" s="241"/>
      <c r="T459" s="241"/>
      <c r="U459" s="241"/>
      <c r="V459" s="241"/>
      <c r="W459" s="241"/>
      <c r="X459" s="241"/>
      <c r="Y459" s="241"/>
      <c r="Z459" s="241"/>
    </row>
    <row r="460" spans="16:26">
      <c r="P460" s="248"/>
      <c r="Q460" s="248"/>
      <c r="R460" s="248"/>
      <c r="S460" s="248"/>
      <c r="T460" s="248"/>
      <c r="U460" s="248"/>
      <c r="V460" s="248"/>
      <c r="W460" s="248"/>
      <c r="X460" s="248"/>
      <c r="Y460" s="248"/>
      <c r="Z460" s="248"/>
    </row>
    <row r="461" spans="16:26">
      <c r="P461" s="248"/>
      <c r="Q461" s="248"/>
      <c r="R461" s="248"/>
      <c r="S461" s="248"/>
      <c r="T461" s="248"/>
      <c r="U461" s="248"/>
      <c r="V461" s="248"/>
      <c r="W461" s="248"/>
      <c r="X461" s="248"/>
      <c r="Y461" s="248"/>
      <c r="Z461" s="248"/>
    </row>
    <row r="462" spans="16:26">
      <c r="P462" s="241"/>
      <c r="Q462" s="241"/>
      <c r="R462" s="241"/>
      <c r="S462" s="241"/>
      <c r="T462" s="241"/>
      <c r="U462" s="241"/>
      <c r="V462" s="241"/>
      <c r="W462" s="241"/>
      <c r="X462" s="241"/>
      <c r="Y462" s="241"/>
      <c r="Z462" s="241"/>
    </row>
    <row r="463" spans="16:26">
      <c r="P463" s="248"/>
      <c r="Q463" s="248"/>
      <c r="R463" s="248"/>
      <c r="S463" s="248"/>
      <c r="T463" s="248"/>
      <c r="U463" s="248"/>
      <c r="V463" s="248"/>
      <c r="W463" s="248"/>
      <c r="X463" s="248"/>
      <c r="Y463" s="248"/>
      <c r="Z463" s="248"/>
    </row>
    <row r="464" spans="16:26">
      <c r="P464" s="248"/>
      <c r="Q464" s="248"/>
      <c r="R464" s="248"/>
      <c r="S464" s="248"/>
      <c r="T464" s="248"/>
      <c r="U464" s="248"/>
      <c r="V464" s="248"/>
      <c r="W464" s="248"/>
      <c r="X464" s="248"/>
      <c r="Y464" s="248"/>
      <c r="Z464" s="248"/>
    </row>
    <row r="465" spans="16:26">
      <c r="P465" s="241"/>
      <c r="Q465" s="241"/>
      <c r="R465" s="241"/>
      <c r="S465" s="241"/>
      <c r="T465" s="241"/>
      <c r="U465" s="241"/>
      <c r="V465" s="241"/>
      <c r="W465" s="241"/>
      <c r="X465" s="241"/>
      <c r="Y465" s="241"/>
      <c r="Z465" s="241"/>
    </row>
    <row r="466" spans="16:26">
      <c r="P466" s="248"/>
      <c r="Q466" s="248"/>
      <c r="R466" s="248"/>
      <c r="S466" s="248"/>
      <c r="T466" s="248"/>
      <c r="U466" s="248"/>
      <c r="V466" s="248"/>
      <c r="W466" s="248"/>
      <c r="X466" s="248"/>
      <c r="Y466" s="248"/>
      <c r="Z466" s="248"/>
    </row>
    <row r="467" spans="16:26">
      <c r="P467" s="248"/>
      <c r="Q467" s="248"/>
      <c r="R467" s="248"/>
      <c r="S467" s="248"/>
      <c r="T467" s="248"/>
      <c r="U467" s="248"/>
      <c r="V467" s="248"/>
      <c r="W467" s="248"/>
      <c r="X467" s="248"/>
      <c r="Y467" s="248"/>
      <c r="Z467" s="248"/>
    </row>
    <row r="468" spans="16:26">
      <c r="P468" s="241"/>
      <c r="Q468" s="241"/>
      <c r="R468" s="241"/>
      <c r="S468" s="241"/>
      <c r="T468" s="241"/>
      <c r="U468" s="241"/>
      <c r="V468" s="241"/>
      <c r="W468" s="241"/>
      <c r="X468" s="241"/>
      <c r="Y468" s="241"/>
      <c r="Z468" s="241"/>
    </row>
    <row r="469" spans="16:26">
      <c r="P469" s="248"/>
      <c r="Q469" s="248"/>
      <c r="R469" s="248"/>
      <c r="S469" s="248"/>
      <c r="T469" s="248"/>
      <c r="U469" s="248"/>
      <c r="V469" s="248"/>
      <c r="W469" s="248"/>
      <c r="X469" s="248"/>
      <c r="Y469" s="248"/>
      <c r="Z469" s="248"/>
    </row>
    <row r="470" spans="16:26">
      <c r="P470" s="248"/>
      <c r="Q470" s="248"/>
      <c r="R470" s="248"/>
      <c r="S470" s="248"/>
      <c r="T470" s="248"/>
      <c r="U470" s="248"/>
      <c r="V470" s="248"/>
      <c r="W470" s="248"/>
      <c r="X470" s="248"/>
      <c r="Y470" s="248"/>
      <c r="Z470" s="248"/>
    </row>
    <row r="471" spans="16:26">
      <c r="P471" s="241"/>
      <c r="Q471" s="241"/>
      <c r="R471" s="241"/>
      <c r="S471" s="241"/>
      <c r="T471" s="241"/>
      <c r="U471" s="241"/>
      <c r="V471" s="241"/>
      <c r="W471" s="241"/>
      <c r="X471" s="241"/>
      <c r="Y471" s="241"/>
      <c r="Z471" s="241"/>
    </row>
    <row r="472" spans="16:26">
      <c r="P472" s="248"/>
      <c r="Q472" s="248"/>
      <c r="R472" s="248"/>
      <c r="S472" s="248"/>
      <c r="T472" s="248"/>
      <c r="U472" s="248"/>
      <c r="V472" s="248"/>
      <c r="W472" s="248"/>
      <c r="X472" s="248"/>
      <c r="Y472" s="248"/>
      <c r="Z472" s="248"/>
    </row>
    <row r="473" spans="16:26">
      <c r="P473" s="248"/>
      <c r="Q473" s="248"/>
      <c r="R473" s="248"/>
      <c r="S473" s="248"/>
      <c r="T473" s="248"/>
      <c r="U473" s="248"/>
      <c r="V473" s="248"/>
      <c r="W473" s="248"/>
      <c r="X473" s="248"/>
      <c r="Y473" s="248"/>
      <c r="Z473" s="248"/>
    </row>
    <row r="474" spans="16:26">
      <c r="P474" s="241"/>
      <c r="Q474" s="241"/>
      <c r="R474" s="241"/>
      <c r="S474" s="241"/>
      <c r="T474" s="241"/>
      <c r="U474" s="241"/>
      <c r="V474" s="241"/>
      <c r="W474" s="241"/>
      <c r="X474" s="241"/>
      <c r="Y474" s="241"/>
      <c r="Z474" s="241"/>
    </row>
    <row r="475" spans="16:26">
      <c r="P475" s="248"/>
      <c r="Q475" s="248"/>
      <c r="R475" s="248"/>
      <c r="S475" s="248"/>
      <c r="T475" s="248"/>
      <c r="U475" s="248"/>
      <c r="V475" s="248"/>
      <c r="W475" s="248"/>
      <c r="X475" s="248"/>
      <c r="Y475" s="248"/>
      <c r="Z475" s="248"/>
    </row>
    <row r="476" spans="16:26">
      <c r="P476" s="248"/>
      <c r="Q476" s="248"/>
      <c r="R476" s="248"/>
      <c r="S476" s="248"/>
      <c r="T476" s="248"/>
      <c r="U476" s="248"/>
      <c r="V476" s="248"/>
      <c r="W476" s="248"/>
      <c r="X476" s="248"/>
      <c r="Y476" s="248"/>
      <c r="Z476" s="248"/>
    </row>
    <row r="477" spans="16:26">
      <c r="P477" s="241"/>
      <c r="Q477" s="241"/>
      <c r="R477" s="241"/>
      <c r="S477" s="241"/>
      <c r="T477" s="241"/>
      <c r="U477" s="241"/>
      <c r="V477" s="241"/>
      <c r="W477" s="241"/>
      <c r="X477" s="241"/>
      <c r="Y477" s="241"/>
      <c r="Z477" s="241"/>
    </row>
    <row r="478" spans="16:26">
      <c r="P478" s="248"/>
      <c r="Q478" s="248"/>
      <c r="R478" s="248"/>
      <c r="S478" s="248"/>
      <c r="T478" s="248"/>
      <c r="U478" s="248"/>
      <c r="V478" s="248"/>
      <c r="W478" s="248"/>
      <c r="X478" s="248"/>
      <c r="Y478" s="248"/>
      <c r="Z478" s="248"/>
    </row>
    <row r="479" spans="16:26">
      <c r="P479" s="248"/>
      <c r="Q479" s="248"/>
      <c r="R479" s="248"/>
      <c r="S479" s="248"/>
      <c r="T479" s="248"/>
      <c r="U479" s="248"/>
      <c r="V479" s="248"/>
      <c r="W479" s="248"/>
      <c r="X479" s="248"/>
      <c r="Y479" s="248"/>
      <c r="Z479" s="248"/>
    </row>
    <row r="480" spans="16:26">
      <c r="P480" s="241"/>
      <c r="Q480" s="241"/>
      <c r="R480" s="241"/>
      <c r="S480" s="241"/>
      <c r="T480" s="241"/>
      <c r="U480" s="241"/>
      <c r="V480" s="241"/>
      <c r="W480" s="241"/>
      <c r="X480" s="241"/>
      <c r="Y480" s="241"/>
      <c r="Z480" s="241"/>
    </row>
    <row r="481" spans="16:26">
      <c r="P481" s="248"/>
      <c r="Q481" s="248"/>
      <c r="R481" s="248"/>
      <c r="S481" s="248"/>
      <c r="T481" s="248"/>
      <c r="U481" s="248"/>
      <c r="V481" s="248"/>
      <c r="W481" s="248"/>
      <c r="X481" s="248"/>
      <c r="Y481" s="248"/>
      <c r="Z481" s="248"/>
    </row>
    <row r="482" spans="16:26">
      <c r="P482" s="248"/>
      <c r="Q482" s="248"/>
      <c r="R482" s="248"/>
      <c r="S482" s="248"/>
      <c r="T482" s="248"/>
      <c r="U482" s="248"/>
      <c r="V482" s="248"/>
      <c r="W482" s="248"/>
      <c r="X482" s="248"/>
      <c r="Y482" s="248"/>
      <c r="Z482" s="248"/>
    </row>
    <row r="483" spans="16:26">
      <c r="P483" s="241"/>
      <c r="Q483" s="241"/>
      <c r="R483" s="241"/>
      <c r="S483" s="241"/>
      <c r="T483" s="241"/>
      <c r="U483" s="241"/>
      <c r="V483" s="241"/>
      <c r="W483" s="241"/>
      <c r="X483" s="241"/>
      <c r="Y483" s="241"/>
      <c r="Z483" s="241"/>
    </row>
    <row r="484" spans="16:26">
      <c r="P484" s="248"/>
      <c r="Q484" s="248"/>
      <c r="R484" s="248"/>
      <c r="S484" s="248"/>
      <c r="T484" s="248"/>
      <c r="U484" s="248"/>
      <c r="V484" s="248"/>
      <c r="W484" s="248"/>
      <c r="X484" s="248"/>
      <c r="Y484" s="248"/>
      <c r="Z484" s="248"/>
    </row>
    <row r="485" spans="16:26">
      <c r="P485" s="248"/>
      <c r="Q485" s="248"/>
      <c r="R485" s="248"/>
      <c r="S485" s="248"/>
      <c r="T485" s="248"/>
      <c r="U485" s="248"/>
      <c r="V485" s="248"/>
      <c r="W485" s="248"/>
      <c r="X485" s="248"/>
      <c r="Y485" s="248"/>
      <c r="Z485" s="248"/>
    </row>
    <row r="486" spans="16:26">
      <c r="P486" s="241"/>
      <c r="Q486" s="241"/>
      <c r="R486" s="241"/>
      <c r="S486" s="241"/>
      <c r="T486" s="241"/>
      <c r="U486" s="241"/>
      <c r="V486" s="241"/>
      <c r="W486" s="241"/>
      <c r="X486" s="241"/>
      <c r="Y486" s="241"/>
      <c r="Z486" s="241"/>
    </row>
    <row r="487" spans="16:26">
      <c r="P487" s="248"/>
      <c r="Q487" s="248"/>
      <c r="R487" s="248"/>
      <c r="S487" s="248"/>
      <c r="T487" s="248"/>
      <c r="U487" s="248"/>
      <c r="V487" s="248"/>
      <c r="W487" s="248"/>
      <c r="X487" s="248"/>
      <c r="Y487" s="248"/>
      <c r="Z487" s="248"/>
    </row>
    <row r="488" spans="16:26">
      <c r="P488" s="248"/>
      <c r="Q488" s="248"/>
      <c r="R488" s="248"/>
      <c r="S488" s="248"/>
      <c r="T488" s="248"/>
      <c r="U488" s="248"/>
      <c r="V488" s="248"/>
      <c r="W488" s="248"/>
      <c r="X488" s="248"/>
      <c r="Y488" s="248"/>
      <c r="Z488" s="248"/>
    </row>
    <row r="489" spans="16:26">
      <c r="P489" s="241"/>
      <c r="Q489" s="241"/>
      <c r="R489" s="241"/>
      <c r="S489" s="241"/>
      <c r="T489" s="241"/>
      <c r="U489" s="241"/>
      <c r="V489" s="241"/>
      <c r="W489" s="241"/>
      <c r="X489" s="241"/>
      <c r="Y489" s="241"/>
      <c r="Z489" s="241"/>
    </row>
    <row r="490" spans="16:26">
      <c r="P490" s="248"/>
      <c r="Q490" s="248"/>
      <c r="R490" s="248"/>
      <c r="S490" s="248"/>
      <c r="T490" s="248"/>
      <c r="U490" s="248"/>
      <c r="V490" s="248"/>
      <c r="W490" s="248"/>
      <c r="X490" s="248"/>
      <c r="Y490" s="248"/>
      <c r="Z490" s="248"/>
    </row>
    <row r="491" spans="16:26">
      <c r="P491" s="248"/>
      <c r="Q491" s="248"/>
      <c r="R491" s="248"/>
      <c r="S491" s="248"/>
      <c r="T491" s="248"/>
      <c r="U491" s="248"/>
      <c r="V491" s="248"/>
      <c r="W491" s="248"/>
      <c r="X491" s="248"/>
      <c r="Y491" s="248"/>
      <c r="Z491" s="248"/>
    </row>
    <row r="492" spans="16:26">
      <c r="P492" s="241"/>
      <c r="Q492" s="241"/>
      <c r="R492" s="241"/>
      <c r="S492" s="241"/>
      <c r="T492" s="241"/>
      <c r="U492" s="241"/>
      <c r="V492" s="241"/>
      <c r="W492" s="241"/>
      <c r="X492" s="241"/>
      <c r="Y492" s="241"/>
      <c r="Z492" s="241"/>
    </row>
    <row r="493" spans="16:26">
      <c r="P493" s="248"/>
      <c r="Q493" s="248"/>
      <c r="R493" s="248"/>
      <c r="S493" s="248"/>
      <c r="T493" s="248"/>
      <c r="U493" s="248"/>
      <c r="V493" s="248"/>
      <c r="W493" s="248"/>
      <c r="X493" s="248"/>
      <c r="Y493" s="248"/>
      <c r="Z493" s="248"/>
    </row>
    <row r="494" spans="16:26">
      <c r="P494" s="248"/>
      <c r="Q494" s="248"/>
      <c r="R494" s="248"/>
      <c r="S494" s="248"/>
      <c r="T494" s="248"/>
      <c r="U494" s="248"/>
      <c r="V494" s="248"/>
      <c r="W494" s="248"/>
      <c r="X494" s="248"/>
      <c r="Y494" s="248"/>
      <c r="Z494" s="248"/>
    </row>
    <row r="495" spans="16:26">
      <c r="P495" s="241"/>
      <c r="Q495" s="241"/>
      <c r="R495" s="241"/>
      <c r="S495" s="241"/>
      <c r="T495" s="241"/>
      <c r="U495" s="241"/>
      <c r="V495" s="241"/>
      <c r="W495" s="241"/>
      <c r="X495" s="241"/>
      <c r="Y495" s="241"/>
      <c r="Z495" s="241"/>
    </row>
    <row r="496" spans="16:26">
      <c r="P496" s="248"/>
      <c r="Q496" s="248"/>
      <c r="R496" s="248"/>
      <c r="S496" s="248"/>
      <c r="T496" s="248"/>
      <c r="U496" s="248"/>
      <c r="V496" s="248"/>
      <c r="W496" s="248"/>
      <c r="X496" s="248"/>
      <c r="Y496" s="248"/>
      <c r="Z496" s="248"/>
    </row>
    <row r="497" spans="16:26">
      <c r="P497" s="248"/>
      <c r="Q497" s="248"/>
      <c r="R497" s="248"/>
      <c r="S497" s="248"/>
      <c r="T497" s="248"/>
      <c r="U497" s="248"/>
      <c r="V497" s="248"/>
      <c r="W497" s="248"/>
      <c r="X497" s="248"/>
      <c r="Y497" s="248"/>
      <c r="Z497" s="248"/>
    </row>
    <row r="498" spans="16:26">
      <c r="P498" s="241"/>
      <c r="Q498" s="241"/>
      <c r="R498" s="241"/>
      <c r="S498" s="241"/>
      <c r="T498" s="241"/>
      <c r="U498" s="241"/>
      <c r="V498" s="241"/>
      <c r="W498" s="241"/>
      <c r="X498" s="241"/>
      <c r="Y498" s="241"/>
      <c r="Z498" s="241"/>
    </row>
    <row r="499" spans="16:26">
      <c r="P499" s="248"/>
      <c r="Q499" s="248"/>
      <c r="R499" s="248"/>
      <c r="S499" s="248"/>
      <c r="T499" s="248"/>
      <c r="U499" s="248"/>
      <c r="V499" s="248"/>
      <c r="W499" s="248"/>
      <c r="X499" s="248"/>
      <c r="Y499" s="248"/>
      <c r="Z499" s="248"/>
    </row>
    <row r="500" spans="16:26">
      <c r="P500" s="248"/>
      <c r="Q500" s="248"/>
      <c r="R500" s="248"/>
      <c r="S500" s="248"/>
      <c r="T500" s="248"/>
      <c r="U500" s="248"/>
      <c r="V500" s="248"/>
      <c r="W500" s="248"/>
      <c r="X500" s="248"/>
      <c r="Y500" s="248"/>
      <c r="Z500" s="248"/>
    </row>
    <row r="501" spans="16:26">
      <c r="P501" s="241"/>
      <c r="Q501" s="241"/>
      <c r="R501" s="241"/>
      <c r="S501" s="241"/>
      <c r="T501" s="241"/>
      <c r="U501" s="241"/>
      <c r="V501" s="241"/>
      <c r="W501" s="241"/>
      <c r="X501" s="241"/>
      <c r="Y501" s="241"/>
      <c r="Z501" s="241"/>
    </row>
    <row r="502" spans="16:26">
      <c r="P502" s="248"/>
      <c r="Q502" s="248"/>
      <c r="R502" s="248"/>
      <c r="S502" s="248"/>
      <c r="T502" s="248"/>
      <c r="U502" s="248"/>
      <c r="V502" s="248"/>
      <c r="W502" s="248"/>
      <c r="X502" s="248"/>
      <c r="Y502" s="248"/>
      <c r="Z502" s="248"/>
    </row>
    <row r="503" spans="16:26">
      <c r="P503" s="248"/>
      <c r="Q503" s="248"/>
      <c r="R503" s="248"/>
      <c r="S503" s="248"/>
      <c r="T503" s="248"/>
      <c r="U503" s="248"/>
      <c r="V503" s="248"/>
      <c r="W503" s="248"/>
      <c r="X503" s="248"/>
      <c r="Y503" s="248"/>
      <c r="Z503" s="248"/>
    </row>
    <row r="504" spans="16:26">
      <c r="P504" s="241"/>
      <c r="Q504" s="241"/>
      <c r="R504" s="241"/>
      <c r="S504" s="241"/>
      <c r="T504" s="241"/>
      <c r="U504" s="241"/>
      <c r="V504" s="241"/>
      <c r="W504" s="241"/>
      <c r="X504" s="241"/>
      <c r="Y504" s="241"/>
      <c r="Z504" s="241"/>
    </row>
    <row r="505" spans="16:26">
      <c r="P505" s="248"/>
      <c r="Q505" s="248"/>
      <c r="R505" s="248"/>
      <c r="S505" s="248"/>
      <c r="T505" s="248"/>
      <c r="U505" s="248"/>
      <c r="V505" s="248"/>
      <c r="W505" s="248"/>
      <c r="X505" s="248"/>
      <c r="Y505" s="248"/>
      <c r="Z505" s="248"/>
    </row>
    <row r="506" spans="16:26">
      <c r="P506" s="248"/>
      <c r="Q506" s="248"/>
      <c r="R506" s="248"/>
      <c r="S506" s="248"/>
      <c r="T506" s="248"/>
      <c r="U506" s="248"/>
      <c r="V506" s="248"/>
      <c r="W506" s="248"/>
      <c r="X506" s="248"/>
      <c r="Y506" s="248"/>
      <c r="Z506" s="248"/>
    </row>
    <row r="507" spans="16:26">
      <c r="P507" s="241"/>
      <c r="Q507" s="241"/>
      <c r="R507" s="241"/>
      <c r="S507" s="241"/>
      <c r="T507" s="241"/>
      <c r="U507" s="241"/>
      <c r="V507" s="241"/>
      <c r="W507" s="241"/>
      <c r="X507" s="241"/>
      <c r="Y507" s="241"/>
      <c r="Z507" s="241"/>
    </row>
    <row r="508" spans="16:26">
      <c r="P508" s="248"/>
      <c r="Q508" s="248"/>
      <c r="R508" s="248"/>
      <c r="S508" s="248"/>
      <c r="T508" s="248"/>
      <c r="U508" s="248"/>
      <c r="V508" s="248"/>
      <c r="W508" s="248"/>
      <c r="X508" s="248"/>
      <c r="Y508" s="248"/>
      <c r="Z508" s="248"/>
    </row>
    <row r="509" spans="16:26">
      <c r="P509" s="248"/>
      <c r="Q509" s="248"/>
      <c r="R509" s="248"/>
      <c r="S509" s="248"/>
      <c r="T509" s="248"/>
      <c r="U509" s="248"/>
      <c r="V509" s="248"/>
      <c r="W509" s="248"/>
      <c r="X509" s="248"/>
      <c r="Y509" s="248"/>
      <c r="Z509" s="248"/>
    </row>
    <row r="510" spans="16:26">
      <c r="P510" s="241"/>
      <c r="Q510" s="241"/>
      <c r="R510" s="241"/>
      <c r="S510" s="241"/>
      <c r="T510" s="241"/>
      <c r="U510" s="241"/>
      <c r="V510" s="241"/>
      <c r="W510" s="241"/>
      <c r="X510" s="241"/>
      <c r="Y510" s="241"/>
      <c r="Z510" s="241"/>
    </row>
    <row r="511" spans="16:26">
      <c r="P511" s="248"/>
      <c r="Q511" s="248"/>
      <c r="R511" s="248"/>
      <c r="S511" s="248"/>
      <c r="T511" s="248"/>
      <c r="U511" s="248"/>
      <c r="V511" s="248"/>
      <c r="W511" s="248"/>
      <c r="X511" s="248"/>
      <c r="Y511" s="248"/>
      <c r="Z511" s="248"/>
    </row>
    <row r="512" spans="16:26">
      <c r="P512" s="248"/>
      <c r="Q512" s="248"/>
      <c r="R512" s="248"/>
      <c r="S512" s="248"/>
      <c r="T512" s="248"/>
      <c r="U512" s="248"/>
      <c r="V512" s="248"/>
      <c r="W512" s="248"/>
      <c r="X512" s="248"/>
      <c r="Y512" s="248"/>
      <c r="Z512" s="248"/>
    </row>
    <row r="513" spans="16:26">
      <c r="P513" s="241"/>
      <c r="Q513" s="241"/>
      <c r="R513" s="241"/>
      <c r="S513" s="241"/>
      <c r="T513" s="241"/>
      <c r="U513" s="241"/>
      <c r="V513" s="241"/>
      <c r="W513" s="241"/>
      <c r="X513" s="241"/>
      <c r="Y513" s="241"/>
      <c r="Z513" s="241"/>
    </row>
    <row r="514" spans="16:26">
      <c r="P514" s="248"/>
      <c r="Q514" s="248"/>
      <c r="R514" s="248"/>
      <c r="S514" s="248"/>
      <c r="T514" s="248"/>
      <c r="U514" s="248"/>
      <c r="V514" s="248"/>
      <c r="W514" s="248"/>
      <c r="X514" s="248"/>
      <c r="Y514" s="248"/>
      <c r="Z514" s="248"/>
    </row>
    <row r="515" spans="16:26">
      <c r="P515" s="248"/>
      <c r="Q515" s="248"/>
      <c r="R515" s="248"/>
      <c r="S515" s="248"/>
      <c r="T515" s="248"/>
      <c r="U515" s="248"/>
      <c r="V515" s="248"/>
      <c r="W515" s="248"/>
      <c r="X515" s="248"/>
      <c r="Y515" s="248"/>
      <c r="Z515" s="248"/>
    </row>
    <row r="516" spans="16:26">
      <c r="P516" s="241"/>
      <c r="Q516" s="241"/>
      <c r="R516" s="241"/>
      <c r="S516" s="241"/>
      <c r="T516" s="241"/>
      <c r="U516" s="241"/>
      <c r="V516" s="241"/>
      <c r="W516" s="241"/>
      <c r="X516" s="241"/>
      <c r="Y516" s="241"/>
      <c r="Z516" s="241"/>
    </row>
    <row r="517" spans="16:26">
      <c r="P517" s="248"/>
      <c r="Q517" s="248"/>
      <c r="R517" s="248"/>
      <c r="S517" s="248"/>
      <c r="T517" s="248"/>
      <c r="U517" s="248"/>
      <c r="V517" s="248"/>
      <c r="W517" s="248"/>
      <c r="X517" s="248"/>
      <c r="Y517" s="248"/>
      <c r="Z517" s="248"/>
    </row>
    <row r="518" spans="16:26">
      <c r="P518" s="248"/>
      <c r="Q518" s="248"/>
      <c r="R518" s="248"/>
      <c r="S518" s="248"/>
      <c r="T518" s="248"/>
      <c r="U518" s="248"/>
      <c r="V518" s="248"/>
      <c r="W518" s="248"/>
      <c r="X518" s="248"/>
      <c r="Y518" s="248"/>
      <c r="Z518" s="248"/>
    </row>
    <row r="519" spans="16:26">
      <c r="P519" s="241"/>
      <c r="Q519" s="241"/>
      <c r="R519" s="241"/>
      <c r="S519" s="241"/>
      <c r="T519" s="241"/>
      <c r="U519" s="241"/>
      <c r="V519" s="241"/>
      <c r="W519" s="241"/>
      <c r="X519" s="241"/>
      <c r="Y519" s="241"/>
      <c r="Z519" s="241"/>
    </row>
    <row r="520" spans="16:26">
      <c r="P520" s="248"/>
      <c r="Q520" s="248"/>
      <c r="R520" s="248"/>
      <c r="S520" s="248"/>
      <c r="T520" s="248"/>
      <c r="U520" s="248"/>
      <c r="V520" s="248"/>
      <c r="W520" s="248"/>
      <c r="X520" s="248"/>
      <c r="Y520" s="248"/>
      <c r="Z520" s="248"/>
    </row>
    <row r="521" spans="16:26">
      <c r="P521" s="248"/>
      <c r="Q521" s="248"/>
      <c r="R521" s="248"/>
      <c r="S521" s="248"/>
      <c r="T521" s="248"/>
      <c r="U521" s="248"/>
      <c r="V521" s="248"/>
      <c r="W521" s="248"/>
      <c r="X521" s="248"/>
      <c r="Y521" s="248"/>
      <c r="Z521" s="248"/>
    </row>
    <row r="522" spans="16:26">
      <c r="P522" s="241"/>
      <c r="Q522" s="241"/>
      <c r="R522" s="241"/>
      <c r="S522" s="241"/>
      <c r="T522" s="241"/>
      <c r="U522" s="241"/>
      <c r="V522" s="241"/>
      <c r="W522" s="241"/>
      <c r="X522" s="241"/>
      <c r="Y522" s="241"/>
      <c r="Z522" s="241"/>
    </row>
    <row r="523" spans="16:26">
      <c r="P523" s="248"/>
      <c r="Q523" s="248"/>
      <c r="R523" s="248"/>
      <c r="S523" s="248"/>
      <c r="T523" s="248"/>
      <c r="U523" s="248"/>
      <c r="V523" s="248"/>
      <c r="W523" s="248"/>
      <c r="X523" s="248"/>
      <c r="Y523" s="248"/>
      <c r="Z523" s="248"/>
    </row>
    <row r="524" spans="16:26">
      <c r="P524" s="248"/>
      <c r="Q524" s="248"/>
      <c r="R524" s="248"/>
      <c r="S524" s="248"/>
      <c r="T524" s="248"/>
      <c r="U524" s="248"/>
      <c r="V524" s="248"/>
      <c r="W524" s="248"/>
      <c r="X524" s="248"/>
      <c r="Y524" s="248"/>
      <c r="Z524" s="248"/>
    </row>
    <row r="525" spans="16:26">
      <c r="P525" s="241"/>
      <c r="Q525" s="241"/>
      <c r="R525" s="241"/>
      <c r="S525" s="241"/>
      <c r="T525" s="241"/>
      <c r="U525" s="241"/>
      <c r="V525" s="241"/>
      <c r="W525" s="241"/>
      <c r="X525" s="241"/>
      <c r="Y525" s="241"/>
      <c r="Z525" s="241"/>
    </row>
    <row r="526" spans="16:26">
      <c r="P526" s="248"/>
      <c r="Q526" s="248"/>
      <c r="R526" s="248"/>
      <c r="S526" s="248"/>
      <c r="T526" s="248"/>
      <c r="U526" s="248"/>
      <c r="V526" s="248"/>
      <c r="W526" s="248"/>
      <c r="X526" s="248"/>
      <c r="Y526" s="248"/>
      <c r="Z526" s="248"/>
    </row>
    <row r="527" spans="16:26">
      <c r="P527" s="248"/>
      <c r="Q527" s="248"/>
      <c r="R527" s="248"/>
      <c r="S527" s="248"/>
      <c r="T527" s="248"/>
      <c r="U527" s="248"/>
      <c r="V527" s="248"/>
      <c r="W527" s="248"/>
      <c r="X527" s="248"/>
      <c r="Y527" s="248"/>
      <c r="Z527" s="248"/>
    </row>
    <row r="528" spans="16:26">
      <c r="P528" s="241"/>
      <c r="Q528" s="241"/>
      <c r="R528" s="241"/>
      <c r="S528" s="241"/>
      <c r="T528" s="241"/>
      <c r="U528" s="241"/>
      <c r="V528" s="241"/>
      <c r="W528" s="241"/>
      <c r="X528" s="241"/>
      <c r="Y528" s="241"/>
      <c r="Z528" s="241"/>
    </row>
    <row r="529" spans="16:26">
      <c r="P529" s="248"/>
      <c r="Q529" s="248"/>
      <c r="R529" s="248"/>
      <c r="S529" s="248"/>
      <c r="T529" s="248"/>
      <c r="U529" s="248"/>
      <c r="V529" s="248"/>
      <c r="W529" s="248"/>
      <c r="X529" s="248"/>
      <c r="Y529" s="248"/>
      <c r="Z529" s="248"/>
    </row>
    <row r="530" spans="16:26">
      <c r="P530" s="248"/>
      <c r="Q530" s="248"/>
      <c r="R530" s="248"/>
      <c r="S530" s="248"/>
      <c r="T530" s="248"/>
      <c r="U530" s="248"/>
      <c r="V530" s="248"/>
      <c r="W530" s="248"/>
      <c r="X530" s="248"/>
      <c r="Y530" s="248"/>
      <c r="Z530" s="248"/>
    </row>
    <row r="531" spans="16:26">
      <c r="P531" s="241"/>
      <c r="Q531" s="241"/>
      <c r="R531" s="241"/>
      <c r="S531" s="241"/>
      <c r="T531" s="241"/>
      <c r="U531" s="241"/>
      <c r="V531" s="241"/>
      <c r="W531" s="241"/>
      <c r="X531" s="241"/>
      <c r="Y531" s="241"/>
      <c r="Z531" s="241"/>
    </row>
    <row r="532" spans="16:26">
      <c r="P532" s="248"/>
      <c r="Q532" s="248"/>
      <c r="R532" s="248"/>
      <c r="S532" s="248"/>
      <c r="T532" s="248"/>
      <c r="U532" s="248"/>
      <c r="V532" s="248"/>
      <c r="W532" s="248"/>
      <c r="X532" s="248"/>
      <c r="Y532" s="248"/>
      <c r="Z532" s="248"/>
    </row>
    <row r="533" spans="16:26">
      <c r="P533" s="248"/>
      <c r="Q533" s="248"/>
      <c r="R533" s="248"/>
      <c r="S533" s="248"/>
      <c r="T533" s="248"/>
      <c r="U533" s="248"/>
      <c r="V533" s="248"/>
      <c r="W533" s="248"/>
      <c r="X533" s="248"/>
      <c r="Y533" s="248"/>
      <c r="Z533" s="248"/>
    </row>
    <row r="534" spans="16:26">
      <c r="P534" s="241"/>
      <c r="Q534" s="241"/>
      <c r="R534" s="241"/>
      <c r="S534" s="241"/>
      <c r="T534" s="241"/>
      <c r="U534" s="241"/>
      <c r="V534" s="241"/>
      <c r="W534" s="241"/>
      <c r="X534" s="241"/>
      <c r="Y534" s="241"/>
      <c r="Z534" s="241"/>
    </row>
    <row r="535" spans="16:26">
      <c r="P535" s="248"/>
      <c r="Q535" s="248"/>
      <c r="R535" s="248"/>
      <c r="S535" s="248"/>
      <c r="T535" s="248"/>
      <c r="U535" s="248"/>
      <c r="V535" s="248"/>
      <c r="W535" s="248"/>
      <c r="X535" s="248"/>
      <c r="Y535" s="248"/>
      <c r="Z535" s="248"/>
    </row>
    <row r="536" spans="16:26">
      <c r="P536" s="248"/>
      <c r="Q536" s="248"/>
      <c r="R536" s="248"/>
      <c r="S536" s="248"/>
      <c r="T536" s="248"/>
      <c r="U536" s="248"/>
      <c r="V536" s="248"/>
      <c r="W536" s="248"/>
      <c r="X536" s="248"/>
      <c r="Y536" s="248"/>
      <c r="Z536" s="248"/>
    </row>
    <row r="537" spans="16:26">
      <c r="P537" s="241"/>
      <c r="Q537" s="241"/>
      <c r="R537" s="241"/>
      <c r="S537" s="241"/>
      <c r="T537" s="241"/>
      <c r="U537" s="241"/>
      <c r="V537" s="241"/>
      <c r="W537" s="241"/>
      <c r="X537" s="241"/>
      <c r="Y537" s="241"/>
      <c r="Z537" s="241"/>
    </row>
    <row r="538" spans="16:26">
      <c r="P538" s="248"/>
      <c r="Q538" s="248"/>
      <c r="R538" s="248"/>
      <c r="S538" s="248"/>
      <c r="T538" s="248"/>
      <c r="U538" s="248"/>
      <c r="V538" s="248"/>
      <c r="W538" s="248"/>
      <c r="X538" s="248"/>
      <c r="Y538" s="248"/>
      <c r="Z538" s="248"/>
    </row>
    <row r="539" spans="16:26">
      <c r="P539" s="248"/>
      <c r="Q539" s="248"/>
      <c r="R539" s="248"/>
      <c r="S539" s="248"/>
      <c r="T539" s="248"/>
      <c r="U539" s="248"/>
      <c r="V539" s="248"/>
      <c r="W539" s="248"/>
      <c r="X539" s="248"/>
      <c r="Y539" s="248"/>
      <c r="Z539" s="248"/>
    </row>
    <row r="540" spans="16:26">
      <c r="P540" s="241"/>
      <c r="Q540" s="241"/>
      <c r="R540" s="241"/>
      <c r="S540" s="241"/>
      <c r="T540" s="241"/>
      <c r="U540" s="241"/>
      <c r="V540" s="241"/>
      <c r="W540" s="241"/>
      <c r="X540" s="241"/>
      <c r="Y540" s="241"/>
      <c r="Z540" s="241"/>
    </row>
    <row r="541" spans="16:26">
      <c r="P541" s="248"/>
      <c r="Q541" s="248"/>
      <c r="R541" s="248"/>
      <c r="S541" s="248"/>
      <c r="T541" s="248"/>
      <c r="U541" s="248"/>
      <c r="V541" s="248"/>
      <c r="W541" s="248"/>
      <c r="X541" s="248"/>
      <c r="Y541" s="248"/>
      <c r="Z541" s="248"/>
    </row>
    <row r="542" spans="16:26">
      <c r="P542" s="248"/>
      <c r="Q542" s="248"/>
      <c r="R542" s="248"/>
      <c r="S542" s="248"/>
      <c r="T542" s="248"/>
      <c r="U542" s="248"/>
      <c r="V542" s="248"/>
      <c r="W542" s="248"/>
      <c r="X542" s="248"/>
      <c r="Y542" s="248"/>
      <c r="Z542" s="248"/>
    </row>
    <row r="543" spans="16:26">
      <c r="P543" s="241"/>
      <c r="Q543" s="241"/>
      <c r="R543" s="241"/>
      <c r="S543" s="241"/>
      <c r="T543" s="241"/>
      <c r="U543" s="241"/>
      <c r="V543" s="241"/>
      <c r="W543" s="241"/>
      <c r="X543" s="241"/>
      <c r="Y543" s="241"/>
      <c r="Z543" s="241"/>
    </row>
    <row r="544" spans="16:26">
      <c r="P544" s="248"/>
      <c r="Q544" s="248"/>
      <c r="R544" s="248"/>
      <c r="S544" s="248"/>
      <c r="T544" s="248"/>
      <c r="U544" s="248"/>
      <c r="V544" s="248"/>
      <c r="W544" s="248"/>
      <c r="X544" s="248"/>
      <c r="Y544" s="248"/>
      <c r="Z544" s="248"/>
    </row>
    <row r="545" spans="16:26">
      <c r="P545" s="248"/>
      <c r="Q545" s="248"/>
      <c r="R545" s="248"/>
      <c r="S545" s="248"/>
      <c r="T545" s="248"/>
      <c r="U545" s="248"/>
      <c r="V545" s="248"/>
      <c r="W545" s="248"/>
      <c r="X545" s="248"/>
      <c r="Y545" s="248"/>
      <c r="Z545" s="248"/>
    </row>
    <row r="546" spans="16:26">
      <c r="P546" s="241"/>
      <c r="Q546" s="241"/>
      <c r="R546" s="241"/>
      <c r="S546" s="241"/>
      <c r="T546" s="241"/>
      <c r="U546" s="241"/>
      <c r="V546" s="241"/>
      <c r="W546" s="241"/>
      <c r="X546" s="241"/>
      <c r="Y546" s="241"/>
      <c r="Z546" s="241"/>
    </row>
    <row r="547" spans="16:26">
      <c r="P547" s="248"/>
      <c r="Q547" s="248"/>
      <c r="R547" s="248"/>
      <c r="S547" s="248"/>
      <c r="T547" s="248"/>
      <c r="U547" s="248"/>
      <c r="V547" s="248"/>
      <c r="W547" s="248"/>
      <c r="X547" s="248"/>
      <c r="Y547" s="248"/>
      <c r="Z547" s="248"/>
    </row>
    <row r="548" spans="16:26">
      <c r="P548" s="248"/>
      <c r="Q548" s="248"/>
      <c r="R548" s="248"/>
      <c r="S548" s="248"/>
      <c r="T548" s="248"/>
      <c r="U548" s="248"/>
      <c r="V548" s="248"/>
      <c r="W548" s="248"/>
      <c r="X548" s="248"/>
      <c r="Y548" s="248"/>
      <c r="Z548" s="248"/>
    </row>
    <row r="549" spans="16:26">
      <c r="P549" s="241"/>
      <c r="Q549" s="241"/>
      <c r="R549" s="241"/>
      <c r="S549" s="241"/>
      <c r="T549" s="241"/>
      <c r="U549" s="241"/>
      <c r="V549" s="241"/>
      <c r="W549" s="241"/>
      <c r="X549" s="241"/>
      <c r="Y549" s="241"/>
      <c r="Z549" s="241"/>
    </row>
    <row r="550" spans="16:26">
      <c r="P550" s="248"/>
      <c r="Q550" s="248"/>
      <c r="R550" s="248"/>
      <c r="S550" s="248"/>
      <c r="T550" s="248"/>
      <c r="U550" s="248"/>
      <c r="V550" s="248"/>
      <c r="W550" s="248"/>
      <c r="X550" s="248"/>
      <c r="Y550" s="248"/>
      <c r="Z550" s="248"/>
    </row>
    <row r="551" spans="16:26">
      <c r="P551" s="248"/>
      <c r="Q551" s="248"/>
      <c r="R551" s="248"/>
      <c r="S551" s="248"/>
      <c r="T551" s="248"/>
      <c r="U551" s="248"/>
      <c r="V551" s="248"/>
      <c r="W551" s="248"/>
      <c r="X551" s="248"/>
      <c r="Y551" s="248"/>
      <c r="Z551" s="248"/>
    </row>
    <row r="552" spans="16:26">
      <c r="P552" s="241"/>
      <c r="Q552" s="241"/>
      <c r="R552" s="241"/>
      <c r="S552" s="241"/>
      <c r="T552" s="241"/>
      <c r="U552" s="241"/>
      <c r="V552" s="241"/>
      <c r="W552" s="241"/>
      <c r="X552" s="241"/>
      <c r="Y552" s="241"/>
      <c r="Z552" s="241"/>
    </row>
    <row r="553" spans="16:26">
      <c r="P553" s="248"/>
      <c r="Q553" s="248"/>
      <c r="R553" s="248"/>
      <c r="S553" s="248"/>
      <c r="T553" s="248"/>
      <c r="U553" s="248"/>
      <c r="V553" s="248"/>
      <c r="W553" s="248"/>
      <c r="X553" s="248"/>
      <c r="Y553" s="248"/>
      <c r="Z553" s="248"/>
    </row>
    <row r="554" spans="16:26">
      <c r="P554" s="248"/>
      <c r="Q554" s="248"/>
      <c r="R554" s="248"/>
      <c r="S554" s="248"/>
      <c r="T554" s="248"/>
      <c r="U554" s="248"/>
      <c r="V554" s="248"/>
      <c r="W554" s="248"/>
      <c r="X554" s="248"/>
      <c r="Y554" s="248"/>
      <c r="Z554" s="248"/>
    </row>
    <row r="555" spans="16:26">
      <c r="P555" s="241"/>
      <c r="Q555" s="241"/>
      <c r="R555" s="241"/>
      <c r="S555" s="241"/>
      <c r="T555" s="241"/>
      <c r="U555" s="241"/>
      <c r="V555" s="241"/>
      <c r="W555" s="241"/>
      <c r="X555" s="241"/>
      <c r="Y555" s="241"/>
      <c r="Z555" s="241"/>
    </row>
    <row r="556" spans="16:26">
      <c r="P556" s="248"/>
      <c r="Q556" s="248"/>
      <c r="R556" s="248"/>
      <c r="S556" s="248"/>
      <c r="T556" s="248"/>
      <c r="U556" s="248"/>
      <c r="V556" s="248"/>
      <c r="W556" s="248"/>
      <c r="X556" s="248"/>
      <c r="Y556" s="248"/>
      <c r="Z556" s="248"/>
    </row>
    <row r="557" spans="16:26">
      <c r="P557" s="248"/>
      <c r="Q557" s="248"/>
      <c r="R557" s="248"/>
      <c r="S557" s="248"/>
      <c r="T557" s="248"/>
      <c r="U557" s="248"/>
      <c r="V557" s="248"/>
      <c r="W557" s="248"/>
      <c r="X557" s="248"/>
      <c r="Y557" s="248"/>
      <c r="Z557" s="248"/>
    </row>
    <row r="558" spans="16:26">
      <c r="P558" s="241"/>
      <c r="Q558" s="241"/>
      <c r="R558" s="241"/>
      <c r="S558" s="241"/>
      <c r="T558" s="241"/>
      <c r="U558" s="241"/>
      <c r="V558" s="241"/>
      <c r="W558" s="241"/>
      <c r="X558" s="241"/>
      <c r="Y558" s="241"/>
      <c r="Z558" s="241"/>
    </row>
    <row r="559" spans="16:26">
      <c r="P559" s="248"/>
      <c r="Q559" s="248"/>
      <c r="R559" s="248"/>
      <c r="S559" s="248"/>
      <c r="T559" s="248"/>
      <c r="U559" s="248"/>
      <c r="V559" s="248"/>
      <c r="W559" s="248"/>
      <c r="X559" s="248"/>
      <c r="Y559" s="248"/>
      <c r="Z559" s="248"/>
    </row>
    <row r="560" spans="16:26">
      <c r="P560" s="248"/>
      <c r="Q560" s="248"/>
      <c r="R560" s="248"/>
      <c r="S560" s="248"/>
      <c r="T560" s="248"/>
      <c r="U560" s="248"/>
      <c r="V560" s="248"/>
      <c r="W560" s="248"/>
      <c r="X560" s="248"/>
      <c r="Y560" s="248"/>
      <c r="Z560" s="248"/>
    </row>
    <row r="561" spans="16:26">
      <c r="P561" s="241"/>
      <c r="Q561" s="241"/>
      <c r="R561" s="241"/>
      <c r="S561" s="241"/>
      <c r="T561" s="241"/>
      <c r="U561" s="241"/>
      <c r="V561" s="241"/>
      <c r="W561" s="241"/>
      <c r="X561" s="241"/>
      <c r="Y561" s="241"/>
      <c r="Z561" s="241"/>
    </row>
    <row r="562" spans="16:26">
      <c r="P562" s="248"/>
      <c r="Q562" s="248"/>
      <c r="R562" s="248"/>
      <c r="S562" s="248"/>
      <c r="T562" s="248"/>
      <c r="U562" s="248"/>
      <c r="V562" s="248"/>
      <c r="W562" s="248"/>
      <c r="X562" s="248"/>
      <c r="Y562" s="248"/>
      <c r="Z562" s="248"/>
    </row>
    <row r="563" spans="16:26">
      <c r="P563" s="248"/>
      <c r="Q563" s="248"/>
      <c r="R563" s="248"/>
      <c r="S563" s="248"/>
      <c r="T563" s="248"/>
      <c r="U563" s="248"/>
      <c r="V563" s="248"/>
      <c r="W563" s="248"/>
      <c r="X563" s="248"/>
      <c r="Y563" s="248"/>
      <c r="Z563" s="248"/>
    </row>
    <row r="564" spans="16:26">
      <c r="P564" s="241"/>
      <c r="Q564" s="241"/>
      <c r="R564" s="241"/>
      <c r="S564" s="241"/>
      <c r="T564" s="241"/>
      <c r="U564" s="241"/>
      <c r="V564" s="241"/>
      <c r="W564" s="241"/>
      <c r="X564" s="241"/>
      <c r="Y564" s="241"/>
      <c r="Z564" s="241"/>
    </row>
    <row r="565" spans="16:26">
      <c r="P565" s="248"/>
      <c r="Q565" s="248"/>
      <c r="R565" s="248"/>
      <c r="S565" s="248"/>
      <c r="T565" s="248"/>
      <c r="U565" s="248"/>
      <c r="V565" s="248"/>
      <c r="W565" s="248"/>
      <c r="X565" s="248"/>
      <c r="Y565" s="248"/>
      <c r="Z565" s="248"/>
    </row>
    <row r="566" spans="16:26">
      <c r="P566" s="248"/>
      <c r="Q566" s="248"/>
      <c r="R566" s="248"/>
      <c r="S566" s="248"/>
      <c r="T566" s="248"/>
      <c r="U566" s="248"/>
      <c r="V566" s="248"/>
      <c r="W566" s="248"/>
      <c r="X566" s="248"/>
      <c r="Y566" s="248"/>
      <c r="Z566" s="248"/>
    </row>
    <row r="567" spans="16:26">
      <c r="P567" s="241"/>
      <c r="Q567" s="241"/>
      <c r="R567" s="241"/>
      <c r="S567" s="241"/>
      <c r="T567" s="241"/>
      <c r="U567" s="241"/>
      <c r="V567" s="241"/>
      <c r="W567" s="241"/>
      <c r="X567" s="241"/>
      <c r="Y567" s="241"/>
      <c r="Z567" s="241"/>
    </row>
    <row r="568" spans="16:26">
      <c r="P568" s="248"/>
      <c r="Q568" s="248"/>
      <c r="R568" s="248"/>
      <c r="S568" s="248"/>
      <c r="T568" s="248"/>
      <c r="U568" s="248"/>
      <c r="V568" s="248"/>
      <c r="W568" s="248"/>
      <c r="X568" s="248"/>
      <c r="Y568" s="248"/>
      <c r="Z568" s="248"/>
    </row>
    <row r="569" spans="16:26">
      <c r="P569" s="248"/>
      <c r="Q569" s="248"/>
      <c r="R569" s="248"/>
      <c r="S569" s="248"/>
      <c r="T569" s="248"/>
      <c r="U569" s="248"/>
      <c r="V569" s="248"/>
      <c r="W569" s="248"/>
      <c r="X569" s="248"/>
      <c r="Y569" s="248"/>
      <c r="Z569" s="248"/>
    </row>
    <row r="570" spans="16:26">
      <c r="P570" s="241"/>
      <c r="Q570" s="241"/>
      <c r="R570" s="241"/>
      <c r="S570" s="241"/>
      <c r="T570" s="241"/>
      <c r="U570" s="241"/>
      <c r="V570" s="241"/>
      <c r="W570" s="241"/>
      <c r="X570" s="241"/>
      <c r="Y570" s="241"/>
      <c r="Z570" s="241"/>
    </row>
    <row r="571" spans="16:26">
      <c r="P571" s="248"/>
      <c r="Q571" s="248"/>
      <c r="R571" s="248"/>
      <c r="S571" s="248"/>
      <c r="T571" s="248"/>
      <c r="U571" s="248"/>
      <c r="V571" s="248"/>
      <c r="W571" s="248"/>
      <c r="X571" s="248"/>
      <c r="Y571" s="248"/>
      <c r="Z571" s="248"/>
    </row>
    <row r="572" spans="16:26">
      <c r="P572" s="248"/>
      <c r="Q572" s="248"/>
      <c r="R572" s="248"/>
      <c r="S572" s="248"/>
      <c r="T572" s="248"/>
      <c r="U572" s="248"/>
      <c r="V572" s="248"/>
      <c r="W572" s="248"/>
      <c r="X572" s="248"/>
      <c r="Y572" s="248"/>
      <c r="Z572" s="248"/>
    </row>
    <row r="573" spans="16:26">
      <c r="P573" s="241"/>
      <c r="Q573" s="241"/>
      <c r="R573" s="241"/>
      <c r="S573" s="241"/>
      <c r="T573" s="241"/>
      <c r="U573" s="241"/>
      <c r="V573" s="241"/>
      <c r="W573" s="241"/>
      <c r="X573" s="241"/>
      <c r="Y573" s="241"/>
      <c r="Z573" s="241"/>
    </row>
    <row r="574" spans="16:26">
      <c r="P574" s="248"/>
      <c r="Q574" s="248"/>
      <c r="R574" s="248"/>
      <c r="S574" s="248"/>
      <c r="T574" s="248"/>
      <c r="U574" s="248"/>
      <c r="V574" s="248"/>
      <c r="W574" s="248"/>
      <c r="X574" s="248"/>
      <c r="Y574" s="248"/>
      <c r="Z574" s="248"/>
    </row>
    <row r="575" spans="16:26">
      <c r="P575" s="248"/>
      <c r="Q575" s="248"/>
      <c r="R575" s="248"/>
      <c r="S575" s="248"/>
      <c r="T575" s="248"/>
      <c r="U575" s="248"/>
      <c r="V575" s="248"/>
      <c r="W575" s="248"/>
      <c r="X575" s="248"/>
      <c r="Y575" s="248"/>
      <c r="Z575" s="248"/>
    </row>
    <row r="576" spans="16:26">
      <c r="P576" s="241"/>
      <c r="Q576" s="241"/>
      <c r="R576" s="241"/>
      <c r="S576" s="241"/>
      <c r="T576" s="241"/>
      <c r="U576" s="241"/>
      <c r="V576" s="241"/>
      <c r="W576" s="241"/>
      <c r="X576" s="241"/>
      <c r="Y576" s="241"/>
      <c r="Z576" s="241"/>
    </row>
    <row r="577" spans="16:26">
      <c r="P577" s="248"/>
      <c r="Q577" s="248"/>
      <c r="R577" s="248"/>
      <c r="S577" s="248"/>
      <c r="T577" s="248"/>
      <c r="U577" s="248"/>
      <c r="V577" s="248"/>
      <c r="W577" s="248"/>
      <c r="X577" s="248"/>
      <c r="Y577" s="248"/>
      <c r="Z577" s="248"/>
    </row>
    <row r="578" spans="16:26">
      <c r="P578" s="248"/>
      <c r="Q578" s="248"/>
      <c r="R578" s="248"/>
      <c r="S578" s="248"/>
      <c r="T578" s="248"/>
      <c r="U578" s="248"/>
      <c r="V578" s="248"/>
      <c r="W578" s="248"/>
      <c r="X578" s="248"/>
      <c r="Y578" s="248"/>
      <c r="Z578" s="248"/>
    </row>
    <row r="579" spans="16:26">
      <c r="P579" s="241"/>
      <c r="Q579" s="241"/>
      <c r="R579" s="241"/>
      <c r="S579" s="241"/>
      <c r="T579" s="241"/>
      <c r="U579" s="241"/>
      <c r="V579" s="241"/>
      <c r="W579" s="241"/>
      <c r="X579" s="241"/>
      <c r="Y579" s="241"/>
      <c r="Z579" s="241"/>
    </row>
    <row r="580" spans="16:26">
      <c r="P580" s="248"/>
      <c r="Q580" s="248"/>
      <c r="R580" s="248"/>
      <c r="S580" s="248"/>
      <c r="T580" s="248"/>
      <c r="U580" s="248"/>
      <c r="V580" s="248"/>
      <c r="W580" s="248"/>
      <c r="X580" s="248"/>
      <c r="Y580" s="248"/>
      <c r="Z580" s="248"/>
    </row>
    <row r="581" spans="16:26">
      <c r="P581" s="248"/>
      <c r="Q581" s="248"/>
      <c r="R581" s="248"/>
      <c r="S581" s="248"/>
      <c r="T581" s="248"/>
      <c r="U581" s="248"/>
      <c r="V581" s="248"/>
      <c r="W581" s="248"/>
      <c r="X581" s="248"/>
      <c r="Y581" s="248"/>
      <c r="Z581" s="248"/>
    </row>
    <row r="582" spans="16:26">
      <c r="P582" s="241"/>
      <c r="Q582" s="241"/>
      <c r="R582" s="241"/>
      <c r="S582" s="241"/>
      <c r="T582" s="241"/>
      <c r="U582" s="241"/>
      <c r="V582" s="241"/>
      <c r="W582" s="241"/>
      <c r="X582" s="241"/>
      <c r="Y582" s="241"/>
      <c r="Z582" s="241"/>
    </row>
    <row r="583" spans="16:26">
      <c r="P583" s="248"/>
      <c r="Q583" s="248"/>
      <c r="R583" s="248"/>
      <c r="S583" s="248"/>
      <c r="T583" s="248"/>
      <c r="U583" s="248"/>
      <c r="V583" s="248"/>
      <c r="W583" s="248"/>
      <c r="X583" s="248"/>
      <c r="Y583" s="248"/>
      <c r="Z583" s="248"/>
    </row>
    <row r="584" spans="16:26">
      <c r="P584" s="248"/>
      <c r="Q584" s="248"/>
      <c r="R584" s="248"/>
      <c r="S584" s="248"/>
      <c r="T584" s="248"/>
      <c r="U584" s="248"/>
      <c r="V584" s="248"/>
      <c r="W584" s="248"/>
      <c r="X584" s="248"/>
      <c r="Y584" s="248"/>
      <c r="Z584" s="248"/>
    </row>
    <row r="585" spans="16:26">
      <c r="P585" s="241"/>
      <c r="Q585" s="241"/>
      <c r="R585" s="241"/>
      <c r="S585" s="241"/>
      <c r="T585" s="241"/>
      <c r="U585" s="241"/>
      <c r="V585" s="241"/>
      <c r="W585" s="241"/>
      <c r="X585" s="241"/>
      <c r="Y585" s="241"/>
      <c r="Z585" s="241"/>
    </row>
    <row r="586" spans="16:26">
      <c r="P586" s="248"/>
      <c r="Q586" s="248"/>
      <c r="R586" s="248"/>
      <c r="S586" s="248"/>
      <c r="T586" s="248"/>
      <c r="U586" s="248"/>
      <c r="V586" s="248"/>
      <c r="W586" s="248"/>
      <c r="X586" s="248"/>
      <c r="Y586" s="248"/>
      <c r="Z586" s="248"/>
    </row>
    <row r="587" spans="16:26">
      <c r="P587" s="248"/>
      <c r="Q587" s="248"/>
      <c r="R587" s="248"/>
      <c r="S587" s="248"/>
      <c r="T587" s="248"/>
      <c r="U587" s="248"/>
      <c r="V587" s="248"/>
      <c r="W587" s="248"/>
      <c r="X587" s="248"/>
      <c r="Y587" s="248"/>
      <c r="Z587" s="248"/>
    </row>
    <row r="588" spans="16:26">
      <c r="P588" s="241"/>
      <c r="Q588" s="241"/>
      <c r="R588" s="241"/>
      <c r="S588" s="241"/>
      <c r="T588" s="241"/>
      <c r="U588" s="241"/>
      <c r="V588" s="241"/>
      <c r="W588" s="241"/>
      <c r="X588" s="241"/>
      <c r="Y588" s="241"/>
      <c r="Z588" s="241"/>
    </row>
    <row r="589" spans="16:26">
      <c r="P589" s="248"/>
      <c r="Q589" s="248"/>
      <c r="R589" s="248"/>
      <c r="S589" s="248"/>
      <c r="T589" s="248"/>
      <c r="U589" s="248"/>
      <c r="V589" s="248"/>
      <c r="W589" s="248"/>
      <c r="X589" s="248"/>
      <c r="Y589" s="248"/>
      <c r="Z589" s="248"/>
    </row>
    <row r="590" spans="16:26">
      <c r="P590" s="248"/>
      <c r="Q590" s="248"/>
      <c r="R590" s="248"/>
      <c r="S590" s="248"/>
      <c r="T590" s="248"/>
      <c r="U590" s="248"/>
      <c r="V590" s="248"/>
      <c r="W590" s="248"/>
      <c r="X590" s="248"/>
      <c r="Y590" s="248"/>
      <c r="Z590" s="248"/>
    </row>
    <row r="591" spans="16:26">
      <c r="P591" s="241"/>
      <c r="Q591" s="241"/>
      <c r="R591" s="241"/>
      <c r="S591" s="241"/>
      <c r="T591" s="241"/>
      <c r="U591" s="241"/>
      <c r="V591" s="241"/>
      <c r="W591" s="241"/>
      <c r="X591" s="241"/>
      <c r="Y591" s="241"/>
      <c r="Z591" s="241"/>
    </row>
    <row r="592" spans="16:26">
      <c r="P592" s="248"/>
      <c r="Q592" s="248"/>
      <c r="R592" s="248"/>
      <c r="S592" s="248"/>
      <c r="T592" s="248"/>
      <c r="U592" s="248"/>
      <c r="V592" s="248"/>
      <c r="W592" s="248"/>
      <c r="X592" s="248"/>
      <c r="Y592" s="248"/>
      <c r="Z592" s="248"/>
    </row>
    <row r="593" spans="16:26">
      <c r="P593" s="248"/>
      <c r="Q593" s="248"/>
      <c r="R593" s="248"/>
      <c r="S593" s="248"/>
      <c r="T593" s="248"/>
      <c r="U593" s="248"/>
      <c r="V593" s="248"/>
      <c r="W593" s="248"/>
      <c r="X593" s="248"/>
      <c r="Y593" s="248"/>
      <c r="Z593" s="248"/>
    </row>
    <row r="594" spans="16:26">
      <c r="P594" s="241"/>
      <c r="Q594" s="241"/>
      <c r="R594" s="241"/>
      <c r="S594" s="241"/>
      <c r="T594" s="241"/>
      <c r="U594" s="241"/>
      <c r="V594" s="241"/>
      <c r="W594" s="241"/>
      <c r="X594" s="241"/>
      <c r="Y594" s="241"/>
      <c r="Z594" s="241"/>
    </row>
    <row r="595" spans="16:26">
      <c r="P595" s="248"/>
      <c r="Q595" s="248"/>
      <c r="R595" s="248"/>
      <c r="S595" s="248"/>
      <c r="T595" s="248"/>
      <c r="U595" s="248"/>
      <c r="V595" s="248"/>
      <c r="W595" s="248"/>
      <c r="X595" s="248"/>
      <c r="Y595" s="248"/>
      <c r="Z595" s="248"/>
    </row>
    <row r="596" spans="16:26">
      <c r="P596" s="248"/>
      <c r="Q596" s="248"/>
      <c r="R596" s="248"/>
      <c r="S596" s="248"/>
      <c r="T596" s="248"/>
      <c r="U596" s="248"/>
      <c r="V596" s="248"/>
      <c r="W596" s="248"/>
      <c r="X596" s="248"/>
      <c r="Y596" s="248"/>
      <c r="Z596" s="248"/>
    </row>
    <row r="597" spans="16:26">
      <c r="P597" s="241"/>
      <c r="Q597" s="241"/>
      <c r="R597" s="241"/>
      <c r="S597" s="241"/>
      <c r="T597" s="241"/>
      <c r="U597" s="241"/>
      <c r="V597" s="241"/>
      <c r="W597" s="241"/>
      <c r="X597" s="241"/>
      <c r="Y597" s="241"/>
      <c r="Z597" s="241"/>
    </row>
    <row r="598" spans="16:26">
      <c r="P598" s="248"/>
      <c r="Q598" s="248"/>
      <c r="R598" s="248"/>
      <c r="S598" s="248"/>
      <c r="T598" s="248"/>
      <c r="U598" s="248"/>
      <c r="V598" s="248"/>
      <c r="W598" s="248"/>
      <c r="X598" s="248"/>
      <c r="Y598" s="248"/>
      <c r="Z598" s="248"/>
    </row>
    <row r="599" spans="16:26">
      <c r="P599" s="248"/>
      <c r="Q599" s="248"/>
      <c r="R599" s="248"/>
      <c r="S599" s="248"/>
      <c r="T599" s="248"/>
      <c r="U599" s="248"/>
      <c r="V599" s="248"/>
      <c r="W599" s="248"/>
      <c r="X599" s="248"/>
      <c r="Y599" s="248"/>
      <c r="Z599" s="248"/>
    </row>
    <row r="600" spans="16:26">
      <c r="P600" s="241"/>
      <c r="Q600" s="241"/>
      <c r="R600" s="241"/>
      <c r="S600" s="241"/>
      <c r="T600" s="241"/>
      <c r="U600" s="241"/>
      <c r="V600" s="241"/>
      <c r="W600" s="241"/>
      <c r="X600" s="241"/>
      <c r="Y600" s="241"/>
      <c r="Z600" s="241"/>
    </row>
    <row r="601" spans="16:26">
      <c r="P601" s="248"/>
      <c r="Q601" s="248"/>
      <c r="R601" s="248"/>
      <c r="S601" s="248"/>
      <c r="T601" s="248"/>
      <c r="U601" s="248"/>
      <c r="V601" s="248"/>
      <c r="W601" s="248"/>
      <c r="X601" s="248"/>
      <c r="Y601" s="248"/>
      <c r="Z601" s="248"/>
    </row>
    <row r="602" spans="16:26">
      <c r="P602" s="248"/>
      <c r="Q602" s="248"/>
      <c r="R602" s="248"/>
      <c r="S602" s="248"/>
      <c r="T602" s="248"/>
      <c r="U602" s="248"/>
      <c r="V602" s="248"/>
      <c r="W602" s="248"/>
      <c r="X602" s="248"/>
      <c r="Y602" s="248"/>
      <c r="Z602" s="248"/>
    </row>
    <row r="603" spans="16:26">
      <c r="P603" s="241"/>
      <c r="Q603" s="241"/>
      <c r="R603" s="241"/>
      <c r="S603" s="241"/>
      <c r="T603" s="241"/>
      <c r="U603" s="241"/>
      <c r="V603" s="241"/>
      <c r="W603" s="241"/>
      <c r="X603" s="241"/>
      <c r="Y603" s="241"/>
      <c r="Z603" s="241"/>
    </row>
    <row r="604" spans="16:26">
      <c r="P604" s="248"/>
      <c r="Q604" s="248"/>
      <c r="R604" s="248"/>
      <c r="S604" s="248"/>
      <c r="T604" s="248"/>
      <c r="U604" s="248"/>
      <c r="V604" s="248"/>
      <c r="W604" s="248"/>
      <c r="X604" s="248"/>
      <c r="Y604" s="248"/>
      <c r="Z604" s="248"/>
    </row>
    <row r="605" spans="16:26">
      <c r="P605" s="248"/>
      <c r="Q605" s="248"/>
      <c r="R605" s="248"/>
      <c r="S605" s="248"/>
      <c r="T605" s="248"/>
      <c r="U605" s="248"/>
      <c r="V605" s="248"/>
      <c r="W605" s="248"/>
      <c r="X605" s="248"/>
      <c r="Y605" s="248"/>
      <c r="Z605" s="248"/>
    </row>
    <row r="606" spans="16:26">
      <c r="P606" s="241"/>
      <c r="Q606" s="241"/>
      <c r="R606" s="241"/>
      <c r="S606" s="241"/>
      <c r="T606" s="241"/>
      <c r="U606" s="241"/>
      <c r="V606" s="241"/>
      <c r="W606" s="241"/>
      <c r="X606" s="241"/>
      <c r="Y606" s="241"/>
      <c r="Z606" s="241"/>
    </row>
    <row r="607" spans="16:26">
      <c r="P607" s="248"/>
      <c r="Q607" s="248"/>
      <c r="R607" s="248"/>
      <c r="S607" s="248"/>
      <c r="T607" s="248"/>
      <c r="U607" s="248"/>
      <c r="V607" s="248"/>
      <c r="W607" s="248"/>
      <c r="X607" s="248"/>
      <c r="Y607" s="248"/>
      <c r="Z607" s="248"/>
    </row>
    <row r="608" spans="16:26">
      <c r="P608" s="248"/>
      <c r="Q608" s="248"/>
      <c r="R608" s="248"/>
      <c r="S608" s="248"/>
      <c r="T608" s="248"/>
      <c r="U608" s="248"/>
      <c r="V608" s="248"/>
      <c r="W608" s="248"/>
      <c r="X608" s="248"/>
      <c r="Y608" s="248"/>
      <c r="Z608" s="248"/>
    </row>
    <row r="609" spans="16:26">
      <c r="P609" s="241"/>
      <c r="Q609" s="241"/>
      <c r="R609" s="241"/>
      <c r="S609" s="241"/>
      <c r="T609" s="241"/>
      <c r="U609" s="241"/>
      <c r="V609" s="241"/>
      <c r="W609" s="241"/>
      <c r="X609" s="241"/>
      <c r="Y609" s="241"/>
      <c r="Z609" s="241"/>
    </row>
    <row r="610" spans="16:26">
      <c r="P610" s="248"/>
      <c r="Q610" s="248"/>
      <c r="R610" s="248"/>
      <c r="S610" s="248"/>
      <c r="T610" s="248"/>
      <c r="U610" s="248"/>
      <c r="V610" s="248"/>
      <c r="W610" s="248"/>
      <c r="X610" s="248"/>
      <c r="Y610" s="248"/>
      <c r="Z610" s="248"/>
    </row>
    <row r="611" spans="16:26">
      <c r="P611" s="248"/>
      <c r="Q611" s="248"/>
      <c r="R611" s="248"/>
      <c r="S611" s="248"/>
      <c r="T611" s="248"/>
      <c r="U611" s="248"/>
      <c r="V611" s="248"/>
      <c r="W611" s="248"/>
      <c r="X611" s="248"/>
      <c r="Y611" s="248"/>
      <c r="Z611" s="248"/>
    </row>
    <row r="612" spans="16:26">
      <c r="P612" s="241"/>
      <c r="Q612" s="241"/>
      <c r="R612" s="241"/>
      <c r="S612" s="241"/>
      <c r="T612" s="241"/>
      <c r="U612" s="241"/>
      <c r="V612" s="241"/>
      <c r="W612" s="241"/>
      <c r="X612" s="241"/>
      <c r="Y612" s="241"/>
      <c r="Z612" s="241"/>
    </row>
    <row r="613" spans="16:26">
      <c r="P613" s="248"/>
      <c r="Q613" s="248"/>
      <c r="R613" s="248"/>
      <c r="S613" s="248"/>
      <c r="T613" s="248"/>
      <c r="U613" s="248"/>
      <c r="V613" s="248"/>
      <c r="W613" s="248"/>
      <c r="X613" s="248"/>
      <c r="Y613" s="248"/>
      <c r="Z613" s="248"/>
    </row>
    <row r="614" spans="16:26">
      <c r="P614" s="248"/>
      <c r="Q614" s="248"/>
      <c r="R614" s="248"/>
      <c r="S614" s="248"/>
      <c r="T614" s="248"/>
      <c r="U614" s="248"/>
      <c r="V614" s="248"/>
      <c r="W614" s="248"/>
      <c r="X614" s="248"/>
      <c r="Y614" s="248"/>
      <c r="Z614" s="248"/>
    </row>
    <row r="615" spans="16:26">
      <c r="P615" s="241"/>
      <c r="Q615" s="241"/>
      <c r="R615" s="241"/>
      <c r="S615" s="241"/>
      <c r="T615" s="241"/>
      <c r="U615" s="241"/>
      <c r="V615" s="241"/>
      <c r="W615" s="241"/>
      <c r="X615" s="241"/>
      <c r="Y615" s="241"/>
      <c r="Z615" s="241"/>
    </row>
    <row r="616" spans="16:26">
      <c r="P616" s="248"/>
      <c r="Q616" s="248"/>
      <c r="R616" s="248"/>
      <c r="S616" s="248"/>
      <c r="T616" s="248"/>
      <c r="U616" s="248"/>
      <c r="V616" s="248"/>
      <c r="W616" s="248"/>
      <c r="X616" s="248"/>
      <c r="Y616" s="248"/>
      <c r="Z616" s="248"/>
    </row>
    <row r="617" spans="16:26">
      <c r="P617" s="248"/>
      <c r="Q617" s="248"/>
      <c r="R617" s="248"/>
      <c r="S617" s="248"/>
      <c r="T617" s="248"/>
      <c r="U617" s="248"/>
      <c r="V617" s="248"/>
      <c r="W617" s="248"/>
      <c r="X617" s="248"/>
      <c r="Y617" s="248"/>
      <c r="Z617" s="248"/>
    </row>
    <row r="618" spans="16:26">
      <c r="P618" s="241"/>
      <c r="Q618" s="241"/>
      <c r="R618" s="241"/>
      <c r="S618" s="241"/>
      <c r="T618" s="241"/>
      <c r="U618" s="241"/>
      <c r="V618" s="241"/>
      <c r="W618" s="241"/>
      <c r="X618" s="241"/>
      <c r="Y618" s="241"/>
      <c r="Z618" s="241"/>
    </row>
    <row r="619" spans="16:26">
      <c r="P619" s="248"/>
      <c r="Q619" s="248"/>
      <c r="R619" s="248"/>
      <c r="S619" s="248"/>
      <c r="T619" s="248"/>
      <c r="U619" s="248"/>
      <c r="V619" s="248"/>
      <c r="W619" s="248"/>
      <c r="X619" s="248"/>
      <c r="Y619" s="248"/>
      <c r="Z619" s="248"/>
    </row>
    <row r="620" spans="16:26">
      <c r="P620" s="248"/>
      <c r="Q620" s="248"/>
      <c r="R620" s="248"/>
      <c r="S620" s="248"/>
      <c r="T620" s="248"/>
      <c r="U620" s="248"/>
      <c r="V620" s="248"/>
      <c r="W620" s="248"/>
      <c r="X620" s="248"/>
      <c r="Y620" s="248"/>
      <c r="Z620" s="248"/>
    </row>
    <row r="621" spans="16:26">
      <c r="P621" s="241"/>
      <c r="Q621" s="241"/>
      <c r="R621" s="241"/>
      <c r="S621" s="241"/>
      <c r="T621" s="241"/>
      <c r="U621" s="241"/>
      <c r="V621" s="241"/>
      <c r="W621" s="241"/>
      <c r="X621" s="241"/>
      <c r="Y621" s="241"/>
      <c r="Z621" s="241"/>
    </row>
    <row r="622" spans="16:26">
      <c r="P622" s="248"/>
      <c r="Q622" s="248"/>
      <c r="R622" s="248"/>
      <c r="S622" s="248"/>
      <c r="T622" s="248"/>
      <c r="U622" s="248"/>
      <c r="V622" s="248"/>
      <c r="W622" s="248"/>
      <c r="X622" s="248"/>
      <c r="Y622" s="248"/>
      <c r="Z622" s="248"/>
    </row>
    <row r="623" spans="16:26">
      <c r="P623" s="248"/>
      <c r="Q623" s="248"/>
      <c r="R623" s="248"/>
      <c r="S623" s="248"/>
      <c r="T623" s="248"/>
      <c r="U623" s="248"/>
      <c r="V623" s="248"/>
      <c r="W623" s="248"/>
      <c r="X623" s="248"/>
      <c r="Y623" s="248"/>
      <c r="Z623" s="248"/>
    </row>
    <row r="624" spans="16:26">
      <c r="P624" s="241"/>
      <c r="Q624" s="241"/>
      <c r="R624" s="241"/>
      <c r="S624" s="241"/>
      <c r="T624" s="241"/>
      <c r="U624" s="241"/>
      <c r="V624" s="241"/>
      <c r="W624" s="241"/>
      <c r="X624" s="241"/>
      <c r="Y624" s="241"/>
      <c r="Z624" s="241"/>
    </row>
    <row r="625" spans="16:26">
      <c r="P625" s="248"/>
      <c r="Q625" s="248"/>
      <c r="R625" s="248"/>
      <c r="S625" s="248"/>
      <c r="T625" s="248"/>
      <c r="U625" s="248"/>
      <c r="V625" s="248"/>
      <c r="W625" s="248"/>
      <c r="X625" s="248"/>
      <c r="Y625" s="248"/>
      <c r="Z625" s="248"/>
    </row>
    <row r="626" spans="16:26">
      <c r="P626" s="248"/>
      <c r="Q626" s="248"/>
      <c r="R626" s="248"/>
      <c r="S626" s="248"/>
      <c r="T626" s="248"/>
      <c r="U626" s="248"/>
      <c r="V626" s="248"/>
      <c r="W626" s="248"/>
      <c r="X626" s="248"/>
      <c r="Y626" s="248"/>
      <c r="Z626" s="248"/>
    </row>
    <row r="627" spans="16:26">
      <c r="P627" s="241"/>
      <c r="Q627" s="241"/>
      <c r="R627" s="241"/>
      <c r="S627" s="241"/>
      <c r="T627" s="241"/>
      <c r="U627" s="241"/>
      <c r="V627" s="241"/>
      <c r="W627" s="241"/>
      <c r="X627" s="241"/>
      <c r="Y627" s="241"/>
      <c r="Z627" s="241"/>
    </row>
    <row r="628" spans="16:26">
      <c r="P628" s="248"/>
      <c r="Q628" s="248"/>
      <c r="R628" s="248"/>
      <c r="S628" s="248"/>
      <c r="T628" s="248"/>
      <c r="U628" s="248"/>
      <c r="V628" s="248"/>
      <c r="W628" s="248"/>
      <c r="X628" s="248"/>
      <c r="Y628" s="248"/>
      <c r="Z628" s="248"/>
    </row>
    <row r="629" spans="16:26">
      <c r="P629" s="248"/>
      <c r="Q629" s="248"/>
      <c r="R629" s="248"/>
      <c r="S629" s="248"/>
      <c r="T629" s="248"/>
      <c r="U629" s="248"/>
      <c r="V629" s="248"/>
      <c r="W629" s="248"/>
      <c r="X629" s="248"/>
      <c r="Y629" s="248"/>
      <c r="Z629" s="248"/>
    </row>
    <row r="630" spans="16:26">
      <c r="P630" s="241"/>
      <c r="Q630" s="241"/>
      <c r="R630" s="241"/>
      <c r="S630" s="241"/>
      <c r="T630" s="241"/>
      <c r="U630" s="241"/>
      <c r="V630" s="241"/>
      <c r="W630" s="241"/>
      <c r="X630" s="241"/>
      <c r="Y630" s="241"/>
      <c r="Z630" s="241"/>
    </row>
    <row r="631" spans="16:26">
      <c r="P631" s="248"/>
      <c r="Q631" s="248"/>
      <c r="R631" s="248"/>
      <c r="S631" s="248"/>
      <c r="T631" s="248"/>
      <c r="U631" s="248"/>
      <c r="V631" s="248"/>
      <c r="W631" s="248"/>
      <c r="X631" s="248"/>
      <c r="Y631" s="248"/>
      <c r="Z631" s="248"/>
    </row>
    <row r="632" spans="16:26">
      <c r="P632" s="248"/>
      <c r="Q632" s="248"/>
      <c r="R632" s="248"/>
      <c r="S632" s="248"/>
      <c r="T632" s="248"/>
      <c r="U632" s="248"/>
      <c r="V632" s="248"/>
      <c r="W632" s="248"/>
      <c r="X632" s="248"/>
      <c r="Y632" s="248"/>
      <c r="Z632" s="248"/>
    </row>
    <row r="633" spans="16:26">
      <c r="P633" s="241"/>
      <c r="Q633" s="241"/>
      <c r="R633" s="241"/>
      <c r="S633" s="241"/>
      <c r="T633" s="241"/>
      <c r="U633" s="241"/>
      <c r="V633" s="241"/>
      <c r="W633" s="241"/>
      <c r="X633" s="241"/>
      <c r="Y633" s="241"/>
      <c r="Z633" s="241"/>
    </row>
    <row r="634" spans="16:26">
      <c r="P634" s="248"/>
      <c r="Q634" s="248"/>
      <c r="R634" s="248"/>
      <c r="S634" s="248"/>
      <c r="T634" s="248"/>
      <c r="U634" s="248"/>
      <c r="V634" s="248"/>
      <c r="W634" s="248"/>
      <c r="X634" s="248"/>
      <c r="Y634" s="248"/>
      <c r="Z634" s="248"/>
    </row>
    <row r="635" spans="16:26">
      <c r="P635" s="248"/>
      <c r="Q635" s="248"/>
      <c r="R635" s="248"/>
      <c r="S635" s="248"/>
      <c r="T635" s="248"/>
      <c r="U635" s="248"/>
      <c r="V635" s="248"/>
      <c r="W635" s="248"/>
      <c r="X635" s="248"/>
      <c r="Y635" s="248"/>
      <c r="Z635" s="248"/>
    </row>
    <row r="636" spans="16:26">
      <c r="P636" s="241"/>
      <c r="Q636" s="241"/>
      <c r="R636" s="241"/>
      <c r="S636" s="241"/>
      <c r="T636" s="241"/>
      <c r="U636" s="241"/>
      <c r="V636" s="241"/>
      <c r="W636" s="241"/>
      <c r="X636" s="241"/>
      <c r="Y636" s="241"/>
      <c r="Z636" s="241"/>
    </row>
    <row r="637" spans="16:26">
      <c r="P637" s="248"/>
      <c r="Q637" s="248"/>
      <c r="R637" s="248"/>
      <c r="S637" s="248"/>
      <c r="T637" s="248"/>
      <c r="U637" s="248"/>
      <c r="V637" s="248"/>
      <c r="W637" s="248"/>
      <c r="X637" s="248"/>
      <c r="Y637" s="248"/>
      <c r="Z637" s="248"/>
    </row>
    <row r="638" spans="16:26">
      <c r="P638" s="248"/>
      <c r="Q638" s="248"/>
      <c r="R638" s="248"/>
      <c r="S638" s="248"/>
      <c r="T638" s="248"/>
      <c r="U638" s="248"/>
      <c r="V638" s="248"/>
      <c r="W638" s="248"/>
      <c r="X638" s="248"/>
      <c r="Y638" s="248"/>
      <c r="Z638" s="248"/>
    </row>
    <row r="639" spans="16:26">
      <c r="P639" s="241"/>
      <c r="Q639" s="241"/>
      <c r="R639" s="241"/>
      <c r="S639" s="241"/>
      <c r="T639" s="241"/>
      <c r="U639" s="241"/>
      <c r="V639" s="241"/>
      <c r="W639" s="241"/>
      <c r="X639" s="241"/>
      <c r="Y639" s="241"/>
      <c r="Z639" s="241"/>
    </row>
    <row r="640" spans="16:26">
      <c r="P640" s="248"/>
      <c r="Q640" s="248"/>
      <c r="R640" s="248"/>
      <c r="S640" s="248"/>
      <c r="T640" s="248"/>
      <c r="U640" s="248"/>
      <c r="V640" s="248"/>
      <c r="W640" s="248"/>
      <c r="X640" s="248"/>
      <c r="Y640" s="248"/>
      <c r="Z640" s="248"/>
    </row>
    <row r="641" spans="16:26">
      <c r="P641" s="248"/>
      <c r="Q641" s="248"/>
      <c r="R641" s="248"/>
      <c r="S641" s="248"/>
      <c r="T641" s="248"/>
      <c r="U641" s="248"/>
      <c r="V641" s="248"/>
      <c r="W641" s="248"/>
      <c r="X641" s="248"/>
      <c r="Y641" s="248"/>
      <c r="Z641" s="248"/>
    </row>
    <row r="642" spans="16:26">
      <c r="P642" s="241"/>
      <c r="Q642" s="241"/>
      <c r="R642" s="241"/>
      <c r="S642" s="241"/>
      <c r="T642" s="241"/>
      <c r="U642" s="241"/>
      <c r="V642" s="241"/>
      <c r="W642" s="241"/>
      <c r="X642" s="241"/>
      <c r="Y642" s="241"/>
      <c r="Z642" s="241"/>
    </row>
    <row r="643" spans="16:26">
      <c r="P643" s="241"/>
      <c r="Q643" s="241"/>
      <c r="R643" s="241"/>
      <c r="S643" s="241"/>
      <c r="T643" s="241"/>
      <c r="U643" s="241"/>
      <c r="V643" s="241"/>
      <c r="W643" s="241"/>
      <c r="X643" s="241"/>
      <c r="Y643" s="241"/>
      <c r="Z643" s="241"/>
    </row>
    <row r="644" spans="16:26">
      <c r="P644" s="241"/>
      <c r="Q644" s="241"/>
      <c r="R644" s="241"/>
      <c r="S644" s="241"/>
      <c r="T644" s="241"/>
      <c r="U644" s="241"/>
      <c r="V644" s="241"/>
      <c r="W644" s="241"/>
      <c r="X644" s="241"/>
      <c r="Y644" s="241"/>
      <c r="Z644" s="241"/>
    </row>
    <row r="645" spans="16:26">
      <c r="P645" s="241"/>
      <c r="Q645" s="241"/>
      <c r="R645" s="241"/>
      <c r="S645" s="241"/>
      <c r="T645" s="241"/>
      <c r="U645" s="241"/>
      <c r="V645" s="241"/>
      <c r="W645" s="241"/>
      <c r="X645" s="241"/>
      <c r="Y645" s="241"/>
      <c r="Z645" s="241"/>
    </row>
    <row r="646" spans="16:26">
      <c r="P646" s="241"/>
      <c r="Q646" s="241"/>
      <c r="R646" s="241"/>
      <c r="S646" s="241"/>
      <c r="T646" s="241"/>
      <c r="U646" s="241"/>
      <c r="V646" s="241"/>
      <c r="W646" s="241"/>
      <c r="X646" s="241"/>
      <c r="Y646" s="241"/>
      <c r="Z646" s="241"/>
    </row>
    <row r="647" spans="16:26">
      <c r="P647" s="241"/>
      <c r="Q647" s="241"/>
      <c r="R647" s="241"/>
      <c r="S647" s="241"/>
      <c r="T647" s="241"/>
      <c r="U647" s="241"/>
      <c r="V647" s="241"/>
      <c r="W647" s="241"/>
      <c r="X647" s="241"/>
      <c r="Y647" s="241"/>
      <c r="Z647" s="241"/>
    </row>
    <row r="648" spans="16:26">
      <c r="P648" s="241"/>
      <c r="Q648" s="241"/>
      <c r="R648" s="241"/>
      <c r="S648" s="241"/>
      <c r="T648" s="241"/>
      <c r="U648" s="241"/>
      <c r="V648" s="241"/>
      <c r="W648" s="241"/>
      <c r="X648" s="241"/>
      <c r="Y648" s="241"/>
      <c r="Z648" s="241"/>
    </row>
    <row r="649" spans="16:26">
      <c r="P649" s="241"/>
      <c r="Q649" s="241"/>
      <c r="R649" s="241"/>
      <c r="S649" s="241"/>
      <c r="T649" s="241"/>
      <c r="U649" s="241"/>
      <c r="V649" s="241"/>
      <c r="W649" s="241"/>
      <c r="X649" s="241"/>
      <c r="Y649" s="241"/>
      <c r="Z649" s="241"/>
    </row>
    <row r="650" spans="16:26">
      <c r="P650" s="241"/>
      <c r="Q650" s="241"/>
      <c r="R650" s="241"/>
      <c r="S650" s="241"/>
      <c r="T650" s="241"/>
      <c r="U650" s="241"/>
      <c r="V650" s="241"/>
      <c r="W650" s="241"/>
      <c r="X650" s="241"/>
      <c r="Y650" s="241"/>
      <c r="Z650" s="241"/>
    </row>
    <row r="651" spans="16:26">
      <c r="P651" s="241"/>
      <c r="Q651" s="241"/>
      <c r="R651" s="241"/>
      <c r="S651" s="241"/>
      <c r="T651" s="241"/>
      <c r="U651" s="241"/>
      <c r="V651" s="241"/>
      <c r="W651" s="241"/>
      <c r="X651" s="241"/>
      <c r="Y651" s="241"/>
      <c r="Z651" s="241"/>
    </row>
    <row r="652" spans="16:26">
      <c r="P652" s="241"/>
      <c r="Q652" s="241"/>
      <c r="R652" s="241"/>
      <c r="S652" s="241"/>
      <c r="T652" s="241"/>
      <c r="U652" s="241"/>
      <c r="V652" s="241"/>
      <c r="W652" s="241"/>
      <c r="X652" s="241"/>
      <c r="Y652" s="241"/>
      <c r="Z652" s="241"/>
    </row>
    <row r="653" spans="16:26">
      <c r="P653" s="241"/>
      <c r="Q653" s="241"/>
      <c r="R653" s="241"/>
      <c r="S653" s="241"/>
      <c r="T653" s="241"/>
      <c r="U653" s="241"/>
      <c r="V653" s="241"/>
      <c r="W653" s="241"/>
      <c r="X653" s="241"/>
      <c r="Y653" s="241"/>
      <c r="Z653" s="241"/>
    </row>
    <row r="654" spans="16:26">
      <c r="P654" s="241"/>
      <c r="Q654" s="241"/>
      <c r="R654" s="241"/>
      <c r="S654" s="241"/>
      <c r="T654" s="241"/>
      <c r="U654" s="241"/>
      <c r="V654" s="241"/>
      <c r="W654" s="241"/>
      <c r="X654" s="241"/>
      <c r="Y654" s="241"/>
      <c r="Z654" s="241"/>
    </row>
    <row r="655" spans="16:26">
      <c r="P655" s="241"/>
      <c r="Q655" s="241"/>
      <c r="R655" s="241"/>
      <c r="S655" s="241"/>
      <c r="T655" s="241"/>
      <c r="U655" s="241"/>
      <c r="V655" s="241"/>
      <c r="W655" s="241"/>
      <c r="X655" s="241"/>
      <c r="Y655" s="241"/>
      <c r="Z655" s="241"/>
    </row>
    <row r="656" spans="16:26">
      <c r="P656" s="241"/>
      <c r="Q656" s="241"/>
      <c r="R656" s="241"/>
      <c r="S656" s="241"/>
      <c r="T656" s="241"/>
      <c r="U656" s="241"/>
      <c r="V656" s="241"/>
      <c r="W656" s="241"/>
      <c r="X656" s="241"/>
      <c r="Y656" s="241"/>
      <c r="Z656" s="241"/>
    </row>
    <row r="657" spans="16:26">
      <c r="P657" s="241"/>
      <c r="Q657" s="241"/>
      <c r="R657" s="241"/>
      <c r="S657" s="241"/>
      <c r="T657" s="241"/>
      <c r="U657" s="241"/>
      <c r="V657" s="241"/>
      <c r="W657" s="241"/>
      <c r="X657" s="241"/>
      <c r="Y657" s="241"/>
      <c r="Z657" s="241"/>
    </row>
    <row r="658" spans="16:26">
      <c r="P658" s="241"/>
      <c r="Q658" s="241"/>
      <c r="R658" s="241"/>
      <c r="S658" s="241"/>
      <c r="T658" s="241"/>
      <c r="U658" s="241"/>
      <c r="V658" s="241"/>
      <c r="W658" s="241"/>
      <c r="X658" s="241"/>
      <c r="Y658" s="241"/>
      <c r="Z658" s="241"/>
    </row>
    <row r="659" spans="16:26">
      <c r="P659" s="241"/>
      <c r="Q659" s="241"/>
      <c r="R659" s="241"/>
      <c r="S659" s="241"/>
      <c r="T659" s="241"/>
      <c r="U659" s="241"/>
      <c r="V659" s="241"/>
      <c r="W659" s="241"/>
      <c r="X659" s="241"/>
      <c r="Y659" s="241"/>
      <c r="Z659" s="241"/>
    </row>
    <row r="660" spans="16:26">
      <c r="P660" s="241"/>
      <c r="Q660" s="241"/>
      <c r="R660" s="241"/>
      <c r="S660" s="241"/>
      <c r="T660" s="241"/>
      <c r="U660" s="241"/>
      <c r="V660" s="241"/>
      <c r="W660" s="241"/>
      <c r="X660" s="241"/>
      <c r="Y660" s="241"/>
      <c r="Z660" s="241"/>
    </row>
    <row r="661" spans="16:26">
      <c r="P661" s="241"/>
      <c r="Q661" s="241"/>
      <c r="R661" s="241"/>
      <c r="S661" s="241"/>
      <c r="T661" s="241"/>
      <c r="U661" s="241"/>
      <c r="V661" s="241"/>
      <c r="W661" s="241"/>
      <c r="X661" s="241"/>
      <c r="Y661" s="241"/>
      <c r="Z661" s="241"/>
    </row>
    <row r="662" spans="16:26">
      <c r="P662" s="241"/>
      <c r="Q662" s="241"/>
      <c r="R662" s="241"/>
      <c r="S662" s="241"/>
      <c r="T662" s="241"/>
      <c r="U662" s="241"/>
      <c r="V662" s="241"/>
      <c r="W662" s="241"/>
      <c r="X662" s="241"/>
      <c r="Y662" s="241"/>
      <c r="Z662" s="241"/>
    </row>
    <row r="663" spans="16:26">
      <c r="P663" s="241"/>
      <c r="Q663" s="241"/>
      <c r="R663" s="241"/>
      <c r="S663" s="241"/>
      <c r="T663" s="241"/>
      <c r="U663" s="241"/>
      <c r="V663" s="241"/>
      <c r="W663" s="241"/>
      <c r="X663" s="241"/>
      <c r="Y663" s="241"/>
      <c r="Z663" s="241"/>
    </row>
    <row r="664" spans="16:26">
      <c r="P664" s="241"/>
      <c r="Q664" s="241"/>
      <c r="R664" s="241"/>
      <c r="S664" s="241"/>
      <c r="T664" s="241"/>
      <c r="U664" s="241"/>
      <c r="V664" s="241"/>
      <c r="W664" s="241"/>
      <c r="X664" s="241"/>
      <c r="Y664" s="241"/>
      <c r="Z664" s="241"/>
    </row>
    <row r="665" spans="16:26">
      <c r="P665" s="241"/>
      <c r="Q665" s="241"/>
      <c r="R665" s="241"/>
      <c r="S665" s="241"/>
      <c r="T665" s="241"/>
      <c r="U665" s="241"/>
      <c r="V665" s="241"/>
      <c r="W665" s="241"/>
      <c r="X665" s="241"/>
      <c r="Y665" s="241"/>
      <c r="Z665" s="241"/>
    </row>
    <row r="666" spans="16:26">
      <c r="P666" s="241"/>
      <c r="Q666" s="241"/>
      <c r="R666" s="241"/>
      <c r="S666" s="241"/>
      <c r="T666" s="241"/>
      <c r="U666" s="241"/>
      <c r="V666" s="241"/>
      <c r="W666" s="241"/>
      <c r="X666" s="241"/>
      <c r="Y666" s="241"/>
      <c r="Z666" s="241"/>
    </row>
    <row r="667" spans="16:26">
      <c r="P667" s="241"/>
      <c r="Q667" s="241"/>
      <c r="R667" s="241"/>
      <c r="S667" s="241"/>
      <c r="T667" s="241"/>
      <c r="U667" s="241"/>
      <c r="V667" s="241"/>
      <c r="W667" s="241"/>
      <c r="X667" s="241"/>
      <c r="Y667" s="241"/>
      <c r="Z667" s="241"/>
    </row>
    <row r="668" spans="16:26">
      <c r="P668" s="241"/>
      <c r="Q668" s="241"/>
      <c r="R668" s="241"/>
      <c r="S668" s="241"/>
      <c r="T668" s="241"/>
      <c r="U668" s="241"/>
      <c r="V668" s="241"/>
      <c r="W668" s="241"/>
      <c r="X668" s="241"/>
      <c r="Y668" s="241"/>
      <c r="Z668" s="241"/>
    </row>
    <row r="669" spans="16:26">
      <c r="P669" s="241"/>
      <c r="Q669" s="241"/>
      <c r="R669" s="241"/>
      <c r="S669" s="241"/>
      <c r="T669" s="241"/>
      <c r="U669" s="241"/>
      <c r="V669" s="241"/>
      <c r="W669" s="241"/>
      <c r="X669" s="241"/>
      <c r="Y669" s="241"/>
      <c r="Z669" s="241"/>
    </row>
    <row r="670" spans="16:26">
      <c r="P670" s="241"/>
      <c r="Q670" s="241"/>
      <c r="R670" s="241"/>
      <c r="S670" s="241"/>
      <c r="T670" s="241"/>
      <c r="U670" s="241"/>
      <c r="V670" s="241"/>
      <c r="W670" s="241"/>
      <c r="X670" s="241"/>
      <c r="Y670" s="241"/>
      <c r="Z670" s="241"/>
    </row>
    <row r="671" spans="16:26">
      <c r="P671" s="241"/>
      <c r="Q671" s="241"/>
      <c r="R671" s="241"/>
      <c r="S671" s="241"/>
      <c r="T671" s="241"/>
      <c r="U671" s="241"/>
      <c r="V671" s="241"/>
      <c r="W671" s="241"/>
      <c r="X671" s="241"/>
      <c r="Y671" s="241"/>
      <c r="Z671" s="241"/>
    </row>
    <row r="672" spans="16:26">
      <c r="P672" s="241"/>
      <c r="Q672" s="241"/>
      <c r="R672" s="241"/>
      <c r="S672" s="241"/>
      <c r="T672" s="241"/>
      <c r="U672" s="241"/>
      <c r="V672" s="241"/>
      <c r="W672" s="241"/>
      <c r="X672" s="241"/>
      <c r="Y672" s="241"/>
      <c r="Z672" s="241"/>
    </row>
    <row r="673" spans="16:26">
      <c r="P673" s="241"/>
      <c r="Q673" s="241"/>
      <c r="R673" s="241"/>
      <c r="S673" s="241"/>
      <c r="T673" s="241"/>
      <c r="U673" s="241"/>
      <c r="V673" s="241"/>
      <c r="W673" s="241"/>
      <c r="X673" s="241"/>
      <c r="Y673" s="241"/>
      <c r="Z673" s="241"/>
    </row>
    <row r="674" spans="16:26">
      <c r="P674" s="241"/>
      <c r="Q674" s="241"/>
      <c r="R674" s="241"/>
      <c r="S674" s="241"/>
      <c r="T674" s="241"/>
      <c r="U674" s="241"/>
      <c r="V674" s="241"/>
      <c r="W674" s="241"/>
      <c r="X674" s="241"/>
      <c r="Y674" s="241"/>
      <c r="Z674" s="241"/>
    </row>
    <row r="675" spans="16:26">
      <c r="P675" s="241"/>
      <c r="Q675" s="241"/>
      <c r="R675" s="241"/>
      <c r="S675" s="241"/>
      <c r="T675" s="241"/>
      <c r="U675" s="241"/>
      <c r="V675" s="241"/>
      <c r="W675" s="241"/>
      <c r="X675" s="241"/>
      <c r="Y675" s="241"/>
      <c r="Z675" s="241"/>
    </row>
    <row r="676" spans="16:26">
      <c r="P676" s="241"/>
      <c r="Q676" s="241"/>
      <c r="R676" s="241"/>
      <c r="S676" s="241"/>
      <c r="T676" s="241"/>
      <c r="U676" s="241"/>
      <c r="V676" s="241"/>
      <c r="W676" s="241"/>
      <c r="X676" s="241"/>
      <c r="Y676" s="241"/>
      <c r="Z676" s="241"/>
    </row>
    <row r="677" spans="16:26">
      <c r="P677" s="241"/>
      <c r="Q677" s="241"/>
      <c r="R677" s="241"/>
      <c r="S677" s="241"/>
      <c r="T677" s="241"/>
      <c r="U677" s="241"/>
      <c r="V677" s="241"/>
      <c r="W677" s="241"/>
      <c r="X677" s="241"/>
      <c r="Y677" s="241"/>
      <c r="Z677" s="241"/>
    </row>
    <row r="678" spans="16:26">
      <c r="P678" s="241"/>
      <c r="Q678" s="241"/>
      <c r="R678" s="241"/>
      <c r="S678" s="241"/>
      <c r="T678" s="241"/>
      <c r="U678" s="241"/>
      <c r="V678" s="241"/>
      <c r="W678" s="241"/>
      <c r="X678" s="241"/>
      <c r="Y678" s="241"/>
      <c r="Z678" s="241"/>
    </row>
    <row r="679" spans="16:26">
      <c r="P679" s="241"/>
      <c r="Q679" s="241"/>
      <c r="R679" s="241"/>
      <c r="S679" s="241"/>
      <c r="T679" s="241"/>
      <c r="U679" s="241"/>
      <c r="V679" s="241"/>
      <c r="W679" s="241"/>
      <c r="X679" s="241"/>
      <c r="Y679" s="241"/>
      <c r="Z679" s="241"/>
    </row>
    <row r="680" spans="16:26">
      <c r="P680" s="241"/>
      <c r="Q680" s="241"/>
      <c r="R680" s="241"/>
      <c r="S680" s="241"/>
      <c r="T680" s="241"/>
      <c r="U680" s="241"/>
      <c r="V680" s="241"/>
      <c r="W680" s="241"/>
      <c r="X680" s="241"/>
      <c r="Y680" s="241"/>
      <c r="Z680" s="241"/>
    </row>
    <row r="681" spans="16:26">
      <c r="P681" s="241"/>
      <c r="Q681" s="241"/>
      <c r="R681" s="241"/>
      <c r="S681" s="241"/>
      <c r="T681" s="241"/>
      <c r="U681" s="241"/>
      <c r="V681" s="241"/>
      <c r="W681" s="241"/>
      <c r="X681" s="241"/>
      <c r="Y681" s="241"/>
      <c r="Z681" s="241"/>
    </row>
    <row r="682" spans="16:26">
      <c r="P682" s="241"/>
      <c r="Q682" s="241"/>
      <c r="R682" s="241"/>
      <c r="S682" s="241"/>
      <c r="T682" s="241"/>
      <c r="U682" s="241"/>
      <c r="V682" s="241"/>
      <c r="W682" s="241"/>
      <c r="X682" s="241"/>
      <c r="Y682" s="241"/>
      <c r="Z682" s="241"/>
    </row>
    <row r="683" spans="16:26">
      <c r="P683" s="241"/>
      <c r="Q683" s="241"/>
      <c r="R683" s="241"/>
      <c r="S683" s="241"/>
      <c r="T683" s="241"/>
      <c r="U683" s="241"/>
      <c r="V683" s="241"/>
      <c r="W683" s="241"/>
      <c r="X683" s="241"/>
      <c r="Y683" s="241"/>
      <c r="Z683" s="241"/>
    </row>
    <row r="684" spans="16:26">
      <c r="P684" s="241"/>
      <c r="Q684" s="241"/>
      <c r="R684" s="241"/>
      <c r="S684" s="241"/>
      <c r="T684" s="241"/>
      <c r="U684" s="241"/>
      <c r="V684" s="241"/>
      <c r="W684" s="241"/>
      <c r="X684" s="241"/>
      <c r="Y684" s="241"/>
      <c r="Z684" s="241"/>
    </row>
    <row r="685" spans="16:26">
      <c r="P685" s="241"/>
      <c r="Q685" s="241"/>
      <c r="R685" s="241"/>
      <c r="S685" s="241"/>
      <c r="T685" s="241"/>
      <c r="U685" s="241"/>
      <c r="V685" s="241"/>
      <c r="W685" s="241"/>
      <c r="X685" s="241"/>
      <c r="Y685" s="241"/>
      <c r="Z685" s="241"/>
    </row>
    <row r="686" spans="16:26">
      <c r="P686" s="241"/>
      <c r="Q686" s="241"/>
      <c r="R686" s="241"/>
      <c r="S686" s="241"/>
      <c r="T686" s="241"/>
      <c r="U686" s="241"/>
      <c r="V686" s="241"/>
      <c r="W686" s="241"/>
      <c r="X686" s="241"/>
      <c r="Y686" s="241"/>
      <c r="Z686" s="241"/>
    </row>
    <row r="687" spans="16:26">
      <c r="P687" s="241"/>
      <c r="Q687" s="241"/>
      <c r="R687" s="241"/>
      <c r="S687" s="241"/>
      <c r="T687" s="241"/>
      <c r="U687" s="241"/>
      <c r="V687" s="241"/>
      <c r="W687" s="241"/>
      <c r="X687" s="241"/>
      <c r="Y687" s="241"/>
      <c r="Z687" s="241"/>
    </row>
    <row r="688" spans="16:26">
      <c r="P688" s="241"/>
      <c r="Q688" s="241"/>
      <c r="R688" s="241"/>
      <c r="S688" s="241"/>
      <c r="T688" s="241"/>
      <c r="U688" s="241"/>
      <c r="V688" s="241"/>
      <c r="W688" s="241"/>
      <c r="X688" s="241"/>
      <c r="Y688" s="241"/>
      <c r="Z688" s="241"/>
    </row>
    <row r="689" spans="16:26">
      <c r="P689" s="241"/>
      <c r="Q689" s="241"/>
      <c r="R689" s="241"/>
      <c r="S689" s="241"/>
      <c r="T689" s="241"/>
      <c r="U689" s="241"/>
      <c r="V689" s="241"/>
      <c r="W689" s="241"/>
      <c r="X689" s="241"/>
      <c r="Y689" s="241"/>
      <c r="Z689" s="241"/>
    </row>
    <row r="690" spans="16:26">
      <c r="P690" s="241"/>
      <c r="Q690" s="241"/>
      <c r="R690" s="241"/>
      <c r="S690" s="241"/>
      <c r="T690" s="241"/>
      <c r="U690" s="241"/>
      <c r="V690" s="241"/>
      <c r="W690" s="241"/>
      <c r="X690" s="241"/>
      <c r="Y690" s="241"/>
      <c r="Z690" s="241"/>
    </row>
    <row r="691" spans="16:26">
      <c r="P691" s="241"/>
      <c r="Q691" s="241"/>
      <c r="R691" s="241"/>
      <c r="S691" s="241"/>
      <c r="T691" s="241"/>
      <c r="U691" s="241"/>
      <c r="V691" s="241"/>
      <c r="W691" s="241"/>
      <c r="X691" s="241"/>
      <c r="Y691" s="241"/>
      <c r="Z691" s="241"/>
    </row>
    <row r="692" spans="16:26">
      <c r="P692" s="241"/>
      <c r="Q692" s="241"/>
      <c r="R692" s="241"/>
      <c r="S692" s="241"/>
      <c r="T692" s="241"/>
      <c r="U692" s="241"/>
      <c r="V692" s="241"/>
      <c r="W692" s="241"/>
      <c r="X692" s="241"/>
      <c r="Y692" s="241"/>
      <c r="Z692" s="241"/>
    </row>
    <row r="693" spans="16:26">
      <c r="P693" s="241"/>
      <c r="Q693" s="241"/>
      <c r="R693" s="241"/>
      <c r="S693" s="241"/>
      <c r="T693" s="241"/>
      <c r="U693" s="241"/>
      <c r="V693" s="241"/>
      <c r="W693" s="241"/>
      <c r="X693" s="241"/>
      <c r="Y693" s="241"/>
      <c r="Z693" s="241"/>
    </row>
    <row r="694" spans="16:26">
      <c r="P694" s="241"/>
      <c r="Q694" s="241"/>
      <c r="R694" s="241"/>
      <c r="S694" s="241"/>
      <c r="T694" s="241"/>
      <c r="U694" s="241"/>
      <c r="V694" s="241"/>
      <c r="W694" s="241"/>
      <c r="X694" s="241"/>
      <c r="Y694" s="241"/>
      <c r="Z694" s="241"/>
    </row>
    <row r="695" spans="16:26">
      <c r="P695" s="241"/>
      <c r="Q695" s="241"/>
      <c r="R695" s="241"/>
      <c r="S695" s="241"/>
      <c r="T695" s="241"/>
      <c r="U695" s="241"/>
      <c r="V695" s="241"/>
      <c r="W695" s="241"/>
      <c r="X695" s="241"/>
      <c r="Y695" s="241"/>
      <c r="Z695" s="241"/>
    </row>
    <row r="696" spans="16:26">
      <c r="P696" s="241"/>
      <c r="Q696" s="241"/>
      <c r="R696" s="241"/>
      <c r="S696" s="241"/>
      <c r="T696" s="241"/>
      <c r="U696" s="241"/>
      <c r="V696" s="241"/>
      <c r="W696" s="241"/>
      <c r="X696" s="241"/>
      <c r="Y696" s="241"/>
      <c r="Z696" s="241"/>
    </row>
    <row r="697" spans="16:26">
      <c r="P697" s="241"/>
      <c r="Q697" s="241"/>
      <c r="R697" s="241"/>
      <c r="S697" s="241"/>
      <c r="T697" s="241"/>
      <c r="U697" s="241"/>
      <c r="V697" s="241"/>
      <c r="W697" s="241"/>
      <c r="X697" s="241"/>
      <c r="Y697" s="241"/>
      <c r="Z697" s="241"/>
    </row>
    <row r="698" spans="16:26">
      <c r="P698" s="241"/>
      <c r="Q698" s="241"/>
      <c r="R698" s="241"/>
      <c r="S698" s="241"/>
      <c r="T698" s="241"/>
      <c r="U698" s="241"/>
      <c r="V698" s="241"/>
      <c r="W698" s="241"/>
      <c r="X698" s="241"/>
      <c r="Y698" s="241"/>
      <c r="Z698" s="241"/>
    </row>
    <row r="699" spans="16:26">
      <c r="P699" s="241"/>
      <c r="Q699" s="241"/>
      <c r="R699" s="241"/>
      <c r="S699" s="241"/>
      <c r="T699" s="241"/>
      <c r="U699" s="241"/>
      <c r="V699" s="241"/>
      <c r="W699" s="241"/>
      <c r="X699" s="241"/>
      <c r="Y699" s="241"/>
      <c r="Z699" s="241"/>
    </row>
    <row r="700" spans="16:26">
      <c r="P700" s="241"/>
      <c r="Q700" s="241"/>
      <c r="R700" s="241"/>
      <c r="S700" s="241"/>
      <c r="T700" s="241"/>
      <c r="U700" s="241"/>
      <c r="V700" s="241"/>
      <c r="W700" s="241"/>
      <c r="X700" s="241"/>
      <c r="Y700" s="241"/>
      <c r="Z700" s="241"/>
    </row>
    <row r="701" spans="16:26">
      <c r="P701" s="241"/>
      <c r="Q701" s="241"/>
      <c r="R701" s="241"/>
      <c r="S701" s="241"/>
      <c r="T701" s="241"/>
      <c r="U701" s="241"/>
      <c r="V701" s="241"/>
      <c r="W701" s="241"/>
      <c r="X701" s="241"/>
      <c r="Y701" s="241"/>
      <c r="Z701" s="241"/>
    </row>
    <row r="702" spans="16:26">
      <c r="P702" s="241"/>
      <c r="Q702" s="241"/>
      <c r="R702" s="241"/>
      <c r="S702" s="241"/>
      <c r="T702" s="241"/>
      <c r="U702" s="241"/>
      <c r="V702" s="241"/>
      <c r="W702" s="241"/>
      <c r="X702" s="241"/>
      <c r="Y702" s="241"/>
      <c r="Z702" s="241"/>
    </row>
    <row r="703" spans="16:26">
      <c r="P703" s="241"/>
      <c r="Q703" s="241"/>
      <c r="R703" s="241"/>
      <c r="S703" s="241"/>
      <c r="T703" s="241"/>
      <c r="U703" s="241"/>
      <c r="V703" s="241"/>
      <c r="W703" s="241"/>
      <c r="X703" s="241"/>
      <c r="Y703" s="241"/>
      <c r="Z703" s="241"/>
    </row>
    <row r="704" spans="16:26">
      <c r="P704" s="241"/>
      <c r="Q704" s="241"/>
      <c r="R704" s="241"/>
      <c r="S704" s="241"/>
      <c r="T704" s="241"/>
      <c r="U704" s="241"/>
      <c r="V704" s="241"/>
      <c r="W704" s="241"/>
      <c r="X704" s="241"/>
      <c r="Y704" s="241"/>
      <c r="Z704" s="241"/>
    </row>
    <row r="705" spans="16:26">
      <c r="P705" s="241"/>
      <c r="Q705" s="241"/>
      <c r="R705" s="241"/>
      <c r="S705" s="241"/>
      <c r="T705" s="241"/>
      <c r="U705" s="241"/>
      <c r="V705" s="241"/>
      <c r="W705" s="241"/>
      <c r="X705" s="241"/>
      <c r="Y705" s="241"/>
      <c r="Z705" s="241"/>
    </row>
    <row r="706" spans="16:26">
      <c r="P706" s="241"/>
      <c r="Q706" s="241"/>
      <c r="R706" s="241"/>
      <c r="S706" s="241"/>
      <c r="T706" s="241"/>
      <c r="U706" s="241"/>
      <c r="V706" s="241"/>
      <c r="W706" s="241"/>
      <c r="X706" s="241"/>
      <c r="Y706" s="241"/>
      <c r="Z706" s="241"/>
    </row>
    <row r="707" spans="16:26">
      <c r="P707" s="241"/>
      <c r="Q707" s="241"/>
      <c r="R707" s="241"/>
      <c r="S707" s="241"/>
      <c r="T707" s="241"/>
      <c r="U707" s="241"/>
      <c r="V707" s="241"/>
      <c r="W707" s="241"/>
      <c r="X707" s="241"/>
      <c r="Y707" s="241"/>
      <c r="Z707" s="241"/>
    </row>
    <row r="708" spans="16:26">
      <c r="P708" s="241"/>
      <c r="Q708" s="241"/>
      <c r="R708" s="241"/>
      <c r="S708" s="241"/>
      <c r="T708" s="241"/>
      <c r="U708" s="241"/>
      <c r="V708" s="241"/>
      <c r="W708" s="241"/>
      <c r="X708" s="241"/>
      <c r="Y708" s="241"/>
      <c r="Z708" s="241"/>
    </row>
    <row r="709" spans="16:26">
      <c r="P709" s="241"/>
      <c r="Q709" s="241"/>
      <c r="R709" s="241"/>
      <c r="S709" s="241"/>
      <c r="T709" s="241"/>
      <c r="U709" s="241"/>
      <c r="V709" s="241"/>
      <c r="W709" s="241"/>
      <c r="X709" s="241"/>
      <c r="Y709" s="241"/>
      <c r="Z709" s="241"/>
    </row>
    <row r="710" spans="16:26">
      <c r="P710" s="241"/>
      <c r="Q710" s="241"/>
      <c r="R710" s="241"/>
      <c r="S710" s="241"/>
      <c r="T710" s="241"/>
      <c r="U710" s="241"/>
      <c r="V710" s="241"/>
      <c r="W710" s="241"/>
      <c r="X710" s="241"/>
      <c r="Y710" s="241"/>
      <c r="Z710" s="241"/>
    </row>
    <row r="711" spans="16:26">
      <c r="P711" s="241"/>
      <c r="Q711" s="241"/>
      <c r="R711" s="241"/>
      <c r="S711" s="241"/>
      <c r="T711" s="241"/>
      <c r="U711" s="241"/>
      <c r="V711" s="241"/>
      <c r="W711" s="241"/>
      <c r="X711" s="241"/>
      <c r="Y711" s="241"/>
      <c r="Z711" s="241"/>
    </row>
    <row r="712" spans="16:26">
      <c r="P712" s="241"/>
      <c r="Q712" s="241"/>
      <c r="R712" s="241"/>
      <c r="S712" s="241"/>
      <c r="T712" s="241"/>
      <c r="U712" s="241"/>
      <c r="V712" s="241"/>
      <c r="W712" s="241"/>
      <c r="X712" s="241"/>
      <c r="Y712" s="241"/>
      <c r="Z712" s="241"/>
    </row>
    <row r="713" spans="16:26">
      <c r="P713" s="241"/>
      <c r="Q713" s="241"/>
      <c r="R713" s="241"/>
      <c r="S713" s="241"/>
      <c r="T713" s="241"/>
      <c r="U713" s="241"/>
      <c r="V713" s="241"/>
      <c r="W713" s="241"/>
      <c r="X713" s="241"/>
      <c r="Y713" s="241"/>
      <c r="Z713" s="241"/>
    </row>
    <row r="714" spans="16:26">
      <c r="P714" s="241"/>
      <c r="Q714" s="241"/>
      <c r="R714" s="241"/>
      <c r="S714" s="241"/>
      <c r="T714" s="241"/>
      <c r="U714" s="241"/>
      <c r="V714" s="241"/>
      <c r="W714" s="241"/>
      <c r="X714" s="241"/>
      <c r="Y714" s="241"/>
      <c r="Z714" s="241"/>
    </row>
    <row r="715" spans="16:26">
      <c r="P715" s="241"/>
      <c r="Q715" s="241"/>
      <c r="R715" s="241"/>
      <c r="S715" s="241"/>
      <c r="T715" s="241"/>
      <c r="U715" s="241"/>
      <c r="V715" s="241"/>
      <c r="W715" s="241"/>
      <c r="X715" s="241"/>
      <c r="Y715" s="241"/>
      <c r="Z715" s="241"/>
    </row>
    <row r="716" spans="16:26">
      <c r="P716" s="241"/>
      <c r="Q716" s="241"/>
      <c r="R716" s="241"/>
      <c r="S716" s="241"/>
      <c r="T716" s="241"/>
      <c r="U716" s="241"/>
      <c r="V716" s="241"/>
      <c r="W716" s="241"/>
      <c r="X716" s="241"/>
      <c r="Y716" s="241"/>
      <c r="Z716" s="241"/>
    </row>
    <row r="717" spans="16:26">
      <c r="P717" s="241"/>
      <c r="Q717" s="241"/>
      <c r="R717" s="241"/>
      <c r="S717" s="241"/>
      <c r="T717" s="241"/>
      <c r="U717" s="241"/>
      <c r="V717" s="241"/>
      <c r="W717" s="241"/>
      <c r="X717" s="241"/>
      <c r="Y717" s="241"/>
      <c r="Z717" s="241"/>
    </row>
    <row r="718" spans="16:26">
      <c r="P718" s="241"/>
      <c r="Q718" s="241"/>
      <c r="R718" s="241"/>
      <c r="S718" s="241"/>
      <c r="T718" s="241"/>
      <c r="U718" s="241"/>
      <c r="V718" s="241"/>
      <c r="W718" s="241"/>
      <c r="X718" s="241"/>
      <c r="Y718" s="241"/>
      <c r="Z718" s="241"/>
    </row>
    <row r="719" spans="16:26">
      <c r="P719" s="241"/>
      <c r="Q719" s="241"/>
      <c r="R719" s="241"/>
      <c r="S719" s="241"/>
      <c r="T719" s="241"/>
      <c r="U719" s="241"/>
      <c r="V719" s="241"/>
      <c r="W719" s="241"/>
      <c r="X719" s="241"/>
      <c r="Y719" s="241"/>
      <c r="Z719" s="241"/>
    </row>
    <row r="720" spans="16:26">
      <c r="P720" s="241"/>
      <c r="Q720" s="241"/>
      <c r="R720" s="241"/>
      <c r="S720" s="241"/>
      <c r="T720" s="241"/>
      <c r="U720" s="241"/>
      <c r="V720" s="241"/>
      <c r="W720" s="241"/>
      <c r="X720" s="241"/>
      <c r="Y720" s="241"/>
      <c r="Z720" s="241"/>
    </row>
    <row r="721" spans="16:26">
      <c r="P721" s="241"/>
      <c r="Q721" s="241"/>
      <c r="R721" s="241"/>
      <c r="S721" s="241"/>
      <c r="T721" s="241"/>
      <c r="U721" s="241"/>
      <c r="V721" s="241"/>
      <c r="W721" s="241"/>
      <c r="X721" s="241"/>
      <c r="Y721" s="241"/>
      <c r="Z721" s="241"/>
    </row>
    <row r="722" spans="16:26">
      <c r="P722" s="241"/>
      <c r="Q722" s="241"/>
      <c r="R722" s="241"/>
      <c r="S722" s="241"/>
      <c r="T722" s="241"/>
      <c r="U722" s="241"/>
      <c r="V722" s="241"/>
      <c r="W722" s="241"/>
      <c r="X722" s="241"/>
      <c r="Y722" s="241"/>
      <c r="Z722" s="241"/>
    </row>
    <row r="723" spans="16:26">
      <c r="P723" s="241"/>
      <c r="Q723" s="241"/>
      <c r="R723" s="241"/>
      <c r="S723" s="241"/>
      <c r="T723" s="241"/>
      <c r="U723" s="241"/>
      <c r="V723" s="241"/>
      <c r="W723" s="241"/>
      <c r="X723" s="241"/>
      <c r="Y723" s="241"/>
      <c r="Z723" s="241"/>
    </row>
    <row r="724" spans="16:26">
      <c r="P724" s="241"/>
      <c r="Q724" s="241"/>
      <c r="R724" s="241"/>
      <c r="S724" s="241"/>
      <c r="T724" s="241"/>
      <c r="U724" s="241"/>
      <c r="V724" s="241"/>
      <c r="W724" s="241"/>
      <c r="X724" s="241"/>
      <c r="Y724" s="241"/>
      <c r="Z724" s="241"/>
    </row>
    <row r="725" spans="16:26">
      <c r="P725" s="241"/>
      <c r="Q725" s="241"/>
      <c r="R725" s="241"/>
      <c r="S725" s="241"/>
      <c r="T725" s="241"/>
      <c r="U725" s="241"/>
      <c r="V725" s="241"/>
      <c r="W725" s="241"/>
      <c r="X725" s="241"/>
      <c r="Y725" s="241"/>
      <c r="Z725" s="241"/>
    </row>
    <row r="726" spans="16:26">
      <c r="P726" s="241"/>
      <c r="Q726" s="241"/>
      <c r="R726" s="241"/>
      <c r="S726" s="241"/>
      <c r="T726" s="241"/>
      <c r="U726" s="241"/>
      <c r="V726" s="241"/>
      <c r="W726" s="241"/>
      <c r="X726" s="241"/>
      <c r="Y726" s="241"/>
      <c r="Z726" s="241"/>
    </row>
    <row r="727" spans="16:26">
      <c r="P727" s="241"/>
      <c r="Q727" s="241"/>
      <c r="R727" s="241"/>
      <c r="S727" s="241"/>
      <c r="T727" s="241"/>
      <c r="U727" s="241"/>
      <c r="V727" s="241"/>
      <c r="W727" s="241"/>
      <c r="X727" s="241"/>
      <c r="Y727" s="241"/>
      <c r="Z727" s="241"/>
    </row>
    <row r="728" spans="16:26">
      <c r="P728" s="241"/>
      <c r="Q728" s="241"/>
      <c r="R728" s="241"/>
      <c r="S728" s="241"/>
      <c r="T728" s="241"/>
      <c r="U728" s="241"/>
      <c r="V728" s="241"/>
      <c r="W728" s="241"/>
      <c r="X728" s="241"/>
      <c r="Y728" s="241"/>
      <c r="Z728" s="241"/>
    </row>
    <row r="729" spans="16:26">
      <c r="P729" s="241"/>
      <c r="Q729" s="241"/>
      <c r="R729" s="241"/>
      <c r="S729" s="241"/>
      <c r="T729" s="241"/>
      <c r="U729" s="241"/>
      <c r="V729" s="241"/>
      <c r="W729" s="241"/>
      <c r="X729" s="241"/>
      <c r="Y729" s="241"/>
      <c r="Z729" s="241"/>
    </row>
    <row r="730" spans="16:26">
      <c r="P730" s="241"/>
      <c r="Q730" s="241"/>
      <c r="R730" s="241"/>
      <c r="S730" s="241"/>
      <c r="T730" s="241"/>
      <c r="U730" s="241"/>
      <c r="V730" s="241"/>
      <c r="W730" s="241"/>
      <c r="X730" s="241"/>
      <c r="Y730" s="241"/>
      <c r="Z730" s="241"/>
    </row>
    <row r="731" spans="16:26">
      <c r="P731" s="241"/>
      <c r="Q731" s="241"/>
      <c r="R731" s="241"/>
      <c r="S731" s="241"/>
      <c r="T731" s="241"/>
      <c r="U731" s="241"/>
      <c r="V731" s="241"/>
      <c r="W731" s="241"/>
      <c r="X731" s="241"/>
      <c r="Y731" s="241"/>
      <c r="Z731" s="241"/>
    </row>
    <row r="732" spans="16:26">
      <c r="P732" s="241"/>
      <c r="Q732" s="241"/>
      <c r="R732" s="241"/>
      <c r="S732" s="241"/>
      <c r="T732" s="241"/>
      <c r="U732" s="241"/>
      <c r="V732" s="241"/>
      <c r="W732" s="241"/>
      <c r="X732" s="241"/>
      <c r="Y732" s="241"/>
      <c r="Z732" s="241"/>
    </row>
    <row r="733" spans="16:26">
      <c r="P733" s="241"/>
      <c r="Q733" s="241"/>
      <c r="R733" s="241"/>
      <c r="S733" s="241"/>
      <c r="T733" s="241"/>
      <c r="U733" s="241"/>
      <c r="V733" s="241"/>
      <c r="W733" s="241"/>
      <c r="X733" s="241"/>
      <c r="Y733" s="241"/>
      <c r="Z733" s="241"/>
    </row>
    <row r="734" spans="16:26">
      <c r="P734" s="241"/>
      <c r="Q734" s="241"/>
      <c r="R734" s="241"/>
      <c r="S734" s="241"/>
      <c r="T734" s="241"/>
      <c r="U734" s="241"/>
      <c r="V734" s="241"/>
      <c r="W734" s="241"/>
      <c r="X734" s="241"/>
      <c r="Y734" s="241"/>
      <c r="Z734" s="241"/>
    </row>
    <row r="735" spans="16:26">
      <c r="P735" s="241"/>
      <c r="Q735" s="241"/>
      <c r="R735" s="241"/>
      <c r="S735" s="241"/>
      <c r="T735" s="241"/>
      <c r="U735" s="241"/>
      <c r="V735" s="241"/>
      <c r="W735" s="241"/>
      <c r="X735" s="241"/>
      <c r="Y735" s="241"/>
      <c r="Z735" s="241"/>
    </row>
    <row r="736" spans="16:26">
      <c r="P736" s="241"/>
      <c r="Q736" s="241"/>
      <c r="R736" s="241"/>
      <c r="S736" s="241"/>
      <c r="T736" s="241"/>
      <c r="U736" s="241"/>
      <c r="V736" s="241"/>
      <c r="W736" s="241"/>
      <c r="X736" s="241"/>
      <c r="Y736" s="241"/>
      <c r="Z736" s="241"/>
    </row>
    <row r="737" spans="16:26">
      <c r="P737" s="241"/>
      <c r="Q737" s="241"/>
      <c r="R737" s="241"/>
      <c r="S737" s="241"/>
      <c r="T737" s="241"/>
      <c r="U737" s="241"/>
      <c r="V737" s="241"/>
      <c r="W737" s="241"/>
      <c r="X737" s="241"/>
      <c r="Y737" s="241"/>
      <c r="Z737" s="241"/>
    </row>
    <row r="738" spans="16:26">
      <c r="P738" s="241"/>
      <c r="Q738" s="241"/>
      <c r="R738" s="241"/>
      <c r="S738" s="241"/>
      <c r="T738" s="241"/>
      <c r="U738" s="241"/>
      <c r="V738" s="241"/>
      <c r="W738" s="241"/>
      <c r="X738" s="241"/>
      <c r="Y738" s="241"/>
      <c r="Z738" s="241"/>
    </row>
    <row r="739" spans="16:26">
      <c r="P739" s="241"/>
      <c r="Q739" s="241"/>
      <c r="R739" s="241"/>
      <c r="S739" s="241"/>
      <c r="T739" s="241"/>
      <c r="U739" s="241"/>
      <c r="V739" s="241"/>
      <c r="W739" s="241"/>
      <c r="X739" s="241"/>
      <c r="Y739" s="241"/>
      <c r="Z739" s="241"/>
    </row>
    <row r="740" spans="16:26">
      <c r="P740" s="241"/>
      <c r="Q740" s="241"/>
      <c r="R740" s="241"/>
      <c r="S740" s="241"/>
      <c r="T740" s="241"/>
      <c r="U740" s="241"/>
      <c r="V740" s="241"/>
      <c r="W740" s="241"/>
      <c r="X740" s="241"/>
      <c r="Y740" s="241"/>
      <c r="Z740" s="241"/>
    </row>
    <row r="741" spans="16:26">
      <c r="P741" s="241"/>
      <c r="Q741" s="241"/>
      <c r="R741" s="241"/>
      <c r="S741" s="241"/>
      <c r="T741" s="241"/>
      <c r="U741" s="241"/>
      <c r="V741" s="241"/>
      <c r="W741" s="241"/>
      <c r="X741" s="241"/>
      <c r="Y741" s="241"/>
      <c r="Z741" s="241"/>
    </row>
    <row r="742" spans="16:26">
      <c r="P742" s="241"/>
      <c r="Q742" s="241"/>
      <c r="R742" s="241"/>
      <c r="S742" s="241"/>
      <c r="T742" s="241"/>
      <c r="U742" s="241"/>
      <c r="V742" s="241"/>
      <c r="W742" s="241"/>
      <c r="X742" s="241"/>
      <c r="Y742" s="241"/>
      <c r="Z742" s="241"/>
    </row>
    <row r="743" spans="16:26">
      <c r="P743" s="241"/>
      <c r="Q743" s="241"/>
      <c r="R743" s="241"/>
      <c r="S743" s="241"/>
      <c r="T743" s="241"/>
      <c r="U743" s="241"/>
      <c r="V743" s="241"/>
      <c r="W743" s="241"/>
      <c r="X743" s="241"/>
      <c r="Y743" s="241"/>
      <c r="Z743" s="241"/>
    </row>
    <row r="744" spans="16:26">
      <c r="P744" s="241"/>
      <c r="Q744" s="241"/>
      <c r="R744" s="241"/>
      <c r="S744" s="241"/>
      <c r="T744" s="241"/>
      <c r="U744" s="241"/>
      <c r="V744" s="241"/>
      <c r="W744" s="241"/>
      <c r="X744" s="241"/>
      <c r="Y744" s="241"/>
      <c r="Z744" s="241"/>
    </row>
    <row r="745" spans="16:26">
      <c r="P745" s="241"/>
      <c r="Q745" s="241"/>
      <c r="R745" s="241"/>
      <c r="S745" s="241"/>
      <c r="T745" s="241"/>
      <c r="U745" s="241"/>
      <c r="V745" s="241"/>
      <c r="W745" s="241"/>
      <c r="X745" s="241"/>
      <c r="Y745" s="241"/>
      <c r="Z745" s="241"/>
    </row>
    <row r="746" spans="16:26">
      <c r="P746" s="241"/>
      <c r="Q746" s="241"/>
      <c r="R746" s="241"/>
      <c r="S746" s="241"/>
      <c r="T746" s="241"/>
      <c r="U746" s="241"/>
      <c r="V746" s="241"/>
      <c r="W746" s="241"/>
      <c r="X746" s="241"/>
      <c r="Y746" s="241"/>
      <c r="Z746" s="241"/>
    </row>
    <row r="747" spans="16:26">
      <c r="P747" s="241"/>
      <c r="Q747" s="241"/>
      <c r="R747" s="241"/>
      <c r="S747" s="241"/>
      <c r="T747" s="241"/>
      <c r="U747" s="241"/>
      <c r="V747" s="241"/>
      <c r="W747" s="241"/>
      <c r="X747" s="241"/>
      <c r="Y747" s="241"/>
      <c r="Z747" s="241"/>
    </row>
    <row r="748" spans="16:26">
      <c r="P748" s="241"/>
      <c r="Q748" s="241"/>
      <c r="R748" s="241"/>
      <c r="S748" s="241"/>
      <c r="T748" s="241"/>
      <c r="U748" s="241"/>
      <c r="V748" s="241"/>
      <c r="W748" s="241"/>
      <c r="X748" s="241"/>
      <c r="Y748" s="241"/>
      <c r="Z748" s="241"/>
    </row>
    <row r="749" spans="16:26">
      <c r="P749" s="241"/>
      <c r="Q749" s="241"/>
      <c r="R749" s="241"/>
      <c r="S749" s="241"/>
      <c r="T749" s="241"/>
      <c r="U749" s="241"/>
      <c r="V749" s="241"/>
      <c r="W749" s="241"/>
      <c r="X749" s="241"/>
      <c r="Y749" s="241"/>
      <c r="Z749" s="241"/>
    </row>
    <row r="750" spans="16:26">
      <c r="P750" s="241"/>
      <c r="Q750" s="241"/>
      <c r="R750" s="241"/>
      <c r="S750" s="241"/>
      <c r="T750" s="241"/>
      <c r="U750" s="241"/>
      <c r="V750" s="241"/>
      <c r="W750" s="241"/>
      <c r="X750" s="241"/>
      <c r="Y750" s="241"/>
      <c r="Z750" s="241"/>
    </row>
    <row r="751" spans="16:26">
      <c r="P751" s="241"/>
      <c r="Q751" s="241"/>
      <c r="R751" s="241"/>
      <c r="S751" s="241"/>
      <c r="T751" s="241"/>
      <c r="U751" s="241"/>
      <c r="V751" s="241"/>
      <c r="W751" s="241"/>
      <c r="X751" s="241"/>
      <c r="Y751" s="241"/>
      <c r="Z751" s="241"/>
    </row>
    <row r="752" spans="16:26">
      <c r="P752" s="241"/>
      <c r="Q752" s="241"/>
      <c r="R752" s="241"/>
      <c r="S752" s="241"/>
      <c r="T752" s="241"/>
      <c r="U752" s="241"/>
      <c r="V752" s="241"/>
      <c r="W752" s="241"/>
      <c r="X752" s="241"/>
      <c r="Y752" s="241"/>
      <c r="Z752" s="241"/>
    </row>
    <row r="753" spans="16:26">
      <c r="P753" s="241"/>
      <c r="Q753" s="241"/>
      <c r="R753" s="241"/>
      <c r="S753" s="241"/>
      <c r="T753" s="241"/>
      <c r="U753" s="241"/>
      <c r="V753" s="241"/>
      <c r="W753" s="241"/>
      <c r="X753" s="241"/>
      <c r="Y753" s="241"/>
      <c r="Z753" s="241"/>
    </row>
    <row r="754" spans="16:26">
      <c r="P754" s="241"/>
      <c r="Q754" s="241"/>
      <c r="R754" s="241"/>
      <c r="S754" s="241"/>
      <c r="T754" s="241"/>
      <c r="U754" s="241"/>
      <c r="V754" s="241"/>
      <c r="W754" s="241"/>
      <c r="X754" s="241"/>
      <c r="Y754" s="241"/>
      <c r="Z754" s="241"/>
    </row>
    <row r="755" spans="16:26">
      <c r="P755" s="241"/>
      <c r="Q755" s="241"/>
      <c r="R755" s="241"/>
      <c r="S755" s="241"/>
      <c r="T755" s="241"/>
      <c r="U755" s="241"/>
      <c r="V755" s="241"/>
      <c r="W755" s="241"/>
      <c r="X755" s="241"/>
      <c r="Y755" s="241"/>
      <c r="Z755" s="241"/>
    </row>
    <row r="756" spans="16:26">
      <c r="P756" s="241"/>
      <c r="Q756" s="241"/>
      <c r="R756" s="241"/>
      <c r="S756" s="241"/>
      <c r="T756" s="241"/>
      <c r="U756" s="241"/>
      <c r="V756" s="241"/>
      <c r="W756" s="241"/>
      <c r="X756" s="241"/>
      <c r="Y756" s="241"/>
      <c r="Z756" s="241"/>
    </row>
    <row r="757" spans="16:26">
      <c r="P757" s="241"/>
      <c r="Q757" s="241"/>
      <c r="R757" s="241"/>
      <c r="S757" s="241"/>
      <c r="T757" s="241"/>
      <c r="U757" s="241"/>
      <c r="V757" s="241"/>
      <c r="W757" s="241"/>
      <c r="X757" s="241"/>
      <c r="Y757" s="241"/>
      <c r="Z757" s="241"/>
    </row>
    <row r="758" spans="16:26">
      <c r="P758" s="241"/>
      <c r="Q758" s="241"/>
      <c r="R758" s="241"/>
      <c r="S758" s="241"/>
      <c r="T758" s="241"/>
      <c r="U758" s="241"/>
      <c r="V758" s="241"/>
      <c r="W758" s="241"/>
      <c r="X758" s="241"/>
      <c r="Y758" s="241"/>
      <c r="Z758" s="241"/>
    </row>
    <row r="759" spans="16:26">
      <c r="P759" s="241"/>
      <c r="Q759" s="241"/>
      <c r="R759" s="241"/>
      <c r="S759" s="241"/>
      <c r="T759" s="241"/>
      <c r="U759" s="241"/>
      <c r="V759" s="241"/>
      <c r="W759" s="241"/>
      <c r="X759" s="241"/>
      <c r="Y759" s="241"/>
      <c r="Z759" s="241"/>
    </row>
    <row r="760" spans="16:26">
      <c r="P760" s="241"/>
      <c r="Q760" s="241"/>
      <c r="R760" s="241"/>
      <c r="S760" s="241"/>
      <c r="T760" s="241"/>
      <c r="U760" s="241"/>
      <c r="V760" s="241"/>
      <c r="W760" s="241"/>
      <c r="X760" s="241"/>
      <c r="Y760" s="241"/>
      <c r="Z760" s="241"/>
    </row>
    <row r="761" spans="16:26">
      <c r="P761" s="241"/>
      <c r="Q761" s="241"/>
      <c r="R761" s="241"/>
      <c r="S761" s="241"/>
      <c r="T761" s="241"/>
      <c r="U761" s="241"/>
      <c r="V761" s="241"/>
      <c r="W761" s="241"/>
      <c r="X761" s="241"/>
      <c r="Y761" s="241"/>
      <c r="Z761" s="241"/>
    </row>
    <row r="762" spans="16:26">
      <c r="P762" s="241"/>
      <c r="Q762" s="241"/>
      <c r="R762" s="241"/>
      <c r="S762" s="241"/>
      <c r="T762" s="241"/>
      <c r="U762" s="241"/>
      <c r="V762" s="241"/>
      <c r="W762" s="241"/>
      <c r="X762" s="241"/>
      <c r="Y762" s="241"/>
      <c r="Z762" s="241"/>
    </row>
    <row r="763" spans="16:26">
      <c r="P763" s="241"/>
      <c r="Q763" s="241"/>
      <c r="R763" s="241"/>
      <c r="S763" s="241"/>
      <c r="T763" s="241"/>
      <c r="U763" s="241"/>
      <c r="V763" s="241"/>
      <c r="W763" s="241"/>
      <c r="X763" s="241"/>
      <c r="Y763" s="241"/>
      <c r="Z763" s="241"/>
    </row>
    <row r="764" spans="16:26">
      <c r="P764" s="241"/>
      <c r="Q764" s="241"/>
      <c r="R764" s="241"/>
      <c r="S764" s="241"/>
      <c r="T764" s="241"/>
      <c r="U764" s="241"/>
      <c r="V764" s="241"/>
      <c r="W764" s="241"/>
      <c r="X764" s="241"/>
      <c r="Y764" s="241"/>
      <c r="Z764" s="241"/>
    </row>
    <row r="765" spans="16:26">
      <c r="P765" s="241"/>
      <c r="Q765" s="241"/>
      <c r="R765" s="241"/>
      <c r="S765" s="241"/>
      <c r="T765" s="241"/>
      <c r="U765" s="241"/>
      <c r="V765" s="241"/>
      <c r="W765" s="241"/>
      <c r="X765" s="241"/>
      <c r="Y765" s="241"/>
      <c r="Z765" s="241"/>
    </row>
    <row r="766" spans="16:26">
      <c r="P766" s="241"/>
      <c r="Q766" s="241"/>
      <c r="R766" s="241"/>
      <c r="S766" s="241"/>
      <c r="T766" s="241"/>
      <c r="U766" s="241"/>
      <c r="V766" s="241"/>
      <c r="W766" s="241"/>
      <c r="X766" s="241"/>
      <c r="Y766" s="241"/>
      <c r="Z766" s="241"/>
    </row>
    <row r="767" spans="16:26">
      <c r="P767" s="241"/>
      <c r="Q767" s="241"/>
      <c r="R767" s="241"/>
      <c r="S767" s="241"/>
      <c r="T767" s="241"/>
      <c r="U767" s="241"/>
      <c r="V767" s="241"/>
      <c r="W767" s="241"/>
      <c r="X767" s="241"/>
      <c r="Y767" s="241"/>
      <c r="Z767" s="241"/>
    </row>
    <row r="768" spans="16:26">
      <c r="P768" s="241"/>
      <c r="Q768" s="241"/>
      <c r="R768" s="241"/>
      <c r="S768" s="241"/>
      <c r="T768" s="241"/>
      <c r="U768" s="241"/>
      <c r="V768" s="241"/>
      <c r="W768" s="241"/>
      <c r="X768" s="241"/>
      <c r="Y768" s="241"/>
      <c r="Z768" s="241"/>
    </row>
    <row r="769" spans="16:26">
      <c r="P769" s="241"/>
      <c r="Q769" s="241"/>
      <c r="R769" s="241"/>
      <c r="S769" s="241"/>
      <c r="T769" s="241"/>
      <c r="U769" s="241"/>
      <c r="V769" s="241"/>
      <c r="W769" s="241"/>
      <c r="X769" s="241"/>
      <c r="Y769" s="241"/>
      <c r="Z769" s="241"/>
    </row>
    <row r="770" spans="16:26">
      <c r="P770" s="241"/>
      <c r="Q770" s="241"/>
      <c r="R770" s="241"/>
      <c r="S770" s="241"/>
      <c r="T770" s="241"/>
      <c r="U770" s="241"/>
      <c r="V770" s="241"/>
      <c r="W770" s="241"/>
      <c r="X770" s="241"/>
      <c r="Y770" s="241"/>
      <c r="Z770" s="241"/>
    </row>
    <row r="771" spans="16:26">
      <c r="P771" s="241"/>
      <c r="Q771" s="241"/>
      <c r="R771" s="241"/>
      <c r="S771" s="241"/>
      <c r="T771" s="241"/>
      <c r="U771" s="241"/>
      <c r="V771" s="241"/>
      <c r="W771" s="241"/>
      <c r="X771" s="241"/>
      <c r="Y771" s="241"/>
      <c r="Z771" s="241"/>
    </row>
    <row r="772" spans="16:26">
      <c r="P772" s="241"/>
      <c r="Q772" s="241"/>
      <c r="R772" s="241"/>
      <c r="S772" s="241"/>
      <c r="T772" s="241"/>
      <c r="U772" s="241"/>
      <c r="V772" s="241"/>
      <c r="W772" s="241"/>
      <c r="X772" s="241"/>
      <c r="Y772" s="241"/>
      <c r="Z772" s="241"/>
    </row>
    <row r="773" spans="16:26">
      <c r="P773" s="241"/>
      <c r="Q773" s="241"/>
      <c r="R773" s="241"/>
      <c r="S773" s="241"/>
      <c r="T773" s="241"/>
      <c r="U773" s="241"/>
      <c r="V773" s="241"/>
      <c r="W773" s="241"/>
      <c r="X773" s="241"/>
      <c r="Y773" s="241"/>
      <c r="Z773" s="241"/>
    </row>
    <row r="774" spans="16:26">
      <c r="P774" s="241"/>
      <c r="Q774" s="241"/>
      <c r="R774" s="241"/>
      <c r="S774" s="241"/>
      <c r="T774" s="241"/>
      <c r="U774" s="241"/>
      <c r="V774" s="241"/>
      <c r="W774" s="241"/>
      <c r="X774" s="241"/>
      <c r="Y774" s="241"/>
      <c r="Z774" s="241"/>
    </row>
    <row r="775" spans="16:26">
      <c r="P775" s="241"/>
      <c r="Q775" s="241"/>
      <c r="R775" s="241"/>
      <c r="S775" s="241"/>
      <c r="T775" s="241"/>
      <c r="U775" s="241"/>
      <c r="V775" s="241"/>
      <c r="W775" s="241"/>
      <c r="X775" s="241"/>
      <c r="Y775" s="241"/>
      <c r="Z775" s="241"/>
    </row>
    <row r="776" spans="16:26">
      <c r="P776" s="241"/>
      <c r="Q776" s="241"/>
      <c r="R776" s="241"/>
      <c r="S776" s="241"/>
      <c r="T776" s="241"/>
      <c r="U776" s="241"/>
      <c r="V776" s="241"/>
      <c r="W776" s="241"/>
      <c r="X776" s="241"/>
      <c r="Y776" s="241"/>
      <c r="Z776" s="241"/>
    </row>
    <row r="777" spans="16:26">
      <c r="P777" s="241"/>
      <c r="Q777" s="241"/>
      <c r="R777" s="241"/>
      <c r="S777" s="241"/>
      <c r="T777" s="241"/>
      <c r="U777" s="241"/>
      <c r="V777" s="241"/>
      <c r="W777" s="241"/>
      <c r="X777" s="241"/>
      <c r="Y777" s="241"/>
      <c r="Z777" s="241"/>
    </row>
    <row r="778" spans="16:26">
      <c r="P778" s="241"/>
      <c r="Q778" s="241"/>
      <c r="R778" s="241"/>
      <c r="S778" s="241"/>
      <c r="T778" s="241"/>
      <c r="U778" s="241"/>
      <c r="V778" s="241"/>
      <c r="W778" s="241"/>
      <c r="X778" s="241"/>
      <c r="Y778" s="241"/>
      <c r="Z778" s="241"/>
    </row>
    <row r="779" spans="16:26">
      <c r="P779" s="241"/>
      <c r="Q779" s="241"/>
      <c r="R779" s="241"/>
      <c r="S779" s="241"/>
      <c r="T779" s="241"/>
      <c r="U779" s="241"/>
      <c r="V779" s="241"/>
      <c r="W779" s="241"/>
      <c r="X779" s="241"/>
      <c r="Y779" s="241"/>
      <c r="Z779" s="241"/>
    </row>
    <row r="780" spans="16:26">
      <c r="P780" s="241"/>
      <c r="Q780" s="241"/>
      <c r="R780" s="241"/>
      <c r="S780" s="241"/>
      <c r="T780" s="241"/>
      <c r="U780" s="241"/>
      <c r="V780" s="241"/>
      <c r="W780" s="241"/>
      <c r="X780" s="241"/>
      <c r="Y780" s="241"/>
      <c r="Z780" s="241"/>
    </row>
    <row r="781" spans="16:26">
      <c r="P781" s="241"/>
      <c r="Q781" s="241"/>
      <c r="R781" s="241"/>
      <c r="S781" s="241"/>
      <c r="T781" s="241"/>
      <c r="U781" s="241"/>
      <c r="V781" s="241"/>
      <c r="W781" s="241"/>
      <c r="X781" s="241"/>
      <c r="Y781" s="241"/>
      <c r="Z781" s="241"/>
    </row>
    <row r="782" spans="16:26">
      <c r="P782" s="241"/>
      <c r="Q782" s="241"/>
      <c r="R782" s="241"/>
      <c r="S782" s="241"/>
      <c r="T782" s="241"/>
      <c r="U782" s="241"/>
      <c r="V782" s="241"/>
      <c r="W782" s="241"/>
      <c r="X782" s="241"/>
      <c r="Y782" s="241"/>
      <c r="Z782" s="241"/>
    </row>
    <row r="783" spans="16:26">
      <c r="P783" s="241"/>
      <c r="Q783" s="241"/>
      <c r="R783" s="241"/>
      <c r="S783" s="241"/>
      <c r="T783" s="241"/>
      <c r="U783" s="241"/>
      <c r="V783" s="241"/>
      <c r="W783" s="241"/>
      <c r="X783" s="241"/>
      <c r="Y783" s="241"/>
      <c r="Z783" s="241"/>
    </row>
    <row r="784" spans="16:26">
      <c r="P784" s="241"/>
      <c r="Q784" s="241"/>
      <c r="R784" s="241"/>
      <c r="S784" s="241"/>
      <c r="T784" s="241"/>
      <c r="U784" s="241"/>
      <c r="V784" s="241"/>
      <c r="W784" s="241"/>
      <c r="X784" s="241"/>
      <c r="Y784" s="241"/>
      <c r="Z784" s="241"/>
    </row>
    <row r="785" spans="16:26">
      <c r="P785" s="241"/>
      <c r="Q785" s="241"/>
      <c r="R785" s="241"/>
      <c r="S785" s="241"/>
      <c r="T785" s="241"/>
      <c r="U785" s="241"/>
      <c r="V785" s="241"/>
      <c r="W785" s="241"/>
      <c r="X785" s="241"/>
      <c r="Y785" s="241"/>
      <c r="Z785" s="241"/>
    </row>
    <row r="786" spans="16:26">
      <c r="P786" s="241"/>
      <c r="Q786" s="241"/>
      <c r="R786" s="241"/>
      <c r="S786" s="241"/>
      <c r="T786" s="241"/>
      <c r="U786" s="241"/>
      <c r="V786" s="241"/>
      <c r="W786" s="241"/>
      <c r="X786" s="241"/>
      <c r="Y786" s="241"/>
      <c r="Z786" s="241"/>
    </row>
    <row r="787" spans="16:26">
      <c r="P787" s="241"/>
      <c r="Q787" s="241"/>
      <c r="R787" s="241"/>
      <c r="S787" s="241"/>
      <c r="T787" s="241"/>
      <c r="U787" s="241"/>
      <c r="V787" s="241"/>
      <c r="W787" s="241"/>
      <c r="X787" s="241"/>
      <c r="Y787" s="241"/>
      <c r="Z787" s="241"/>
    </row>
    <row r="788" spans="16:26">
      <c r="P788" s="241"/>
      <c r="Q788" s="241"/>
      <c r="R788" s="241"/>
      <c r="S788" s="241"/>
      <c r="T788" s="241"/>
      <c r="U788" s="241"/>
      <c r="V788" s="241"/>
      <c r="W788" s="241"/>
      <c r="X788" s="241"/>
      <c r="Y788" s="241"/>
      <c r="Z788" s="241"/>
    </row>
    <row r="789" spans="16:26">
      <c r="P789" s="241"/>
      <c r="Q789" s="241"/>
      <c r="R789" s="241"/>
      <c r="S789" s="241"/>
      <c r="T789" s="241"/>
      <c r="U789" s="241"/>
      <c r="V789" s="241"/>
      <c r="W789" s="241"/>
      <c r="X789" s="241"/>
      <c r="Y789" s="241"/>
      <c r="Z789" s="241"/>
    </row>
    <row r="790" spans="16:26">
      <c r="P790" s="241"/>
      <c r="Q790" s="241"/>
      <c r="R790" s="241"/>
      <c r="S790" s="241"/>
      <c r="T790" s="241"/>
      <c r="U790" s="241"/>
      <c r="V790" s="241"/>
      <c r="W790" s="241"/>
      <c r="X790" s="241"/>
      <c r="Y790" s="241"/>
      <c r="Z790" s="241"/>
    </row>
    <row r="791" spans="16:26">
      <c r="P791" s="241"/>
      <c r="Q791" s="241"/>
      <c r="R791" s="241"/>
      <c r="S791" s="241"/>
      <c r="T791" s="241"/>
      <c r="U791" s="241"/>
      <c r="V791" s="241"/>
      <c r="W791" s="241"/>
      <c r="X791" s="241"/>
      <c r="Y791" s="241"/>
      <c r="Z791" s="241"/>
    </row>
    <row r="792" spans="16:26">
      <c r="P792" s="241"/>
      <c r="Q792" s="241"/>
      <c r="R792" s="241"/>
      <c r="S792" s="241"/>
      <c r="T792" s="241"/>
      <c r="U792" s="241"/>
      <c r="V792" s="241"/>
      <c r="W792" s="241"/>
      <c r="X792" s="241"/>
      <c r="Y792" s="241"/>
      <c r="Z792" s="241"/>
    </row>
    <row r="793" spans="16:26">
      <c r="P793" s="241"/>
      <c r="Q793" s="241"/>
      <c r="R793" s="241"/>
      <c r="S793" s="241"/>
      <c r="T793" s="241"/>
      <c r="U793" s="241"/>
      <c r="V793" s="241"/>
      <c r="W793" s="241"/>
      <c r="X793" s="241"/>
      <c r="Y793" s="241"/>
      <c r="Z793" s="241"/>
    </row>
    <row r="794" spans="16:26">
      <c r="P794" s="241"/>
      <c r="Q794" s="241"/>
      <c r="R794" s="241"/>
      <c r="S794" s="241"/>
      <c r="T794" s="241"/>
      <c r="U794" s="241"/>
      <c r="V794" s="241"/>
      <c r="W794" s="241"/>
      <c r="X794" s="241"/>
      <c r="Y794" s="241"/>
      <c r="Z794" s="241"/>
    </row>
    <row r="795" spans="16:26">
      <c r="P795" s="241"/>
      <c r="Q795" s="241"/>
      <c r="R795" s="241"/>
      <c r="S795" s="241"/>
      <c r="T795" s="241"/>
      <c r="U795" s="241"/>
      <c r="V795" s="241"/>
      <c r="W795" s="241"/>
      <c r="X795" s="241"/>
      <c r="Y795" s="241"/>
      <c r="Z795" s="241"/>
    </row>
    <row r="796" spans="16:26">
      <c r="P796" s="241"/>
      <c r="Q796" s="241"/>
      <c r="R796" s="241"/>
      <c r="S796" s="241"/>
      <c r="T796" s="241"/>
      <c r="U796" s="241"/>
      <c r="V796" s="241"/>
      <c r="W796" s="241"/>
      <c r="X796" s="241"/>
      <c r="Y796" s="241"/>
      <c r="Z796" s="241"/>
    </row>
    <row r="797" spans="16:26">
      <c r="P797" s="241"/>
      <c r="Q797" s="241"/>
      <c r="R797" s="241"/>
      <c r="S797" s="241"/>
      <c r="T797" s="241"/>
      <c r="U797" s="241"/>
      <c r="V797" s="241"/>
      <c r="W797" s="241"/>
      <c r="X797" s="241"/>
      <c r="Y797" s="241"/>
      <c r="Z797" s="241"/>
    </row>
    <row r="798" spans="16:26">
      <c r="P798" s="241"/>
      <c r="Q798" s="241"/>
      <c r="R798" s="241"/>
      <c r="S798" s="241"/>
      <c r="T798" s="241"/>
      <c r="U798" s="241"/>
      <c r="V798" s="241"/>
      <c r="W798" s="241"/>
      <c r="X798" s="241"/>
      <c r="Y798" s="241"/>
      <c r="Z798" s="241"/>
    </row>
    <row r="799" spans="16:26">
      <c r="P799" s="241"/>
      <c r="Q799" s="241"/>
      <c r="R799" s="241"/>
      <c r="S799" s="241"/>
      <c r="T799" s="241"/>
      <c r="U799" s="241"/>
      <c r="V799" s="241"/>
      <c r="W799" s="241"/>
      <c r="X799" s="241"/>
      <c r="Y799" s="241"/>
      <c r="Z799" s="241"/>
    </row>
    <row r="800" spans="16:26">
      <c r="P800" s="241"/>
      <c r="Q800" s="241"/>
      <c r="R800" s="241"/>
      <c r="S800" s="241"/>
      <c r="T800" s="241"/>
      <c r="U800" s="241"/>
      <c r="V800" s="241"/>
      <c r="W800" s="241"/>
      <c r="X800" s="241"/>
      <c r="Y800" s="241"/>
      <c r="Z800" s="241"/>
    </row>
    <row r="801" spans="16:26">
      <c r="P801" s="241"/>
      <c r="Q801" s="241"/>
      <c r="R801" s="241"/>
      <c r="S801" s="241"/>
      <c r="T801" s="241"/>
      <c r="U801" s="241"/>
      <c r="V801" s="241"/>
      <c r="W801" s="241"/>
      <c r="X801" s="241"/>
      <c r="Y801" s="241"/>
      <c r="Z801" s="241"/>
    </row>
    <row r="802" spans="16:26">
      <c r="P802" s="241"/>
      <c r="Q802" s="241"/>
      <c r="R802" s="241"/>
      <c r="S802" s="241"/>
      <c r="T802" s="241"/>
      <c r="U802" s="241"/>
      <c r="V802" s="241"/>
      <c r="W802" s="241"/>
      <c r="X802" s="241"/>
      <c r="Y802" s="241"/>
      <c r="Z802" s="241"/>
    </row>
    <row r="803" spans="16:26">
      <c r="P803" s="241"/>
      <c r="Q803" s="241"/>
      <c r="R803" s="241"/>
      <c r="S803" s="241"/>
      <c r="T803" s="241"/>
      <c r="U803" s="241"/>
      <c r="V803" s="241"/>
      <c r="W803" s="241"/>
      <c r="X803" s="241"/>
      <c r="Y803" s="241"/>
      <c r="Z803" s="241"/>
    </row>
    <row r="804" spans="16:26">
      <c r="P804" s="241"/>
      <c r="Q804" s="241"/>
      <c r="R804" s="241"/>
      <c r="S804" s="241"/>
      <c r="T804" s="241"/>
      <c r="U804" s="241"/>
      <c r="V804" s="241"/>
      <c r="W804" s="241"/>
      <c r="X804" s="241"/>
      <c r="Y804" s="241"/>
      <c r="Z804" s="241"/>
    </row>
    <row r="805" spans="16:26">
      <c r="P805" s="241"/>
      <c r="Q805" s="241"/>
      <c r="R805" s="241"/>
      <c r="S805" s="241"/>
      <c r="T805" s="241"/>
      <c r="U805" s="241"/>
      <c r="V805" s="241"/>
      <c r="W805" s="241"/>
      <c r="X805" s="241"/>
      <c r="Y805" s="241"/>
      <c r="Z805" s="241"/>
    </row>
    <row r="806" spans="16:26">
      <c r="P806" s="241"/>
      <c r="Q806" s="241"/>
      <c r="R806" s="241"/>
      <c r="S806" s="241"/>
      <c r="T806" s="241"/>
      <c r="U806" s="241"/>
      <c r="V806" s="241"/>
      <c r="W806" s="241"/>
      <c r="X806" s="241"/>
      <c r="Y806" s="241"/>
      <c r="Z806" s="241"/>
    </row>
    <row r="807" spans="16:26">
      <c r="P807" s="241"/>
      <c r="Q807" s="241"/>
      <c r="R807" s="241"/>
      <c r="S807" s="241"/>
      <c r="T807" s="241"/>
      <c r="U807" s="241"/>
      <c r="V807" s="241"/>
      <c r="W807" s="241"/>
      <c r="X807" s="241"/>
      <c r="Y807" s="241"/>
      <c r="Z807" s="241"/>
    </row>
    <row r="808" spans="16:26">
      <c r="P808" s="241"/>
      <c r="Q808" s="241"/>
      <c r="R808" s="241"/>
      <c r="S808" s="241"/>
      <c r="T808" s="241"/>
      <c r="U808" s="241"/>
      <c r="V808" s="241"/>
      <c r="W808" s="241"/>
      <c r="X808" s="241"/>
      <c r="Y808" s="241"/>
      <c r="Z808" s="241"/>
    </row>
    <row r="809" spans="16:26">
      <c r="P809" s="241"/>
      <c r="Q809" s="241"/>
      <c r="R809" s="241"/>
      <c r="S809" s="241"/>
      <c r="T809" s="241"/>
      <c r="U809" s="241"/>
      <c r="V809" s="241"/>
      <c r="W809" s="241"/>
      <c r="X809" s="241"/>
      <c r="Y809" s="241"/>
      <c r="Z809" s="241"/>
    </row>
    <row r="810" spans="16:26">
      <c r="P810" s="241"/>
      <c r="Q810" s="241"/>
      <c r="R810" s="241"/>
      <c r="S810" s="241"/>
      <c r="T810" s="241"/>
      <c r="U810" s="241"/>
      <c r="V810" s="241"/>
      <c r="W810" s="241"/>
      <c r="X810" s="241"/>
      <c r="Y810" s="241"/>
      <c r="Z810" s="241"/>
    </row>
    <row r="811" spans="16:26">
      <c r="P811" s="241"/>
      <c r="Q811" s="241"/>
      <c r="R811" s="241"/>
      <c r="S811" s="241"/>
      <c r="T811" s="241"/>
      <c r="U811" s="241"/>
      <c r="V811" s="241"/>
      <c r="W811" s="241"/>
      <c r="X811" s="241"/>
      <c r="Y811" s="241"/>
      <c r="Z811" s="241"/>
    </row>
    <row r="812" spans="16:26">
      <c r="P812" s="241"/>
      <c r="Q812" s="241"/>
      <c r="R812" s="241"/>
      <c r="S812" s="241"/>
      <c r="T812" s="241"/>
      <c r="U812" s="241"/>
      <c r="V812" s="241"/>
      <c r="W812" s="241"/>
      <c r="X812" s="241"/>
      <c r="Y812" s="241"/>
      <c r="Z812" s="241"/>
    </row>
    <row r="813" spans="16:26">
      <c r="P813" s="241"/>
      <c r="Q813" s="241"/>
      <c r="R813" s="241"/>
      <c r="S813" s="241"/>
      <c r="T813" s="241"/>
      <c r="U813" s="241"/>
      <c r="V813" s="241"/>
      <c r="W813" s="241"/>
      <c r="X813" s="241"/>
      <c r="Y813" s="241"/>
      <c r="Z813" s="241"/>
    </row>
    <row r="814" spans="16:26">
      <c r="P814" s="241"/>
      <c r="Q814" s="241"/>
      <c r="R814" s="241"/>
      <c r="S814" s="241"/>
      <c r="T814" s="241"/>
      <c r="U814" s="241"/>
      <c r="V814" s="241"/>
      <c r="W814" s="241"/>
      <c r="X814" s="241"/>
      <c r="Y814" s="241"/>
      <c r="Z814" s="241"/>
    </row>
    <row r="815" spans="16:26">
      <c r="P815" s="241"/>
      <c r="Q815" s="241"/>
      <c r="R815" s="241"/>
      <c r="S815" s="241"/>
      <c r="T815" s="241"/>
      <c r="U815" s="241"/>
      <c r="V815" s="241"/>
      <c r="W815" s="241"/>
      <c r="X815" s="241"/>
      <c r="Y815" s="241"/>
      <c r="Z815" s="241"/>
    </row>
    <row r="816" spans="16:26">
      <c r="P816" s="241"/>
      <c r="Q816" s="241"/>
      <c r="R816" s="241"/>
      <c r="S816" s="241"/>
      <c r="T816" s="241"/>
      <c r="U816" s="241"/>
      <c r="V816" s="241"/>
      <c r="W816" s="241"/>
      <c r="X816" s="241"/>
      <c r="Y816" s="241"/>
      <c r="Z816" s="241"/>
    </row>
    <row r="817" spans="16:26">
      <c r="P817" s="241"/>
      <c r="Q817" s="241"/>
      <c r="R817" s="241"/>
      <c r="S817" s="241"/>
      <c r="T817" s="241"/>
      <c r="U817" s="241"/>
      <c r="V817" s="241"/>
      <c r="W817" s="241"/>
      <c r="X817" s="241"/>
      <c r="Y817" s="241"/>
      <c r="Z817" s="241"/>
    </row>
    <row r="818" spans="16:26">
      <c r="P818" s="241"/>
      <c r="Q818" s="241"/>
      <c r="R818" s="241"/>
      <c r="S818" s="241"/>
      <c r="T818" s="241"/>
      <c r="U818" s="241"/>
      <c r="V818" s="241"/>
      <c r="W818" s="241"/>
      <c r="X818" s="241"/>
      <c r="Y818" s="241"/>
      <c r="Z818" s="241"/>
    </row>
    <row r="819" spans="16:26">
      <c r="P819" s="241"/>
      <c r="Q819" s="241"/>
      <c r="R819" s="241"/>
      <c r="S819" s="241"/>
      <c r="T819" s="241"/>
      <c r="U819" s="241"/>
      <c r="V819" s="241"/>
      <c r="W819" s="241"/>
      <c r="X819" s="241"/>
      <c r="Y819" s="241"/>
      <c r="Z819" s="241"/>
    </row>
    <row r="820" spans="16:26">
      <c r="P820" s="241"/>
      <c r="Q820" s="241"/>
      <c r="R820" s="241"/>
      <c r="S820" s="241"/>
      <c r="T820" s="241"/>
      <c r="U820" s="241"/>
      <c r="V820" s="241"/>
      <c r="W820" s="241"/>
      <c r="X820" s="241"/>
      <c r="Y820" s="241"/>
      <c r="Z820" s="241"/>
    </row>
    <row r="821" spans="16:26">
      <c r="P821" s="241"/>
      <c r="Q821" s="241"/>
      <c r="R821" s="241"/>
      <c r="S821" s="241"/>
      <c r="T821" s="241"/>
      <c r="U821" s="241"/>
      <c r="V821" s="241"/>
      <c r="W821" s="241"/>
      <c r="X821" s="241"/>
      <c r="Y821" s="241"/>
      <c r="Z821" s="241"/>
    </row>
    <row r="822" spans="16:26">
      <c r="P822" s="241"/>
      <c r="Q822" s="241"/>
      <c r="R822" s="241"/>
      <c r="S822" s="241"/>
      <c r="T822" s="241"/>
      <c r="U822" s="241"/>
      <c r="V822" s="241"/>
      <c r="W822" s="241"/>
      <c r="X822" s="241"/>
      <c r="Y822" s="241"/>
      <c r="Z822" s="241"/>
    </row>
    <row r="823" spans="16:26">
      <c r="P823" s="241"/>
      <c r="Q823" s="241"/>
      <c r="R823" s="241"/>
      <c r="S823" s="241"/>
      <c r="T823" s="241"/>
      <c r="U823" s="241"/>
      <c r="V823" s="241"/>
      <c r="W823" s="241"/>
      <c r="X823" s="241"/>
      <c r="Y823" s="241"/>
      <c r="Z823" s="241"/>
    </row>
    <row r="824" spans="16:26">
      <c r="P824" s="241"/>
      <c r="Q824" s="241"/>
      <c r="R824" s="241"/>
      <c r="S824" s="241"/>
      <c r="T824" s="241"/>
      <c r="U824" s="241"/>
      <c r="V824" s="241"/>
      <c r="W824" s="241"/>
      <c r="X824" s="241"/>
      <c r="Y824" s="241"/>
      <c r="Z824" s="241"/>
    </row>
    <row r="825" spans="16:26">
      <c r="P825" s="241"/>
      <c r="Q825" s="241"/>
      <c r="R825" s="241"/>
      <c r="S825" s="241"/>
      <c r="T825" s="241"/>
      <c r="U825" s="241"/>
      <c r="V825" s="241"/>
      <c r="W825" s="241"/>
      <c r="X825" s="241"/>
      <c r="Y825" s="241"/>
      <c r="Z825" s="241"/>
    </row>
    <row r="826" spans="16:26">
      <c r="P826" s="241"/>
      <c r="Q826" s="241"/>
      <c r="R826" s="241"/>
      <c r="S826" s="241"/>
      <c r="T826" s="241"/>
      <c r="U826" s="241"/>
      <c r="V826" s="241"/>
      <c r="W826" s="241"/>
      <c r="X826" s="241"/>
      <c r="Y826" s="241"/>
      <c r="Z826" s="241"/>
    </row>
    <row r="827" spans="16:26">
      <c r="P827" s="241"/>
      <c r="Q827" s="241"/>
      <c r="R827" s="241"/>
      <c r="S827" s="241"/>
      <c r="T827" s="241"/>
      <c r="U827" s="241"/>
      <c r="V827" s="241"/>
      <c r="W827" s="241"/>
      <c r="X827" s="241"/>
      <c r="Y827" s="241"/>
      <c r="Z827" s="241"/>
    </row>
    <row r="828" spans="16:26">
      <c r="P828" s="241"/>
      <c r="Q828" s="241"/>
      <c r="R828" s="241"/>
      <c r="S828" s="241"/>
      <c r="T828" s="241"/>
      <c r="U828" s="241"/>
      <c r="V828" s="241"/>
      <c r="W828" s="241"/>
      <c r="X828" s="241"/>
      <c r="Y828" s="241"/>
      <c r="Z828" s="241"/>
    </row>
    <row r="829" spans="16:26">
      <c r="P829" s="241"/>
      <c r="Q829" s="241"/>
      <c r="R829" s="241"/>
      <c r="S829" s="241"/>
      <c r="T829" s="241"/>
      <c r="U829" s="241"/>
      <c r="V829" s="241"/>
      <c r="W829" s="241"/>
      <c r="X829" s="241"/>
      <c r="Y829" s="241"/>
      <c r="Z829" s="241"/>
    </row>
    <row r="830" spans="16:26">
      <c r="P830" s="241"/>
      <c r="Q830" s="241"/>
      <c r="R830" s="241"/>
      <c r="S830" s="241"/>
      <c r="T830" s="241"/>
      <c r="U830" s="241"/>
      <c r="V830" s="241"/>
      <c r="W830" s="241"/>
      <c r="X830" s="241"/>
      <c r="Y830" s="241"/>
      <c r="Z830" s="241"/>
    </row>
    <row r="831" spans="16:26">
      <c r="P831" s="241"/>
      <c r="Q831" s="241"/>
      <c r="R831" s="241"/>
      <c r="S831" s="241"/>
      <c r="T831" s="241"/>
      <c r="U831" s="241"/>
      <c r="V831" s="241"/>
      <c r="W831" s="241"/>
      <c r="X831" s="241"/>
      <c r="Y831" s="241"/>
      <c r="Z831" s="241"/>
    </row>
    <row r="832" spans="16:26">
      <c r="P832" s="241"/>
      <c r="Q832" s="241"/>
      <c r="R832" s="241"/>
      <c r="S832" s="241"/>
      <c r="T832" s="241"/>
      <c r="U832" s="241"/>
      <c r="V832" s="241"/>
      <c r="W832" s="241"/>
      <c r="X832" s="241"/>
      <c r="Y832" s="241"/>
      <c r="Z832" s="241"/>
    </row>
    <row r="833" spans="16:26">
      <c r="P833" s="241"/>
      <c r="Q833" s="241"/>
      <c r="R833" s="241"/>
      <c r="S833" s="241"/>
      <c r="T833" s="241"/>
      <c r="U833" s="241"/>
      <c r="V833" s="241"/>
      <c r="W833" s="241"/>
      <c r="X833" s="241"/>
      <c r="Y833" s="241"/>
      <c r="Z833" s="241"/>
    </row>
    <row r="834" spans="16:26">
      <c r="P834" s="241"/>
      <c r="Q834" s="241"/>
      <c r="R834" s="241"/>
      <c r="S834" s="241"/>
      <c r="T834" s="241"/>
      <c r="U834" s="241"/>
      <c r="V834" s="241"/>
      <c r="W834" s="241"/>
      <c r="X834" s="241"/>
      <c r="Y834" s="241"/>
      <c r="Z834" s="241"/>
    </row>
    <row r="835" spans="16:26">
      <c r="P835" s="241"/>
      <c r="Q835" s="241"/>
      <c r="R835" s="241"/>
      <c r="S835" s="241"/>
      <c r="T835" s="241"/>
      <c r="U835" s="241"/>
      <c r="V835" s="241"/>
      <c r="W835" s="241"/>
      <c r="X835" s="241"/>
      <c r="Y835" s="241"/>
      <c r="Z835" s="241"/>
    </row>
    <row r="836" spans="16:26">
      <c r="P836" s="241"/>
      <c r="Q836" s="241"/>
      <c r="R836" s="241"/>
      <c r="S836" s="241"/>
      <c r="T836" s="241"/>
      <c r="U836" s="241"/>
      <c r="V836" s="241"/>
      <c r="W836" s="241"/>
      <c r="X836" s="241"/>
      <c r="Y836" s="241"/>
      <c r="Z836" s="241"/>
    </row>
    <row r="837" spans="16:26">
      <c r="P837" s="241"/>
      <c r="Q837" s="241"/>
      <c r="R837" s="241"/>
      <c r="S837" s="241"/>
      <c r="T837" s="241"/>
      <c r="U837" s="241"/>
      <c r="V837" s="241"/>
      <c r="W837" s="241"/>
      <c r="X837" s="241"/>
      <c r="Y837" s="241"/>
      <c r="Z837" s="241"/>
    </row>
    <row r="838" spans="16:26">
      <c r="P838" s="241"/>
      <c r="Q838" s="241"/>
      <c r="R838" s="241"/>
      <c r="S838" s="241"/>
      <c r="T838" s="241"/>
      <c r="U838" s="241"/>
      <c r="V838" s="241"/>
      <c r="W838" s="241"/>
      <c r="X838" s="241"/>
      <c r="Y838" s="241"/>
      <c r="Z838" s="241"/>
    </row>
    <row r="839" spans="16:26">
      <c r="P839" s="241"/>
      <c r="Q839" s="241"/>
      <c r="R839" s="241"/>
      <c r="S839" s="241"/>
      <c r="T839" s="241"/>
      <c r="U839" s="241"/>
      <c r="V839" s="241"/>
      <c r="W839" s="241"/>
      <c r="X839" s="241"/>
      <c r="Y839" s="241"/>
      <c r="Z839" s="241"/>
    </row>
    <row r="840" spans="16:26">
      <c r="P840" s="241"/>
      <c r="Q840" s="241"/>
      <c r="R840" s="241"/>
      <c r="S840" s="241"/>
      <c r="T840" s="241"/>
      <c r="U840" s="241"/>
      <c r="V840" s="241"/>
      <c r="W840" s="241"/>
      <c r="X840" s="241"/>
      <c r="Y840" s="241"/>
      <c r="Z840" s="241"/>
    </row>
    <row r="841" spans="16:26">
      <c r="P841" s="241"/>
      <c r="Q841" s="241"/>
      <c r="R841" s="241"/>
      <c r="S841" s="241"/>
      <c r="T841" s="241"/>
      <c r="U841" s="241"/>
      <c r="V841" s="241"/>
      <c r="W841" s="241"/>
      <c r="X841" s="241"/>
      <c r="Y841" s="241"/>
      <c r="Z841" s="241"/>
    </row>
    <row r="842" spans="16:26">
      <c r="P842" s="241"/>
      <c r="Q842" s="241"/>
      <c r="R842" s="241"/>
      <c r="S842" s="241"/>
      <c r="T842" s="241"/>
      <c r="U842" s="241"/>
      <c r="V842" s="241"/>
      <c r="W842" s="241"/>
      <c r="X842" s="241"/>
      <c r="Y842" s="241"/>
      <c r="Z842" s="241"/>
    </row>
    <row r="843" spans="16:26">
      <c r="P843" s="241"/>
      <c r="Q843" s="241"/>
      <c r="R843" s="241"/>
      <c r="S843" s="241"/>
      <c r="T843" s="241"/>
      <c r="U843" s="241"/>
      <c r="V843" s="241"/>
      <c r="W843" s="241"/>
      <c r="X843" s="241"/>
      <c r="Y843" s="241"/>
      <c r="Z843" s="241"/>
    </row>
    <row r="844" spans="16:26">
      <c r="P844" s="241"/>
      <c r="Q844" s="241"/>
      <c r="R844" s="241"/>
      <c r="S844" s="241"/>
      <c r="T844" s="241"/>
      <c r="U844" s="241"/>
      <c r="V844" s="241"/>
      <c r="W844" s="241"/>
      <c r="X844" s="241"/>
      <c r="Y844" s="241"/>
      <c r="Z844" s="241"/>
    </row>
    <row r="845" spans="16:26">
      <c r="P845" s="241"/>
      <c r="Q845" s="241"/>
      <c r="R845" s="241"/>
      <c r="S845" s="241"/>
      <c r="T845" s="241"/>
      <c r="U845" s="241"/>
      <c r="V845" s="241"/>
      <c r="W845" s="241"/>
      <c r="X845" s="241"/>
      <c r="Y845" s="241"/>
      <c r="Z845" s="241"/>
    </row>
    <row r="846" spans="16:26">
      <c r="P846" s="241"/>
      <c r="Q846" s="241"/>
      <c r="R846" s="241"/>
      <c r="S846" s="241"/>
      <c r="T846" s="241"/>
      <c r="U846" s="241"/>
      <c r="V846" s="241"/>
      <c r="W846" s="241"/>
      <c r="X846" s="241"/>
      <c r="Y846" s="241"/>
      <c r="Z846" s="241"/>
    </row>
    <row r="847" spans="16:26">
      <c r="P847" s="241"/>
      <c r="Q847" s="241"/>
      <c r="R847" s="241"/>
      <c r="S847" s="241"/>
      <c r="T847" s="241"/>
      <c r="U847" s="241"/>
      <c r="V847" s="241"/>
      <c r="W847" s="241"/>
      <c r="X847" s="241"/>
      <c r="Y847" s="241"/>
      <c r="Z847" s="241"/>
    </row>
    <row r="848" spans="16:26">
      <c r="P848" s="241"/>
      <c r="Q848" s="241"/>
      <c r="R848" s="241"/>
      <c r="S848" s="241"/>
      <c r="T848" s="241"/>
      <c r="U848" s="241"/>
      <c r="V848" s="241"/>
      <c r="W848" s="241"/>
      <c r="X848" s="241"/>
      <c r="Y848" s="241"/>
      <c r="Z848" s="241"/>
    </row>
    <row r="849" spans="16:26">
      <c r="P849" s="241"/>
      <c r="Q849" s="241"/>
      <c r="R849" s="241"/>
      <c r="S849" s="241"/>
      <c r="T849" s="241"/>
      <c r="U849" s="241"/>
      <c r="V849" s="241"/>
      <c r="W849" s="241"/>
      <c r="X849" s="241"/>
      <c r="Y849" s="241"/>
      <c r="Z849" s="241"/>
    </row>
    <row r="850" spans="16:26">
      <c r="P850" s="241"/>
      <c r="Q850" s="241"/>
      <c r="R850" s="241"/>
      <c r="S850" s="241"/>
      <c r="T850" s="241"/>
      <c r="U850" s="241"/>
      <c r="V850" s="241"/>
      <c r="W850" s="241"/>
      <c r="X850" s="241"/>
      <c r="Y850" s="241"/>
      <c r="Z850" s="241"/>
    </row>
    <row r="851" spans="16:26">
      <c r="P851" s="241"/>
      <c r="Q851" s="241"/>
      <c r="R851" s="241"/>
      <c r="S851" s="241"/>
      <c r="T851" s="241"/>
      <c r="U851" s="241"/>
      <c r="V851" s="241"/>
      <c r="W851" s="241"/>
      <c r="X851" s="241"/>
      <c r="Y851" s="241"/>
      <c r="Z851" s="241"/>
    </row>
    <row r="852" spans="16:26">
      <c r="P852" s="241"/>
      <c r="Q852" s="241"/>
      <c r="R852" s="241"/>
      <c r="S852" s="241"/>
      <c r="T852" s="241"/>
      <c r="U852" s="241"/>
      <c r="V852" s="241"/>
      <c r="W852" s="241"/>
      <c r="X852" s="241"/>
      <c r="Y852" s="241"/>
      <c r="Z852" s="241"/>
    </row>
    <row r="853" spans="16:26">
      <c r="P853" s="241"/>
      <c r="Q853" s="241"/>
      <c r="R853" s="241"/>
      <c r="S853" s="241"/>
      <c r="T853" s="241"/>
      <c r="U853" s="241"/>
      <c r="V853" s="241"/>
      <c r="W853" s="241"/>
      <c r="X853" s="241"/>
      <c r="Y853" s="241"/>
      <c r="Z853" s="241"/>
    </row>
    <row r="854" spans="16:26">
      <c r="P854" s="241"/>
      <c r="Q854" s="241"/>
      <c r="R854" s="241"/>
      <c r="S854" s="241"/>
      <c r="T854" s="241"/>
      <c r="U854" s="241"/>
      <c r="V854" s="241"/>
      <c r="W854" s="241"/>
      <c r="X854" s="241"/>
      <c r="Y854" s="241"/>
      <c r="Z854" s="241"/>
    </row>
    <row r="855" spans="16:26">
      <c r="P855" s="241"/>
      <c r="Q855" s="241"/>
      <c r="R855" s="241"/>
      <c r="S855" s="241"/>
      <c r="T855" s="241"/>
      <c r="U855" s="241"/>
      <c r="V855" s="241"/>
      <c r="W855" s="241"/>
      <c r="X855" s="241"/>
      <c r="Y855" s="241"/>
      <c r="Z855" s="241"/>
    </row>
    <row r="856" spans="16:26">
      <c r="P856" s="241"/>
      <c r="Q856" s="241"/>
      <c r="R856" s="241"/>
      <c r="S856" s="241"/>
      <c r="T856" s="241"/>
      <c r="U856" s="241"/>
      <c r="V856" s="241"/>
      <c r="W856" s="241"/>
      <c r="X856" s="241"/>
      <c r="Y856" s="241"/>
      <c r="Z856" s="241"/>
    </row>
    <row r="857" spans="16:26">
      <c r="P857" s="241"/>
      <c r="Q857" s="241"/>
      <c r="R857" s="241"/>
      <c r="S857" s="241"/>
      <c r="T857" s="241"/>
      <c r="U857" s="241"/>
      <c r="V857" s="241"/>
      <c r="W857" s="241"/>
      <c r="X857" s="241"/>
      <c r="Y857" s="241"/>
      <c r="Z857" s="241"/>
    </row>
    <row r="858" spans="16:26">
      <c r="P858" s="241"/>
      <c r="Q858" s="241"/>
      <c r="R858" s="241"/>
      <c r="S858" s="241"/>
      <c r="T858" s="241"/>
      <c r="U858" s="241"/>
      <c r="V858" s="241"/>
      <c r="W858" s="241"/>
      <c r="X858" s="241"/>
      <c r="Y858" s="241"/>
      <c r="Z858" s="241"/>
    </row>
    <row r="859" spans="16:26">
      <c r="P859" s="241"/>
      <c r="Q859" s="241"/>
      <c r="R859" s="241"/>
      <c r="S859" s="241"/>
      <c r="T859" s="241"/>
      <c r="U859" s="241"/>
      <c r="V859" s="241"/>
      <c r="W859" s="241"/>
      <c r="X859" s="241"/>
      <c r="Y859" s="241"/>
      <c r="Z859" s="241"/>
    </row>
    <row r="860" spans="16:26">
      <c r="P860" s="241"/>
      <c r="Q860" s="241"/>
      <c r="R860" s="241"/>
      <c r="S860" s="241"/>
      <c r="T860" s="241"/>
      <c r="U860" s="241"/>
      <c r="V860" s="241"/>
      <c r="W860" s="241"/>
      <c r="X860" s="241"/>
      <c r="Y860" s="241"/>
      <c r="Z860" s="241"/>
    </row>
    <row r="861" spans="16:26">
      <c r="P861" s="241"/>
      <c r="Q861" s="241"/>
      <c r="R861" s="241"/>
      <c r="S861" s="241"/>
      <c r="T861" s="241"/>
      <c r="U861" s="241"/>
      <c r="V861" s="241"/>
      <c r="W861" s="241"/>
      <c r="X861" s="241"/>
      <c r="Y861" s="241"/>
      <c r="Z861" s="241"/>
    </row>
    <row r="862" spans="16:26">
      <c r="P862" s="241"/>
      <c r="Q862" s="241"/>
      <c r="R862" s="241"/>
      <c r="S862" s="241"/>
      <c r="T862" s="241"/>
      <c r="U862" s="241"/>
      <c r="V862" s="241"/>
      <c r="W862" s="241"/>
      <c r="X862" s="241"/>
      <c r="Y862" s="241"/>
      <c r="Z862" s="241"/>
    </row>
    <row r="863" spans="16:26">
      <c r="P863" s="241"/>
      <c r="Q863" s="241"/>
      <c r="R863" s="241"/>
      <c r="S863" s="241"/>
      <c r="T863" s="241"/>
      <c r="U863" s="241"/>
      <c r="V863" s="241"/>
      <c r="W863" s="241"/>
      <c r="X863" s="241"/>
      <c r="Y863" s="241"/>
      <c r="Z863" s="241"/>
    </row>
    <row r="864" spans="16:26">
      <c r="P864" s="241"/>
      <c r="Q864" s="241"/>
      <c r="R864" s="241"/>
      <c r="S864" s="241"/>
      <c r="T864" s="241"/>
      <c r="U864" s="241"/>
      <c r="V864" s="241"/>
      <c r="W864" s="241"/>
      <c r="X864" s="241"/>
      <c r="Y864" s="241"/>
      <c r="Z864" s="241"/>
    </row>
    <row r="865" spans="16:26">
      <c r="P865" s="241"/>
      <c r="Q865" s="241"/>
      <c r="R865" s="241"/>
      <c r="S865" s="241"/>
      <c r="T865" s="241"/>
      <c r="U865" s="241"/>
      <c r="V865" s="241"/>
      <c r="W865" s="241"/>
      <c r="X865" s="241"/>
      <c r="Y865" s="241"/>
      <c r="Z865" s="241"/>
    </row>
    <row r="866" spans="16:26">
      <c r="P866" s="241"/>
      <c r="Q866" s="241"/>
      <c r="R866" s="241"/>
      <c r="S866" s="241"/>
      <c r="T866" s="241"/>
      <c r="U866" s="241"/>
      <c r="V866" s="241"/>
      <c r="W866" s="241"/>
      <c r="X866" s="241"/>
      <c r="Y866" s="241"/>
      <c r="Z866" s="241"/>
    </row>
    <row r="867" spans="16:26">
      <c r="P867" s="241"/>
      <c r="Q867" s="241"/>
      <c r="R867" s="241"/>
      <c r="S867" s="241"/>
      <c r="T867" s="241"/>
      <c r="U867" s="241"/>
      <c r="V867" s="241"/>
      <c r="W867" s="241"/>
      <c r="X867" s="241"/>
      <c r="Y867" s="241"/>
      <c r="Z867" s="241"/>
    </row>
    <row r="868" spans="16:26">
      <c r="P868" s="241"/>
      <c r="Q868" s="241"/>
      <c r="R868" s="241"/>
      <c r="S868" s="241"/>
      <c r="T868" s="241"/>
      <c r="U868" s="241"/>
      <c r="V868" s="241"/>
      <c r="W868" s="241"/>
      <c r="X868" s="241"/>
      <c r="Y868" s="241"/>
      <c r="Z868" s="241"/>
    </row>
    <row r="869" spans="16:26">
      <c r="P869" s="241"/>
      <c r="Q869" s="241"/>
      <c r="R869" s="241"/>
      <c r="S869" s="241"/>
      <c r="T869" s="241"/>
      <c r="U869" s="241"/>
      <c r="V869" s="241"/>
      <c r="W869" s="241"/>
      <c r="X869" s="241"/>
      <c r="Y869" s="241"/>
      <c r="Z869" s="241"/>
    </row>
    <row r="870" spans="16:26">
      <c r="P870" s="241"/>
      <c r="Q870" s="241"/>
      <c r="R870" s="241"/>
      <c r="S870" s="241"/>
      <c r="T870" s="241"/>
      <c r="U870" s="241"/>
      <c r="V870" s="241"/>
      <c r="W870" s="241"/>
      <c r="X870" s="241"/>
      <c r="Y870" s="241"/>
      <c r="Z870" s="241"/>
    </row>
    <row r="871" spans="16:26">
      <c r="P871" s="241"/>
      <c r="Q871" s="241"/>
      <c r="R871" s="241"/>
      <c r="S871" s="241"/>
      <c r="T871" s="241"/>
      <c r="U871" s="241"/>
      <c r="V871" s="241"/>
      <c r="W871" s="241"/>
      <c r="X871" s="241"/>
      <c r="Y871" s="241"/>
      <c r="Z871" s="241"/>
    </row>
    <row r="872" spans="16:26">
      <c r="P872" s="241"/>
      <c r="Q872" s="241"/>
      <c r="R872" s="241"/>
      <c r="S872" s="241"/>
      <c r="T872" s="241"/>
      <c r="U872" s="241"/>
      <c r="V872" s="241"/>
      <c r="W872" s="241"/>
      <c r="X872" s="241"/>
      <c r="Y872" s="241"/>
      <c r="Z872" s="241"/>
    </row>
    <row r="873" spans="16:26">
      <c r="P873" s="241"/>
      <c r="Q873" s="241"/>
      <c r="R873" s="241"/>
      <c r="S873" s="241"/>
      <c r="T873" s="241"/>
      <c r="U873" s="241"/>
      <c r="V873" s="241"/>
      <c r="W873" s="241"/>
      <c r="X873" s="241"/>
      <c r="Y873" s="241"/>
      <c r="Z873" s="241"/>
    </row>
    <row r="874" spans="16:26">
      <c r="P874" s="241"/>
      <c r="Q874" s="241"/>
      <c r="R874" s="241"/>
      <c r="S874" s="241"/>
      <c r="T874" s="241"/>
      <c r="U874" s="241"/>
      <c r="V874" s="241"/>
      <c r="W874" s="241"/>
      <c r="X874" s="241"/>
      <c r="Y874" s="241"/>
      <c r="Z874" s="241"/>
    </row>
    <row r="875" spans="16:26">
      <c r="P875" s="241"/>
      <c r="Q875" s="241"/>
      <c r="R875" s="241"/>
      <c r="S875" s="241"/>
      <c r="T875" s="241"/>
      <c r="U875" s="241"/>
      <c r="V875" s="241"/>
      <c r="W875" s="241"/>
      <c r="X875" s="241"/>
      <c r="Y875" s="241"/>
      <c r="Z875" s="241"/>
    </row>
    <row r="876" spans="16:26">
      <c r="P876" s="241"/>
      <c r="Q876" s="241"/>
      <c r="R876" s="241"/>
      <c r="S876" s="241"/>
      <c r="T876" s="241"/>
      <c r="U876" s="241"/>
      <c r="V876" s="241"/>
      <c r="W876" s="241"/>
      <c r="X876" s="241"/>
      <c r="Y876" s="241"/>
      <c r="Z876" s="241"/>
    </row>
    <row r="877" spans="16:26">
      <c r="P877" s="241"/>
      <c r="Q877" s="241"/>
      <c r="R877" s="241"/>
      <c r="S877" s="241"/>
      <c r="T877" s="241"/>
      <c r="U877" s="241"/>
      <c r="V877" s="241"/>
      <c r="W877" s="241"/>
      <c r="X877" s="241"/>
      <c r="Y877" s="241"/>
      <c r="Z877" s="241"/>
    </row>
    <row r="878" spans="16:26">
      <c r="P878" s="241"/>
      <c r="Q878" s="241"/>
      <c r="R878" s="241"/>
      <c r="S878" s="241"/>
      <c r="T878" s="241"/>
      <c r="U878" s="241"/>
      <c r="V878" s="241"/>
      <c r="W878" s="241"/>
      <c r="X878" s="241"/>
      <c r="Y878" s="241"/>
      <c r="Z878" s="241"/>
    </row>
    <row r="879" spans="16:26">
      <c r="P879" s="241"/>
      <c r="Q879" s="241"/>
      <c r="R879" s="241"/>
      <c r="S879" s="241"/>
      <c r="T879" s="241"/>
      <c r="U879" s="241"/>
      <c r="V879" s="241"/>
      <c r="W879" s="241"/>
      <c r="X879" s="241"/>
      <c r="Y879" s="241"/>
      <c r="Z879" s="241"/>
    </row>
    <row r="880" spans="16:26">
      <c r="P880" s="241"/>
      <c r="Q880" s="241"/>
      <c r="R880" s="241"/>
      <c r="S880" s="241"/>
      <c r="T880" s="241"/>
      <c r="U880" s="241"/>
      <c r="V880" s="241"/>
      <c r="W880" s="241"/>
      <c r="X880" s="241"/>
      <c r="Y880" s="241"/>
      <c r="Z880" s="241"/>
    </row>
    <row r="881" spans="16:26">
      <c r="P881" s="241"/>
      <c r="Q881" s="241"/>
      <c r="R881" s="241"/>
      <c r="S881" s="241"/>
      <c r="T881" s="241"/>
      <c r="U881" s="241"/>
      <c r="V881" s="241"/>
      <c r="W881" s="241"/>
      <c r="X881" s="241"/>
      <c r="Y881" s="241"/>
      <c r="Z881" s="241"/>
    </row>
    <row r="882" spans="16:26">
      <c r="P882" s="241"/>
      <c r="Q882" s="241"/>
      <c r="R882" s="241"/>
      <c r="S882" s="241"/>
      <c r="T882" s="241"/>
      <c r="U882" s="241"/>
      <c r="V882" s="241"/>
      <c r="W882" s="241"/>
      <c r="X882" s="241"/>
      <c r="Y882" s="241"/>
      <c r="Z882" s="241"/>
    </row>
    <row r="883" spans="16:26">
      <c r="P883" s="241"/>
      <c r="Q883" s="241"/>
      <c r="R883" s="241"/>
      <c r="S883" s="241"/>
      <c r="T883" s="241"/>
      <c r="U883" s="241"/>
      <c r="V883" s="241"/>
      <c r="W883" s="241"/>
      <c r="X883" s="241"/>
      <c r="Y883" s="241"/>
      <c r="Z883" s="241"/>
    </row>
    <row r="884" spans="16:26">
      <c r="P884" s="241"/>
      <c r="Q884" s="241"/>
      <c r="R884" s="241"/>
      <c r="S884" s="241"/>
      <c r="T884" s="241"/>
      <c r="U884" s="241"/>
      <c r="V884" s="241"/>
      <c r="W884" s="241"/>
      <c r="X884" s="241"/>
      <c r="Y884" s="241"/>
      <c r="Z884" s="241"/>
    </row>
  </sheetData>
  <sheetProtection password="8C51" sheet="1" objects="1" scenarios="1" selectLockedCells="1"/>
  <pageMargins left="0.75" right="0.75" top="1" bottom="1" header="0.5" footer="0.5"/>
  <pageSetup orientation="portrait" horizontalDpi="1200" verticalDpi="1200"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B1:Z884"/>
  <sheetViews>
    <sheetView zoomScaleNormal="100" workbookViewId="0">
      <selection activeCell="P1" sqref="P1"/>
    </sheetView>
  </sheetViews>
  <sheetFormatPr defaultColWidth="8.88671875" defaultRowHeight="10.199999999999999"/>
  <cols>
    <col min="1" max="15" width="8.88671875" style="57"/>
    <col min="16" max="26" width="8.88671875" style="243"/>
    <col min="27" max="16384" width="8.88671875" style="57"/>
  </cols>
  <sheetData>
    <row r="1" spans="2:26">
      <c r="B1" s="57" t="s">
        <v>46</v>
      </c>
      <c r="C1" s="57" t="s">
        <v>47</v>
      </c>
      <c r="D1" s="57" t="s">
        <v>48</v>
      </c>
      <c r="E1" s="57" t="s">
        <v>49</v>
      </c>
      <c r="F1" s="57" t="s">
        <v>50</v>
      </c>
      <c r="G1" s="57" t="s">
        <v>51</v>
      </c>
      <c r="H1" s="57" t="s">
        <v>52</v>
      </c>
      <c r="I1" s="57" t="s">
        <v>53</v>
      </c>
      <c r="J1" s="57" t="s">
        <v>54</v>
      </c>
      <c r="P1" s="247"/>
      <c r="Q1" s="247"/>
      <c r="R1" s="247"/>
      <c r="S1" s="247"/>
      <c r="T1" s="247"/>
      <c r="U1" s="247"/>
      <c r="V1" s="247"/>
      <c r="W1" s="247"/>
      <c r="X1" s="247"/>
      <c r="Y1" s="247"/>
      <c r="Z1" s="247"/>
    </row>
    <row r="2" spans="2:26">
      <c r="B2" s="57" t="s">
        <v>55</v>
      </c>
      <c r="C2" s="57" t="s">
        <v>56</v>
      </c>
      <c r="D2" s="57" t="s">
        <v>56</v>
      </c>
      <c r="E2" s="57" t="s">
        <v>57</v>
      </c>
      <c r="F2" s="57" t="s">
        <v>57</v>
      </c>
      <c r="G2" s="57" t="s">
        <v>58</v>
      </c>
      <c r="H2" s="57" t="s">
        <v>59</v>
      </c>
      <c r="I2" s="57" t="s">
        <v>60</v>
      </c>
      <c r="J2" s="57" t="s">
        <v>61</v>
      </c>
      <c r="K2" s="57" t="s">
        <v>62</v>
      </c>
      <c r="L2" s="57" t="s">
        <v>63</v>
      </c>
      <c r="P2" s="247"/>
      <c r="Q2" s="247"/>
      <c r="R2" s="247"/>
      <c r="S2" s="247"/>
      <c r="T2" s="247"/>
      <c r="U2" s="247"/>
      <c r="V2" s="247"/>
      <c r="W2" s="247"/>
      <c r="X2" s="247"/>
      <c r="Y2" s="247"/>
      <c r="Z2" s="247"/>
    </row>
    <row r="3" spans="2:26">
      <c r="P3" s="247"/>
      <c r="Q3" s="247"/>
      <c r="R3" s="247"/>
      <c r="S3" s="247"/>
      <c r="T3" s="247"/>
      <c r="U3" s="247"/>
      <c r="V3" s="247"/>
      <c r="W3" s="247"/>
      <c r="X3" s="247"/>
      <c r="Y3" s="247"/>
      <c r="Z3" s="247"/>
    </row>
    <row r="4" spans="2:26">
      <c r="B4" s="57" t="s">
        <v>64</v>
      </c>
      <c r="C4" s="234" t="str">
        <f ca="1">IF(P1="","","L"&amp;MID(INDIRECT("P"&amp;L4),6,FIND(" ",INDIRECT("P"&amp;L4),6)-5))</f>
        <v/>
      </c>
      <c r="D4" s="234" t="str">
        <f ca="1">IF(P1="","",MID(INDIRECT("P"&amp;L4),SEARCH("(",INDIRECT("P"&amp;L4),1)+1,3))</f>
        <v/>
      </c>
      <c r="E4" s="234" t="str">
        <f ca="1">IF(P1="","",MID(INDIRECT("P"&amp;L4),SEARCH(")",INDIRECT("P"&amp;L4),1)+2,LEN(INDIRECT("P"&amp;L4))))</f>
        <v/>
      </c>
      <c r="F4" s="234"/>
      <c r="G4" s="234"/>
      <c r="H4" s="234"/>
      <c r="I4" s="234"/>
      <c r="J4" s="234"/>
      <c r="K4" s="234"/>
      <c r="L4" s="234" t="str">
        <f>IF(P1="","",MATCH("CASE*",P1:P10,0))</f>
        <v/>
      </c>
      <c r="M4" s="55">
        <f>ROUND(COUNT(P:P)*1.6,0)</f>
        <v>0</v>
      </c>
      <c r="P4" s="247"/>
      <c r="Q4" s="247"/>
      <c r="R4" s="247"/>
      <c r="S4" s="247"/>
      <c r="T4" s="247"/>
      <c r="U4" s="247"/>
      <c r="V4" s="247"/>
      <c r="W4" s="247"/>
      <c r="X4" s="247"/>
      <c r="Y4" s="247"/>
      <c r="Z4" s="247"/>
    </row>
    <row r="5" spans="2:26">
      <c r="P5" s="247"/>
      <c r="Q5" s="247"/>
      <c r="R5" s="247"/>
      <c r="S5" s="247"/>
      <c r="T5" s="247"/>
      <c r="U5" s="247"/>
      <c r="V5" s="247"/>
      <c r="W5" s="247"/>
      <c r="X5" s="247"/>
      <c r="Y5" s="247"/>
      <c r="Z5" s="247"/>
    </row>
    <row r="6" spans="2:26">
      <c r="B6" s="56" t="str">
        <f>IF('Low Stress Type Gasket'!BE11="","",'Low Stress Type Gasket'!BE11)</f>
        <v/>
      </c>
      <c r="C6" s="58" t="str">
        <f t="shared" ref="C6:L21" ca="1" si="0">IF($M$4=0,"",VLOOKUP($B6,INDIRECT("$P$1:$Z$"&amp;$M$4),COLUMN()-1,0))</f>
        <v/>
      </c>
      <c r="D6" s="58" t="str">
        <f t="shared" ca="1" si="0"/>
        <v/>
      </c>
      <c r="E6" s="58" t="str">
        <f t="shared" ca="1" si="0"/>
        <v/>
      </c>
      <c r="F6" s="58" t="str">
        <f t="shared" ca="1" si="0"/>
        <v/>
      </c>
      <c r="G6" s="58" t="str">
        <f t="shared" ca="1" si="0"/>
        <v/>
      </c>
      <c r="H6" s="58" t="str">
        <f t="shared" ca="1" si="0"/>
        <v/>
      </c>
      <c r="I6" s="58" t="str">
        <f t="shared" ca="1" si="0"/>
        <v/>
      </c>
      <c r="J6" s="58" t="str">
        <f t="shared" ca="1" si="0"/>
        <v/>
      </c>
      <c r="K6" s="58" t="str">
        <f t="shared" ca="1" si="0"/>
        <v/>
      </c>
      <c r="L6" s="58" t="str">
        <f t="shared" ca="1" si="0"/>
        <v/>
      </c>
      <c r="P6" s="247"/>
      <c r="Q6" s="247"/>
      <c r="R6" s="247"/>
      <c r="S6" s="247"/>
      <c r="T6" s="247"/>
      <c r="U6" s="247"/>
      <c r="V6" s="247"/>
      <c r="W6" s="247"/>
      <c r="X6" s="247"/>
      <c r="Y6" s="247"/>
      <c r="Z6" s="247"/>
    </row>
    <row r="7" spans="2:26">
      <c r="B7" s="56" t="str">
        <f>IF('Low Stress Type Gasket'!BE12="","",'Low Stress Type Gasket'!BE12)</f>
        <v/>
      </c>
      <c r="C7" s="58" t="str">
        <f t="shared" ca="1" si="0"/>
        <v/>
      </c>
      <c r="D7" s="58" t="str">
        <f t="shared" ca="1" si="0"/>
        <v/>
      </c>
      <c r="E7" s="58" t="str">
        <f t="shared" ca="1" si="0"/>
        <v/>
      </c>
      <c r="F7" s="58" t="str">
        <f t="shared" ca="1" si="0"/>
        <v/>
      </c>
      <c r="G7" s="58" t="str">
        <f t="shared" ca="1" si="0"/>
        <v/>
      </c>
      <c r="H7" s="58" t="str">
        <f t="shared" ca="1" si="0"/>
        <v/>
      </c>
      <c r="I7" s="58" t="str">
        <f t="shared" ca="1" si="0"/>
        <v/>
      </c>
      <c r="J7" s="58" t="str">
        <f t="shared" ca="1" si="0"/>
        <v/>
      </c>
      <c r="K7" s="58" t="str">
        <f t="shared" ca="1" si="0"/>
        <v/>
      </c>
      <c r="L7" s="58" t="str">
        <f t="shared" ca="1" si="0"/>
        <v/>
      </c>
      <c r="P7" s="247"/>
      <c r="Q7" s="247"/>
      <c r="R7" s="247"/>
      <c r="S7" s="247"/>
      <c r="T7" s="247"/>
      <c r="U7" s="247"/>
      <c r="V7" s="247"/>
      <c r="W7" s="247"/>
      <c r="X7" s="247"/>
      <c r="Y7" s="247"/>
      <c r="Z7" s="247"/>
    </row>
    <row r="8" spans="2:26">
      <c r="B8" s="56" t="str">
        <f>IF('Low Stress Type Gasket'!BE13="","",'Low Stress Type Gasket'!BE13)</f>
        <v/>
      </c>
      <c r="C8" s="58" t="str">
        <f t="shared" ca="1" si="0"/>
        <v/>
      </c>
      <c r="D8" s="58" t="str">
        <f t="shared" ca="1" si="0"/>
        <v/>
      </c>
      <c r="E8" s="58" t="str">
        <f t="shared" ca="1" si="0"/>
        <v/>
      </c>
      <c r="F8" s="58" t="str">
        <f t="shared" ca="1" si="0"/>
        <v/>
      </c>
      <c r="G8" s="58" t="str">
        <f t="shared" ca="1" si="0"/>
        <v/>
      </c>
      <c r="H8" s="58" t="str">
        <f t="shared" ca="1" si="0"/>
        <v/>
      </c>
      <c r="I8" s="58" t="str">
        <f t="shared" ca="1" si="0"/>
        <v/>
      </c>
      <c r="J8" s="58" t="str">
        <f t="shared" ca="1" si="0"/>
        <v/>
      </c>
      <c r="K8" s="58" t="str">
        <f t="shared" ca="1" si="0"/>
        <v/>
      </c>
      <c r="L8" s="58" t="str">
        <f t="shared" ca="1" si="0"/>
        <v/>
      </c>
      <c r="P8" s="241"/>
      <c r="Q8" s="241"/>
      <c r="R8" s="241"/>
      <c r="S8" s="241"/>
      <c r="T8" s="241"/>
      <c r="U8" s="241"/>
      <c r="V8" s="241"/>
      <c r="W8" s="241"/>
      <c r="X8" s="241"/>
      <c r="Y8" s="241"/>
      <c r="Z8" s="241"/>
    </row>
    <row r="9" spans="2:26">
      <c r="B9" s="56" t="str">
        <f>IF('Low Stress Type Gasket'!BE14="","",'Low Stress Type Gasket'!BE14)</f>
        <v/>
      </c>
      <c r="C9" s="58" t="str">
        <f t="shared" ca="1" si="0"/>
        <v/>
      </c>
      <c r="D9" s="58" t="str">
        <f t="shared" ca="1" si="0"/>
        <v/>
      </c>
      <c r="E9" s="58" t="str">
        <f t="shared" ca="1" si="0"/>
        <v/>
      </c>
      <c r="F9" s="58" t="str">
        <f t="shared" ca="1" si="0"/>
        <v/>
      </c>
      <c r="G9" s="58" t="str">
        <f t="shared" ca="1" si="0"/>
        <v/>
      </c>
      <c r="H9" s="58" t="str">
        <f t="shared" ca="1" si="0"/>
        <v/>
      </c>
      <c r="I9" s="58" t="str">
        <f t="shared" ca="1" si="0"/>
        <v/>
      </c>
      <c r="J9" s="58" t="str">
        <f t="shared" ca="1" si="0"/>
        <v/>
      </c>
      <c r="K9" s="58" t="str">
        <f t="shared" ca="1" si="0"/>
        <v/>
      </c>
      <c r="L9" s="58" t="str">
        <f t="shared" ca="1" si="0"/>
        <v/>
      </c>
      <c r="P9" s="247"/>
      <c r="Q9" s="247"/>
      <c r="R9" s="247"/>
      <c r="S9" s="247"/>
      <c r="T9" s="247"/>
      <c r="U9" s="247"/>
      <c r="V9" s="247"/>
      <c r="W9" s="247"/>
      <c r="X9" s="247"/>
      <c r="Y9" s="247"/>
      <c r="Z9" s="247"/>
    </row>
    <row r="10" spans="2:26">
      <c r="B10" s="56" t="str">
        <f>IF('Low Stress Type Gasket'!BE15="","",'Low Stress Type Gasket'!BE15)</f>
        <v/>
      </c>
      <c r="C10" s="58" t="str">
        <f t="shared" ca="1" si="0"/>
        <v/>
      </c>
      <c r="D10" s="58" t="str">
        <f t="shared" ca="1" si="0"/>
        <v/>
      </c>
      <c r="E10" s="58" t="str">
        <f t="shared" ca="1" si="0"/>
        <v/>
      </c>
      <c r="F10" s="58" t="str">
        <f t="shared" ca="1" si="0"/>
        <v/>
      </c>
      <c r="G10" s="58" t="str">
        <f t="shared" ca="1" si="0"/>
        <v/>
      </c>
      <c r="H10" s="58" t="str">
        <f t="shared" ca="1" si="0"/>
        <v/>
      </c>
      <c r="I10" s="58" t="str">
        <f t="shared" ca="1" si="0"/>
        <v/>
      </c>
      <c r="J10" s="58" t="str">
        <f t="shared" ca="1" si="0"/>
        <v/>
      </c>
      <c r="K10" s="58" t="str">
        <f t="shared" ca="1" si="0"/>
        <v/>
      </c>
      <c r="L10" s="58" t="str">
        <f t="shared" ca="1" si="0"/>
        <v/>
      </c>
      <c r="P10" s="247"/>
      <c r="Q10" s="247"/>
      <c r="R10" s="247"/>
      <c r="S10" s="247"/>
      <c r="T10" s="247"/>
      <c r="U10" s="247"/>
      <c r="V10" s="247"/>
      <c r="W10" s="247"/>
      <c r="X10" s="247"/>
      <c r="Y10" s="247"/>
      <c r="Z10" s="247"/>
    </row>
    <row r="11" spans="2:26">
      <c r="B11" s="56" t="str">
        <f>IF('Low Stress Type Gasket'!BE16="","",'Low Stress Type Gasket'!BE16)</f>
        <v/>
      </c>
      <c r="C11" s="58" t="str">
        <f t="shared" ca="1" si="0"/>
        <v/>
      </c>
      <c r="D11" s="58" t="str">
        <f t="shared" ca="1" si="0"/>
        <v/>
      </c>
      <c r="E11" s="58" t="str">
        <f t="shared" ca="1" si="0"/>
        <v/>
      </c>
      <c r="F11" s="58" t="str">
        <f t="shared" ca="1" si="0"/>
        <v/>
      </c>
      <c r="G11" s="58" t="str">
        <f t="shared" ca="1" si="0"/>
        <v/>
      </c>
      <c r="H11" s="58" t="str">
        <f t="shared" ca="1" si="0"/>
        <v/>
      </c>
      <c r="I11" s="58" t="str">
        <f t="shared" ca="1" si="0"/>
        <v/>
      </c>
      <c r="J11" s="58" t="str">
        <f t="shared" ca="1" si="0"/>
        <v/>
      </c>
      <c r="K11" s="58" t="str">
        <f t="shared" ca="1" si="0"/>
        <v/>
      </c>
      <c r="L11" s="58" t="str">
        <f t="shared" ca="1" si="0"/>
        <v/>
      </c>
      <c r="P11" s="247"/>
      <c r="Q11" s="247"/>
      <c r="R11" s="247"/>
      <c r="S11" s="247"/>
      <c r="T11" s="247"/>
      <c r="U11" s="247"/>
      <c r="V11" s="247"/>
      <c r="W11" s="247"/>
      <c r="X11" s="247"/>
      <c r="Y11" s="247"/>
      <c r="Z11" s="247"/>
    </row>
    <row r="12" spans="2:26">
      <c r="B12" s="56" t="str">
        <f>IF('Low Stress Type Gasket'!BE17="","",'Low Stress Type Gasket'!BE17)</f>
        <v/>
      </c>
      <c r="C12" s="58" t="str">
        <f t="shared" ca="1" si="0"/>
        <v/>
      </c>
      <c r="D12" s="58" t="str">
        <f t="shared" ca="1" si="0"/>
        <v/>
      </c>
      <c r="E12" s="58" t="str">
        <f t="shared" ca="1" si="0"/>
        <v/>
      </c>
      <c r="F12" s="58" t="str">
        <f t="shared" ca="1" si="0"/>
        <v/>
      </c>
      <c r="G12" s="58" t="str">
        <f t="shared" ca="1" si="0"/>
        <v/>
      </c>
      <c r="H12" s="58" t="str">
        <f t="shared" ca="1" si="0"/>
        <v/>
      </c>
      <c r="I12" s="58" t="str">
        <f t="shared" ca="1" si="0"/>
        <v/>
      </c>
      <c r="J12" s="58" t="str">
        <f t="shared" ca="1" si="0"/>
        <v/>
      </c>
      <c r="K12" s="58" t="str">
        <f t="shared" ca="1" si="0"/>
        <v/>
      </c>
      <c r="L12" s="58" t="str">
        <f t="shared" ca="1" si="0"/>
        <v/>
      </c>
      <c r="P12" s="241"/>
      <c r="Q12" s="241"/>
      <c r="R12" s="241"/>
      <c r="S12" s="241"/>
      <c r="T12" s="241"/>
      <c r="U12" s="241"/>
      <c r="V12" s="241"/>
      <c r="W12" s="241"/>
      <c r="X12" s="241"/>
      <c r="Y12" s="241"/>
      <c r="Z12" s="241"/>
    </row>
    <row r="13" spans="2:26">
      <c r="B13" s="56" t="str">
        <f>IF('Low Stress Type Gasket'!BE18="","",'Low Stress Type Gasket'!BE18)</f>
        <v/>
      </c>
      <c r="C13" s="58" t="str">
        <f t="shared" ca="1" si="0"/>
        <v/>
      </c>
      <c r="D13" s="58" t="str">
        <f t="shared" ca="1" si="0"/>
        <v/>
      </c>
      <c r="E13" s="58" t="str">
        <f t="shared" ca="1" si="0"/>
        <v/>
      </c>
      <c r="F13" s="58" t="str">
        <f t="shared" ca="1" si="0"/>
        <v/>
      </c>
      <c r="G13" s="58" t="str">
        <f t="shared" ca="1" si="0"/>
        <v/>
      </c>
      <c r="H13" s="58" t="str">
        <f t="shared" ca="1" si="0"/>
        <v/>
      </c>
      <c r="I13" s="58" t="str">
        <f t="shared" ca="1" si="0"/>
        <v/>
      </c>
      <c r="J13" s="58" t="str">
        <f t="shared" ca="1" si="0"/>
        <v/>
      </c>
      <c r="K13" s="58" t="str">
        <f t="shared" ca="1" si="0"/>
        <v/>
      </c>
      <c r="L13" s="58" t="str">
        <f t="shared" ca="1" si="0"/>
        <v/>
      </c>
      <c r="P13" s="247"/>
      <c r="Q13" s="247"/>
      <c r="R13" s="247"/>
      <c r="S13" s="247"/>
      <c r="T13" s="247"/>
      <c r="U13" s="247"/>
      <c r="V13" s="247"/>
      <c r="W13" s="247"/>
      <c r="X13" s="247"/>
      <c r="Y13" s="247"/>
      <c r="Z13" s="247"/>
    </row>
    <row r="14" spans="2:26">
      <c r="B14" s="56" t="str">
        <f>IF('Low Stress Type Gasket'!BE19="","",'Low Stress Type Gasket'!BE19)</f>
        <v/>
      </c>
      <c r="C14" s="58" t="str">
        <f t="shared" ca="1" si="0"/>
        <v/>
      </c>
      <c r="D14" s="58" t="str">
        <f t="shared" ca="1" si="0"/>
        <v/>
      </c>
      <c r="E14" s="58" t="str">
        <f t="shared" ca="1" si="0"/>
        <v/>
      </c>
      <c r="F14" s="58" t="str">
        <f t="shared" ca="1" si="0"/>
        <v/>
      </c>
      <c r="G14" s="58" t="str">
        <f t="shared" ca="1" si="0"/>
        <v/>
      </c>
      <c r="H14" s="58" t="str">
        <f t="shared" ca="1" si="0"/>
        <v/>
      </c>
      <c r="I14" s="58" t="str">
        <f t="shared" ca="1" si="0"/>
        <v/>
      </c>
      <c r="J14" s="58" t="str">
        <f t="shared" ca="1" si="0"/>
        <v/>
      </c>
      <c r="K14" s="58" t="str">
        <f t="shared" ca="1" si="0"/>
        <v/>
      </c>
      <c r="L14" s="58" t="str">
        <f t="shared" ca="1" si="0"/>
        <v/>
      </c>
      <c r="P14" s="247"/>
      <c r="Q14" s="247"/>
      <c r="R14" s="247"/>
      <c r="S14" s="247"/>
      <c r="T14" s="247"/>
      <c r="U14" s="247"/>
      <c r="V14" s="247"/>
      <c r="W14" s="247"/>
      <c r="X14" s="247"/>
      <c r="Y14" s="247"/>
      <c r="Z14" s="247"/>
    </row>
    <row r="15" spans="2:26">
      <c r="B15" s="56" t="str">
        <f>IF('Low Stress Type Gasket'!BE20="","",'Low Stress Type Gasket'!BE20)</f>
        <v/>
      </c>
      <c r="C15" s="58" t="str">
        <f t="shared" ca="1" si="0"/>
        <v/>
      </c>
      <c r="D15" s="58" t="str">
        <f t="shared" ca="1" si="0"/>
        <v/>
      </c>
      <c r="E15" s="58" t="str">
        <f t="shared" ca="1" si="0"/>
        <v/>
      </c>
      <c r="F15" s="58" t="str">
        <f t="shared" ca="1" si="0"/>
        <v/>
      </c>
      <c r="G15" s="58" t="str">
        <f t="shared" ca="1" si="0"/>
        <v/>
      </c>
      <c r="H15" s="58" t="str">
        <f t="shared" ca="1" si="0"/>
        <v/>
      </c>
      <c r="I15" s="58" t="str">
        <f t="shared" ca="1" si="0"/>
        <v/>
      </c>
      <c r="J15" s="58" t="str">
        <f t="shared" ca="1" si="0"/>
        <v/>
      </c>
      <c r="K15" s="58" t="str">
        <f t="shared" ca="1" si="0"/>
        <v/>
      </c>
      <c r="L15" s="58" t="str">
        <f t="shared" ca="1" si="0"/>
        <v/>
      </c>
      <c r="P15" s="241"/>
      <c r="Q15" s="241"/>
      <c r="R15" s="241"/>
      <c r="S15" s="241"/>
      <c r="T15" s="241"/>
      <c r="U15" s="241"/>
      <c r="V15" s="241"/>
      <c r="W15" s="241"/>
      <c r="X15" s="241"/>
      <c r="Y15" s="241"/>
      <c r="Z15" s="241"/>
    </row>
    <row r="16" spans="2:26">
      <c r="B16" s="56" t="str">
        <f>IF('Low Stress Type Gasket'!BE21="","",'Low Stress Type Gasket'!BE21)</f>
        <v/>
      </c>
      <c r="C16" s="58" t="str">
        <f t="shared" ca="1" si="0"/>
        <v/>
      </c>
      <c r="D16" s="58" t="str">
        <f t="shared" ca="1" si="0"/>
        <v/>
      </c>
      <c r="E16" s="58" t="str">
        <f t="shared" ca="1" si="0"/>
        <v/>
      </c>
      <c r="F16" s="58" t="str">
        <f t="shared" ca="1" si="0"/>
        <v/>
      </c>
      <c r="G16" s="58" t="str">
        <f t="shared" ca="1" si="0"/>
        <v/>
      </c>
      <c r="H16" s="58" t="str">
        <f t="shared" ca="1" si="0"/>
        <v/>
      </c>
      <c r="I16" s="58" t="str">
        <f t="shared" ca="1" si="0"/>
        <v/>
      </c>
      <c r="J16" s="58" t="str">
        <f t="shared" ca="1" si="0"/>
        <v/>
      </c>
      <c r="K16" s="58" t="str">
        <f t="shared" ca="1" si="0"/>
        <v/>
      </c>
      <c r="L16" s="58" t="str">
        <f t="shared" ca="1" si="0"/>
        <v/>
      </c>
      <c r="P16" s="247"/>
      <c r="Q16" s="247"/>
      <c r="R16" s="247"/>
      <c r="S16" s="247"/>
      <c r="T16" s="247"/>
      <c r="U16" s="247"/>
      <c r="V16" s="247"/>
      <c r="W16" s="247"/>
      <c r="X16" s="247"/>
      <c r="Y16" s="247"/>
      <c r="Z16" s="247"/>
    </row>
    <row r="17" spans="2:26">
      <c r="B17" s="56" t="str">
        <f>IF('Low Stress Type Gasket'!BE22="","",'Low Stress Type Gasket'!BE22)</f>
        <v/>
      </c>
      <c r="C17" s="58" t="str">
        <f t="shared" ca="1" si="0"/>
        <v/>
      </c>
      <c r="D17" s="58" t="str">
        <f t="shared" ca="1" si="0"/>
        <v/>
      </c>
      <c r="E17" s="58" t="str">
        <f t="shared" ca="1" si="0"/>
        <v/>
      </c>
      <c r="F17" s="58" t="str">
        <f t="shared" ca="1" si="0"/>
        <v/>
      </c>
      <c r="G17" s="58" t="str">
        <f t="shared" ca="1" si="0"/>
        <v/>
      </c>
      <c r="H17" s="58" t="str">
        <f t="shared" ca="1" si="0"/>
        <v/>
      </c>
      <c r="I17" s="58" t="str">
        <f t="shared" ca="1" si="0"/>
        <v/>
      </c>
      <c r="J17" s="58" t="str">
        <f t="shared" ca="1" si="0"/>
        <v/>
      </c>
      <c r="K17" s="58" t="str">
        <f t="shared" ca="1" si="0"/>
        <v/>
      </c>
      <c r="L17" s="58" t="str">
        <f t="shared" ca="1" si="0"/>
        <v/>
      </c>
      <c r="P17" s="247"/>
      <c r="Q17" s="247"/>
      <c r="R17" s="247"/>
      <c r="S17" s="247"/>
      <c r="T17" s="247"/>
      <c r="U17" s="247"/>
      <c r="V17" s="247"/>
      <c r="W17" s="247"/>
      <c r="X17" s="247"/>
      <c r="Y17" s="247"/>
      <c r="Z17" s="247"/>
    </row>
    <row r="18" spans="2:26">
      <c r="B18" s="56" t="str">
        <f>IF('Low Stress Type Gasket'!BE23="","",'Low Stress Type Gasket'!BE23)</f>
        <v/>
      </c>
      <c r="C18" s="58" t="str">
        <f t="shared" ca="1" si="0"/>
        <v/>
      </c>
      <c r="D18" s="58" t="str">
        <f t="shared" ca="1" si="0"/>
        <v/>
      </c>
      <c r="E18" s="58" t="str">
        <f t="shared" ca="1" si="0"/>
        <v/>
      </c>
      <c r="F18" s="58" t="str">
        <f t="shared" ca="1" si="0"/>
        <v/>
      </c>
      <c r="G18" s="58" t="str">
        <f t="shared" ca="1" si="0"/>
        <v/>
      </c>
      <c r="H18" s="58" t="str">
        <f t="shared" ca="1" si="0"/>
        <v/>
      </c>
      <c r="I18" s="58" t="str">
        <f t="shared" ca="1" si="0"/>
        <v/>
      </c>
      <c r="J18" s="58" t="str">
        <f t="shared" ca="1" si="0"/>
        <v/>
      </c>
      <c r="K18" s="58" t="str">
        <f t="shared" ca="1" si="0"/>
        <v/>
      </c>
      <c r="L18" s="58" t="str">
        <f t="shared" ca="1" si="0"/>
        <v/>
      </c>
      <c r="P18" s="241"/>
      <c r="Q18" s="241"/>
      <c r="R18" s="241"/>
      <c r="S18" s="241"/>
      <c r="T18" s="241"/>
      <c r="U18" s="241"/>
      <c r="V18" s="241"/>
      <c r="W18" s="241"/>
      <c r="X18" s="241"/>
      <c r="Y18" s="241"/>
      <c r="Z18" s="241"/>
    </row>
    <row r="19" spans="2:26">
      <c r="B19" s="56" t="str">
        <f>IF('Low Stress Type Gasket'!BE24="","",'Low Stress Type Gasket'!BE24)</f>
        <v/>
      </c>
      <c r="C19" s="58" t="str">
        <f t="shared" ca="1" si="0"/>
        <v/>
      </c>
      <c r="D19" s="58" t="str">
        <f t="shared" ca="1" si="0"/>
        <v/>
      </c>
      <c r="E19" s="58" t="str">
        <f t="shared" ca="1" si="0"/>
        <v/>
      </c>
      <c r="F19" s="58" t="str">
        <f t="shared" ca="1" si="0"/>
        <v/>
      </c>
      <c r="G19" s="58" t="str">
        <f t="shared" ca="1" si="0"/>
        <v/>
      </c>
      <c r="H19" s="58" t="str">
        <f t="shared" ca="1" si="0"/>
        <v/>
      </c>
      <c r="I19" s="58" t="str">
        <f t="shared" ca="1" si="0"/>
        <v/>
      </c>
      <c r="J19" s="58" t="str">
        <f t="shared" ca="1" si="0"/>
        <v/>
      </c>
      <c r="K19" s="58" t="str">
        <f t="shared" ca="1" si="0"/>
        <v/>
      </c>
      <c r="L19" s="58" t="str">
        <f t="shared" ca="1" si="0"/>
        <v/>
      </c>
      <c r="P19" s="247"/>
      <c r="Q19" s="247"/>
      <c r="R19" s="247"/>
      <c r="S19" s="247"/>
      <c r="T19" s="247"/>
      <c r="U19" s="247"/>
      <c r="V19" s="247"/>
      <c r="W19" s="247"/>
      <c r="X19" s="247"/>
      <c r="Y19" s="247"/>
      <c r="Z19" s="247"/>
    </row>
    <row r="20" spans="2:26">
      <c r="B20" s="56" t="str">
        <f>IF('Low Stress Type Gasket'!BE25="","",'Low Stress Type Gasket'!BE25)</f>
        <v/>
      </c>
      <c r="C20" s="58" t="str">
        <f t="shared" ca="1" si="0"/>
        <v/>
      </c>
      <c r="D20" s="58" t="str">
        <f t="shared" ca="1" si="0"/>
        <v/>
      </c>
      <c r="E20" s="58" t="str">
        <f t="shared" ca="1" si="0"/>
        <v/>
      </c>
      <c r="F20" s="58" t="str">
        <f t="shared" ca="1" si="0"/>
        <v/>
      </c>
      <c r="G20" s="58" t="str">
        <f t="shared" ca="1" si="0"/>
        <v/>
      </c>
      <c r="H20" s="58" t="str">
        <f t="shared" ca="1" si="0"/>
        <v/>
      </c>
      <c r="I20" s="58" t="str">
        <f t="shared" ca="1" si="0"/>
        <v/>
      </c>
      <c r="J20" s="58" t="str">
        <f t="shared" ca="1" si="0"/>
        <v/>
      </c>
      <c r="K20" s="58" t="str">
        <f t="shared" ca="1" si="0"/>
        <v/>
      </c>
      <c r="L20" s="58" t="str">
        <f t="shared" ca="1" si="0"/>
        <v/>
      </c>
      <c r="P20" s="247"/>
      <c r="Q20" s="247"/>
      <c r="R20" s="247"/>
      <c r="S20" s="247"/>
      <c r="T20" s="247"/>
      <c r="U20" s="247"/>
      <c r="V20" s="247"/>
      <c r="W20" s="247"/>
      <c r="X20" s="247"/>
      <c r="Y20" s="247"/>
      <c r="Z20" s="247"/>
    </row>
    <row r="21" spans="2:26">
      <c r="B21" s="56" t="str">
        <f>IF('Low Stress Type Gasket'!BE26="","",'Low Stress Type Gasket'!BE26)</f>
        <v/>
      </c>
      <c r="C21" s="58" t="str">
        <f t="shared" ca="1" si="0"/>
        <v/>
      </c>
      <c r="D21" s="58" t="str">
        <f t="shared" ca="1" si="0"/>
        <v/>
      </c>
      <c r="E21" s="58" t="str">
        <f t="shared" ca="1" si="0"/>
        <v/>
      </c>
      <c r="F21" s="58" t="str">
        <f t="shared" ca="1" si="0"/>
        <v/>
      </c>
      <c r="G21" s="58" t="str">
        <f t="shared" ca="1" si="0"/>
        <v/>
      </c>
      <c r="H21" s="58" t="str">
        <f t="shared" ca="1" si="0"/>
        <v/>
      </c>
      <c r="I21" s="58" t="str">
        <f t="shared" ca="1" si="0"/>
        <v/>
      </c>
      <c r="J21" s="58" t="str">
        <f t="shared" ca="1" si="0"/>
        <v/>
      </c>
      <c r="K21" s="58" t="str">
        <f t="shared" ca="1" si="0"/>
        <v/>
      </c>
      <c r="L21" s="58" t="str">
        <f t="shared" ca="1" si="0"/>
        <v/>
      </c>
      <c r="P21" s="241"/>
      <c r="Q21" s="241"/>
      <c r="R21" s="241"/>
      <c r="S21" s="241"/>
      <c r="T21" s="241"/>
      <c r="U21" s="241"/>
      <c r="V21" s="241"/>
      <c r="W21" s="241"/>
      <c r="X21" s="241"/>
      <c r="Y21" s="241"/>
      <c r="Z21" s="241"/>
    </row>
    <row r="22" spans="2:26">
      <c r="B22" s="56" t="str">
        <f>IF('Low Stress Type Gasket'!BE27="","",'Low Stress Type Gasket'!BE27)</f>
        <v/>
      </c>
      <c r="C22" s="58" t="str">
        <f t="shared" ref="C22:L37" ca="1" si="1">IF($M$4=0,"",VLOOKUP($B22,INDIRECT("$P$1:$Z$"&amp;$M$4),COLUMN()-1,0))</f>
        <v/>
      </c>
      <c r="D22" s="58" t="str">
        <f t="shared" ca="1" si="1"/>
        <v/>
      </c>
      <c r="E22" s="58" t="str">
        <f t="shared" ca="1" si="1"/>
        <v/>
      </c>
      <c r="F22" s="58" t="str">
        <f t="shared" ca="1" si="1"/>
        <v/>
      </c>
      <c r="G22" s="58" t="str">
        <f t="shared" ca="1" si="1"/>
        <v/>
      </c>
      <c r="H22" s="58" t="str">
        <f t="shared" ca="1" si="1"/>
        <v/>
      </c>
      <c r="I22" s="58" t="str">
        <f t="shared" ca="1" si="1"/>
        <v/>
      </c>
      <c r="J22" s="58" t="str">
        <f t="shared" ca="1" si="1"/>
        <v/>
      </c>
      <c r="K22" s="58" t="str">
        <f t="shared" ca="1" si="1"/>
        <v/>
      </c>
      <c r="L22" s="58" t="str">
        <f t="shared" ca="1" si="1"/>
        <v/>
      </c>
      <c r="P22" s="247"/>
      <c r="Q22" s="247"/>
      <c r="R22" s="247"/>
      <c r="S22" s="247"/>
      <c r="T22" s="247"/>
      <c r="U22" s="247"/>
      <c r="V22" s="247"/>
      <c r="W22" s="247"/>
      <c r="X22" s="247"/>
      <c r="Y22" s="247"/>
      <c r="Z22" s="247"/>
    </row>
    <row r="23" spans="2:26">
      <c r="B23" s="56" t="str">
        <f>IF('Low Stress Type Gasket'!BE28="","",'Low Stress Type Gasket'!BE28)</f>
        <v/>
      </c>
      <c r="C23" s="58" t="str">
        <f t="shared" ca="1" si="1"/>
        <v/>
      </c>
      <c r="D23" s="58" t="str">
        <f t="shared" ca="1" si="1"/>
        <v/>
      </c>
      <c r="E23" s="58" t="str">
        <f t="shared" ca="1" si="1"/>
        <v/>
      </c>
      <c r="F23" s="58" t="str">
        <f t="shared" ca="1" si="1"/>
        <v/>
      </c>
      <c r="G23" s="58" t="str">
        <f t="shared" ca="1" si="1"/>
        <v/>
      </c>
      <c r="H23" s="58" t="str">
        <f t="shared" ca="1" si="1"/>
        <v/>
      </c>
      <c r="I23" s="58" t="str">
        <f t="shared" ca="1" si="1"/>
        <v/>
      </c>
      <c r="J23" s="58" t="str">
        <f t="shared" ca="1" si="1"/>
        <v/>
      </c>
      <c r="K23" s="58" t="str">
        <f t="shared" ca="1" si="1"/>
        <v/>
      </c>
      <c r="L23" s="58" t="str">
        <f t="shared" ca="1" si="1"/>
        <v/>
      </c>
      <c r="P23" s="247"/>
      <c r="Q23" s="247"/>
      <c r="R23" s="247"/>
      <c r="S23" s="247"/>
      <c r="T23" s="247"/>
      <c r="U23" s="247"/>
      <c r="V23" s="247"/>
      <c r="W23" s="247"/>
      <c r="X23" s="247"/>
      <c r="Y23" s="247"/>
      <c r="Z23" s="247"/>
    </row>
    <row r="24" spans="2:26">
      <c r="B24" s="56" t="str">
        <f>IF('Low Stress Type Gasket'!BE29="","",'Low Stress Type Gasket'!BE29)</f>
        <v/>
      </c>
      <c r="C24" s="58" t="str">
        <f t="shared" ca="1" si="1"/>
        <v/>
      </c>
      <c r="D24" s="58" t="str">
        <f t="shared" ca="1" si="1"/>
        <v/>
      </c>
      <c r="E24" s="58" t="str">
        <f t="shared" ca="1" si="1"/>
        <v/>
      </c>
      <c r="F24" s="58" t="str">
        <f t="shared" ca="1" si="1"/>
        <v/>
      </c>
      <c r="G24" s="58" t="str">
        <f t="shared" ca="1" si="1"/>
        <v/>
      </c>
      <c r="H24" s="58" t="str">
        <f t="shared" ca="1" si="1"/>
        <v/>
      </c>
      <c r="I24" s="58" t="str">
        <f t="shared" ca="1" si="1"/>
        <v/>
      </c>
      <c r="J24" s="58" t="str">
        <f t="shared" ca="1" si="1"/>
        <v/>
      </c>
      <c r="K24" s="58" t="str">
        <f t="shared" ca="1" si="1"/>
        <v/>
      </c>
      <c r="L24" s="58" t="str">
        <f t="shared" ca="1" si="1"/>
        <v/>
      </c>
      <c r="P24" s="241"/>
      <c r="Q24" s="241"/>
      <c r="R24" s="241"/>
      <c r="S24" s="241"/>
      <c r="T24" s="241"/>
      <c r="U24" s="241"/>
      <c r="V24" s="241"/>
      <c r="W24" s="241"/>
      <c r="X24" s="241"/>
      <c r="Y24" s="241"/>
      <c r="Z24" s="241"/>
    </row>
    <row r="25" spans="2:26">
      <c r="B25" s="56" t="str">
        <f>IF('Low Stress Type Gasket'!BE30="","",'Low Stress Type Gasket'!BE30)</f>
        <v/>
      </c>
      <c r="C25" s="58" t="str">
        <f t="shared" ca="1" si="1"/>
        <v/>
      </c>
      <c r="D25" s="58" t="str">
        <f t="shared" ca="1" si="1"/>
        <v/>
      </c>
      <c r="E25" s="58" t="str">
        <f t="shared" ca="1" si="1"/>
        <v/>
      </c>
      <c r="F25" s="58" t="str">
        <f t="shared" ca="1" si="1"/>
        <v/>
      </c>
      <c r="G25" s="58" t="str">
        <f t="shared" ca="1" si="1"/>
        <v/>
      </c>
      <c r="H25" s="58" t="str">
        <f t="shared" ca="1" si="1"/>
        <v/>
      </c>
      <c r="I25" s="58" t="str">
        <f t="shared" ca="1" si="1"/>
        <v/>
      </c>
      <c r="J25" s="58" t="str">
        <f t="shared" ca="1" si="1"/>
        <v/>
      </c>
      <c r="K25" s="58" t="str">
        <f t="shared" ca="1" si="1"/>
        <v/>
      </c>
      <c r="L25" s="58" t="str">
        <f t="shared" ca="1" si="1"/>
        <v/>
      </c>
      <c r="P25" s="247"/>
      <c r="Q25" s="247"/>
      <c r="R25" s="247"/>
      <c r="S25" s="247"/>
      <c r="T25" s="247"/>
      <c r="U25" s="247"/>
      <c r="V25" s="247"/>
      <c r="W25" s="247"/>
      <c r="X25" s="247"/>
      <c r="Y25" s="247"/>
      <c r="Z25" s="247"/>
    </row>
    <row r="26" spans="2:26">
      <c r="B26" s="56" t="str">
        <f>IF('Low Stress Type Gasket'!BE31="","",'Low Stress Type Gasket'!BE31)</f>
        <v/>
      </c>
      <c r="C26" s="58" t="str">
        <f t="shared" ca="1" si="1"/>
        <v/>
      </c>
      <c r="D26" s="58" t="str">
        <f t="shared" ca="1" si="1"/>
        <v/>
      </c>
      <c r="E26" s="58" t="str">
        <f t="shared" ca="1" si="1"/>
        <v/>
      </c>
      <c r="F26" s="58" t="str">
        <f t="shared" ca="1" si="1"/>
        <v/>
      </c>
      <c r="G26" s="58" t="str">
        <f t="shared" ca="1" si="1"/>
        <v/>
      </c>
      <c r="H26" s="58" t="str">
        <f t="shared" ca="1" si="1"/>
        <v/>
      </c>
      <c r="I26" s="58" t="str">
        <f t="shared" ca="1" si="1"/>
        <v/>
      </c>
      <c r="J26" s="58" t="str">
        <f t="shared" ca="1" si="1"/>
        <v/>
      </c>
      <c r="K26" s="58" t="str">
        <f t="shared" ca="1" si="1"/>
        <v/>
      </c>
      <c r="L26" s="58" t="str">
        <f t="shared" ca="1" si="1"/>
        <v/>
      </c>
      <c r="P26" s="247"/>
      <c r="Q26" s="247"/>
      <c r="R26" s="247"/>
      <c r="S26" s="247"/>
      <c r="T26" s="247"/>
      <c r="U26" s="247"/>
      <c r="V26" s="247"/>
      <c r="W26" s="247"/>
      <c r="X26" s="247"/>
      <c r="Y26" s="247"/>
      <c r="Z26" s="247"/>
    </row>
    <row r="27" spans="2:26">
      <c r="B27" s="56" t="str">
        <f>IF('Low Stress Type Gasket'!BE32="","",'Low Stress Type Gasket'!BE32)</f>
        <v/>
      </c>
      <c r="C27" s="58" t="str">
        <f t="shared" ca="1" si="1"/>
        <v/>
      </c>
      <c r="D27" s="58" t="str">
        <f t="shared" ca="1" si="1"/>
        <v/>
      </c>
      <c r="E27" s="58" t="str">
        <f t="shared" ca="1" si="1"/>
        <v/>
      </c>
      <c r="F27" s="58" t="str">
        <f t="shared" ca="1" si="1"/>
        <v/>
      </c>
      <c r="G27" s="58" t="str">
        <f t="shared" ca="1" si="1"/>
        <v/>
      </c>
      <c r="H27" s="58" t="str">
        <f t="shared" ca="1" si="1"/>
        <v/>
      </c>
      <c r="I27" s="58" t="str">
        <f t="shared" ca="1" si="1"/>
        <v/>
      </c>
      <c r="J27" s="58" t="str">
        <f t="shared" ca="1" si="1"/>
        <v/>
      </c>
      <c r="K27" s="58" t="str">
        <f t="shared" ca="1" si="1"/>
        <v/>
      </c>
      <c r="L27" s="58" t="str">
        <f t="shared" ca="1" si="1"/>
        <v/>
      </c>
      <c r="P27" s="241"/>
      <c r="Q27" s="241"/>
      <c r="R27" s="241"/>
      <c r="S27" s="241"/>
      <c r="T27" s="241"/>
      <c r="U27" s="241"/>
      <c r="V27" s="241"/>
      <c r="W27" s="241"/>
      <c r="X27" s="241"/>
      <c r="Y27" s="241"/>
      <c r="Z27" s="241"/>
    </row>
    <row r="28" spans="2:26">
      <c r="B28" s="56" t="str">
        <f>IF('Low Stress Type Gasket'!BE33="","",'Low Stress Type Gasket'!BE33)</f>
        <v/>
      </c>
      <c r="C28" s="58" t="str">
        <f t="shared" ca="1" si="1"/>
        <v/>
      </c>
      <c r="D28" s="58" t="str">
        <f t="shared" ca="1" si="1"/>
        <v/>
      </c>
      <c r="E28" s="58" t="str">
        <f t="shared" ca="1" si="1"/>
        <v/>
      </c>
      <c r="F28" s="58" t="str">
        <f t="shared" ca="1" si="1"/>
        <v/>
      </c>
      <c r="G28" s="58" t="str">
        <f t="shared" ca="1" si="1"/>
        <v/>
      </c>
      <c r="H28" s="58" t="str">
        <f t="shared" ca="1" si="1"/>
        <v/>
      </c>
      <c r="I28" s="58" t="str">
        <f t="shared" ca="1" si="1"/>
        <v/>
      </c>
      <c r="J28" s="58" t="str">
        <f t="shared" ca="1" si="1"/>
        <v/>
      </c>
      <c r="K28" s="58" t="str">
        <f t="shared" ca="1" si="1"/>
        <v/>
      </c>
      <c r="L28" s="58" t="str">
        <f t="shared" ca="1" si="1"/>
        <v/>
      </c>
      <c r="P28" s="247"/>
      <c r="Q28" s="247"/>
      <c r="R28" s="247"/>
      <c r="S28" s="247"/>
      <c r="T28" s="247"/>
      <c r="U28" s="247"/>
      <c r="V28" s="247"/>
      <c r="W28" s="247"/>
      <c r="X28" s="247"/>
      <c r="Y28" s="247"/>
      <c r="Z28" s="247"/>
    </row>
    <row r="29" spans="2:26">
      <c r="B29" s="56" t="str">
        <f>IF('Low Stress Type Gasket'!BE34="","",'Low Stress Type Gasket'!BE34)</f>
        <v/>
      </c>
      <c r="C29" s="58" t="str">
        <f t="shared" ca="1" si="1"/>
        <v/>
      </c>
      <c r="D29" s="58" t="str">
        <f t="shared" ca="1" si="1"/>
        <v/>
      </c>
      <c r="E29" s="58" t="str">
        <f t="shared" ca="1" si="1"/>
        <v/>
      </c>
      <c r="F29" s="58" t="str">
        <f t="shared" ca="1" si="1"/>
        <v/>
      </c>
      <c r="G29" s="58" t="str">
        <f t="shared" ca="1" si="1"/>
        <v/>
      </c>
      <c r="H29" s="58" t="str">
        <f t="shared" ca="1" si="1"/>
        <v/>
      </c>
      <c r="I29" s="58" t="str">
        <f t="shared" ca="1" si="1"/>
        <v/>
      </c>
      <c r="J29" s="58" t="str">
        <f t="shared" ca="1" si="1"/>
        <v/>
      </c>
      <c r="K29" s="58" t="str">
        <f t="shared" ca="1" si="1"/>
        <v/>
      </c>
      <c r="L29" s="58" t="str">
        <f t="shared" ca="1" si="1"/>
        <v/>
      </c>
      <c r="P29" s="247"/>
      <c r="Q29" s="247"/>
      <c r="R29" s="247"/>
      <c r="S29" s="247"/>
      <c r="T29" s="247"/>
      <c r="U29" s="247"/>
      <c r="V29" s="247"/>
      <c r="W29" s="247"/>
      <c r="X29" s="247"/>
      <c r="Y29" s="247"/>
      <c r="Z29" s="247"/>
    </row>
    <row r="30" spans="2:26">
      <c r="B30" s="56" t="str">
        <f>IF('Low Stress Type Gasket'!BE35="","",'Low Stress Type Gasket'!BE35)</f>
        <v/>
      </c>
      <c r="C30" s="58" t="str">
        <f t="shared" ca="1" si="1"/>
        <v/>
      </c>
      <c r="D30" s="58" t="str">
        <f t="shared" ca="1" si="1"/>
        <v/>
      </c>
      <c r="E30" s="58" t="str">
        <f t="shared" ca="1" si="1"/>
        <v/>
      </c>
      <c r="F30" s="58" t="str">
        <f t="shared" ca="1" si="1"/>
        <v/>
      </c>
      <c r="G30" s="58" t="str">
        <f t="shared" ca="1" si="1"/>
        <v/>
      </c>
      <c r="H30" s="58" t="str">
        <f t="shared" ca="1" si="1"/>
        <v/>
      </c>
      <c r="I30" s="58" t="str">
        <f t="shared" ca="1" si="1"/>
        <v/>
      </c>
      <c r="J30" s="58" t="str">
        <f t="shared" ca="1" si="1"/>
        <v/>
      </c>
      <c r="K30" s="58" t="str">
        <f t="shared" ca="1" si="1"/>
        <v/>
      </c>
      <c r="L30" s="58" t="str">
        <f t="shared" ca="1" si="1"/>
        <v/>
      </c>
      <c r="P30" s="241"/>
      <c r="Q30" s="241"/>
      <c r="R30" s="241"/>
      <c r="S30" s="241"/>
      <c r="T30" s="241"/>
      <c r="U30" s="241"/>
      <c r="V30" s="241"/>
      <c r="W30" s="241"/>
      <c r="X30" s="241"/>
      <c r="Y30" s="241"/>
      <c r="Z30" s="241"/>
    </row>
    <row r="31" spans="2:26">
      <c r="B31" s="56" t="str">
        <f>IF('Low Stress Type Gasket'!BE36="","",'Low Stress Type Gasket'!BE36)</f>
        <v/>
      </c>
      <c r="C31" s="58" t="str">
        <f t="shared" ca="1" si="1"/>
        <v/>
      </c>
      <c r="D31" s="58" t="str">
        <f t="shared" ca="1" si="1"/>
        <v/>
      </c>
      <c r="E31" s="58" t="str">
        <f t="shared" ca="1" si="1"/>
        <v/>
      </c>
      <c r="F31" s="58" t="str">
        <f t="shared" ca="1" si="1"/>
        <v/>
      </c>
      <c r="G31" s="58" t="str">
        <f t="shared" ca="1" si="1"/>
        <v/>
      </c>
      <c r="H31" s="58" t="str">
        <f t="shared" ca="1" si="1"/>
        <v/>
      </c>
      <c r="I31" s="58" t="str">
        <f t="shared" ca="1" si="1"/>
        <v/>
      </c>
      <c r="J31" s="58" t="str">
        <f t="shared" ca="1" si="1"/>
        <v/>
      </c>
      <c r="K31" s="58" t="str">
        <f t="shared" ca="1" si="1"/>
        <v/>
      </c>
      <c r="L31" s="58" t="str">
        <f t="shared" ca="1" si="1"/>
        <v/>
      </c>
      <c r="P31" s="247"/>
      <c r="Q31" s="247"/>
      <c r="R31" s="247"/>
      <c r="S31" s="247"/>
      <c r="T31" s="247"/>
      <c r="U31" s="247"/>
      <c r="V31" s="247"/>
      <c r="W31" s="247"/>
      <c r="X31" s="247"/>
      <c r="Y31" s="247"/>
      <c r="Z31" s="247"/>
    </row>
    <row r="32" spans="2:26">
      <c r="B32" s="56" t="str">
        <f>IF('Low Stress Type Gasket'!BE37="","",'Low Stress Type Gasket'!BE37)</f>
        <v/>
      </c>
      <c r="C32" s="58" t="str">
        <f t="shared" ca="1" si="1"/>
        <v/>
      </c>
      <c r="D32" s="58" t="str">
        <f t="shared" ca="1" si="1"/>
        <v/>
      </c>
      <c r="E32" s="58" t="str">
        <f t="shared" ca="1" si="1"/>
        <v/>
      </c>
      <c r="F32" s="58" t="str">
        <f t="shared" ca="1" si="1"/>
        <v/>
      </c>
      <c r="G32" s="58" t="str">
        <f t="shared" ca="1" si="1"/>
        <v/>
      </c>
      <c r="H32" s="58" t="str">
        <f t="shared" ca="1" si="1"/>
        <v/>
      </c>
      <c r="I32" s="58" t="str">
        <f t="shared" ca="1" si="1"/>
        <v/>
      </c>
      <c r="J32" s="58" t="str">
        <f t="shared" ca="1" si="1"/>
        <v/>
      </c>
      <c r="K32" s="58" t="str">
        <f t="shared" ca="1" si="1"/>
        <v/>
      </c>
      <c r="L32" s="58" t="str">
        <f t="shared" ca="1" si="1"/>
        <v/>
      </c>
      <c r="P32" s="247"/>
      <c r="Q32" s="247"/>
      <c r="R32" s="247"/>
      <c r="S32" s="247"/>
      <c r="T32" s="247"/>
      <c r="U32" s="247"/>
      <c r="V32" s="247"/>
      <c r="W32" s="247"/>
      <c r="X32" s="247"/>
      <c r="Y32" s="247"/>
      <c r="Z32" s="247"/>
    </row>
    <row r="33" spans="2:26">
      <c r="B33" s="56" t="str">
        <f>IF('Low Stress Type Gasket'!BE38="","",'Low Stress Type Gasket'!BE38)</f>
        <v/>
      </c>
      <c r="C33" s="58" t="str">
        <f t="shared" ca="1" si="1"/>
        <v/>
      </c>
      <c r="D33" s="58" t="str">
        <f t="shared" ca="1" si="1"/>
        <v/>
      </c>
      <c r="E33" s="58" t="str">
        <f t="shared" ca="1" si="1"/>
        <v/>
      </c>
      <c r="F33" s="58" t="str">
        <f t="shared" ca="1" si="1"/>
        <v/>
      </c>
      <c r="G33" s="58" t="str">
        <f t="shared" ca="1" si="1"/>
        <v/>
      </c>
      <c r="H33" s="58" t="str">
        <f t="shared" ca="1" si="1"/>
        <v/>
      </c>
      <c r="I33" s="58" t="str">
        <f t="shared" ca="1" si="1"/>
        <v/>
      </c>
      <c r="J33" s="58" t="str">
        <f t="shared" ca="1" si="1"/>
        <v/>
      </c>
      <c r="K33" s="58" t="str">
        <f t="shared" ca="1" si="1"/>
        <v/>
      </c>
      <c r="L33" s="58" t="str">
        <f t="shared" ca="1" si="1"/>
        <v/>
      </c>
      <c r="P33" s="241"/>
      <c r="Q33" s="241"/>
      <c r="R33" s="241"/>
      <c r="S33" s="241"/>
      <c r="T33" s="241"/>
      <c r="U33" s="241"/>
      <c r="V33" s="241"/>
      <c r="W33" s="241"/>
      <c r="X33" s="241"/>
      <c r="Y33" s="241"/>
      <c r="Z33" s="241"/>
    </row>
    <row r="34" spans="2:26">
      <c r="B34" s="56" t="str">
        <f>IF('Low Stress Type Gasket'!BE39="","",'Low Stress Type Gasket'!BE39)</f>
        <v/>
      </c>
      <c r="C34" s="58" t="str">
        <f t="shared" ca="1" si="1"/>
        <v/>
      </c>
      <c r="D34" s="58" t="str">
        <f t="shared" ca="1" si="1"/>
        <v/>
      </c>
      <c r="E34" s="58" t="str">
        <f t="shared" ca="1" si="1"/>
        <v/>
      </c>
      <c r="F34" s="58" t="str">
        <f t="shared" ca="1" si="1"/>
        <v/>
      </c>
      <c r="G34" s="58" t="str">
        <f t="shared" ca="1" si="1"/>
        <v/>
      </c>
      <c r="H34" s="58" t="str">
        <f t="shared" ca="1" si="1"/>
        <v/>
      </c>
      <c r="I34" s="58" t="str">
        <f t="shared" ca="1" si="1"/>
        <v/>
      </c>
      <c r="J34" s="58" t="str">
        <f t="shared" ca="1" si="1"/>
        <v/>
      </c>
      <c r="K34" s="58" t="str">
        <f t="shared" ca="1" si="1"/>
        <v/>
      </c>
      <c r="L34" s="58" t="str">
        <f t="shared" ca="1" si="1"/>
        <v/>
      </c>
      <c r="P34" s="247"/>
      <c r="Q34" s="247"/>
      <c r="R34" s="247"/>
      <c r="S34" s="247"/>
      <c r="T34" s="247"/>
      <c r="U34" s="247"/>
      <c r="V34" s="247"/>
      <c r="W34" s="247"/>
      <c r="X34" s="247"/>
      <c r="Y34" s="247"/>
      <c r="Z34" s="247"/>
    </row>
    <row r="35" spans="2:26">
      <c r="B35" s="56" t="str">
        <f>IF('Low Stress Type Gasket'!BE40="","",'Low Stress Type Gasket'!BE40)</f>
        <v/>
      </c>
      <c r="C35" s="58" t="str">
        <f t="shared" ca="1" si="1"/>
        <v/>
      </c>
      <c r="D35" s="58" t="str">
        <f t="shared" ca="1" si="1"/>
        <v/>
      </c>
      <c r="E35" s="58" t="str">
        <f t="shared" ca="1" si="1"/>
        <v/>
      </c>
      <c r="F35" s="58" t="str">
        <f t="shared" ca="1" si="1"/>
        <v/>
      </c>
      <c r="G35" s="58" t="str">
        <f t="shared" ca="1" si="1"/>
        <v/>
      </c>
      <c r="H35" s="58" t="str">
        <f t="shared" ca="1" si="1"/>
        <v/>
      </c>
      <c r="I35" s="58" t="str">
        <f t="shared" ca="1" si="1"/>
        <v/>
      </c>
      <c r="J35" s="58" t="str">
        <f t="shared" ca="1" si="1"/>
        <v/>
      </c>
      <c r="K35" s="58" t="str">
        <f t="shared" ca="1" si="1"/>
        <v/>
      </c>
      <c r="L35" s="58" t="str">
        <f t="shared" ca="1" si="1"/>
        <v/>
      </c>
      <c r="P35" s="247"/>
      <c r="Q35" s="247"/>
      <c r="R35" s="247"/>
      <c r="S35" s="247"/>
      <c r="T35" s="247"/>
      <c r="U35" s="247"/>
      <c r="V35" s="247"/>
      <c r="W35" s="247"/>
      <c r="X35" s="247"/>
      <c r="Y35" s="247"/>
      <c r="Z35" s="247"/>
    </row>
    <row r="36" spans="2:26">
      <c r="B36" s="56" t="str">
        <f>IF('Low Stress Type Gasket'!BE41="","",'Low Stress Type Gasket'!BE41)</f>
        <v/>
      </c>
      <c r="C36" s="58" t="str">
        <f t="shared" ca="1" si="1"/>
        <v/>
      </c>
      <c r="D36" s="58" t="str">
        <f t="shared" ca="1" si="1"/>
        <v/>
      </c>
      <c r="E36" s="58" t="str">
        <f t="shared" ca="1" si="1"/>
        <v/>
      </c>
      <c r="F36" s="58" t="str">
        <f t="shared" ca="1" si="1"/>
        <v/>
      </c>
      <c r="G36" s="58" t="str">
        <f t="shared" ca="1" si="1"/>
        <v/>
      </c>
      <c r="H36" s="58" t="str">
        <f t="shared" ca="1" si="1"/>
        <v/>
      </c>
      <c r="I36" s="58" t="str">
        <f t="shared" ca="1" si="1"/>
        <v/>
      </c>
      <c r="J36" s="58" t="str">
        <f t="shared" ca="1" si="1"/>
        <v/>
      </c>
      <c r="K36" s="58" t="str">
        <f t="shared" ca="1" si="1"/>
        <v/>
      </c>
      <c r="L36" s="58" t="str">
        <f t="shared" ca="1" si="1"/>
        <v/>
      </c>
      <c r="P36" s="241"/>
      <c r="Q36" s="241"/>
      <c r="R36" s="241"/>
      <c r="S36" s="241"/>
      <c r="T36" s="241"/>
      <c r="U36" s="241"/>
      <c r="V36" s="241"/>
      <c r="W36" s="241"/>
      <c r="X36" s="241"/>
      <c r="Y36" s="241"/>
      <c r="Z36" s="241"/>
    </row>
    <row r="37" spans="2:26">
      <c r="B37" s="56" t="str">
        <f>IF('Low Stress Type Gasket'!BE42="","",'Low Stress Type Gasket'!BE42)</f>
        <v/>
      </c>
      <c r="C37" s="58" t="str">
        <f t="shared" ca="1" si="1"/>
        <v/>
      </c>
      <c r="D37" s="58" t="str">
        <f t="shared" ca="1" si="1"/>
        <v/>
      </c>
      <c r="E37" s="58" t="str">
        <f t="shared" ca="1" si="1"/>
        <v/>
      </c>
      <c r="F37" s="58" t="str">
        <f t="shared" ca="1" si="1"/>
        <v/>
      </c>
      <c r="G37" s="58" t="str">
        <f t="shared" ca="1" si="1"/>
        <v/>
      </c>
      <c r="H37" s="58" t="str">
        <f t="shared" ca="1" si="1"/>
        <v/>
      </c>
      <c r="I37" s="58" t="str">
        <f t="shared" ca="1" si="1"/>
        <v/>
      </c>
      <c r="J37" s="58" t="str">
        <f t="shared" ca="1" si="1"/>
        <v/>
      </c>
      <c r="K37" s="58" t="str">
        <f t="shared" ca="1" si="1"/>
        <v/>
      </c>
      <c r="L37" s="58" t="str">
        <f t="shared" ca="1" si="1"/>
        <v/>
      </c>
      <c r="P37" s="247"/>
      <c r="Q37" s="247"/>
      <c r="R37" s="247"/>
      <c r="S37" s="247"/>
      <c r="T37" s="247"/>
      <c r="U37" s="247"/>
      <c r="V37" s="247"/>
      <c r="W37" s="247"/>
      <c r="X37" s="247"/>
      <c r="Y37" s="247"/>
      <c r="Z37" s="247"/>
    </row>
    <row r="38" spans="2:26">
      <c r="B38" s="56" t="str">
        <f>IF('Low Stress Type Gasket'!BE43="","",'Low Stress Type Gasket'!BE43)</f>
        <v/>
      </c>
      <c r="C38" s="58" t="str">
        <f t="shared" ref="C38:L53" ca="1" si="2">IF($M$4=0,"",VLOOKUP($B38,INDIRECT("$P$1:$Z$"&amp;$M$4),COLUMN()-1,0))</f>
        <v/>
      </c>
      <c r="D38" s="58" t="str">
        <f t="shared" ca="1" si="2"/>
        <v/>
      </c>
      <c r="E38" s="58" t="str">
        <f t="shared" ca="1" si="2"/>
        <v/>
      </c>
      <c r="F38" s="58" t="str">
        <f t="shared" ca="1" si="2"/>
        <v/>
      </c>
      <c r="G38" s="58" t="str">
        <f t="shared" ca="1" si="2"/>
        <v/>
      </c>
      <c r="H38" s="58" t="str">
        <f t="shared" ca="1" si="2"/>
        <v/>
      </c>
      <c r="I38" s="58" t="str">
        <f t="shared" ca="1" si="2"/>
        <v/>
      </c>
      <c r="J38" s="58" t="str">
        <f t="shared" ca="1" si="2"/>
        <v/>
      </c>
      <c r="K38" s="58" t="str">
        <f t="shared" ca="1" si="2"/>
        <v/>
      </c>
      <c r="L38" s="58" t="str">
        <f t="shared" ca="1" si="2"/>
        <v/>
      </c>
      <c r="P38" s="247"/>
      <c r="Q38" s="247"/>
      <c r="R38" s="247"/>
      <c r="S38" s="247"/>
      <c r="T38" s="247"/>
      <c r="U38" s="247"/>
      <c r="V38" s="247"/>
      <c r="W38" s="247"/>
      <c r="X38" s="247"/>
      <c r="Y38" s="247"/>
      <c r="Z38" s="247"/>
    </row>
    <row r="39" spans="2:26">
      <c r="B39" s="56" t="str">
        <f>IF('Low Stress Type Gasket'!BE44="","",'Low Stress Type Gasket'!BE44)</f>
        <v/>
      </c>
      <c r="C39" s="58" t="str">
        <f t="shared" ca="1" si="2"/>
        <v/>
      </c>
      <c r="D39" s="58" t="str">
        <f t="shared" ca="1" si="2"/>
        <v/>
      </c>
      <c r="E39" s="58" t="str">
        <f t="shared" ca="1" si="2"/>
        <v/>
      </c>
      <c r="F39" s="58" t="str">
        <f t="shared" ca="1" si="2"/>
        <v/>
      </c>
      <c r="G39" s="58" t="str">
        <f t="shared" ca="1" si="2"/>
        <v/>
      </c>
      <c r="H39" s="58" t="str">
        <f t="shared" ca="1" si="2"/>
        <v/>
      </c>
      <c r="I39" s="58" t="str">
        <f t="shared" ca="1" si="2"/>
        <v/>
      </c>
      <c r="J39" s="58" t="str">
        <f t="shared" ca="1" si="2"/>
        <v/>
      </c>
      <c r="K39" s="58" t="str">
        <f t="shared" ca="1" si="2"/>
        <v/>
      </c>
      <c r="L39" s="58" t="str">
        <f t="shared" ca="1" si="2"/>
        <v/>
      </c>
      <c r="P39" s="241"/>
      <c r="Q39" s="241"/>
      <c r="R39" s="241"/>
      <c r="S39" s="241"/>
      <c r="T39" s="241"/>
      <c r="U39" s="241"/>
      <c r="V39" s="241"/>
      <c r="W39" s="241"/>
      <c r="X39" s="241"/>
      <c r="Y39" s="241"/>
      <c r="Z39" s="241"/>
    </row>
    <row r="40" spans="2:26">
      <c r="B40" s="56" t="str">
        <f>IF('Low Stress Type Gasket'!BE45="","",'Low Stress Type Gasket'!BE45)</f>
        <v/>
      </c>
      <c r="C40" s="58" t="str">
        <f t="shared" ca="1" si="2"/>
        <v/>
      </c>
      <c r="D40" s="58" t="str">
        <f t="shared" ca="1" si="2"/>
        <v/>
      </c>
      <c r="E40" s="58" t="str">
        <f t="shared" ca="1" si="2"/>
        <v/>
      </c>
      <c r="F40" s="58" t="str">
        <f t="shared" ca="1" si="2"/>
        <v/>
      </c>
      <c r="G40" s="58" t="str">
        <f t="shared" ca="1" si="2"/>
        <v/>
      </c>
      <c r="H40" s="58" t="str">
        <f t="shared" ca="1" si="2"/>
        <v/>
      </c>
      <c r="I40" s="58" t="str">
        <f t="shared" ca="1" si="2"/>
        <v/>
      </c>
      <c r="J40" s="58" t="str">
        <f t="shared" ca="1" si="2"/>
        <v/>
      </c>
      <c r="K40" s="58" t="str">
        <f t="shared" ca="1" si="2"/>
        <v/>
      </c>
      <c r="L40" s="58" t="str">
        <f t="shared" ca="1" si="2"/>
        <v/>
      </c>
      <c r="P40" s="247"/>
      <c r="Q40" s="247"/>
      <c r="R40" s="247"/>
      <c r="S40" s="247"/>
      <c r="T40" s="247"/>
      <c r="U40" s="247"/>
      <c r="V40" s="247"/>
      <c r="W40" s="247"/>
      <c r="X40" s="247"/>
      <c r="Y40" s="247"/>
      <c r="Z40" s="247"/>
    </row>
    <row r="41" spans="2:26">
      <c r="B41" s="56" t="str">
        <f>IF('Low Stress Type Gasket'!BE46="","",'Low Stress Type Gasket'!BE46)</f>
        <v/>
      </c>
      <c r="C41" s="58" t="str">
        <f t="shared" ca="1" si="2"/>
        <v/>
      </c>
      <c r="D41" s="58" t="str">
        <f t="shared" ca="1" si="2"/>
        <v/>
      </c>
      <c r="E41" s="58" t="str">
        <f t="shared" ca="1" si="2"/>
        <v/>
      </c>
      <c r="F41" s="58" t="str">
        <f t="shared" ca="1" si="2"/>
        <v/>
      </c>
      <c r="G41" s="58" t="str">
        <f t="shared" ca="1" si="2"/>
        <v/>
      </c>
      <c r="H41" s="58" t="str">
        <f t="shared" ca="1" si="2"/>
        <v/>
      </c>
      <c r="I41" s="58" t="str">
        <f t="shared" ca="1" si="2"/>
        <v/>
      </c>
      <c r="J41" s="58" t="str">
        <f t="shared" ca="1" si="2"/>
        <v/>
      </c>
      <c r="K41" s="58" t="str">
        <f t="shared" ca="1" si="2"/>
        <v/>
      </c>
      <c r="L41" s="58" t="str">
        <f t="shared" ca="1" si="2"/>
        <v/>
      </c>
      <c r="P41" s="247"/>
      <c r="Q41" s="247"/>
      <c r="R41" s="247"/>
      <c r="S41" s="247"/>
      <c r="T41" s="247"/>
      <c r="U41" s="247"/>
      <c r="V41" s="247"/>
      <c r="W41" s="247"/>
      <c r="X41" s="247"/>
      <c r="Y41" s="247"/>
      <c r="Z41" s="247"/>
    </row>
    <row r="42" spans="2:26">
      <c r="B42" s="56" t="str">
        <f>IF('Low Stress Type Gasket'!BE47="","",'Low Stress Type Gasket'!BE47)</f>
        <v/>
      </c>
      <c r="C42" s="58" t="str">
        <f t="shared" ca="1" si="2"/>
        <v/>
      </c>
      <c r="D42" s="58" t="str">
        <f t="shared" ca="1" si="2"/>
        <v/>
      </c>
      <c r="E42" s="58" t="str">
        <f t="shared" ca="1" si="2"/>
        <v/>
      </c>
      <c r="F42" s="58" t="str">
        <f t="shared" ca="1" si="2"/>
        <v/>
      </c>
      <c r="G42" s="58" t="str">
        <f t="shared" ca="1" si="2"/>
        <v/>
      </c>
      <c r="H42" s="58" t="str">
        <f t="shared" ca="1" si="2"/>
        <v/>
      </c>
      <c r="I42" s="58" t="str">
        <f t="shared" ca="1" si="2"/>
        <v/>
      </c>
      <c r="J42" s="58" t="str">
        <f t="shared" ca="1" si="2"/>
        <v/>
      </c>
      <c r="K42" s="58" t="str">
        <f t="shared" ca="1" si="2"/>
        <v/>
      </c>
      <c r="L42" s="58" t="str">
        <f t="shared" ca="1" si="2"/>
        <v/>
      </c>
      <c r="P42" s="241"/>
      <c r="Q42" s="241"/>
      <c r="R42" s="241"/>
      <c r="S42" s="241"/>
      <c r="T42" s="241"/>
      <c r="U42" s="241"/>
      <c r="V42" s="241"/>
      <c r="W42" s="241"/>
      <c r="X42" s="241"/>
      <c r="Y42" s="241"/>
      <c r="Z42" s="241"/>
    </row>
    <row r="43" spans="2:26">
      <c r="B43" s="56" t="str">
        <f>IF('Low Stress Type Gasket'!BE48="","",'Low Stress Type Gasket'!BE48)</f>
        <v/>
      </c>
      <c r="C43" s="58" t="str">
        <f t="shared" ca="1" si="2"/>
        <v/>
      </c>
      <c r="D43" s="58" t="str">
        <f t="shared" ca="1" si="2"/>
        <v/>
      </c>
      <c r="E43" s="58" t="str">
        <f t="shared" ca="1" si="2"/>
        <v/>
      </c>
      <c r="F43" s="58" t="str">
        <f t="shared" ca="1" si="2"/>
        <v/>
      </c>
      <c r="G43" s="58" t="str">
        <f t="shared" ca="1" si="2"/>
        <v/>
      </c>
      <c r="H43" s="58" t="str">
        <f t="shared" ca="1" si="2"/>
        <v/>
      </c>
      <c r="I43" s="58" t="str">
        <f t="shared" ca="1" si="2"/>
        <v/>
      </c>
      <c r="J43" s="58" t="str">
        <f t="shared" ca="1" si="2"/>
        <v/>
      </c>
      <c r="K43" s="58" t="str">
        <f t="shared" ca="1" si="2"/>
        <v/>
      </c>
      <c r="L43" s="58" t="str">
        <f t="shared" ca="1" si="2"/>
        <v/>
      </c>
      <c r="P43" s="247"/>
      <c r="Q43" s="247"/>
      <c r="R43" s="247"/>
      <c r="S43" s="247"/>
      <c r="T43" s="247"/>
      <c r="U43" s="247"/>
      <c r="V43" s="247"/>
      <c r="W43" s="247"/>
      <c r="X43" s="247"/>
      <c r="Y43" s="247"/>
      <c r="Z43" s="247"/>
    </row>
    <row r="44" spans="2:26">
      <c r="B44" s="56" t="str">
        <f>IF('Low Stress Type Gasket'!BE49="","",'Low Stress Type Gasket'!BE49)</f>
        <v/>
      </c>
      <c r="C44" s="58" t="str">
        <f t="shared" ca="1" si="2"/>
        <v/>
      </c>
      <c r="D44" s="58" t="str">
        <f t="shared" ca="1" si="2"/>
        <v/>
      </c>
      <c r="E44" s="58" t="str">
        <f t="shared" ca="1" si="2"/>
        <v/>
      </c>
      <c r="F44" s="58" t="str">
        <f t="shared" ca="1" si="2"/>
        <v/>
      </c>
      <c r="G44" s="58" t="str">
        <f t="shared" ca="1" si="2"/>
        <v/>
      </c>
      <c r="H44" s="58" t="str">
        <f t="shared" ca="1" si="2"/>
        <v/>
      </c>
      <c r="I44" s="58" t="str">
        <f t="shared" ca="1" si="2"/>
        <v/>
      </c>
      <c r="J44" s="58" t="str">
        <f t="shared" ca="1" si="2"/>
        <v/>
      </c>
      <c r="K44" s="58" t="str">
        <f t="shared" ca="1" si="2"/>
        <v/>
      </c>
      <c r="L44" s="58" t="str">
        <f t="shared" ca="1" si="2"/>
        <v/>
      </c>
      <c r="P44" s="247"/>
      <c r="Q44" s="247"/>
      <c r="R44" s="247"/>
      <c r="S44" s="247"/>
      <c r="T44" s="247"/>
      <c r="U44" s="247"/>
      <c r="V44" s="247"/>
      <c r="W44" s="247"/>
      <c r="X44" s="247"/>
      <c r="Y44" s="247"/>
      <c r="Z44" s="247"/>
    </row>
    <row r="45" spans="2:26">
      <c r="B45" s="56" t="str">
        <f>IF('Low Stress Type Gasket'!BE50="","",'Low Stress Type Gasket'!BE50)</f>
        <v/>
      </c>
      <c r="C45" s="58" t="str">
        <f t="shared" ca="1" si="2"/>
        <v/>
      </c>
      <c r="D45" s="58" t="str">
        <f t="shared" ca="1" si="2"/>
        <v/>
      </c>
      <c r="E45" s="58" t="str">
        <f t="shared" ca="1" si="2"/>
        <v/>
      </c>
      <c r="F45" s="58" t="str">
        <f t="shared" ca="1" si="2"/>
        <v/>
      </c>
      <c r="G45" s="58" t="str">
        <f t="shared" ca="1" si="2"/>
        <v/>
      </c>
      <c r="H45" s="58" t="str">
        <f t="shared" ca="1" si="2"/>
        <v/>
      </c>
      <c r="I45" s="58" t="str">
        <f t="shared" ca="1" si="2"/>
        <v/>
      </c>
      <c r="J45" s="58" t="str">
        <f t="shared" ca="1" si="2"/>
        <v/>
      </c>
      <c r="K45" s="58" t="str">
        <f t="shared" ca="1" si="2"/>
        <v/>
      </c>
      <c r="L45" s="58" t="str">
        <f t="shared" ca="1" si="2"/>
        <v/>
      </c>
      <c r="P45" s="241"/>
      <c r="Q45" s="241"/>
      <c r="R45" s="241"/>
      <c r="S45" s="241"/>
      <c r="T45" s="241"/>
      <c r="U45" s="241"/>
      <c r="V45" s="241"/>
      <c r="W45" s="241"/>
      <c r="X45" s="241"/>
      <c r="Y45" s="241"/>
      <c r="Z45" s="241"/>
    </row>
    <row r="46" spans="2:26">
      <c r="B46" s="56" t="str">
        <f>IF('Low Stress Type Gasket'!BE51="","",'Low Stress Type Gasket'!BE51)</f>
        <v/>
      </c>
      <c r="C46" s="58" t="str">
        <f t="shared" ca="1" si="2"/>
        <v/>
      </c>
      <c r="D46" s="58" t="str">
        <f t="shared" ca="1" si="2"/>
        <v/>
      </c>
      <c r="E46" s="58" t="str">
        <f t="shared" ca="1" si="2"/>
        <v/>
      </c>
      <c r="F46" s="58" t="str">
        <f t="shared" ca="1" si="2"/>
        <v/>
      </c>
      <c r="G46" s="58" t="str">
        <f t="shared" ca="1" si="2"/>
        <v/>
      </c>
      <c r="H46" s="58" t="str">
        <f t="shared" ca="1" si="2"/>
        <v/>
      </c>
      <c r="I46" s="58" t="str">
        <f t="shared" ca="1" si="2"/>
        <v/>
      </c>
      <c r="J46" s="58" t="str">
        <f t="shared" ca="1" si="2"/>
        <v/>
      </c>
      <c r="K46" s="58" t="str">
        <f t="shared" ca="1" si="2"/>
        <v/>
      </c>
      <c r="L46" s="58" t="str">
        <f t="shared" ca="1" si="2"/>
        <v/>
      </c>
      <c r="P46" s="247"/>
      <c r="Q46" s="247"/>
      <c r="R46" s="247"/>
      <c r="S46" s="247"/>
      <c r="T46" s="247"/>
      <c r="U46" s="247"/>
      <c r="V46" s="247"/>
      <c r="W46" s="247"/>
      <c r="X46" s="247"/>
      <c r="Y46" s="247"/>
      <c r="Z46" s="247"/>
    </row>
    <row r="47" spans="2:26">
      <c r="B47" s="56" t="str">
        <f>IF('Low Stress Type Gasket'!BE52="","",'Low Stress Type Gasket'!BE52)</f>
        <v/>
      </c>
      <c r="C47" s="58" t="str">
        <f t="shared" ca="1" si="2"/>
        <v/>
      </c>
      <c r="D47" s="58" t="str">
        <f t="shared" ca="1" si="2"/>
        <v/>
      </c>
      <c r="E47" s="58" t="str">
        <f t="shared" ca="1" si="2"/>
        <v/>
      </c>
      <c r="F47" s="58" t="str">
        <f t="shared" ca="1" si="2"/>
        <v/>
      </c>
      <c r="G47" s="58" t="str">
        <f t="shared" ca="1" si="2"/>
        <v/>
      </c>
      <c r="H47" s="58" t="str">
        <f t="shared" ca="1" si="2"/>
        <v/>
      </c>
      <c r="I47" s="58" t="str">
        <f t="shared" ca="1" si="2"/>
        <v/>
      </c>
      <c r="J47" s="58" t="str">
        <f t="shared" ca="1" si="2"/>
        <v/>
      </c>
      <c r="K47" s="58" t="str">
        <f t="shared" ca="1" si="2"/>
        <v/>
      </c>
      <c r="L47" s="58" t="str">
        <f t="shared" ca="1" si="2"/>
        <v/>
      </c>
      <c r="P47" s="247"/>
      <c r="Q47" s="247"/>
      <c r="R47" s="247"/>
      <c r="S47" s="247"/>
      <c r="T47" s="247"/>
      <c r="U47" s="247"/>
      <c r="V47" s="247"/>
      <c r="W47" s="247"/>
      <c r="X47" s="247"/>
      <c r="Y47" s="247"/>
      <c r="Z47" s="247"/>
    </row>
    <row r="48" spans="2:26">
      <c r="B48" s="56" t="str">
        <f>IF('Low Stress Type Gasket'!BE53="","",'Low Stress Type Gasket'!BE53)</f>
        <v/>
      </c>
      <c r="C48" s="58" t="str">
        <f t="shared" ca="1" si="2"/>
        <v/>
      </c>
      <c r="D48" s="58" t="str">
        <f t="shared" ca="1" si="2"/>
        <v/>
      </c>
      <c r="E48" s="58" t="str">
        <f t="shared" ca="1" si="2"/>
        <v/>
      </c>
      <c r="F48" s="58" t="str">
        <f t="shared" ca="1" si="2"/>
        <v/>
      </c>
      <c r="G48" s="58" t="str">
        <f t="shared" ca="1" si="2"/>
        <v/>
      </c>
      <c r="H48" s="58" t="str">
        <f t="shared" ca="1" si="2"/>
        <v/>
      </c>
      <c r="I48" s="58" t="str">
        <f t="shared" ca="1" si="2"/>
        <v/>
      </c>
      <c r="J48" s="58" t="str">
        <f t="shared" ca="1" si="2"/>
        <v/>
      </c>
      <c r="K48" s="58" t="str">
        <f t="shared" ca="1" si="2"/>
        <v/>
      </c>
      <c r="L48" s="58" t="str">
        <f t="shared" ca="1" si="2"/>
        <v/>
      </c>
      <c r="P48" s="241"/>
      <c r="Q48" s="241"/>
      <c r="R48" s="241"/>
      <c r="S48" s="241"/>
      <c r="T48" s="241"/>
      <c r="U48" s="241"/>
      <c r="V48" s="241"/>
      <c r="W48" s="241"/>
      <c r="X48" s="241"/>
      <c r="Y48" s="241"/>
      <c r="Z48" s="241"/>
    </row>
    <row r="49" spans="2:26">
      <c r="B49" s="56" t="str">
        <f>IF('Low Stress Type Gasket'!BE54="","",'Low Stress Type Gasket'!BE54)</f>
        <v/>
      </c>
      <c r="C49" s="58" t="str">
        <f t="shared" ca="1" si="2"/>
        <v/>
      </c>
      <c r="D49" s="58" t="str">
        <f t="shared" ca="1" si="2"/>
        <v/>
      </c>
      <c r="E49" s="58" t="str">
        <f t="shared" ca="1" si="2"/>
        <v/>
      </c>
      <c r="F49" s="58" t="str">
        <f t="shared" ca="1" si="2"/>
        <v/>
      </c>
      <c r="G49" s="58" t="str">
        <f t="shared" ca="1" si="2"/>
        <v/>
      </c>
      <c r="H49" s="58" t="str">
        <f t="shared" ca="1" si="2"/>
        <v/>
      </c>
      <c r="I49" s="58" t="str">
        <f t="shared" ca="1" si="2"/>
        <v/>
      </c>
      <c r="J49" s="58" t="str">
        <f t="shared" ca="1" si="2"/>
        <v/>
      </c>
      <c r="K49" s="58" t="str">
        <f t="shared" ca="1" si="2"/>
        <v/>
      </c>
      <c r="L49" s="58" t="str">
        <f t="shared" ca="1" si="2"/>
        <v/>
      </c>
      <c r="P49" s="247"/>
      <c r="Q49" s="247"/>
      <c r="R49" s="247"/>
      <c r="S49" s="247"/>
      <c r="T49" s="247"/>
      <c r="U49" s="247"/>
      <c r="V49" s="247"/>
      <c r="W49" s="247"/>
      <c r="X49" s="247"/>
      <c r="Y49" s="247"/>
      <c r="Z49" s="247"/>
    </row>
    <row r="50" spans="2:26">
      <c r="B50" s="56" t="str">
        <f>IF('Low Stress Type Gasket'!BE55="","",'Low Stress Type Gasket'!BE55)</f>
        <v/>
      </c>
      <c r="C50" s="58" t="str">
        <f t="shared" ca="1" si="2"/>
        <v/>
      </c>
      <c r="D50" s="58" t="str">
        <f t="shared" ca="1" si="2"/>
        <v/>
      </c>
      <c r="E50" s="58" t="str">
        <f t="shared" ca="1" si="2"/>
        <v/>
      </c>
      <c r="F50" s="58" t="str">
        <f t="shared" ca="1" si="2"/>
        <v/>
      </c>
      <c r="G50" s="58" t="str">
        <f t="shared" ca="1" si="2"/>
        <v/>
      </c>
      <c r="H50" s="58" t="str">
        <f t="shared" ca="1" si="2"/>
        <v/>
      </c>
      <c r="I50" s="58" t="str">
        <f t="shared" ca="1" si="2"/>
        <v/>
      </c>
      <c r="J50" s="58" t="str">
        <f t="shared" ca="1" si="2"/>
        <v/>
      </c>
      <c r="K50" s="58" t="str">
        <f t="shared" ca="1" si="2"/>
        <v/>
      </c>
      <c r="L50" s="58" t="str">
        <f t="shared" ca="1" si="2"/>
        <v/>
      </c>
      <c r="P50" s="247"/>
      <c r="Q50" s="247"/>
      <c r="R50" s="247"/>
      <c r="S50" s="247"/>
      <c r="T50" s="247"/>
      <c r="U50" s="247"/>
      <c r="V50" s="247"/>
      <c r="W50" s="247"/>
      <c r="X50" s="247"/>
      <c r="Y50" s="247"/>
      <c r="Z50" s="247"/>
    </row>
    <row r="51" spans="2:26">
      <c r="B51" s="56" t="str">
        <f>IF('Low Stress Type Gasket'!BE56="","",'Low Stress Type Gasket'!BE56)</f>
        <v/>
      </c>
      <c r="C51" s="58" t="str">
        <f t="shared" ca="1" si="2"/>
        <v/>
      </c>
      <c r="D51" s="58" t="str">
        <f t="shared" ca="1" si="2"/>
        <v/>
      </c>
      <c r="E51" s="58" t="str">
        <f t="shared" ca="1" si="2"/>
        <v/>
      </c>
      <c r="F51" s="58" t="str">
        <f t="shared" ca="1" si="2"/>
        <v/>
      </c>
      <c r="G51" s="58" t="str">
        <f t="shared" ca="1" si="2"/>
        <v/>
      </c>
      <c r="H51" s="58" t="str">
        <f t="shared" ca="1" si="2"/>
        <v/>
      </c>
      <c r="I51" s="58" t="str">
        <f t="shared" ca="1" si="2"/>
        <v/>
      </c>
      <c r="J51" s="58" t="str">
        <f t="shared" ca="1" si="2"/>
        <v/>
      </c>
      <c r="K51" s="58" t="str">
        <f t="shared" ca="1" si="2"/>
        <v/>
      </c>
      <c r="L51" s="58" t="str">
        <f t="shared" ca="1" si="2"/>
        <v/>
      </c>
      <c r="P51" s="241"/>
      <c r="Q51" s="241"/>
      <c r="R51" s="241"/>
      <c r="S51" s="241"/>
      <c r="T51" s="241"/>
      <c r="U51" s="241"/>
      <c r="V51" s="241"/>
      <c r="W51" s="241"/>
      <c r="X51" s="241"/>
      <c r="Y51" s="241"/>
      <c r="Z51" s="241"/>
    </row>
    <row r="52" spans="2:26">
      <c r="B52" s="56" t="str">
        <f>IF('Low Stress Type Gasket'!BE57="","",'Low Stress Type Gasket'!BE57)</f>
        <v/>
      </c>
      <c r="C52" s="58" t="str">
        <f t="shared" ca="1" si="2"/>
        <v/>
      </c>
      <c r="D52" s="58" t="str">
        <f t="shared" ca="1" si="2"/>
        <v/>
      </c>
      <c r="E52" s="58" t="str">
        <f t="shared" ca="1" si="2"/>
        <v/>
      </c>
      <c r="F52" s="58" t="str">
        <f t="shared" ca="1" si="2"/>
        <v/>
      </c>
      <c r="G52" s="58" t="str">
        <f t="shared" ca="1" si="2"/>
        <v/>
      </c>
      <c r="H52" s="58" t="str">
        <f t="shared" ca="1" si="2"/>
        <v/>
      </c>
      <c r="I52" s="58" t="str">
        <f t="shared" ca="1" si="2"/>
        <v/>
      </c>
      <c r="J52" s="58" t="str">
        <f t="shared" ca="1" si="2"/>
        <v/>
      </c>
      <c r="K52" s="58" t="str">
        <f t="shared" ca="1" si="2"/>
        <v/>
      </c>
      <c r="L52" s="58" t="str">
        <f t="shared" ca="1" si="2"/>
        <v/>
      </c>
      <c r="P52" s="247"/>
      <c r="Q52" s="247"/>
      <c r="R52" s="247"/>
      <c r="S52" s="247"/>
      <c r="T52" s="247"/>
      <c r="U52" s="247"/>
      <c r="V52" s="247"/>
      <c r="W52" s="247"/>
      <c r="X52" s="247"/>
      <c r="Y52" s="247"/>
      <c r="Z52" s="247"/>
    </row>
    <row r="53" spans="2:26">
      <c r="B53" s="56" t="str">
        <f>IF('Low Stress Type Gasket'!BE58="","",'Low Stress Type Gasket'!BE58)</f>
        <v/>
      </c>
      <c r="C53" s="58" t="str">
        <f t="shared" ca="1" si="2"/>
        <v/>
      </c>
      <c r="D53" s="58" t="str">
        <f t="shared" ca="1" si="2"/>
        <v/>
      </c>
      <c r="E53" s="58" t="str">
        <f t="shared" ca="1" si="2"/>
        <v/>
      </c>
      <c r="F53" s="58" t="str">
        <f t="shared" ca="1" si="2"/>
        <v/>
      </c>
      <c r="G53" s="58" t="str">
        <f t="shared" ca="1" si="2"/>
        <v/>
      </c>
      <c r="H53" s="58" t="str">
        <f t="shared" ca="1" si="2"/>
        <v/>
      </c>
      <c r="I53" s="58" t="str">
        <f t="shared" ca="1" si="2"/>
        <v/>
      </c>
      <c r="J53" s="58" t="str">
        <f t="shared" ca="1" si="2"/>
        <v/>
      </c>
      <c r="K53" s="58" t="str">
        <f t="shared" ca="1" si="2"/>
        <v/>
      </c>
      <c r="L53" s="58" t="str">
        <f t="shared" ca="1" si="2"/>
        <v/>
      </c>
      <c r="P53" s="247"/>
      <c r="Q53" s="247"/>
      <c r="R53" s="247"/>
      <c r="S53" s="247"/>
      <c r="T53" s="247"/>
      <c r="U53" s="247"/>
      <c r="V53" s="247"/>
      <c r="W53" s="247"/>
      <c r="X53" s="247"/>
      <c r="Y53" s="247"/>
      <c r="Z53" s="247"/>
    </row>
    <row r="54" spans="2:26">
      <c r="B54" s="56" t="str">
        <f>IF('Low Stress Type Gasket'!BE59="","",'Low Stress Type Gasket'!BE59)</f>
        <v/>
      </c>
      <c r="C54" s="58" t="str">
        <f t="shared" ref="C54:L55" ca="1" si="3">IF($M$4=0,"",VLOOKUP($B54,INDIRECT("$P$1:$Z$"&amp;$M$4),COLUMN()-1,0))</f>
        <v/>
      </c>
      <c r="D54" s="58" t="str">
        <f t="shared" ca="1" si="3"/>
        <v/>
      </c>
      <c r="E54" s="58" t="str">
        <f t="shared" ca="1" si="3"/>
        <v/>
      </c>
      <c r="F54" s="58" t="str">
        <f t="shared" ca="1" si="3"/>
        <v/>
      </c>
      <c r="G54" s="58" t="str">
        <f t="shared" ca="1" si="3"/>
        <v/>
      </c>
      <c r="H54" s="58" t="str">
        <f t="shared" ca="1" si="3"/>
        <v/>
      </c>
      <c r="I54" s="58" t="str">
        <f t="shared" ca="1" si="3"/>
        <v/>
      </c>
      <c r="J54" s="58" t="str">
        <f t="shared" ca="1" si="3"/>
        <v/>
      </c>
      <c r="K54" s="58" t="str">
        <f t="shared" ca="1" si="3"/>
        <v/>
      </c>
      <c r="L54" s="58" t="str">
        <f t="shared" ca="1" si="3"/>
        <v/>
      </c>
      <c r="P54" s="241"/>
      <c r="Q54" s="241"/>
      <c r="R54" s="241"/>
      <c r="S54" s="241"/>
      <c r="T54" s="241"/>
      <c r="U54" s="241"/>
      <c r="V54" s="241"/>
      <c r="W54" s="241"/>
      <c r="X54" s="241"/>
      <c r="Y54" s="241"/>
      <c r="Z54" s="241"/>
    </row>
    <row r="55" spans="2:26">
      <c r="B55" s="56" t="str">
        <f>IF('Low Stress Type Gasket'!BE60="","",'Low Stress Type Gasket'!BE60)</f>
        <v/>
      </c>
      <c r="C55" s="58" t="str">
        <f t="shared" ca="1" si="3"/>
        <v/>
      </c>
      <c r="D55" s="58" t="str">
        <f t="shared" ca="1" si="3"/>
        <v/>
      </c>
      <c r="E55" s="58" t="str">
        <f t="shared" ca="1" si="3"/>
        <v/>
      </c>
      <c r="F55" s="58" t="str">
        <f t="shared" ca="1" si="3"/>
        <v/>
      </c>
      <c r="G55" s="58" t="str">
        <f t="shared" ca="1" si="3"/>
        <v/>
      </c>
      <c r="H55" s="58" t="str">
        <f t="shared" ca="1" si="3"/>
        <v/>
      </c>
      <c r="I55" s="58" t="str">
        <f t="shared" ca="1" si="3"/>
        <v/>
      </c>
      <c r="J55" s="58" t="str">
        <f t="shared" ca="1" si="3"/>
        <v/>
      </c>
      <c r="K55" s="58" t="str">
        <f t="shared" ca="1" si="3"/>
        <v/>
      </c>
      <c r="L55" s="58" t="str">
        <f t="shared" ca="1" si="3"/>
        <v/>
      </c>
      <c r="P55" s="247"/>
      <c r="Q55" s="247"/>
      <c r="R55" s="247"/>
      <c r="S55" s="247"/>
      <c r="T55" s="247"/>
      <c r="U55" s="247"/>
      <c r="V55" s="247"/>
      <c r="W55" s="247"/>
      <c r="X55" s="247"/>
      <c r="Y55" s="247"/>
      <c r="Z55" s="247"/>
    </row>
    <row r="56" spans="2:26">
      <c r="P56" s="247"/>
      <c r="Q56" s="247"/>
      <c r="R56" s="247"/>
      <c r="S56" s="247"/>
      <c r="T56" s="247"/>
      <c r="U56" s="247"/>
      <c r="V56" s="247"/>
      <c r="W56" s="247"/>
      <c r="X56" s="247"/>
      <c r="Y56" s="247"/>
      <c r="Z56" s="247"/>
    </row>
    <row r="57" spans="2:26">
      <c r="P57" s="241"/>
      <c r="Q57" s="241"/>
      <c r="R57" s="241"/>
      <c r="S57" s="241"/>
      <c r="T57" s="241"/>
      <c r="U57" s="241"/>
      <c r="V57" s="241"/>
      <c r="W57" s="241"/>
      <c r="X57" s="241"/>
      <c r="Y57" s="241"/>
      <c r="Z57" s="241"/>
    </row>
    <row r="58" spans="2:26">
      <c r="P58" s="247"/>
      <c r="Q58" s="247"/>
      <c r="R58" s="247"/>
      <c r="S58" s="247"/>
      <c r="T58" s="247"/>
      <c r="U58" s="247"/>
      <c r="V58" s="247"/>
      <c r="W58" s="247"/>
      <c r="X58" s="247"/>
      <c r="Y58" s="247"/>
      <c r="Z58" s="247"/>
    </row>
    <row r="59" spans="2:26">
      <c r="P59" s="247"/>
      <c r="Q59" s="247"/>
      <c r="R59" s="247"/>
      <c r="S59" s="247"/>
      <c r="T59" s="247"/>
      <c r="U59" s="247"/>
      <c r="V59" s="247"/>
      <c r="W59" s="247"/>
      <c r="X59" s="247"/>
      <c r="Y59" s="247"/>
      <c r="Z59" s="247"/>
    </row>
    <row r="60" spans="2:26">
      <c r="P60" s="241"/>
      <c r="Q60" s="241"/>
      <c r="R60" s="241"/>
      <c r="S60" s="241"/>
      <c r="T60" s="241"/>
      <c r="U60" s="241"/>
      <c r="V60" s="241"/>
      <c r="W60" s="241"/>
      <c r="X60" s="241"/>
      <c r="Y60" s="241"/>
      <c r="Z60" s="241"/>
    </row>
    <row r="61" spans="2:26">
      <c r="P61" s="247"/>
      <c r="Q61" s="247"/>
      <c r="R61" s="247"/>
      <c r="S61" s="247"/>
      <c r="T61" s="247"/>
      <c r="U61" s="247"/>
      <c r="V61" s="247"/>
      <c r="W61" s="247"/>
      <c r="X61" s="247"/>
      <c r="Y61" s="247"/>
      <c r="Z61" s="247"/>
    </row>
    <row r="62" spans="2:26">
      <c r="P62" s="247"/>
      <c r="Q62" s="247"/>
      <c r="R62" s="247"/>
      <c r="S62" s="247"/>
      <c r="T62" s="247"/>
      <c r="U62" s="247"/>
      <c r="V62" s="247"/>
      <c r="W62" s="247"/>
      <c r="X62" s="247"/>
      <c r="Y62" s="247"/>
      <c r="Z62" s="247"/>
    </row>
    <row r="63" spans="2:26">
      <c r="P63" s="241"/>
      <c r="Q63" s="241"/>
      <c r="R63" s="241"/>
      <c r="S63" s="241"/>
      <c r="T63" s="241"/>
      <c r="U63" s="241"/>
      <c r="V63" s="241"/>
      <c r="W63" s="241"/>
      <c r="X63" s="241"/>
      <c r="Y63" s="241"/>
      <c r="Z63" s="241"/>
    </row>
    <row r="64" spans="2:26">
      <c r="P64" s="247"/>
      <c r="Q64" s="247"/>
      <c r="R64" s="247"/>
      <c r="S64" s="247"/>
      <c r="T64" s="247"/>
      <c r="U64" s="247"/>
      <c r="V64" s="247"/>
      <c r="W64" s="247"/>
      <c r="X64" s="247"/>
      <c r="Y64" s="247"/>
      <c r="Z64" s="247"/>
    </row>
    <row r="65" spans="16:26">
      <c r="P65" s="247"/>
      <c r="Q65" s="247"/>
      <c r="R65" s="247"/>
      <c r="S65" s="247"/>
      <c r="T65" s="247"/>
      <c r="U65" s="247"/>
      <c r="V65" s="247"/>
      <c r="W65" s="247"/>
      <c r="X65" s="247"/>
      <c r="Y65" s="247"/>
      <c r="Z65" s="247"/>
    </row>
    <row r="66" spans="16:26">
      <c r="P66" s="241"/>
      <c r="Q66" s="241"/>
      <c r="R66" s="241"/>
      <c r="S66" s="241"/>
      <c r="T66" s="241"/>
      <c r="U66" s="241"/>
      <c r="V66" s="241"/>
      <c r="W66" s="241"/>
      <c r="X66" s="241"/>
      <c r="Y66" s="241"/>
      <c r="Z66" s="241"/>
    </row>
    <row r="67" spans="16:26">
      <c r="P67" s="247"/>
      <c r="Q67" s="247"/>
      <c r="R67" s="247"/>
      <c r="S67" s="247"/>
      <c r="T67" s="247"/>
      <c r="U67" s="247"/>
      <c r="V67" s="247"/>
      <c r="W67" s="247"/>
      <c r="X67" s="247"/>
      <c r="Y67" s="247"/>
      <c r="Z67" s="247"/>
    </row>
    <row r="68" spans="16:26">
      <c r="P68" s="247"/>
      <c r="Q68" s="247"/>
      <c r="R68" s="247"/>
      <c r="S68" s="247"/>
      <c r="T68" s="247"/>
      <c r="U68" s="247"/>
      <c r="V68" s="247"/>
      <c r="W68" s="247"/>
      <c r="X68" s="247"/>
      <c r="Y68" s="247"/>
      <c r="Z68" s="247"/>
    </row>
    <row r="69" spans="16:26">
      <c r="P69" s="241"/>
      <c r="Q69" s="241"/>
      <c r="R69" s="241"/>
      <c r="S69" s="241"/>
      <c r="T69" s="241"/>
      <c r="U69" s="241"/>
      <c r="V69" s="241"/>
      <c r="W69" s="241"/>
      <c r="X69" s="241"/>
      <c r="Y69" s="241"/>
      <c r="Z69" s="241"/>
    </row>
    <row r="70" spans="16:26">
      <c r="P70" s="247"/>
      <c r="Q70" s="247"/>
      <c r="R70" s="247"/>
      <c r="S70" s="247"/>
      <c r="T70" s="247"/>
      <c r="U70" s="247"/>
      <c r="V70" s="247"/>
      <c r="W70" s="247"/>
      <c r="X70" s="247"/>
      <c r="Y70" s="247"/>
      <c r="Z70" s="247"/>
    </row>
    <row r="71" spans="16:26">
      <c r="P71" s="247"/>
      <c r="Q71" s="247"/>
      <c r="R71" s="247"/>
      <c r="S71" s="247"/>
      <c r="T71" s="247"/>
      <c r="U71" s="247"/>
      <c r="V71" s="247"/>
      <c r="W71" s="247"/>
      <c r="X71" s="247"/>
      <c r="Y71" s="247"/>
      <c r="Z71" s="247"/>
    </row>
    <row r="72" spans="16:26">
      <c r="P72" s="241"/>
      <c r="Q72" s="241"/>
      <c r="R72" s="241"/>
      <c r="S72" s="241"/>
      <c r="T72" s="241"/>
      <c r="U72" s="241"/>
      <c r="V72" s="241"/>
      <c r="W72" s="241"/>
      <c r="X72" s="241"/>
      <c r="Y72" s="241"/>
      <c r="Z72" s="241"/>
    </row>
    <row r="73" spans="16:26">
      <c r="P73" s="247"/>
      <c r="Q73" s="247"/>
      <c r="R73" s="247"/>
      <c r="S73" s="247"/>
      <c r="T73" s="247"/>
      <c r="U73" s="247"/>
      <c r="V73" s="247"/>
      <c r="W73" s="247"/>
      <c r="X73" s="247"/>
      <c r="Y73" s="247"/>
      <c r="Z73" s="247"/>
    </row>
    <row r="74" spans="16:26">
      <c r="P74" s="247"/>
      <c r="Q74" s="247"/>
      <c r="R74" s="247"/>
      <c r="S74" s="247"/>
      <c r="T74" s="247"/>
      <c r="U74" s="247"/>
      <c r="V74" s="247"/>
      <c r="W74" s="247"/>
      <c r="X74" s="247"/>
      <c r="Y74" s="247"/>
      <c r="Z74" s="247"/>
    </row>
    <row r="75" spans="16:26">
      <c r="P75" s="241"/>
      <c r="Q75" s="241"/>
      <c r="R75" s="241"/>
      <c r="S75" s="241"/>
      <c r="T75" s="241"/>
      <c r="U75" s="241"/>
      <c r="V75" s="241"/>
      <c r="W75" s="241"/>
      <c r="X75" s="241"/>
      <c r="Y75" s="241"/>
      <c r="Z75" s="241"/>
    </row>
    <row r="76" spans="16:26">
      <c r="P76" s="247"/>
      <c r="Q76" s="247"/>
      <c r="R76" s="247"/>
      <c r="S76" s="247"/>
      <c r="T76" s="247"/>
      <c r="U76" s="247"/>
      <c r="V76" s="247"/>
      <c r="W76" s="247"/>
      <c r="X76" s="247"/>
      <c r="Y76" s="247"/>
      <c r="Z76" s="247"/>
    </row>
    <row r="77" spans="16:26">
      <c r="P77" s="247"/>
      <c r="Q77" s="247"/>
      <c r="R77" s="247"/>
      <c r="S77" s="247"/>
      <c r="T77" s="247"/>
      <c r="U77" s="247"/>
      <c r="V77" s="247"/>
      <c r="W77" s="247"/>
      <c r="X77" s="247"/>
      <c r="Y77" s="247"/>
      <c r="Z77" s="247"/>
    </row>
    <row r="78" spans="16:26">
      <c r="P78" s="241"/>
      <c r="Q78" s="241"/>
      <c r="R78" s="241"/>
      <c r="S78" s="241"/>
      <c r="T78" s="241"/>
      <c r="U78" s="241"/>
      <c r="V78" s="241"/>
      <c r="W78" s="241"/>
      <c r="X78" s="241"/>
      <c r="Y78" s="241"/>
      <c r="Z78" s="241"/>
    </row>
    <row r="79" spans="16:26">
      <c r="P79" s="247"/>
      <c r="Q79" s="247"/>
      <c r="R79" s="247"/>
      <c r="S79" s="247"/>
      <c r="T79" s="247"/>
      <c r="U79" s="247"/>
      <c r="V79" s="247"/>
      <c r="W79" s="247"/>
      <c r="X79" s="247"/>
      <c r="Y79" s="247"/>
      <c r="Z79" s="247"/>
    </row>
    <row r="80" spans="16:26">
      <c r="P80" s="247"/>
      <c r="Q80" s="247"/>
      <c r="R80" s="247"/>
      <c r="S80" s="247"/>
      <c r="T80" s="247"/>
      <c r="U80" s="247"/>
      <c r="V80" s="247"/>
      <c r="W80" s="247"/>
      <c r="X80" s="247"/>
      <c r="Y80" s="247"/>
      <c r="Z80" s="247"/>
    </row>
    <row r="81" spans="16:26">
      <c r="P81" s="241"/>
      <c r="Q81" s="241"/>
      <c r="R81" s="241"/>
      <c r="S81" s="241"/>
      <c r="T81" s="241"/>
      <c r="U81" s="241"/>
      <c r="V81" s="241"/>
      <c r="W81" s="241"/>
      <c r="X81" s="241"/>
      <c r="Y81" s="241"/>
      <c r="Z81" s="241"/>
    </row>
    <row r="82" spans="16:26">
      <c r="P82" s="247"/>
      <c r="Q82" s="247"/>
      <c r="R82" s="247"/>
      <c r="S82" s="247"/>
      <c r="T82" s="247"/>
      <c r="U82" s="247"/>
      <c r="V82" s="247"/>
      <c r="W82" s="247"/>
      <c r="X82" s="247"/>
      <c r="Y82" s="247"/>
      <c r="Z82" s="247"/>
    </row>
    <row r="83" spans="16:26">
      <c r="P83" s="247"/>
      <c r="Q83" s="247"/>
      <c r="R83" s="247"/>
      <c r="S83" s="247"/>
      <c r="T83" s="247"/>
      <c r="U83" s="247"/>
      <c r="V83" s="247"/>
      <c r="W83" s="247"/>
      <c r="X83" s="247"/>
      <c r="Y83" s="247"/>
      <c r="Z83" s="247"/>
    </row>
    <row r="84" spans="16:26">
      <c r="P84" s="241"/>
      <c r="Q84" s="241"/>
      <c r="R84" s="241"/>
      <c r="S84" s="241"/>
      <c r="T84" s="241"/>
      <c r="U84" s="241"/>
      <c r="V84" s="241"/>
      <c r="W84" s="241"/>
      <c r="X84" s="241"/>
      <c r="Y84" s="241"/>
      <c r="Z84" s="241"/>
    </row>
    <row r="85" spans="16:26">
      <c r="P85" s="247"/>
      <c r="Q85" s="247"/>
      <c r="R85" s="247"/>
      <c r="S85" s="247"/>
      <c r="T85" s="247"/>
      <c r="U85" s="247"/>
      <c r="V85" s="247"/>
      <c r="W85" s="247"/>
      <c r="X85" s="247"/>
      <c r="Y85" s="247"/>
      <c r="Z85" s="247"/>
    </row>
    <row r="86" spans="16:26">
      <c r="P86" s="247"/>
      <c r="Q86" s="247"/>
      <c r="R86" s="247"/>
      <c r="S86" s="247"/>
      <c r="T86" s="247"/>
      <c r="U86" s="247"/>
      <c r="V86" s="247"/>
      <c r="W86" s="247"/>
      <c r="X86" s="247"/>
      <c r="Y86" s="247"/>
      <c r="Z86" s="247"/>
    </row>
    <row r="87" spans="16:26">
      <c r="P87" s="241"/>
      <c r="Q87" s="241"/>
      <c r="R87" s="241"/>
      <c r="S87" s="241"/>
      <c r="T87" s="241"/>
      <c r="U87" s="241"/>
      <c r="V87" s="241"/>
      <c r="W87" s="241"/>
      <c r="X87" s="241"/>
      <c r="Y87" s="241"/>
      <c r="Z87" s="241"/>
    </row>
    <row r="88" spans="16:26">
      <c r="P88" s="247"/>
      <c r="Q88" s="247"/>
      <c r="R88" s="247"/>
      <c r="S88" s="247"/>
      <c r="T88" s="247"/>
      <c r="U88" s="247"/>
      <c r="V88" s="247"/>
      <c r="W88" s="247"/>
      <c r="X88" s="247"/>
      <c r="Y88" s="247"/>
      <c r="Z88" s="247"/>
    </row>
    <row r="89" spans="16:26">
      <c r="P89" s="247"/>
      <c r="Q89" s="247"/>
      <c r="R89" s="247"/>
      <c r="S89" s="247"/>
      <c r="T89" s="247"/>
      <c r="U89" s="247"/>
      <c r="V89" s="247"/>
      <c r="W89" s="247"/>
      <c r="X89" s="247"/>
      <c r="Y89" s="247"/>
      <c r="Z89" s="247"/>
    </row>
    <row r="90" spans="16:26">
      <c r="P90" s="241"/>
      <c r="Q90" s="241"/>
      <c r="R90" s="241"/>
      <c r="S90" s="241"/>
      <c r="T90" s="241"/>
      <c r="U90" s="241"/>
      <c r="V90" s="241"/>
      <c r="W90" s="241"/>
      <c r="X90" s="241"/>
      <c r="Y90" s="241"/>
      <c r="Z90" s="241"/>
    </row>
    <row r="91" spans="16:26">
      <c r="P91" s="247"/>
      <c r="Q91" s="247"/>
      <c r="R91" s="247"/>
      <c r="S91" s="247"/>
      <c r="T91" s="247"/>
      <c r="U91" s="247"/>
      <c r="V91" s="247"/>
      <c r="W91" s="247"/>
      <c r="X91" s="247"/>
      <c r="Y91" s="247"/>
      <c r="Z91" s="247"/>
    </row>
    <row r="92" spans="16:26">
      <c r="P92" s="247"/>
      <c r="Q92" s="247"/>
      <c r="R92" s="247"/>
      <c r="S92" s="247"/>
      <c r="T92" s="247"/>
      <c r="U92" s="247"/>
      <c r="V92" s="247"/>
      <c r="W92" s="247"/>
      <c r="X92" s="247"/>
      <c r="Y92" s="247"/>
      <c r="Z92" s="247"/>
    </row>
    <row r="93" spans="16:26">
      <c r="P93" s="241"/>
      <c r="Q93" s="241"/>
      <c r="R93" s="241"/>
      <c r="S93" s="241"/>
      <c r="T93" s="241"/>
      <c r="U93" s="241"/>
      <c r="V93" s="241"/>
      <c r="W93" s="241"/>
      <c r="X93" s="241"/>
      <c r="Y93" s="241"/>
      <c r="Z93" s="241"/>
    </row>
    <row r="94" spans="16:26">
      <c r="P94" s="247"/>
      <c r="Q94" s="247"/>
      <c r="R94" s="247"/>
      <c r="S94" s="247"/>
      <c r="T94" s="247"/>
      <c r="U94" s="247"/>
      <c r="V94" s="247"/>
      <c r="W94" s="247"/>
      <c r="X94" s="247"/>
      <c r="Y94" s="247"/>
      <c r="Z94" s="247"/>
    </row>
    <row r="95" spans="16:26">
      <c r="P95" s="247"/>
      <c r="Q95" s="247"/>
      <c r="R95" s="247"/>
      <c r="S95" s="247"/>
      <c r="T95" s="247"/>
      <c r="U95" s="247"/>
      <c r="V95" s="247"/>
      <c r="W95" s="247"/>
      <c r="X95" s="247"/>
      <c r="Y95" s="247"/>
      <c r="Z95" s="247"/>
    </row>
    <row r="96" spans="16:26">
      <c r="P96" s="241"/>
      <c r="Q96" s="241"/>
      <c r="R96" s="241"/>
      <c r="S96" s="241"/>
      <c r="T96" s="241"/>
      <c r="U96" s="241"/>
      <c r="V96" s="241"/>
      <c r="W96" s="241"/>
      <c r="X96" s="241"/>
      <c r="Y96" s="241"/>
      <c r="Z96" s="241"/>
    </row>
    <row r="97" spans="16:26">
      <c r="P97" s="247"/>
      <c r="Q97" s="247"/>
      <c r="R97" s="247"/>
      <c r="S97" s="247"/>
      <c r="T97" s="247"/>
      <c r="U97" s="247"/>
      <c r="V97" s="247"/>
      <c r="W97" s="247"/>
      <c r="X97" s="247"/>
      <c r="Y97" s="247"/>
      <c r="Z97" s="247"/>
    </row>
    <row r="98" spans="16:26">
      <c r="P98" s="247"/>
      <c r="Q98" s="247"/>
      <c r="R98" s="247"/>
      <c r="S98" s="247"/>
      <c r="T98" s="247"/>
      <c r="U98" s="247"/>
      <c r="V98" s="247"/>
      <c r="W98" s="247"/>
      <c r="X98" s="247"/>
      <c r="Y98" s="247"/>
      <c r="Z98" s="247"/>
    </row>
    <row r="99" spans="16:26">
      <c r="P99" s="241"/>
      <c r="Q99" s="241"/>
      <c r="R99" s="241"/>
      <c r="S99" s="241"/>
      <c r="T99" s="241"/>
      <c r="U99" s="241"/>
      <c r="V99" s="241"/>
      <c r="W99" s="241"/>
      <c r="X99" s="241"/>
      <c r="Y99" s="241"/>
      <c r="Z99" s="241"/>
    </row>
    <row r="100" spans="16:26">
      <c r="P100" s="247"/>
      <c r="Q100" s="247"/>
      <c r="R100" s="247"/>
      <c r="S100" s="247"/>
      <c r="T100" s="247"/>
      <c r="U100" s="247"/>
      <c r="V100" s="247"/>
      <c r="W100" s="247"/>
      <c r="X100" s="247"/>
      <c r="Y100" s="247"/>
      <c r="Z100" s="247"/>
    </row>
    <row r="101" spans="16:26">
      <c r="P101" s="247"/>
      <c r="Q101" s="247"/>
      <c r="R101" s="247"/>
      <c r="S101" s="247"/>
      <c r="T101" s="247"/>
      <c r="U101" s="247"/>
      <c r="V101" s="247"/>
      <c r="W101" s="247"/>
      <c r="X101" s="247"/>
      <c r="Y101" s="247"/>
      <c r="Z101" s="247"/>
    </row>
    <row r="102" spans="16:26">
      <c r="P102" s="241"/>
      <c r="Q102" s="241"/>
      <c r="R102" s="241"/>
      <c r="S102" s="241"/>
      <c r="T102" s="241"/>
      <c r="U102" s="241"/>
      <c r="V102" s="241"/>
      <c r="W102" s="241"/>
      <c r="X102" s="241"/>
      <c r="Y102" s="241"/>
      <c r="Z102" s="241"/>
    </row>
    <row r="103" spans="16:26">
      <c r="P103" s="247"/>
      <c r="Q103" s="247"/>
      <c r="R103" s="247"/>
      <c r="S103" s="247"/>
      <c r="T103" s="247"/>
      <c r="U103" s="247"/>
      <c r="V103" s="247"/>
      <c r="W103" s="247"/>
      <c r="X103" s="247"/>
      <c r="Y103" s="247"/>
      <c r="Z103" s="247"/>
    </row>
    <row r="104" spans="16:26">
      <c r="P104" s="247"/>
      <c r="Q104" s="247"/>
      <c r="R104" s="247"/>
      <c r="S104" s="247"/>
      <c r="T104" s="247"/>
      <c r="U104" s="247"/>
      <c r="V104" s="247"/>
      <c r="W104" s="247"/>
      <c r="X104" s="247"/>
      <c r="Y104" s="247"/>
      <c r="Z104" s="247"/>
    </row>
    <row r="105" spans="16:26">
      <c r="P105" s="241"/>
      <c r="Q105" s="241"/>
      <c r="R105" s="241"/>
      <c r="S105" s="241"/>
      <c r="T105" s="241"/>
      <c r="U105" s="241"/>
      <c r="V105" s="241"/>
      <c r="W105" s="241"/>
      <c r="X105" s="241"/>
      <c r="Y105" s="241"/>
      <c r="Z105" s="241"/>
    </row>
    <row r="106" spans="16:26">
      <c r="P106" s="247"/>
      <c r="Q106" s="247"/>
      <c r="R106" s="247"/>
      <c r="S106" s="247"/>
      <c r="T106" s="247"/>
      <c r="U106" s="247"/>
      <c r="V106" s="247"/>
      <c r="W106" s="247"/>
      <c r="X106" s="247"/>
      <c r="Y106" s="247"/>
      <c r="Z106" s="247"/>
    </row>
    <row r="107" spans="16:26">
      <c r="P107" s="247"/>
      <c r="Q107" s="247"/>
      <c r="R107" s="247"/>
      <c r="S107" s="247"/>
      <c r="T107" s="247"/>
      <c r="U107" s="247"/>
      <c r="V107" s="247"/>
      <c r="W107" s="247"/>
      <c r="X107" s="247"/>
      <c r="Y107" s="247"/>
      <c r="Z107" s="247"/>
    </row>
    <row r="108" spans="16:26">
      <c r="P108" s="241"/>
      <c r="Q108" s="241"/>
      <c r="R108" s="241"/>
      <c r="S108" s="241"/>
      <c r="T108" s="241"/>
      <c r="U108" s="241"/>
      <c r="V108" s="241"/>
      <c r="W108" s="241"/>
      <c r="X108" s="241"/>
      <c r="Y108" s="241"/>
      <c r="Z108" s="241"/>
    </row>
    <row r="109" spans="16:26">
      <c r="P109" s="247"/>
      <c r="Q109" s="247"/>
      <c r="R109" s="247"/>
      <c r="S109" s="247"/>
      <c r="T109" s="247"/>
      <c r="U109" s="247"/>
      <c r="V109" s="247"/>
      <c r="W109" s="247"/>
      <c r="X109" s="247"/>
      <c r="Y109" s="247"/>
      <c r="Z109" s="247"/>
    </row>
    <row r="110" spans="16:26">
      <c r="P110" s="247"/>
      <c r="Q110" s="247"/>
      <c r="R110" s="247"/>
      <c r="S110" s="247"/>
      <c r="T110" s="247"/>
      <c r="U110" s="247"/>
      <c r="V110" s="247"/>
      <c r="W110" s="247"/>
      <c r="X110" s="247"/>
      <c r="Y110" s="247"/>
      <c r="Z110" s="247"/>
    </row>
    <row r="111" spans="16:26">
      <c r="P111" s="241"/>
      <c r="Q111" s="241"/>
      <c r="R111" s="241"/>
      <c r="S111" s="241"/>
      <c r="T111" s="241"/>
      <c r="U111" s="241"/>
      <c r="V111" s="241"/>
      <c r="W111" s="241"/>
      <c r="X111" s="241"/>
      <c r="Y111" s="241"/>
      <c r="Z111" s="241"/>
    </row>
    <row r="112" spans="16:26">
      <c r="P112" s="247"/>
      <c r="Q112" s="247"/>
      <c r="R112" s="247"/>
      <c r="S112" s="247"/>
      <c r="T112" s="247"/>
      <c r="U112" s="247"/>
      <c r="V112" s="247"/>
      <c r="W112" s="247"/>
      <c r="X112" s="247"/>
      <c r="Y112" s="247"/>
      <c r="Z112" s="247"/>
    </row>
    <row r="113" spans="16:26">
      <c r="P113" s="247"/>
      <c r="Q113" s="247"/>
      <c r="R113" s="247"/>
      <c r="S113" s="247"/>
      <c r="T113" s="247"/>
      <c r="U113" s="247"/>
      <c r="V113" s="247"/>
      <c r="W113" s="247"/>
      <c r="X113" s="247"/>
      <c r="Y113" s="247"/>
      <c r="Z113" s="247"/>
    </row>
    <row r="114" spans="16:26">
      <c r="P114" s="241"/>
      <c r="Q114" s="241"/>
      <c r="R114" s="241"/>
      <c r="S114" s="241"/>
      <c r="T114" s="241"/>
      <c r="U114" s="241"/>
      <c r="V114" s="241"/>
      <c r="W114" s="241"/>
      <c r="X114" s="241"/>
      <c r="Y114" s="241"/>
      <c r="Z114" s="241"/>
    </row>
    <row r="115" spans="16:26">
      <c r="P115" s="247"/>
      <c r="Q115" s="247"/>
      <c r="R115" s="247"/>
      <c r="S115" s="247"/>
      <c r="T115" s="247"/>
      <c r="U115" s="247"/>
      <c r="V115" s="247"/>
      <c r="W115" s="247"/>
      <c r="X115" s="247"/>
      <c r="Y115" s="247"/>
      <c r="Z115" s="247"/>
    </row>
    <row r="116" spans="16:26">
      <c r="P116" s="247"/>
      <c r="Q116" s="247"/>
      <c r="R116" s="247"/>
      <c r="S116" s="247"/>
      <c r="T116" s="247"/>
      <c r="U116" s="247"/>
      <c r="V116" s="247"/>
      <c r="W116" s="247"/>
      <c r="X116" s="247"/>
      <c r="Y116" s="247"/>
      <c r="Z116" s="247"/>
    </row>
    <row r="117" spans="16:26">
      <c r="P117" s="241"/>
      <c r="Q117" s="241"/>
      <c r="R117" s="241"/>
      <c r="S117" s="241"/>
      <c r="T117" s="241"/>
      <c r="U117" s="241"/>
      <c r="V117" s="241"/>
      <c r="W117" s="241"/>
      <c r="X117" s="241"/>
      <c r="Y117" s="241"/>
      <c r="Z117" s="241"/>
    </row>
    <row r="118" spans="16:26">
      <c r="P118" s="247"/>
      <c r="Q118" s="247"/>
      <c r="R118" s="247"/>
      <c r="S118" s="247"/>
      <c r="T118" s="247"/>
      <c r="U118" s="247"/>
      <c r="V118" s="247"/>
      <c r="W118" s="247"/>
      <c r="X118" s="247"/>
      <c r="Y118" s="247"/>
      <c r="Z118" s="247"/>
    </row>
    <row r="119" spans="16:26">
      <c r="P119" s="247"/>
      <c r="Q119" s="247"/>
      <c r="R119" s="247"/>
      <c r="S119" s="247"/>
      <c r="T119" s="247"/>
      <c r="U119" s="247"/>
      <c r="V119" s="247"/>
      <c r="W119" s="247"/>
      <c r="X119" s="247"/>
      <c r="Y119" s="247"/>
      <c r="Z119" s="247"/>
    </row>
    <row r="120" spans="16:26">
      <c r="P120" s="241"/>
      <c r="Q120" s="241"/>
      <c r="R120" s="241"/>
      <c r="S120" s="241"/>
      <c r="T120" s="241"/>
      <c r="U120" s="241"/>
      <c r="V120" s="241"/>
      <c r="W120" s="241"/>
      <c r="X120" s="241"/>
      <c r="Y120" s="241"/>
      <c r="Z120" s="241"/>
    </row>
    <row r="121" spans="16:26">
      <c r="P121" s="247"/>
      <c r="Q121" s="247"/>
      <c r="R121" s="247"/>
      <c r="S121" s="247"/>
      <c r="T121" s="247"/>
      <c r="U121" s="247"/>
      <c r="V121" s="247"/>
      <c r="W121" s="247"/>
      <c r="X121" s="247"/>
      <c r="Y121" s="247"/>
      <c r="Z121" s="247"/>
    </row>
    <row r="122" spans="16:26">
      <c r="P122" s="247"/>
      <c r="Q122" s="247"/>
      <c r="R122" s="247"/>
      <c r="S122" s="247"/>
      <c r="T122" s="247"/>
      <c r="U122" s="247"/>
      <c r="V122" s="247"/>
      <c r="W122" s="247"/>
      <c r="X122" s="247"/>
      <c r="Y122" s="247"/>
      <c r="Z122" s="247"/>
    </row>
    <row r="123" spans="16:26">
      <c r="P123" s="241"/>
      <c r="Q123" s="241"/>
      <c r="R123" s="241"/>
      <c r="S123" s="241"/>
      <c r="T123" s="241"/>
      <c r="U123" s="241"/>
      <c r="V123" s="241"/>
      <c r="W123" s="241"/>
      <c r="X123" s="241"/>
      <c r="Y123" s="241"/>
      <c r="Z123" s="241"/>
    </row>
    <row r="124" spans="16:26">
      <c r="P124" s="247"/>
      <c r="Q124" s="247"/>
      <c r="R124" s="247"/>
      <c r="S124" s="247"/>
      <c r="T124" s="247"/>
      <c r="U124" s="247"/>
      <c r="V124" s="247"/>
      <c r="W124" s="247"/>
      <c r="X124" s="247"/>
      <c r="Y124" s="247"/>
      <c r="Z124" s="247"/>
    </row>
    <row r="125" spans="16:26">
      <c r="P125" s="247"/>
      <c r="Q125" s="247"/>
      <c r="R125" s="247"/>
      <c r="S125" s="247"/>
      <c r="T125" s="247"/>
      <c r="U125" s="247"/>
      <c r="V125" s="247"/>
      <c r="W125" s="247"/>
      <c r="X125" s="247"/>
      <c r="Y125" s="247"/>
      <c r="Z125" s="247"/>
    </row>
    <row r="126" spans="16:26">
      <c r="P126" s="241"/>
      <c r="Q126" s="241"/>
      <c r="R126" s="241"/>
      <c r="S126" s="241"/>
      <c r="T126" s="241"/>
      <c r="U126" s="241"/>
      <c r="V126" s="241"/>
      <c r="W126" s="241"/>
      <c r="X126" s="241"/>
      <c r="Y126" s="241"/>
      <c r="Z126" s="241"/>
    </row>
    <row r="127" spans="16:26">
      <c r="P127" s="247"/>
      <c r="Q127" s="247"/>
      <c r="R127" s="247"/>
      <c r="S127" s="247"/>
      <c r="T127" s="247"/>
      <c r="U127" s="247"/>
      <c r="V127" s="247"/>
      <c r="W127" s="247"/>
      <c r="X127" s="247"/>
      <c r="Y127" s="247"/>
      <c r="Z127" s="247"/>
    </row>
    <row r="128" spans="16:26">
      <c r="P128" s="247"/>
      <c r="Q128" s="247"/>
      <c r="R128" s="247"/>
      <c r="S128" s="247"/>
      <c r="T128" s="247"/>
      <c r="U128" s="247"/>
      <c r="V128" s="247"/>
      <c r="W128" s="247"/>
      <c r="X128" s="247"/>
      <c r="Y128" s="247"/>
      <c r="Z128" s="247"/>
    </row>
    <row r="129" spans="16:26">
      <c r="P129" s="241"/>
      <c r="Q129" s="241"/>
      <c r="R129" s="241"/>
      <c r="S129" s="241"/>
      <c r="T129" s="241"/>
      <c r="U129" s="241"/>
      <c r="V129" s="241"/>
      <c r="W129" s="241"/>
      <c r="X129" s="241"/>
      <c r="Y129" s="241"/>
      <c r="Z129" s="241"/>
    </row>
    <row r="130" spans="16:26">
      <c r="P130" s="247"/>
      <c r="Q130" s="247"/>
      <c r="R130" s="247"/>
      <c r="S130" s="247"/>
      <c r="T130" s="247"/>
      <c r="U130" s="247"/>
      <c r="V130" s="247"/>
      <c r="W130" s="247"/>
      <c r="X130" s="247"/>
      <c r="Y130" s="247"/>
      <c r="Z130" s="247"/>
    </row>
    <row r="131" spans="16:26">
      <c r="P131" s="247"/>
      <c r="Q131" s="247"/>
      <c r="R131" s="247"/>
      <c r="S131" s="247"/>
      <c r="T131" s="247"/>
      <c r="U131" s="247"/>
      <c r="V131" s="247"/>
      <c r="W131" s="247"/>
      <c r="X131" s="247"/>
      <c r="Y131" s="247"/>
      <c r="Z131" s="247"/>
    </row>
    <row r="132" spans="16:26">
      <c r="P132" s="241"/>
      <c r="Q132" s="241"/>
      <c r="R132" s="241"/>
      <c r="S132" s="241"/>
      <c r="T132" s="241"/>
      <c r="U132" s="241"/>
      <c r="V132" s="241"/>
      <c r="W132" s="241"/>
      <c r="X132" s="241"/>
      <c r="Y132" s="241"/>
      <c r="Z132" s="241"/>
    </row>
    <row r="133" spans="16:26">
      <c r="P133" s="247"/>
      <c r="Q133" s="247"/>
      <c r="R133" s="247"/>
      <c r="S133" s="247"/>
      <c r="T133" s="247"/>
      <c r="U133" s="247"/>
      <c r="V133" s="247"/>
      <c r="W133" s="247"/>
      <c r="X133" s="247"/>
      <c r="Y133" s="247"/>
      <c r="Z133" s="247"/>
    </row>
    <row r="134" spans="16:26">
      <c r="P134" s="247"/>
      <c r="Q134" s="247"/>
      <c r="R134" s="247"/>
      <c r="S134" s="247"/>
      <c r="T134" s="247"/>
      <c r="U134" s="247"/>
      <c r="V134" s="247"/>
      <c r="W134" s="247"/>
      <c r="X134" s="247"/>
      <c r="Y134" s="247"/>
      <c r="Z134" s="247"/>
    </row>
    <row r="135" spans="16:26">
      <c r="P135" s="241"/>
      <c r="Q135" s="241"/>
      <c r="R135" s="241"/>
      <c r="S135" s="241"/>
      <c r="T135" s="241"/>
      <c r="U135" s="241"/>
      <c r="V135" s="241"/>
      <c r="W135" s="241"/>
      <c r="X135" s="241"/>
      <c r="Y135" s="241"/>
      <c r="Z135" s="241"/>
    </row>
    <row r="136" spans="16:26">
      <c r="P136" s="247"/>
      <c r="Q136" s="247"/>
      <c r="R136" s="247"/>
      <c r="S136" s="247"/>
      <c r="T136" s="247"/>
      <c r="U136" s="247"/>
      <c r="V136" s="247"/>
      <c r="W136" s="247"/>
      <c r="X136" s="247"/>
      <c r="Y136" s="247"/>
      <c r="Z136" s="247"/>
    </row>
    <row r="137" spans="16:26">
      <c r="P137" s="247"/>
      <c r="Q137" s="247"/>
      <c r="R137" s="247"/>
      <c r="S137" s="247"/>
      <c r="T137" s="247"/>
      <c r="U137" s="247"/>
      <c r="V137" s="247"/>
      <c r="W137" s="247"/>
      <c r="X137" s="247"/>
      <c r="Y137" s="247"/>
      <c r="Z137" s="247"/>
    </row>
    <row r="138" spans="16:26">
      <c r="P138" s="241"/>
      <c r="Q138" s="241"/>
      <c r="R138" s="241"/>
      <c r="S138" s="241"/>
      <c r="T138" s="241"/>
      <c r="U138" s="241"/>
      <c r="V138" s="241"/>
      <c r="W138" s="241"/>
      <c r="X138" s="241"/>
      <c r="Y138" s="241"/>
      <c r="Z138" s="241"/>
    </row>
    <row r="139" spans="16:26">
      <c r="P139" s="247"/>
      <c r="Q139" s="247"/>
      <c r="R139" s="247"/>
      <c r="S139" s="247"/>
      <c r="T139" s="247"/>
      <c r="U139" s="247"/>
      <c r="V139" s="247"/>
      <c r="W139" s="247"/>
      <c r="X139" s="247"/>
      <c r="Y139" s="247"/>
      <c r="Z139" s="247"/>
    </row>
    <row r="140" spans="16:26">
      <c r="P140" s="247"/>
      <c r="Q140" s="247"/>
      <c r="R140" s="247"/>
      <c r="S140" s="247"/>
      <c r="T140" s="247"/>
      <c r="U140" s="247"/>
      <c r="V140" s="247"/>
      <c r="W140" s="247"/>
      <c r="X140" s="247"/>
      <c r="Y140" s="247"/>
      <c r="Z140" s="247"/>
    </row>
    <row r="141" spans="16:26">
      <c r="P141" s="241"/>
      <c r="Q141" s="241"/>
      <c r="R141" s="241"/>
      <c r="S141" s="241"/>
      <c r="T141" s="241"/>
      <c r="U141" s="241"/>
      <c r="V141" s="241"/>
      <c r="W141" s="241"/>
      <c r="X141" s="241"/>
      <c r="Y141" s="241"/>
      <c r="Z141" s="241"/>
    </row>
    <row r="142" spans="16:26">
      <c r="P142" s="247"/>
      <c r="Q142" s="247"/>
      <c r="R142" s="247"/>
      <c r="S142" s="247"/>
      <c r="T142" s="247"/>
      <c r="U142" s="247"/>
      <c r="V142" s="247"/>
      <c r="W142" s="247"/>
      <c r="X142" s="247"/>
      <c r="Y142" s="247"/>
      <c r="Z142" s="247"/>
    </row>
    <row r="143" spans="16:26">
      <c r="P143" s="247"/>
      <c r="Q143" s="247"/>
      <c r="R143" s="247"/>
      <c r="S143" s="247"/>
      <c r="T143" s="247"/>
      <c r="U143" s="247"/>
      <c r="V143" s="247"/>
      <c r="W143" s="247"/>
      <c r="X143" s="247"/>
      <c r="Y143" s="247"/>
      <c r="Z143" s="247"/>
    </row>
    <row r="144" spans="16:26">
      <c r="P144" s="241"/>
      <c r="Q144" s="241"/>
      <c r="R144" s="241"/>
      <c r="S144" s="241"/>
      <c r="T144" s="241"/>
      <c r="U144" s="241"/>
      <c r="V144" s="241"/>
      <c r="W144" s="241"/>
      <c r="X144" s="241"/>
      <c r="Y144" s="241"/>
      <c r="Z144" s="241"/>
    </row>
    <row r="145" spans="16:26">
      <c r="P145" s="247"/>
      <c r="Q145" s="247"/>
      <c r="R145" s="247"/>
      <c r="S145" s="247"/>
      <c r="T145" s="247"/>
      <c r="U145" s="247"/>
      <c r="V145" s="247"/>
      <c r="W145" s="247"/>
      <c r="X145" s="247"/>
      <c r="Y145" s="247"/>
      <c r="Z145" s="247"/>
    </row>
    <row r="146" spans="16:26">
      <c r="P146" s="247"/>
      <c r="Q146" s="247"/>
      <c r="R146" s="247"/>
      <c r="S146" s="247"/>
      <c r="T146" s="247"/>
      <c r="U146" s="247"/>
      <c r="V146" s="247"/>
      <c r="W146" s="247"/>
      <c r="X146" s="247"/>
      <c r="Y146" s="247"/>
      <c r="Z146" s="247"/>
    </row>
    <row r="147" spans="16:26">
      <c r="P147" s="241"/>
      <c r="Q147" s="241"/>
      <c r="R147" s="241"/>
      <c r="S147" s="241"/>
      <c r="T147" s="241"/>
      <c r="U147" s="241"/>
      <c r="V147" s="241"/>
      <c r="W147" s="241"/>
      <c r="X147" s="241"/>
      <c r="Y147" s="241"/>
      <c r="Z147" s="241"/>
    </row>
    <row r="148" spans="16:26">
      <c r="P148" s="247"/>
      <c r="Q148" s="247"/>
      <c r="R148" s="247"/>
      <c r="S148" s="247"/>
      <c r="T148" s="247"/>
      <c r="U148" s="247"/>
      <c r="V148" s="247"/>
      <c r="W148" s="247"/>
      <c r="X148" s="247"/>
      <c r="Y148" s="247"/>
      <c r="Z148" s="247"/>
    </row>
    <row r="149" spans="16:26">
      <c r="P149" s="247"/>
      <c r="Q149" s="247"/>
      <c r="R149" s="247"/>
      <c r="S149" s="247"/>
      <c r="T149" s="247"/>
      <c r="U149" s="247"/>
      <c r="V149" s="247"/>
      <c r="W149" s="247"/>
      <c r="X149" s="247"/>
      <c r="Y149" s="247"/>
      <c r="Z149" s="247"/>
    </row>
    <row r="150" spans="16:26">
      <c r="P150" s="241"/>
      <c r="Q150" s="241"/>
      <c r="R150" s="241"/>
      <c r="S150" s="241"/>
      <c r="T150" s="241"/>
      <c r="U150" s="241"/>
      <c r="V150" s="241"/>
      <c r="W150" s="241"/>
      <c r="X150" s="241"/>
      <c r="Y150" s="241"/>
      <c r="Z150" s="241"/>
    </row>
    <row r="151" spans="16:26">
      <c r="P151" s="247"/>
      <c r="Q151" s="247"/>
      <c r="R151" s="247"/>
      <c r="S151" s="247"/>
      <c r="T151" s="247"/>
      <c r="U151" s="247"/>
      <c r="V151" s="247"/>
      <c r="W151" s="247"/>
      <c r="X151" s="247"/>
      <c r="Y151" s="247"/>
      <c r="Z151" s="247"/>
    </row>
    <row r="152" spans="16:26">
      <c r="P152" s="247"/>
      <c r="Q152" s="247"/>
      <c r="R152" s="247"/>
      <c r="S152" s="247"/>
      <c r="T152" s="247"/>
      <c r="U152" s="247"/>
      <c r="V152" s="247"/>
      <c r="W152" s="247"/>
      <c r="X152" s="247"/>
      <c r="Y152" s="247"/>
      <c r="Z152" s="247"/>
    </row>
    <row r="153" spans="16:26">
      <c r="P153" s="241"/>
      <c r="Q153" s="241"/>
      <c r="R153" s="241"/>
      <c r="S153" s="241"/>
      <c r="T153" s="241"/>
      <c r="U153" s="241"/>
      <c r="V153" s="241"/>
      <c r="W153" s="241"/>
      <c r="X153" s="241"/>
      <c r="Y153" s="241"/>
      <c r="Z153" s="241"/>
    </row>
    <row r="154" spans="16:26">
      <c r="P154" s="247"/>
      <c r="Q154" s="247"/>
      <c r="R154" s="247"/>
      <c r="S154" s="247"/>
      <c r="T154" s="247"/>
      <c r="U154" s="247"/>
      <c r="V154" s="247"/>
      <c r="W154" s="247"/>
      <c r="X154" s="247"/>
      <c r="Y154" s="247"/>
      <c r="Z154" s="247"/>
    </row>
    <row r="155" spans="16:26">
      <c r="P155" s="247"/>
      <c r="Q155" s="247"/>
      <c r="R155" s="247"/>
      <c r="S155" s="247"/>
      <c r="T155" s="247"/>
      <c r="U155" s="247"/>
      <c r="V155" s="247"/>
      <c r="W155" s="247"/>
      <c r="X155" s="247"/>
      <c r="Y155" s="247"/>
      <c r="Z155" s="247"/>
    </row>
    <row r="156" spans="16:26">
      <c r="P156" s="241"/>
      <c r="Q156" s="241"/>
      <c r="R156" s="241"/>
      <c r="S156" s="241"/>
      <c r="T156" s="241"/>
      <c r="U156" s="241"/>
      <c r="V156" s="241"/>
      <c r="W156" s="241"/>
      <c r="X156" s="241"/>
      <c r="Y156" s="241"/>
      <c r="Z156" s="241"/>
    </row>
    <row r="157" spans="16:26">
      <c r="P157" s="247"/>
      <c r="Q157" s="247"/>
      <c r="R157" s="247"/>
      <c r="S157" s="247"/>
      <c r="T157" s="247"/>
      <c r="U157" s="247"/>
      <c r="V157" s="247"/>
      <c r="W157" s="247"/>
      <c r="X157" s="247"/>
      <c r="Y157" s="247"/>
      <c r="Z157" s="247"/>
    </row>
    <row r="158" spans="16:26">
      <c r="P158" s="247"/>
      <c r="Q158" s="247"/>
      <c r="R158" s="247"/>
      <c r="S158" s="247"/>
      <c r="T158" s="247"/>
      <c r="U158" s="247"/>
      <c r="V158" s="247"/>
      <c r="W158" s="247"/>
      <c r="X158" s="247"/>
      <c r="Y158" s="247"/>
      <c r="Z158" s="247"/>
    </row>
    <row r="159" spans="16:26">
      <c r="P159" s="241"/>
      <c r="Q159" s="241"/>
      <c r="R159" s="241"/>
      <c r="S159" s="241"/>
      <c r="T159" s="241"/>
      <c r="U159" s="241"/>
      <c r="V159" s="241"/>
      <c r="W159" s="241"/>
      <c r="X159" s="241"/>
      <c r="Y159" s="241"/>
      <c r="Z159" s="241"/>
    </row>
    <row r="160" spans="16:26">
      <c r="P160" s="247"/>
      <c r="Q160" s="247"/>
      <c r="R160" s="247"/>
      <c r="S160" s="247"/>
      <c r="T160" s="247"/>
      <c r="U160" s="247"/>
      <c r="V160" s="247"/>
      <c r="W160" s="247"/>
      <c r="X160" s="247"/>
      <c r="Y160" s="247"/>
      <c r="Z160" s="247"/>
    </row>
    <row r="161" spans="16:26">
      <c r="P161" s="247"/>
      <c r="Q161" s="247"/>
      <c r="R161" s="247"/>
      <c r="S161" s="247"/>
      <c r="T161" s="247"/>
      <c r="U161" s="247"/>
      <c r="V161" s="247"/>
      <c r="W161" s="247"/>
      <c r="X161" s="247"/>
      <c r="Y161" s="247"/>
      <c r="Z161" s="247"/>
    </row>
    <row r="162" spans="16:26">
      <c r="P162" s="241"/>
      <c r="Q162" s="241"/>
      <c r="R162" s="241"/>
      <c r="S162" s="241"/>
      <c r="T162" s="241"/>
      <c r="U162" s="241"/>
      <c r="V162" s="241"/>
      <c r="W162" s="241"/>
      <c r="X162" s="241"/>
      <c r="Y162" s="241"/>
      <c r="Z162" s="241"/>
    </row>
    <row r="163" spans="16:26">
      <c r="P163" s="247"/>
      <c r="Q163" s="247"/>
      <c r="R163" s="247"/>
      <c r="S163" s="247"/>
      <c r="T163" s="247"/>
      <c r="U163" s="247"/>
      <c r="V163" s="247"/>
      <c r="W163" s="247"/>
      <c r="X163" s="247"/>
      <c r="Y163" s="247"/>
      <c r="Z163" s="247"/>
    </row>
    <row r="164" spans="16:26">
      <c r="P164" s="247"/>
      <c r="Q164" s="247"/>
      <c r="R164" s="247"/>
      <c r="S164" s="247"/>
      <c r="T164" s="247"/>
      <c r="U164" s="247"/>
      <c r="V164" s="247"/>
      <c r="W164" s="247"/>
      <c r="X164" s="247"/>
      <c r="Y164" s="247"/>
      <c r="Z164" s="247"/>
    </row>
    <row r="165" spans="16:26">
      <c r="P165" s="241"/>
      <c r="Q165" s="241"/>
      <c r="R165" s="241"/>
      <c r="S165" s="241"/>
      <c r="T165" s="241"/>
      <c r="U165" s="241"/>
      <c r="V165" s="241"/>
      <c r="W165" s="241"/>
      <c r="X165" s="241"/>
      <c r="Y165" s="241"/>
      <c r="Z165" s="241"/>
    </row>
    <row r="166" spans="16:26">
      <c r="P166" s="247"/>
      <c r="Q166" s="247"/>
      <c r="R166" s="247"/>
      <c r="S166" s="247"/>
      <c r="T166" s="247"/>
      <c r="U166" s="247"/>
      <c r="V166" s="247"/>
      <c r="W166" s="247"/>
      <c r="X166" s="247"/>
      <c r="Y166" s="247"/>
      <c r="Z166" s="247"/>
    </row>
    <row r="167" spans="16:26">
      <c r="P167" s="247"/>
      <c r="Q167" s="247"/>
      <c r="R167" s="247"/>
      <c r="S167" s="247"/>
      <c r="T167" s="247"/>
      <c r="U167" s="247"/>
      <c r="V167" s="247"/>
      <c r="W167" s="247"/>
      <c r="X167" s="247"/>
      <c r="Y167" s="247"/>
      <c r="Z167" s="247"/>
    </row>
    <row r="168" spans="16:26">
      <c r="P168" s="241"/>
      <c r="Q168" s="241"/>
      <c r="R168" s="241"/>
      <c r="S168" s="241"/>
      <c r="T168" s="241"/>
      <c r="U168" s="241"/>
      <c r="V168" s="241"/>
      <c r="W168" s="241"/>
      <c r="X168" s="241"/>
      <c r="Y168" s="241"/>
      <c r="Z168" s="241"/>
    </row>
    <row r="169" spans="16:26">
      <c r="P169" s="247"/>
      <c r="Q169" s="247"/>
      <c r="R169" s="247"/>
      <c r="S169" s="247"/>
      <c r="T169" s="247"/>
      <c r="U169" s="247"/>
      <c r="V169" s="247"/>
      <c r="W169" s="247"/>
      <c r="X169" s="247"/>
      <c r="Y169" s="247"/>
      <c r="Z169" s="247"/>
    </row>
    <row r="170" spans="16:26">
      <c r="P170" s="247"/>
      <c r="Q170" s="247"/>
      <c r="R170" s="247"/>
      <c r="S170" s="247"/>
      <c r="T170" s="247"/>
      <c r="U170" s="247"/>
      <c r="V170" s="247"/>
      <c r="W170" s="247"/>
      <c r="X170" s="247"/>
      <c r="Y170" s="247"/>
      <c r="Z170" s="247"/>
    </row>
    <row r="171" spans="16:26">
      <c r="P171" s="241"/>
      <c r="Q171" s="241"/>
      <c r="R171" s="241"/>
      <c r="S171" s="241"/>
      <c r="T171" s="241"/>
      <c r="U171" s="241"/>
      <c r="V171" s="241"/>
      <c r="W171" s="241"/>
      <c r="X171" s="241"/>
      <c r="Y171" s="241"/>
      <c r="Z171" s="241"/>
    </row>
    <row r="172" spans="16:26">
      <c r="P172" s="247"/>
      <c r="Q172" s="247"/>
      <c r="R172" s="247"/>
      <c r="S172" s="247"/>
      <c r="T172" s="247"/>
      <c r="U172" s="247"/>
      <c r="V172" s="247"/>
      <c r="W172" s="247"/>
      <c r="X172" s="247"/>
      <c r="Y172" s="247"/>
      <c r="Z172" s="247"/>
    </row>
    <row r="173" spans="16:26">
      <c r="P173" s="247"/>
      <c r="Q173" s="247"/>
      <c r="R173" s="247"/>
      <c r="S173" s="247"/>
      <c r="T173" s="247"/>
      <c r="U173" s="247"/>
      <c r="V173" s="247"/>
      <c r="W173" s="247"/>
      <c r="X173" s="247"/>
      <c r="Y173" s="247"/>
      <c r="Z173" s="247"/>
    </row>
    <row r="174" spans="16:26">
      <c r="P174" s="241"/>
      <c r="Q174" s="241"/>
      <c r="R174" s="241"/>
      <c r="S174" s="241"/>
      <c r="T174" s="241"/>
      <c r="U174" s="241"/>
      <c r="V174" s="241"/>
      <c r="W174" s="241"/>
      <c r="X174" s="241"/>
      <c r="Y174" s="241"/>
      <c r="Z174" s="241"/>
    </row>
    <row r="175" spans="16:26">
      <c r="P175" s="247"/>
      <c r="Q175" s="247"/>
      <c r="R175" s="247"/>
      <c r="S175" s="247"/>
      <c r="T175" s="247"/>
      <c r="U175" s="247"/>
      <c r="V175" s="247"/>
      <c r="W175" s="247"/>
      <c r="X175" s="247"/>
      <c r="Y175" s="247"/>
      <c r="Z175" s="247"/>
    </row>
    <row r="176" spans="16:26">
      <c r="P176" s="247"/>
      <c r="Q176" s="247"/>
      <c r="R176" s="247"/>
      <c r="S176" s="247"/>
      <c r="T176" s="247"/>
      <c r="U176" s="247"/>
      <c r="V176" s="247"/>
      <c r="W176" s="247"/>
      <c r="X176" s="247"/>
      <c r="Y176" s="247"/>
      <c r="Z176" s="247"/>
    </row>
    <row r="177" spans="16:26">
      <c r="P177" s="241"/>
      <c r="Q177" s="241"/>
      <c r="R177" s="241"/>
      <c r="S177" s="241"/>
      <c r="T177" s="241"/>
      <c r="U177" s="241"/>
      <c r="V177" s="241"/>
      <c r="W177" s="241"/>
      <c r="X177" s="241"/>
      <c r="Y177" s="241"/>
      <c r="Z177" s="241"/>
    </row>
    <row r="178" spans="16:26">
      <c r="P178" s="247"/>
      <c r="Q178" s="247"/>
      <c r="R178" s="247"/>
      <c r="S178" s="247"/>
      <c r="T178" s="247"/>
      <c r="U178" s="247"/>
      <c r="V178" s="247"/>
      <c r="W178" s="247"/>
      <c r="X178" s="247"/>
      <c r="Y178" s="247"/>
      <c r="Z178" s="247"/>
    </row>
    <row r="179" spans="16:26">
      <c r="P179" s="247"/>
      <c r="Q179" s="247"/>
      <c r="R179" s="247"/>
      <c r="S179" s="247"/>
      <c r="T179" s="247"/>
      <c r="U179" s="247"/>
      <c r="V179" s="247"/>
      <c r="W179" s="247"/>
      <c r="X179" s="247"/>
      <c r="Y179" s="247"/>
      <c r="Z179" s="247"/>
    </row>
    <row r="180" spans="16:26">
      <c r="P180" s="241"/>
      <c r="Q180" s="241"/>
      <c r="R180" s="241"/>
      <c r="S180" s="241"/>
      <c r="T180" s="241"/>
      <c r="U180" s="241"/>
      <c r="V180" s="241"/>
      <c r="W180" s="241"/>
      <c r="X180" s="241"/>
      <c r="Y180" s="241"/>
      <c r="Z180" s="241"/>
    </row>
    <row r="181" spans="16:26">
      <c r="P181" s="247"/>
      <c r="Q181" s="247"/>
      <c r="R181" s="247"/>
      <c r="S181" s="247"/>
      <c r="T181" s="247"/>
      <c r="U181" s="247"/>
      <c r="V181" s="247"/>
      <c r="W181" s="247"/>
      <c r="X181" s="247"/>
      <c r="Y181" s="247"/>
      <c r="Z181" s="247"/>
    </row>
    <row r="182" spans="16:26">
      <c r="P182" s="247"/>
      <c r="Q182" s="247"/>
      <c r="R182" s="247"/>
      <c r="S182" s="247"/>
      <c r="T182" s="247"/>
      <c r="U182" s="247"/>
      <c r="V182" s="247"/>
      <c r="W182" s="247"/>
      <c r="X182" s="247"/>
      <c r="Y182" s="247"/>
      <c r="Z182" s="247"/>
    </row>
    <row r="183" spans="16:26">
      <c r="P183" s="241"/>
      <c r="Q183" s="241"/>
      <c r="R183" s="241"/>
      <c r="S183" s="241"/>
      <c r="T183" s="241"/>
      <c r="U183" s="241"/>
      <c r="V183" s="241"/>
      <c r="W183" s="241"/>
      <c r="X183" s="241"/>
      <c r="Y183" s="241"/>
      <c r="Z183" s="241"/>
    </row>
    <row r="184" spans="16:26">
      <c r="P184" s="247"/>
      <c r="Q184" s="247"/>
      <c r="R184" s="247"/>
      <c r="S184" s="247"/>
      <c r="T184" s="247"/>
      <c r="U184" s="247"/>
      <c r="V184" s="247"/>
      <c r="W184" s="247"/>
      <c r="X184" s="247"/>
      <c r="Y184" s="247"/>
      <c r="Z184" s="247"/>
    </row>
    <row r="185" spans="16:26">
      <c r="P185" s="247"/>
      <c r="Q185" s="247"/>
      <c r="R185" s="247"/>
      <c r="S185" s="247"/>
      <c r="T185" s="247"/>
      <c r="U185" s="247"/>
      <c r="V185" s="247"/>
      <c r="W185" s="247"/>
      <c r="X185" s="247"/>
      <c r="Y185" s="247"/>
      <c r="Z185" s="247"/>
    </row>
    <row r="186" spans="16:26">
      <c r="P186" s="241"/>
      <c r="Q186" s="241"/>
      <c r="R186" s="241"/>
      <c r="S186" s="241"/>
      <c r="T186" s="241"/>
      <c r="U186" s="241"/>
      <c r="V186" s="241"/>
      <c r="W186" s="241"/>
      <c r="X186" s="241"/>
      <c r="Y186" s="241"/>
      <c r="Z186" s="241"/>
    </row>
    <row r="187" spans="16:26">
      <c r="P187" s="247"/>
      <c r="Q187" s="247"/>
      <c r="R187" s="247"/>
      <c r="S187" s="247"/>
      <c r="T187" s="247"/>
      <c r="U187" s="247"/>
      <c r="V187" s="247"/>
      <c r="W187" s="247"/>
      <c r="X187" s="247"/>
      <c r="Y187" s="247"/>
      <c r="Z187" s="247"/>
    </row>
    <row r="188" spans="16:26">
      <c r="P188" s="247"/>
      <c r="Q188" s="247"/>
      <c r="R188" s="247"/>
      <c r="S188" s="247"/>
      <c r="T188" s="247"/>
      <c r="U188" s="247"/>
      <c r="V188" s="247"/>
      <c r="W188" s="247"/>
      <c r="X188" s="247"/>
      <c r="Y188" s="247"/>
      <c r="Z188" s="247"/>
    </row>
    <row r="189" spans="16:26">
      <c r="P189" s="241"/>
      <c r="Q189" s="241"/>
      <c r="R189" s="241"/>
      <c r="S189" s="241"/>
      <c r="T189" s="241"/>
      <c r="U189" s="241"/>
      <c r="V189" s="241"/>
      <c r="W189" s="241"/>
      <c r="X189" s="241"/>
      <c r="Y189" s="241"/>
      <c r="Z189" s="241"/>
    </row>
    <row r="190" spans="16:26">
      <c r="P190" s="247"/>
      <c r="Q190" s="247"/>
      <c r="R190" s="247"/>
      <c r="S190" s="247"/>
      <c r="T190" s="247"/>
      <c r="U190" s="247"/>
      <c r="V190" s="247"/>
      <c r="W190" s="247"/>
      <c r="X190" s="247"/>
      <c r="Y190" s="247"/>
      <c r="Z190" s="247"/>
    </row>
    <row r="191" spans="16:26">
      <c r="P191" s="247"/>
      <c r="Q191" s="247"/>
      <c r="R191" s="247"/>
      <c r="S191" s="247"/>
      <c r="T191" s="247"/>
      <c r="U191" s="247"/>
      <c r="V191" s="247"/>
      <c r="W191" s="247"/>
      <c r="X191" s="247"/>
      <c r="Y191" s="247"/>
      <c r="Z191" s="247"/>
    </row>
    <row r="192" spans="16:26">
      <c r="P192" s="241"/>
      <c r="Q192" s="241"/>
      <c r="R192" s="241"/>
      <c r="S192" s="241"/>
      <c r="T192" s="241"/>
      <c r="U192" s="241"/>
      <c r="V192" s="241"/>
      <c r="W192" s="241"/>
      <c r="X192" s="241"/>
      <c r="Y192" s="241"/>
      <c r="Z192" s="241"/>
    </row>
    <row r="193" spans="16:26">
      <c r="P193" s="247"/>
      <c r="Q193" s="247"/>
      <c r="R193" s="247"/>
      <c r="S193" s="247"/>
      <c r="T193" s="247"/>
      <c r="U193" s="247"/>
      <c r="V193" s="247"/>
      <c r="W193" s="247"/>
      <c r="X193" s="247"/>
      <c r="Y193" s="247"/>
      <c r="Z193" s="247"/>
    </row>
    <row r="194" spans="16:26">
      <c r="P194" s="247"/>
      <c r="Q194" s="247"/>
      <c r="R194" s="247"/>
      <c r="S194" s="247"/>
      <c r="T194" s="247"/>
      <c r="U194" s="247"/>
      <c r="V194" s="247"/>
      <c r="W194" s="247"/>
      <c r="X194" s="247"/>
      <c r="Y194" s="247"/>
      <c r="Z194" s="247"/>
    </row>
    <row r="195" spans="16:26">
      <c r="P195" s="241"/>
      <c r="Q195" s="241"/>
      <c r="R195" s="241"/>
      <c r="S195" s="241"/>
      <c r="T195" s="241"/>
      <c r="U195" s="241"/>
      <c r="V195" s="241"/>
      <c r="W195" s="241"/>
      <c r="X195" s="241"/>
      <c r="Y195" s="241"/>
      <c r="Z195" s="241"/>
    </row>
    <row r="196" spans="16:26">
      <c r="P196" s="247"/>
      <c r="Q196" s="247"/>
      <c r="R196" s="247"/>
      <c r="S196" s="247"/>
      <c r="T196" s="247"/>
      <c r="U196" s="247"/>
      <c r="V196" s="247"/>
      <c r="W196" s="247"/>
      <c r="X196" s="247"/>
      <c r="Y196" s="247"/>
      <c r="Z196" s="247"/>
    </row>
    <row r="197" spans="16:26">
      <c r="P197" s="247"/>
      <c r="Q197" s="247"/>
      <c r="R197" s="247"/>
      <c r="S197" s="247"/>
      <c r="T197" s="247"/>
      <c r="U197" s="247"/>
      <c r="V197" s="247"/>
      <c r="W197" s="247"/>
      <c r="X197" s="247"/>
      <c r="Y197" s="247"/>
      <c r="Z197" s="247"/>
    </row>
    <row r="198" spans="16:26">
      <c r="P198" s="241"/>
      <c r="Q198" s="241"/>
      <c r="R198" s="241"/>
      <c r="S198" s="241"/>
      <c r="T198" s="241"/>
      <c r="U198" s="241"/>
      <c r="V198" s="241"/>
      <c r="W198" s="241"/>
      <c r="X198" s="241"/>
      <c r="Y198" s="241"/>
      <c r="Z198" s="241"/>
    </row>
    <row r="199" spans="16:26">
      <c r="P199" s="247"/>
      <c r="Q199" s="247"/>
      <c r="R199" s="247"/>
      <c r="S199" s="247"/>
      <c r="T199" s="247"/>
      <c r="U199" s="247"/>
      <c r="V199" s="247"/>
      <c r="W199" s="247"/>
      <c r="X199" s="247"/>
      <c r="Y199" s="247"/>
      <c r="Z199" s="247"/>
    </row>
    <row r="200" spans="16:26">
      <c r="P200" s="247"/>
      <c r="Q200" s="247"/>
      <c r="R200" s="247"/>
      <c r="S200" s="247"/>
      <c r="T200" s="247"/>
      <c r="U200" s="247"/>
      <c r="V200" s="247"/>
      <c r="W200" s="247"/>
      <c r="X200" s="247"/>
      <c r="Y200" s="247"/>
      <c r="Z200" s="247"/>
    </row>
    <row r="201" spans="16:26">
      <c r="P201" s="241"/>
      <c r="Q201" s="241"/>
      <c r="R201" s="241"/>
      <c r="S201" s="241"/>
      <c r="T201" s="241"/>
      <c r="U201" s="241"/>
      <c r="V201" s="241"/>
      <c r="W201" s="241"/>
      <c r="X201" s="241"/>
      <c r="Y201" s="241"/>
      <c r="Z201" s="241"/>
    </row>
    <row r="202" spans="16:26">
      <c r="P202" s="247"/>
      <c r="Q202" s="247"/>
      <c r="R202" s="247"/>
      <c r="S202" s="247"/>
      <c r="T202" s="247"/>
      <c r="U202" s="247"/>
      <c r="V202" s="247"/>
      <c r="W202" s="247"/>
      <c r="X202" s="247"/>
      <c r="Y202" s="247"/>
      <c r="Z202" s="247"/>
    </row>
    <row r="203" spans="16:26">
      <c r="P203" s="247"/>
      <c r="Q203" s="247"/>
      <c r="R203" s="247"/>
      <c r="S203" s="247"/>
      <c r="T203" s="247"/>
      <c r="U203" s="247"/>
      <c r="V203" s="247"/>
      <c r="W203" s="247"/>
      <c r="X203" s="247"/>
      <c r="Y203" s="247"/>
      <c r="Z203" s="247"/>
    </row>
    <row r="204" spans="16:26">
      <c r="P204" s="241"/>
      <c r="Q204" s="241"/>
      <c r="R204" s="241"/>
      <c r="S204" s="241"/>
      <c r="T204" s="241"/>
      <c r="U204" s="241"/>
      <c r="V204" s="241"/>
      <c r="W204" s="241"/>
      <c r="X204" s="241"/>
      <c r="Y204" s="241"/>
      <c r="Z204" s="241"/>
    </row>
    <row r="205" spans="16:26">
      <c r="P205" s="247"/>
      <c r="Q205" s="247"/>
      <c r="R205" s="247"/>
      <c r="S205" s="247"/>
      <c r="T205" s="247"/>
      <c r="U205" s="247"/>
      <c r="V205" s="247"/>
      <c r="W205" s="247"/>
      <c r="X205" s="247"/>
      <c r="Y205" s="247"/>
      <c r="Z205" s="247"/>
    </row>
    <row r="206" spans="16:26">
      <c r="P206" s="247"/>
      <c r="Q206" s="247"/>
      <c r="R206" s="247"/>
      <c r="S206" s="247"/>
      <c r="T206" s="247"/>
      <c r="U206" s="247"/>
      <c r="V206" s="247"/>
      <c r="W206" s="247"/>
      <c r="X206" s="247"/>
      <c r="Y206" s="247"/>
      <c r="Z206" s="247"/>
    </row>
    <row r="207" spans="16:26">
      <c r="P207" s="241"/>
      <c r="Q207" s="241"/>
      <c r="R207" s="241"/>
      <c r="S207" s="241"/>
      <c r="T207" s="241"/>
      <c r="U207" s="241"/>
      <c r="V207" s="241"/>
      <c r="W207" s="241"/>
      <c r="X207" s="241"/>
      <c r="Y207" s="241"/>
      <c r="Z207" s="241"/>
    </row>
    <row r="208" spans="16:26">
      <c r="P208" s="247"/>
      <c r="Q208" s="247"/>
      <c r="R208" s="247"/>
      <c r="S208" s="247"/>
      <c r="T208" s="247"/>
      <c r="U208" s="247"/>
      <c r="V208" s="247"/>
      <c r="W208" s="247"/>
      <c r="X208" s="247"/>
      <c r="Y208" s="247"/>
      <c r="Z208" s="247"/>
    </row>
    <row r="209" spans="16:26">
      <c r="P209" s="247"/>
      <c r="Q209" s="247"/>
      <c r="R209" s="247"/>
      <c r="S209" s="247"/>
      <c r="T209" s="247"/>
      <c r="U209" s="247"/>
      <c r="V209" s="247"/>
      <c r="W209" s="247"/>
      <c r="X209" s="247"/>
      <c r="Y209" s="247"/>
      <c r="Z209" s="247"/>
    </row>
    <row r="210" spans="16:26">
      <c r="P210" s="241"/>
      <c r="Q210" s="241"/>
      <c r="R210" s="241"/>
      <c r="S210" s="241"/>
      <c r="T210" s="241"/>
      <c r="U210" s="241"/>
      <c r="V210" s="241"/>
      <c r="W210" s="241"/>
      <c r="X210" s="241"/>
      <c r="Y210" s="241"/>
      <c r="Z210" s="241"/>
    </row>
    <row r="211" spans="16:26">
      <c r="P211" s="247"/>
      <c r="Q211" s="247"/>
      <c r="R211" s="247"/>
      <c r="S211" s="247"/>
      <c r="T211" s="247"/>
      <c r="U211" s="247"/>
      <c r="V211" s="247"/>
      <c r="W211" s="247"/>
      <c r="X211" s="247"/>
      <c r="Y211" s="247"/>
      <c r="Z211" s="247"/>
    </row>
    <row r="212" spans="16:26">
      <c r="P212" s="247"/>
      <c r="Q212" s="247"/>
      <c r="R212" s="247"/>
      <c r="S212" s="247"/>
      <c r="T212" s="247"/>
      <c r="U212" s="247"/>
      <c r="V212" s="247"/>
      <c r="W212" s="247"/>
      <c r="X212" s="247"/>
      <c r="Y212" s="247"/>
      <c r="Z212" s="247"/>
    </row>
    <row r="213" spans="16:26">
      <c r="P213" s="241"/>
      <c r="Q213" s="241"/>
      <c r="R213" s="241"/>
      <c r="S213" s="241"/>
      <c r="T213" s="241"/>
      <c r="U213" s="241"/>
      <c r="V213" s="241"/>
      <c r="W213" s="241"/>
      <c r="X213" s="241"/>
      <c r="Y213" s="241"/>
      <c r="Z213" s="241"/>
    </row>
    <row r="214" spans="16:26">
      <c r="P214" s="247"/>
      <c r="Q214" s="247"/>
      <c r="R214" s="247"/>
      <c r="S214" s="247"/>
      <c r="T214" s="247"/>
      <c r="U214" s="247"/>
      <c r="V214" s="247"/>
      <c r="W214" s="247"/>
      <c r="X214" s="247"/>
      <c r="Y214" s="247"/>
      <c r="Z214" s="247"/>
    </row>
    <row r="215" spans="16:26">
      <c r="P215" s="247"/>
      <c r="Q215" s="247"/>
      <c r="R215" s="247"/>
      <c r="S215" s="247"/>
      <c r="T215" s="247"/>
      <c r="U215" s="247"/>
      <c r="V215" s="247"/>
      <c r="W215" s="247"/>
      <c r="X215" s="247"/>
      <c r="Y215" s="247"/>
      <c r="Z215" s="247"/>
    </row>
    <row r="216" spans="16:26">
      <c r="P216" s="241"/>
      <c r="Q216" s="241"/>
      <c r="R216" s="241"/>
      <c r="S216" s="241"/>
      <c r="T216" s="241"/>
      <c r="U216" s="241"/>
      <c r="V216" s="241"/>
      <c r="W216" s="241"/>
      <c r="X216" s="241"/>
      <c r="Y216" s="241"/>
      <c r="Z216" s="241"/>
    </row>
    <row r="217" spans="16:26">
      <c r="P217" s="247"/>
      <c r="Q217" s="247"/>
      <c r="R217" s="247"/>
      <c r="S217" s="247"/>
      <c r="T217" s="247"/>
      <c r="U217" s="247"/>
      <c r="V217" s="247"/>
      <c r="W217" s="247"/>
      <c r="X217" s="247"/>
      <c r="Y217" s="247"/>
      <c r="Z217" s="247"/>
    </row>
    <row r="218" spans="16:26">
      <c r="P218" s="247"/>
      <c r="Q218" s="247"/>
      <c r="R218" s="247"/>
      <c r="S218" s="247"/>
      <c r="T218" s="247"/>
      <c r="U218" s="247"/>
      <c r="V218" s="247"/>
      <c r="W218" s="247"/>
      <c r="X218" s="247"/>
      <c r="Y218" s="247"/>
      <c r="Z218" s="247"/>
    </row>
    <row r="219" spans="16:26">
      <c r="P219" s="241"/>
      <c r="Q219" s="241"/>
      <c r="R219" s="241"/>
      <c r="S219" s="241"/>
      <c r="T219" s="241"/>
      <c r="U219" s="241"/>
      <c r="V219" s="241"/>
      <c r="W219" s="241"/>
      <c r="X219" s="241"/>
      <c r="Y219" s="241"/>
      <c r="Z219" s="241"/>
    </row>
    <row r="220" spans="16:26">
      <c r="P220" s="247"/>
      <c r="Q220" s="247"/>
      <c r="R220" s="247"/>
      <c r="S220" s="247"/>
      <c r="T220" s="247"/>
      <c r="U220" s="247"/>
      <c r="V220" s="247"/>
      <c r="W220" s="247"/>
      <c r="X220" s="247"/>
      <c r="Y220" s="247"/>
      <c r="Z220" s="247"/>
    </row>
    <row r="221" spans="16:26">
      <c r="P221" s="247"/>
      <c r="Q221" s="247"/>
      <c r="R221" s="247"/>
      <c r="S221" s="247"/>
      <c r="T221" s="247"/>
      <c r="U221" s="247"/>
      <c r="V221" s="247"/>
      <c r="W221" s="247"/>
      <c r="X221" s="247"/>
      <c r="Y221" s="247"/>
      <c r="Z221" s="247"/>
    </row>
    <row r="222" spans="16:26">
      <c r="P222" s="241"/>
      <c r="Q222" s="241"/>
      <c r="R222" s="241"/>
      <c r="S222" s="241"/>
      <c r="T222" s="241"/>
      <c r="U222" s="241"/>
      <c r="V222" s="241"/>
      <c r="W222" s="241"/>
      <c r="X222" s="241"/>
      <c r="Y222" s="241"/>
      <c r="Z222" s="241"/>
    </row>
    <row r="223" spans="16:26">
      <c r="P223" s="247"/>
      <c r="Q223" s="247"/>
      <c r="R223" s="247"/>
      <c r="S223" s="247"/>
      <c r="T223" s="247"/>
      <c r="U223" s="247"/>
      <c r="V223" s="247"/>
      <c r="W223" s="247"/>
      <c r="X223" s="247"/>
      <c r="Y223" s="247"/>
      <c r="Z223" s="247"/>
    </row>
    <row r="224" spans="16:26">
      <c r="P224" s="247"/>
      <c r="Q224" s="247"/>
      <c r="R224" s="247"/>
      <c r="S224" s="247"/>
      <c r="T224" s="247"/>
      <c r="U224" s="247"/>
      <c r="V224" s="247"/>
      <c r="W224" s="247"/>
      <c r="X224" s="247"/>
      <c r="Y224" s="247"/>
      <c r="Z224" s="247"/>
    </row>
    <row r="225" spans="16:26">
      <c r="P225" s="241"/>
      <c r="Q225" s="241"/>
      <c r="R225" s="241"/>
      <c r="S225" s="241"/>
      <c r="T225" s="241"/>
      <c r="U225" s="241"/>
      <c r="V225" s="241"/>
      <c r="W225" s="241"/>
      <c r="X225" s="241"/>
      <c r="Y225" s="241"/>
      <c r="Z225" s="241"/>
    </row>
    <row r="226" spans="16:26">
      <c r="P226" s="247"/>
      <c r="Q226" s="247"/>
      <c r="R226" s="247"/>
      <c r="S226" s="247"/>
      <c r="T226" s="247"/>
      <c r="U226" s="247"/>
      <c r="V226" s="247"/>
      <c r="W226" s="247"/>
      <c r="X226" s="247"/>
      <c r="Y226" s="247"/>
      <c r="Z226" s="247"/>
    </row>
    <row r="227" spans="16:26">
      <c r="P227" s="247"/>
      <c r="Q227" s="247"/>
      <c r="R227" s="247"/>
      <c r="S227" s="247"/>
      <c r="T227" s="247"/>
      <c r="U227" s="247"/>
      <c r="V227" s="247"/>
      <c r="W227" s="247"/>
      <c r="X227" s="247"/>
      <c r="Y227" s="247"/>
      <c r="Z227" s="247"/>
    </row>
    <row r="228" spans="16:26">
      <c r="P228" s="241"/>
      <c r="Q228" s="241"/>
      <c r="R228" s="241"/>
      <c r="S228" s="241"/>
      <c r="T228" s="241"/>
      <c r="U228" s="241"/>
      <c r="V228" s="241"/>
      <c r="W228" s="241"/>
      <c r="X228" s="241"/>
      <c r="Y228" s="241"/>
      <c r="Z228" s="241"/>
    </row>
    <row r="229" spans="16:26">
      <c r="P229" s="247"/>
      <c r="Q229" s="247"/>
      <c r="R229" s="247"/>
      <c r="S229" s="247"/>
      <c r="T229" s="247"/>
      <c r="U229" s="247"/>
      <c r="V229" s="247"/>
      <c r="W229" s="247"/>
      <c r="X229" s="247"/>
      <c r="Y229" s="247"/>
      <c r="Z229" s="247"/>
    </row>
    <row r="230" spans="16:26">
      <c r="P230" s="247"/>
      <c r="Q230" s="247"/>
      <c r="R230" s="247"/>
      <c r="S230" s="247"/>
      <c r="T230" s="247"/>
      <c r="U230" s="247"/>
      <c r="V230" s="247"/>
      <c r="W230" s="247"/>
      <c r="X230" s="247"/>
      <c r="Y230" s="247"/>
      <c r="Z230" s="247"/>
    </row>
    <row r="231" spans="16:26">
      <c r="P231" s="241"/>
      <c r="Q231" s="241"/>
      <c r="R231" s="241"/>
      <c r="S231" s="241"/>
      <c r="T231" s="241"/>
      <c r="U231" s="241"/>
      <c r="V231" s="241"/>
      <c r="W231" s="241"/>
      <c r="X231" s="241"/>
      <c r="Y231" s="241"/>
      <c r="Z231" s="241"/>
    </row>
    <row r="232" spans="16:26">
      <c r="P232" s="247"/>
      <c r="Q232" s="247"/>
      <c r="R232" s="247"/>
      <c r="S232" s="247"/>
      <c r="T232" s="247"/>
      <c r="U232" s="247"/>
      <c r="V232" s="247"/>
      <c r="W232" s="247"/>
      <c r="X232" s="247"/>
      <c r="Y232" s="247"/>
      <c r="Z232" s="247"/>
    </row>
    <row r="233" spans="16:26">
      <c r="P233" s="247"/>
      <c r="Q233" s="247"/>
      <c r="R233" s="247"/>
      <c r="S233" s="247"/>
      <c r="T233" s="247"/>
      <c r="U233" s="247"/>
      <c r="V233" s="247"/>
      <c r="W233" s="247"/>
      <c r="X233" s="247"/>
      <c r="Y233" s="247"/>
      <c r="Z233" s="247"/>
    </row>
    <row r="234" spans="16:26">
      <c r="P234" s="241"/>
      <c r="Q234" s="241"/>
      <c r="R234" s="241"/>
      <c r="S234" s="241"/>
      <c r="T234" s="241"/>
      <c r="U234" s="241"/>
      <c r="V234" s="241"/>
      <c r="W234" s="241"/>
      <c r="X234" s="241"/>
      <c r="Y234" s="241"/>
      <c r="Z234" s="241"/>
    </row>
    <row r="235" spans="16:26">
      <c r="P235" s="247"/>
      <c r="Q235" s="247"/>
      <c r="R235" s="247"/>
      <c r="S235" s="247"/>
      <c r="T235" s="247"/>
      <c r="U235" s="247"/>
      <c r="V235" s="247"/>
      <c r="W235" s="247"/>
      <c r="X235" s="247"/>
      <c r="Y235" s="247"/>
      <c r="Z235" s="247"/>
    </row>
    <row r="236" spans="16:26">
      <c r="P236" s="247"/>
      <c r="Q236" s="247"/>
      <c r="R236" s="247"/>
      <c r="S236" s="247"/>
      <c r="T236" s="247"/>
      <c r="U236" s="247"/>
      <c r="V236" s="247"/>
      <c r="W236" s="247"/>
      <c r="X236" s="247"/>
      <c r="Y236" s="247"/>
      <c r="Z236" s="247"/>
    </row>
    <row r="237" spans="16:26">
      <c r="P237" s="241"/>
      <c r="Q237" s="241"/>
      <c r="R237" s="241"/>
      <c r="S237" s="241"/>
      <c r="T237" s="241"/>
      <c r="U237" s="241"/>
      <c r="V237" s="241"/>
      <c r="W237" s="241"/>
      <c r="X237" s="241"/>
      <c r="Y237" s="241"/>
      <c r="Z237" s="241"/>
    </row>
    <row r="238" spans="16:26">
      <c r="P238" s="247"/>
      <c r="Q238" s="247"/>
      <c r="R238" s="247"/>
      <c r="S238" s="247"/>
      <c r="T238" s="247"/>
      <c r="U238" s="247"/>
      <c r="V238" s="247"/>
      <c r="W238" s="247"/>
      <c r="X238" s="247"/>
      <c r="Y238" s="247"/>
      <c r="Z238" s="247"/>
    </row>
    <row r="239" spans="16:26">
      <c r="P239" s="247"/>
      <c r="Q239" s="247"/>
      <c r="R239" s="247"/>
      <c r="S239" s="247"/>
      <c r="T239" s="247"/>
      <c r="U239" s="247"/>
      <c r="V239" s="247"/>
      <c r="W239" s="247"/>
      <c r="X239" s="247"/>
      <c r="Y239" s="247"/>
      <c r="Z239" s="247"/>
    </row>
    <row r="240" spans="16:26">
      <c r="P240" s="241"/>
      <c r="Q240" s="241"/>
      <c r="R240" s="241"/>
      <c r="S240" s="241"/>
      <c r="T240" s="241"/>
      <c r="U240" s="241"/>
      <c r="V240" s="241"/>
      <c r="W240" s="241"/>
      <c r="X240" s="241"/>
      <c r="Y240" s="241"/>
      <c r="Z240" s="241"/>
    </row>
    <row r="241" spans="16:26">
      <c r="P241" s="247"/>
      <c r="Q241" s="247"/>
      <c r="R241" s="247"/>
      <c r="S241" s="247"/>
      <c r="T241" s="247"/>
      <c r="U241" s="247"/>
      <c r="V241" s="247"/>
      <c r="W241" s="247"/>
      <c r="X241" s="247"/>
      <c r="Y241" s="247"/>
      <c r="Z241" s="247"/>
    </row>
    <row r="242" spans="16:26">
      <c r="P242" s="247"/>
      <c r="Q242" s="247"/>
      <c r="R242" s="247"/>
      <c r="S242" s="247"/>
      <c r="T242" s="247"/>
      <c r="U242" s="247"/>
      <c r="V242" s="247"/>
      <c r="W242" s="247"/>
      <c r="X242" s="247"/>
      <c r="Y242" s="247"/>
      <c r="Z242" s="247"/>
    </row>
    <row r="243" spans="16:26">
      <c r="P243" s="241"/>
      <c r="Q243" s="241"/>
      <c r="R243" s="241"/>
      <c r="S243" s="241"/>
      <c r="T243" s="241"/>
      <c r="U243" s="241"/>
      <c r="V243" s="241"/>
      <c r="W243" s="241"/>
      <c r="X243" s="241"/>
      <c r="Y243" s="241"/>
      <c r="Z243" s="241"/>
    </row>
    <row r="244" spans="16:26">
      <c r="P244" s="247"/>
      <c r="Q244" s="247"/>
      <c r="R244" s="247"/>
      <c r="S244" s="247"/>
      <c r="T244" s="247"/>
      <c r="U244" s="247"/>
      <c r="V244" s="247"/>
      <c r="W244" s="247"/>
      <c r="X244" s="247"/>
      <c r="Y244" s="247"/>
      <c r="Z244" s="247"/>
    </row>
    <row r="245" spans="16:26">
      <c r="P245" s="247"/>
      <c r="Q245" s="247"/>
      <c r="R245" s="247"/>
      <c r="S245" s="247"/>
      <c r="T245" s="247"/>
      <c r="U245" s="247"/>
      <c r="V245" s="247"/>
      <c r="W245" s="247"/>
      <c r="X245" s="247"/>
      <c r="Y245" s="247"/>
      <c r="Z245" s="247"/>
    </row>
    <row r="246" spans="16:26">
      <c r="P246" s="241"/>
      <c r="Q246" s="241"/>
      <c r="R246" s="241"/>
      <c r="S246" s="241"/>
      <c r="T246" s="241"/>
      <c r="U246" s="241"/>
      <c r="V246" s="241"/>
      <c r="W246" s="241"/>
      <c r="X246" s="241"/>
      <c r="Y246" s="241"/>
      <c r="Z246" s="241"/>
    </row>
    <row r="247" spans="16:26">
      <c r="P247" s="247"/>
      <c r="Q247" s="247"/>
      <c r="R247" s="247"/>
      <c r="S247" s="247"/>
      <c r="T247" s="247"/>
      <c r="U247" s="247"/>
      <c r="V247" s="247"/>
      <c r="W247" s="247"/>
      <c r="X247" s="247"/>
      <c r="Y247" s="247"/>
      <c r="Z247" s="247"/>
    </row>
    <row r="248" spans="16:26">
      <c r="P248" s="247"/>
      <c r="Q248" s="247"/>
      <c r="R248" s="247"/>
      <c r="S248" s="247"/>
      <c r="T248" s="247"/>
      <c r="U248" s="247"/>
      <c r="V248" s="247"/>
      <c r="W248" s="247"/>
      <c r="X248" s="247"/>
      <c r="Y248" s="247"/>
      <c r="Z248" s="247"/>
    </row>
    <row r="249" spans="16:26">
      <c r="P249" s="241"/>
      <c r="Q249" s="241"/>
      <c r="R249" s="241"/>
      <c r="S249" s="241"/>
      <c r="T249" s="241"/>
      <c r="U249" s="241"/>
      <c r="V249" s="241"/>
      <c r="W249" s="241"/>
      <c r="X249" s="241"/>
      <c r="Y249" s="241"/>
      <c r="Z249" s="241"/>
    </row>
    <row r="250" spans="16:26">
      <c r="P250" s="247"/>
      <c r="Q250" s="247"/>
      <c r="R250" s="247"/>
      <c r="S250" s="247"/>
      <c r="T250" s="247"/>
      <c r="U250" s="247"/>
      <c r="V250" s="247"/>
      <c r="W250" s="247"/>
      <c r="X250" s="247"/>
      <c r="Y250" s="247"/>
      <c r="Z250" s="247"/>
    </row>
    <row r="251" spans="16:26">
      <c r="P251" s="247"/>
      <c r="Q251" s="247"/>
      <c r="R251" s="247"/>
      <c r="S251" s="247"/>
      <c r="T251" s="247"/>
      <c r="U251" s="247"/>
      <c r="V251" s="247"/>
      <c r="W251" s="247"/>
      <c r="X251" s="247"/>
      <c r="Y251" s="247"/>
      <c r="Z251" s="247"/>
    </row>
    <row r="252" spans="16:26">
      <c r="P252" s="241"/>
      <c r="Q252" s="241"/>
      <c r="R252" s="241"/>
      <c r="S252" s="241"/>
      <c r="T252" s="241"/>
      <c r="U252" s="241"/>
      <c r="V252" s="241"/>
      <c r="W252" s="241"/>
      <c r="X252" s="241"/>
      <c r="Y252" s="241"/>
      <c r="Z252" s="241"/>
    </row>
    <row r="253" spans="16:26">
      <c r="P253" s="247"/>
      <c r="Q253" s="247"/>
      <c r="R253" s="247"/>
      <c r="S253" s="247"/>
      <c r="T253" s="247"/>
      <c r="U253" s="247"/>
      <c r="V253" s="247"/>
      <c r="W253" s="247"/>
      <c r="X253" s="247"/>
      <c r="Y253" s="247"/>
      <c r="Z253" s="247"/>
    </row>
    <row r="254" spans="16:26">
      <c r="P254" s="247"/>
      <c r="Q254" s="247"/>
      <c r="R254" s="247"/>
      <c r="S254" s="247"/>
      <c r="T254" s="247"/>
      <c r="U254" s="247"/>
      <c r="V254" s="247"/>
      <c r="W254" s="247"/>
      <c r="X254" s="247"/>
      <c r="Y254" s="247"/>
      <c r="Z254" s="247"/>
    </row>
    <row r="255" spans="16:26">
      <c r="P255" s="241"/>
      <c r="Q255" s="241"/>
      <c r="R255" s="241"/>
      <c r="S255" s="241"/>
      <c r="T255" s="241"/>
      <c r="U255" s="241"/>
      <c r="V255" s="241"/>
      <c r="W255" s="241"/>
      <c r="X255" s="241"/>
      <c r="Y255" s="241"/>
      <c r="Z255" s="241"/>
    </row>
    <row r="256" spans="16:26">
      <c r="P256" s="247"/>
      <c r="Q256" s="247"/>
      <c r="R256" s="247"/>
      <c r="S256" s="247"/>
      <c r="T256" s="247"/>
      <c r="U256" s="247"/>
      <c r="V256" s="247"/>
      <c r="W256" s="247"/>
      <c r="X256" s="247"/>
      <c r="Y256" s="247"/>
      <c r="Z256" s="247"/>
    </row>
    <row r="257" spans="16:26">
      <c r="P257" s="247"/>
      <c r="Q257" s="247"/>
      <c r="R257" s="247"/>
      <c r="S257" s="247"/>
      <c r="T257" s="247"/>
      <c r="U257" s="247"/>
      <c r="V257" s="247"/>
      <c r="W257" s="247"/>
      <c r="X257" s="247"/>
      <c r="Y257" s="247"/>
      <c r="Z257" s="247"/>
    </row>
    <row r="258" spans="16:26">
      <c r="P258" s="241"/>
      <c r="Q258" s="241"/>
      <c r="R258" s="241"/>
      <c r="S258" s="241"/>
      <c r="T258" s="241"/>
      <c r="U258" s="241"/>
      <c r="V258" s="241"/>
      <c r="W258" s="241"/>
      <c r="X258" s="241"/>
      <c r="Y258" s="241"/>
      <c r="Z258" s="241"/>
    </row>
    <row r="259" spans="16:26">
      <c r="P259" s="247"/>
      <c r="Q259" s="247"/>
      <c r="R259" s="247"/>
      <c r="S259" s="247"/>
      <c r="T259" s="247"/>
      <c r="U259" s="247"/>
      <c r="V259" s="247"/>
      <c r="W259" s="247"/>
      <c r="X259" s="247"/>
      <c r="Y259" s="247"/>
      <c r="Z259" s="247"/>
    </row>
    <row r="260" spans="16:26">
      <c r="P260" s="247"/>
      <c r="Q260" s="247"/>
      <c r="R260" s="247"/>
      <c r="S260" s="247"/>
      <c r="T260" s="247"/>
      <c r="U260" s="247"/>
      <c r="V260" s="247"/>
      <c r="W260" s="247"/>
      <c r="X260" s="247"/>
      <c r="Y260" s="247"/>
      <c r="Z260" s="247"/>
    </row>
    <row r="261" spans="16:26">
      <c r="P261" s="241"/>
      <c r="Q261" s="241"/>
      <c r="R261" s="241"/>
      <c r="S261" s="241"/>
      <c r="T261" s="241"/>
      <c r="U261" s="241"/>
      <c r="V261" s="241"/>
      <c r="W261" s="241"/>
      <c r="X261" s="241"/>
      <c r="Y261" s="241"/>
      <c r="Z261" s="241"/>
    </row>
    <row r="262" spans="16:26">
      <c r="P262" s="247"/>
      <c r="Q262" s="247"/>
      <c r="R262" s="247"/>
      <c r="S262" s="247"/>
      <c r="T262" s="247"/>
      <c r="U262" s="247"/>
      <c r="V262" s="247"/>
      <c r="W262" s="247"/>
      <c r="X262" s="247"/>
      <c r="Y262" s="247"/>
      <c r="Z262" s="247"/>
    </row>
    <row r="263" spans="16:26">
      <c r="P263" s="247"/>
      <c r="Q263" s="247"/>
      <c r="R263" s="247"/>
      <c r="S263" s="247"/>
      <c r="T263" s="247"/>
      <c r="U263" s="247"/>
      <c r="V263" s="247"/>
      <c r="W263" s="247"/>
      <c r="X263" s="247"/>
      <c r="Y263" s="247"/>
      <c r="Z263" s="247"/>
    </row>
    <row r="264" spans="16:26">
      <c r="P264" s="241"/>
      <c r="Q264" s="241"/>
      <c r="R264" s="241"/>
      <c r="S264" s="241"/>
      <c r="T264" s="241"/>
      <c r="U264" s="241"/>
      <c r="V264" s="241"/>
      <c r="W264" s="241"/>
      <c r="X264" s="241"/>
      <c r="Y264" s="241"/>
      <c r="Z264" s="241"/>
    </row>
    <row r="265" spans="16:26">
      <c r="P265" s="247"/>
      <c r="Q265" s="247"/>
      <c r="R265" s="247"/>
      <c r="S265" s="247"/>
      <c r="T265" s="247"/>
      <c r="U265" s="247"/>
      <c r="V265" s="247"/>
      <c r="W265" s="247"/>
      <c r="X265" s="247"/>
      <c r="Y265" s="247"/>
      <c r="Z265" s="247"/>
    </row>
    <row r="266" spans="16:26">
      <c r="P266" s="247"/>
      <c r="Q266" s="247"/>
      <c r="R266" s="247"/>
      <c r="S266" s="247"/>
      <c r="T266" s="247"/>
      <c r="U266" s="247"/>
      <c r="V266" s="247"/>
      <c r="W266" s="247"/>
      <c r="X266" s="247"/>
      <c r="Y266" s="247"/>
      <c r="Z266" s="247"/>
    </row>
    <row r="267" spans="16:26">
      <c r="P267" s="241"/>
      <c r="Q267" s="241"/>
      <c r="R267" s="241"/>
      <c r="S267" s="241"/>
      <c r="T267" s="241"/>
      <c r="U267" s="241"/>
      <c r="V267" s="241"/>
      <c r="W267" s="241"/>
      <c r="X267" s="241"/>
      <c r="Y267" s="241"/>
      <c r="Z267" s="241"/>
    </row>
    <row r="268" spans="16:26">
      <c r="P268" s="247"/>
      <c r="Q268" s="247"/>
      <c r="R268" s="247"/>
      <c r="S268" s="247"/>
      <c r="T268" s="247"/>
      <c r="U268" s="247"/>
      <c r="V268" s="247"/>
      <c r="W268" s="247"/>
      <c r="X268" s="247"/>
      <c r="Y268" s="247"/>
      <c r="Z268" s="247"/>
    </row>
    <row r="269" spans="16:26">
      <c r="P269" s="247"/>
      <c r="Q269" s="247"/>
      <c r="R269" s="247"/>
      <c r="S269" s="247"/>
      <c r="T269" s="247"/>
      <c r="U269" s="247"/>
      <c r="V269" s="247"/>
      <c r="W269" s="247"/>
      <c r="X269" s="247"/>
      <c r="Y269" s="247"/>
      <c r="Z269" s="247"/>
    </row>
    <row r="270" spans="16:26">
      <c r="P270" s="241"/>
      <c r="Q270" s="241"/>
      <c r="R270" s="241"/>
      <c r="S270" s="241"/>
      <c r="T270" s="241"/>
      <c r="U270" s="241"/>
      <c r="V270" s="241"/>
      <c r="W270" s="241"/>
      <c r="X270" s="241"/>
      <c r="Y270" s="241"/>
      <c r="Z270" s="241"/>
    </row>
    <row r="271" spans="16:26">
      <c r="P271" s="247"/>
      <c r="Q271" s="247"/>
      <c r="R271" s="247"/>
      <c r="S271" s="247"/>
      <c r="T271" s="247"/>
      <c r="U271" s="247"/>
      <c r="V271" s="247"/>
      <c r="W271" s="247"/>
      <c r="X271" s="247"/>
      <c r="Y271" s="247"/>
      <c r="Z271" s="247"/>
    </row>
    <row r="272" spans="16:26">
      <c r="P272" s="247"/>
      <c r="Q272" s="247"/>
      <c r="R272" s="247"/>
      <c r="S272" s="247"/>
      <c r="T272" s="247"/>
      <c r="U272" s="247"/>
      <c r="V272" s="247"/>
      <c r="W272" s="247"/>
      <c r="X272" s="247"/>
      <c r="Y272" s="247"/>
      <c r="Z272" s="247"/>
    </row>
    <row r="273" spans="16:26">
      <c r="P273" s="241"/>
      <c r="Q273" s="241"/>
      <c r="R273" s="241"/>
      <c r="S273" s="241"/>
      <c r="T273" s="241"/>
      <c r="U273" s="241"/>
      <c r="V273" s="241"/>
      <c r="W273" s="241"/>
      <c r="X273" s="241"/>
      <c r="Y273" s="241"/>
      <c r="Z273" s="241"/>
    </row>
    <row r="274" spans="16:26">
      <c r="P274" s="247"/>
      <c r="Q274" s="247"/>
      <c r="R274" s="247"/>
      <c r="S274" s="247"/>
      <c r="T274" s="247"/>
      <c r="U274" s="247"/>
      <c r="V274" s="247"/>
      <c r="W274" s="247"/>
      <c r="X274" s="247"/>
      <c r="Y274" s="247"/>
      <c r="Z274" s="247"/>
    </row>
    <row r="275" spans="16:26">
      <c r="P275" s="247"/>
      <c r="Q275" s="247"/>
      <c r="R275" s="247"/>
      <c r="S275" s="247"/>
      <c r="T275" s="247"/>
      <c r="U275" s="247"/>
      <c r="V275" s="247"/>
      <c r="W275" s="247"/>
      <c r="X275" s="247"/>
      <c r="Y275" s="247"/>
      <c r="Z275" s="247"/>
    </row>
    <row r="276" spans="16:26">
      <c r="P276" s="241"/>
      <c r="Q276" s="241"/>
      <c r="R276" s="241"/>
      <c r="S276" s="241"/>
      <c r="T276" s="241"/>
      <c r="U276" s="241"/>
      <c r="V276" s="241"/>
      <c r="W276" s="241"/>
      <c r="X276" s="241"/>
      <c r="Y276" s="241"/>
      <c r="Z276" s="241"/>
    </row>
    <row r="277" spans="16:26">
      <c r="P277" s="247"/>
      <c r="Q277" s="247"/>
      <c r="R277" s="247"/>
      <c r="S277" s="247"/>
      <c r="T277" s="247"/>
      <c r="U277" s="247"/>
      <c r="V277" s="247"/>
      <c r="W277" s="247"/>
      <c r="X277" s="247"/>
      <c r="Y277" s="247"/>
      <c r="Z277" s="247"/>
    </row>
    <row r="278" spans="16:26">
      <c r="P278" s="247"/>
      <c r="Q278" s="247"/>
      <c r="R278" s="247"/>
      <c r="S278" s="247"/>
      <c r="T278" s="247"/>
      <c r="U278" s="247"/>
      <c r="V278" s="247"/>
      <c r="W278" s="247"/>
      <c r="X278" s="247"/>
      <c r="Y278" s="247"/>
      <c r="Z278" s="247"/>
    </row>
    <row r="279" spans="16:26">
      <c r="P279" s="241"/>
      <c r="Q279" s="241"/>
      <c r="R279" s="241"/>
      <c r="S279" s="241"/>
      <c r="T279" s="241"/>
      <c r="U279" s="241"/>
      <c r="V279" s="241"/>
      <c r="W279" s="241"/>
      <c r="X279" s="241"/>
      <c r="Y279" s="241"/>
      <c r="Z279" s="241"/>
    </row>
    <row r="280" spans="16:26">
      <c r="P280" s="247"/>
      <c r="Q280" s="247"/>
      <c r="R280" s="247"/>
      <c r="S280" s="247"/>
      <c r="T280" s="247"/>
      <c r="U280" s="247"/>
      <c r="V280" s="247"/>
      <c r="W280" s="247"/>
      <c r="X280" s="247"/>
      <c r="Y280" s="247"/>
      <c r="Z280" s="247"/>
    </row>
    <row r="281" spans="16:26">
      <c r="P281" s="247"/>
      <c r="Q281" s="247"/>
      <c r="R281" s="247"/>
      <c r="S281" s="247"/>
      <c r="T281" s="247"/>
      <c r="U281" s="247"/>
      <c r="V281" s="247"/>
      <c r="W281" s="247"/>
      <c r="X281" s="247"/>
      <c r="Y281" s="247"/>
      <c r="Z281" s="247"/>
    </row>
    <row r="282" spans="16:26">
      <c r="P282" s="241"/>
      <c r="Q282" s="241"/>
      <c r="R282" s="241"/>
      <c r="S282" s="241"/>
      <c r="T282" s="241"/>
      <c r="U282" s="241"/>
      <c r="V282" s="241"/>
      <c r="W282" s="241"/>
      <c r="X282" s="241"/>
      <c r="Y282" s="241"/>
      <c r="Z282" s="241"/>
    </row>
    <row r="283" spans="16:26">
      <c r="P283" s="247"/>
      <c r="Q283" s="247"/>
      <c r="R283" s="247"/>
      <c r="S283" s="247"/>
      <c r="T283" s="247"/>
      <c r="U283" s="247"/>
      <c r="V283" s="247"/>
      <c r="W283" s="247"/>
      <c r="X283" s="247"/>
      <c r="Y283" s="247"/>
      <c r="Z283" s="247"/>
    </row>
    <row r="284" spans="16:26">
      <c r="P284" s="247"/>
      <c r="Q284" s="247"/>
      <c r="R284" s="247"/>
      <c r="S284" s="247"/>
      <c r="T284" s="247"/>
      <c r="U284" s="247"/>
      <c r="V284" s="247"/>
      <c r="W284" s="247"/>
      <c r="X284" s="247"/>
      <c r="Y284" s="247"/>
      <c r="Z284" s="247"/>
    </row>
    <row r="285" spans="16:26">
      <c r="P285" s="241"/>
      <c r="Q285" s="241"/>
      <c r="R285" s="241"/>
      <c r="S285" s="241"/>
      <c r="T285" s="241"/>
      <c r="U285" s="241"/>
      <c r="V285" s="241"/>
      <c r="W285" s="241"/>
      <c r="X285" s="241"/>
      <c r="Y285" s="241"/>
      <c r="Z285" s="241"/>
    </row>
    <row r="286" spans="16:26">
      <c r="P286" s="247"/>
      <c r="Q286" s="247"/>
      <c r="R286" s="247"/>
      <c r="S286" s="247"/>
      <c r="T286" s="247"/>
      <c r="U286" s="247"/>
      <c r="V286" s="247"/>
      <c r="W286" s="247"/>
      <c r="X286" s="247"/>
      <c r="Y286" s="247"/>
      <c r="Z286" s="247"/>
    </row>
    <row r="287" spans="16:26">
      <c r="P287" s="247"/>
      <c r="Q287" s="247"/>
      <c r="R287" s="247"/>
      <c r="S287" s="247"/>
      <c r="T287" s="247"/>
      <c r="U287" s="247"/>
      <c r="V287" s="247"/>
      <c r="W287" s="247"/>
      <c r="X287" s="247"/>
      <c r="Y287" s="247"/>
      <c r="Z287" s="247"/>
    </row>
    <row r="288" spans="16:26">
      <c r="P288" s="241"/>
      <c r="Q288" s="241"/>
      <c r="R288" s="241"/>
      <c r="S288" s="241"/>
      <c r="T288" s="241"/>
      <c r="U288" s="241"/>
      <c r="V288" s="241"/>
      <c r="W288" s="241"/>
      <c r="X288" s="241"/>
      <c r="Y288" s="241"/>
      <c r="Z288" s="241"/>
    </row>
    <row r="289" spans="16:26">
      <c r="P289" s="247"/>
      <c r="Q289" s="247"/>
      <c r="R289" s="247"/>
      <c r="S289" s="247"/>
      <c r="T289" s="247"/>
      <c r="U289" s="247"/>
      <c r="V289" s="247"/>
      <c r="W289" s="247"/>
      <c r="X289" s="247"/>
      <c r="Y289" s="247"/>
      <c r="Z289" s="247"/>
    </row>
    <row r="290" spans="16:26">
      <c r="P290" s="247"/>
      <c r="Q290" s="247"/>
      <c r="R290" s="247"/>
      <c r="S290" s="247"/>
      <c r="T290" s="247"/>
      <c r="U290" s="247"/>
      <c r="V290" s="247"/>
      <c r="W290" s="247"/>
      <c r="X290" s="247"/>
      <c r="Y290" s="247"/>
      <c r="Z290" s="247"/>
    </row>
    <row r="291" spans="16:26">
      <c r="P291" s="241"/>
      <c r="Q291" s="241"/>
      <c r="R291" s="241"/>
      <c r="S291" s="241"/>
      <c r="T291" s="241"/>
      <c r="U291" s="241"/>
      <c r="V291" s="241"/>
      <c r="W291" s="241"/>
      <c r="X291" s="241"/>
      <c r="Y291" s="241"/>
      <c r="Z291" s="241"/>
    </row>
    <row r="292" spans="16:26">
      <c r="P292" s="247"/>
      <c r="Q292" s="247"/>
      <c r="R292" s="247"/>
      <c r="S292" s="247"/>
      <c r="T292" s="247"/>
      <c r="U292" s="247"/>
      <c r="V292" s="247"/>
      <c r="W292" s="247"/>
      <c r="X292" s="247"/>
      <c r="Y292" s="247"/>
      <c r="Z292" s="247"/>
    </row>
    <row r="293" spans="16:26">
      <c r="P293" s="247"/>
      <c r="Q293" s="247"/>
      <c r="R293" s="247"/>
      <c r="S293" s="247"/>
      <c r="T293" s="247"/>
      <c r="U293" s="247"/>
      <c r="V293" s="247"/>
      <c r="W293" s="247"/>
      <c r="X293" s="247"/>
      <c r="Y293" s="247"/>
      <c r="Z293" s="247"/>
    </row>
    <row r="294" spans="16:26">
      <c r="P294" s="241"/>
      <c r="Q294" s="241"/>
      <c r="R294" s="241"/>
      <c r="S294" s="241"/>
      <c r="T294" s="241"/>
      <c r="U294" s="241"/>
      <c r="V294" s="241"/>
      <c r="W294" s="241"/>
      <c r="X294" s="241"/>
      <c r="Y294" s="241"/>
      <c r="Z294" s="241"/>
    </row>
    <row r="295" spans="16:26">
      <c r="P295" s="247"/>
      <c r="Q295" s="247"/>
      <c r="R295" s="247"/>
      <c r="S295" s="247"/>
      <c r="T295" s="247"/>
      <c r="U295" s="247"/>
      <c r="V295" s="247"/>
      <c r="W295" s="247"/>
      <c r="X295" s="247"/>
      <c r="Y295" s="247"/>
      <c r="Z295" s="247"/>
    </row>
    <row r="296" spans="16:26">
      <c r="P296" s="247"/>
      <c r="Q296" s="247"/>
      <c r="R296" s="247"/>
      <c r="S296" s="247"/>
      <c r="T296" s="247"/>
      <c r="U296" s="247"/>
      <c r="V296" s="247"/>
      <c r="W296" s="247"/>
      <c r="X296" s="247"/>
      <c r="Y296" s="247"/>
      <c r="Z296" s="247"/>
    </row>
    <row r="297" spans="16:26">
      <c r="P297" s="241"/>
      <c r="Q297" s="241"/>
      <c r="R297" s="241"/>
      <c r="S297" s="241"/>
      <c r="T297" s="241"/>
      <c r="U297" s="241"/>
      <c r="V297" s="241"/>
      <c r="W297" s="241"/>
      <c r="X297" s="241"/>
      <c r="Y297" s="241"/>
      <c r="Z297" s="241"/>
    </row>
    <row r="298" spans="16:26">
      <c r="P298" s="247"/>
      <c r="Q298" s="247"/>
      <c r="R298" s="247"/>
      <c r="S298" s="247"/>
      <c r="T298" s="247"/>
      <c r="U298" s="247"/>
      <c r="V298" s="247"/>
      <c r="W298" s="247"/>
      <c r="X298" s="247"/>
      <c r="Y298" s="247"/>
      <c r="Z298" s="247"/>
    </row>
    <row r="299" spans="16:26">
      <c r="P299" s="247"/>
      <c r="Q299" s="247"/>
      <c r="R299" s="247"/>
      <c r="S299" s="247"/>
      <c r="T299" s="247"/>
      <c r="U299" s="247"/>
      <c r="V299" s="247"/>
      <c r="W299" s="247"/>
      <c r="X299" s="247"/>
      <c r="Y299" s="247"/>
      <c r="Z299" s="247"/>
    </row>
    <row r="300" spans="16:26">
      <c r="P300" s="241"/>
      <c r="Q300" s="241"/>
      <c r="R300" s="241"/>
      <c r="S300" s="241"/>
      <c r="T300" s="241"/>
      <c r="U300" s="241"/>
      <c r="V300" s="241"/>
      <c r="W300" s="241"/>
      <c r="X300" s="241"/>
      <c r="Y300" s="241"/>
      <c r="Z300" s="241"/>
    </row>
    <row r="301" spans="16:26">
      <c r="P301" s="247"/>
      <c r="Q301" s="247"/>
      <c r="R301" s="247"/>
      <c r="S301" s="247"/>
      <c r="T301" s="247"/>
      <c r="U301" s="247"/>
      <c r="V301" s="247"/>
      <c r="W301" s="247"/>
      <c r="X301" s="247"/>
      <c r="Y301" s="247"/>
      <c r="Z301" s="247"/>
    </row>
    <row r="302" spans="16:26">
      <c r="P302" s="247"/>
      <c r="Q302" s="247"/>
      <c r="R302" s="247"/>
      <c r="S302" s="247"/>
      <c r="T302" s="247"/>
      <c r="U302" s="247"/>
      <c r="V302" s="247"/>
      <c r="W302" s="247"/>
      <c r="X302" s="247"/>
      <c r="Y302" s="247"/>
      <c r="Z302" s="247"/>
    </row>
    <row r="303" spans="16:26">
      <c r="P303" s="241"/>
      <c r="Q303" s="241"/>
      <c r="R303" s="241"/>
      <c r="S303" s="241"/>
      <c r="T303" s="241"/>
      <c r="U303" s="241"/>
      <c r="V303" s="241"/>
      <c r="W303" s="241"/>
      <c r="X303" s="241"/>
      <c r="Y303" s="241"/>
      <c r="Z303" s="241"/>
    </row>
    <row r="304" spans="16:26">
      <c r="P304" s="247"/>
      <c r="Q304" s="247"/>
      <c r="R304" s="247"/>
      <c r="S304" s="247"/>
      <c r="T304" s="247"/>
      <c r="U304" s="247"/>
      <c r="V304" s="247"/>
      <c r="W304" s="247"/>
      <c r="X304" s="247"/>
      <c r="Y304" s="247"/>
      <c r="Z304" s="247"/>
    </row>
    <row r="305" spans="16:26">
      <c r="P305" s="247"/>
      <c r="Q305" s="247"/>
      <c r="R305" s="247"/>
      <c r="S305" s="247"/>
      <c r="T305" s="247"/>
      <c r="U305" s="247"/>
      <c r="V305" s="247"/>
      <c r="W305" s="247"/>
      <c r="X305" s="247"/>
      <c r="Y305" s="247"/>
      <c r="Z305" s="247"/>
    </row>
    <row r="306" spans="16:26">
      <c r="P306" s="241"/>
      <c r="Q306" s="241"/>
      <c r="R306" s="241"/>
      <c r="S306" s="241"/>
      <c r="T306" s="241"/>
      <c r="U306" s="241"/>
      <c r="V306" s="241"/>
      <c r="W306" s="241"/>
      <c r="X306" s="241"/>
      <c r="Y306" s="241"/>
      <c r="Z306" s="241"/>
    </row>
    <row r="307" spans="16:26">
      <c r="P307" s="247"/>
      <c r="Q307" s="247"/>
      <c r="R307" s="247"/>
      <c r="S307" s="247"/>
      <c r="T307" s="247"/>
      <c r="U307" s="247"/>
      <c r="V307" s="247"/>
      <c r="W307" s="247"/>
      <c r="X307" s="247"/>
      <c r="Y307" s="247"/>
      <c r="Z307" s="247"/>
    </row>
    <row r="308" spans="16:26">
      <c r="P308" s="247"/>
      <c r="Q308" s="247"/>
      <c r="R308" s="247"/>
      <c r="S308" s="247"/>
      <c r="T308" s="247"/>
      <c r="U308" s="247"/>
      <c r="V308" s="247"/>
      <c r="W308" s="247"/>
      <c r="X308" s="247"/>
      <c r="Y308" s="247"/>
      <c r="Z308" s="247"/>
    </row>
    <row r="309" spans="16:26">
      <c r="P309" s="241"/>
      <c r="Q309" s="241"/>
      <c r="R309" s="241"/>
      <c r="S309" s="241"/>
      <c r="T309" s="241"/>
      <c r="U309" s="241"/>
      <c r="V309" s="241"/>
      <c r="W309" s="241"/>
      <c r="X309" s="241"/>
      <c r="Y309" s="241"/>
      <c r="Z309" s="241"/>
    </row>
    <row r="310" spans="16:26">
      <c r="P310" s="247"/>
      <c r="Q310" s="247"/>
      <c r="R310" s="247"/>
      <c r="S310" s="247"/>
      <c r="T310" s="247"/>
      <c r="U310" s="247"/>
      <c r="V310" s="247"/>
      <c r="W310" s="247"/>
      <c r="X310" s="247"/>
      <c r="Y310" s="247"/>
      <c r="Z310" s="247"/>
    </row>
    <row r="311" spans="16:26">
      <c r="P311" s="247"/>
      <c r="Q311" s="247"/>
      <c r="R311" s="247"/>
      <c r="S311" s="247"/>
      <c r="T311" s="247"/>
      <c r="U311" s="247"/>
      <c r="V311" s="247"/>
      <c r="W311" s="247"/>
      <c r="X311" s="247"/>
      <c r="Y311" s="247"/>
      <c r="Z311" s="247"/>
    </row>
    <row r="312" spans="16:26">
      <c r="P312" s="241"/>
      <c r="Q312" s="241"/>
      <c r="R312" s="241"/>
      <c r="S312" s="241"/>
      <c r="T312" s="241"/>
      <c r="U312" s="241"/>
      <c r="V312" s="241"/>
      <c r="W312" s="241"/>
      <c r="X312" s="241"/>
      <c r="Y312" s="241"/>
      <c r="Z312" s="241"/>
    </row>
    <row r="313" spans="16:26">
      <c r="P313" s="247"/>
      <c r="Q313" s="247"/>
      <c r="R313" s="247"/>
      <c r="S313" s="247"/>
      <c r="T313" s="247"/>
      <c r="U313" s="247"/>
      <c r="V313" s="247"/>
      <c r="W313" s="247"/>
      <c r="X313" s="247"/>
      <c r="Y313" s="247"/>
      <c r="Z313" s="247"/>
    </row>
    <row r="314" spans="16:26">
      <c r="P314" s="247"/>
      <c r="Q314" s="247"/>
      <c r="R314" s="247"/>
      <c r="S314" s="247"/>
      <c r="T314" s="247"/>
      <c r="U314" s="247"/>
      <c r="V314" s="247"/>
      <c r="W314" s="247"/>
      <c r="X314" s="247"/>
      <c r="Y314" s="247"/>
      <c r="Z314" s="247"/>
    </row>
    <row r="315" spans="16:26">
      <c r="P315" s="241"/>
      <c r="Q315" s="241"/>
      <c r="R315" s="241"/>
      <c r="S315" s="241"/>
      <c r="T315" s="241"/>
      <c r="U315" s="241"/>
      <c r="V315" s="241"/>
      <c r="W315" s="241"/>
      <c r="X315" s="241"/>
      <c r="Y315" s="241"/>
      <c r="Z315" s="241"/>
    </row>
    <row r="316" spans="16:26">
      <c r="P316" s="247"/>
      <c r="Q316" s="247"/>
      <c r="R316" s="247"/>
      <c r="S316" s="247"/>
      <c r="T316" s="247"/>
      <c r="U316" s="247"/>
      <c r="V316" s="247"/>
      <c r="W316" s="247"/>
      <c r="X316" s="247"/>
      <c r="Y316" s="247"/>
      <c r="Z316" s="247"/>
    </row>
    <row r="317" spans="16:26">
      <c r="P317" s="247"/>
      <c r="Q317" s="247"/>
      <c r="R317" s="247"/>
      <c r="S317" s="247"/>
      <c r="T317" s="247"/>
      <c r="U317" s="247"/>
      <c r="V317" s="247"/>
      <c r="W317" s="247"/>
      <c r="X317" s="247"/>
      <c r="Y317" s="247"/>
      <c r="Z317" s="247"/>
    </row>
    <row r="318" spans="16:26">
      <c r="P318" s="241"/>
      <c r="Q318" s="241"/>
      <c r="R318" s="241"/>
      <c r="S318" s="241"/>
      <c r="T318" s="241"/>
      <c r="U318" s="241"/>
      <c r="V318" s="241"/>
      <c r="W318" s="241"/>
      <c r="X318" s="241"/>
      <c r="Y318" s="241"/>
      <c r="Z318" s="241"/>
    </row>
    <row r="319" spans="16:26">
      <c r="P319" s="247"/>
      <c r="Q319" s="247"/>
      <c r="R319" s="247"/>
      <c r="S319" s="247"/>
      <c r="T319" s="247"/>
      <c r="U319" s="247"/>
      <c r="V319" s="247"/>
      <c r="W319" s="247"/>
      <c r="X319" s="247"/>
      <c r="Y319" s="247"/>
      <c r="Z319" s="247"/>
    </row>
    <row r="320" spans="16:26">
      <c r="P320" s="247"/>
      <c r="Q320" s="247"/>
      <c r="R320" s="247"/>
      <c r="S320" s="247"/>
      <c r="T320" s="247"/>
      <c r="U320" s="247"/>
      <c r="V320" s="247"/>
      <c r="W320" s="247"/>
      <c r="X320" s="247"/>
      <c r="Y320" s="247"/>
      <c r="Z320" s="247"/>
    </row>
    <row r="321" spans="16:26">
      <c r="P321" s="241"/>
      <c r="Q321" s="241"/>
      <c r="R321" s="241"/>
      <c r="S321" s="241"/>
      <c r="T321" s="241"/>
      <c r="U321" s="241"/>
      <c r="V321" s="241"/>
      <c r="W321" s="241"/>
      <c r="X321" s="241"/>
      <c r="Y321" s="241"/>
      <c r="Z321" s="241"/>
    </row>
    <row r="322" spans="16:26">
      <c r="P322" s="247"/>
      <c r="Q322" s="247"/>
      <c r="R322" s="247"/>
      <c r="S322" s="247"/>
      <c r="T322" s="247"/>
      <c r="U322" s="247"/>
      <c r="V322" s="247"/>
      <c r="W322" s="247"/>
      <c r="X322" s="247"/>
      <c r="Y322" s="247"/>
      <c r="Z322" s="247"/>
    </row>
    <row r="323" spans="16:26">
      <c r="P323" s="247"/>
      <c r="Q323" s="247"/>
      <c r="R323" s="247"/>
      <c r="S323" s="247"/>
      <c r="T323" s="247"/>
      <c r="U323" s="247"/>
      <c r="V323" s="247"/>
      <c r="W323" s="247"/>
      <c r="X323" s="247"/>
      <c r="Y323" s="247"/>
      <c r="Z323" s="247"/>
    </row>
    <row r="324" spans="16:26">
      <c r="P324" s="241"/>
      <c r="Q324" s="241"/>
      <c r="R324" s="241"/>
      <c r="S324" s="241"/>
      <c r="T324" s="241"/>
      <c r="U324" s="241"/>
      <c r="V324" s="241"/>
      <c r="W324" s="241"/>
      <c r="X324" s="241"/>
      <c r="Y324" s="241"/>
      <c r="Z324" s="241"/>
    </row>
    <row r="325" spans="16:26">
      <c r="P325" s="247"/>
      <c r="Q325" s="247"/>
      <c r="R325" s="247"/>
      <c r="S325" s="247"/>
      <c r="T325" s="247"/>
      <c r="U325" s="247"/>
      <c r="V325" s="247"/>
      <c r="W325" s="247"/>
      <c r="X325" s="247"/>
      <c r="Y325" s="247"/>
      <c r="Z325" s="247"/>
    </row>
    <row r="326" spans="16:26">
      <c r="P326" s="247"/>
      <c r="Q326" s="247"/>
      <c r="R326" s="247"/>
      <c r="S326" s="247"/>
      <c r="T326" s="247"/>
      <c r="U326" s="247"/>
      <c r="V326" s="247"/>
      <c r="W326" s="247"/>
      <c r="X326" s="247"/>
      <c r="Y326" s="247"/>
      <c r="Z326" s="247"/>
    </row>
    <row r="327" spans="16:26">
      <c r="P327" s="241"/>
      <c r="Q327" s="241"/>
      <c r="R327" s="241"/>
      <c r="S327" s="241"/>
      <c r="T327" s="241"/>
      <c r="U327" s="241"/>
      <c r="V327" s="241"/>
      <c r="W327" s="241"/>
      <c r="X327" s="241"/>
      <c r="Y327" s="241"/>
      <c r="Z327" s="241"/>
    </row>
    <row r="328" spans="16:26">
      <c r="P328" s="247"/>
      <c r="Q328" s="247"/>
      <c r="R328" s="247"/>
      <c r="S328" s="247"/>
      <c r="T328" s="247"/>
      <c r="U328" s="247"/>
      <c r="V328" s="247"/>
      <c r="W328" s="247"/>
      <c r="X328" s="247"/>
      <c r="Y328" s="247"/>
      <c r="Z328" s="247"/>
    </row>
    <row r="329" spans="16:26">
      <c r="P329" s="247"/>
      <c r="Q329" s="247"/>
      <c r="R329" s="247"/>
      <c r="S329" s="247"/>
      <c r="T329" s="247"/>
      <c r="U329" s="247"/>
      <c r="V329" s="247"/>
      <c r="W329" s="247"/>
      <c r="X329" s="247"/>
      <c r="Y329" s="247"/>
      <c r="Z329" s="247"/>
    </row>
    <row r="330" spans="16:26">
      <c r="P330" s="241"/>
      <c r="Q330" s="241"/>
      <c r="R330" s="241"/>
      <c r="S330" s="241"/>
      <c r="T330" s="241"/>
      <c r="U330" s="241"/>
      <c r="V330" s="241"/>
      <c r="W330" s="241"/>
      <c r="X330" s="241"/>
      <c r="Y330" s="241"/>
      <c r="Z330" s="241"/>
    </row>
    <row r="331" spans="16:26">
      <c r="P331" s="247"/>
      <c r="Q331" s="247"/>
      <c r="R331" s="247"/>
      <c r="S331" s="247"/>
      <c r="T331" s="247"/>
      <c r="U331" s="247"/>
      <c r="V331" s="247"/>
      <c r="W331" s="247"/>
      <c r="X331" s="247"/>
      <c r="Y331" s="247"/>
      <c r="Z331" s="247"/>
    </row>
    <row r="332" spans="16:26">
      <c r="P332" s="247"/>
      <c r="Q332" s="247"/>
      <c r="R332" s="247"/>
      <c r="S332" s="247"/>
      <c r="T332" s="247"/>
      <c r="U332" s="247"/>
      <c r="V332" s="247"/>
      <c r="W332" s="247"/>
      <c r="X332" s="247"/>
      <c r="Y332" s="247"/>
      <c r="Z332" s="247"/>
    </row>
    <row r="333" spans="16:26">
      <c r="P333" s="241"/>
      <c r="Q333" s="241"/>
      <c r="R333" s="241"/>
      <c r="S333" s="241"/>
      <c r="T333" s="241"/>
      <c r="U333" s="241"/>
      <c r="V333" s="241"/>
      <c r="W333" s="241"/>
      <c r="X333" s="241"/>
      <c r="Y333" s="241"/>
      <c r="Z333" s="241"/>
    </row>
    <row r="334" spans="16:26">
      <c r="P334" s="247"/>
      <c r="Q334" s="247"/>
      <c r="R334" s="247"/>
      <c r="S334" s="247"/>
      <c r="T334" s="247"/>
      <c r="U334" s="247"/>
      <c r="V334" s="247"/>
      <c r="W334" s="247"/>
      <c r="X334" s="247"/>
      <c r="Y334" s="247"/>
      <c r="Z334" s="247"/>
    </row>
    <row r="335" spans="16:26">
      <c r="P335" s="247"/>
      <c r="Q335" s="247"/>
      <c r="R335" s="247"/>
      <c r="S335" s="247"/>
      <c r="T335" s="247"/>
      <c r="U335" s="247"/>
      <c r="V335" s="247"/>
      <c r="W335" s="247"/>
      <c r="X335" s="247"/>
      <c r="Y335" s="247"/>
      <c r="Z335" s="247"/>
    </row>
    <row r="336" spans="16:26">
      <c r="P336" s="241"/>
      <c r="Q336" s="241"/>
      <c r="R336" s="241"/>
      <c r="S336" s="241"/>
      <c r="T336" s="241"/>
      <c r="U336" s="241"/>
      <c r="V336" s="241"/>
      <c r="W336" s="241"/>
      <c r="X336" s="241"/>
      <c r="Y336" s="241"/>
      <c r="Z336" s="241"/>
    </row>
    <row r="337" spans="16:26">
      <c r="P337" s="247"/>
      <c r="Q337" s="247"/>
      <c r="R337" s="247"/>
      <c r="S337" s="247"/>
      <c r="T337" s="247"/>
      <c r="U337" s="247"/>
      <c r="V337" s="247"/>
      <c r="W337" s="247"/>
      <c r="X337" s="247"/>
      <c r="Y337" s="247"/>
      <c r="Z337" s="247"/>
    </row>
    <row r="338" spans="16:26">
      <c r="P338" s="247"/>
      <c r="Q338" s="247"/>
      <c r="R338" s="247"/>
      <c r="S338" s="247"/>
      <c r="T338" s="247"/>
      <c r="U338" s="247"/>
      <c r="V338" s="247"/>
      <c r="W338" s="247"/>
      <c r="X338" s="247"/>
      <c r="Y338" s="247"/>
      <c r="Z338" s="247"/>
    </row>
    <row r="339" spans="16:26">
      <c r="P339" s="241"/>
      <c r="Q339" s="241"/>
      <c r="R339" s="241"/>
      <c r="S339" s="241"/>
      <c r="T339" s="241"/>
      <c r="U339" s="241"/>
      <c r="V339" s="241"/>
      <c r="W339" s="241"/>
      <c r="X339" s="241"/>
      <c r="Y339" s="241"/>
      <c r="Z339" s="241"/>
    </row>
    <row r="340" spans="16:26">
      <c r="P340" s="247"/>
      <c r="Q340" s="247"/>
      <c r="R340" s="247"/>
      <c r="S340" s="247"/>
      <c r="T340" s="247"/>
      <c r="U340" s="247"/>
      <c r="V340" s="247"/>
      <c r="W340" s="247"/>
      <c r="X340" s="247"/>
      <c r="Y340" s="247"/>
      <c r="Z340" s="247"/>
    </row>
    <row r="341" spans="16:26">
      <c r="P341" s="247"/>
      <c r="Q341" s="247"/>
      <c r="R341" s="247"/>
      <c r="S341" s="247"/>
      <c r="T341" s="247"/>
      <c r="U341" s="247"/>
      <c r="V341" s="247"/>
      <c r="W341" s="247"/>
      <c r="X341" s="247"/>
      <c r="Y341" s="247"/>
      <c r="Z341" s="247"/>
    </row>
    <row r="342" spans="16:26">
      <c r="P342" s="241"/>
      <c r="Q342" s="241"/>
      <c r="R342" s="241"/>
      <c r="S342" s="241"/>
      <c r="T342" s="241"/>
      <c r="U342" s="241"/>
      <c r="V342" s="241"/>
      <c r="W342" s="241"/>
      <c r="X342" s="241"/>
      <c r="Y342" s="241"/>
      <c r="Z342" s="241"/>
    </row>
    <row r="343" spans="16:26">
      <c r="P343" s="247"/>
      <c r="Q343" s="247"/>
      <c r="R343" s="247"/>
      <c r="S343" s="247"/>
      <c r="T343" s="247"/>
      <c r="U343" s="247"/>
      <c r="V343" s="247"/>
      <c r="W343" s="247"/>
      <c r="X343" s="247"/>
      <c r="Y343" s="247"/>
      <c r="Z343" s="247"/>
    </row>
    <row r="344" spans="16:26">
      <c r="P344" s="247"/>
      <c r="Q344" s="247"/>
      <c r="R344" s="247"/>
      <c r="S344" s="247"/>
      <c r="T344" s="247"/>
      <c r="U344" s="247"/>
      <c r="V344" s="247"/>
      <c r="W344" s="247"/>
      <c r="X344" s="247"/>
      <c r="Y344" s="247"/>
      <c r="Z344" s="247"/>
    </row>
    <row r="345" spans="16:26">
      <c r="P345" s="241"/>
      <c r="Q345" s="241"/>
      <c r="R345" s="241"/>
      <c r="S345" s="241"/>
      <c r="T345" s="241"/>
      <c r="U345" s="241"/>
      <c r="V345" s="241"/>
      <c r="W345" s="241"/>
      <c r="X345" s="241"/>
      <c r="Y345" s="241"/>
      <c r="Z345" s="241"/>
    </row>
    <row r="346" spans="16:26">
      <c r="P346" s="247"/>
      <c r="Q346" s="247"/>
      <c r="R346" s="247"/>
      <c r="S346" s="247"/>
      <c r="T346" s="247"/>
      <c r="U346" s="247"/>
      <c r="V346" s="247"/>
      <c r="W346" s="247"/>
      <c r="X346" s="247"/>
      <c r="Y346" s="247"/>
      <c r="Z346" s="247"/>
    </row>
    <row r="347" spans="16:26">
      <c r="P347" s="247"/>
      <c r="Q347" s="247"/>
      <c r="R347" s="247"/>
      <c r="S347" s="247"/>
      <c r="T347" s="247"/>
      <c r="U347" s="247"/>
      <c r="V347" s="247"/>
      <c r="W347" s="247"/>
      <c r="X347" s="247"/>
      <c r="Y347" s="247"/>
      <c r="Z347" s="247"/>
    </row>
    <row r="348" spans="16:26">
      <c r="P348" s="241"/>
      <c r="Q348" s="241"/>
      <c r="R348" s="241"/>
      <c r="S348" s="241"/>
      <c r="T348" s="241"/>
      <c r="U348" s="241"/>
      <c r="V348" s="241"/>
      <c r="W348" s="241"/>
      <c r="X348" s="241"/>
      <c r="Y348" s="241"/>
      <c r="Z348" s="241"/>
    </row>
    <row r="349" spans="16:26">
      <c r="P349" s="247"/>
      <c r="Q349" s="247"/>
      <c r="R349" s="247"/>
      <c r="S349" s="247"/>
      <c r="T349" s="247"/>
      <c r="U349" s="247"/>
      <c r="V349" s="247"/>
      <c r="W349" s="247"/>
      <c r="X349" s="247"/>
      <c r="Y349" s="247"/>
      <c r="Z349" s="247"/>
    </row>
    <row r="350" spans="16:26">
      <c r="P350" s="247"/>
      <c r="Q350" s="247"/>
      <c r="R350" s="247"/>
      <c r="S350" s="247"/>
      <c r="T350" s="247"/>
      <c r="U350" s="247"/>
      <c r="V350" s="247"/>
      <c r="W350" s="247"/>
      <c r="X350" s="247"/>
      <c r="Y350" s="247"/>
      <c r="Z350" s="247"/>
    </row>
    <row r="351" spans="16:26">
      <c r="P351" s="241"/>
      <c r="Q351" s="241"/>
      <c r="R351" s="241"/>
      <c r="S351" s="241"/>
      <c r="T351" s="241"/>
      <c r="U351" s="241"/>
      <c r="V351" s="241"/>
      <c r="W351" s="241"/>
      <c r="X351" s="241"/>
      <c r="Y351" s="241"/>
      <c r="Z351" s="241"/>
    </row>
    <row r="352" spans="16:26">
      <c r="P352" s="247"/>
      <c r="Q352" s="247"/>
      <c r="R352" s="247"/>
      <c r="S352" s="247"/>
      <c r="T352" s="247"/>
      <c r="U352" s="247"/>
      <c r="V352" s="247"/>
      <c r="W352" s="247"/>
      <c r="X352" s="247"/>
      <c r="Y352" s="247"/>
      <c r="Z352" s="247"/>
    </row>
    <row r="353" spans="16:26">
      <c r="P353" s="247"/>
      <c r="Q353" s="247"/>
      <c r="R353" s="247"/>
      <c r="S353" s="247"/>
      <c r="T353" s="247"/>
      <c r="U353" s="247"/>
      <c r="V353" s="247"/>
      <c r="W353" s="247"/>
      <c r="X353" s="247"/>
      <c r="Y353" s="247"/>
      <c r="Z353" s="247"/>
    </row>
    <row r="354" spans="16:26">
      <c r="P354" s="241"/>
      <c r="Q354" s="241"/>
      <c r="R354" s="241"/>
      <c r="S354" s="241"/>
      <c r="T354" s="241"/>
      <c r="U354" s="241"/>
      <c r="V354" s="241"/>
      <c r="W354" s="241"/>
      <c r="X354" s="241"/>
      <c r="Y354" s="241"/>
      <c r="Z354" s="241"/>
    </row>
    <row r="355" spans="16:26">
      <c r="P355" s="247"/>
      <c r="Q355" s="247"/>
      <c r="R355" s="247"/>
      <c r="S355" s="247"/>
      <c r="T355" s="247"/>
      <c r="U355" s="247"/>
      <c r="V355" s="247"/>
      <c r="W355" s="247"/>
      <c r="X355" s="247"/>
      <c r="Y355" s="247"/>
      <c r="Z355" s="247"/>
    </row>
    <row r="356" spans="16:26">
      <c r="P356" s="247"/>
      <c r="Q356" s="247"/>
      <c r="R356" s="247"/>
      <c r="S356" s="247"/>
      <c r="T356" s="247"/>
      <c r="U356" s="247"/>
      <c r="V356" s="247"/>
      <c r="W356" s="247"/>
      <c r="X356" s="247"/>
      <c r="Y356" s="247"/>
      <c r="Z356" s="247"/>
    </row>
    <row r="357" spans="16:26">
      <c r="P357" s="241"/>
      <c r="Q357" s="241"/>
      <c r="R357" s="241"/>
      <c r="S357" s="241"/>
      <c r="T357" s="241"/>
      <c r="U357" s="241"/>
      <c r="V357" s="241"/>
      <c r="W357" s="241"/>
      <c r="X357" s="241"/>
      <c r="Y357" s="241"/>
      <c r="Z357" s="241"/>
    </row>
    <row r="358" spans="16:26">
      <c r="P358" s="247"/>
      <c r="Q358" s="247"/>
      <c r="R358" s="247"/>
      <c r="S358" s="247"/>
      <c r="T358" s="247"/>
      <c r="U358" s="247"/>
      <c r="V358" s="247"/>
      <c r="W358" s="247"/>
      <c r="X358" s="247"/>
      <c r="Y358" s="247"/>
      <c r="Z358" s="247"/>
    </row>
    <row r="359" spans="16:26">
      <c r="P359" s="247"/>
      <c r="Q359" s="247"/>
      <c r="R359" s="247"/>
      <c r="S359" s="247"/>
      <c r="T359" s="247"/>
      <c r="U359" s="247"/>
      <c r="V359" s="247"/>
      <c r="W359" s="247"/>
      <c r="X359" s="247"/>
      <c r="Y359" s="247"/>
      <c r="Z359" s="247"/>
    </row>
    <row r="360" spans="16:26">
      <c r="P360" s="241"/>
      <c r="Q360" s="241"/>
      <c r="R360" s="241"/>
      <c r="S360" s="241"/>
      <c r="T360" s="241"/>
      <c r="U360" s="241"/>
      <c r="V360" s="241"/>
      <c r="W360" s="241"/>
      <c r="X360" s="241"/>
      <c r="Y360" s="241"/>
      <c r="Z360" s="241"/>
    </row>
    <row r="361" spans="16:26">
      <c r="P361" s="247"/>
      <c r="Q361" s="247"/>
      <c r="R361" s="247"/>
      <c r="S361" s="247"/>
      <c r="T361" s="247"/>
      <c r="U361" s="247"/>
      <c r="V361" s="247"/>
      <c r="W361" s="247"/>
      <c r="X361" s="247"/>
      <c r="Y361" s="247"/>
      <c r="Z361" s="247"/>
    </row>
    <row r="362" spans="16:26">
      <c r="P362" s="247"/>
      <c r="Q362" s="247"/>
      <c r="R362" s="247"/>
      <c r="S362" s="247"/>
      <c r="T362" s="247"/>
      <c r="U362" s="247"/>
      <c r="V362" s="247"/>
      <c r="W362" s="247"/>
      <c r="X362" s="247"/>
      <c r="Y362" s="247"/>
      <c r="Z362" s="247"/>
    </row>
    <row r="363" spans="16:26">
      <c r="P363" s="241"/>
      <c r="Q363" s="241"/>
      <c r="R363" s="241"/>
      <c r="S363" s="241"/>
      <c r="T363" s="241"/>
      <c r="U363" s="241"/>
      <c r="V363" s="241"/>
      <c r="W363" s="241"/>
      <c r="X363" s="241"/>
      <c r="Y363" s="241"/>
      <c r="Z363" s="241"/>
    </row>
    <row r="364" spans="16:26">
      <c r="P364" s="247"/>
      <c r="Q364" s="247"/>
      <c r="R364" s="247"/>
      <c r="S364" s="247"/>
      <c r="T364" s="247"/>
      <c r="U364" s="247"/>
      <c r="V364" s="247"/>
      <c r="W364" s="247"/>
      <c r="X364" s="247"/>
      <c r="Y364" s="247"/>
      <c r="Z364" s="247"/>
    </row>
    <row r="365" spans="16:26">
      <c r="P365" s="247"/>
      <c r="Q365" s="247"/>
      <c r="R365" s="247"/>
      <c r="S365" s="247"/>
      <c r="T365" s="247"/>
      <c r="U365" s="247"/>
      <c r="V365" s="247"/>
      <c r="W365" s="247"/>
      <c r="X365" s="247"/>
      <c r="Y365" s="247"/>
      <c r="Z365" s="247"/>
    </row>
    <row r="366" spans="16:26">
      <c r="P366" s="241"/>
      <c r="Q366" s="241"/>
      <c r="R366" s="241"/>
      <c r="S366" s="241"/>
      <c r="T366" s="241"/>
      <c r="U366" s="241"/>
      <c r="V366" s="241"/>
      <c r="W366" s="241"/>
      <c r="X366" s="241"/>
      <c r="Y366" s="241"/>
      <c r="Z366" s="241"/>
    </row>
    <row r="367" spans="16:26">
      <c r="P367" s="247"/>
      <c r="Q367" s="247"/>
      <c r="R367" s="247"/>
      <c r="S367" s="247"/>
      <c r="T367" s="247"/>
      <c r="U367" s="247"/>
      <c r="V367" s="247"/>
      <c r="W367" s="247"/>
      <c r="X367" s="247"/>
      <c r="Y367" s="247"/>
      <c r="Z367" s="247"/>
    </row>
    <row r="368" spans="16:26">
      <c r="P368" s="247"/>
      <c r="Q368" s="247"/>
      <c r="R368" s="247"/>
      <c r="S368" s="247"/>
      <c r="T368" s="247"/>
      <c r="U368" s="247"/>
      <c r="V368" s="247"/>
      <c r="W368" s="247"/>
      <c r="X368" s="247"/>
      <c r="Y368" s="247"/>
      <c r="Z368" s="247"/>
    </row>
    <row r="369" spans="16:26">
      <c r="P369" s="241"/>
      <c r="Q369" s="241"/>
      <c r="R369" s="241"/>
      <c r="S369" s="241"/>
      <c r="T369" s="241"/>
      <c r="U369" s="241"/>
      <c r="V369" s="241"/>
      <c r="W369" s="241"/>
      <c r="X369" s="241"/>
      <c r="Y369" s="241"/>
      <c r="Z369" s="241"/>
    </row>
    <row r="370" spans="16:26">
      <c r="P370" s="247"/>
      <c r="Q370" s="247"/>
      <c r="R370" s="247"/>
      <c r="S370" s="247"/>
      <c r="T370" s="247"/>
      <c r="U370" s="247"/>
      <c r="V370" s="247"/>
      <c r="W370" s="247"/>
      <c r="X370" s="247"/>
      <c r="Y370" s="247"/>
      <c r="Z370" s="247"/>
    </row>
    <row r="371" spans="16:26">
      <c r="P371" s="247"/>
      <c r="Q371" s="247"/>
      <c r="R371" s="247"/>
      <c r="S371" s="247"/>
      <c r="T371" s="247"/>
      <c r="U371" s="247"/>
      <c r="V371" s="247"/>
      <c r="W371" s="247"/>
      <c r="X371" s="247"/>
      <c r="Y371" s="247"/>
      <c r="Z371" s="247"/>
    </row>
    <row r="372" spans="16:26">
      <c r="P372" s="241"/>
      <c r="Q372" s="241"/>
      <c r="R372" s="241"/>
      <c r="S372" s="241"/>
      <c r="T372" s="241"/>
      <c r="U372" s="241"/>
      <c r="V372" s="241"/>
      <c r="W372" s="241"/>
      <c r="X372" s="241"/>
      <c r="Y372" s="241"/>
      <c r="Z372" s="241"/>
    </row>
    <row r="373" spans="16:26">
      <c r="P373" s="247"/>
      <c r="Q373" s="247"/>
      <c r="R373" s="247"/>
      <c r="S373" s="247"/>
      <c r="T373" s="247"/>
      <c r="U373" s="247"/>
      <c r="V373" s="247"/>
      <c r="W373" s="247"/>
      <c r="X373" s="247"/>
      <c r="Y373" s="247"/>
      <c r="Z373" s="247"/>
    </row>
    <row r="374" spans="16:26">
      <c r="P374" s="247"/>
      <c r="Q374" s="247"/>
      <c r="R374" s="247"/>
      <c r="S374" s="247"/>
      <c r="T374" s="247"/>
      <c r="U374" s="247"/>
      <c r="V374" s="247"/>
      <c r="W374" s="247"/>
      <c r="X374" s="247"/>
      <c r="Y374" s="247"/>
      <c r="Z374" s="247"/>
    </row>
    <row r="375" spans="16:26">
      <c r="P375" s="241"/>
      <c r="Q375" s="241"/>
      <c r="R375" s="241"/>
      <c r="S375" s="241"/>
      <c r="T375" s="241"/>
      <c r="U375" s="241"/>
      <c r="V375" s="241"/>
      <c r="W375" s="241"/>
      <c r="X375" s="241"/>
      <c r="Y375" s="241"/>
      <c r="Z375" s="241"/>
    </row>
    <row r="376" spans="16:26">
      <c r="P376" s="247"/>
      <c r="Q376" s="247"/>
      <c r="R376" s="247"/>
      <c r="S376" s="247"/>
      <c r="T376" s="247"/>
      <c r="U376" s="247"/>
      <c r="V376" s="247"/>
      <c r="W376" s="247"/>
      <c r="X376" s="247"/>
      <c r="Y376" s="247"/>
      <c r="Z376" s="247"/>
    </row>
    <row r="377" spans="16:26">
      <c r="P377" s="247"/>
      <c r="Q377" s="247"/>
      <c r="R377" s="247"/>
      <c r="S377" s="247"/>
      <c r="T377" s="247"/>
      <c r="U377" s="247"/>
      <c r="V377" s="247"/>
      <c r="W377" s="247"/>
      <c r="X377" s="247"/>
      <c r="Y377" s="247"/>
      <c r="Z377" s="247"/>
    </row>
    <row r="378" spans="16:26">
      <c r="P378" s="241"/>
      <c r="Q378" s="241"/>
      <c r="R378" s="241"/>
      <c r="S378" s="241"/>
      <c r="T378" s="241"/>
      <c r="U378" s="241"/>
      <c r="V378" s="241"/>
      <c r="W378" s="241"/>
      <c r="X378" s="241"/>
      <c r="Y378" s="241"/>
      <c r="Z378" s="241"/>
    </row>
    <row r="379" spans="16:26">
      <c r="P379" s="247"/>
      <c r="Q379" s="247"/>
      <c r="R379" s="247"/>
      <c r="S379" s="247"/>
      <c r="T379" s="247"/>
      <c r="U379" s="247"/>
      <c r="V379" s="247"/>
      <c r="W379" s="247"/>
      <c r="X379" s="247"/>
      <c r="Y379" s="247"/>
      <c r="Z379" s="247"/>
    </row>
    <row r="380" spans="16:26">
      <c r="P380" s="247"/>
      <c r="Q380" s="247"/>
      <c r="R380" s="247"/>
      <c r="S380" s="247"/>
      <c r="T380" s="247"/>
      <c r="U380" s="247"/>
      <c r="V380" s="247"/>
      <c r="W380" s="247"/>
      <c r="X380" s="247"/>
      <c r="Y380" s="247"/>
      <c r="Z380" s="247"/>
    </row>
    <row r="381" spans="16:26">
      <c r="P381" s="241"/>
      <c r="Q381" s="241"/>
      <c r="R381" s="241"/>
      <c r="S381" s="241"/>
      <c r="T381" s="241"/>
      <c r="U381" s="241"/>
      <c r="V381" s="241"/>
      <c r="W381" s="241"/>
      <c r="X381" s="241"/>
      <c r="Y381" s="241"/>
      <c r="Z381" s="241"/>
    </row>
    <row r="382" spans="16:26">
      <c r="P382" s="247"/>
      <c r="Q382" s="247"/>
      <c r="R382" s="247"/>
      <c r="S382" s="247"/>
      <c r="T382" s="247"/>
      <c r="U382" s="247"/>
      <c r="V382" s="247"/>
      <c r="W382" s="247"/>
      <c r="X382" s="247"/>
      <c r="Y382" s="247"/>
      <c r="Z382" s="247"/>
    </row>
    <row r="383" spans="16:26">
      <c r="P383" s="247"/>
      <c r="Q383" s="247"/>
      <c r="R383" s="247"/>
      <c r="S383" s="247"/>
      <c r="T383" s="247"/>
      <c r="U383" s="247"/>
      <c r="V383" s="247"/>
      <c r="W383" s="247"/>
      <c r="X383" s="247"/>
      <c r="Y383" s="247"/>
      <c r="Z383" s="247"/>
    </row>
    <row r="384" spans="16:26">
      <c r="P384" s="241"/>
      <c r="Q384" s="241"/>
      <c r="R384" s="241"/>
      <c r="S384" s="241"/>
      <c r="T384" s="241"/>
      <c r="U384" s="241"/>
      <c r="V384" s="241"/>
      <c r="W384" s="241"/>
      <c r="X384" s="241"/>
      <c r="Y384" s="241"/>
      <c r="Z384" s="241"/>
    </row>
    <row r="385" spans="16:26">
      <c r="P385" s="247"/>
      <c r="Q385" s="247"/>
      <c r="R385" s="247"/>
      <c r="S385" s="247"/>
      <c r="T385" s="247"/>
      <c r="U385" s="247"/>
      <c r="V385" s="247"/>
      <c r="W385" s="247"/>
      <c r="X385" s="247"/>
      <c r="Y385" s="247"/>
      <c r="Z385" s="247"/>
    </row>
    <row r="386" spans="16:26">
      <c r="P386" s="247"/>
      <c r="Q386" s="247"/>
      <c r="R386" s="247"/>
      <c r="S386" s="247"/>
      <c r="T386" s="247"/>
      <c r="U386" s="247"/>
      <c r="V386" s="247"/>
      <c r="W386" s="247"/>
      <c r="X386" s="247"/>
      <c r="Y386" s="247"/>
      <c r="Z386" s="247"/>
    </row>
    <row r="387" spans="16:26">
      <c r="P387" s="241"/>
      <c r="Q387" s="241"/>
      <c r="R387" s="241"/>
      <c r="S387" s="241"/>
      <c r="T387" s="241"/>
      <c r="U387" s="241"/>
      <c r="V387" s="241"/>
      <c r="W387" s="241"/>
      <c r="X387" s="241"/>
      <c r="Y387" s="241"/>
      <c r="Z387" s="241"/>
    </row>
    <row r="388" spans="16:26">
      <c r="P388" s="247"/>
      <c r="Q388" s="247"/>
      <c r="R388" s="247"/>
      <c r="S388" s="247"/>
      <c r="T388" s="247"/>
      <c r="U388" s="247"/>
      <c r="V388" s="247"/>
      <c r="W388" s="247"/>
      <c r="X388" s="247"/>
      <c r="Y388" s="247"/>
      <c r="Z388" s="247"/>
    </row>
    <row r="389" spans="16:26">
      <c r="P389" s="247"/>
      <c r="Q389" s="247"/>
      <c r="R389" s="247"/>
      <c r="S389" s="247"/>
      <c r="T389" s="247"/>
      <c r="U389" s="247"/>
      <c r="V389" s="247"/>
      <c r="W389" s="247"/>
      <c r="X389" s="247"/>
      <c r="Y389" s="247"/>
      <c r="Z389" s="247"/>
    </row>
    <row r="390" spans="16:26">
      <c r="P390" s="241"/>
      <c r="Q390" s="241"/>
      <c r="R390" s="241"/>
      <c r="S390" s="241"/>
      <c r="T390" s="241"/>
      <c r="U390" s="241"/>
      <c r="V390" s="241"/>
      <c r="W390" s="241"/>
      <c r="X390" s="241"/>
      <c r="Y390" s="241"/>
      <c r="Z390" s="241"/>
    </row>
    <row r="391" spans="16:26">
      <c r="P391" s="247"/>
      <c r="Q391" s="247"/>
      <c r="R391" s="247"/>
      <c r="S391" s="247"/>
      <c r="T391" s="247"/>
      <c r="U391" s="247"/>
      <c r="V391" s="247"/>
      <c r="W391" s="247"/>
      <c r="X391" s="247"/>
      <c r="Y391" s="247"/>
      <c r="Z391" s="247"/>
    </row>
    <row r="392" spans="16:26">
      <c r="P392" s="247"/>
      <c r="Q392" s="247"/>
      <c r="R392" s="247"/>
      <c r="S392" s="247"/>
      <c r="T392" s="247"/>
      <c r="U392" s="247"/>
      <c r="V392" s="247"/>
      <c r="W392" s="247"/>
      <c r="X392" s="247"/>
      <c r="Y392" s="247"/>
      <c r="Z392" s="247"/>
    </row>
    <row r="393" spans="16:26">
      <c r="P393" s="241"/>
      <c r="Q393" s="241"/>
      <c r="R393" s="241"/>
      <c r="S393" s="241"/>
      <c r="T393" s="241"/>
      <c r="U393" s="241"/>
      <c r="V393" s="241"/>
      <c r="W393" s="241"/>
      <c r="X393" s="241"/>
      <c r="Y393" s="241"/>
      <c r="Z393" s="241"/>
    </row>
    <row r="394" spans="16:26">
      <c r="P394" s="247"/>
      <c r="Q394" s="247"/>
      <c r="R394" s="247"/>
      <c r="S394" s="247"/>
      <c r="T394" s="247"/>
      <c r="U394" s="247"/>
      <c r="V394" s="247"/>
      <c r="W394" s="247"/>
      <c r="X394" s="247"/>
      <c r="Y394" s="247"/>
      <c r="Z394" s="247"/>
    </row>
    <row r="395" spans="16:26">
      <c r="P395" s="247"/>
      <c r="Q395" s="247"/>
      <c r="R395" s="247"/>
      <c r="S395" s="247"/>
      <c r="T395" s="247"/>
      <c r="U395" s="247"/>
      <c r="V395" s="247"/>
      <c r="W395" s="247"/>
      <c r="X395" s="247"/>
      <c r="Y395" s="247"/>
      <c r="Z395" s="247"/>
    </row>
    <row r="396" spans="16:26">
      <c r="P396" s="241"/>
      <c r="Q396" s="241"/>
      <c r="R396" s="241"/>
      <c r="S396" s="241"/>
      <c r="T396" s="241"/>
      <c r="U396" s="241"/>
      <c r="V396" s="241"/>
      <c r="W396" s="241"/>
      <c r="X396" s="241"/>
      <c r="Y396" s="241"/>
      <c r="Z396" s="241"/>
    </row>
    <row r="397" spans="16:26">
      <c r="P397" s="247"/>
      <c r="Q397" s="247"/>
      <c r="R397" s="247"/>
      <c r="S397" s="247"/>
      <c r="T397" s="247"/>
      <c r="U397" s="247"/>
      <c r="V397" s="247"/>
      <c r="W397" s="247"/>
      <c r="X397" s="247"/>
      <c r="Y397" s="247"/>
      <c r="Z397" s="247"/>
    </row>
    <row r="398" spans="16:26">
      <c r="P398" s="247"/>
      <c r="Q398" s="247"/>
      <c r="R398" s="247"/>
      <c r="S398" s="247"/>
      <c r="T398" s="247"/>
      <c r="U398" s="247"/>
      <c r="V398" s="247"/>
      <c r="W398" s="247"/>
      <c r="X398" s="247"/>
      <c r="Y398" s="247"/>
      <c r="Z398" s="247"/>
    </row>
    <row r="399" spans="16:26">
      <c r="P399" s="241"/>
      <c r="Q399" s="241"/>
      <c r="R399" s="241"/>
      <c r="S399" s="241"/>
      <c r="T399" s="241"/>
      <c r="U399" s="241"/>
      <c r="V399" s="241"/>
      <c r="W399" s="241"/>
      <c r="X399" s="241"/>
      <c r="Y399" s="241"/>
      <c r="Z399" s="241"/>
    </row>
    <row r="400" spans="16:26">
      <c r="P400" s="247"/>
      <c r="Q400" s="247"/>
      <c r="R400" s="247"/>
      <c r="S400" s="247"/>
      <c r="T400" s="247"/>
      <c r="U400" s="247"/>
      <c r="V400" s="247"/>
      <c r="W400" s="247"/>
      <c r="X400" s="247"/>
      <c r="Y400" s="247"/>
      <c r="Z400" s="247"/>
    </row>
    <row r="401" spans="16:26">
      <c r="P401" s="247"/>
      <c r="Q401" s="247"/>
      <c r="R401" s="247"/>
      <c r="S401" s="247"/>
      <c r="T401" s="247"/>
      <c r="U401" s="247"/>
      <c r="V401" s="247"/>
      <c r="W401" s="247"/>
      <c r="X401" s="247"/>
      <c r="Y401" s="247"/>
      <c r="Z401" s="247"/>
    </row>
    <row r="402" spans="16:26">
      <c r="P402" s="241"/>
      <c r="Q402" s="241"/>
      <c r="R402" s="241"/>
      <c r="S402" s="241"/>
      <c r="T402" s="241"/>
      <c r="U402" s="241"/>
      <c r="V402" s="241"/>
      <c r="W402" s="241"/>
      <c r="X402" s="241"/>
      <c r="Y402" s="241"/>
      <c r="Z402" s="241"/>
    </row>
    <row r="403" spans="16:26">
      <c r="P403" s="247"/>
      <c r="Q403" s="247"/>
      <c r="R403" s="247"/>
      <c r="S403" s="247"/>
      <c r="T403" s="247"/>
      <c r="U403" s="247"/>
      <c r="V403" s="247"/>
      <c r="W403" s="247"/>
      <c r="X403" s="247"/>
      <c r="Y403" s="247"/>
      <c r="Z403" s="247"/>
    </row>
    <row r="404" spans="16:26">
      <c r="P404" s="247"/>
      <c r="Q404" s="247"/>
      <c r="R404" s="247"/>
      <c r="S404" s="247"/>
      <c r="T404" s="247"/>
      <c r="U404" s="247"/>
      <c r="V404" s="247"/>
      <c r="W404" s="247"/>
      <c r="X404" s="247"/>
      <c r="Y404" s="247"/>
      <c r="Z404" s="247"/>
    </row>
    <row r="405" spans="16:26">
      <c r="P405" s="241"/>
      <c r="Q405" s="241"/>
      <c r="R405" s="241"/>
      <c r="S405" s="241"/>
      <c r="T405" s="241"/>
      <c r="U405" s="241"/>
      <c r="V405" s="241"/>
      <c r="W405" s="241"/>
      <c r="X405" s="241"/>
      <c r="Y405" s="241"/>
      <c r="Z405" s="241"/>
    </row>
    <row r="406" spans="16:26">
      <c r="P406" s="247"/>
      <c r="Q406" s="247"/>
      <c r="R406" s="247"/>
      <c r="S406" s="247"/>
      <c r="T406" s="247"/>
      <c r="U406" s="247"/>
      <c r="V406" s="247"/>
      <c r="W406" s="247"/>
      <c r="X406" s="247"/>
      <c r="Y406" s="247"/>
      <c r="Z406" s="247"/>
    </row>
    <row r="407" spans="16:26">
      <c r="P407" s="247"/>
      <c r="Q407" s="247"/>
      <c r="R407" s="247"/>
      <c r="S407" s="247"/>
      <c r="T407" s="247"/>
      <c r="U407" s="247"/>
      <c r="V407" s="247"/>
      <c r="W407" s="247"/>
      <c r="X407" s="247"/>
      <c r="Y407" s="247"/>
      <c r="Z407" s="247"/>
    </row>
    <row r="408" spans="16:26">
      <c r="P408" s="241"/>
      <c r="Q408" s="241"/>
      <c r="R408" s="241"/>
      <c r="S408" s="241"/>
      <c r="T408" s="241"/>
      <c r="U408" s="241"/>
      <c r="V408" s="241"/>
      <c r="W408" s="241"/>
      <c r="X408" s="241"/>
      <c r="Y408" s="241"/>
      <c r="Z408" s="241"/>
    </row>
    <row r="409" spans="16:26">
      <c r="P409" s="247"/>
      <c r="Q409" s="247"/>
      <c r="R409" s="247"/>
      <c r="S409" s="247"/>
      <c r="T409" s="247"/>
      <c r="U409" s="247"/>
      <c r="V409" s="247"/>
      <c r="W409" s="247"/>
      <c r="X409" s="247"/>
      <c r="Y409" s="247"/>
      <c r="Z409" s="247"/>
    </row>
    <row r="410" spans="16:26">
      <c r="P410" s="247"/>
      <c r="Q410" s="247"/>
      <c r="R410" s="247"/>
      <c r="S410" s="247"/>
      <c r="T410" s="247"/>
      <c r="U410" s="247"/>
      <c r="V410" s="247"/>
      <c r="W410" s="247"/>
      <c r="X410" s="247"/>
      <c r="Y410" s="247"/>
      <c r="Z410" s="247"/>
    </row>
    <row r="411" spans="16:26">
      <c r="P411" s="241"/>
      <c r="Q411" s="241"/>
      <c r="R411" s="241"/>
      <c r="S411" s="241"/>
      <c r="T411" s="241"/>
      <c r="U411" s="241"/>
      <c r="V411" s="241"/>
      <c r="W411" s="241"/>
      <c r="X411" s="241"/>
      <c r="Y411" s="241"/>
      <c r="Z411" s="241"/>
    </row>
    <row r="412" spans="16:26">
      <c r="P412" s="247"/>
      <c r="Q412" s="247"/>
      <c r="R412" s="247"/>
      <c r="S412" s="247"/>
      <c r="T412" s="247"/>
      <c r="U412" s="247"/>
      <c r="V412" s="247"/>
      <c r="W412" s="247"/>
      <c r="X412" s="247"/>
      <c r="Y412" s="247"/>
      <c r="Z412" s="247"/>
    </row>
    <row r="413" spans="16:26">
      <c r="P413" s="247"/>
      <c r="Q413" s="247"/>
      <c r="R413" s="247"/>
      <c r="S413" s="247"/>
      <c r="T413" s="247"/>
      <c r="U413" s="247"/>
      <c r="V413" s="247"/>
      <c r="W413" s="247"/>
      <c r="X413" s="247"/>
      <c r="Y413" s="247"/>
      <c r="Z413" s="247"/>
    </row>
    <row r="414" spans="16:26">
      <c r="P414" s="241"/>
      <c r="Q414" s="241"/>
      <c r="R414" s="241"/>
      <c r="S414" s="241"/>
      <c r="T414" s="241"/>
      <c r="U414" s="241"/>
      <c r="V414" s="241"/>
      <c r="W414" s="241"/>
      <c r="X414" s="241"/>
      <c r="Y414" s="241"/>
      <c r="Z414" s="241"/>
    </row>
    <row r="415" spans="16:26">
      <c r="P415" s="247"/>
      <c r="Q415" s="247"/>
      <c r="R415" s="247"/>
      <c r="S415" s="247"/>
      <c r="T415" s="247"/>
      <c r="U415" s="247"/>
      <c r="V415" s="247"/>
      <c r="W415" s="247"/>
      <c r="X415" s="247"/>
      <c r="Y415" s="247"/>
      <c r="Z415" s="247"/>
    </row>
    <row r="416" spans="16:26">
      <c r="P416" s="247"/>
      <c r="Q416" s="247"/>
      <c r="R416" s="247"/>
      <c r="S416" s="247"/>
      <c r="T416" s="247"/>
      <c r="U416" s="247"/>
      <c r="V416" s="247"/>
      <c r="W416" s="247"/>
      <c r="X416" s="247"/>
      <c r="Y416" s="247"/>
      <c r="Z416" s="247"/>
    </row>
    <row r="417" spans="16:26">
      <c r="P417" s="241"/>
      <c r="Q417" s="241"/>
      <c r="R417" s="241"/>
      <c r="S417" s="241"/>
      <c r="T417" s="241"/>
      <c r="U417" s="241"/>
      <c r="V417" s="241"/>
      <c r="W417" s="241"/>
      <c r="X417" s="241"/>
      <c r="Y417" s="241"/>
      <c r="Z417" s="241"/>
    </row>
    <row r="418" spans="16:26">
      <c r="P418" s="247"/>
      <c r="Q418" s="247"/>
      <c r="R418" s="247"/>
      <c r="S418" s="247"/>
      <c r="T418" s="247"/>
      <c r="U418" s="247"/>
      <c r="V418" s="247"/>
      <c r="W418" s="247"/>
      <c r="X418" s="247"/>
      <c r="Y418" s="247"/>
      <c r="Z418" s="247"/>
    </row>
    <row r="419" spans="16:26">
      <c r="P419" s="247"/>
      <c r="Q419" s="247"/>
      <c r="R419" s="247"/>
      <c r="S419" s="247"/>
      <c r="T419" s="247"/>
      <c r="U419" s="247"/>
      <c r="V419" s="247"/>
      <c r="W419" s="247"/>
      <c r="X419" s="247"/>
      <c r="Y419" s="247"/>
      <c r="Z419" s="247"/>
    </row>
    <row r="420" spans="16:26">
      <c r="P420" s="241"/>
      <c r="Q420" s="241"/>
      <c r="R420" s="241"/>
      <c r="S420" s="241"/>
      <c r="T420" s="241"/>
      <c r="U420" s="241"/>
      <c r="V420" s="241"/>
      <c r="W420" s="241"/>
      <c r="X420" s="241"/>
      <c r="Y420" s="241"/>
      <c r="Z420" s="241"/>
    </row>
    <row r="421" spans="16:26">
      <c r="P421" s="247"/>
      <c r="Q421" s="247"/>
      <c r="R421" s="247"/>
      <c r="S421" s="247"/>
      <c r="T421" s="247"/>
      <c r="U421" s="247"/>
      <c r="V421" s="247"/>
      <c r="W421" s="247"/>
      <c r="X421" s="247"/>
      <c r="Y421" s="247"/>
      <c r="Z421" s="247"/>
    </row>
    <row r="422" spans="16:26">
      <c r="P422" s="247"/>
      <c r="Q422" s="247"/>
      <c r="R422" s="247"/>
      <c r="S422" s="247"/>
      <c r="T422" s="247"/>
      <c r="U422" s="247"/>
      <c r="V422" s="247"/>
      <c r="W422" s="247"/>
      <c r="X422" s="247"/>
      <c r="Y422" s="247"/>
      <c r="Z422" s="247"/>
    </row>
    <row r="423" spans="16:26">
      <c r="P423" s="241"/>
      <c r="Q423" s="241"/>
      <c r="R423" s="241"/>
      <c r="S423" s="241"/>
      <c r="T423" s="241"/>
      <c r="U423" s="241"/>
      <c r="V423" s="241"/>
      <c r="W423" s="241"/>
      <c r="X423" s="241"/>
      <c r="Y423" s="241"/>
      <c r="Z423" s="241"/>
    </row>
    <row r="424" spans="16:26">
      <c r="P424" s="247"/>
      <c r="Q424" s="247"/>
      <c r="R424" s="247"/>
      <c r="S424" s="247"/>
      <c r="T424" s="247"/>
      <c r="U424" s="247"/>
      <c r="V424" s="247"/>
      <c r="W424" s="247"/>
      <c r="X424" s="247"/>
      <c r="Y424" s="247"/>
      <c r="Z424" s="247"/>
    </row>
    <row r="425" spans="16:26">
      <c r="P425" s="247"/>
      <c r="Q425" s="247"/>
      <c r="R425" s="247"/>
      <c r="S425" s="247"/>
      <c r="T425" s="247"/>
      <c r="U425" s="247"/>
      <c r="V425" s="247"/>
      <c r="W425" s="247"/>
      <c r="X425" s="247"/>
      <c r="Y425" s="247"/>
      <c r="Z425" s="247"/>
    </row>
    <row r="426" spans="16:26">
      <c r="P426" s="241"/>
      <c r="Q426" s="241"/>
      <c r="R426" s="241"/>
      <c r="S426" s="241"/>
      <c r="T426" s="241"/>
      <c r="U426" s="241"/>
      <c r="V426" s="241"/>
      <c r="W426" s="241"/>
      <c r="X426" s="241"/>
      <c r="Y426" s="241"/>
      <c r="Z426" s="241"/>
    </row>
    <row r="427" spans="16:26">
      <c r="P427" s="247"/>
      <c r="Q427" s="247"/>
      <c r="R427" s="247"/>
      <c r="S427" s="247"/>
      <c r="T427" s="247"/>
      <c r="U427" s="247"/>
      <c r="V427" s="247"/>
      <c r="W427" s="247"/>
      <c r="X427" s="247"/>
      <c r="Y427" s="247"/>
      <c r="Z427" s="247"/>
    </row>
    <row r="428" spans="16:26">
      <c r="P428" s="247"/>
      <c r="Q428" s="247"/>
      <c r="R428" s="247"/>
      <c r="S428" s="247"/>
      <c r="T428" s="247"/>
      <c r="U428" s="247"/>
      <c r="V428" s="247"/>
      <c r="W428" s="247"/>
      <c r="X428" s="247"/>
      <c r="Y428" s="247"/>
      <c r="Z428" s="247"/>
    </row>
    <row r="429" spans="16:26">
      <c r="P429" s="241"/>
      <c r="Q429" s="241"/>
      <c r="R429" s="241"/>
      <c r="S429" s="241"/>
      <c r="T429" s="241"/>
      <c r="U429" s="241"/>
      <c r="V429" s="241"/>
      <c r="W429" s="241"/>
      <c r="X429" s="241"/>
      <c r="Y429" s="241"/>
      <c r="Z429" s="241"/>
    </row>
    <row r="430" spans="16:26">
      <c r="P430" s="247"/>
      <c r="Q430" s="247"/>
      <c r="R430" s="247"/>
      <c r="S430" s="247"/>
      <c r="T430" s="247"/>
      <c r="U430" s="247"/>
      <c r="V430" s="247"/>
      <c r="W430" s="247"/>
      <c r="X430" s="247"/>
      <c r="Y430" s="247"/>
      <c r="Z430" s="247"/>
    </row>
    <row r="431" spans="16:26">
      <c r="P431" s="247"/>
      <c r="Q431" s="247"/>
      <c r="R431" s="247"/>
      <c r="S431" s="247"/>
      <c r="T431" s="247"/>
      <c r="U431" s="247"/>
      <c r="V431" s="247"/>
      <c r="W431" s="247"/>
      <c r="X431" s="247"/>
      <c r="Y431" s="247"/>
      <c r="Z431" s="247"/>
    </row>
    <row r="432" spans="16:26">
      <c r="P432" s="241"/>
      <c r="Q432" s="241"/>
      <c r="R432" s="241"/>
      <c r="S432" s="241"/>
      <c r="T432" s="241"/>
      <c r="U432" s="241"/>
      <c r="V432" s="241"/>
      <c r="W432" s="241"/>
      <c r="X432" s="241"/>
      <c r="Y432" s="241"/>
      <c r="Z432" s="241"/>
    </row>
    <row r="433" spans="16:26">
      <c r="P433" s="247"/>
      <c r="Q433" s="247"/>
      <c r="R433" s="247"/>
      <c r="S433" s="247"/>
      <c r="T433" s="247"/>
      <c r="U433" s="247"/>
      <c r="V433" s="247"/>
      <c r="W433" s="247"/>
      <c r="X433" s="247"/>
      <c r="Y433" s="247"/>
      <c r="Z433" s="247"/>
    </row>
    <row r="434" spans="16:26">
      <c r="P434" s="247"/>
      <c r="Q434" s="247"/>
      <c r="R434" s="247"/>
      <c r="S434" s="247"/>
      <c r="T434" s="247"/>
      <c r="U434" s="247"/>
      <c r="V434" s="247"/>
      <c r="W434" s="247"/>
      <c r="X434" s="247"/>
      <c r="Y434" s="247"/>
      <c r="Z434" s="247"/>
    </row>
    <row r="435" spans="16:26">
      <c r="P435" s="241"/>
      <c r="Q435" s="241"/>
      <c r="R435" s="241"/>
      <c r="S435" s="241"/>
      <c r="T435" s="241"/>
      <c r="U435" s="241"/>
      <c r="V435" s="241"/>
      <c r="W435" s="241"/>
      <c r="X435" s="241"/>
      <c r="Y435" s="241"/>
      <c r="Z435" s="241"/>
    </row>
    <row r="436" spans="16:26">
      <c r="P436" s="247"/>
      <c r="Q436" s="247"/>
      <c r="R436" s="247"/>
      <c r="S436" s="247"/>
      <c r="T436" s="247"/>
      <c r="U436" s="247"/>
      <c r="V436" s="247"/>
      <c r="W436" s="247"/>
      <c r="X436" s="247"/>
      <c r="Y436" s="247"/>
      <c r="Z436" s="247"/>
    </row>
    <row r="437" spans="16:26">
      <c r="P437" s="247"/>
      <c r="Q437" s="247"/>
      <c r="R437" s="247"/>
      <c r="S437" s="247"/>
      <c r="T437" s="247"/>
      <c r="U437" s="247"/>
      <c r="V437" s="247"/>
      <c r="W437" s="247"/>
      <c r="X437" s="247"/>
      <c r="Y437" s="247"/>
      <c r="Z437" s="247"/>
    </row>
    <row r="438" spans="16:26">
      <c r="P438" s="241"/>
      <c r="Q438" s="241"/>
      <c r="R438" s="241"/>
      <c r="S438" s="241"/>
      <c r="T438" s="241"/>
      <c r="U438" s="241"/>
      <c r="V438" s="241"/>
      <c r="W438" s="241"/>
      <c r="X438" s="241"/>
      <c r="Y438" s="241"/>
      <c r="Z438" s="241"/>
    </row>
    <row r="439" spans="16:26">
      <c r="P439" s="247"/>
      <c r="Q439" s="247"/>
      <c r="R439" s="247"/>
      <c r="S439" s="247"/>
      <c r="T439" s="247"/>
      <c r="U439" s="247"/>
      <c r="V439" s="247"/>
      <c r="W439" s="247"/>
      <c r="X439" s="247"/>
      <c r="Y439" s="247"/>
      <c r="Z439" s="247"/>
    </row>
    <row r="440" spans="16:26">
      <c r="P440" s="247"/>
      <c r="Q440" s="247"/>
      <c r="R440" s="247"/>
      <c r="S440" s="247"/>
      <c r="T440" s="247"/>
      <c r="U440" s="247"/>
      <c r="V440" s="247"/>
      <c r="W440" s="247"/>
      <c r="X440" s="247"/>
      <c r="Y440" s="247"/>
      <c r="Z440" s="247"/>
    </row>
    <row r="441" spans="16:26">
      <c r="P441" s="241"/>
      <c r="Q441" s="241"/>
      <c r="R441" s="241"/>
      <c r="S441" s="241"/>
      <c r="T441" s="241"/>
      <c r="U441" s="241"/>
      <c r="V441" s="241"/>
      <c r="W441" s="241"/>
      <c r="X441" s="241"/>
      <c r="Y441" s="241"/>
      <c r="Z441" s="241"/>
    </row>
    <row r="442" spans="16:26">
      <c r="P442" s="247"/>
      <c r="Q442" s="247"/>
      <c r="R442" s="247"/>
      <c r="S442" s="247"/>
      <c r="T442" s="247"/>
      <c r="U442" s="247"/>
      <c r="V442" s="247"/>
      <c r="W442" s="247"/>
      <c r="X442" s="247"/>
      <c r="Y442" s="247"/>
      <c r="Z442" s="247"/>
    </row>
    <row r="443" spans="16:26">
      <c r="P443" s="247"/>
      <c r="Q443" s="247"/>
      <c r="R443" s="247"/>
      <c r="S443" s="247"/>
      <c r="T443" s="247"/>
      <c r="U443" s="247"/>
      <c r="V443" s="247"/>
      <c r="W443" s="247"/>
      <c r="X443" s="247"/>
      <c r="Y443" s="247"/>
      <c r="Z443" s="247"/>
    </row>
    <row r="444" spans="16:26">
      <c r="P444" s="241"/>
      <c r="Q444" s="241"/>
      <c r="R444" s="241"/>
      <c r="S444" s="241"/>
      <c r="T444" s="241"/>
      <c r="U444" s="241"/>
      <c r="V444" s="241"/>
      <c r="W444" s="241"/>
      <c r="X444" s="241"/>
      <c r="Y444" s="241"/>
      <c r="Z444" s="241"/>
    </row>
    <row r="445" spans="16:26">
      <c r="P445" s="247"/>
      <c r="Q445" s="247"/>
      <c r="R445" s="247"/>
      <c r="S445" s="247"/>
      <c r="T445" s="247"/>
      <c r="U445" s="247"/>
      <c r="V445" s="247"/>
      <c r="W445" s="247"/>
      <c r="X445" s="247"/>
      <c r="Y445" s="247"/>
      <c r="Z445" s="247"/>
    </row>
    <row r="446" spans="16:26">
      <c r="P446" s="247"/>
      <c r="Q446" s="247"/>
      <c r="R446" s="247"/>
      <c r="S446" s="247"/>
      <c r="T446" s="247"/>
      <c r="U446" s="247"/>
      <c r="V446" s="247"/>
      <c r="W446" s="247"/>
      <c r="X446" s="247"/>
      <c r="Y446" s="247"/>
      <c r="Z446" s="247"/>
    </row>
    <row r="447" spans="16:26">
      <c r="P447" s="241"/>
      <c r="Q447" s="241"/>
      <c r="R447" s="241"/>
      <c r="S447" s="241"/>
      <c r="T447" s="241"/>
      <c r="U447" s="241"/>
      <c r="V447" s="241"/>
      <c r="W447" s="241"/>
      <c r="X447" s="241"/>
      <c r="Y447" s="241"/>
      <c r="Z447" s="241"/>
    </row>
    <row r="448" spans="16:26">
      <c r="P448" s="247"/>
      <c r="Q448" s="247"/>
      <c r="R448" s="247"/>
      <c r="S448" s="247"/>
      <c r="T448" s="247"/>
      <c r="U448" s="247"/>
      <c r="V448" s="247"/>
      <c r="W448" s="247"/>
      <c r="X448" s="247"/>
      <c r="Y448" s="247"/>
      <c r="Z448" s="247"/>
    </row>
    <row r="449" spans="16:26">
      <c r="P449" s="247"/>
      <c r="Q449" s="247"/>
      <c r="R449" s="247"/>
      <c r="S449" s="247"/>
      <c r="T449" s="247"/>
      <c r="U449" s="247"/>
      <c r="V449" s="247"/>
      <c r="W449" s="247"/>
      <c r="X449" s="247"/>
      <c r="Y449" s="247"/>
      <c r="Z449" s="247"/>
    </row>
    <row r="450" spans="16:26">
      <c r="P450" s="241"/>
      <c r="Q450" s="241"/>
      <c r="R450" s="241"/>
      <c r="S450" s="241"/>
      <c r="T450" s="241"/>
      <c r="U450" s="241"/>
      <c r="V450" s="241"/>
      <c r="W450" s="241"/>
      <c r="X450" s="241"/>
      <c r="Y450" s="241"/>
      <c r="Z450" s="241"/>
    </row>
    <row r="451" spans="16:26">
      <c r="P451" s="247"/>
      <c r="Q451" s="247"/>
      <c r="R451" s="247"/>
      <c r="S451" s="247"/>
      <c r="T451" s="247"/>
      <c r="U451" s="247"/>
      <c r="V451" s="247"/>
      <c r="W451" s="247"/>
      <c r="X451" s="247"/>
      <c r="Y451" s="247"/>
      <c r="Z451" s="247"/>
    </row>
    <row r="452" spans="16:26">
      <c r="P452" s="247"/>
      <c r="Q452" s="247"/>
      <c r="R452" s="247"/>
      <c r="S452" s="247"/>
      <c r="T452" s="247"/>
      <c r="U452" s="247"/>
      <c r="V452" s="247"/>
      <c r="W452" s="247"/>
      <c r="X452" s="247"/>
      <c r="Y452" s="247"/>
      <c r="Z452" s="247"/>
    </row>
    <row r="453" spans="16:26">
      <c r="P453" s="241"/>
      <c r="Q453" s="241"/>
      <c r="R453" s="241"/>
      <c r="S453" s="241"/>
      <c r="T453" s="241"/>
      <c r="U453" s="241"/>
      <c r="V453" s="241"/>
      <c r="W453" s="241"/>
      <c r="X453" s="241"/>
      <c r="Y453" s="241"/>
      <c r="Z453" s="241"/>
    </row>
    <row r="454" spans="16:26">
      <c r="P454" s="247"/>
      <c r="Q454" s="247"/>
      <c r="R454" s="247"/>
      <c r="S454" s="247"/>
      <c r="T454" s="247"/>
      <c r="U454" s="247"/>
      <c r="V454" s="247"/>
      <c r="W454" s="247"/>
      <c r="X454" s="247"/>
      <c r="Y454" s="247"/>
      <c r="Z454" s="247"/>
    </row>
    <row r="455" spans="16:26">
      <c r="P455" s="247"/>
      <c r="Q455" s="247"/>
      <c r="R455" s="247"/>
      <c r="S455" s="247"/>
      <c r="T455" s="247"/>
      <c r="U455" s="247"/>
      <c r="V455" s="247"/>
      <c r="W455" s="247"/>
      <c r="X455" s="247"/>
      <c r="Y455" s="247"/>
      <c r="Z455" s="247"/>
    </row>
    <row r="456" spans="16:26">
      <c r="P456" s="241"/>
      <c r="Q456" s="241"/>
      <c r="R456" s="241"/>
      <c r="S456" s="241"/>
      <c r="T456" s="241"/>
      <c r="U456" s="241"/>
      <c r="V456" s="241"/>
      <c r="W456" s="241"/>
      <c r="X456" s="241"/>
      <c r="Y456" s="241"/>
      <c r="Z456" s="241"/>
    </row>
    <row r="457" spans="16:26">
      <c r="P457" s="247"/>
      <c r="Q457" s="247"/>
      <c r="R457" s="247"/>
      <c r="S457" s="247"/>
      <c r="T457" s="247"/>
      <c r="U457" s="247"/>
      <c r="V457" s="247"/>
      <c r="W457" s="247"/>
      <c r="X457" s="247"/>
      <c r="Y457" s="247"/>
      <c r="Z457" s="247"/>
    </row>
    <row r="458" spans="16:26">
      <c r="P458" s="247"/>
      <c r="Q458" s="247"/>
      <c r="R458" s="247"/>
      <c r="S458" s="247"/>
      <c r="T458" s="247"/>
      <c r="U458" s="247"/>
      <c r="V458" s="247"/>
      <c r="W458" s="247"/>
      <c r="X458" s="247"/>
      <c r="Y458" s="247"/>
      <c r="Z458" s="247"/>
    </row>
    <row r="459" spans="16:26">
      <c r="P459" s="241"/>
      <c r="Q459" s="241"/>
      <c r="R459" s="241"/>
      <c r="S459" s="241"/>
      <c r="T459" s="241"/>
      <c r="U459" s="241"/>
      <c r="V459" s="241"/>
      <c r="W459" s="241"/>
      <c r="X459" s="241"/>
      <c r="Y459" s="241"/>
      <c r="Z459" s="241"/>
    </row>
    <row r="460" spans="16:26">
      <c r="P460" s="247"/>
      <c r="Q460" s="247"/>
      <c r="R460" s="247"/>
      <c r="S460" s="247"/>
      <c r="T460" s="247"/>
      <c r="U460" s="247"/>
      <c r="V460" s="247"/>
      <c r="W460" s="247"/>
      <c r="X460" s="247"/>
      <c r="Y460" s="247"/>
      <c r="Z460" s="247"/>
    </row>
    <row r="461" spans="16:26">
      <c r="P461" s="247"/>
      <c r="Q461" s="247"/>
      <c r="R461" s="247"/>
      <c r="S461" s="247"/>
      <c r="T461" s="247"/>
      <c r="U461" s="247"/>
      <c r="V461" s="247"/>
      <c r="W461" s="247"/>
      <c r="X461" s="247"/>
      <c r="Y461" s="247"/>
      <c r="Z461" s="247"/>
    </row>
    <row r="462" spans="16:26">
      <c r="P462" s="241"/>
      <c r="Q462" s="241"/>
      <c r="R462" s="241"/>
      <c r="S462" s="241"/>
      <c r="T462" s="241"/>
      <c r="U462" s="241"/>
      <c r="V462" s="241"/>
      <c r="W462" s="241"/>
      <c r="X462" s="241"/>
      <c r="Y462" s="241"/>
      <c r="Z462" s="241"/>
    </row>
    <row r="463" spans="16:26">
      <c r="P463" s="247"/>
      <c r="Q463" s="247"/>
      <c r="R463" s="247"/>
      <c r="S463" s="247"/>
      <c r="T463" s="247"/>
      <c r="U463" s="247"/>
      <c r="V463" s="247"/>
      <c r="W463" s="247"/>
      <c r="X463" s="247"/>
      <c r="Y463" s="247"/>
      <c r="Z463" s="247"/>
    </row>
    <row r="464" spans="16:26">
      <c r="P464" s="247"/>
      <c r="Q464" s="247"/>
      <c r="R464" s="247"/>
      <c r="S464" s="247"/>
      <c r="T464" s="247"/>
      <c r="U464" s="247"/>
      <c r="V464" s="247"/>
      <c r="W464" s="247"/>
      <c r="X464" s="247"/>
      <c r="Y464" s="247"/>
      <c r="Z464" s="247"/>
    </row>
    <row r="465" spans="16:26">
      <c r="P465" s="241"/>
      <c r="Q465" s="241"/>
      <c r="R465" s="241"/>
      <c r="S465" s="241"/>
      <c r="T465" s="241"/>
      <c r="U465" s="241"/>
      <c r="V465" s="241"/>
      <c r="W465" s="241"/>
      <c r="X465" s="241"/>
      <c r="Y465" s="241"/>
      <c r="Z465" s="241"/>
    </row>
    <row r="466" spans="16:26">
      <c r="P466" s="247"/>
      <c r="Q466" s="247"/>
      <c r="R466" s="247"/>
      <c r="S466" s="247"/>
      <c r="T466" s="247"/>
      <c r="U466" s="247"/>
      <c r="V466" s="247"/>
      <c r="W466" s="247"/>
      <c r="X466" s="247"/>
      <c r="Y466" s="247"/>
      <c r="Z466" s="247"/>
    </row>
    <row r="467" spans="16:26">
      <c r="P467" s="247"/>
      <c r="Q467" s="247"/>
      <c r="R467" s="247"/>
      <c r="S467" s="247"/>
      <c r="T467" s="247"/>
      <c r="U467" s="247"/>
      <c r="V467" s="247"/>
      <c r="W467" s="247"/>
      <c r="X467" s="247"/>
      <c r="Y467" s="247"/>
      <c r="Z467" s="247"/>
    </row>
    <row r="468" spans="16:26">
      <c r="P468" s="241"/>
      <c r="Q468" s="241"/>
      <c r="R468" s="241"/>
      <c r="S468" s="241"/>
      <c r="T468" s="241"/>
      <c r="U468" s="241"/>
      <c r="V468" s="241"/>
      <c r="W468" s="241"/>
      <c r="X468" s="241"/>
      <c r="Y468" s="241"/>
      <c r="Z468" s="241"/>
    </row>
    <row r="469" spans="16:26">
      <c r="P469" s="247"/>
      <c r="Q469" s="247"/>
      <c r="R469" s="247"/>
      <c r="S469" s="247"/>
      <c r="T469" s="247"/>
      <c r="U469" s="247"/>
      <c r="V469" s="247"/>
      <c r="W469" s="247"/>
      <c r="X469" s="247"/>
      <c r="Y469" s="247"/>
      <c r="Z469" s="247"/>
    </row>
    <row r="470" spans="16:26">
      <c r="P470" s="247"/>
      <c r="Q470" s="247"/>
      <c r="R470" s="247"/>
      <c r="S470" s="247"/>
      <c r="T470" s="247"/>
      <c r="U470" s="247"/>
      <c r="V470" s="247"/>
      <c r="W470" s="247"/>
      <c r="X470" s="247"/>
      <c r="Y470" s="247"/>
      <c r="Z470" s="247"/>
    </row>
    <row r="471" spans="16:26">
      <c r="P471" s="241"/>
      <c r="Q471" s="241"/>
      <c r="R471" s="241"/>
      <c r="S471" s="241"/>
      <c r="T471" s="241"/>
      <c r="U471" s="241"/>
      <c r="V471" s="241"/>
      <c r="W471" s="241"/>
      <c r="X471" s="241"/>
      <c r="Y471" s="241"/>
      <c r="Z471" s="241"/>
    </row>
    <row r="472" spans="16:26">
      <c r="P472" s="247"/>
      <c r="Q472" s="247"/>
      <c r="R472" s="247"/>
      <c r="S472" s="247"/>
      <c r="T472" s="247"/>
      <c r="U472" s="247"/>
      <c r="V472" s="247"/>
      <c r="W472" s="247"/>
      <c r="X472" s="247"/>
      <c r="Y472" s="247"/>
      <c r="Z472" s="247"/>
    </row>
    <row r="473" spans="16:26">
      <c r="P473" s="247"/>
      <c r="Q473" s="247"/>
      <c r="R473" s="247"/>
      <c r="S473" s="247"/>
      <c r="T473" s="247"/>
      <c r="U473" s="247"/>
      <c r="V473" s="247"/>
      <c r="W473" s="247"/>
      <c r="X473" s="247"/>
      <c r="Y473" s="247"/>
      <c r="Z473" s="247"/>
    </row>
    <row r="474" spans="16:26">
      <c r="P474" s="241"/>
      <c r="Q474" s="241"/>
      <c r="R474" s="241"/>
      <c r="S474" s="241"/>
      <c r="T474" s="241"/>
      <c r="U474" s="241"/>
      <c r="V474" s="241"/>
      <c r="W474" s="241"/>
      <c r="X474" s="241"/>
      <c r="Y474" s="241"/>
      <c r="Z474" s="241"/>
    </row>
    <row r="475" spans="16:26">
      <c r="P475" s="247"/>
      <c r="Q475" s="247"/>
      <c r="R475" s="247"/>
      <c r="S475" s="247"/>
      <c r="T475" s="247"/>
      <c r="U475" s="247"/>
      <c r="V475" s="247"/>
      <c r="W475" s="247"/>
      <c r="X475" s="247"/>
      <c r="Y475" s="247"/>
      <c r="Z475" s="247"/>
    </row>
    <row r="476" spans="16:26">
      <c r="P476" s="247"/>
      <c r="Q476" s="247"/>
      <c r="R476" s="247"/>
      <c r="S476" s="247"/>
      <c r="T476" s="247"/>
      <c r="U476" s="247"/>
      <c r="V476" s="247"/>
      <c r="W476" s="247"/>
      <c r="X476" s="247"/>
      <c r="Y476" s="247"/>
      <c r="Z476" s="247"/>
    </row>
    <row r="477" spans="16:26">
      <c r="P477" s="241"/>
      <c r="Q477" s="241"/>
      <c r="R477" s="241"/>
      <c r="S477" s="241"/>
      <c r="T477" s="241"/>
      <c r="U477" s="241"/>
      <c r="V477" s="241"/>
      <c r="W477" s="241"/>
      <c r="X477" s="241"/>
      <c r="Y477" s="241"/>
      <c r="Z477" s="241"/>
    </row>
    <row r="478" spans="16:26">
      <c r="P478" s="247"/>
      <c r="Q478" s="247"/>
      <c r="R478" s="247"/>
      <c r="S478" s="247"/>
      <c r="T478" s="247"/>
      <c r="U478" s="247"/>
      <c r="V478" s="247"/>
      <c r="W478" s="247"/>
      <c r="X478" s="247"/>
      <c r="Y478" s="247"/>
      <c r="Z478" s="247"/>
    </row>
    <row r="479" spans="16:26">
      <c r="P479" s="247"/>
      <c r="Q479" s="247"/>
      <c r="R479" s="247"/>
      <c r="S479" s="247"/>
      <c r="T479" s="247"/>
      <c r="U479" s="247"/>
      <c r="V479" s="247"/>
      <c r="W479" s="247"/>
      <c r="X479" s="247"/>
      <c r="Y479" s="247"/>
      <c r="Z479" s="247"/>
    </row>
    <row r="480" spans="16:26">
      <c r="P480" s="241"/>
      <c r="Q480" s="241"/>
      <c r="R480" s="241"/>
      <c r="S480" s="241"/>
      <c r="T480" s="241"/>
      <c r="U480" s="241"/>
      <c r="V480" s="241"/>
      <c r="W480" s="241"/>
      <c r="X480" s="241"/>
      <c r="Y480" s="241"/>
      <c r="Z480" s="241"/>
    </row>
    <row r="481" spans="16:26">
      <c r="P481" s="247"/>
      <c r="Q481" s="247"/>
      <c r="R481" s="247"/>
      <c r="S481" s="247"/>
      <c r="T481" s="247"/>
      <c r="U481" s="247"/>
      <c r="V481" s="247"/>
      <c r="W481" s="247"/>
      <c r="X481" s="247"/>
      <c r="Y481" s="247"/>
      <c r="Z481" s="247"/>
    </row>
    <row r="482" spans="16:26">
      <c r="P482" s="247"/>
      <c r="Q482" s="247"/>
      <c r="R482" s="247"/>
      <c r="S482" s="247"/>
      <c r="T482" s="247"/>
      <c r="U482" s="247"/>
      <c r="V482" s="247"/>
      <c r="W482" s="247"/>
      <c r="X482" s="247"/>
      <c r="Y482" s="247"/>
      <c r="Z482" s="247"/>
    </row>
    <row r="483" spans="16:26">
      <c r="P483" s="241"/>
      <c r="Q483" s="241"/>
      <c r="R483" s="241"/>
      <c r="S483" s="241"/>
      <c r="T483" s="241"/>
      <c r="U483" s="241"/>
      <c r="V483" s="241"/>
      <c r="W483" s="241"/>
      <c r="X483" s="241"/>
      <c r="Y483" s="241"/>
      <c r="Z483" s="241"/>
    </row>
    <row r="484" spans="16:26">
      <c r="P484" s="247"/>
      <c r="Q484" s="247"/>
      <c r="R484" s="247"/>
      <c r="S484" s="247"/>
      <c r="T484" s="247"/>
      <c r="U484" s="247"/>
      <c r="V484" s="247"/>
      <c r="W484" s="247"/>
      <c r="X484" s="247"/>
      <c r="Y484" s="247"/>
      <c r="Z484" s="247"/>
    </row>
    <row r="485" spans="16:26">
      <c r="P485" s="247"/>
      <c r="Q485" s="247"/>
      <c r="R485" s="247"/>
      <c r="S485" s="247"/>
      <c r="T485" s="247"/>
      <c r="U485" s="247"/>
      <c r="V485" s="247"/>
      <c r="W485" s="247"/>
      <c r="X485" s="247"/>
      <c r="Y485" s="247"/>
      <c r="Z485" s="247"/>
    </row>
    <row r="486" spans="16:26">
      <c r="P486" s="241"/>
      <c r="Q486" s="241"/>
      <c r="R486" s="241"/>
      <c r="S486" s="241"/>
      <c r="T486" s="241"/>
      <c r="U486" s="241"/>
      <c r="V486" s="241"/>
      <c r="W486" s="241"/>
      <c r="X486" s="241"/>
      <c r="Y486" s="241"/>
      <c r="Z486" s="241"/>
    </row>
    <row r="487" spans="16:26">
      <c r="P487" s="247"/>
      <c r="Q487" s="247"/>
      <c r="R487" s="247"/>
      <c r="S487" s="247"/>
      <c r="T487" s="247"/>
      <c r="U487" s="247"/>
      <c r="V487" s="247"/>
      <c r="W487" s="247"/>
      <c r="X487" s="247"/>
      <c r="Y487" s="247"/>
      <c r="Z487" s="247"/>
    </row>
    <row r="488" spans="16:26">
      <c r="P488" s="247"/>
      <c r="Q488" s="247"/>
      <c r="R488" s="247"/>
      <c r="S488" s="247"/>
      <c r="T488" s="247"/>
      <c r="U488" s="247"/>
      <c r="V488" s="247"/>
      <c r="W488" s="247"/>
      <c r="X488" s="247"/>
      <c r="Y488" s="247"/>
      <c r="Z488" s="247"/>
    </row>
    <row r="489" spans="16:26">
      <c r="P489" s="241"/>
      <c r="Q489" s="241"/>
      <c r="R489" s="241"/>
      <c r="S489" s="241"/>
      <c r="T489" s="241"/>
      <c r="U489" s="241"/>
      <c r="V489" s="241"/>
      <c r="W489" s="241"/>
      <c r="X489" s="241"/>
      <c r="Y489" s="241"/>
      <c r="Z489" s="241"/>
    </row>
    <row r="490" spans="16:26">
      <c r="P490" s="247"/>
      <c r="Q490" s="247"/>
      <c r="R490" s="247"/>
      <c r="S490" s="247"/>
      <c r="T490" s="247"/>
      <c r="U490" s="247"/>
      <c r="V490" s="247"/>
      <c r="W490" s="247"/>
      <c r="X490" s="247"/>
      <c r="Y490" s="247"/>
      <c r="Z490" s="247"/>
    </row>
    <row r="491" spans="16:26">
      <c r="P491" s="247"/>
      <c r="Q491" s="247"/>
      <c r="R491" s="247"/>
      <c r="S491" s="247"/>
      <c r="T491" s="247"/>
      <c r="U491" s="247"/>
      <c r="V491" s="247"/>
      <c r="W491" s="247"/>
      <c r="X491" s="247"/>
      <c r="Y491" s="247"/>
      <c r="Z491" s="247"/>
    </row>
    <row r="492" spans="16:26">
      <c r="P492" s="241"/>
      <c r="Q492" s="241"/>
      <c r="R492" s="241"/>
      <c r="S492" s="241"/>
      <c r="T492" s="241"/>
      <c r="U492" s="241"/>
      <c r="V492" s="241"/>
      <c r="W492" s="241"/>
      <c r="X492" s="241"/>
      <c r="Y492" s="241"/>
      <c r="Z492" s="241"/>
    </row>
    <row r="493" spans="16:26">
      <c r="P493" s="247"/>
      <c r="Q493" s="247"/>
      <c r="R493" s="247"/>
      <c r="S493" s="247"/>
      <c r="T493" s="247"/>
      <c r="U493" s="247"/>
      <c r="V493" s="247"/>
      <c r="W493" s="247"/>
      <c r="X493" s="247"/>
      <c r="Y493" s="247"/>
      <c r="Z493" s="247"/>
    </row>
    <row r="494" spans="16:26">
      <c r="P494" s="247"/>
      <c r="Q494" s="247"/>
      <c r="R494" s="247"/>
      <c r="S494" s="247"/>
      <c r="T494" s="247"/>
      <c r="U494" s="247"/>
      <c r="V494" s="247"/>
      <c r="W494" s="247"/>
      <c r="X494" s="247"/>
      <c r="Y494" s="247"/>
      <c r="Z494" s="247"/>
    </row>
    <row r="495" spans="16:26">
      <c r="P495" s="241"/>
      <c r="Q495" s="241"/>
      <c r="R495" s="241"/>
      <c r="S495" s="241"/>
      <c r="T495" s="241"/>
      <c r="U495" s="241"/>
      <c r="V495" s="241"/>
      <c r="W495" s="241"/>
      <c r="X495" s="241"/>
      <c r="Y495" s="241"/>
      <c r="Z495" s="241"/>
    </row>
    <row r="496" spans="16:26">
      <c r="P496" s="247"/>
      <c r="Q496" s="247"/>
      <c r="R496" s="247"/>
      <c r="S496" s="247"/>
      <c r="T496" s="247"/>
      <c r="U496" s="247"/>
      <c r="V496" s="247"/>
      <c r="W496" s="247"/>
      <c r="X496" s="247"/>
      <c r="Y496" s="247"/>
      <c r="Z496" s="247"/>
    </row>
    <row r="497" spans="16:26">
      <c r="P497" s="247"/>
      <c r="Q497" s="247"/>
      <c r="R497" s="247"/>
      <c r="S497" s="247"/>
      <c r="T497" s="247"/>
      <c r="U497" s="247"/>
      <c r="V497" s="247"/>
      <c r="W497" s="247"/>
      <c r="X497" s="247"/>
      <c r="Y497" s="247"/>
      <c r="Z497" s="247"/>
    </row>
    <row r="498" spans="16:26">
      <c r="P498" s="241"/>
      <c r="Q498" s="241"/>
      <c r="R498" s="241"/>
      <c r="S498" s="241"/>
      <c r="T498" s="241"/>
      <c r="U498" s="241"/>
      <c r="V498" s="241"/>
      <c r="W498" s="241"/>
      <c r="X498" s="241"/>
      <c r="Y498" s="241"/>
      <c r="Z498" s="241"/>
    </row>
    <row r="499" spans="16:26">
      <c r="P499" s="247"/>
      <c r="Q499" s="247"/>
      <c r="R499" s="247"/>
      <c r="S499" s="247"/>
      <c r="T499" s="247"/>
      <c r="U499" s="247"/>
      <c r="V499" s="247"/>
      <c r="W499" s="247"/>
      <c r="X499" s="247"/>
      <c r="Y499" s="247"/>
      <c r="Z499" s="247"/>
    </row>
    <row r="500" spans="16:26">
      <c r="P500" s="247"/>
      <c r="Q500" s="247"/>
      <c r="R500" s="247"/>
      <c r="S500" s="247"/>
      <c r="T500" s="247"/>
      <c r="U500" s="247"/>
      <c r="V500" s="247"/>
      <c r="W500" s="247"/>
      <c r="X500" s="247"/>
      <c r="Y500" s="247"/>
      <c r="Z500" s="247"/>
    </row>
    <row r="501" spans="16:26">
      <c r="P501" s="241"/>
      <c r="Q501" s="241"/>
      <c r="R501" s="241"/>
      <c r="S501" s="241"/>
      <c r="T501" s="241"/>
      <c r="U501" s="241"/>
      <c r="V501" s="241"/>
      <c r="W501" s="241"/>
      <c r="X501" s="241"/>
      <c r="Y501" s="241"/>
      <c r="Z501" s="241"/>
    </row>
    <row r="502" spans="16:26">
      <c r="P502" s="247"/>
      <c r="Q502" s="247"/>
      <c r="R502" s="247"/>
      <c r="S502" s="247"/>
      <c r="T502" s="247"/>
      <c r="U502" s="247"/>
      <c r="V502" s="247"/>
      <c r="W502" s="247"/>
      <c r="X502" s="247"/>
      <c r="Y502" s="247"/>
      <c r="Z502" s="247"/>
    </row>
    <row r="503" spans="16:26">
      <c r="P503" s="247"/>
      <c r="Q503" s="247"/>
      <c r="R503" s="247"/>
      <c r="S503" s="247"/>
      <c r="T503" s="247"/>
      <c r="U503" s="247"/>
      <c r="V503" s="247"/>
      <c r="W503" s="247"/>
      <c r="X503" s="247"/>
      <c r="Y503" s="247"/>
      <c r="Z503" s="247"/>
    </row>
    <row r="504" spans="16:26">
      <c r="P504" s="241"/>
      <c r="Q504" s="241"/>
      <c r="R504" s="241"/>
      <c r="S504" s="241"/>
      <c r="T504" s="241"/>
      <c r="U504" s="241"/>
      <c r="V504" s="241"/>
      <c r="W504" s="241"/>
      <c r="X504" s="241"/>
      <c r="Y504" s="241"/>
      <c r="Z504" s="241"/>
    </row>
    <row r="505" spans="16:26">
      <c r="P505" s="247"/>
      <c r="Q505" s="247"/>
      <c r="R505" s="247"/>
      <c r="S505" s="247"/>
      <c r="T505" s="247"/>
      <c r="U505" s="247"/>
      <c r="V505" s="247"/>
      <c r="W505" s="247"/>
      <c r="X505" s="247"/>
      <c r="Y505" s="247"/>
      <c r="Z505" s="247"/>
    </row>
    <row r="506" spans="16:26">
      <c r="P506" s="247"/>
      <c r="Q506" s="247"/>
      <c r="R506" s="247"/>
      <c r="S506" s="247"/>
      <c r="T506" s="247"/>
      <c r="U506" s="247"/>
      <c r="V506" s="247"/>
      <c r="W506" s="247"/>
      <c r="X506" s="247"/>
      <c r="Y506" s="247"/>
      <c r="Z506" s="247"/>
    </row>
    <row r="507" spans="16:26">
      <c r="P507" s="241"/>
      <c r="Q507" s="241"/>
      <c r="R507" s="241"/>
      <c r="S507" s="241"/>
      <c r="T507" s="241"/>
      <c r="U507" s="241"/>
      <c r="V507" s="241"/>
      <c r="W507" s="241"/>
      <c r="X507" s="241"/>
      <c r="Y507" s="241"/>
      <c r="Z507" s="241"/>
    </row>
    <row r="508" spans="16:26">
      <c r="P508" s="247"/>
      <c r="Q508" s="247"/>
      <c r="R508" s="247"/>
      <c r="S508" s="247"/>
      <c r="T508" s="247"/>
      <c r="U508" s="247"/>
      <c r="V508" s="247"/>
      <c r="W508" s="247"/>
      <c r="X508" s="247"/>
      <c r="Y508" s="247"/>
      <c r="Z508" s="247"/>
    </row>
    <row r="509" spans="16:26">
      <c r="P509" s="247"/>
      <c r="Q509" s="247"/>
      <c r="R509" s="247"/>
      <c r="S509" s="247"/>
      <c r="T509" s="247"/>
      <c r="U509" s="247"/>
      <c r="V509" s="247"/>
      <c r="W509" s="247"/>
      <c r="X509" s="247"/>
      <c r="Y509" s="247"/>
      <c r="Z509" s="247"/>
    </row>
    <row r="510" spans="16:26">
      <c r="P510" s="241"/>
      <c r="Q510" s="241"/>
      <c r="R510" s="241"/>
      <c r="S510" s="241"/>
      <c r="T510" s="241"/>
      <c r="U510" s="241"/>
      <c r="V510" s="241"/>
      <c r="W510" s="241"/>
      <c r="X510" s="241"/>
      <c r="Y510" s="241"/>
      <c r="Z510" s="241"/>
    </row>
    <row r="511" spans="16:26">
      <c r="P511" s="247"/>
      <c r="Q511" s="247"/>
      <c r="R511" s="247"/>
      <c r="S511" s="247"/>
      <c r="T511" s="247"/>
      <c r="U511" s="247"/>
      <c r="V511" s="247"/>
      <c r="W511" s="247"/>
      <c r="X511" s="247"/>
      <c r="Y511" s="247"/>
      <c r="Z511" s="247"/>
    </row>
    <row r="512" spans="16:26">
      <c r="P512" s="247"/>
      <c r="Q512" s="247"/>
      <c r="R512" s="247"/>
      <c r="S512" s="247"/>
      <c r="T512" s="247"/>
      <c r="U512" s="247"/>
      <c r="V512" s="247"/>
      <c r="W512" s="247"/>
      <c r="X512" s="247"/>
      <c r="Y512" s="247"/>
      <c r="Z512" s="247"/>
    </row>
    <row r="513" spans="16:26">
      <c r="P513" s="241"/>
      <c r="Q513" s="241"/>
      <c r="R513" s="241"/>
      <c r="S513" s="241"/>
      <c r="T513" s="241"/>
      <c r="U513" s="241"/>
      <c r="V513" s="241"/>
      <c r="W513" s="241"/>
      <c r="X513" s="241"/>
      <c r="Y513" s="241"/>
      <c r="Z513" s="241"/>
    </row>
    <row r="514" spans="16:26">
      <c r="P514" s="247"/>
      <c r="Q514" s="247"/>
      <c r="R514" s="247"/>
      <c r="S514" s="247"/>
      <c r="T514" s="247"/>
      <c r="U514" s="247"/>
      <c r="V514" s="247"/>
      <c r="W514" s="247"/>
      <c r="X514" s="247"/>
      <c r="Y514" s="247"/>
      <c r="Z514" s="247"/>
    </row>
    <row r="515" spans="16:26">
      <c r="P515" s="247"/>
      <c r="Q515" s="247"/>
      <c r="R515" s="247"/>
      <c r="S515" s="247"/>
      <c r="T515" s="247"/>
      <c r="U515" s="247"/>
      <c r="V515" s="247"/>
      <c r="W515" s="247"/>
      <c r="X515" s="247"/>
      <c r="Y515" s="247"/>
      <c r="Z515" s="247"/>
    </row>
    <row r="516" spans="16:26">
      <c r="P516" s="241"/>
      <c r="Q516" s="241"/>
      <c r="R516" s="241"/>
      <c r="S516" s="241"/>
      <c r="T516" s="241"/>
      <c r="U516" s="241"/>
      <c r="V516" s="241"/>
      <c r="W516" s="241"/>
      <c r="X516" s="241"/>
      <c r="Y516" s="241"/>
      <c r="Z516" s="241"/>
    </row>
    <row r="517" spans="16:26">
      <c r="P517" s="247"/>
      <c r="Q517" s="247"/>
      <c r="R517" s="247"/>
      <c r="S517" s="247"/>
      <c r="T517" s="247"/>
      <c r="U517" s="247"/>
      <c r="V517" s="247"/>
      <c r="W517" s="247"/>
      <c r="X517" s="247"/>
      <c r="Y517" s="247"/>
      <c r="Z517" s="247"/>
    </row>
    <row r="518" spans="16:26">
      <c r="P518" s="247"/>
      <c r="Q518" s="247"/>
      <c r="R518" s="247"/>
      <c r="S518" s="247"/>
      <c r="T518" s="247"/>
      <c r="U518" s="247"/>
      <c r="V518" s="247"/>
      <c r="W518" s="247"/>
      <c r="X518" s="247"/>
      <c r="Y518" s="247"/>
      <c r="Z518" s="247"/>
    </row>
    <row r="519" spans="16:26">
      <c r="P519" s="241"/>
      <c r="Q519" s="241"/>
      <c r="R519" s="241"/>
      <c r="S519" s="241"/>
      <c r="T519" s="241"/>
      <c r="U519" s="241"/>
      <c r="V519" s="241"/>
      <c r="W519" s="241"/>
      <c r="X519" s="241"/>
      <c r="Y519" s="241"/>
      <c r="Z519" s="241"/>
    </row>
    <row r="520" spans="16:26">
      <c r="P520" s="247"/>
      <c r="Q520" s="247"/>
      <c r="R520" s="247"/>
      <c r="S520" s="247"/>
      <c r="T520" s="247"/>
      <c r="U520" s="247"/>
      <c r="V520" s="247"/>
      <c r="W520" s="247"/>
      <c r="X520" s="247"/>
      <c r="Y520" s="247"/>
      <c r="Z520" s="247"/>
    </row>
    <row r="521" spans="16:26">
      <c r="P521" s="247"/>
      <c r="Q521" s="247"/>
      <c r="R521" s="247"/>
      <c r="S521" s="247"/>
      <c r="T521" s="247"/>
      <c r="U521" s="247"/>
      <c r="V521" s="247"/>
      <c r="W521" s="247"/>
      <c r="X521" s="247"/>
      <c r="Y521" s="247"/>
      <c r="Z521" s="247"/>
    </row>
    <row r="522" spans="16:26">
      <c r="P522" s="241"/>
      <c r="Q522" s="241"/>
      <c r="R522" s="241"/>
      <c r="S522" s="241"/>
      <c r="T522" s="241"/>
      <c r="U522" s="241"/>
      <c r="V522" s="241"/>
      <c r="W522" s="241"/>
      <c r="X522" s="241"/>
      <c r="Y522" s="241"/>
      <c r="Z522" s="241"/>
    </row>
    <row r="523" spans="16:26">
      <c r="P523" s="247"/>
      <c r="Q523" s="247"/>
      <c r="R523" s="247"/>
      <c r="S523" s="247"/>
      <c r="T523" s="247"/>
      <c r="U523" s="247"/>
      <c r="V523" s="247"/>
      <c r="W523" s="247"/>
      <c r="X523" s="247"/>
      <c r="Y523" s="247"/>
      <c r="Z523" s="247"/>
    </row>
    <row r="524" spans="16:26">
      <c r="P524" s="247"/>
      <c r="Q524" s="247"/>
      <c r="R524" s="247"/>
      <c r="S524" s="247"/>
      <c r="T524" s="247"/>
      <c r="U524" s="247"/>
      <c r="V524" s="247"/>
      <c r="W524" s="247"/>
      <c r="X524" s="247"/>
      <c r="Y524" s="247"/>
      <c r="Z524" s="247"/>
    </row>
    <row r="525" spans="16:26">
      <c r="P525" s="241"/>
      <c r="Q525" s="241"/>
      <c r="R525" s="241"/>
      <c r="S525" s="241"/>
      <c r="T525" s="241"/>
      <c r="U525" s="241"/>
      <c r="V525" s="241"/>
      <c r="W525" s="241"/>
      <c r="X525" s="241"/>
      <c r="Y525" s="241"/>
      <c r="Z525" s="241"/>
    </row>
    <row r="526" spans="16:26">
      <c r="P526" s="247"/>
      <c r="Q526" s="247"/>
      <c r="R526" s="247"/>
      <c r="S526" s="247"/>
      <c r="T526" s="247"/>
      <c r="U526" s="247"/>
      <c r="V526" s="247"/>
      <c r="W526" s="247"/>
      <c r="X526" s="247"/>
      <c r="Y526" s="247"/>
      <c r="Z526" s="247"/>
    </row>
    <row r="527" spans="16:26">
      <c r="P527" s="247"/>
      <c r="Q527" s="247"/>
      <c r="R527" s="247"/>
      <c r="S527" s="247"/>
      <c r="T527" s="247"/>
      <c r="U527" s="247"/>
      <c r="V527" s="247"/>
      <c r="W527" s="247"/>
      <c r="X527" s="247"/>
      <c r="Y527" s="247"/>
      <c r="Z527" s="247"/>
    </row>
    <row r="528" spans="16:26">
      <c r="P528" s="241"/>
      <c r="Q528" s="241"/>
      <c r="R528" s="241"/>
      <c r="S528" s="241"/>
      <c r="T528" s="241"/>
      <c r="U528" s="241"/>
      <c r="V528" s="241"/>
      <c r="W528" s="241"/>
      <c r="X528" s="241"/>
      <c r="Y528" s="241"/>
      <c r="Z528" s="241"/>
    </row>
    <row r="529" spans="16:26">
      <c r="P529" s="247"/>
      <c r="Q529" s="247"/>
      <c r="R529" s="247"/>
      <c r="S529" s="247"/>
      <c r="T529" s="247"/>
      <c r="U529" s="247"/>
      <c r="V529" s="247"/>
      <c r="W529" s="247"/>
      <c r="X529" s="247"/>
      <c r="Y529" s="247"/>
      <c r="Z529" s="247"/>
    </row>
    <row r="530" spans="16:26">
      <c r="P530" s="247"/>
      <c r="Q530" s="247"/>
      <c r="R530" s="247"/>
      <c r="S530" s="247"/>
      <c r="T530" s="247"/>
      <c r="U530" s="247"/>
      <c r="V530" s="247"/>
      <c r="W530" s="247"/>
      <c r="X530" s="247"/>
      <c r="Y530" s="247"/>
      <c r="Z530" s="247"/>
    </row>
    <row r="531" spans="16:26">
      <c r="P531" s="241"/>
      <c r="Q531" s="241"/>
      <c r="R531" s="241"/>
      <c r="S531" s="241"/>
      <c r="T531" s="241"/>
      <c r="U531" s="241"/>
      <c r="V531" s="241"/>
      <c r="W531" s="241"/>
      <c r="X531" s="241"/>
      <c r="Y531" s="241"/>
      <c r="Z531" s="241"/>
    </row>
    <row r="532" spans="16:26">
      <c r="P532" s="247"/>
      <c r="Q532" s="247"/>
      <c r="R532" s="247"/>
      <c r="S532" s="247"/>
      <c r="T532" s="247"/>
      <c r="U532" s="247"/>
      <c r="V532" s="247"/>
      <c r="W532" s="247"/>
      <c r="X532" s="247"/>
      <c r="Y532" s="247"/>
      <c r="Z532" s="247"/>
    </row>
    <row r="533" spans="16:26">
      <c r="P533" s="247"/>
      <c r="Q533" s="247"/>
      <c r="R533" s="247"/>
      <c r="S533" s="247"/>
      <c r="T533" s="247"/>
      <c r="U533" s="247"/>
      <c r="V533" s="247"/>
      <c r="W533" s="247"/>
      <c r="X533" s="247"/>
      <c r="Y533" s="247"/>
      <c r="Z533" s="247"/>
    </row>
    <row r="534" spans="16:26">
      <c r="P534" s="241"/>
      <c r="Q534" s="241"/>
      <c r="R534" s="241"/>
      <c r="S534" s="241"/>
      <c r="T534" s="241"/>
      <c r="U534" s="241"/>
      <c r="V534" s="241"/>
      <c r="W534" s="241"/>
      <c r="X534" s="241"/>
      <c r="Y534" s="241"/>
      <c r="Z534" s="241"/>
    </row>
    <row r="535" spans="16:26">
      <c r="P535" s="247"/>
      <c r="Q535" s="247"/>
      <c r="R535" s="247"/>
      <c r="S535" s="247"/>
      <c r="T535" s="247"/>
      <c r="U535" s="247"/>
      <c r="V535" s="247"/>
      <c r="W535" s="247"/>
      <c r="X535" s="247"/>
      <c r="Y535" s="247"/>
      <c r="Z535" s="247"/>
    </row>
    <row r="536" spans="16:26">
      <c r="P536" s="247"/>
      <c r="Q536" s="247"/>
      <c r="R536" s="247"/>
      <c r="S536" s="247"/>
      <c r="T536" s="247"/>
      <c r="U536" s="247"/>
      <c r="V536" s="247"/>
      <c r="W536" s="247"/>
      <c r="X536" s="247"/>
      <c r="Y536" s="247"/>
      <c r="Z536" s="247"/>
    </row>
    <row r="537" spans="16:26">
      <c r="P537" s="241"/>
      <c r="Q537" s="241"/>
      <c r="R537" s="241"/>
      <c r="S537" s="241"/>
      <c r="T537" s="241"/>
      <c r="U537" s="241"/>
      <c r="V537" s="241"/>
      <c r="W537" s="241"/>
      <c r="X537" s="241"/>
      <c r="Y537" s="241"/>
      <c r="Z537" s="241"/>
    </row>
    <row r="538" spans="16:26">
      <c r="P538" s="247"/>
      <c r="Q538" s="247"/>
      <c r="R538" s="247"/>
      <c r="S538" s="247"/>
      <c r="T538" s="247"/>
      <c r="U538" s="247"/>
      <c r="V538" s="247"/>
      <c r="W538" s="247"/>
      <c r="X538" s="247"/>
      <c r="Y538" s="247"/>
      <c r="Z538" s="247"/>
    </row>
    <row r="539" spans="16:26">
      <c r="P539" s="247"/>
      <c r="Q539" s="247"/>
      <c r="R539" s="247"/>
      <c r="S539" s="247"/>
      <c r="T539" s="247"/>
      <c r="U539" s="247"/>
      <c r="V539" s="247"/>
      <c r="W539" s="247"/>
      <c r="X539" s="247"/>
      <c r="Y539" s="247"/>
      <c r="Z539" s="247"/>
    </row>
    <row r="540" spans="16:26">
      <c r="P540" s="241"/>
      <c r="Q540" s="241"/>
      <c r="R540" s="241"/>
      <c r="S540" s="241"/>
      <c r="T540" s="241"/>
      <c r="U540" s="241"/>
      <c r="V540" s="241"/>
      <c r="W540" s="241"/>
      <c r="X540" s="241"/>
      <c r="Y540" s="241"/>
      <c r="Z540" s="241"/>
    </row>
    <row r="541" spans="16:26">
      <c r="P541" s="247"/>
      <c r="Q541" s="247"/>
      <c r="R541" s="247"/>
      <c r="S541" s="247"/>
      <c r="T541" s="247"/>
      <c r="U541" s="247"/>
      <c r="V541" s="247"/>
      <c r="W541" s="247"/>
      <c r="X541" s="247"/>
      <c r="Y541" s="247"/>
      <c r="Z541" s="247"/>
    </row>
    <row r="542" spans="16:26">
      <c r="P542" s="247"/>
      <c r="Q542" s="247"/>
      <c r="R542" s="247"/>
      <c r="S542" s="247"/>
      <c r="T542" s="247"/>
      <c r="U542" s="247"/>
      <c r="V542" s="247"/>
      <c r="W542" s="247"/>
      <c r="X542" s="247"/>
      <c r="Y542" s="247"/>
      <c r="Z542" s="247"/>
    </row>
    <row r="543" spans="16:26">
      <c r="P543" s="241"/>
      <c r="Q543" s="241"/>
      <c r="R543" s="241"/>
      <c r="S543" s="241"/>
      <c r="T543" s="241"/>
      <c r="U543" s="241"/>
      <c r="V543" s="241"/>
      <c r="W543" s="241"/>
      <c r="X543" s="241"/>
      <c r="Y543" s="241"/>
      <c r="Z543" s="241"/>
    </row>
    <row r="544" spans="16:26">
      <c r="P544" s="247"/>
      <c r="Q544" s="247"/>
      <c r="R544" s="247"/>
      <c r="S544" s="247"/>
      <c r="T544" s="247"/>
      <c r="U544" s="247"/>
      <c r="V544" s="247"/>
      <c r="W544" s="247"/>
      <c r="X544" s="247"/>
      <c r="Y544" s="247"/>
      <c r="Z544" s="247"/>
    </row>
    <row r="545" spans="16:26">
      <c r="P545" s="247"/>
      <c r="Q545" s="247"/>
      <c r="R545" s="247"/>
      <c r="S545" s="247"/>
      <c r="T545" s="247"/>
      <c r="U545" s="247"/>
      <c r="V545" s="247"/>
      <c r="W545" s="247"/>
      <c r="X545" s="247"/>
      <c r="Y545" s="247"/>
      <c r="Z545" s="247"/>
    </row>
    <row r="546" spans="16:26">
      <c r="P546" s="241"/>
      <c r="Q546" s="241"/>
      <c r="R546" s="241"/>
      <c r="S546" s="241"/>
      <c r="T546" s="241"/>
      <c r="U546" s="241"/>
      <c r="V546" s="241"/>
      <c r="W546" s="241"/>
      <c r="X546" s="241"/>
      <c r="Y546" s="241"/>
      <c r="Z546" s="241"/>
    </row>
    <row r="547" spans="16:26">
      <c r="P547" s="247"/>
      <c r="Q547" s="247"/>
      <c r="R547" s="247"/>
      <c r="S547" s="247"/>
      <c r="T547" s="247"/>
      <c r="U547" s="247"/>
      <c r="V547" s="247"/>
      <c r="W547" s="247"/>
      <c r="X547" s="247"/>
      <c r="Y547" s="247"/>
      <c r="Z547" s="247"/>
    </row>
    <row r="548" spans="16:26">
      <c r="P548" s="247"/>
      <c r="Q548" s="247"/>
      <c r="R548" s="247"/>
      <c r="S548" s="247"/>
      <c r="T548" s="247"/>
      <c r="U548" s="247"/>
      <c r="V548" s="247"/>
      <c r="W548" s="247"/>
      <c r="X548" s="247"/>
      <c r="Y548" s="247"/>
      <c r="Z548" s="247"/>
    </row>
    <row r="549" spans="16:26">
      <c r="P549" s="241"/>
      <c r="Q549" s="241"/>
      <c r="R549" s="241"/>
      <c r="S549" s="241"/>
      <c r="T549" s="241"/>
      <c r="U549" s="241"/>
      <c r="V549" s="241"/>
      <c r="W549" s="241"/>
      <c r="X549" s="241"/>
      <c r="Y549" s="241"/>
      <c r="Z549" s="241"/>
    </row>
    <row r="550" spans="16:26">
      <c r="P550" s="247"/>
      <c r="Q550" s="247"/>
      <c r="R550" s="247"/>
      <c r="S550" s="247"/>
      <c r="T550" s="247"/>
      <c r="U550" s="247"/>
      <c r="V550" s="247"/>
      <c r="W550" s="247"/>
      <c r="X550" s="247"/>
      <c r="Y550" s="247"/>
      <c r="Z550" s="247"/>
    </row>
    <row r="551" spans="16:26">
      <c r="P551" s="247"/>
      <c r="Q551" s="247"/>
      <c r="R551" s="247"/>
      <c r="S551" s="247"/>
      <c r="T551" s="247"/>
      <c r="U551" s="247"/>
      <c r="V551" s="247"/>
      <c r="W551" s="247"/>
      <c r="X551" s="247"/>
      <c r="Y551" s="247"/>
      <c r="Z551" s="247"/>
    </row>
    <row r="552" spans="16:26">
      <c r="P552" s="241"/>
      <c r="Q552" s="241"/>
      <c r="R552" s="241"/>
      <c r="S552" s="241"/>
      <c r="T552" s="241"/>
      <c r="U552" s="241"/>
      <c r="V552" s="241"/>
      <c r="W552" s="241"/>
      <c r="X552" s="241"/>
      <c r="Y552" s="241"/>
      <c r="Z552" s="241"/>
    </row>
    <row r="553" spans="16:26">
      <c r="P553" s="247"/>
      <c r="Q553" s="247"/>
      <c r="R553" s="247"/>
      <c r="S553" s="247"/>
      <c r="T553" s="247"/>
      <c r="U553" s="247"/>
      <c r="V553" s="247"/>
      <c r="W553" s="247"/>
      <c r="X553" s="247"/>
      <c r="Y553" s="247"/>
      <c r="Z553" s="247"/>
    </row>
    <row r="554" spans="16:26">
      <c r="P554" s="247"/>
      <c r="Q554" s="247"/>
      <c r="R554" s="247"/>
      <c r="S554" s="247"/>
      <c r="T554" s="247"/>
      <c r="U554" s="247"/>
      <c r="V554" s="247"/>
      <c r="W554" s="247"/>
      <c r="X554" s="247"/>
      <c r="Y554" s="247"/>
      <c r="Z554" s="247"/>
    </row>
    <row r="555" spans="16:26">
      <c r="P555" s="241"/>
      <c r="Q555" s="241"/>
      <c r="R555" s="241"/>
      <c r="S555" s="241"/>
      <c r="T555" s="241"/>
      <c r="U555" s="241"/>
      <c r="V555" s="241"/>
      <c r="W555" s="241"/>
      <c r="X555" s="241"/>
      <c r="Y555" s="241"/>
      <c r="Z555" s="241"/>
    </row>
    <row r="556" spans="16:26">
      <c r="P556" s="247"/>
      <c r="Q556" s="247"/>
      <c r="R556" s="247"/>
      <c r="S556" s="247"/>
      <c r="T556" s="247"/>
      <c r="U556" s="247"/>
      <c r="V556" s="247"/>
      <c r="W556" s="247"/>
      <c r="X556" s="247"/>
      <c r="Y556" s="247"/>
      <c r="Z556" s="247"/>
    </row>
    <row r="557" spans="16:26">
      <c r="P557" s="247"/>
      <c r="Q557" s="247"/>
      <c r="R557" s="247"/>
      <c r="S557" s="247"/>
      <c r="T557" s="247"/>
      <c r="U557" s="247"/>
      <c r="V557" s="247"/>
      <c r="W557" s="247"/>
      <c r="X557" s="247"/>
      <c r="Y557" s="247"/>
      <c r="Z557" s="247"/>
    </row>
    <row r="558" spans="16:26">
      <c r="P558" s="241"/>
      <c r="Q558" s="241"/>
      <c r="R558" s="241"/>
      <c r="S558" s="241"/>
      <c r="T558" s="241"/>
      <c r="U558" s="241"/>
      <c r="V558" s="241"/>
      <c r="W558" s="241"/>
      <c r="X558" s="241"/>
      <c r="Y558" s="241"/>
      <c r="Z558" s="241"/>
    </row>
    <row r="559" spans="16:26">
      <c r="P559" s="247"/>
      <c r="Q559" s="247"/>
      <c r="R559" s="247"/>
      <c r="S559" s="247"/>
      <c r="T559" s="247"/>
      <c r="U559" s="247"/>
      <c r="V559" s="247"/>
      <c r="W559" s="247"/>
      <c r="X559" s="247"/>
      <c r="Y559" s="247"/>
      <c r="Z559" s="247"/>
    </row>
    <row r="560" spans="16:26">
      <c r="P560" s="247"/>
      <c r="Q560" s="247"/>
      <c r="R560" s="247"/>
      <c r="S560" s="247"/>
      <c r="T560" s="247"/>
      <c r="U560" s="247"/>
      <c r="V560" s="247"/>
      <c r="W560" s="247"/>
      <c r="X560" s="247"/>
      <c r="Y560" s="247"/>
      <c r="Z560" s="247"/>
    </row>
    <row r="561" spans="16:26">
      <c r="P561" s="241"/>
      <c r="Q561" s="241"/>
      <c r="R561" s="241"/>
      <c r="S561" s="241"/>
      <c r="T561" s="241"/>
      <c r="U561" s="241"/>
      <c r="V561" s="241"/>
      <c r="W561" s="241"/>
      <c r="X561" s="241"/>
      <c r="Y561" s="241"/>
      <c r="Z561" s="241"/>
    </row>
    <row r="562" spans="16:26">
      <c r="P562" s="247"/>
      <c r="Q562" s="247"/>
      <c r="R562" s="247"/>
      <c r="S562" s="247"/>
      <c r="T562" s="247"/>
      <c r="U562" s="247"/>
      <c r="V562" s="247"/>
      <c r="W562" s="247"/>
      <c r="X562" s="247"/>
      <c r="Y562" s="247"/>
      <c r="Z562" s="247"/>
    </row>
    <row r="563" spans="16:26">
      <c r="P563" s="247"/>
      <c r="Q563" s="247"/>
      <c r="R563" s="247"/>
      <c r="S563" s="247"/>
      <c r="T563" s="247"/>
      <c r="U563" s="247"/>
      <c r="V563" s="247"/>
      <c r="W563" s="247"/>
      <c r="X563" s="247"/>
      <c r="Y563" s="247"/>
      <c r="Z563" s="247"/>
    </row>
    <row r="564" spans="16:26">
      <c r="P564" s="241"/>
      <c r="Q564" s="241"/>
      <c r="R564" s="241"/>
      <c r="S564" s="241"/>
      <c r="T564" s="241"/>
      <c r="U564" s="241"/>
      <c r="V564" s="241"/>
      <c r="W564" s="241"/>
      <c r="X564" s="241"/>
      <c r="Y564" s="241"/>
      <c r="Z564" s="241"/>
    </row>
    <row r="565" spans="16:26">
      <c r="P565" s="247"/>
      <c r="Q565" s="247"/>
      <c r="R565" s="247"/>
      <c r="S565" s="247"/>
      <c r="T565" s="247"/>
      <c r="U565" s="247"/>
      <c r="V565" s="247"/>
      <c r="W565" s="247"/>
      <c r="X565" s="247"/>
      <c r="Y565" s="247"/>
      <c r="Z565" s="247"/>
    </row>
    <row r="566" spans="16:26">
      <c r="P566" s="247"/>
      <c r="Q566" s="247"/>
      <c r="R566" s="247"/>
      <c r="S566" s="247"/>
      <c r="T566" s="247"/>
      <c r="U566" s="247"/>
      <c r="V566" s="247"/>
      <c r="W566" s="247"/>
      <c r="X566" s="247"/>
      <c r="Y566" s="247"/>
      <c r="Z566" s="247"/>
    </row>
    <row r="567" spans="16:26">
      <c r="P567" s="241"/>
      <c r="Q567" s="241"/>
      <c r="R567" s="241"/>
      <c r="S567" s="241"/>
      <c r="T567" s="241"/>
      <c r="U567" s="241"/>
      <c r="V567" s="241"/>
      <c r="W567" s="241"/>
      <c r="X567" s="241"/>
      <c r="Y567" s="241"/>
      <c r="Z567" s="241"/>
    </row>
    <row r="568" spans="16:26">
      <c r="P568" s="247"/>
      <c r="Q568" s="247"/>
      <c r="R568" s="247"/>
      <c r="S568" s="247"/>
      <c r="T568" s="247"/>
      <c r="U568" s="247"/>
      <c r="V568" s="247"/>
      <c r="W568" s="247"/>
      <c r="X568" s="247"/>
      <c r="Y568" s="247"/>
      <c r="Z568" s="247"/>
    </row>
    <row r="569" spans="16:26">
      <c r="P569" s="247"/>
      <c r="Q569" s="247"/>
      <c r="R569" s="247"/>
      <c r="S569" s="247"/>
      <c r="T569" s="247"/>
      <c r="U569" s="247"/>
      <c r="V569" s="247"/>
      <c r="W569" s="247"/>
      <c r="X569" s="247"/>
      <c r="Y569" s="247"/>
      <c r="Z569" s="247"/>
    </row>
    <row r="570" spans="16:26">
      <c r="P570" s="241"/>
      <c r="Q570" s="241"/>
      <c r="R570" s="241"/>
      <c r="S570" s="241"/>
      <c r="T570" s="241"/>
      <c r="U570" s="241"/>
      <c r="V570" s="241"/>
      <c r="W570" s="241"/>
      <c r="X570" s="241"/>
      <c r="Y570" s="241"/>
      <c r="Z570" s="241"/>
    </row>
    <row r="571" spans="16:26">
      <c r="P571" s="247"/>
      <c r="Q571" s="247"/>
      <c r="R571" s="247"/>
      <c r="S571" s="247"/>
      <c r="T571" s="247"/>
      <c r="U571" s="247"/>
      <c r="V571" s="247"/>
      <c r="W571" s="247"/>
      <c r="X571" s="247"/>
      <c r="Y571" s="247"/>
      <c r="Z571" s="247"/>
    </row>
    <row r="572" spans="16:26">
      <c r="P572" s="247"/>
      <c r="Q572" s="247"/>
      <c r="R572" s="247"/>
      <c r="S572" s="247"/>
      <c r="T572" s="247"/>
      <c r="U572" s="247"/>
      <c r="V572" s="247"/>
      <c r="W572" s="247"/>
      <c r="X572" s="247"/>
      <c r="Y572" s="247"/>
      <c r="Z572" s="247"/>
    </row>
    <row r="573" spans="16:26">
      <c r="P573" s="241"/>
      <c r="Q573" s="241"/>
      <c r="R573" s="241"/>
      <c r="S573" s="241"/>
      <c r="T573" s="241"/>
      <c r="U573" s="241"/>
      <c r="V573" s="241"/>
      <c r="W573" s="241"/>
      <c r="X573" s="241"/>
      <c r="Y573" s="241"/>
      <c r="Z573" s="241"/>
    </row>
    <row r="574" spans="16:26">
      <c r="P574" s="247"/>
      <c r="Q574" s="247"/>
      <c r="R574" s="247"/>
      <c r="S574" s="247"/>
      <c r="T574" s="247"/>
      <c r="U574" s="247"/>
      <c r="V574" s="247"/>
      <c r="W574" s="247"/>
      <c r="X574" s="247"/>
      <c r="Y574" s="247"/>
      <c r="Z574" s="247"/>
    </row>
    <row r="575" spans="16:26">
      <c r="P575" s="247"/>
      <c r="Q575" s="247"/>
      <c r="R575" s="247"/>
      <c r="S575" s="247"/>
      <c r="T575" s="247"/>
      <c r="U575" s="247"/>
      <c r="V575" s="247"/>
      <c r="W575" s="247"/>
      <c r="X575" s="247"/>
      <c r="Y575" s="247"/>
      <c r="Z575" s="247"/>
    </row>
    <row r="576" spans="16:26">
      <c r="P576" s="241"/>
      <c r="Q576" s="241"/>
      <c r="R576" s="241"/>
      <c r="S576" s="241"/>
      <c r="T576" s="241"/>
      <c r="U576" s="241"/>
      <c r="V576" s="241"/>
      <c r="W576" s="241"/>
      <c r="X576" s="241"/>
      <c r="Y576" s="241"/>
      <c r="Z576" s="241"/>
    </row>
    <row r="577" spans="16:26">
      <c r="P577" s="247"/>
      <c r="Q577" s="247"/>
      <c r="R577" s="247"/>
      <c r="S577" s="247"/>
      <c r="T577" s="247"/>
      <c r="U577" s="247"/>
      <c r="V577" s="247"/>
      <c r="W577" s="247"/>
      <c r="X577" s="247"/>
      <c r="Y577" s="247"/>
      <c r="Z577" s="247"/>
    </row>
    <row r="578" spans="16:26">
      <c r="P578" s="247"/>
      <c r="Q578" s="247"/>
      <c r="R578" s="247"/>
      <c r="S578" s="247"/>
      <c r="T578" s="247"/>
      <c r="U578" s="247"/>
      <c r="V578" s="247"/>
      <c r="W578" s="247"/>
      <c r="X578" s="247"/>
      <c r="Y578" s="247"/>
      <c r="Z578" s="247"/>
    </row>
    <row r="579" spans="16:26">
      <c r="P579" s="241"/>
      <c r="Q579" s="241"/>
      <c r="R579" s="241"/>
      <c r="S579" s="241"/>
      <c r="T579" s="241"/>
      <c r="U579" s="241"/>
      <c r="V579" s="241"/>
      <c r="W579" s="241"/>
      <c r="X579" s="241"/>
      <c r="Y579" s="241"/>
      <c r="Z579" s="241"/>
    </row>
    <row r="580" spans="16:26">
      <c r="P580" s="247"/>
      <c r="Q580" s="247"/>
      <c r="R580" s="247"/>
      <c r="S580" s="247"/>
      <c r="T580" s="247"/>
      <c r="U580" s="247"/>
      <c r="V580" s="247"/>
      <c r="W580" s="247"/>
      <c r="X580" s="247"/>
      <c r="Y580" s="247"/>
      <c r="Z580" s="247"/>
    </row>
    <row r="581" spans="16:26">
      <c r="P581" s="247"/>
      <c r="Q581" s="247"/>
      <c r="R581" s="247"/>
      <c r="S581" s="247"/>
      <c r="T581" s="247"/>
      <c r="U581" s="247"/>
      <c r="V581" s="247"/>
      <c r="W581" s="247"/>
      <c r="X581" s="247"/>
      <c r="Y581" s="247"/>
      <c r="Z581" s="247"/>
    </row>
    <row r="582" spans="16:26">
      <c r="P582" s="241"/>
      <c r="Q582" s="241"/>
      <c r="R582" s="241"/>
      <c r="S582" s="241"/>
      <c r="T582" s="241"/>
      <c r="U582" s="241"/>
      <c r="V582" s="241"/>
      <c r="W582" s="241"/>
      <c r="X582" s="241"/>
      <c r="Y582" s="241"/>
      <c r="Z582" s="241"/>
    </row>
    <row r="583" spans="16:26">
      <c r="P583" s="247"/>
      <c r="Q583" s="247"/>
      <c r="R583" s="247"/>
      <c r="S583" s="247"/>
      <c r="T583" s="247"/>
      <c r="U583" s="247"/>
      <c r="V583" s="247"/>
      <c r="W583" s="247"/>
      <c r="X583" s="247"/>
      <c r="Y583" s="247"/>
      <c r="Z583" s="247"/>
    </row>
    <row r="584" spans="16:26">
      <c r="P584" s="247"/>
      <c r="Q584" s="247"/>
      <c r="R584" s="247"/>
      <c r="S584" s="247"/>
      <c r="T584" s="247"/>
      <c r="U584" s="247"/>
      <c r="V584" s="247"/>
      <c r="W584" s="247"/>
      <c r="X584" s="247"/>
      <c r="Y584" s="247"/>
      <c r="Z584" s="247"/>
    </row>
    <row r="585" spans="16:26">
      <c r="P585" s="241"/>
      <c r="Q585" s="241"/>
      <c r="R585" s="241"/>
      <c r="S585" s="241"/>
      <c r="T585" s="241"/>
      <c r="U585" s="241"/>
      <c r="V585" s="241"/>
      <c r="W585" s="241"/>
      <c r="X585" s="241"/>
      <c r="Y585" s="241"/>
      <c r="Z585" s="241"/>
    </row>
    <row r="586" spans="16:26">
      <c r="P586" s="247"/>
      <c r="Q586" s="247"/>
      <c r="R586" s="247"/>
      <c r="S586" s="247"/>
      <c r="T586" s="247"/>
      <c r="U586" s="247"/>
      <c r="V586" s="247"/>
      <c r="W586" s="247"/>
      <c r="X586" s="247"/>
      <c r="Y586" s="247"/>
      <c r="Z586" s="247"/>
    </row>
    <row r="587" spans="16:26">
      <c r="P587" s="247"/>
      <c r="Q587" s="247"/>
      <c r="R587" s="247"/>
      <c r="S587" s="247"/>
      <c r="T587" s="247"/>
      <c r="U587" s="247"/>
      <c r="V587" s="247"/>
      <c r="W587" s="247"/>
      <c r="X587" s="247"/>
      <c r="Y587" s="247"/>
      <c r="Z587" s="247"/>
    </row>
    <row r="588" spans="16:26">
      <c r="P588" s="241"/>
      <c r="Q588" s="241"/>
      <c r="R588" s="241"/>
      <c r="S588" s="241"/>
      <c r="T588" s="241"/>
      <c r="U588" s="241"/>
      <c r="V588" s="241"/>
      <c r="W588" s="241"/>
      <c r="X588" s="241"/>
      <c r="Y588" s="241"/>
      <c r="Z588" s="241"/>
    </row>
    <row r="589" spans="16:26">
      <c r="P589" s="247"/>
      <c r="Q589" s="247"/>
      <c r="R589" s="247"/>
      <c r="S589" s="247"/>
      <c r="T589" s="247"/>
      <c r="U589" s="247"/>
      <c r="V589" s="247"/>
      <c r="W589" s="247"/>
      <c r="X589" s="247"/>
      <c r="Y589" s="247"/>
      <c r="Z589" s="247"/>
    </row>
    <row r="590" spans="16:26">
      <c r="P590" s="247"/>
      <c r="Q590" s="247"/>
      <c r="R590" s="247"/>
      <c r="S590" s="247"/>
      <c r="T590" s="247"/>
      <c r="U590" s="247"/>
      <c r="V590" s="247"/>
      <c r="W590" s="247"/>
      <c r="X590" s="247"/>
      <c r="Y590" s="247"/>
      <c r="Z590" s="247"/>
    </row>
    <row r="591" spans="16:26">
      <c r="P591" s="241"/>
      <c r="Q591" s="241"/>
      <c r="R591" s="241"/>
      <c r="S591" s="241"/>
      <c r="T591" s="241"/>
      <c r="U591" s="241"/>
      <c r="V591" s="241"/>
      <c r="W591" s="241"/>
      <c r="X591" s="241"/>
      <c r="Y591" s="241"/>
      <c r="Z591" s="241"/>
    </row>
    <row r="592" spans="16:26">
      <c r="P592" s="247"/>
      <c r="Q592" s="247"/>
      <c r="R592" s="247"/>
      <c r="S592" s="247"/>
      <c r="T592" s="247"/>
      <c r="U592" s="247"/>
      <c r="V592" s="247"/>
      <c r="W592" s="247"/>
      <c r="X592" s="247"/>
      <c r="Y592" s="247"/>
      <c r="Z592" s="247"/>
    </row>
    <row r="593" spans="16:26">
      <c r="P593" s="247"/>
      <c r="Q593" s="247"/>
      <c r="R593" s="247"/>
      <c r="S593" s="247"/>
      <c r="T593" s="247"/>
      <c r="U593" s="247"/>
      <c r="V593" s="247"/>
      <c r="W593" s="247"/>
      <c r="X593" s="247"/>
      <c r="Y593" s="247"/>
      <c r="Z593" s="247"/>
    </row>
    <row r="594" spans="16:26">
      <c r="P594" s="241"/>
      <c r="Q594" s="241"/>
      <c r="R594" s="241"/>
      <c r="S594" s="241"/>
      <c r="T594" s="241"/>
      <c r="U594" s="241"/>
      <c r="V594" s="241"/>
      <c r="W594" s="241"/>
      <c r="X594" s="241"/>
      <c r="Y594" s="241"/>
      <c r="Z594" s="241"/>
    </row>
    <row r="595" spans="16:26">
      <c r="P595" s="247"/>
      <c r="Q595" s="247"/>
      <c r="R595" s="247"/>
      <c r="S595" s="247"/>
      <c r="T595" s="247"/>
      <c r="U595" s="247"/>
      <c r="V595" s="247"/>
      <c r="W595" s="247"/>
      <c r="X595" s="247"/>
      <c r="Y595" s="247"/>
      <c r="Z595" s="247"/>
    </row>
    <row r="596" spans="16:26">
      <c r="P596" s="247"/>
      <c r="Q596" s="247"/>
      <c r="R596" s="247"/>
      <c r="S596" s="247"/>
      <c r="T596" s="247"/>
      <c r="U596" s="247"/>
      <c r="V596" s="247"/>
      <c r="W596" s="247"/>
      <c r="X596" s="247"/>
      <c r="Y596" s="247"/>
      <c r="Z596" s="247"/>
    </row>
    <row r="597" spans="16:26">
      <c r="P597" s="241"/>
      <c r="Q597" s="241"/>
      <c r="R597" s="241"/>
      <c r="S597" s="241"/>
      <c r="T597" s="241"/>
      <c r="U597" s="241"/>
      <c r="V597" s="241"/>
      <c r="W597" s="241"/>
      <c r="X597" s="241"/>
      <c r="Y597" s="241"/>
      <c r="Z597" s="241"/>
    </row>
    <row r="598" spans="16:26">
      <c r="P598" s="247"/>
      <c r="Q598" s="247"/>
      <c r="R598" s="247"/>
      <c r="S598" s="247"/>
      <c r="T598" s="247"/>
      <c r="U598" s="247"/>
      <c r="V598" s="247"/>
      <c r="W598" s="247"/>
      <c r="X598" s="247"/>
      <c r="Y598" s="247"/>
      <c r="Z598" s="247"/>
    </row>
    <row r="599" spans="16:26">
      <c r="P599" s="247"/>
      <c r="Q599" s="247"/>
      <c r="R599" s="247"/>
      <c r="S599" s="247"/>
      <c r="T599" s="247"/>
      <c r="U599" s="247"/>
      <c r="V599" s="247"/>
      <c r="W599" s="247"/>
      <c r="X599" s="247"/>
      <c r="Y599" s="247"/>
      <c r="Z599" s="247"/>
    </row>
    <row r="600" spans="16:26">
      <c r="P600" s="241"/>
      <c r="Q600" s="241"/>
      <c r="R600" s="241"/>
      <c r="S600" s="241"/>
      <c r="T600" s="241"/>
      <c r="U600" s="241"/>
      <c r="V600" s="241"/>
      <c r="W600" s="241"/>
      <c r="X600" s="241"/>
      <c r="Y600" s="241"/>
      <c r="Z600" s="241"/>
    </row>
    <row r="601" spans="16:26">
      <c r="P601" s="247"/>
      <c r="Q601" s="247"/>
      <c r="R601" s="247"/>
      <c r="S601" s="247"/>
      <c r="T601" s="247"/>
      <c r="U601" s="247"/>
      <c r="V601" s="247"/>
      <c r="W601" s="247"/>
      <c r="X601" s="247"/>
      <c r="Y601" s="247"/>
      <c r="Z601" s="247"/>
    </row>
    <row r="602" spans="16:26">
      <c r="P602" s="247"/>
      <c r="Q602" s="247"/>
      <c r="R602" s="247"/>
      <c r="S602" s="247"/>
      <c r="T602" s="247"/>
      <c r="U602" s="247"/>
      <c r="V602" s="247"/>
      <c r="W602" s="247"/>
      <c r="X602" s="247"/>
      <c r="Y602" s="247"/>
      <c r="Z602" s="247"/>
    </row>
    <row r="603" spans="16:26">
      <c r="P603" s="241"/>
      <c r="Q603" s="241"/>
      <c r="R603" s="241"/>
      <c r="S603" s="241"/>
      <c r="T603" s="241"/>
      <c r="U603" s="241"/>
      <c r="V603" s="241"/>
      <c r="W603" s="241"/>
      <c r="X603" s="241"/>
      <c r="Y603" s="241"/>
      <c r="Z603" s="241"/>
    </row>
    <row r="604" spans="16:26">
      <c r="P604" s="247"/>
      <c r="Q604" s="247"/>
      <c r="R604" s="247"/>
      <c r="S604" s="247"/>
      <c r="T604" s="247"/>
      <c r="U604" s="247"/>
      <c r="V604" s="247"/>
      <c r="W604" s="247"/>
      <c r="X604" s="247"/>
      <c r="Y604" s="247"/>
      <c r="Z604" s="247"/>
    </row>
    <row r="605" spans="16:26">
      <c r="P605" s="247"/>
      <c r="Q605" s="247"/>
      <c r="R605" s="247"/>
      <c r="S605" s="247"/>
      <c r="T605" s="247"/>
      <c r="U605" s="247"/>
      <c r="V605" s="247"/>
      <c r="W605" s="247"/>
      <c r="X605" s="247"/>
      <c r="Y605" s="247"/>
      <c r="Z605" s="247"/>
    </row>
    <row r="606" spans="16:26">
      <c r="P606" s="241"/>
      <c r="Q606" s="241"/>
      <c r="R606" s="241"/>
      <c r="S606" s="241"/>
      <c r="T606" s="241"/>
      <c r="U606" s="241"/>
      <c r="V606" s="241"/>
      <c r="W606" s="241"/>
      <c r="X606" s="241"/>
      <c r="Y606" s="241"/>
      <c r="Z606" s="241"/>
    </row>
    <row r="607" spans="16:26">
      <c r="P607" s="247"/>
      <c r="Q607" s="247"/>
      <c r="R607" s="247"/>
      <c r="S607" s="247"/>
      <c r="T607" s="247"/>
      <c r="U607" s="247"/>
      <c r="V607" s="247"/>
      <c r="W607" s="247"/>
      <c r="X607" s="247"/>
      <c r="Y607" s="247"/>
      <c r="Z607" s="247"/>
    </row>
    <row r="608" spans="16:26">
      <c r="P608" s="247"/>
      <c r="Q608" s="247"/>
      <c r="R608" s="247"/>
      <c r="S608" s="247"/>
      <c r="T608" s="247"/>
      <c r="U608" s="247"/>
      <c r="V608" s="247"/>
      <c r="W608" s="247"/>
      <c r="X608" s="247"/>
      <c r="Y608" s="247"/>
      <c r="Z608" s="247"/>
    </row>
    <row r="609" spans="16:26">
      <c r="P609" s="241"/>
      <c r="Q609" s="241"/>
      <c r="R609" s="241"/>
      <c r="S609" s="241"/>
      <c r="T609" s="241"/>
      <c r="U609" s="241"/>
      <c r="V609" s="241"/>
      <c r="W609" s="241"/>
      <c r="X609" s="241"/>
      <c r="Y609" s="241"/>
      <c r="Z609" s="241"/>
    </row>
    <row r="610" spans="16:26">
      <c r="P610" s="247"/>
      <c r="Q610" s="247"/>
      <c r="R610" s="247"/>
      <c r="S610" s="247"/>
      <c r="T610" s="247"/>
      <c r="U610" s="247"/>
      <c r="V610" s="247"/>
      <c r="W610" s="247"/>
      <c r="X610" s="247"/>
      <c r="Y610" s="247"/>
      <c r="Z610" s="247"/>
    </row>
    <row r="611" spans="16:26">
      <c r="P611" s="247"/>
      <c r="Q611" s="247"/>
      <c r="R611" s="247"/>
      <c r="S611" s="247"/>
      <c r="T611" s="247"/>
      <c r="U611" s="247"/>
      <c r="V611" s="247"/>
      <c r="W611" s="247"/>
      <c r="X611" s="247"/>
      <c r="Y611" s="247"/>
      <c r="Z611" s="247"/>
    </row>
    <row r="612" spans="16:26">
      <c r="P612" s="241"/>
      <c r="Q612" s="241"/>
      <c r="R612" s="241"/>
      <c r="S612" s="241"/>
      <c r="T612" s="241"/>
      <c r="U612" s="241"/>
      <c r="V612" s="241"/>
      <c r="W612" s="241"/>
      <c r="X612" s="241"/>
      <c r="Y612" s="241"/>
      <c r="Z612" s="241"/>
    </row>
    <row r="613" spans="16:26">
      <c r="P613" s="247"/>
      <c r="Q613" s="247"/>
      <c r="R613" s="247"/>
      <c r="S613" s="247"/>
      <c r="T613" s="247"/>
      <c r="U613" s="247"/>
      <c r="V613" s="247"/>
      <c r="W613" s="247"/>
      <c r="X613" s="247"/>
      <c r="Y613" s="247"/>
      <c r="Z613" s="247"/>
    </row>
    <row r="614" spans="16:26">
      <c r="P614" s="247"/>
      <c r="Q614" s="247"/>
      <c r="R614" s="247"/>
      <c r="S614" s="247"/>
      <c r="T614" s="247"/>
      <c r="U614" s="247"/>
      <c r="V614" s="247"/>
      <c r="W614" s="247"/>
      <c r="X614" s="247"/>
      <c r="Y614" s="247"/>
      <c r="Z614" s="247"/>
    </row>
    <row r="615" spans="16:26">
      <c r="P615" s="241"/>
      <c r="Q615" s="241"/>
      <c r="R615" s="241"/>
      <c r="S615" s="241"/>
      <c r="T615" s="241"/>
      <c r="U615" s="241"/>
      <c r="V615" s="241"/>
      <c r="W615" s="241"/>
      <c r="X615" s="241"/>
      <c r="Y615" s="241"/>
      <c r="Z615" s="241"/>
    </row>
    <row r="616" spans="16:26">
      <c r="P616" s="247"/>
      <c r="Q616" s="247"/>
      <c r="R616" s="247"/>
      <c r="S616" s="247"/>
      <c r="T616" s="247"/>
      <c r="U616" s="247"/>
      <c r="V616" s="247"/>
      <c r="W616" s="247"/>
      <c r="X616" s="247"/>
      <c r="Y616" s="247"/>
      <c r="Z616" s="247"/>
    </row>
    <row r="617" spans="16:26">
      <c r="P617" s="247"/>
      <c r="Q617" s="247"/>
      <c r="R617" s="247"/>
      <c r="S617" s="247"/>
      <c r="T617" s="247"/>
      <c r="U617" s="247"/>
      <c r="V617" s="247"/>
      <c r="W617" s="247"/>
      <c r="X617" s="247"/>
      <c r="Y617" s="247"/>
      <c r="Z617" s="247"/>
    </row>
    <row r="618" spans="16:26">
      <c r="P618" s="241"/>
      <c r="Q618" s="241"/>
      <c r="R618" s="241"/>
      <c r="S618" s="241"/>
      <c r="T618" s="241"/>
      <c r="U618" s="241"/>
      <c r="V618" s="241"/>
      <c r="W618" s="241"/>
      <c r="X618" s="241"/>
      <c r="Y618" s="241"/>
      <c r="Z618" s="241"/>
    </row>
    <row r="619" spans="16:26">
      <c r="P619" s="247"/>
      <c r="Q619" s="247"/>
      <c r="R619" s="247"/>
      <c r="S619" s="247"/>
      <c r="T619" s="247"/>
      <c r="U619" s="247"/>
      <c r="V619" s="247"/>
      <c r="W619" s="247"/>
      <c r="X619" s="247"/>
      <c r="Y619" s="247"/>
      <c r="Z619" s="247"/>
    </row>
    <row r="620" spans="16:26">
      <c r="P620" s="247"/>
      <c r="Q620" s="247"/>
      <c r="R620" s="247"/>
      <c r="S620" s="247"/>
      <c r="T620" s="247"/>
      <c r="U620" s="247"/>
      <c r="V620" s="247"/>
      <c r="W620" s="247"/>
      <c r="X620" s="247"/>
      <c r="Y620" s="247"/>
      <c r="Z620" s="247"/>
    </row>
    <row r="621" spans="16:26">
      <c r="P621" s="241"/>
      <c r="Q621" s="241"/>
      <c r="R621" s="241"/>
      <c r="S621" s="241"/>
      <c r="T621" s="241"/>
      <c r="U621" s="241"/>
      <c r="V621" s="241"/>
      <c r="W621" s="241"/>
      <c r="X621" s="241"/>
      <c r="Y621" s="241"/>
      <c r="Z621" s="241"/>
    </row>
    <row r="622" spans="16:26">
      <c r="P622" s="247"/>
      <c r="Q622" s="247"/>
      <c r="R622" s="247"/>
      <c r="S622" s="247"/>
      <c r="T622" s="247"/>
      <c r="U622" s="247"/>
      <c r="V622" s="247"/>
      <c r="W622" s="247"/>
      <c r="X622" s="247"/>
      <c r="Y622" s="247"/>
      <c r="Z622" s="247"/>
    </row>
    <row r="623" spans="16:26">
      <c r="P623" s="247"/>
      <c r="Q623" s="247"/>
      <c r="R623" s="247"/>
      <c r="S623" s="247"/>
      <c r="T623" s="247"/>
      <c r="U623" s="247"/>
      <c r="V623" s="247"/>
      <c r="W623" s="247"/>
      <c r="X623" s="247"/>
      <c r="Y623" s="247"/>
      <c r="Z623" s="247"/>
    </row>
    <row r="624" spans="16:26">
      <c r="P624" s="241"/>
      <c r="Q624" s="241"/>
      <c r="R624" s="241"/>
      <c r="S624" s="241"/>
      <c r="T624" s="241"/>
      <c r="U624" s="241"/>
      <c r="V624" s="241"/>
      <c r="W624" s="241"/>
      <c r="X624" s="241"/>
      <c r="Y624" s="241"/>
      <c r="Z624" s="241"/>
    </row>
    <row r="625" spans="16:26">
      <c r="P625" s="247"/>
      <c r="Q625" s="247"/>
      <c r="R625" s="247"/>
      <c r="S625" s="247"/>
      <c r="T625" s="247"/>
      <c r="U625" s="247"/>
      <c r="V625" s="247"/>
      <c r="W625" s="247"/>
      <c r="X625" s="247"/>
      <c r="Y625" s="247"/>
      <c r="Z625" s="247"/>
    </row>
    <row r="626" spans="16:26">
      <c r="P626" s="247"/>
      <c r="Q626" s="247"/>
      <c r="R626" s="247"/>
      <c r="S626" s="247"/>
      <c r="T626" s="247"/>
      <c r="U626" s="247"/>
      <c r="V626" s="247"/>
      <c r="W626" s="247"/>
      <c r="X626" s="247"/>
      <c r="Y626" s="247"/>
      <c r="Z626" s="247"/>
    </row>
    <row r="627" spans="16:26">
      <c r="P627" s="241"/>
      <c r="Q627" s="241"/>
      <c r="R627" s="241"/>
      <c r="S627" s="241"/>
      <c r="T627" s="241"/>
      <c r="U627" s="241"/>
      <c r="V627" s="241"/>
      <c r="W627" s="241"/>
      <c r="X627" s="241"/>
      <c r="Y627" s="241"/>
      <c r="Z627" s="241"/>
    </row>
    <row r="628" spans="16:26">
      <c r="P628" s="247"/>
      <c r="Q628" s="247"/>
      <c r="R628" s="247"/>
      <c r="S628" s="247"/>
      <c r="T628" s="247"/>
      <c r="U628" s="247"/>
      <c r="V628" s="247"/>
      <c r="W628" s="247"/>
      <c r="X628" s="247"/>
      <c r="Y628" s="247"/>
      <c r="Z628" s="247"/>
    </row>
    <row r="629" spans="16:26">
      <c r="P629" s="247"/>
      <c r="Q629" s="247"/>
      <c r="R629" s="247"/>
      <c r="S629" s="247"/>
      <c r="T629" s="247"/>
      <c r="U629" s="247"/>
      <c r="V629" s="247"/>
      <c r="W629" s="247"/>
      <c r="X629" s="247"/>
      <c r="Y629" s="247"/>
      <c r="Z629" s="247"/>
    </row>
    <row r="630" spans="16:26">
      <c r="P630" s="241"/>
      <c r="Q630" s="241"/>
      <c r="R630" s="241"/>
      <c r="S630" s="241"/>
      <c r="T630" s="241"/>
      <c r="U630" s="241"/>
      <c r="V630" s="241"/>
      <c r="W630" s="241"/>
      <c r="X630" s="241"/>
      <c r="Y630" s="241"/>
      <c r="Z630" s="241"/>
    </row>
    <row r="631" spans="16:26">
      <c r="P631" s="247"/>
      <c r="Q631" s="247"/>
      <c r="R631" s="247"/>
      <c r="S631" s="247"/>
      <c r="T631" s="247"/>
      <c r="U631" s="247"/>
      <c r="V631" s="247"/>
      <c r="W631" s="247"/>
      <c r="X631" s="247"/>
      <c r="Y631" s="247"/>
      <c r="Z631" s="247"/>
    </row>
    <row r="632" spans="16:26">
      <c r="P632" s="247"/>
      <c r="Q632" s="247"/>
      <c r="R632" s="247"/>
      <c r="S632" s="247"/>
      <c r="T632" s="247"/>
      <c r="U632" s="247"/>
      <c r="V632" s="247"/>
      <c r="W632" s="247"/>
      <c r="X632" s="247"/>
      <c r="Y632" s="247"/>
      <c r="Z632" s="247"/>
    </row>
    <row r="633" spans="16:26">
      <c r="P633" s="241"/>
      <c r="Q633" s="241"/>
      <c r="R633" s="241"/>
      <c r="S633" s="241"/>
      <c r="T633" s="241"/>
      <c r="U633" s="241"/>
      <c r="V633" s="241"/>
      <c r="W633" s="241"/>
      <c r="X633" s="241"/>
      <c r="Y633" s="241"/>
      <c r="Z633" s="241"/>
    </row>
    <row r="634" spans="16:26">
      <c r="P634" s="247"/>
      <c r="Q634" s="247"/>
      <c r="R634" s="247"/>
      <c r="S634" s="247"/>
      <c r="T634" s="247"/>
      <c r="U634" s="247"/>
      <c r="V634" s="247"/>
      <c r="W634" s="247"/>
      <c r="X634" s="247"/>
      <c r="Y634" s="247"/>
      <c r="Z634" s="247"/>
    </row>
    <row r="635" spans="16:26">
      <c r="P635" s="247"/>
      <c r="Q635" s="247"/>
      <c r="R635" s="247"/>
      <c r="S635" s="247"/>
      <c r="T635" s="247"/>
      <c r="U635" s="247"/>
      <c r="V635" s="247"/>
      <c r="W635" s="247"/>
      <c r="X635" s="247"/>
      <c r="Y635" s="247"/>
      <c r="Z635" s="247"/>
    </row>
    <row r="636" spans="16:26">
      <c r="P636" s="241"/>
      <c r="Q636" s="241"/>
      <c r="R636" s="241"/>
      <c r="S636" s="241"/>
      <c r="T636" s="241"/>
      <c r="U636" s="241"/>
      <c r="V636" s="241"/>
      <c r="W636" s="241"/>
      <c r="X636" s="241"/>
      <c r="Y636" s="241"/>
      <c r="Z636" s="241"/>
    </row>
    <row r="637" spans="16:26">
      <c r="P637" s="247"/>
      <c r="Q637" s="247"/>
      <c r="R637" s="247"/>
      <c r="S637" s="247"/>
      <c r="T637" s="247"/>
      <c r="U637" s="247"/>
      <c r="V637" s="247"/>
      <c r="W637" s="247"/>
      <c r="X637" s="247"/>
      <c r="Y637" s="247"/>
      <c r="Z637" s="247"/>
    </row>
    <row r="638" spans="16:26">
      <c r="P638" s="247"/>
      <c r="Q638" s="247"/>
      <c r="R638" s="247"/>
      <c r="S638" s="247"/>
      <c r="T638" s="247"/>
      <c r="U638" s="247"/>
      <c r="V638" s="247"/>
      <c r="W638" s="247"/>
      <c r="X638" s="247"/>
      <c r="Y638" s="247"/>
      <c r="Z638" s="247"/>
    </row>
    <row r="639" spans="16:26">
      <c r="P639" s="241"/>
      <c r="Q639" s="241"/>
      <c r="R639" s="241"/>
      <c r="S639" s="241"/>
      <c r="T639" s="241"/>
      <c r="U639" s="241"/>
      <c r="V639" s="241"/>
      <c r="W639" s="241"/>
      <c r="X639" s="241"/>
      <c r="Y639" s="241"/>
      <c r="Z639" s="241"/>
    </row>
    <row r="640" spans="16:26">
      <c r="P640" s="247"/>
      <c r="Q640" s="247"/>
      <c r="R640" s="247"/>
      <c r="S640" s="247"/>
      <c r="T640" s="247"/>
      <c r="U640" s="247"/>
      <c r="V640" s="247"/>
      <c r="W640" s="247"/>
      <c r="X640" s="247"/>
      <c r="Y640" s="247"/>
      <c r="Z640" s="247"/>
    </row>
    <row r="641" spans="16:26">
      <c r="P641" s="247"/>
      <c r="Q641" s="247"/>
      <c r="R641" s="247"/>
      <c r="S641" s="247"/>
      <c r="T641" s="247"/>
      <c r="U641" s="247"/>
      <c r="V641" s="247"/>
      <c r="W641" s="247"/>
      <c r="X641" s="247"/>
      <c r="Y641" s="247"/>
      <c r="Z641" s="247"/>
    </row>
    <row r="642" spans="16:26">
      <c r="P642" s="241"/>
      <c r="Q642" s="241"/>
      <c r="R642" s="241"/>
      <c r="S642" s="241"/>
      <c r="T642" s="241"/>
      <c r="U642" s="241"/>
      <c r="V642" s="241"/>
      <c r="W642" s="241"/>
      <c r="X642" s="241"/>
      <c r="Y642" s="241"/>
      <c r="Z642" s="241"/>
    </row>
    <row r="643" spans="16:26">
      <c r="P643" s="241"/>
      <c r="Q643" s="241"/>
      <c r="R643" s="241"/>
      <c r="S643" s="241"/>
      <c r="T643" s="241"/>
      <c r="U643" s="241"/>
      <c r="V643" s="241"/>
      <c r="W643" s="241"/>
      <c r="X643" s="241"/>
      <c r="Y643" s="241"/>
      <c r="Z643" s="241"/>
    </row>
    <row r="644" spans="16:26">
      <c r="P644" s="241"/>
      <c r="Q644" s="241"/>
      <c r="R644" s="241"/>
      <c r="S644" s="241"/>
      <c r="T644" s="241"/>
      <c r="U644" s="241"/>
      <c r="V644" s="241"/>
      <c r="W644" s="241"/>
      <c r="X644" s="241"/>
      <c r="Y644" s="241"/>
      <c r="Z644" s="241"/>
    </row>
    <row r="645" spans="16:26">
      <c r="P645" s="241"/>
      <c r="Q645" s="241"/>
      <c r="R645" s="241"/>
      <c r="S645" s="241"/>
      <c r="T645" s="241"/>
      <c r="U645" s="241"/>
      <c r="V645" s="241"/>
      <c r="W645" s="241"/>
      <c r="X645" s="241"/>
      <c r="Y645" s="241"/>
      <c r="Z645" s="241"/>
    </row>
    <row r="646" spans="16:26">
      <c r="P646" s="241"/>
      <c r="Q646" s="241"/>
      <c r="R646" s="241"/>
      <c r="S646" s="241"/>
      <c r="T646" s="241"/>
      <c r="U646" s="241"/>
      <c r="V646" s="241"/>
      <c r="W646" s="241"/>
      <c r="X646" s="241"/>
      <c r="Y646" s="241"/>
      <c r="Z646" s="241"/>
    </row>
    <row r="647" spans="16:26">
      <c r="P647" s="241"/>
      <c r="Q647" s="241"/>
      <c r="R647" s="241"/>
      <c r="S647" s="241"/>
      <c r="T647" s="241"/>
      <c r="U647" s="241"/>
      <c r="V647" s="241"/>
      <c r="W647" s="241"/>
      <c r="X647" s="241"/>
      <c r="Y647" s="241"/>
      <c r="Z647" s="241"/>
    </row>
    <row r="648" spans="16:26">
      <c r="P648" s="241"/>
      <c r="Q648" s="241"/>
      <c r="R648" s="241"/>
      <c r="S648" s="241"/>
      <c r="T648" s="241"/>
      <c r="U648" s="241"/>
      <c r="V648" s="241"/>
      <c r="W648" s="241"/>
      <c r="X648" s="241"/>
      <c r="Y648" s="241"/>
      <c r="Z648" s="241"/>
    </row>
    <row r="649" spans="16:26">
      <c r="P649" s="241"/>
      <c r="Q649" s="241"/>
      <c r="R649" s="241"/>
      <c r="S649" s="241"/>
      <c r="T649" s="241"/>
      <c r="U649" s="241"/>
      <c r="V649" s="241"/>
      <c r="W649" s="241"/>
      <c r="X649" s="241"/>
      <c r="Y649" s="241"/>
      <c r="Z649" s="241"/>
    </row>
    <row r="650" spans="16:26">
      <c r="P650" s="241"/>
      <c r="Q650" s="241"/>
      <c r="R650" s="241"/>
      <c r="S650" s="241"/>
      <c r="T650" s="241"/>
      <c r="U650" s="241"/>
      <c r="V650" s="241"/>
      <c r="W650" s="241"/>
      <c r="X650" s="241"/>
      <c r="Y650" s="241"/>
      <c r="Z650" s="241"/>
    </row>
    <row r="651" spans="16:26">
      <c r="P651" s="241"/>
      <c r="Q651" s="241"/>
      <c r="R651" s="241"/>
      <c r="S651" s="241"/>
      <c r="T651" s="241"/>
      <c r="U651" s="241"/>
      <c r="V651" s="241"/>
      <c r="W651" s="241"/>
      <c r="X651" s="241"/>
      <c r="Y651" s="241"/>
      <c r="Z651" s="241"/>
    </row>
    <row r="652" spans="16:26">
      <c r="P652" s="241"/>
      <c r="Q652" s="241"/>
      <c r="R652" s="241"/>
      <c r="S652" s="241"/>
      <c r="T652" s="241"/>
      <c r="U652" s="241"/>
      <c r="V652" s="241"/>
      <c r="W652" s="241"/>
      <c r="X652" s="241"/>
      <c r="Y652" s="241"/>
      <c r="Z652" s="241"/>
    </row>
    <row r="653" spans="16:26">
      <c r="P653" s="241"/>
      <c r="Q653" s="241"/>
      <c r="R653" s="241"/>
      <c r="S653" s="241"/>
      <c r="T653" s="241"/>
      <c r="U653" s="241"/>
      <c r="V653" s="241"/>
      <c r="W653" s="241"/>
      <c r="X653" s="241"/>
      <c r="Y653" s="241"/>
      <c r="Z653" s="241"/>
    </row>
    <row r="654" spans="16:26">
      <c r="P654" s="241"/>
      <c r="Q654" s="241"/>
      <c r="R654" s="241"/>
      <c r="S654" s="241"/>
      <c r="T654" s="241"/>
      <c r="U654" s="241"/>
      <c r="V654" s="241"/>
      <c r="W654" s="241"/>
      <c r="X654" s="241"/>
      <c r="Y654" s="241"/>
      <c r="Z654" s="241"/>
    </row>
    <row r="655" spans="16:26">
      <c r="P655" s="241"/>
      <c r="Q655" s="241"/>
      <c r="R655" s="241"/>
      <c r="S655" s="241"/>
      <c r="T655" s="241"/>
      <c r="U655" s="241"/>
      <c r="V655" s="241"/>
      <c r="W655" s="241"/>
      <c r="X655" s="241"/>
      <c r="Y655" s="241"/>
      <c r="Z655" s="241"/>
    </row>
    <row r="656" spans="16:26">
      <c r="P656" s="241"/>
      <c r="Q656" s="241"/>
      <c r="R656" s="241"/>
      <c r="S656" s="241"/>
      <c r="T656" s="241"/>
      <c r="U656" s="241"/>
      <c r="V656" s="241"/>
      <c r="W656" s="241"/>
      <c r="X656" s="241"/>
      <c r="Y656" s="241"/>
      <c r="Z656" s="241"/>
    </row>
    <row r="657" spans="16:26">
      <c r="P657" s="241"/>
      <c r="Q657" s="241"/>
      <c r="R657" s="241"/>
      <c r="S657" s="241"/>
      <c r="T657" s="241"/>
      <c r="U657" s="241"/>
      <c r="V657" s="241"/>
      <c r="W657" s="241"/>
      <c r="X657" s="241"/>
      <c r="Y657" s="241"/>
      <c r="Z657" s="241"/>
    </row>
    <row r="658" spans="16:26">
      <c r="P658" s="241"/>
      <c r="Q658" s="241"/>
      <c r="R658" s="241"/>
      <c r="S658" s="241"/>
      <c r="T658" s="241"/>
      <c r="U658" s="241"/>
      <c r="V658" s="241"/>
      <c r="W658" s="241"/>
      <c r="X658" s="241"/>
      <c r="Y658" s="241"/>
      <c r="Z658" s="241"/>
    </row>
    <row r="659" spans="16:26">
      <c r="P659" s="241"/>
      <c r="Q659" s="241"/>
      <c r="R659" s="241"/>
      <c r="S659" s="241"/>
      <c r="T659" s="241"/>
      <c r="U659" s="241"/>
      <c r="V659" s="241"/>
      <c r="W659" s="241"/>
      <c r="X659" s="241"/>
      <c r="Y659" s="241"/>
      <c r="Z659" s="241"/>
    </row>
    <row r="660" spans="16:26">
      <c r="P660" s="241"/>
      <c r="Q660" s="241"/>
      <c r="R660" s="241"/>
      <c r="S660" s="241"/>
      <c r="T660" s="241"/>
      <c r="U660" s="241"/>
      <c r="V660" s="241"/>
      <c r="W660" s="241"/>
      <c r="X660" s="241"/>
      <c r="Y660" s="241"/>
      <c r="Z660" s="241"/>
    </row>
    <row r="661" spans="16:26">
      <c r="P661" s="241"/>
      <c r="Q661" s="241"/>
      <c r="R661" s="241"/>
      <c r="S661" s="241"/>
      <c r="T661" s="241"/>
      <c r="U661" s="241"/>
      <c r="V661" s="241"/>
      <c r="W661" s="241"/>
      <c r="X661" s="241"/>
      <c r="Y661" s="241"/>
      <c r="Z661" s="241"/>
    </row>
    <row r="662" spans="16:26">
      <c r="P662" s="241"/>
      <c r="Q662" s="241"/>
      <c r="R662" s="241"/>
      <c r="S662" s="241"/>
      <c r="T662" s="241"/>
      <c r="U662" s="241"/>
      <c r="V662" s="241"/>
      <c r="W662" s="241"/>
      <c r="X662" s="241"/>
      <c r="Y662" s="241"/>
      <c r="Z662" s="241"/>
    </row>
    <row r="663" spans="16:26">
      <c r="P663" s="241"/>
      <c r="Q663" s="241"/>
      <c r="R663" s="241"/>
      <c r="S663" s="241"/>
      <c r="T663" s="241"/>
      <c r="U663" s="241"/>
      <c r="V663" s="241"/>
      <c r="W663" s="241"/>
      <c r="X663" s="241"/>
      <c r="Y663" s="241"/>
      <c r="Z663" s="241"/>
    </row>
    <row r="664" spans="16:26">
      <c r="P664" s="241"/>
      <c r="Q664" s="241"/>
      <c r="R664" s="241"/>
      <c r="S664" s="241"/>
      <c r="T664" s="241"/>
      <c r="U664" s="241"/>
      <c r="V664" s="241"/>
      <c r="W664" s="241"/>
      <c r="X664" s="241"/>
      <c r="Y664" s="241"/>
      <c r="Z664" s="241"/>
    </row>
    <row r="665" spans="16:26">
      <c r="P665" s="241"/>
      <c r="Q665" s="241"/>
      <c r="R665" s="241"/>
      <c r="S665" s="241"/>
      <c r="T665" s="241"/>
      <c r="U665" s="241"/>
      <c r="V665" s="241"/>
      <c r="W665" s="241"/>
      <c r="X665" s="241"/>
      <c r="Y665" s="241"/>
      <c r="Z665" s="241"/>
    </row>
    <row r="666" spans="16:26">
      <c r="P666" s="241"/>
      <c r="Q666" s="241"/>
      <c r="R666" s="241"/>
      <c r="S666" s="241"/>
      <c r="T666" s="241"/>
      <c r="U666" s="241"/>
      <c r="V666" s="241"/>
      <c r="W666" s="241"/>
      <c r="X666" s="241"/>
      <c r="Y666" s="241"/>
      <c r="Z666" s="241"/>
    </row>
    <row r="667" spans="16:26">
      <c r="P667" s="241"/>
      <c r="Q667" s="241"/>
      <c r="R667" s="241"/>
      <c r="S667" s="241"/>
      <c r="T667" s="241"/>
      <c r="U667" s="241"/>
      <c r="V667" s="241"/>
      <c r="W667" s="241"/>
      <c r="X667" s="241"/>
      <c r="Y667" s="241"/>
      <c r="Z667" s="241"/>
    </row>
    <row r="668" spans="16:26">
      <c r="P668" s="241"/>
      <c r="Q668" s="241"/>
      <c r="R668" s="241"/>
      <c r="S668" s="241"/>
      <c r="T668" s="241"/>
      <c r="U668" s="241"/>
      <c r="V668" s="241"/>
      <c r="W668" s="241"/>
      <c r="X668" s="241"/>
      <c r="Y668" s="241"/>
      <c r="Z668" s="241"/>
    </row>
    <row r="669" spans="16:26">
      <c r="P669" s="241"/>
      <c r="Q669" s="241"/>
      <c r="R669" s="241"/>
      <c r="S669" s="241"/>
      <c r="T669" s="241"/>
      <c r="U669" s="241"/>
      <c r="V669" s="241"/>
      <c r="W669" s="241"/>
      <c r="X669" s="241"/>
      <c r="Y669" s="241"/>
      <c r="Z669" s="241"/>
    </row>
    <row r="670" spans="16:26">
      <c r="P670" s="241"/>
      <c r="Q670" s="241"/>
      <c r="R670" s="241"/>
      <c r="S670" s="241"/>
      <c r="T670" s="241"/>
      <c r="U670" s="241"/>
      <c r="V670" s="241"/>
      <c r="W670" s="241"/>
      <c r="X670" s="241"/>
      <c r="Y670" s="241"/>
      <c r="Z670" s="241"/>
    </row>
    <row r="671" spans="16:26">
      <c r="P671" s="241"/>
      <c r="Q671" s="241"/>
      <c r="R671" s="241"/>
      <c r="S671" s="241"/>
      <c r="T671" s="241"/>
      <c r="U671" s="241"/>
      <c r="V671" s="241"/>
      <c r="W671" s="241"/>
      <c r="X671" s="241"/>
      <c r="Y671" s="241"/>
      <c r="Z671" s="241"/>
    </row>
    <row r="672" spans="16:26">
      <c r="P672" s="241"/>
      <c r="Q672" s="241"/>
      <c r="R672" s="241"/>
      <c r="S672" s="241"/>
      <c r="T672" s="241"/>
      <c r="U672" s="241"/>
      <c r="V672" s="241"/>
      <c r="W672" s="241"/>
      <c r="X672" s="241"/>
      <c r="Y672" s="241"/>
      <c r="Z672" s="241"/>
    </row>
    <row r="673" spans="16:26">
      <c r="P673" s="241"/>
      <c r="Q673" s="241"/>
      <c r="R673" s="241"/>
      <c r="S673" s="241"/>
      <c r="T673" s="241"/>
      <c r="U673" s="241"/>
      <c r="V673" s="241"/>
      <c r="W673" s="241"/>
      <c r="X673" s="241"/>
      <c r="Y673" s="241"/>
      <c r="Z673" s="241"/>
    </row>
    <row r="674" spans="16:26">
      <c r="P674" s="241"/>
      <c r="Q674" s="241"/>
      <c r="R674" s="241"/>
      <c r="S674" s="241"/>
      <c r="T674" s="241"/>
      <c r="U674" s="241"/>
      <c r="V674" s="241"/>
      <c r="W674" s="241"/>
      <c r="X674" s="241"/>
      <c r="Y674" s="241"/>
      <c r="Z674" s="241"/>
    </row>
    <row r="675" spans="16:26">
      <c r="P675" s="241"/>
      <c r="Q675" s="241"/>
      <c r="R675" s="241"/>
      <c r="S675" s="241"/>
      <c r="T675" s="241"/>
      <c r="U675" s="241"/>
      <c r="V675" s="241"/>
      <c r="W675" s="241"/>
      <c r="X675" s="241"/>
      <c r="Y675" s="241"/>
      <c r="Z675" s="241"/>
    </row>
    <row r="676" spans="16:26">
      <c r="P676" s="241"/>
      <c r="Q676" s="241"/>
      <c r="R676" s="241"/>
      <c r="S676" s="241"/>
      <c r="T676" s="241"/>
      <c r="U676" s="241"/>
      <c r="V676" s="241"/>
      <c r="W676" s="241"/>
      <c r="X676" s="241"/>
      <c r="Y676" s="241"/>
      <c r="Z676" s="241"/>
    </row>
    <row r="677" spans="16:26">
      <c r="P677" s="241"/>
      <c r="Q677" s="241"/>
      <c r="R677" s="241"/>
      <c r="S677" s="241"/>
      <c r="T677" s="241"/>
      <c r="U677" s="241"/>
      <c r="V677" s="241"/>
      <c r="W677" s="241"/>
      <c r="X677" s="241"/>
      <c r="Y677" s="241"/>
      <c r="Z677" s="241"/>
    </row>
    <row r="678" spans="16:26">
      <c r="P678" s="241"/>
      <c r="Q678" s="241"/>
      <c r="R678" s="241"/>
      <c r="S678" s="241"/>
      <c r="T678" s="241"/>
      <c r="U678" s="241"/>
      <c r="V678" s="241"/>
      <c r="W678" s="241"/>
      <c r="X678" s="241"/>
      <c r="Y678" s="241"/>
      <c r="Z678" s="241"/>
    </row>
    <row r="679" spans="16:26">
      <c r="P679" s="241"/>
      <c r="Q679" s="241"/>
      <c r="R679" s="241"/>
      <c r="S679" s="241"/>
      <c r="T679" s="241"/>
      <c r="U679" s="241"/>
      <c r="V679" s="241"/>
      <c r="W679" s="241"/>
      <c r="X679" s="241"/>
      <c r="Y679" s="241"/>
      <c r="Z679" s="241"/>
    </row>
    <row r="680" spans="16:26">
      <c r="P680" s="241"/>
      <c r="Q680" s="241"/>
      <c r="R680" s="241"/>
      <c r="S680" s="241"/>
      <c r="T680" s="241"/>
      <c r="U680" s="241"/>
      <c r="V680" s="241"/>
      <c r="W680" s="241"/>
      <c r="X680" s="241"/>
      <c r="Y680" s="241"/>
      <c r="Z680" s="241"/>
    </row>
    <row r="681" spans="16:26">
      <c r="P681" s="241"/>
      <c r="Q681" s="241"/>
      <c r="R681" s="241"/>
      <c r="S681" s="241"/>
      <c r="T681" s="241"/>
      <c r="U681" s="241"/>
      <c r="V681" s="241"/>
      <c r="W681" s="241"/>
      <c r="X681" s="241"/>
      <c r="Y681" s="241"/>
      <c r="Z681" s="241"/>
    </row>
    <row r="682" spans="16:26">
      <c r="P682" s="241"/>
      <c r="Q682" s="241"/>
      <c r="R682" s="241"/>
      <c r="S682" s="241"/>
      <c r="T682" s="241"/>
      <c r="U682" s="241"/>
      <c r="V682" s="241"/>
      <c r="W682" s="241"/>
      <c r="X682" s="241"/>
      <c r="Y682" s="241"/>
      <c r="Z682" s="241"/>
    </row>
    <row r="683" spans="16:26">
      <c r="P683" s="241"/>
      <c r="Q683" s="241"/>
      <c r="R683" s="241"/>
      <c r="S683" s="241"/>
      <c r="T683" s="241"/>
      <c r="U683" s="241"/>
      <c r="V683" s="241"/>
      <c r="W683" s="241"/>
      <c r="X683" s="241"/>
      <c r="Y683" s="241"/>
      <c r="Z683" s="241"/>
    </row>
    <row r="684" spans="16:26">
      <c r="P684" s="241"/>
      <c r="Q684" s="241"/>
      <c r="R684" s="241"/>
      <c r="S684" s="241"/>
      <c r="T684" s="241"/>
      <c r="U684" s="241"/>
      <c r="V684" s="241"/>
      <c r="W684" s="241"/>
      <c r="X684" s="241"/>
      <c r="Y684" s="241"/>
      <c r="Z684" s="241"/>
    </row>
    <row r="685" spans="16:26">
      <c r="P685" s="241"/>
      <c r="Q685" s="241"/>
      <c r="R685" s="241"/>
      <c r="S685" s="241"/>
      <c r="T685" s="241"/>
      <c r="U685" s="241"/>
      <c r="V685" s="241"/>
      <c r="W685" s="241"/>
      <c r="X685" s="241"/>
      <c r="Y685" s="241"/>
      <c r="Z685" s="241"/>
    </row>
    <row r="686" spans="16:26">
      <c r="P686" s="241"/>
      <c r="Q686" s="241"/>
      <c r="R686" s="241"/>
      <c r="S686" s="241"/>
      <c r="T686" s="241"/>
      <c r="U686" s="241"/>
      <c r="V686" s="241"/>
      <c r="W686" s="241"/>
      <c r="X686" s="241"/>
      <c r="Y686" s="241"/>
      <c r="Z686" s="241"/>
    </row>
    <row r="687" spans="16:26">
      <c r="P687" s="241"/>
      <c r="Q687" s="241"/>
      <c r="R687" s="241"/>
      <c r="S687" s="241"/>
      <c r="T687" s="241"/>
      <c r="U687" s="241"/>
      <c r="V687" s="241"/>
      <c r="W687" s="241"/>
      <c r="X687" s="241"/>
      <c r="Y687" s="241"/>
      <c r="Z687" s="241"/>
    </row>
    <row r="688" spans="16:26">
      <c r="P688" s="241"/>
      <c r="Q688" s="241"/>
      <c r="R688" s="241"/>
      <c r="S688" s="241"/>
      <c r="T688" s="241"/>
      <c r="U688" s="241"/>
      <c r="V688" s="241"/>
      <c r="W688" s="241"/>
      <c r="X688" s="241"/>
      <c r="Y688" s="241"/>
      <c r="Z688" s="241"/>
    </row>
    <row r="689" spans="16:26">
      <c r="P689" s="241"/>
      <c r="Q689" s="241"/>
      <c r="R689" s="241"/>
      <c r="S689" s="241"/>
      <c r="T689" s="241"/>
      <c r="U689" s="241"/>
      <c r="V689" s="241"/>
      <c r="W689" s="241"/>
      <c r="X689" s="241"/>
      <c r="Y689" s="241"/>
      <c r="Z689" s="241"/>
    </row>
    <row r="690" spans="16:26">
      <c r="P690" s="241"/>
      <c r="Q690" s="241"/>
      <c r="R690" s="241"/>
      <c r="S690" s="241"/>
      <c r="T690" s="241"/>
      <c r="U690" s="241"/>
      <c r="V690" s="241"/>
      <c r="W690" s="241"/>
      <c r="X690" s="241"/>
      <c r="Y690" s="241"/>
      <c r="Z690" s="241"/>
    </row>
    <row r="691" spans="16:26">
      <c r="P691" s="241"/>
      <c r="Q691" s="241"/>
      <c r="R691" s="241"/>
      <c r="S691" s="241"/>
      <c r="T691" s="241"/>
      <c r="U691" s="241"/>
      <c r="V691" s="241"/>
      <c r="W691" s="241"/>
      <c r="X691" s="241"/>
      <c r="Y691" s="241"/>
      <c r="Z691" s="241"/>
    </row>
    <row r="692" spans="16:26">
      <c r="P692" s="241"/>
      <c r="Q692" s="241"/>
      <c r="R692" s="241"/>
      <c r="S692" s="241"/>
      <c r="T692" s="241"/>
      <c r="U692" s="241"/>
      <c r="V692" s="241"/>
      <c r="W692" s="241"/>
      <c r="X692" s="241"/>
      <c r="Y692" s="241"/>
      <c r="Z692" s="241"/>
    </row>
    <row r="693" spans="16:26">
      <c r="P693" s="241"/>
      <c r="Q693" s="241"/>
      <c r="R693" s="241"/>
      <c r="S693" s="241"/>
      <c r="T693" s="241"/>
      <c r="U693" s="241"/>
      <c r="V693" s="241"/>
      <c r="W693" s="241"/>
      <c r="X693" s="241"/>
      <c r="Y693" s="241"/>
      <c r="Z693" s="241"/>
    </row>
    <row r="694" spans="16:26">
      <c r="P694" s="241"/>
      <c r="Q694" s="241"/>
      <c r="R694" s="241"/>
      <c r="S694" s="241"/>
      <c r="T694" s="241"/>
      <c r="U694" s="241"/>
      <c r="V694" s="241"/>
      <c r="W694" s="241"/>
      <c r="X694" s="241"/>
      <c r="Y694" s="241"/>
      <c r="Z694" s="241"/>
    </row>
    <row r="695" spans="16:26">
      <c r="P695" s="241"/>
      <c r="Q695" s="241"/>
      <c r="R695" s="241"/>
      <c r="S695" s="241"/>
      <c r="T695" s="241"/>
      <c r="U695" s="241"/>
      <c r="V695" s="241"/>
      <c r="W695" s="241"/>
      <c r="X695" s="241"/>
      <c r="Y695" s="241"/>
      <c r="Z695" s="241"/>
    </row>
    <row r="696" spans="16:26">
      <c r="P696" s="241"/>
      <c r="Q696" s="241"/>
      <c r="R696" s="241"/>
      <c r="S696" s="241"/>
      <c r="T696" s="241"/>
      <c r="U696" s="241"/>
      <c r="V696" s="241"/>
      <c r="W696" s="241"/>
      <c r="X696" s="241"/>
      <c r="Y696" s="241"/>
      <c r="Z696" s="241"/>
    </row>
    <row r="697" spans="16:26">
      <c r="P697" s="241"/>
      <c r="Q697" s="241"/>
      <c r="R697" s="241"/>
      <c r="S697" s="241"/>
      <c r="T697" s="241"/>
      <c r="U697" s="241"/>
      <c r="V697" s="241"/>
      <c r="W697" s="241"/>
      <c r="X697" s="241"/>
      <c r="Y697" s="241"/>
      <c r="Z697" s="241"/>
    </row>
    <row r="698" spans="16:26">
      <c r="P698" s="241"/>
      <c r="Q698" s="241"/>
      <c r="R698" s="241"/>
      <c r="S698" s="241"/>
      <c r="T698" s="241"/>
      <c r="U698" s="241"/>
      <c r="V698" s="241"/>
      <c r="W698" s="241"/>
      <c r="X698" s="241"/>
      <c r="Y698" s="241"/>
      <c r="Z698" s="241"/>
    </row>
    <row r="699" spans="16:26">
      <c r="P699" s="241"/>
      <c r="Q699" s="241"/>
      <c r="R699" s="241"/>
      <c r="S699" s="241"/>
      <c r="T699" s="241"/>
      <c r="U699" s="241"/>
      <c r="V699" s="241"/>
      <c r="W699" s="241"/>
      <c r="X699" s="241"/>
      <c r="Y699" s="241"/>
      <c r="Z699" s="241"/>
    </row>
    <row r="700" spans="16:26">
      <c r="P700" s="241"/>
      <c r="Q700" s="241"/>
      <c r="R700" s="241"/>
      <c r="S700" s="241"/>
      <c r="T700" s="241"/>
      <c r="U700" s="241"/>
      <c r="V700" s="241"/>
      <c r="W700" s="241"/>
      <c r="X700" s="241"/>
      <c r="Y700" s="241"/>
      <c r="Z700" s="241"/>
    </row>
    <row r="701" spans="16:26">
      <c r="P701" s="241"/>
      <c r="Q701" s="241"/>
      <c r="R701" s="241"/>
      <c r="S701" s="241"/>
      <c r="T701" s="241"/>
      <c r="U701" s="241"/>
      <c r="V701" s="241"/>
      <c r="W701" s="241"/>
      <c r="X701" s="241"/>
      <c r="Y701" s="241"/>
      <c r="Z701" s="241"/>
    </row>
    <row r="702" spans="16:26">
      <c r="P702" s="241"/>
      <c r="Q702" s="241"/>
      <c r="R702" s="241"/>
      <c r="S702" s="241"/>
      <c r="T702" s="241"/>
      <c r="U702" s="241"/>
      <c r="V702" s="241"/>
      <c r="W702" s="241"/>
      <c r="X702" s="241"/>
      <c r="Y702" s="241"/>
      <c r="Z702" s="241"/>
    </row>
    <row r="703" spans="16:26">
      <c r="P703" s="241"/>
      <c r="Q703" s="241"/>
      <c r="R703" s="241"/>
      <c r="S703" s="241"/>
      <c r="T703" s="241"/>
      <c r="U703" s="241"/>
      <c r="V703" s="241"/>
      <c r="W703" s="241"/>
      <c r="X703" s="241"/>
      <c r="Y703" s="241"/>
      <c r="Z703" s="241"/>
    </row>
    <row r="704" spans="16:26">
      <c r="P704" s="241"/>
      <c r="Q704" s="241"/>
      <c r="R704" s="241"/>
      <c r="S704" s="241"/>
      <c r="T704" s="241"/>
      <c r="U704" s="241"/>
      <c r="V704" s="241"/>
      <c r="W704" s="241"/>
      <c r="X704" s="241"/>
      <c r="Y704" s="241"/>
      <c r="Z704" s="241"/>
    </row>
    <row r="705" spans="16:26">
      <c r="P705" s="241"/>
      <c r="Q705" s="241"/>
      <c r="R705" s="241"/>
      <c r="S705" s="241"/>
      <c r="T705" s="241"/>
      <c r="U705" s="241"/>
      <c r="V705" s="241"/>
      <c r="W705" s="241"/>
      <c r="X705" s="241"/>
      <c r="Y705" s="241"/>
      <c r="Z705" s="241"/>
    </row>
    <row r="706" spans="16:26">
      <c r="P706" s="241"/>
      <c r="Q706" s="241"/>
      <c r="R706" s="241"/>
      <c r="S706" s="241"/>
      <c r="T706" s="241"/>
      <c r="U706" s="241"/>
      <c r="V706" s="241"/>
      <c r="W706" s="241"/>
      <c r="X706" s="241"/>
      <c r="Y706" s="241"/>
      <c r="Z706" s="241"/>
    </row>
    <row r="707" spans="16:26">
      <c r="P707" s="241"/>
      <c r="Q707" s="241"/>
      <c r="R707" s="241"/>
      <c r="S707" s="241"/>
      <c r="T707" s="241"/>
      <c r="U707" s="241"/>
      <c r="V707" s="241"/>
      <c r="W707" s="241"/>
      <c r="X707" s="241"/>
      <c r="Y707" s="241"/>
      <c r="Z707" s="241"/>
    </row>
    <row r="708" spans="16:26">
      <c r="P708" s="241"/>
      <c r="Q708" s="241"/>
      <c r="R708" s="241"/>
      <c r="S708" s="241"/>
      <c r="T708" s="241"/>
      <c r="U708" s="241"/>
      <c r="V708" s="241"/>
      <c r="W708" s="241"/>
      <c r="X708" s="241"/>
      <c r="Y708" s="241"/>
      <c r="Z708" s="241"/>
    </row>
    <row r="709" spans="16:26">
      <c r="P709" s="241"/>
      <c r="Q709" s="241"/>
      <c r="R709" s="241"/>
      <c r="S709" s="241"/>
      <c r="T709" s="241"/>
      <c r="U709" s="241"/>
      <c r="V709" s="241"/>
      <c r="W709" s="241"/>
      <c r="X709" s="241"/>
      <c r="Y709" s="241"/>
      <c r="Z709" s="241"/>
    </row>
    <row r="710" spans="16:26">
      <c r="P710" s="241"/>
      <c r="Q710" s="241"/>
      <c r="R710" s="241"/>
      <c r="S710" s="241"/>
      <c r="T710" s="241"/>
      <c r="U710" s="241"/>
      <c r="V710" s="241"/>
      <c r="W710" s="241"/>
      <c r="X710" s="241"/>
      <c r="Y710" s="241"/>
      <c r="Z710" s="241"/>
    </row>
    <row r="711" spans="16:26">
      <c r="P711" s="241"/>
      <c r="Q711" s="241"/>
      <c r="R711" s="241"/>
      <c r="S711" s="241"/>
      <c r="T711" s="241"/>
      <c r="U711" s="241"/>
      <c r="V711" s="241"/>
      <c r="W711" s="241"/>
      <c r="X711" s="241"/>
      <c r="Y711" s="241"/>
      <c r="Z711" s="241"/>
    </row>
    <row r="712" spans="16:26">
      <c r="P712" s="241"/>
      <c r="Q712" s="241"/>
      <c r="R712" s="241"/>
      <c r="S712" s="241"/>
      <c r="T712" s="241"/>
      <c r="U712" s="241"/>
      <c r="V712" s="241"/>
      <c r="W712" s="241"/>
      <c r="X712" s="241"/>
      <c r="Y712" s="241"/>
      <c r="Z712" s="241"/>
    </row>
    <row r="713" spans="16:26">
      <c r="P713" s="241"/>
      <c r="Q713" s="241"/>
      <c r="R713" s="241"/>
      <c r="S713" s="241"/>
      <c r="T713" s="241"/>
      <c r="U713" s="241"/>
      <c r="V713" s="241"/>
      <c r="W713" s="241"/>
      <c r="X713" s="241"/>
      <c r="Y713" s="241"/>
      <c r="Z713" s="241"/>
    </row>
    <row r="714" spans="16:26">
      <c r="P714" s="241"/>
      <c r="Q714" s="241"/>
      <c r="R714" s="241"/>
      <c r="S714" s="241"/>
      <c r="T714" s="241"/>
      <c r="U714" s="241"/>
      <c r="V714" s="241"/>
      <c r="W714" s="241"/>
      <c r="X714" s="241"/>
      <c r="Y714" s="241"/>
      <c r="Z714" s="241"/>
    </row>
    <row r="715" spans="16:26">
      <c r="P715" s="241"/>
      <c r="Q715" s="241"/>
      <c r="R715" s="241"/>
      <c r="S715" s="241"/>
      <c r="T715" s="241"/>
      <c r="U715" s="241"/>
      <c r="V715" s="241"/>
      <c r="W715" s="241"/>
      <c r="X715" s="241"/>
      <c r="Y715" s="241"/>
      <c r="Z715" s="241"/>
    </row>
    <row r="716" spans="16:26">
      <c r="P716" s="241"/>
      <c r="Q716" s="241"/>
      <c r="R716" s="241"/>
      <c r="S716" s="241"/>
      <c r="T716" s="241"/>
      <c r="U716" s="241"/>
      <c r="V716" s="241"/>
      <c r="W716" s="241"/>
      <c r="X716" s="241"/>
      <c r="Y716" s="241"/>
      <c r="Z716" s="241"/>
    </row>
    <row r="717" spans="16:26">
      <c r="P717" s="241"/>
      <c r="Q717" s="241"/>
      <c r="R717" s="241"/>
      <c r="S717" s="241"/>
      <c r="T717" s="241"/>
      <c r="U717" s="241"/>
      <c r="V717" s="241"/>
      <c r="W717" s="241"/>
      <c r="X717" s="241"/>
      <c r="Y717" s="241"/>
      <c r="Z717" s="241"/>
    </row>
    <row r="718" spans="16:26">
      <c r="P718" s="241"/>
      <c r="Q718" s="241"/>
      <c r="R718" s="241"/>
      <c r="S718" s="241"/>
      <c r="T718" s="241"/>
      <c r="U718" s="241"/>
      <c r="V718" s="241"/>
      <c r="W718" s="241"/>
      <c r="X718" s="241"/>
      <c r="Y718" s="241"/>
      <c r="Z718" s="241"/>
    </row>
    <row r="719" spans="16:26">
      <c r="P719" s="241"/>
      <c r="Q719" s="241"/>
      <c r="R719" s="241"/>
      <c r="S719" s="241"/>
      <c r="T719" s="241"/>
      <c r="U719" s="241"/>
      <c r="V719" s="241"/>
      <c r="W719" s="241"/>
      <c r="X719" s="241"/>
      <c r="Y719" s="241"/>
      <c r="Z719" s="241"/>
    </row>
    <row r="720" spans="16:26">
      <c r="P720" s="241"/>
      <c r="Q720" s="241"/>
      <c r="R720" s="241"/>
      <c r="S720" s="241"/>
      <c r="T720" s="241"/>
      <c r="U720" s="241"/>
      <c r="V720" s="241"/>
      <c r="W720" s="241"/>
      <c r="X720" s="241"/>
      <c r="Y720" s="241"/>
      <c r="Z720" s="241"/>
    </row>
    <row r="721" spans="16:26">
      <c r="P721" s="241"/>
      <c r="Q721" s="241"/>
      <c r="R721" s="241"/>
      <c r="S721" s="241"/>
      <c r="T721" s="241"/>
      <c r="U721" s="241"/>
      <c r="V721" s="241"/>
      <c r="W721" s="241"/>
      <c r="X721" s="241"/>
      <c r="Y721" s="241"/>
      <c r="Z721" s="241"/>
    </row>
    <row r="722" spans="16:26">
      <c r="P722" s="241"/>
      <c r="Q722" s="241"/>
      <c r="R722" s="241"/>
      <c r="S722" s="241"/>
      <c r="T722" s="241"/>
      <c r="U722" s="241"/>
      <c r="V722" s="241"/>
      <c r="W722" s="241"/>
      <c r="X722" s="241"/>
      <c r="Y722" s="241"/>
      <c r="Z722" s="241"/>
    </row>
    <row r="723" spans="16:26">
      <c r="P723" s="241"/>
      <c r="Q723" s="241"/>
      <c r="R723" s="241"/>
      <c r="S723" s="241"/>
      <c r="T723" s="241"/>
      <c r="U723" s="241"/>
      <c r="V723" s="241"/>
      <c r="W723" s="241"/>
      <c r="X723" s="241"/>
      <c r="Y723" s="241"/>
      <c r="Z723" s="241"/>
    </row>
    <row r="724" spans="16:26">
      <c r="P724" s="241"/>
      <c r="Q724" s="241"/>
      <c r="R724" s="241"/>
      <c r="S724" s="241"/>
      <c r="T724" s="241"/>
      <c r="U724" s="241"/>
      <c r="V724" s="241"/>
      <c r="W724" s="241"/>
      <c r="X724" s="241"/>
      <c r="Y724" s="241"/>
      <c r="Z724" s="241"/>
    </row>
    <row r="725" spans="16:26">
      <c r="P725" s="241"/>
      <c r="Q725" s="241"/>
      <c r="R725" s="241"/>
      <c r="S725" s="241"/>
      <c r="T725" s="241"/>
      <c r="U725" s="241"/>
      <c r="V725" s="241"/>
      <c r="W725" s="241"/>
      <c r="X725" s="241"/>
      <c r="Y725" s="241"/>
      <c r="Z725" s="241"/>
    </row>
    <row r="726" spans="16:26">
      <c r="P726" s="241"/>
      <c r="Q726" s="241"/>
      <c r="R726" s="241"/>
      <c r="S726" s="241"/>
      <c r="T726" s="241"/>
      <c r="U726" s="241"/>
      <c r="V726" s="241"/>
      <c r="W726" s="241"/>
      <c r="X726" s="241"/>
      <c r="Y726" s="241"/>
      <c r="Z726" s="241"/>
    </row>
    <row r="727" spans="16:26">
      <c r="P727" s="241"/>
      <c r="Q727" s="241"/>
      <c r="R727" s="241"/>
      <c r="S727" s="241"/>
      <c r="T727" s="241"/>
      <c r="U727" s="241"/>
      <c r="V727" s="241"/>
      <c r="W727" s="241"/>
      <c r="X727" s="241"/>
      <c r="Y727" s="241"/>
      <c r="Z727" s="241"/>
    </row>
    <row r="728" spans="16:26">
      <c r="P728" s="241"/>
      <c r="Q728" s="241"/>
      <c r="R728" s="241"/>
      <c r="S728" s="241"/>
      <c r="T728" s="241"/>
      <c r="U728" s="241"/>
      <c r="V728" s="241"/>
      <c r="W728" s="241"/>
      <c r="X728" s="241"/>
      <c r="Y728" s="241"/>
      <c r="Z728" s="241"/>
    </row>
    <row r="729" spans="16:26">
      <c r="P729" s="241"/>
      <c r="Q729" s="241"/>
      <c r="R729" s="241"/>
      <c r="S729" s="241"/>
      <c r="T729" s="241"/>
      <c r="U729" s="241"/>
      <c r="V729" s="241"/>
      <c r="W729" s="241"/>
      <c r="X729" s="241"/>
      <c r="Y729" s="241"/>
      <c r="Z729" s="241"/>
    </row>
    <row r="730" spans="16:26">
      <c r="P730" s="241"/>
      <c r="Q730" s="241"/>
      <c r="R730" s="241"/>
      <c r="S730" s="241"/>
      <c r="T730" s="241"/>
      <c r="U730" s="241"/>
      <c r="V730" s="241"/>
      <c r="W730" s="241"/>
      <c r="X730" s="241"/>
      <c r="Y730" s="241"/>
      <c r="Z730" s="241"/>
    </row>
    <row r="731" spans="16:26">
      <c r="P731" s="241"/>
      <c r="Q731" s="241"/>
      <c r="R731" s="241"/>
      <c r="S731" s="241"/>
      <c r="T731" s="241"/>
      <c r="U731" s="241"/>
      <c r="V731" s="241"/>
      <c r="W731" s="241"/>
      <c r="X731" s="241"/>
      <c r="Y731" s="241"/>
      <c r="Z731" s="241"/>
    </row>
    <row r="732" spans="16:26">
      <c r="P732" s="241"/>
      <c r="Q732" s="241"/>
      <c r="R732" s="241"/>
      <c r="S732" s="241"/>
      <c r="T732" s="241"/>
      <c r="U732" s="241"/>
      <c r="V732" s="241"/>
      <c r="W732" s="241"/>
      <c r="X732" s="241"/>
      <c r="Y732" s="241"/>
      <c r="Z732" s="241"/>
    </row>
    <row r="733" spans="16:26">
      <c r="P733" s="241"/>
      <c r="Q733" s="241"/>
      <c r="R733" s="241"/>
      <c r="S733" s="241"/>
      <c r="T733" s="241"/>
      <c r="U733" s="241"/>
      <c r="V733" s="241"/>
      <c r="W733" s="241"/>
      <c r="X733" s="241"/>
      <c r="Y733" s="241"/>
      <c r="Z733" s="241"/>
    </row>
    <row r="734" spans="16:26">
      <c r="P734" s="241"/>
      <c r="Q734" s="241"/>
      <c r="R734" s="241"/>
      <c r="S734" s="241"/>
      <c r="T734" s="241"/>
      <c r="U734" s="241"/>
      <c r="V734" s="241"/>
      <c r="W734" s="241"/>
      <c r="X734" s="241"/>
      <c r="Y734" s="241"/>
      <c r="Z734" s="241"/>
    </row>
    <row r="735" spans="16:26">
      <c r="P735" s="241"/>
      <c r="Q735" s="241"/>
      <c r="R735" s="241"/>
      <c r="S735" s="241"/>
      <c r="T735" s="241"/>
      <c r="U735" s="241"/>
      <c r="V735" s="241"/>
      <c r="W735" s="241"/>
      <c r="X735" s="241"/>
      <c r="Y735" s="241"/>
      <c r="Z735" s="241"/>
    </row>
    <row r="736" spans="16:26">
      <c r="P736" s="241"/>
      <c r="Q736" s="241"/>
      <c r="R736" s="241"/>
      <c r="S736" s="241"/>
      <c r="T736" s="241"/>
      <c r="U736" s="241"/>
      <c r="V736" s="241"/>
      <c r="W736" s="241"/>
      <c r="X736" s="241"/>
      <c r="Y736" s="241"/>
      <c r="Z736" s="241"/>
    </row>
    <row r="737" spans="16:26">
      <c r="P737" s="241"/>
      <c r="Q737" s="241"/>
      <c r="R737" s="241"/>
      <c r="S737" s="241"/>
      <c r="T737" s="241"/>
      <c r="U737" s="241"/>
      <c r="V737" s="241"/>
      <c r="W737" s="241"/>
      <c r="X737" s="241"/>
      <c r="Y737" s="241"/>
      <c r="Z737" s="241"/>
    </row>
    <row r="738" spans="16:26">
      <c r="P738" s="241"/>
      <c r="Q738" s="241"/>
      <c r="R738" s="241"/>
      <c r="S738" s="241"/>
      <c r="T738" s="241"/>
      <c r="U738" s="241"/>
      <c r="V738" s="241"/>
      <c r="W738" s="241"/>
      <c r="X738" s="241"/>
      <c r="Y738" s="241"/>
      <c r="Z738" s="241"/>
    </row>
    <row r="739" spans="16:26">
      <c r="P739" s="241"/>
      <c r="Q739" s="241"/>
      <c r="R739" s="241"/>
      <c r="S739" s="241"/>
      <c r="T739" s="241"/>
      <c r="U739" s="241"/>
      <c r="V739" s="241"/>
      <c r="W739" s="241"/>
      <c r="X739" s="241"/>
      <c r="Y739" s="241"/>
      <c r="Z739" s="241"/>
    </row>
    <row r="740" spans="16:26">
      <c r="P740" s="241"/>
      <c r="Q740" s="241"/>
      <c r="R740" s="241"/>
      <c r="S740" s="241"/>
      <c r="T740" s="241"/>
      <c r="U740" s="241"/>
      <c r="V740" s="241"/>
      <c r="W740" s="241"/>
      <c r="X740" s="241"/>
      <c r="Y740" s="241"/>
      <c r="Z740" s="241"/>
    </row>
    <row r="741" spans="16:26">
      <c r="P741" s="241"/>
      <c r="Q741" s="241"/>
      <c r="R741" s="241"/>
      <c r="S741" s="241"/>
      <c r="T741" s="241"/>
      <c r="U741" s="241"/>
      <c r="V741" s="241"/>
      <c r="W741" s="241"/>
      <c r="X741" s="241"/>
      <c r="Y741" s="241"/>
      <c r="Z741" s="241"/>
    </row>
    <row r="742" spans="16:26">
      <c r="P742" s="241"/>
      <c r="Q742" s="241"/>
      <c r="R742" s="241"/>
      <c r="S742" s="241"/>
      <c r="T742" s="241"/>
      <c r="U742" s="241"/>
      <c r="V742" s="241"/>
      <c r="W742" s="241"/>
      <c r="X742" s="241"/>
      <c r="Y742" s="241"/>
      <c r="Z742" s="241"/>
    </row>
    <row r="743" spans="16:26">
      <c r="P743" s="241"/>
      <c r="Q743" s="241"/>
      <c r="R743" s="241"/>
      <c r="S743" s="241"/>
      <c r="T743" s="241"/>
      <c r="U743" s="241"/>
      <c r="V743" s="241"/>
      <c r="W743" s="241"/>
      <c r="X743" s="241"/>
      <c r="Y743" s="241"/>
      <c r="Z743" s="241"/>
    </row>
    <row r="744" spans="16:26">
      <c r="P744" s="241"/>
      <c r="Q744" s="241"/>
      <c r="R744" s="241"/>
      <c r="S744" s="241"/>
      <c r="T744" s="241"/>
      <c r="U744" s="241"/>
      <c r="V744" s="241"/>
      <c r="W744" s="241"/>
      <c r="X744" s="241"/>
      <c r="Y744" s="241"/>
      <c r="Z744" s="241"/>
    </row>
    <row r="745" spans="16:26">
      <c r="P745" s="241"/>
      <c r="Q745" s="241"/>
      <c r="R745" s="241"/>
      <c r="S745" s="241"/>
      <c r="T745" s="241"/>
      <c r="U745" s="241"/>
      <c r="V745" s="241"/>
      <c r="W745" s="241"/>
      <c r="X745" s="241"/>
      <c r="Y745" s="241"/>
      <c r="Z745" s="241"/>
    </row>
    <row r="746" spans="16:26">
      <c r="P746" s="241"/>
      <c r="Q746" s="241"/>
      <c r="R746" s="241"/>
      <c r="S746" s="241"/>
      <c r="T746" s="241"/>
      <c r="U746" s="241"/>
      <c r="V746" s="241"/>
      <c r="W746" s="241"/>
      <c r="X746" s="241"/>
      <c r="Y746" s="241"/>
      <c r="Z746" s="241"/>
    </row>
    <row r="747" spans="16:26">
      <c r="P747" s="241"/>
      <c r="Q747" s="241"/>
      <c r="R747" s="241"/>
      <c r="S747" s="241"/>
      <c r="T747" s="241"/>
      <c r="U747" s="241"/>
      <c r="V747" s="241"/>
      <c r="W747" s="241"/>
      <c r="X747" s="241"/>
      <c r="Y747" s="241"/>
      <c r="Z747" s="241"/>
    </row>
    <row r="748" spans="16:26">
      <c r="P748" s="241"/>
      <c r="Q748" s="241"/>
      <c r="R748" s="241"/>
      <c r="S748" s="241"/>
      <c r="T748" s="241"/>
      <c r="U748" s="241"/>
      <c r="V748" s="241"/>
      <c r="W748" s="241"/>
      <c r="X748" s="241"/>
      <c r="Y748" s="241"/>
      <c r="Z748" s="241"/>
    </row>
    <row r="749" spans="16:26">
      <c r="P749" s="241"/>
      <c r="Q749" s="241"/>
      <c r="R749" s="241"/>
      <c r="S749" s="241"/>
      <c r="T749" s="241"/>
      <c r="U749" s="241"/>
      <c r="V749" s="241"/>
      <c r="W749" s="241"/>
      <c r="X749" s="241"/>
      <c r="Y749" s="241"/>
      <c r="Z749" s="241"/>
    </row>
    <row r="750" spans="16:26">
      <c r="P750" s="241"/>
      <c r="Q750" s="241"/>
      <c r="R750" s="241"/>
      <c r="S750" s="241"/>
      <c r="T750" s="241"/>
      <c r="U750" s="241"/>
      <c r="V750" s="241"/>
      <c r="W750" s="241"/>
      <c r="X750" s="241"/>
      <c r="Y750" s="241"/>
      <c r="Z750" s="241"/>
    </row>
    <row r="751" spans="16:26">
      <c r="P751" s="241"/>
      <c r="Q751" s="241"/>
      <c r="R751" s="241"/>
      <c r="S751" s="241"/>
      <c r="T751" s="241"/>
      <c r="U751" s="241"/>
      <c r="V751" s="241"/>
      <c r="W751" s="241"/>
      <c r="X751" s="241"/>
      <c r="Y751" s="241"/>
      <c r="Z751" s="241"/>
    </row>
    <row r="752" spans="16:26">
      <c r="P752" s="241"/>
      <c r="Q752" s="241"/>
      <c r="R752" s="241"/>
      <c r="S752" s="241"/>
      <c r="T752" s="241"/>
      <c r="U752" s="241"/>
      <c r="V752" s="241"/>
      <c r="W752" s="241"/>
      <c r="X752" s="241"/>
      <c r="Y752" s="241"/>
      <c r="Z752" s="241"/>
    </row>
    <row r="753" spans="16:26">
      <c r="P753" s="241"/>
      <c r="Q753" s="241"/>
      <c r="R753" s="241"/>
      <c r="S753" s="241"/>
      <c r="T753" s="241"/>
      <c r="U753" s="241"/>
      <c r="V753" s="241"/>
      <c r="W753" s="241"/>
      <c r="X753" s="241"/>
      <c r="Y753" s="241"/>
      <c r="Z753" s="241"/>
    </row>
    <row r="754" spans="16:26">
      <c r="P754" s="241"/>
      <c r="Q754" s="241"/>
      <c r="R754" s="241"/>
      <c r="S754" s="241"/>
      <c r="T754" s="241"/>
      <c r="U754" s="241"/>
      <c r="V754" s="241"/>
      <c r="W754" s="241"/>
      <c r="X754" s="241"/>
      <c r="Y754" s="241"/>
      <c r="Z754" s="241"/>
    </row>
    <row r="755" spans="16:26">
      <c r="P755" s="241"/>
      <c r="Q755" s="241"/>
      <c r="R755" s="241"/>
      <c r="S755" s="241"/>
      <c r="T755" s="241"/>
      <c r="U755" s="241"/>
      <c r="V755" s="241"/>
      <c r="W755" s="241"/>
      <c r="X755" s="241"/>
      <c r="Y755" s="241"/>
      <c r="Z755" s="241"/>
    </row>
    <row r="756" spans="16:26">
      <c r="P756" s="241"/>
      <c r="Q756" s="241"/>
      <c r="R756" s="241"/>
      <c r="S756" s="241"/>
      <c r="T756" s="241"/>
      <c r="U756" s="241"/>
      <c r="V756" s="241"/>
      <c r="W756" s="241"/>
      <c r="X756" s="241"/>
      <c r="Y756" s="241"/>
      <c r="Z756" s="241"/>
    </row>
    <row r="757" spans="16:26">
      <c r="P757" s="241"/>
      <c r="Q757" s="241"/>
      <c r="R757" s="241"/>
      <c r="S757" s="241"/>
      <c r="T757" s="241"/>
      <c r="U757" s="241"/>
      <c r="V757" s="241"/>
      <c r="W757" s="241"/>
      <c r="X757" s="241"/>
      <c r="Y757" s="241"/>
      <c r="Z757" s="241"/>
    </row>
    <row r="758" spans="16:26">
      <c r="P758" s="241"/>
      <c r="Q758" s="241"/>
      <c r="R758" s="241"/>
      <c r="S758" s="241"/>
      <c r="T758" s="241"/>
      <c r="U758" s="241"/>
      <c r="V758" s="241"/>
      <c r="W758" s="241"/>
      <c r="X758" s="241"/>
      <c r="Y758" s="241"/>
      <c r="Z758" s="241"/>
    </row>
    <row r="759" spans="16:26">
      <c r="P759" s="241"/>
      <c r="Q759" s="241"/>
      <c r="R759" s="241"/>
      <c r="S759" s="241"/>
      <c r="T759" s="241"/>
      <c r="U759" s="241"/>
      <c r="V759" s="241"/>
      <c r="W759" s="241"/>
      <c r="X759" s="241"/>
      <c r="Y759" s="241"/>
      <c r="Z759" s="241"/>
    </row>
    <row r="760" spans="16:26">
      <c r="P760" s="241"/>
      <c r="Q760" s="241"/>
      <c r="R760" s="241"/>
      <c r="S760" s="241"/>
      <c r="T760" s="241"/>
      <c r="U760" s="241"/>
      <c r="V760" s="241"/>
      <c r="W760" s="241"/>
      <c r="X760" s="241"/>
      <c r="Y760" s="241"/>
      <c r="Z760" s="241"/>
    </row>
    <row r="761" spans="16:26">
      <c r="P761" s="241"/>
      <c r="Q761" s="241"/>
      <c r="R761" s="241"/>
      <c r="S761" s="241"/>
      <c r="T761" s="241"/>
      <c r="U761" s="241"/>
      <c r="V761" s="241"/>
      <c r="W761" s="241"/>
      <c r="X761" s="241"/>
      <c r="Y761" s="241"/>
      <c r="Z761" s="241"/>
    </row>
    <row r="762" spans="16:26">
      <c r="P762" s="241"/>
      <c r="Q762" s="241"/>
      <c r="R762" s="241"/>
      <c r="S762" s="241"/>
      <c r="T762" s="241"/>
      <c r="U762" s="241"/>
      <c r="V762" s="241"/>
      <c r="W762" s="241"/>
      <c r="X762" s="241"/>
      <c r="Y762" s="241"/>
      <c r="Z762" s="241"/>
    </row>
    <row r="763" spans="16:26">
      <c r="P763" s="241"/>
      <c r="Q763" s="241"/>
      <c r="R763" s="241"/>
      <c r="S763" s="241"/>
      <c r="T763" s="241"/>
      <c r="U763" s="241"/>
      <c r="V763" s="241"/>
      <c r="W763" s="241"/>
      <c r="X763" s="241"/>
      <c r="Y763" s="241"/>
      <c r="Z763" s="241"/>
    </row>
    <row r="764" spans="16:26">
      <c r="P764" s="241"/>
      <c r="Q764" s="241"/>
      <c r="R764" s="241"/>
      <c r="S764" s="241"/>
      <c r="T764" s="241"/>
      <c r="U764" s="241"/>
      <c r="V764" s="241"/>
      <c r="W764" s="241"/>
      <c r="X764" s="241"/>
      <c r="Y764" s="241"/>
      <c r="Z764" s="241"/>
    </row>
    <row r="765" spans="16:26">
      <c r="P765" s="241"/>
      <c r="Q765" s="241"/>
      <c r="R765" s="241"/>
      <c r="S765" s="241"/>
      <c r="T765" s="241"/>
      <c r="U765" s="241"/>
      <c r="V765" s="241"/>
      <c r="W765" s="241"/>
      <c r="X765" s="241"/>
      <c r="Y765" s="241"/>
      <c r="Z765" s="241"/>
    </row>
    <row r="766" spans="16:26">
      <c r="P766" s="241"/>
      <c r="Q766" s="241"/>
      <c r="R766" s="241"/>
      <c r="S766" s="241"/>
      <c r="T766" s="241"/>
      <c r="U766" s="241"/>
      <c r="V766" s="241"/>
      <c r="W766" s="241"/>
      <c r="X766" s="241"/>
      <c r="Y766" s="241"/>
      <c r="Z766" s="241"/>
    </row>
    <row r="767" spans="16:26">
      <c r="P767" s="241"/>
      <c r="Q767" s="241"/>
      <c r="R767" s="241"/>
      <c r="S767" s="241"/>
      <c r="T767" s="241"/>
      <c r="U767" s="241"/>
      <c r="V767" s="241"/>
      <c r="W767" s="241"/>
      <c r="X767" s="241"/>
      <c r="Y767" s="241"/>
      <c r="Z767" s="241"/>
    </row>
    <row r="768" spans="16:26">
      <c r="P768" s="241"/>
      <c r="Q768" s="241"/>
      <c r="R768" s="241"/>
      <c r="S768" s="241"/>
      <c r="T768" s="241"/>
      <c r="U768" s="241"/>
      <c r="V768" s="241"/>
      <c r="W768" s="241"/>
      <c r="X768" s="241"/>
      <c r="Y768" s="241"/>
      <c r="Z768" s="241"/>
    </row>
    <row r="769" spans="16:26">
      <c r="P769" s="241"/>
      <c r="Q769" s="241"/>
      <c r="R769" s="241"/>
      <c r="S769" s="241"/>
      <c r="T769" s="241"/>
      <c r="U769" s="241"/>
      <c r="V769" s="241"/>
      <c r="W769" s="241"/>
      <c r="X769" s="241"/>
      <c r="Y769" s="241"/>
      <c r="Z769" s="241"/>
    </row>
    <row r="770" spans="16:26">
      <c r="P770" s="241"/>
      <c r="Q770" s="241"/>
      <c r="R770" s="241"/>
      <c r="S770" s="241"/>
      <c r="T770" s="241"/>
      <c r="U770" s="241"/>
      <c r="V770" s="241"/>
      <c r="W770" s="241"/>
      <c r="X770" s="241"/>
      <c r="Y770" s="241"/>
      <c r="Z770" s="241"/>
    </row>
    <row r="771" spans="16:26">
      <c r="P771" s="241"/>
      <c r="Q771" s="241"/>
      <c r="R771" s="241"/>
      <c r="S771" s="241"/>
      <c r="T771" s="241"/>
      <c r="U771" s="241"/>
      <c r="V771" s="241"/>
      <c r="W771" s="241"/>
      <c r="X771" s="241"/>
      <c r="Y771" s="241"/>
      <c r="Z771" s="241"/>
    </row>
    <row r="772" spans="16:26">
      <c r="P772" s="241"/>
      <c r="Q772" s="241"/>
      <c r="R772" s="241"/>
      <c r="S772" s="241"/>
      <c r="T772" s="241"/>
      <c r="U772" s="241"/>
      <c r="V772" s="241"/>
      <c r="W772" s="241"/>
      <c r="X772" s="241"/>
      <c r="Y772" s="241"/>
      <c r="Z772" s="241"/>
    </row>
    <row r="773" spans="16:26">
      <c r="P773" s="241"/>
      <c r="Q773" s="241"/>
      <c r="R773" s="241"/>
      <c r="S773" s="241"/>
      <c r="T773" s="241"/>
      <c r="U773" s="241"/>
      <c r="V773" s="241"/>
      <c r="W773" s="241"/>
      <c r="X773" s="241"/>
      <c r="Y773" s="241"/>
      <c r="Z773" s="241"/>
    </row>
    <row r="774" spans="16:26">
      <c r="P774" s="241"/>
      <c r="Q774" s="241"/>
      <c r="R774" s="241"/>
      <c r="S774" s="241"/>
      <c r="T774" s="241"/>
      <c r="U774" s="241"/>
      <c r="V774" s="241"/>
      <c r="W774" s="241"/>
      <c r="X774" s="241"/>
      <c r="Y774" s="241"/>
      <c r="Z774" s="241"/>
    </row>
    <row r="775" spans="16:26">
      <c r="P775" s="241"/>
      <c r="Q775" s="241"/>
      <c r="R775" s="241"/>
      <c r="S775" s="241"/>
      <c r="T775" s="241"/>
      <c r="U775" s="241"/>
      <c r="V775" s="241"/>
      <c r="W775" s="241"/>
      <c r="X775" s="241"/>
      <c r="Y775" s="241"/>
      <c r="Z775" s="241"/>
    </row>
    <row r="776" spans="16:26">
      <c r="P776" s="241"/>
      <c r="Q776" s="241"/>
      <c r="R776" s="241"/>
      <c r="S776" s="241"/>
      <c r="T776" s="241"/>
      <c r="U776" s="241"/>
      <c r="V776" s="241"/>
      <c r="W776" s="241"/>
      <c r="X776" s="241"/>
      <c r="Y776" s="241"/>
      <c r="Z776" s="241"/>
    </row>
    <row r="777" spans="16:26">
      <c r="P777" s="241"/>
      <c r="Q777" s="241"/>
      <c r="R777" s="241"/>
      <c r="S777" s="241"/>
      <c r="T777" s="241"/>
      <c r="U777" s="241"/>
      <c r="V777" s="241"/>
      <c r="W777" s="241"/>
      <c r="X777" s="241"/>
      <c r="Y777" s="241"/>
      <c r="Z777" s="241"/>
    </row>
    <row r="778" spans="16:26">
      <c r="P778" s="241"/>
      <c r="Q778" s="241"/>
      <c r="R778" s="241"/>
      <c r="S778" s="241"/>
      <c r="T778" s="241"/>
      <c r="U778" s="241"/>
      <c r="V778" s="241"/>
      <c r="W778" s="241"/>
      <c r="X778" s="241"/>
      <c r="Y778" s="241"/>
      <c r="Z778" s="241"/>
    </row>
    <row r="779" spans="16:26">
      <c r="P779" s="241"/>
      <c r="Q779" s="241"/>
      <c r="R779" s="241"/>
      <c r="S779" s="241"/>
      <c r="T779" s="241"/>
      <c r="U779" s="241"/>
      <c r="V779" s="241"/>
      <c r="W779" s="241"/>
      <c r="X779" s="241"/>
      <c r="Y779" s="241"/>
      <c r="Z779" s="241"/>
    </row>
    <row r="780" spans="16:26">
      <c r="P780" s="241"/>
      <c r="Q780" s="241"/>
      <c r="R780" s="241"/>
      <c r="S780" s="241"/>
      <c r="T780" s="241"/>
      <c r="U780" s="241"/>
      <c r="V780" s="241"/>
      <c r="W780" s="241"/>
      <c r="X780" s="241"/>
      <c r="Y780" s="241"/>
      <c r="Z780" s="241"/>
    </row>
    <row r="781" spans="16:26">
      <c r="P781" s="241"/>
      <c r="Q781" s="241"/>
      <c r="R781" s="241"/>
      <c r="S781" s="241"/>
      <c r="T781" s="241"/>
      <c r="U781" s="241"/>
      <c r="V781" s="241"/>
      <c r="W781" s="241"/>
      <c r="X781" s="241"/>
      <c r="Y781" s="241"/>
      <c r="Z781" s="241"/>
    </row>
    <row r="782" spans="16:26">
      <c r="P782" s="241"/>
      <c r="Q782" s="241"/>
      <c r="R782" s="241"/>
      <c r="S782" s="241"/>
      <c r="T782" s="241"/>
      <c r="U782" s="241"/>
      <c r="V782" s="241"/>
      <c r="W782" s="241"/>
      <c r="X782" s="241"/>
      <c r="Y782" s="241"/>
      <c r="Z782" s="241"/>
    </row>
    <row r="783" spans="16:26">
      <c r="P783" s="241"/>
      <c r="Q783" s="241"/>
      <c r="R783" s="241"/>
      <c r="S783" s="241"/>
      <c r="T783" s="241"/>
      <c r="U783" s="241"/>
      <c r="V783" s="241"/>
      <c r="W783" s="241"/>
      <c r="X783" s="241"/>
      <c r="Y783" s="241"/>
      <c r="Z783" s="241"/>
    </row>
    <row r="784" spans="16:26">
      <c r="P784" s="241"/>
      <c r="Q784" s="241"/>
      <c r="R784" s="241"/>
      <c r="S784" s="241"/>
      <c r="T784" s="241"/>
      <c r="U784" s="241"/>
      <c r="V784" s="241"/>
      <c r="W784" s="241"/>
      <c r="X784" s="241"/>
      <c r="Y784" s="241"/>
      <c r="Z784" s="241"/>
    </row>
    <row r="785" spans="16:26">
      <c r="P785" s="241"/>
      <c r="Q785" s="241"/>
      <c r="R785" s="241"/>
      <c r="S785" s="241"/>
      <c r="T785" s="241"/>
      <c r="U785" s="241"/>
      <c r="V785" s="241"/>
      <c r="W785" s="241"/>
      <c r="X785" s="241"/>
      <c r="Y785" s="241"/>
      <c r="Z785" s="241"/>
    </row>
    <row r="786" spans="16:26">
      <c r="P786" s="241"/>
      <c r="Q786" s="241"/>
      <c r="R786" s="241"/>
      <c r="S786" s="241"/>
      <c r="T786" s="241"/>
      <c r="U786" s="241"/>
      <c r="V786" s="241"/>
      <c r="W786" s="241"/>
      <c r="X786" s="241"/>
      <c r="Y786" s="241"/>
      <c r="Z786" s="241"/>
    </row>
    <row r="787" spans="16:26">
      <c r="P787" s="241"/>
      <c r="Q787" s="241"/>
      <c r="R787" s="241"/>
      <c r="S787" s="241"/>
      <c r="T787" s="241"/>
      <c r="U787" s="241"/>
      <c r="V787" s="241"/>
      <c r="W787" s="241"/>
      <c r="X787" s="241"/>
      <c r="Y787" s="241"/>
      <c r="Z787" s="241"/>
    </row>
    <row r="788" spans="16:26">
      <c r="P788" s="241"/>
      <c r="Q788" s="241"/>
      <c r="R788" s="241"/>
      <c r="S788" s="241"/>
      <c r="T788" s="241"/>
      <c r="U788" s="241"/>
      <c r="V788" s="241"/>
      <c r="W788" s="241"/>
      <c r="X788" s="241"/>
      <c r="Y788" s="241"/>
      <c r="Z788" s="241"/>
    </row>
    <row r="789" spans="16:26">
      <c r="P789" s="241"/>
      <c r="Q789" s="241"/>
      <c r="R789" s="241"/>
      <c r="S789" s="241"/>
      <c r="T789" s="241"/>
      <c r="U789" s="241"/>
      <c r="V789" s="241"/>
      <c r="W789" s="241"/>
      <c r="X789" s="241"/>
      <c r="Y789" s="241"/>
      <c r="Z789" s="241"/>
    </row>
    <row r="790" spans="16:26">
      <c r="P790" s="241"/>
      <c r="Q790" s="241"/>
      <c r="R790" s="241"/>
      <c r="S790" s="241"/>
      <c r="T790" s="241"/>
      <c r="U790" s="241"/>
      <c r="V790" s="241"/>
      <c r="W790" s="241"/>
      <c r="X790" s="241"/>
      <c r="Y790" s="241"/>
      <c r="Z790" s="241"/>
    </row>
    <row r="791" spans="16:26">
      <c r="P791" s="241"/>
      <c r="Q791" s="241"/>
      <c r="R791" s="241"/>
      <c r="S791" s="241"/>
      <c r="T791" s="241"/>
      <c r="U791" s="241"/>
      <c r="V791" s="241"/>
      <c r="W791" s="241"/>
      <c r="X791" s="241"/>
      <c r="Y791" s="241"/>
      <c r="Z791" s="241"/>
    </row>
    <row r="792" spans="16:26">
      <c r="P792" s="241"/>
      <c r="Q792" s="241"/>
      <c r="R792" s="241"/>
      <c r="S792" s="241"/>
      <c r="T792" s="241"/>
      <c r="U792" s="241"/>
      <c r="V792" s="241"/>
      <c r="W792" s="241"/>
      <c r="X792" s="241"/>
      <c r="Y792" s="241"/>
      <c r="Z792" s="241"/>
    </row>
    <row r="793" spans="16:26">
      <c r="P793" s="241"/>
      <c r="Q793" s="241"/>
      <c r="R793" s="241"/>
      <c r="S793" s="241"/>
      <c r="T793" s="241"/>
      <c r="U793" s="241"/>
      <c r="V793" s="241"/>
      <c r="W793" s="241"/>
      <c r="X793" s="241"/>
      <c r="Y793" s="241"/>
      <c r="Z793" s="241"/>
    </row>
    <row r="794" spans="16:26">
      <c r="P794" s="241"/>
      <c r="Q794" s="241"/>
      <c r="R794" s="241"/>
      <c r="S794" s="241"/>
      <c r="T794" s="241"/>
      <c r="U794" s="241"/>
      <c r="V794" s="241"/>
      <c r="W794" s="241"/>
      <c r="X794" s="241"/>
      <c r="Y794" s="241"/>
      <c r="Z794" s="241"/>
    </row>
    <row r="795" spans="16:26">
      <c r="P795" s="241"/>
      <c r="Q795" s="241"/>
      <c r="R795" s="241"/>
      <c r="S795" s="241"/>
      <c r="T795" s="241"/>
      <c r="U795" s="241"/>
      <c r="V795" s="241"/>
      <c r="W795" s="241"/>
      <c r="X795" s="241"/>
      <c r="Y795" s="241"/>
      <c r="Z795" s="241"/>
    </row>
    <row r="796" spans="16:26">
      <c r="P796" s="241"/>
      <c r="Q796" s="241"/>
      <c r="R796" s="241"/>
      <c r="S796" s="241"/>
      <c r="T796" s="241"/>
      <c r="U796" s="241"/>
      <c r="V796" s="241"/>
      <c r="W796" s="241"/>
      <c r="X796" s="241"/>
      <c r="Y796" s="241"/>
      <c r="Z796" s="241"/>
    </row>
    <row r="797" spans="16:26">
      <c r="P797" s="241"/>
      <c r="Q797" s="241"/>
      <c r="R797" s="241"/>
      <c r="S797" s="241"/>
      <c r="T797" s="241"/>
      <c r="U797" s="241"/>
      <c r="V797" s="241"/>
      <c r="W797" s="241"/>
      <c r="X797" s="241"/>
      <c r="Y797" s="241"/>
      <c r="Z797" s="241"/>
    </row>
    <row r="798" spans="16:26">
      <c r="P798" s="241"/>
      <c r="Q798" s="241"/>
      <c r="R798" s="241"/>
      <c r="S798" s="241"/>
      <c r="T798" s="241"/>
      <c r="U798" s="241"/>
      <c r="V798" s="241"/>
      <c r="W798" s="241"/>
      <c r="X798" s="241"/>
      <c r="Y798" s="241"/>
      <c r="Z798" s="241"/>
    </row>
    <row r="799" spans="16:26">
      <c r="P799" s="241"/>
      <c r="Q799" s="241"/>
      <c r="R799" s="241"/>
      <c r="S799" s="241"/>
      <c r="T799" s="241"/>
      <c r="U799" s="241"/>
      <c r="V799" s="241"/>
      <c r="W799" s="241"/>
      <c r="X799" s="241"/>
      <c r="Y799" s="241"/>
      <c r="Z799" s="241"/>
    </row>
    <row r="800" spans="16:26">
      <c r="P800" s="241"/>
      <c r="Q800" s="241"/>
      <c r="R800" s="241"/>
      <c r="S800" s="241"/>
      <c r="T800" s="241"/>
      <c r="U800" s="241"/>
      <c r="V800" s="241"/>
      <c r="W800" s="241"/>
      <c r="X800" s="241"/>
      <c r="Y800" s="241"/>
      <c r="Z800" s="241"/>
    </row>
    <row r="801" spans="16:26">
      <c r="P801" s="241"/>
      <c r="Q801" s="241"/>
      <c r="R801" s="241"/>
      <c r="S801" s="241"/>
      <c r="T801" s="241"/>
      <c r="U801" s="241"/>
      <c r="V801" s="241"/>
      <c r="W801" s="241"/>
      <c r="X801" s="241"/>
      <c r="Y801" s="241"/>
      <c r="Z801" s="241"/>
    </row>
    <row r="802" spans="16:26">
      <c r="P802" s="241"/>
      <c r="Q802" s="241"/>
      <c r="R802" s="241"/>
      <c r="S802" s="241"/>
      <c r="T802" s="241"/>
      <c r="U802" s="241"/>
      <c r="V802" s="241"/>
      <c r="W802" s="241"/>
      <c r="X802" s="241"/>
      <c r="Y802" s="241"/>
      <c r="Z802" s="241"/>
    </row>
    <row r="803" spans="16:26">
      <c r="P803" s="241"/>
      <c r="Q803" s="241"/>
      <c r="R803" s="241"/>
      <c r="S803" s="241"/>
      <c r="T803" s="241"/>
      <c r="U803" s="241"/>
      <c r="V803" s="241"/>
      <c r="W803" s="241"/>
      <c r="X803" s="241"/>
      <c r="Y803" s="241"/>
      <c r="Z803" s="241"/>
    </row>
    <row r="804" spans="16:26">
      <c r="P804" s="241"/>
      <c r="Q804" s="241"/>
      <c r="R804" s="241"/>
      <c r="S804" s="241"/>
      <c r="T804" s="241"/>
      <c r="U804" s="241"/>
      <c r="V804" s="241"/>
      <c r="W804" s="241"/>
      <c r="X804" s="241"/>
      <c r="Y804" s="241"/>
      <c r="Z804" s="241"/>
    </row>
    <row r="805" spans="16:26">
      <c r="P805" s="241"/>
      <c r="Q805" s="241"/>
      <c r="R805" s="241"/>
      <c r="S805" s="241"/>
      <c r="T805" s="241"/>
      <c r="U805" s="241"/>
      <c r="V805" s="241"/>
      <c r="W805" s="241"/>
      <c r="X805" s="241"/>
      <c r="Y805" s="241"/>
      <c r="Z805" s="241"/>
    </row>
    <row r="806" spans="16:26">
      <c r="P806" s="241"/>
      <c r="Q806" s="241"/>
      <c r="R806" s="241"/>
      <c r="S806" s="241"/>
      <c r="T806" s="241"/>
      <c r="U806" s="241"/>
      <c r="V806" s="241"/>
      <c r="W806" s="241"/>
      <c r="X806" s="241"/>
      <c r="Y806" s="241"/>
      <c r="Z806" s="241"/>
    </row>
    <row r="807" spans="16:26">
      <c r="P807" s="241"/>
      <c r="Q807" s="241"/>
      <c r="R807" s="241"/>
      <c r="S807" s="241"/>
      <c r="T807" s="241"/>
      <c r="U807" s="241"/>
      <c r="V807" s="241"/>
      <c r="W807" s="241"/>
      <c r="X807" s="241"/>
      <c r="Y807" s="241"/>
      <c r="Z807" s="241"/>
    </row>
    <row r="808" spans="16:26">
      <c r="P808" s="241"/>
      <c r="Q808" s="241"/>
      <c r="R808" s="241"/>
      <c r="S808" s="241"/>
      <c r="T808" s="241"/>
      <c r="U808" s="241"/>
      <c r="V808" s="241"/>
      <c r="W808" s="241"/>
      <c r="X808" s="241"/>
      <c r="Y808" s="241"/>
      <c r="Z808" s="241"/>
    </row>
    <row r="809" spans="16:26">
      <c r="P809" s="241"/>
      <c r="Q809" s="241"/>
      <c r="R809" s="241"/>
      <c r="S809" s="241"/>
      <c r="T809" s="241"/>
      <c r="U809" s="241"/>
      <c r="V809" s="241"/>
      <c r="W809" s="241"/>
      <c r="X809" s="241"/>
      <c r="Y809" s="241"/>
      <c r="Z809" s="241"/>
    </row>
    <row r="810" spans="16:26">
      <c r="P810" s="241"/>
      <c r="Q810" s="241"/>
      <c r="R810" s="241"/>
      <c r="S810" s="241"/>
      <c r="T810" s="241"/>
      <c r="U810" s="241"/>
      <c r="V810" s="241"/>
      <c r="W810" s="241"/>
      <c r="X810" s="241"/>
      <c r="Y810" s="241"/>
      <c r="Z810" s="241"/>
    </row>
    <row r="811" spans="16:26">
      <c r="P811" s="241"/>
      <c r="Q811" s="241"/>
      <c r="R811" s="241"/>
      <c r="S811" s="241"/>
      <c r="T811" s="241"/>
      <c r="U811" s="241"/>
      <c r="V811" s="241"/>
      <c r="W811" s="241"/>
      <c r="X811" s="241"/>
      <c r="Y811" s="241"/>
      <c r="Z811" s="241"/>
    </row>
    <row r="812" spans="16:26">
      <c r="P812" s="241"/>
      <c r="Q812" s="241"/>
      <c r="R812" s="241"/>
      <c r="S812" s="241"/>
      <c r="T812" s="241"/>
      <c r="U812" s="241"/>
      <c r="V812" s="241"/>
      <c r="W812" s="241"/>
      <c r="X812" s="241"/>
      <c r="Y812" s="241"/>
      <c r="Z812" s="241"/>
    </row>
    <row r="813" spans="16:26">
      <c r="P813" s="241"/>
      <c r="Q813" s="241"/>
      <c r="R813" s="241"/>
      <c r="S813" s="241"/>
      <c r="T813" s="241"/>
      <c r="U813" s="241"/>
      <c r="V813" s="241"/>
      <c r="W813" s="241"/>
      <c r="X813" s="241"/>
      <c r="Y813" s="241"/>
      <c r="Z813" s="241"/>
    </row>
    <row r="814" spans="16:26">
      <c r="P814" s="241"/>
      <c r="Q814" s="241"/>
      <c r="R814" s="241"/>
      <c r="S814" s="241"/>
      <c r="T814" s="241"/>
      <c r="U814" s="241"/>
      <c r="V814" s="241"/>
      <c r="W814" s="241"/>
      <c r="X814" s="241"/>
      <c r="Y814" s="241"/>
      <c r="Z814" s="241"/>
    </row>
    <row r="815" spans="16:26">
      <c r="P815" s="241"/>
      <c r="Q815" s="241"/>
      <c r="R815" s="241"/>
      <c r="S815" s="241"/>
      <c r="T815" s="241"/>
      <c r="U815" s="241"/>
      <c r="V815" s="241"/>
      <c r="W815" s="241"/>
      <c r="X815" s="241"/>
      <c r="Y815" s="241"/>
      <c r="Z815" s="241"/>
    </row>
    <row r="816" spans="16:26">
      <c r="P816" s="241"/>
      <c r="Q816" s="241"/>
      <c r="R816" s="241"/>
      <c r="S816" s="241"/>
      <c r="T816" s="241"/>
      <c r="U816" s="241"/>
      <c r="V816" s="241"/>
      <c r="W816" s="241"/>
      <c r="X816" s="241"/>
      <c r="Y816" s="241"/>
      <c r="Z816" s="241"/>
    </row>
    <row r="817" spans="16:26">
      <c r="P817" s="241"/>
      <c r="Q817" s="241"/>
      <c r="R817" s="241"/>
      <c r="S817" s="241"/>
      <c r="T817" s="241"/>
      <c r="U817" s="241"/>
      <c r="V817" s="241"/>
      <c r="W817" s="241"/>
      <c r="X817" s="241"/>
      <c r="Y817" s="241"/>
      <c r="Z817" s="241"/>
    </row>
    <row r="818" spans="16:26">
      <c r="P818" s="241"/>
      <c r="Q818" s="241"/>
      <c r="R818" s="241"/>
      <c r="S818" s="241"/>
      <c r="T818" s="241"/>
      <c r="U818" s="241"/>
      <c r="V818" s="241"/>
      <c r="W818" s="241"/>
      <c r="X818" s="241"/>
      <c r="Y818" s="241"/>
      <c r="Z818" s="241"/>
    </row>
    <row r="819" spans="16:26">
      <c r="P819" s="241"/>
      <c r="Q819" s="241"/>
      <c r="R819" s="241"/>
      <c r="S819" s="241"/>
      <c r="T819" s="241"/>
      <c r="U819" s="241"/>
      <c r="V819" s="241"/>
      <c r="W819" s="241"/>
      <c r="X819" s="241"/>
      <c r="Y819" s="241"/>
      <c r="Z819" s="241"/>
    </row>
    <row r="820" spans="16:26">
      <c r="P820" s="241"/>
      <c r="Q820" s="241"/>
      <c r="R820" s="241"/>
      <c r="S820" s="241"/>
      <c r="T820" s="241"/>
      <c r="U820" s="241"/>
      <c r="V820" s="241"/>
      <c r="W820" s="241"/>
      <c r="X820" s="241"/>
      <c r="Y820" s="241"/>
      <c r="Z820" s="241"/>
    </row>
    <row r="821" spans="16:26">
      <c r="P821" s="241"/>
      <c r="Q821" s="241"/>
      <c r="R821" s="241"/>
      <c r="S821" s="241"/>
      <c r="T821" s="241"/>
      <c r="U821" s="241"/>
      <c r="V821" s="241"/>
      <c r="W821" s="241"/>
      <c r="X821" s="241"/>
      <c r="Y821" s="241"/>
      <c r="Z821" s="241"/>
    </row>
    <row r="822" spans="16:26">
      <c r="P822" s="241"/>
      <c r="Q822" s="241"/>
      <c r="R822" s="241"/>
      <c r="S822" s="241"/>
      <c r="T822" s="241"/>
      <c r="U822" s="241"/>
      <c r="V822" s="241"/>
      <c r="W822" s="241"/>
      <c r="X822" s="241"/>
      <c r="Y822" s="241"/>
      <c r="Z822" s="241"/>
    </row>
    <row r="823" spans="16:26">
      <c r="P823" s="241"/>
      <c r="Q823" s="241"/>
      <c r="R823" s="241"/>
      <c r="S823" s="241"/>
      <c r="T823" s="241"/>
      <c r="U823" s="241"/>
      <c r="V823" s="241"/>
      <c r="W823" s="241"/>
      <c r="X823" s="241"/>
      <c r="Y823" s="241"/>
      <c r="Z823" s="241"/>
    </row>
    <row r="824" spans="16:26">
      <c r="P824" s="241"/>
      <c r="Q824" s="241"/>
      <c r="R824" s="241"/>
      <c r="S824" s="241"/>
      <c r="T824" s="241"/>
      <c r="U824" s="241"/>
      <c r="V824" s="241"/>
      <c r="W824" s="241"/>
      <c r="X824" s="241"/>
      <c r="Y824" s="241"/>
      <c r="Z824" s="241"/>
    </row>
    <row r="825" spans="16:26">
      <c r="P825" s="241"/>
      <c r="Q825" s="241"/>
      <c r="R825" s="241"/>
      <c r="S825" s="241"/>
      <c r="T825" s="241"/>
      <c r="U825" s="241"/>
      <c r="V825" s="241"/>
      <c r="W825" s="241"/>
      <c r="X825" s="241"/>
      <c r="Y825" s="241"/>
      <c r="Z825" s="241"/>
    </row>
    <row r="826" spans="16:26">
      <c r="P826" s="241"/>
      <c r="Q826" s="241"/>
      <c r="R826" s="241"/>
      <c r="S826" s="241"/>
      <c r="T826" s="241"/>
      <c r="U826" s="241"/>
      <c r="V826" s="241"/>
      <c r="W826" s="241"/>
      <c r="X826" s="241"/>
      <c r="Y826" s="241"/>
      <c r="Z826" s="241"/>
    </row>
    <row r="827" spans="16:26">
      <c r="P827" s="241"/>
      <c r="Q827" s="241"/>
      <c r="R827" s="241"/>
      <c r="S827" s="241"/>
      <c r="T827" s="241"/>
      <c r="U827" s="241"/>
      <c r="V827" s="241"/>
      <c r="W827" s="241"/>
      <c r="X827" s="241"/>
      <c r="Y827" s="241"/>
      <c r="Z827" s="241"/>
    </row>
    <row r="828" spans="16:26">
      <c r="P828" s="241"/>
      <c r="Q828" s="241"/>
      <c r="R828" s="241"/>
      <c r="S828" s="241"/>
      <c r="T828" s="241"/>
      <c r="U828" s="241"/>
      <c r="V828" s="241"/>
      <c r="W828" s="241"/>
      <c r="X828" s="241"/>
      <c r="Y828" s="241"/>
      <c r="Z828" s="241"/>
    </row>
    <row r="829" spans="16:26">
      <c r="P829" s="241"/>
      <c r="Q829" s="241"/>
      <c r="R829" s="241"/>
      <c r="S829" s="241"/>
      <c r="T829" s="241"/>
      <c r="U829" s="241"/>
      <c r="V829" s="241"/>
      <c r="W829" s="241"/>
      <c r="X829" s="241"/>
      <c r="Y829" s="241"/>
      <c r="Z829" s="241"/>
    </row>
    <row r="830" spans="16:26">
      <c r="P830" s="241"/>
      <c r="Q830" s="241"/>
      <c r="R830" s="241"/>
      <c r="S830" s="241"/>
      <c r="T830" s="241"/>
      <c r="U830" s="241"/>
      <c r="V830" s="241"/>
      <c r="W830" s="241"/>
      <c r="X830" s="241"/>
      <c r="Y830" s="241"/>
      <c r="Z830" s="241"/>
    </row>
    <row r="831" spans="16:26">
      <c r="P831" s="241"/>
      <c r="Q831" s="241"/>
      <c r="R831" s="241"/>
      <c r="S831" s="241"/>
      <c r="T831" s="241"/>
      <c r="U831" s="241"/>
      <c r="V831" s="241"/>
      <c r="W831" s="241"/>
      <c r="X831" s="241"/>
      <c r="Y831" s="241"/>
      <c r="Z831" s="241"/>
    </row>
    <row r="832" spans="16:26">
      <c r="P832" s="241"/>
      <c r="Q832" s="241"/>
      <c r="R832" s="241"/>
      <c r="S832" s="241"/>
      <c r="T832" s="241"/>
      <c r="U832" s="241"/>
      <c r="V832" s="241"/>
      <c r="W832" s="241"/>
      <c r="X832" s="241"/>
      <c r="Y832" s="241"/>
      <c r="Z832" s="241"/>
    </row>
    <row r="833" spans="16:26">
      <c r="P833" s="241"/>
      <c r="Q833" s="241"/>
      <c r="R833" s="241"/>
      <c r="S833" s="241"/>
      <c r="T833" s="241"/>
      <c r="U833" s="241"/>
      <c r="V833" s="241"/>
      <c r="W833" s="241"/>
      <c r="X833" s="241"/>
      <c r="Y833" s="241"/>
      <c r="Z833" s="241"/>
    </row>
    <row r="834" spans="16:26">
      <c r="P834" s="241"/>
      <c r="Q834" s="241"/>
      <c r="R834" s="241"/>
      <c r="S834" s="241"/>
      <c r="T834" s="241"/>
      <c r="U834" s="241"/>
      <c r="V834" s="241"/>
      <c r="W834" s="241"/>
      <c r="X834" s="241"/>
      <c r="Y834" s="241"/>
      <c r="Z834" s="241"/>
    </row>
    <row r="835" spans="16:26">
      <c r="P835" s="241"/>
      <c r="Q835" s="241"/>
      <c r="R835" s="241"/>
      <c r="S835" s="241"/>
      <c r="T835" s="241"/>
      <c r="U835" s="241"/>
      <c r="V835" s="241"/>
      <c r="W835" s="241"/>
      <c r="X835" s="241"/>
      <c r="Y835" s="241"/>
      <c r="Z835" s="241"/>
    </row>
    <row r="836" spans="16:26">
      <c r="P836" s="241"/>
      <c r="Q836" s="241"/>
      <c r="R836" s="241"/>
      <c r="S836" s="241"/>
      <c r="T836" s="241"/>
      <c r="U836" s="241"/>
      <c r="V836" s="241"/>
      <c r="W836" s="241"/>
      <c r="X836" s="241"/>
      <c r="Y836" s="241"/>
      <c r="Z836" s="241"/>
    </row>
    <row r="837" spans="16:26">
      <c r="P837" s="241"/>
      <c r="Q837" s="241"/>
      <c r="R837" s="241"/>
      <c r="S837" s="241"/>
      <c r="T837" s="241"/>
      <c r="U837" s="241"/>
      <c r="V837" s="241"/>
      <c r="W837" s="241"/>
      <c r="X837" s="241"/>
      <c r="Y837" s="241"/>
      <c r="Z837" s="241"/>
    </row>
    <row r="838" spans="16:26">
      <c r="P838" s="241"/>
      <c r="Q838" s="241"/>
      <c r="R838" s="241"/>
      <c r="S838" s="241"/>
      <c r="T838" s="241"/>
      <c r="U838" s="241"/>
      <c r="V838" s="241"/>
      <c r="W838" s="241"/>
      <c r="X838" s="241"/>
      <c r="Y838" s="241"/>
      <c r="Z838" s="241"/>
    </row>
    <row r="839" spans="16:26">
      <c r="P839" s="241"/>
      <c r="Q839" s="241"/>
      <c r="R839" s="241"/>
      <c r="S839" s="241"/>
      <c r="T839" s="241"/>
      <c r="U839" s="241"/>
      <c r="V839" s="241"/>
      <c r="W839" s="241"/>
      <c r="X839" s="241"/>
      <c r="Y839" s="241"/>
      <c r="Z839" s="241"/>
    </row>
    <row r="840" spans="16:26">
      <c r="P840" s="241"/>
      <c r="Q840" s="241"/>
      <c r="R840" s="241"/>
      <c r="S840" s="241"/>
      <c r="T840" s="241"/>
      <c r="U840" s="241"/>
      <c r="V840" s="241"/>
      <c r="W840" s="241"/>
      <c r="X840" s="241"/>
      <c r="Y840" s="241"/>
      <c r="Z840" s="241"/>
    </row>
    <row r="841" spans="16:26">
      <c r="P841" s="241"/>
      <c r="Q841" s="241"/>
      <c r="R841" s="241"/>
      <c r="S841" s="241"/>
      <c r="T841" s="241"/>
      <c r="U841" s="241"/>
      <c r="V841" s="241"/>
      <c r="W841" s="241"/>
      <c r="X841" s="241"/>
      <c r="Y841" s="241"/>
      <c r="Z841" s="241"/>
    </row>
    <row r="842" spans="16:26">
      <c r="P842" s="241"/>
      <c r="Q842" s="241"/>
      <c r="R842" s="241"/>
      <c r="S842" s="241"/>
      <c r="T842" s="241"/>
      <c r="U842" s="241"/>
      <c r="V842" s="241"/>
      <c r="W842" s="241"/>
      <c r="X842" s="241"/>
      <c r="Y842" s="241"/>
      <c r="Z842" s="241"/>
    </row>
    <row r="843" spans="16:26">
      <c r="P843" s="241"/>
      <c r="Q843" s="241"/>
      <c r="R843" s="241"/>
      <c r="S843" s="241"/>
      <c r="T843" s="241"/>
      <c r="U843" s="241"/>
      <c r="V843" s="241"/>
      <c r="W843" s="241"/>
      <c r="X843" s="241"/>
      <c r="Y843" s="241"/>
      <c r="Z843" s="241"/>
    </row>
    <row r="844" spans="16:26">
      <c r="P844" s="241"/>
      <c r="Q844" s="241"/>
      <c r="R844" s="241"/>
      <c r="S844" s="241"/>
      <c r="T844" s="241"/>
      <c r="U844" s="241"/>
      <c r="V844" s="241"/>
      <c r="W844" s="241"/>
      <c r="X844" s="241"/>
      <c r="Y844" s="241"/>
      <c r="Z844" s="241"/>
    </row>
    <row r="845" spans="16:26">
      <c r="P845" s="241"/>
      <c r="Q845" s="241"/>
      <c r="R845" s="241"/>
      <c r="S845" s="241"/>
      <c r="T845" s="241"/>
      <c r="U845" s="241"/>
      <c r="V845" s="241"/>
      <c r="W845" s="241"/>
      <c r="X845" s="241"/>
      <c r="Y845" s="241"/>
      <c r="Z845" s="241"/>
    </row>
    <row r="846" spans="16:26">
      <c r="P846" s="241"/>
      <c r="Q846" s="241"/>
      <c r="R846" s="241"/>
      <c r="S846" s="241"/>
      <c r="T846" s="241"/>
      <c r="U846" s="241"/>
      <c r="V846" s="241"/>
      <c r="W846" s="241"/>
      <c r="X846" s="241"/>
      <c r="Y846" s="241"/>
      <c r="Z846" s="241"/>
    </row>
    <row r="847" spans="16:26">
      <c r="P847" s="241"/>
      <c r="Q847" s="241"/>
      <c r="R847" s="241"/>
      <c r="S847" s="241"/>
      <c r="T847" s="241"/>
      <c r="U847" s="241"/>
      <c r="V847" s="241"/>
      <c r="W847" s="241"/>
      <c r="X847" s="241"/>
      <c r="Y847" s="241"/>
      <c r="Z847" s="241"/>
    </row>
    <row r="848" spans="16:26">
      <c r="P848" s="241"/>
      <c r="Q848" s="241"/>
      <c r="R848" s="241"/>
      <c r="S848" s="241"/>
      <c r="T848" s="241"/>
      <c r="U848" s="241"/>
      <c r="V848" s="241"/>
      <c r="W848" s="241"/>
      <c r="X848" s="241"/>
      <c r="Y848" s="241"/>
      <c r="Z848" s="241"/>
    </row>
    <row r="849" spans="16:26">
      <c r="P849" s="241"/>
      <c r="Q849" s="241"/>
      <c r="R849" s="241"/>
      <c r="S849" s="241"/>
      <c r="T849" s="241"/>
      <c r="U849" s="241"/>
      <c r="V849" s="241"/>
      <c r="W849" s="241"/>
      <c r="X849" s="241"/>
      <c r="Y849" s="241"/>
      <c r="Z849" s="241"/>
    </row>
    <row r="850" spans="16:26">
      <c r="P850" s="241"/>
      <c r="Q850" s="241"/>
      <c r="R850" s="241"/>
      <c r="S850" s="241"/>
      <c r="T850" s="241"/>
      <c r="U850" s="241"/>
      <c r="V850" s="241"/>
      <c r="W850" s="241"/>
      <c r="X850" s="241"/>
      <c r="Y850" s="241"/>
      <c r="Z850" s="241"/>
    </row>
    <row r="851" spans="16:26">
      <c r="P851" s="241"/>
      <c r="Q851" s="241"/>
      <c r="R851" s="241"/>
      <c r="S851" s="241"/>
      <c r="T851" s="241"/>
      <c r="U851" s="241"/>
      <c r="V851" s="241"/>
      <c r="W851" s="241"/>
      <c r="X851" s="241"/>
      <c r="Y851" s="241"/>
      <c r="Z851" s="241"/>
    </row>
    <row r="852" spans="16:26">
      <c r="P852" s="241"/>
      <c r="Q852" s="241"/>
      <c r="R852" s="241"/>
      <c r="S852" s="241"/>
      <c r="T852" s="241"/>
      <c r="U852" s="241"/>
      <c r="V852" s="241"/>
      <c r="W852" s="241"/>
      <c r="X852" s="241"/>
      <c r="Y852" s="241"/>
      <c r="Z852" s="241"/>
    </row>
    <row r="853" spans="16:26">
      <c r="P853" s="241"/>
      <c r="Q853" s="241"/>
      <c r="R853" s="241"/>
      <c r="S853" s="241"/>
      <c r="T853" s="241"/>
      <c r="U853" s="241"/>
      <c r="V853" s="241"/>
      <c r="W853" s="241"/>
      <c r="X853" s="241"/>
      <c r="Y853" s="241"/>
      <c r="Z853" s="241"/>
    </row>
    <row r="854" spans="16:26">
      <c r="P854" s="241"/>
      <c r="Q854" s="241"/>
      <c r="R854" s="241"/>
      <c r="S854" s="241"/>
      <c r="T854" s="241"/>
      <c r="U854" s="241"/>
      <c r="V854" s="241"/>
      <c r="W854" s="241"/>
      <c r="X854" s="241"/>
      <c r="Y854" s="241"/>
      <c r="Z854" s="241"/>
    </row>
    <row r="855" spans="16:26">
      <c r="P855" s="241"/>
      <c r="Q855" s="241"/>
      <c r="R855" s="241"/>
      <c r="S855" s="241"/>
      <c r="T855" s="241"/>
      <c r="U855" s="241"/>
      <c r="V855" s="241"/>
      <c r="W855" s="241"/>
      <c r="X855" s="241"/>
      <c r="Y855" s="241"/>
      <c r="Z855" s="241"/>
    </row>
    <row r="856" spans="16:26">
      <c r="P856" s="241"/>
      <c r="Q856" s="241"/>
      <c r="R856" s="241"/>
      <c r="S856" s="241"/>
      <c r="T856" s="241"/>
      <c r="U856" s="241"/>
      <c r="V856" s="241"/>
      <c r="W856" s="241"/>
      <c r="X856" s="241"/>
      <c r="Y856" s="241"/>
      <c r="Z856" s="241"/>
    </row>
    <row r="857" spans="16:26">
      <c r="P857" s="241"/>
      <c r="Q857" s="241"/>
      <c r="R857" s="241"/>
      <c r="S857" s="241"/>
      <c r="T857" s="241"/>
      <c r="U857" s="241"/>
      <c r="V857" s="241"/>
      <c r="W857" s="241"/>
      <c r="X857" s="241"/>
      <c r="Y857" s="241"/>
      <c r="Z857" s="241"/>
    </row>
    <row r="858" spans="16:26">
      <c r="P858" s="241"/>
      <c r="Q858" s="241"/>
      <c r="R858" s="241"/>
      <c r="S858" s="241"/>
      <c r="T858" s="241"/>
      <c r="U858" s="241"/>
      <c r="V858" s="241"/>
      <c r="W858" s="241"/>
      <c r="X858" s="241"/>
      <c r="Y858" s="241"/>
      <c r="Z858" s="241"/>
    </row>
    <row r="859" spans="16:26">
      <c r="P859" s="241"/>
      <c r="Q859" s="241"/>
      <c r="R859" s="241"/>
      <c r="S859" s="241"/>
      <c r="T859" s="241"/>
      <c r="U859" s="241"/>
      <c r="V859" s="241"/>
      <c r="W859" s="241"/>
      <c r="X859" s="241"/>
      <c r="Y859" s="241"/>
      <c r="Z859" s="241"/>
    </row>
    <row r="860" spans="16:26">
      <c r="P860" s="241"/>
      <c r="Q860" s="241"/>
      <c r="R860" s="241"/>
      <c r="S860" s="241"/>
      <c r="T860" s="241"/>
      <c r="U860" s="241"/>
      <c r="V860" s="241"/>
      <c r="W860" s="241"/>
      <c r="X860" s="241"/>
      <c r="Y860" s="241"/>
      <c r="Z860" s="241"/>
    </row>
    <row r="861" spans="16:26">
      <c r="P861" s="241"/>
      <c r="Q861" s="241"/>
      <c r="R861" s="241"/>
      <c r="S861" s="241"/>
      <c r="T861" s="241"/>
      <c r="U861" s="241"/>
      <c r="V861" s="241"/>
      <c r="W861" s="241"/>
      <c r="X861" s="241"/>
      <c r="Y861" s="241"/>
      <c r="Z861" s="241"/>
    </row>
    <row r="862" spans="16:26">
      <c r="P862" s="241"/>
      <c r="Q862" s="241"/>
      <c r="R862" s="241"/>
      <c r="S862" s="241"/>
      <c r="T862" s="241"/>
      <c r="U862" s="241"/>
      <c r="V862" s="241"/>
      <c r="W862" s="241"/>
      <c r="X862" s="241"/>
      <c r="Y862" s="241"/>
      <c r="Z862" s="241"/>
    </row>
    <row r="863" spans="16:26">
      <c r="P863" s="241"/>
      <c r="Q863" s="241"/>
      <c r="R863" s="241"/>
      <c r="S863" s="241"/>
      <c r="T863" s="241"/>
      <c r="U863" s="241"/>
      <c r="V863" s="241"/>
      <c r="W863" s="241"/>
      <c r="X863" s="241"/>
      <c r="Y863" s="241"/>
      <c r="Z863" s="241"/>
    </row>
    <row r="864" spans="16:26">
      <c r="P864" s="241"/>
      <c r="Q864" s="241"/>
      <c r="R864" s="241"/>
      <c r="S864" s="241"/>
      <c r="T864" s="241"/>
      <c r="U864" s="241"/>
      <c r="V864" s="241"/>
      <c r="W864" s="241"/>
      <c r="X864" s="241"/>
      <c r="Y864" s="241"/>
      <c r="Z864" s="241"/>
    </row>
    <row r="865" spans="16:26">
      <c r="P865" s="241"/>
      <c r="Q865" s="241"/>
      <c r="R865" s="241"/>
      <c r="S865" s="241"/>
      <c r="T865" s="241"/>
      <c r="U865" s="241"/>
      <c r="V865" s="241"/>
      <c r="W865" s="241"/>
      <c r="X865" s="241"/>
      <c r="Y865" s="241"/>
      <c r="Z865" s="241"/>
    </row>
    <row r="866" spans="16:26">
      <c r="P866" s="241"/>
      <c r="Q866" s="241"/>
      <c r="R866" s="241"/>
      <c r="S866" s="241"/>
      <c r="T866" s="241"/>
      <c r="U866" s="241"/>
      <c r="V866" s="241"/>
      <c r="W866" s="241"/>
      <c r="X866" s="241"/>
      <c r="Y866" s="241"/>
      <c r="Z866" s="241"/>
    </row>
    <row r="867" spans="16:26">
      <c r="P867" s="241"/>
      <c r="Q867" s="241"/>
      <c r="R867" s="241"/>
      <c r="S867" s="241"/>
      <c r="T867" s="241"/>
      <c r="U867" s="241"/>
      <c r="V867" s="241"/>
      <c r="W867" s="241"/>
      <c r="X867" s="241"/>
      <c r="Y867" s="241"/>
      <c r="Z867" s="241"/>
    </row>
    <row r="868" spans="16:26">
      <c r="P868" s="241"/>
      <c r="Q868" s="241"/>
      <c r="R868" s="241"/>
      <c r="S868" s="241"/>
      <c r="T868" s="241"/>
      <c r="U868" s="241"/>
      <c r="V868" s="241"/>
      <c r="W868" s="241"/>
      <c r="X868" s="241"/>
      <c r="Y868" s="241"/>
      <c r="Z868" s="241"/>
    </row>
    <row r="869" spans="16:26">
      <c r="P869" s="241"/>
      <c r="Q869" s="241"/>
      <c r="R869" s="241"/>
      <c r="S869" s="241"/>
      <c r="T869" s="241"/>
      <c r="U869" s="241"/>
      <c r="V869" s="241"/>
      <c r="W869" s="241"/>
      <c r="X869" s="241"/>
      <c r="Y869" s="241"/>
      <c r="Z869" s="241"/>
    </row>
    <row r="870" spans="16:26">
      <c r="P870" s="241"/>
      <c r="Q870" s="241"/>
      <c r="R870" s="241"/>
      <c r="S870" s="241"/>
      <c r="T870" s="241"/>
      <c r="U870" s="241"/>
      <c r="V870" s="241"/>
      <c r="W870" s="241"/>
      <c r="X870" s="241"/>
      <c r="Y870" s="241"/>
      <c r="Z870" s="241"/>
    </row>
    <row r="871" spans="16:26">
      <c r="P871" s="241"/>
      <c r="Q871" s="241"/>
      <c r="R871" s="241"/>
      <c r="S871" s="241"/>
      <c r="T871" s="241"/>
      <c r="U871" s="241"/>
      <c r="V871" s="241"/>
      <c r="W871" s="241"/>
      <c r="X871" s="241"/>
      <c r="Y871" s="241"/>
      <c r="Z871" s="241"/>
    </row>
    <row r="872" spans="16:26">
      <c r="P872" s="241"/>
      <c r="Q872" s="241"/>
      <c r="R872" s="241"/>
      <c r="S872" s="241"/>
      <c r="T872" s="241"/>
      <c r="U872" s="241"/>
      <c r="V872" s="241"/>
      <c r="W872" s="241"/>
      <c r="X872" s="241"/>
      <c r="Y872" s="241"/>
      <c r="Z872" s="241"/>
    </row>
    <row r="873" spans="16:26">
      <c r="P873" s="241"/>
      <c r="Q873" s="241"/>
      <c r="R873" s="241"/>
      <c r="S873" s="241"/>
      <c r="T873" s="241"/>
      <c r="U873" s="241"/>
      <c r="V873" s="241"/>
      <c r="W873" s="241"/>
      <c r="X873" s="241"/>
      <c r="Y873" s="241"/>
      <c r="Z873" s="241"/>
    </row>
    <row r="874" spans="16:26">
      <c r="P874" s="241"/>
      <c r="Q874" s="241"/>
      <c r="R874" s="241"/>
      <c r="S874" s="241"/>
      <c r="T874" s="241"/>
      <c r="U874" s="241"/>
      <c r="V874" s="241"/>
      <c r="W874" s="241"/>
      <c r="X874" s="241"/>
      <c r="Y874" s="241"/>
      <c r="Z874" s="241"/>
    </row>
    <row r="875" spans="16:26">
      <c r="P875" s="241"/>
      <c r="Q875" s="241"/>
      <c r="R875" s="241"/>
      <c r="S875" s="241"/>
      <c r="T875" s="241"/>
      <c r="U875" s="241"/>
      <c r="V875" s="241"/>
      <c r="W875" s="241"/>
      <c r="X875" s="241"/>
      <c r="Y875" s="241"/>
      <c r="Z875" s="241"/>
    </row>
    <row r="876" spans="16:26">
      <c r="P876" s="241"/>
      <c r="Q876" s="241"/>
      <c r="R876" s="241"/>
      <c r="S876" s="241"/>
      <c r="T876" s="241"/>
      <c r="U876" s="241"/>
      <c r="V876" s="241"/>
      <c r="W876" s="241"/>
      <c r="X876" s="241"/>
      <c r="Y876" s="241"/>
      <c r="Z876" s="241"/>
    </row>
    <row r="877" spans="16:26">
      <c r="P877" s="241"/>
      <c r="Q877" s="241"/>
      <c r="R877" s="241"/>
      <c r="S877" s="241"/>
      <c r="T877" s="241"/>
      <c r="U877" s="241"/>
      <c r="V877" s="241"/>
      <c r="W877" s="241"/>
      <c r="X877" s="241"/>
      <c r="Y877" s="241"/>
      <c r="Z877" s="241"/>
    </row>
    <row r="878" spans="16:26">
      <c r="P878" s="241"/>
      <c r="Q878" s="241"/>
      <c r="R878" s="241"/>
      <c r="S878" s="241"/>
      <c r="T878" s="241"/>
      <c r="U878" s="241"/>
      <c r="V878" s="241"/>
      <c r="W878" s="241"/>
      <c r="X878" s="241"/>
      <c r="Y878" s="241"/>
      <c r="Z878" s="241"/>
    </row>
    <row r="879" spans="16:26">
      <c r="P879" s="241"/>
      <c r="Q879" s="241"/>
      <c r="R879" s="241"/>
      <c r="S879" s="241"/>
      <c r="T879" s="241"/>
      <c r="U879" s="241"/>
      <c r="V879" s="241"/>
      <c r="W879" s="241"/>
      <c r="X879" s="241"/>
      <c r="Y879" s="241"/>
      <c r="Z879" s="241"/>
    </row>
    <row r="880" spans="16:26">
      <c r="P880" s="241"/>
      <c r="Q880" s="241"/>
      <c r="R880" s="241"/>
      <c r="S880" s="241"/>
      <c r="T880" s="241"/>
      <c r="U880" s="241"/>
      <c r="V880" s="241"/>
      <c r="W880" s="241"/>
      <c r="X880" s="241"/>
      <c r="Y880" s="241"/>
      <c r="Z880" s="241"/>
    </row>
    <row r="881" spans="16:26">
      <c r="P881" s="241"/>
      <c r="Q881" s="241"/>
      <c r="R881" s="241"/>
      <c r="S881" s="241"/>
      <c r="T881" s="241"/>
      <c r="U881" s="241"/>
      <c r="V881" s="241"/>
      <c r="W881" s="241"/>
      <c r="X881" s="241"/>
      <c r="Y881" s="241"/>
      <c r="Z881" s="241"/>
    </row>
    <row r="882" spans="16:26">
      <c r="P882" s="241"/>
      <c r="Q882" s="241"/>
      <c r="R882" s="241"/>
      <c r="S882" s="241"/>
      <c r="T882" s="241"/>
      <c r="U882" s="241"/>
      <c r="V882" s="241"/>
      <c r="W882" s="241"/>
      <c r="X882" s="241"/>
      <c r="Y882" s="241"/>
      <c r="Z882" s="241"/>
    </row>
    <row r="883" spans="16:26">
      <c r="P883" s="241"/>
      <c r="Q883" s="241"/>
      <c r="R883" s="241"/>
      <c r="S883" s="241"/>
      <c r="T883" s="241"/>
      <c r="U883" s="241"/>
      <c r="V883" s="241"/>
      <c r="W883" s="241"/>
      <c r="X883" s="241"/>
      <c r="Y883" s="241"/>
      <c r="Z883" s="241"/>
    </row>
    <row r="884" spans="16:26">
      <c r="P884" s="241"/>
      <c r="Q884" s="241"/>
      <c r="R884" s="241"/>
      <c r="S884" s="241"/>
      <c r="T884" s="241"/>
      <c r="U884" s="241"/>
      <c r="V884" s="241"/>
      <c r="W884" s="241"/>
      <c r="X884" s="241"/>
      <c r="Y884" s="241"/>
      <c r="Z884" s="241"/>
    </row>
  </sheetData>
  <sheetProtection password="8C51" sheet="1" objects="1" scenarios="1" selectLockedCells="1"/>
  <pageMargins left="0.75" right="0.75" top="1" bottom="1" header="0.5" footer="0.5"/>
  <pageSetup orientation="portrait" horizontalDpi="1200" verticalDpi="1200"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B1:Z884"/>
  <sheetViews>
    <sheetView zoomScaleNormal="100" workbookViewId="0">
      <selection activeCell="P1" sqref="P1"/>
    </sheetView>
  </sheetViews>
  <sheetFormatPr defaultColWidth="8.88671875" defaultRowHeight="10.199999999999999"/>
  <cols>
    <col min="1" max="15" width="8.88671875" style="57"/>
    <col min="16" max="26" width="8.88671875" style="243"/>
    <col min="27" max="16384" width="8.88671875" style="57"/>
  </cols>
  <sheetData>
    <row r="1" spans="2:26">
      <c r="B1" s="57" t="s">
        <v>46</v>
      </c>
      <c r="C1" s="57" t="s">
        <v>47</v>
      </c>
      <c r="D1" s="57" t="s">
        <v>48</v>
      </c>
      <c r="E1" s="57" t="s">
        <v>49</v>
      </c>
      <c r="F1" s="57" t="s">
        <v>50</v>
      </c>
      <c r="G1" s="57" t="s">
        <v>51</v>
      </c>
      <c r="H1" s="57" t="s">
        <v>52</v>
      </c>
      <c r="I1" s="57" t="s">
        <v>53</v>
      </c>
      <c r="J1" s="57" t="s">
        <v>54</v>
      </c>
      <c r="P1" s="246"/>
      <c r="Q1" s="246"/>
      <c r="R1" s="246"/>
      <c r="S1" s="246"/>
      <c r="T1" s="246"/>
      <c r="U1" s="246"/>
      <c r="V1" s="246"/>
      <c r="W1" s="246"/>
      <c r="X1" s="246"/>
      <c r="Y1" s="246"/>
      <c r="Z1" s="246"/>
    </row>
    <row r="2" spans="2:26">
      <c r="B2" s="57" t="s">
        <v>55</v>
      </c>
      <c r="C2" s="57" t="s">
        <v>56</v>
      </c>
      <c r="D2" s="57" t="s">
        <v>56</v>
      </c>
      <c r="E2" s="57" t="s">
        <v>57</v>
      </c>
      <c r="F2" s="57" t="s">
        <v>57</v>
      </c>
      <c r="G2" s="57" t="s">
        <v>58</v>
      </c>
      <c r="H2" s="57" t="s">
        <v>59</v>
      </c>
      <c r="I2" s="57" t="s">
        <v>60</v>
      </c>
      <c r="J2" s="57" t="s">
        <v>61</v>
      </c>
      <c r="K2" s="57" t="s">
        <v>62</v>
      </c>
      <c r="L2" s="57" t="s">
        <v>63</v>
      </c>
      <c r="P2" s="246"/>
      <c r="Q2" s="246"/>
      <c r="R2" s="246"/>
      <c r="S2" s="246"/>
      <c r="T2" s="246"/>
      <c r="U2" s="246"/>
      <c r="V2" s="246"/>
      <c r="W2" s="246"/>
      <c r="X2" s="246"/>
      <c r="Y2" s="246"/>
      <c r="Z2" s="246"/>
    </row>
    <row r="3" spans="2:26">
      <c r="P3" s="246"/>
      <c r="Q3" s="246"/>
      <c r="R3" s="246"/>
      <c r="S3" s="246"/>
      <c r="T3" s="246"/>
      <c r="U3" s="246"/>
      <c r="V3" s="246"/>
      <c r="W3" s="246"/>
      <c r="X3" s="246"/>
      <c r="Y3" s="246"/>
      <c r="Z3" s="246"/>
    </row>
    <row r="4" spans="2:26">
      <c r="B4" s="57" t="s">
        <v>64</v>
      </c>
      <c r="C4" s="234" t="str">
        <f ca="1">IF(P1="","","L"&amp;MID(INDIRECT("P"&amp;L4),6,FIND(" ",INDIRECT("P"&amp;L4),6)-5))</f>
        <v/>
      </c>
      <c r="D4" s="234" t="str">
        <f ca="1">IF(P1="","",MID(INDIRECT("P"&amp;L4),SEARCH("(",INDIRECT("P"&amp;L4),1)+1,3))</f>
        <v/>
      </c>
      <c r="E4" s="234" t="str">
        <f ca="1">IF(P1="","",MID(INDIRECT("P"&amp;L4),SEARCH(")",INDIRECT("P"&amp;L4),1)+2,LEN(INDIRECT("P"&amp;L4))))</f>
        <v/>
      </c>
      <c r="F4" s="234"/>
      <c r="G4" s="234"/>
      <c r="H4" s="234"/>
      <c r="I4" s="234"/>
      <c r="J4" s="234"/>
      <c r="K4" s="234"/>
      <c r="L4" s="234" t="str">
        <f>IF(P1="","",MATCH("CASE*",P1:P10,0))</f>
        <v/>
      </c>
      <c r="M4" s="55">
        <f>ROUND(COUNT(P:P)*1.6,0)</f>
        <v>0</v>
      </c>
      <c r="P4" s="246"/>
      <c r="Q4" s="246"/>
      <c r="R4" s="246"/>
      <c r="S4" s="246"/>
      <c r="T4" s="246"/>
      <c r="U4" s="246"/>
      <c r="V4" s="246"/>
      <c r="W4" s="246"/>
      <c r="X4" s="246"/>
      <c r="Y4" s="246"/>
      <c r="Z4" s="246"/>
    </row>
    <row r="5" spans="2:26">
      <c r="P5" s="246"/>
      <c r="Q5" s="246"/>
      <c r="R5" s="246"/>
      <c r="S5" s="246"/>
      <c r="T5" s="246"/>
      <c r="U5" s="246"/>
      <c r="V5" s="246"/>
      <c r="W5" s="246"/>
      <c r="X5" s="246"/>
      <c r="Y5" s="246"/>
      <c r="Z5" s="246"/>
    </row>
    <row r="6" spans="2:26">
      <c r="B6" s="56" t="str">
        <f>IF('Low Stress Type Gasket'!BE11="","",'Low Stress Type Gasket'!BE11)</f>
        <v/>
      </c>
      <c r="C6" s="58" t="str">
        <f t="shared" ref="C6:L21" ca="1" si="0">IF($M$4=0,"",VLOOKUP($B6,INDIRECT("$P$1:$Z$"&amp;$M$4),COLUMN()-1,0))</f>
        <v/>
      </c>
      <c r="D6" s="58" t="str">
        <f t="shared" ca="1" si="0"/>
        <v/>
      </c>
      <c r="E6" s="58" t="str">
        <f t="shared" ca="1" si="0"/>
        <v/>
      </c>
      <c r="F6" s="58" t="str">
        <f t="shared" ca="1" si="0"/>
        <v/>
      </c>
      <c r="G6" s="58" t="str">
        <f t="shared" ca="1" si="0"/>
        <v/>
      </c>
      <c r="H6" s="58" t="str">
        <f t="shared" ca="1" si="0"/>
        <v/>
      </c>
      <c r="I6" s="58" t="str">
        <f t="shared" ca="1" si="0"/>
        <v/>
      </c>
      <c r="J6" s="58" t="str">
        <f t="shared" ca="1" si="0"/>
        <v/>
      </c>
      <c r="K6" s="58" t="str">
        <f t="shared" ca="1" si="0"/>
        <v/>
      </c>
      <c r="L6" s="58" t="str">
        <f t="shared" ca="1" si="0"/>
        <v/>
      </c>
      <c r="P6" s="246"/>
      <c r="Q6" s="246"/>
      <c r="R6" s="246"/>
      <c r="S6" s="246"/>
      <c r="T6" s="246"/>
      <c r="U6" s="246"/>
      <c r="V6" s="246"/>
      <c r="W6" s="246"/>
      <c r="X6" s="246"/>
      <c r="Y6" s="246"/>
      <c r="Z6" s="246"/>
    </row>
    <row r="7" spans="2:26">
      <c r="B7" s="56" t="str">
        <f>IF('Low Stress Type Gasket'!BE12="","",'Low Stress Type Gasket'!BE12)</f>
        <v/>
      </c>
      <c r="C7" s="58" t="str">
        <f t="shared" ca="1" si="0"/>
        <v/>
      </c>
      <c r="D7" s="58" t="str">
        <f t="shared" ca="1" si="0"/>
        <v/>
      </c>
      <c r="E7" s="58" t="str">
        <f t="shared" ca="1" si="0"/>
        <v/>
      </c>
      <c r="F7" s="58" t="str">
        <f t="shared" ca="1" si="0"/>
        <v/>
      </c>
      <c r="G7" s="58" t="str">
        <f t="shared" ca="1" si="0"/>
        <v/>
      </c>
      <c r="H7" s="58" t="str">
        <f t="shared" ca="1" si="0"/>
        <v/>
      </c>
      <c r="I7" s="58" t="str">
        <f t="shared" ca="1" si="0"/>
        <v/>
      </c>
      <c r="J7" s="58" t="str">
        <f t="shared" ca="1" si="0"/>
        <v/>
      </c>
      <c r="K7" s="58" t="str">
        <f t="shared" ca="1" si="0"/>
        <v/>
      </c>
      <c r="L7" s="58" t="str">
        <f t="shared" ca="1" si="0"/>
        <v/>
      </c>
      <c r="P7" s="246"/>
      <c r="Q7" s="246"/>
      <c r="R7" s="246"/>
      <c r="S7" s="246"/>
      <c r="T7" s="246"/>
      <c r="U7" s="246"/>
      <c r="V7" s="246"/>
      <c r="W7" s="246"/>
      <c r="X7" s="246"/>
      <c r="Y7" s="246"/>
      <c r="Z7" s="246"/>
    </row>
    <row r="8" spans="2:26">
      <c r="B8" s="56" t="str">
        <f>IF('Low Stress Type Gasket'!BE13="","",'Low Stress Type Gasket'!BE13)</f>
        <v/>
      </c>
      <c r="C8" s="58" t="str">
        <f t="shared" ca="1" si="0"/>
        <v/>
      </c>
      <c r="D8" s="58" t="str">
        <f t="shared" ca="1" si="0"/>
        <v/>
      </c>
      <c r="E8" s="58" t="str">
        <f t="shared" ca="1" si="0"/>
        <v/>
      </c>
      <c r="F8" s="58" t="str">
        <f t="shared" ca="1" si="0"/>
        <v/>
      </c>
      <c r="G8" s="58" t="str">
        <f t="shared" ca="1" si="0"/>
        <v/>
      </c>
      <c r="H8" s="58" t="str">
        <f t="shared" ca="1" si="0"/>
        <v/>
      </c>
      <c r="I8" s="58" t="str">
        <f t="shared" ca="1" si="0"/>
        <v/>
      </c>
      <c r="J8" s="58" t="str">
        <f t="shared" ca="1" si="0"/>
        <v/>
      </c>
      <c r="K8" s="58" t="str">
        <f t="shared" ca="1" si="0"/>
        <v/>
      </c>
      <c r="L8" s="58" t="str">
        <f t="shared" ca="1" si="0"/>
        <v/>
      </c>
      <c r="P8" s="241"/>
      <c r="Q8" s="241"/>
      <c r="R8" s="241"/>
      <c r="S8" s="241"/>
      <c r="T8" s="241"/>
      <c r="U8" s="241"/>
      <c r="V8" s="241"/>
      <c r="W8" s="241"/>
      <c r="X8" s="241"/>
      <c r="Y8" s="241"/>
      <c r="Z8" s="241"/>
    </row>
    <row r="9" spans="2:26">
      <c r="B9" s="56" t="str">
        <f>IF('Low Stress Type Gasket'!BE14="","",'Low Stress Type Gasket'!BE14)</f>
        <v/>
      </c>
      <c r="C9" s="58" t="str">
        <f t="shared" ca="1" si="0"/>
        <v/>
      </c>
      <c r="D9" s="58" t="str">
        <f t="shared" ca="1" si="0"/>
        <v/>
      </c>
      <c r="E9" s="58" t="str">
        <f t="shared" ca="1" si="0"/>
        <v/>
      </c>
      <c r="F9" s="58" t="str">
        <f t="shared" ca="1" si="0"/>
        <v/>
      </c>
      <c r="G9" s="58" t="str">
        <f t="shared" ca="1" si="0"/>
        <v/>
      </c>
      <c r="H9" s="58" t="str">
        <f t="shared" ca="1" si="0"/>
        <v/>
      </c>
      <c r="I9" s="58" t="str">
        <f t="shared" ca="1" si="0"/>
        <v/>
      </c>
      <c r="J9" s="58" t="str">
        <f t="shared" ca="1" si="0"/>
        <v/>
      </c>
      <c r="K9" s="58" t="str">
        <f t="shared" ca="1" si="0"/>
        <v/>
      </c>
      <c r="L9" s="58" t="str">
        <f t="shared" ca="1" si="0"/>
        <v/>
      </c>
      <c r="P9" s="246"/>
      <c r="Q9" s="246"/>
      <c r="R9" s="246"/>
      <c r="S9" s="246"/>
      <c r="T9" s="246"/>
      <c r="U9" s="246"/>
      <c r="V9" s="246"/>
      <c r="W9" s="246"/>
      <c r="X9" s="246"/>
      <c r="Y9" s="246"/>
      <c r="Z9" s="246"/>
    </row>
    <row r="10" spans="2:26">
      <c r="B10" s="56" t="str">
        <f>IF('Low Stress Type Gasket'!BE15="","",'Low Stress Type Gasket'!BE15)</f>
        <v/>
      </c>
      <c r="C10" s="58" t="str">
        <f t="shared" ca="1" si="0"/>
        <v/>
      </c>
      <c r="D10" s="58" t="str">
        <f t="shared" ca="1" si="0"/>
        <v/>
      </c>
      <c r="E10" s="58" t="str">
        <f t="shared" ca="1" si="0"/>
        <v/>
      </c>
      <c r="F10" s="58" t="str">
        <f t="shared" ca="1" si="0"/>
        <v/>
      </c>
      <c r="G10" s="58" t="str">
        <f t="shared" ca="1" si="0"/>
        <v/>
      </c>
      <c r="H10" s="58" t="str">
        <f t="shared" ca="1" si="0"/>
        <v/>
      </c>
      <c r="I10" s="58" t="str">
        <f t="shared" ca="1" si="0"/>
        <v/>
      </c>
      <c r="J10" s="58" t="str">
        <f t="shared" ca="1" si="0"/>
        <v/>
      </c>
      <c r="K10" s="58" t="str">
        <f t="shared" ca="1" si="0"/>
        <v/>
      </c>
      <c r="L10" s="58" t="str">
        <f t="shared" ca="1" si="0"/>
        <v/>
      </c>
      <c r="P10" s="246"/>
      <c r="Q10" s="246"/>
      <c r="R10" s="246"/>
      <c r="S10" s="246"/>
      <c r="T10" s="246"/>
      <c r="U10" s="246"/>
      <c r="V10" s="246"/>
      <c r="W10" s="246"/>
      <c r="X10" s="246"/>
      <c r="Y10" s="246"/>
      <c r="Z10" s="246"/>
    </row>
    <row r="11" spans="2:26">
      <c r="B11" s="56" t="str">
        <f>IF('Low Stress Type Gasket'!BE16="","",'Low Stress Type Gasket'!BE16)</f>
        <v/>
      </c>
      <c r="C11" s="58" t="str">
        <f t="shared" ca="1" si="0"/>
        <v/>
      </c>
      <c r="D11" s="58" t="str">
        <f t="shared" ca="1" si="0"/>
        <v/>
      </c>
      <c r="E11" s="58" t="str">
        <f t="shared" ca="1" si="0"/>
        <v/>
      </c>
      <c r="F11" s="58" t="str">
        <f t="shared" ca="1" si="0"/>
        <v/>
      </c>
      <c r="G11" s="58" t="str">
        <f t="shared" ca="1" si="0"/>
        <v/>
      </c>
      <c r="H11" s="58" t="str">
        <f t="shared" ca="1" si="0"/>
        <v/>
      </c>
      <c r="I11" s="58" t="str">
        <f t="shared" ca="1" si="0"/>
        <v/>
      </c>
      <c r="J11" s="58" t="str">
        <f t="shared" ca="1" si="0"/>
        <v/>
      </c>
      <c r="K11" s="58" t="str">
        <f t="shared" ca="1" si="0"/>
        <v/>
      </c>
      <c r="L11" s="58" t="str">
        <f t="shared" ca="1" si="0"/>
        <v/>
      </c>
      <c r="P11" s="246"/>
      <c r="Q11" s="246"/>
      <c r="R11" s="246"/>
      <c r="S11" s="246"/>
      <c r="T11" s="246"/>
      <c r="U11" s="246"/>
      <c r="V11" s="246"/>
      <c r="W11" s="246"/>
      <c r="X11" s="246"/>
      <c r="Y11" s="246"/>
      <c r="Z11" s="246"/>
    </row>
    <row r="12" spans="2:26">
      <c r="B12" s="56" t="str">
        <f>IF('Low Stress Type Gasket'!BE17="","",'Low Stress Type Gasket'!BE17)</f>
        <v/>
      </c>
      <c r="C12" s="58" t="str">
        <f t="shared" ca="1" si="0"/>
        <v/>
      </c>
      <c r="D12" s="58" t="str">
        <f t="shared" ca="1" si="0"/>
        <v/>
      </c>
      <c r="E12" s="58" t="str">
        <f t="shared" ca="1" si="0"/>
        <v/>
      </c>
      <c r="F12" s="58" t="str">
        <f t="shared" ca="1" si="0"/>
        <v/>
      </c>
      <c r="G12" s="58" t="str">
        <f t="shared" ca="1" si="0"/>
        <v/>
      </c>
      <c r="H12" s="58" t="str">
        <f t="shared" ca="1" si="0"/>
        <v/>
      </c>
      <c r="I12" s="58" t="str">
        <f t="shared" ca="1" si="0"/>
        <v/>
      </c>
      <c r="J12" s="58" t="str">
        <f t="shared" ca="1" si="0"/>
        <v/>
      </c>
      <c r="K12" s="58" t="str">
        <f t="shared" ca="1" si="0"/>
        <v/>
      </c>
      <c r="L12" s="58" t="str">
        <f t="shared" ca="1" si="0"/>
        <v/>
      </c>
      <c r="P12" s="241"/>
      <c r="Q12" s="241"/>
      <c r="R12" s="241"/>
      <c r="S12" s="241"/>
      <c r="T12" s="241"/>
      <c r="U12" s="241"/>
      <c r="V12" s="241"/>
      <c r="W12" s="241"/>
      <c r="X12" s="241"/>
      <c r="Y12" s="241"/>
      <c r="Z12" s="241"/>
    </row>
    <row r="13" spans="2:26">
      <c r="B13" s="56" t="str">
        <f>IF('Low Stress Type Gasket'!BE18="","",'Low Stress Type Gasket'!BE18)</f>
        <v/>
      </c>
      <c r="C13" s="58" t="str">
        <f t="shared" ca="1" si="0"/>
        <v/>
      </c>
      <c r="D13" s="58" t="str">
        <f t="shared" ca="1" si="0"/>
        <v/>
      </c>
      <c r="E13" s="58" t="str">
        <f t="shared" ca="1" si="0"/>
        <v/>
      </c>
      <c r="F13" s="58" t="str">
        <f t="shared" ca="1" si="0"/>
        <v/>
      </c>
      <c r="G13" s="58" t="str">
        <f t="shared" ca="1" si="0"/>
        <v/>
      </c>
      <c r="H13" s="58" t="str">
        <f t="shared" ca="1" si="0"/>
        <v/>
      </c>
      <c r="I13" s="58" t="str">
        <f t="shared" ca="1" si="0"/>
        <v/>
      </c>
      <c r="J13" s="58" t="str">
        <f t="shared" ca="1" si="0"/>
        <v/>
      </c>
      <c r="K13" s="58" t="str">
        <f t="shared" ca="1" si="0"/>
        <v/>
      </c>
      <c r="L13" s="58" t="str">
        <f t="shared" ca="1" si="0"/>
        <v/>
      </c>
      <c r="P13" s="246"/>
      <c r="Q13" s="246"/>
      <c r="R13" s="246"/>
      <c r="S13" s="246"/>
      <c r="T13" s="246"/>
      <c r="U13" s="246"/>
      <c r="V13" s="246"/>
      <c r="W13" s="246"/>
      <c r="X13" s="246"/>
      <c r="Y13" s="246"/>
      <c r="Z13" s="246"/>
    </row>
    <row r="14" spans="2:26">
      <c r="B14" s="56" t="str">
        <f>IF('Low Stress Type Gasket'!BE19="","",'Low Stress Type Gasket'!BE19)</f>
        <v/>
      </c>
      <c r="C14" s="58" t="str">
        <f t="shared" ca="1" si="0"/>
        <v/>
      </c>
      <c r="D14" s="58" t="str">
        <f t="shared" ca="1" si="0"/>
        <v/>
      </c>
      <c r="E14" s="58" t="str">
        <f t="shared" ca="1" si="0"/>
        <v/>
      </c>
      <c r="F14" s="58" t="str">
        <f t="shared" ca="1" si="0"/>
        <v/>
      </c>
      <c r="G14" s="58" t="str">
        <f t="shared" ca="1" si="0"/>
        <v/>
      </c>
      <c r="H14" s="58" t="str">
        <f t="shared" ca="1" si="0"/>
        <v/>
      </c>
      <c r="I14" s="58" t="str">
        <f t="shared" ca="1" si="0"/>
        <v/>
      </c>
      <c r="J14" s="58" t="str">
        <f t="shared" ca="1" si="0"/>
        <v/>
      </c>
      <c r="K14" s="58" t="str">
        <f t="shared" ca="1" si="0"/>
        <v/>
      </c>
      <c r="L14" s="58" t="str">
        <f t="shared" ca="1" si="0"/>
        <v/>
      </c>
      <c r="P14" s="246"/>
      <c r="Q14" s="246"/>
      <c r="R14" s="246"/>
      <c r="S14" s="246"/>
      <c r="T14" s="246"/>
      <c r="U14" s="246"/>
      <c r="V14" s="246"/>
      <c r="W14" s="246"/>
      <c r="X14" s="246"/>
      <c r="Y14" s="246"/>
      <c r="Z14" s="246"/>
    </row>
    <row r="15" spans="2:26">
      <c r="B15" s="56" t="str">
        <f>IF('Low Stress Type Gasket'!BE20="","",'Low Stress Type Gasket'!BE20)</f>
        <v/>
      </c>
      <c r="C15" s="58" t="str">
        <f t="shared" ca="1" si="0"/>
        <v/>
      </c>
      <c r="D15" s="58" t="str">
        <f t="shared" ca="1" si="0"/>
        <v/>
      </c>
      <c r="E15" s="58" t="str">
        <f t="shared" ca="1" si="0"/>
        <v/>
      </c>
      <c r="F15" s="58" t="str">
        <f t="shared" ca="1" si="0"/>
        <v/>
      </c>
      <c r="G15" s="58" t="str">
        <f t="shared" ca="1" si="0"/>
        <v/>
      </c>
      <c r="H15" s="58" t="str">
        <f t="shared" ca="1" si="0"/>
        <v/>
      </c>
      <c r="I15" s="58" t="str">
        <f t="shared" ca="1" si="0"/>
        <v/>
      </c>
      <c r="J15" s="58" t="str">
        <f t="shared" ca="1" si="0"/>
        <v/>
      </c>
      <c r="K15" s="58" t="str">
        <f t="shared" ca="1" si="0"/>
        <v/>
      </c>
      <c r="L15" s="58" t="str">
        <f t="shared" ca="1" si="0"/>
        <v/>
      </c>
      <c r="P15" s="241"/>
      <c r="Q15" s="241"/>
      <c r="R15" s="241"/>
      <c r="S15" s="241"/>
      <c r="T15" s="241"/>
      <c r="U15" s="241"/>
      <c r="V15" s="241"/>
      <c r="W15" s="241"/>
      <c r="X15" s="241"/>
      <c r="Y15" s="241"/>
      <c r="Z15" s="241"/>
    </row>
    <row r="16" spans="2:26">
      <c r="B16" s="56" t="str">
        <f>IF('Low Stress Type Gasket'!BE21="","",'Low Stress Type Gasket'!BE21)</f>
        <v/>
      </c>
      <c r="C16" s="58" t="str">
        <f t="shared" ca="1" si="0"/>
        <v/>
      </c>
      <c r="D16" s="58" t="str">
        <f t="shared" ca="1" si="0"/>
        <v/>
      </c>
      <c r="E16" s="58" t="str">
        <f t="shared" ca="1" si="0"/>
        <v/>
      </c>
      <c r="F16" s="58" t="str">
        <f t="shared" ca="1" si="0"/>
        <v/>
      </c>
      <c r="G16" s="58" t="str">
        <f t="shared" ca="1" si="0"/>
        <v/>
      </c>
      <c r="H16" s="58" t="str">
        <f t="shared" ca="1" si="0"/>
        <v/>
      </c>
      <c r="I16" s="58" t="str">
        <f t="shared" ca="1" si="0"/>
        <v/>
      </c>
      <c r="J16" s="58" t="str">
        <f t="shared" ca="1" si="0"/>
        <v/>
      </c>
      <c r="K16" s="58" t="str">
        <f t="shared" ca="1" si="0"/>
        <v/>
      </c>
      <c r="L16" s="58" t="str">
        <f t="shared" ca="1" si="0"/>
        <v/>
      </c>
      <c r="P16" s="246"/>
      <c r="Q16" s="246"/>
      <c r="R16" s="246"/>
      <c r="S16" s="246"/>
      <c r="T16" s="246"/>
      <c r="U16" s="246"/>
      <c r="V16" s="246"/>
      <c r="W16" s="246"/>
      <c r="X16" s="246"/>
      <c r="Y16" s="246"/>
      <c r="Z16" s="246"/>
    </row>
    <row r="17" spans="2:26">
      <c r="B17" s="56" t="str">
        <f>IF('Low Stress Type Gasket'!BE22="","",'Low Stress Type Gasket'!BE22)</f>
        <v/>
      </c>
      <c r="C17" s="58" t="str">
        <f t="shared" ca="1" si="0"/>
        <v/>
      </c>
      <c r="D17" s="58" t="str">
        <f t="shared" ca="1" si="0"/>
        <v/>
      </c>
      <c r="E17" s="58" t="str">
        <f t="shared" ca="1" si="0"/>
        <v/>
      </c>
      <c r="F17" s="58" t="str">
        <f t="shared" ca="1" si="0"/>
        <v/>
      </c>
      <c r="G17" s="58" t="str">
        <f t="shared" ca="1" si="0"/>
        <v/>
      </c>
      <c r="H17" s="58" t="str">
        <f t="shared" ca="1" si="0"/>
        <v/>
      </c>
      <c r="I17" s="58" t="str">
        <f t="shared" ca="1" si="0"/>
        <v/>
      </c>
      <c r="J17" s="58" t="str">
        <f t="shared" ca="1" si="0"/>
        <v/>
      </c>
      <c r="K17" s="58" t="str">
        <f t="shared" ca="1" si="0"/>
        <v/>
      </c>
      <c r="L17" s="58" t="str">
        <f t="shared" ca="1" si="0"/>
        <v/>
      </c>
      <c r="P17" s="246"/>
      <c r="Q17" s="246"/>
      <c r="R17" s="246"/>
      <c r="S17" s="246"/>
      <c r="T17" s="246"/>
      <c r="U17" s="246"/>
      <c r="V17" s="246"/>
      <c r="W17" s="246"/>
      <c r="X17" s="246"/>
      <c r="Y17" s="246"/>
      <c r="Z17" s="246"/>
    </row>
    <row r="18" spans="2:26">
      <c r="B18" s="56" t="str">
        <f>IF('Low Stress Type Gasket'!BE23="","",'Low Stress Type Gasket'!BE23)</f>
        <v/>
      </c>
      <c r="C18" s="58" t="str">
        <f t="shared" ca="1" si="0"/>
        <v/>
      </c>
      <c r="D18" s="58" t="str">
        <f t="shared" ca="1" si="0"/>
        <v/>
      </c>
      <c r="E18" s="58" t="str">
        <f t="shared" ca="1" si="0"/>
        <v/>
      </c>
      <c r="F18" s="58" t="str">
        <f t="shared" ca="1" si="0"/>
        <v/>
      </c>
      <c r="G18" s="58" t="str">
        <f t="shared" ca="1" si="0"/>
        <v/>
      </c>
      <c r="H18" s="58" t="str">
        <f t="shared" ca="1" si="0"/>
        <v/>
      </c>
      <c r="I18" s="58" t="str">
        <f t="shared" ca="1" si="0"/>
        <v/>
      </c>
      <c r="J18" s="58" t="str">
        <f t="shared" ca="1" si="0"/>
        <v/>
      </c>
      <c r="K18" s="58" t="str">
        <f t="shared" ca="1" si="0"/>
        <v/>
      </c>
      <c r="L18" s="58" t="str">
        <f t="shared" ca="1" si="0"/>
        <v/>
      </c>
      <c r="P18" s="241"/>
      <c r="Q18" s="241"/>
      <c r="R18" s="241"/>
      <c r="S18" s="241"/>
      <c r="T18" s="241"/>
      <c r="U18" s="241"/>
      <c r="V18" s="241"/>
      <c r="W18" s="241"/>
      <c r="X18" s="241"/>
      <c r="Y18" s="241"/>
      <c r="Z18" s="241"/>
    </row>
    <row r="19" spans="2:26">
      <c r="B19" s="56" t="str">
        <f>IF('Low Stress Type Gasket'!BE24="","",'Low Stress Type Gasket'!BE24)</f>
        <v/>
      </c>
      <c r="C19" s="58" t="str">
        <f t="shared" ca="1" si="0"/>
        <v/>
      </c>
      <c r="D19" s="58" t="str">
        <f t="shared" ca="1" si="0"/>
        <v/>
      </c>
      <c r="E19" s="58" t="str">
        <f t="shared" ca="1" si="0"/>
        <v/>
      </c>
      <c r="F19" s="58" t="str">
        <f t="shared" ca="1" si="0"/>
        <v/>
      </c>
      <c r="G19" s="58" t="str">
        <f t="shared" ca="1" si="0"/>
        <v/>
      </c>
      <c r="H19" s="58" t="str">
        <f t="shared" ca="1" si="0"/>
        <v/>
      </c>
      <c r="I19" s="58" t="str">
        <f t="shared" ca="1" si="0"/>
        <v/>
      </c>
      <c r="J19" s="58" t="str">
        <f t="shared" ca="1" si="0"/>
        <v/>
      </c>
      <c r="K19" s="58" t="str">
        <f t="shared" ca="1" si="0"/>
        <v/>
      </c>
      <c r="L19" s="58" t="str">
        <f t="shared" ca="1" si="0"/>
        <v/>
      </c>
      <c r="P19" s="246"/>
      <c r="Q19" s="246"/>
      <c r="R19" s="246"/>
      <c r="S19" s="246"/>
      <c r="T19" s="246"/>
      <c r="U19" s="246"/>
      <c r="V19" s="246"/>
      <c r="W19" s="246"/>
      <c r="X19" s="246"/>
      <c r="Y19" s="246"/>
      <c r="Z19" s="246"/>
    </row>
    <row r="20" spans="2:26">
      <c r="B20" s="56" t="str">
        <f>IF('Low Stress Type Gasket'!BE25="","",'Low Stress Type Gasket'!BE25)</f>
        <v/>
      </c>
      <c r="C20" s="58" t="str">
        <f t="shared" ca="1" si="0"/>
        <v/>
      </c>
      <c r="D20" s="58" t="str">
        <f t="shared" ca="1" si="0"/>
        <v/>
      </c>
      <c r="E20" s="58" t="str">
        <f t="shared" ca="1" si="0"/>
        <v/>
      </c>
      <c r="F20" s="58" t="str">
        <f t="shared" ca="1" si="0"/>
        <v/>
      </c>
      <c r="G20" s="58" t="str">
        <f t="shared" ca="1" si="0"/>
        <v/>
      </c>
      <c r="H20" s="58" t="str">
        <f t="shared" ca="1" si="0"/>
        <v/>
      </c>
      <c r="I20" s="58" t="str">
        <f t="shared" ca="1" si="0"/>
        <v/>
      </c>
      <c r="J20" s="58" t="str">
        <f t="shared" ca="1" si="0"/>
        <v/>
      </c>
      <c r="K20" s="58" t="str">
        <f t="shared" ca="1" si="0"/>
        <v/>
      </c>
      <c r="L20" s="58" t="str">
        <f t="shared" ca="1" si="0"/>
        <v/>
      </c>
      <c r="P20" s="246"/>
      <c r="Q20" s="246"/>
      <c r="R20" s="246"/>
      <c r="S20" s="246"/>
      <c r="T20" s="246"/>
      <c r="U20" s="246"/>
      <c r="V20" s="246"/>
      <c r="W20" s="246"/>
      <c r="X20" s="246"/>
      <c r="Y20" s="246"/>
      <c r="Z20" s="246"/>
    </row>
    <row r="21" spans="2:26">
      <c r="B21" s="56" t="str">
        <f>IF('Low Stress Type Gasket'!BE26="","",'Low Stress Type Gasket'!BE26)</f>
        <v/>
      </c>
      <c r="C21" s="58" t="str">
        <f t="shared" ca="1" si="0"/>
        <v/>
      </c>
      <c r="D21" s="58" t="str">
        <f t="shared" ca="1" si="0"/>
        <v/>
      </c>
      <c r="E21" s="58" t="str">
        <f t="shared" ca="1" si="0"/>
        <v/>
      </c>
      <c r="F21" s="58" t="str">
        <f t="shared" ca="1" si="0"/>
        <v/>
      </c>
      <c r="G21" s="58" t="str">
        <f t="shared" ca="1" si="0"/>
        <v/>
      </c>
      <c r="H21" s="58" t="str">
        <f t="shared" ca="1" si="0"/>
        <v/>
      </c>
      <c r="I21" s="58" t="str">
        <f t="shared" ca="1" si="0"/>
        <v/>
      </c>
      <c r="J21" s="58" t="str">
        <f t="shared" ca="1" si="0"/>
        <v/>
      </c>
      <c r="K21" s="58" t="str">
        <f t="shared" ca="1" si="0"/>
        <v/>
      </c>
      <c r="L21" s="58" t="str">
        <f t="shared" ca="1" si="0"/>
        <v/>
      </c>
      <c r="P21" s="241"/>
      <c r="Q21" s="241"/>
      <c r="R21" s="241"/>
      <c r="S21" s="241"/>
      <c r="T21" s="241"/>
      <c r="U21" s="241"/>
      <c r="V21" s="241"/>
      <c r="W21" s="241"/>
      <c r="X21" s="241"/>
      <c r="Y21" s="241"/>
      <c r="Z21" s="241"/>
    </row>
    <row r="22" spans="2:26">
      <c r="B22" s="56" t="str">
        <f>IF('Low Stress Type Gasket'!BE27="","",'Low Stress Type Gasket'!BE27)</f>
        <v/>
      </c>
      <c r="C22" s="58" t="str">
        <f t="shared" ref="C22:L37" ca="1" si="1">IF($M$4=0,"",VLOOKUP($B22,INDIRECT("$P$1:$Z$"&amp;$M$4),COLUMN()-1,0))</f>
        <v/>
      </c>
      <c r="D22" s="58" t="str">
        <f t="shared" ca="1" si="1"/>
        <v/>
      </c>
      <c r="E22" s="58" t="str">
        <f t="shared" ca="1" si="1"/>
        <v/>
      </c>
      <c r="F22" s="58" t="str">
        <f t="shared" ca="1" si="1"/>
        <v/>
      </c>
      <c r="G22" s="58" t="str">
        <f t="shared" ca="1" si="1"/>
        <v/>
      </c>
      <c r="H22" s="58" t="str">
        <f t="shared" ca="1" si="1"/>
        <v/>
      </c>
      <c r="I22" s="58" t="str">
        <f t="shared" ca="1" si="1"/>
        <v/>
      </c>
      <c r="J22" s="58" t="str">
        <f t="shared" ca="1" si="1"/>
        <v/>
      </c>
      <c r="K22" s="58" t="str">
        <f t="shared" ca="1" si="1"/>
        <v/>
      </c>
      <c r="L22" s="58" t="str">
        <f t="shared" ca="1" si="1"/>
        <v/>
      </c>
      <c r="P22" s="246"/>
      <c r="Q22" s="246"/>
      <c r="R22" s="246"/>
      <c r="S22" s="246"/>
      <c r="T22" s="246"/>
      <c r="U22" s="246"/>
      <c r="V22" s="246"/>
      <c r="W22" s="246"/>
      <c r="X22" s="246"/>
      <c r="Y22" s="246"/>
      <c r="Z22" s="246"/>
    </row>
    <row r="23" spans="2:26">
      <c r="B23" s="56" t="str">
        <f>IF('Low Stress Type Gasket'!BE28="","",'Low Stress Type Gasket'!BE28)</f>
        <v/>
      </c>
      <c r="C23" s="58" t="str">
        <f t="shared" ca="1" si="1"/>
        <v/>
      </c>
      <c r="D23" s="58" t="str">
        <f t="shared" ca="1" si="1"/>
        <v/>
      </c>
      <c r="E23" s="58" t="str">
        <f t="shared" ca="1" si="1"/>
        <v/>
      </c>
      <c r="F23" s="58" t="str">
        <f t="shared" ca="1" si="1"/>
        <v/>
      </c>
      <c r="G23" s="58" t="str">
        <f t="shared" ca="1" si="1"/>
        <v/>
      </c>
      <c r="H23" s="58" t="str">
        <f t="shared" ca="1" si="1"/>
        <v/>
      </c>
      <c r="I23" s="58" t="str">
        <f t="shared" ca="1" si="1"/>
        <v/>
      </c>
      <c r="J23" s="58" t="str">
        <f t="shared" ca="1" si="1"/>
        <v/>
      </c>
      <c r="K23" s="58" t="str">
        <f t="shared" ca="1" si="1"/>
        <v/>
      </c>
      <c r="L23" s="58" t="str">
        <f t="shared" ca="1" si="1"/>
        <v/>
      </c>
      <c r="P23" s="246"/>
      <c r="Q23" s="246"/>
      <c r="R23" s="246"/>
      <c r="S23" s="246"/>
      <c r="T23" s="246"/>
      <c r="U23" s="246"/>
      <c r="V23" s="246"/>
      <c r="W23" s="246"/>
      <c r="X23" s="246"/>
      <c r="Y23" s="246"/>
      <c r="Z23" s="246"/>
    </row>
    <row r="24" spans="2:26">
      <c r="B24" s="56" t="str">
        <f>IF('Low Stress Type Gasket'!BE29="","",'Low Stress Type Gasket'!BE29)</f>
        <v/>
      </c>
      <c r="C24" s="58" t="str">
        <f t="shared" ca="1" si="1"/>
        <v/>
      </c>
      <c r="D24" s="58" t="str">
        <f t="shared" ca="1" si="1"/>
        <v/>
      </c>
      <c r="E24" s="58" t="str">
        <f t="shared" ca="1" si="1"/>
        <v/>
      </c>
      <c r="F24" s="58" t="str">
        <f t="shared" ca="1" si="1"/>
        <v/>
      </c>
      <c r="G24" s="58" t="str">
        <f t="shared" ca="1" si="1"/>
        <v/>
      </c>
      <c r="H24" s="58" t="str">
        <f t="shared" ca="1" si="1"/>
        <v/>
      </c>
      <c r="I24" s="58" t="str">
        <f t="shared" ca="1" si="1"/>
        <v/>
      </c>
      <c r="J24" s="58" t="str">
        <f t="shared" ca="1" si="1"/>
        <v/>
      </c>
      <c r="K24" s="58" t="str">
        <f t="shared" ca="1" si="1"/>
        <v/>
      </c>
      <c r="L24" s="58" t="str">
        <f t="shared" ca="1" si="1"/>
        <v/>
      </c>
      <c r="P24" s="241"/>
      <c r="Q24" s="241"/>
      <c r="R24" s="241"/>
      <c r="S24" s="241"/>
      <c r="T24" s="241"/>
      <c r="U24" s="241"/>
      <c r="V24" s="241"/>
      <c r="W24" s="241"/>
      <c r="X24" s="241"/>
      <c r="Y24" s="241"/>
      <c r="Z24" s="241"/>
    </row>
    <row r="25" spans="2:26">
      <c r="B25" s="56" t="str">
        <f>IF('Low Stress Type Gasket'!BE30="","",'Low Stress Type Gasket'!BE30)</f>
        <v/>
      </c>
      <c r="C25" s="58" t="str">
        <f t="shared" ca="1" si="1"/>
        <v/>
      </c>
      <c r="D25" s="58" t="str">
        <f t="shared" ca="1" si="1"/>
        <v/>
      </c>
      <c r="E25" s="58" t="str">
        <f t="shared" ca="1" si="1"/>
        <v/>
      </c>
      <c r="F25" s="58" t="str">
        <f t="shared" ca="1" si="1"/>
        <v/>
      </c>
      <c r="G25" s="58" t="str">
        <f t="shared" ca="1" si="1"/>
        <v/>
      </c>
      <c r="H25" s="58" t="str">
        <f t="shared" ca="1" si="1"/>
        <v/>
      </c>
      <c r="I25" s="58" t="str">
        <f t="shared" ca="1" si="1"/>
        <v/>
      </c>
      <c r="J25" s="58" t="str">
        <f t="shared" ca="1" si="1"/>
        <v/>
      </c>
      <c r="K25" s="58" t="str">
        <f t="shared" ca="1" si="1"/>
        <v/>
      </c>
      <c r="L25" s="58" t="str">
        <f t="shared" ca="1" si="1"/>
        <v/>
      </c>
      <c r="P25" s="246"/>
      <c r="Q25" s="246"/>
      <c r="R25" s="246"/>
      <c r="S25" s="246"/>
      <c r="T25" s="246"/>
      <c r="U25" s="246"/>
      <c r="V25" s="246"/>
      <c r="W25" s="246"/>
      <c r="X25" s="246"/>
      <c r="Y25" s="246"/>
      <c r="Z25" s="246"/>
    </row>
    <row r="26" spans="2:26">
      <c r="B26" s="56" t="str">
        <f>IF('Low Stress Type Gasket'!BE31="","",'Low Stress Type Gasket'!BE31)</f>
        <v/>
      </c>
      <c r="C26" s="58" t="str">
        <f t="shared" ca="1" si="1"/>
        <v/>
      </c>
      <c r="D26" s="58" t="str">
        <f t="shared" ca="1" si="1"/>
        <v/>
      </c>
      <c r="E26" s="58" t="str">
        <f t="shared" ca="1" si="1"/>
        <v/>
      </c>
      <c r="F26" s="58" t="str">
        <f t="shared" ca="1" si="1"/>
        <v/>
      </c>
      <c r="G26" s="58" t="str">
        <f t="shared" ca="1" si="1"/>
        <v/>
      </c>
      <c r="H26" s="58" t="str">
        <f t="shared" ca="1" si="1"/>
        <v/>
      </c>
      <c r="I26" s="58" t="str">
        <f t="shared" ca="1" si="1"/>
        <v/>
      </c>
      <c r="J26" s="58" t="str">
        <f t="shared" ca="1" si="1"/>
        <v/>
      </c>
      <c r="K26" s="58" t="str">
        <f t="shared" ca="1" si="1"/>
        <v/>
      </c>
      <c r="L26" s="58" t="str">
        <f t="shared" ca="1" si="1"/>
        <v/>
      </c>
      <c r="P26" s="246"/>
      <c r="Q26" s="246"/>
      <c r="R26" s="246"/>
      <c r="S26" s="246"/>
      <c r="T26" s="246"/>
      <c r="U26" s="246"/>
      <c r="V26" s="246"/>
      <c r="W26" s="246"/>
      <c r="X26" s="246"/>
      <c r="Y26" s="246"/>
      <c r="Z26" s="246"/>
    </row>
    <row r="27" spans="2:26">
      <c r="B27" s="56" t="str">
        <f>IF('Low Stress Type Gasket'!BE32="","",'Low Stress Type Gasket'!BE32)</f>
        <v/>
      </c>
      <c r="C27" s="58" t="str">
        <f t="shared" ca="1" si="1"/>
        <v/>
      </c>
      <c r="D27" s="58" t="str">
        <f t="shared" ca="1" si="1"/>
        <v/>
      </c>
      <c r="E27" s="58" t="str">
        <f t="shared" ca="1" si="1"/>
        <v/>
      </c>
      <c r="F27" s="58" t="str">
        <f t="shared" ca="1" si="1"/>
        <v/>
      </c>
      <c r="G27" s="58" t="str">
        <f t="shared" ca="1" si="1"/>
        <v/>
      </c>
      <c r="H27" s="58" t="str">
        <f t="shared" ca="1" si="1"/>
        <v/>
      </c>
      <c r="I27" s="58" t="str">
        <f t="shared" ca="1" si="1"/>
        <v/>
      </c>
      <c r="J27" s="58" t="str">
        <f t="shared" ca="1" si="1"/>
        <v/>
      </c>
      <c r="K27" s="58" t="str">
        <f t="shared" ca="1" si="1"/>
        <v/>
      </c>
      <c r="L27" s="58" t="str">
        <f t="shared" ca="1" si="1"/>
        <v/>
      </c>
      <c r="P27" s="241"/>
      <c r="Q27" s="241"/>
      <c r="R27" s="241"/>
      <c r="S27" s="241"/>
      <c r="T27" s="241"/>
      <c r="U27" s="241"/>
      <c r="V27" s="241"/>
      <c r="W27" s="241"/>
      <c r="X27" s="241"/>
      <c r="Y27" s="241"/>
      <c r="Z27" s="241"/>
    </row>
    <row r="28" spans="2:26">
      <c r="B28" s="56" t="str">
        <f>IF('Low Stress Type Gasket'!BE33="","",'Low Stress Type Gasket'!BE33)</f>
        <v/>
      </c>
      <c r="C28" s="58" t="str">
        <f t="shared" ca="1" si="1"/>
        <v/>
      </c>
      <c r="D28" s="58" t="str">
        <f t="shared" ca="1" si="1"/>
        <v/>
      </c>
      <c r="E28" s="58" t="str">
        <f t="shared" ca="1" si="1"/>
        <v/>
      </c>
      <c r="F28" s="58" t="str">
        <f t="shared" ca="1" si="1"/>
        <v/>
      </c>
      <c r="G28" s="58" t="str">
        <f t="shared" ca="1" si="1"/>
        <v/>
      </c>
      <c r="H28" s="58" t="str">
        <f t="shared" ca="1" si="1"/>
        <v/>
      </c>
      <c r="I28" s="58" t="str">
        <f t="shared" ca="1" si="1"/>
        <v/>
      </c>
      <c r="J28" s="58" t="str">
        <f t="shared" ca="1" si="1"/>
        <v/>
      </c>
      <c r="K28" s="58" t="str">
        <f t="shared" ca="1" si="1"/>
        <v/>
      </c>
      <c r="L28" s="58" t="str">
        <f t="shared" ca="1" si="1"/>
        <v/>
      </c>
      <c r="P28" s="246"/>
      <c r="Q28" s="246"/>
      <c r="R28" s="246"/>
      <c r="S28" s="246"/>
      <c r="T28" s="246"/>
      <c r="U28" s="246"/>
      <c r="V28" s="246"/>
      <c r="W28" s="246"/>
      <c r="X28" s="246"/>
      <c r="Y28" s="246"/>
      <c r="Z28" s="246"/>
    </row>
    <row r="29" spans="2:26">
      <c r="B29" s="56" t="str">
        <f>IF('Low Stress Type Gasket'!BE34="","",'Low Stress Type Gasket'!BE34)</f>
        <v/>
      </c>
      <c r="C29" s="58" t="str">
        <f t="shared" ca="1" si="1"/>
        <v/>
      </c>
      <c r="D29" s="58" t="str">
        <f t="shared" ca="1" si="1"/>
        <v/>
      </c>
      <c r="E29" s="58" t="str">
        <f t="shared" ca="1" si="1"/>
        <v/>
      </c>
      <c r="F29" s="58" t="str">
        <f t="shared" ca="1" si="1"/>
        <v/>
      </c>
      <c r="G29" s="58" t="str">
        <f t="shared" ca="1" si="1"/>
        <v/>
      </c>
      <c r="H29" s="58" t="str">
        <f t="shared" ca="1" si="1"/>
        <v/>
      </c>
      <c r="I29" s="58" t="str">
        <f t="shared" ca="1" si="1"/>
        <v/>
      </c>
      <c r="J29" s="58" t="str">
        <f t="shared" ca="1" si="1"/>
        <v/>
      </c>
      <c r="K29" s="58" t="str">
        <f t="shared" ca="1" si="1"/>
        <v/>
      </c>
      <c r="L29" s="58" t="str">
        <f t="shared" ca="1" si="1"/>
        <v/>
      </c>
      <c r="P29" s="246"/>
      <c r="Q29" s="246"/>
      <c r="R29" s="246"/>
      <c r="S29" s="246"/>
      <c r="T29" s="246"/>
      <c r="U29" s="246"/>
      <c r="V29" s="246"/>
      <c r="W29" s="246"/>
      <c r="X29" s="246"/>
      <c r="Y29" s="246"/>
      <c r="Z29" s="246"/>
    </row>
    <row r="30" spans="2:26">
      <c r="B30" s="56" t="str">
        <f>IF('Low Stress Type Gasket'!BE35="","",'Low Stress Type Gasket'!BE35)</f>
        <v/>
      </c>
      <c r="C30" s="58" t="str">
        <f t="shared" ca="1" si="1"/>
        <v/>
      </c>
      <c r="D30" s="58" t="str">
        <f t="shared" ca="1" si="1"/>
        <v/>
      </c>
      <c r="E30" s="58" t="str">
        <f t="shared" ca="1" si="1"/>
        <v/>
      </c>
      <c r="F30" s="58" t="str">
        <f t="shared" ca="1" si="1"/>
        <v/>
      </c>
      <c r="G30" s="58" t="str">
        <f t="shared" ca="1" si="1"/>
        <v/>
      </c>
      <c r="H30" s="58" t="str">
        <f t="shared" ca="1" si="1"/>
        <v/>
      </c>
      <c r="I30" s="58" t="str">
        <f t="shared" ca="1" si="1"/>
        <v/>
      </c>
      <c r="J30" s="58" t="str">
        <f t="shared" ca="1" si="1"/>
        <v/>
      </c>
      <c r="K30" s="58" t="str">
        <f t="shared" ca="1" si="1"/>
        <v/>
      </c>
      <c r="L30" s="58" t="str">
        <f t="shared" ca="1" si="1"/>
        <v/>
      </c>
      <c r="P30" s="241"/>
      <c r="Q30" s="241"/>
      <c r="R30" s="241"/>
      <c r="S30" s="241"/>
      <c r="T30" s="241"/>
      <c r="U30" s="241"/>
      <c r="V30" s="241"/>
      <c r="W30" s="241"/>
      <c r="X30" s="241"/>
      <c r="Y30" s="241"/>
      <c r="Z30" s="241"/>
    </row>
    <row r="31" spans="2:26">
      <c r="B31" s="56" t="str">
        <f>IF('Low Stress Type Gasket'!BE36="","",'Low Stress Type Gasket'!BE36)</f>
        <v/>
      </c>
      <c r="C31" s="58" t="str">
        <f t="shared" ca="1" si="1"/>
        <v/>
      </c>
      <c r="D31" s="58" t="str">
        <f t="shared" ca="1" si="1"/>
        <v/>
      </c>
      <c r="E31" s="58" t="str">
        <f t="shared" ca="1" si="1"/>
        <v/>
      </c>
      <c r="F31" s="58" t="str">
        <f t="shared" ca="1" si="1"/>
        <v/>
      </c>
      <c r="G31" s="58" t="str">
        <f t="shared" ca="1" si="1"/>
        <v/>
      </c>
      <c r="H31" s="58" t="str">
        <f t="shared" ca="1" si="1"/>
        <v/>
      </c>
      <c r="I31" s="58" t="str">
        <f t="shared" ca="1" si="1"/>
        <v/>
      </c>
      <c r="J31" s="58" t="str">
        <f t="shared" ca="1" si="1"/>
        <v/>
      </c>
      <c r="K31" s="58" t="str">
        <f t="shared" ca="1" si="1"/>
        <v/>
      </c>
      <c r="L31" s="58" t="str">
        <f t="shared" ca="1" si="1"/>
        <v/>
      </c>
      <c r="P31" s="246"/>
      <c r="Q31" s="246"/>
      <c r="R31" s="246"/>
      <c r="S31" s="246"/>
      <c r="T31" s="246"/>
      <c r="U31" s="246"/>
      <c r="V31" s="246"/>
      <c r="W31" s="246"/>
      <c r="X31" s="246"/>
      <c r="Y31" s="246"/>
      <c r="Z31" s="246"/>
    </row>
    <row r="32" spans="2:26">
      <c r="B32" s="56" t="str">
        <f>IF('Low Stress Type Gasket'!BE37="","",'Low Stress Type Gasket'!BE37)</f>
        <v/>
      </c>
      <c r="C32" s="58" t="str">
        <f t="shared" ca="1" si="1"/>
        <v/>
      </c>
      <c r="D32" s="58" t="str">
        <f t="shared" ca="1" si="1"/>
        <v/>
      </c>
      <c r="E32" s="58" t="str">
        <f t="shared" ca="1" si="1"/>
        <v/>
      </c>
      <c r="F32" s="58" t="str">
        <f t="shared" ca="1" si="1"/>
        <v/>
      </c>
      <c r="G32" s="58" t="str">
        <f t="shared" ca="1" si="1"/>
        <v/>
      </c>
      <c r="H32" s="58" t="str">
        <f t="shared" ca="1" si="1"/>
        <v/>
      </c>
      <c r="I32" s="58" t="str">
        <f t="shared" ca="1" si="1"/>
        <v/>
      </c>
      <c r="J32" s="58" t="str">
        <f t="shared" ca="1" si="1"/>
        <v/>
      </c>
      <c r="K32" s="58" t="str">
        <f t="shared" ca="1" si="1"/>
        <v/>
      </c>
      <c r="L32" s="58" t="str">
        <f t="shared" ca="1" si="1"/>
        <v/>
      </c>
      <c r="P32" s="246"/>
      <c r="Q32" s="246"/>
      <c r="R32" s="246"/>
      <c r="S32" s="246"/>
      <c r="T32" s="246"/>
      <c r="U32" s="246"/>
      <c r="V32" s="246"/>
      <c r="W32" s="246"/>
      <c r="X32" s="246"/>
      <c r="Y32" s="246"/>
      <c r="Z32" s="246"/>
    </row>
    <row r="33" spans="2:26">
      <c r="B33" s="56" t="str">
        <f>IF('Low Stress Type Gasket'!BE38="","",'Low Stress Type Gasket'!BE38)</f>
        <v/>
      </c>
      <c r="C33" s="58" t="str">
        <f t="shared" ca="1" si="1"/>
        <v/>
      </c>
      <c r="D33" s="58" t="str">
        <f t="shared" ca="1" si="1"/>
        <v/>
      </c>
      <c r="E33" s="58" t="str">
        <f t="shared" ca="1" si="1"/>
        <v/>
      </c>
      <c r="F33" s="58" t="str">
        <f t="shared" ca="1" si="1"/>
        <v/>
      </c>
      <c r="G33" s="58" t="str">
        <f t="shared" ca="1" si="1"/>
        <v/>
      </c>
      <c r="H33" s="58" t="str">
        <f t="shared" ca="1" si="1"/>
        <v/>
      </c>
      <c r="I33" s="58" t="str">
        <f t="shared" ca="1" si="1"/>
        <v/>
      </c>
      <c r="J33" s="58" t="str">
        <f t="shared" ca="1" si="1"/>
        <v/>
      </c>
      <c r="K33" s="58" t="str">
        <f t="shared" ca="1" si="1"/>
        <v/>
      </c>
      <c r="L33" s="58" t="str">
        <f t="shared" ca="1" si="1"/>
        <v/>
      </c>
      <c r="P33" s="241"/>
      <c r="Q33" s="241"/>
      <c r="R33" s="241"/>
      <c r="S33" s="241"/>
      <c r="T33" s="241"/>
      <c r="U33" s="241"/>
      <c r="V33" s="241"/>
      <c r="W33" s="241"/>
      <c r="X33" s="241"/>
      <c r="Y33" s="241"/>
      <c r="Z33" s="241"/>
    </row>
    <row r="34" spans="2:26">
      <c r="B34" s="56" t="str">
        <f>IF('Low Stress Type Gasket'!BE39="","",'Low Stress Type Gasket'!BE39)</f>
        <v/>
      </c>
      <c r="C34" s="58" t="str">
        <f t="shared" ca="1" si="1"/>
        <v/>
      </c>
      <c r="D34" s="58" t="str">
        <f t="shared" ca="1" si="1"/>
        <v/>
      </c>
      <c r="E34" s="58" t="str">
        <f t="shared" ca="1" si="1"/>
        <v/>
      </c>
      <c r="F34" s="58" t="str">
        <f t="shared" ca="1" si="1"/>
        <v/>
      </c>
      <c r="G34" s="58" t="str">
        <f t="shared" ca="1" si="1"/>
        <v/>
      </c>
      <c r="H34" s="58" t="str">
        <f t="shared" ca="1" si="1"/>
        <v/>
      </c>
      <c r="I34" s="58" t="str">
        <f t="shared" ca="1" si="1"/>
        <v/>
      </c>
      <c r="J34" s="58" t="str">
        <f t="shared" ca="1" si="1"/>
        <v/>
      </c>
      <c r="K34" s="58" t="str">
        <f t="shared" ca="1" si="1"/>
        <v/>
      </c>
      <c r="L34" s="58" t="str">
        <f t="shared" ca="1" si="1"/>
        <v/>
      </c>
      <c r="P34" s="246"/>
      <c r="Q34" s="246"/>
      <c r="R34" s="246"/>
      <c r="S34" s="246"/>
      <c r="T34" s="246"/>
      <c r="U34" s="246"/>
      <c r="V34" s="246"/>
      <c r="W34" s="246"/>
      <c r="X34" s="246"/>
      <c r="Y34" s="246"/>
      <c r="Z34" s="246"/>
    </row>
    <row r="35" spans="2:26">
      <c r="B35" s="56" t="str">
        <f>IF('Low Stress Type Gasket'!BE40="","",'Low Stress Type Gasket'!BE40)</f>
        <v/>
      </c>
      <c r="C35" s="58" t="str">
        <f t="shared" ca="1" si="1"/>
        <v/>
      </c>
      <c r="D35" s="58" t="str">
        <f t="shared" ca="1" si="1"/>
        <v/>
      </c>
      <c r="E35" s="58" t="str">
        <f t="shared" ca="1" si="1"/>
        <v/>
      </c>
      <c r="F35" s="58" t="str">
        <f t="shared" ca="1" si="1"/>
        <v/>
      </c>
      <c r="G35" s="58" t="str">
        <f t="shared" ca="1" si="1"/>
        <v/>
      </c>
      <c r="H35" s="58" t="str">
        <f t="shared" ca="1" si="1"/>
        <v/>
      </c>
      <c r="I35" s="58" t="str">
        <f t="shared" ca="1" si="1"/>
        <v/>
      </c>
      <c r="J35" s="58" t="str">
        <f t="shared" ca="1" si="1"/>
        <v/>
      </c>
      <c r="K35" s="58" t="str">
        <f t="shared" ca="1" si="1"/>
        <v/>
      </c>
      <c r="L35" s="58" t="str">
        <f t="shared" ca="1" si="1"/>
        <v/>
      </c>
      <c r="P35" s="246"/>
      <c r="Q35" s="246"/>
      <c r="R35" s="246"/>
      <c r="S35" s="246"/>
      <c r="T35" s="246"/>
      <c r="U35" s="246"/>
      <c r="V35" s="246"/>
      <c r="W35" s="246"/>
      <c r="X35" s="246"/>
      <c r="Y35" s="246"/>
      <c r="Z35" s="246"/>
    </row>
    <row r="36" spans="2:26">
      <c r="B36" s="56" t="str">
        <f>IF('Low Stress Type Gasket'!BE41="","",'Low Stress Type Gasket'!BE41)</f>
        <v/>
      </c>
      <c r="C36" s="58" t="str">
        <f t="shared" ca="1" si="1"/>
        <v/>
      </c>
      <c r="D36" s="58" t="str">
        <f t="shared" ca="1" si="1"/>
        <v/>
      </c>
      <c r="E36" s="58" t="str">
        <f t="shared" ca="1" si="1"/>
        <v/>
      </c>
      <c r="F36" s="58" t="str">
        <f t="shared" ca="1" si="1"/>
        <v/>
      </c>
      <c r="G36" s="58" t="str">
        <f t="shared" ca="1" si="1"/>
        <v/>
      </c>
      <c r="H36" s="58" t="str">
        <f t="shared" ca="1" si="1"/>
        <v/>
      </c>
      <c r="I36" s="58" t="str">
        <f t="shared" ca="1" si="1"/>
        <v/>
      </c>
      <c r="J36" s="58" t="str">
        <f t="shared" ca="1" si="1"/>
        <v/>
      </c>
      <c r="K36" s="58" t="str">
        <f t="shared" ca="1" si="1"/>
        <v/>
      </c>
      <c r="L36" s="58" t="str">
        <f t="shared" ca="1" si="1"/>
        <v/>
      </c>
      <c r="P36" s="241"/>
      <c r="Q36" s="241"/>
      <c r="R36" s="241"/>
      <c r="S36" s="241"/>
      <c r="T36" s="241"/>
      <c r="U36" s="241"/>
      <c r="V36" s="241"/>
      <c r="W36" s="241"/>
      <c r="X36" s="241"/>
      <c r="Y36" s="241"/>
      <c r="Z36" s="241"/>
    </row>
    <row r="37" spans="2:26">
      <c r="B37" s="56" t="str">
        <f>IF('Low Stress Type Gasket'!BE42="","",'Low Stress Type Gasket'!BE42)</f>
        <v/>
      </c>
      <c r="C37" s="58" t="str">
        <f t="shared" ca="1" si="1"/>
        <v/>
      </c>
      <c r="D37" s="58" t="str">
        <f t="shared" ca="1" si="1"/>
        <v/>
      </c>
      <c r="E37" s="58" t="str">
        <f t="shared" ca="1" si="1"/>
        <v/>
      </c>
      <c r="F37" s="58" t="str">
        <f t="shared" ca="1" si="1"/>
        <v/>
      </c>
      <c r="G37" s="58" t="str">
        <f t="shared" ca="1" si="1"/>
        <v/>
      </c>
      <c r="H37" s="58" t="str">
        <f t="shared" ca="1" si="1"/>
        <v/>
      </c>
      <c r="I37" s="58" t="str">
        <f t="shared" ca="1" si="1"/>
        <v/>
      </c>
      <c r="J37" s="58" t="str">
        <f t="shared" ca="1" si="1"/>
        <v/>
      </c>
      <c r="K37" s="58" t="str">
        <f t="shared" ca="1" si="1"/>
        <v/>
      </c>
      <c r="L37" s="58" t="str">
        <f t="shared" ca="1" si="1"/>
        <v/>
      </c>
      <c r="P37" s="246"/>
      <c r="Q37" s="246"/>
      <c r="R37" s="246"/>
      <c r="S37" s="246"/>
      <c r="T37" s="246"/>
      <c r="U37" s="246"/>
      <c r="V37" s="246"/>
      <c r="W37" s="246"/>
      <c r="X37" s="246"/>
      <c r="Y37" s="246"/>
      <c r="Z37" s="246"/>
    </row>
    <row r="38" spans="2:26">
      <c r="B38" s="56" t="str">
        <f>IF('Low Stress Type Gasket'!BE43="","",'Low Stress Type Gasket'!BE43)</f>
        <v/>
      </c>
      <c r="C38" s="58" t="str">
        <f t="shared" ref="C38:L53" ca="1" si="2">IF($M$4=0,"",VLOOKUP($B38,INDIRECT("$P$1:$Z$"&amp;$M$4),COLUMN()-1,0))</f>
        <v/>
      </c>
      <c r="D38" s="58" t="str">
        <f t="shared" ca="1" si="2"/>
        <v/>
      </c>
      <c r="E38" s="58" t="str">
        <f t="shared" ca="1" si="2"/>
        <v/>
      </c>
      <c r="F38" s="58" t="str">
        <f t="shared" ca="1" si="2"/>
        <v/>
      </c>
      <c r="G38" s="58" t="str">
        <f t="shared" ca="1" si="2"/>
        <v/>
      </c>
      <c r="H38" s="58" t="str">
        <f t="shared" ca="1" si="2"/>
        <v/>
      </c>
      <c r="I38" s="58" t="str">
        <f t="shared" ca="1" si="2"/>
        <v/>
      </c>
      <c r="J38" s="58" t="str">
        <f t="shared" ca="1" si="2"/>
        <v/>
      </c>
      <c r="K38" s="58" t="str">
        <f t="shared" ca="1" si="2"/>
        <v/>
      </c>
      <c r="L38" s="58" t="str">
        <f t="shared" ca="1" si="2"/>
        <v/>
      </c>
      <c r="P38" s="246"/>
      <c r="Q38" s="246"/>
      <c r="R38" s="246"/>
      <c r="S38" s="246"/>
      <c r="T38" s="246"/>
      <c r="U38" s="246"/>
      <c r="V38" s="246"/>
      <c r="W38" s="246"/>
      <c r="X38" s="246"/>
      <c r="Y38" s="246"/>
      <c r="Z38" s="246"/>
    </row>
    <row r="39" spans="2:26">
      <c r="B39" s="56" t="str">
        <f>IF('Low Stress Type Gasket'!BE44="","",'Low Stress Type Gasket'!BE44)</f>
        <v/>
      </c>
      <c r="C39" s="58" t="str">
        <f t="shared" ca="1" si="2"/>
        <v/>
      </c>
      <c r="D39" s="58" t="str">
        <f t="shared" ca="1" si="2"/>
        <v/>
      </c>
      <c r="E39" s="58" t="str">
        <f t="shared" ca="1" si="2"/>
        <v/>
      </c>
      <c r="F39" s="58" t="str">
        <f t="shared" ca="1" si="2"/>
        <v/>
      </c>
      <c r="G39" s="58" t="str">
        <f t="shared" ca="1" si="2"/>
        <v/>
      </c>
      <c r="H39" s="58" t="str">
        <f t="shared" ca="1" si="2"/>
        <v/>
      </c>
      <c r="I39" s="58" t="str">
        <f t="shared" ca="1" si="2"/>
        <v/>
      </c>
      <c r="J39" s="58" t="str">
        <f t="shared" ca="1" si="2"/>
        <v/>
      </c>
      <c r="K39" s="58" t="str">
        <f t="shared" ca="1" si="2"/>
        <v/>
      </c>
      <c r="L39" s="58" t="str">
        <f t="shared" ca="1" si="2"/>
        <v/>
      </c>
      <c r="P39" s="241"/>
      <c r="Q39" s="241"/>
      <c r="R39" s="241"/>
      <c r="S39" s="241"/>
      <c r="T39" s="241"/>
      <c r="U39" s="241"/>
      <c r="V39" s="241"/>
      <c r="W39" s="241"/>
      <c r="X39" s="241"/>
      <c r="Y39" s="241"/>
      <c r="Z39" s="241"/>
    </row>
    <row r="40" spans="2:26">
      <c r="B40" s="56" t="str">
        <f>IF('Low Stress Type Gasket'!BE45="","",'Low Stress Type Gasket'!BE45)</f>
        <v/>
      </c>
      <c r="C40" s="58" t="str">
        <f t="shared" ca="1" si="2"/>
        <v/>
      </c>
      <c r="D40" s="58" t="str">
        <f t="shared" ca="1" si="2"/>
        <v/>
      </c>
      <c r="E40" s="58" t="str">
        <f t="shared" ca="1" si="2"/>
        <v/>
      </c>
      <c r="F40" s="58" t="str">
        <f t="shared" ca="1" si="2"/>
        <v/>
      </c>
      <c r="G40" s="58" t="str">
        <f t="shared" ca="1" si="2"/>
        <v/>
      </c>
      <c r="H40" s="58" t="str">
        <f t="shared" ca="1" si="2"/>
        <v/>
      </c>
      <c r="I40" s="58" t="str">
        <f t="shared" ca="1" si="2"/>
        <v/>
      </c>
      <c r="J40" s="58" t="str">
        <f t="shared" ca="1" si="2"/>
        <v/>
      </c>
      <c r="K40" s="58" t="str">
        <f t="shared" ca="1" si="2"/>
        <v/>
      </c>
      <c r="L40" s="58" t="str">
        <f t="shared" ca="1" si="2"/>
        <v/>
      </c>
      <c r="P40" s="246"/>
      <c r="Q40" s="246"/>
      <c r="R40" s="246"/>
      <c r="S40" s="246"/>
      <c r="T40" s="246"/>
      <c r="U40" s="246"/>
      <c r="V40" s="246"/>
      <c r="W40" s="246"/>
      <c r="X40" s="246"/>
      <c r="Y40" s="246"/>
      <c r="Z40" s="246"/>
    </row>
    <row r="41" spans="2:26">
      <c r="B41" s="56" t="str">
        <f>IF('Low Stress Type Gasket'!BE46="","",'Low Stress Type Gasket'!BE46)</f>
        <v/>
      </c>
      <c r="C41" s="58" t="str">
        <f t="shared" ca="1" si="2"/>
        <v/>
      </c>
      <c r="D41" s="58" t="str">
        <f t="shared" ca="1" si="2"/>
        <v/>
      </c>
      <c r="E41" s="58" t="str">
        <f t="shared" ca="1" si="2"/>
        <v/>
      </c>
      <c r="F41" s="58" t="str">
        <f t="shared" ca="1" si="2"/>
        <v/>
      </c>
      <c r="G41" s="58" t="str">
        <f t="shared" ca="1" si="2"/>
        <v/>
      </c>
      <c r="H41" s="58" t="str">
        <f t="shared" ca="1" si="2"/>
        <v/>
      </c>
      <c r="I41" s="58" t="str">
        <f t="shared" ca="1" si="2"/>
        <v/>
      </c>
      <c r="J41" s="58" t="str">
        <f t="shared" ca="1" si="2"/>
        <v/>
      </c>
      <c r="K41" s="58" t="str">
        <f t="shared" ca="1" si="2"/>
        <v/>
      </c>
      <c r="L41" s="58" t="str">
        <f t="shared" ca="1" si="2"/>
        <v/>
      </c>
      <c r="P41" s="246"/>
      <c r="Q41" s="246"/>
      <c r="R41" s="246"/>
      <c r="S41" s="246"/>
      <c r="T41" s="246"/>
      <c r="U41" s="246"/>
      <c r="V41" s="246"/>
      <c r="W41" s="246"/>
      <c r="X41" s="246"/>
      <c r="Y41" s="246"/>
      <c r="Z41" s="246"/>
    </row>
    <row r="42" spans="2:26">
      <c r="B42" s="56" t="str">
        <f>IF('Low Stress Type Gasket'!BE47="","",'Low Stress Type Gasket'!BE47)</f>
        <v/>
      </c>
      <c r="C42" s="58" t="str">
        <f t="shared" ca="1" si="2"/>
        <v/>
      </c>
      <c r="D42" s="58" t="str">
        <f t="shared" ca="1" si="2"/>
        <v/>
      </c>
      <c r="E42" s="58" t="str">
        <f t="shared" ca="1" si="2"/>
        <v/>
      </c>
      <c r="F42" s="58" t="str">
        <f t="shared" ca="1" si="2"/>
        <v/>
      </c>
      <c r="G42" s="58" t="str">
        <f t="shared" ca="1" si="2"/>
        <v/>
      </c>
      <c r="H42" s="58" t="str">
        <f t="shared" ca="1" si="2"/>
        <v/>
      </c>
      <c r="I42" s="58" t="str">
        <f t="shared" ca="1" si="2"/>
        <v/>
      </c>
      <c r="J42" s="58" t="str">
        <f t="shared" ca="1" si="2"/>
        <v/>
      </c>
      <c r="K42" s="58" t="str">
        <f t="shared" ca="1" si="2"/>
        <v/>
      </c>
      <c r="L42" s="58" t="str">
        <f t="shared" ca="1" si="2"/>
        <v/>
      </c>
      <c r="P42" s="241"/>
      <c r="Q42" s="241"/>
      <c r="R42" s="241"/>
      <c r="S42" s="241"/>
      <c r="T42" s="241"/>
      <c r="U42" s="241"/>
      <c r="V42" s="241"/>
      <c r="W42" s="241"/>
      <c r="X42" s="241"/>
      <c r="Y42" s="241"/>
      <c r="Z42" s="241"/>
    </row>
    <row r="43" spans="2:26">
      <c r="B43" s="56" t="str">
        <f>IF('Low Stress Type Gasket'!BE48="","",'Low Stress Type Gasket'!BE48)</f>
        <v/>
      </c>
      <c r="C43" s="58" t="str">
        <f t="shared" ca="1" si="2"/>
        <v/>
      </c>
      <c r="D43" s="58" t="str">
        <f t="shared" ca="1" si="2"/>
        <v/>
      </c>
      <c r="E43" s="58" t="str">
        <f t="shared" ca="1" si="2"/>
        <v/>
      </c>
      <c r="F43" s="58" t="str">
        <f t="shared" ca="1" si="2"/>
        <v/>
      </c>
      <c r="G43" s="58" t="str">
        <f t="shared" ca="1" si="2"/>
        <v/>
      </c>
      <c r="H43" s="58" t="str">
        <f t="shared" ca="1" si="2"/>
        <v/>
      </c>
      <c r="I43" s="58" t="str">
        <f t="shared" ca="1" si="2"/>
        <v/>
      </c>
      <c r="J43" s="58" t="str">
        <f t="shared" ca="1" si="2"/>
        <v/>
      </c>
      <c r="K43" s="58" t="str">
        <f t="shared" ca="1" si="2"/>
        <v/>
      </c>
      <c r="L43" s="58" t="str">
        <f t="shared" ca="1" si="2"/>
        <v/>
      </c>
      <c r="P43" s="246"/>
      <c r="Q43" s="246"/>
      <c r="R43" s="246"/>
      <c r="S43" s="246"/>
      <c r="T43" s="246"/>
      <c r="U43" s="246"/>
      <c r="V43" s="246"/>
      <c r="W43" s="246"/>
      <c r="X43" s="246"/>
      <c r="Y43" s="246"/>
      <c r="Z43" s="246"/>
    </row>
    <row r="44" spans="2:26">
      <c r="B44" s="56" t="str">
        <f>IF('Low Stress Type Gasket'!BE49="","",'Low Stress Type Gasket'!BE49)</f>
        <v/>
      </c>
      <c r="C44" s="58" t="str">
        <f t="shared" ca="1" si="2"/>
        <v/>
      </c>
      <c r="D44" s="58" t="str">
        <f t="shared" ca="1" si="2"/>
        <v/>
      </c>
      <c r="E44" s="58" t="str">
        <f t="shared" ca="1" si="2"/>
        <v/>
      </c>
      <c r="F44" s="58" t="str">
        <f t="shared" ca="1" si="2"/>
        <v/>
      </c>
      <c r="G44" s="58" t="str">
        <f t="shared" ca="1" si="2"/>
        <v/>
      </c>
      <c r="H44" s="58" t="str">
        <f t="shared" ca="1" si="2"/>
        <v/>
      </c>
      <c r="I44" s="58" t="str">
        <f t="shared" ca="1" si="2"/>
        <v/>
      </c>
      <c r="J44" s="58" t="str">
        <f t="shared" ca="1" si="2"/>
        <v/>
      </c>
      <c r="K44" s="58" t="str">
        <f t="shared" ca="1" si="2"/>
        <v/>
      </c>
      <c r="L44" s="58" t="str">
        <f t="shared" ca="1" si="2"/>
        <v/>
      </c>
      <c r="P44" s="246"/>
      <c r="Q44" s="246"/>
      <c r="R44" s="246"/>
      <c r="S44" s="246"/>
      <c r="T44" s="246"/>
      <c r="U44" s="246"/>
      <c r="V44" s="246"/>
      <c r="W44" s="246"/>
      <c r="X44" s="246"/>
      <c r="Y44" s="246"/>
      <c r="Z44" s="246"/>
    </row>
    <row r="45" spans="2:26">
      <c r="B45" s="56" t="str">
        <f>IF('Low Stress Type Gasket'!BE50="","",'Low Stress Type Gasket'!BE50)</f>
        <v/>
      </c>
      <c r="C45" s="58" t="str">
        <f t="shared" ca="1" si="2"/>
        <v/>
      </c>
      <c r="D45" s="58" t="str">
        <f t="shared" ca="1" si="2"/>
        <v/>
      </c>
      <c r="E45" s="58" t="str">
        <f t="shared" ca="1" si="2"/>
        <v/>
      </c>
      <c r="F45" s="58" t="str">
        <f t="shared" ca="1" si="2"/>
        <v/>
      </c>
      <c r="G45" s="58" t="str">
        <f t="shared" ca="1" si="2"/>
        <v/>
      </c>
      <c r="H45" s="58" t="str">
        <f t="shared" ca="1" si="2"/>
        <v/>
      </c>
      <c r="I45" s="58" t="str">
        <f t="shared" ca="1" si="2"/>
        <v/>
      </c>
      <c r="J45" s="58" t="str">
        <f t="shared" ca="1" si="2"/>
        <v/>
      </c>
      <c r="K45" s="58" t="str">
        <f t="shared" ca="1" si="2"/>
        <v/>
      </c>
      <c r="L45" s="58" t="str">
        <f t="shared" ca="1" si="2"/>
        <v/>
      </c>
      <c r="P45" s="241"/>
      <c r="Q45" s="241"/>
      <c r="R45" s="241"/>
      <c r="S45" s="241"/>
      <c r="T45" s="241"/>
      <c r="U45" s="241"/>
      <c r="V45" s="241"/>
      <c r="W45" s="241"/>
      <c r="X45" s="241"/>
      <c r="Y45" s="241"/>
      <c r="Z45" s="241"/>
    </row>
    <row r="46" spans="2:26">
      <c r="B46" s="56" t="str">
        <f>IF('Low Stress Type Gasket'!BE51="","",'Low Stress Type Gasket'!BE51)</f>
        <v/>
      </c>
      <c r="C46" s="58" t="str">
        <f t="shared" ca="1" si="2"/>
        <v/>
      </c>
      <c r="D46" s="58" t="str">
        <f t="shared" ca="1" si="2"/>
        <v/>
      </c>
      <c r="E46" s="58" t="str">
        <f t="shared" ca="1" si="2"/>
        <v/>
      </c>
      <c r="F46" s="58" t="str">
        <f t="shared" ca="1" si="2"/>
        <v/>
      </c>
      <c r="G46" s="58" t="str">
        <f t="shared" ca="1" si="2"/>
        <v/>
      </c>
      <c r="H46" s="58" t="str">
        <f t="shared" ca="1" si="2"/>
        <v/>
      </c>
      <c r="I46" s="58" t="str">
        <f t="shared" ca="1" si="2"/>
        <v/>
      </c>
      <c r="J46" s="58" t="str">
        <f t="shared" ca="1" si="2"/>
        <v/>
      </c>
      <c r="K46" s="58" t="str">
        <f t="shared" ca="1" si="2"/>
        <v/>
      </c>
      <c r="L46" s="58" t="str">
        <f t="shared" ca="1" si="2"/>
        <v/>
      </c>
      <c r="P46" s="246"/>
      <c r="Q46" s="246"/>
      <c r="R46" s="246"/>
      <c r="S46" s="246"/>
      <c r="T46" s="246"/>
      <c r="U46" s="246"/>
      <c r="V46" s="246"/>
      <c r="W46" s="246"/>
      <c r="X46" s="246"/>
      <c r="Y46" s="246"/>
      <c r="Z46" s="246"/>
    </row>
    <row r="47" spans="2:26">
      <c r="B47" s="56" t="str">
        <f>IF('Low Stress Type Gasket'!BE52="","",'Low Stress Type Gasket'!BE52)</f>
        <v/>
      </c>
      <c r="C47" s="58" t="str">
        <f t="shared" ca="1" si="2"/>
        <v/>
      </c>
      <c r="D47" s="58" t="str">
        <f t="shared" ca="1" si="2"/>
        <v/>
      </c>
      <c r="E47" s="58" t="str">
        <f t="shared" ca="1" si="2"/>
        <v/>
      </c>
      <c r="F47" s="58" t="str">
        <f t="shared" ca="1" si="2"/>
        <v/>
      </c>
      <c r="G47" s="58" t="str">
        <f t="shared" ca="1" si="2"/>
        <v/>
      </c>
      <c r="H47" s="58" t="str">
        <f t="shared" ca="1" si="2"/>
        <v/>
      </c>
      <c r="I47" s="58" t="str">
        <f t="shared" ca="1" si="2"/>
        <v/>
      </c>
      <c r="J47" s="58" t="str">
        <f t="shared" ca="1" si="2"/>
        <v/>
      </c>
      <c r="K47" s="58" t="str">
        <f t="shared" ca="1" si="2"/>
        <v/>
      </c>
      <c r="L47" s="58" t="str">
        <f t="shared" ca="1" si="2"/>
        <v/>
      </c>
      <c r="P47" s="246"/>
      <c r="Q47" s="246"/>
      <c r="R47" s="246"/>
      <c r="S47" s="246"/>
      <c r="T47" s="246"/>
      <c r="U47" s="246"/>
      <c r="V47" s="246"/>
      <c r="W47" s="246"/>
      <c r="X47" s="246"/>
      <c r="Y47" s="246"/>
      <c r="Z47" s="246"/>
    </row>
    <row r="48" spans="2:26">
      <c r="B48" s="56" t="str">
        <f>IF('Low Stress Type Gasket'!BE53="","",'Low Stress Type Gasket'!BE53)</f>
        <v/>
      </c>
      <c r="C48" s="58" t="str">
        <f t="shared" ca="1" si="2"/>
        <v/>
      </c>
      <c r="D48" s="58" t="str">
        <f t="shared" ca="1" si="2"/>
        <v/>
      </c>
      <c r="E48" s="58" t="str">
        <f t="shared" ca="1" si="2"/>
        <v/>
      </c>
      <c r="F48" s="58" t="str">
        <f t="shared" ca="1" si="2"/>
        <v/>
      </c>
      <c r="G48" s="58" t="str">
        <f t="shared" ca="1" si="2"/>
        <v/>
      </c>
      <c r="H48" s="58" t="str">
        <f t="shared" ca="1" si="2"/>
        <v/>
      </c>
      <c r="I48" s="58" t="str">
        <f t="shared" ca="1" si="2"/>
        <v/>
      </c>
      <c r="J48" s="58" t="str">
        <f t="shared" ca="1" si="2"/>
        <v/>
      </c>
      <c r="K48" s="58" t="str">
        <f t="shared" ca="1" si="2"/>
        <v/>
      </c>
      <c r="L48" s="58" t="str">
        <f t="shared" ca="1" si="2"/>
        <v/>
      </c>
      <c r="P48" s="241"/>
      <c r="Q48" s="241"/>
      <c r="R48" s="241"/>
      <c r="S48" s="241"/>
      <c r="T48" s="241"/>
      <c r="U48" s="241"/>
      <c r="V48" s="241"/>
      <c r="W48" s="241"/>
      <c r="X48" s="241"/>
      <c r="Y48" s="241"/>
      <c r="Z48" s="241"/>
    </row>
    <row r="49" spans="2:26">
      <c r="B49" s="56" t="str">
        <f>IF('Low Stress Type Gasket'!BE54="","",'Low Stress Type Gasket'!BE54)</f>
        <v/>
      </c>
      <c r="C49" s="58" t="str">
        <f t="shared" ca="1" si="2"/>
        <v/>
      </c>
      <c r="D49" s="58" t="str">
        <f t="shared" ca="1" si="2"/>
        <v/>
      </c>
      <c r="E49" s="58" t="str">
        <f t="shared" ca="1" si="2"/>
        <v/>
      </c>
      <c r="F49" s="58" t="str">
        <f t="shared" ca="1" si="2"/>
        <v/>
      </c>
      <c r="G49" s="58" t="str">
        <f t="shared" ca="1" si="2"/>
        <v/>
      </c>
      <c r="H49" s="58" t="str">
        <f t="shared" ca="1" si="2"/>
        <v/>
      </c>
      <c r="I49" s="58" t="str">
        <f t="shared" ca="1" si="2"/>
        <v/>
      </c>
      <c r="J49" s="58" t="str">
        <f t="shared" ca="1" si="2"/>
        <v/>
      </c>
      <c r="K49" s="58" t="str">
        <f t="shared" ca="1" si="2"/>
        <v/>
      </c>
      <c r="L49" s="58" t="str">
        <f t="shared" ca="1" si="2"/>
        <v/>
      </c>
      <c r="P49" s="246"/>
      <c r="Q49" s="246"/>
      <c r="R49" s="246"/>
      <c r="S49" s="246"/>
      <c r="T49" s="246"/>
      <c r="U49" s="246"/>
      <c r="V49" s="246"/>
      <c r="W49" s="246"/>
      <c r="X49" s="246"/>
      <c r="Y49" s="246"/>
      <c r="Z49" s="246"/>
    </row>
    <row r="50" spans="2:26">
      <c r="B50" s="56" t="str">
        <f>IF('Low Stress Type Gasket'!BE55="","",'Low Stress Type Gasket'!BE55)</f>
        <v/>
      </c>
      <c r="C50" s="58" t="str">
        <f t="shared" ca="1" si="2"/>
        <v/>
      </c>
      <c r="D50" s="58" t="str">
        <f t="shared" ca="1" si="2"/>
        <v/>
      </c>
      <c r="E50" s="58" t="str">
        <f t="shared" ca="1" si="2"/>
        <v/>
      </c>
      <c r="F50" s="58" t="str">
        <f t="shared" ca="1" si="2"/>
        <v/>
      </c>
      <c r="G50" s="58" t="str">
        <f t="shared" ca="1" si="2"/>
        <v/>
      </c>
      <c r="H50" s="58" t="str">
        <f t="shared" ca="1" si="2"/>
        <v/>
      </c>
      <c r="I50" s="58" t="str">
        <f t="shared" ca="1" si="2"/>
        <v/>
      </c>
      <c r="J50" s="58" t="str">
        <f t="shared" ca="1" si="2"/>
        <v/>
      </c>
      <c r="K50" s="58" t="str">
        <f t="shared" ca="1" si="2"/>
        <v/>
      </c>
      <c r="L50" s="58" t="str">
        <f t="shared" ca="1" si="2"/>
        <v/>
      </c>
      <c r="P50" s="246"/>
      <c r="Q50" s="246"/>
      <c r="R50" s="246"/>
      <c r="S50" s="246"/>
      <c r="T50" s="246"/>
      <c r="U50" s="246"/>
      <c r="V50" s="246"/>
      <c r="W50" s="246"/>
      <c r="X50" s="246"/>
      <c r="Y50" s="246"/>
      <c r="Z50" s="246"/>
    </row>
    <row r="51" spans="2:26">
      <c r="B51" s="56" t="str">
        <f>IF('Low Stress Type Gasket'!BE56="","",'Low Stress Type Gasket'!BE56)</f>
        <v/>
      </c>
      <c r="C51" s="58" t="str">
        <f t="shared" ca="1" si="2"/>
        <v/>
      </c>
      <c r="D51" s="58" t="str">
        <f t="shared" ca="1" si="2"/>
        <v/>
      </c>
      <c r="E51" s="58" t="str">
        <f t="shared" ca="1" si="2"/>
        <v/>
      </c>
      <c r="F51" s="58" t="str">
        <f t="shared" ca="1" si="2"/>
        <v/>
      </c>
      <c r="G51" s="58" t="str">
        <f t="shared" ca="1" si="2"/>
        <v/>
      </c>
      <c r="H51" s="58" t="str">
        <f t="shared" ca="1" si="2"/>
        <v/>
      </c>
      <c r="I51" s="58" t="str">
        <f t="shared" ca="1" si="2"/>
        <v/>
      </c>
      <c r="J51" s="58" t="str">
        <f t="shared" ca="1" si="2"/>
        <v/>
      </c>
      <c r="K51" s="58" t="str">
        <f t="shared" ca="1" si="2"/>
        <v/>
      </c>
      <c r="L51" s="58" t="str">
        <f t="shared" ca="1" si="2"/>
        <v/>
      </c>
      <c r="P51" s="241"/>
      <c r="Q51" s="241"/>
      <c r="R51" s="241"/>
      <c r="S51" s="241"/>
      <c r="T51" s="241"/>
      <c r="U51" s="241"/>
      <c r="V51" s="241"/>
      <c r="W51" s="241"/>
      <c r="X51" s="241"/>
      <c r="Y51" s="241"/>
      <c r="Z51" s="241"/>
    </row>
    <row r="52" spans="2:26">
      <c r="B52" s="56" t="str">
        <f>IF('Low Stress Type Gasket'!BE57="","",'Low Stress Type Gasket'!BE57)</f>
        <v/>
      </c>
      <c r="C52" s="58" t="str">
        <f t="shared" ca="1" si="2"/>
        <v/>
      </c>
      <c r="D52" s="58" t="str">
        <f t="shared" ca="1" si="2"/>
        <v/>
      </c>
      <c r="E52" s="58" t="str">
        <f t="shared" ca="1" si="2"/>
        <v/>
      </c>
      <c r="F52" s="58" t="str">
        <f t="shared" ca="1" si="2"/>
        <v/>
      </c>
      <c r="G52" s="58" t="str">
        <f t="shared" ca="1" si="2"/>
        <v/>
      </c>
      <c r="H52" s="58" t="str">
        <f t="shared" ca="1" si="2"/>
        <v/>
      </c>
      <c r="I52" s="58" t="str">
        <f t="shared" ca="1" si="2"/>
        <v/>
      </c>
      <c r="J52" s="58" t="str">
        <f t="shared" ca="1" si="2"/>
        <v/>
      </c>
      <c r="K52" s="58" t="str">
        <f t="shared" ca="1" si="2"/>
        <v/>
      </c>
      <c r="L52" s="58" t="str">
        <f t="shared" ca="1" si="2"/>
        <v/>
      </c>
      <c r="P52" s="246"/>
      <c r="Q52" s="246"/>
      <c r="R52" s="246"/>
      <c r="S52" s="246"/>
      <c r="T52" s="246"/>
      <c r="U52" s="246"/>
      <c r="V52" s="246"/>
      <c r="W52" s="246"/>
      <c r="X52" s="246"/>
      <c r="Y52" s="246"/>
      <c r="Z52" s="246"/>
    </row>
    <row r="53" spans="2:26">
      <c r="B53" s="56" t="str">
        <f>IF('Low Stress Type Gasket'!BE58="","",'Low Stress Type Gasket'!BE58)</f>
        <v/>
      </c>
      <c r="C53" s="58" t="str">
        <f t="shared" ca="1" si="2"/>
        <v/>
      </c>
      <c r="D53" s="58" t="str">
        <f t="shared" ca="1" si="2"/>
        <v/>
      </c>
      <c r="E53" s="58" t="str">
        <f t="shared" ca="1" si="2"/>
        <v/>
      </c>
      <c r="F53" s="58" t="str">
        <f t="shared" ca="1" si="2"/>
        <v/>
      </c>
      <c r="G53" s="58" t="str">
        <f t="shared" ca="1" si="2"/>
        <v/>
      </c>
      <c r="H53" s="58" t="str">
        <f t="shared" ca="1" si="2"/>
        <v/>
      </c>
      <c r="I53" s="58" t="str">
        <f t="shared" ca="1" si="2"/>
        <v/>
      </c>
      <c r="J53" s="58" t="str">
        <f t="shared" ca="1" si="2"/>
        <v/>
      </c>
      <c r="K53" s="58" t="str">
        <f t="shared" ca="1" si="2"/>
        <v/>
      </c>
      <c r="L53" s="58" t="str">
        <f t="shared" ca="1" si="2"/>
        <v/>
      </c>
      <c r="P53" s="246"/>
      <c r="Q53" s="246"/>
      <c r="R53" s="246"/>
      <c r="S53" s="246"/>
      <c r="T53" s="246"/>
      <c r="U53" s="246"/>
      <c r="V53" s="246"/>
      <c r="W53" s="246"/>
      <c r="X53" s="246"/>
      <c r="Y53" s="246"/>
      <c r="Z53" s="246"/>
    </row>
    <row r="54" spans="2:26">
      <c r="B54" s="56" t="str">
        <f>IF('Low Stress Type Gasket'!BE59="","",'Low Stress Type Gasket'!BE59)</f>
        <v/>
      </c>
      <c r="C54" s="58" t="str">
        <f t="shared" ref="C54:L55" ca="1" si="3">IF($M$4=0,"",VLOOKUP($B54,INDIRECT("$P$1:$Z$"&amp;$M$4),COLUMN()-1,0))</f>
        <v/>
      </c>
      <c r="D54" s="58" t="str">
        <f t="shared" ca="1" si="3"/>
        <v/>
      </c>
      <c r="E54" s="58" t="str">
        <f t="shared" ca="1" si="3"/>
        <v/>
      </c>
      <c r="F54" s="58" t="str">
        <f t="shared" ca="1" si="3"/>
        <v/>
      </c>
      <c r="G54" s="58" t="str">
        <f t="shared" ca="1" si="3"/>
        <v/>
      </c>
      <c r="H54" s="58" t="str">
        <f t="shared" ca="1" si="3"/>
        <v/>
      </c>
      <c r="I54" s="58" t="str">
        <f t="shared" ca="1" si="3"/>
        <v/>
      </c>
      <c r="J54" s="58" t="str">
        <f t="shared" ca="1" si="3"/>
        <v/>
      </c>
      <c r="K54" s="58" t="str">
        <f t="shared" ca="1" si="3"/>
        <v/>
      </c>
      <c r="L54" s="58" t="str">
        <f t="shared" ca="1" si="3"/>
        <v/>
      </c>
      <c r="P54" s="241"/>
      <c r="Q54" s="241"/>
      <c r="R54" s="241"/>
      <c r="S54" s="241"/>
      <c r="T54" s="241"/>
      <c r="U54" s="241"/>
      <c r="V54" s="241"/>
      <c r="W54" s="241"/>
      <c r="X54" s="241"/>
      <c r="Y54" s="241"/>
      <c r="Z54" s="241"/>
    </row>
    <row r="55" spans="2:26">
      <c r="B55" s="56" t="str">
        <f>IF('Low Stress Type Gasket'!BE60="","",'Low Stress Type Gasket'!BE60)</f>
        <v/>
      </c>
      <c r="C55" s="58" t="str">
        <f t="shared" ca="1" si="3"/>
        <v/>
      </c>
      <c r="D55" s="58" t="str">
        <f t="shared" ca="1" si="3"/>
        <v/>
      </c>
      <c r="E55" s="58" t="str">
        <f t="shared" ca="1" si="3"/>
        <v/>
      </c>
      <c r="F55" s="58" t="str">
        <f t="shared" ca="1" si="3"/>
        <v/>
      </c>
      <c r="G55" s="58" t="str">
        <f t="shared" ca="1" si="3"/>
        <v/>
      </c>
      <c r="H55" s="58" t="str">
        <f t="shared" ca="1" si="3"/>
        <v/>
      </c>
      <c r="I55" s="58" t="str">
        <f t="shared" ca="1" si="3"/>
        <v/>
      </c>
      <c r="J55" s="58" t="str">
        <f t="shared" ca="1" si="3"/>
        <v/>
      </c>
      <c r="K55" s="58" t="str">
        <f t="shared" ca="1" si="3"/>
        <v/>
      </c>
      <c r="L55" s="58" t="str">
        <f t="shared" ca="1" si="3"/>
        <v/>
      </c>
      <c r="P55" s="246"/>
      <c r="Q55" s="246"/>
      <c r="R55" s="246"/>
      <c r="S55" s="246"/>
      <c r="T55" s="246"/>
      <c r="U55" s="246"/>
      <c r="V55" s="246"/>
      <c r="W55" s="246"/>
      <c r="X55" s="246"/>
      <c r="Y55" s="246"/>
      <c r="Z55" s="246"/>
    </row>
    <row r="56" spans="2:26">
      <c r="P56" s="246"/>
      <c r="Q56" s="246"/>
      <c r="R56" s="246"/>
      <c r="S56" s="246"/>
      <c r="T56" s="246"/>
      <c r="U56" s="246"/>
      <c r="V56" s="246"/>
      <c r="W56" s="246"/>
      <c r="X56" s="246"/>
      <c r="Y56" s="246"/>
      <c r="Z56" s="246"/>
    </row>
    <row r="57" spans="2:26">
      <c r="P57" s="241"/>
      <c r="Q57" s="241"/>
      <c r="R57" s="241"/>
      <c r="S57" s="241"/>
      <c r="T57" s="241"/>
      <c r="U57" s="241"/>
      <c r="V57" s="241"/>
      <c r="W57" s="241"/>
      <c r="X57" s="241"/>
      <c r="Y57" s="241"/>
      <c r="Z57" s="241"/>
    </row>
    <row r="58" spans="2:26">
      <c r="P58" s="246"/>
      <c r="Q58" s="246"/>
      <c r="R58" s="246"/>
      <c r="S58" s="246"/>
      <c r="T58" s="246"/>
      <c r="U58" s="246"/>
      <c r="V58" s="246"/>
      <c r="W58" s="246"/>
      <c r="X58" s="246"/>
      <c r="Y58" s="246"/>
      <c r="Z58" s="246"/>
    </row>
    <row r="59" spans="2:26">
      <c r="P59" s="246"/>
      <c r="Q59" s="246"/>
      <c r="R59" s="246"/>
      <c r="S59" s="246"/>
      <c r="T59" s="246"/>
      <c r="U59" s="246"/>
      <c r="V59" s="246"/>
      <c r="W59" s="246"/>
      <c r="X59" s="246"/>
      <c r="Y59" s="246"/>
      <c r="Z59" s="246"/>
    </row>
    <row r="60" spans="2:26">
      <c r="P60" s="241"/>
      <c r="Q60" s="241"/>
      <c r="R60" s="241"/>
      <c r="S60" s="241"/>
      <c r="T60" s="241"/>
      <c r="U60" s="241"/>
      <c r="V60" s="241"/>
      <c r="W60" s="241"/>
      <c r="X60" s="241"/>
      <c r="Y60" s="241"/>
      <c r="Z60" s="241"/>
    </row>
    <row r="61" spans="2:26">
      <c r="P61" s="246"/>
      <c r="Q61" s="246"/>
      <c r="R61" s="246"/>
      <c r="S61" s="246"/>
      <c r="T61" s="246"/>
      <c r="U61" s="246"/>
      <c r="V61" s="246"/>
      <c r="W61" s="246"/>
      <c r="X61" s="246"/>
      <c r="Y61" s="246"/>
      <c r="Z61" s="246"/>
    </row>
    <row r="62" spans="2:26">
      <c r="P62" s="246"/>
      <c r="Q62" s="246"/>
      <c r="R62" s="246"/>
      <c r="S62" s="246"/>
      <c r="T62" s="246"/>
      <c r="U62" s="246"/>
      <c r="V62" s="246"/>
      <c r="W62" s="246"/>
      <c r="X62" s="246"/>
      <c r="Y62" s="246"/>
      <c r="Z62" s="246"/>
    </row>
    <row r="63" spans="2:26">
      <c r="P63" s="241"/>
      <c r="Q63" s="241"/>
      <c r="R63" s="241"/>
      <c r="S63" s="241"/>
      <c r="T63" s="241"/>
      <c r="U63" s="241"/>
      <c r="V63" s="241"/>
      <c r="W63" s="241"/>
      <c r="X63" s="241"/>
      <c r="Y63" s="241"/>
      <c r="Z63" s="241"/>
    </row>
    <row r="64" spans="2:26">
      <c r="P64" s="246"/>
      <c r="Q64" s="246"/>
      <c r="R64" s="246"/>
      <c r="S64" s="246"/>
      <c r="T64" s="246"/>
      <c r="U64" s="246"/>
      <c r="V64" s="246"/>
      <c r="W64" s="246"/>
      <c r="X64" s="246"/>
      <c r="Y64" s="246"/>
      <c r="Z64" s="246"/>
    </row>
    <row r="65" spans="16:26">
      <c r="P65" s="246"/>
      <c r="Q65" s="246"/>
      <c r="R65" s="246"/>
      <c r="S65" s="246"/>
      <c r="T65" s="246"/>
      <c r="U65" s="246"/>
      <c r="V65" s="246"/>
      <c r="W65" s="246"/>
      <c r="X65" s="246"/>
      <c r="Y65" s="246"/>
      <c r="Z65" s="246"/>
    </row>
    <row r="66" spans="16:26">
      <c r="P66" s="241"/>
      <c r="Q66" s="241"/>
      <c r="R66" s="241"/>
      <c r="S66" s="241"/>
      <c r="T66" s="241"/>
      <c r="U66" s="241"/>
      <c r="V66" s="241"/>
      <c r="W66" s="241"/>
      <c r="X66" s="241"/>
      <c r="Y66" s="241"/>
      <c r="Z66" s="241"/>
    </row>
    <row r="67" spans="16:26">
      <c r="P67" s="246"/>
      <c r="Q67" s="246"/>
      <c r="R67" s="246"/>
      <c r="S67" s="246"/>
      <c r="T67" s="246"/>
      <c r="U67" s="246"/>
      <c r="V67" s="246"/>
      <c r="W67" s="246"/>
      <c r="X67" s="246"/>
      <c r="Y67" s="246"/>
      <c r="Z67" s="246"/>
    </row>
    <row r="68" spans="16:26">
      <c r="P68" s="246"/>
      <c r="Q68" s="246"/>
      <c r="R68" s="246"/>
      <c r="S68" s="246"/>
      <c r="T68" s="246"/>
      <c r="U68" s="246"/>
      <c r="V68" s="246"/>
      <c r="W68" s="246"/>
      <c r="X68" s="246"/>
      <c r="Y68" s="246"/>
      <c r="Z68" s="246"/>
    </row>
    <row r="69" spans="16:26">
      <c r="P69" s="241"/>
      <c r="Q69" s="241"/>
      <c r="R69" s="241"/>
      <c r="S69" s="241"/>
      <c r="T69" s="241"/>
      <c r="U69" s="241"/>
      <c r="V69" s="241"/>
      <c r="W69" s="241"/>
      <c r="X69" s="241"/>
      <c r="Y69" s="241"/>
      <c r="Z69" s="241"/>
    </row>
    <row r="70" spans="16:26">
      <c r="P70" s="246"/>
      <c r="Q70" s="246"/>
      <c r="R70" s="246"/>
      <c r="S70" s="246"/>
      <c r="T70" s="246"/>
      <c r="U70" s="246"/>
      <c r="V70" s="246"/>
      <c r="W70" s="246"/>
      <c r="X70" s="246"/>
      <c r="Y70" s="246"/>
      <c r="Z70" s="246"/>
    </row>
    <row r="71" spans="16:26">
      <c r="P71" s="246"/>
      <c r="Q71" s="246"/>
      <c r="R71" s="246"/>
      <c r="S71" s="246"/>
      <c r="T71" s="246"/>
      <c r="U71" s="246"/>
      <c r="V71" s="246"/>
      <c r="W71" s="246"/>
      <c r="X71" s="246"/>
      <c r="Y71" s="246"/>
      <c r="Z71" s="246"/>
    </row>
    <row r="72" spans="16:26">
      <c r="P72" s="241"/>
      <c r="Q72" s="241"/>
      <c r="R72" s="241"/>
      <c r="S72" s="241"/>
      <c r="T72" s="241"/>
      <c r="U72" s="241"/>
      <c r="V72" s="241"/>
      <c r="W72" s="241"/>
      <c r="X72" s="241"/>
      <c r="Y72" s="241"/>
      <c r="Z72" s="241"/>
    </row>
    <row r="73" spans="16:26">
      <c r="P73" s="246"/>
      <c r="Q73" s="246"/>
      <c r="R73" s="246"/>
      <c r="S73" s="246"/>
      <c r="T73" s="246"/>
      <c r="U73" s="246"/>
      <c r="V73" s="246"/>
      <c r="W73" s="246"/>
      <c r="X73" s="246"/>
      <c r="Y73" s="246"/>
      <c r="Z73" s="246"/>
    </row>
    <row r="74" spans="16:26">
      <c r="P74" s="246"/>
      <c r="Q74" s="246"/>
      <c r="R74" s="246"/>
      <c r="S74" s="246"/>
      <c r="T74" s="246"/>
      <c r="U74" s="246"/>
      <c r="V74" s="246"/>
      <c r="W74" s="246"/>
      <c r="X74" s="246"/>
      <c r="Y74" s="246"/>
      <c r="Z74" s="246"/>
    </row>
    <row r="75" spans="16:26">
      <c r="P75" s="241"/>
      <c r="Q75" s="241"/>
      <c r="R75" s="241"/>
      <c r="S75" s="241"/>
      <c r="T75" s="241"/>
      <c r="U75" s="241"/>
      <c r="V75" s="241"/>
      <c r="W75" s="241"/>
      <c r="X75" s="241"/>
      <c r="Y75" s="241"/>
      <c r="Z75" s="241"/>
    </row>
    <row r="76" spans="16:26">
      <c r="P76" s="246"/>
      <c r="Q76" s="246"/>
      <c r="R76" s="246"/>
      <c r="S76" s="246"/>
      <c r="T76" s="246"/>
      <c r="U76" s="246"/>
      <c r="V76" s="246"/>
      <c r="W76" s="246"/>
      <c r="X76" s="246"/>
      <c r="Y76" s="246"/>
      <c r="Z76" s="246"/>
    </row>
    <row r="77" spans="16:26">
      <c r="P77" s="246"/>
      <c r="Q77" s="246"/>
      <c r="R77" s="246"/>
      <c r="S77" s="246"/>
      <c r="T77" s="246"/>
      <c r="U77" s="246"/>
      <c r="V77" s="246"/>
      <c r="W77" s="246"/>
      <c r="X77" s="246"/>
      <c r="Y77" s="246"/>
      <c r="Z77" s="246"/>
    </row>
    <row r="78" spans="16:26">
      <c r="P78" s="241"/>
      <c r="Q78" s="241"/>
      <c r="R78" s="241"/>
      <c r="S78" s="241"/>
      <c r="T78" s="241"/>
      <c r="U78" s="241"/>
      <c r="V78" s="241"/>
      <c r="W78" s="241"/>
      <c r="X78" s="241"/>
      <c r="Y78" s="241"/>
      <c r="Z78" s="241"/>
    </row>
    <row r="79" spans="16:26">
      <c r="P79" s="246"/>
      <c r="Q79" s="246"/>
      <c r="R79" s="246"/>
      <c r="S79" s="246"/>
      <c r="T79" s="246"/>
      <c r="U79" s="246"/>
      <c r="V79" s="246"/>
      <c r="W79" s="246"/>
      <c r="X79" s="246"/>
      <c r="Y79" s="246"/>
      <c r="Z79" s="246"/>
    </row>
    <row r="80" spans="16:26">
      <c r="P80" s="246"/>
      <c r="Q80" s="246"/>
      <c r="R80" s="246"/>
      <c r="S80" s="246"/>
      <c r="T80" s="246"/>
      <c r="U80" s="246"/>
      <c r="V80" s="246"/>
      <c r="W80" s="246"/>
      <c r="X80" s="246"/>
      <c r="Y80" s="246"/>
      <c r="Z80" s="246"/>
    </row>
    <row r="81" spans="16:26">
      <c r="P81" s="241"/>
      <c r="Q81" s="241"/>
      <c r="R81" s="241"/>
      <c r="S81" s="241"/>
      <c r="T81" s="241"/>
      <c r="U81" s="241"/>
      <c r="V81" s="241"/>
      <c r="W81" s="241"/>
      <c r="X81" s="241"/>
      <c r="Y81" s="241"/>
      <c r="Z81" s="241"/>
    </row>
    <row r="82" spans="16:26">
      <c r="P82" s="246"/>
      <c r="Q82" s="246"/>
      <c r="R82" s="246"/>
      <c r="S82" s="246"/>
      <c r="T82" s="246"/>
      <c r="U82" s="246"/>
      <c r="V82" s="246"/>
      <c r="W82" s="246"/>
      <c r="X82" s="246"/>
      <c r="Y82" s="246"/>
      <c r="Z82" s="246"/>
    </row>
    <row r="83" spans="16:26">
      <c r="P83" s="246"/>
      <c r="Q83" s="246"/>
      <c r="R83" s="246"/>
      <c r="S83" s="246"/>
      <c r="T83" s="246"/>
      <c r="U83" s="246"/>
      <c r="V83" s="246"/>
      <c r="W83" s="246"/>
      <c r="X83" s="246"/>
      <c r="Y83" s="246"/>
      <c r="Z83" s="246"/>
    </row>
    <row r="84" spans="16:26">
      <c r="P84" s="241"/>
      <c r="Q84" s="241"/>
      <c r="R84" s="241"/>
      <c r="S84" s="241"/>
      <c r="T84" s="241"/>
      <c r="U84" s="241"/>
      <c r="V84" s="241"/>
      <c r="W84" s="241"/>
      <c r="X84" s="241"/>
      <c r="Y84" s="241"/>
      <c r="Z84" s="241"/>
    </row>
    <row r="85" spans="16:26">
      <c r="P85" s="246"/>
      <c r="Q85" s="246"/>
      <c r="R85" s="246"/>
      <c r="S85" s="246"/>
      <c r="T85" s="246"/>
      <c r="U85" s="246"/>
      <c r="V85" s="246"/>
      <c r="W85" s="246"/>
      <c r="X85" s="246"/>
      <c r="Y85" s="246"/>
      <c r="Z85" s="246"/>
    </row>
    <row r="86" spans="16:26">
      <c r="P86" s="246"/>
      <c r="Q86" s="246"/>
      <c r="R86" s="246"/>
      <c r="S86" s="246"/>
      <c r="T86" s="246"/>
      <c r="U86" s="246"/>
      <c r="V86" s="246"/>
      <c r="W86" s="246"/>
      <c r="X86" s="246"/>
      <c r="Y86" s="246"/>
      <c r="Z86" s="246"/>
    </row>
    <row r="87" spans="16:26">
      <c r="P87" s="241"/>
      <c r="Q87" s="241"/>
      <c r="R87" s="241"/>
      <c r="S87" s="241"/>
      <c r="T87" s="241"/>
      <c r="U87" s="241"/>
      <c r="V87" s="241"/>
      <c r="W87" s="241"/>
      <c r="X87" s="241"/>
      <c r="Y87" s="241"/>
      <c r="Z87" s="241"/>
    </row>
    <row r="88" spans="16:26">
      <c r="P88" s="246"/>
      <c r="Q88" s="246"/>
      <c r="R88" s="246"/>
      <c r="S88" s="246"/>
      <c r="T88" s="246"/>
      <c r="U88" s="246"/>
      <c r="V88" s="246"/>
      <c r="W88" s="246"/>
      <c r="X88" s="246"/>
      <c r="Y88" s="246"/>
      <c r="Z88" s="246"/>
    </row>
    <row r="89" spans="16:26">
      <c r="P89" s="246"/>
      <c r="Q89" s="246"/>
      <c r="R89" s="246"/>
      <c r="S89" s="246"/>
      <c r="T89" s="246"/>
      <c r="U89" s="246"/>
      <c r="V89" s="246"/>
      <c r="W89" s="246"/>
      <c r="X89" s="246"/>
      <c r="Y89" s="246"/>
      <c r="Z89" s="246"/>
    </row>
    <row r="90" spans="16:26">
      <c r="P90" s="241"/>
      <c r="Q90" s="241"/>
      <c r="R90" s="241"/>
      <c r="S90" s="241"/>
      <c r="T90" s="241"/>
      <c r="U90" s="241"/>
      <c r="V90" s="241"/>
      <c r="W90" s="241"/>
      <c r="X90" s="241"/>
      <c r="Y90" s="241"/>
      <c r="Z90" s="241"/>
    </row>
    <row r="91" spans="16:26">
      <c r="P91" s="246"/>
      <c r="Q91" s="246"/>
      <c r="R91" s="246"/>
      <c r="S91" s="246"/>
      <c r="T91" s="246"/>
      <c r="U91" s="246"/>
      <c r="V91" s="246"/>
      <c r="W91" s="246"/>
      <c r="X91" s="246"/>
      <c r="Y91" s="246"/>
      <c r="Z91" s="246"/>
    </row>
    <row r="92" spans="16:26">
      <c r="P92" s="246"/>
      <c r="Q92" s="246"/>
      <c r="R92" s="246"/>
      <c r="S92" s="246"/>
      <c r="T92" s="246"/>
      <c r="U92" s="246"/>
      <c r="V92" s="246"/>
      <c r="W92" s="246"/>
      <c r="X92" s="246"/>
      <c r="Y92" s="246"/>
      <c r="Z92" s="246"/>
    </row>
    <row r="93" spans="16:26">
      <c r="P93" s="241"/>
      <c r="Q93" s="241"/>
      <c r="R93" s="241"/>
      <c r="S93" s="241"/>
      <c r="T93" s="241"/>
      <c r="U93" s="241"/>
      <c r="V93" s="241"/>
      <c r="W93" s="241"/>
      <c r="X93" s="241"/>
      <c r="Y93" s="241"/>
      <c r="Z93" s="241"/>
    </row>
    <row r="94" spans="16:26">
      <c r="P94" s="246"/>
      <c r="Q94" s="246"/>
      <c r="R94" s="246"/>
      <c r="S94" s="246"/>
      <c r="T94" s="246"/>
      <c r="U94" s="246"/>
      <c r="V94" s="246"/>
      <c r="W94" s="246"/>
      <c r="X94" s="246"/>
      <c r="Y94" s="246"/>
      <c r="Z94" s="246"/>
    </row>
    <row r="95" spans="16:26">
      <c r="P95" s="246"/>
      <c r="Q95" s="246"/>
      <c r="R95" s="246"/>
      <c r="S95" s="246"/>
      <c r="T95" s="246"/>
      <c r="U95" s="246"/>
      <c r="V95" s="246"/>
      <c r="W95" s="246"/>
      <c r="X95" s="246"/>
      <c r="Y95" s="246"/>
      <c r="Z95" s="246"/>
    </row>
    <row r="96" spans="16:26">
      <c r="P96" s="241"/>
      <c r="Q96" s="241"/>
      <c r="R96" s="241"/>
      <c r="S96" s="241"/>
      <c r="T96" s="241"/>
      <c r="U96" s="241"/>
      <c r="V96" s="241"/>
      <c r="W96" s="241"/>
      <c r="X96" s="241"/>
      <c r="Y96" s="241"/>
      <c r="Z96" s="241"/>
    </row>
    <row r="97" spans="16:26">
      <c r="P97" s="246"/>
      <c r="Q97" s="246"/>
      <c r="R97" s="246"/>
      <c r="S97" s="246"/>
      <c r="T97" s="246"/>
      <c r="U97" s="246"/>
      <c r="V97" s="246"/>
      <c r="W97" s="246"/>
      <c r="X97" s="246"/>
      <c r="Y97" s="246"/>
      <c r="Z97" s="246"/>
    </row>
    <row r="98" spans="16:26">
      <c r="P98" s="246"/>
      <c r="Q98" s="246"/>
      <c r="R98" s="246"/>
      <c r="S98" s="246"/>
      <c r="T98" s="246"/>
      <c r="U98" s="246"/>
      <c r="V98" s="246"/>
      <c r="W98" s="246"/>
      <c r="X98" s="246"/>
      <c r="Y98" s="246"/>
      <c r="Z98" s="246"/>
    </row>
    <row r="99" spans="16:26">
      <c r="P99" s="241"/>
      <c r="Q99" s="241"/>
      <c r="R99" s="241"/>
      <c r="S99" s="241"/>
      <c r="T99" s="241"/>
      <c r="U99" s="241"/>
      <c r="V99" s="241"/>
      <c r="W99" s="241"/>
      <c r="X99" s="241"/>
      <c r="Y99" s="241"/>
      <c r="Z99" s="241"/>
    </row>
    <row r="100" spans="16:26">
      <c r="P100" s="246"/>
      <c r="Q100" s="246"/>
      <c r="R100" s="246"/>
      <c r="S100" s="246"/>
      <c r="T100" s="246"/>
      <c r="U100" s="246"/>
      <c r="V100" s="246"/>
      <c r="W100" s="246"/>
      <c r="X100" s="246"/>
      <c r="Y100" s="246"/>
      <c r="Z100" s="246"/>
    </row>
    <row r="101" spans="16:26">
      <c r="P101" s="246"/>
      <c r="Q101" s="246"/>
      <c r="R101" s="246"/>
      <c r="S101" s="246"/>
      <c r="T101" s="246"/>
      <c r="U101" s="246"/>
      <c r="V101" s="246"/>
      <c r="W101" s="246"/>
      <c r="X101" s="246"/>
      <c r="Y101" s="246"/>
      <c r="Z101" s="246"/>
    </row>
    <row r="102" spans="16:26">
      <c r="P102" s="241"/>
      <c r="Q102" s="241"/>
      <c r="R102" s="241"/>
      <c r="S102" s="241"/>
      <c r="T102" s="241"/>
      <c r="U102" s="241"/>
      <c r="V102" s="241"/>
      <c r="W102" s="241"/>
      <c r="X102" s="241"/>
      <c r="Y102" s="241"/>
      <c r="Z102" s="241"/>
    </row>
    <row r="103" spans="16:26">
      <c r="P103" s="246"/>
      <c r="Q103" s="246"/>
      <c r="R103" s="246"/>
      <c r="S103" s="246"/>
      <c r="T103" s="246"/>
      <c r="U103" s="246"/>
      <c r="V103" s="246"/>
      <c r="W103" s="246"/>
      <c r="X103" s="246"/>
      <c r="Y103" s="246"/>
      <c r="Z103" s="246"/>
    </row>
    <row r="104" spans="16:26">
      <c r="P104" s="246"/>
      <c r="Q104" s="246"/>
      <c r="R104" s="246"/>
      <c r="S104" s="246"/>
      <c r="T104" s="246"/>
      <c r="U104" s="246"/>
      <c r="V104" s="246"/>
      <c r="W104" s="246"/>
      <c r="X104" s="246"/>
      <c r="Y104" s="246"/>
      <c r="Z104" s="246"/>
    </row>
    <row r="105" spans="16:26">
      <c r="P105" s="241"/>
      <c r="Q105" s="241"/>
      <c r="R105" s="241"/>
      <c r="S105" s="241"/>
      <c r="T105" s="241"/>
      <c r="U105" s="241"/>
      <c r="V105" s="241"/>
      <c r="W105" s="241"/>
      <c r="X105" s="241"/>
      <c r="Y105" s="241"/>
      <c r="Z105" s="241"/>
    </row>
    <row r="106" spans="16:26">
      <c r="P106" s="246"/>
      <c r="Q106" s="246"/>
      <c r="R106" s="246"/>
      <c r="S106" s="246"/>
      <c r="T106" s="246"/>
      <c r="U106" s="246"/>
      <c r="V106" s="246"/>
      <c r="W106" s="246"/>
      <c r="X106" s="246"/>
      <c r="Y106" s="246"/>
      <c r="Z106" s="246"/>
    </row>
    <row r="107" spans="16:26">
      <c r="P107" s="246"/>
      <c r="Q107" s="246"/>
      <c r="R107" s="246"/>
      <c r="S107" s="246"/>
      <c r="T107" s="246"/>
      <c r="U107" s="246"/>
      <c r="V107" s="246"/>
      <c r="W107" s="246"/>
      <c r="X107" s="246"/>
      <c r="Y107" s="246"/>
      <c r="Z107" s="246"/>
    </row>
    <row r="108" spans="16:26">
      <c r="P108" s="241"/>
      <c r="Q108" s="241"/>
      <c r="R108" s="241"/>
      <c r="S108" s="241"/>
      <c r="T108" s="241"/>
      <c r="U108" s="241"/>
      <c r="V108" s="241"/>
      <c r="W108" s="241"/>
      <c r="X108" s="241"/>
      <c r="Y108" s="241"/>
      <c r="Z108" s="241"/>
    </row>
    <row r="109" spans="16:26">
      <c r="P109" s="246"/>
      <c r="Q109" s="246"/>
      <c r="R109" s="246"/>
      <c r="S109" s="246"/>
      <c r="T109" s="246"/>
      <c r="U109" s="246"/>
      <c r="V109" s="246"/>
      <c r="W109" s="246"/>
      <c r="X109" s="246"/>
      <c r="Y109" s="246"/>
      <c r="Z109" s="246"/>
    </row>
    <row r="110" spans="16:26">
      <c r="P110" s="246"/>
      <c r="Q110" s="246"/>
      <c r="R110" s="246"/>
      <c r="S110" s="246"/>
      <c r="T110" s="246"/>
      <c r="U110" s="246"/>
      <c r="V110" s="246"/>
      <c r="W110" s="246"/>
      <c r="X110" s="246"/>
      <c r="Y110" s="246"/>
      <c r="Z110" s="246"/>
    </row>
    <row r="111" spans="16:26">
      <c r="P111" s="241"/>
      <c r="Q111" s="241"/>
      <c r="R111" s="241"/>
      <c r="S111" s="241"/>
      <c r="T111" s="241"/>
      <c r="U111" s="241"/>
      <c r="V111" s="241"/>
      <c r="W111" s="241"/>
      <c r="X111" s="241"/>
      <c r="Y111" s="241"/>
      <c r="Z111" s="241"/>
    </row>
    <row r="112" spans="16:26">
      <c r="P112" s="246"/>
      <c r="Q112" s="246"/>
      <c r="R112" s="246"/>
      <c r="S112" s="246"/>
      <c r="T112" s="246"/>
      <c r="U112" s="246"/>
      <c r="V112" s="246"/>
      <c r="W112" s="246"/>
      <c r="X112" s="246"/>
      <c r="Y112" s="246"/>
      <c r="Z112" s="246"/>
    </row>
    <row r="113" spans="16:26">
      <c r="P113" s="246"/>
      <c r="Q113" s="246"/>
      <c r="R113" s="246"/>
      <c r="S113" s="246"/>
      <c r="T113" s="246"/>
      <c r="U113" s="246"/>
      <c r="V113" s="246"/>
      <c r="W113" s="246"/>
      <c r="X113" s="246"/>
      <c r="Y113" s="246"/>
      <c r="Z113" s="246"/>
    </row>
    <row r="114" spans="16:26">
      <c r="P114" s="241"/>
      <c r="Q114" s="241"/>
      <c r="R114" s="241"/>
      <c r="S114" s="241"/>
      <c r="T114" s="241"/>
      <c r="U114" s="241"/>
      <c r="V114" s="241"/>
      <c r="W114" s="241"/>
      <c r="X114" s="241"/>
      <c r="Y114" s="241"/>
      <c r="Z114" s="241"/>
    </row>
    <row r="115" spans="16:26">
      <c r="P115" s="246"/>
      <c r="Q115" s="246"/>
      <c r="R115" s="246"/>
      <c r="S115" s="246"/>
      <c r="T115" s="246"/>
      <c r="U115" s="246"/>
      <c r="V115" s="246"/>
      <c r="W115" s="246"/>
      <c r="X115" s="246"/>
      <c r="Y115" s="246"/>
      <c r="Z115" s="246"/>
    </row>
    <row r="116" spans="16:26">
      <c r="P116" s="246"/>
      <c r="Q116" s="246"/>
      <c r="R116" s="246"/>
      <c r="S116" s="246"/>
      <c r="T116" s="246"/>
      <c r="U116" s="246"/>
      <c r="V116" s="246"/>
      <c r="W116" s="246"/>
      <c r="X116" s="246"/>
      <c r="Y116" s="246"/>
      <c r="Z116" s="246"/>
    </row>
    <row r="117" spans="16:26">
      <c r="P117" s="241"/>
      <c r="Q117" s="241"/>
      <c r="R117" s="241"/>
      <c r="S117" s="241"/>
      <c r="T117" s="241"/>
      <c r="U117" s="241"/>
      <c r="V117" s="241"/>
      <c r="W117" s="241"/>
      <c r="X117" s="241"/>
      <c r="Y117" s="241"/>
      <c r="Z117" s="241"/>
    </row>
    <row r="118" spans="16:26">
      <c r="P118" s="246"/>
      <c r="Q118" s="246"/>
      <c r="R118" s="246"/>
      <c r="S118" s="246"/>
      <c r="T118" s="246"/>
      <c r="U118" s="246"/>
      <c r="V118" s="246"/>
      <c r="W118" s="246"/>
      <c r="X118" s="246"/>
      <c r="Y118" s="246"/>
      <c r="Z118" s="246"/>
    </row>
    <row r="119" spans="16:26">
      <c r="P119" s="246"/>
      <c r="Q119" s="246"/>
      <c r="R119" s="246"/>
      <c r="S119" s="246"/>
      <c r="T119" s="246"/>
      <c r="U119" s="246"/>
      <c r="V119" s="246"/>
      <c r="W119" s="246"/>
      <c r="X119" s="246"/>
      <c r="Y119" s="246"/>
      <c r="Z119" s="246"/>
    </row>
    <row r="120" spans="16:26">
      <c r="P120" s="241"/>
      <c r="Q120" s="241"/>
      <c r="R120" s="241"/>
      <c r="S120" s="241"/>
      <c r="T120" s="241"/>
      <c r="U120" s="241"/>
      <c r="V120" s="241"/>
      <c r="W120" s="241"/>
      <c r="X120" s="241"/>
      <c r="Y120" s="241"/>
      <c r="Z120" s="241"/>
    </row>
    <row r="121" spans="16:26">
      <c r="P121" s="246"/>
      <c r="Q121" s="246"/>
      <c r="R121" s="246"/>
      <c r="S121" s="246"/>
      <c r="T121" s="246"/>
      <c r="U121" s="246"/>
      <c r="V121" s="246"/>
      <c r="W121" s="246"/>
      <c r="X121" s="246"/>
      <c r="Y121" s="246"/>
      <c r="Z121" s="246"/>
    </row>
    <row r="122" spans="16:26">
      <c r="P122" s="246"/>
      <c r="Q122" s="246"/>
      <c r="R122" s="246"/>
      <c r="S122" s="246"/>
      <c r="T122" s="246"/>
      <c r="U122" s="246"/>
      <c r="V122" s="246"/>
      <c r="W122" s="246"/>
      <c r="X122" s="246"/>
      <c r="Y122" s="246"/>
      <c r="Z122" s="246"/>
    </row>
    <row r="123" spans="16:26">
      <c r="P123" s="241"/>
      <c r="Q123" s="241"/>
      <c r="R123" s="241"/>
      <c r="S123" s="241"/>
      <c r="T123" s="241"/>
      <c r="U123" s="241"/>
      <c r="V123" s="241"/>
      <c r="W123" s="241"/>
      <c r="X123" s="241"/>
      <c r="Y123" s="241"/>
      <c r="Z123" s="241"/>
    </row>
    <row r="124" spans="16:26">
      <c r="P124" s="246"/>
      <c r="Q124" s="246"/>
      <c r="R124" s="246"/>
      <c r="S124" s="246"/>
      <c r="T124" s="246"/>
      <c r="U124" s="246"/>
      <c r="V124" s="246"/>
      <c r="W124" s="246"/>
      <c r="X124" s="246"/>
      <c r="Y124" s="246"/>
      <c r="Z124" s="246"/>
    </row>
    <row r="125" spans="16:26">
      <c r="P125" s="246"/>
      <c r="Q125" s="246"/>
      <c r="R125" s="246"/>
      <c r="S125" s="246"/>
      <c r="T125" s="246"/>
      <c r="U125" s="246"/>
      <c r="V125" s="246"/>
      <c r="W125" s="246"/>
      <c r="X125" s="246"/>
      <c r="Y125" s="246"/>
      <c r="Z125" s="246"/>
    </row>
    <row r="126" spans="16:26">
      <c r="P126" s="241"/>
      <c r="Q126" s="241"/>
      <c r="R126" s="241"/>
      <c r="S126" s="241"/>
      <c r="T126" s="241"/>
      <c r="U126" s="241"/>
      <c r="V126" s="241"/>
      <c r="W126" s="241"/>
      <c r="X126" s="241"/>
      <c r="Y126" s="241"/>
      <c r="Z126" s="241"/>
    </row>
    <row r="127" spans="16:26">
      <c r="P127" s="246"/>
      <c r="Q127" s="246"/>
      <c r="R127" s="246"/>
      <c r="S127" s="246"/>
      <c r="T127" s="246"/>
      <c r="U127" s="246"/>
      <c r="V127" s="246"/>
      <c r="W127" s="246"/>
      <c r="X127" s="246"/>
      <c r="Y127" s="246"/>
      <c r="Z127" s="246"/>
    </row>
    <row r="128" spans="16:26">
      <c r="P128" s="246"/>
      <c r="Q128" s="246"/>
      <c r="R128" s="246"/>
      <c r="S128" s="246"/>
      <c r="T128" s="246"/>
      <c r="U128" s="246"/>
      <c r="V128" s="246"/>
      <c r="W128" s="246"/>
      <c r="X128" s="246"/>
      <c r="Y128" s="246"/>
      <c r="Z128" s="246"/>
    </row>
    <row r="129" spans="16:26">
      <c r="P129" s="241"/>
      <c r="Q129" s="241"/>
      <c r="R129" s="241"/>
      <c r="S129" s="241"/>
      <c r="T129" s="241"/>
      <c r="U129" s="241"/>
      <c r="V129" s="241"/>
      <c r="W129" s="241"/>
      <c r="X129" s="241"/>
      <c r="Y129" s="241"/>
      <c r="Z129" s="241"/>
    </row>
    <row r="130" spans="16:26">
      <c r="P130" s="246"/>
      <c r="Q130" s="246"/>
      <c r="R130" s="246"/>
      <c r="S130" s="246"/>
      <c r="T130" s="246"/>
      <c r="U130" s="246"/>
      <c r="V130" s="246"/>
      <c r="W130" s="246"/>
      <c r="X130" s="246"/>
      <c r="Y130" s="246"/>
      <c r="Z130" s="246"/>
    </row>
    <row r="131" spans="16:26">
      <c r="P131" s="246"/>
      <c r="Q131" s="246"/>
      <c r="R131" s="246"/>
      <c r="S131" s="246"/>
      <c r="T131" s="246"/>
      <c r="U131" s="246"/>
      <c r="V131" s="246"/>
      <c r="W131" s="246"/>
      <c r="X131" s="246"/>
      <c r="Y131" s="246"/>
      <c r="Z131" s="246"/>
    </row>
    <row r="132" spans="16:26">
      <c r="P132" s="241"/>
      <c r="Q132" s="241"/>
      <c r="R132" s="241"/>
      <c r="S132" s="241"/>
      <c r="T132" s="241"/>
      <c r="U132" s="241"/>
      <c r="V132" s="241"/>
      <c r="W132" s="241"/>
      <c r="X132" s="241"/>
      <c r="Y132" s="241"/>
      <c r="Z132" s="241"/>
    </row>
    <row r="133" spans="16:26">
      <c r="P133" s="246"/>
      <c r="Q133" s="246"/>
      <c r="R133" s="246"/>
      <c r="S133" s="246"/>
      <c r="T133" s="246"/>
      <c r="U133" s="246"/>
      <c r="V133" s="246"/>
      <c r="W133" s="246"/>
      <c r="X133" s="246"/>
      <c r="Y133" s="246"/>
      <c r="Z133" s="246"/>
    </row>
    <row r="134" spans="16:26">
      <c r="P134" s="246"/>
      <c r="Q134" s="246"/>
      <c r="R134" s="246"/>
      <c r="S134" s="246"/>
      <c r="T134" s="246"/>
      <c r="U134" s="246"/>
      <c r="V134" s="246"/>
      <c r="W134" s="246"/>
      <c r="X134" s="246"/>
      <c r="Y134" s="246"/>
      <c r="Z134" s="246"/>
    </row>
    <row r="135" spans="16:26">
      <c r="P135" s="241"/>
      <c r="Q135" s="241"/>
      <c r="R135" s="241"/>
      <c r="S135" s="241"/>
      <c r="T135" s="241"/>
      <c r="U135" s="241"/>
      <c r="V135" s="241"/>
      <c r="W135" s="241"/>
      <c r="X135" s="241"/>
      <c r="Y135" s="241"/>
      <c r="Z135" s="241"/>
    </row>
    <row r="136" spans="16:26">
      <c r="P136" s="246"/>
      <c r="Q136" s="246"/>
      <c r="R136" s="246"/>
      <c r="S136" s="246"/>
      <c r="T136" s="246"/>
      <c r="U136" s="246"/>
      <c r="V136" s="246"/>
      <c r="W136" s="246"/>
      <c r="X136" s="246"/>
      <c r="Y136" s="246"/>
      <c r="Z136" s="246"/>
    </row>
    <row r="137" spans="16:26">
      <c r="P137" s="246"/>
      <c r="Q137" s="246"/>
      <c r="R137" s="246"/>
      <c r="S137" s="246"/>
      <c r="T137" s="246"/>
      <c r="U137" s="246"/>
      <c r="V137" s="246"/>
      <c r="W137" s="246"/>
      <c r="X137" s="246"/>
      <c r="Y137" s="246"/>
      <c r="Z137" s="246"/>
    </row>
    <row r="138" spans="16:26">
      <c r="P138" s="241"/>
      <c r="Q138" s="241"/>
      <c r="R138" s="241"/>
      <c r="S138" s="241"/>
      <c r="T138" s="241"/>
      <c r="U138" s="241"/>
      <c r="V138" s="241"/>
      <c r="W138" s="241"/>
      <c r="X138" s="241"/>
      <c r="Y138" s="241"/>
      <c r="Z138" s="241"/>
    </row>
    <row r="139" spans="16:26">
      <c r="P139" s="246"/>
      <c r="Q139" s="246"/>
      <c r="R139" s="246"/>
      <c r="S139" s="246"/>
      <c r="T139" s="246"/>
      <c r="U139" s="246"/>
      <c r="V139" s="246"/>
      <c r="W139" s="246"/>
      <c r="X139" s="246"/>
      <c r="Y139" s="246"/>
      <c r="Z139" s="246"/>
    </row>
    <row r="140" spans="16:26">
      <c r="P140" s="246"/>
      <c r="Q140" s="246"/>
      <c r="R140" s="246"/>
      <c r="S140" s="246"/>
      <c r="T140" s="246"/>
      <c r="U140" s="246"/>
      <c r="V140" s="246"/>
      <c r="W140" s="246"/>
      <c r="X140" s="246"/>
      <c r="Y140" s="246"/>
      <c r="Z140" s="246"/>
    </row>
    <row r="141" spans="16:26">
      <c r="P141" s="241"/>
      <c r="Q141" s="241"/>
      <c r="R141" s="241"/>
      <c r="S141" s="241"/>
      <c r="T141" s="241"/>
      <c r="U141" s="241"/>
      <c r="V141" s="241"/>
      <c r="W141" s="241"/>
      <c r="X141" s="241"/>
      <c r="Y141" s="241"/>
      <c r="Z141" s="241"/>
    </row>
    <row r="142" spans="16:26">
      <c r="P142" s="246"/>
      <c r="Q142" s="246"/>
      <c r="R142" s="246"/>
      <c r="S142" s="246"/>
      <c r="T142" s="246"/>
      <c r="U142" s="246"/>
      <c r="V142" s="246"/>
      <c r="W142" s="246"/>
      <c r="X142" s="246"/>
      <c r="Y142" s="246"/>
      <c r="Z142" s="246"/>
    </row>
    <row r="143" spans="16:26">
      <c r="P143" s="246"/>
      <c r="Q143" s="246"/>
      <c r="R143" s="246"/>
      <c r="S143" s="246"/>
      <c r="T143" s="246"/>
      <c r="U143" s="246"/>
      <c r="V143" s="246"/>
      <c r="W143" s="246"/>
      <c r="X143" s="246"/>
      <c r="Y143" s="246"/>
      <c r="Z143" s="246"/>
    </row>
    <row r="144" spans="16:26">
      <c r="P144" s="241"/>
      <c r="Q144" s="241"/>
      <c r="R144" s="241"/>
      <c r="S144" s="241"/>
      <c r="T144" s="241"/>
      <c r="U144" s="241"/>
      <c r="V144" s="241"/>
      <c r="W144" s="241"/>
      <c r="X144" s="241"/>
      <c r="Y144" s="241"/>
      <c r="Z144" s="241"/>
    </row>
    <row r="145" spans="16:26">
      <c r="P145" s="246"/>
      <c r="Q145" s="246"/>
      <c r="R145" s="246"/>
      <c r="S145" s="246"/>
      <c r="T145" s="246"/>
      <c r="U145" s="246"/>
      <c r="V145" s="246"/>
      <c r="W145" s="246"/>
      <c r="X145" s="246"/>
      <c r="Y145" s="246"/>
      <c r="Z145" s="246"/>
    </row>
    <row r="146" spans="16:26">
      <c r="P146" s="246"/>
      <c r="Q146" s="246"/>
      <c r="R146" s="246"/>
      <c r="S146" s="246"/>
      <c r="T146" s="246"/>
      <c r="U146" s="246"/>
      <c r="V146" s="246"/>
      <c r="W146" s="246"/>
      <c r="X146" s="246"/>
      <c r="Y146" s="246"/>
      <c r="Z146" s="246"/>
    </row>
    <row r="147" spans="16:26">
      <c r="P147" s="241"/>
      <c r="Q147" s="241"/>
      <c r="R147" s="241"/>
      <c r="S147" s="241"/>
      <c r="T147" s="241"/>
      <c r="U147" s="241"/>
      <c r="V147" s="241"/>
      <c r="W147" s="241"/>
      <c r="X147" s="241"/>
      <c r="Y147" s="241"/>
      <c r="Z147" s="241"/>
    </row>
    <row r="148" spans="16:26">
      <c r="P148" s="246"/>
      <c r="Q148" s="246"/>
      <c r="R148" s="246"/>
      <c r="S148" s="246"/>
      <c r="T148" s="246"/>
      <c r="U148" s="246"/>
      <c r="V148" s="246"/>
      <c r="W148" s="246"/>
      <c r="X148" s="246"/>
      <c r="Y148" s="246"/>
      <c r="Z148" s="246"/>
    </row>
    <row r="149" spans="16:26">
      <c r="P149" s="246"/>
      <c r="Q149" s="246"/>
      <c r="R149" s="246"/>
      <c r="S149" s="246"/>
      <c r="T149" s="246"/>
      <c r="U149" s="246"/>
      <c r="V149" s="246"/>
      <c r="W149" s="246"/>
      <c r="X149" s="246"/>
      <c r="Y149" s="246"/>
      <c r="Z149" s="246"/>
    </row>
    <row r="150" spans="16:26">
      <c r="P150" s="241"/>
      <c r="Q150" s="241"/>
      <c r="R150" s="241"/>
      <c r="S150" s="241"/>
      <c r="T150" s="241"/>
      <c r="U150" s="241"/>
      <c r="V150" s="241"/>
      <c r="W150" s="241"/>
      <c r="X150" s="241"/>
      <c r="Y150" s="241"/>
      <c r="Z150" s="241"/>
    </row>
    <row r="151" spans="16:26">
      <c r="P151" s="246"/>
      <c r="Q151" s="246"/>
      <c r="R151" s="246"/>
      <c r="S151" s="246"/>
      <c r="T151" s="246"/>
      <c r="U151" s="246"/>
      <c r="V151" s="246"/>
      <c r="W151" s="246"/>
      <c r="X151" s="246"/>
      <c r="Y151" s="246"/>
      <c r="Z151" s="246"/>
    </row>
    <row r="152" spans="16:26">
      <c r="P152" s="246"/>
      <c r="Q152" s="246"/>
      <c r="R152" s="246"/>
      <c r="S152" s="246"/>
      <c r="T152" s="246"/>
      <c r="U152" s="246"/>
      <c r="V152" s="246"/>
      <c r="W152" s="246"/>
      <c r="X152" s="246"/>
      <c r="Y152" s="246"/>
      <c r="Z152" s="246"/>
    </row>
    <row r="153" spans="16:26">
      <c r="P153" s="241"/>
      <c r="Q153" s="241"/>
      <c r="R153" s="241"/>
      <c r="S153" s="241"/>
      <c r="T153" s="241"/>
      <c r="U153" s="241"/>
      <c r="V153" s="241"/>
      <c r="W153" s="241"/>
      <c r="X153" s="241"/>
      <c r="Y153" s="241"/>
      <c r="Z153" s="241"/>
    </row>
    <row r="154" spans="16:26">
      <c r="P154" s="246"/>
      <c r="Q154" s="246"/>
      <c r="R154" s="246"/>
      <c r="S154" s="246"/>
      <c r="T154" s="246"/>
      <c r="U154" s="246"/>
      <c r="V154" s="246"/>
      <c r="W154" s="246"/>
      <c r="X154" s="246"/>
      <c r="Y154" s="246"/>
      <c r="Z154" s="246"/>
    </row>
    <row r="155" spans="16:26">
      <c r="P155" s="246"/>
      <c r="Q155" s="246"/>
      <c r="R155" s="246"/>
      <c r="S155" s="246"/>
      <c r="T155" s="246"/>
      <c r="U155" s="246"/>
      <c r="V155" s="246"/>
      <c r="W155" s="246"/>
      <c r="X155" s="246"/>
      <c r="Y155" s="246"/>
      <c r="Z155" s="246"/>
    </row>
    <row r="156" spans="16:26">
      <c r="P156" s="241"/>
      <c r="Q156" s="241"/>
      <c r="R156" s="241"/>
      <c r="S156" s="241"/>
      <c r="T156" s="241"/>
      <c r="U156" s="241"/>
      <c r="V156" s="241"/>
      <c r="W156" s="241"/>
      <c r="X156" s="241"/>
      <c r="Y156" s="241"/>
      <c r="Z156" s="241"/>
    </row>
    <row r="157" spans="16:26">
      <c r="P157" s="246"/>
      <c r="Q157" s="246"/>
      <c r="R157" s="246"/>
      <c r="S157" s="246"/>
      <c r="T157" s="246"/>
      <c r="U157" s="246"/>
      <c r="V157" s="246"/>
      <c r="W157" s="246"/>
      <c r="X157" s="246"/>
      <c r="Y157" s="246"/>
      <c r="Z157" s="246"/>
    </row>
    <row r="158" spans="16:26">
      <c r="P158" s="246"/>
      <c r="Q158" s="246"/>
      <c r="R158" s="246"/>
      <c r="S158" s="246"/>
      <c r="T158" s="246"/>
      <c r="U158" s="246"/>
      <c r="V158" s="246"/>
      <c r="W158" s="246"/>
      <c r="X158" s="246"/>
      <c r="Y158" s="246"/>
      <c r="Z158" s="246"/>
    </row>
    <row r="159" spans="16:26">
      <c r="P159" s="241"/>
      <c r="Q159" s="241"/>
      <c r="R159" s="241"/>
      <c r="S159" s="241"/>
      <c r="T159" s="241"/>
      <c r="U159" s="241"/>
      <c r="V159" s="241"/>
      <c r="W159" s="241"/>
      <c r="X159" s="241"/>
      <c r="Y159" s="241"/>
      <c r="Z159" s="241"/>
    </row>
    <row r="160" spans="16:26">
      <c r="P160" s="246"/>
      <c r="Q160" s="246"/>
      <c r="R160" s="246"/>
      <c r="S160" s="246"/>
      <c r="T160" s="246"/>
      <c r="U160" s="246"/>
      <c r="V160" s="246"/>
      <c r="W160" s="246"/>
      <c r="X160" s="246"/>
      <c r="Y160" s="246"/>
      <c r="Z160" s="246"/>
    </row>
    <row r="161" spans="16:26">
      <c r="P161" s="246"/>
      <c r="Q161" s="246"/>
      <c r="R161" s="246"/>
      <c r="S161" s="246"/>
      <c r="T161" s="246"/>
      <c r="U161" s="246"/>
      <c r="V161" s="246"/>
      <c r="W161" s="246"/>
      <c r="X161" s="246"/>
      <c r="Y161" s="246"/>
      <c r="Z161" s="246"/>
    </row>
    <row r="162" spans="16:26">
      <c r="P162" s="241"/>
      <c r="Q162" s="241"/>
      <c r="R162" s="241"/>
      <c r="S162" s="241"/>
      <c r="T162" s="241"/>
      <c r="U162" s="241"/>
      <c r="V162" s="241"/>
      <c r="W162" s="241"/>
      <c r="X162" s="241"/>
      <c r="Y162" s="241"/>
      <c r="Z162" s="241"/>
    </row>
    <row r="163" spans="16:26">
      <c r="P163" s="246"/>
      <c r="Q163" s="246"/>
      <c r="R163" s="246"/>
      <c r="S163" s="246"/>
      <c r="T163" s="246"/>
      <c r="U163" s="246"/>
      <c r="V163" s="246"/>
      <c r="W163" s="246"/>
      <c r="X163" s="246"/>
      <c r="Y163" s="246"/>
      <c r="Z163" s="246"/>
    </row>
    <row r="164" spans="16:26">
      <c r="P164" s="246"/>
      <c r="Q164" s="246"/>
      <c r="R164" s="246"/>
      <c r="S164" s="246"/>
      <c r="T164" s="246"/>
      <c r="U164" s="246"/>
      <c r="V164" s="246"/>
      <c r="W164" s="246"/>
      <c r="X164" s="246"/>
      <c r="Y164" s="246"/>
      <c r="Z164" s="246"/>
    </row>
    <row r="165" spans="16:26">
      <c r="P165" s="241"/>
      <c r="Q165" s="241"/>
      <c r="R165" s="241"/>
      <c r="S165" s="241"/>
      <c r="T165" s="241"/>
      <c r="U165" s="241"/>
      <c r="V165" s="241"/>
      <c r="W165" s="241"/>
      <c r="X165" s="241"/>
      <c r="Y165" s="241"/>
      <c r="Z165" s="241"/>
    </row>
    <row r="166" spans="16:26">
      <c r="P166" s="246"/>
      <c r="Q166" s="246"/>
      <c r="R166" s="246"/>
      <c r="S166" s="246"/>
      <c r="T166" s="246"/>
      <c r="U166" s="246"/>
      <c r="V166" s="246"/>
      <c r="W166" s="246"/>
      <c r="X166" s="246"/>
      <c r="Y166" s="246"/>
      <c r="Z166" s="246"/>
    </row>
    <row r="167" spans="16:26">
      <c r="P167" s="246"/>
      <c r="Q167" s="246"/>
      <c r="R167" s="246"/>
      <c r="S167" s="246"/>
      <c r="T167" s="246"/>
      <c r="U167" s="246"/>
      <c r="V167" s="246"/>
      <c r="W167" s="246"/>
      <c r="X167" s="246"/>
      <c r="Y167" s="246"/>
      <c r="Z167" s="246"/>
    </row>
    <row r="168" spans="16:26">
      <c r="P168" s="241"/>
      <c r="Q168" s="241"/>
      <c r="R168" s="241"/>
      <c r="S168" s="241"/>
      <c r="T168" s="241"/>
      <c r="U168" s="241"/>
      <c r="V168" s="241"/>
      <c r="W168" s="241"/>
      <c r="X168" s="241"/>
      <c r="Y168" s="241"/>
      <c r="Z168" s="241"/>
    </row>
    <row r="169" spans="16:26">
      <c r="P169" s="246"/>
      <c r="Q169" s="246"/>
      <c r="R169" s="246"/>
      <c r="S169" s="246"/>
      <c r="T169" s="246"/>
      <c r="U169" s="246"/>
      <c r="V169" s="246"/>
      <c r="W169" s="246"/>
      <c r="X169" s="246"/>
      <c r="Y169" s="246"/>
      <c r="Z169" s="246"/>
    </row>
    <row r="170" spans="16:26">
      <c r="P170" s="246"/>
      <c r="Q170" s="246"/>
      <c r="R170" s="246"/>
      <c r="S170" s="246"/>
      <c r="T170" s="246"/>
      <c r="U170" s="246"/>
      <c r="V170" s="246"/>
      <c r="W170" s="246"/>
      <c r="X170" s="246"/>
      <c r="Y170" s="246"/>
      <c r="Z170" s="246"/>
    </row>
    <row r="171" spans="16:26">
      <c r="P171" s="241"/>
      <c r="Q171" s="241"/>
      <c r="R171" s="241"/>
      <c r="S171" s="241"/>
      <c r="T171" s="241"/>
      <c r="U171" s="241"/>
      <c r="V171" s="241"/>
      <c r="W171" s="241"/>
      <c r="X171" s="241"/>
      <c r="Y171" s="241"/>
      <c r="Z171" s="241"/>
    </row>
    <row r="172" spans="16:26">
      <c r="P172" s="246"/>
      <c r="Q172" s="246"/>
      <c r="R172" s="246"/>
      <c r="S172" s="246"/>
      <c r="T172" s="246"/>
      <c r="U172" s="246"/>
      <c r="V172" s="246"/>
      <c r="W172" s="246"/>
      <c r="X172" s="246"/>
      <c r="Y172" s="246"/>
      <c r="Z172" s="246"/>
    </row>
    <row r="173" spans="16:26">
      <c r="P173" s="246"/>
      <c r="Q173" s="246"/>
      <c r="R173" s="246"/>
      <c r="S173" s="246"/>
      <c r="T173" s="246"/>
      <c r="U173" s="246"/>
      <c r="V173" s="246"/>
      <c r="W173" s="246"/>
      <c r="X173" s="246"/>
      <c r="Y173" s="246"/>
      <c r="Z173" s="246"/>
    </row>
    <row r="174" spans="16:26">
      <c r="P174" s="241"/>
      <c r="Q174" s="241"/>
      <c r="R174" s="241"/>
      <c r="S174" s="241"/>
      <c r="T174" s="241"/>
      <c r="U174" s="241"/>
      <c r="V174" s="241"/>
      <c r="W174" s="241"/>
      <c r="X174" s="241"/>
      <c r="Y174" s="241"/>
      <c r="Z174" s="241"/>
    </row>
    <row r="175" spans="16:26">
      <c r="P175" s="246"/>
      <c r="Q175" s="246"/>
      <c r="R175" s="246"/>
      <c r="S175" s="246"/>
      <c r="T175" s="246"/>
      <c r="U175" s="246"/>
      <c r="V175" s="246"/>
      <c r="W175" s="246"/>
      <c r="X175" s="246"/>
      <c r="Y175" s="246"/>
      <c r="Z175" s="246"/>
    </row>
    <row r="176" spans="16:26">
      <c r="P176" s="246"/>
      <c r="Q176" s="246"/>
      <c r="R176" s="246"/>
      <c r="S176" s="246"/>
      <c r="T176" s="246"/>
      <c r="U176" s="246"/>
      <c r="V176" s="246"/>
      <c r="W176" s="246"/>
      <c r="X176" s="246"/>
      <c r="Y176" s="246"/>
      <c r="Z176" s="246"/>
    </row>
    <row r="177" spans="16:26">
      <c r="P177" s="241"/>
      <c r="Q177" s="241"/>
      <c r="R177" s="241"/>
      <c r="S177" s="241"/>
      <c r="T177" s="241"/>
      <c r="U177" s="241"/>
      <c r="V177" s="241"/>
      <c r="W177" s="241"/>
      <c r="X177" s="241"/>
      <c r="Y177" s="241"/>
      <c r="Z177" s="241"/>
    </row>
    <row r="178" spans="16:26">
      <c r="P178" s="246"/>
      <c r="Q178" s="246"/>
      <c r="R178" s="246"/>
      <c r="S178" s="246"/>
      <c r="T178" s="246"/>
      <c r="U178" s="246"/>
      <c r="V178" s="246"/>
      <c r="W178" s="246"/>
      <c r="X178" s="246"/>
      <c r="Y178" s="246"/>
      <c r="Z178" s="246"/>
    </row>
    <row r="179" spans="16:26">
      <c r="P179" s="246"/>
      <c r="Q179" s="246"/>
      <c r="R179" s="246"/>
      <c r="S179" s="246"/>
      <c r="T179" s="246"/>
      <c r="U179" s="246"/>
      <c r="V179" s="246"/>
      <c r="W179" s="246"/>
      <c r="X179" s="246"/>
      <c r="Y179" s="246"/>
      <c r="Z179" s="246"/>
    </row>
    <row r="180" spans="16:26">
      <c r="P180" s="241"/>
      <c r="Q180" s="241"/>
      <c r="R180" s="241"/>
      <c r="S180" s="241"/>
      <c r="T180" s="241"/>
      <c r="U180" s="241"/>
      <c r="V180" s="241"/>
      <c r="W180" s="241"/>
      <c r="X180" s="241"/>
      <c r="Y180" s="241"/>
      <c r="Z180" s="241"/>
    </row>
    <row r="181" spans="16:26">
      <c r="P181" s="246"/>
      <c r="Q181" s="246"/>
      <c r="R181" s="246"/>
      <c r="S181" s="246"/>
      <c r="T181" s="246"/>
      <c r="U181" s="246"/>
      <c r="V181" s="246"/>
      <c r="W181" s="246"/>
      <c r="X181" s="246"/>
      <c r="Y181" s="246"/>
      <c r="Z181" s="246"/>
    </row>
    <row r="182" spans="16:26">
      <c r="P182" s="246"/>
      <c r="Q182" s="246"/>
      <c r="R182" s="246"/>
      <c r="S182" s="246"/>
      <c r="T182" s="246"/>
      <c r="U182" s="246"/>
      <c r="V182" s="246"/>
      <c r="W182" s="246"/>
      <c r="X182" s="246"/>
      <c r="Y182" s="246"/>
      <c r="Z182" s="246"/>
    </row>
    <row r="183" spans="16:26">
      <c r="P183" s="241"/>
      <c r="Q183" s="241"/>
      <c r="R183" s="241"/>
      <c r="S183" s="241"/>
      <c r="T183" s="241"/>
      <c r="U183" s="241"/>
      <c r="V183" s="241"/>
      <c r="W183" s="241"/>
      <c r="X183" s="241"/>
      <c r="Y183" s="241"/>
      <c r="Z183" s="241"/>
    </row>
    <row r="184" spans="16:26">
      <c r="P184" s="246"/>
      <c r="Q184" s="246"/>
      <c r="R184" s="246"/>
      <c r="S184" s="246"/>
      <c r="T184" s="246"/>
      <c r="U184" s="246"/>
      <c r="V184" s="246"/>
      <c r="W184" s="246"/>
      <c r="X184" s="246"/>
      <c r="Y184" s="246"/>
      <c r="Z184" s="246"/>
    </row>
    <row r="185" spans="16:26">
      <c r="P185" s="246"/>
      <c r="Q185" s="246"/>
      <c r="R185" s="246"/>
      <c r="S185" s="246"/>
      <c r="T185" s="246"/>
      <c r="U185" s="246"/>
      <c r="V185" s="246"/>
      <c r="W185" s="246"/>
      <c r="X185" s="246"/>
      <c r="Y185" s="246"/>
      <c r="Z185" s="246"/>
    </row>
    <row r="186" spans="16:26">
      <c r="P186" s="241"/>
      <c r="Q186" s="241"/>
      <c r="R186" s="241"/>
      <c r="S186" s="241"/>
      <c r="T186" s="241"/>
      <c r="U186" s="241"/>
      <c r="V186" s="241"/>
      <c r="W186" s="241"/>
      <c r="X186" s="241"/>
      <c r="Y186" s="241"/>
      <c r="Z186" s="241"/>
    </row>
    <row r="187" spans="16:26">
      <c r="P187" s="246"/>
      <c r="Q187" s="246"/>
      <c r="R187" s="246"/>
      <c r="S187" s="246"/>
      <c r="T187" s="246"/>
      <c r="U187" s="246"/>
      <c r="V187" s="246"/>
      <c r="W187" s="246"/>
      <c r="X187" s="246"/>
      <c r="Y187" s="246"/>
      <c r="Z187" s="246"/>
    </row>
    <row r="188" spans="16:26">
      <c r="P188" s="246"/>
      <c r="Q188" s="246"/>
      <c r="R188" s="246"/>
      <c r="S188" s="246"/>
      <c r="T188" s="246"/>
      <c r="U188" s="246"/>
      <c r="V188" s="246"/>
      <c r="W188" s="246"/>
      <c r="X188" s="246"/>
      <c r="Y188" s="246"/>
      <c r="Z188" s="246"/>
    </row>
    <row r="189" spans="16:26">
      <c r="P189" s="241"/>
      <c r="Q189" s="241"/>
      <c r="R189" s="241"/>
      <c r="S189" s="241"/>
      <c r="T189" s="241"/>
      <c r="U189" s="241"/>
      <c r="V189" s="241"/>
      <c r="W189" s="241"/>
      <c r="X189" s="241"/>
      <c r="Y189" s="241"/>
      <c r="Z189" s="241"/>
    </row>
    <row r="190" spans="16:26">
      <c r="P190" s="246"/>
      <c r="Q190" s="246"/>
      <c r="R190" s="246"/>
      <c r="S190" s="246"/>
      <c r="T190" s="246"/>
      <c r="U190" s="246"/>
      <c r="V190" s="246"/>
      <c r="W190" s="246"/>
      <c r="X190" s="246"/>
      <c r="Y190" s="246"/>
      <c r="Z190" s="246"/>
    </row>
    <row r="191" spans="16:26">
      <c r="P191" s="246"/>
      <c r="Q191" s="246"/>
      <c r="R191" s="246"/>
      <c r="S191" s="246"/>
      <c r="T191" s="246"/>
      <c r="U191" s="246"/>
      <c r="V191" s="246"/>
      <c r="W191" s="246"/>
      <c r="X191" s="246"/>
      <c r="Y191" s="246"/>
      <c r="Z191" s="246"/>
    </row>
    <row r="192" spans="16:26">
      <c r="P192" s="241"/>
      <c r="Q192" s="241"/>
      <c r="R192" s="241"/>
      <c r="S192" s="241"/>
      <c r="T192" s="241"/>
      <c r="U192" s="241"/>
      <c r="V192" s="241"/>
      <c r="W192" s="241"/>
      <c r="X192" s="241"/>
      <c r="Y192" s="241"/>
      <c r="Z192" s="241"/>
    </row>
    <row r="193" spans="16:26">
      <c r="P193" s="246"/>
      <c r="Q193" s="246"/>
      <c r="R193" s="246"/>
      <c r="S193" s="246"/>
      <c r="T193" s="246"/>
      <c r="U193" s="246"/>
      <c r="V193" s="246"/>
      <c r="W193" s="246"/>
      <c r="X193" s="246"/>
      <c r="Y193" s="246"/>
      <c r="Z193" s="246"/>
    </row>
    <row r="194" spans="16:26">
      <c r="P194" s="246"/>
      <c r="Q194" s="246"/>
      <c r="R194" s="246"/>
      <c r="S194" s="246"/>
      <c r="T194" s="246"/>
      <c r="U194" s="246"/>
      <c r="V194" s="246"/>
      <c r="W194" s="246"/>
      <c r="X194" s="246"/>
      <c r="Y194" s="246"/>
      <c r="Z194" s="246"/>
    </row>
    <row r="195" spans="16:26">
      <c r="P195" s="241"/>
      <c r="Q195" s="241"/>
      <c r="R195" s="241"/>
      <c r="S195" s="241"/>
      <c r="T195" s="241"/>
      <c r="U195" s="241"/>
      <c r="V195" s="241"/>
      <c r="W195" s="241"/>
      <c r="X195" s="241"/>
      <c r="Y195" s="241"/>
      <c r="Z195" s="241"/>
    </row>
    <row r="196" spans="16:26">
      <c r="P196" s="246"/>
      <c r="Q196" s="246"/>
      <c r="R196" s="246"/>
      <c r="S196" s="246"/>
      <c r="T196" s="246"/>
      <c r="U196" s="246"/>
      <c r="V196" s="246"/>
      <c r="W196" s="246"/>
      <c r="X196" s="246"/>
      <c r="Y196" s="246"/>
      <c r="Z196" s="246"/>
    </row>
    <row r="197" spans="16:26">
      <c r="P197" s="246"/>
      <c r="Q197" s="246"/>
      <c r="R197" s="246"/>
      <c r="S197" s="246"/>
      <c r="T197" s="246"/>
      <c r="U197" s="246"/>
      <c r="V197" s="246"/>
      <c r="W197" s="246"/>
      <c r="X197" s="246"/>
      <c r="Y197" s="246"/>
      <c r="Z197" s="246"/>
    </row>
    <row r="198" spans="16:26">
      <c r="P198" s="241"/>
      <c r="Q198" s="241"/>
      <c r="R198" s="241"/>
      <c r="S198" s="241"/>
      <c r="T198" s="241"/>
      <c r="U198" s="241"/>
      <c r="V198" s="241"/>
      <c r="W198" s="241"/>
      <c r="X198" s="241"/>
      <c r="Y198" s="241"/>
      <c r="Z198" s="241"/>
    </row>
    <row r="199" spans="16:26">
      <c r="P199" s="246"/>
      <c r="Q199" s="246"/>
      <c r="R199" s="246"/>
      <c r="S199" s="246"/>
      <c r="T199" s="246"/>
      <c r="U199" s="246"/>
      <c r="V199" s="246"/>
      <c r="W199" s="246"/>
      <c r="X199" s="246"/>
      <c r="Y199" s="246"/>
      <c r="Z199" s="246"/>
    </row>
    <row r="200" spans="16:26">
      <c r="P200" s="246"/>
      <c r="Q200" s="246"/>
      <c r="R200" s="246"/>
      <c r="S200" s="246"/>
      <c r="T200" s="246"/>
      <c r="U200" s="246"/>
      <c r="V200" s="246"/>
      <c r="W200" s="246"/>
      <c r="X200" s="246"/>
      <c r="Y200" s="246"/>
      <c r="Z200" s="246"/>
    </row>
    <row r="201" spans="16:26">
      <c r="P201" s="241"/>
      <c r="Q201" s="241"/>
      <c r="R201" s="241"/>
      <c r="S201" s="241"/>
      <c r="T201" s="241"/>
      <c r="U201" s="241"/>
      <c r="V201" s="241"/>
      <c r="W201" s="241"/>
      <c r="X201" s="241"/>
      <c r="Y201" s="241"/>
      <c r="Z201" s="241"/>
    </row>
    <row r="202" spans="16:26">
      <c r="P202" s="246"/>
      <c r="Q202" s="246"/>
      <c r="R202" s="246"/>
      <c r="S202" s="246"/>
      <c r="T202" s="246"/>
      <c r="U202" s="246"/>
      <c r="V202" s="246"/>
      <c r="W202" s="246"/>
      <c r="X202" s="246"/>
      <c r="Y202" s="246"/>
      <c r="Z202" s="246"/>
    </row>
    <row r="203" spans="16:26">
      <c r="P203" s="246"/>
      <c r="Q203" s="246"/>
      <c r="R203" s="246"/>
      <c r="S203" s="246"/>
      <c r="T203" s="246"/>
      <c r="U203" s="246"/>
      <c r="V203" s="246"/>
      <c r="W203" s="246"/>
      <c r="X203" s="246"/>
      <c r="Y203" s="246"/>
      <c r="Z203" s="246"/>
    </row>
    <row r="204" spans="16:26">
      <c r="P204" s="241"/>
      <c r="Q204" s="241"/>
      <c r="R204" s="241"/>
      <c r="S204" s="241"/>
      <c r="T204" s="241"/>
      <c r="U204" s="241"/>
      <c r="V204" s="241"/>
      <c r="W204" s="241"/>
      <c r="X204" s="241"/>
      <c r="Y204" s="241"/>
      <c r="Z204" s="241"/>
    </row>
    <row r="205" spans="16:26">
      <c r="P205" s="246"/>
      <c r="Q205" s="246"/>
      <c r="R205" s="246"/>
      <c r="S205" s="246"/>
      <c r="T205" s="246"/>
      <c r="U205" s="246"/>
      <c r="V205" s="246"/>
      <c r="W205" s="246"/>
      <c r="X205" s="246"/>
      <c r="Y205" s="246"/>
      <c r="Z205" s="246"/>
    </row>
    <row r="206" spans="16:26">
      <c r="P206" s="246"/>
      <c r="Q206" s="246"/>
      <c r="R206" s="246"/>
      <c r="S206" s="246"/>
      <c r="T206" s="246"/>
      <c r="U206" s="246"/>
      <c r="V206" s="246"/>
      <c r="W206" s="246"/>
      <c r="X206" s="246"/>
      <c r="Y206" s="246"/>
      <c r="Z206" s="246"/>
    </row>
    <row r="207" spans="16:26">
      <c r="P207" s="241"/>
      <c r="Q207" s="241"/>
      <c r="R207" s="241"/>
      <c r="S207" s="241"/>
      <c r="T207" s="241"/>
      <c r="U207" s="241"/>
      <c r="V207" s="241"/>
      <c r="W207" s="241"/>
      <c r="X207" s="241"/>
      <c r="Y207" s="241"/>
      <c r="Z207" s="241"/>
    </row>
    <row r="208" spans="16:26">
      <c r="P208" s="246"/>
      <c r="Q208" s="246"/>
      <c r="R208" s="246"/>
      <c r="S208" s="246"/>
      <c r="T208" s="246"/>
      <c r="U208" s="246"/>
      <c r="V208" s="246"/>
      <c r="W208" s="246"/>
      <c r="X208" s="246"/>
      <c r="Y208" s="246"/>
      <c r="Z208" s="246"/>
    </row>
    <row r="209" spans="16:26">
      <c r="P209" s="246"/>
      <c r="Q209" s="246"/>
      <c r="R209" s="246"/>
      <c r="S209" s="246"/>
      <c r="T209" s="246"/>
      <c r="U209" s="246"/>
      <c r="V209" s="246"/>
      <c r="W209" s="246"/>
      <c r="X209" s="246"/>
      <c r="Y209" s="246"/>
      <c r="Z209" s="246"/>
    </row>
    <row r="210" spans="16:26">
      <c r="P210" s="241"/>
      <c r="Q210" s="241"/>
      <c r="R210" s="241"/>
      <c r="S210" s="241"/>
      <c r="T210" s="241"/>
      <c r="U210" s="241"/>
      <c r="V210" s="241"/>
      <c r="W210" s="241"/>
      <c r="X210" s="241"/>
      <c r="Y210" s="241"/>
      <c r="Z210" s="241"/>
    </row>
    <row r="211" spans="16:26">
      <c r="P211" s="246"/>
      <c r="Q211" s="246"/>
      <c r="R211" s="246"/>
      <c r="S211" s="246"/>
      <c r="T211" s="246"/>
      <c r="U211" s="246"/>
      <c r="V211" s="246"/>
      <c r="W211" s="246"/>
      <c r="X211" s="246"/>
      <c r="Y211" s="246"/>
      <c r="Z211" s="246"/>
    </row>
    <row r="212" spans="16:26">
      <c r="P212" s="246"/>
      <c r="Q212" s="246"/>
      <c r="R212" s="246"/>
      <c r="S212" s="246"/>
      <c r="T212" s="246"/>
      <c r="U212" s="246"/>
      <c r="V212" s="246"/>
      <c r="W212" s="246"/>
      <c r="X212" s="246"/>
      <c r="Y212" s="246"/>
      <c r="Z212" s="246"/>
    </row>
    <row r="213" spans="16:26">
      <c r="P213" s="241"/>
      <c r="Q213" s="241"/>
      <c r="R213" s="241"/>
      <c r="S213" s="241"/>
      <c r="T213" s="241"/>
      <c r="U213" s="241"/>
      <c r="V213" s="241"/>
      <c r="W213" s="241"/>
      <c r="X213" s="241"/>
      <c r="Y213" s="241"/>
      <c r="Z213" s="241"/>
    </row>
    <row r="214" spans="16:26">
      <c r="P214" s="246"/>
      <c r="Q214" s="246"/>
      <c r="R214" s="246"/>
      <c r="S214" s="246"/>
      <c r="T214" s="246"/>
      <c r="U214" s="246"/>
      <c r="V214" s="246"/>
      <c r="W214" s="246"/>
      <c r="X214" s="246"/>
      <c r="Y214" s="246"/>
      <c r="Z214" s="246"/>
    </row>
    <row r="215" spans="16:26">
      <c r="P215" s="246"/>
      <c r="Q215" s="246"/>
      <c r="R215" s="246"/>
      <c r="S215" s="246"/>
      <c r="T215" s="246"/>
      <c r="U215" s="246"/>
      <c r="V215" s="246"/>
      <c r="W215" s="246"/>
      <c r="X215" s="246"/>
      <c r="Y215" s="246"/>
      <c r="Z215" s="246"/>
    </row>
    <row r="216" spans="16:26">
      <c r="P216" s="241"/>
      <c r="Q216" s="241"/>
      <c r="R216" s="241"/>
      <c r="S216" s="241"/>
      <c r="T216" s="241"/>
      <c r="U216" s="241"/>
      <c r="V216" s="241"/>
      <c r="W216" s="241"/>
      <c r="X216" s="241"/>
      <c r="Y216" s="241"/>
      <c r="Z216" s="241"/>
    </row>
    <row r="217" spans="16:26">
      <c r="P217" s="246"/>
      <c r="Q217" s="246"/>
      <c r="R217" s="246"/>
      <c r="S217" s="246"/>
      <c r="T217" s="246"/>
      <c r="U217" s="246"/>
      <c r="V217" s="246"/>
      <c r="W217" s="246"/>
      <c r="X217" s="246"/>
      <c r="Y217" s="246"/>
      <c r="Z217" s="246"/>
    </row>
    <row r="218" spans="16:26">
      <c r="P218" s="246"/>
      <c r="Q218" s="246"/>
      <c r="R218" s="246"/>
      <c r="S218" s="246"/>
      <c r="T218" s="246"/>
      <c r="U218" s="246"/>
      <c r="V218" s="246"/>
      <c r="W218" s="246"/>
      <c r="X218" s="246"/>
      <c r="Y218" s="246"/>
      <c r="Z218" s="246"/>
    </row>
    <row r="219" spans="16:26">
      <c r="P219" s="241"/>
      <c r="Q219" s="241"/>
      <c r="R219" s="241"/>
      <c r="S219" s="241"/>
      <c r="T219" s="241"/>
      <c r="U219" s="241"/>
      <c r="V219" s="241"/>
      <c r="W219" s="241"/>
      <c r="X219" s="241"/>
      <c r="Y219" s="241"/>
      <c r="Z219" s="241"/>
    </row>
    <row r="220" spans="16:26">
      <c r="P220" s="246"/>
      <c r="Q220" s="246"/>
      <c r="R220" s="246"/>
      <c r="S220" s="246"/>
      <c r="T220" s="246"/>
      <c r="U220" s="246"/>
      <c r="V220" s="246"/>
      <c r="W220" s="246"/>
      <c r="X220" s="246"/>
      <c r="Y220" s="246"/>
      <c r="Z220" s="246"/>
    </row>
    <row r="221" spans="16:26">
      <c r="P221" s="246"/>
      <c r="Q221" s="246"/>
      <c r="R221" s="246"/>
      <c r="S221" s="246"/>
      <c r="T221" s="246"/>
      <c r="U221" s="246"/>
      <c r="V221" s="246"/>
      <c r="W221" s="246"/>
      <c r="X221" s="246"/>
      <c r="Y221" s="246"/>
      <c r="Z221" s="246"/>
    </row>
    <row r="222" spans="16:26">
      <c r="P222" s="241"/>
      <c r="Q222" s="241"/>
      <c r="R222" s="241"/>
      <c r="S222" s="241"/>
      <c r="T222" s="241"/>
      <c r="U222" s="241"/>
      <c r="V222" s="241"/>
      <c r="W222" s="241"/>
      <c r="X222" s="241"/>
      <c r="Y222" s="241"/>
      <c r="Z222" s="241"/>
    </row>
    <row r="223" spans="16:26">
      <c r="P223" s="246"/>
      <c r="Q223" s="246"/>
      <c r="R223" s="246"/>
      <c r="S223" s="246"/>
      <c r="T223" s="246"/>
      <c r="U223" s="246"/>
      <c r="V223" s="246"/>
      <c r="W223" s="246"/>
      <c r="X223" s="246"/>
      <c r="Y223" s="246"/>
      <c r="Z223" s="246"/>
    </row>
    <row r="224" spans="16:26">
      <c r="P224" s="246"/>
      <c r="Q224" s="246"/>
      <c r="R224" s="246"/>
      <c r="S224" s="246"/>
      <c r="T224" s="246"/>
      <c r="U224" s="246"/>
      <c r="V224" s="246"/>
      <c r="W224" s="246"/>
      <c r="X224" s="246"/>
      <c r="Y224" s="246"/>
      <c r="Z224" s="246"/>
    </row>
    <row r="225" spans="16:26">
      <c r="P225" s="241"/>
      <c r="Q225" s="241"/>
      <c r="R225" s="241"/>
      <c r="S225" s="241"/>
      <c r="T225" s="241"/>
      <c r="U225" s="241"/>
      <c r="V225" s="241"/>
      <c r="W225" s="241"/>
      <c r="X225" s="241"/>
      <c r="Y225" s="241"/>
      <c r="Z225" s="241"/>
    </row>
    <row r="226" spans="16:26">
      <c r="P226" s="246"/>
      <c r="Q226" s="246"/>
      <c r="R226" s="246"/>
      <c r="S226" s="246"/>
      <c r="T226" s="246"/>
      <c r="U226" s="246"/>
      <c r="V226" s="246"/>
      <c r="W226" s="246"/>
      <c r="X226" s="246"/>
      <c r="Y226" s="246"/>
      <c r="Z226" s="246"/>
    </row>
    <row r="227" spans="16:26">
      <c r="P227" s="246"/>
      <c r="Q227" s="246"/>
      <c r="R227" s="246"/>
      <c r="S227" s="246"/>
      <c r="T227" s="246"/>
      <c r="U227" s="246"/>
      <c r="V227" s="246"/>
      <c r="W227" s="246"/>
      <c r="X227" s="246"/>
      <c r="Y227" s="246"/>
      <c r="Z227" s="246"/>
    </row>
    <row r="228" spans="16:26">
      <c r="P228" s="241"/>
      <c r="Q228" s="241"/>
      <c r="R228" s="241"/>
      <c r="S228" s="241"/>
      <c r="T228" s="241"/>
      <c r="U228" s="241"/>
      <c r="V228" s="241"/>
      <c r="W228" s="241"/>
      <c r="X228" s="241"/>
      <c r="Y228" s="241"/>
      <c r="Z228" s="241"/>
    </row>
    <row r="229" spans="16:26">
      <c r="P229" s="246"/>
      <c r="Q229" s="246"/>
      <c r="R229" s="246"/>
      <c r="S229" s="246"/>
      <c r="T229" s="246"/>
      <c r="U229" s="246"/>
      <c r="V229" s="246"/>
      <c r="W229" s="246"/>
      <c r="X229" s="246"/>
      <c r="Y229" s="246"/>
      <c r="Z229" s="246"/>
    </row>
    <row r="230" spans="16:26">
      <c r="P230" s="246"/>
      <c r="Q230" s="246"/>
      <c r="R230" s="246"/>
      <c r="S230" s="246"/>
      <c r="T230" s="246"/>
      <c r="U230" s="246"/>
      <c r="V230" s="246"/>
      <c r="W230" s="246"/>
      <c r="X230" s="246"/>
      <c r="Y230" s="246"/>
      <c r="Z230" s="246"/>
    </row>
    <row r="231" spans="16:26">
      <c r="P231" s="241"/>
      <c r="Q231" s="241"/>
      <c r="R231" s="241"/>
      <c r="S231" s="241"/>
      <c r="T231" s="241"/>
      <c r="U231" s="241"/>
      <c r="V231" s="241"/>
      <c r="W231" s="241"/>
      <c r="X231" s="241"/>
      <c r="Y231" s="241"/>
      <c r="Z231" s="241"/>
    </row>
    <row r="232" spans="16:26">
      <c r="P232" s="246"/>
      <c r="Q232" s="246"/>
      <c r="R232" s="246"/>
      <c r="S232" s="246"/>
      <c r="T232" s="246"/>
      <c r="U232" s="246"/>
      <c r="V232" s="246"/>
      <c r="W232" s="246"/>
      <c r="X232" s="246"/>
      <c r="Y232" s="246"/>
      <c r="Z232" s="246"/>
    </row>
    <row r="233" spans="16:26">
      <c r="P233" s="246"/>
      <c r="Q233" s="246"/>
      <c r="R233" s="246"/>
      <c r="S233" s="246"/>
      <c r="T233" s="246"/>
      <c r="U233" s="246"/>
      <c r="V233" s="246"/>
      <c r="W233" s="246"/>
      <c r="X233" s="246"/>
      <c r="Y233" s="246"/>
      <c r="Z233" s="246"/>
    </row>
    <row r="234" spans="16:26">
      <c r="P234" s="241"/>
      <c r="Q234" s="241"/>
      <c r="R234" s="241"/>
      <c r="S234" s="241"/>
      <c r="T234" s="241"/>
      <c r="U234" s="241"/>
      <c r="V234" s="241"/>
      <c r="W234" s="241"/>
      <c r="X234" s="241"/>
      <c r="Y234" s="241"/>
      <c r="Z234" s="241"/>
    </row>
    <row r="235" spans="16:26">
      <c r="P235" s="246"/>
      <c r="Q235" s="246"/>
      <c r="R235" s="246"/>
      <c r="S235" s="246"/>
      <c r="T235" s="246"/>
      <c r="U235" s="246"/>
      <c r="V235" s="246"/>
      <c r="W235" s="246"/>
      <c r="X235" s="246"/>
      <c r="Y235" s="246"/>
      <c r="Z235" s="246"/>
    </row>
    <row r="236" spans="16:26">
      <c r="P236" s="246"/>
      <c r="Q236" s="246"/>
      <c r="R236" s="246"/>
      <c r="S236" s="246"/>
      <c r="T236" s="246"/>
      <c r="U236" s="246"/>
      <c r="V236" s="246"/>
      <c r="W236" s="246"/>
      <c r="X236" s="246"/>
      <c r="Y236" s="246"/>
      <c r="Z236" s="246"/>
    </row>
    <row r="237" spans="16:26">
      <c r="P237" s="241"/>
      <c r="Q237" s="241"/>
      <c r="R237" s="241"/>
      <c r="S237" s="241"/>
      <c r="T237" s="241"/>
      <c r="U237" s="241"/>
      <c r="V237" s="241"/>
      <c r="W237" s="241"/>
      <c r="X237" s="241"/>
      <c r="Y237" s="241"/>
      <c r="Z237" s="241"/>
    </row>
    <row r="238" spans="16:26">
      <c r="P238" s="246"/>
      <c r="Q238" s="246"/>
      <c r="R238" s="246"/>
      <c r="S238" s="246"/>
      <c r="T238" s="246"/>
      <c r="U238" s="246"/>
      <c r="V238" s="246"/>
      <c r="W238" s="246"/>
      <c r="X238" s="246"/>
      <c r="Y238" s="246"/>
      <c r="Z238" s="246"/>
    </row>
    <row r="239" spans="16:26">
      <c r="P239" s="246"/>
      <c r="Q239" s="246"/>
      <c r="R239" s="246"/>
      <c r="S239" s="246"/>
      <c r="T239" s="246"/>
      <c r="U239" s="246"/>
      <c r="V239" s="246"/>
      <c r="W239" s="246"/>
      <c r="X239" s="246"/>
      <c r="Y239" s="246"/>
      <c r="Z239" s="246"/>
    </row>
    <row r="240" spans="16:26">
      <c r="P240" s="241"/>
      <c r="Q240" s="241"/>
      <c r="R240" s="241"/>
      <c r="S240" s="241"/>
      <c r="T240" s="241"/>
      <c r="U240" s="241"/>
      <c r="V240" s="241"/>
      <c r="W240" s="241"/>
      <c r="X240" s="241"/>
      <c r="Y240" s="241"/>
      <c r="Z240" s="241"/>
    </row>
    <row r="241" spans="16:26">
      <c r="P241" s="246"/>
      <c r="Q241" s="246"/>
      <c r="R241" s="246"/>
      <c r="S241" s="246"/>
      <c r="T241" s="246"/>
      <c r="U241" s="246"/>
      <c r="V241" s="246"/>
      <c r="W241" s="246"/>
      <c r="X241" s="246"/>
      <c r="Y241" s="246"/>
      <c r="Z241" s="246"/>
    </row>
    <row r="242" spans="16:26">
      <c r="P242" s="246"/>
      <c r="Q242" s="246"/>
      <c r="R242" s="246"/>
      <c r="S242" s="246"/>
      <c r="T242" s="246"/>
      <c r="U242" s="246"/>
      <c r="V242" s="246"/>
      <c r="W242" s="246"/>
      <c r="X242" s="246"/>
      <c r="Y242" s="246"/>
      <c r="Z242" s="246"/>
    </row>
    <row r="243" spans="16:26">
      <c r="P243" s="241"/>
      <c r="Q243" s="241"/>
      <c r="R243" s="241"/>
      <c r="S243" s="241"/>
      <c r="T243" s="241"/>
      <c r="U243" s="241"/>
      <c r="V243" s="241"/>
      <c r="W243" s="241"/>
      <c r="X243" s="241"/>
      <c r="Y243" s="241"/>
      <c r="Z243" s="241"/>
    </row>
    <row r="244" spans="16:26">
      <c r="P244" s="246"/>
      <c r="Q244" s="246"/>
      <c r="R244" s="246"/>
      <c r="S244" s="246"/>
      <c r="T244" s="246"/>
      <c r="U244" s="246"/>
      <c r="V244" s="246"/>
      <c r="W244" s="246"/>
      <c r="X244" s="246"/>
      <c r="Y244" s="246"/>
      <c r="Z244" s="246"/>
    </row>
    <row r="245" spans="16:26">
      <c r="P245" s="246"/>
      <c r="Q245" s="246"/>
      <c r="R245" s="246"/>
      <c r="S245" s="246"/>
      <c r="T245" s="246"/>
      <c r="U245" s="246"/>
      <c r="V245" s="246"/>
      <c r="W245" s="246"/>
      <c r="X245" s="246"/>
      <c r="Y245" s="246"/>
      <c r="Z245" s="246"/>
    </row>
    <row r="246" spans="16:26">
      <c r="P246" s="241"/>
      <c r="Q246" s="241"/>
      <c r="R246" s="241"/>
      <c r="S246" s="241"/>
      <c r="T246" s="241"/>
      <c r="U246" s="241"/>
      <c r="V246" s="241"/>
      <c r="W246" s="241"/>
      <c r="X246" s="241"/>
      <c r="Y246" s="241"/>
      <c r="Z246" s="241"/>
    </row>
    <row r="247" spans="16:26">
      <c r="P247" s="246"/>
      <c r="Q247" s="246"/>
      <c r="R247" s="246"/>
      <c r="S247" s="246"/>
      <c r="T247" s="246"/>
      <c r="U247" s="246"/>
      <c r="V247" s="246"/>
      <c r="W247" s="246"/>
      <c r="X247" s="246"/>
      <c r="Y247" s="246"/>
      <c r="Z247" s="246"/>
    </row>
    <row r="248" spans="16:26">
      <c r="P248" s="246"/>
      <c r="Q248" s="246"/>
      <c r="R248" s="246"/>
      <c r="S248" s="246"/>
      <c r="T248" s="246"/>
      <c r="U248" s="246"/>
      <c r="V248" s="246"/>
      <c r="W248" s="246"/>
      <c r="X248" s="246"/>
      <c r="Y248" s="246"/>
      <c r="Z248" s="246"/>
    </row>
    <row r="249" spans="16:26">
      <c r="P249" s="241"/>
      <c r="Q249" s="241"/>
      <c r="R249" s="241"/>
      <c r="S249" s="241"/>
      <c r="T249" s="241"/>
      <c r="U249" s="241"/>
      <c r="V249" s="241"/>
      <c r="W249" s="241"/>
      <c r="X249" s="241"/>
      <c r="Y249" s="241"/>
      <c r="Z249" s="241"/>
    </row>
    <row r="250" spans="16:26">
      <c r="P250" s="246"/>
      <c r="Q250" s="246"/>
      <c r="R250" s="246"/>
      <c r="S250" s="246"/>
      <c r="T250" s="246"/>
      <c r="U250" s="246"/>
      <c r="V250" s="246"/>
      <c r="W250" s="246"/>
      <c r="X250" s="246"/>
      <c r="Y250" s="246"/>
      <c r="Z250" s="246"/>
    </row>
    <row r="251" spans="16:26">
      <c r="P251" s="246"/>
      <c r="Q251" s="246"/>
      <c r="R251" s="246"/>
      <c r="S251" s="246"/>
      <c r="T251" s="246"/>
      <c r="U251" s="246"/>
      <c r="V251" s="246"/>
      <c r="W251" s="246"/>
      <c r="X251" s="246"/>
      <c r="Y251" s="246"/>
      <c r="Z251" s="246"/>
    </row>
    <row r="252" spans="16:26">
      <c r="P252" s="241"/>
      <c r="Q252" s="241"/>
      <c r="R252" s="241"/>
      <c r="S252" s="241"/>
      <c r="T252" s="241"/>
      <c r="U252" s="241"/>
      <c r="V252" s="241"/>
      <c r="W252" s="241"/>
      <c r="X252" s="241"/>
      <c r="Y252" s="241"/>
      <c r="Z252" s="241"/>
    </row>
    <row r="253" spans="16:26">
      <c r="P253" s="246"/>
      <c r="Q253" s="246"/>
      <c r="R253" s="246"/>
      <c r="S253" s="246"/>
      <c r="T253" s="246"/>
      <c r="U253" s="246"/>
      <c r="V253" s="246"/>
      <c r="W253" s="246"/>
      <c r="X253" s="246"/>
      <c r="Y253" s="246"/>
      <c r="Z253" s="246"/>
    </row>
    <row r="254" spans="16:26">
      <c r="P254" s="246"/>
      <c r="Q254" s="246"/>
      <c r="R254" s="246"/>
      <c r="S254" s="246"/>
      <c r="T254" s="246"/>
      <c r="U254" s="246"/>
      <c r="V254" s="246"/>
      <c r="W254" s="246"/>
      <c r="X254" s="246"/>
      <c r="Y254" s="246"/>
      <c r="Z254" s="246"/>
    </row>
    <row r="255" spans="16:26">
      <c r="P255" s="241"/>
      <c r="Q255" s="241"/>
      <c r="R255" s="241"/>
      <c r="S255" s="241"/>
      <c r="T255" s="241"/>
      <c r="U255" s="241"/>
      <c r="V255" s="241"/>
      <c r="W255" s="241"/>
      <c r="X255" s="241"/>
      <c r="Y255" s="241"/>
      <c r="Z255" s="241"/>
    </row>
    <row r="256" spans="16:26">
      <c r="P256" s="246"/>
      <c r="Q256" s="246"/>
      <c r="R256" s="246"/>
      <c r="S256" s="246"/>
      <c r="T256" s="246"/>
      <c r="U256" s="246"/>
      <c r="V256" s="246"/>
      <c r="W256" s="246"/>
      <c r="X256" s="246"/>
      <c r="Y256" s="246"/>
      <c r="Z256" s="246"/>
    </row>
    <row r="257" spans="16:26">
      <c r="P257" s="246"/>
      <c r="Q257" s="246"/>
      <c r="R257" s="246"/>
      <c r="S257" s="246"/>
      <c r="T257" s="246"/>
      <c r="U257" s="246"/>
      <c r="V257" s="246"/>
      <c r="W257" s="246"/>
      <c r="X257" s="246"/>
      <c r="Y257" s="246"/>
      <c r="Z257" s="246"/>
    </row>
    <row r="258" spans="16:26">
      <c r="P258" s="241"/>
      <c r="Q258" s="241"/>
      <c r="R258" s="241"/>
      <c r="S258" s="241"/>
      <c r="T258" s="241"/>
      <c r="U258" s="241"/>
      <c r="V258" s="241"/>
      <c r="W258" s="241"/>
      <c r="X258" s="241"/>
      <c r="Y258" s="241"/>
      <c r="Z258" s="241"/>
    </row>
    <row r="259" spans="16:26">
      <c r="P259" s="246"/>
      <c r="Q259" s="246"/>
      <c r="R259" s="246"/>
      <c r="S259" s="246"/>
      <c r="T259" s="246"/>
      <c r="U259" s="246"/>
      <c r="V259" s="246"/>
      <c r="W259" s="246"/>
      <c r="X259" s="246"/>
      <c r="Y259" s="246"/>
      <c r="Z259" s="246"/>
    </row>
    <row r="260" spans="16:26">
      <c r="P260" s="246"/>
      <c r="Q260" s="246"/>
      <c r="R260" s="246"/>
      <c r="S260" s="246"/>
      <c r="T260" s="246"/>
      <c r="U260" s="246"/>
      <c r="V260" s="246"/>
      <c r="W260" s="246"/>
      <c r="X260" s="246"/>
      <c r="Y260" s="246"/>
      <c r="Z260" s="246"/>
    </row>
    <row r="261" spans="16:26">
      <c r="P261" s="241"/>
      <c r="Q261" s="241"/>
      <c r="R261" s="241"/>
      <c r="S261" s="241"/>
      <c r="T261" s="241"/>
      <c r="U261" s="241"/>
      <c r="V261" s="241"/>
      <c r="W261" s="241"/>
      <c r="X261" s="241"/>
      <c r="Y261" s="241"/>
      <c r="Z261" s="241"/>
    </row>
    <row r="262" spans="16:26">
      <c r="P262" s="246"/>
      <c r="Q262" s="246"/>
      <c r="R262" s="246"/>
      <c r="S262" s="246"/>
      <c r="T262" s="246"/>
      <c r="U262" s="246"/>
      <c r="V262" s="246"/>
      <c r="W262" s="246"/>
      <c r="X262" s="246"/>
      <c r="Y262" s="246"/>
      <c r="Z262" s="246"/>
    </row>
    <row r="263" spans="16:26">
      <c r="P263" s="246"/>
      <c r="Q263" s="246"/>
      <c r="R263" s="246"/>
      <c r="S263" s="246"/>
      <c r="T263" s="246"/>
      <c r="U263" s="246"/>
      <c r="V263" s="246"/>
      <c r="W263" s="246"/>
      <c r="X263" s="246"/>
      <c r="Y263" s="246"/>
      <c r="Z263" s="246"/>
    </row>
    <row r="264" spans="16:26">
      <c r="P264" s="241"/>
      <c r="Q264" s="241"/>
      <c r="R264" s="241"/>
      <c r="S264" s="241"/>
      <c r="T264" s="241"/>
      <c r="U264" s="241"/>
      <c r="V264" s="241"/>
      <c r="W264" s="241"/>
      <c r="X264" s="241"/>
      <c r="Y264" s="241"/>
      <c r="Z264" s="241"/>
    </row>
    <row r="265" spans="16:26">
      <c r="P265" s="246"/>
      <c r="Q265" s="246"/>
      <c r="R265" s="246"/>
      <c r="S265" s="246"/>
      <c r="T265" s="246"/>
      <c r="U265" s="246"/>
      <c r="V265" s="246"/>
      <c r="W265" s="246"/>
      <c r="X265" s="246"/>
      <c r="Y265" s="246"/>
      <c r="Z265" s="246"/>
    </row>
    <row r="266" spans="16:26">
      <c r="P266" s="246"/>
      <c r="Q266" s="246"/>
      <c r="R266" s="246"/>
      <c r="S266" s="246"/>
      <c r="T266" s="246"/>
      <c r="U266" s="246"/>
      <c r="V266" s="246"/>
      <c r="W266" s="246"/>
      <c r="X266" s="246"/>
      <c r="Y266" s="246"/>
      <c r="Z266" s="246"/>
    </row>
    <row r="267" spans="16:26">
      <c r="P267" s="241"/>
      <c r="Q267" s="241"/>
      <c r="R267" s="241"/>
      <c r="S267" s="241"/>
      <c r="T267" s="241"/>
      <c r="U267" s="241"/>
      <c r="V267" s="241"/>
      <c r="W267" s="241"/>
      <c r="X267" s="241"/>
      <c r="Y267" s="241"/>
      <c r="Z267" s="241"/>
    </row>
    <row r="268" spans="16:26">
      <c r="P268" s="246"/>
      <c r="Q268" s="246"/>
      <c r="R268" s="246"/>
      <c r="S268" s="246"/>
      <c r="T268" s="246"/>
      <c r="U268" s="246"/>
      <c r="V268" s="246"/>
      <c r="W268" s="246"/>
      <c r="X268" s="246"/>
      <c r="Y268" s="246"/>
      <c r="Z268" s="246"/>
    </row>
    <row r="269" spans="16:26">
      <c r="P269" s="246"/>
      <c r="Q269" s="246"/>
      <c r="R269" s="246"/>
      <c r="S269" s="246"/>
      <c r="T269" s="246"/>
      <c r="U269" s="246"/>
      <c r="V269" s="246"/>
      <c r="W269" s="246"/>
      <c r="X269" s="246"/>
      <c r="Y269" s="246"/>
      <c r="Z269" s="246"/>
    </row>
    <row r="270" spans="16:26">
      <c r="P270" s="241"/>
      <c r="Q270" s="241"/>
      <c r="R270" s="241"/>
      <c r="S270" s="241"/>
      <c r="T270" s="241"/>
      <c r="U270" s="241"/>
      <c r="V270" s="241"/>
      <c r="W270" s="241"/>
      <c r="X270" s="241"/>
      <c r="Y270" s="241"/>
      <c r="Z270" s="241"/>
    </row>
    <row r="271" spans="16:26">
      <c r="P271" s="246"/>
      <c r="Q271" s="246"/>
      <c r="R271" s="246"/>
      <c r="S271" s="246"/>
      <c r="T271" s="246"/>
      <c r="U271" s="246"/>
      <c r="V271" s="246"/>
      <c r="W271" s="246"/>
      <c r="X271" s="246"/>
      <c r="Y271" s="246"/>
      <c r="Z271" s="246"/>
    </row>
    <row r="272" spans="16:26">
      <c r="P272" s="246"/>
      <c r="Q272" s="246"/>
      <c r="R272" s="246"/>
      <c r="S272" s="246"/>
      <c r="T272" s="246"/>
      <c r="U272" s="246"/>
      <c r="V272" s="246"/>
      <c r="W272" s="246"/>
      <c r="X272" s="246"/>
      <c r="Y272" s="246"/>
      <c r="Z272" s="246"/>
    </row>
    <row r="273" spans="16:26">
      <c r="P273" s="241"/>
      <c r="Q273" s="241"/>
      <c r="R273" s="241"/>
      <c r="S273" s="241"/>
      <c r="T273" s="241"/>
      <c r="U273" s="241"/>
      <c r="V273" s="241"/>
      <c r="W273" s="241"/>
      <c r="X273" s="241"/>
      <c r="Y273" s="241"/>
      <c r="Z273" s="241"/>
    </row>
    <row r="274" spans="16:26">
      <c r="P274" s="246"/>
      <c r="Q274" s="246"/>
      <c r="R274" s="246"/>
      <c r="S274" s="246"/>
      <c r="T274" s="246"/>
      <c r="U274" s="246"/>
      <c r="V274" s="246"/>
      <c r="W274" s="246"/>
      <c r="X274" s="246"/>
      <c r="Y274" s="246"/>
      <c r="Z274" s="246"/>
    </row>
    <row r="275" spans="16:26">
      <c r="P275" s="246"/>
      <c r="Q275" s="246"/>
      <c r="R275" s="246"/>
      <c r="S275" s="246"/>
      <c r="T275" s="246"/>
      <c r="U275" s="246"/>
      <c r="V275" s="246"/>
      <c r="W275" s="246"/>
      <c r="X275" s="246"/>
      <c r="Y275" s="246"/>
      <c r="Z275" s="246"/>
    </row>
    <row r="276" spans="16:26">
      <c r="P276" s="241"/>
      <c r="Q276" s="241"/>
      <c r="R276" s="241"/>
      <c r="S276" s="241"/>
      <c r="T276" s="241"/>
      <c r="U276" s="241"/>
      <c r="V276" s="241"/>
      <c r="W276" s="241"/>
      <c r="X276" s="241"/>
      <c r="Y276" s="241"/>
      <c r="Z276" s="241"/>
    </row>
    <row r="277" spans="16:26">
      <c r="P277" s="246"/>
      <c r="Q277" s="246"/>
      <c r="R277" s="246"/>
      <c r="S277" s="246"/>
      <c r="T277" s="246"/>
      <c r="U277" s="246"/>
      <c r="V277" s="246"/>
      <c r="W277" s="246"/>
      <c r="X277" s="246"/>
      <c r="Y277" s="246"/>
      <c r="Z277" s="246"/>
    </row>
    <row r="278" spans="16:26">
      <c r="P278" s="246"/>
      <c r="Q278" s="246"/>
      <c r="R278" s="246"/>
      <c r="S278" s="246"/>
      <c r="T278" s="246"/>
      <c r="U278" s="246"/>
      <c r="V278" s="246"/>
      <c r="W278" s="246"/>
      <c r="X278" s="246"/>
      <c r="Y278" s="246"/>
      <c r="Z278" s="246"/>
    </row>
    <row r="279" spans="16:26">
      <c r="P279" s="241"/>
      <c r="Q279" s="241"/>
      <c r="R279" s="241"/>
      <c r="S279" s="241"/>
      <c r="T279" s="241"/>
      <c r="U279" s="241"/>
      <c r="V279" s="241"/>
      <c r="W279" s="241"/>
      <c r="X279" s="241"/>
      <c r="Y279" s="241"/>
      <c r="Z279" s="241"/>
    </row>
    <row r="280" spans="16:26">
      <c r="P280" s="246"/>
      <c r="Q280" s="246"/>
      <c r="R280" s="246"/>
      <c r="S280" s="246"/>
      <c r="T280" s="246"/>
      <c r="U280" s="246"/>
      <c r="V280" s="246"/>
      <c r="W280" s="246"/>
      <c r="X280" s="246"/>
      <c r="Y280" s="246"/>
      <c r="Z280" s="246"/>
    </row>
    <row r="281" spans="16:26">
      <c r="P281" s="246"/>
      <c r="Q281" s="246"/>
      <c r="R281" s="246"/>
      <c r="S281" s="246"/>
      <c r="T281" s="246"/>
      <c r="U281" s="246"/>
      <c r="V281" s="246"/>
      <c r="W281" s="246"/>
      <c r="X281" s="246"/>
      <c r="Y281" s="246"/>
      <c r="Z281" s="246"/>
    </row>
    <row r="282" spans="16:26">
      <c r="P282" s="241"/>
      <c r="Q282" s="241"/>
      <c r="R282" s="241"/>
      <c r="S282" s="241"/>
      <c r="T282" s="241"/>
      <c r="U282" s="241"/>
      <c r="V282" s="241"/>
      <c r="W282" s="241"/>
      <c r="X282" s="241"/>
      <c r="Y282" s="241"/>
      <c r="Z282" s="241"/>
    </row>
    <row r="283" spans="16:26">
      <c r="P283" s="246"/>
      <c r="Q283" s="246"/>
      <c r="R283" s="246"/>
      <c r="S283" s="246"/>
      <c r="T283" s="246"/>
      <c r="U283" s="246"/>
      <c r="V283" s="246"/>
      <c r="W283" s="246"/>
      <c r="X283" s="246"/>
      <c r="Y283" s="246"/>
      <c r="Z283" s="246"/>
    </row>
    <row r="284" spans="16:26">
      <c r="P284" s="246"/>
      <c r="Q284" s="246"/>
      <c r="R284" s="246"/>
      <c r="S284" s="246"/>
      <c r="T284" s="246"/>
      <c r="U284" s="246"/>
      <c r="V284" s="246"/>
      <c r="W284" s="246"/>
      <c r="X284" s="246"/>
      <c r="Y284" s="246"/>
      <c r="Z284" s="246"/>
    </row>
    <row r="285" spans="16:26">
      <c r="P285" s="241"/>
      <c r="Q285" s="241"/>
      <c r="R285" s="241"/>
      <c r="S285" s="241"/>
      <c r="T285" s="241"/>
      <c r="U285" s="241"/>
      <c r="V285" s="241"/>
      <c r="W285" s="241"/>
      <c r="X285" s="241"/>
      <c r="Y285" s="241"/>
      <c r="Z285" s="241"/>
    </row>
    <row r="286" spans="16:26">
      <c r="P286" s="246"/>
      <c r="Q286" s="246"/>
      <c r="R286" s="246"/>
      <c r="S286" s="246"/>
      <c r="T286" s="246"/>
      <c r="U286" s="246"/>
      <c r="V286" s="246"/>
      <c r="W286" s="246"/>
      <c r="X286" s="246"/>
      <c r="Y286" s="246"/>
      <c r="Z286" s="246"/>
    </row>
    <row r="287" spans="16:26">
      <c r="P287" s="246"/>
      <c r="Q287" s="246"/>
      <c r="R287" s="246"/>
      <c r="S287" s="246"/>
      <c r="T287" s="246"/>
      <c r="U287" s="246"/>
      <c r="V287" s="246"/>
      <c r="W287" s="246"/>
      <c r="X287" s="246"/>
      <c r="Y287" s="246"/>
      <c r="Z287" s="246"/>
    </row>
    <row r="288" spans="16:26">
      <c r="P288" s="241"/>
      <c r="Q288" s="241"/>
      <c r="R288" s="241"/>
      <c r="S288" s="241"/>
      <c r="T288" s="241"/>
      <c r="U288" s="241"/>
      <c r="V288" s="241"/>
      <c r="W288" s="241"/>
      <c r="X288" s="241"/>
      <c r="Y288" s="241"/>
      <c r="Z288" s="241"/>
    </row>
    <row r="289" spans="16:26">
      <c r="P289" s="246"/>
      <c r="Q289" s="246"/>
      <c r="R289" s="246"/>
      <c r="S289" s="246"/>
      <c r="T289" s="246"/>
      <c r="U289" s="246"/>
      <c r="V289" s="246"/>
      <c r="W289" s="246"/>
      <c r="X289" s="246"/>
      <c r="Y289" s="246"/>
      <c r="Z289" s="246"/>
    </row>
    <row r="290" spans="16:26">
      <c r="P290" s="246"/>
      <c r="Q290" s="246"/>
      <c r="R290" s="246"/>
      <c r="S290" s="246"/>
      <c r="T290" s="246"/>
      <c r="U290" s="246"/>
      <c r="V290" s="246"/>
      <c r="W290" s="246"/>
      <c r="X290" s="246"/>
      <c r="Y290" s="246"/>
      <c r="Z290" s="246"/>
    </row>
    <row r="291" spans="16:26">
      <c r="P291" s="241"/>
      <c r="Q291" s="241"/>
      <c r="R291" s="241"/>
      <c r="S291" s="241"/>
      <c r="T291" s="241"/>
      <c r="U291" s="241"/>
      <c r="V291" s="241"/>
      <c r="W291" s="241"/>
      <c r="X291" s="241"/>
      <c r="Y291" s="241"/>
      <c r="Z291" s="241"/>
    </row>
    <row r="292" spans="16:26">
      <c r="P292" s="246"/>
      <c r="Q292" s="246"/>
      <c r="R292" s="246"/>
      <c r="S292" s="246"/>
      <c r="T292" s="246"/>
      <c r="U292" s="246"/>
      <c r="V292" s="246"/>
      <c r="W292" s="246"/>
      <c r="X292" s="246"/>
      <c r="Y292" s="246"/>
      <c r="Z292" s="246"/>
    </row>
    <row r="293" spans="16:26">
      <c r="P293" s="246"/>
      <c r="Q293" s="246"/>
      <c r="R293" s="246"/>
      <c r="S293" s="246"/>
      <c r="T293" s="246"/>
      <c r="U293" s="246"/>
      <c r="V293" s="246"/>
      <c r="W293" s="246"/>
      <c r="X293" s="246"/>
      <c r="Y293" s="246"/>
      <c r="Z293" s="246"/>
    </row>
    <row r="294" spans="16:26">
      <c r="P294" s="241"/>
      <c r="Q294" s="241"/>
      <c r="R294" s="241"/>
      <c r="S294" s="241"/>
      <c r="T294" s="241"/>
      <c r="U294" s="241"/>
      <c r="V294" s="241"/>
      <c r="W294" s="241"/>
      <c r="X294" s="241"/>
      <c r="Y294" s="241"/>
      <c r="Z294" s="241"/>
    </row>
    <row r="295" spans="16:26">
      <c r="P295" s="246"/>
      <c r="Q295" s="246"/>
      <c r="R295" s="246"/>
      <c r="S295" s="246"/>
      <c r="T295" s="246"/>
      <c r="U295" s="246"/>
      <c r="V295" s="246"/>
      <c r="W295" s="246"/>
      <c r="X295" s="246"/>
      <c r="Y295" s="246"/>
      <c r="Z295" s="246"/>
    </row>
    <row r="296" spans="16:26">
      <c r="P296" s="246"/>
      <c r="Q296" s="246"/>
      <c r="R296" s="246"/>
      <c r="S296" s="246"/>
      <c r="T296" s="246"/>
      <c r="U296" s="246"/>
      <c r="V296" s="246"/>
      <c r="W296" s="246"/>
      <c r="X296" s="246"/>
      <c r="Y296" s="246"/>
      <c r="Z296" s="246"/>
    </row>
    <row r="297" spans="16:26">
      <c r="P297" s="241"/>
      <c r="Q297" s="241"/>
      <c r="R297" s="241"/>
      <c r="S297" s="241"/>
      <c r="T297" s="241"/>
      <c r="U297" s="241"/>
      <c r="V297" s="241"/>
      <c r="W297" s="241"/>
      <c r="X297" s="241"/>
      <c r="Y297" s="241"/>
      <c r="Z297" s="241"/>
    </row>
    <row r="298" spans="16:26">
      <c r="P298" s="246"/>
      <c r="Q298" s="246"/>
      <c r="R298" s="246"/>
      <c r="S298" s="246"/>
      <c r="T298" s="246"/>
      <c r="U298" s="246"/>
      <c r="V298" s="246"/>
      <c r="W298" s="246"/>
      <c r="X298" s="246"/>
      <c r="Y298" s="246"/>
      <c r="Z298" s="246"/>
    </row>
    <row r="299" spans="16:26">
      <c r="P299" s="246"/>
      <c r="Q299" s="246"/>
      <c r="R299" s="246"/>
      <c r="S299" s="246"/>
      <c r="T299" s="246"/>
      <c r="U299" s="246"/>
      <c r="V299" s="246"/>
      <c r="W299" s="246"/>
      <c r="X299" s="246"/>
      <c r="Y299" s="246"/>
      <c r="Z299" s="246"/>
    </row>
    <row r="300" spans="16:26">
      <c r="P300" s="241"/>
      <c r="Q300" s="241"/>
      <c r="R300" s="241"/>
      <c r="S300" s="241"/>
      <c r="T300" s="241"/>
      <c r="U300" s="241"/>
      <c r="V300" s="241"/>
      <c r="W300" s="241"/>
      <c r="X300" s="241"/>
      <c r="Y300" s="241"/>
      <c r="Z300" s="241"/>
    </row>
    <row r="301" spans="16:26">
      <c r="P301" s="246"/>
      <c r="Q301" s="246"/>
      <c r="R301" s="246"/>
      <c r="S301" s="246"/>
      <c r="T301" s="246"/>
      <c r="U301" s="246"/>
      <c r="V301" s="246"/>
      <c r="W301" s="246"/>
      <c r="X301" s="246"/>
      <c r="Y301" s="246"/>
      <c r="Z301" s="246"/>
    </row>
    <row r="302" spans="16:26">
      <c r="P302" s="246"/>
      <c r="Q302" s="246"/>
      <c r="R302" s="246"/>
      <c r="S302" s="246"/>
      <c r="T302" s="246"/>
      <c r="U302" s="246"/>
      <c r="V302" s="246"/>
      <c r="W302" s="246"/>
      <c r="X302" s="246"/>
      <c r="Y302" s="246"/>
      <c r="Z302" s="246"/>
    </row>
    <row r="303" spans="16:26">
      <c r="P303" s="241"/>
      <c r="Q303" s="241"/>
      <c r="R303" s="241"/>
      <c r="S303" s="241"/>
      <c r="T303" s="241"/>
      <c r="U303" s="241"/>
      <c r="V303" s="241"/>
      <c r="W303" s="241"/>
      <c r="X303" s="241"/>
      <c r="Y303" s="241"/>
      <c r="Z303" s="241"/>
    </row>
    <row r="304" spans="16:26">
      <c r="P304" s="246"/>
      <c r="Q304" s="246"/>
      <c r="R304" s="246"/>
      <c r="S304" s="246"/>
      <c r="T304" s="246"/>
      <c r="U304" s="246"/>
      <c r="V304" s="246"/>
      <c r="W304" s="246"/>
      <c r="X304" s="246"/>
      <c r="Y304" s="246"/>
      <c r="Z304" s="246"/>
    </row>
    <row r="305" spans="16:26">
      <c r="P305" s="246"/>
      <c r="Q305" s="246"/>
      <c r="R305" s="246"/>
      <c r="S305" s="246"/>
      <c r="T305" s="246"/>
      <c r="U305" s="246"/>
      <c r="V305" s="246"/>
      <c r="W305" s="246"/>
      <c r="X305" s="246"/>
      <c r="Y305" s="246"/>
      <c r="Z305" s="246"/>
    </row>
    <row r="306" spans="16:26">
      <c r="P306" s="241"/>
      <c r="Q306" s="241"/>
      <c r="R306" s="241"/>
      <c r="S306" s="241"/>
      <c r="T306" s="241"/>
      <c r="U306" s="241"/>
      <c r="V306" s="241"/>
      <c r="W306" s="241"/>
      <c r="X306" s="241"/>
      <c r="Y306" s="241"/>
      <c r="Z306" s="241"/>
    </row>
    <row r="307" spans="16:26">
      <c r="P307" s="246"/>
      <c r="Q307" s="246"/>
      <c r="R307" s="246"/>
      <c r="S307" s="246"/>
      <c r="T307" s="246"/>
      <c r="U307" s="246"/>
      <c r="V307" s="246"/>
      <c r="W307" s="246"/>
      <c r="X307" s="246"/>
      <c r="Y307" s="246"/>
      <c r="Z307" s="246"/>
    </row>
    <row r="308" spans="16:26">
      <c r="P308" s="246"/>
      <c r="Q308" s="246"/>
      <c r="R308" s="246"/>
      <c r="S308" s="246"/>
      <c r="T308" s="246"/>
      <c r="U308" s="246"/>
      <c r="V308" s="246"/>
      <c r="W308" s="246"/>
      <c r="X308" s="246"/>
      <c r="Y308" s="246"/>
      <c r="Z308" s="246"/>
    </row>
    <row r="309" spans="16:26">
      <c r="P309" s="241"/>
      <c r="Q309" s="241"/>
      <c r="R309" s="241"/>
      <c r="S309" s="241"/>
      <c r="T309" s="241"/>
      <c r="U309" s="241"/>
      <c r="V309" s="241"/>
      <c r="W309" s="241"/>
      <c r="X309" s="241"/>
      <c r="Y309" s="241"/>
      <c r="Z309" s="241"/>
    </row>
    <row r="310" spans="16:26">
      <c r="P310" s="246"/>
      <c r="Q310" s="246"/>
      <c r="R310" s="246"/>
      <c r="S310" s="246"/>
      <c r="T310" s="246"/>
      <c r="U310" s="246"/>
      <c r="V310" s="246"/>
      <c r="W310" s="246"/>
      <c r="X310" s="246"/>
      <c r="Y310" s="246"/>
      <c r="Z310" s="246"/>
    </row>
    <row r="311" spans="16:26">
      <c r="P311" s="246"/>
      <c r="Q311" s="246"/>
      <c r="R311" s="246"/>
      <c r="S311" s="246"/>
      <c r="T311" s="246"/>
      <c r="U311" s="246"/>
      <c r="V311" s="246"/>
      <c r="W311" s="246"/>
      <c r="X311" s="246"/>
      <c r="Y311" s="246"/>
      <c r="Z311" s="246"/>
    </row>
    <row r="312" spans="16:26">
      <c r="P312" s="241"/>
      <c r="Q312" s="241"/>
      <c r="R312" s="241"/>
      <c r="S312" s="241"/>
      <c r="T312" s="241"/>
      <c r="U312" s="241"/>
      <c r="V312" s="241"/>
      <c r="W312" s="241"/>
      <c r="X312" s="241"/>
      <c r="Y312" s="241"/>
      <c r="Z312" s="241"/>
    </row>
    <row r="313" spans="16:26">
      <c r="P313" s="246"/>
      <c r="Q313" s="246"/>
      <c r="R313" s="246"/>
      <c r="S313" s="246"/>
      <c r="T313" s="246"/>
      <c r="U313" s="246"/>
      <c r="V313" s="246"/>
      <c r="W313" s="246"/>
      <c r="X313" s="246"/>
      <c r="Y313" s="246"/>
      <c r="Z313" s="246"/>
    </row>
    <row r="314" spans="16:26">
      <c r="P314" s="246"/>
      <c r="Q314" s="246"/>
      <c r="R314" s="246"/>
      <c r="S314" s="246"/>
      <c r="T314" s="246"/>
      <c r="U314" s="246"/>
      <c r="V314" s="246"/>
      <c r="W314" s="246"/>
      <c r="X314" s="246"/>
      <c r="Y314" s="246"/>
      <c r="Z314" s="246"/>
    </row>
    <row r="315" spans="16:26">
      <c r="P315" s="241"/>
      <c r="Q315" s="241"/>
      <c r="R315" s="241"/>
      <c r="S315" s="241"/>
      <c r="T315" s="241"/>
      <c r="U315" s="241"/>
      <c r="V315" s="241"/>
      <c r="W315" s="241"/>
      <c r="X315" s="241"/>
      <c r="Y315" s="241"/>
      <c r="Z315" s="241"/>
    </row>
    <row r="316" spans="16:26">
      <c r="P316" s="246"/>
      <c r="Q316" s="246"/>
      <c r="R316" s="246"/>
      <c r="S316" s="246"/>
      <c r="T316" s="246"/>
      <c r="U316" s="246"/>
      <c r="V316" s="246"/>
      <c r="W316" s="246"/>
      <c r="X316" s="246"/>
      <c r="Y316" s="246"/>
      <c r="Z316" s="246"/>
    </row>
    <row r="317" spans="16:26">
      <c r="P317" s="246"/>
      <c r="Q317" s="246"/>
      <c r="R317" s="246"/>
      <c r="S317" s="246"/>
      <c r="T317" s="246"/>
      <c r="U317" s="246"/>
      <c r="V317" s="246"/>
      <c r="W317" s="246"/>
      <c r="X317" s="246"/>
      <c r="Y317" s="246"/>
      <c r="Z317" s="246"/>
    </row>
    <row r="318" spans="16:26">
      <c r="P318" s="241"/>
      <c r="Q318" s="241"/>
      <c r="R318" s="241"/>
      <c r="S318" s="241"/>
      <c r="T318" s="241"/>
      <c r="U318" s="241"/>
      <c r="V318" s="241"/>
      <c r="W318" s="241"/>
      <c r="X318" s="241"/>
      <c r="Y318" s="241"/>
      <c r="Z318" s="241"/>
    </row>
    <row r="319" spans="16:26">
      <c r="P319" s="246"/>
      <c r="Q319" s="246"/>
      <c r="R319" s="246"/>
      <c r="S319" s="246"/>
      <c r="T319" s="246"/>
      <c r="U319" s="246"/>
      <c r="V319" s="246"/>
      <c r="W319" s="246"/>
      <c r="X319" s="246"/>
      <c r="Y319" s="246"/>
      <c r="Z319" s="246"/>
    </row>
    <row r="320" spans="16:26">
      <c r="P320" s="246"/>
      <c r="Q320" s="246"/>
      <c r="R320" s="246"/>
      <c r="S320" s="246"/>
      <c r="T320" s="246"/>
      <c r="U320" s="246"/>
      <c r="V320" s="246"/>
      <c r="W320" s="246"/>
      <c r="X320" s="246"/>
      <c r="Y320" s="246"/>
      <c r="Z320" s="246"/>
    </row>
    <row r="321" spans="16:26">
      <c r="P321" s="241"/>
      <c r="Q321" s="241"/>
      <c r="R321" s="241"/>
      <c r="S321" s="241"/>
      <c r="T321" s="241"/>
      <c r="U321" s="241"/>
      <c r="V321" s="241"/>
      <c r="W321" s="241"/>
      <c r="X321" s="241"/>
      <c r="Y321" s="241"/>
      <c r="Z321" s="241"/>
    </row>
    <row r="322" spans="16:26">
      <c r="P322" s="246"/>
      <c r="Q322" s="246"/>
      <c r="R322" s="246"/>
      <c r="S322" s="246"/>
      <c r="T322" s="246"/>
      <c r="U322" s="246"/>
      <c r="V322" s="246"/>
      <c r="W322" s="246"/>
      <c r="X322" s="246"/>
      <c r="Y322" s="246"/>
      <c r="Z322" s="246"/>
    </row>
    <row r="323" spans="16:26">
      <c r="P323" s="246"/>
      <c r="Q323" s="246"/>
      <c r="R323" s="246"/>
      <c r="S323" s="246"/>
      <c r="T323" s="246"/>
      <c r="U323" s="246"/>
      <c r="V323" s="246"/>
      <c r="W323" s="246"/>
      <c r="X323" s="246"/>
      <c r="Y323" s="246"/>
      <c r="Z323" s="246"/>
    </row>
    <row r="324" spans="16:26">
      <c r="P324" s="241"/>
      <c r="Q324" s="241"/>
      <c r="R324" s="241"/>
      <c r="S324" s="241"/>
      <c r="T324" s="241"/>
      <c r="U324" s="241"/>
      <c r="V324" s="241"/>
      <c r="W324" s="241"/>
      <c r="X324" s="241"/>
      <c r="Y324" s="241"/>
      <c r="Z324" s="241"/>
    </row>
    <row r="325" spans="16:26">
      <c r="P325" s="246"/>
      <c r="Q325" s="246"/>
      <c r="R325" s="246"/>
      <c r="S325" s="246"/>
      <c r="T325" s="246"/>
      <c r="U325" s="246"/>
      <c r="V325" s="246"/>
      <c r="W325" s="246"/>
      <c r="X325" s="246"/>
      <c r="Y325" s="246"/>
      <c r="Z325" s="246"/>
    </row>
    <row r="326" spans="16:26">
      <c r="P326" s="246"/>
      <c r="Q326" s="246"/>
      <c r="R326" s="246"/>
      <c r="S326" s="246"/>
      <c r="T326" s="246"/>
      <c r="U326" s="246"/>
      <c r="V326" s="246"/>
      <c r="W326" s="246"/>
      <c r="X326" s="246"/>
      <c r="Y326" s="246"/>
      <c r="Z326" s="246"/>
    </row>
    <row r="327" spans="16:26">
      <c r="P327" s="241"/>
      <c r="Q327" s="241"/>
      <c r="R327" s="241"/>
      <c r="S327" s="241"/>
      <c r="T327" s="241"/>
      <c r="U327" s="241"/>
      <c r="V327" s="241"/>
      <c r="W327" s="241"/>
      <c r="X327" s="241"/>
      <c r="Y327" s="241"/>
      <c r="Z327" s="241"/>
    </row>
    <row r="328" spans="16:26">
      <c r="P328" s="246"/>
      <c r="Q328" s="246"/>
      <c r="R328" s="246"/>
      <c r="S328" s="246"/>
      <c r="T328" s="246"/>
      <c r="U328" s="246"/>
      <c r="V328" s="246"/>
      <c r="W328" s="246"/>
      <c r="X328" s="246"/>
      <c r="Y328" s="246"/>
      <c r="Z328" s="246"/>
    </row>
    <row r="329" spans="16:26">
      <c r="P329" s="246"/>
      <c r="Q329" s="246"/>
      <c r="R329" s="246"/>
      <c r="S329" s="246"/>
      <c r="T329" s="246"/>
      <c r="U329" s="246"/>
      <c r="V329" s="246"/>
      <c r="W329" s="246"/>
      <c r="X329" s="246"/>
      <c r="Y329" s="246"/>
      <c r="Z329" s="246"/>
    </row>
    <row r="330" spans="16:26">
      <c r="P330" s="241"/>
      <c r="Q330" s="241"/>
      <c r="R330" s="241"/>
      <c r="S330" s="241"/>
      <c r="T330" s="241"/>
      <c r="U330" s="241"/>
      <c r="V330" s="241"/>
      <c r="W330" s="241"/>
      <c r="X330" s="241"/>
      <c r="Y330" s="241"/>
      <c r="Z330" s="241"/>
    </row>
    <row r="331" spans="16:26">
      <c r="P331" s="246"/>
      <c r="Q331" s="246"/>
      <c r="R331" s="246"/>
      <c r="S331" s="246"/>
      <c r="T331" s="246"/>
      <c r="U331" s="246"/>
      <c r="V331" s="246"/>
      <c r="W331" s="246"/>
      <c r="X331" s="246"/>
      <c r="Y331" s="246"/>
      <c r="Z331" s="246"/>
    </row>
    <row r="332" spans="16:26">
      <c r="P332" s="246"/>
      <c r="Q332" s="246"/>
      <c r="R332" s="246"/>
      <c r="S332" s="246"/>
      <c r="T332" s="246"/>
      <c r="U332" s="246"/>
      <c r="V332" s="246"/>
      <c r="W332" s="246"/>
      <c r="X332" s="246"/>
      <c r="Y332" s="246"/>
      <c r="Z332" s="246"/>
    </row>
    <row r="333" spans="16:26">
      <c r="P333" s="241"/>
      <c r="Q333" s="241"/>
      <c r="R333" s="241"/>
      <c r="S333" s="241"/>
      <c r="T333" s="241"/>
      <c r="U333" s="241"/>
      <c r="V333" s="241"/>
      <c r="W333" s="241"/>
      <c r="X333" s="241"/>
      <c r="Y333" s="241"/>
      <c r="Z333" s="241"/>
    </row>
    <row r="334" spans="16:26">
      <c r="P334" s="246"/>
      <c r="Q334" s="246"/>
      <c r="R334" s="246"/>
      <c r="S334" s="246"/>
      <c r="T334" s="246"/>
      <c r="U334" s="246"/>
      <c r="V334" s="246"/>
      <c r="W334" s="246"/>
      <c r="X334" s="246"/>
      <c r="Y334" s="246"/>
      <c r="Z334" s="246"/>
    </row>
    <row r="335" spans="16:26">
      <c r="P335" s="246"/>
      <c r="Q335" s="246"/>
      <c r="R335" s="246"/>
      <c r="S335" s="246"/>
      <c r="T335" s="246"/>
      <c r="U335" s="246"/>
      <c r="V335" s="246"/>
      <c r="W335" s="246"/>
      <c r="X335" s="246"/>
      <c r="Y335" s="246"/>
      <c r="Z335" s="246"/>
    </row>
    <row r="336" spans="16:26">
      <c r="P336" s="241"/>
      <c r="Q336" s="241"/>
      <c r="R336" s="241"/>
      <c r="S336" s="241"/>
      <c r="T336" s="241"/>
      <c r="U336" s="241"/>
      <c r="V336" s="241"/>
      <c r="W336" s="241"/>
      <c r="X336" s="241"/>
      <c r="Y336" s="241"/>
      <c r="Z336" s="241"/>
    </row>
    <row r="337" spans="16:26">
      <c r="P337" s="246"/>
      <c r="Q337" s="246"/>
      <c r="R337" s="246"/>
      <c r="S337" s="246"/>
      <c r="T337" s="246"/>
      <c r="U337" s="246"/>
      <c r="V337" s="246"/>
      <c r="W337" s="246"/>
      <c r="X337" s="246"/>
      <c r="Y337" s="246"/>
      <c r="Z337" s="246"/>
    </row>
    <row r="338" spans="16:26">
      <c r="P338" s="246"/>
      <c r="Q338" s="246"/>
      <c r="R338" s="246"/>
      <c r="S338" s="246"/>
      <c r="T338" s="246"/>
      <c r="U338" s="246"/>
      <c r="V338" s="246"/>
      <c r="W338" s="246"/>
      <c r="X338" s="246"/>
      <c r="Y338" s="246"/>
      <c r="Z338" s="246"/>
    </row>
    <row r="339" spans="16:26">
      <c r="P339" s="241"/>
      <c r="Q339" s="241"/>
      <c r="R339" s="241"/>
      <c r="S339" s="241"/>
      <c r="T339" s="241"/>
      <c r="U339" s="241"/>
      <c r="V339" s="241"/>
      <c r="W339" s="241"/>
      <c r="X339" s="241"/>
      <c r="Y339" s="241"/>
      <c r="Z339" s="241"/>
    </row>
    <row r="340" spans="16:26">
      <c r="P340" s="246"/>
      <c r="Q340" s="246"/>
      <c r="R340" s="246"/>
      <c r="S340" s="246"/>
      <c r="T340" s="246"/>
      <c r="U340" s="246"/>
      <c r="V340" s="246"/>
      <c r="W340" s="246"/>
      <c r="X340" s="246"/>
      <c r="Y340" s="246"/>
      <c r="Z340" s="246"/>
    </row>
    <row r="341" spans="16:26">
      <c r="P341" s="246"/>
      <c r="Q341" s="246"/>
      <c r="R341" s="246"/>
      <c r="S341" s="246"/>
      <c r="T341" s="246"/>
      <c r="U341" s="246"/>
      <c r="V341" s="246"/>
      <c r="W341" s="246"/>
      <c r="X341" s="246"/>
      <c r="Y341" s="246"/>
      <c r="Z341" s="246"/>
    </row>
    <row r="342" spans="16:26">
      <c r="P342" s="241"/>
      <c r="Q342" s="241"/>
      <c r="R342" s="241"/>
      <c r="S342" s="241"/>
      <c r="T342" s="241"/>
      <c r="U342" s="241"/>
      <c r="V342" s="241"/>
      <c r="W342" s="241"/>
      <c r="X342" s="241"/>
      <c r="Y342" s="241"/>
      <c r="Z342" s="241"/>
    </row>
    <row r="343" spans="16:26">
      <c r="P343" s="246"/>
      <c r="Q343" s="246"/>
      <c r="R343" s="246"/>
      <c r="S343" s="246"/>
      <c r="T343" s="246"/>
      <c r="U343" s="246"/>
      <c r="V343" s="246"/>
      <c r="W343" s="246"/>
      <c r="X343" s="246"/>
      <c r="Y343" s="246"/>
      <c r="Z343" s="246"/>
    </row>
    <row r="344" spans="16:26">
      <c r="P344" s="246"/>
      <c r="Q344" s="246"/>
      <c r="R344" s="246"/>
      <c r="S344" s="246"/>
      <c r="T344" s="246"/>
      <c r="U344" s="246"/>
      <c r="V344" s="246"/>
      <c r="W344" s="246"/>
      <c r="X344" s="246"/>
      <c r="Y344" s="246"/>
      <c r="Z344" s="246"/>
    </row>
    <row r="345" spans="16:26">
      <c r="P345" s="241"/>
      <c r="Q345" s="241"/>
      <c r="R345" s="241"/>
      <c r="S345" s="241"/>
      <c r="T345" s="241"/>
      <c r="U345" s="241"/>
      <c r="V345" s="241"/>
      <c r="W345" s="241"/>
      <c r="X345" s="241"/>
      <c r="Y345" s="241"/>
      <c r="Z345" s="241"/>
    </row>
    <row r="346" spans="16:26">
      <c r="P346" s="246"/>
      <c r="Q346" s="246"/>
      <c r="R346" s="246"/>
      <c r="S346" s="246"/>
      <c r="T346" s="246"/>
      <c r="U346" s="246"/>
      <c r="V346" s="246"/>
      <c r="W346" s="246"/>
      <c r="X346" s="246"/>
      <c r="Y346" s="246"/>
      <c r="Z346" s="246"/>
    </row>
    <row r="347" spans="16:26">
      <c r="P347" s="246"/>
      <c r="Q347" s="246"/>
      <c r="R347" s="246"/>
      <c r="S347" s="246"/>
      <c r="T347" s="246"/>
      <c r="U347" s="246"/>
      <c r="V347" s="246"/>
      <c r="W347" s="246"/>
      <c r="X347" s="246"/>
      <c r="Y347" s="246"/>
      <c r="Z347" s="246"/>
    </row>
    <row r="348" spans="16:26">
      <c r="P348" s="241"/>
      <c r="Q348" s="241"/>
      <c r="R348" s="241"/>
      <c r="S348" s="241"/>
      <c r="T348" s="241"/>
      <c r="U348" s="241"/>
      <c r="V348" s="241"/>
      <c r="W348" s="241"/>
      <c r="X348" s="241"/>
      <c r="Y348" s="241"/>
      <c r="Z348" s="241"/>
    </row>
    <row r="349" spans="16:26">
      <c r="P349" s="246"/>
      <c r="Q349" s="246"/>
      <c r="R349" s="246"/>
      <c r="S349" s="246"/>
      <c r="T349" s="246"/>
      <c r="U349" s="246"/>
      <c r="V349" s="246"/>
      <c r="W349" s="246"/>
      <c r="X349" s="246"/>
      <c r="Y349" s="246"/>
      <c r="Z349" s="246"/>
    </row>
    <row r="350" spans="16:26">
      <c r="P350" s="246"/>
      <c r="Q350" s="246"/>
      <c r="R350" s="246"/>
      <c r="S350" s="246"/>
      <c r="T350" s="246"/>
      <c r="U350" s="246"/>
      <c r="V350" s="246"/>
      <c r="W350" s="246"/>
      <c r="X350" s="246"/>
      <c r="Y350" s="246"/>
      <c r="Z350" s="246"/>
    </row>
    <row r="351" spans="16:26">
      <c r="P351" s="241"/>
      <c r="Q351" s="241"/>
      <c r="R351" s="241"/>
      <c r="S351" s="241"/>
      <c r="T351" s="241"/>
      <c r="U351" s="241"/>
      <c r="V351" s="241"/>
      <c r="W351" s="241"/>
      <c r="X351" s="241"/>
      <c r="Y351" s="241"/>
      <c r="Z351" s="241"/>
    </row>
    <row r="352" spans="16:26">
      <c r="P352" s="246"/>
      <c r="Q352" s="246"/>
      <c r="R352" s="246"/>
      <c r="S352" s="246"/>
      <c r="T352" s="246"/>
      <c r="U352" s="246"/>
      <c r="V352" s="246"/>
      <c r="W352" s="246"/>
      <c r="X352" s="246"/>
      <c r="Y352" s="246"/>
      <c r="Z352" s="246"/>
    </row>
    <row r="353" spans="16:26">
      <c r="P353" s="246"/>
      <c r="Q353" s="246"/>
      <c r="R353" s="246"/>
      <c r="S353" s="246"/>
      <c r="T353" s="246"/>
      <c r="U353" s="246"/>
      <c r="V353" s="246"/>
      <c r="W353" s="246"/>
      <c r="X353" s="246"/>
      <c r="Y353" s="246"/>
      <c r="Z353" s="246"/>
    </row>
    <row r="354" spans="16:26">
      <c r="P354" s="241"/>
      <c r="Q354" s="241"/>
      <c r="R354" s="241"/>
      <c r="S354" s="241"/>
      <c r="T354" s="241"/>
      <c r="U354" s="241"/>
      <c r="V354" s="241"/>
      <c r="W354" s="241"/>
      <c r="X354" s="241"/>
      <c r="Y354" s="241"/>
      <c r="Z354" s="241"/>
    </row>
    <row r="355" spans="16:26">
      <c r="P355" s="246"/>
      <c r="Q355" s="246"/>
      <c r="R355" s="246"/>
      <c r="S355" s="246"/>
      <c r="T355" s="246"/>
      <c r="U355" s="246"/>
      <c r="V355" s="246"/>
      <c r="W355" s="246"/>
      <c r="X355" s="246"/>
      <c r="Y355" s="246"/>
      <c r="Z355" s="246"/>
    </row>
    <row r="356" spans="16:26">
      <c r="P356" s="246"/>
      <c r="Q356" s="246"/>
      <c r="R356" s="246"/>
      <c r="S356" s="246"/>
      <c r="T356" s="246"/>
      <c r="U356" s="246"/>
      <c r="V356" s="246"/>
      <c r="W356" s="246"/>
      <c r="X356" s="246"/>
      <c r="Y356" s="246"/>
      <c r="Z356" s="246"/>
    </row>
    <row r="357" spans="16:26">
      <c r="P357" s="241"/>
      <c r="Q357" s="241"/>
      <c r="R357" s="241"/>
      <c r="S357" s="241"/>
      <c r="T357" s="241"/>
      <c r="U357" s="241"/>
      <c r="V357" s="241"/>
      <c r="W357" s="241"/>
      <c r="X357" s="241"/>
      <c r="Y357" s="241"/>
      <c r="Z357" s="241"/>
    </row>
    <row r="358" spans="16:26">
      <c r="P358" s="246"/>
      <c r="Q358" s="246"/>
      <c r="R358" s="246"/>
      <c r="S358" s="246"/>
      <c r="T358" s="246"/>
      <c r="U358" s="246"/>
      <c r="V358" s="246"/>
      <c r="W358" s="246"/>
      <c r="X358" s="246"/>
      <c r="Y358" s="246"/>
      <c r="Z358" s="246"/>
    </row>
    <row r="359" spans="16:26">
      <c r="P359" s="246"/>
      <c r="Q359" s="246"/>
      <c r="R359" s="246"/>
      <c r="S359" s="246"/>
      <c r="T359" s="246"/>
      <c r="U359" s="246"/>
      <c r="V359" s="246"/>
      <c r="W359" s="246"/>
      <c r="X359" s="246"/>
      <c r="Y359" s="246"/>
      <c r="Z359" s="246"/>
    </row>
    <row r="360" spans="16:26">
      <c r="P360" s="241"/>
      <c r="Q360" s="241"/>
      <c r="R360" s="241"/>
      <c r="S360" s="241"/>
      <c r="T360" s="241"/>
      <c r="U360" s="241"/>
      <c r="V360" s="241"/>
      <c r="W360" s="241"/>
      <c r="X360" s="241"/>
      <c r="Y360" s="241"/>
      <c r="Z360" s="241"/>
    </row>
    <row r="361" spans="16:26">
      <c r="P361" s="246"/>
      <c r="Q361" s="246"/>
      <c r="R361" s="246"/>
      <c r="S361" s="246"/>
      <c r="T361" s="246"/>
      <c r="U361" s="246"/>
      <c r="V361" s="246"/>
      <c r="W361" s="246"/>
      <c r="X361" s="246"/>
      <c r="Y361" s="246"/>
      <c r="Z361" s="246"/>
    </row>
    <row r="362" spans="16:26">
      <c r="P362" s="246"/>
      <c r="Q362" s="246"/>
      <c r="R362" s="246"/>
      <c r="S362" s="246"/>
      <c r="T362" s="246"/>
      <c r="U362" s="246"/>
      <c r="V362" s="246"/>
      <c r="W362" s="246"/>
      <c r="X362" s="246"/>
      <c r="Y362" s="246"/>
      <c r="Z362" s="246"/>
    </row>
    <row r="363" spans="16:26">
      <c r="P363" s="241"/>
      <c r="Q363" s="241"/>
      <c r="R363" s="241"/>
      <c r="S363" s="241"/>
      <c r="T363" s="241"/>
      <c r="U363" s="241"/>
      <c r="V363" s="241"/>
      <c r="W363" s="241"/>
      <c r="X363" s="241"/>
      <c r="Y363" s="241"/>
      <c r="Z363" s="241"/>
    </row>
    <row r="364" spans="16:26">
      <c r="P364" s="246"/>
      <c r="Q364" s="246"/>
      <c r="R364" s="246"/>
      <c r="S364" s="246"/>
      <c r="T364" s="246"/>
      <c r="U364" s="246"/>
      <c r="V364" s="246"/>
      <c r="W364" s="246"/>
      <c r="X364" s="246"/>
      <c r="Y364" s="246"/>
      <c r="Z364" s="246"/>
    </row>
    <row r="365" spans="16:26">
      <c r="P365" s="246"/>
      <c r="Q365" s="246"/>
      <c r="R365" s="246"/>
      <c r="S365" s="246"/>
      <c r="T365" s="246"/>
      <c r="U365" s="246"/>
      <c r="V365" s="246"/>
      <c r="W365" s="246"/>
      <c r="X365" s="246"/>
      <c r="Y365" s="246"/>
      <c r="Z365" s="246"/>
    </row>
    <row r="366" spans="16:26">
      <c r="P366" s="241"/>
      <c r="Q366" s="241"/>
      <c r="R366" s="241"/>
      <c r="S366" s="241"/>
      <c r="T366" s="241"/>
      <c r="U366" s="241"/>
      <c r="V366" s="241"/>
      <c r="W366" s="241"/>
      <c r="X366" s="241"/>
      <c r="Y366" s="241"/>
      <c r="Z366" s="241"/>
    </row>
    <row r="367" spans="16:26">
      <c r="P367" s="246"/>
      <c r="Q367" s="246"/>
      <c r="R367" s="246"/>
      <c r="S367" s="246"/>
      <c r="T367" s="246"/>
      <c r="U367" s="246"/>
      <c r="V367" s="246"/>
      <c r="W367" s="246"/>
      <c r="X367" s="246"/>
      <c r="Y367" s="246"/>
      <c r="Z367" s="246"/>
    </row>
    <row r="368" spans="16:26">
      <c r="P368" s="246"/>
      <c r="Q368" s="246"/>
      <c r="R368" s="246"/>
      <c r="S368" s="246"/>
      <c r="T368" s="246"/>
      <c r="U368" s="246"/>
      <c r="V368" s="246"/>
      <c r="W368" s="246"/>
      <c r="X368" s="246"/>
      <c r="Y368" s="246"/>
      <c r="Z368" s="246"/>
    </row>
    <row r="369" spans="16:26">
      <c r="P369" s="241"/>
      <c r="Q369" s="241"/>
      <c r="R369" s="241"/>
      <c r="S369" s="241"/>
      <c r="T369" s="241"/>
      <c r="U369" s="241"/>
      <c r="V369" s="241"/>
      <c r="W369" s="241"/>
      <c r="X369" s="241"/>
      <c r="Y369" s="241"/>
      <c r="Z369" s="241"/>
    </row>
    <row r="370" spans="16:26">
      <c r="P370" s="246"/>
      <c r="Q370" s="246"/>
      <c r="R370" s="246"/>
      <c r="S370" s="246"/>
      <c r="T370" s="246"/>
      <c r="U370" s="246"/>
      <c r="V370" s="246"/>
      <c r="W370" s="246"/>
      <c r="X370" s="246"/>
      <c r="Y370" s="246"/>
      <c r="Z370" s="246"/>
    </row>
    <row r="371" spans="16:26">
      <c r="P371" s="246"/>
      <c r="Q371" s="246"/>
      <c r="R371" s="246"/>
      <c r="S371" s="246"/>
      <c r="T371" s="246"/>
      <c r="U371" s="246"/>
      <c r="V371" s="246"/>
      <c r="W371" s="246"/>
      <c r="X371" s="246"/>
      <c r="Y371" s="246"/>
      <c r="Z371" s="246"/>
    </row>
    <row r="372" spans="16:26">
      <c r="P372" s="241"/>
      <c r="Q372" s="241"/>
      <c r="R372" s="241"/>
      <c r="S372" s="241"/>
      <c r="T372" s="241"/>
      <c r="U372" s="241"/>
      <c r="V372" s="241"/>
      <c r="W372" s="241"/>
      <c r="X372" s="241"/>
      <c r="Y372" s="241"/>
      <c r="Z372" s="241"/>
    </row>
    <row r="373" spans="16:26">
      <c r="P373" s="246"/>
      <c r="Q373" s="246"/>
      <c r="R373" s="246"/>
      <c r="S373" s="246"/>
      <c r="T373" s="246"/>
      <c r="U373" s="246"/>
      <c r="V373" s="246"/>
      <c r="W373" s="246"/>
      <c r="X373" s="246"/>
      <c r="Y373" s="246"/>
      <c r="Z373" s="246"/>
    </row>
    <row r="374" spans="16:26">
      <c r="P374" s="246"/>
      <c r="Q374" s="246"/>
      <c r="R374" s="246"/>
      <c r="S374" s="246"/>
      <c r="T374" s="246"/>
      <c r="U374" s="246"/>
      <c r="V374" s="246"/>
      <c r="W374" s="246"/>
      <c r="X374" s="246"/>
      <c r="Y374" s="246"/>
      <c r="Z374" s="246"/>
    </row>
    <row r="375" spans="16:26">
      <c r="P375" s="241"/>
      <c r="Q375" s="241"/>
      <c r="R375" s="241"/>
      <c r="S375" s="241"/>
      <c r="T375" s="241"/>
      <c r="U375" s="241"/>
      <c r="V375" s="241"/>
      <c r="W375" s="241"/>
      <c r="X375" s="241"/>
      <c r="Y375" s="241"/>
      <c r="Z375" s="241"/>
    </row>
    <row r="376" spans="16:26">
      <c r="P376" s="246"/>
      <c r="Q376" s="246"/>
      <c r="R376" s="246"/>
      <c r="S376" s="246"/>
      <c r="T376" s="246"/>
      <c r="U376" s="246"/>
      <c r="V376" s="246"/>
      <c r="W376" s="246"/>
      <c r="X376" s="246"/>
      <c r="Y376" s="246"/>
      <c r="Z376" s="246"/>
    </row>
    <row r="377" spans="16:26">
      <c r="P377" s="246"/>
      <c r="Q377" s="246"/>
      <c r="R377" s="246"/>
      <c r="S377" s="246"/>
      <c r="T377" s="246"/>
      <c r="U377" s="246"/>
      <c r="V377" s="246"/>
      <c r="W377" s="246"/>
      <c r="X377" s="246"/>
      <c r="Y377" s="246"/>
      <c r="Z377" s="246"/>
    </row>
    <row r="378" spans="16:26">
      <c r="P378" s="241"/>
      <c r="Q378" s="241"/>
      <c r="R378" s="241"/>
      <c r="S378" s="241"/>
      <c r="T378" s="241"/>
      <c r="U378" s="241"/>
      <c r="V378" s="241"/>
      <c r="W378" s="241"/>
      <c r="X378" s="241"/>
      <c r="Y378" s="241"/>
      <c r="Z378" s="241"/>
    </row>
    <row r="379" spans="16:26">
      <c r="P379" s="246"/>
      <c r="Q379" s="246"/>
      <c r="R379" s="246"/>
      <c r="S379" s="246"/>
      <c r="T379" s="246"/>
      <c r="U379" s="246"/>
      <c r="V379" s="246"/>
      <c r="W379" s="246"/>
      <c r="X379" s="246"/>
      <c r="Y379" s="246"/>
      <c r="Z379" s="246"/>
    </row>
    <row r="380" spans="16:26">
      <c r="P380" s="246"/>
      <c r="Q380" s="246"/>
      <c r="R380" s="246"/>
      <c r="S380" s="246"/>
      <c r="T380" s="246"/>
      <c r="U380" s="246"/>
      <c r="V380" s="246"/>
      <c r="W380" s="246"/>
      <c r="X380" s="246"/>
      <c r="Y380" s="246"/>
      <c r="Z380" s="246"/>
    </row>
    <row r="381" spans="16:26">
      <c r="P381" s="241"/>
      <c r="Q381" s="241"/>
      <c r="R381" s="241"/>
      <c r="S381" s="241"/>
      <c r="T381" s="241"/>
      <c r="U381" s="241"/>
      <c r="V381" s="241"/>
      <c r="W381" s="241"/>
      <c r="X381" s="241"/>
      <c r="Y381" s="241"/>
      <c r="Z381" s="241"/>
    </row>
    <row r="382" spans="16:26">
      <c r="P382" s="246"/>
      <c r="Q382" s="246"/>
      <c r="R382" s="246"/>
      <c r="S382" s="246"/>
      <c r="T382" s="246"/>
      <c r="U382" s="246"/>
      <c r="V382" s="246"/>
      <c r="W382" s="246"/>
      <c r="X382" s="246"/>
      <c r="Y382" s="246"/>
      <c r="Z382" s="246"/>
    </row>
    <row r="383" spans="16:26">
      <c r="P383" s="246"/>
      <c r="Q383" s="246"/>
      <c r="R383" s="246"/>
      <c r="S383" s="246"/>
      <c r="T383" s="246"/>
      <c r="U383" s="246"/>
      <c r="V383" s="246"/>
      <c r="W383" s="246"/>
      <c r="X383" s="246"/>
      <c r="Y383" s="246"/>
      <c r="Z383" s="246"/>
    </row>
    <row r="384" spans="16:26">
      <c r="P384" s="241"/>
      <c r="Q384" s="241"/>
      <c r="R384" s="241"/>
      <c r="S384" s="241"/>
      <c r="T384" s="241"/>
      <c r="U384" s="241"/>
      <c r="V384" s="241"/>
      <c r="W384" s="241"/>
      <c r="X384" s="241"/>
      <c r="Y384" s="241"/>
      <c r="Z384" s="241"/>
    </row>
    <row r="385" spans="16:26">
      <c r="P385" s="246"/>
      <c r="Q385" s="246"/>
      <c r="R385" s="246"/>
      <c r="S385" s="246"/>
      <c r="T385" s="246"/>
      <c r="U385" s="246"/>
      <c r="V385" s="246"/>
      <c r="W385" s="246"/>
      <c r="X385" s="246"/>
      <c r="Y385" s="246"/>
      <c r="Z385" s="246"/>
    </row>
    <row r="386" spans="16:26">
      <c r="P386" s="246"/>
      <c r="Q386" s="246"/>
      <c r="R386" s="246"/>
      <c r="S386" s="246"/>
      <c r="T386" s="246"/>
      <c r="U386" s="246"/>
      <c r="V386" s="246"/>
      <c r="W386" s="246"/>
      <c r="X386" s="246"/>
      <c r="Y386" s="246"/>
      <c r="Z386" s="246"/>
    </row>
    <row r="387" spans="16:26">
      <c r="P387" s="241"/>
      <c r="Q387" s="241"/>
      <c r="R387" s="241"/>
      <c r="S387" s="241"/>
      <c r="T387" s="241"/>
      <c r="U387" s="241"/>
      <c r="V387" s="241"/>
      <c r="W387" s="241"/>
      <c r="X387" s="241"/>
      <c r="Y387" s="241"/>
      <c r="Z387" s="241"/>
    </row>
    <row r="388" spans="16:26">
      <c r="P388" s="246"/>
      <c r="Q388" s="246"/>
      <c r="R388" s="246"/>
      <c r="S388" s="246"/>
      <c r="T388" s="246"/>
      <c r="U388" s="246"/>
      <c r="V388" s="246"/>
      <c r="W388" s="246"/>
      <c r="X388" s="246"/>
      <c r="Y388" s="246"/>
      <c r="Z388" s="246"/>
    </row>
    <row r="389" spans="16:26">
      <c r="P389" s="246"/>
      <c r="Q389" s="246"/>
      <c r="R389" s="246"/>
      <c r="S389" s="246"/>
      <c r="T389" s="246"/>
      <c r="U389" s="246"/>
      <c r="V389" s="246"/>
      <c r="W389" s="246"/>
      <c r="X389" s="246"/>
      <c r="Y389" s="246"/>
      <c r="Z389" s="246"/>
    </row>
    <row r="390" spans="16:26">
      <c r="P390" s="241"/>
      <c r="Q390" s="241"/>
      <c r="R390" s="241"/>
      <c r="S390" s="241"/>
      <c r="T390" s="241"/>
      <c r="U390" s="241"/>
      <c r="V390" s="241"/>
      <c r="W390" s="241"/>
      <c r="X390" s="241"/>
      <c r="Y390" s="241"/>
      <c r="Z390" s="241"/>
    </row>
    <row r="391" spans="16:26">
      <c r="P391" s="246"/>
      <c r="Q391" s="246"/>
      <c r="R391" s="246"/>
      <c r="S391" s="246"/>
      <c r="T391" s="246"/>
      <c r="U391" s="246"/>
      <c r="V391" s="246"/>
      <c r="W391" s="246"/>
      <c r="X391" s="246"/>
      <c r="Y391" s="246"/>
      <c r="Z391" s="246"/>
    </row>
    <row r="392" spans="16:26">
      <c r="P392" s="246"/>
      <c r="Q392" s="246"/>
      <c r="R392" s="246"/>
      <c r="S392" s="246"/>
      <c r="T392" s="246"/>
      <c r="U392" s="246"/>
      <c r="V392" s="246"/>
      <c r="W392" s="246"/>
      <c r="X392" s="246"/>
      <c r="Y392" s="246"/>
      <c r="Z392" s="246"/>
    </row>
    <row r="393" spans="16:26">
      <c r="P393" s="241"/>
      <c r="Q393" s="241"/>
      <c r="R393" s="241"/>
      <c r="S393" s="241"/>
      <c r="T393" s="241"/>
      <c r="U393" s="241"/>
      <c r="V393" s="241"/>
      <c r="W393" s="241"/>
      <c r="X393" s="241"/>
      <c r="Y393" s="241"/>
      <c r="Z393" s="241"/>
    </row>
    <row r="394" spans="16:26">
      <c r="P394" s="246"/>
      <c r="Q394" s="246"/>
      <c r="R394" s="246"/>
      <c r="S394" s="246"/>
      <c r="T394" s="246"/>
      <c r="U394" s="246"/>
      <c r="V394" s="246"/>
      <c r="W394" s="246"/>
      <c r="X394" s="246"/>
      <c r="Y394" s="246"/>
      <c r="Z394" s="246"/>
    </row>
    <row r="395" spans="16:26">
      <c r="P395" s="246"/>
      <c r="Q395" s="246"/>
      <c r="R395" s="246"/>
      <c r="S395" s="246"/>
      <c r="T395" s="246"/>
      <c r="U395" s="246"/>
      <c r="V395" s="246"/>
      <c r="W395" s="246"/>
      <c r="X395" s="246"/>
      <c r="Y395" s="246"/>
      <c r="Z395" s="246"/>
    </row>
    <row r="396" spans="16:26">
      <c r="P396" s="241"/>
      <c r="Q396" s="241"/>
      <c r="R396" s="241"/>
      <c r="S396" s="241"/>
      <c r="T396" s="241"/>
      <c r="U396" s="241"/>
      <c r="V396" s="241"/>
      <c r="W396" s="241"/>
      <c r="X396" s="241"/>
      <c r="Y396" s="241"/>
      <c r="Z396" s="241"/>
    </row>
    <row r="397" spans="16:26">
      <c r="P397" s="246"/>
      <c r="Q397" s="246"/>
      <c r="R397" s="246"/>
      <c r="S397" s="246"/>
      <c r="T397" s="246"/>
      <c r="U397" s="246"/>
      <c r="V397" s="246"/>
      <c r="W397" s="246"/>
      <c r="X397" s="246"/>
      <c r="Y397" s="246"/>
      <c r="Z397" s="246"/>
    </row>
    <row r="398" spans="16:26">
      <c r="P398" s="246"/>
      <c r="Q398" s="246"/>
      <c r="R398" s="246"/>
      <c r="S398" s="246"/>
      <c r="T398" s="246"/>
      <c r="U398" s="246"/>
      <c r="V398" s="246"/>
      <c r="W398" s="246"/>
      <c r="X398" s="246"/>
      <c r="Y398" s="246"/>
      <c r="Z398" s="246"/>
    </row>
    <row r="399" spans="16:26">
      <c r="P399" s="241"/>
      <c r="Q399" s="241"/>
      <c r="R399" s="241"/>
      <c r="S399" s="241"/>
      <c r="T399" s="241"/>
      <c r="U399" s="241"/>
      <c r="V399" s="241"/>
      <c r="W399" s="241"/>
      <c r="X399" s="241"/>
      <c r="Y399" s="241"/>
      <c r="Z399" s="241"/>
    </row>
    <row r="400" spans="16:26">
      <c r="P400" s="246"/>
      <c r="Q400" s="246"/>
      <c r="R400" s="246"/>
      <c r="S400" s="246"/>
      <c r="T400" s="246"/>
      <c r="U400" s="246"/>
      <c r="V400" s="246"/>
      <c r="W400" s="246"/>
      <c r="X400" s="246"/>
      <c r="Y400" s="246"/>
      <c r="Z400" s="246"/>
    </row>
    <row r="401" spans="16:26">
      <c r="P401" s="246"/>
      <c r="Q401" s="246"/>
      <c r="R401" s="246"/>
      <c r="S401" s="246"/>
      <c r="T401" s="246"/>
      <c r="U401" s="246"/>
      <c r="V401" s="246"/>
      <c r="W401" s="246"/>
      <c r="X401" s="246"/>
      <c r="Y401" s="246"/>
      <c r="Z401" s="246"/>
    </row>
    <row r="402" spans="16:26">
      <c r="P402" s="241"/>
      <c r="Q402" s="241"/>
      <c r="R402" s="241"/>
      <c r="S402" s="241"/>
      <c r="T402" s="241"/>
      <c r="U402" s="241"/>
      <c r="V402" s="241"/>
      <c r="W402" s="241"/>
      <c r="X402" s="241"/>
      <c r="Y402" s="241"/>
      <c r="Z402" s="241"/>
    </row>
    <row r="403" spans="16:26">
      <c r="P403" s="246"/>
      <c r="Q403" s="246"/>
      <c r="R403" s="246"/>
      <c r="S403" s="246"/>
      <c r="T403" s="246"/>
      <c r="U403" s="246"/>
      <c r="V403" s="246"/>
      <c r="W403" s="246"/>
      <c r="X403" s="246"/>
      <c r="Y403" s="246"/>
      <c r="Z403" s="246"/>
    </row>
    <row r="404" spans="16:26">
      <c r="P404" s="246"/>
      <c r="Q404" s="246"/>
      <c r="R404" s="246"/>
      <c r="S404" s="246"/>
      <c r="T404" s="246"/>
      <c r="U404" s="246"/>
      <c r="V404" s="246"/>
      <c r="W404" s="246"/>
      <c r="X404" s="246"/>
      <c r="Y404" s="246"/>
      <c r="Z404" s="246"/>
    </row>
    <row r="405" spans="16:26">
      <c r="P405" s="241"/>
      <c r="Q405" s="241"/>
      <c r="R405" s="241"/>
      <c r="S405" s="241"/>
      <c r="T405" s="241"/>
      <c r="U405" s="241"/>
      <c r="V405" s="241"/>
      <c r="W405" s="241"/>
      <c r="X405" s="241"/>
      <c r="Y405" s="241"/>
      <c r="Z405" s="241"/>
    </row>
    <row r="406" spans="16:26">
      <c r="P406" s="246"/>
      <c r="Q406" s="246"/>
      <c r="R406" s="246"/>
      <c r="S406" s="246"/>
      <c r="T406" s="246"/>
      <c r="U406" s="246"/>
      <c r="V406" s="246"/>
      <c r="W406" s="246"/>
      <c r="X406" s="246"/>
      <c r="Y406" s="246"/>
      <c r="Z406" s="246"/>
    </row>
    <row r="407" spans="16:26">
      <c r="P407" s="246"/>
      <c r="Q407" s="246"/>
      <c r="R407" s="246"/>
      <c r="S407" s="246"/>
      <c r="T407" s="246"/>
      <c r="U407" s="246"/>
      <c r="V407" s="246"/>
      <c r="W407" s="246"/>
      <c r="X407" s="246"/>
      <c r="Y407" s="246"/>
      <c r="Z407" s="246"/>
    </row>
    <row r="408" spans="16:26">
      <c r="P408" s="241"/>
      <c r="Q408" s="241"/>
      <c r="R408" s="241"/>
      <c r="S408" s="241"/>
      <c r="T408" s="241"/>
      <c r="U408" s="241"/>
      <c r="V408" s="241"/>
      <c r="W408" s="241"/>
      <c r="X408" s="241"/>
      <c r="Y408" s="241"/>
      <c r="Z408" s="241"/>
    </row>
    <row r="409" spans="16:26">
      <c r="P409" s="246"/>
      <c r="Q409" s="246"/>
      <c r="R409" s="246"/>
      <c r="S409" s="246"/>
      <c r="T409" s="246"/>
      <c r="U409" s="246"/>
      <c r="V409" s="246"/>
      <c r="W409" s="246"/>
      <c r="X409" s="246"/>
      <c r="Y409" s="246"/>
      <c r="Z409" s="246"/>
    </row>
    <row r="410" spans="16:26">
      <c r="P410" s="246"/>
      <c r="Q410" s="246"/>
      <c r="R410" s="246"/>
      <c r="S410" s="246"/>
      <c r="T410" s="246"/>
      <c r="U410" s="246"/>
      <c r="V410" s="246"/>
      <c r="W410" s="246"/>
      <c r="X410" s="246"/>
      <c r="Y410" s="246"/>
      <c r="Z410" s="246"/>
    </row>
    <row r="411" spans="16:26">
      <c r="P411" s="241"/>
      <c r="Q411" s="241"/>
      <c r="R411" s="241"/>
      <c r="S411" s="241"/>
      <c r="T411" s="241"/>
      <c r="U411" s="241"/>
      <c r="V411" s="241"/>
      <c r="W411" s="241"/>
      <c r="X411" s="241"/>
      <c r="Y411" s="241"/>
      <c r="Z411" s="241"/>
    </row>
    <row r="412" spans="16:26">
      <c r="P412" s="246"/>
      <c r="Q412" s="246"/>
      <c r="R412" s="246"/>
      <c r="S412" s="246"/>
      <c r="T412" s="246"/>
      <c r="U412" s="246"/>
      <c r="V412" s="246"/>
      <c r="W412" s="246"/>
      <c r="X412" s="246"/>
      <c r="Y412" s="246"/>
      <c r="Z412" s="246"/>
    </row>
    <row r="413" spans="16:26">
      <c r="P413" s="246"/>
      <c r="Q413" s="246"/>
      <c r="R413" s="246"/>
      <c r="S413" s="246"/>
      <c r="T413" s="246"/>
      <c r="U413" s="246"/>
      <c r="V413" s="246"/>
      <c r="W413" s="246"/>
      <c r="X413" s="246"/>
      <c r="Y413" s="246"/>
      <c r="Z413" s="246"/>
    </row>
    <row r="414" spans="16:26">
      <c r="P414" s="241"/>
      <c r="Q414" s="241"/>
      <c r="R414" s="241"/>
      <c r="S414" s="241"/>
      <c r="T414" s="241"/>
      <c r="U414" s="241"/>
      <c r="V414" s="241"/>
      <c r="W414" s="241"/>
      <c r="X414" s="241"/>
      <c r="Y414" s="241"/>
      <c r="Z414" s="241"/>
    </row>
    <row r="415" spans="16:26">
      <c r="P415" s="246"/>
      <c r="Q415" s="246"/>
      <c r="R415" s="246"/>
      <c r="S415" s="246"/>
      <c r="T415" s="246"/>
      <c r="U415" s="246"/>
      <c r="V415" s="246"/>
      <c r="W415" s="246"/>
      <c r="X415" s="246"/>
      <c r="Y415" s="246"/>
      <c r="Z415" s="246"/>
    </row>
    <row r="416" spans="16:26">
      <c r="P416" s="246"/>
      <c r="Q416" s="246"/>
      <c r="R416" s="246"/>
      <c r="S416" s="246"/>
      <c r="T416" s="246"/>
      <c r="U416" s="246"/>
      <c r="V416" s="246"/>
      <c r="W416" s="246"/>
      <c r="X416" s="246"/>
      <c r="Y416" s="246"/>
      <c r="Z416" s="246"/>
    </row>
    <row r="417" spans="16:26">
      <c r="P417" s="241"/>
      <c r="Q417" s="241"/>
      <c r="R417" s="241"/>
      <c r="S417" s="241"/>
      <c r="T417" s="241"/>
      <c r="U417" s="241"/>
      <c r="V417" s="241"/>
      <c r="W417" s="241"/>
      <c r="X417" s="241"/>
      <c r="Y417" s="241"/>
      <c r="Z417" s="241"/>
    </row>
    <row r="418" spans="16:26">
      <c r="P418" s="246"/>
      <c r="Q418" s="246"/>
      <c r="R418" s="246"/>
      <c r="S418" s="246"/>
      <c r="T418" s="246"/>
      <c r="U418" s="246"/>
      <c r="V418" s="246"/>
      <c r="W418" s="246"/>
      <c r="X418" s="246"/>
      <c r="Y418" s="246"/>
      <c r="Z418" s="246"/>
    </row>
    <row r="419" spans="16:26">
      <c r="P419" s="246"/>
      <c r="Q419" s="246"/>
      <c r="R419" s="246"/>
      <c r="S419" s="246"/>
      <c r="T419" s="246"/>
      <c r="U419" s="246"/>
      <c r="V419" s="246"/>
      <c r="W419" s="246"/>
      <c r="X419" s="246"/>
      <c r="Y419" s="246"/>
      <c r="Z419" s="246"/>
    </row>
    <row r="420" spans="16:26">
      <c r="P420" s="241"/>
      <c r="Q420" s="241"/>
      <c r="R420" s="241"/>
      <c r="S420" s="241"/>
      <c r="T420" s="241"/>
      <c r="U420" s="241"/>
      <c r="V420" s="241"/>
      <c r="W420" s="241"/>
      <c r="X420" s="241"/>
      <c r="Y420" s="241"/>
      <c r="Z420" s="241"/>
    </row>
    <row r="421" spans="16:26">
      <c r="P421" s="246"/>
      <c r="Q421" s="246"/>
      <c r="R421" s="246"/>
      <c r="S421" s="246"/>
      <c r="T421" s="246"/>
      <c r="U421" s="246"/>
      <c r="V421" s="246"/>
      <c r="W421" s="246"/>
      <c r="X421" s="246"/>
      <c r="Y421" s="246"/>
      <c r="Z421" s="246"/>
    </row>
    <row r="422" spans="16:26">
      <c r="P422" s="246"/>
      <c r="Q422" s="246"/>
      <c r="R422" s="246"/>
      <c r="S422" s="246"/>
      <c r="T422" s="246"/>
      <c r="U422" s="246"/>
      <c r="V422" s="246"/>
      <c r="W422" s="246"/>
      <c r="X422" s="246"/>
      <c r="Y422" s="246"/>
      <c r="Z422" s="246"/>
    </row>
    <row r="423" spans="16:26">
      <c r="P423" s="241"/>
      <c r="Q423" s="241"/>
      <c r="R423" s="241"/>
      <c r="S423" s="241"/>
      <c r="T423" s="241"/>
      <c r="U423" s="241"/>
      <c r="V423" s="241"/>
      <c r="W423" s="241"/>
      <c r="X423" s="241"/>
      <c r="Y423" s="241"/>
      <c r="Z423" s="241"/>
    </row>
    <row r="424" spans="16:26">
      <c r="P424" s="246"/>
      <c r="Q424" s="246"/>
      <c r="R424" s="246"/>
      <c r="S424" s="246"/>
      <c r="T424" s="246"/>
      <c r="U424" s="246"/>
      <c r="V424" s="246"/>
      <c r="W424" s="246"/>
      <c r="X424" s="246"/>
      <c r="Y424" s="246"/>
      <c r="Z424" s="246"/>
    </row>
    <row r="425" spans="16:26">
      <c r="P425" s="246"/>
      <c r="Q425" s="246"/>
      <c r="R425" s="246"/>
      <c r="S425" s="246"/>
      <c r="T425" s="246"/>
      <c r="U425" s="246"/>
      <c r="V425" s="246"/>
      <c r="W425" s="246"/>
      <c r="X425" s="246"/>
      <c r="Y425" s="246"/>
      <c r="Z425" s="246"/>
    </row>
    <row r="426" spans="16:26">
      <c r="P426" s="241"/>
      <c r="Q426" s="241"/>
      <c r="R426" s="241"/>
      <c r="S426" s="241"/>
      <c r="T426" s="241"/>
      <c r="U426" s="241"/>
      <c r="V426" s="241"/>
      <c r="W426" s="241"/>
      <c r="X426" s="241"/>
      <c r="Y426" s="241"/>
      <c r="Z426" s="241"/>
    </row>
    <row r="427" spans="16:26">
      <c r="P427" s="246"/>
      <c r="Q427" s="246"/>
      <c r="R427" s="246"/>
      <c r="S427" s="246"/>
      <c r="T427" s="246"/>
      <c r="U427" s="246"/>
      <c r="V427" s="246"/>
      <c r="W427" s="246"/>
      <c r="X427" s="246"/>
      <c r="Y427" s="246"/>
      <c r="Z427" s="246"/>
    </row>
    <row r="428" spans="16:26">
      <c r="P428" s="246"/>
      <c r="Q428" s="246"/>
      <c r="R428" s="246"/>
      <c r="S428" s="246"/>
      <c r="T428" s="246"/>
      <c r="U428" s="246"/>
      <c r="V428" s="246"/>
      <c r="W428" s="246"/>
      <c r="X428" s="246"/>
      <c r="Y428" s="246"/>
      <c r="Z428" s="246"/>
    </row>
    <row r="429" spans="16:26">
      <c r="P429" s="241"/>
      <c r="Q429" s="241"/>
      <c r="R429" s="241"/>
      <c r="S429" s="241"/>
      <c r="T429" s="241"/>
      <c r="U429" s="241"/>
      <c r="V429" s="241"/>
      <c r="W429" s="241"/>
      <c r="X429" s="241"/>
      <c r="Y429" s="241"/>
      <c r="Z429" s="241"/>
    </row>
    <row r="430" spans="16:26">
      <c r="P430" s="246"/>
      <c r="Q430" s="246"/>
      <c r="R430" s="246"/>
      <c r="S430" s="246"/>
      <c r="T430" s="246"/>
      <c r="U430" s="246"/>
      <c r="V430" s="246"/>
      <c r="W430" s="246"/>
      <c r="X430" s="246"/>
      <c r="Y430" s="246"/>
      <c r="Z430" s="246"/>
    </row>
    <row r="431" spans="16:26">
      <c r="P431" s="246"/>
      <c r="Q431" s="246"/>
      <c r="R431" s="246"/>
      <c r="S431" s="246"/>
      <c r="T431" s="246"/>
      <c r="U431" s="246"/>
      <c r="V431" s="246"/>
      <c r="W431" s="246"/>
      <c r="X431" s="246"/>
      <c r="Y431" s="246"/>
      <c r="Z431" s="246"/>
    </row>
    <row r="432" spans="16:26">
      <c r="P432" s="241"/>
      <c r="Q432" s="241"/>
      <c r="R432" s="241"/>
      <c r="S432" s="241"/>
      <c r="T432" s="241"/>
      <c r="U432" s="241"/>
      <c r="V432" s="241"/>
      <c r="W432" s="241"/>
      <c r="X432" s="241"/>
      <c r="Y432" s="241"/>
      <c r="Z432" s="241"/>
    </row>
    <row r="433" spans="16:26">
      <c r="P433" s="246"/>
      <c r="Q433" s="246"/>
      <c r="R433" s="246"/>
      <c r="S433" s="246"/>
      <c r="T433" s="246"/>
      <c r="U433" s="246"/>
      <c r="V433" s="246"/>
      <c r="W433" s="246"/>
      <c r="X433" s="246"/>
      <c r="Y433" s="246"/>
      <c r="Z433" s="246"/>
    </row>
    <row r="434" spans="16:26">
      <c r="P434" s="246"/>
      <c r="Q434" s="246"/>
      <c r="R434" s="246"/>
      <c r="S434" s="246"/>
      <c r="T434" s="246"/>
      <c r="U434" s="246"/>
      <c r="V434" s="246"/>
      <c r="W434" s="246"/>
      <c r="X434" s="246"/>
      <c r="Y434" s="246"/>
      <c r="Z434" s="246"/>
    </row>
    <row r="435" spans="16:26">
      <c r="P435" s="241"/>
      <c r="Q435" s="241"/>
      <c r="R435" s="241"/>
      <c r="S435" s="241"/>
      <c r="T435" s="241"/>
      <c r="U435" s="241"/>
      <c r="V435" s="241"/>
      <c r="W435" s="241"/>
      <c r="X435" s="241"/>
      <c r="Y435" s="241"/>
      <c r="Z435" s="241"/>
    </row>
    <row r="436" spans="16:26">
      <c r="P436" s="246"/>
      <c r="Q436" s="246"/>
      <c r="R436" s="246"/>
      <c r="S436" s="246"/>
      <c r="T436" s="246"/>
      <c r="U436" s="246"/>
      <c r="V436" s="246"/>
      <c r="W436" s="246"/>
      <c r="X436" s="246"/>
      <c r="Y436" s="246"/>
      <c r="Z436" s="246"/>
    </row>
    <row r="437" spans="16:26">
      <c r="P437" s="246"/>
      <c r="Q437" s="246"/>
      <c r="R437" s="246"/>
      <c r="S437" s="246"/>
      <c r="T437" s="246"/>
      <c r="U437" s="246"/>
      <c r="V437" s="246"/>
      <c r="W437" s="246"/>
      <c r="X437" s="246"/>
      <c r="Y437" s="246"/>
      <c r="Z437" s="246"/>
    </row>
    <row r="438" spans="16:26">
      <c r="P438" s="241"/>
      <c r="Q438" s="241"/>
      <c r="R438" s="241"/>
      <c r="S438" s="241"/>
      <c r="T438" s="241"/>
      <c r="U438" s="241"/>
      <c r="V438" s="241"/>
      <c r="W438" s="241"/>
      <c r="X438" s="241"/>
      <c r="Y438" s="241"/>
      <c r="Z438" s="241"/>
    </row>
    <row r="439" spans="16:26">
      <c r="P439" s="246"/>
      <c r="Q439" s="246"/>
      <c r="R439" s="246"/>
      <c r="S439" s="246"/>
      <c r="T439" s="246"/>
      <c r="U439" s="246"/>
      <c r="V439" s="246"/>
      <c r="W439" s="246"/>
      <c r="X439" s="246"/>
      <c r="Y439" s="246"/>
      <c r="Z439" s="246"/>
    </row>
    <row r="440" spans="16:26">
      <c r="P440" s="246"/>
      <c r="Q440" s="246"/>
      <c r="R440" s="246"/>
      <c r="S440" s="246"/>
      <c r="T440" s="246"/>
      <c r="U440" s="246"/>
      <c r="V440" s="246"/>
      <c r="W440" s="246"/>
      <c r="X440" s="246"/>
      <c r="Y440" s="246"/>
      <c r="Z440" s="246"/>
    </row>
    <row r="441" spans="16:26">
      <c r="P441" s="241"/>
      <c r="Q441" s="241"/>
      <c r="R441" s="241"/>
      <c r="S441" s="241"/>
      <c r="T441" s="241"/>
      <c r="U441" s="241"/>
      <c r="V441" s="241"/>
      <c r="W441" s="241"/>
      <c r="X441" s="241"/>
      <c r="Y441" s="241"/>
      <c r="Z441" s="241"/>
    </row>
    <row r="442" spans="16:26">
      <c r="P442" s="246"/>
      <c r="Q442" s="246"/>
      <c r="R442" s="246"/>
      <c r="S442" s="246"/>
      <c r="T442" s="246"/>
      <c r="U442" s="246"/>
      <c r="V442" s="246"/>
      <c r="W442" s="246"/>
      <c r="X442" s="246"/>
      <c r="Y442" s="246"/>
      <c r="Z442" s="246"/>
    </row>
    <row r="443" spans="16:26">
      <c r="P443" s="246"/>
      <c r="Q443" s="246"/>
      <c r="R443" s="246"/>
      <c r="S443" s="246"/>
      <c r="T443" s="246"/>
      <c r="U443" s="246"/>
      <c r="V443" s="246"/>
      <c r="W443" s="246"/>
      <c r="X443" s="246"/>
      <c r="Y443" s="246"/>
      <c r="Z443" s="246"/>
    </row>
    <row r="444" spans="16:26">
      <c r="P444" s="241"/>
      <c r="Q444" s="241"/>
      <c r="R444" s="241"/>
      <c r="S444" s="241"/>
      <c r="T444" s="241"/>
      <c r="U444" s="241"/>
      <c r="V444" s="241"/>
      <c r="W444" s="241"/>
      <c r="X444" s="241"/>
      <c r="Y444" s="241"/>
      <c r="Z444" s="241"/>
    </row>
    <row r="445" spans="16:26">
      <c r="P445" s="246"/>
      <c r="Q445" s="246"/>
      <c r="R445" s="246"/>
      <c r="S445" s="246"/>
      <c r="T445" s="246"/>
      <c r="U445" s="246"/>
      <c r="V445" s="246"/>
      <c r="W445" s="246"/>
      <c r="X445" s="246"/>
      <c r="Y445" s="246"/>
      <c r="Z445" s="246"/>
    </row>
    <row r="446" spans="16:26">
      <c r="P446" s="246"/>
      <c r="Q446" s="246"/>
      <c r="R446" s="246"/>
      <c r="S446" s="246"/>
      <c r="T446" s="246"/>
      <c r="U446" s="246"/>
      <c r="V446" s="246"/>
      <c r="W446" s="246"/>
      <c r="X446" s="246"/>
      <c r="Y446" s="246"/>
      <c r="Z446" s="246"/>
    </row>
    <row r="447" spans="16:26">
      <c r="P447" s="241"/>
      <c r="Q447" s="241"/>
      <c r="R447" s="241"/>
      <c r="S447" s="241"/>
      <c r="T447" s="241"/>
      <c r="U447" s="241"/>
      <c r="V447" s="241"/>
      <c r="W447" s="241"/>
      <c r="X447" s="241"/>
      <c r="Y447" s="241"/>
      <c r="Z447" s="241"/>
    </row>
    <row r="448" spans="16:26">
      <c r="P448" s="246"/>
      <c r="Q448" s="246"/>
      <c r="R448" s="246"/>
      <c r="S448" s="246"/>
      <c r="T448" s="246"/>
      <c r="U448" s="246"/>
      <c r="V448" s="246"/>
      <c r="W448" s="246"/>
      <c r="X448" s="246"/>
      <c r="Y448" s="246"/>
      <c r="Z448" s="246"/>
    </row>
    <row r="449" spans="16:26">
      <c r="P449" s="246"/>
      <c r="Q449" s="246"/>
      <c r="R449" s="246"/>
      <c r="S449" s="246"/>
      <c r="T449" s="246"/>
      <c r="U449" s="246"/>
      <c r="V449" s="246"/>
      <c r="W449" s="246"/>
      <c r="X449" s="246"/>
      <c r="Y449" s="246"/>
      <c r="Z449" s="246"/>
    </row>
    <row r="450" spans="16:26">
      <c r="P450" s="241"/>
      <c r="Q450" s="241"/>
      <c r="R450" s="241"/>
      <c r="S450" s="241"/>
      <c r="T450" s="241"/>
      <c r="U450" s="241"/>
      <c r="V450" s="241"/>
      <c r="W450" s="241"/>
      <c r="X450" s="241"/>
      <c r="Y450" s="241"/>
      <c r="Z450" s="241"/>
    </row>
    <row r="451" spans="16:26">
      <c r="P451" s="246"/>
      <c r="Q451" s="246"/>
      <c r="R451" s="246"/>
      <c r="S451" s="246"/>
      <c r="T451" s="246"/>
      <c r="U451" s="246"/>
      <c r="V451" s="246"/>
      <c r="W451" s="246"/>
      <c r="X451" s="246"/>
      <c r="Y451" s="246"/>
      <c r="Z451" s="246"/>
    </row>
    <row r="452" spans="16:26">
      <c r="P452" s="246"/>
      <c r="Q452" s="246"/>
      <c r="R452" s="246"/>
      <c r="S452" s="246"/>
      <c r="T452" s="246"/>
      <c r="U452" s="246"/>
      <c r="V452" s="246"/>
      <c r="W452" s="246"/>
      <c r="X452" s="246"/>
      <c r="Y452" s="246"/>
      <c r="Z452" s="246"/>
    </row>
    <row r="453" spans="16:26">
      <c r="P453" s="241"/>
      <c r="Q453" s="241"/>
      <c r="R453" s="241"/>
      <c r="S453" s="241"/>
      <c r="T453" s="241"/>
      <c r="U453" s="241"/>
      <c r="V453" s="241"/>
      <c r="W453" s="241"/>
      <c r="X453" s="241"/>
      <c r="Y453" s="241"/>
      <c r="Z453" s="241"/>
    </row>
    <row r="454" spans="16:26">
      <c r="P454" s="246"/>
      <c r="Q454" s="246"/>
      <c r="R454" s="246"/>
      <c r="S454" s="246"/>
      <c r="T454" s="246"/>
      <c r="U454" s="246"/>
      <c r="V454" s="246"/>
      <c r="W454" s="246"/>
      <c r="X454" s="246"/>
      <c r="Y454" s="246"/>
      <c r="Z454" s="246"/>
    </row>
    <row r="455" spans="16:26">
      <c r="P455" s="246"/>
      <c r="Q455" s="246"/>
      <c r="R455" s="246"/>
      <c r="S455" s="246"/>
      <c r="T455" s="246"/>
      <c r="U455" s="246"/>
      <c r="V455" s="246"/>
      <c r="W455" s="246"/>
      <c r="X455" s="246"/>
      <c r="Y455" s="246"/>
      <c r="Z455" s="246"/>
    </row>
    <row r="456" spans="16:26">
      <c r="P456" s="241"/>
      <c r="Q456" s="241"/>
      <c r="R456" s="241"/>
      <c r="S456" s="241"/>
      <c r="T456" s="241"/>
      <c r="U456" s="241"/>
      <c r="V456" s="241"/>
      <c r="W456" s="241"/>
      <c r="X456" s="241"/>
      <c r="Y456" s="241"/>
      <c r="Z456" s="241"/>
    </row>
    <row r="457" spans="16:26">
      <c r="P457" s="246"/>
      <c r="Q457" s="246"/>
      <c r="R457" s="246"/>
      <c r="S457" s="246"/>
      <c r="T457" s="246"/>
      <c r="U457" s="246"/>
      <c r="V457" s="246"/>
      <c r="W457" s="246"/>
      <c r="X457" s="246"/>
      <c r="Y457" s="246"/>
      <c r="Z457" s="246"/>
    </row>
    <row r="458" spans="16:26">
      <c r="P458" s="246"/>
      <c r="Q458" s="246"/>
      <c r="R458" s="246"/>
      <c r="S458" s="246"/>
      <c r="T458" s="246"/>
      <c r="U458" s="246"/>
      <c r="V458" s="246"/>
      <c r="W458" s="246"/>
      <c r="X458" s="246"/>
      <c r="Y458" s="246"/>
      <c r="Z458" s="246"/>
    </row>
    <row r="459" spans="16:26">
      <c r="P459" s="241"/>
      <c r="Q459" s="241"/>
      <c r="R459" s="241"/>
      <c r="S459" s="241"/>
      <c r="T459" s="241"/>
      <c r="U459" s="241"/>
      <c r="V459" s="241"/>
      <c r="W459" s="241"/>
      <c r="X459" s="241"/>
      <c r="Y459" s="241"/>
      <c r="Z459" s="241"/>
    </row>
    <row r="460" spans="16:26">
      <c r="P460" s="246"/>
      <c r="Q460" s="246"/>
      <c r="R460" s="246"/>
      <c r="S460" s="246"/>
      <c r="T460" s="246"/>
      <c r="U460" s="246"/>
      <c r="V460" s="246"/>
      <c r="W460" s="246"/>
      <c r="X460" s="246"/>
      <c r="Y460" s="246"/>
      <c r="Z460" s="246"/>
    </row>
    <row r="461" spans="16:26">
      <c r="P461" s="246"/>
      <c r="Q461" s="246"/>
      <c r="R461" s="246"/>
      <c r="S461" s="246"/>
      <c r="T461" s="246"/>
      <c r="U461" s="246"/>
      <c r="V461" s="246"/>
      <c r="W461" s="246"/>
      <c r="X461" s="246"/>
      <c r="Y461" s="246"/>
      <c r="Z461" s="246"/>
    </row>
    <row r="462" spans="16:26">
      <c r="P462" s="241"/>
      <c r="Q462" s="241"/>
      <c r="R462" s="241"/>
      <c r="S462" s="241"/>
      <c r="T462" s="241"/>
      <c r="U462" s="241"/>
      <c r="V462" s="241"/>
      <c r="W462" s="241"/>
      <c r="X462" s="241"/>
      <c r="Y462" s="241"/>
      <c r="Z462" s="241"/>
    </row>
    <row r="463" spans="16:26">
      <c r="P463" s="246"/>
      <c r="Q463" s="246"/>
      <c r="R463" s="246"/>
      <c r="S463" s="246"/>
      <c r="T463" s="246"/>
      <c r="U463" s="246"/>
      <c r="V463" s="246"/>
      <c r="W463" s="246"/>
      <c r="X463" s="246"/>
      <c r="Y463" s="246"/>
      <c r="Z463" s="246"/>
    </row>
    <row r="464" spans="16:26">
      <c r="P464" s="246"/>
      <c r="Q464" s="246"/>
      <c r="R464" s="246"/>
      <c r="S464" s="246"/>
      <c r="T464" s="246"/>
      <c r="U464" s="246"/>
      <c r="V464" s="246"/>
      <c r="W464" s="246"/>
      <c r="X464" s="246"/>
      <c r="Y464" s="246"/>
      <c r="Z464" s="246"/>
    </row>
    <row r="465" spans="16:26">
      <c r="P465" s="241"/>
      <c r="Q465" s="241"/>
      <c r="R465" s="241"/>
      <c r="S465" s="241"/>
      <c r="T465" s="241"/>
      <c r="U465" s="241"/>
      <c r="V465" s="241"/>
      <c r="W465" s="241"/>
      <c r="X465" s="241"/>
      <c r="Y465" s="241"/>
      <c r="Z465" s="241"/>
    </row>
    <row r="466" spans="16:26">
      <c r="P466" s="246"/>
      <c r="Q466" s="246"/>
      <c r="R466" s="246"/>
      <c r="S466" s="246"/>
      <c r="T466" s="246"/>
      <c r="U466" s="246"/>
      <c r="V466" s="246"/>
      <c r="W466" s="246"/>
      <c r="X466" s="246"/>
      <c r="Y466" s="246"/>
      <c r="Z466" s="246"/>
    </row>
    <row r="467" spans="16:26">
      <c r="P467" s="246"/>
      <c r="Q467" s="246"/>
      <c r="R467" s="246"/>
      <c r="S467" s="246"/>
      <c r="T467" s="246"/>
      <c r="U467" s="246"/>
      <c r="V467" s="246"/>
      <c r="W467" s="246"/>
      <c r="X467" s="246"/>
      <c r="Y467" s="246"/>
      <c r="Z467" s="246"/>
    </row>
    <row r="468" spans="16:26">
      <c r="P468" s="241"/>
      <c r="Q468" s="241"/>
      <c r="R468" s="241"/>
      <c r="S468" s="241"/>
      <c r="T468" s="241"/>
      <c r="U468" s="241"/>
      <c r="V468" s="241"/>
      <c r="W468" s="241"/>
      <c r="X468" s="241"/>
      <c r="Y468" s="241"/>
      <c r="Z468" s="241"/>
    </row>
    <row r="469" spans="16:26">
      <c r="P469" s="246"/>
      <c r="Q469" s="246"/>
      <c r="R469" s="246"/>
      <c r="S469" s="246"/>
      <c r="T469" s="246"/>
      <c r="U469" s="246"/>
      <c r="V469" s="246"/>
      <c r="W469" s="246"/>
      <c r="X469" s="246"/>
      <c r="Y469" s="246"/>
      <c r="Z469" s="246"/>
    </row>
    <row r="470" spans="16:26">
      <c r="P470" s="246"/>
      <c r="Q470" s="246"/>
      <c r="R470" s="246"/>
      <c r="S470" s="246"/>
      <c r="T470" s="246"/>
      <c r="U470" s="246"/>
      <c r="V470" s="246"/>
      <c r="W470" s="246"/>
      <c r="X470" s="246"/>
      <c r="Y470" s="246"/>
      <c r="Z470" s="246"/>
    </row>
    <row r="471" spans="16:26">
      <c r="P471" s="241"/>
      <c r="Q471" s="241"/>
      <c r="R471" s="241"/>
      <c r="S471" s="241"/>
      <c r="T471" s="241"/>
      <c r="U471" s="241"/>
      <c r="V471" s="241"/>
      <c r="W471" s="241"/>
      <c r="X471" s="241"/>
      <c r="Y471" s="241"/>
      <c r="Z471" s="241"/>
    </row>
    <row r="472" spans="16:26">
      <c r="P472" s="246"/>
      <c r="Q472" s="246"/>
      <c r="R472" s="246"/>
      <c r="S472" s="246"/>
      <c r="T472" s="246"/>
      <c r="U472" s="246"/>
      <c r="V472" s="246"/>
      <c r="W472" s="246"/>
      <c r="X472" s="246"/>
      <c r="Y472" s="246"/>
      <c r="Z472" s="246"/>
    </row>
    <row r="473" spans="16:26">
      <c r="P473" s="246"/>
      <c r="Q473" s="246"/>
      <c r="R473" s="246"/>
      <c r="S473" s="246"/>
      <c r="T473" s="246"/>
      <c r="U473" s="246"/>
      <c r="V473" s="246"/>
      <c r="W473" s="246"/>
      <c r="X473" s="246"/>
      <c r="Y473" s="246"/>
      <c r="Z473" s="246"/>
    </row>
    <row r="474" spans="16:26">
      <c r="P474" s="241"/>
      <c r="Q474" s="241"/>
      <c r="R474" s="241"/>
      <c r="S474" s="241"/>
      <c r="T474" s="241"/>
      <c r="U474" s="241"/>
      <c r="V474" s="241"/>
      <c r="W474" s="241"/>
      <c r="X474" s="241"/>
      <c r="Y474" s="241"/>
      <c r="Z474" s="241"/>
    </row>
    <row r="475" spans="16:26">
      <c r="P475" s="246"/>
      <c r="Q475" s="246"/>
      <c r="R475" s="246"/>
      <c r="S475" s="246"/>
      <c r="T475" s="246"/>
      <c r="U475" s="246"/>
      <c r="V475" s="246"/>
      <c r="W475" s="246"/>
      <c r="X475" s="246"/>
      <c r="Y475" s="246"/>
      <c r="Z475" s="246"/>
    </row>
    <row r="476" spans="16:26">
      <c r="P476" s="246"/>
      <c r="Q476" s="246"/>
      <c r="R476" s="246"/>
      <c r="S476" s="246"/>
      <c r="T476" s="246"/>
      <c r="U476" s="246"/>
      <c r="V476" s="246"/>
      <c r="W476" s="246"/>
      <c r="X476" s="246"/>
      <c r="Y476" s="246"/>
      <c r="Z476" s="246"/>
    </row>
    <row r="477" spans="16:26">
      <c r="P477" s="241"/>
      <c r="Q477" s="241"/>
      <c r="R477" s="241"/>
      <c r="S477" s="241"/>
      <c r="T477" s="241"/>
      <c r="U477" s="241"/>
      <c r="V477" s="241"/>
      <c r="W477" s="241"/>
      <c r="X477" s="241"/>
      <c r="Y477" s="241"/>
      <c r="Z477" s="241"/>
    </row>
    <row r="478" spans="16:26">
      <c r="P478" s="246"/>
      <c r="Q478" s="246"/>
      <c r="R478" s="246"/>
      <c r="S478" s="246"/>
      <c r="T478" s="246"/>
      <c r="U478" s="246"/>
      <c r="V478" s="246"/>
      <c r="W478" s="246"/>
      <c r="X478" s="246"/>
      <c r="Y478" s="246"/>
      <c r="Z478" s="246"/>
    </row>
    <row r="479" spans="16:26">
      <c r="P479" s="246"/>
      <c r="Q479" s="246"/>
      <c r="R479" s="246"/>
      <c r="S479" s="246"/>
      <c r="T479" s="246"/>
      <c r="U479" s="246"/>
      <c r="V479" s="246"/>
      <c r="W479" s="246"/>
      <c r="X479" s="246"/>
      <c r="Y479" s="246"/>
      <c r="Z479" s="246"/>
    </row>
    <row r="480" spans="16:26">
      <c r="P480" s="241"/>
      <c r="Q480" s="241"/>
      <c r="R480" s="241"/>
      <c r="S480" s="241"/>
      <c r="T480" s="241"/>
      <c r="U480" s="241"/>
      <c r="V480" s="241"/>
      <c r="W480" s="241"/>
      <c r="X480" s="241"/>
      <c r="Y480" s="241"/>
      <c r="Z480" s="241"/>
    </row>
    <row r="481" spans="16:26">
      <c r="P481" s="246"/>
      <c r="Q481" s="246"/>
      <c r="R481" s="246"/>
      <c r="S481" s="246"/>
      <c r="T481" s="246"/>
      <c r="U481" s="246"/>
      <c r="V481" s="246"/>
      <c r="W481" s="246"/>
      <c r="X481" s="246"/>
      <c r="Y481" s="246"/>
      <c r="Z481" s="246"/>
    </row>
    <row r="482" spans="16:26">
      <c r="P482" s="246"/>
      <c r="Q482" s="246"/>
      <c r="R482" s="246"/>
      <c r="S482" s="246"/>
      <c r="T482" s="246"/>
      <c r="U482" s="246"/>
      <c r="V482" s="246"/>
      <c r="W482" s="246"/>
      <c r="X482" s="246"/>
      <c r="Y482" s="246"/>
      <c r="Z482" s="246"/>
    </row>
    <row r="483" spans="16:26">
      <c r="P483" s="241"/>
      <c r="Q483" s="241"/>
      <c r="R483" s="241"/>
      <c r="S483" s="241"/>
      <c r="T483" s="241"/>
      <c r="U483" s="241"/>
      <c r="V483" s="241"/>
      <c r="W483" s="241"/>
      <c r="X483" s="241"/>
      <c r="Y483" s="241"/>
      <c r="Z483" s="241"/>
    </row>
    <row r="484" spans="16:26">
      <c r="P484" s="246"/>
      <c r="Q484" s="246"/>
      <c r="R484" s="246"/>
      <c r="S484" s="246"/>
      <c r="T484" s="246"/>
      <c r="U484" s="246"/>
      <c r="V484" s="246"/>
      <c r="W484" s="246"/>
      <c r="X484" s="246"/>
      <c r="Y484" s="246"/>
      <c r="Z484" s="246"/>
    </row>
    <row r="485" spans="16:26">
      <c r="P485" s="246"/>
      <c r="Q485" s="246"/>
      <c r="R485" s="246"/>
      <c r="S485" s="246"/>
      <c r="T485" s="246"/>
      <c r="U485" s="246"/>
      <c r="V485" s="246"/>
      <c r="W485" s="246"/>
      <c r="X485" s="246"/>
      <c r="Y485" s="246"/>
      <c r="Z485" s="246"/>
    </row>
    <row r="486" spans="16:26">
      <c r="P486" s="241"/>
      <c r="Q486" s="241"/>
      <c r="R486" s="241"/>
      <c r="S486" s="241"/>
      <c r="T486" s="241"/>
      <c r="U486" s="241"/>
      <c r="V486" s="241"/>
      <c r="W486" s="241"/>
      <c r="X486" s="241"/>
      <c r="Y486" s="241"/>
      <c r="Z486" s="241"/>
    </row>
    <row r="487" spans="16:26">
      <c r="P487" s="246"/>
      <c r="Q487" s="246"/>
      <c r="R487" s="246"/>
      <c r="S487" s="246"/>
      <c r="T487" s="246"/>
      <c r="U487" s="246"/>
      <c r="V487" s="246"/>
      <c r="W487" s="246"/>
      <c r="X487" s="246"/>
      <c r="Y487" s="246"/>
      <c r="Z487" s="246"/>
    </row>
    <row r="488" spans="16:26">
      <c r="P488" s="246"/>
      <c r="Q488" s="246"/>
      <c r="R488" s="246"/>
      <c r="S488" s="246"/>
      <c r="T488" s="246"/>
      <c r="U488" s="246"/>
      <c r="V488" s="246"/>
      <c r="W488" s="246"/>
      <c r="X488" s="246"/>
      <c r="Y488" s="246"/>
      <c r="Z488" s="246"/>
    </row>
    <row r="489" spans="16:26">
      <c r="P489" s="241"/>
      <c r="Q489" s="241"/>
      <c r="R489" s="241"/>
      <c r="S489" s="241"/>
      <c r="T489" s="241"/>
      <c r="U489" s="241"/>
      <c r="V489" s="241"/>
      <c r="W489" s="241"/>
      <c r="X489" s="241"/>
      <c r="Y489" s="241"/>
      <c r="Z489" s="241"/>
    </row>
    <row r="490" spans="16:26">
      <c r="P490" s="246"/>
      <c r="Q490" s="246"/>
      <c r="R490" s="246"/>
      <c r="S490" s="246"/>
      <c r="T490" s="246"/>
      <c r="U490" s="246"/>
      <c r="V490" s="246"/>
      <c r="W490" s="246"/>
      <c r="X490" s="246"/>
      <c r="Y490" s="246"/>
      <c r="Z490" s="246"/>
    </row>
    <row r="491" spans="16:26">
      <c r="P491" s="246"/>
      <c r="Q491" s="246"/>
      <c r="R491" s="246"/>
      <c r="S491" s="246"/>
      <c r="T491" s="246"/>
      <c r="U491" s="246"/>
      <c r="V491" s="246"/>
      <c r="W491" s="246"/>
      <c r="X491" s="246"/>
      <c r="Y491" s="246"/>
      <c r="Z491" s="246"/>
    </row>
    <row r="492" spans="16:26">
      <c r="P492" s="241"/>
      <c r="Q492" s="241"/>
      <c r="R492" s="241"/>
      <c r="S492" s="241"/>
      <c r="T492" s="241"/>
      <c r="U492" s="241"/>
      <c r="V492" s="241"/>
      <c r="W492" s="241"/>
      <c r="X492" s="241"/>
      <c r="Y492" s="241"/>
      <c r="Z492" s="241"/>
    </row>
    <row r="493" spans="16:26">
      <c r="P493" s="246"/>
      <c r="Q493" s="246"/>
      <c r="R493" s="246"/>
      <c r="S493" s="246"/>
      <c r="T493" s="246"/>
      <c r="U493" s="246"/>
      <c r="V493" s="246"/>
      <c r="W493" s="246"/>
      <c r="X493" s="246"/>
      <c r="Y493" s="246"/>
      <c r="Z493" s="246"/>
    </row>
    <row r="494" spans="16:26">
      <c r="P494" s="246"/>
      <c r="Q494" s="246"/>
      <c r="R494" s="246"/>
      <c r="S494" s="246"/>
      <c r="T494" s="246"/>
      <c r="U494" s="246"/>
      <c r="V494" s="246"/>
      <c r="W494" s="246"/>
      <c r="X494" s="246"/>
      <c r="Y494" s="246"/>
      <c r="Z494" s="246"/>
    </row>
    <row r="495" spans="16:26">
      <c r="P495" s="241"/>
      <c r="Q495" s="241"/>
      <c r="R495" s="241"/>
      <c r="S495" s="241"/>
      <c r="T495" s="241"/>
      <c r="U495" s="241"/>
      <c r="V495" s="241"/>
      <c r="W495" s="241"/>
      <c r="X495" s="241"/>
      <c r="Y495" s="241"/>
      <c r="Z495" s="241"/>
    </row>
    <row r="496" spans="16:26">
      <c r="P496" s="246"/>
      <c r="Q496" s="246"/>
      <c r="R496" s="246"/>
      <c r="S496" s="246"/>
      <c r="T496" s="246"/>
      <c r="U496" s="246"/>
      <c r="V496" s="246"/>
      <c r="W496" s="246"/>
      <c r="X496" s="246"/>
      <c r="Y496" s="246"/>
      <c r="Z496" s="246"/>
    </row>
    <row r="497" spans="16:26">
      <c r="P497" s="246"/>
      <c r="Q497" s="246"/>
      <c r="R497" s="246"/>
      <c r="S497" s="246"/>
      <c r="T497" s="246"/>
      <c r="U497" s="246"/>
      <c r="V497" s="246"/>
      <c r="W497" s="246"/>
      <c r="X497" s="246"/>
      <c r="Y497" s="246"/>
      <c r="Z497" s="246"/>
    </row>
    <row r="498" spans="16:26">
      <c r="P498" s="241"/>
      <c r="Q498" s="241"/>
      <c r="R498" s="241"/>
      <c r="S498" s="241"/>
      <c r="T498" s="241"/>
      <c r="U498" s="241"/>
      <c r="V498" s="241"/>
      <c r="W498" s="241"/>
      <c r="X498" s="241"/>
      <c r="Y498" s="241"/>
      <c r="Z498" s="241"/>
    </row>
    <row r="499" spans="16:26">
      <c r="P499" s="246"/>
      <c r="Q499" s="246"/>
      <c r="R499" s="246"/>
      <c r="S499" s="246"/>
      <c r="T499" s="246"/>
      <c r="U499" s="246"/>
      <c r="V499" s="246"/>
      <c r="W499" s="246"/>
      <c r="X499" s="246"/>
      <c r="Y499" s="246"/>
      <c r="Z499" s="246"/>
    </row>
    <row r="500" spans="16:26">
      <c r="P500" s="246"/>
      <c r="Q500" s="246"/>
      <c r="R500" s="246"/>
      <c r="S500" s="246"/>
      <c r="T500" s="246"/>
      <c r="U500" s="246"/>
      <c r="V500" s="246"/>
      <c r="W500" s="246"/>
      <c r="X500" s="246"/>
      <c r="Y500" s="246"/>
      <c r="Z500" s="246"/>
    </row>
    <row r="501" spans="16:26">
      <c r="P501" s="241"/>
      <c r="Q501" s="241"/>
      <c r="R501" s="241"/>
      <c r="S501" s="241"/>
      <c r="T501" s="241"/>
      <c r="U501" s="241"/>
      <c r="V501" s="241"/>
      <c r="W501" s="241"/>
      <c r="X501" s="241"/>
      <c r="Y501" s="241"/>
      <c r="Z501" s="241"/>
    </row>
    <row r="502" spans="16:26">
      <c r="P502" s="246"/>
      <c r="Q502" s="246"/>
      <c r="R502" s="246"/>
      <c r="S502" s="246"/>
      <c r="T502" s="246"/>
      <c r="U502" s="246"/>
      <c r="V502" s="246"/>
      <c r="W502" s="246"/>
      <c r="X502" s="246"/>
      <c r="Y502" s="246"/>
      <c r="Z502" s="246"/>
    </row>
    <row r="503" spans="16:26">
      <c r="P503" s="246"/>
      <c r="Q503" s="246"/>
      <c r="R503" s="246"/>
      <c r="S503" s="246"/>
      <c r="T503" s="246"/>
      <c r="U503" s="246"/>
      <c r="V503" s="246"/>
      <c r="W503" s="246"/>
      <c r="X503" s="246"/>
      <c r="Y503" s="246"/>
      <c r="Z503" s="246"/>
    </row>
    <row r="504" spans="16:26">
      <c r="P504" s="241"/>
      <c r="Q504" s="241"/>
      <c r="R504" s="241"/>
      <c r="S504" s="241"/>
      <c r="T504" s="241"/>
      <c r="U504" s="241"/>
      <c r="V504" s="241"/>
      <c r="W504" s="241"/>
      <c r="X504" s="241"/>
      <c r="Y504" s="241"/>
      <c r="Z504" s="241"/>
    </row>
    <row r="505" spans="16:26">
      <c r="P505" s="246"/>
      <c r="Q505" s="246"/>
      <c r="R505" s="246"/>
      <c r="S505" s="246"/>
      <c r="T505" s="246"/>
      <c r="U505" s="246"/>
      <c r="V505" s="246"/>
      <c r="W505" s="246"/>
      <c r="X505" s="246"/>
      <c r="Y505" s="246"/>
      <c r="Z505" s="246"/>
    </row>
    <row r="506" spans="16:26">
      <c r="P506" s="246"/>
      <c r="Q506" s="246"/>
      <c r="R506" s="246"/>
      <c r="S506" s="246"/>
      <c r="T506" s="246"/>
      <c r="U506" s="246"/>
      <c r="V506" s="246"/>
      <c r="W506" s="246"/>
      <c r="X506" s="246"/>
      <c r="Y506" s="246"/>
      <c r="Z506" s="246"/>
    </row>
    <row r="507" spans="16:26">
      <c r="P507" s="241"/>
      <c r="Q507" s="241"/>
      <c r="R507" s="241"/>
      <c r="S507" s="241"/>
      <c r="T507" s="241"/>
      <c r="U507" s="241"/>
      <c r="V507" s="241"/>
      <c r="W507" s="241"/>
      <c r="X507" s="241"/>
      <c r="Y507" s="241"/>
      <c r="Z507" s="241"/>
    </row>
    <row r="508" spans="16:26">
      <c r="P508" s="246"/>
      <c r="Q508" s="246"/>
      <c r="R508" s="246"/>
      <c r="S508" s="246"/>
      <c r="T508" s="246"/>
      <c r="U508" s="246"/>
      <c r="V508" s="246"/>
      <c r="W508" s="246"/>
      <c r="X508" s="246"/>
      <c r="Y508" s="246"/>
      <c r="Z508" s="246"/>
    </row>
    <row r="509" spans="16:26">
      <c r="P509" s="246"/>
      <c r="Q509" s="246"/>
      <c r="R509" s="246"/>
      <c r="S509" s="246"/>
      <c r="T509" s="246"/>
      <c r="U509" s="246"/>
      <c r="V509" s="246"/>
      <c r="W509" s="246"/>
      <c r="X509" s="246"/>
      <c r="Y509" s="246"/>
      <c r="Z509" s="246"/>
    </row>
    <row r="510" spans="16:26">
      <c r="P510" s="241"/>
      <c r="Q510" s="241"/>
      <c r="R510" s="241"/>
      <c r="S510" s="241"/>
      <c r="T510" s="241"/>
      <c r="U510" s="241"/>
      <c r="V510" s="241"/>
      <c r="W510" s="241"/>
      <c r="X510" s="241"/>
      <c r="Y510" s="241"/>
      <c r="Z510" s="241"/>
    </row>
    <row r="511" spans="16:26">
      <c r="P511" s="246"/>
      <c r="Q511" s="246"/>
      <c r="R511" s="246"/>
      <c r="S511" s="246"/>
      <c r="T511" s="246"/>
      <c r="U511" s="246"/>
      <c r="V511" s="246"/>
      <c r="W511" s="246"/>
      <c r="X511" s="246"/>
      <c r="Y511" s="246"/>
      <c r="Z511" s="246"/>
    </row>
    <row r="512" spans="16:26">
      <c r="P512" s="246"/>
      <c r="Q512" s="246"/>
      <c r="R512" s="246"/>
      <c r="S512" s="246"/>
      <c r="T512" s="246"/>
      <c r="U512" s="246"/>
      <c r="V512" s="246"/>
      <c r="W512" s="246"/>
      <c r="X512" s="246"/>
      <c r="Y512" s="246"/>
      <c r="Z512" s="246"/>
    </row>
    <row r="513" spans="16:26">
      <c r="P513" s="241"/>
      <c r="Q513" s="241"/>
      <c r="R513" s="241"/>
      <c r="S513" s="241"/>
      <c r="T513" s="241"/>
      <c r="U513" s="241"/>
      <c r="V513" s="241"/>
      <c r="W513" s="241"/>
      <c r="X513" s="241"/>
      <c r="Y513" s="241"/>
      <c r="Z513" s="241"/>
    </row>
    <row r="514" spans="16:26">
      <c r="P514" s="246"/>
      <c r="Q514" s="246"/>
      <c r="R514" s="246"/>
      <c r="S514" s="246"/>
      <c r="T514" s="246"/>
      <c r="U514" s="246"/>
      <c r="V514" s="246"/>
      <c r="W514" s="246"/>
      <c r="X514" s="246"/>
      <c r="Y514" s="246"/>
      <c r="Z514" s="246"/>
    </row>
    <row r="515" spans="16:26">
      <c r="P515" s="246"/>
      <c r="Q515" s="246"/>
      <c r="R515" s="246"/>
      <c r="S515" s="246"/>
      <c r="T515" s="246"/>
      <c r="U515" s="246"/>
      <c r="V515" s="246"/>
      <c r="W515" s="246"/>
      <c r="X515" s="246"/>
      <c r="Y515" s="246"/>
      <c r="Z515" s="246"/>
    </row>
    <row r="516" spans="16:26">
      <c r="P516" s="241"/>
      <c r="Q516" s="241"/>
      <c r="R516" s="241"/>
      <c r="S516" s="241"/>
      <c r="T516" s="241"/>
      <c r="U516" s="241"/>
      <c r="V516" s="241"/>
      <c r="W516" s="241"/>
      <c r="X516" s="241"/>
      <c r="Y516" s="241"/>
      <c r="Z516" s="241"/>
    </row>
    <row r="517" spans="16:26">
      <c r="P517" s="246"/>
      <c r="Q517" s="246"/>
      <c r="R517" s="246"/>
      <c r="S517" s="246"/>
      <c r="T517" s="246"/>
      <c r="U517" s="246"/>
      <c r="V517" s="246"/>
      <c r="W517" s="246"/>
      <c r="X517" s="246"/>
      <c r="Y517" s="246"/>
      <c r="Z517" s="246"/>
    </row>
    <row r="518" spans="16:26">
      <c r="P518" s="246"/>
      <c r="Q518" s="246"/>
      <c r="R518" s="246"/>
      <c r="S518" s="246"/>
      <c r="T518" s="246"/>
      <c r="U518" s="246"/>
      <c r="V518" s="246"/>
      <c r="W518" s="246"/>
      <c r="X518" s="246"/>
      <c r="Y518" s="246"/>
      <c r="Z518" s="246"/>
    </row>
    <row r="519" spans="16:26">
      <c r="P519" s="241"/>
      <c r="Q519" s="241"/>
      <c r="R519" s="241"/>
      <c r="S519" s="241"/>
      <c r="T519" s="241"/>
      <c r="U519" s="241"/>
      <c r="V519" s="241"/>
      <c r="W519" s="241"/>
      <c r="X519" s="241"/>
      <c r="Y519" s="241"/>
      <c r="Z519" s="241"/>
    </row>
    <row r="520" spans="16:26">
      <c r="P520" s="246"/>
      <c r="Q520" s="246"/>
      <c r="R520" s="246"/>
      <c r="S520" s="246"/>
      <c r="T520" s="246"/>
      <c r="U520" s="246"/>
      <c r="V520" s="246"/>
      <c r="W520" s="246"/>
      <c r="X520" s="246"/>
      <c r="Y520" s="246"/>
      <c r="Z520" s="246"/>
    </row>
    <row r="521" spans="16:26">
      <c r="P521" s="246"/>
      <c r="Q521" s="246"/>
      <c r="R521" s="246"/>
      <c r="S521" s="246"/>
      <c r="T521" s="246"/>
      <c r="U521" s="246"/>
      <c r="V521" s="246"/>
      <c r="W521" s="246"/>
      <c r="X521" s="246"/>
      <c r="Y521" s="246"/>
      <c r="Z521" s="246"/>
    </row>
    <row r="522" spans="16:26">
      <c r="P522" s="241"/>
      <c r="Q522" s="241"/>
      <c r="R522" s="241"/>
      <c r="S522" s="241"/>
      <c r="T522" s="241"/>
      <c r="U522" s="241"/>
      <c r="V522" s="241"/>
      <c r="W522" s="241"/>
      <c r="X522" s="241"/>
      <c r="Y522" s="241"/>
      <c r="Z522" s="241"/>
    </row>
    <row r="523" spans="16:26">
      <c r="P523" s="246"/>
      <c r="Q523" s="246"/>
      <c r="R523" s="246"/>
      <c r="S523" s="246"/>
      <c r="T523" s="246"/>
      <c r="U523" s="246"/>
      <c r="V523" s="246"/>
      <c r="W523" s="246"/>
      <c r="X523" s="246"/>
      <c r="Y523" s="246"/>
      <c r="Z523" s="246"/>
    </row>
    <row r="524" spans="16:26">
      <c r="P524" s="246"/>
      <c r="Q524" s="246"/>
      <c r="R524" s="246"/>
      <c r="S524" s="246"/>
      <c r="T524" s="246"/>
      <c r="U524" s="246"/>
      <c r="V524" s="246"/>
      <c r="W524" s="246"/>
      <c r="X524" s="246"/>
      <c r="Y524" s="246"/>
      <c r="Z524" s="246"/>
    </row>
    <row r="525" spans="16:26">
      <c r="P525" s="241"/>
      <c r="Q525" s="241"/>
      <c r="R525" s="241"/>
      <c r="S525" s="241"/>
      <c r="T525" s="241"/>
      <c r="U525" s="241"/>
      <c r="V525" s="241"/>
      <c r="W525" s="241"/>
      <c r="X525" s="241"/>
      <c r="Y525" s="241"/>
      <c r="Z525" s="241"/>
    </row>
    <row r="526" spans="16:26">
      <c r="P526" s="246"/>
      <c r="Q526" s="246"/>
      <c r="R526" s="246"/>
      <c r="S526" s="246"/>
      <c r="T526" s="246"/>
      <c r="U526" s="246"/>
      <c r="V526" s="246"/>
      <c r="W526" s="246"/>
      <c r="X526" s="246"/>
      <c r="Y526" s="246"/>
      <c r="Z526" s="246"/>
    </row>
    <row r="527" spans="16:26">
      <c r="P527" s="246"/>
      <c r="Q527" s="246"/>
      <c r="R527" s="246"/>
      <c r="S527" s="246"/>
      <c r="T527" s="246"/>
      <c r="U527" s="246"/>
      <c r="V527" s="246"/>
      <c r="W527" s="246"/>
      <c r="X527" s="246"/>
      <c r="Y527" s="246"/>
      <c r="Z527" s="246"/>
    </row>
    <row r="528" spans="16:26">
      <c r="P528" s="241"/>
      <c r="Q528" s="241"/>
      <c r="R528" s="241"/>
      <c r="S528" s="241"/>
      <c r="T528" s="241"/>
      <c r="U528" s="241"/>
      <c r="V528" s="241"/>
      <c r="W528" s="241"/>
      <c r="X528" s="241"/>
      <c r="Y528" s="241"/>
      <c r="Z528" s="241"/>
    </row>
    <row r="529" spans="16:26">
      <c r="P529" s="246"/>
      <c r="Q529" s="246"/>
      <c r="R529" s="246"/>
      <c r="S529" s="246"/>
      <c r="T529" s="246"/>
      <c r="U529" s="246"/>
      <c r="V529" s="246"/>
      <c r="W529" s="246"/>
      <c r="X529" s="246"/>
      <c r="Y529" s="246"/>
      <c r="Z529" s="246"/>
    </row>
    <row r="530" spans="16:26">
      <c r="P530" s="246"/>
      <c r="Q530" s="246"/>
      <c r="R530" s="246"/>
      <c r="S530" s="246"/>
      <c r="T530" s="246"/>
      <c r="U530" s="246"/>
      <c r="V530" s="246"/>
      <c r="W530" s="246"/>
      <c r="X530" s="246"/>
      <c r="Y530" s="246"/>
      <c r="Z530" s="246"/>
    </row>
    <row r="531" spans="16:26">
      <c r="P531" s="241"/>
      <c r="Q531" s="241"/>
      <c r="R531" s="241"/>
      <c r="S531" s="241"/>
      <c r="T531" s="241"/>
      <c r="U531" s="241"/>
      <c r="V531" s="241"/>
      <c r="W531" s="241"/>
      <c r="X531" s="241"/>
      <c r="Y531" s="241"/>
      <c r="Z531" s="241"/>
    </row>
    <row r="532" spans="16:26">
      <c r="P532" s="246"/>
      <c r="Q532" s="246"/>
      <c r="R532" s="246"/>
      <c r="S532" s="246"/>
      <c r="T532" s="246"/>
      <c r="U532" s="246"/>
      <c r="V532" s="246"/>
      <c r="W532" s="246"/>
      <c r="X532" s="246"/>
      <c r="Y532" s="246"/>
      <c r="Z532" s="246"/>
    </row>
    <row r="533" spans="16:26">
      <c r="P533" s="246"/>
      <c r="Q533" s="246"/>
      <c r="R533" s="246"/>
      <c r="S533" s="246"/>
      <c r="T533" s="246"/>
      <c r="U533" s="246"/>
      <c r="V533" s="246"/>
      <c r="W533" s="246"/>
      <c r="X533" s="246"/>
      <c r="Y533" s="246"/>
      <c r="Z533" s="246"/>
    </row>
    <row r="534" spans="16:26">
      <c r="P534" s="241"/>
      <c r="Q534" s="241"/>
      <c r="R534" s="241"/>
      <c r="S534" s="241"/>
      <c r="T534" s="241"/>
      <c r="U534" s="241"/>
      <c r="V534" s="241"/>
      <c r="W534" s="241"/>
      <c r="X534" s="241"/>
      <c r="Y534" s="241"/>
      <c r="Z534" s="241"/>
    </row>
    <row r="535" spans="16:26">
      <c r="P535" s="246"/>
      <c r="Q535" s="246"/>
      <c r="R535" s="246"/>
      <c r="S535" s="246"/>
      <c r="T535" s="246"/>
      <c r="U535" s="246"/>
      <c r="V535" s="246"/>
      <c r="W535" s="246"/>
      <c r="X535" s="246"/>
      <c r="Y535" s="246"/>
      <c r="Z535" s="246"/>
    </row>
    <row r="536" spans="16:26">
      <c r="P536" s="246"/>
      <c r="Q536" s="246"/>
      <c r="R536" s="246"/>
      <c r="S536" s="246"/>
      <c r="T536" s="246"/>
      <c r="U536" s="246"/>
      <c r="V536" s="246"/>
      <c r="W536" s="246"/>
      <c r="X536" s="246"/>
      <c r="Y536" s="246"/>
      <c r="Z536" s="246"/>
    </row>
    <row r="537" spans="16:26">
      <c r="P537" s="241"/>
      <c r="Q537" s="241"/>
      <c r="R537" s="241"/>
      <c r="S537" s="241"/>
      <c r="T537" s="241"/>
      <c r="U537" s="241"/>
      <c r="V537" s="241"/>
      <c r="W537" s="241"/>
      <c r="X537" s="241"/>
      <c r="Y537" s="241"/>
      <c r="Z537" s="241"/>
    </row>
    <row r="538" spans="16:26">
      <c r="P538" s="246"/>
      <c r="Q538" s="246"/>
      <c r="R538" s="246"/>
      <c r="S538" s="246"/>
      <c r="T538" s="246"/>
      <c r="U538" s="246"/>
      <c r="V538" s="246"/>
      <c r="W538" s="246"/>
      <c r="X538" s="246"/>
      <c r="Y538" s="246"/>
      <c r="Z538" s="246"/>
    </row>
    <row r="539" spans="16:26">
      <c r="P539" s="246"/>
      <c r="Q539" s="246"/>
      <c r="R539" s="246"/>
      <c r="S539" s="246"/>
      <c r="T539" s="246"/>
      <c r="U539" s="246"/>
      <c r="V539" s="246"/>
      <c r="W539" s="246"/>
      <c r="X539" s="246"/>
      <c r="Y539" s="246"/>
      <c r="Z539" s="246"/>
    </row>
    <row r="540" spans="16:26">
      <c r="P540" s="241"/>
      <c r="Q540" s="241"/>
      <c r="R540" s="241"/>
      <c r="S540" s="241"/>
      <c r="T540" s="241"/>
      <c r="U540" s="241"/>
      <c r="V540" s="241"/>
      <c r="W540" s="241"/>
      <c r="X540" s="241"/>
      <c r="Y540" s="241"/>
      <c r="Z540" s="241"/>
    </row>
    <row r="541" spans="16:26">
      <c r="P541" s="246"/>
      <c r="Q541" s="246"/>
      <c r="R541" s="246"/>
      <c r="S541" s="246"/>
      <c r="T541" s="246"/>
      <c r="U541" s="246"/>
      <c r="V541" s="246"/>
      <c r="W541" s="246"/>
      <c r="X541" s="246"/>
      <c r="Y541" s="246"/>
      <c r="Z541" s="246"/>
    </row>
    <row r="542" spans="16:26">
      <c r="P542" s="246"/>
      <c r="Q542" s="246"/>
      <c r="R542" s="246"/>
      <c r="S542" s="246"/>
      <c r="T542" s="246"/>
      <c r="U542" s="246"/>
      <c r="V542" s="246"/>
      <c r="W542" s="246"/>
      <c r="X542" s="246"/>
      <c r="Y542" s="246"/>
      <c r="Z542" s="246"/>
    </row>
    <row r="543" spans="16:26">
      <c r="P543" s="241"/>
      <c r="Q543" s="241"/>
      <c r="R543" s="241"/>
      <c r="S543" s="241"/>
      <c r="T543" s="241"/>
      <c r="U543" s="241"/>
      <c r="V543" s="241"/>
      <c r="W543" s="241"/>
      <c r="X543" s="241"/>
      <c r="Y543" s="241"/>
      <c r="Z543" s="241"/>
    </row>
    <row r="544" spans="16:26">
      <c r="P544" s="246"/>
      <c r="Q544" s="246"/>
      <c r="R544" s="246"/>
      <c r="S544" s="246"/>
      <c r="T544" s="246"/>
      <c r="U544" s="246"/>
      <c r="V544" s="246"/>
      <c r="W544" s="246"/>
      <c r="X544" s="246"/>
      <c r="Y544" s="246"/>
      <c r="Z544" s="246"/>
    </row>
    <row r="545" spans="16:26">
      <c r="P545" s="246"/>
      <c r="Q545" s="246"/>
      <c r="R545" s="246"/>
      <c r="S545" s="246"/>
      <c r="T545" s="246"/>
      <c r="U545" s="246"/>
      <c r="V545" s="246"/>
      <c r="W545" s="246"/>
      <c r="X545" s="246"/>
      <c r="Y545" s="246"/>
      <c r="Z545" s="246"/>
    </row>
    <row r="546" spans="16:26">
      <c r="P546" s="241"/>
      <c r="Q546" s="241"/>
      <c r="R546" s="241"/>
      <c r="S546" s="241"/>
      <c r="T546" s="241"/>
      <c r="U546" s="241"/>
      <c r="V546" s="241"/>
      <c r="W546" s="241"/>
      <c r="X546" s="241"/>
      <c r="Y546" s="241"/>
      <c r="Z546" s="241"/>
    </row>
    <row r="547" spans="16:26">
      <c r="P547" s="246"/>
      <c r="Q547" s="246"/>
      <c r="R547" s="246"/>
      <c r="S547" s="246"/>
      <c r="T547" s="246"/>
      <c r="U547" s="246"/>
      <c r="V547" s="246"/>
      <c r="W547" s="246"/>
      <c r="X547" s="246"/>
      <c r="Y547" s="246"/>
      <c r="Z547" s="246"/>
    </row>
    <row r="548" spans="16:26">
      <c r="P548" s="246"/>
      <c r="Q548" s="246"/>
      <c r="R548" s="246"/>
      <c r="S548" s="246"/>
      <c r="T548" s="246"/>
      <c r="U548" s="246"/>
      <c r="V548" s="246"/>
      <c r="W548" s="246"/>
      <c r="X548" s="246"/>
      <c r="Y548" s="246"/>
      <c r="Z548" s="246"/>
    </row>
    <row r="549" spans="16:26">
      <c r="P549" s="241"/>
      <c r="Q549" s="241"/>
      <c r="R549" s="241"/>
      <c r="S549" s="241"/>
      <c r="T549" s="241"/>
      <c r="U549" s="241"/>
      <c r="V549" s="241"/>
      <c r="W549" s="241"/>
      <c r="X549" s="241"/>
      <c r="Y549" s="241"/>
      <c r="Z549" s="241"/>
    </row>
    <row r="550" spans="16:26">
      <c r="P550" s="246"/>
      <c r="Q550" s="246"/>
      <c r="R550" s="246"/>
      <c r="S550" s="246"/>
      <c r="T550" s="246"/>
      <c r="U550" s="246"/>
      <c r="V550" s="246"/>
      <c r="W550" s="246"/>
      <c r="X550" s="246"/>
      <c r="Y550" s="246"/>
      <c r="Z550" s="246"/>
    </row>
    <row r="551" spans="16:26">
      <c r="P551" s="246"/>
      <c r="Q551" s="246"/>
      <c r="R551" s="246"/>
      <c r="S551" s="246"/>
      <c r="T551" s="246"/>
      <c r="U551" s="246"/>
      <c r="V551" s="246"/>
      <c r="W551" s="246"/>
      <c r="X551" s="246"/>
      <c r="Y551" s="246"/>
      <c r="Z551" s="246"/>
    </row>
    <row r="552" spans="16:26">
      <c r="P552" s="241"/>
      <c r="Q552" s="241"/>
      <c r="R552" s="241"/>
      <c r="S552" s="241"/>
      <c r="T552" s="241"/>
      <c r="U552" s="241"/>
      <c r="V552" s="241"/>
      <c r="W552" s="241"/>
      <c r="X552" s="241"/>
      <c r="Y552" s="241"/>
      <c r="Z552" s="241"/>
    </row>
    <row r="553" spans="16:26">
      <c r="P553" s="246"/>
      <c r="Q553" s="246"/>
      <c r="R553" s="246"/>
      <c r="S553" s="246"/>
      <c r="T553" s="246"/>
      <c r="U553" s="246"/>
      <c r="V553" s="246"/>
      <c r="W553" s="246"/>
      <c r="X553" s="246"/>
      <c r="Y553" s="246"/>
      <c r="Z553" s="246"/>
    </row>
    <row r="554" spans="16:26">
      <c r="P554" s="246"/>
      <c r="Q554" s="246"/>
      <c r="R554" s="246"/>
      <c r="S554" s="246"/>
      <c r="T554" s="246"/>
      <c r="U554" s="246"/>
      <c r="V554" s="246"/>
      <c r="W554" s="246"/>
      <c r="X554" s="246"/>
      <c r="Y554" s="246"/>
      <c r="Z554" s="246"/>
    </row>
    <row r="555" spans="16:26">
      <c r="P555" s="241"/>
      <c r="Q555" s="241"/>
      <c r="R555" s="241"/>
      <c r="S555" s="241"/>
      <c r="T555" s="241"/>
      <c r="U555" s="241"/>
      <c r="V555" s="241"/>
      <c r="W555" s="241"/>
      <c r="X555" s="241"/>
      <c r="Y555" s="241"/>
      <c r="Z555" s="241"/>
    </row>
    <row r="556" spans="16:26">
      <c r="P556" s="246"/>
      <c r="Q556" s="246"/>
      <c r="R556" s="246"/>
      <c r="S556" s="246"/>
      <c r="T556" s="246"/>
      <c r="U556" s="246"/>
      <c r="V556" s="246"/>
      <c r="W556" s="246"/>
      <c r="X556" s="246"/>
      <c r="Y556" s="246"/>
      <c r="Z556" s="246"/>
    </row>
    <row r="557" spans="16:26">
      <c r="P557" s="246"/>
      <c r="Q557" s="246"/>
      <c r="R557" s="246"/>
      <c r="S557" s="246"/>
      <c r="T557" s="246"/>
      <c r="U557" s="246"/>
      <c r="V557" s="246"/>
      <c r="W557" s="246"/>
      <c r="X557" s="246"/>
      <c r="Y557" s="246"/>
      <c r="Z557" s="246"/>
    </row>
    <row r="558" spans="16:26">
      <c r="P558" s="241"/>
      <c r="Q558" s="241"/>
      <c r="R558" s="241"/>
      <c r="S558" s="241"/>
      <c r="T558" s="241"/>
      <c r="U558" s="241"/>
      <c r="V558" s="241"/>
      <c r="W558" s="241"/>
      <c r="X558" s="241"/>
      <c r="Y558" s="241"/>
      <c r="Z558" s="241"/>
    </row>
    <row r="559" spans="16:26">
      <c r="P559" s="246"/>
      <c r="Q559" s="246"/>
      <c r="R559" s="246"/>
      <c r="S559" s="246"/>
      <c r="T559" s="246"/>
      <c r="U559" s="246"/>
      <c r="V559" s="246"/>
      <c r="W559" s="246"/>
      <c r="X559" s="246"/>
      <c r="Y559" s="246"/>
      <c r="Z559" s="246"/>
    </row>
    <row r="560" spans="16:26">
      <c r="P560" s="246"/>
      <c r="Q560" s="246"/>
      <c r="R560" s="246"/>
      <c r="S560" s="246"/>
      <c r="T560" s="246"/>
      <c r="U560" s="246"/>
      <c r="V560" s="246"/>
      <c r="W560" s="246"/>
      <c r="X560" s="246"/>
      <c r="Y560" s="246"/>
      <c r="Z560" s="246"/>
    </row>
    <row r="561" spans="16:26">
      <c r="P561" s="241"/>
      <c r="Q561" s="241"/>
      <c r="R561" s="241"/>
      <c r="S561" s="241"/>
      <c r="T561" s="241"/>
      <c r="U561" s="241"/>
      <c r="V561" s="241"/>
      <c r="W561" s="241"/>
      <c r="X561" s="241"/>
      <c r="Y561" s="241"/>
      <c r="Z561" s="241"/>
    </row>
    <row r="562" spans="16:26">
      <c r="P562" s="246"/>
      <c r="Q562" s="246"/>
      <c r="R562" s="246"/>
      <c r="S562" s="246"/>
      <c r="T562" s="246"/>
      <c r="U562" s="246"/>
      <c r="V562" s="246"/>
      <c r="W562" s="246"/>
      <c r="X562" s="246"/>
      <c r="Y562" s="246"/>
      <c r="Z562" s="246"/>
    </row>
    <row r="563" spans="16:26">
      <c r="P563" s="246"/>
      <c r="Q563" s="246"/>
      <c r="R563" s="246"/>
      <c r="S563" s="246"/>
      <c r="T563" s="246"/>
      <c r="U563" s="246"/>
      <c r="V563" s="246"/>
      <c r="W563" s="246"/>
      <c r="X563" s="246"/>
      <c r="Y563" s="246"/>
      <c r="Z563" s="246"/>
    </row>
    <row r="564" spans="16:26">
      <c r="P564" s="241"/>
      <c r="Q564" s="241"/>
      <c r="R564" s="241"/>
      <c r="S564" s="241"/>
      <c r="T564" s="241"/>
      <c r="U564" s="241"/>
      <c r="V564" s="241"/>
      <c r="W564" s="241"/>
      <c r="X564" s="241"/>
      <c r="Y564" s="241"/>
      <c r="Z564" s="241"/>
    </row>
    <row r="565" spans="16:26">
      <c r="P565" s="246"/>
      <c r="Q565" s="246"/>
      <c r="R565" s="246"/>
      <c r="S565" s="246"/>
      <c r="T565" s="246"/>
      <c r="U565" s="246"/>
      <c r="V565" s="246"/>
      <c r="W565" s="246"/>
      <c r="X565" s="246"/>
      <c r="Y565" s="246"/>
      <c r="Z565" s="246"/>
    </row>
    <row r="566" spans="16:26">
      <c r="P566" s="246"/>
      <c r="Q566" s="246"/>
      <c r="R566" s="246"/>
      <c r="S566" s="246"/>
      <c r="T566" s="246"/>
      <c r="U566" s="246"/>
      <c r="V566" s="246"/>
      <c r="W566" s="246"/>
      <c r="X566" s="246"/>
      <c r="Y566" s="246"/>
      <c r="Z566" s="246"/>
    </row>
    <row r="567" spans="16:26">
      <c r="P567" s="241"/>
      <c r="Q567" s="241"/>
      <c r="R567" s="241"/>
      <c r="S567" s="241"/>
      <c r="T567" s="241"/>
      <c r="U567" s="241"/>
      <c r="V567" s="241"/>
      <c r="W567" s="241"/>
      <c r="X567" s="241"/>
      <c r="Y567" s="241"/>
      <c r="Z567" s="241"/>
    </row>
    <row r="568" spans="16:26">
      <c r="P568" s="246"/>
      <c r="Q568" s="246"/>
      <c r="R568" s="246"/>
      <c r="S568" s="246"/>
      <c r="T568" s="246"/>
      <c r="U568" s="246"/>
      <c r="V568" s="246"/>
      <c r="W568" s="246"/>
      <c r="X568" s="246"/>
      <c r="Y568" s="246"/>
      <c r="Z568" s="246"/>
    </row>
    <row r="569" spans="16:26">
      <c r="P569" s="246"/>
      <c r="Q569" s="246"/>
      <c r="R569" s="246"/>
      <c r="S569" s="246"/>
      <c r="T569" s="246"/>
      <c r="U569" s="246"/>
      <c r="V569" s="246"/>
      <c r="W569" s="246"/>
      <c r="X569" s="246"/>
      <c r="Y569" s="246"/>
      <c r="Z569" s="246"/>
    </row>
    <row r="570" spans="16:26">
      <c r="P570" s="241"/>
      <c r="Q570" s="241"/>
      <c r="R570" s="241"/>
      <c r="S570" s="241"/>
      <c r="T570" s="241"/>
      <c r="U570" s="241"/>
      <c r="V570" s="241"/>
      <c r="W570" s="241"/>
      <c r="X570" s="241"/>
      <c r="Y570" s="241"/>
      <c r="Z570" s="241"/>
    </row>
    <row r="571" spans="16:26">
      <c r="P571" s="246"/>
      <c r="Q571" s="246"/>
      <c r="R571" s="246"/>
      <c r="S571" s="246"/>
      <c r="T571" s="246"/>
      <c r="U571" s="246"/>
      <c r="V571" s="246"/>
      <c r="W571" s="246"/>
      <c r="X571" s="246"/>
      <c r="Y571" s="246"/>
      <c r="Z571" s="246"/>
    </row>
    <row r="572" spans="16:26">
      <c r="P572" s="246"/>
      <c r="Q572" s="246"/>
      <c r="R572" s="246"/>
      <c r="S572" s="246"/>
      <c r="T572" s="246"/>
      <c r="U572" s="246"/>
      <c r="V572" s="246"/>
      <c r="W572" s="246"/>
      <c r="X572" s="246"/>
      <c r="Y572" s="246"/>
      <c r="Z572" s="246"/>
    </row>
    <row r="573" spans="16:26">
      <c r="P573" s="241"/>
      <c r="Q573" s="241"/>
      <c r="R573" s="241"/>
      <c r="S573" s="241"/>
      <c r="T573" s="241"/>
      <c r="U573" s="241"/>
      <c r="V573" s="241"/>
      <c r="W573" s="241"/>
      <c r="X573" s="241"/>
      <c r="Y573" s="241"/>
      <c r="Z573" s="241"/>
    </row>
    <row r="574" spans="16:26">
      <c r="P574" s="246"/>
      <c r="Q574" s="246"/>
      <c r="R574" s="246"/>
      <c r="S574" s="246"/>
      <c r="T574" s="246"/>
      <c r="U574" s="246"/>
      <c r="V574" s="246"/>
      <c r="W574" s="246"/>
      <c r="X574" s="246"/>
      <c r="Y574" s="246"/>
      <c r="Z574" s="246"/>
    </row>
    <row r="575" spans="16:26">
      <c r="P575" s="246"/>
      <c r="Q575" s="246"/>
      <c r="R575" s="246"/>
      <c r="S575" s="246"/>
      <c r="T575" s="246"/>
      <c r="U575" s="246"/>
      <c r="V575" s="246"/>
      <c r="W575" s="246"/>
      <c r="X575" s="246"/>
      <c r="Y575" s="246"/>
      <c r="Z575" s="246"/>
    </row>
    <row r="576" spans="16:26">
      <c r="P576" s="241"/>
      <c r="Q576" s="241"/>
      <c r="R576" s="241"/>
      <c r="S576" s="241"/>
      <c r="T576" s="241"/>
      <c r="U576" s="241"/>
      <c r="V576" s="241"/>
      <c r="W576" s="241"/>
      <c r="X576" s="241"/>
      <c r="Y576" s="241"/>
      <c r="Z576" s="241"/>
    </row>
    <row r="577" spans="16:26">
      <c r="P577" s="246"/>
      <c r="Q577" s="246"/>
      <c r="R577" s="246"/>
      <c r="S577" s="246"/>
      <c r="T577" s="246"/>
      <c r="U577" s="246"/>
      <c r="V577" s="246"/>
      <c r="W577" s="246"/>
      <c r="X577" s="246"/>
      <c r="Y577" s="246"/>
      <c r="Z577" s="246"/>
    </row>
    <row r="578" spans="16:26">
      <c r="P578" s="246"/>
      <c r="Q578" s="246"/>
      <c r="R578" s="246"/>
      <c r="S578" s="246"/>
      <c r="T578" s="246"/>
      <c r="U578" s="246"/>
      <c r="V578" s="246"/>
      <c r="W578" s="246"/>
      <c r="X578" s="246"/>
      <c r="Y578" s="246"/>
      <c r="Z578" s="246"/>
    </row>
    <row r="579" spans="16:26">
      <c r="P579" s="241"/>
      <c r="Q579" s="241"/>
      <c r="R579" s="241"/>
      <c r="S579" s="241"/>
      <c r="T579" s="241"/>
      <c r="U579" s="241"/>
      <c r="V579" s="241"/>
      <c r="W579" s="241"/>
      <c r="X579" s="241"/>
      <c r="Y579" s="241"/>
      <c r="Z579" s="241"/>
    </row>
    <row r="580" spans="16:26">
      <c r="P580" s="246"/>
      <c r="Q580" s="246"/>
      <c r="R580" s="246"/>
      <c r="S580" s="246"/>
      <c r="T580" s="246"/>
      <c r="U580" s="246"/>
      <c r="V580" s="246"/>
      <c r="W580" s="246"/>
      <c r="X580" s="246"/>
      <c r="Y580" s="246"/>
      <c r="Z580" s="246"/>
    </row>
    <row r="581" spans="16:26">
      <c r="P581" s="246"/>
      <c r="Q581" s="246"/>
      <c r="R581" s="246"/>
      <c r="S581" s="246"/>
      <c r="T581" s="246"/>
      <c r="U581" s="246"/>
      <c r="V581" s="246"/>
      <c r="W581" s="246"/>
      <c r="X581" s="246"/>
      <c r="Y581" s="246"/>
      <c r="Z581" s="246"/>
    </row>
    <row r="582" spans="16:26">
      <c r="P582" s="241"/>
      <c r="Q582" s="241"/>
      <c r="R582" s="241"/>
      <c r="S582" s="241"/>
      <c r="T582" s="241"/>
      <c r="U582" s="241"/>
      <c r="V582" s="241"/>
      <c r="W582" s="241"/>
      <c r="X582" s="241"/>
      <c r="Y582" s="241"/>
      <c r="Z582" s="241"/>
    </row>
    <row r="583" spans="16:26">
      <c r="P583" s="246"/>
      <c r="Q583" s="246"/>
      <c r="R583" s="246"/>
      <c r="S583" s="246"/>
      <c r="T583" s="246"/>
      <c r="U583" s="246"/>
      <c r="V583" s="246"/>
      <c r="W583" s="246"/>
      <c r="X583" s="246"/>
      <c r="Y583" s="246"/>
      <c r="Z583" s="246"/>
    </row>
    <row r="584" spans="16:26">
      <c r="P584" s="246"/>
      <c r="Q584" s="246"/>
      <c r="R584" s="246"/>
      <c r="S584" s="246"/>
      <c r="T584" s="246"/>
      <c r="U584" s="246"/>
      <c r="V584" s="246"/>
      <c r="W584" s="246"/>
      <c r="X584" s="246"/>
      <c r="Y584" s="246"/>
      <c r="Z584" s="246"/>
    </row>
    <row r="585" spans="16:26">
      <c r="P585" s="241"/>
      <c r="Q585" s="241"/>
      <c r="R585" s="241"/>
      <c r="S585" s="241"/>
      <c r="T585" s="241"/>
      <c r="U585" s="241"/>
      <c r="V585" s="241"/>
      <c r="W585" s="241"/>
      <c r="X585" s="241"/>
      <c r="Y585" s="241"/>
      <c r="Z585" s="241"/>
    </row>
    <row r="586" spans="16:26">
      <c r="P586" s="246"/>
      <c r="Q586" s="246"/>
      <c r="R586" s="246"/>
      <c r="S586" s="246"/>
      <c r="T586" s="246"/>
      <c r="U586" s="246"/>
      <c r="V586" s="246"/>
      <c r="W586" s="246"/>
      <c r="X586" s="246"/>
      <c r="Y586" s="246"/>
      <c r="Z586" s="246"/>
    </row>
    <row r="587" spans="16:26">
      <c r="P587" s="246"/>
      <c r="Q587" s="246"/>
      <c r="R587" s="246"/>
      <c r="S587" s="246"/>
      <c r="T587" s="246"/>
      <c r="U587" s="246"/>
      <c r="V587" s="246"/>
      <c r="W587" s="246"/>
      <c r="X587" s="246"/>
      <c r="Y587" s="246"/>
      <c r="Z587" s="246"/>
    </row>
    <row r="588" spans="16:26">
      <c r="P588" s="241"/>
      <c r="Q588" s="241"/>
      <c r="R588" s="241"/>
      <c r="S588" s="241"/>
      <c r="T588" s="241"/>
      <c r="U588" s="241"/>
      <c r="V588" s="241"/>
      <c r="W588" s="241"/>
      <c r="X588" s="241"/>
      <c r="Y588" s="241"/>
      <c r="Z588" s="241"/>
    </row>
    <row r="589" spans="16:26">
      <c r="P589" s="246"/>
      <c r="Q589" s="246"/>
      <c r="R589" s="246"/>
      <c r="S589" s="246"/>
      <c r="T589" s="246"/>
      <c r="U589" s="246"/>
      <c r="V589" s="246"/>
      <c r="W589" s="246"/>
      <c r="X589" s="246"/>
      <c r="Y589" s="246"/>
      <c r="Z589" s="246"/>
    </row>
    <row r="590" spans="16:26">
      <c r="P590" s="246"/>
      <c r="Q590" s="246"/>
      <c r="R590" s="246"/>
      <c r="S590" s="246"/>
      <c r="T590" s="246"/>
      <c r="U590" s="246"/>
      <c r="V590" s="246"/>
      <c r="W590" s="246"/>
      <c r="X590" s="246"/>
      <c r="Y590" s="246"/>
      <c r="Z590" s="246"/>
    </row>
    <row r="591" spans="16:26">
      <c r="P591" s="241"/>
      <c r="Q591" s="241"/>
      <c r="R591" s="241"/>
      <c r="S591" s="241"/>
      <c r="T591" s="241"/>
      <c r="U591" s="241"/>
      <c r="V591" s="241"/>
      <c r="W591" s="241"/>
      <c r="X591" s="241"/>
      <c r="Y591" s="241"/>
      <c r="Z591" s="241"/>
    </row>
    <row r="592" spans="16:26">
      <c r="P592" s="246"/>
      <c r="Q592" s="246"/>
      <c r="R592" s="246"/>
      <c r="S592" s="246"/>
      <c r="T592" s="246"/>
      <c r="U592" s="246"/>
      <c r="V592" s="246"/>
      <c r="W592" s="246"/>
      <c r="X592" s="246"/>
      <c r="Y592" s="246"/>
      <c r="Z592" s="246"/>
    </row>
    <row r="593" spans="16:26">
      <c r="P593" s="246"/>
      <c r="Q593" s="246"/>
      <c r="R593" s="246"/>
      <c r="S593" s="246"/>
      <c r="T593" s="246"/>
      <c r="U593" s="246"/>
      <c r="V593" s="246"/>
      <c r="W593" s="246"/>
      <c r="X593" s="246"/>
      <c r="Y593" s="246"/>
      <c r="Z593" s="246"/>
    </row>
    <row r="594" spans="16:26">
      <c r="P594" s="241"/>
      <c r="Q594" s="241"/>
      <c r="R594" s="241"/>
      <c r="S594" s="241"/>
      <c r="T594" s="241"/>
      <c r="U594" s="241"/>
      <c r="V594" s="241"/>
      <c r="W594" s="241"/>
      <c r="X594" s="241"/>
      <c r="Y594" s="241"/>
      <c r="Z594" s="241"/>
    </row>
    <row r="595" spans="16:26">
      <c r="P595" s="246"/>
      <c r="Q595" s="246"/>
      <c r="R595" s="246"/>
      <c r="S595" s="246"/>
      <c r="T595" s="246"/>
      <c r="U595" s="246"/>
      <c r="V595" s="246"/>
      <c r="W595" s="246"/>
      <c r="X595" s="246"/>
      <c r="Y595" s="246"/>
      <c r="Z595" s="246"/>
    </row>
    <row r="596" spans="16:26">
      <c r="P596" s="246"/>
      <c r="Q596" s="246"/>
      <c r="R596" s="246"/>
      <c r="S596" s="246"/>
      <c r="T596" s="246"/>
      <c r="U596" s="246"/>
      <c r="V596" s="246"/>
      <c r="W596" s="246"/>
      <c r="X596" s="246"/>
      <c r="Y596" s="246"/>
      <c r="Z596" s="246"/>
    </row>
    <row r="597" spans="16:26">
      <c r="P597" s="241"/>
      <c r="Q597" s="241"/>
      <c r="R597" s="241"/>
      <c r="S597" s="241"/>
      <c r="T597" s="241"/>
      <c r="U597" s="241"/>
      <c r="V597" s="241"/>
      <c r="W597" s="241"/>
      <c r="X597" s="241"/>
      <c r="Y597" s="241"/>
      <c r="Z597" s="241"/>
    </row>
    <row r="598" spans="16:26">
      <c r="P598" s="246"/>
      <c r="Q598" s="246"/>
      <c r="R598" s="246"/>
      <c r="S598" s="246"/>
      <c r="T598" s="246"/>
      <c r="U598" s="246"/>
      <c r="V598" s="246"/>
      <c r="W598" s="246"/>
      <c r="X598" s="246"/>
      <c r="Y598" s="246"/>
      <c r="Z598" s="246"/>
    </row>
    <row r="599" spans="16:26">
      <c r="P599" s="246"/>
      <c r="Q599" s="246"/>
      <c r="R599" s="246"/>
      <c r="S599" s="246"/>
      <c r="T599" s="246"/>
      <c r="U599" s="246"/>
      <c r="V599" s="246"/>
      <c r="W599" s="246"/>
      <c r="X599" s="246"/>
      <c r="Y599" s="246"/>
      <c r="Z599" s="246"/>
    </row>
    <row r="600" spans="16:26">
      <c r="P600" s="241"/>
      <c r="Q600" s="241"/>
      <c r="R600" s="241"/>
      <c r="S600" s="241"/>
      <c r="T600" s="241"/>
      <c r="U600" s="241"/>
      <c r="V600" s="241"/>
      <c r="W600" s="241"/>
      <c r="X600" s="241"/>
      <c r="Y600" s="241"/>
      <c r="Z600" s="241"/>
    </row>
    <row r="601" spans="16:26">
      <c r="P601" s="246"/>
      <c r="Q601" s="246"/>
      <c r="R601" s="246"/>
      <c r="S601" s="246"/>
      <c r="T601" s="246"/>
      <c r="U601" s="246"/>
      <c r="V601" s="246"/>
      <c r="W601" s="246"/>
      <c r="X601" s="246"/>
      <c r="Y601" s="246"/>
      <c r="Z601" s="246"/>
    </row>
    <row r="602" spans="16:26">
      <c r="P602" s="246"/>
      <c r="Q602" s="246"/>
      <c r="R602" s="246"/>
      <c r="S602" s="246"/>
      <c r="T602" s="246"/>
      <c r="U602" s="246"/>
      <c r="V602" s="246"/>
      <c r="W602" s="246"/>
      <c r="X602" s="246"/>
      <c r="Y602" s="246"/>
      <c r="Z602" s="246"/>
    </row>
    <row r="603" spans="16:26">
      <c r="P603" s="241"/>
      <c r="Q603" s="241"/>
      <c r="R603" s="241"/>
      <c r="S603" s="241"/>
      <c r="T603" s="241"/>
      <c r="U603" s="241"/>
      <c r="V603" s="241"/>
      <c r="W603" s="241"/>
      <c r="X603" s="241"/>
      <c r="Y603" s="241"/>
      <c r="Z603" s="241"/>
    </row>
    <row r="604" spans="16:26">
      <c r="P604" s="246"/>
      <c r="Q604" s="246"/>
      <c r="R604" s="246"/>
      <c r="S604" s="246"/>
      <c r="T604" s="246"/>
      <c r="U604" s="246"/>
      <c r="V604" s="246"/>
      <c r="W604" s="246"/>
      <c r="X604" s="246"/>
      <c r="Y604" s="246"/>
      <c r="Z604" s="246"/>
    </row>
    <row r="605" spans="16:26">
      <c r="P605" s="246"/>
      <c r="Q605" s="246"/>
      <c r="R605" s="246"/>
      <c r="S605" s="246"/>
      <c r="T605" s="246"/>
      <c r="U605" s="246"/>
      <c r="V605" s="246"/>
      <c r="W605" s="246"/>
      <c r="X605" s="246"/>
      <c r="Y605" s="246"/>
      <c r="Z605" s="246"/>
    </row>
    <row r="606" spans="16:26">
      <c r="P606" s="241"/>
      <c r="Q606" s="241"/>
      <c r="R606" s="241"/>
      <c r="S606" s="241"/>
      <c r="T606" s="241"/>
      <c r="U606" s="241"/>
      <c r="V606" s="241"/>
      <c r="W606" s="241"/>
      <c r="X606" s="241"/>
      <c r="Y606" s="241"/>
      <c r="Z606" s="241"/>
    </row>
    <row r="607" spans="16:26">
      <c r="P607" s="246"/>
      <c r="Q607" s="246"/>
      <c r="R607" s="246"/>
      <c r="S607" s="246"/>
      <c r="T607" s="246"/>
      <c r="U607" s="246"/>
      <c r="V607" s="246"/>
      <c r="W607" s="246"/>
      <c r="X607" s="246"/>
      <c r="Y607" s="246"/>
      <c r="Z607" s="246"/>
    </row>
    <row r="608" spans="16:26">
      <c r="P608" s="246"/>
      <c r="Q608" s="246"/>
      <c r="R608" s="246"/>
      <c r="S608" s="246"/>
      <c r="T608" s="246"/>
      <c r="U608" s="246"/>
      <c r="V608" s="246"/>
      <c r="W608" s="246"/>
      <c r="X608" s="246"/>
      <c r="Y608" s="246"/>
      <c r="Z608" s="246"/>
    </row>
    <row r="609" spans="16:26">
      <c r="P609" s="241"/>
      <c r="Q609" s="241"/>
      <c r="R609" s="241"/>
      <c r="S609" s="241"/>
      <c r="T609" s="241"/>
      <c r="U609" s="241"/>
      <c r="V609" s="241"/>
      <c r="W609" s="241"/>
      <c r="X609" s="241"/>
      <c r="Y609" s="241"/>
      <c r="Z609" s="241"/>
    </row>
    <row r="610" spans="16:26">
      <c r="P610" s="246"/>
      <c r="Q610" s="246"/>
      <c r="R610" s="246"/>
      <c r="S610" s="246"/>
      <c r="T610" s="246"/>
      <c r="U610" s="246"/>
      <c r="V610" s="246"/>
      <c r="W610" s="246"/>
      <c r="X610" s="246"/>
      <c r="Y610" s="246"/>
      <c r="Z610" s="246"/>
    </row>
    <row r="611" spans="16:26">
      <c r="P611" s="246"/>
      <c r="Q611" s="246"/>
      <c r="R611" s="246"/>
      <c r="S611" s="246"/>
      <c r="T611" s="246"/>
      <c r="U611" s="246"/>
      <c r="V611" s="246"/>
      <c r="W611" s="246"/>
      <c r="X611" s="246"/>
      <c r="Y611" s="246"/>
      <c r="Z611" s="246"/>
    </row>
    <row r="612" spans="16:26">
      <c r="P612" s="241"/>
      <c r="Q612" s="241"/>
      <c r="R612" s="241"/>
      <c r="S612" s="241"/>
      <c r="T612" s="241"/>
      <c r="U612" s="241"/>
      <c r="V612" s="241"/>
      <c r="W612" s="241"/>
      <c r="X612" s="241"/>
      <c r="Y612" s="241"/>
      <c r="Z612" s="241"/>
    </row>
    <row r="613" spans="16:26">
      <c r="P613" s="246"/>
      <c r="Q613" s="246"/>
      <c r="R613" s="246"/>
      <c r="S613" s="246"/>
      <c r="T613" s="246"/>
      <c r="U613" s="246"/>
      <c r="V613" s="246"/>
      <c r="W613" s="246"/>
      <c r="X613" s="246"/>
      <c r="Y613" s="246"/>
      <c r="Z613" s="246"/>
    </row>
    <row r="614" spans="16:26">
      <c r="P614" s="246"/>
      <c r="Q614" s="246"/>
      <c r="R614" s="246"/>
      <c r="S614" s="246"/>
      <c r="T614" s="246"/>
      <c r="U614" s="246"/>
      <c r="V614" s="246"/>
      <c r="W614" s="246"/>
      <c r="X614" s="246"/>
      <c r="Y614" s="246"/>
      <c r="Z614" s="246"/>
    </row>
    <row r="615" spans="16:26">
      <c r="P615" s="241"/>
      <c r="Q615" s="241"/>
      <c r="R615" s="241"/>
      <c r="S615" s="241"/>
      <c r="T615" s="241"/>
      <c r="U615" s="241"/>
      <c r="V615" s="241"/>
      <c r="W615" s="241"/>
      <c r="X615" s="241"/>
      <c r="Y615" s="241"/>
      <c r="Z615" s="241"/>
    </row>
    <row r="616" spans="16:26">
      <c r="P616" s="246"/>
      <c r="Q616" s="246"/>
      <c r="R616" s="246"/>
      <c r="S616" s="246"/>
      <c r="T616" s="246"/>
      <c r="U616" s="246"/>
      <c r="V616" s="246"/>
      <c r="W616" s="246"/>
      <c r="X616" s="246"/>
      <c r="Y616" s="246"/>
      <c r="Z616" s="246"/>
    </row>
    <row r="617" spans="16:26">
      <c r="P617" s="246"/>
      <c r="Q617" s="246"/>
      <c r="R617" s="246"/>
      <c r="S617" s="246"/>
      <c r="T617" s="246"/>
      <c r="U617" s="246"/>
      <c r="V617" s="246"/>
      <c r="W617" s="246"/>
      <c r="X617" s="246"/>
      <c r="Y617" s="246"/>
      <c r="Z617" s="246"/>
    </row>
    <row r="618" spans="16:26">
      <c r="P618" s="241"/>
      <c r="Q618" s="241"/>
      <c r="R618" s="241"/>
      <c r="S618" s="241"/>
      <c r="T618" s="241"/>
      <c r="U618" s="241"/>
      <c r="V618" s="241"/>
      <c r="W618" s="241"/>
      <c r="X618" s="241"/>
      <c r="Y618" s="241"/>
      <c r="Z618" s="241"/>
    </row>
    <row r="619" spans="16:26">
      <c r="P619" s="246"/>
      <c r="Q619" s="246"/>
      <c r="R619" s="246"/>
      <c r="S619" s="246"/>
      <c r="T619" s="246"/>
      <c r="U619" s="246"/>
      <c r="V619" s="246"/>
      <c r="W619" s="246"/>
      <c r="X619" s="246"/>
      <c r="Y619" s="246"/>
      <c r="Z619" s="246"/>
    </row>
    <row r="620" spans="16:26">
      <c r="P620" s="246"/>
      <c r="Q620" s="246"/>
      <c r="R620" s="246"/>
      <c r="S620" s="246"/>
      <c r="T620" s="246"/>
      <c r="U620" s="246"/>
      <c r="V620" s="246"/>
      <c r="W620" s="246"/>
      <c r="X620" s="246"/>
      <c r="Y620" s="246"/>
      <c r="Z620" s="246"/>
    </row>
    <row r="621" spans="16:26">
      <c r="P621" s="241"/>
      <c r="Q621" s="241"/>
      <c r="R621" s="241"/>
      <c r="S621" s="241"/>
      <c r="T621" s="241"/>
      <c r="U621" s="241"/>
      <c r="V621" s="241"/>
      <c r="W621" s="241"/>
      <c r="X621" s="241"/>
      <c r="Y621" s="241"/>
      <c r="Z621" s="241"/>
    </row>
    <row r="622" spans="16:26">
      <c r="P622" s="246"/>
      <c r="Q622" s="246"/>
      <c r="R622" s="246"/>
      <c r="S622" s="246"/>
      <c r="T622" s="246"/>
      <c r="U622" s="246"/>
      <c r="V622" s="246"/>
      <c r="W622" s="246"/>
      <c r="X622" s="246"/>
      <c r="Y622" s="246"/>
      <c r="Z622" s="246"/>
    </row>
    <row r="623" spans="16:26">
      <c r="P623" s="246"/>
      <c r="Q623" s="246"/>
      <c r="R623" s="246"/>
      <c r="S623" s="246"/>
      <c r="T623" s="246"/>
      <c r="U623" s="246"/>
      <c r="V623" s="246"/>
      <c r="W623" s="246"/>
      <c r="X623" s="246"/>
      <c r="Y623" s="246"/>
      <c r="Z623" s="246"/>
    </row>
    <row r="624" spans="16:26">
      <c r="P624" s="241"/>
      <c r="Q624" s="241"/>
      <c r="R624" s="241"/>
      <c r="S624" s="241"/>
      <c r="T624" s="241"/>
      <c r="U624" s="241"/>
      <c r="V624" s="241"/>
      <c r="W624" s="241"/>
      <c r="X624" s="241"/>
      <c r="Y624" s="241"/>
      <c r="Z624" s="241"/>
    </row>
    <row r="625" spans="16:26">
      <c r="P625" s="246"/>
      <c r="Q625" s="246"/>
      <c r="R625" s="246"/>
      <c r="S625" s="246"/>
      <c r="T625" s="246"/>
      <c r="U625" s="246"/>
      <c r="V625" s="246"/>
      <c r="W625" s="246"/>
      <c r="X625" s="246"/>
      <c r="Y625" s="246"/>
      <c r="Z625" s="246"/>
    </row>
    <row r="626" spans="16:26">
      <c r="P626" s="246"/>
      <c r="Q626" s="246"/>
      <c r="R626" s="246"/>
      <c r="S626" s="246"/>
      <c r="T626" s="246"/>
      <c r="U626" s="246"/>
      <c r="V626" s="246"/>
      <c r="W626" s="246"/>
      <c r="X626" s="246"/>
      <c r="Y626" s="246"/>
      <c r="Z626" s="246"/>
    </row>
    <row r="627" spans="16:26">
      <c r="P627" s="241"/>
      <c r="Q627" s="241"/>
      <c r="R627" s="241"/>
      <c r="S627" s="241"/>
      <c r="T627" s="241"/>
      <c r="U627" s="241"/>
      <c r="V627" s="241"/>
      <c r="W627" s="241"/>
      <c r="X627" s="241"/>
      <c r="Y627" s="241"/>
      <c r="Z627" s="241"/>
    </row>
    <row r="628" spans="16:26">
      <c r="P628" s="246"/>
      <c r="Q628" s="246"/>
      <c r="R628" s="246"/>
      <c r="S628" s="246"/>
      <c r="T628" s="246"/>
      <c r="U628" s="246"/>
      <c r="V628" s="246"/>
      <c r="W628" s="246"/>
      <c r="X628" s="246"/>
      <c r="Y628" s="246"/>
      <c r="Z628" s="246"/>
    </row>
    <row r="629" spans="16:26">
      <c r="P629" s="246"/>
      <c r="Q629" s="246"/>
      <c r="R629" s="246"/>
      <c r="S629" s="246"/>
      <c r="T629" s="246"/>
      <c r="U629" s="246"/>
      <c r="V629" s="246"/>
      <c r="W629" s="246"/>
      <c r="X629" s="246"/>
      <c r="Y629" s="246"/>
      <c r="Z629" s="246"/>
    </row>
    <row r="630" spans="16:26">
      <c r="P630" s="241"/>
      <c r="Q630" s="241"/>
      <c r="R630" s="241"/>
      <c r="S630" s="241"/>
      <c r="T630" s="241"/>
      <c r="U630" s="241"/>
      <c r="V630" s="241"/>
      <c r="W630" s="241"/>
      <c r="X630" s="241"/>
      <c r="Y630" s="241"/>
      <c r="Z630" s="241"/>
    </row>
    <row r="631" spans="16:26">
      <c r="P631" s="246"/>
      <c r="Q631" s="246"/>
      <c r="R631" s="246"/>
      <c r="S631" s="246"/>
      <c r="T631" s="246"/>
      <c r="U631" s="246"/>
      <c r="V631" s="246"/>
      <c r="W631" s="246"/>
      <c r="X631" s="246"/>
      <c r="Y631" s="246"/>
      <c r="Z631" s="246"/>
    </row>
    <row r="632" spans="16:26">
      <c r="P632" s="246"/>
      <c r="Q632" s="246"/>
      <c r="R632" s="246"/>
      <c r="S632" s="246"/>
      <c r="T632" s="246"/>
      <c r="U632" s="246"/>
      <c r="V632" s="246"/>
      <c r="W632" s="246"/>
      <c r="X632" s="246"/>
      <c r="Y632" s="246"/>
      <c r="Z632" s="246"/>
    </row>
    <row r="633" spans="16:26">
      <c r="P633" s="241"/>
      <c r="Q633" s="241"/>
      <c r="R633" s="241"/>
      <c r="S633" s="241"/>
      <c r="T633" s="241"/>
      <c r="U633" s="241"/>
      <c r="V633" s="241"/>
      <c r="W633" s="241"/>
      <c r="X633" s="241"/>
      <c r="Y633" s="241"/>
      <c r="Z633" s="241"/>
    </row>
    <row r="634" spans="16:26">
      <c r="P634" s="246"/>
      <c r="Q634" s="246"/>
      <c r="R634" s="246"/>
      <c r="S634" s="246"/>
      <c r="T634" s="246"/>
      <c r="U634" s="246"/>
      <c r="V634" s="246"/>
      <c r="W634" s="246"/>
      <c r="X634" s="246"/>
      <c r="Y634" s="246"/>
      <c r="Z634" s="246"/>
    </row>
    <row r="635" spans="16:26">
      <c r="P635" s="246"/>
      <c r="Q635" s="246"/>
      <c r="R635" s="246"/>
      <c r="S635" s="246"/>
      <c r="T635" s="246"/>
      <c r="U635" s="246"/>
      <c r="V635" s="246"/>
      <c r="W635" s="246"/>
      <c r="X635" s="246"/>
      <c r="Y635" s="246"/>
      <c r="Z635" s="246"/>
    </row>
    <row r="636" spans="16:26">
      <c r="P636" s="241"/>
      <c r="Q636" s="241"/>
      <c r="R636" s="241"/>
      <c r="S636" s="241"/>
      <c r="T636" s="241"/>
      <c r="U636" s="241"/>
      <c r="V636" s="241"/>
      <c r="W636" s="241"/>
      <c r="X636" s="241"/>
      <c r="Y636" s="241"/>
      <c r="Z636" s="241"/>
    </row>
    <row r="637" spans="16:26">
      <c r="P637" s="246"/>
      <c r="Q637" s="246"/>
      <c r="R637" s="246"/>
      <c r="S637" s="246"/>
      <c r="T637" s="246"/>
      <c r="U637" s="246"/>
      <c r="V637" s="246"/>
      <c r="W637" s="246"/>
      <c r="X637" s="246"/>
      <c r="Y637" s="246"/>
      <c r="Z637" s="246"/>
    </row>
    <row r="638" spans="16:26">
      <c r="P638" s="246"/>
      <c r="Q638" s="246"/>
      <c r="R638" s="246"/>
      <c r="S638" s="246"/>
      <c r="T638" s="246"/>
      <c r="U638" s="246"/>
      <c r="V638" s="246"/>
      <c r="W638" s="246"/>
      <c r="X638" s="246"/>
      <c r="Y638" s="246"/>
      <c r="Z638" s="246"/>
    </row>
    <row r="639" spans="16:26">
      <c r="P639" s="241"/>
      <c r="Q639" s="241"/>
      <c r="R639" s="241"/>
      <c r="S639" s="241"/>
      <c r="T639" s="241"/>
      <c r="U639" s="241"/>
      <c r="V639" s="241"/>
      <c r="W639" s="241"/>
      <c r="X639" s="241"/>
      <c r="Y639" s="241"/>
      <c r="Z639" s="241"/>
    </row>
    <row r="640" spans="16:26">
      <c r="P640" s="246"/>
      <c r="Q640" s="246"/>
      <c r="R640" s="246"/>
      <c r="S640" s="246"/>
      <c r="T640" s="246"/>
      <c r="U640" s="246"/>
      <c r="V640" s="246"/>
      <c r="W640" s="246"/>
      <c r="X640" s="246"/>
      <c r="Y640" s="246"/>
      <c r="Z640" s="246"/>
    </row>
    <row r="641" spans="16:26">
      <c r="P641" s="246"/>
      <c r="Q641" s="246"/>
      <c r="R641" s="246"/>
      <c r="S641" s="246"/>
      <c r="T641" s="246"/>
      <c r="U641" s="246"/>
      <c r="V641" s="246"/>
      <c r="W641" s="246"/>
      <c r="X641" s="246"/>
      <c r="Y641" s="246"/>
      <c r="Z641" s="246"/>
    </row>
    <row r="642" spans="16:26">
      <c r="P642" s="241"/>
      <c r="Q642" s="241"/>
      <c r="R642" s="241"/>
      <c r="S642" s="241"/>
      <c r="T642" s="241"/>
      <c r="U642" s="241"/>
      <c r="V642" s="241"/>
      <c r="W642" s="241"/>
      <c r="X642" s="241"/>
      <c r="Y642" s="241"/>
      <c r="Z642" s="241"/>
    </row>
    <row r="643" spans="16:26">
      <c r="P643" s="241"/>
      <c r="Q643" s="241"/>
      <c r="R643" s="241"/>
      <c r="S643" s="241"/>
      <c r="T643" s="241"/>
      <c r="U643" s="241"/>
      <c r="V643" s="241"/>
      <c r="W643" s="241"/>
      <c r="X643" s="241"/>
      <c r="Y643" s="241"/>
      <c r="Z643" s="241"/>
    </row>
    <row r="644" spans="16:26">
      <c r="P644" s="241"/>
      <c r="Q644" s="241"/>
      <c r="R644" s="241"/>
      <c r="S644" s="241"/>
      <c r="T644" s="241"/>
      <c r="U644" s="241"/>
      <c r="V644" s="241"/>
      <c r="W644" s="241"/>
      <c r="X644" s="241"/>
      <c r="Y644" s="241"/>
      <c r="Z644" s="241"/>
    </row>
    <row r="645" spans="16:26">
      <c r="P645" s="241"/>
      <c r="Q645" s="241"/>
      <c r="R645" s="241"/>
      <c r="S645" s="241"/>
      <c r="T645" s="241"/>
      <c r="U645" s="241"/>
      <c r="V645" s="241"/>
      <c r="W645" s="241"/>
      <c r="X645" s="241"/>
      <c r="Y645" s="241"/>
      <c r="Z645" s="241"/>
    </row>
    <row r="646" spans="16:26">
      <c r="P646" s="241"/>
      <c r="Q646" s="241"/>
      <c r="R646" s="241"/>
      <c r="S646" s="241"/>
      <c r="T646" s="241"/>
      <c r="U646" s="241"/>
      <c r="V646" s="241"/>
      <c r="W646" s="241"/>
      <c r="X646" s="241"/>
      <c r="Y646" s="241"/>
      <c r="Z646" s="241"/>
    </row>
    <row r="647" spans="16:26">
      <c r="P647" s="241"/>
      <c r="Q647" s="241"/>
      <c r="R647" s="241"/>
      <c r="S647" s="241"/>
      <c r="T647" s="241"/>
      <c r="U647" s="241"/>
      <c r="V647" s="241"/>
      <c r="W647" s="241"/>
      <c r="X647" s="241"/>
      <c r="Y647" s="241"/>
      <c r="Z647" s="241"/>
    </row>
    <row r="648" spans="16:26">
      <c r="P648" s="241"/>
      <c r="Q648" s="241"/>
      <c r="R648" s="241"/>
      <c r="S648" s="241"/>
      <c r="T648" s="241"/>
      <c r="U648" s="241"/>
      <c r="V648" s="241"/>
      <c r="W648" s="241"/>
      <c r="X648" s="241"/>
      <c r="Y648" s="241"/>
      <c r="Z648" s="241"/>
    </row>
    <row r="649" spans="16:26">
      <c r="P649" s="241"/>
      <c r="Q649" s="241"/>
      <c r="R649" s="241"/>
      <c r="S649" s="241"/>
      <c r="T649" s="241"/>
      <c r="U649" s="241"/>
      <c r="V649" s="241"/>
      <c r="W649" s="241"/>
      <c r="X649" s="241"/>
      <c r="Y649" s="241"/>
      <c r="Z649" s="241"/>
    </row>
    <row r="650" spans="16:26">
      <c r="P650" s="241"/>
      <c r="Q650" s="241"/>
      <c r="R650" s="241"/>
      <c r="S650" s="241"/>
      <c r="T650" s="241"/>
      <c r="U650" s="241"/>
      <c r="V650" s="241"/>
      <c r="W650" s="241"/>
      <c r="X650" s="241"/>
      <c r="Y650" s="241"/>
      <c r="Z650" s="241"/>
    </row>
    <row r="651" spans="16:26">
      <c r="P651" s="241"/>
      <c r="Q651" s="241"/>
      <c r="R651" s="241"/>
      <c r="S651" s="241"/>
      <c r="T651" s="241"/>
      <c r="U651" s="241"/>
      <c r="V651" s="241"/>
      <c r="W651" s="241"/>
      <c r="X651" s="241"/>
      <c r="Y651" s="241"/>
      <c r="Z651" s="241"/>
    </row>
    <row r="652" spans="16:26">
      <c r="P652" s="241"/>
      <c r="Q652" s="241"/>
      <c r="R652" s="241"/>
      <c r="S652" s="241"/>
      <c r="T652" s="241"/>
      <c r="U652" s="241"/>
      <c r="V652" s="241"/>
      <c r="W652" s="241"/>
      <c r="X652" s="241"/>
      <c r="Y652" s="241"/>
      <c r="Z652" s="241"/>
    </row>
    <row r="653" spans="16:26">
      <c r="P653" s="241"/>
      <c r="Q653" s="241"/>
      <c r="R653" s="241"/>
      <c r="S653" s="241"/>
      <c r="T653" s="241"/>
      <c r="U653" s="241"/>
      <c r="V653" s="241"/>
      <c r="W653" s="241"/>
      <c r="X653" s="241"/>
      <c r="Y653" s="241"/>
      <c r="Z653" s="241"/>
    </row>
    <row r="654" spans="16:26">
      <c r="P654" s="241"/>
      <c r="Q654" s="241"/>
      <c r="R654" s="241"/>
      <c r="S654" s="241"/>
      <c r="T654" s="241"/>
      <c r="U654" s="241"/>
      <c r="V654" s="241"/>
      <c r="W654" s="241"/>
      <c r="X654" s="241"/>
      <c r="Y654" s="241"/>
      <c r="Z654" s="241"/>
    </row>
    <row r="655" spans="16:26">
      <c r="P655" s="241"/>
      <c r="Q655" s="241"/>
      <c r="R655" s="241"/>
      <c r="S655" s="241"/>
      <c r="T655" s="241"/>
      <c r="U655" s="241"/>
      <c r="V655" s="241"/>
      <c r="W655" s="241"/>
      <c r="X655" s="241"/>
      <c r="Y655" s="241"/>
      <c r="Z655" s="241"/>
    </row>
    <row r="656" spans="16:26">
      <c r="P656" s="241"/>
      <c r="Q656" s="241"/>
      <c r="R656" s="241"/>
      <c r="S656" s="241"/>
      <c r="T656" s="241"/>
      <c r="U656" s="241"/>
      <c r="V656" s="241"/>
      <c r="W656" s="241"/>
      <c r="X656" s="241"/>
      <c r="Y656" s="241"/>
      <c r="Z656" s="241"/>
    </row>
    <row r="657" spans="16:26">
      <c r="P657" s="241"/>
      <c r="Q657" s="241"/>
      <c r="R657" s="241"/>
      <c r="S657" s="241"/>
      <c r="T657" s="241"/>
      <c r="U657" s="241"/>
      <c r="V657" s="241"/>
      <c r="W657" s="241"/>
      <c r="X657" s="241"/>
      <c r="Y657" s="241"/>
      <c r="Z657" s="241"/>
    </row>
    <row r="658" spans="16:26">
      <c r="P658" s="241"/>
      <c r="Q658" s="241"/>
      <c r="R658" s="241"/>
      <c r="S658" s="241"/>
      <c r="T658" s="241"/>
      <c r="U658" s="241"/>
      <c r="V658" s="241"/>
      <c r="W658" s="241"/>
      <c r="X658" s="241"/>
      <c r="Y658" s="241"/>
      <c r="Z658" s="241"/>
    </row>
    <row r="659" spans="16:26">
      <c r="P659" s="241"/>
      <c r="Q659" s="241"/>
      <c r="R659" s="241"/>
      <c r="S659" s="241"/>
      <c r="T659" s="241"/>
      <c r="U659" s="241"/>
      <c r="V659" s="241"/>
      <c r="W659" s="241"/>
      <c r="X659" s="241"/>
      <c r="Y659" s="241"/>
      <c r="Z659" s="241"/>
    </row>
    <row r="660" spans="16:26">
      <c r="P660" s="241"/>
      <c r="Q660" s="241"/>
      <c r="R660" s="241"/>
      <c r="S660" s="241"/>
      <c r="T660" s="241"/>
      <c r="U660" s="241"/>
      <c r="V660" s="241"/>
      <c r="W660" s="241"/>
      <c r="X660" s="241"/>
      <c r="Y660" s="241"/>
      <c r="Z660" s="241"/>
    </row>
    <row r="661" spans="16:26">
      <c r="P661" s="241"/>
      <c r="Q661" s="241"/>
      <c r="R661" s="241"/>
      <c r="S661" s="241"/>
      <c r="T661" s="241"/>
      <c r="U661" s="241"/>
      <c r="V661" s="241"/>
      <c r="W661" s="241"/>
      <c r="X661" s="241"/>
      <c r="Y661" s="241"/>
      <c r="Z661" s="241"/>
    </row>
    <row r="662" spans="16:26">
      <c r="P662" s="241"/>
      <c r="Q662" s="241"/>
      <c r="R662" s="241"/>
      <c r="S662" s="241"/>
      <c r="T662" s="241"/>
      <c r="U662" s="241"/>
      <c r="V662" s="241"/>
      <c r="W662" s="241"/>
      <c r="X662" s="241"/>
      <c r="Y662" s="241"/>
      <c r="Z662" s="241"/>
    </row>
    <row r="663" spans="16:26">
      <c r="P663" s="241"/>
      <c r="Q663" s="241"/>
      <c r="R663" s="241"/>
      <c r="S663" s="241"/>
      <c r="T663" s="241"/>
      <c r="U663" s="241"/>
      <c r="V663" s="241"/>
      <c r="W663" s="241"/>
      <c r="X663" s="241"/>
      <c r="Y663" s="241"/>
      <c r="Z663" s="241"/>
    </row>
    <row r="664" spans="16:26">
      <c r="P664" s="241"/>
      <c r="Q664" s="241"/>
      <c r="R664" s="241"/>
      <c r="S664" s="241"/>
      <c r="T664" s="241"/>
      <c r="U664" s="241"/>
      <c r="V664" s="241"/>
      <c r="W664" s="241"/>
      <c r="X664" s="241"/>
      <c r="Y664" s="241"/>
      <c r="Z664" s="241"/>
    </row>
    <row r="665" spans="16:26">
      <c r="P665" s="241"/>
      <c r="Q665" s="241"/>
      <c r="R665" s="241"/>
      <c r="S665" s="241"/>
      <c r="T665" s="241"/>
      <c r="U665" s="241"/>
      <c r="V665" s="241"/>
      <c r="W665" s="241"/>
      <c r="X665" s="241"/>
      <c r="Y665" s="241"/>
      <c r="Z665" s="241"/>
    </row>
    <row r="666" spans="16:26">
      <c r="P666" s="241"/>
      <c r="Q666" s="241"/>
      <c r="R666" s="241"/>
      <c r="S666" s="241"/>
      <c r="T666" s="241"/>
      <c r="U666" s="241"/>
      <c r="V666" s="241"/>
      <c r="W666" s="241"/>
      <c r="X666" s="241"/>
      <c r="Y666" s="241"/>
      <c r="Z666" s="241"/>
    </row>
    <row r="667" spans="16:26">
      <c r="P667" s="241"/>
      <c r="Q667" s="241"/>
      <c r="R667" s="241"/>
      <c r="S667" s="241"/>
      <c r="T667" s="241"/>
      <c r="U667" s="241"/>
      <c r="V667" s="241"/>
      <c r="W667" s="241"/>
      <c r="X667" s="241"/>
      <c r="Y667" s="241"/>
      <c r="Z667" s="241"/>
    </row>
    <row r="668" spans="16:26">
      <c r="P668" s="241"/>
      <c r="Q668" s="241"/>
      <c r="R668" s="241"/>
      <c r="S668" s="241"/>
      <c r="T668" s="241"/>
      <c r="U668" s="241"/>
      <c r="V668" s="241"/>
      <c r="W668" s="241"/>
      <c r="X668" s="241"/>
      <c r="Y668" s="241"/>
      <c r="Z668" s="241"/>
    </row>
    <row r="669" spans="16:26">
      <c r="P669" s="241"/>
      <c r="Q669" s="241"/>
      <c r="R669" s="241"/>
      <c r="S669" s="241"/>
      <c r="T669" s="241"/>
      <c r="U669" s="241"/>
      <c r="V669" s="241"/>
      <c r="W669" s="241"/>
      <c r="X669" s="241"/>
      <c r="Y669" s="241"/>
      <c r="Z669" s="241"/>
    </row>
    <row r="670" spans="16:26">
      <c r="P670" s="241"/>
      <c r="Q670" s="241"/>
      <c r="R670" s="241"/>
      <c r="S670" s="241"/>
      <c r="T670" s="241"/>
      <c r="U670" s="241"/>
      <c r="V670" s="241"/>
      <c r="W670" s="241"/>
      <c r="X670" s="241"/>
      <c r="Y670" s="241"/>
      <c r="Z670" s="241"/>
    </row>
    <row r="671" spans="16:26">
      <c r="P671" s="241"/>
      <c r="Q671" s="241"/>
      <c r="R671" s="241"/>
      <c r="S671" s="241"/>
      <c r="T671" s="241"/>
      <c r="U671" s="241"/>
      <c r="V671" s="241"/>
      <c r="W671" s="241"/>
      <c r="X671" s="241"/>
      <c r="Y671" s="241"/>
      <c r="Z671" s="241"/>
    </row>
    <row r="672" spans="16:26">
      <c r="P672" s="241"/>
      <c r="Q672" s="241"/>
      <c r="R672" s="241"/>
      <c r="S672" s="241"/>
      <c r="T672" s="241"/>
      <c r="U672" s="241"/>
      <c r="V672" s="241"/>
      <c r="W672" s="241"/>
      <c r="X672" s="241"/>
      <c r="Y672" s="241"/>
      <c r="Z672" s="241"/>
    </row>
    <row r="673" spans="16:26">
      <c r="P673" s="241"/>
      <c r="Q673" s="241"/>
      <c r="R673" s="241"/>
      <c r="S673" s="241"/>
      <c r="T673" s="241"/>
      <c r="U673" s="241"/>
      <c r="V673" s="241"/>
      <c r="W673" s="241"/>
      <c r="X673" s="241"/>
      <c r="Y673" s="241"/>
      <c r="Z673" s="241"/>
    </row>
    <row r="674" spans="16:26">
      <c r="P674" s="241"/>
      <c r="Q674" s="241"/>
      <c r="R674" s="241"/>
      <c r="S674" s="241"/>
      <c r="T674" s="241"/>
      <c r="U674" s="241"/>
      <c r="V674" s="241"/>
      <c r="W674" s="241"/>
      <c r="X674" s="241"/>
      <c r="Y674" s="241"/>
      <c r="Z674" s="241"/>
    </row>
    <row r="675" spans="16:26">
      <c r="P675" s="241"/>
      <c r="Q675" s="241"/>
      <c r="R675" s="241"/>
      <c r="S675" s="241"/>
      <c r="T675" s="241"/>
      <c r="U675" s="241"/>
      <c r="V675" s="241"/>
      <c r="W675" s="241"/>
      <c r="X675" s="241"/>
      <c r="Y675" s="241"/>
      <c r="Z675" s="241"/>
    </row>
    <row r="676" spans="16:26">
      <c r="P676" s="241"/>
      <c r="Q676" s="241"/>
      <c r="R676" s="241"/>
      <c r="S676" s="241"/>
      <c r="T676" s="241"/>
      <c r="U676" s="241"/>
      <c r="V676" s="241"/>
      <c r="W676" s="241"/>
      <c r="X676" s="241"/>
      <c r="Y676" s="241"/>
      <c r="Z676" s="241"/>
    </row>
    <row r="677" spans="16:26">
      <c r="P677" s="241"/>
      <c r="Q677" s="241"/>
      <c r="R677" s="241"/>
      <c r="S677" s="241"/>
      <c r="T677" s="241"/>
      <c r="U677" s="241"/>
      <c r="V677" s="241"/>
      <c r="W677" s="241"/>
      <c r="X677" s="241"/>
      <c r="Y677" s="241"/>
      <c r="Z677" s="241"/>
    </row>
    <row r="678" spans="16:26">
      <c r="P678" s="241"/>
      <c r="Q678" s="241"/>
      <c r="R678" s="241"/>
      <c r="S678" s="241"/>
      <c r="T678" s="241"/>
      <c r="U678" s="241"/>
      <c r="V678" s="241"/>
      <c r="W678" s="241"/>
      <c r="X678" s="241"/>
      <c r="Y678" s="241"/>
      <c r="Z678" s="241"/>
    </row>
    <row r="679" spans="16:26">
      <c r="P679" s="241"/>
      <c r="Q679" s="241"/>
      <c r="R679" s="241"/>
      <c r="S679" s="241"/>
      <c r="T679" s="241"/>
      <c r="U679" s="241"/>
      <c r="V679" s="241"/>
      <c r="W679" s="241"/>
      <c r="X679" s="241"/>
      <c r="Y679" s="241"/>
      <c r="Z679" s="241"/>
    </row>
    <row r="680" spans="16:26">
      <c r="P680" s="241"/>
      <c r="Q680" s="241"/>
      <c r="R680" s="241"/>
      <c r="S680" s="241"/>
      <c r="T680" s="241"/>
      <c r="U680" s="241"/>
      <c r="V680" s="241"/>
      <c r="W680" s="241"/>
      <c r="X680" s="241"/>
      <c r="Y680" s="241"/>
      <c r="Z680" s="241"/>
    </row>
    <row r="681" spans="16:26">
      <c r="P681" s="241"/>
      <c r="Q681" s="241"/>
      <c r="R681" s="241"/>
      <c r="S681" s="241"/>
      <c r="T681" s="241"/>
      <c r="U681" s="241"/>
      <c r="V681" s="241"/>
      <c r="W681" s="241"/>
      <c r="X681" s="241"/>
      <c r="Y681" s="241"/>
      <c r="Z681" s="241"/>
    </row>
    <row r="682" spans="16:26">
      <c r="P682" s="241"/>
      <c r="Q682" s="241"/>
      <c r="R682" s="241"/>
      <c r="S682" s="241"/>
      <c r="T682" s="241"/>
      <c r="U682" s="241"/>
      <c r="V682" s="241"/>
      <c r="W682" s="241"/>
      <c r="X682" s="241"/>
      <c r="Y682" s="241"/>
      <c r="Z682" s="241"/>
    </row>
    <row r="683" spans="16:26">
      <c r="P683" s="241"/>
      <c r="Q683" s="241"/>
      <c r="R683" s="241"/>
      <c r="S683" s="241"/>
      <c r="T683" s="241"/>
      <c r="U683" s="241"/>
      <c r="V683" s="241"/>
      <c r="W683" s="241"/>
      <c r="X683" s="241"/>
      <c r="Y683" s="241"/>
      <c r="Z683" s="241"/>
    </row>
    <row r="684" spans="16:26">
      <c r="P684" s="241"/>
      <c r="Q684" s="241"/>
      <c r="R684" s="241"/>
      <c r="S684" s="241"/>
      <c r="T684" s="241"/>
      <c r="U684" s="241"/>
      <c r="V684" s="241"/>
      <c r="W684" s="241"/>
      <c r="X684" s="241"/>
      <c r="Y684" s="241"/>
      <c r="Z684" s="241"/>
    </row>
    <row r="685" spans="16:26">
      <c r="P685" s="241"/>
      <c r="Q685" s="241"/>
      <c r="R685" s="241"/>
      <c r="S685" s="241"/>
      <c r="T685" s="241"/>
      <c r="U685" s="241"/>
      <c r="V685" s="241"/>
      <c r="W685" s="241"/>
      <c r="X685" s="241"/>
      <c r="Y685" s="241"/>
      <c r="Z685" s="241"/>
    </row>
    <row r="686" spans="16:26">
      <c r="P686" s="241"/>
      <c r="Q686" s="241"/>
      <c r="R686" s="241"/>
      <c r="S686" s="241"/>
      <c r="T686" s="241"/>
      <c r="U686" s="241"/>
      <c r="V686" s="241"/>
      <c r="W686" s="241"/>
      <c r="X686" s="241"/>
      <c r="Y686" s="241"/>
      <c r="Z686" s="241"/>
    </row>
    <row r="687" spans="16:26">
      <c r="P687" s="241"/>
      <c r="Q687" s="241"/>
      <c r="R687" s="241"/>
      <c r="S687" s="241"/>
      <c r="T687" s="241"/>
      <c r="U687" s="241"/>
      <c r="V687" s="241"/>
      <c r="W687" s="241"/>
      <c r="X687" s="241"/>
      <c r="Y687" s="241"/>
      <c r="Z687" s="241"/>
    </row>
    <row r="688" spans="16:26">
      <c r="P688" s="241"/>
      <c r="Q688" s="241"/>
      <c r="R688" s="241"/>
      <c r="S688" s="241"/>
      <c r="T688" s="241"/>
      <c r="U688" s="241"/>
      <c r="V688" s="241"/>
      <c r="W688" s="241"/>
      <c r="X688" s="241"/>
      <c r="Y688" s="241"/>
      <c r="Z688" s="241"/>
    </row>
    <row r="689" spans="16:26">
      <c r="P689" s="241"/>
      <c r="Q689" s="241"/>
      <c r="R689" s="241"/>
      <c r="S689" s="241"/>
      <c r="T689" s="241"/>
      <c r="U689" s="241"/>
      <c r="V689" s="241"/>
      <c r="W689" s="241"/>
      <c r="X689" s="241"/>
      <c r="Y689" s="241"/>
      <c r="Z689" s="241"/>
    </row>
    <row r="690" spans="16:26">
      <c r="P690" s="241"/>
      <c r="Q690" s="241"/>
      <c r="R690" s="241"/>
      <c r="S690" s="241"/>
      <c r="T690" s="241"/>
      <c r="U690" s="241"/>
      <c r="V690" s="241"/>
      <c r="W690" s="241"/>
      <c r="X690" s="241"/>
      <c r="Y690" s="241"/>
      <c r="Z690" s="241"/>
    </row>
    <row r="691" spans="16:26">
      <c r="P691" s="241"/>
      <c r="Q691" s="241"/>
      <c r="R691" s="241"/>
      <c r="S691" s="241"/>
      <c r="T691" s="241"/>
      <c r="U691" s="241"/>
      <c r="V691" s="241"/>
      <c r="W691" s="241"/>
      <c r="X691" s="241"/>
      <c r="Y691" s="241"/>
      <c r="Z691" s="241"/>
    </row>
    <row r="692" spans="16:26">
      <c r="P692" s="241"/>
      <c r="Q692" s="241"/>
      <c r="R692" s="241"/>
      <c r="S692" s="241"/>
      <c r="T692" s="241"/>
      <c r="U692" s="241"/>
      <c r="V692" s="241"/>
      <c r="W692" s="241"/>
      <c r="X692" s="241"/>
      <c r="Y692" s="241"/>
      <c r="Z692" s="241"/>
    </row>
    <row r="693" spans="16:26">
      <c r="P693" s="241"/>
      <c r="Q693" s="241"/>
      <c r="R693" s="241"/>
      <c r="S693" s="241"/>
      <c r="T693" s="241"/>
      <c r="U693" s="241"/>
      <c r="V693" s="241"/>
      <c r="W693" s="241"/>
      <c r="X693" s="241"/>
      <c r="Y693" s="241"/>
      <c r="Z693" s="241"/>
    </row>
    <row r="694" spans="16:26">
      <c r="P694" s="241"/>
      <c r="Q694" s="241"/>
      <c r="R694" s="241"/>
      <c r="S694" s="241"/>
      <c r="T694" s="241"/>
      <c r="U694" s="241"/>
      <c r="V694" s="241"/>
      <c r="W694" s="241"/>
      <c r="X694" s="241"/>
      <c r="Y694" s="241"/>
      <c r="Z694" s="241"/>
    </row>
    <row r="695" spans="16:26">
      <c r="P695" s="241"/>
      <c r="Q695" s="241"/>
      <c r="R695" s="241"/>
      <c r="S695" s="241"/>
      <c r="T695" s="241"/>
      <c r="U695" s="241"/>
      <c r="V695" s="241"/>
      <c r="W695" s="241"/>
      <c r="X695" s="241"/>
      <c r="Y695" s="241"/>
      <c r="Z695" s="241"/>
    </row>
    <row r="696" spans="16:26">
      <c r="P696" s="241"/>
      <c r="Q696" s="241"/>
      <c r="R696" s="241"/>
      <c r="S696" s="241"/>
      <c r="T696" s="241"/>
      <c r="U696" s="241"/>
      <c r="V696" s="241"/>
      <c r="W696" s="241"/>
      <c r="X696" s="241"/>
      <c r="Y696" s="241"/>
      <c r="Z696" s="241"/>
    </row>
    <row r="697" spans="16:26">
      <c r="P697" s="241"/>
      <c r="Q697" s="241"/>
      <c r="R697" s="241"/>
      <c r="S697" s="241"/>
      <c r="T697" s="241"/>
      <c r="U697" s="241"/>
      <c r="V697" s="241"/>
      <c r="W697" s="241"/>
      <c r="X697" s="241"/>
      <c r="Y697" s="241"/>
      <c r="Z697" s="241"/>
    </row>
    <row r="698" spans="16:26">
      <c r="P698" s="241"/>
      <c r="Q698" s="241"/>
      <c r="R698" s="241"/>
      <c r="S698" s="241"/>
      <c r="T698" s="241"/>
      <c r="U698" s="241"/>
      <c r="V698" s="241"/>
      <c r="W698" s="241"/>
      <c r="X698" s="241"/>
      <c r="Y698" s="241"/>
      <c r="Z698" s="241"/>
    </row>
    <row r="699" spans="16:26">
      <c r="P699" s="241"/>
      <c r="Q699" s="241"/>
      <c r="R699" s="241"/>
      <c r="S699" s="241"/>
      <c r="T699" s="241"/>
      <c r="U699" s="241"/>
      <c r="V699" s="241"/>
      <c r="W699" s="241"/>
      <c r="X699" s="241"/>
      <c r="Y699" s="241"/>
      <c r="Z699" s="241"/>
    </row>
    <row r="700" spans="16:26">
      <c r="P700" s="241"/>
      <c r="Q700" s="241"/>
      <c r="R700" s="241"/>
      <c r="S700" s="241"/>
      <c r="T700" s="241"/>
      <c r="U700" s="241"/>
      <c r="V700" s="241"/>
      <c r="W700" s="241"/>
      <c r="X700" s="241"/>
      <c r="Y700" s="241"/>
      <c r="Z700" s="241"/>
    </row>
    <row r="701" spans="16:26">
      <c r="P701" s="241"/>
      <c r="Q701" s="241"/>
      <c r="R701" s="241"/>
      <c r="S701" s="241"/>
      <c r="T701" s="241"/>
      <c r="U701" s="241"/>
      <c r="V701" s="241"/>
      <c r="W701" s="241"/>
      <c r="X701" s="241"/>
      <c r="Y701" s="241"/>
      <c r="Z701" s="241"/>
    </row>
    <row r="702" spans="16:26">
      <c r="P702" s="241"/>
      <c r="Q702" s="241"/>
      <c r="R702" s="241"/>
      <c r="S702" s="241"/>
      <c r="T702" s="241"/>
      <c r="U702" s="241"/>
      <c r="V702" s="241"/>
      <c r="W702" s="241"/>
      <c r="X702" s="241"/>
      <c r="Y702" s="241"/>
      <c r="Z702" s="241"/>
    </row>
    <row r="703" spans="16:26">
      <c r="P703" s="241"/>
      <c r="Q703" s="241"/>
      <c r="R703" s="241"/>
      <c r="S703" s="241"/>
      <c r="T703" s="241"/>
      <c r="U703" s="241"/>
      <c r="V703" s="241"/>
      <c r="W703" s="241"/>
      <c r="X703" s="241"/>
      <c r="Y703" s="241"/>
      <c r="Z703" s="241"/>
    </row>
    <row r="704" spans="16:26">
      <c r="P704" s="241"/>
      <c r="Q704" s="241"/>
      <c r="R704" s="241"/>
      <c r="S704" s="241"/>
      <c r="T704" s="241"/>
      <c r="U704" s="241"/>
      <c r="V704" s="241"/>
      <c r="W704" s="241"/>
      <c r="X704" s="241"/>
      <c r="Y704" s="241"/>
      <c r="Z704" s="241"/>
    </row>
    <row r="705" spans="16:26">
      <c r="P705" s="241"/>
      <c r="Q705" s="241"/>
      <c r="R705" s="241"/>
      <c r="S705" s="241"/>
      <c r="T705" s="241"/>
      <c r="U705" s="241"/>
      <c r="V705" s="241"/>
      <c r="W705" s="241"/>
      <c r="X705" s="241"/>
      <c r="Y705" s="241"/>
      <c r="Z705" s="241"/>
    </row>
    <row r="706" spans="16:26">
      <c r="P706" s="241"/>
      <c r="Q706" s="241"/>
      <c r="R706" s="241"/>
      <c r="S706" s="241"/>
      <c r="T706" s="241"/>
      <c r="U706" s="241"/>
      <c r="V706" s="241"/>
      <c r="W706" s="241"/>
      <c r="X706" s="241"/>
      <c r="Y706" s="241"/>
      <c r="Z706" s="241"/>
    </row>
    <row r="707" spans="16:26">
      <c r="P707" s="241"/>
      <c r="Q707" s="241"/>
      <c r="R707" s="241"/>
      <c r="S707" s="241"/>
      <c r="T707" s="241"/>
      <c r="U707" s="241"/>
      <c r="V707" s="241"/>
      <c r="W707" s="241"/>
      <c r="X707" s="241"/>
      <c r="Y707" s="241"/>
      <c r="Z707" s="241"/>
    </row>
    <row r="708" spans="16:26">
      <c r="P708" s="241"/>
      <c r="Q708" s="241"/>
      <c r="R708" s="241"/>
      <c r="S708" s="241"/>
      <c r="T708" s="241"/>
      <c r="U708" s="241"/>
      <c r="V708" s="241"/>
      <c r="W708" s="241"/>
      <c r="X708" s="241"/>
      <c r="Y708" s="241"/>
      <c r="Z708" s="241"/>
    </row>
    <row r="709" spans="16:26">
      <c r="P709" s="241"/>
      <c r="Q709" s="241"/>
      <c r="R709" s="241"/>
      <c r="S709" s="241"/>
      <c r="T709" s="241"/>
      <c r="U709" s="241"/>
      <c r="V709" s="241"/>
      <c r="W709" s="241"/>
      <c r="X709" s="241"/>
      <c r="Y709" s="241"/>
      <c r="Z709" s="241"/>
    </row>
    <row r="710" spans="16:26">
      <c r="P710" s="241"/>
      <c r="Q710" s="241"/>
      <c r="R710" s="241"/>
      <c r="S710" s="241"/>
      <c r="T710" s="241"/>
      <c r="U710" s="241"/>
      <c r="V710" s="241"/>
      <c r="W710" s="241"/>
      <c r="X710" s="241"/>
      <c r="Y710" s="241"/>
      <c r="Z710" s="241"/>
    </row>
    <row r="711" spans="16:26">
      <c r="P711" s="241"/>
      <c r="Q711" s="241"/>
      <c r="R711" s="241"/>
      <c r="S711" s="241"/>
      <c r="T711" s="241"/>
      <c r="U711" s="241"/>
      <c r="V711" s="241"/>
      <c r="W711" s="241"/>
      <c r="X711" s="241"/>
      <c r="Y711" s="241"/>
      <c r="Z711" s="241"/>
    </row>
    <row r="712" spans="16:26">
      <c r="P712" s="241"/>
      <c r="Q712" s="241"/>
      <c r="R712" s="241"/>
      <c r="S712" s="241"/>
      <c r="T712" s="241"/>
      <c r="U712" s="241"/>
      <c r="V712" s="241"/>
      <c r="W712" s="241"/>
      <c r="X712" s="241"/>
      <c r="Y712" s="241"/>
      <c r="Z712" s="241"/>
    </row>
    <row r="713" spans="16:26">
      <c r="P713" s="241"/>
      <c r="Q713" s="241"/>
      <c r="R713" s="241"/>
      <c r="S713" s="241"/>
      <c r="T713" s="241"/>
      <c r="U713" s="241"/>
      <c r="V713" s="241"/>
      <c r="W713" s="241"/>
      <c r="X713" s="241"/>
      <c r="Y713" s="241"/>
      <c r="Z713" s="241"/>
    </row>
    <row r="714" spans="16:26">
      <c r="P714" s="241"/>
      <c r="Q714" s="241"/>
      <c r="R714" s="241"/>
      <c r="S714" s="241"/>
      <c r="T714" s="241"/>
      <c r="U714" s="241"/>
      <c r="V714" s="241"/>
      <c r="W714" s="241"/>
      <c r="X714" s="241"/>
      <c r="Y714" s="241"/>
      <c r="Z714" s="241"/>
    </row>
    <row r="715" spans="16:26">
      <c r="P715" s="241"/>
      <c r="Q715" s="241"/>
      <c r="R715" s="241"/>
      <c r="S715" s="241"/>
      <c r="T715" s="241"/>
      <c r="U715" s="241"/>
      <c r="V715" s="241"/>
      <c r="W715" s="241"/>
      <c r="X715" s="241"/>
      <c r="Y715" s="241"/>
      <c r="Z715" s="241"/>
    </row>
    <row r="716" spans="16:26">
      <c r="P716" s="241"/>
      <c r="Q716" s="241"/>
      <c r="R716" s="241"/>
      <c r="S716" s="241"/>
      <c r="T716" s="241"/>
      <c r="U716" s="241"/>
      <c r="V716" s="241"/>
      <c r="W716" s="241"/>
      <c r="X716" s="241"/>
      <c r="Y716" s="241"/>
      <c r="Z716" s="241"/>
    </row>
    <row r="717" spans="16:26">
      <c r="P717" s="241"/>
      <c r="Q717" s="241"/>
      <c r="R717" s="241"/>
      <c r="S717" s="241"/>
      <c r="T717" s="241"/>
      <c r="U717" s="241"/>
      <c r="V717" s="241"/>
      <c r="W717" s="241"/>
      <c r="X717" s="241"/>
      <c r="Y717" s="241"/>
      <c r="Z717" s="241"/>
    </row>
    <row r="718" spans="16:26">
      <c r="P718" s="241"/>
      <c r="Q718" s="241"/>
      <c r="R718" s="241"/>
      <c r="S718" s="241"/>
      <c r="T718" s="241"/>
      <c r="U718" s="241"/>
      <c r="V718" s="241"/>
      <c r="W718" s="241"/>
      <c r="X718" s="241"/>
      <c r="Y718" s="241"/>
      <c r="Z718" s="241"/>
    </row>
    <row r="719" spans="16:26">
      <c r="P719" s="241"/>
      <c r="Q719" s="241"/>
      <c r="R719" s="241"/>
      <c r="S719" s="241"/>
      <c r="T719" s="241"/>
      <c r="U719" s="241"/>
      <c r="V719" s="241"/>
      <c r="W719" s="241"/>
      <c r="X719" s="241"/>
      <c r="Y719" s="241"/>
      <c r="Z719" s="241"/>
    </row>
    <row r="720" spans="16:26">
      <c r="P720" s="241"/>
      <c r="Q720" s="241"/>
      <c r="R720" s="241"/>
      <c r="S720" s="241"/>
      <c r="T720" s="241"/>
      <c r="U720" s="241"/>
      <c r="V720" s="241"/>
      <c r="W720" s="241"/>
      <c r="X720" s="241"/>
      <c r="Y720" s="241"/>
      <c r="Z720" s="241"/>
    </row>
    <row r="721" spans="16:26">
      <c r="P721" s="241"/>
      <c r="Q721" s="241"/>
      <c r="R721" s="241"/>
      <c r="S721" s="241"/>
      <c r="T721" s="241"/>
      <c r="U721" s="241"/>
      <c r="V721" s="241"/>
      <c r="W721" s="241"/>
      <c r="X721" s="241"/>
      <c r="Y721" s="241"/>
      <c r="Z721" s="241"/>
    </row>
    <row r="722" spans="16:26">
      <c r="P722" s="241"/>
      <c r="Q722" s="241"/>
      <c r="R722" s="241"/>
      <c r="S722" s="241"/>
      <c r="T722" s="241"/>
      <c r="U722" s="241"/>
      <c r="V722" s="241"/>
      <c r="W722" s="241"/>
      <c r="X722" s="241"/>
      <c r="Y722" s="241"/>
      <c r="Z722" s="241"/>
    </row>
    <row r="723" spans="16:26">
      <c r="P723" s="241"/>
      <c r="Q723" s="241"/>
      <c r="R723" s="241"/>
      <c r="S723" s="241"/>
      <c r="T723" s="241"/>
      <c r="U723" s="241"/>
      <c r="V723" s="241"/>
      <c r="W723" s="241"/>
      <c r="X723" s="241"/>
      <c r="Y723" s="241"/>
      <c r="Z723" s="241"/>
    </row>
    <row r="724" spans="16:26">
      <c r="P724" s="241"/>
      <c r="Q724" s="241"/>
      <c r="R724" s="241"/>
      <c r="S724" s="241"/>
      <c r="T724" s="241"/>
      <c r="U724" s="241"/>
      <c r="V724" s="241"/>
      <c r="W724" s="241"/>
      <c r="X724" s="241"/>
      <c r="Y724" s="241"/>
      <c r="Z724" s="241"/>
    </row>
    <row r="725" spans="16:26">
      <c r="P725" s="241"/>
      <c r="Q725" s="241"/>
      <c r="R725" s="241"/>
      <c r="S725" s="241"/>
      <c r="T725" s="241"/>
      <c r="U725" s="241"/>
      <c r="V725" s="241"/>
      <c r="W725" s="241"/>
      <c r="X725" s="241"/>
      <c r="Y725" s="241"/>
      <c r="Z725" s="241"/>
    </row>
    <row r="726" spans="16:26">
      <c r="P726" s="241"/>
      <c r="Q726" s="241"/>
      <c r="R726" s="241"/>
      <c r="S726" s="241"/>
      <c r="T726" s="241"/>
      <c r="U726" s="241"/>
      <c r="V726" s="241"/>
      <c r="W726" s="241"/>
      <c r="X726" s="241"/>
      <c r="Y726" s="241"/>
      <c r="Z726" s="241"/>
    </row>
    <row r="727" spans="16:26">
      <c r="P727" s="241"/>
      <c r="Q727" s="241"/>
      <c r="R727" s="241"/>
      <c r="S727" s="241"/>
      <c r="T727" s="241"/>
      <c r="U727" s="241"/>
      <c r="V727" s="241"/>
      <c r="W727" s="241"/>
      <c r="X727" s="241"/>
      <c r="Y727" s="241"/>
      <c r="Z727" s="241"/>
    </row>
    <row r="728" spans="16:26">
      <c r="P728" s="241"/>
      <c r="Q728" s="241"/>
      <c r="R728" s="241"/>
      <c r="S728" s="241"/>
      <c r="T728" s="241"/>
      <c r="U728" s="241"/>
      <c r="V728" s="241"/>
      <c r="W728" s="241"/>
      <c r="X728" s="241"/>
      <c r="Y728" s="241"/>
      <c r="Z728" s="241"/>
    </row>
    <row r="729" spans="16:26">
      <c r="P729" s="241"/>
      <c r="Q729" s="241"/>
      <c r="R729" s="241"/>
      <c r="S729" s="241"/>
      <c r="T729" s="241"/>
      <c r="U729" s="241"/>
      <c r="V729" s="241"/>
      <c r="W729" s="241"/>
      <c r="X729" s="241"/>
      <c r="Y729" s="241"/>
      <c r="Z729" s="241"/>
    </row>
    <row r="730" spans="16:26">
      <c r="P730" s="241"/>
      <c r="Q730" s="241"/>
      <c r="R730" s="241"/>
      <c r="S730" s="241"/>
      <c r="T730" s="241"/>
      <c r="U730" s="241"/>
      <c r="V730" s="241"/>
      <c r="W730" s="241"/>
      <c r="X730" s="241"/>
      <c r="Y730" s="241"/>
      <c r="Z730" s="241"/>
    </row>
    <row r="731" spans="16:26">
      <c r="P731" s="241"/>
      <c r="Q731" s="241"/>
      <c r="R731" s="241"/>
      <c r="S731" s="241"/>
      <c r="T731" s="241"/>
      <c r="U731" s="241"/>
      <c r="V731" s="241"/>
      <c r="W731" s="241"/>
      <c r="X731" s="241"/>
      <c r="Y731" s="241"/>
      <c r="Z731" s="241"/>
    </row>
    <row r="732" spans="16:26">
      <c r="P732" s="241"/>
      <c r="Q732" s="241"/>
      <c r="R732" s="241"/>
      <c r="S732" s="241"/>
      <c r="T732" s="241"/>
      <c r="U732" s="241"/>
      <c r="V732" s="241"/>
      <c r="W732" s="241"/>
      <c r="X732" s="241"/>
      <c r="Y732" s="241"/>
      <c r="Z732" s="241"/>
    </row>
    <row r="733" spans="16:26">
      <c r="P733" s="241"/>
      <c r="Q733" s="241"/>
      <c r="R733" s="241"/>
      <c r="S733" s="241"/>
      <c r="T733" s="241"/>
      <c r="U733" s="241"/>
      <c r="V733" s="241"/>
      <c r="W733" s="241"/>
      <c r="X733" s="241"/>
      <c r="Y733" s="241"/>
      <c r="Z733" s="241"/>
    </row>
    <row r="734" spans="16:26">
      <c r="P734" s="241"/>
      <c r="Q734" s="241"/>
      <c r="R734" s="241"/>
      <c r="S734" s="241"/>
      <c r="T734" s="241"/>
      <c r="U734" s="241"/>
      <c r="V734" s="241"/>
      <c r="W734" s="241"/>
      <c r="X734" s="241"/>
      <c r="Y734" s="241"/>
      <c r="Z734" s="241"/>
    </row>
    <row r="735" spans="16:26">
      <c r="P735" s="241"/>
      <c r="Q735" s="241"/>
      <c r="R735" s="241"/>
      <c r="S735" s="241"/>
      <c r="T735" s="241"/>
      <c r="U735" s="241"/>
      <c r="V735" s="241"/>
      <c r="W735" s="241"/>
      <c r="X735" s="241"/>
      <c r="Y735" s="241"/>
      <c r="Z735" s="241"/>
    </row>
    <row r="736" spans="16:26">
      <c r="P736" s="241"/>
      <c r="Q736" s="241"/>
      <c r="R736" s="241"/>
      <c r="S736" s="241"/>
      <c r="T736" s="241"/>
      <c r="U736" s="241"/>
      <c r="V736" s="241"/>
      <c r="W736" s="241"/>
      <c r="X736" s="241"/>
      <c r="Y736" s="241"/>
      <c r="Z736" s="241"/>
    </row>
    <row r="737" spans="16:26">
      <c r="P737" s="241"/>
      <c r="Q737" s="241"/>
      <c r="R737" s="241"/>
      <c r="S737" s="241"/>
      <c r="T737" s="241"/>
      <c r="U737" s="241"/>
      <c r="V737" s="241"/>
      <c r="W737" s="241"/>
      <c r="X737" s="241"/>
      <c r="Y737" s="241"/>
      <c r="Z737" s="241"/>
    </row>
    <row r="738" spans="16:26">
      <c r="P738" s="241"/>
      <c r="Q738" s="241"/>
      <c r="R738" s="241"/>
      <c r="S738" s="241"/>
      <c r="T738" s="241"/>
      <c r="U738" s="241"/>
      <c r="V738" s="241"/>
      <c r="W738" s="241"/>
      <c r="X738" s="241"/>
      <c r="Y738" s="241"/>
      <c r="Z738" s="241"/>
    </row>
    <row r="739" spans="16:26">
      <c r="P739" s="241"/>
      <c r="Q739" s="241"/>
      <c r="R739" s="241"/>
      <c r="S739" s="241"/>
      <c r="T739" s="241"/>
      <c r="U739" s="241"/>
      <c r="V739" s="241"/>
      <c r="W739" s="241"/>
      <c r="X739" s="241"/>
      <c r="Y739" s="241"/>
      <c r="Z739" s="241"/>
    </row>
    <row r="740" spans="16:26">
      <c r="P740" s="241"/>
      <c r="Q740" s="241"/>
      <c r="R740" s="241"/>
      <c r="S740" s="241"/>
      <c r="T740" s="241"/>
      <c r="U740" s="241"/>
      <c r="V740" s="241"/>
      <c r="W740" s="241"/>
      <c r="X740" s="241"/>
      <c r="Y740" s="241"/>
      <c r="Z740" s="241"/>
    </row>
    <row r="741" spans="16:26">
      <c r="P741" s="241"/>
      <c r="Q741" s="241"/>
      <c r="R741" s="241"/>
      <c r="S741" s="241"/>
      <c r="T741" s="241"/>
      <c r="U741" s="241"/>
      <c r="V741" s="241"/>
      <c r="W741" s="241"/>
      <c r="X741" s="241"/>
      <c r="Y741" s="241"/>
      <c r="Z741" s="241"/>
    </row>
    <row r="742" spans="16:26">
      <c r="P742" s="241"/>
      <c r="Q742" s="241"/>
      <c r="R742" s="241"/>
      <c r="S742" s="241"/>
      <c r="T742" s="241"/>
      <c r="U742" s="241"/>
      <c r="V742" s="241"/>
      <c r="W742" s="241"/>
      <c r="X742" s="241"/>
      <c r="Y742" s="241"/>
      <c r="Z742" s="241"/>
    </row>
    <row r="743" spans="16:26">
      <c r="P743" s="241"/>
      <c r="Q743" s="241"/>
      <c r="R743" s="241"/>
      <c r="S743" s="241"/>
      <c r="T743" s="241"/>
      <c r="U743" s="241"/>
      <c r="V743" s="241"/>
      <c r="W743" s="241"/>
      <c r="X743" s="241"/>
      <c r="Y743" s="241"/>
      <c r="Z743" s="241"/>
    </row>
    <row r="744" spans="16:26">
      <c r="P744" s="241"/>
      <c r="Q744" s="241"/>
      <c r="R744" s="241"/>
      <c r="S744" s="241"/>
      <c r="T744" s="241"/>
      <c r="U744" s="241"/>
      <c r="V744" s="241"/>
      <c r="W744" s="241"/>
      <c r="X744" s="241"/>
      <c r="Y744" s="241"/>
      <c r="Z744" s="241"/>
    </row>
    <row r="745" spans="16:26">
      <c r="P745" s="241"/>
      <c r="Q745" s="241"/>
      <c r="R745" s="241"/>
      <c r="S745" s="241"/>
      <c r="T745" s="241"/>
      <c r="U745" s="241"/>
      <c r="V745" s="241"/>
      <c r="W745" s="241"/>
      <c r="X745" s="241"/>
      <c r="Y745" s="241"/>
      <c r="Z745" s="241"/>
    </row>
    <row r="746" spans="16:26">
      <c r="P746" s="241"/>
      <c r="Q746" s="241"/>
      <c r="R746" s="241"/>
      <c r="S746" s="241"/>
      <c r="T746" s="241"/>
      <c r="U746" s="241"/>
      <c r="V746" s="241"/>
      <c r="W746" s="241"/>
      <c r="X746" s="241"/>
      <c r="Y746" s="241"/>
      <c r="Z746" s="241"/>
    </row>
    <row r="747" spans="16:26">
      <c r="P747" s="241"/>
      <c r="Q747" s="241"/>
      <c r="R747" s="241"/>
      <c r="S747" s="241"/>
      <c r="T747" s="241"/>
      <c r="U747" s="241"/>
      <c r="V747" s="241"/>
      <c r="W747" s="241"/>
      <c r="X747" s="241"/>
      <c r="Y747" s="241"/>
      <c r="Z747" s="241"/>
    </row>
    <row r="748" spans="16:26">
      <c r="P748" s="241"/>
      <c r="Q748" s="241"/>
      <c r="R748" s="241"/>
      <c r="S748" s="241"/>
      <c r="T748" s="241"/>
      <c r="U748" s="241"/>
      <c r="V748" s="241"/>
      <c r="W748" s="241"/>
      <c r="X748" s="241"/>
      <c r="Y748" s="241"/>
      <c r="Z748" s="241"/>
    </row>
    <row r="749" spans="16:26">
      <c r="P749" s="241"/>
      <c r="Q749" s="241"/>
      <c r="R749" s="241"/>
      <c r="S749" s="241"/>
      <c r="T749" s="241"/>
      <c r="U749" s="241"/>
      <c r="V749" s="241"/>
      <c r="W749" s="241"/>
      <c r="X749" s="241"/>
      <c r="Y749" s="241"/>
      <c r="Z749" s="241"/>
    </row>
    <row r="750" spans="16:26">
      <c r="P750" s="241"/>
      <c r="Q750" s="241"/>
      <c r="R750" s="241"/>
      <c r="S750" s="241"/>
      <c r="T750" s="241"/>
      <c r="U750" s="241"/>
      <c r="V750" s="241"/>
      <c r="W750" s="241"/>
      <c r="X750" s="241"/>
      <c r="Y750" s="241"/>
      <c r="Z750" s="241"/>
    </row>
    <row r="751" spans="16:26">
      <c r="P751" s="241"/>
      <c r="Q751" s="241"/>
      <c r="R751" s="241"/>
      <c r="S751" s="241"/>
      <c r="T751" s="241"/>
      <c r="U751" s="241"/>
      <c r="V751" s="241"/>
      <c r="W751" s="241"/>
      <c r="X751" s="241"/>
      <c r="Y751" s="241"/>
      <c r="Z751" s="241"/>
    </row>
    <row r="752" spans="16:26">
      <c r="P752" s="241"/>
      <c r="Q752" s="241"/>
      <c r="R752" s="241"/>
      <c r="S752" s="241"/>
      <c r="T752" s="241"/>
      <c r="U752" s="241"/>
      <c r="V752" s="241"/>
      <c r="W752" s="241"/>
      <c r="X752" s="241"/>
      <c r="Y752" s="241"/>
      <c r="Z752" s="241"/>
    </row>
    <row r="753" spans="16:26">
      <c r="P753" s="241"/>
      <c r="Q753" s="241"/>
      <c r="R753" s="241"/>
      <c r="S753" s="241"/>
      <c r="T753" s="241"/>
      <c r="U753" s="241"/>
      <c r="V753" s="241"/>
      <c r="W753" s="241"/>
      <c r="X753" s="241"/>
      <c r="Y753" s="241"/>
      <c r="Z753" s="241"/>
    </row>
    <row r="754" spans="16:26">
      <c r="P754" s="241"/>
      <c r="Q754" s="241"/>
      <c r="R754" s="241"/>
      <c r="S754" s="241"/>
      <c r="T754" s="241"/>
      <c r="U754" s="241"/>
      <c r="V754" s="241"/>
      <c r="W754" s="241"/>
      <c r="X754" s="241"/>
      <c r="Y754" s="241"/>
      <c r="Z754" s="241"/>
    </row>
    <row r="755" spans="16:26">
      <c r="P755" s="241"/>
      <c r="Q755" s="241"/>
      <c r="R755" s="241"/>
      <c r="S755" s="241"/>
      <c r="T755" s="241"/>
      <c r="U755" s="241"/>
      <c r="V755" s="241"/>
      <c r="W755" s="241"/>
      <c r="X755" s="241"/>
      <c r="Y755" s="241"/>
      <c r="Z755" s="241"/>
    </row>
    <row r="756" spans="16:26">
      <c r="P756" s="241"/>
      <c r="Q756" s="241"/>
      <c r="R756" s="241"/>
      <c r="S756" s="241"/>
      <c r="T756" s="241"/>
      <c r="U756" s="241"/>
      <c r="V756" s="241"/>
      <c r="W756" s="241"/>
      <c r="X756" s="241"/>
      <c r="Y756" s="241"/>
      <c r="Z756" s="241"/>
    </row>
    <row r="757" spans="16:26">
      <c r="P757" s="241"/>
      <c r="Q757" s="241"/>
      <c r="R757" s="241"/>
      <c r="S757" s="241"/>
      <c r="T757" s="241"/>
      <c r="U757" s="241"/>
      <c r="V757" s="241"/>
      <c r="W757" s="241"/>
      <c r="X757" s="241"/>
      <c r="Y757" s="241"/>
      <c r="Z757" s="241"/>
    </row>
    <row r="758" spans="16:26">
      <c r="P758" s="241"/>
      <c r="Q758" s="241"/>
      <c r="R758" s="241"/>
      <c r="S758" s="241"/>
      <c r="T758" s="241"/>
      <c r="U758" s="241"/>
      <c r="V758" s="241"/>
      <c r="W758" s="241"/>
      <c r="X758" s="241"/>
      <c r="Y758" s="241"/>
      <c r="Z758" s="241"/>
    </row>
    <row r="759" spans="16:26">
      <c r="P759" s="241"/>
      <c r="Q759" s="241"/>
      <c r="R759" s="241"/>
      <c r="S759" s="241"/>
      <c r="T759" s="241"/>
      <c r="U759" s="241"/>
      <c r="V759" s="241"/>
      <c r="W759" s="241"/>
      <c r="X759" s="241"/>
      <c r="Y759" s="241"/>
      <c r="Z759" s="241"/>
    </row>
    <row r="760" spans="16:26">
      <c r="P760" s="241"/>
      <c r="Q760" s="241"/>
      <c r="R760" s="241"/>
      <c r="S760" s="241"/>
      <c r="T760" s="241"/>
      <c r="U760" s="241"/>
      <c r="V760" s="241"/>
      <c r="W760" s="241"/>
      <c r="X760" s="241"/>
      <c r="Y760" s="241"/>
      <c r="Z760" s="241"/>
    </row>
    <row r="761" spans="16:26">
      <c r="P761" s="241"/>
      <c r="Q761" s="241"/>
      <c r="R761" s="241"/>
      <c r="S761" s="241"/>
      <c r="T761" s="241"/>
      <c r="U761" s="241"/>
      <c r="V761" s="241"/>
      <c r="W761" s="241"/>
      <c r="X761" s="241"/>
      <c r="Y761" s="241"/>
      <c r="Z761" s="241"/>
    </row>
    <row r="762" spans="16:26">
      <c r="P762" s="241"/>
      <c r="Q762" s="241"/>
      <c r="R762" s="241"/>
      <c r="S762" s="241"/>
      <c r="T762" s="241"/>
      <c r="U762" s="241"/>
      <c r="V762" s="241"/>
      <c r="W762" s="241"/>
      <c r="X762" s="241"/>
      <c r="Y762" s="241"/>
      <c r="Z762" s="241"/>
    </row>
    <row r="763" spans="16:26">
      <c r="P763" s="241"/>
      <c r="Q763" s="241"/>
      <c r="R763" s="241"/>
      <c r="S763" s="241"/>
      <c r="T763" s="241"/>
      <c r="U763" s="241"/>
      <c r="V763" s="241"/>
      <c r="W763" s="241"/>
      <c r="X763" s="241"/>
      <c r="Y763" s="241"/>
      <c r="Z763" s="241"/>
    </row>
    <row r="764" spans="16:26">
      <c r="P764" s="241"/>
      <c r="Q764" s="241"/>
      <c r="R764" s="241"/>
      <c r="S764" s="241"/>
      <c r="T764" s="241"/>
      <c r="U764" s="241"/>
      <c r="V764" s="241"/>
      <c r="W764" s="241"/>
      <c r="X764" s="241"/>
      <c r="Y764" s="241"/>
      <c r="Z764" s="241"/>
    </row>
    <row r="765" spans="16:26">
      <c r="P765" s="241"/>
      <c r="Q765" s="241"/>
      <c r="R765" s="241"/>
      <c r="S765" s="241"/>
      <c r="T765" s="241"/>
      <c r="U765" s="241"/>
      <c r="V765" s="241"/>
      <c r="W765" s="241"/>
      <c r="X765" s="241"/>
      <c r="Y765" s="241"/>
      <c r="Z765" s="241"/>
    </row>
    <row r="766" spans="16:26">
      <c r="P766" s="241"/>
      <c r="Q766" s="241"/>
      <c r="R766" s="241"/>
      <c r="S766" s="241"/>
      <c r="T766" s="241"/>
      <c r="U766" s="241"/>
      <c r="V766" s="241"/>
      <c r="W766" s="241"/>
      <c r="X766" s="241"/>
      <c r="Y766" s="241"/>
      <c r="Z766" s="241"/>
    </row>
    <row r="767" spans="16:26">
      <c r="P767" s="241"/>
      <c r="Q767" s="241"/>
      <c r="R767" s="241"/>
      <c r="S767" s="241"/>
      <c r="T767" s="241"/>
      <c r="U767" s="241"/>
      <c r="V767" s="241"/>
      <c r="W767" s="241"/>
      <c r="X767" s="241"/>
      <c r="Y767" s="241"/>
      <c r="Z767" s="241"/>
    </row>
    <row r="768" spans="16:26">
      <c r="P768" s="241"/>
      <c r="Q768" s="241"/>
      <c r="R768" s="241"/>
      <c r="S768" s="241"/>
      <c r="T768" s="241"/>
      <c r="U768" s="241"/>
      <c r="V768" s="241"/>
      <c r="W768" s="241"/>
      <c r="X768" s="241"/>
      <c r="Y768" s="241"/>
      <c r="Z768" s="241"/>
    </row>
    <row r="769" spans="16:26">
      <c r="P769" s="241"/>
      <c r="Q769" s="241"/>
      <c r="R769" s="241"/>
      <c r="S769" s="241"/>
      <c r="T769" s="241"/>
      <c r="U769" s="241"/>
      <c r="V769" s="241"/>
      <c r="W769" s="241"/>
      <c r="X769" s="241"/>
      <c r="Y769" s="241"/>
      <c r="Z769" s="241"/>
    </row>
    <row r="770" spans="16:26">
      <c r="P770" s="241"/>
      <c r="Q770" s="241"/>
      <c r="R770" s="241"/>
      <c r="S770" s="241"/>
      <c r="T770" s="241"/>
      <c r="U770" s="241"/>
      <c r="V770" s="241"/>
      <c r="W770" s="241"/>
      <c r="X770" s="241"/>
      <c r="Y770" s="241"/>
      <c r="Z770" s="241"/>
    </row>
    <row r="771" spans="16:26">
      <c r="P771" s="241"/>
      <c r="Q771" s="241"/>
      <c r="R771" s="241"/>
      <c r="S771" s="241"/>
      <c r="T771" s="241"/>
      <c r="U771" s="241"/>
      <c r="V771" s="241"/>
      <c r="W771" s="241"/>
      <c r="X771" s="241"/>
      <c r="Y771" s="241"/>
      <c r="Z771" s="241"/>
    </row>
    <row r="772" spans="16:26">
      <c r="P772" s="241"/>
      <c r="Q772" s="241"/>
      <c r="R772" s="241"/>
      <c r="S772" s="241"/>
      <c r="T772" s="241"/>
      <c r="U772" s="241"/>
      <c r="V772" s="241"/>
      <c r="W772" s="241"/>
      <c r="X772" s="241"/>
      <c r="Y772" s="241"/>
      <c r="Z772" s="241"/>
    </row>
    <row r="773" spans="16:26">
      <c r="P773" s="241"/>
      <c r="Q773" s="241"/>
      <c r="R773" s="241"/>
      <c r="S773" s="241"/>
      <c r="T773" s="241"/>
      <c r="U773" s="241"/>
      <c r="V773" s="241"/>
      <c r="W773" s="241"/>
      <c r="X773" s="241"/>
      <c r="Y773" s="241"/>
      <c r="Z773" s="241"/>
    </row>
    <row r="774" spans="16:26">
      <c r="P774" s="241"/>
      <c r="Q774" s="241"/>
      <c r="R774" s="241"/>
      <c r="S774" s="241"/>
      <c r="T774" s="241"/>
      <c r="U774" s="241"/>
      <c r="V774" s="241"/>
      <c r="W774" s="241"/>
      <c r="X774" s="241"/>
      <c r="Y774" s="241"/>
      <c r="Z774" s="241"/>
    </row>
    <row r="775" spans="16:26">
      <c r="P775" s="241"/>
      <c r="Q775" s="241"/>
      <c r="R775" s="241"/>
      <c r="S775" s="241"/>
      <c r="T775" s="241"/>
      <c r="U775" s="241"/>
      <c r="V775" s="241"/>
      <c r="W775" s="241"/>
      <c r="X775" s="241"/>
      <c r="Y775" s="241"/>
      <c r="Z775" s="241"/>
    </row>
    <row r="776" spans="16:26">
      <c r="P776" s="241"/>
      <c r="Q776" s="241"/>
      <c r="R776" s="241"/>
      <c r="S776" s="241"/>
      <c r="T776" s="241"/>
      <c r="U776" s="241"/>
      <c r="V776" s="241"/>
      <c r="W776" s="241"/>
      <c r="X776" s="241"/>
      <c r="Y776" s="241"/>
      <c r="Z776" s="241"/>
    </row>
    <row r="777" spans="16:26">
      <c r="P777" s="241"/>
      <c r="Q777" s="241"/>
      <c r="R777" s="241"/>
      <c r="S777" s="241"/>
      <c r="T777" s="241"/>
      <c r="U777" s="241"/>
      <c r="V777" s="241"/>
      <c r="W777" s="241"/>
      <c r="X777" s="241"/>
      <c r="Y777" s="241"/>
      <c r="Z777" s="241"/>
    </row>
    <row r="778" spans="16:26">
      <c r="P778" s="241"/>
      <c r="Q778" s="241"/>
      <c r="R778" s="241"/>
      <c r="S778" s="241"/>
      <c r="T778" s="241"/>
      <c r="U778" s="241"/>
      <c r="V778" s="241"/>
      <c r="W778" s="241"/>
      <c r="X778" s="241"/>
      <c r="Y778" s="241"/>
      <c r="Z778" s="241"/>
    </row>
    <row r="779" spans="16:26">
      <c r="P779" s="241"/>
      <c r="Q779" s="241"/>
      <c r="R779" s="241"/>
      <c r="S779" s="241"/>
      <c r="T779" s="241"/>
      <c r="U779" s="241"/>
      <c r="V779" s="241"/>
      <c r="W779" s="241"/>
      <c r="X779" s="241"/>
      <c r="Y779" s="241"/>
      <c r="Z779" s="241"/>
    </row>
    <row r="780" spans="16:26">
      <c r="P780" s="241"/>
      <c r="Q780" s="241"/>
      <c r="R780" s="241"/>
      <c r="S780" s="241"/>
      <c r="T780" s="241"/>
      <c r="U780" s="241"/>
      <c r="V780" s="241"/>
      <c r="W780" s="241"/>
      <c r="X780" s="241"/>
      <c r="Y780" s="241"/>
      <c r="Z780" s="241"/>
    </row>
    <row r="781" spans="16:26">
      <c r="P781" s="241"/>
      <c r="Q781" s="241"/>
      <c r="R781" s="241"/>
      <c r="S781" s="241"/>
      <c r="T781" s="241"/>
      <c r="U781" s="241"/>
      <c r="V781" s="241"/>
      <c r="W781" s="241"/>
      <c r="X781" s="241"/>
      <c r="Y781" s="241"/>
      <c r="Z781" s="241"/>
    </row>
    <row r="782" spans="16:26">
      <c r="P782" s="241"/>
      <c r="Q782" s="241"/>
      <c r="R782" s="241"/>
      <c r="S782" s="241"/>
      <c r="T782" s="241"/>
      <c r="U782" s="241"/>
      <c r="V782" s="241"/>
      <c r="W782" s="241"/>
      <c r="X782" s="241"/>
      <c r="Y782" s="241"/>
      <c r="Z782" s="241"/>
    </row>
    <row r="783" spans="16:26">
      <c r="P783" s="241"/>
      <c r="Q783" s="241"/>
      <c r="R783" s="241"/>
      <c r="S783" s="241"/>
      <c r="T783" s="241"/>
      <c r="U783" s="241"/>
      <c r="V783" s="241"/>
      <c r="W783" s="241"/>
      <c r="X783" s="241"/>
      <c r="Y783" s="241"/>
      <c r="Z783" s="241"/>
    </row>
    <row r="784" spans="16:26">
      <c r="P784" s="241"/>
      <c r="Q784" s="241"/>
      <c r="R784" s="241"/>
      <c r="S784" s="241"/>
      <c r="T784" s="241"/>
      <c r="U784" s="241"/>
      <c r="V784" s="241"/>
      <c r="W784" s="241"/>
      <c r="X784" s="241"/>
      <c r="Y784" s="241"/>
      <c r="Z784" s="241"/>
    </row>
    <row r="785" spans="16:26">
      <c r="P785" s="241"/>
      <c r="Q785" s="241"/>
      <c r="R785" s="241"/>
      <c r="S785" s="241"/>
      <c r="T785" s="241"/>
      <c r="U785" s="241"/>
      <c r="V785" s="241"/>
      <c r="W785" s="241"/>
      <c r="X785" s="241"/>
      <c r="Y785" s="241"/>
      <c r="Z785" s="241"/>
    </row>
    <row r="786" spans="16:26">
      <c r="P786" s="241"/>
      <c r="Q786" s="241"/>
      <c r="R786" s="241"/>
      <c r="S786" s="241"/>
      <c r="T786" s="241"/>
      <c r="U786" s="241"/>
      <c r="V786" s="241"/>
      <c r="W786" s="241"/>
      <c r="X786" s="241"/>
      <c r="Y786" s="241"/>
      <c r="Z786" s="241"/>
    </row>
    <row r="787" spans="16:26">
      <c r="P787" s="241"/>
      <c r="Q787" s="241"/>
      <c r="R787" s="241"/>
      <c r="S787" s="241"/>
      <c r="T787" s="241"/>
      <c r="U787" s="241"/>
      <c r="V787" s="241"/>
      <c r="W787" s="241"/>
      <c r="X787" s="241"/>
      <c r="Y787" s="241"/>
      <c r="Z787" s="241"/>
    </row>
    <row r="788" spans="16:26">
      <c r="P788" s="241"/>
      <c r="Q788" s="241"/>
      <c r="R788" s="241"/>
      <c r="S788" s="241"/>
      <c r="T788" s="241"/>
      <c r="U788" s="241"/>
      <c r="V788" s="241"/>
      <c r="W788" s="241"/>
      <c r="X788" s="241"/>
      <c r="Y788" s="241"/>
      <c r="Z788" s="241"/>
    </row>
    <row r="789" spans="16:26">
      <c r="P789" s="241"/>
      <c r="Q789" s="241"/>
      <c r="R789" s="241"/>
      <c r="S789" s="241"/>
      <c r="T789" s="241"/>
      <c r="U789" s="241"/>
      <c r="V789" s="241"/>
      <c r="W789" s="241"/>
      <c r="X789" s="241"/>
      <c r="Y789" s="241"/>
      <c r="Z789" s="241"/>
    </row>
    <row r="790" spans="16:26">
      <c r="P790" s="241"/>
      <c r="Q790" s="241"/>
      <c r="R790" s="241"/>
      <c r="S790" s="241"/>
      <c r="T790" s="241"/>
      <c r="U790" s="241"/>
      <c r="V790" s="241"/>
      <c r="W790" s="241"/>
      <c r="X790" s="241"/>
      <c r="Y790" s="241"/>
      <c r="Z790" s="241"/>
    </row>
    <row r="791" spans="16:26">
      <c r="P791" s="241"/>
      <c r="Q791" s="241"/>
      <c r="R791" s="241"/>
      <c r="S791" s="241"/>
      <c r="T791" s="241"/>
      <c r="U791" s="241"/>
      <c r="V791" s="241"/>
      <c r="W791" s="241"/>
      <c r="X791" s="241"/>
      <c r="Y791" s="241"/>
      <c r="Z791" s="241"/>
    </row>
    <row r="792" spans="16:26">
      <c r="P792" s="241"/>
      <c r="Q792" s="241"/>
      <c r="R792" s="241"/>
      <c r="S792" s="241"/>
      <c r="T792" s="241"/>
      <c r="U792" s="241"/>
      <c r="V792" s="241"/>
      <c r="W792" s="241"/>
      <c r="X792" s="241"/>
      <c r="Y792" s="241"/>
      <c r="Z792" s="241"/>
    </row>
    <row r="793" spans="16:26">
      <c r="P793" s="241"/>
      <c r="Q793" s="241"/>
      <c r="R793" s="241"/>
      <c r="S793" s="241"/>
      <c r="T793" s="241"/>
      <c r="U793" s="241"/>
      <c r="V793" s="241"/>
      <c r="W793" s="241"/>
      <c r="X793" s="241"/>
      <c r="Y793" s="241"/>
      <c r="Z793" s="241"/>
    </row>
    <row r="794" spans="16:26">
      <c r="P794" s="241"/>
      <c r="Q794" s="241"/>
      <c r="R794" s="241"/>
      <c r="S794" s="241"/>
      <c r="T794" s="241"/>
      <c r="U794" s="241"/>
      <c r="V794" s="241"/>
      <c r="W794" s="241"/>
      <c r="X794" s="241"/>
      <c r="Y794" s="241"/>
      <c r="Z794" s="241"/>
    </row>
    <row r="795" spans="16:26">
      <c r="P795" s="241"/>
      <c r="Q795" s="241"/>
      <c r="R795" s="241"/>
      <c r="S795" s="241"/>
      <c r="T795" s="241"/>
      <c r="U795" s="241"/>
      <c r="V795" s="241"/>
      <c r="W795" s="241"/>
      <c r="X795" s="241"/>
      <c r="Y795" s="241"/>
      <c r="Z795" s="241"/>
    </row>
    <row r="796" spans="16:26">
      <c r="P796" s="241"/>
      <c r="Q796" s="241"/>
      <c r="R796" s="241"/>
      <c r="S796" s="241"/>
      <c r="T796" s="241"/>
      <c r="U796" s="241"/>
      <c r="V796" s="241"/>
      <c r="W796" s="241"/>
      <c r="X796" s="241"/>
      <c r="Y796" s="241"/>
      <c r="Z796" s="241"/>
    </row>
    <row r="797" spans="16:26">
      <c r="P797" s="241"/>
      <c r="Q797" s="241"/>
      <c r="R797" s="241"/>
      <c r="S797" s="241"/>
      <c r="T797" s="241"/>
      <c r="U797" s="241"/>
      <c r="V797" s="241"/>
      <c r="W797" s="241"/>
      <c r="X797" s="241"/>
      <c r="Y797" s="241"/>
      <c r="Z797" s="241"/>
    </row>
    <row r="798" spans="16:26">
      <c r="P798" s="241"/>
      <c r="Q798" s="241"/>
      <c r="R798" s="241"/>
      <c r="S798" s="241"/>
      <c r="T798" s="241"/>
      <c r="U798" s="241"/>
      <c r="V798" s="241"/>
      <c r="W798" s="241"/>
      <c r="X798" s="241"/>
      <c r="Y798" s="241"/>
      <c r="Z798" s="241"/>
    </row>
    <row r="799" spans="16:26">
      <c r="P799" s="241"/>
      <c r="Q799" s="241"/>
      <c r="R799" s="241"/>
      <c r="S799" s="241"/>
      <c r="T799" s="241"/>
      <c r="U799" s="241"/>
      <c r="V799" s="241"/>
      <c r="W799" s="241"/>
      <c r="X799" s="241"/>
      <c r="Y799" s="241"/>
      <c r="Z799" s="241"/>
    </row>
    <row r="800" spans="16:26">
      <c r="P800" s="241"/>
      <c r="Q800" s="241"/>
      <c r="R800" s="241"/>
      <c r="S800" s="241"/>
      <c r="T800" s="241"/>
      <c r="U800" s="241"/>
      <c r="V800" s="241"/>
      <c r="W800" s="241"/>
      <c r="X800" s="241"/>
      <c r="Y800" s="241"/>
      <c r="Z800" s="241"/>
    </row>
    <row r="801" spans="16:26">
      <c r="P801" s="241"/>
      <c r="Q801" s="241"/>
      <c r="R801" s="241"/>
      <c r="S801" s="241"/>
      <c r="T801" s="241"/>
      <c r="U801" s="241"/>
      <c r="V801" s="241"/>
      <c r="W801" s="241"/>
      <c r="X801" s="241"/>
      <c r="Y801" s="241"/>
      <c r="Z801" s="241"/>
    </row>
    <row r="802" spans="16:26">
      <c r="P802" s="241"/>
      <c r="Q802" s="241"/>
      <c r="R802" s="241"/>
      <c r="S802" s="241"/>
      <c r="T802" s="241"/>
      <c r="U802" s="241"/>
      <c r="V802" s="241"/>
      <c r="W802" s="241"/>
      <c r="X802" s="241"/>
      <c r="Y802" s="241"/>
      <c r="Z802" s="241"/>
    </row>
    <row r="803" spans="16:26">
      <c r="P803" s="241"/>
      <c r="Q803" s="241"/>
      <c r="R803" s="241"/>
      <c r="S803" s="241"/>
      <c r="T803" s="241"/>
      <c r="U803" s="241"/>
      <c r="V803" s="241"/>
      <c r="W803" s="241"/>
      <c r="X803" s="241"/>
      <c r="Y803" s="241"/>
      <c r="Z803" s="241"/>
    </row>
    <row r="804" spans="16:26">
      <c r="P804" s="241"/>
      <c r="Q804" s="241"/>
      <c r="R804" s="241"/>
      <c r="S804" s="241"/>
      <c r="T804" s="241"/>
      <c r="U804" s="241"/>
      <c r="V804" s="241"/>
      <c r="W804" s="241"/>
      <c r="X804" s="241"/>
      <c r="Y804" s="241"/>
      <c r="Z804" s="241"/>
    </row>
    <row r="805" spans="16:26">
      <c r="P805" s="241"/>
      <c r="Q805" s="241"/>
      <c r="R805" s="241"/>
      <c r="S805" s="241"/>
      <c r="T805" s="241"/>
      <c r="U805" s="241"/>
      <c r="V805" s="241"/>
      <c r="W805" s="241"/>
      <c r="X805" s="241"/>
      <c r="Y805" s="241"/>
      <c r="Z805" s="241"/>
    </row>
    <row r="806" spans="16:26">
      <c r="P806" s="241"/>
      <c r="Q806" s="241"/>
      <c r="R806" s="241"/>
      <c r="S806" s="241"/>
      <c r="T806" s="241"/>
      <c r="U806" s="241"/>
      <c r="V806" s="241"/>
      <c r="W806" s="241"/>
      <c r="X806" s="241"/>
      <c r="Y806" s="241"/>
      <c r="Z806" s="241"/>
    </row>
    <row r="807" spans="16:26">
      <c r="P807" s="241"/>
      <c r="Q807" s="241"/>
      <c r="R807" s="241"/>
      <c r="S807" s="241"/>
      <c r="T807" s="241"/>
      <c r="U807" s="241"/>
      <c r="V807" s="241"/>
      <c r="W807" s="241"/>
      <c r="X807" s="241"/>
      <c r="Y807" s="241"/>
      <c r="Z807" s="241"/>
    </row>
    <row r="808" spans="16:26">
      <c r="P808" s="241"/>
      <c r="Q808" s="241"/>
      <c r="R808" s="241"/>
      <c r="S808" s="241"/>
      <c r="T808" s="241"/>
      <c r="U808" s="241"/>
      <c r="V808" s="241"/>
      <c r="W808" s="241"/>
      <c r="X808" s="241"/>
      <c r="Y808" s="241"/>
      <c r="Z808" s="241"/>
    </row>
    <row r="809" spans="16:26">
      <c r="P809" s="241"/>
      <c r="Q809" s="241"/>
      <c r="R809" s="241"/>
      <c r="S809" s="241"/>
      <c r="T809" s="241"/>
      <c r="U809" s="241"/>
      <c r="V809" s="241"/>
      <c r="W809" s="241"/>
      <c r="X809" s="241"/>
      <c r="Y809" s="241"/>
      <c r="Z809" s="241"/>
    </row>
    <row r="810" spans="16:26">
      <c r="P810" s="241"/>
      <c r="Q810" s="241"/>
      <c r="R810" s="241"/>
      <c r="S810" s="241"/>
      <c r="T810" s="241"/>
      <c r="U810" s="241"/>
      <c r="V810" s="241"/>
      <c r="W810" s="241"/>
      <c r="X810" s="241"/>
      <c r="Y810" s="241"/>
      <c r="Z810" s="241"/>
    </row>
    <row r="811" spans="16:26">
      <c r="P811" s="241"/>
      <c r="Q811" s="241"/>
      <c r="R811" s="241"/>
      <c r="S811" s="241"/>
      <c r="T811" s="241"/>
      <c r="U811" s="241"/>
      <c r="V811" s="241"/>
      <c r="W811" s="241"/>
      <c r="X811" s="241"/>
      <c r="Y811" s="241"/>
      <c r="Z811" s="241"/>
    </row>
    <row r="812" spans="16:26">
      <c r="P812" s="241"/>
      <c r="Q812" s="241"/>
      <c r="R812" s="241"/>
      <c r="S812" s="241"/>
      <c r="T812" s="241"/>
      <c r="U812" s="241"/>
      <c r="V812" s="241"/>
      <c r="W812" s="241"/>
      <c r="X812" s="241"/>
      <c r="Y812" s="241"/>
      <c r="Z812" s="241"/>
    </row>
    <row r="813" spans="16:26">
      <c r="P813" s="241"/>
      <c r="Q813" s="241"/>
      <c r="R813" s="241"/>
      <c r="S813" s="241"/>
      <c r="T813" s="241"/>
      <c r="U813" s="241"/>
      <c r="V813" s="241"/>
      <c r="W813" s="241"/>
      <c r="X813" s="241"/>
      <c r="Y813" s="241"/>
      <c r="Z813" s="241"/>
    </row>
    <row r="814" spans="16:26">
      <c r="P814" s="241"/>
      <c r="Q814" s="241"/>
      <c r="R814" s="241"/>
      <c r="S814" s="241"/>
      <c r="T814" s="241"/>
      <c r="U814" s="241"/>
      <c r="V814" s="241"/>
      <c r="W814" s="241"/>
      <c r="X814" s="241"/>
      <c r="Y814" s="241"/>
      <c r="Z814" s="241"/>
    </row>
    <row r="815" spans="16:26">
      <c r="P815" s="241"/>
      <c r="Q815" s="241"/>
      <c r="R815" s="241"/>
      <c r="S815" s="241"/>
      <c r="T815" s="241"/>
      <c r="U815" s="241"/>
      <c r="V815" s="241"/>
      <c r="W815" s="241"/>
      <c r="X815" s="241"/>
      <c r="Y815" s="241"/>
      <c r="Z815" s="241"/>
    </row>
    <row r="816" spans="16:26">
      <c r="P816" s="241"/>
      <c r="Q816" s="241"/>
      <c r="R816" s="241"/>
      <c r="S816" s="241"/>
      <c r="T816" s="241"/>
      <c r="U816" s="241"/>
      <c r="V816" s="241"/>
      <c r="W816" s="241"/>
      <c r="X816" s="241"/>
      <c r="Y816" s="241"/>
      <c r="Z816" s="241"/>
    </row>
    <row r="817" spans="16:26">
      <c r="P817" s="241"/>
      <c r="Q817" s="241"/>
      <c r="R817" s="241"/>
      <c r="S817" s="241"/>
      <c r="T817" s="241"/>
      <c r="U817" s="241"/>
      <c r="V817" s="241"/>
      <c r="W817" s="241"/>
      <c r="X817" s="241"/>
      <c r="Y817" s="241"/>
      <c r="Z817" s="241"/>
    </row>
    <row r="818" spans="16:26">
      <c r="P818" s="241"/>
      <c r="Q818" s="241"/>
      <c r="R818" s="241"/>
      <c r="S818" s="241"/>
      <c r="T818" s="241"/>
      <c r="U818" s="241"/>
      <c r="V818" s="241"/>
      <c r="W818" s="241"/>
      <c r="X818" s="241"/>
      <c r="Y818" s="241"/>
      <c r="Z818" s="241"/>
    </row>
    <row r="819" spans="16:26">
      <c r="P819" s="241"/>
      <c r="Q819" s="241"/>
      <c r="R819" s="241"/>
      <c r="S819" s="241"/>
      <c r="T819" s="241"/>
      <c r="U819" s="241"/>
      <c r="V819" s="241"/>
      <c r="W819" s="241"/>
      <c r="X819" s="241"/>
      <c r="Y819" s="241"/>
      <c r="Z819" s="241"/>
    </row>
    <row r="820" spans="16:26">
      <c r="P820" s="241"/>
      <c r="Q820" s="241"/>
      <c r="R820" s="241"/>
      <c r="S820" s="241"/>
      <c r="T820" s="241"/>
      <c r="U820" s="241"/>
      <c r="V820" s="241"/>
      <c r="W820" s="241"/>
      <c r="X820" s="241"/>
      <c r="Y820" s="241"/>
      <c r="Z820" s="241"/>
    </row>
    <row r="821" spans="16:26">
      <c r="P821" s="241"/>
      <c r="Q821" s="241"/>
      <c r="R821" s="241"/>
      <c r="S821" s="241"/>
      <c r="T821" s="241"/>
      <c r="U821" s="241"/>
      <c r="V821" s="241"/>
      <c r="W821" s="241"/>
      <c r="X821" s="241"/>
      <c r="Y821" s="241"/>
      <c r="Z821" s="241"/>
    </row>
    <row r="822" spans="16:26">
      <c r="P822" s="241"/>
      <c r="Q822" s="241"/>
      <c r="R822" s="241"/>
      <c r="S822" s="241"/>
      <c r="T822" s="241"/>
      <c r="U822" s="241"/>
      <c r="V822" s="241"/>
      <c r="W822" s="241"/>
      <c r="X822" s="241"/>
      <c r="Y822" s="241"/>
      <c r="Z822" s="241"/>
    </row>
    <row r="823" spans="16:26">
      <c r="P823" s="241"/>
      <c r="Q823" s="241"/>
      <c r="R823" s="241"/>
      <c r="S823" s="241"/>
      <c r="T823" s="241"/>
      <c r="U823" s="241"/>
      <c r="V823" s="241"/>
      <c r="W823" s="241"/>
      <c r="X823" s="241"/>
      <c r="Y823" s="241"/>
      <c r="Z823" s="241"/>
    </row>
    <row r="824" spans="16:26">
      <c r="P824" s="241"/>
      <c r="Q824" s="241"/>
      <c r="R824" s="241"/>
      <c r="S824" s="241"/>
      <c r="T824" s="241"/>
      <c r="U824" s="241"/>
      <c r="V824" s="241"/>
      <c r="W824" s="241"/>
      <c r="X824" s="241"/>
      <c r="Y824" s="241"/>
      <c r="Z824" s="241"/>
    </row>
    <row r="825" spans="16:26">
      <c r="P825" s="241"/>
      <c r="Q825" s="241"/>
      <c r="R825" s="241"/>
      <c r="S825" s="241"/>
      <c r="T825" s="241"/>
      <c r="U825" s="241"/>
      <c r="V825" s="241"/>
      <c r="W825" s="241"/>
      <c r="X825" s="241"/>
      <c r="Y825" s="241"/>
      <c r="Z825" s="241"/>
    </row>
    <row r="826" spans="16:26">
      <c r="P826" s="241"/>
      <c r="Q826" s="241"/>
      <c r="R826" s="241"/>
      <c r="S826" s="241"/>
      <c r="T826" s="241"/>
      <c r="U826" s="241"/>
      <c r="V826" s="241"/>
      <c r="W826" s="241"/>
      <c r="X826" s="241"/>
      <c r="Y826" s="241"/>
      <c r="Z826" s="241"/>
    </row>
    <row r="827" spans="16:26">
      <c r="P827" s="241"/>
      <c r="Q827" s="241"/>
      <c r="R827" s="241"/>
      <c r="S827" s="241"/>
      <c r="T827" s="241"/>
      <c r="U827" s="241"/>
      <c r="V827" s="241"/>
      <c r="W827" s="241"/>
      <c r="X827" s="241"/>
      <c r="Y827" s="241"/>
      <c r="Z827" s="241"/>
    </row>
    <row r="828" spans="16:26">
      <c r="P828" s="241"/>
      <c r="Q828" s="241"/>
      <c r="R828" s="241"/>
      <c r="S828" s="241"/>
      <c r="T828" s="241"/>
      <c r="U828" s="241"/>
      <c r="V828" s="241"/>
      <c r="W828" s="241"/>
      <c r="X828" s="241"/>
      <c r="Y828" s="241"/>
      <c r="Z828" s="241"/>
    </row>
    <row r="829" spans="16:26">
      <c r="P829" s="241"/>
      <c r="Q829" s="241"/>
      <c r="R829" s="241"/>
      <c r="S829" s="241"/>
      <c r="T829" s="241"/>
      <c r="U829" s="241"/>
      <c r="V829" s="241"/>
      <c r="W829" s="241"/>
      <c r="X829" s="241"/>
      <c r="Y829" s="241"/>
      <c r="Z829" s="241"/>
    </row>
    <row r="830" spans="16:26">
      <c r="P830" s="241"/>
      <c r="Q830" s="241"/>
      <c r="R830" s="241"/>
      <c r="S830" s="241"/>
      <c r="T830" s="241"/>
      <c r="U830" s="241"/>
      <c r="V830" s="241"/>
      <c r="W830" s="241"/>
      <c r="X830" s="241"/>
      <c r="Y830" s="241"/>
      <c r="Z830" s="241"/>
    </row>
    <row r="831" spans="16:26">
      <c r="P831" s="241"/>
      <c r="Q831" s="241"/>
      <c r="R831" s="241"/>
      <c r="S831" s="241"/>
      <c r="T831" s="241"/>
      <c r="U831" s="241"/>
      <c r="V831" s="241"/>
      <c r="W831" s="241"/>
      <c r="X831" s="241"/>
      <c r="Y831" s="241"/>
      <c r="Z831" s="241"/>
    </row>
    <row r="832" spans="16:26">
      <c r="P832" s="241"/>
      <c r="Q832" s="241"/>
      <c r="R832" s="241"/>
      <c r="S832" s="241"/>
      <c r="T832" s="241"/>
      <c r="U832" s="241"/>
      <c r="V832" s="241"/>
      <c r="W832" s="241"/>
      <c r="X832" s="241"/>
      <c r="Y832" s="241"/>
      <c r="Z832" s="241"/>
    </row>
    <row r="833" spans="16:26">
      <c r="P833" s="241"/>
      <c r="Q833" s="241"/>
      <c r="R833" s="241"/>
      <c r="S833" s="241"/>
      <c r="T833" s="241"/>
      <c r="U833" s="241"/>
      <c r="V833" s="241"/>
      <c r="W833" s="241"/>
      <c r="X833" s="241"/>
      <c r="Y833" s="241"/>
      <c r="Z833" s="241"/>
    </row>
    <row r="834" spans="16:26">
      <c r="P834" s="241"/>
      <c r="Q834" s="241"/>
      <c r="R834" s="241"/>
      <c r="S834" s="241"/>
      <c r="T834" s="241"/>
      <c r="U834" s="241"/>
      <c r="V834" s="241"/>
      <c r="W834" s="241"/>
      <c r="X834" s="241"/>
      <c r="Y834" s="241"/>
      <c r="Z834" s="241"/>
    </row>
    <row r="835" spans="16:26">
      <c r="P835" s="241"/>
      <c r="Q835" s="241"/>
      <c r="R835" s="241"/>
      <c r="S835" s="241"/>
      <c r="T835" s="241"/>
      <c r="U835" s="241"/>
      <c r="V835" s="241"/>
      <c r="W835" s="241"/>
      <c r="X835" s="241"/>
      <c r="Y835" s="241"/>
      <c r="Z835" s="241"/>
    </row>
    <row r="836" spans="16:26">
      <c r="P836" s="241"/>
      <c r="Q836" s="241"/>
      <c r="R836" s="241"/>
      <c r="S836" s="241"/>
      <c r="T836" s="241"/>
      <c r="U836" s="241"/>
      <c r="V836" s="241"/>
      <c r="W836" s="241"/>
      <c r="X836" s="241"/>
      <c r="Y836" s="241"/>
      <c r="Z836" s="241"/>
    </row>
    <row r="837" spans="16:26">
      <c r="P837" s="241"/>
      <c r="Q837" s="241"/>
      <c r="R837" s="241"/>
      <c r="S837" s="241"/>
      <c r="T837" s="241"/>
      <c r="U837" s="241"/>
      <c r="V837" s="241"/>
      <c r="W837" s="241"/>
      <c r="X837" s="241"/>
      <c r="Y837" s="241"/>
      <c r="Z837" s="241"/>
    </row>
    <row r="838" spans="16:26">
      <c r="P838" s="241"/>
      <c r="Q838" s="241"/>
      <c r="R838" s="241"/>
      <c r="S838" s="241"/>
      <c r="T838" s="241"/>
      <c r="U838" s="241"/>
      <c r="V838" s="241"/>
      <c r="W838" s="241"/>
      <c r="X838" s="241"/>
      <c r="Y838" s="241"/>
      <c r="Z838" s="241"/>
    </row>
    <row r="839" spans="16:26">
      <c r="P839" s="241"/>
      <c r="Q839" s="241"/>
      <c r="R839" s="241"/>
      <c r="S839" s="241"/>
      <c r="T839" s="241"/>
      <c r="U839" s="241"/>
      <c r="V839" s="241"/>
      <c r="W839" s="241"/>
      <c r="X839" s="241"/>
      <c r="Y839" s="241"/>
      <c r="Z839" s="241"/>
    </row>
    <row r="840" spans="16:26">
      <c r="P840" s="241"/>
      <c r="Q840" s="241"/>
      <c r="R840" s="241"/>
      <c r="S840" s="241"/>
      <c r="T840" s="241"/>
      <c r="U840" s="241"/>
      <c r="V840" s="241"/>
      <c r="W840" s="241"/>
      <c r="X840" s="241"/>
      <c r="Y840" s="241"/>
      <c r="Z840" s="241"/>
    </row>
    <row r="841" spans="16:26">
      <c r="P841" s="241"/>
      <c r="Q841" s="241"/>
      <c r="R841" s="241"/>
      <c r="S841" s="241"/>
      <c r="T841" s="241"/>
      <c r="U841" s="241"/>
      <c r="V841" s="241"/>
      <c r="W841" s="241"/>
      <c r="X841" s="241"/>
      <c r="Y841" s="241"/>
      <c r="Z841" s="241"/>
    </row>
    <row r="842" spans="16:26">
      <c r="P842" s="241"/>
      <c r="Q842" s="241"/>
      <c r="R842" s="241"/>
      <c r="S842" s="241"/>
      <c r="T842" s="241"/>
      <c r="U842" s="241"/>
      <c r="V842" s="241"/>
      <c r="W842" s="241"/>
      <c r="X842" s="241"/>
      <c r="Y842" s="241"/>
      <c r="Z842" s="241"/>
    </row>
    <row r="843" spans="16:26">
      <c r="P843" s="241"/>
      <c r="Q843" s="241"/>
      <c r="R843" s="241"/>
      <c r="S843" s="241"/>
      <c r="T843" s="241"/>
      <c r="U843" s="241"/>
      <c r="V843" s="241"/>
      <c r="W843" s="241"/>
      <c r="X843" s="241"/>
      <c r="Y843" s="241"/>
      <c r="Z843" s="241"/>
    </row>
    <row r="844" spans="16:26">
      <c r="P844" s="241"/>
      <c r="Q844" s="241"/>
      <c r="R844" s="241"/>
      <c r="S844" s="241"/>
      <c r="T844" s="241"/>
      <c r="U844" s="241"/>
      <c r="V844" s="241"/>
      <c r="W844" s="241"/>
      <c r="X844" s="241"/>
      <c r="Y844" s="241"/>
      <c r="Z844" s="241"/>
    </row>
    <row r="845" spans="16:26">
      <c r="P845" s="241"/>
      <c r="Q845" s="241"/>
      <c r="R845" s="241"/>
      <c r="S845" s="241"/>
      <c r="T845" s="241"/>
      <c r="U845" s="241"/>
      <c r="V845" s="241"/>
      <c r="W845" s="241"/>
      <c r="X845" s="241"/>
      <c r="Y845" s="241"/>
      <c r="Z845" s="241"/>
    </row>
    <row r="846" spans="16:26">
      <c r="P846" s="241"/>
      <c r="Q846" s="241"/>
      <c r="R846" s="241"/>
      <c r="S846" s="241"/>
      <c r="T846" s="241"/>
      <c r="U846" s="241"/>
      <c r="V846" s="241"/>
      <c r="W846" s="241"/>
      <c r="X846" s="241"/>
      <c r="Y846" s="241"/>
      <c r="Z846" s="241"/>
    </row>
    <row r="847" spans="16:26">
      <c r="P847" s="241"/>
      <c r="Q847" s="241"/>
      <c r="R847" s="241"/>
      <c r="S847" s="241"/>
      <c r="T847" s="241"/>
      <c r="U847" s="241"/>
      <c r="V847" s="241"/>
      <c r="W847" s="241"/>
      <c r="X847" s="241"/>
      <c r="Y847" s="241"/>
      <c r="Z847" s="241"/>
    </row>
    <row r="848" spans="16:26">
      <c r="P848" s="241"/>
      <c r="Q848" s="241"/>
      <c r="R848" s="241"/>
      <c r="S848" s="241"/>
      <c r="T848" s="241"/>
      <c r="U848" s="241"/>
      <c r="V848" s="241"/>
      <c r="W848" s="241"/>
      <c r="X848" s="241"/>
      <c r="Y848" s="241"/>
      <c r="Z848" s="241"/>
    </row>
    <row r="849" spans="16:26">
      <c r="P849" s="241"/>
      <c r="Q849" s="241"/>
      <c r="R849" s="241"/>
      <c r="S849" s="241"/>
      <c r="T849" s="241"/>
      <c r="U849" s="241"/>
      <c r="V849" s="241"/>
      <c r="W849" s="241"/>
      <c r="X849" s="241"/>
      <c r="Y849" s="241"/>
      <c r="Z849" s="241"/>
    </row>
    <row r="850" spans="16:26">
      <c r="P850" s="241"/>
      <c r="Q850" s="241"/>
      <c r="R850" s="241"/>
      <c r="S850" s="241"/>
      <c r="T850" s="241"/>
      <c r="U850" s="241"/>
      <c r="V850" s="241"/>
      <c r="W850" s="241"/>
      <c r="X850" s="241"/>
      <c r="Y850" s="241"/>
      <c r="Z850" s="241"/>
    </row>
    <row r="851" spans="16:26">
      <c r="P851" s="241"/>
      <c r="Q851" s="241"/>
      <c r="R851" s="241"/>
      <c r="S851" s="241"/>
      <c r="T851" s="241"/>
      <c r="U851" s="241"/>
      <c r="V851" s="241"/>
      <c r="W851" s="241"/>
      <c r="X851" s="241"/>
      <c r="Y851" s="241"/>
      <c r="Z851" s="241"/>
    </row>
    <row r="852" spans="16:26">
      <c r="P852" s="241"/>
      <c r="Q852" s="241"/>
      <c r="R852" s="241"/>
      <c r="S852" s="241"/>
      <c r="T852" s="241"/>
      <c r="U852" s="241"/>
      <c r="V852" s="241"/>
      <c r="W852" s="241"/>
      <c r="X852" s="241"/>
      <c r="Y852" s="241"/>
      <c r="Z852" s="241"/>
    </row>
    <row r="853" spans="16:26">
      <c r="P853" s="241"/>
      <c r="Q853" s="241"/>
      <c r="R853" s="241"/>
      <c r="S853" s="241"/>
      <c r="T853" s="241"/>
      <c r="U853" s="241"/>
      <c r="V853" s="241"/>
      <c r="W853" s="241"/>
      <c r="X853" s="241"/>
      <c r="Y853" s="241"/>
      <c r="Z853" s="241"/>
    </row>
    <row r="854" spans="16:26">
      <c r="P854" s="241"/>
      <c r="Q854" s="241"/>
      <c r="R854" s="241"/>
      <c r="S854" s="241"/>
      <c r="T854" s="241"/>
      <c r="U854" s="241"/>
      <c r="V854" s="241"/>
      <c r="W854" s="241"/>
      <c r="X854" s="241"/>
      <c r="Y854" s="241"/>
      <c r="Z854" s="241"/>
    </row>
    <row r="855" spans="16:26">
      <c r="P855" s="241"/>
      <c r="Q855" s="241"/>
      <c r="R855" s="241"/>
      <c r="S855" s="241"/>
      <c r="T855" s="241"/>
      <c r="U855" s="241"/>
      <c r="V855" s="241"/>
      <c r="W855" s="241"/>
      <c r="X855" s="241"/>
      <c r="Y855" s="241"/>
      <c r="Z855" s="241"/>
    </row>
    <row r="856" spans="16:26">
      <c r="P856" s="241"/>
      <c r="Q856" s="241"/>
      <c r="R856" s="241"/>
      <c r="S856" s="241"/>
      <c r="T856" s="241"/>
      <c r="U856" s="241"/>
      <c r="V856" s="241"/>
      <c r="W856" s="241"/>
      <c r="X856" s="241"/>
      <c r="Y856" s="241"/>
      <c r="Z856" s="241"/>
    </row>
    <row r="857" spans="16:26">
      <c r="P857" s="241"/>
      <c r="Q857" s="241"/>
      <c r="R857" s="241"/>
      <c r="S857" s="241"/>
      <c r="T857" s="241"/>
      <c r="U857" s="241"/>
      <c r="V857" s="241"/>
      <c r="W857" s="241"/>
      <c r="X857" s="241"/>
      <c r="Y857" s="241"/>
      <c r="Z857" s="241"/>
    </row>
    <row r="858" spans="16:26">
      <c r="P858" s="241"/>
      <c r="Q858" s="241"/>
      <c r="R858" s="241"/>
      <c r="S858" s="241"/>
      <c r="T858" s="241"/>
      <c r="U858" s="241"/>
      <c r="V858" s="241"/>
      <c r="W858" s="241"/>
      <c r="X858" s="241"/>
      <c r="Y858" s="241"/>
      <c r="Z858" s="241"/>
    </row>
    <row r="859" spans="16:26">
      <c r="P859" s="241"/>
      <c r="Q859" s="241"/>
      <c r="R859" s="241"/>
      <c r="S859" s="241"/>
      <c r="T859" s="241"/>
      <c r="U859" s="241"/>
      <c r="V859" s="241"/>
      <c r="W859" s="241"/>
      <c r="X859" s="241"/>
      <c r="Y859" s="241"/>
      <c r="Z859" s="241"/>
    </row>
    <row r="860" spans="16:26">
      <c r="P860" s="241"/>
      <c r="Q860" s="241"/>
      <c r="R860" s="241"/>
      <c r="S860" s="241"/>
      <c r="T860" s="241"/>
      <c r="U860" s="241"/>
      <c r="V860" s="241"/>
      <c r="W860" s="241"/>
      <c r="X860" s="241"/>
      <c r="Y860" s="241"/>
      <c r="Z860" s="241"/>
    </row>
    <row r="861" spans="16:26">
      <c r="P861" s="241"/>
      <c r="Q861" s="241"/>
      <c r="R861" s="241"/>
      <c r="S861" s="241"/>
      <c r="T861" s="241"/>
      <c r="U861" s="241"/>
      <c r="V861" s="241"/>
      <c r="W861" s="241"/>
      <c r="X861" s="241"/>
      <c r="Y861" s="241"/>
      <c r="Z861" s="241"/>
    </row>
    <row r="862" spans="16:26">
      <c r="P862" s="241"/>
      <c r="Q862" s="241"/>
      <c r="R862" s="241"/>
      <c r="S862" s="241"/>
      <c r="T862" s="241"/>
      <c r="U862" s="241"/>
      <c r="V862" s="241"/>
      <c r="W862" s="241"/>
      <c r="X862" s="241"/>
      <c r="Y862" s="241"/>
      <c r="Z862" s="241"/>
    </row>
    <row r="863" spans="16:26">
      <c r="P863" s="241"/>
      <c r="Q863" s="241"/>
      <c r="R863" s="241"/>
      <c r="S863" s="241"/>
      <c r="T863" s="241"/>
      <c r="U863" s="241"/>
      <c r="V863" s="241"/>
      <c r="W863" s="241"/>
      <c r="X863" s="241"/>
      <c r="Y863" s="241"/>
      <c r="Z863" s="241"/>
    </row>
    <row r="864" spans="16:26">
      <c r="P864" s="241"/>
      <c r="Q864" s="241"/>
      <c r="R864" s="241"/>
      <c r="S864" s="241"/>
      <c r="T864" s="241"/>
      <c r="U864" s="241"/>
      <c r="V864" s="241"/>
      <c r="W864" s="241"/>
      <c r="X864" s="241"/>
      <c r="Y864" s="241"/>
      <c r="Z864" s="241"/>
    </row>
    <row r="865" spans="16:26">
      <c r="P865" s="241"/>
      <c r="Q865" s="241"/>
      <c r="R865" s="241"/>
      <c r="S865" s="241"/>
      <c r="T865" s="241"/>
      <c r="U865" s="241"/>
      <c r="V865" s="241"/>
      <c r="W865" s="241"/>
      <c r="X865" s="241"/>
      <c r="Y865" s="241"/>
      <c r="Z865" s="241"/>
    </row>
    <row r="866" spans="16:26">
      <c r="P866" s="241"/>
      <c r="Q866" s="241"/>
      <c r="R866" s="241"/>
      <c r="S866" s="241"/>
      <c r="T866" s="241"/>
      <c r="U866" s="241"/>
      <c r="V866" s="241"/>
      <c r="W866" s="241"/>
      <c r="X866" s="241"/>
      <c r="Y866" s="241"/>
      <c r="Z866" s="241"/>
    </row>
    <row r="867" spans="16:26">
      <c r="P867" s="241"/>
      <c r="Q867" s="241"/>
      <c r="R867" s="241"/>
      <c r="S867" s="241"/>
      <c r="T867" s="241"/>
      <c r="U867" s="241"/>
      <c r="V867" s="241"/>
      <c r="W867" s="241"/>
      <c r="X867" s="241"/>
      <c r="Y867" s="241"/>
      <c r="Z867" s="241"/>
    </row>
    <row r="868" spans="16:26">
      <c r="P868" s="241"/>
      <c r="Q868" s="241"/>
      <c r="R868" s="241"/>
      <c r="S868" s="241"/>
      <c r="T868" s="241"/>
      <c r="U868" s="241"/>
      <c r="V868" s="241"/>
      <c r="W868" s="241"/>
      <c r="X868" s="241"/>
      <c r="Y868" s="241"/>
      <c r="Z868" s="241"/>
    </row>
    <row r="869" spans="16:26">
      <c r="P869" s="241"/>
      <c r="Q869" s="241"/>
      <c r="R869" s="241"/>
      <c r="S869" s="241"/>
      <c r="T869" s="241"/>
      <c r="U869" s="241"/>
      <c r="V869" s="241"/>
      <c r="W869" s="241"/>
      <c r="X869" s="241"/>
      <c r="Y869" s="241"/>
      <c r="Z869" s="241"/>
    </row>
    <row r="870" spans="16:26">
      <c r="P870" s="241"/>
      <c r="Q870" s="241"/>
      <c r="R870" s="241"/>
      <c r="S870" s="241"/>
      <c r="T870" s="241"/>
      <c r="U870" s="241"/>
      <c r="V870" s="241"/>
      <c r="W870" s="241"/>
      <c r="X870" s="241"/>
      <c r="Y870" s="241"/>
      <c r="Z870" s="241"/>
    </row>
    <row r="871" spans="16:26">
      <c r="P871" s="241"/>
      <c r="Q871" s="241"/>
      <c r="R871" s="241"/>
      <c r="S871" s="241"/>
      <c r="T871" s="241"/>
      <c r="U871" s="241"/>
      <c r="V871" s="241"/>
      <c r="W871" s="241"/>
      <c r="X871" s="241"/>
      <c r="Y871" s="241"/>
      <c r="Z871" s="241"/>
    </row>
    <row r="872" spans="16:26">
      <c r="P872" s="241"/>
      <c r="Q872" s="241"/>
      <c r="R872" s="241"/>
      <c r="S872" s="241"/>
      <c r="T872" s="241"/>
      <c r="U872" s="241"/>
      <c r="V872" s="241"/>
      <c r="W872" s="241"/>
      <c r="X872" s="241"/>
      <c r="Y872" s="241"/>
      <c r="Z872" s="241"/>
    </row>
    <row r="873" spans="16:26">
      <c r="P873" s="241"/>
      <c r="Q873" s="241"/>
      <c r="R873" s="241"/>
      <c r="S873" s="241"/>
      <c r="T873" s="241"/>
      <c r="U873" s="241"/>
      <c r="V873" s="241"/>
      <c r="W873" s="241"/>
      <c r="X873" s="241"/>
      <c r="Y873" s="241"/>
      <c r="Z873" s="241"/>
    </row>
    <row r="874" spans="16:26">
      <c r="P874" s="241"/>
      <c r="Q874" s="241"/>
      <c r="R874" s="241"/>
      <c r="S874" s="241"/>
      <c r="T874" s="241"/>
      <c r="U874" s="241"/>
      <c r="V874" s="241"/>
      <c r="W874" s="241"/>
      <c r="X874" s="241"/>
      <c r="Y874" s="241"/>
      <c r="Z874" s="241"/>
    </row>
    <row r="875" spans="16:26">
      <c r="P875" s="241"/>
      <c r="Q875" s="241"/>
      <c r="R875" s="241"/>
      <c r="S875" s="241"/>
      <c r="T875" s="241"/>
      <c r="U875" s="241"/>
      <c r="V875" s="241"/>
      <c r="W875" s="241"/>
      <c r="X875" s="241"/>
      <c r="Y875" s="241"/>
      <c r="Z875" s="241"/>
    </row>
    <row r="876" spans="16:26">
      <c r="P876" s="241"/>
      <c r="Q876" s="241"/>
      <c r="R876" s="241"/>
      <c r="S876" s="241"/>
      <c r="T876" s="241"/>
      <c r="U876" s="241"/>
      <c r="V876" s="241"/>
      <c r="W876" s="241"/>
      <c r="X876" s="241"/>
      <c r="Y876" s="241"/>
      <c r="Z876" s="241"/>
    </row>
    <row r="877" spans="16:26">
      <c r="P877" s="241"/>
      <c r="Q877" s="241"/>
      <c r="R877" s="241"/>
      <c r="S877" s="241"/>
      <c r="T877" s="241"/>
      <c r="U877" s="241"/>
      <c r="V877" s="241"/>
      <c r="W877" s="241"/>
      <c r="X877" s="241"/>
      <c r="Y877" s="241"/>
      <c r="Z877" s="241"/>
    </row>
    <row r="878" spans="16:26">
      <c r="P878" s="241"/>
      <c r="Q878" s="241"/>
      <c r="R878" s="241"/>
      <c r="S878" s="241"/>
      <c r="T878" s="241"/>
      <c r="U878" s="241"/>
      <c r="V878" s="241"/>
      <c r="W878" s="241"/>
      <c r="X878" s="241"/>
      <c r="Y878" s="241"/>
      <c r="Z878" s="241"/>
    </row>
    <row r="879" spans="16:26">
      <c r="P879" s="241"/>
      <c r="Q879" s="241"/>
      <c r="R879" s="241"/>
      <c r="S879" s="241"/>
      <c r="T879" s="241"/>
      <c r="U879" s="241"/>
      <c r="V879" s="241"/>
      <c r="W879" s="241"/>
      <c r="X879" s="241"/>
      <c r="Y879" s="241"/>
      <c r="Z879" s="241"/>
    </row>
    <row r="880" spans="16:26">
      <c r="P880" s="241"/>
      <c r="Q880" s="241"/>
      <c r="R880" s="241"/>
      <c r="S880" s="241"/>
      <c r="T880" s="241"/>
      <c r="U880" s="241"/>
      <c r="V880" s="241"/>
      <c r="W880" s="241"/>
      <c r="X880" s="241"/>
      <c r="Y880" s="241"/>
      <c r="Z880" s="241"/>
    </row>
    <row r="881" spans="16:26">
      <c r="P881" s="241"/>
      <c r="Q881" s="241"/>
      <c r="R881" s="241"/>
      <c r="S881" s="241"/>
      <c r="T881" s="241"/>
      <c r="U881" s="241"/>
      <c r="V881" s="241"/>
      <c r="W881" s="241"/>
      <c r="X881" s="241"/>
      <c r="Y881" s="241"/>
      <c r="Z881" s="241"/>
    </row>
    <row r="882" spans="16:26">
      <c r="P882" s="241"/>
      <c r="Q882" s="241"/>
      <c r="R882" s="241"/>
      <c r="S882" s="241"/>
      <c r="T882" s="241"/>
      <c r="U882" s="241"/>
      <c r="V882" s="241"/>
      <c r="W882" s="241"/>
      <c r="X882" s="241"/>
      <c r="Y882" s="241"/>
      <c r="Z882" s="241"/>
    </row>
    <row r="883" spans="16:26">
      <c r="P883" s="241"/>
      <c r="Q883" s="241"/>
      <c r="R883" s="241"/>
      <c r="S883" s="241"/>
      <c r="T883" s="241"/>
      <c r="U883" s="241"/>
      <c r="V883" s="241"/>
      <c r="W883" s="241"/>
      <c r="X883" s="241"/>
      <c r="Y883" s="241"/>
      <c r="Z883" s="241"/>
    </row>
    <row r="884" spans="16:26">
      <c r="P884" s="241"/>
      <c r="Q884" s="241"/>
      <c r="R884" s="241"/>
      <c r="S884" s="241"/>
      <c r="T884" s="241"/>
      <c r="U884" s="241"/>
      <c r="V884" s="241"/>
      <c r="W884" s="241"/>
      <c r="X884" s="241"/>
      <c r="Y884" s="241"/>
      <c r="Z884" s="241"/>
    </row>
  </sheetData>
  <sheetProtection password="8C51" sheet="1" objects="1" scenarios="1" selectLockedCells="1"/>
  <pageMargins left="0.75" right="0.75" top="1" bottom="1" header="0.5" footer="0.5"/>
  <pageSetup orientation="portrait" horizontalDpi="1200" verticalDpi="1200"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B1:Z884"/>
  <sheetViews>
    <sheetView zoomScaleNormal="100" workbookViewId="0">
      <selection activeCell="P1" sqref="P1"/>
    </sheetView>
  </sheetViews>
  <sheetFormatPr defaultColWidth="8.88671875" defaultRowHeight="10.199999999999999"/>
  <cols>
    <col min="1" max="15" width="8.88671875" style="57"/>
    <col min="16" max="26" width="8.88671875" style="243"/>
    <col min="27" max="16384" width="8.88671875" style="57"/>
  </cols>
  <sheetData>
    <row r="1" spans="2:26">
      <c r="B1" s="57" t="s">
        <v>46</v>
      </c>
      <c r="C1" s="57" t="s">
        <v>47</v>
      </c>
      <c r="D1" s="57" t="s">
        <v>48</v>
      </c>
      <c r="E1" s="57" t="s">
        <v>49</v>
      </c>
      <c r="F1" s="57" t="s">
        <v>50</v>
      </c>
      <c r="G1" s="57" t="s">
        <v>51</v>
      </c>
      <c r="H1" s="57" t="s">
        <v>52</v>
      </c>
      <c r="I1" s="57" t="s">
        <v>53</v>
      </c>
      <c r="J1" s="57" t="s">
        <v>54</v>
      </c>
      <c r="P1" s="245"/>
      <c r="Q1" s="245"/>
      <c r="R1" s="245"/>
      <c r="S1" s="245"/>
      <c r="T1" s="245"/>
      <c r="U1" s="245"/>
      <c r="V1" s="245"/>
      <c r="W1" s="245"/>
      <c r="X1" s="245"/>
      <c r="Y1" s="245"/>
      <c r="Z1" s="245"/>
    </row>
    <row r="2" spans="2:26">
      <c r="B2" s="57" t="s">
        <v>55</v>
      </c>
      <c r="C2" s="57" t="s">
        <v>56</v>
      </c>
      <c r="D2" s="57" t="s">
        <v>56</v>
      </c>
      <c r="E2" s="57" t="s">
        <v>57</v>
      </c>
      <c r="F2" s="57" t="s">
        <v>57</v>
      </c>
      <c r="G2" s="57" t="s">
        <v>58</v>
      </c>
      <c r="H2" s="57" t="s">
        <v>59</v>
      </c>
      <c r="I2" s="57" t="s">
        <v>60</v>
      </c>
      <c r="J2" s="57" t="s">
        <v>61</v>
      </c>
      <c r="K2" s="57" t="s">
        <v>62</v>
      </c>
      <c r="L2" s="57" t="s">
        <v>63</v>
      </c>
      <c r="P2" s="245"/>
      <c r="Q2" s="245"/>
      <c r="R2" s="245"/>
      <c r="S2" s="245"/>
      <c r="T2" s="245"/>
      <c r="U2" s="245"/>
      <c r="V2" s="245"/>
      <c r="W2" s="245"/>
      <c r="X2" s="245"/>
      <c r="Y2" s="245"/>
      <c r="Z2" s="245"/>
    </row>
    <row r="3" spans="2:26">
      <c r="P3" s="245"/>
      <c r="Q3" s="245"/>
      <c r="R3" s="245"/>
      <c r="S3" s="245"/>
      <c r="T3" s="245"/>
      <c r="U3" s="245"/>
      <c r="V3" s="245"/>
      <c r="W3" s="245"/>
      <c r="X3" s="245"/>
      <c r="Y3" s="245"/>
      <c r="Z3" s="245"/>
    </row>
    <row r="4" spans="2:26">
      <c r="B4" s="57" t="s">
        <v>64</v>
      </c>
      <c r="C4" s="234" t="str">
        <f ca="1">IF(P1="","","L"&amp;MID(INDIRECT("P"&amp;L4),6,FIND(" ",INDIRECT("P"&amp;L4),6)-5))</f>
        <v/>
      </c>
      <c r="D4" s="234" t="str">
        <f ca="1">IF(P1="","",MID(INDIRECT("P"&amp;L4),SEARCH("(",INDIRECT("P"&amp;L4),1)+1,3))</f>
        <v/>
      </c>
      <c r="E4" s="234" t="str">
        <f ca="1">IF(P1="","",MID(INDIRECT("P"&amp;L4),SEARCH(")",INDIRECT("P"&amp;L4),1)+2,LEN(INDIRECT("P"&amp;L4))))</f>
        <v/>
      </c>
      <c r="F4" s="234"/>
      <c r="G4" s="234"/>
      <c r="H4" s="234"/>
      <c r="I4" s="234"/>
      <c r="J4" s="234"/>
      <c r="K4" s="234"/>
      <c r="L4" s="234" t="str">
        <f>IF(P1="","",MATCH("CASE*",P1:P10,0))</f>
        <v/>
      </c>
      <c r="M4" s="55">
        <f>ROUND(COUNT(P:P)*1.6,0)</f>
        <v>0</v>
      </c>
      <c r="P4" s="245"/>
      <c r="Q4" s="245"/>
      <c r="R4" s="245"/>
      <c r="S4" s="245"/>
      <c r="T4" s="245"/>
      <c r="U4" s="245"/>
      <c r="V4" s="245"/>
      <c r="W4" s="245"/>
      <c r="X4" s="245"/>
      <c r="Y4" s="245"/>
      <c r="Z4" s="245"/>
    </row>
    <row r="5" spans="2:26">
      <c r="P5" s="245"/>
      <c r="Q5" s="245"/>
      <c r="R5" s="245"/>
      <c r="S5" s="245"/>
      <c r="T5" s="245"/>
      <c r="U5" s="245"/>
      <c r="V5" s="245"/>
      <c r="W5" s="245"/>
      <c r="X5" s="245"/>
      <c r="Y5" s="245"/>
      <c r="Z5" s="245"/>
    </row>
    <row r="6" spans="2:26">
      <c r="B6" s="56" t="str">
        <f>IF('Low Stress Type Gasket'!BE11="","",'Low Stress Type Gasket'!BE11)</f>
        <v/>
      </c>
      <c r="C6" s="58" t="str">
        <f t="shared" ref="C6:L21" ca="1" si="0">IF($M$4=0,"",VLOOKUP($B6,INDIRECT("$P$1:$Z$"&amp;$M$4),COLUMN()-1,0))</f>
        <v/>
      </c>
      <c r="D6" s="58" t="str">
        <f t="shared" ca="1" si="0"/>
        <v/>
      </c>
      <c r="E6" s="58" t="str">
        <f t="shared" ca="1" si="0"/>
        <v/>
      </c>
      <c r="F6" s="58" t="str">
        <f t="shared" ca="1" si="0"/>
        <v/>
      </c>
      <c r="G6" s="58" t="str">
        <f t="shared" ca="1" si="0"/>
        <v/>
      </c>
      <c r="H6" s="58" t="str">
        <f t="shared" ca="1" si="0"/>
        <v/>
      </c>
      <c r="I6" s="58" t="str">
        <f t="shared" ca="1" si="0"/>
        <v/>
      </c>
      <c r="J6" s="58" t="str">
        <f t="shared" ca="1" si="0"/>
        <v/>
      </c>
      <c r="K6" s="58" t="str">
        <f t="shared" ca="1" si="0"/>
        <v/>
      </c>
      <c r="L6" s="58" t="str">
        <f t="shared" ca="1" si="0"/>
        <v/>
      </c>
      <c r="P6" s="245"/>
      <c r="Q6" s="245"/>
      <c r="R6" s="245"/>
      <c r="S6" s="245"/>
      <c r="T6" s="245"/>
      <c r="U6" s="245"/>
      <c r="V6" s="245"/>
      <c r="W6" s="245"/>
      <c r="X6" s="245"/>
      <c r="Y6" s="245"/>
      <c r="Z6" s="245"/>
    </row>
    <row r="7" spans="2:26">
      <c r="B7" s="56" t="str">
        <f>IF('Low Stress Type Gasket'!BE12="","",'Low Stress Type Gasket'!BE12)</f>
        <v/>
      </c>
      <c r="C7" s="58" t="str">
        <f t="shared" ca="1" si="0"/>
        <v/>
      </c>
      <c r="D7" s="58" t="str">
        <f t="shared" ca="1" si="0"/>
        <v/>
      </c>
      <c r="E7" s="58" t="str">
        <f t="shared" ca="1" si="0"/>
        <v/>
      </c>
      <c r="F7" s="58" t="str">
        <f t="shared" ca="1" si="0"/>
        <v/>
      </c>
      <c r="G7" s="58" t="str">
        <f t="shared" ca="1" si="0"/>
        <v/>
      </c>
      <c r="H7" s="58" t="str">
        <f t="shared" ca="1" si="0"/>
        <v/>
      </c>
      <c r="I7" s="58" t="str">
        <f t="shared" ca="1" si="0"/>
        <v/>
      </c>
      <c r="J7" s="58" t="str">
        <f t="shared" ca="1" si="0"/>
        <v/>
      </c>
      <c r="K7" s="58" t="str">
        <f t="shared" ca="1" si="0"/>
        <v/>
      </c>
      <c r="L7" s="58" t="str">
        <f t="shared" ca="1" si="0"/>
        <v/>
      </c>
      <c r="P7" s="245"/>
      <c r="Q7" s="245"/>
      <c r="R7" s="245"/>
      <c r="S7" s="245"/>
      <c r="T7" s="245"/>
      <c r="U7" s="245"/>
      <c r="V7" s="245"/>
      <c r="W7" s="245"/>
      <c r="X7" s="245"/>
      <c r="Y7" s="245"/>
      <c r="Z7" s="245"/>
    </row>
    <row r="8" spans="2:26">
      <c r="B8" s="56" t="str">
        <f>IF('Low Stress Type Gasket'!BE13="","",'Low Stress Type Gasket'!BE13)</f>
        <v/>
      </c>
      <c r="C8" s="58" t="str">
        <f t="shared" ca="1" si="0"/>
        <v/>
      </c>
      <c r="D8" s="58" t="str">
        <f t="shared" ca="1" si="0"/>
        <v/>
      </c>
      <c r="E8" s="58" t="str">
        <f t="shared" ca="1" si="0"/>
        <v/>
      </c>
      <c r="F8" s="58" t="str">
        <f t="shared" ca="1" si="0"/>
        <v/>
      </c>
      <c r="G8" s="58" t="str">
        <f t="shared" ca="1" si="0"/>
        <v/>
      </c>
      <c r="H8" s="58" t="str">
        <f t="shared" ca="1" si="0"/>
        <v/>
      </c>
      <c r="I8" s="58" t="str">
        <f t="shared" ca="1" si="0"/>
        <v/>
      </c>
      <c r="J8" s="58" t="str">
        <f t="shared" ca="1" si="0"/>
        <v/>
      </c>
      <c r="K8" s="58" t="str">
        <f t="shared" ca="1" si="0"/>
        <v/>
      </c>
      <c r="L8" s="58" t="str">
        <f t="shared" ca="1" si="0"/>
        <v/>
      </c>
      <c r="P8" s="241"/>
      <c r="Q8" s="241"/>
      <c r="R8" s="241"/>
      <c r="S8" s="241"/>
      <c r="T8" s="241"/>
      <c r="U8" s="241"/>
      <c r="V8" s="241"/>
      <c r="W8" s="241"/>
      <c r="X8" s="241"/>
      <c r="Y8" s="241"/>
      <c r="Z8" s="241"/>
    </row>
    <row r="9" spans="2:26">
      <c r="B9" s="56" t="str">
        <f>IF('Low Stress Type Gasket'!BE14="","",'Low Stress Type Gasket'!BE14)</f>
        <v/>
      </c>
      <c r="C9" s="58" t="str">
        <f t="shared" ca="1" si="0"/>
        <v/>
      </c>
      <c r="D9" s="58" t="str">
        <f t="shared" ca="1" si="0"/>
        <v/>
      </c>
      <c r="E9" s="58" t="str">
        <f t="shared" ca="1" si="0"/>
        <v/>
      </c>
      <c r="F9" s="58" t="str">
        <f t="shared" ca="1" si="0"/>
        <v/>
      </c>
      <c r="G9" s="58" t="str">
        <f t="shared" ca="1" si="0"/>
        <v/>
      </c>
      <c r="H9" s="58" t="str">
        <f t="shared" ca="1" si="0"/>
        <v/>
      </c>
      <c r="I9" s="58" t="str">
        <f t="shared" ca="1" si="0"/>
        <v/>
      </c>
      <c r="J9" s="58" t="str">
        <f t="shared" ca="1" si="0"/>
        <v/>
      </c>
      <c r="K9" s="58" t="str">
        <f t="shared" ca="1" si="0"/>
        <v/>
      </c>
      <c r="L9" s="58" t="str">
        <f t="shared" ca="1" si="0"/>
        <v/>
      </c>
      <c r="P9" s="245"/>
      <c r="Q9" s="245"/>
      <c r="R9" s="245"/>
      <c r="S9" s="245"/>
      <c r="T9" s="245"/>
      <c r="U9" s="245"/>
      <c r="V9" s="245"/>
      <c r="W9" s="245"/>
      <c r="X9" s="245"/>
      <c r="Y9" s="245"/>
      <c r="Z9" s="245"/>
    </row>
    <row r="10" spans="2:26">
      <c r="B10" s="56" t="str">
        <f>IF('Low Stress Type Gasket'!BE15="","",'Low Stress Type Gasket'!BE15)</f>
        <v/>
      </c>
      <c r="C10" s="58" t="str">
        <f t="shared" ca="1" si="0"/>
        <v/>
      </c>
      <c r="D10" s="58" t="str">
        <f t="shared" ca="1" si="0"/>
        <v/>
      </c>
      <c r="E10" s="58" t="str">
        <f t="shared" ca="1" si="0"/>
        <v/>
      </c>
      <c r="F10" s="58" t="str">
        <f t="shared" ca="1" si="0"/>
        <v/>
      </c>
      <c r="G10" s="58" t="str">
        <f t="shared" ca="1" si="0"/>
        <v/>
      </c>
      <c r="H10" s="58" t="str">
        <f t="shared" ca="1" si="0"/>
        <v/>
      </c>
      <c r="I10" s="58" t="str">
        <f t="shared" ca="1" si="0"/>
        <v/>
      </c>
      <c r="J10" s="58" t="str">
        <f t="shared" ca="1" si="0"/>
        <v/>
      </c>
      <c r="K10" s="58" t="str">
        <f t="shared" ca="1" si="0"/>
        <v/>
      </c>
      <c r="L10" s="58" t="str">
        <f t="shared" ca="1" si="0"/>
        <v/>
      </c>
      <c r="P10" s="245"/>
      <c r="Q10" s="245"/>
      <c r="R10" s="245"/>
      <c r="S10" s="245"/>
      <c r="T10" s="245"/>
      <c r="U10" s="245"/>
      <c r="V10" s="245"/>
      <c r="W10" s="245"/>
      <c r="X10" s="245"/>
      <c r="Y10" s="245"/>
      <c r="Z10" s="245"/>
    </row>
    <row r="11" spans="2:26">
      <c r="B11" s="56" t="str">
        <f>IF('Low Stress Type Gasket'!BE16="","",'Low Stress Type Gasket'!BE16)</f>
        <v/>
      </c>
      <c r="C11" s="58" t="str">
        <f t="shared" ca="1" si="0"/>
        <v/>
      </c>
      <c r="D11" s="58" t="str">
        <f t="shared" ca="1" si="0"/>
        <v/>
      </c>
      <c r="E11" s="58" t="str">
        <f t="shared" ca="1" si="0"/>
        <v/>
      </c>
      <c r="F11" s="58" t="str">
        <f t="shared" ca="1" si="0"/>
        <v/>
      </c>
      <c r="G11" s="58" t="str">
        <f t="shared" ca="1" si="0"/>
        <v/>
      </c>
      <c r="H11" s="58" t="str">
        <f t="shared" ca="1" si="0"/>
        <v/>
      </c>
      <c r="I11" s="58" t="str">
        <f t="shared" ca="1" si="0"/>
        <v/>
      </c>
      <c r="J11" s="58" t="str">
        <f t="shared" ca="1" si="0"/>
        <v/>
      </c>
      <c r="K11" s="58" t="str">
        <f t="shared" ca="1" si="0"/>
        <v/>
      </c>
      <c r="L11" s="58" t="str">
        <f t="shared" ca="1" si="0"/>
        <v/>
      </c>
      <c r="P11" s="245"/>
      <c r="Q11" s="245"/>
      <c r="R11" s="245"/>
      <c r="S11" s="245"/>
      <c r="T11" s="245"/>
      <c r="U11" s="245"/>
      <c r="V11" s="245"/>
      <c r="W11" s="245"/>
      <c r="X11" s="245"/>
      <c r="Y11" s="245"/>
      <c r="Z11" s="245"/>
    </row>
    <row r="12" spans="2:26">
      <c r="B12" s="56" t="str">
        <f>IF('Low Stress Type Gasket'!BE17="","",'Low Stress Type Gasket'!BE17)</f>
        <v/>
      </c>
      <c r="C12" s="58" t="str">
        <f t="shared" ca="1" si="0"/>
        <v/>
      </c>
      <c r="D12" s="58" t="str">
        <f t="shared" ca="1" si="0"/>
        <v/>
      </c>
      <c r="E12" s="58" t="str">
        <f t="shared" ca="1" si="0"/>
        <v/>
      </c>
      <c r="F12" s="58" t="str">
        <f t="shared" ca="1" si="0"/>
        <v/>
      </c>
      <c r="G12" s="58" t="str">
        <f t="shared" ca="1" si="0"/>
        <v/>
      </c>
      <c r="H12" s="58" t="str">
        <f t="shared" ca="1" si="0"/>
        <v/>
      </c>
      <c r="I12" s="58" t="str">
        <f t="shared" ca="1" si="0"/>
        <v/>
      </c>
      <c r="J12" s="58" t="str">
        <f t="shared" ca="1" si="0"/>
        <v/>
      </c>
      <c r="K12" s="58" t="str">
        <f t="shared" ca="1" si="0"/>
        <v/>
      </c>
      <c r="L12" s="58" t="str">
        <f t="shared" ca="1" si="0"/>
        <v/>
      </c>
      <c r="P12" s="241"/>
      <c r="Q12" s="241"/>
      <c r="R12" s="241"/>
      <c r="S12" s="241"/>
      <c r="T12" s="241"/>
      <c r="U12" s="241"/>
      <c r="V12" s="241"/>
      <c r="W12" s="241"/>
      <c r="X12" s="241"/>
      <c r="Y12" s="241"/>
      <c r="Z12" s="241"/>
    </row>
    <row r="13" spans="2:26">
      <c r="B13" s="56" t="str">
        <f>IF('Low Stress Type Gasket'!BE18="","",'Low Stress Type Gasket'!BE18)</f>
        <v/>
      </c>
      <c r="C13" s="58" t="str">
        <f t="shared" ca="1" si="0"/>
        <v/>
      </c>
      <c r="D13" s="58" t="str">
        <f t="shared" ca="1" si="0"/>
        <v/>
      </c>
      <c r="E13" s="58" t="str">
        <f t="shared" ca="1" si="0"/>
        <v/>
      </c>
      <c r="F13" s="58" t="str">
        <f t="shared" ca="1" si="0"/>
        <v/>
      </c>
      <c r="G13" s="58" t="str">
        <f t="shared" ca="1" si="0"/>
        <v/>
      </c>
      <c r="H13" s="58" t="str">
        <f t="shared" ca="1" si="0"/>
        <v/>
      </c>
      <c r="I13" s="58" t="str">
        <f t="shared" ca="1" si="0"/>
        <v/>
      </c>
      <c r="J13" s="58" t="str">
        <f t="shared" ca="1" si="0"/>
        <v/>
      </c>
      <c r="K13" s="58" t="str">
        <f t="shared" ca="1" si="0"/>
        <v/>
      </c>
      <c r="L13" s="58" t="str">
        <f t="shared" ca="1" si="0"/>
        <v/>
      </c>
      <c r="P13" s="245"/>
      <c r="Q13" s="245"/>
      <c r="R13" s="245"/>
      <c r="S13" s="245"/>
      <c r="T13" s="245"/>
      <c r="U13" s="245"/>
      <c r="V13" s="245"/>
      <c r="W13" s="245"/>
      <c r="X13" s="245"/>
      <c r="Y13" s="245"/>
      <c r="Z13" s="245"/>
    </row>
    <row r="14" spans="2:26">
      <c r="B14" s="56" t="str">
        <f>IF('Low Stress Type Gasket'!BE19="","",'Low Stress Type Gasket'!BE19)</f>
        <v/>
      </c>
      <c r="C14" s="58" t="str">
        <f t="shared" ca="1" si="0"/>
        <v/>
      </c>
      <c r="D14" s="58" t="str">
        <f t="shared" ca="1" si="0"/>
        <v/>
      </c>
      <c r="E14" s="58" t="str">
        <f t="shared" ca="1" si="0"/>
        <v/>
      </c>
      <c r="F14" s="58" t="str">
        <f t="shared" ca="1" si="0"/>
        <v/>
      </c>
      <c r="G14" s="58" t="str">
        <f t="shared" ca="1" si="0"/>
        <v/>
      </c>
      <c r="H14" s="58" t="str">
        <f t="shared" ca="1" si="0"/>
        <v/>
      </c>
      <c r="I14" s="58" t="str">
        <f t="shared" ca="1" si="0"/>
        <v/>
      </c>
      <c r="J14" s="58" t="str">
        <f t="shared" ca="1" si="0"/>
        <v/>
      </c>
      <c r="K14" s="58" t="str">
        <f t="shared" ca="1" si="0"/>
        <v/>
      </c>
      <c r="L14" s="58" t="str">
        <f t="shared" ca="1" si="0"/>
        <v/>
      </c>
      <c r="P14" s="245"/>
      <c r="Q14" s="245"/>
      <c r="R14" s="245"/>
      <c r="S14" s="245"/>
      <c r="T14" s="245"/>
      <c r="U14" s="245"/>
      <c r="V14" s="245"/>
      <c r="W14" s="245"/>
      <c r="X14" s="245"/>
      <c r="Y14" s="245"/>
      <c r="Z14" s="245"/>
    </row>
    <row r="15" spans="2:26">
      <c r="B15" s="56" t="str">
        <f>IF('Low Stress Type Gasket'!BE20="","",'Low Stress Type Gasket'!BE20)</f>
        <v/>
      </c>
      <c r="C15" s="58" t="str">
        <f t="shared" ca="1" si="0"/>
        <v/>
      </c>
      <c r="D15" s="58" t="str">
        <f t="shared" ca="1" si="0"/>
        <v/>
      </c>
      <c r="E15" s="58" t="str">
        <f t="shared" ca="1" si="0"/>
        <v/>
      </c>
      <c r="F15" s="58" t="str">
        <f t="shared" ca="1" si="0"/>
        <v/>
      </c>
      <c r="G15" s="58" t="str">
        <f t="shared" ca="1" si="0"/>
        <v/>
      </c>
      <c r="H15" s="58" t="str">
        <f t="shared" ca="1" si="0"/>
        <v/>
      </c>
      <c r="I15" s="58" t="str">
        <f t="shared" ca="1" si="0"/>
        <v/>
      </c>
      <c r="J15" s="58" t="str">
        <f t="shared" ca="1" si="0"/>
        <v/>
      </c>
      <c r="K15" s="58" t="str">
        <f t="shared" ca="1" si="0"/>
        <v/>
      </c>
      <c r="L15" s="58" t="str">
        <f t="shared" ca="1" si="0"/>
        <v/>
      </c>
      <c r="P15" s="241"/>
      <c r="Q15" s="241"/>
      <c r="R15" s="241"/>
      <c r="S15" s="241"/>
      <c r="T15" s="241"/>
      <c r="U15" s="241"/>
      <c r="V15" s="241"/>
      <c r="W15" s="241"/>
      <c r="X15" s="241"/>
      <c r="Y15" s="241"/>
      <c r="Z15" s="241"/>
    </row>
    <row r="16" spans="2:26">
      <c r="B16" s="56" t="str">
        <f>IF('Low Stress Type Gasket'!BE21="","",'Low Stress Type Gasket'!BE21)</f>
        <v/>
      </c>
      <c r="C16" s="58" t="str">
        <f t="shared" ca="1" si="0"/>
        <v/>
      </c>
      <c r="D16" s="58" t="str">
        <f t="shared" ca="1" si="0"/>
        <v/>
      </c>
      <c r="E16" s="58" t="str">
        <f t="shared" ca="1" si="0"/>
        <v/>
      </c>
      <c r="F16" s="58" t="str">
        <f t="shared" ca="1" si="0"/>
        <v/>
      </c>
      <c r="G16" s="58" t="str">
        <f t="shared" ca="1" si="0"/>
        <v/>
      </c>
      <c r="H16" s="58" t="str">
        <f t="shared" ca="1" si="0"/>
        <v/>
      </c>
      <c r="I16" s="58" t="str">
        <f t="shared" ca="1" si="0"/>
        <v/>
      </c>
      <c r="J16" s="58" t="str">
        <f t="shared" ca="1" si="0"/>
        <v/>
      </c>
      <c r="K16" s="58" t="str">
        <f t="shared" ca="1" si="0"/>
        <v/>
      </c>
      <c r="L16" s="58" t="str">
        <f t="shared" ca="1" si="0"/>
        <v/>
      </c>
      <c r="P16" s="245"/>
      <c r="Q16" s="245"/>
      <c r="R16" s="245"/>
      <c r="S16" s="245"/>
      <c r="T16" s="245"/>
      <c r="U16" s="245"/>
      <c r="V16" s="245"/>
      <c r="W16" s="245"/>
      <c r="X16" s="245"/>
      <c r="Y16" s="245"/>
      <c r="Z16" s="245"/>
    </row>
    <row r="17" spans="2:26">
      <c r="B17" s="56" t="str">
        <f>IF('Low Stress Type Gasket'!BE22="","",'Low Stress Type Gasket'!BE22)</f>
        <v/>
      </c>
      <c r="C17" s="58" t="str">
        <f t="shared" ca="1" si="0"/>
        <v/>
      </c>
      <c r="D17" s="58" t="str">
        <f t="shared" ca="1" si="0"/>
        <v/>
      </c>
      <c r="E17" s="58" t="str">
        <f t="shared" ca="1" si="0"/>
        <v/>
      </c>
      <c r="F17" s="58" t="str">
        <f t="shared" ca="1" si="0"/>
        <v/>
      </c>
      <c r="G17" s="58" t="str">
        <f t="shared" ca="1" si="0"/>
        <v/>
      </c>
      <c r="H17" s="58" t="str">
        <f t="shared" ca="1" si="0"/>
        <v/>
      </c>
      <c r="I17" s="58" t="str">
        <f t="shared" ca="1" si="0"/>
        <v/>
      </c>
      <c r="J17" s="58" t="str">
        <f t="shared" ca="1" si="0"/>
        <v/>
      </c>
      <c r="K17" s="58" t="str">
        <f t="shared" ca="1" si="0"/>
        <v/>
      </c>
      <c r="L17" s="58" t="str">
        <f t="shared" ca="1" si="0"/>
        <v/>
      </c>
      <c r="P17" s="245"/>
      <c r="Q17" s="245"/>
      <c r="R17" s="245"/>
      <c r="S17" s="245"/>
      <c r="T17" s="245"/>
      <c r="U17" s="245"/>
      <c r="V17" s="245"/>
      <c r="W17" s="245"/>
      <c r="X17" s="245"/>
      <c r="Y17" s="245"/>
      <c r="Z17" s="245"/>
    </row>
    <row r="18" spans="2:26">
      <c r="B18" s="56" t="str">
        <f>IF('Low Stress Type Gasket'!BE23="","",'Low Stress Type Gasket'!BE23)</f>
        <v/>
      </c>
      <c r="C18" s="58" t="str">
        <f t="shared" ca="1" si="0"/>
        <v/>
      </c>
      <c r="D18" s="58" t="str">
        <f t="shared" ca="1" si="0"/>
        <v/>
      </c>
      <c r="E18" s="58" t="str">
        <f t="shared" ca="1" si="0"/>
        <v/>
      </c>
      <c r="F18" s="58" t="str">
        <f t="shared" ca="1" si="0"/>
        <v/>
      </c>
      <c r="G18" s="58" t="str">
        <f t="shared" ca="1" si="0"/>
        <v/>
      </c>
      <c r="H18" s="58" t="str">
        <f t="shared" ca="1" si="0"/>
        <v/>
      </c>
      <c r="I18" s="58" t="str">
        <f t="shared" ca="1" si="0"/>
        <v/>
      </c>
      <c r="J18" s="58" t="str">
        <f t="shared" ca="1" si="0"/>
        <v/>
      </c>
      <c r="K18" s="58" t="str">
        <f t="shared" ca="1" si="0"/>
        <v/>
      </c>
      <c r="L18" s="58" t="str">
        <f t="shared" ca="1" si="0"/>
        <v/>
      </c>
      <c r="P18" s="241"/>
      <c r="Q18" s="241"/>
      <c r="R18" s="241"/>
      <c r="S18" s="241"/>
      <c r="T18" s="241"/>
      <c r="U18" s="241"/>
      <c r="V18" s="241"/>
      <c r="W18" s="241"/>
      <c r="X18" s="241"/>
      <c r="Y18" s="241"/>
      <c r="Z18" s="241"/>
    </row>
    <row r="19" spans="2:26">
      <c r="B19" s="56" t="str">
        <f>IF('Low Stress Type Gasket'!BE24="","",'Low Stress Type Gasket'!BE24)</f>
        <v/>
      </c>
      <c r="C19" s="58" t="str">
        <f t="shared" ca="1" si="0"/>
        <v/>
      </c>
      <c r="D19" s="58" t="str">
        <f t="shared" ca="1" si="0"/>
        <v/>
      </c>
      <c r="E19" s="58" t="str">
        <f t="shared" ca="1" si="0"/>
        <v/>
      </c>
      <c r="F19" s="58" t="str">
        <f t="shared" ca="1" si="0"/>
        <v/>
      </c>
      <c r="G19" s="58" t="str">
        <f t="shared" ca="1" si="0"/>
        <v/>
      </c>
      <c r="H19" s="58" t="str">
        <f t="shared" ca="1" si="0"/>
        <v/>
      </c>
      <c r="I19" s="58" t="str">
        <f t="shared" ca="1" si="0"/>
        <v/>
      </c>
      <c r="J19" s="58" t="str">
        <f t="shared" ca="1" si="0"/>
        <v/>
      </c>
      <c r="K19" s="58" t="str">
        <f t="shared" ca="1" si="0"/>
        <v/>
      </c>
      <c r="L19" s="58" t="str">
        <f t="shared" ca="1" si="0"/>
        <v/>
      </c>
      <c r="P19" s="245"/>
      <c r="Q19" s="245"/>
      <c r="R19" s="245"/>
      <c r="S19" s="245"/>
      <c r="T19" s="245"/>
      <c r="U19" s="245"/>
      <c r="V19" s="245"/>
      <c r="W19" s="245"/>
      <c r="X19" s="245"/>
      <c r="Y19" s="245"/>
      <c r="Z19" s="245"/>
    </row>
    <row r="20" spans="2:26">
      <c r="B20" s="56" t="str">
        <f>IF('Low Stress Type Gasket'!BE25="","",'Low Stress Type Gasket'!BE25)</f>
        <v/>
      </c>
      <c r="C20" s="58" t="str">
        <f t="shared" ca="1" si="0"/>
        <v/>
      </c>
      <c r="D20" s="58" t="str">
        <f t="shared" ca="1" si="0"/>
        <v/>
      </c>
      <c r="E20" s="58" t="str">
        <f t="shared" ca="1" si="0"/>
        <v/>
      </c>
      <c r="F20" s="58" t="str">
        <f t="shared" ca="1" si="0"/>
        <v/>
      </c>
      <c r="G20" s="58" t="str">
        <f t="shared" ca="1" si="0"/>
        <v/>
      </c>
      <c r="H20" s="58" t="str">
        <f t="shared" ca="1" si="0"/>
        <v/>
      </c>
      <c r="I20" s="58" t="str">
        <f t="shared" ca="1" si="0"/>
        <v/>
      </c>
      <c r="J20" s="58" t="str">
        <f t="shared" ca="1" si="0"/>
        <v/>
      </c>
      <c r="K20" s="58" t="str">
        <f t="shared" ca="1" si="0"/>
        <v/>
      </c>
      <c r="L20" s="58" t="str">
        <f t="shared" ca="1" si="0"/>
        <v/>
      </c>
      <c r="P20" s="245"/>
      <c r="Q20" s="245"/>
      <c r="R20" s="245"/>
      <c r="S20" s="245"/>
      <c r="T20" s="245"/>
      <c r="U20" s="245"/>
      <c r="V20" s="245"/>
      <c r="W20" s="245"/>
      <c r="X20" s="245"/>
      <c r="Y20" s="245"/>
      <c r="Z20" s="245"/>
    </row>
    <row r="21" spans="2:26">
      <c r="B21" s="56" t="str">
        <f>IF('Low Stress Type Gasket'!BE26="","",'Low Stress Type Gasket'!BE26)</f>
        <v/>
      </c>
      <c r="C21" s="58" t="str">
        <f t="shared" ca="1" si="0"/>
        <v/>
      </c>
      <c r="D21" s="58" t="str">
        <f t="shared" ca="1" si="0"/>
        <v/>
      </c>
      <c r="E21" s="58" t="str">
        <f t="shared" ca="1" si="0"/>
        <v/>
      </c>
      <c r="F21" s="58" t="str">
        <f t="shared" ca="1" si="0"/>
        <v/>
      </c>
      <c r="G21" s="58" t="str">
        <f t="shared" ca="1" si="0"/>
        <v/>
      </c>
      <c r="H21" s="58" t="str">
        <f t="shared" ca="1" si="0"/>
        <v/>
      </c>
      <c r="I21" s="58" t="str">
        <f t="shared" ca="1" si="0"/>
        <v/>
      </c>
      <c r="J21" s="58" t="str">
        <f t="shared" ca="1" si="0"/>
        <v/>
      </c>
      <c r="K21" s="58" t="str">
        <f t="shared" ca="1" si="0"/>
        <v/>
      </c>
      <c r="L21" s="58" t="str">
        <f t="shared" ca="1" si="0"/>
        <v/>
      </c>
      <c r="P21" s="241"/>
      <c r="Q21" s="241"/>
      <c r="R21" s="241"/>
      <c r="S21" s="241"/>
      <c r="T21" s="241"/>
      <c r="U21" s="241"/>
      <c r="V21" s="241"/>
      <c r="W21" s="241"/>
      <c r="X21" s="241"/>
      <c r="Y21" s="241"/>
      <c r="Z21" s="241"/>
    </row>
    <row r="22" spans="2:26">
      <c r="B22" s="56" t="str">
        <f>IF('Low Stress Type Gasket'!BE27="","",'Low Stress Type Gasket'!BE27)</f>
        <v/>
      </c>
      <c r="C22" s="58" t="str">
        <f t="shared" ref="C22:L37" ca="1" si="1">IF($M$4=0,"",VLOOKUP($B22,INDIRECT("$P$1:$Z$"&amp;$M$4),COLUMN()-1,0))</f>
        <v/>
      </c>
      <c r="D22" s="58" t="str">
        <f t="shared" ca="1" si="1"/>
        <v/>
      </c>
      <c r="E22" s="58" t="str">
        <f t="shared" ca="1" si="1"/>
        <v/>
      </c>
      <c r="F22" s="58" t="str">
        <f t="shared" ca="1" si="1"/>
        <v/>
      </c>
      <c r="G22" s="58" t="str">
        <f t="shared" ca="1" si="1"/>
        <v/>
      </c>
      <c r="H22" s="58" t="str">
        <f t="shared" ca="1" si="1"/>
        <v/>
      </c>
      <c r="I22" s="58" t="str">
        <f t="shared" ca="1" si="1"/>
        <v/>
      </c>
      <c r="J22" s="58" t="str">
        <f t="shared" ca="1" si="1"/>
        <v/>
      </c>
      <c r="K22" s="58" t="str">
        <f t="shared" ca="1" si="1"/>
        <v/>
      </c>
      <c r="L22" s="58" t="str">
        <f t="shared" ca="1" si="1"/>
        <v/>
      </c>
      <c r="P22" s="245"/>
      <c r="Q22" s="245"/>
      <c r="R22" s="245"/>
      <c r="S22" s="245"/>
      <c r="T22" s="245"/>
      <c r="U22" s="245"/>
      <c r="V22" s="245"/>
      <c r="W22" s="245"/>
      <c r="X22" s="245"/>
      <c r="Y22" s="245"/>
      <c r="Z22" s="245"/>
    </row>
    <row r="23" spans="2:26">
      <c r="B23" s="56" t="str">
        <f>IF('Low Stress Type Gasket'!BE28="","",'Low Stress Type Gasket'!BE28)</f>
        <v/>
      </c>
      <c r="C23" s="58" t="str">
        <f t="shared" ca="1" si="1"/>
        <v/>
      </c>
      <c r="D23" s="58" t="str">
        <f t="shared" ca="1" si="1"/>
        <v/>
      </c>
      <c r="E23" s="58" t="str">
        <f t="shared" ca="1" si="1"/>
        <v/>
      </c>
      <c r="F23" s="58" t="str">
        <f t="shared" ca="1" si="1"/>
        <v/>
      </c>
      <c r="G23" s="58" t="str">
        <f t="shared" ca="1" si="1"/>
        <v/>
      </c>
      <c r="H23" s="58" t="str">
        <f t="shared" ca="1" si="1"/>
        <v/>
      </c>
      <c r="I23" s="58" t="str">
        <f t="shared" ca="1" si="1"/>
        <v/>
      </c>
      <c r="J23" s="58" t="str">
        <f t="shared" ca="1" si="1"/>
        <v/>
      </c>
      <c r="K23" s="58" t="str">
        <f t="shared" ca="1" si="1"/>
        <v/>
      </c>
      <c r="L23" s="58" t="str">
        <f t="shared" ca="1" si="1"/>
        <v/>
      </c>
      <c r="P23" s="245"/>
      <c r="Q23" s="245"/>
      <c r="R23" s="245"/>
      <c r="S23" s="245"/>
      <c r="T23" s="245"/>
      <c r="U23" s="245"/>
      <c r="V23" s="245"/>
      <c r="W23" s="245"/>
      <c r="X23" s="245"/>
      <c r="Y23" s="245"/>
      <c r="Z23" s="245"/>
    </row>
    <row r="24" spans="2:26">
      <c r="B24" s="56" t="str">
        <f>IF('Low Stress Type Gasket'!BE29="","",'Low Stress Type Gasket'!BE29)</f>
        <v/>
      </c>
      <c r="C24" s="58" t="str">
        <f t="shared" ca="1" si="1"/>
        <v/>
      </c>
      <c r="D24" s="58" t="str">
        <f t="shared" ca="1" si="1"/>
        <v/>
      </c>
      <c r="E24" s="58" t="str">
        <f t="shared" ca="1" si="1"/>
        <v/>
      </c>
      <c r="F24" s="58" t="str">
        <f t="shared" ca="1" si="1"/>
        <v/>
      </c>
      <c r="G24" s="58" t="str">
        <f t="shared" ca="1" si="1"/>
        <v/>
      </c>
      <c r="H24" s="58" t="str">
        <f t="shared" ca="1" si="1"/>
        <v/>
      </c>
      <c r="I24" s="58" t="str">
        <f t="shared" ca="1" si="1"/>
        <v/>
      </c>
      <c r="J24" s="58" t="str">
        <f t="shared" ca="1" si="1"/>
        <v/>
      </c>
      <c r="K24" s="58" t="str">
        <f t="shared" ca="1" si="1"/>
        <v/>
      </c>
      <c r="L24" s="58" t="str">
        <f t="shared" ca="1" si="1"/>
        <v/>
      </c>
      <c r="P24" s="241"/>
      <c r="Q24" s="241"/>
      <c r="R24" s="241"/>
      <c r="S24" s="241"/>
      <c r="T24" s="241"/>
      <c r="U24" s="241"/>
      <c r="V24" s="241"/>
      <c r="W24" s="241"/>
      <c r="X24" s="241"/>
      <c r="Y24" s="241"/>
      <c r="Z24" s="241"/>
    </row>
    <row r="25" spans="2:26">
      <c r="B25" s="56" t="str">
        <f>IF('Low Stress Type Gasket'!BE30="","",'Low Stress Type Gasket'!BE30)</f>
        <v/>
      </c>
      <c r="C25" s="58" t="str">
        <f t="shared" ca="1" si="1"/>
        <v/>
      </c>
      <c r="D25" s="58" t="str">
        <f t="shared" ca="1" si="1"/>
        <v/>
      </c>
      <c r="E25" s="58" t="str">
        <f t="shared" ca="1" si="1"/>
        <v/>
      </c>
      <c r="F25" s="58" t="str">
        <f t="shared" ca="1" si="1"/>
        <v/>
      </c>
      <c r="G25" s="58" t="str">
        <f t="shared" ca="1" si="1"/>
        <v/>
      </c>
      <c r="H25" s="58" t="str">
        <f t="shared" ca="1" si="1"/>
        <v/>
      </c>
      <c r="I25" s="58" t="str">
        <f t="shared" ca="1" si="1"/>
        <v/>
      </c>
      <c r="J25" s="58" t="str">
        <f t="shared" ca="1" si="1"/>
        <v/>
      </c>
      <c r="K25" s="58" t="str">
        <f t="shared" ca="1" si="1"/>
        <v/>
      </c>
      <c r="L25" s="58" t="str">
        <f t="shared" ca="1" si="1"/>
        <v/>
      </c>
      <c r="P25" s="245"/>
      <c r="Q25" s="245"/>
      <c r="R25" s="245"/>
      <c r="S25" s="245"/>
      <c r="T25" s="245"/>
      <c r="U25" s="245"/>
      <c r="V25" s="245"/>
      <c r="W25" s="245"/>
      <c r="X25" s="245"/>
      <c r="Y25" s="245"/>
      <c r="Z25" s="245"/>
    </row>
    <row r="26" spans="2:26">
      <c r="B26" s="56" t="str">
        <f>IF('Low Stress Type Gasket'!BE31="","",'Low Stress Type Gasket'!BE31)</f>
        <v/>
      </c>
      <c r="C26" s="58" t="str">
        <f t="shared" ca="1" si="1"/>
        <v/>
      </c>
      <c r="D26" s="58" t="str">
        <f t="shared" ca="1" si="1"/>
        <v/>
      </c>
      <c r="E26" s="58" t="str">
        <f t="shared" ca="1" si="1"/>
        <v/>
      </c>
      <c r="F26" s="58" t="str">
        <f t="shared" ca="1" si="1"/>
        <v/>
      </c>
      <c r="G26" s="58" t="str">
        <f t="shared" ca="1" si="1"/>
        <v/>
      </c>
      <c r="H26" s="58" t="str">
        <f t="shared" ca="1" si="1"/>
        <v/>
      </c>
      <c r="I26" s="58" t="str">
        <f t="shared" ca="1" si="1"/>
        <v/>
      </c>
      <c r="J26" s="58" t="str">
        <f t="shared" ca="1" si="1"/>
        <v/>
      </c>
      <c r="K26" s="58" t="str">
        <f t="shared" ca="1" si="1"/>
        <v/>
      </c>
      <c r="L26" s="58" t="str">
        <f t="shared" ca="1" si="1"/>
        <v/>
      </c>
      <c r="P26" s="245"/>
      <c r="Q26" s="245"/>
      <c r="R26" s="245"/>
      <c r="S26" s="245"/>
      <c r="T26" s="245"/>
      <c r="U26" s="245"/>
      <c r="V26" s="245"/>
      <c r="W26" s="245"/>
      <c r="X26" s="245"/>
      <c r="Y26" s="245"/>
      <c r="Z26" s="245"/>
    </row>
    <row r="27" spans="2:26">
      <c r="B27" s="56" t="str">
        <f>IF('Low Stress Type Gasket'!BE32="","",'Low Stress Type Gasket'!BE32)</f>
        <v/>
      </c>
      <c r="C27" s="58" t="str">
        <f t="shared" ca="1" si="1"/>
        <v/>
      </c>
      <c r="D27" s="58" t="str">
        <f t="shared" ca="1" si="1"/>
        <v/>
      </c>
      <c r="E27" s="58" t="str">
        <f t="shared" ca="1" si="1"/>
        <v/>
      </c>
      <c r="F27" s="58" t="str">
        <f t="shared" ca="1" si="1"/>
        <v/>
      </c>
      <c r="G27" s="58" t="str">
        <f t="shared" ca="1" si="1"/>
        <v/>
      </c>
      <c r="H27" s="58" t="str">
        <f t="shared" ca="1" si="1"/>
        <v/>
      </c>
      <c r="I27" s="58" t="str">
        <f t="shared" ca="1" si="1"/>
        <v/>
      </c>
      <c r="J27" s="58" t="str">
        <f t="shared" ca="1" si="1"/>
        <v/>
      </c>
      <c r="K27" s="58" t="str">
        <f t="shared" ca="1" si="1"/>
        <v/>
      </c>
      <c r="L27" s="58" t="str">
        <f t="shared" ca="1" si="1"/>
        <v/>
      </c>
      <c r="P27" s="241"/>
      <c r="Q27" s="241"/>
      <c r="R27" s="241"/>
      <c r="S27" s="241"/>
      <c r="T27" s="241"/>
      <c r="U27" s="241"/>
      <c r="V27" s="241"/>
      <c r="W27" s="241"/>
      <c r="X27" s="241"/>
      <c r="Y27" s="241"/>
      <c r="Z27" s="241"/>
    </row>
    <row r="28" spans="2:26">
      <c r="B28" s="56" t="str">
        <f>IF('Low Stress Type Gasket'!BE33="","",'Low Stress Type Gasket'!BE33)</f>
        <v/>
      </c>
      <c r="C28" s="58" t="str">
        <f t="shared" ca="1" si="1"/>
        <v/>
      </c>
      <c r="D28" s="58" t="str">
        <f t="shared" ca="1" si="1"/>
        <v/>
      </c>
      <c r="E28" s="58" t="str">
        <f t="shared" ca="1" si="1"/>
        <v/>
      </c>
      <c r="F28" s="58" t="str">
        <f t="shared" ca="1" si="1"/>
        <v/>
      </c>
      <c r="G28" s="58" t="str">
        <f t="shared" ca="1" si="1"/>
        <v/>
      </c>
      <c r="H28" s="58" t="str">
        <f t="shared" ca="1" si="1"/>
        <v/>
      </c>
      <c r="I28" s="58" t="str">
        <f t="shared" ca="1" si="1"/>
        <v/>
      </c>
      <c r="J28" s="58" t="str">
        <f t="shared" ca="1" si="1"/>
        <v/>
      </c>
      <c r="K28" s="58" t="str">
        <f t="shared" ca="1" si="1"/>
        <v/>
      </c>
      <c r="L28" s="58" t="str">
        <f t="shared" ca="1" si="1"/>
        <v/>
      </c>
      <c r="P28" s="245"/>
      <c r="Q28" s="245"/>
      <c r="R28" s="245"/>
      <c r="S28" s="245"/>
      <c r="T28" s="245"/>
      <c r="U28" s="245"/>
      <c r="V28" s="245"/>
      <c r="W28" s="245"/>
      <c r="X28" s="245"/>
      <c r="Y28" s="245"/>
      <c r="Z28" s="245"/>
    </row>
    <row r="29" spans="2:26">
      <c r="B29" s="56" t="str">
        <f>IF('Low Stress Type Gasket'!BE34="","",'Low Stress Type Gasket'!BE34)</f>
        <v/>
      </c>
      <c r="C29" s="58" t="str">
        <f t="shared" ca="1" si="1"/>
        <v/>
      </c>
      <c r="D29" s="58" t="str">
        <f t="shared" ca="1" si="1"/>
        <v/>
      </c>
      <c r="E29" s="58" t="str">
        <f t="shared" ca="1" si="1"/>
        <v/>
      </c>
      <c r="F29" s="58" t="str">
        <f t="shared" ca="1" si="1"/>
        <v/>
      </c>
      <c r="G29" s="58" t="str">
        <f t="shared" ca="1" si="1"/>
        <v/>
      </c>
      <c r="H29" s="58" t="str">
        <f t="shared" ca="1" si="1"/>
        <v/>
      </c>
      <c r="I29" s="58" t="str">
        <f t="shared" ca="1" si="1"/>
        <v/>
      </c>
      <c r="J29" s="58" t="str">
        <f t="shared" ca="1" si="1"/>
        <v/>
      </c>
      <c r="K29" s="58" t="str">
        <f t="shared" ca="1" si="1"/>
        <v/>
      </c>
      <c r="L29" s="58" t="str">
        <f t="shared" ca="1" si="1"/>
        <v/>
      </c>
      <c r="P29" s="245"/>
      <c r="Q29" s="245"/>
      <c r="R29" s="245"/>
      <c r="S29" s="245"/>
      <c r="T29" s="245"/>
      <c r="U29" s="245"/>
      <c r="V29" s="245"/>
      <c r="W29" s="245"/>
      <c r="X29" s="245"/>
      <c r="Y29" s="245"/>
      <c r="Z29" s="245"/>
    </row>
    <row r="30" spans="2:26">
      <c r="B30" s="56" t="str">
        <f>IF('Low Stress Type Gasket'!BE35="","",'Low Stress Type Gasket'!BE35)</f>
        <v/>
      </c>
      <c r="C30" s="58" t="str">
        <f t="shared" ca="1" si="1"/>
        <v/>
      </c>
      <c r="D30" s="58" t="str">
        <f t="shared" ca="1" si="1"/>
        <v/>
      </c>
      <c r="E30" s="58" t="str">
        <f t="shared" ca="1" si="1"/>
        <v/>
      </c>
      <c r="F30" s="58" t="str">
        <f t="shared" ca="1" si="1"/>
        <v/>
      </c>
      <c r="G30" s="58" t="str">
        <f t="shared" ca="1" si="1"/>
        <v/>
      </c>
      <c r="H30" s="58" t="str">
        <f t="shared" ca="1" si="1"/>
        <v/>
      </c>
      <c r="I30" s="58" t="str">
        <f t="shared" ca="1" si="1"/>
        <v/>
      </c>
      <c r="J30" s="58" t="str">
        <f t="shared" ca="1" si="1"/>
        <v/>
      </c>
      <c r="K30" s="58" t="str">
        <f t="shared" ca="1" si="1"/>
        <v/>
      </c>
      <c r="L30" s="58" t="str">
        <f t="shared" ca="1" si="1"/>
        <v/>
      </c>
      <c r="P30" s="241"/>
      <c r="Q30" s="241"/>
      <c r="R30" s="241"/>
      <c r="S30" s="241"/>
      <c r="T30" s="241"/>
      <c r="U30" s="241"/>
      <c r="V30" s="241"/>
      <c r="W30" s="241"/>
      <c r="X30" s="241"/>
      <c r="Y30" s="241"/>
      <c r="Z30" s="241"/>
    </row>
    <row r="31" spans="2:26">
      <c r="B31" s="56" t="str">
        <f>IF('Low Stress Type Gasket'!BE36="","",'Low Stress Type Gasket'!BE36)</f>
        <v/>
      </c>
      <c r="C31" s="58" t="str">
        <f t="shared" ca="1" si="1"/>
        <v/>
      </c>
      <c r="D31" s="58" t="str">
        <f t="shared" ca="1" si="1"/>
        <v/>
      </c>
      <c r="E31" s="58" t="str">
        <f t="shared" ca="1" si="1"/>
        <v/>
      </c>
      <c r="F31" s="58" t="str">
        <f t="shared" ca="1" si="1"/>
        <v/>
      </c>
      <c r="G31" s="58" t="str">
        <f t="shared" ca="1" si="1"/>
        <v/>
      </c>
      <c r="H31" s="58" t="str">
        <f t="shared" ca="1" si="1"/>
        <v/>
      </c>
      <c r="I31" s="58" t="str">
        <f t="shared" ca="1" si="1"/>
        <v/>
      </c>
      <c r="J31" s="58" t="str">
        <f t="shared" ca="1" si="1"/>
        <v/>
      </c>
      <c r="K31" s="58" t="str">
        <f t="shared" ca="1" si="1"/>
        <v/>
      </c>
      <c r="L31" s="58" t="str">
        <f t="shared" ca="1" si="1"/>
        <v/>
      </c>
      <c r="P31" s="245"/>
      <c r="Q31" s="245"/>
      <c r="R31" s="245"/>
      <c r="S31" s="245"/>
      <c r="T31" s="245"/>
      <c r="U31" s="245"/>
      <c r="V31" s="245"/>
      <c r="W31" s="245"/>
      <c r="X31" s="245"/>
      <c r="Y31" s="245"/>
      <c r="Z31" s="245"/>
    </row>
    <row r="32" spans="2:26">
      <c r="B32" s="56" t="str">
        <f>IF('Low Stress Type Gasket'!BE37="","",'Low Stress Type Gasket'!BE37)</f>
        <v/>
      </c>
      <c r="C32" s="58" t="str">
        <f t="shared" ca="1" si="1"/>
        <v/>
      </c>
      <c r="D32" s="58" t="str">
        <f t="shared" ca="1" si="1"/>
        <v/>
      </c>
      <c r="E32" s="58" t="str">
        <f t="shared" ca="1" si="1"/>
        <v/>
      </c>
      <c r="F32" s="58" t="str">
        <f t="shared" ca="1" si="1"/>
        <v/>
      </c>
      <c r="G32" s="58" t="str">
        <f t="shared" ca="1" si="1"/>
        <v/>
      </c>
      <c r="H32" s="58" t="str">
        <f t="shared" ca="1" si="1"/>
        <v/>
      </c>
      <c r="I32" s="58" t="str">
        <f t="shared" ca="1" si="1"/>
        <v/>
      </c>
      <c r="J32" s="58" t="str">
        <f t="shared" ca="1" si="1"/>
        <v/>
      </c>
      <c r="K32" s="58" t="str">
        <f t="shared" ca="1" si="1"/>
        <v/>
      </c>
      <c r="L32" s="58" t="str">
        <f t="shared" ca="1" si="1"/>
        <v/>
      </c>
      <c r="P32" s="245"/>
      <c r="Q32" s="245"/>
      <c r="R32" s="245"/>
      <c r="S32" s="245"/>
      <c r="T32" s="245"/>
      <c r="U32" s="245"/>
      <c r="V32" s="245"/>
      <c r="W32" s="245"/>
      <c r="X32" s="245"/>
      <c r="Y32" s="245"/>
      <c r="Z32" s="245"/>
    </row>
    <row r="33" spans="2:26">
      <c r="B33" s="56" t="str">
        <f>IF('Low Stress Type Gasket'!BE38="","",'Low Stress Type Gasket'!BE38)</f>
        <v/>
      </c>
      <c r="C33" s="58" t="str">
        <f t="shared" ca="1" si="1"/>
        <v/>
      </c>
      <c r="D33" s="58" t="str">
        <f t="shared" ca="1" si="1"/>
        <v/>
      </c>
      <c r="E33" s="58" t="str">
        <f t="shared" ca="1" si="1"/>
        <v/>
      </c>
      <c r="F33" s="58" t="str">
        <f t="shared" ca="1" si="1"/>
        <v/>
      </c>
      <c r="G33" s="58" t="str">
        <f t="shared" ca="1" si="1"/>
        <v/>
      </c>
      <c r="H33" s="58" t="str">
        <f t="shared" ca="1" si="1"/>
        <v/>
      </c>
      <c r="I33" s="58" t="str">
        <f t="shared" ca="1" si="1"/>
        <v/>
      </c>
      <c r="J33" s="58" t="str">
        <f t="shared" ca="1" si="1"/>
        <v/>
      </c>
      <c r="K33" s="58" t="str">
        <f t="shared" ca="1" si="1"/>
        <v/>
      </c>
      <c r="L33" s="58" t="str">
        <f t="shared" ca="1" si="1"/>
        <v/>
      </c>
      <c r="P33" s="241"/>
      <c r="Q33" s="241"/>
      <c r="R33" s="241"/>
      <c r="S33" s="241"/>
      <c r="T33" s="241"/>
      <c r="U33" s="241"/>
      <c r="V33" s="241"/>
      <c r="W33" s="241"/>
      <c r="X33" s="241"/>
      <c r="Y33" s="241"/>
      <c r="Z33" s="241"/>
    </row>
    <row r="34" spans="2:26">
      <c r="B34" s="56" t="str">
        <f>IF('Low Stress Type Gasket'!BE39="","",'Low Stress Type Gasket'!BE39)</f>
        <v/>
      </c>
      <c r="C34" s="58" t="str">
        <f t="shared" ca="1" si="1"/>
        <v/>
      </c>
      <c r="D34" s="58" t="str">
        <f t="shared" ca="1" si="1"/>
        <v/>
      </c>
      <c r="E34" s="58" t="str">
        <f t="shared" ca="1" si="1"/>
        <v/>
      </c>
      <c r="F34" s="58" t="str">
        <f t="shared" ca="1" si="1"/>
        <v/>
      </c>
      <c r="G34" s="58" t="str">
        <f t="shared" ca="1" si="1"/>
        <v/>
      </c>
      <c r="H34" s="58" t="str">
        <f t="shared" ca="1" si="1"/>
        <v/>
      </c>
      <c r="I34" s="58" t="str">
        <f t="shared" ca="1" si="1"/>
        <v/>
      </c>
      <c r="J34" s="58" t="str">
        <f t="shared" ca="1" si="1"/>
        <v/>
      </c>
      <c r="K34" s="58" t="str">
        <f t="shared" ca="1" si="1"/>
        <v/>
      </c>
      <c r="L34" s="58" t="str">
        <f t="shared" ca="1" si="1"/>
        <v/>
      </c>
      <c r="P34" s="245"/>
      <c r="Q34" s="245"/>
      <c r="R34" s="245"/>
      <c r="S34" s="245"/>
      <c r="T34" s="245"/>
      <c r="U34" s="245"/>
      <c r="V34" s="245"/>
      <c r="W34" s="245"/>
      <c r="X34" s="245"/>
      <c r="Y34" s="245"/>
      <c r="Z34" s="245"/>
    </row>
    <row r="35" spans="2:26">
      <c r="B35" s="56" t="str">
        <f>IF('Low Stress Type Gasket'!BE40="","",'Low Stress Type Gasket'!BE40)</f>
        <v/>
      </c>
      <c r="C35" s="58" t="str">
        <f t="shared" ca="1" si="1"/>
        <v/>
      </c>
      <c r="D35" s="58" t="str">
        <f t="shared" ca="1" si="1"/>
        <v/>
      </c>
      <c r="E35" s="58" t="str">
        <f t="shared" ca="1" si="1"/>
        <v/>
      </c>
      <c r="F35" s="58" t="str">
        <f t="shared" ca="1" si="1"/>
        <v/>
      </c>
      <c r="G35" s="58" t="str">
        <f t="shared" ca="1" si="1"/>
        <v/>
      </c>
      <c r="H35" s="58" t="str">
        <f t="shared" ca="1" si="1"/>
        <v/>
      </c>
      <c r="I35" s="58" t="str">
        <f t="shared" ca="1" si="1"/>
        <v/>
      </c>
      <c r="J35" s="58" t="str">
        <f t="shared" ca="1" si="1"/>
        <v/>
      </c>
      <c r="K35" s="58" t="str">
        <f t="shared" ca="1" si="1"/>
        <v/>
      </c>
      <c r="L35" s="58" t="str">
        <f t="shared" ca="1" si="1"/>
        <v/>
      </c>
      <c r="P35" s="245"/>
      <c r="Q35" s="245"/>
      <c r="R35" s="245"/>
      <c r="S35" s="245"/>
      <c r="T35" s="245"/>
      <c r="U35" s="245"/>
      <c r="V35" s="245"/>
      <c r="W35" s="245"/>
      <c r="X35" s="245"/>
      <c r="Y35" s="245"/>
      <c r="Z35" s="245"/>
    </row>
    <row r="36" spans="2:26">
      <c r="B36" s="56" t="str">
        <f>IF('Low Stress Type Gasket'!BE41="","",'Low Stress Type Gasket'!BE41)</f>
        <v/>
      </c>
      <c r="C36" s="58" t="str">
        <f t="shared" ca="1" si="1"/>
        <v/>
      </c>
      <c r="D36" s="58" t="str">
        <f t="shared" ca="1" si="1"/>
        <v/>
      </c>
      <c r="E36" s="58" t="str">
        <f t="shared" ca="1" si="1"/>
        <v/>
      </c>
      <c r="F36" s="58" t="str">
        <f t="shared" ca="1" si="1"/>
        <v/>
      </c>
      <c r="G36" s="58" t="str">
        <f t="shared" ca="1" si="1"/>
        <v/>
      </c>
      <c r="H36" s="58" t="str">
        <f t="shared" ca="1" si="1"/>
        <v/>
      </c>
      <c r="I36" s="58" t="str">
        <f t="shared" ca="1" si="1"/>
        <v/>
      </c>
      <c r="J36" s="58" t="str">
        <f t="shared" ca="1" si="1"/>
        <v/>
      </c>
      <c r="K36" s="58" t="str">
        <f t="shared" ca="1" si="1"/>
        <v/>
      </c>
      <c r="L36" s="58" t="str">
        <f t="shared" ca="1" si="1"/>
        <v/>
      </c>
      <c r="P36" s="241"/>
      <c r="Q36" s="241"/>
      <c r="R36" s="241"/>
      <c r="S36" s="241"/>
      <c r="T36" s="241"/>
      <c r="U36" s="241"/>
      <c r="V36" s="241"/>
      <c r="W36" s="241"/>
      <c r="X36" s="241"/>
      <c r="Y36" s="241"/>
      <c r="Z36" s="241"/>
    </row>
    <row r="37" spans="2:26">
      <c r="B37" s="56" t="str">
        <f>IF('Low Stress Type Gasket'!BE42="","",'Low Stress Type Gasket'!BE42)</f>
        <v/>
      </c>
      <c r="C37" s="58" t="str">
        <f t="shared" ca="1" si="1"/>
        <v/>
      </c>
      <c r="D37" s="58" t="str">
        <f t="shared" ca="1" si="1"/>
        <v/>
      </c>
      <c r="E37" s="58" t="str">
        <f t="shared" ca="1" si="1"/>
        <v/>
      </c>
      <c r="F37" s="58" t="str">
        <f t="shared" ca="1" si="1"/>
        <v/>
      </c>
      <c r="G37" s="58" t="str">
        <f t="shared" ca="1" si="1"/>
        <v/>
      </c>
      <c r="H37" s="58" t="str">
        <f t="shared" ca="1" si="1"/>
        <v/>
      </c>
      <c r="I37" s="58" t="str">
        <f t="shared" ca="1" si="1"/>
        <v/>
      </c>
      <c r="J37" s="58" t="str">
        <f t="shared" ca="1" si="1"/>
        <v/>
      </c>
      <c r="K37" s="58" t="str">
        <f t="shared" ca="1" si="1"/>
        <v/>
      </c>
      <c r="L37" s="58" t="str">
        <f t="shared" ca="1" si="1"/>
        <v/>
      </c>
      <c r="P37" s="245"/>
      <c r="Q37" s="245"/>
      <c r="R37" s="245"/>
      <c r="S37" s="245"/>
      <c r="T37" s="245"/>
      <c r="U37" s="245"/>
      <c r="V37" s="245"/>
      <c r="W37" s="245"/>
      <c r="X37" s="245"/>
      <c r="Y37" s="245"/>
      <c r="Z37" s="245"/>
    </row>
    <row r="38" spans="2:26">
      <c r="B38" s="56" t="str">
        <f>IF('Low Stress Type Gasket'!BE43="","",'Low Stress Type Gasket'!BE43)</f>
        <v/>
      </c>
      <c r="C38" s="58" t="str">
        <f t="shared" ref="C38:L53" ca="1" si="2">IF($M$4=0,"",VLOOKUP($B38,INDIRECT("$P$1:$Z$"&amp;$M$4),COLUMN()-1,0))</f>
        <v/>
      </c>
      <c r="D38" s="58" t="str">
        <f t="shared" ca="1" si="2"/>
        <v/>
      </c>
      <c r="E38" s="58" t="str">
        <f t="shared" ca="1" si="2"/>
        <v/>
      </c>
      <c r="F38" s="58" t="str">
        <f t="shared" ca="1" si="2"/>
        <v/>
      </c>
      <c r="G38" s="58" t="str">
        <f t="shared" ca="1" si="2"/>
        <v/>
      </c>
      <c r="H38" s="58" t="str">
        <f t="shared" ca="1" si="2"/>
        <v/>
      </c>
      <c r="I38" s="58" t="str">
        <f t="shared" ca="1" si="2"/>
        <v/>
      </c>
      <c r="J38" s="58" t="str">
        <f t="shared" ca="1" si="2"/>
        <v/>
      </c>
      <c r="K38" s="58" t="str">
        <f t="shared" ca="1" si="2"/>
        <v/>
      </c>
      <c r="L38" s="58" t="str">
        <f t="shared" ca="1" si="2"/>
        <v/>
      </c>
      <c r="P38" s="245"/>
      <c r="Q38" s="245"/>
      <c r="R38" s="245"/>
      <c r="S38" s="245"/>
      <c r="T38" s="245"/>
      <c r="U38" s="245"/>
      <c r="V38" s="245"/>
      <c r="W38" s="245"/>
      <c r="X38" s="245"/>
      <c r="Y38" s="245"/>
      <c r="Z38" s="245"/>
    </row>
    <row r="39" spans="2:26">
      <c r="B39" s="56" t="str">
        <f>IF('Low Stress Type Gasket'!BE44="","",'Low Stress Type Gasket'!BE44)</f>
        <v/>
      </c>
      <c r="C39" s="58" t="str">
        <f t="shared" ca="1" si="2"/>
        <v/>
      </c>
      <c r="D39" s="58" t="str">
        <f t="shared" ca="1" si="2"/>
        <v/>
      </c>
      <c r="E39" s="58" t="str">
        <f t="shared" ca="1" si="2"/>
        <v/>
      </c>
      <c r="F39" s="58" t="str">
        <f t="shared" ca="1" si="2"/>
        <v/>
      </c>
      <c r="G39" s="58" t="str">
        <f t="shared" ca="1" si="2"/>
        <v/>
      </c>
      <c r="H39" s="58" t="str">
        <f t="shared" ca="1" si="2"/>
        <v/>
      </c>
      <c r="I39" s="58" t="str">
        <f t="shared" ca="1" si="2"/>
        <v/>
      </c>
      <c r="J39" s="58" t="str">
        <f t="shared" ca="1" si="2"/>
        <v/>
      </c>
      <c r="K39" s="58" t="str">
        <f t="shared" ca="1" si="2"/>
        <v/>
      </c>
      <c r="L39" s="58" t="str">
        <f t="shared" ca="1" si="2"/>
        <v/>
      </c>
      <c r="P39" s="241"/>
      <c r="Q39" s="241"/>
      <c r="R39" s="241"/>
      <c r="S39" s="241"/>
      <c r="T39" s="241"/>
      <c r="U39" s="241"/>
      <c r="V39" s="241"/>
      <c r="W39" s="241"/>
      <c r="X39" s="241"/>
      <c r="Y39" s="241"/>
      <c r="Z39" s="241"/>
    </row>
    <row r="40" spans="2:26">
      <c r="B40" s="56" t="str">
        <f>IF('Low Stress Type Gasket'!BE45="","",'Low Stress Type Gasket'!BE45)</f>
        <v/>
      </c>
      <c r="C40" s="58" t="str">
        <f t="shared" ca="1" si="2"/>
        <v/>
      </c>
      <c r="D40" s="58" t="str">
        <f t="shared" ca="1" si="2"/>
        <v/>
      </c>
      <c r="E40" s="58" t="str">
        <f t="shared" ca="1" si="2"/>
        <v/>
      </c>
      <c r="F40" s="58" t="str">
        <f t="shared" ca="1" si="2"/>
        <v/>
      </c>
      <c r="G40" s="58" t="str">
        <f t="shared" ca="1" si="2"/>
        <v/>
      </c>
      <c r="H40" s="58" t="str">
        <f t="shared" ca="1" si="2"/>
        <v/>
      </c>
      <c r="I40" s="58" t="str">
        <f t="shared" ca="1" si="2"/>
        <v/>
      </c>
      <c r="J40" s="58" t="str">
        <f t="shared" ca="1" si="2"/>
        <v/>
      </c>
      <c r="K40" s="58" t="str">
        <f t="shared" ca="1" si="2"/>
        <v/>
      </c>
      <c r="L40" s="58" t="str">
        <f t="shared" ca="1" si="2"/>
        <v/>
      </c>
      <c r="P40" s="245"/>
      <c r="Q40" s="245"/>
      <c r="R40" s="245"/>
      <c r="S40" s="245"/>
      <c r="T40" s="245"/>
      <c r="U40" s="245"/>
      <c r="V40" s="245"/>
      <c r="W40" s="245"/>
      <c r="X40" s="245"/>
      <c r="Y40" s="245"/>
      <c r="Z40" s="245"/>
    </row>
    <row r="41" spans="2:26">
      <c r="B41" s="56" t="str">
        <f>IF('Low Stress Type Gasket'!BE46="","",'Low Stress Type Gasket'!BE46)</f>
        <v/>
      </c>
      <c r="C41" s="58" t="str">
        <f t="shared" ca="1" si="2"/>
        <v/>
      </c>
      <c r="D41" s="58" t="str">
        <f t="shared" ca="1" si="2"/>
        <v/>
      </c>
      <c r="E41" s="58" t="str">
        <f t="shared" ca="1" si="2"/>
        <v/>
      </c>
      <c r="F41" s="58" t="str">
        <f t="shared" ca="1" si="2"/>
        <v/>
      </c>
      <c r="G41" s="58" t="str">
        <f t="shared" ca="1" si="2"/>
        <v/>
      </c>
      <c r="H41" s="58" t="str">
        <f t="shared" ca="1" si="2"/>
        <v/>
      </c>
      <c r="I41" s="58" t="str">
        <f t="shared" ca="1" si="2"/>
        <v/>
      </c>
      <c r="J41" s="58" t="str">
        <f t="shared" ca="1" si="2"/>
        <v/>
      </c>
      <c r="K41" s="58" t="str">
        <f t="shared" ca="1" si="2"/>
        <v/>
      </c>
      <c r="L41" s="58" t="str">
        <f t="shared" ca="1" si="2"/>
        <v/>
      </c>
      <c r="P41" s="245"/>
      <c r="Q41" s="245"/>
      <c r="R41" s="245"/>
      <c r="S41" s="245"/>
      <c r="T41" s="245"/>
      <c r="U41" s="245"/>
      <c r="V41" s="245"/>
      <c r="W41" s="245"/>
      <c r="X41" s="245"/>
      <c r="Y41" s="245"/>
      <c r="Z41" s="245"/>
    </row>
    <row r="42" spans="2:26">
      <c r="B42" s="56" t="str">
        <f>IF('Low Stress Type Gasket'!BE47="","",'Low Stress Type Gasket'!BE47)</f>
        <v/>
      </c>
      <c r="C42" s="58" t="str">
        <f t="shared" ca="1" si="2"/>
        <v/>
      </c>
      <c r="D42" s="58" t="str">
        <f t="shared" ca="1" si="2"/>
        <v/>
      </c>
      <c r="E42" s="58" t="str">
        <f t="shared" ca="1" si="2"/>
        <v/>
      </c>
      <c r="F42" s="58" t="str">
        <f t="shared" ca="1" si="2"/>
        <v/>
      </c>
      <c r="G42" s="58" t="str">
        <f t="shared" ca="1" si="2"/>
        <v/>
      </c>
      <c r="H42" s="58" t="str">
        <f t="shared" ca="1" si="2"/>
        <v/>
      </c>
      <c r="I42" s="58" t="str">
        <f t="shared" ca="1" si="2"/>
        <v/>
      </c>
      <c r="J42" s="58" t="str">
        <f t="shared" ca="1" si="2"/>
        <v/>
      </c>
      <c r="K42" s="58" t="str">
        <f t="shared" ca="1" si="2"/>
        <v/>
      </c>
      <c r="L42" s="58" t="str">
        <f t="shared" ca="1" si="2"/>
        <v/>
      </c>
      <c r="P42" s="241"/>
      <c r="Q42" s="241"/>
      <c r="R42" s="241"/>
      <c r="S42" s="241"/>
      <c r="T42" s="241"/>
      <c r="U42" s="241"/>
      <c r="V42" s="241"/>
      <c r="W42" s="241"/>
      <c r="X42" s="241"/>
      <c r="Y42" s="241"/>
      <c r="Z42" s="241"/>
    </row>
    <row r="43" spans="2:26">
      <c r="B43" s="56" t="str">
        <f>IF('Low Stress Type Gasket'!BE48="","",'Low Stress Type Gasket'!BE48)</f>
        <v/>
      </c>
      <c r="C43" s="58" t="str">
        <f t="shared" ca="1" si="2"/>
        <v/>
      </c>
      <c r="D43" s="58" t="str">
        <f t="shared" ca="1" si="2"/>
        <v/>
      </c>
      <c r="E43" s="58" t="str">
        <f t="shared" ca="1" si="2"/>
        <v/>
      </c>
      <c r="F43" s="58" t="str">
        <f t="shared" ca="1" si="2"/>
        <v/>
      </c>
      <c r="G43" s="58" t="str">
        <f t="shared" ca="1" si="2"/>
        <v/>
      </c>
      <c r="H43" s="58" t="str">
        <f t="shared" ca="1" si="2"/>
        <v/>
      </c>
      <c r="I43" s="58" t="str">
        <f t="shared" ca="1" si="2"/>
        <v/>
      </c>
      <c r="J43" s="58" t="str">
        <f t="shared" ca="1" si="2"/>
        <v/>
      </c>
      <c r="K43" s="58" t="str">
        <f t="shared" ca="1" si="2"/>
        <v/>
      </c>
      <c r="L43" s="58" t="str">
        <f t="shared" ca="1" si="2"/>
        <v/>
      </c>
      <c r="P43" s="245"/>
      <c r="Q43" s="245"/>
      <c r="R43" s="245"/>
      <c r="S43" s="245"/>
      <c r="T43" s="245"/>
      <c r="U43" s="245"/>
      <c r="V43" s="245"/>
      <c r="W43" s="245"/>
      <c r="X43" s="245"/>
      <c r="Y43" s="245"/>
      <c r="Z43" s="245"/>
    </row>
    <row r="44" spans="2:26">
      <c r="B44" s="56" t="str">
        <f>IF('Low Stress Type Gasket'!BE49="","",'Low Stress Type Gasket'!BE49)</f>
        <v/>
      </c>
      <c r="C44" s="58" t="str">
        <f t="shared" ca="1" si="2"/>
        <v/>
      </c>
      <c r="D44" s="58" t="str">
        <f t="shared" ca="1" si="2"/>
        <v/>
      </c>
      <c r="E44" s="58" t="str">
        <f t="shared" ca="1" si="2"/>
        <v/>
      </c>
      <c r="F44" s="58" t="str">
        <f t="shared" ca="1" si="2"/>
        <v/>
      </c>
      <c r="G44" s="58" t="str">
        <f t="shared" ca="1" si="2"/>
        <v/>
      </c>
      <c r="H44" s="58" t="str">
        <f t="shared" ca="1" si="2"/>
        <v/>
      </c>
      <c r="I44" s="58" t="str">
        <f t="shared" ca="1" si="2"/>
        <v/>
      </c>
      <c r="J44" s="58" t="str">
        <f t="shared" ca="1" si="2"/>
        <v/>
      </c>
      <c r="K44" s="58" t="str">
        <f t="shared" ca="1" si="2"/>
        <v/>
      </c>
      <c r="L44" s="58" t="str">
        <f t="shared" ca="1" si="2"/>
        <v/>
      </c>
      <c r="P44" s="245"/>
      <c r="Q44" s="245"/>
      <c r="R44" s="245"/>
      <c r="S44" s="245"/>
      <c r="T44" s="245"/>
      <c r="U44" s="245"/>
      <c r="V44" s="245"/>
      <c r="W44" s="245"/>
      <c r="X44" s="245"/>
      <c r="Y44" s="245"/>
      <c r="Z44" s="245"/>
    </row>
    <row r="45" spans="2:26">
      <c r="B45" s="56" t="str">
        <f>IF('Low Stress Type Gasket'!BE50="","",'Low Stress Type Gasket'!BE50)</f>
        <v/>
      </c>
      <c r="C45" s="58" t="str">
        <f t="shared" ca="1" si="2"/>
        <v/>
      </c>
      <c r="D45" s="58" t="str">
        <f t="shared" ca="1" si="2"/>
        <v/>
      </c>
      <c r="E45" s="58" t="str">
        <f t="shared" ca="1" si="2"/>
        <v/>
      </c>
      <c r="F45" s="58" t="str">
        <f t="shared" ca="1" si="2"/>
        <v/>
      </c>
      <c r="G45" s="58" t="str">
        <f t="shared" ca="1" si="2"/>
        <v/>
      </c>
      <c r="H45" s="58" t="str">
        <f t="shared" ca="1" si="2"/>
        <v/>
      </c>
      <c r="I45" s="58" t="str">
        <f t="shared" ca="1" si="2"/>
        <v/>
      </c>
      <c r="J45" s="58" t="str">
        <f t="shared" ca="1" si="2"/>
        <v/>
      </c>
      <c r="K45" s="58" t="str">
        <f t="shared" ca="1" si="2"/>
        <v/>
      </c>
      <c r="L45" s="58" t="str">
        <f t="shared" ca="1" si="2"/>
        <v/>
      </c>
      <c r="P45" s="241"/>
      <c r="Q45" s="241"/>
      <c r="R45" s="241"/>
      <c r="S45" s="241"/>
      <c r="T45" s="241"/>
      <c r="U45" s="241"/>
      <c r="V45" s="241"/>
      <c r="W45" s="241"/>
      <c r="X45" s="241"/>
      <c r="Y45" s="241"/>
      <c r="Z45" s="241"/>
    </row>
    <row r="46" spans="2:26">
      <c r="B46" s="56" t="str">
        <f>IF('Low Stress Type Gasket'!BE51="","",'Low Stress Type Gasket'!BE51)</f>
        <v/>
      </c>
      <c r="C46" s="58" t="str">
        <f t="shared" ca="1" si="2"/>
        <v/>
      </c>
      <c r="D46" s="58" t="str">
        <f t="shared" ca="1" si="2"/>
        <v/>
      </c>
      <c r="E46" s="58" t="str">
        <f t="shared" ca="1" si="2"/>
        <v/>
      </c>
      <c r="F46" s="58" t="str">
        <f t="shared" ca="1" si="2"/>
        <v/>
      </c>
      <c r="G46" s="58" t="str">
        <f t="shared" ca="1" si="2"/>
        <v/>
      </c>
      <c r="H46" s="58" t="str">
        <f t="shared" ca="1" si="2"/>
        <v/>
      </c>
      <c r="I46" s="58" t="str">
        <f t="shared" ca="1" si="2"/>
        <v/>
      </c>
      <c r="J46" s="58" t="str">
        <f t="shared" ca="1" si="2"/>
        <v/>
      </c>
      <c r="K46" s="58" t="str">
        <f t="shared" ca="1" si="2"/>
        <v/>
      </c>
      <c r="L46" s="58" t="str">
        <f t="shared" ca="1" si="2"/>
        <v/>
      </c>
      <c r="P46" s="245"/>
      <c r="Q46" s="245"/>
      <c r="R46" s="245"/>
      <c r="S46" s="245"/>
      <c r="T46" s="245"/>
      <c r="U46" s="245"/>
      <c r="V46" s="245"/>
      <c r="W46" s="245"/>
      <c r="X46" s="245"/>
      <c r="Y46" s="245"/>
      <c r="Z46" s="245"/>
    </row>
    <row r="47" spans="2:26">
      <c r="B47" s="56" t="str">
        <f>IF('Low Stress Type Gasket'!BE52="","",'Low Stress Type Gasket'!BE52)</f>
        <v/>
      </c>
      <c r="C47" s="58" t="str">
        <f t="shared" ca="1" si="2"/>
        <v/>
      </c>
      <c r="D47" s="58" t="str">
        <f t="shared" ca="1" si="2"/>
        <v/>
      </c>
      <c r="E47" s="58" t="str">
        <f t="shared" ca="1" si="2"/>
        <v/>
      </c>
      <c r="F47" s="58" t="str">
        <f t="shared" ca="1" si="2"/>
        <v/>
      </c>
      <c r="G47" s="58" t="str">
        <f t="shared" ca="1" si="2"/>
        <v/>
      </c>
      <c r="H47" s="58" t="str">
        <f t="shared" ca="1" si="2"/>
        <v/>
      </c>
      <c r="I47" s="58" t="str">
        <f t="shared" ca="1" si="2"/>
        <v/>
      </c>
      <c r="J47" s="58" t="str">
        <f t="shared" ca="1" si="2"/>
        <v/>
      </c>
      <c r="K47" s="58" t="str">
        <f t="shared" ca="1" si="2"/>
        <v/>
      </c>
      <c r="L47" s="58" t="str">
        <f t="shared" ca="1" si="2"/>
        <v/>
      </c>
      <c r="P47" s="245"/>
      <c r="Q47" s="245"/>
      <c r="R47" s="245"/>
      <c r="S47" s="245"/>
      <c r="T47" s="245"/>
      <c r="U47" s="245"/>
      <c r="V47" s="245"/>
      <c r="W47" s="245"/>
      <c r="X47" s="245"/>
      <c r="Y47" s="245"/>
      <c r="Z47" s="245"/>
    </row>
    <row r="48" spans="2:26">
      <c r="B48" s="56" t="str">
        <f>IF('Low Stress Type Gasket'!BE53="","",'Low Stress Type Gasket'!BE53)</f>
        <v/>
      </c>
      <c r="C48" s="58" t="str">
        <f t="shared" ca="1" si="2"/>
        <v/>
      </c>
      <c r="D48" s="58" t="str">
        <f t="shared" ca="1" si="2"/>
        <v/>
      </c>
      <c r="E48" s="58" t="str">
        <f t="shared" ca="1" si="2"/>
        <v/>
      </c>
      <c r="F48" s="58" t="str">
        <f t="shared" ca="1" si="2"/>
        <v/>
      </c>
      <c r="G48" s="58" t="str">
        <f t="shared" ca="1" si="2"/>
        <v/>
      </c>
      <c r="H48" s="58" t="str">
        <f t="shared" ca="1" si="2"/>
        <v/>
      </c>
      <c r="I48" s="58" t="str">
        <f t="shared" ca="1" si="2"/>
        <v/>
      </c>
      <c r="J48" s="58" t="str">
        <f t="shared" ca="1" si="2"/>
        <v/>
      </c>
      <c r="K48" s="58" t="str">
        <f t="shared" ca="1" si="2"/>
        <v/>
      </c>
      <c r="L48" s="58" t="str">
        <f t="shared" ca="1" si="2"/>
        <v/>
      </c>
      <c r="P48" s="241"/>
      <c r="Q48" s="241"/>
      <c r="R48" s="241"/>
      <c r="S48" s="241"/>
      <c r="T48" s="241"/>
      <c r="U48" s="241"/>
      <c r="V48" s="241"/>
      <c r="W48" s="241"/>
      <c r="X48" s="241"/>
      <c r="Y48" s="241"/>
      <c r="Z48" s="241"/>
    </row>
    <row r="49" spans="2:26">
      <c r="B49" s="56" t="str">
        <f>IF('Low Stress Type Gasket'!BE54="","",'Low Stress Type Gasket'!BE54)</f>
        <v/>
      </c>
      <c r="C49" s="58" t="str">
        <f t="shared" ca="1" si="2"/>
        <v/>
      </c>
      <c r="D49" s="58" t="str">
        <f t="shared" ca="1" si="2"/>
        <v/>
      </c>
      <c r="E49" s="58" t="str">
        <f t="shared" ca="1" si="2"/>
        <v/>
      </c>
      <c r="F49" s="58" t="str">
        <f t="shared" ca="1" si="2"/>
        <v/>
      </c>
      <c r="G49" s="58" t="str">
        <f t="shared" ca="1" si="2"/>
        <v/>
      </c>
      <c r="H49" s="58" t="str">
        <f t="shared" ca="1" si="2"/>
        <v/>
      </c>
      <c r="I49" s="58" t="str">
        <f t="shared" ca="1" si="2"/>
        <v/>
      </c>
      <c r="J49" s="58" t="str">
        <f t="shared" ca="1" si="2"/>
        <v/>
      </c>
      <c r="K49" s="58" t="str">
        <f t="shared" ca="1" si="2"/>
        <v/>
      </c>
      <c r="L49" s="58" t="str">
        <f t="shared" ca="1" si="2"/>
        <v/>
      </c>
      <c r="P49" s="245"/>
      <c r="Q49" s="245"/>
      <c r="R49" s="245"/>
      <c r="S49" s="245"/>
      <c r="T49" s="245"/>
      <c r="U49" s="245"/>
      <c r="V49" s="245"/>
      <c r="W49" s="245"/>
      <c r="X49" s="245"/>
      <c r="Y49" s="245"/>
      <c r="Z49" s="245"/>
    </row>
    <row r="50" spans="2:26">
      <c r="B50" s="56" t="str">
        <f>IF('Low Stress Type Gasket'!BE55="","",'Low Stress Type Gasket'!BE55)</f>
        <v/>
      </c>
      <c r="C50" s="58" t="str">
        <f t="shared" ca="1" si="2"/>
        <v/>
      </c>
      <c r="D50" s="58" t="str">
        <f t="shared" ca="1" si="2"/>
        <v/>
      </c>
      <c r="E50" s="58" t="str">
        <f t="shared" ca="1" si="2"/>
        <v/>
      </c>
      <c r="F50" s="58" t="str">
        <f t="shared" ca="1" si="2"/>
        <v/>
      </c>
      <c r="G50" s="58" t="str">
        <f t="shared" ca="1" si="2"/>
        <v/>
      </c>
      <c r="H50" s="58" t="str">
        <f t="shared" ca="1" si="2"/>
        <v/>
      </c>
      <c r="I50" s="58" t="str">
        <f t="shared" ca="1" si="2"/>
        <v/>
      </c>
      <c r="J50" s="58" t="str">
        <f t="shared" ca="1" si="2"/>
        <v/>
      </c>
      <c r="K50" s="58" t="str">
        <f t="shared" ca="1" si="2"/>
        <v/>
      </c>
      <c r="L50" s="58" t="str">
        <f t="shared" ca="1" si="2"/>
        <v/>
      </c>
      <c r="P50" s="245"/>
      <c r="Q50" s="245"/>
      <c r="R50" s="245"/>
      <c r="S50" s="245"/>
      <c r="T50" s="245"/>
      <c r="U50" s="245"/>
      <c r="V50" s="245"/>
      <c r="W50" s="245"/>
      <c r="X50" s="245"/>
      <c r="Y50" s="245"/>
      <c r="Z50" s="245"/>
    </row>
    <row r="51" spans="2:26">
      <c r="B51" s="56" t="str">
        <f>IF('Low Stress Type Gasket'!BE56="","",'Low Stress Type Gasket'!BE56)</f>
        <v/>
      </c>
      <c r="C51" s="58" t="str">
        <f t="shared" ca="1" si="2"/>
        <v/>
      </c>
      <c r="D51" s="58" t="str">
        <f t="shared" ca="1" si="2"/>
        <v/>
      </c>
      <c r="E51" s="58" t="str">
        <f t="shared" ca="1" si="2"/>
        <v/>
      </c>
      <c r="F51" s="58" t="str">
        <f t="shared" ca="1" si="2"/>
        <v/>
      </c>
      <c r="G51" s="58" t="str">
        <f t="shared" ca="1" si="2"/>
        <v/>
      </c>
      <c r="H51" s="58" t="str">
        <f t="shared" ca="1" si="2"/>
        <v/>
      </c>
      <c r="I51" s="58" t="str">
        <f t="shared" ca="1" si="2"/>
        <v/>
      </c>
      <c r="J51" s="58" t="str">
        <f t="shared" ca="1" si="2"/>
        <v/>
      </c>
      <c r="K51" s="58" t="str">
        <f t="shared" ca="1" si="2"/>
        <v/>
      </c>
      <c r="L51" s="58" t="str">
        <f t="shared" ca="1" si="2"/>
        <v/>
      </c>
      <c r="P51" s="241"/>
      <c r="Q51" s="241"/>
      <c r="R51" s="241"/>
      <c r="S51" s="241"/>
      <c r="T51" s="241"/>
      <c r="U51" s="241"/>
      <c r="V51" s="241"/>
      <c r="W51" s="241"/>
      <c r="X51" s="241"/>
      <c r="Y51" s="241"/>
      <c r="Z51" s="241"/>
    </row>
    <row r="52" spans="2:26">
      <c r="B52" s="56" t="str">
        <f>IF('Low Stress Type Gasket'!BE57="","",'Low Stress Type Gasket'!BE57)</f>
        <v/>
      </c>
      <c r="C52" s="58" t="str">
        <f t="shared" ca="1" si="2"/>
        <v/>
      </c>
      <c r="D52" s="58" t="str">
        <f t="shared" ca="1" si="2"/>
        <v/>
      </c>
      <c r="E52" s="58" t="str">
        <f t="shared" ca="1" si="2"/>
        <v/>
      </c>
      <c r="F52" s="58" t="str">
        <f t="shared" ca="1" si="2"/>
        <v/>
      </c>
      <c r="G52" s="58" t="str">
        <f t="shared" ca="1" si="2"/>
        <v/>
      </c>
      <c r="H52" s="58" t="str">
        <f t="shared" ca="1" si="2"/>
        <v/>
      </c>
      <c r="I52" s="58" t="str">
        <f t="shared" ca="1" si="2"/>
        <v/>
      </c>
      <c r="J52" s="58" t="str">
        <f t="shared" ca="1" si="2"/>
        <v/>
      </c>
      <c r="K52" s="58" t="str">
        <f t="shared" ca="1" si="2"/>
        <v/>
      </c>
      <c r="L52" s="58" t="str">
        <f t="shared" ca="1" si="2"/>
        <v/>
      </c>
      <c r="P52" s="245"/>
      <c r="Q52" s="245"/>
      <c r="R52" s="245"/>
      <c r="S52" s="245"/>
      <c r="T52" s="245"/>
      <c r="U52" s="245"/>
      <c r="V52" s="245"/>
      <c r="W52" s="245"/>
      <c r="X52" s="245"/>
      <c r="Y52" s="245"/>
      <c r="Z52" s="245"/>
    </row>
    <row r="53" spans="2:26">
      <c r="B53" s="56" t="str">
        <f>IF('Low Stress Type Gasket'!BE58="","",'Low Stress Type Gasket'!BE58)</f>
        <v/>
      </c>
      <c r="C53" s="58" t="str">
        <f t="shared" ca="1" si="2"/>
        <v/>
      </c>
      <c r="D53" s="58" t="str">
        <f t="shared" ca="1" si="2"/>
        <v/>
      </c>
      <c r="E53" s="58" t="str">
        <f t="shared" ca="1" si="2"/>
        <v/>
      </c>
      <c r="F53" s="58" t="str">
        <f t="shared" ca="1" si="2"/>
        <v/>
      </c>
      <c r="G53" s="58" t="str">
        <f t="shared" ca="1" si="2"/>
        <v/>
      </c>
      <c r="H53" s="58" t="str">
        <f t="shared" ca="1" si="2"/>
        <v/>
      </c>
      <c r="I53" s="58" t="str">
        <f t="shared" ca="1" si="2"/>
        <v/>
      </c>
      <c r="J53" s="58" t="str">
        <f t="shared" ca="1" si="2"/>
        <v/>
      </c>
      <c r="K53" s="58" t="str">
        <f t="shared" ca="1" si="2"/>
        <v/>
      </c>
      <c r="L53" s="58" t="str">
        <f t="shared" ca="1" si="2"/>
        <v/>
      </c>
      <c r="P53" s="245"/>
      <c r="Q53" s="245"/>
      <c r="R53" s="245"/>
      <c r="S53" s="245"/>
      <c r="T53" s="245"/>
      <c r="U53" s="245"/>
      <c r="V53" s="245"/>
      <c r="W53" s="245"/>
      <c r="X53" s="245"/>
      <c r="Y53" s="245"/>
      <c r="Z53" s="245"/>
    </row>
    <row r="54" spans="2:26">
      <c r="B54" s="56" t="str">
        <f>IF('Low Stress Type Gasket'!BE59="","",'Low Stress Type Gasket'!BE59)</f>
        <v/>
      </c>
      <c r="C54" s="58" t="str">
        <f t="shared" ref="C54:L55" ca="1" si="3">IF($M$4=0,"",VLOOKUP($B54,INDIRECT("$P$1:$Z$"&amp;$M$4),COLUMN()-1,0))</f>
        <v/>
      </c>
      <c r="D54" s="58" t="str">
        <f t="shared" ca="1" si="3"/>
        <v/>
      </c>
      <c r="E54" s="58" t="str">
        <f t="shared" ca="1" si="3"/>
        <v/>
      </c>
      <c r="F54" s="58" t="str">
        <f t="shared" ca="1" si="3"/>
        <v/>
      </c>
      <c r="G54" s="58" t="str">
        <f t="shared" ca="1" si="3"/>
        <v/>
      </c>
      <c r="H54" s="58" t="str">
        <f t="shared" ca="1" si="3"/>
        <v/>
      </c>
      <c r="I54" s="58" t="str">
        <f t="shared" ca="1" si="3"/>
        <v/>
      </c>
      <c r="J54" s="58" t="str">
        <f t="shared" ca="1" si="3"/>
        <v/>
      </c>
      <c r="K54" s="58" t="str">
        <f t="shared" ca="1" si="3"/>
        <v/>
      </c>
      <c r="L54" s="58" t="str">
        <f t="shared" ca="1" si="3"/>
        <v/>
      </c>
      <c r="P54" s="241"/>
      <c r="Q54" s="241"/>
      <c r="R54" s="241"/>
      <c r="S54" s="241"/>
      <c r="T54" s="241"/>
      <c r="U54" s="241"/>
      <c r="V54" s="241"/>
      <c r="W54" s="241"/>
      <c r="X54" s="241"/>
      <c r="Y54" s="241"/>
      <c r="Z54" s="241"/>
    </row>
    <row r="55" spans="2:26">
      <c r="B55" s="56" t="str">
        <f>IF('Low Stress Type Gasket'!BE60="","",'Low Stress Type Gasket'!BE60)</f>
        <v/>
      </c>
      <c r="C55" s="58" t="str">
        <f t="shared" ca="1" si="3"/>
        <v/>
      </c>
      <c r="D55" s="58" t="str">
        <f t="shared" ca="1" si="3"/>
        <v/>
      </c>
      <c r="E55" s="58" t="str">
        <f t="shared" ca="1" si="3"/>
        <v/>
      </c>
      <c r="F55" s="58" t="str">
        <f t="shared" ca="1" si="3"/>
        <v/>
      </c>
      <c r="G55" s="58" t="str">
        <f t="shared" ca="1" si="3"/>
        <v/>
      </c>
      <c r="H55" s="58" t="str">
        <f t="shared" ca="1" si="3"/>
        <v/>
      </c>
      <c r="I55" s="58" t="str">
        <f t="shared" ca="1" si="3"/>
        <v/>
      </c>
      <c r="J55" s="58" t="str">
        <f t="shared" ca="1" si="3"/>
        <v/>
      </c>
      <c r="K55" s="58" t="str">
        <f t="shared" ca="1" si="3"/>
        <v/>
      </c>
      <c r="L55" s="58" t="str">
        <f t="shared" ca="1" si="3"/>
        <v/>
      </c>
      <c r="P55" s="245"/>
      <c r="Q55" s="245"/>
      <c r="R55" s="245"/>
      <c r="S55" s="245"/>
      <c r="T55" s="245"/>
      <c r="U55" s="245"/>
      <c r="V55" s="245"/>
      <c r="W55" s="245"/>
      <c r="X55" s="245"/>
      <c r="Y55" s="245"/>
      <c r="Z55" s="245"/>
    </row>
    <row r="56" spans="2:26">
      <c r="P56" s="245"/>
      <c r="Q56" s="245"/>
      <c r="R56" s="245"/>
      <c r="S56" s="245"/>
      <c r="T56" s="245"/>
      <c r="U56" s="245"/>
      <c r="V56" s="245"/>
      <c r="W56" s="245"/>
      <c r="X56" s="245"/>
      <c r="Y56" s="245"/>
      <c r="Z56" s="245"/>
    </row>
    <row r="57" spans="2:26">
      <c r="P57" s="241"/>
      <c r="Q57" s="241"/>
      <c r="R57" s="241"/>
      <c r="S57" s="241"/>
      <c r="T57" s="241"/>
      <c r="U57" s="241"/>
      <c r="V57" s="241"/>
      <c r="W57" s="241"/>
      <c r="X57" s="241"/>
      <c r="Y57" s="241"/>
      <c r="Z57" s="241"/>
    </row>
    <row r="58" spans="2:26">
      <c r="P58" s="245"/>
      <c r="Q58" s="245"/>
      <c r="R58" s="245"/>
      <c r="S58" s="245"/>
      <c r="T58" s="245"/>
      <c r="U58" s="245"/>
      <c r="V58" s="245"/>
      <c r="W58" s="245"/>
      <c r="X58" s="245"/>
      <c r="Y58" s="245"/>
      <c r="Z58" s="245"/>
    </row>
    <row r="59" spans="2:26">
      <c r="P59" s="245"/>
      <c r="Q59" s="245"/>
      <c r="R59" s="245"/>
      <c r="S59" s="245"/>
      <c r="T59" s="245"/>
      <c r="U59" s="245"/>
      <c r="V59" s="245"/>
      <c r="W59" s="245"/>
      <c r="X59" s="245"/>
      <c r="Y59" s="245"/>
      <c r="Z59" s="245"/>
    </row>
    <row r="60" spans="2:26">
      <c r="P60" s="241"/>
      <c r="Q60" s="241"/>
      <c r="R60" s="241"/>
      <c r="S60" s="241"/>
      <c r="T60" s="241"/>
      <c r="U60" s="241"/>
      <c r="V60" s="241"/>
      <c r="W60" s="241"/>
      <c r="X60" s="241"/>
      <c r="Y60" s="241"/>
      <c r="Z60" s="241"/>
    </row>
    <row r="61" spans="2:26">
      <c r="P61" s="245"/>
      <c r="Q61" s="245"/>
      <c r="R61" s="245"/>
      <c r="S61" s="245"/>
      <c r="T61" s="245"/>
      <c r="U61" s="245"/>
      <c r="V61" s="245"/>
      <c r="W61" s="245"/>
      <c r="X61" s="245"/>
      <c r="Y61" s="245"/>
      <c r="Z61" s="245"/>
    </row>
    <row r="62" spans="2:26">
      <c r="P62" s="245"/>
      <c r="Q62" s="245"/>
      <c r="R62" s="245"/>
      <c r="S62" s="245"/>
      <c r="T62" s="245"/>
      <c r="U62" s="245"/>
      <c r="V62" s="245"/>
      <c r="W62" s="245"/>
      <c r="X62" s="245"/>
      <c r="Y62" s="245"/>
      <c r="Z62" s="245"/>
    </row>
    <row r="63" spans="2:26">
      <c r="P63" s="241"/>
      <c r="Q63" s="241"/>
      <c r="R63" s="241"/>
      <c r="S63" s="241"/>
      <c r="T63" s="241"/>
      <c r="U63" s="241"/>
      <c r="V63" s="241"/>
      <c r="W63" s="241"/>
      <c r="X63" s="241"/>
      <c r="Y63" s="241"/>
      <c r="Z63" s="241"/>
    </row>
    <row r="64" spans="2:26">
      <c r="P64" s="245"/>
      <c r="Q64" s="245"/>
      <c r="R64" s="245"/>
      <c r="S64" s="245"/>
      <c r="T64" s="245"/>
      <c r="U64" s="245"/>
      <c r="V64" s="245"/>
      <c r="W64" s="245"/>
      <c r="X64" s="245"/>
      <c r="Y64" s="245"/>
      <c r="Z64" s="245"/>
    </row>
    <row r="65" spans="16:26">
      <c r="P65" s="245"/>
      <c r="Q65" s="245"/>
      <c r="R65" s="245"/>
      <c r="S65" s="245"/>
      <c r="T65" s="245"/>
      <c r="U65" s="245"/>
      <c r="V65" s="245"/>
      <c r="W65" s="245"/>
      <c r="X65" s="245"/>
      <c r="Y65" s="245"/>
      <c r="Z65" s="245"/>
    </row>
    <row r="66" spans="16:26">
      <c r="P66" s="241"/>
      <c r="Q66" s="241"/>
      <c r="R66" s="241"/>
      <c r="S66" s="241"/>
      <c r="T66" s="241"/>
      <c r="U66" s="241"/>
      <c r="V66" s="241"/>
      <c r="W66" s="241"/>
      <c r="X66" s="241"/>
      <c r="Y66" s="241"/>
      <c r="Z66" s="241"/>
    </row>
    <row r="67" spans="16:26">
      <c r="P67" s="245"/>
      <c r="Q67" s="245"/>
      <c r="R67" s="245"/>
      <c r="S67" s="245"/>
      <c r="T67" s="245"/>
      <c r="U67" s="245"/>
      <c r="V67" s="245"/>
      <c r="W67" s="245"/>
      <c r="X67" s="245"/>
      <c r="Y67" s="245"/>
      <c r="Z67" s="245"/>
    </row>
    <row r="68" spans="16:26">
      <c r="P68" s="245"/>
      <c r="Q68" s="245"/>
      <c r="R68" s="245"/>
      <c r="S68" s="245"/>
      <c r="T68" s="245"/>
      <c r="U68" s="245"/>
      <c r="V68" s="245"/>
      <c r="W68" s="245"/>
      <c r="X68" s="245"/>
      <c r="Y68" s="245"/>
      <c r="Z68" s="245"/>
    </row>
    <row r="69" spans="16:26">
      <c r="P69" s="241"/>
      <c r="Q69" s="241"/>
      <c r="R69" s="241"/>
      <c r="S69" s="241"/>
      <c r="T69" s="241"/>
      <c r="U69" s="241"/>
      <c r="V69" s="241"/>
      <c r="W69" s="241"/>
      <c r="X69" s="241"/>
      <c r="Y69" s="241"/>
      <c r="Z69" s="241"/>
    </row>
    <row r="70" spans="16:26">
      <c r="P70" s="245"/>
      <c r="Q70" s="245"/>
      <c r="R70" s="245"/>
      <c r="S70" s="245"/>
      <c r="T70" s="245"/>
      <c r="U70" s="245"/>
      <c r="V70" s="245"/>
      <c r="W70" s="245"/>
      <c r="X70" s="245"/>
      <c r="Y70" s="245"/>
      <c r="Z70" s="245"/>
    </row>
    <row r="71" spans="16:26">
      <c r="P71" s="245"/>
      <c r="Q71" s="245"/>
      <c r="R71" s="245"/>
      <c r="S71" s="245"/>
      <c r="T71" s="245"/>
      <c r="U71" s="245"/>
      <c r="V71" s="245"/>
      <c r="W71" s="245"/>
      <c r="X71" s="245"/>
      <c r="Y71" s="245"/>
      <c r="Z71" s="245"/>
    </row>
    <row r="72" spans="16:26">
      <c r="P72" s="241"/>
      <c r="Q72" s="241"/>
      <c r="R72" s="241"/>
      <c r="S72" s="241"/>
      <c r="T72" s="241"/>
      <c r="U72" s="241"/>
      <c r="V72" s="241"/>
      <c r="W72" s="241"/>
      <c r="X72" s="241"/>
      <c r="Y72" s="241"/>
      <c r="Z72" s="241"/>
    </row>
    <row r="73" spans="16:26">
      <c r="P73" s="245"/>
      <c r="Q73" s="245"/>
      <c r="R73" s="245"/>
      <c r="S73" s="245"/>
      <c r="T73" s="245"/>
      <c r="U73" s="245"/>
      <c r="V73" s="245"/>
      <c r="W73" s="245"/>
      <c r="X73" s="245"/>
      <c r="Y73" s="245"/>
      <c r="Z73" s="245"/>
    </row>
    <row r="74" spans="16:26">
      <c r="P74" s="245"/>
      <c r="Q74" s="245"/>
      <c r="R74" s="245"/>
      <c r="S74" s="245"/>
      <c r="T74" s="245"/>
      <c r="U74" s="245"/>
      <c r="V74" s="245"/>
      <c r="W74" s="245"/>
      <c r="X74" s="245"/>
      <c r="Y74" s="245"/>
      <c r="Z74" s="245"/>
    </row>
    <row r="75" spans="16:26">
      <c r="P75" s="241"/>
      <c r="Q75" s="241"/>
      <c r="R75" s="241"/>
      <c r="S75" s="241"/>
      <c r="T75" s="241"/>
      <c r="U75" s="241"/>
      <c r="V75" s="241"/>
      <c r="W75" s="241"/>
      <c r="X75" s="241"/>
      <c r="Y75" s="241"/>
      <c r="Z75" s="241"/>
    </row>
    <row r="76" spans="16:26">
      <c r="P76" s="245"/>
      <c r="Q76" s="245"/>
      <c r="R76" s="245"/>
      <c r="S76" s="245"/>
      <c r="T76" s="245"/>
      <c r="U76" s="245"/>
      <c r="V76" s="245"/>
      <c r="W76" s="245"/>
      <c r="X76" s="245"/>
      <c r="Y76" s="245"/>
      <c r="Z76" s="245"/>
    </row>
    <row r="77" spans="16:26">
      <c r="P77" s="245"/>
      <c r="Q77" s="245"/>
      <c r="R77" s="245"/>
      <c r="S77" s="245"/>
      <c r="T77" s="245"/>
      <c r="U77" s="245"/>
      <c r="V77" s="245"/>
      <c r="W77" s="245"/>
      <c r="X77" s="245"/>
      <c r="Y77" s="245"/>
      <c r="Z77" s="245"/>
    </row>
    <row r="78" spans="16:26">
      <c r="P78" s="241"/>
      <c r="Q78" s="241"/>
      <c r="R78" s="241"/>
      <c r="S78" s="241"/>
      <c r="T78" s="241"/>
      <c r="U78" s="241"/>
      <c r="V78" s="241"/>
      <c r="W78" s="241"/>
      <c r="X78" s="241"/>
      <c r="Y78" s="241"/>
      <c r="Z78" s="241"/>
    </row>
    <row r="79" spans="16:26">
      <c r="P79" s="245"/>
      <c r="Q79" s="245"/>
      <c r="R79" s="245"/>
      <c r="S79" s="245"/>
      <c r="T79" s="245"/>
      <c r="U79" s="245"/>
      <c r="V79" s="245"/>
      <c r="W79" s="245"/>
      <c r="X79" s="245"/>
      <c r="Y79" s="245"/>
      <c r="Z79" s="245"/>
    </row>
    <row r="80" spans="16:26">
      <c r="P80" s="245"/>
      <c r="Q80" s="245"/>
      <c r="R80" s="245"/>
      <c r="S80" s="245"/>
      <c r="T80" s="245"/>
      <c r="U80" s="245"/>
      <c r="V80" s="245"/>
      <c r="W80" s="245"/>
      <c r="X80" s="245"/>
      <c r="Y80" s="245"/>
      <c r="Z80" s="245"/>
    </row>
    <row r="81" spans="16:26">
      <c r="P81" s="241"/>
      <c r="Q81" s="241"/>
      <c r="R81" s="241"/>
      <c r="S81" s="241"/>
      <c r="T81" s="241"/>
      <c r="U81" s="241"/>
      <c r="V81" s="241"/>
      <c r="W81" s="241"/>
      <c r="X81" s="241"/>
      <c r="Y81" s="241"/>
      <c r="Z81" s="241"/>
    </row>
    <row r="82" spans="16:26">
      <c r="P82" s="245"/>
      <c r="Q82" s="245"/>
      <c r="R82" s="245"/>
      <c r="S82" s="245"/>
      <c r="T82" s="245"/>
      <c r="U82" s="245"/>
      <c r="V82" s="245"/>
      <c r="W82" s="245"/>
      <c r="X82" s="245"/>
      <c r="Y82" s="245"/>
      <c r="Z82" s="245"/>
    </row>
    <row r="83" spans="16:26">
      <c r="P83" s="245"/>
      <c r="Q83" s="245"/>
      <c r="R83" s="245"/>
      <c r="S83" s="245"/>
      <c r="T83" s="245"/>
      <c r="U83" s="245"/>
      <c r="V83" s="245"/>
      <c r="W83" s="245"/>
      <c r="X83" s="245"/>
      <c r="Y83" s="245"/>
      <c r="Z83" s="245"/>
    </row>
    <row r="84" spans="16:26">
      <c r="P84" s="241"/>
      <c r="Q84" s="241"/>
      <c r="R84" s="241"/>
      <c r="S84" s="241"/>
      <c r="T84" s="241"/>
      <c r="U84" s="241"/>
      <c r="V84" s="241"/>
      <c r="W84" s="241"/>
      <c r="X84" s="241"/>
      <c r="Y84" s="241"/>
      <c r="Z84" s="241"/>
    </row>
    <row r="85" spans="16:26">
      <c r="P85" s="245"/>
      <c r="Q85" s="245"/>
      <c r="R85" s="245"/>
      <c r="S85" s="245"/>
      <c r="T85" s="245"/>
      <c r="U85" s="245"/>
      <c r="V85" s="245"/>
      <c r="W85" s="245"/>
      <c r="X85" s="245"/>
      <c r="Y85" s="245"/>
      <c r="Z85" s="245"/>
    </row>
    <row r="86" spans="16:26">
      <c r="P86" s="245"/>
      <c r="Q86" s="245"/>
      <c r="R86" s="245"/>
      <c r="S86" s="245"/>
      <c r="T86" s="245"/>
      <c r="U86" s="245"/>
      <c r="V86" s="245"/>
      <c r="W86" s="245"/>
      <c r="X86" s="245"/>
      <c r="Y86" s="245"/>
      <c r="Z86" s="245"/>
    </row>
    <row r="87" spans="16:26">
      <c r="P87" s="241"/>
      <c r="Q87" s="241"/>
      <c r="R87" s="241"/>
      <c r="S87" s="241"/>
      <c r="T87" s="241"/>
      <c r="U87" s="241"/>
      <c r="V87" s="241"/>
      <c r="W87" s="241"/>
      <c r="X87" s="241"/>
      <c r="Y87" s="241"/>
      <c r="Z87" s="241"/>
    </row>
    <row r="88" spans="16:26">
      <c r="P88" s="245"/>
      <c r="Q88" s="245"/>
      <c r="R88" s="245"/>
      <c r="S88" s="245"/>
      <c r="T88" s="245"/>
      <c r="U88" s="245"/>
      <c r="V88" s="245"/>
      <c r="W88" s="245"/>
      <c r="X88" s="245"/>
      <c r="Y88" s="245"/>
      <c r="Z88" s="245"/>
    </row>
    <row r="89" spans="16:26">
      <c r="P89" s="245"/>
      <c r="Q89" s="245"/>
      <c r="R89" s="245"/>
      <c r="S89" s="245"/>
      <c r="T89" s="245"/>
      <c r="U89" s="245"/>
      <c r="V89" s="245"/>
      <c r="W89" s="245"/>
      <c r="X89" s="245"/>
      <c r="Y89" s="245"/>
      <c r="Z89" s="245"/>
    </row>
    <row r="90" spans="16:26">
      <c r="P90" s="241"/>
      <c r="Q90" s="241"/>
      <c r="R90" s="241"/>
      <c r="S90" s="241"/>
      <c r="T90" s="241"/>
      <c r="U90" s="241"/>
      <c r="V90" s="241"/>
      <c r="W90" s="241"/>
      <c r="X90" s="241"/>
      <c r="Y90" s="241"/>
      <c r="Z90" s="241"/>
    </row>
    <row r="91" spans="16:26">
      <c r="P91" s="245"/>
      <c r="Q91" s="245"/>
      <c r="R91" s="245"/>
      <c r="S91" s="245"/>
      <c r="T91" s="245"/>
      <c r="U91" s="245"/>
      <c r="V91" s="245"/>
      <c r="W91" s="245"/>
      <c r="X91" s="245"/>
      <c r="Y91" s="245"/>
      <c r="Z91" s="245"/>
    </row>
    <row r="92" spans="16:26">
      <c r="P92" s="245"/>
      <c r="Q92" s="245"/>
      <c r="R92" s="245"/>
      <c r="S92" s="245"/>
      <c r="T92" s="245"/>
      <c r="U92" s="245"/>
      <c r="V92" s="245"/>
      <c r="W92" s="245"/>
      <c r="X92" s="245"/>
      <c r="Y92" s="245"/>
      <c r="Z92" s="245"/>
    </row>
    <row r="93" spans="16:26">
      <c r="P93" s="241"/>
      <c r="Q93" s="241"/>
      <c r="R93" s="241"/>
      <c r="S93" s="241"/>
      <c r="T93" s="241"/>
      <c r="U93" s="241"/>
      <c r="V93" s="241"/>
      <c r="W93" s="241"/>
      <c r="X93" s="241"/>
      <c r="Y93" s="241"/>
      <c r="Z93" s="241"/>
    </row>
    <row r="94" spans="16:26">
      <c r="P94" s="245"/>
      <c r="Q94" s="245"/>
      <c r="R94" s="245"/>
      <c r="S94" s="245"/>
      <c r="T94" s="245"/>
      <c r="U94" s="245"/>
      <c r="V94" s="245"/>
      <c r="W94" s="245"/>
      <c r="X94" s="245"/>
      <c r="Y94" s="245"/>
      <c r="Z94" s="245"/>
    </row>
    <row r="95" spans="16:26">
      <c r="P95" s="245"/>
      <c r="Q95" s="245"/>
      <c r="R95" s="245"/>
      <c r="S95" s="245"/>
      <c r="T95" s="245"/>
      <c r="U95" s="245"/>
      <c r="V95" s="245"/>
      <c r="W95" s="245"/>
      <c r="X95" s="245"/>
      <c r="Y95" s="245"/>
      <c r="Z95" s="245"/>
    </row>
    <row r="96" spans="16:26">
      <c r="P96" s="241"/>
      <c r="Q96" s="241"/>
      <c r="R96" s="241"/>
      <c r="S96" s="241"/>
      <c r="T96" s="241"/>
      <c r="U96" s="241"/>
      <c r="V96" s="241"/>
      <c r="W96" s="241"/>
      <c r="X96" s="241"/>
      <c r="Y96" s="241"/>
      <c r="Z96" s="241"/>
    </row>
    <row r="97" spans="16:26">
      <c r="P97" s="245"/>
      <c r="Q97" s="245"/>
      <c r="R97" s="245"/>
      <c r="S97" s="245"/>
      <c r="T97" s="245"/>
      <c r="U97" s="245"/>
      <c r="V97" s="245"/>
      <c r="W97" s="245"/>
      <c r="X97" s="245"/>
      <c r="Y97" s="245"/>
      <c r="Z97" s="245"/>
    </row>
    <row r="98" spans="16:26">
      <c r="P98" s="245"/>
      <c r="Q98" s="245"/>
      <c r="R98" s="245"/>
      <c r="S98" s="245"/>
      <c r="T98" s="245"/>
      <c r="U98" s="245"/>
      <c r="V98" s="245"/>
      <c r="W98" s="245"/>
      <c r="X98" s="245"/>
      <c r="Y98" s="245"/>
      <c r="Z98" s="245"/>
    </row>
    <row r="99" spans="16:26">
      <c r="P99" s="241"/>
      <c r="Q99" s="241"/>
      <c r="R99" s="241"/>
      <c r="S99" s="241"/>
      <c r="T99" s="241"/>
      <c r="U99" s="241"/>
      <c r="V99" s="241"/>
      <c r="W99" s="241"/>
      <c r="X99" s="241"/>
      <c r="Y99" s="241"/>
      <c r="Z99" s="241"/>
    </row>
    <row r="100" spans="16:26">
      <c r="P100" s="245"/>
      <c r="Q100" s="245"/>
      <c r="R100" s="245"/>
      <c r="S100" s="245"/>
      <c r="T100" s="245"/>
      <c r="U100" s="245"/>
      <c r="V100" s="245"/>
      <c r="W100" s="245"/>
      <c r="X100" s="245"/>
      <c r="Y100" s="245"/>
      <c r="Z100" s="245"/>
    </row>
    <row r="101" spans="16:26">
      <c r="P101" s="245"/>
      <c r="Q101" s="245"/>
      <c r="R101" s="245"/>
      <c r="S101" s="245"/>
      <c r="T101" s="245"/>
      <c r="U101" s="245"/>
      <c r="V101" s="245"/>
      <c r="W101" s="245"/>
      <c r="X101" s="245"/>
      <c r="Y101" s="245"/>
      <c r="Z101" s="245"/>
    </row>
    <row r="102" spans="16:26">
      <c r="P102" s="241"/>
      <c r="Q102" s="241"/>
      <c r="R102" s="241"/>
      <c r="S102" s="241"/>
      <c r="T102" s="241"/>
      <c r="U102" s="241"/>
      <c r="V102" s="241"/>
      <c r="W102" s="241"/>
      <c r="X102" s="241"/>
      <c r="Y102" s="241"/>
      <c r="Z102" s="241"/>
    </row>
    <row r="103" spans="16:26">
      <c r="P103" s="245"/>
      <c r="Q103" s="245"/>
      <c r="R103" s="245"/>
      <c r="S103" s="245"/>
      <c r="T103" s="245"/>
      <c r="U103" s="245"/>
      <c r="V103" s="245"/>
      <c r="W103" s="245"/>
      <c r="X103" s="245"/>
      <c r="Y103" s="245"/>
      <c r="Z103" s="245"/>
    </row>
    <row r="104" spans="16:26">
      <c r="P104" s="245"/>
      <c r="Q104" s="245"/>
      <c r="R104" s="245"/>
      <c r="S104" s="245"/>
      <c r="T104" s="245"/>
      <c r="U104" s="245"/>
      <c r="V104" s="245"/>
      <c r="W104" s="245"/>
      <c r="X104" s="245"/>
      <c r="Y104" s="245"/>
      <c r="Z104" s="245"/>
    </row>
    <row r="105" spans="16:26">
      <c r="P105" s="241"/>
      <c r="Q105" s="241"/>
      <c r="R105" s="241"/>
      <c r="S105" s="241"/>
      <c r="T105" s="241"/>
      <c r="U105" s="241"/>
      <c r="V105" s="241"/>
      <c r="W105" s="241"/>
      <c r="X105" s="241"/>
      <c r="Y105" s="241"/>
      <c r="Z105" s="241"/>
    </row>
    <row r="106" spans="16:26">
      <c r="P106" s="245"/>
      <c r="Q106" s="245"/>
      <c r="R106" s="245"/>
      <c r="S106" s="245"/>
      <c r="T106" s="245"/>
      <c r="U106" s="245"/>
      <c r="V106" s="245"/>
      <c r="W106" s="245"/>
      <c r="X106" s="245"/>
      <c r="Y106" s="245"/>
      <c r="Z106" s="245"/>
    </row>
    <row r="107" spans="16:26">
      <c r="P107" s="245"/>
      <c r="Q107" s="245"/>
      <c r="R107" s="245"/>
      <c r="S107" s="245"/>
      <c r="T107" s="245"/>
      <c r="U107" s="245"/>
      <c r="V107" s="245"/>
      <c r="W107" s="245"/>
      <c r="X107" s="245"/>
      <c r="Y107" s="245"/>
      <c r="Z107" s="245"/>
    </row>
    <row r="108" spans="16:26">
      <c r="P108" s="241"/>
      <c r="Q108" s="241"/>
      <c r="R108" s="241"/>
      <c r="S108" s="241"/>
      <c r="T108" s="241"/>
      <c r="U108" s="241"/>
      <c r="V108" s="241"/>
      <c r="W108" s="241"/>
      <c r="X108" s="241"/>
      <c r="Y108" s="241"/>
      <c r="Z108" s="241"/>
    </row>
    <row r="109" spans="16:26">
      <c r="P109" s="245"/>
      <c r="Q109" s="245"/>
      <c r="R109" s="245"/>
      <c r="S109" s="245"/>
      <c r="T109" s="245"/>
      <c r="U109" s="245"/>
      <c r="V109" s="245"/>
      <c r="W109" s="245"/>
      <c r="X109" s="245"/>
      <c r="Y109" s="245"/>
      <c r="Z109" s="245"/>
    </row>
    <row r="110" spans="16:26">
      <c r="P110" s="245"/>
      <c r="Q110" s="245"/>
      <c r="R110" s="245"/>
      <c r="S110" s="245"/>
      <c r="T110" s="245"/>
      <c r="U110" s="245"/>
      <c r="V110" s="245"/>
      <c r="W110" s="245"/>
      <c r="X110" s="245"/>
      <c r="Y110" s="245"/>
      <c r="Z110" s="245"/>
    </row>
    <row r="111" spans="16:26">
      <c r="P111" s="241"/>
      <c r="Q111" s="241"/>
      <c r="R111" s="241"/>
      <c r="S111" s="241"/>
      <c r="T111" s="241"/>
      <c r="U111" s="241"/>
      <c r="V111" s="241"/>
      <c r="W111" s="241"/>
      <c r="X111" s="241"/>
      <c r="Y111" s="241"/>
      <c r="Z111" s="241"/>
    </row>
    <row r="112" spans="16:26">
      <c r="P112" s="245"/>
      <c r="Q112" s="245"/>
      <c r="R112" s="245"/>
      <c r="S112" s="245"/>
      <c r="T112" s="245"/>
      <c r="U112" s="245"/>
      <c r="V112" s="245"/>
      <c r="W112" s="245"/>
      <c r="X112" s="245"/>
      <c r="Y112" s="245"/>
      <c r="Z112" s="245"/>
    </row>
    <row r="113" spans="16:26">
      <c r="P113" s="245"/>
      <c r="Q113" s="245"/>
      <c r="R113" s="245"/>
      <c r="S113" s="245"/>
      <c r="T113" s="245"/>
      <c r="U113" s="245"/>
      <c r="V113" s="245"/>
      <c r="W113" s="245"/>
      <c r="X113" s="245"/>
      <c r="Y113" s="245"/>
      <c r="Z113" s="245"/>
    </row>
    <row r="114" spans="16:26">
      <c r="P114" s="241"/>
      <c r="Q114" s="241"/>
      <c r="R114" s="241"/>
      <c r="S114" s="241"/>
      <c r="T114" s="241"/>
      <c r="U114" s="241"/>
      <c r="V114" s="241"/>
      <c r="W114" s="241"/>
      <c r="X114" s="241"/>
      <c r="Y114" s="241"/>
      <c r="Z114" s="241"/>
    </row>
    <row r="115" spans="16:26">
      <c r="P115" s="245"/>
      <c r="Q115" s="245"/>
      <c r="R115" s="245"/>
      <c r="S115" s="245"/>
      <c r="T115" s="245"/>
      <c r="U115" s="245"/>
      <c r="V115" s="245"/>
      <c r="W115" s="245"/>
      <c r="X115" s="245"/>
      <c r="Y115" s="245"/>
      <c r="Z115" s="245"/>
    </row>
    <row r="116" spans="16:26">
      <c r="P116" s="245"/>
      <c r="Q116" s="245"/>
      <c r="R116" s="245"/>
      <c r="S116" s="245"/>
      <c r="T116" s="245"/>
      <c r="U116" s="245"/>
      <c r="V116" s="245"/>
      <c r="W116" s="245"/>
      <c r="X116" s="245"/>
      <c r="Y116" s="245"/>
      <c r="Z116" s="245"/>
    </row>
    <row r="117" spans="16:26">
      <c r="P117" s="241"/>
      <c r="Q117" s="241"/>
      <c r="R117" s="241"/>
      <c r="S117" s="241"/>
      <c r="T117" s="241"/>
      <c r="U117" s="241"/>
      <c r="V117" s="241"/>
      <c r="W117" s="241"/>
      <c r="X117" s="241"/>
      <c r="Y117" s="241"/>
      <c r="Z117" s="241"/>
    </row>
    <row r="118" spans="16:26">
      <c r="P118" s="245"/>
      <c r="Q118" s="245"/>
      <c r="R118" s="245"/>
      <c r="S118" s="245"/>
      <c r="T118" s="245"/>
      <c r="U118" s="245"/>
      <c r="V118" s="245"/>
      <c r="W118" s="245"/>
      <c r="X118" s="245"/>
      <c r="Y118" s="245"/>
      <c r="Z118" s="245"/>
    </row>
    <row r="119" spans="16:26">
      <c r="P119" s="245"/>
      <c r="Q119" s="245"/>
      <c r="R119" s="245"/>
      <c r="S119" s="245"/>
      <c r="T119" s="245"/>
      <c r="U119" s="245"/>
      <c r="V119" s="245"/>
      <c r="W119" s="245"/>
      <c r="X119" s="245"/>
      <c r="Y119" s="245"/>
      <c r="Z119" s="245"/>
    </row>
    <row r="120" spans="16:26">
      <c r="P120" s="241"/>
      <c r="Q120" s="241"/>
      <c r="R120" s="241"/>
      <c r="S120" s="241"/>
      <c r="T120" s="241"/>
      <c r="U120" s="241"/>
      <c r="V120" s="241"/>
      <c r="W120" s="241"/>
      <c r="X120" s="241"/>
      <c r="Y120" s="241"/>
      <c r="Z120" s="241"/>
    </row>
    <row r="121" spans="16:26">
      <c r="P121" s="245"/>
      <c r="Q121" s="245"/>
      <c r="R121" s="245"/>
      <c r="S121" s="245"/>
      <c r="T121" s="245"/>
      <c r="U121" s="245"/>
      <c r="V121" s="245"/>
      <c r="W121" s="245"/>
      <c r="X121" s="245"/>
      <c r="Y121" s="245"/>
      <c r="Z121" s="245"/>
    </row>
    <row r="122" spans="16:26">
      <c r="P122" s="245"/>
      <c r="Q122" s="245"/>
      <c r="R122" s="245"/>
      <c r="S122" s="245"/>
      <c r="T122" s="245"/>
      <c r="U122" s="245"/>
      <c r="V122" s="245"/>
      <c r="W122" s="245"/>
      <c r="X122" s="245"/>
      <c r="Y122" s="245"/>
      <c r="Z122" s="245"/>
    </row>
    <row r="123" spans="16:26">
      <c r="P123" s="241"/>
      <c r="Q123" s="241"/>
      <c r="R123" s="241"/>
      <c r="S123" s="241"/>
      <c r="T123" s="241"/>
      <c r="U123" s="241"/>
      <c r="V123" s="241"/>
      <c r="W123" s="241"/>
      <c r="X123" s="241"/>
      <c r="Y123" s="241"/>
      <c r="Z123" s="241"/>
    </row>
    <row r="124" spans="16:26">
      <c r="P124" s="245"/>
      <c r="Q124" s="245"/>
      <c r="R124" s="245"/>
      <c r="S124" s="245"/>
      <c r="T124" s="245"/>
      <c r="U124" s="245"/>
      <c r="V124" s="245"/>
      <c r="W124" s="245"/>
      <c r="X124" s="245"/>
      <c r="Y124" s="245"/>
      <c r="Z124" s="245"/>
    </row>
    <row r="125" spans="16:26">
      <c r="P125" s="245"/>
      <c r="Q125" s="245"/>
      <c r="R125" s="245"/>
      <c r="S125" s="245"/>
      <c r="T125" s="245"/>
      <c r="U125" s="245"/>
      <c r="V125" s="245"/>
      <c r="W125" s="245"/>
      <c r="X125" s="245"/>
      <c r="Y125" s="245"/>
      <c r="Z125" s="245"/>
    </row>
    <row r="126" spans="16:26">
      <c r="P126" s="241"/>
      <c r="Q126" s="241"/>
      <c r="R126" s="241"/>
      <c r="S126" s="241"/>
      <c r="T126" s="241"/>
      <c r="U126" s="241"/>
      <c r="V126" s="241"/>
      <c r="W126" s="241"/>
      <c r="X126" s="241"/>
      <c r="Y126" s="241"/>
      <c r="Z126" s="241"/>
    </row>
    <row r="127" spans="16:26">
      <c r="P127" s="245"/>
      <c r="Q127" s="245"/>
      <c r="R127" s="245"/>
      <c r="S127" s="245"/>
      <c r="T127" s="245"/>
      <c r="U127" s="245"/>
      <c r="V127" s="245"/>
      <c r="W127" s="245"/>
      <c r="X127" s="245"/>
      <c r="Y127" s="245"/>
      <c r="Z127" s="245"/>
    </row>
    <row r="128" spans="16:26">
      <c r="P128" s="245"/>
      <c r="Q128" s="245"/>
      <c r="R128" s="245"/>
      <c r="S128" s="245"/>
      <c r="T128" s="245"/>
      <c r="U128" s="245"/>
      <c r="V128" s="245"/>
      <c r="W128" s="245"/>
      <c r="X128" s="245"/>
      <c r="Y128" s="245"/>
      <c r="Z128" s="245"/>
    </row>
    <row r="129" spans="16:26">
      <c r="P129" s="241"/>
      <c r="Q129" s="241"/>
      <c r="R129" s="241"/>
      <c r="S129" s="241"/>
      <c r="T129" s="241"/>
      <c r="U129" s="241"/>
      <c r="V129" s="241"/>
      <c r="W129" s="241"/>
      <c r="X129" s="241"/>
      <c r="Y129" s="241"/>
      <c r="Z129" s="241"/>
    </row>
    <row r="130" spans="16:26">
      <c r="P130" s="245"/>
      <c r="Q130" s="245"/>
      <c r="R130" s="245"/>
      <c r="S130" s="245"/>
      <c r="T130" s="245"/>
      <c r="U130" s="245"/>
      <c r="V130" s="245"/>
      <c r="W130" s="245"/>
      <c r="X130" s="245"/>
      <c r="Y130" s="245"/>
      <c r="Z130" s="245"/>
    </row>
    <row r="131" spans="16:26">
      <c r="P131" s="245"/>
      <c r="Q131" s="245"/>
      <c r="R131" s="245"/>
      <c r="S131" s="245"/>
      <c r="T131" s="245"/>
      <c r="U131" s="245"/>
      <c r="V131" s="245"/>
      <c r="W131" s="245"/>
      <c r="X131" s="245"/>
      <c r="Y131" s="245"/>
      <c r="Z131" s="245"/>
    </row>
    <row r="132" spans="16:26">
      <c r="P132" s="241"/>
      <c r="Q132" s="241"/>
      <c r="R132" s="241"/>
      <c r="S132" s="241"/>
      <c r="T132" s="241"/>
      <c r="U132" s="241"/>
      <c r="V132" s="241"/>
      <c r="W132" s="241"/>
      <c r="X132" s="241"/>
      <c r="Y132" s="241"/>
      <c r="Z132" s="241"/>
    </row>
    <row r="133" spans="16:26">
      <c r="P133" s="245"/>
      <c r="Q133" s="245"/>
      <c r="R133" s="245"/>
      <c r="S133" s="245"/>
      <c r="T133" s="245"/>
      <c r="U133" s="245"/>
      <c r="V133" s="245"/>
      <c r="W133" s="245"/>
      <c r="X133" s="245"/>
      <c r="Y133" s="245"/>
      <c r="Z133" s="245"/>
    </row>
    <row r="134" spans="16:26">
      <c r="P134" s="245"/>
      <c r="Q134" s="245"/>
      <c r="R134" s="245"/>
      <c r="S134" s="245"/>
      <c r="T134" s="245"/>
      <c r="U134" s="245"/>
      <c r="V134" s="245"/>
      <c r="W134" s="245"/>
      <c r="X134" s="245"/>
      <c r="Y134" s="245"/>
      <c r="Z134" s="245"/>
    </row>
    <row r="135" spans="16:26">
      <c r="P135" s="241"/>
      <c r="Q135" s="241"/>
      <c r="R135" s="241"/>
      <c r="S135" s="241"/>
      <c r="T135" s="241"/>
      <c r="U135" s="241"/>
      <c r="V135" s="241"/>
      <c r="W135" s="241"/>
      <c r="X135" s="241"/>
      <c r="Y135" s="241"/>
      <c r="Z135" s="241"/>
    </row>
    <row r="136" spans="16:26">
      <c r="P136" s="245"/>
      <c r="Q136" s="245"/>
      <c r="R136" s="245"/>
      <c r="S136" s="245"/>
      <c r="T136" s="245"/>
      <c r="U136" s="245"/>
      <c r="V136" s="245"/>
      <c r="W136" s="245"/>
      <c r="X136" s="245"/>
      <c r="Y136" s="245"/>
      <c r="Z136" s="245"/>
    </row>
    <row r="137" spans="16:26">
      <c r="P137" s="245"/>
      <c r="Q137" s="245"/>
      <c r="R137" s="245"/>
      <c r="S137" s="245"/>
      <c r="T137" s="245"/>
      <c r="U137" s="245"/>
      <c r="V137" s="245"/>
      <c r="W137" s="245"/>
      <c r="X137" s="245"/>
      <c r="Y137" s="245"/>
      <c r="Z137" s="245"/>
    </row>
    <row r="138" spans="16:26">
      <c r="P138" s="241"/>
      <c r="Q138" s="241"/>
      <c r="R138" s="241"/>
      <c r="S138" s="241"/>
      <c r="T138" s="241"/>
      <c r="U138" s="241"/>
      <c r="V138" s="241"/>
      <c r="W138" s="241"/>
      <c r="X138" s="241"/>
      <c r="Y138" s="241"/>
      <c r="Z138" s="241"/>
    </row>
    <row r="139" spans="16:26">
      <c r="P139" s="245"/>
      <c r="Q139" s="245"/>
      <c r="R139" s="245"/>
      <c r="S139" s="245"/>
      <c r="T139" s="245"/>
      <c r="U139" s="245"/>
      <c r="V139" s="245"/>
      <c r="W139" s="245"/>
      <c r="X139" s="245"/>
      <c r="Y139" s="245"/>
      <c r="Z139" s="245"/>
    </row>
    <row r="140" spans="16:26">
      <c r="P140" s="245"/>
      <c r="Q140" s="245"/>
      <c r="R140" s="245"/>
      <c r="S140" s="245"/>
      <c r="T140" s="245"/>
      <c r="U140" s="245"/>
      <c r="V140" s="245"/>
      <c r="W140" s="245"/>
      <c r="X140" s="245"/>
      <c r="Y140" s="245"/>
      <c r="Z140" s="245"/>
    </row>
    <row r="141" spans="16:26">
      <c r="P141" s="241"/>
      <c r="Q141" s="241"/>
      <c r="R141" s="241"/>
      <c r="S141" s="241"/>
      <c r="T141" s="241"/>
      <c r="U141" s="241"/>
      <c r="V141" s="241"/>
      <c r="W141" s="241"/>
      <c r="X141" s="241"/>
      <c r="Y141" s="241"/>
      <c r="Z141" s="241"/>
    </row>
    <row r="142" spans="16:26">
      <c r="P142" s="245"/>
      <c r="Q142" s="245"/>
      <c r="R142" s="245"/>
      <c r="S142" s="245"/>
      <c r="T142" s="245"/>
      <c r="U142" s="245"/>
      <c r="V142" s="245"/>
      <c r="W142" s="245"/>
      <c r="X142" s="245"/>
      <c r="Y142" s="245"/>
      <c r="Z142" s="245"/>
    </row>
    <row r="143" spans="16:26">
      <c r="P143" s="245"/>
      <c r="Q143" s="245"/>
      <c r="R143" s="245"/>
      <c r="S143" s="245"/>
      <c r="T143" s="245"/>
      <c r="U143" s="245"/>
      <c r="V143" s="245"/>
      <c r="W143" s="245"/>
      <c r="X143" s="245"/>
      <c r="Y143" s="245"/>
      <c r="Z143" s="245"/>
    </row>
    <row r="144" spans="16:26">
      <c r="P144" s="241"/>
      <c r="Q144" s="241"/>
      <c r="R144" s="241"/>
      <c r="S144" s="241"/>
      <c r="T144" s="241"/>
      <c r="U144" s="241"/>
      <c r="V144" s="241"/>
      <c r="W144" s="241"/>
      <c r="X144" s="241"/>
      <c r="Y144" s="241"/>
      <c r="Z144" s="241"/>
    </row>
    <row r="145" spans="16:26">
      <c r="P145" s="245"/>
      <c r="Q145" s="245"/>
      <c r="R145" s="245"/>
      <c r="S145" s="245"/>
      <c r="T145" s="245"/>
      <c r="U145" s="245"/>
      <c r="V145" s="245"/>
      <c r="W145" s="245"/>
      <c r="X145" s="245"/>
      <c r="Y145" s="245"/>
      <c r="Z145" s="245"/>
    </row>
    <row r="146" spans="16:26">
      <c r="P146" s="245"/>
      <c r="Q146" s="245"/>
      <c r="R146" s="245"/>
      <c r="S146" s="245"/>
      <c r="T146" s="245"/>
      <c r="U146" s="245"/>
      <c r="V146" s="245"/>
      <c r="W146" s="245"/>
      <c r="X146" s="245"/>
      <c r="Y146" s="245"/>
      <c r="Z146" s="245"/>
    </row>
    <row r="147" spans="16:26">
      <c r="P147" s="241"/>
      <c r="Q147" s="241"/>
      <c r="R147" s="241"/>
      <c r="S147" s="241"/>
      <c r="T147" s="241"/>
      <c r="U147" s="241"/>
      <c r="V147" s="241"/>
      <c r="W147" s="241"/>
      <c r="X147" s="241"/>
      <c r="Y147" s="241"/>
      <c r="Z147" s="241"/>
    </row>
    <row r="148" spans="16:26">
      <c r="P148" s="245"/>
      <c r="Q148" s="245"/>
      <c r="R148" s="245"/>
      <c r="S148" s="245"/>
      <c r="T148" s="245"/>
      <c r="U148" s="245"/>
      <c r="V148" s="245"/>
      <c r="W148" s="245"/>
      <c r="X148" s="245"/>
      <c r="Y148" s="245"/>
      <c r="Z148" s="245"/>
    </row>
    <row r="149" spans="16:26">
      <c r="P149" s="245"/>
      <c r="Q149" s="245"/>
      <c r="R149" s="245"/>
      <c r="S149" s="245"/>
      <c r="T149" s="245"/>
      <c r="U149" s="245"/>
      <c r="V149" s="245"/>
      <c r="W149" s="245"/>
      <c r="X149" s="245"/>
      <c r="Y149" s="245"/>
      <c r="Z149" s="245"/>
    </row>
    <row r="150" spans="16:26">
      <c r="P150" s="241"/>
      <c r="Q150" s="241"/>
      <c r="R150" s="241"/>
      <c r="S150" s="241"/>
      <c r="T150" s="241"/>
      <c r="U150" s="241"/>
      <c r="V150" s="241"/>
      <c r="W150" s="241"/>
      <c r="X150" s="241"/>
      <c r="Y150" s="241"/>
      <c r="Z150" s="241"/>
    </row>
    <row r="151" spans="16:26">
      <c r="P151" s="245"/>
      <c r="Q151" s="245"/>
      <c r="R151" s="245"/>
      <c r="S151" s="245"/>
      <c r="T151" s="245"/>
      <c r="U151" s="245"/>
      <c r="V151" s="245"/>
      <c r="W151" s="245"/>
      <c r="X151" s="245"/>
      <c r="Y151" s="245"/>
      <c r="Z151" s="245"/>
    </row>
    <row r="152" spans="16:26">
      <c r="P152" s="245"/>
      <c r="Q152" s="245"/>
      <c r="R152" s="245"/>
      <c r="S152" s="245"/>
      <c r="T152" s="245"/>
      <c r="U152" s="245"/>
      <c r="V152" s="245"/>
      <c r="W152" s="245"/>
      <c r="X152" s="245"/>
      <c r="Y152" s="245"/>
      <c r="Z152" s="245"/>
    </row>
    <row r="153" spans="16:26">
      <c r="P153" s="241"/>
      <c r="Q153" s="241"/>
      <c r="R153" s="241"/>
      <c r="S153" s="241"/>
      <c r="T153" s="241"/>
      <c r="U153" s="241"/>
      <c r="V153" s="241"/>
      <c r="W153" s="241"/>
      <c r="X153" s="241"/>
      <c r="Y153" s="241"/>
      <c r="Z153" s="241"/>
    </row>
    <row r="154" spans="16:26">
      <c r="P154" s="245"/>
      <c r="Q154" s="245"/>
      <c r="R154" s="245"/>
      <c r="S154" s="245"/>
      <c r="T154" s="245"/>
      <c r="U154" s="245"/>
      <c r="V154" s="245"/>
      <c r="W154" s="245"/>
      <c r="X154" s="245"/>
      <c r="Y154" s="245"/>
      <c r="Z154" s="245"/>
    </row>
    <row r="155" spans="16:26">
      <c r="P155" s="245"/>
      <c r="Q155" s="245"/>
      <c r="R155" s="245"/>
      <c r="S155" s="245"/>
      <c r="T155" s="245"/>
      <c r="U155" s="245"/>
      <c r="V155" s="245"/>
      <c r="W155" s="245"/>
      <c r="X155" s="245"/>
      <c r="Y155" s="245"/>
      <c r="Z155" s="245"/>
    </row>
    <row r="156" spans="16:26">
      <c r="P156" s="241"/>
      <c r="Q156" s="241"/>
      <c r="R156" s="241"/>
      <c r="S156" s="241"/>
      <c r="T156" s="241"/>
      <c r="U156" s="241"/>
      <c r="V156" s="241"/>
      <c r="W156" s="241"/>
      <c r="X156" s="241"/>
      <c r="Y156" s="241"/>
      <c r="Z156" s="241"/>
    </row>
    <row r="157" spans="16:26">
      <c r="P157" s="245"/>
      <c r="Q157" s="245"/>
      <c r="R157" s="245"/>
      <c r="S157" s="245"/>
      <c r="T157" s="245"/>
      <c r="U157" s="245"/>
      <c r="V157" s="245"/>
      <c r="W157" s="245"/>
      <c r="X157" s="245"/>
      <c r="Y157" s="245"/>
      <c r="Z157" s="245"/>
    </row>
    <row r="158" spans="16:26">
      <c r="P158" s="245"/>
      <c r="Q158" s="245"/>
      <c r="R158" s="245"/>
      <c r="S158" s="245"/>
      <c r="T158" s="245"/>
      <c r="U158" s="245"/>
      <c r="V158" s="245"/>
      <c r="W158" s="245"/>
      <c r="X158" s="245"/>
      <c r="Y158" s="245"/>
      <c r="Z158" s="245"/>
    </row>
    <row r="159" spans="16:26">
      <c r="P159" s="241"/>
      <c r="Q159" s="241"/>
      <c r="R159" s="241"/>
      <c r="S159" s="241"/>
      <c r="T159" s="241"/>
      <c r="U159" s="241"/>
      <c r="V159" s="241"/>
      <c r="W159" s="241"/>
      <c r="X159" s="241"/>
      <c r="Y159" s="241"/>
      <c r="Z159" s="241"/>
    </row>
    <row r="160" spans="16:26">
      <c r="P160" s="245"/>
      <c r="Q160" s="245"/>
      <c r="R160" s="245"/>
      <c r="S160" s="245"/>
      <c r="T160" s="245"/>
      <c r="U160" s="245"/>
      <c r="V160" s="245"/>
      <c r="W160" s="245"/>
      <c r="X160" s="245"/>
      <c r="Y160" s="245"/>
      <c r="Z160" s="245"/>
    </row>
    <row r="161" spans="16:26">
      <c r="P161" s="245"/>
      <c r="Q161" s="245"/>
      <c r="R161" s="245"/>
      <c r="S161" s="245"/>
      <c r="T161" s="245"/>
      <c r="U161" s="245"/>
      <c r="V161" s="245"/>
      <c r="W161" s="245"/>
      <c r="X161" s="245"/>
      <c r="Y161" s="245"/>
      <c r="Z161" s="245"/>
    </row>
    <row r="162" spans="16:26">
      <c r="P162" s="241"/>
      <c r="Q162" s="241"/>
      <c r="R162" s="241"/>
      <c r="S162" s="241"/>
      <c r="T162" s="241"/>
      <c r="U162" s="241"/>
      <c r="V162" s="241"/>
      <c r="W162" s="241"/>
      <c r="X162" s="241"/>
      <c r="Y162" s="241"/>
      <c r="Z162" s="241"/>
    </row>
    <row r="163" spans="16:26">
      <c r="P163" s="245"/>
      <c r="Q163" s="245"/>
      <c r="R163" s="245"/>
      <c r="S163" s="245"/>
      <c r="T163" s="245"/>
      <c r="U163" s="245"/>
      <c r="V163" s="245"/>
      <c r="W163" s="245"/>
      <c r="X163" s="245"/>
      <c r="Y163" s="245"/>
      <c r="Z163" s="245"/>
    </row>
    <row r="164" spans="16:26">
      <c r="P164" s="245"/>
      <c r="Q164" s="245"/>
      <c r="R164" s="245"/>
      <c r="S164" s="245"/>
      <c r="T164" s="245"/>
      <c r="U164" s="245"/>
      <c r="V164" s="245"/>
      <c r="W164" s="245"/>
      <c r="X164" s="245"/>
      <c r="Y164" s="245"/>
      <c r="Z164" s="245"/>
    </row>
    <row r="165" spans="16:26">
      <c r="P165" s="241"/>
      <c r="Q165" s="241"/>
      <c r="R165" s="241"/>
      <c r="S165" s="241"/>
      <c r="T165" s="241"/>
      <c r="U165" s="241"/>
      <c r="V165" s="241"/>
      <c r="W165" s="241"/>
      <c r="X165" s="241"/>
      <c r="Y165" s="241"/>
      <c r="Z165" s="241"/>
    </row>
    <row r="166" spans="16:26">
      <c r="P166" s="245"/>
      <c r="Q166" s="245"/>
      <c r="R166" s="245"/>
      <c r="S166" s="245"/>
      <c r="T166" s="245"/>
      <c r="U166" s="245"/>
      <c r="V166" s="245"/>
      <c r="W166" s="245"/>
      <c r="X166" s="245"/>
      <c r="Y166" s="245"/>
      <c r="Z166" s="245"/>
    </row>
    <row r="167" spans="16:26">
      <c r="P167" s="245"/>
      <c r="Q167" s="245"/>
      <c r="R167" s="245"/>
      <c r="S167" s="245"/>
      <c r="T167" s="245"/>
      <c r="U167" s="245"/>
      <c r="V167" s="245"/>
      <c r="W167" s="245"/>
      <c r="X167" s="245"/>
      <c r="Y167" s="245"/>
      <c r="Z167" s="245"/>
    </row>
    <row r="168" spans="16:26">
      <c r="P168" s="241"/>
      <c r="Q168" s="241"/>
      <c r="R168" s="241"/>
      <c r="S168" s="241"/>
      <c r="T168" s="241"/>
      <c r="U168" s="241"/>
      <c r="V168" s="241"/>
      <c r="W168" s="241"/>
      <c r="X168" s="241"/>
      <c r="Y168" s="241"/>
      <c r="Z168" s="241"/>
    </row>
    <row r="169" spans="16:26">
      <c r="P169" s="245"/>
      <c r="Q169" s="245"/>
      <c r="R169" s="245"/>
      <c r="S169" s="245"/>
      <c r="T169" s="245"/>
      <c r="U169" s="245"/>
      <c r="V169" s="245"/>
      <c r="W169" s="245"/>
      <c r="X169" s="245"/>
      <c r="Y169" s="245"/>
      <c r="Z169" s="245"/>
    </row>
    <row r="170" spans="16:26">
      <c r="P170" s="245"/>
      <c r="Q170" s="245"/>
      <c r="R170" s="245"/>
      <c r="S170" s="245"/>
      <c r="T170" s="245"/>
      <c r="U170" s="245"/>
      <c r="V170" s="245"/>
      <c r="W170" s="245"/>
      <c r="X170" s="245"/>
      <c r="Y170" s="245"/>
      <c r="Z170" s="245"/>
    </row>
    <row r="171" spans="16:26">
      <c r="P171" s="241"/>
      <c r="Q171" s="241"/>
      <c r="R171" s="241"/>
      <c r="S171" s="241"/>
      <c r="T171" s="241"/>
      <c r="U171" s="241"/>
      <c r="V171" s="241"/>
      <c r="W171" s="241"/>
      <c r="X171" s="241"/>
      <c r="Y171" s="241"/>
      <c r="Z171" s="241"/>
    </row>
    <row r="172" spans="16:26">
      <c r="P172" s="245"/>
      <c r="Q172" s="245"/>
      <c r="R172" s="245"/>
      <c r="S172" s="245"/>
      <c r="T172" s="245"/>
      <c r="U172" s="245"/>
      <c r="V172" s="245"/>
      <c r="W172" s="245"/>
      <c r="X172" s="245"/>
      <c r="Y172" s="245"/>
      <c r="Z172" s="245"/>
    </row>
    <row r="173" spans="16:26">
      <c r="P173" s="245"/>
      <c r="Q173" s="245"/>
      <c r="R173" s="245"/>
      <c r="S173" s="245"/>
      <c r="T173" s="245"/>
      <c r="U173" s="245"/>
      <c r="V173" s="245"/>
      <c r="W173" s="245"/>
      <c r="X173" s="245"/>
      <c r="Y173" s="245"/>
      <c r="Z173" s="245"/>
    </row>
    <row r="174" spans="16:26">
      <c r="P174" s="241"/>
      <c r="Q174" s="241"/>
      <c r="R174" s="241"/>
      <c r="S174" s="241"/>
      <c r="T174" s="241"/>
      <c r="U174" s="241"/>
      <c r="V174" s="241"/>
      <c r="W174" s="241"/>
      <c r="X174" s="241"/>
      <c r="Y174" s="241"/>
      <c r="Z174" s="241"/>
    </row>
    <row r="175" spans="16:26">
      <c r="P175" s="245"/>
      <c r="Q175" s="245"/>
      <c r="R175" s="245"/>
      <c r="S175" s="245"/>
      <c r="T175" s="245"/>
      <c r="U175" s="245"/>
      <c r="V175" s="245"/>
      <c r="W175" s="245"/>
      <c r="X175" s="245"/>
      <c r="Y175" s="245"/>
      <c r="Z175" s="245"/>
    </row>
    <row r="176" spans="16:26">
      <c r="P176" s="245"/>
      <c r="Q176" s="245"/>
      <c r="R176" s="245"/>
      <c r="S176" s="245"/>
      <c r="T176" s="245"/>
      <c r="U176" s="245"/>
      <c r="V176" s="245"/>
      <c r="W176" s="245"/>
      <c r="X176" s="245"/>
      <c r="Y176" s="245"/>
      <c r="Z176" s="245"/>
    </row>
    <row r="177" spans="16:26">
      <c r="P177" s="241"/>
      <c r="Q177" s="241"/>
      <c r="R177" s="241"/>
      <c r="S177" s="241"/>
      <c r="T177" s="241"/>
      <c r="U177" s="241"/>
      <c r="V177" s="241"/>
      <c r="W177" s="241"/>
      <c r="X177" s="241"/>
      <c r="Y177" s="241"/>
      <c r="Z177" s="241"/>
    </row>
    <row r="178" spans="16:26">
      <c r="P178" s="245"/>
      <c r="Q178" s="245"/>
      <c r="R178" s="245"/>
      <c r="S178" s="245"/>
      <c r="T178" s="245"/>
      <c r="U178" s="245"/>
      <c r="V178" s="245"/>
      <c r="W178" s="245"/>
      <c r="X178" s="245"/>
      <c r="Y178" s="245"/>
      <c r="Z178" s="245"/>
    </row>
    <row r="179" spans="16:26">
      <c r="P179" s="245"/>
      <c r="Q179" s="245"/>
      <c r="R179" s="245"/>
      <c r="S179" s="245"/>
      <c r="T179" s="245"/>
      <c r="U179" s="245"/>
      <c r="V179" s="245"/>
      <c r="W179" s="245"/>
      <c r="X179" s="245"/>
      <c r="Y179" s="245"/>
      <c r="Z179" s="245"/>
    </row>
    <row r="180" spans="16:26">
      <c r="P180" s="241"/>
      <c r="Q180" s="241"/>
      <c r="R180" s="241"/>
      <c r="S180" s="241"/>
      <c r="T180" s="241"/>
      <c r="U180" s="241"/>
      <c r="V180" s="241"/>
      <c r="W180" s="241"/>
      <c r="X180" s="241"/>
      <c r="Y180" s="241"/>
      <c r="Z180" s="241"/>
    </row>
    <row r="181" spans="16:26">
      <c r="P181" s="245"/>
      <c r="Q181" s="245"/>
      <c r="R181" s="245"/>
      <c r="S181" s="245"/>
      <c r="T181" s="245"/>
      <c r="U181" s="245"/>
      <c r="V181" s="245"/>
      <c r="W181" s="245"/>
      <c r="X181" s="245"/>
      <c r="Y181" s="245"/>
      <c r="Z181" s="245"/>
    </row>
    <row r="182" spans="16:26">
      <c r="P182" s="245"/>
      <c r="Q182" s="245"/>
      <c r="R182" s="245"/>
      <c r="S182" s="245"/>
      <c r="T182" s="245"/>
      <c r="U182" s="245"/>
      <c r="V182" s="245"/>
      <c r="W182" s="245"/>
      <c r="X182" s="245"/>
      <c r="Y182" s="245"/>
      <c r="Z182" s="245"/>
    </row>
    <row r="183" spans="16:26">
      <c r="P183" s="241"/>
      <c r="Q183" s="241"/>
      <c r="R183" s="241"/>
      <c r="S183" s="241"/>
      <c r="T183" s="241"/>
      <c r="U183" s="241"/>
      <c r="V183" s="241"/>
      <c r="W183" s="241"/>
      <c r="X183" s="241"/>
      <c r="Y183" s="241"/>
      <c r="Z183" s="241"/>
    </row>
    <row r="184" spans="16:26">
      <c r="P184" s="245"/>
      <c r="Q184" s="245"/>
      <c r="R184" s="245"/>
      <c r="S184" s="245"/>
      <c r="T184" s="245"/>
      <c r="U184" s="245"/>
      <c r="V184" s="245"/>
      <c r="W184" s="245"/>
      <c r="X184" s="245"/>
      <c r="Y184" s="245"/>
      <c r="Z184" s="245"/>
    </row>
    <row r="185" spans="16:26">
      <c r="P185" s="245"/>
      <c r="Q185" s="245"/>
      <c r="R185" s="245"/>
      <c r="S185" s="245"/>
      <c r="T185" s="245"/>
      <c r="U185" s="245"/>
      <c r="V185" s="245"/>
      <c r="W185" s="245"/>
      <c r="X185" s="245"/>
      <c r="Y185" s="245"/>
      <c r="Z185" s="245"/>
    </row>
    <row r="186" spans="16:26">
      <c r="P186" s="241"/>
      <c r="Q186" s="241"/>
      <c r="R186" s="241"/>
      <c r="S186" s="241"/>
      <c r="T186" s="241"/>
      <c r="U186" s="241"/>
      <c r="V186" s="241"/>
      <c r="W186" s="241"/>
      <c r="X186" s="241"/>
      <c r="Y186" s="241"/>
      <c r="Z186" s="241"/>
    </row>
    <row r="187" spans="16:26">
      <c r="P187" s="245"/>
      <c r="Q187" s="245"/>
      <c r="R187" s="245"/>
      <c r="S187" s="245"/>
      <c r="T187" s="245"/>
      <c r="U187" s="245"/>
      <c r="V187" s="245"/>
      <c r="W187" s="245"/>
      <c r="X187" s="245"/>
      <c r="Y187" s="245"/>
      <c r="Z187" s="245"/>
    </row>
    <row r="188" spans="16:26">
      <c r="P188" s="245"/>
      <c r="Q188" s="245"/>
      <c r="R188" s="245"/>
      <c r="S188" s="245"/>
      <c r="T188" s="245"/>
      <c r="U188" s="245"/>
      <c r="V188" s="245"/>
      <c r="W188" s="245"/>
      <c r="X188" s="245"/>
      <c r="Y188" s="245"/>
      <c r="Z188" s="245"/>
    </row>
    <row r="189" spans="16:26">
      <c r="P189" s="241"/>
      <c r="Q189" s="241"/>
      <c r="R189" s="241"/>
      <c r="S189" s="241"/>
      <c r="T189" s="241"/>
      <c r="U189" s="241"/>
      <c r="V189" s="241"/>
      <c r="W189" s="241"/>
      <c r="X189" s="241"/>
      <c r="Y189" s="241"/>
      <c r="Z189" s="241"/>
    </row>
    <row r="190" spans="16:26">
      <c r="P190" s="245"/>
      <c r="Q190" s="245"/>
      <c r="R190" s="245"/>
      <c r="S190" s="245"/>
      <c r="T190" s="245"/>
      <c r="U190" s="245"/>
      <c r="V190" s="245"/>
      <c r="W190" s="245"/>
      <c r="X190" s="245"/>
      <c r="Y190" s="245"/>
      <c r="Z190" s="245"/>
    </row>
    <row r="191" spans="16:26">
      <c r="P191" s="245"/>
      <c r="Q191" s="245"/>
      <c r="R191" s="245"/>
      <c r="S191" s="245"/>
      <c r="T191" s="245"/>
      <c r="U191" s="245"/>
      <c r="V191" s="245"/>
      <c r="W191" s="245"/>
      <c r="X191" s="245"/>
      <c r="Y191" s="245"/>
      <c r="Z191" s="245"/>
    </row>
    <row r="192" spans="16:26">
      <c r="P192" s="241"/>
      <c r="Q192" s="241"/>
      <c r="R192" s="241"/>
      <c r="S192" s="241"/>
      <c r="T192" s="241"/>
      <c r="U192" s="241"/>
      <c r="V192" s="241"/>
      <c r="W192" s="241"/>
      <c r="X192" s="241"/>
      <c r="Y192" s="241"/>
      <c r="Z192" s="241"/>
    </row>
    <row r="193" spans="16:26">
      <c r="P193" s="245"/>
      <c r="Q193" s="245"/>
      <c r="R193" s="245"/>
      <c r="S193" s="245"/>
      <c r="T193" s="245"/>
      <c r="U193" s="245"/>
      <c r="V193" s="245"/>
      <c r="W193" s="245"/>
      <c r="X193" s="245"/>
      <c r="Y193" s="245"/>
      <c r="Z193" s="245"/>
    </row>
    <row r="194" spans="16:26">
      <c r="P194" s="245"/>
      <c r="Q194" s="245"/>
      <c r="R194" s="245"/>
      <c r="S194" s="245"/>
      <c r="T194" s="245"/>
      <c r="U194" s="245"/>
      <c r="V194" s="245"/>
      <c r="W194" s="245"/>
      <c r="X194" s="245"/>
      <c r="Y194" s="245"/>
      <c r="Z194" s="245"/>
    </row>
    <row r="195" spans="16:26">
      <c r="P195" s="241"/>
      <c r="Q195" s="241"/>
      <c r="R195" s="241"/>
      <c r="S195" s="241"/>
      <c r="T195" s="241"/>
      <c r="U195" s="241"/>
      <c r="V195" s="241"/>
      <c r="W195" s="241"/>
      <c r="X195" s="241"/>
      <c r="Y195" s="241"/>
      <c r="Z195" s="241"/>
    </row>
    <row r="196" spans="16:26">
      <c r="P196" s="245"/>
      <c r="Q196" s="245"/>
      <c r="R196" s="245"/>
      <c r="S196" s="245"/>
      <c r="T196" s="245"/>
      <c r="U196" s="245"/>
      <c r="V196" s="245"/>
      <c r="W196" s="245"/>
      <c r="X196" s="245"/>
      <c r="Y196" s="245"/>
      <c r="Z196" s="245"/>
    </row>
    <row r="197" spans="16:26">
      <c r="P197" s="245"/>
      <c r="Q197" s="245"/>
      <c r="R197" s="245"/>
      <c r="S197" s="245"/>
      <c r="T197" s="245"/>
      <c r="U197" s="245"/>
      <c r="V197" s="245"/>
      <c r="W197" s="245"/>
      <c r="X197" s="245"/>
      <c r="Y197" s="245"/>
      <c r="Z197" s="245"/>
    </row>
    <row r="198" spans="16:26">
      <c r="P198" s="241"/>
      <c r="Q198" s="241"/>
      <c r="R198" s="241"/>
      <c r="S198" s="241"/>
      <c r="T198" s="241"/>
      <c r="U198" s="241"/>
      <c r="V198" s="241"/>
      <c r="W198" s="241"/>
      <c r="X198" s="241"/>
      <c r="Y198" s="241"/>
      <c r="Z198" s="241"/>
    </row>
    <row r="199" spans="16:26">
      <c r="P199" s="245"/>
      <c r="Q199" s="245"/>
      <c r="R199" s="245"/>
      <c r="S199" s="245"/>
      <c r="T199" s="245"/>
      <c r="U199" s="245"/>
      <c r="V199" s="245"/>
      <c r="W199" s="245"/>
      <c r="X199" s="245"/>
      <c r="Y199" s="245"/>
      <c r="Z199" s="245"/>
    </row>
    <row r="200" spans="16:26">
      <c r="P200" s="245"/>
      <c r="Q200" s="245"/>
      <c r="R200" s="245"/>
      <c r="S200" s="245"/>
      <c r="T200" s="245"/>
      <c r="U200" s="245"/>
      <c r="V200" s="245"/>
      <c r="W200" s="245"/>
      <c r="X200" s="245"/>
      <c r="Y200" s="245"/>
      <c r="Z200" s="245"/>
    </row>
    <row r="201" spans="16:26">
      <c r="P201" s="241"/>
      <c r="Q201" s="241"/>
      <c r="R201" s="241"/>
      <c r="S201" s="241"/>
      <c r="T201" s="241"/>
      <c r="U201" s="241"/>
      <c r="V201" s="241"/>
      <c r="W201" s="241"/>
      <c r="X201" s="241"/>
      <c r="Y201" s="241"/>
      <c r="Z201" s="241"/>
    </row>
    <row r="202" spans="16:26">
      <c r="P202" s="245"/>
      <c r="Q202" s="245"/>
      <c r="R202" s="245"/>
      <c r="S202" s="245"/>
      <c r="T202" s="245"/>
      <c r="U202" s="245"/>
      <c r="V202" s="245"/>
      <c r="W202" s="245"/>
      <c r="X202" s="245"/>
      <c r="Y202" s="245"/>
      <c r="Z202" s="245"/>
    </row>
    <row r="203" spans="16:26">
      <c r="P203" s="245"/>
      <c r="Q203" s="245"/>
      <c r="R203" s="245"/>
      <c r="S203" s="245"/>
      <c r="T203" s="245"/>
      <c r="U203" s="245"/>
      <c r="V203" s="245"/>
      <c r="W203" s="245"/>
      <c r="X203" s="245"/>
      <c r="Y203" s="245"/>
      <c r="Z203" s="245"/>
    </row>
    <row r="204" spans="16:26">
      <c r="P204" s="241"/>
      <c r="Q204" s="241"/>
      <c r="R204" s="241"/>
      <c r="S204" s="241"/>
      <c r="T204" s="241"/>
      <c r="U204" s="241"/>
      <c r="V204" s="241"/>
      <c r="W204" s="241"/>
      <c r="X204" s="241"/>
      <c r="Y204" s="241"/>
      <c r="Z204" s="241"/>
    </row>
    <row r="205" spans="16:26">
      <c r="P205" s="245"/>
      <c r="Q205" s="245"/>
      <c r="R205" s="245"/>
      <c r="S205" s="245"/>
      <c r="T205" s="245"/>
      <c r="U205" s="245"/>
      <c r="V205" s="245"/>
      <c r="W205" s="245"/>
      <c r="X205" s="245"/>
      <c r="Y205" s="245"/>
      <c r="Z205" s="245"/>
    </row>
    <row r="206" spans="16:26">
      <c r="P206" s="245"/>
      <c r="Q206" s="245"/>
      <c r="R206" s="245"/>
      <c r="S206" s="245"/>
      <c r="T206" s="245"/>
      <c r="U206" s="245"/>
      <c r="V206" s="245"/>
      <c r="W206" s="245"/>
      <c r="X206" s="245"/>
      <c r="Y206" s="245"/>
      <c r="Z206" s="245"/>
    </row>
    <row r="207" spans="16:26">
      <c r="P207" s="241"/>
      <c r="Q207" s="241"/>
      <c r="R207" s="241"/>
      <c r="S207" s="241"/>
      <c r="T207" s="241"/>
      <c r="U207" s="241"/>
      <c r="V207" s="241"/>
      <c r="W207" s="241"/>
      <c r="X207" s="241"/>
      <c r="Y207" s="241"/>
      <c r="Z207" s="241"/>
    </row>
    <row r="208" spans="16:26">
      <c r="P208" s="245"/>
      <c r="Q208" s="245"/>
      <c r="R208" s="245"/>
      <c r="S208" s="245"/>
      <c r="T208" s="245"/>
      <c r="U208" s="245"/>
      <c r="V208" s="245"/>
      <c r="W208" s="245"/>
      <c r="X208" s="245"/>
      <c r="Y208" s="245"/>
      <c r="Z208" s="245"/>
    </row>
    <row r="209" spans="16:26">
      <c r="P209" s="245"/>
      <c r="Q209" s="245"/>
      <c r="R209" s="245"/>
      <c r="S209" s="245"/>
      <c r="T209" s="245"/>
      <c r="U209" s="245"/>
      <c r="V209" s="245"/>
      <c r="W209" s="245"/>
      <c r="X209" s="245"/>
      <c r="Y209" s="245"/>
      <c r="Z209" s="245"/>
    </row>
    <row r="210" spans="16:26">
      <c r="P210" s="241"/>
      <c r="Q210" s="241"/>
      <c r="R210" s="241"/>
      <c r="S210" s="241"/>
      <c r="T210" s="241"/>
      <c r="U210" s="241"/>
      <c r="V210" s="241"/>
      <c r="W210" s="241"/>
      <c r="X210" s="241"/>
      <c r="Y210" s="241"/>
      <c r="Z210" s="241"/>
    </row>
    <row r="211" spans="16:26">
      <c r="P211" s="245"/>
      <c r="Q211" s="245"/>
      <c r="R211" s="245"/>
      <c r="S211" s="245"/>
      <c r="T211" s="245"/>
      <c r="U211" s="245"/>
      <c r="V211" s="245"/>
      <c r="W211" s="245"/>
      <c r="X211" s="245"/>
      <c r="Y211" s="245"/>
      <c r="Z211" s="245"/>
    </row>
    <row r="212" spans="16:26">
      <c r="P212" s="245"/>
      <c r="Q212" s="245"/>
      <c r="R212" s="245"/>
      <c r="S212" s="245"/>
      <c r="T212" s="245"/>
      <c r="U212" s="245"/>
      <c r="V212" s="245"/>
      <c r="W212" s="245"/>
      <c r="X212" s="245"/>
      <c r="Y212" s="245"/>
      <c r="Z212" s="245"/>
    </row>
    <row r="213" spans="16:26">
      <c r="P213" s="241"/>
      <c r="Q213" s="241"/>
      <c r="R213" s="241"/>
      <c r="S213" s="241"/>
      <c r="T213" s="241"/>
      <c r="U213" s="241"/>
      <c r="V213" s="241"/>
      <c r="W213" s="241"/>
      <c r="X213" s="241"/>
      <c r="Y213" s="241"/>
      <c r="Z213" s="241"/>
    </row>
    <row r="214" spans="16:26">
      <c r="P214" s="245"/>
      <c r="Q214" s="245"/>
      <c r="R214" s="245"/>
      <c r="S214" s="245"/>
      <c r="T214" s="245"/>
      <c r="U214" s="245"/>
      <c r="V214" s="245"/>
      <c r="W214" s="245"/>
      <c r="X214" s="245"/>
      <c r="Y214" s="245"/>
      <c r="Z214" s="245"/>
    </row>
    <row r="215" spans="16:26">
      <c r="P215" s="245"/>
      <c r="Q215" s="245"/>
      <c r="R215" s="245"/>
      <c r="S215" s="245"/>
      <c r="T215" s="245"/>
      <c r="U215" s="245"/>
      <c r="V215" s="245"/>
      <c r="W215" s="245"/>
      <c r="X215" s="245"/>
      <c r="Y215" s="245"/>
      <c r="Z215" s="245"/>
    </row>
    <row r="216" spans="16:26">
      <c r="P216" s="241"/>
      <c r="Q216" s="241"/>
      <c r="R216" s="241"/>
      <c r="S216" s="241"/>
      <c r="T216" s="241"/>
      <c r="U216" s="241"/>
      <c r="V216" s="241"/>
      <c r="W216" s="241"/>
      <c r="X216" s="241"/>
      <c r="Y216" s="241"/>
      <c r="Z216" s="241"/>
    </row>
    <row r="217" spans="16:26">
      <c r="P217" s="245"/>
      <c r="Q217" s="245"/>
      <c r="R217" s="245"/>
      <c r="S217" s="245"/>
      <c r="T217" s="245"/>
      <c r="U217" s="245"/>
      <c r="V217" s="245"/>
      <c r="W217" s="245"/>
      <c r="X217" s="245"/>
      <c r="Y217" s="245"/>
      <c r="Z217" s="245"/>
    </row>
    <row r="218" spans="16:26">
      <c r="P218" s="245"/>
      <c r="Q218" s="245"/>
      <c r="R218" s="245"/>
      <c r="S218" s="245"/>
      <c r="T218" s="245"/>
      <c r="U218" s="245"/>
      <c r="V218" s="245"/>
      <c r="W218" s="245"/>
      <c r="X218" s="245"/>
      <c r="Y218" s="245"/>
      <c r="Z218" s="245"/>
    </row>
    <row r="219" spans="16:26">
      <c r="P219" s="241"/>
      <c r="Q219" s="241"/>
      <c r="R219" s="241"/>
      <c r="S219" s="241"/>
      <c r="T219" s="241"/>
      <c r="U219" s="241"/>
      <c r="V219" s="241"/>
      <c r="W219" s="241"/>
      <c r="X219" s="241"/>
      <c r="Y219" s="241"/>
      <c r="Z219" s="241"/>
    </row>
    <row r="220" spans="16:26">
      <c r="P220" s="245"/>
      <c r="Q220" s="245"/>
      <c r="R220" s="245"/>
      <c r="S220" s="245"/>
      <c r="T220" s="245"/>
      <c r="U220" s="245"/>
      <c r="V220" s="245"/>
      <c r="W220" s="245"/>
      <c r="X220" s="245"/>
      <c r="Y220" s="245"/>
      <c r="Z220" s="245"/>
    </row>
    <row r="221" spans="16:26">
      <c r="P221" s="245"/>
      <c r="Q221" s="245"/>
      <c r="R221" s="245"/>
      <c r="S221" s="245"/>
      <c r="T221" s="245"/>
      <c r="U221" s="245"/>
      <c r="V221" s="245"/>
      <c r="W221" s="245"/>
      <c r="X221" s="245"/>
      <c r="Y221" s="245"/>
      <c r="Z221" s="245"/>
    </row>
    <row r="222" spans="16:26">
      <c r="P222" s="241"/>
      <c r="Q222" s="241"/>
      <c r="R222" s="241"/>
      <c r="S222" s="241"/>
      <c r="T222" s="241"/>
      <c r="U222" s="241"/>
      <c r="V222" s="241"/>
      <c r="W222" s="241"/>
      <c r="X222" s="241"/>
      <c r="Y222" s="241"/>
      <c r="Z222" s="241"/>
    </row>
    <row r="223" spans="16:26">
      <c r="P223" s="245"/>
      <c r="Q223" s="245"/>
      <c r="R223" s="245"/>
      <c r="S223" s="245"/>
      <c r="T223" s="245"/>
      <c r="U223" s="245"/>
      <c r="V223" s="245"/>
      <c r="W223" s="245"/>
      <c r="X223" s="245"/>
      <c r="Y223" s="245"/>
      <c r="Z223" s="245"/>
    </row>
    <row r="224" spans="16:26">
      <c r="P224" s="245"/>
      <c r="Q224" s="245"/>
      <c r="R224" s="245"/>
      <c r="S224" s="245"/>
      <c r="T224" s="245"/>
      <c r="U224" s="245"/>
      <c r="V224" s="245"/>
      <c r="W224" s="245"/>
      <c r="X224" s="245"/>
      <c r="Y224" s="245"/>
      <c r="Z224" s="245"/>
    </row>
    <row r="225" spans="16:26">
      <c r="P225" s="241"/>
      <c r="Q225" s="241"/>
      <c r="R225" s="241"/>
      <c r="S225" s="241"/>
      <c r="T225" s="241"/>
      <c r="U225" s="241"/>
      <c r="V225" s="241"/>
      <c r="W225" s="241"/>
      <c r="X225" s="241"/>
      <c r="Y225" s="241"/>
      <c r="Z225" s="241"/>
    </row>
    <row r="226" spans="16:26">
      <c r="P226" s="245"/>
      <c r="Q226" s="245"/>
      <c r="R226" s="245"/>
      <c r="S226" s="245"/>
      <c r="T226" s="245"/>
      <c r="U226" s="245"/>
      <c r="V226" s="245"/>
      <c r="W226" s="245"/>
      <c r="X226" s="245"/>
      <c r="Y226" s="245"/>
      <c r="Z226" s="245"/>
    </row>
    <row r="227" spans="16:26">
      <c r="P227" s="245"/>
      <c r="Q227" s="245"/>
      <c r="R227" s="245"/>
      <c r="S227" s="245"/>
      <c r="T227" s="245"/>
      <c r="U227" s="245"/>
      <c r="V227" s="245"/>
      <c r="W227" s="245"/>
      <c r="X227" s="245"/>
      <c r="Y227" s="245"/>
      <c r="Z227" s="245"/>
    </row>
    <row r="228" spans="16:26">
      <c r="P228" s="241"/>
      <c r="Q228" s="241"/>
      <c r="R228" s="241"/>
      <c r="S228" s="241"/>
      <c r="T228" s="241"/>
      <c r="U228" s="241"/>
      <c r="V228" s="241"/>
      <c r="W228" s="241"/>
      <c r="X228" s="241"/>
      <c r="Y228" s="241"/>
      <c r="Z228" s="241"/>
    </row>
    <row r="229" spans="16:26">
      <c r="P229" s="245"/>
      <c r="Q229" s="245"/>
      <c r="R229" s="245"/>
      <c r="S229" s="245"/>
      <c r="T229" s="245"/>
      <c r="U229" s="245"/>
      <c r="V229" s="245"/>
      <c r="W229" s="245"/>
      <c r="X229" s="245"/>
      <c r="Y229" s="245"/>
      <c r="Z229" s="245"/>
    </row>
    <row r="230" spans="16:26">
      <c r="P230" s="245"/>
      <c r="Q230" s="245"/>
      <c r="R230" s="245"/>
      <c r="S230" s="245"/>
      <c r="T230" s="245"/>
      <c r="U230" s="245"/>
      <c r="V230" s="245"/>
      <c r="W230" s="245"/>
      <c r="X230" s="245"/>
      <c r="Y230" s="245"/>
      <c r="Z230" s="245"/>
    </row>
    <row r="231" spans="16:26">
      <c r="P231" s="241"/>
      <c r="Q231" s="241"/>
      <c r="R231" s="241"/>
      <c r="S231" s="241"/>
      <c r="T231" s="241"/>
      <c r="U231" s="241"/>
      <c r="V231" s="241"/>
      <c r="W231" s="241"/>
      <c r="X231" s="241"/>
      <c r="Y231" s="241"/>
      <c r="Z231" s="241"/>
    </row>
    <row r="232" spans="16:26">
      <c r="P232" s="245"/>
      <c r="Q232" s="245"/>
      <c r="R232" s="245"/>
      <c r="S232" s="245"/>
      <c r="T232" s="245"/>
      <c r="U232" s="245"/>
      <c r="V232" s="245"/>
      <c r="W232" s="245"/>
      <c r="X232" s="245"/>
      <c r="Y232" s="245"/>
      <c r="Z232" s="245"/>
    </row>
    <row r="233" spans="16:26">
      <c r="P233" s="245"/>
      <c r="Q233" s="245"/>
      <c r="R233" s="245"/>
      <c r="S233" s="245"/>
      <c r="T233" s="245"/>
      <c r="U233" s="245"/>
      <c r="V233" s="245"/>
      <c r="W233" s="245"/>
      <c r="X233" s="245"/>
      <c r="Y233" s="245"/>
      <c r="Z233" s="245"/>
    </row>
    <row r="234" spans="16:26">
      <c r="P234" s="241"/>
      <c r="Q234" s="241"/>
      <c r="R234" s="241"/>
      <c r="S234" s="241"/>
      <c r="T234" s="241"/>
      <c r="U234" s="241"/>
      <c r="V234" s="241"/>
      <c r="W234" s="241"/>
      <c r="X234" s="241"/>
      <c r="Y234" s="241"/>
      <c r="Z234" s="241"/>
    </row>
    <row r="235" spans="16:26">
      <c r="P235" s="245"/>
      <c r="Q235" s="245"/>
      <c r="R235" s="245"/>
      <c r="S235" s="245"/>
      <c r="T235" s="245"/>
      <c r="U235" s="245"/>
      <c r="V235" s="245"/>
      <c r="W235" s="245"/>
      <c r="X235" s="245"/>
      <c r="Y235" s="245"/>
      <c r="Z235" s="245"/>
    </row>
    <row r="236" spans="16:26">
      <c r="P236" s="245"/>
      <c r="Q236" s="245"/>
      <c r="R236" s="245"/>
      <c r="S236" s="245"/>
      <c r="T236" s="245"/>
      <c r="U236" s="245"/>
      <c r="V236" s="245"/>
      <c r="W236" s="245"/>
      <c r="X236" s="245"/>
      <c r="Y236" s="245"/>
      <c r="Z236" s="245"/>
    </row>
    <row r="237" spans="16:26">
      <c r="P237" s="241"/>
      <c r="Q237" s="241"/>
      <c r="R237" s="241"/>
      <c r="S237" s="241"/>
      <c r="T237" s="241"/>
      <c r="U237" s="241"/>
      <c r="V237" s="241"/>
      <c r="W237" s="241"/>
      <c r="X237" s="241"/>
      <c r="Y237" s="241"/>
      <c r="Z237" s="241"/>
    </row>
    <row r="238" spans="16:26">
      <c r="P238" s="245"/>
      <c r="Q238" s="245"/>
      <c r="R238" s="245"/>
      <c r="S238" s="245"/>
      <c r="T238" s="245"/>
      <c r="U238" s="245"/>
      <c r="V238" s="245"/>
      <c r="W238" s="245"/>
      <c r="X238" s="245"/>
      <c r="Y238" s="245"/>
      <c r="Z238" s="245"/>
    </row>
    <row r="239" spans="16:26">
      <c r="P239" s="245"/>
      <c r="Q239" s="245"/>
      <c r="R239" s="245"/>
      <c r="S239" s="245"/>
      <c r="T239" s="245"/>
      <c r="U239" s="245"/>
      <c r="V239" s="245"/>
      <c r="W239" s="245"/>
      <c r="X239" s="245"/>
      <c r="Y239" s="245"/>
      <c r="Z239" s="245"/>
    </row>
    <row r="240" spans="16:26">
      <c r="P240" s="241"/>
      <c r="Q240" s="241"/>
      <c r="R240" s="241"/>
      <c r="S240" s="241"/>
      <c r="T240" s="241"/>
      <c r="U240" s="241"/>
      <c r="V240" s="241"/>
      <c r="W240" s="241"/>
      <c r="X240" s="241"/>
      <c r="Y240" s="241"/>
      <c r="Z240" s="241"/>
    </row>
    <row r="241" spans="16:26">
      <c r="P241" s="245"/>
      <c r="Q241" s="245"/>
      <c r="R241" s="245"/>
      <c r="S241" s="245"/>
      <c r="T241" s="245"/>
      <c r="U241" s="245"/>
      <c r="V241" s="245"/>
      <c r="W241" s="245"/>
      <c r="X241" s="245"/>
      <c r="Y241" s="245"/>
      <c r="Z241" s="245"/>
    </row>
    <row r="242" spans="16:26">
      <c r="P242" s="245"/>
      <c r="Q242" s="245"/>
      <c r="R242" s="245"/>
      <c r="S242" s="245"/>
      <c r="T242" s="245"/>
      <c r="U242" s="245"/>
      <c r="V242" s="245"/>
      <c r="W242" s="245"/>
      <c r="X242" s="245"/>
      <c r="Y242" s="245"/>
      <c r="Z242" s="245"/>
    </row>
    <row r="243" spans="16:26">
      <c r="P243" s="241"/>
      <c r="Q243" s="241"/>
      <c r="R243" s="241"/>
      <c r="S243" s="241"/>
      <c r="T243" s="241"/>
      <c r="U243" s="241"/>
      <c r="V243" s="241"/>
      <c r="W243" s="241"/>
      <c r="X243" s="241"/>
      <c r="Y243" s="241"/>
      <c r="Z243" s="241"/>
    </row>
    <row r="244" spans="16:26">
      <c r="P244" s="245"/>
      <c r="Q244" s="245"/>
      <c r="R244" s="245"/>
      <c r="S244" s="245"/>
      <c r="T244" s="245"/>
      <c r="U244" s="245"/>
      <c r="V244" s="245"/>
      <c r="W244" s="245"/>
      <c r="X244" s="245"/>
      <c r="Y244" s="245"/>
      <c r="Z244" s="245"/>
    </row>
    <row r="245" spans="16:26">
      <c r="P245" s="245"/>
      <c r="Q245" s="245"/>
      <c r="R245" s="245"/>
      <c r="S245" s="245"/>
      <c r="T245" s="245"/>
      <c r="U245" s="245"/>
      <c r="V245" s="245"/>
      <c r="W245" s="245"/>
      <c r="X245" s="245"/>
      <c r="Y245" s="245"/>
      <c r="Z245" s="245"/>
    </row>
    <row r="246" spans="16:26">
      <c r="P246" s="241"/>
      <c r="Q246" s="241"/>
      <c r="R246" s="241"/>
      <c r="S246" s="241"/>
      <c r="T246" s="241"/>
      <c r="U246" s="241"/>
      <c r="V246" s="241"/>
      <c r="W246" s="241"/>
      <c r="X246" s="241"/>
      <c r="Y246" s="241"/>
      <c r="Z246" s="241"/>
    </row>
    <row r="247" spans="16:26">
      <c r="P247" s="245"/>
      <c r="Q247" s="245"/>
      <c r="R247" s="245"/>
      <c r="S247" s="245"/>
      <c r="T247" s="245"/>
      <c r="U247" s="245"/>
      <c r="V247" s="245"/>
      <c r="W247" s="245"/>
      <c r="X247" s="245"/>
      <c r="Y247" s="245"/>
      <c r="Z247" s="245"/>
    </row>
    <row r="248" spans="16:26">
      <c r="P248" s="245"/>
      <c r="Q248" s="245"/>
      <c r="R248" s="245"/>
      <c r="S248" s="245"/>
      <c r="T248" s="245"/>
      <c r="U248" s="245"/>
      <c r="V248" s="245"/>
      <c r="W248" s="245"/>
      <c r="X248" s="245"/>
      <c r="Y248" s="245"/>
      <c r="Z248" s="245"/>
    </row>
    <row r="249" spans="16:26">
      <c r="P249" s="241"/>
      <c r="Q249" s="241"/>
      <c r="R249" s="241"/>
      <c r="S249" s="241"/>
      <c r="T249" s="241"/>
      <c r="U249" s="241"/>
      <c r="V249" s="241"/>
      <c r="W249" s="241"/>
      <c r="X249" s="241"/>
      <c r="Y249" s="241"/>
      <c r="Z249" s="241"/>
    </row>
    <row r="250" spans="16:26">
      <c r="P250" s="245"/>
      <c r="Q250" s="245"/>
      <c r="R250" s="245"/>
      <c r="S250" s="245"/>
      <c r="T250" s="245"/>
      <c r="U250" s="245"/>
      <c r="V250" s="245"/>
      <c r="W250" s="245"/>
      <c r="X250" s="245"/>
      <c r="Y250" s="245"/>
      <c r="Z250" s="245"/>
    </row>
    <row r="251" spans="16:26">
      <c r="P251" s="245"/>
      <c r="Q251" s="245"/>
      <c r="R251" s="245"/>
      <c r="S251" s="245"/>
      <c r="T251" s="245"/>
      <c r="U251" s="245"/>
      <c r="V251" s="245"/>
      <c r="W251" s="245"/>
      <c r="X251" s="245"/>
      <c r="Y251" s="245"/>
      <c r="Z251" s="245"/>
    </row>
    <row r="252" spans="16:26">
      <c r="P252" s="241"/>
      <c r="Q252" s="241"/>
      <c r="R252" s="241"/>
      <c r="S252" s="241"/>
      <c r="T252" s="241"/>
      <c r="U252" s="241"/>
      <c r="V252" s="241"/>
      <c r="W252" s="241"/>
      <c r="X252" s="241"/>
      <c r="Y252" s="241"/>
      <c r="Z252" s="241"/>
    </row>
    <row r="253" spans="16:26">
      <c r="P253" s="245"/>
      <c r="Q253" s="245"/>
      <c r="R253" s="245"/>
      <c r="S253" s="245"/>
      <c r="T253" s="245"/>
      <c r="U253" s="245"/>
      <c r="V253" s="245"/>
      <c r="W253" s="245"/>
      <c r="X253" s="245"/>
      <c r="Y253" s="245"/>
      <c r="Z253" s="245"/>
    </row>
    <row r="254" spans="16:26">
      <c r="P254" s="245"/>
      <c r="Q254" s="245"/>
      <c r="R254" s="245"/>
      <c r="S254" s="245"/>
      <c r="T254" s="245"/>
      <c r="U254" s="245"/>
      <c r="V254" s="245"/>
      <c r="W254" s="245"/>
      <c r="X254" s="245"/>
      <c r="Y254" s="245"/>
      <c r="Z254" s="245"/>
    </row>
    <row r="255" spans="16:26">
      <c r="P255" s="241"/>
      <c r="Q255" s="241"/>
      <c r="R255" s="241"/>
      <c r="S255" s="241"/>
      <c r="T255" s="241"/>
      <c r="U255" s="241"/>
      <c r="V255" s="241"/>
      <c r="W255" s="241"/>
      <c r="X255" s="241"/>
      <c r="Y255" s="241"/>
      <c r="Z255" s="241"/>
    </row>
    <row r="256" spans="16:26">
      <c r="P256" s="245"/>
      <c r="Q256" s="245"/>
      <c r="R256" s="245"/>
      <c r="S256" s="245"/>
      <c r="T256" s="245"/>
      <c r="U256" s="245"/>
      <c r="V256" s="245"/>
      <c r="W256" s="245"/>
      <c r="X256" s="245"/>
      <c r="Y256" s="245"/>
      <c r="Z256" s="245"/>
    </row>
    <row r="257" spans="16:26">
      <c r="P257" s="245"/>
      <c r="Q257" s="245"/>
      <c r="R257" s="245"/>
      <c r="S257" s="245"/>
      <c r="T257" s="245"/>
      <c r="U257" s="245"/>
      <c r="V257" s="245"/>
      <c r="W257" s="245"/>
      <c r="X257" s="245"/>
      <c r="Y257" s="245"/>
      <c r="Z257" s="245"/>
    </row>
    <row r="258" spans="16:26">
      <c r="P258" s="241"/>
      <c r="Q258" s="241"/>
      <c r="R258" s="241"/>
      <c r="S258" s="241"/>
      <c r="T258" s="241"/>
      <c r="U258" s="241"/>
      <c r="V258" s="241"/>
      <c r="W258" s="241"/>
      <c r="X258" s="241"/>
      <c r="Y258" s="241"/>
      <c r="Z258" s="241"/>
    </row>
    <row r="259" spans="16:26">
      <c r="P259" s="245"/>
      <c r="Q259" s="245"/>
      <c r="R259" s="245"/>
      <c r="S259" s="245"/>
      <c r="T259" s="245"/>
      <c r="U259" s="245"/>
      <c r="V259" s="245"/>
      <c r="W259" s="245"/>
      <c r="X259" s="245"/>
      <c r="Y259" s="245"/>
      <c r="Z259" s="245"/>
    </row>
    <row r="260" spans="16:26">
      <c r="P260" s="245"/>
      <c r="Q260" s="245"/>
      <c r="R260" s="245"/>
      <c r="S260" s="245"/>
      <c r="T260" s="245"/>
      <c r="U260" s="245"/>
      <c r="V260" s="245"/>
      <c r="W260" s="245"/>
      <c r="X260" s="245"/>
      <c r="Y260" s="245"/>
      <c r="Z260" s="245"/>
    </row>
    <row r="261" spans="16:26">
      <c r="P261" s="241"/>
      <c r="Q261" s="241"/>
      <c r="R261" s="241"/>
      <c r="S261" s="241"/>
      <c r="T261" s="241"/>
      <c r="U261" s="241"/>
      <c r="V261" s="241"/>
      <c r="W261" s="241"/>
      <c r="X261" s="241"/>
      <c r="Y261" s="241"/>
      <c r="Z261" s="241"/>
    </row>
    <row r="262" spans="16:26">
      <c r="P262" s="245"/>
      <c r="Q262" s="245"/>
      <c r="R262" s="245"/>
      <c r="S262" s="245"/>
      <c r="T262" s="245"/>
      <c r="U262" s="245"/>
      <c r="V262" s="245"/>
      <c r="W262" s="245"/>
      <c r="X262" s="245"/>
      <c r="Y262" s="245"/>
      <c r="Z262" s="245"/>
    </row>
    <row r="263" spans="16:26">
      <c r="P263" s="245"/>
      <c r="Q263" s="245"/>
      <c r="R263" s="245"/>
      <c r="S263" s="245"/>
      <c r="T263" s="245"/>
      <c r="U263" s="245"/>
      <c r="V263" s="245"/>
      <c r="W263" s="245"/>
      <c r="X263" s="245"/>
      <c r="Y263" s="245"/>
      <c r="Z263" s="245"/>
    </row>
    <row r="264" spans="16:26">
      <c r="P264" s="241"/>
      <c r="Q264" s="241"/>
      <c r="R264" s="241"/>
      <c r="S264" s="241"/>
      <c r="T264" s="241"/>
      <c r="U264" s="241"/>
      <c r="V264" s="241"/>
      <c r="W264" s="241"/>
      <c r="X264" s="241"/>
      <c r="Y264" s="241"/>
      <c r="Z264" s="241"/>
    </row>
    <row r="265" spans="16:26">
      <c r="P265" s="245"/>
      <c r="Q265" s="245"/>
      <c r="R265" s="245"/>
      <c r="S265" s="245"/>
      <c r="T265" s="245"/>
      <c r="U265" s="245"/>
      <c r="V265" s="245"/>
      <c r="W265" s="245"/>
      <c r="X265" s="245"/>
      <c r="Y265" s="245"/>
      <c r="Z265" s="245"/>
    </row>
    <row r="266" spans="16:26">
      <c r="P266" s="245"/>
      <c r="Q266" s="245"/>
      <c r="R266" s="245"/>
      <c r="S266" s="245"/>
      <c r="T266" s="245"/>
      <c r="U266" s="245"/>
      <c r="V266" s="245"/>
      <c r="W266" s="245"/>
      <c r="X266" s="245"/>
      <c r="Y266" s="245"/>
      <c r="Z266" s="245"/>
    </row>
    <row r="267" spans="16:26">
      <c r="P267" s="241"/>
      <c r="Q267" s="241"/>
      <c r="R267" s="241"/>
      <c r="S267" s="241"/>
      <c r="T267" s="241"/>
      <c r="U267" s="241"/>
      <c r="V267" s="241"/>
      <c r="W267" s="241"/>
      <c r="X267" s="241"/>
      <c r="Y267" s="241"/>
      <c r="Z267" s="241"/>
    </row>
    <row r="268" spans="16:26">
      <c r="P268" s="245"/>
      <c r="Q268" s="245"/>
      <c r="R268" s="245"/>
      <c r="S268" s="245"/>
      <c r="T268" s="245"/>
      <c r="U268" s="245"/>
      <c r="V268" s="245"/>
      <c r="W268" s="245"/>
      <c r="X268" s="245"/>
      <c r="Y268" s="245"/>
      <c r="Z268" s="245"/>
    </row>
    <row r="269" spans="16:26">
      <c r="P269" s="245"/>
      <c r="Q269" s="245"/>
      <c r="R269" s="245"/>
      <c r="S269" s="245"/>
      <c r="T269" s="245"/>
      <c r="U269" s="245"/>
      <c r="V269" s="245"/>
      <c r="W269" s="245"/>
      <c r="X269" s="245"/>
      <c r="Y269" s="245"/>
      <c r="Z269" s="245"/>
    </row>
    <row r="270" spans="16:26">
      <c r="P270" s="241"/>
      <c r="Q270" s="241"/>
      <c r="R270" s="241"/>
      <c r="S270" s="241"/>
      <c r="T270" s="241"/>
      <c r="U270" s="241"/>
      <c r="V270" s="241"/>
      <c r="W270" s="241"/>
      <c r="X270" s="241"/>
      <c r="Y270" s="241"/>
      <c r="Z270" s="241"/>
    </row>
    <row r="271" spans="16:26">
      <c r="P271" s="245"/>
      <c r="Q271" s="245"/>
      <c r="R271" s="245"/>
      <c r="S271" s="245"/>
      <c r="T271" s="245"/>
      <c r="U271" s="245"/>
      <c r="V271" s="245"/>
      <c r="W271" s="245"/>
      <c r="X271" s="245"/>
      <c r="Y271" s="245"/>
      <c r="Z271" s="245"/>
    </row>
    <row r="272" spans="16:26">
      <c r="P272" s="245"/>
      <c r="Q272" s="245"/>
      <c r="R272" s="245"/>
      <c r="S272" s="245"/>
      <c r="T272" s="245"/>
      <c r="U272" s="245"/>
      <c r="V272" s="245"/>
      <c r="W272" s="245"/>
      <c r="X272" s="245"/>
      <c r="Y272" s="245"/>
      <c r="Z272" s="245"/>
    </row>
    <row r="273" spans="16:26">
      <c r="P273" s="241"/>
      <c r="Q273" s="241"/>
      <c r="R273" s="241"/>
      <c r="S273" s="241"/>
      <c r="T273" s="241"/>
      <c r="U273" s="241"/>
      <c r="V273" s="241"/>
      <c r="W273" s="241"/>
      <c r="X273" s="241"/>
      <c r="Y273" s="241"/>
      <c r="Z273" s="241"/>
    </row>
    <row r="274" spans="16:26">
      <c r="P274" s="245"/>
      <c r="Q274" s="245"/>
      <c r="R274" s="245"/>
      <c r="S274" s="245"/>
      <c r="T274" s="245"/>
      <c r="U274" s="245"/>
      <c r="V274" s="245"/>
      <c r="W274" s="245"/>
      <c r="X274" s="245"/>
      <c r="Y274" s="245"/>
      <c r="Z274" s="245"/>
    </row>
    <row r="275" spans="16:26">
      <c r="P275" s="245"/>
      <c r="Q275" s="245"/>
      <c r="R275" s="245"/>
      <c r="S275" s="245"/>
      <c r="T275" s="245"/>
      <c r="U275" s="245"/>
      <c r="V275" s="245"/>
      <c r="W275" s="245"/>
      <c r="X275" s="245"/>
      <c r="Y275" s="245"/>
      <c r="Z275" s="245"/>
    </row>
    <row r="276" spans="16:26">
      <c r="P276" s="241"/>
      <c r="Q276" s="241"/>
      <c r="R276" s="241"/>
      <c r="S276" s="241"/>
      <c r="T276" s="241"/>
      <c r="U276" s="241"/>
      <c r="V276" s="241"/>
      <c r="W276" s="241"/>
      <c r="X276" s="241"/>
      <c r="Y276" s="241"/>
      <c r="Z276" s="241"/>
    </row>
    <row r="277" spans="16:26">
      <c r="P277" s="245"/>
      <c r="Q277" s="245"/>
      <c r="R277" s="245"/>
      <c r="S277" s="245"/>
      <c r="T277" s="245"/>
      <c r="U277" s="245"/>
      <c r="V277" s="245"/>
      <c r="W277" s="245"/>
      <c r="X277" s="245"/>
      <c r="Y277" s="245"/>
      <c r="Z277" s="245"/>
    </row>
    <row r="278" spans="16:26">
      <c r="P278" s="245"/>
      <c r="Q278" s="245"/>
      <c r="R278" s="245"/>
      <c r="S278" s="245"/>
      <c r="T278" s="245"/>
      <c r="U278" s="245"/>
      <c r="V278" s="245"/>
      <c r="W278" s="245"/>
      <c r="X278" s="245"/>
      <c r="Y278" s="245"/>
      <c r="Z278" s="245"/>
    </row>
    <row r="279" spans="16:26">
      <c r="P279" s="241"/>
      <c r="Q279" s="241"/>
      <c r="R279" s="241"/>
      <c r="S279" s="241"/>
      <c r="T279" s="241"/>
      <c r="U279" s="241"/>
      <c r="V279" s="241"/>
      <c r="W279" s="241"/>
      <c r="X279" s="241"/>
      <c r="Y279" s="241"/>
      <c r="Z279" s="241"/>
    </row>
    <row r="280" spans="16:26">
      <c r="P280" s="245"/>
      <c r="Q280" s="245"/>
      <c r="R280" s="245"/>
      <c r="S280" s="245"/>
      <c r="T280" s="245"/>
      <c r="U280" s="245"/>
      <c r="V280" s="245"/>
      <c r="W280" s="245"/>
      <c r="X280" s="245"/>
      <c r="Y280" s="245"/>
      <c r="Z280" s="245"/>
    </row>
    <row r="281" spans="16:26">
      <c r="P281" s="245"/>
      <c r="Q281" s="245"/>
      <c r="R281" s="245"/>
      <c r="S281" s="245"/>
      <c r="T281" s="245"/>
      <c r="U281" s="245"/>
      <c r="V281" s="245"/>
      <c r="W281" s="245"/>
      <c r="X281" s="245"/>
      <c r="Y281" s="245"/>
      <c r="Z281" s="245"/>
    </row>
    <row r="282" spans="16:26">
      <c r="P282" s="241"/>
      <c r="Q282" s="241"/>
      <c r="R282" s="241"/>
      <c r="S282" s="241"/>
      <c r="T282" s="241"/>
      <c r="U282" s="241"/>
      <c r="V282" s="241"/>
      <c r="W282" s="241"/>
      <c r="X282" s="241"/>
      <c r="Y282" s="241"/>
      <c r="Z282" s="241"/>
    </row>
    <row r="283" spans="16:26">
      <c r="P283" s="245"/>
      <c r="Q283" s="245"/>
      <c r="R283" s="245"/>
      <c r="S283" s="245"/>
      <c r="T283" s="245"/>
      <c r="U283" s="245"/>
      <c r="V283" s="245"/>
      <c r="W283" s="245"/>
      <c r="X283" s="245"/>
      <c r="Y283" s="245"/>
      <c r="Z283" s="245"/>
    </row>
    <row r="284" spans="16:26">
      <c r="P284" s="245"/>
      <c r="Q284" s="245"/>
      <c r="R284" s="245"/>
      <c r="S284" s="245"/>
      <c r="T284" s="245"/>
      <c r="U284" s="245"/>
      <c r="V284" s="245"/>
      <c r="W284" s="245"/>
      <c r="X284" s="245"/>
      <c r="Y284" s="245"/>
      <c r="Z284" s="245"/>
    </row>
    <row r="285" spans="16:26">
      <c r="P285" s="241"/>
      <c r="Q285" s="241"/>
      <c r="R285" s="241"/>
      <c r="S285" s="241"/>
      <c r="T285" s="241"/>
      <c r="U285" s="241"/>
      <c r="V285" s="241"/>
      <c r="W285" s="241"/>
      <c r="X285" s="241"/>
      <c r="Y285" s="241"/>
      <c r="Z285" s="241"/>
    </row>
    <row r="286" spans="16:26">
      <c r="P286" s="245"/>
      <c r="Q286" s="245"/>
      <c r="R286" s="245"/>
      <c r="S286" s="245"/>
      <c r="T286" s="245"/>
      <c r="U286" s="245"/>
      <c r="V286" s="245"/>
      <c r="W286" s="245"/>
      <c r="X286" s="245"/>
      <c r="Y286" s="245"/>
      <c r="Z286" s="245"/>
    </row>
    <row r="287" spans="16:26">
      <c r="P287" s="245"/>
      <c r="Q287" s="245"/>
      <c r="R287" s="245"/>
      <c r="S287" s="245"/>
      <c r="T287" s="245"/>
      <c r="U287" s="245"/>
      <c r="V287" s="245"/>
      <c r="W287" s="245"/>
      <c r="X287" s="245"/>
      <c r="Y287" s="245"/>
      <c r="Z287" s="245"/>
    </row>
    <row r="288" spans="16:26">
      <c r="P288" s="241"/>
      <c r="Q288" s="241"/>
      <c r="R288" s="241"/>
      <c r="S288" s="241"/>
      <c r="T288" s="241"/>
      <c r="U288" s="241"/>
      <c r="V288" s="241"/>
      <c r="W288" s="241"/>
      <c r="X288" s="241"/>
      <c r="Y288" s="241"/>
      <c r="Z288" s="241"/>
    </row>
    <row r="289" spans="16:26">
      <c r="P289" s="245"/>
      <c r="Q289" s="245"/>
      <c r="R289" s="245"/>
      <c r="S289" s="245"/>
      <c r="T289" s="245"/>
      <c r="U289" s="245"/>
      <c r="V289" s="245"/>
      <c r="W289" s="245"/>
      <c r="X289" s="245"/>
      <c r="Y289" s="245"/>
      <c r="Z289" s="245"/>
    </row>
    <row r="290" spans="16:26">
      <c r="P290" s="245"/>
      <c r="Q290" s="245"/>
      <c r="R290" s="245"/>
      <c r="S290" s="245"/>
      <c r="T290" s="245"/>
      <c r="U290" s="245"/>
      <c r="V290" s="245"/>
      <c r="W290" s="245"/>
      <c r="X290" s="245"/>
      <c r="Y290" s="245"/>
      <c r="Z290" s="245"/>
    </row>
    <row r="291" spans="16:26">
      <c r="P291" s="241"/>
      <c r="Q291" s="241"/>
      <c r="R291" s="241"/>
      <c r="S291" s="241"/>
      <c r="T291" s="241"/>
      <c r="U291" s="241"/>
      <c r="V291" s="241"/>
      <c r="W291" s="241"/>
      <c r="X291" s="241"/>
      <c r="Y291" s="241"/>
      <c r="Z291" s="241"/>
    </row>
    <row r="292" spans="16:26">
      <c r="P292" s="245"/>
      <c r="Q292" s="245"/>
      <c r="R292" s="245"/>
      <c r="S292" s="245"/>
      <c r="T292" s="245"/>
      <c r="U292" s="245"/>
      <c r="V292" s="245"/>
      <c r="W292" s="245"/>
      <c r="X292" s="245"/>
      <c r="Y292" s="245"/>
      <c r="Z292" s="245"/>
    </row>
    <row r="293" spans="16:26">
      <c r="P293" s="245"/>
      <c r="Q293" s="245"/>
      <c r="R293" s="245"/>
      <c r="S293" s="245"/>
      <c r="T293" s="245"/>
      <c r="U293" s="245"/>
      <c r="V293" s="245"/>
      <c r="W293" s="245"/>
      <c r="X293" s="245"/>
      <c r="Y293" s="245"/>
      <c r="Z293" s="245"/>
    </row>
    <row r="294" spans="16:26">
      <c r="P294" s="241"/>
      <c r="Q294" s="241"/>
      <c r="R294" s="241"/>
      <c r="S294" s="241"/>
      <c r="T294" s="241"/>
      <c r="U294" s="241"/>
      <c r="V294" s="241"/>
      <c r="W294" s="241"/>
      <c r="X294" s="241"/>
      <c r="Y294" s="241"/>
      <c r="Z294" s="241"/>
    </row>
    <row r="295" spans="16:26">
      <c r="P295" s="245"/>
      <c r="Q295" s="245"/>
      <c r="R295" s="245"/>
      <c r="S295" s="245"/>
      <c r="T295" s="245"/>
      <c r="U295" s="245"/>
      <c r="V295" s="245"/>
      <c r="W295" s="245"/>
      <c r="X295" s="245"/>
      <c r="Y295" s="245"/>
      <c r="Z295" s="245"/>
    </row>
    <row r="296" spans="16:26">
      <c r="P296" s="245"/>
      <c r="Q296" s="245"/>
      <c r="R296" s="245"/>
      <c r="S296" s="245"/>
      <c r="T296" s="245"/>
      <c r="U296" s="245"/>
      <c r="V296" s="245"/>
      <c r="W296" s="245"/>
      <c r="X296" s="245"/>
      <c r="Y296" s="245"/>
      <c r="Z296" s="245"/>
    </row>
    <row r="297" spans="16:26">
      <c r="P297" s="241"/>
      <c r="Q297" s="241"/>
      <c r="R297" s="241"/>
      <c r="S297" s="241"/>
      <c r="T297" s="241"/>
      <c r="U297" s="241"/>
      <c r="V297" s="241"/>
      <c r="W297" s="241"/>
      <c r="X297" s="241"/>
      <c r="Y297" s="241"/>
      <c r="Z297" s="241"/>
    </row>
    <row r="298" spans="16:26">
      <c r="P298" s="245"/>
      <c r="Q298" s="245"/>
      <c r="R298" s="245"/>
      <c r="S298" s="245"/>
      <c r="T298" s="245"/>
      <c r="U298" s="245"/>
      <c r="V298" s="245"/>
      <c r="W298" s="245"/>
      <c r="X298" s="245"/>
      <c r="Y298" s="245"/>
      <c r="Z298" s="245"/>
    </row>
    <row r="299" spans="16:26">
      <c r="P299" s="245"/>
      <c r="Q299" s="245"/>
      <c r="R299" s="245"/>
      <c r="S299" s="245"/>
      <c r="T299" s="245"/>
      <c r="U299" s="245"/>
      <c r="V299" s="245"/>
      <c r="W299" s="245"/>
      <c r="X299" s="245"/>
      <c r="Y299" s="245"/>
      <c r="Z299" s="245"/>
    </row>
    <row r="300" spans="16:26">
      <c r="P300" s="241"/>
      <c r="Q300" s="241"/>
      <c r="R300" s="241"/>
      <c r="S300" s="241"/>
      <c r="T300" s="241"/>
      <c r="U300" s="241"/>
      <c r="V300" s="241"/>
      <c r="W300" s="241"/>
      <c r="X300" s="241"/>
      <c r="Y300" s="241"/>
      <c r="Z300" s="241"/>
    </row>
    <row r="301" spans="16:26">
      <c r="P301" s="245"/>
      <c r="Q301" s="245"/>
      <c r="R301" s="245"/>
      <c r="S301" s="245"/>
      <c r="T301" s="245"/>
      <c r="U301" s="245"/>
      <c r="V301" s="245"/>
      <c r="W301" s="245"/>
      <c r="X301" s="245"/>
      <c r="Y301" s="245"/>
      <c r="Z301" s="245"/>
    </row>
    <row r="302" spans="16:26">
      <c r="P302" s="245"/>
      <c r="Q302" s="245"/>
      <c r="R302" s="245"/>
      <c r="S302" s="245"/>
      <c r="T302" s="245"/>
      <c r="U302" s="245"/>
      <c r="V302" s="245"/>
      <c r="W302" s="245"/>
      <c r="X302" s="245"/>
      <c r="Y302" s="245"/>
      <c r="Z302" s="245"/>
    </row>
    <row r="303" spans="16:26">
      <c r="P303" s="241"/>
      <c r="Q303" s="241"/>
      <c r="R303" s="241"/>
      <c r="S303" s="241"/>
      <c r="T303" s="241"/>
      <c r="U303" s="241"/>
      <c r="V303" s="241"/>
      <c r="W303" s="241"/>
      <c r="X303" s="241"/>
      <c r="Y303" s="241"/>
      <c r="Z303" s="241"/>
    </row>
    <row r="304" spans="16:26">
      <c r="P304" s="245"/>
      <c r="Q304" s="245"/>
      <c r="R304" s="245"/>
      <c r="S304" s="245"/>
      <c r="T304" s="245"/>
      <c r="U304" s="245"/>
      <c r="V304" s="245"/>
      <c r="W304" s="245"/>
      <c r="X304" s="245"/>
      <c r="Y304" s="245"/>
      <c r="Z304" s="245"/>
    </row>
    <row r="305" spans="16:26">
      <c r="P305" s="245"/>
      <c r="Q305" s="245"/>
      <c r="R305" s="245"/>
      <c r="S305" s="245"/>
      <c r="T305" s="245"/>
      <c r="U305" s="245"/>
      <c r="V305" s="245"/>
      <c r="W305" s="245"/>
      <c r="X305" s="245"/>
      <c r="Y305" s="245"/>
      <c r="Z305" s="245"/>
    </row>
    <row r="306" spans="16:26">
      <c r="P306" s="241"/>
      <c r="Q306" s="241"/>
      <c r="R306" s="241"/>
      <c r="S306" s="241"/>
      <c r="T306" s="241"/>
      <c r="U306" s="241"/>
      <c r="V306" s="241"/>
      <c r="W306" s="241"/>
      <c r="X306" s="241"/>
      <c r="Y306" s="241"/>
      <c r="Z306" s="241"/>
    </row>
    <row r="307" spans="16:26">
      <c r="P307" s="245"/>
      <c r="Q307" s="245"/>
      <c r="R307" s="245"/>
      <c r="S307" s="245"/>
      <c r="T307" s="245"/>
      <c r="U307" s="245"/>
      <c r="V307" s="245"/>
      <c r="W307" s="245"/>
      <c r="X307" s="245"/>
      <c r="Y307" s="245"/>
      <c r="Z307" s="245"/>
    </row>
    <row r="308" spans="16:26">
      <c r="P308" s="245"/>
      <c r="Q308" s="245"/>
      <c r="R308" s="245"/>
      <c r="S308" s="245"/>
      <c r="T308" s="245"/>
      <c r="U308" s="245"/>
      <c r="V308" s="245"/>
      <c r="W308" s="245"/>
      <c r="X308" s="245"/>
      <c r="Y308" s="245"/>
      <c r="Z308" s="245"/>
    </row>
    <row r="309" spans="16:26">
      <c r="P309" s="241"/>
      <c r="Q309" s="241"/>
      <c r="R309" s="241"/>
      <c r="S309" s="241"/>
      <c r="T309" s="241"/>
      <c r="U309" s="241"/>
      <c r="V309" s="241"/>
      <c r="W309" s="241"/>
      <c r="X309" s="241"/>
      <c r="Y309" s="241"/>
      <c r="Z309" s="241"/>
    </row>
    <row r="310" spans="16:26">
      <c r="P310" s="245"/>
      <c r="Q310" s="245"/>
      <c r="R310" s="245"/>
      <c r="S310" s="245"/>
      <c r="T310" s="245"/>
      <c r="U310" s="245"/>
      <c r="V310" s="245"/>
      <c r="W310" s="245"/>
      <c r="X310" s="245"/>
      <c r="Y310" s="245"/>
      <c r="Z310" s="245"/>
    </row>
    <row r="311" spans="16:26">
      <c r="P311" s="245"/>
      <c r="Q311" s="245"/>
      <c r="R311" s="245"/>
      <c r="S311" s="245"/>
      <c r="T311" s="245"/>
      <c r="U311" s="245"/>
      <c r="V311" s="245"/>
      <c r="W311" s="245"/>
      <c r="X311" s="245"/>
      <c r="Y311" s="245"/>
      <c r="Z311" s="245"/>
    </row>
    <row r="312" spans="16:26">
      <c r="P312" s="241"/>
      <c r="Q312" s="241"/>
      <c r="R312" s="241"/>
      <c r="S312" s="241"/>
      <c r="T312" s="241"/>
      <c r="U312" s="241"/>
      <c r="V312" s="241"/>
      <c r="W312" s="241"/>
      <c r="X312" s="241"/>
      <c r="Y312" s="241"/>
      <c r="Z312" s="241"/>
    </row>
    <row r="313" spans="16:26">
      <c r="P313" s="245"/>
      <c r="Q313" s="245"/>
      <c r="R313" s="245"/>
      <c r="S313" s="245"/>
      <c r="T313" s="245"/>
      <c r="U313" s="245"/>
      <c r="V313" s="245"/>
      <c r="W313" s="245"/>
      <c r="X313" s="245"/>
      <c r="Y313" s="245"/>
      <c r="Z313" s="245"/>
    </row>
    <row r="314" spans="16:26">
      <c r="P314" s="245"/>
      <c r="Q314" s="245"/>
      <c r="R314" s="245"/>
      <c r="S314" s="245"/>
      <c r="T314" s="245"/>
      <c r="U314" s="245"/>
      <c r="V314" s="245"/>
      <c r="W314" s="245"/>
      <c r="X314" s="245"/>
      <c r="Y314" s="245"/>
      <c r="Z314" s="245"/>
    </row>
    <row r="315" spans="16:26">
      <c r="P315" s="241"/>
      <c r="Q315" s="241"/>
      <c r="R315" s="241"/>
      <c r="S315" s="241"/>
      <c r="T315" s="241"/>
      <c r="U315" s="241"/>
      <c r="V315" s="241"/>
      <c r="W315" s="241"/>
      <c r="X315" s="241"/>
      <c r="Y315" s="241"/>
      <c r="Z315" s="241"/>
    </row>
    <row r="316" spans="16:26">
      <c r="P316" s="245"/>
      <c r="Q316" s="245"/>
      <c r="R316" s="245"/>
      <c r="S316" s="245"/>
      <c r="T316" s="245"/>
      <c r="U316" s="245"/>
      <c r="V316" s="245"/>
      <c r="W316" s="245"/>
      <c r="X316" s="245"/>
      <c r="Y316" s="245"/>
      <c r="Z316" s="245"/>
    </row>
    <row r="317" spans="16:26">
      <c r="P317" s="245"/>
      <c r="Q317" s="245"/>
      <c r="R317" s="245"/>
      <c r="S317" s="245"/>
      <c r="T317" s="245"/>
      <c r="U317" s="245"/>
      <c r="V317" s="245"/>
      <c r="W317" s="245"/>
      <c r="X317" s="245"/>
      <c r="Y317" s="245"/>
      <c r="Z317" s="245"/>
    </row>
    <row r="318" spans="16:26">
      <c r="P318" s="241"/>
      <c r="Q318" s="241"/>
      <c r="R318" s="241"/>
      <c r="S318" s="241"/>
      <c r="T318" s="241"/>
      <c r="U318" s="241"/>
      <c r="V318" s="241"/>
      <c r="W318" s="241"/>
      <c r="X318" s="241"/>
      <c r="Y318" s="241"/>
      <c r="Z318" s="241"/>
    </row>
    <row r="319" spans="16:26">
      <c r="P319" s="245"/>
      <c r="Q319" s="245"/>
      <c r="R319" s="245"/>
      <c r="S319" s="245"/>
      <c r="T319" s="245"/>
      <c r="U319" s="245"/>
      <c r="V319" s="245"/>
      <c r="W319" s="245"/>
      <c r="X319" s="245"/>
      <c r="Y319" s="245"/>
      <c r="Z319" s="245"/>
    </row>
    <row r="320" spans="16:26">
      <c r="P320" s="245"/>
      <c r="Q320" s="245"/>
      <c r="R320" s="245"/>
      <c r="S320" s="245"/>
      <c r="T320" s="245"/>
      <c r="U320" s="245"/>
      <c r="V320" s="245"/>
      <c r="W320" s="245"/>
      <c r="X320" s="245"/>
      <c r="Y320" s="245"/>
      <c r="Z320" s="245"/>
    </row>
    <row r="321" spans="16:26">
      <c r="P321" s="241"/>
      <c r="Q321" s="241"/>
      <c r="R321" s="241"/>
      <c r="S321" s="241"/>
      <c r="T321" s="241"/>
      <c r="U321" s="241"/>
      <c r="V321" s="241"/>
      <c r="W321" s="241"/>
      <c r="X321" s="241"/>
      <c r="Y321" s="241"/>
      <c r="Z321" s="241"/>
    </row>
    <row r="322" spans="16:26">
      <c r="P322" s="245"/>
      <c r="Q322" s="245"/>
      <c r="R322" s="245"/>
      <c r="S322" s="245"/>
      <c r="T322" s="245"/>
      <c r="U322" s="245"/>
      <c r="V322" s="245"/>
      <c r="W322" s="245"/>
      <c r="X322" s="245"/>
      <c r="Y322" s="245"/>
      <c r="Z322" s="245"/>
    </row>
    <row r="323" spans="16:26">
      <c r="P323" s="245"/>
      <c r="Q323" s="245"/>
      <c r="R323" s="245"/>
      <c r="S323" s="245"/>
      <c r="T323" s="245"/>
      <c r="U323" s="245"/>
      <c r="V323" s="245"/>
      <c r="W323" s="245"/>
      <c r="X323" s="245"/>
      <c r="Y323" s="245"/>
      <c r="Z323" s="245"/>
    </row>
    <row r="324" spans="16:26">
      <c r="P324" s="241"/>
      <c r="Q324" s="241"/>
      <c r="R324" s="241"/>
      <c r="S324" s="241"/>
      <c r="T324" s="241"/>
      <c r="U324" s="241"/>
      <c r="V324" s="241"/>
      <c r="W324" s="241"/>
      <c r="X324" s="241"/>
      <c r="Y324" s="241"/>
      <c r="Z324" s="241"/>
    </row>
    <row r="325" spans="16:26">
      <c r="P325" s="245"/>
      <c r="Q325" s="245"/>
      <c r="R325" s="245"/>
      <c r="S325" s="245"/>
      <c r="T325" s="245"/>
      <c r="U325" s="245"/>
      <c r="V325" s="245"/>
      <c r="W325" s="245"/>
      <c r="X325" s="245"/>
      <c r="Y325" s="245"/>
      <c r="Z325" s="245"/>
    </row>
    <row r="326" spans="16:26">
      <c r="P326" s="245"/>
      <c r="Q326" s="245"/>
      <c r="R326" s="245"/>
      <c r="S326" s="245"/>
      <c r="T326" s="245"/>
      <c r="U326" s="245"/>
      <c r="V326" s="245"/>
      <c r="W326" s="245"/>
      <c r="X326" s="245"/>
      <c r="Y326" s="245"/>
      <c r="Z326" s="245"/>
    </row>
    <row r="327" spans="16:26">
      <c r="P327" s="241"/>
      <c r="Q327" s="241"/>
      <c r="R327" s="241"/>
      <c r="S327" s="241"/>
      <c r="T327" s="241"/>
      <c r="U327" s="241"/>
      <c r="V327" s="241"/>
      <c r="W327" s="241"/>
      <c r="X327" s="241"/>
      <c r="Y327" s="241"/>
      <c r="Z327" s="241"/>
    </row>
    <row r="328" spans="16:26">
      <c r="P328" s="245"/>
      <c r="Q328" s="245"/>
      <c r="R328" s="245"/>
      <c r="S328" s="245"/>
      <c r="T328" s="245"/>
      <c r="U328" s="245"/>
      <c r="V328" s="245"/>
      <c r="W328" s="245"/>
      <c r="X328" s="245"/>
      <c r="Y328" s="245"/>
      <c r="Z328" s="245"/>
    </row>
    <row r="329" spans="16:26">
      <c r="P329" s="245"/>
      <c r="Q329" s="245"/>
      <c r="R329" s="245"/>
      <c r="S329" s="245"/>
      <c r="T329" s="245"/>
      <c r="U329" s="245"/>
      <c r="V329" s="245"/>
      <c r="W329" s="245"/>
      <c r="X329" s="245"/>
      <c r="Y329" s="245"/>
      <c r="Z329" s="245"/>
    </row>
    <row r="330" spans="16:26">
      <c r="P330" s="241"/>
      <c r="Q330" s="241"/>
      <c r="R330" s="241"/>
      <c r="S330" s="241"/>
      <c r="T330" s="241"/>
      <c r="U330" s="241"/>
      <c r="V330" s="241"/>
      <c r="W330" s="241"/>
      <c r="X330" s="241"/>
      <c r="Y330" s="241"/>
      <c r="Z330" s="241"/>
    </row>
    <row r="331" spans="16:26">
      <c r="P331" s="245"/>
      <c r="Q331" s="245"/>
      <c r="R331" s="245"/>
      <c r="S331" s="245"/>
      <c r="T331" s="245"/>
      <c r="U331" s="245"/>
      <c r="V331" s="245"/>
      <c r="W331" s="245"/>
      <c r="X331" s="245"/>
      <c r="Y331" s="245"/>
      <c r="Z331" s="245"/>
    </row>
    <row r="332" spans="16:26">
      <c r="P332" s="245"/>
      <c r="Q332" s="245"/>
      <c r="R332" s="245"/>
      <c r="S332" s="245"/>
      <c r="T332" s="245"/>
      <c r="U332" s="245"/>
      <c r="V332" s="245"/>
      <c r="W332" s="245"/>
      <c r="X332" s="245"/>
      <c r="Y332" s="245"/>
      <c r="Z332" s="245"/>
    </row>
    <row r="333" spans="16:26">
      <c r="P333" s="241"/>
      <c r="Q333" s="241"/>
      <c r="R333" s="241"/>
      <c r="S333" s="241"/>
      <c r="T333" s="241"/>
      <c r="U333" s="241"/>
      <c r="V333" s="241"/>
      <c r="W333" s="241"/>
      <c r="X333" s="241"/>
      <c r="Y333" s="241"/>
      <c r="Z333" s="241"/>
    </row>
    <row r="334" spans="16:26">
      <c r="P334" s="245"/>
      <c r="Q334" s="245"/>
      <c r="R334" s="245"/>
      <c r="S334" s="245"/>
      <c r="T334" s="245"/>
      <c r="U334" s="245"/>
      <c r="V334" s="245"/>
      <c r="W334" s="245"/>
      <c r="X334" s="245"/>
      <c r="Y334" s="245"/>
      <c r="Z334" s="245"/>
    </row>
    <row r="335" spans="16:26">
      <c r="P335" s="245"/>
      <c r="Q335" s="245"/>
      <c r="R335" s="245"/>
      <c r="S335" s="245"/>
      <c r="T335" s="245"/>
      <c r="U335" s="245"/>
      <c r="V335" s="245"/>
      <c r="W335" s="245"/>
      <c r="X335" s="245"/>
      <c r="Y335" s="245"/>
      <c r="Z335" s="245"/>
    </row>
    <row r="336" spans="16:26">
      <c r="P336" s="241"/>
      <c r="Q336" s="241"/>
      <c r="R336" s="241"/>
      <c r="S336" s="241"/>
      <c r="T336" s="241"/>
      <c r="U336" s="241"/>
      <c r="V336" s="241"/>
      <c r="W336" s="241"/>
      <c r="X336" s="241"/>
      <c r="Y336" s="241"/>
      <c r="Z336" s="241"/>
    </row>
    <row r="337" spans="16:26">
      <c r="P337" s="245"/>
      <c r="Q337" s="245"/>
      <c r="R337" s="245"/>
      <c r="S337" s="245"/>
      <c r="T337" s="245"/>
      <c r="U337" s="245"/>
      <c r="V337" s="245"/>
      <c r="W337" s="245"/>
      <c r="X337" s="245"/>
      <c r="Y337" s="245"/>
      <c r="Z337" s="245"/>
    </row>
    <row r="338" spans="16:26">
      <c r="P338" s="245"/>
      <c r="Q338" s="245"/>
      <c r="R338" s="245"/>
      <c r="S338" s="245"/>
      <c r="T338" s="245"/>
      <c r="U338" s="245"/>
      <c r="V338" s="245"/>
      <c r="W338" s="245"/>
      <c r="X338" s="245"/>
      <c r="Y338" s="245"/>
      <c r="Z338" s="245"/>
    </row>
    <row r="339" spans="16:26">
      <c r="P339" s="241"/>
      <c r="Q339" s="241"/>
      <c r="R339" s="241"/>
      <c r="S339" s="241"/>
      <c r="T339" s="241"/>
      <c r="U339" s="241"/>
      <c r="V339" s="241"/>
      <c r="W339" s="241"/>
      <c r="X339" s="241"/>
      <c r="Y339" s="241"/>
      <c r="Z339" s="241"/>
    </row>
    <row r="340" spans="16:26">
      <c r="P340" s="245"/>
      <c r="Q340" s="245"/>
      <c r="R340" s="245"/>
      <c r="S340" s="245"/>
      <c r="T340" s="245"/>
      <c r="U340" s="245"/>
      <c r="V340" s="245"/>
      <c r="W340" s="245"/>
      <c r="X340" s="245"/>
      <c r="Y340" s="245"/>
      <c r="Z340" s="245"/>
    </row>
    <row r="341" spans="16:26">
      <c r="P341" s="245"/>
      <c r="Q341" s="245"/>
      <c r="R341" s="245"/>
      <c r="S341" s="245"/>
      <c r="T341" s="245"/>
      <c r="U341" s="245"/>
      <c r="V341" s="245"/>
      <c r="W341" s="245"/>
      <c r="X341" s="245"/>
      <c r="Y341" s="245"/>
      <c r="Z341" s="245"/>
    </row>
    <row r="342" spans="16:26">
      <c r="P342" s="241"/>
      <c r="Q342" s="241"/>
      <c r="R342" s="241"/>
      <c r="S342" s="241"/>
      <c r="T342" s="241"/>
      <c r="U342" s="241"/>
      <c r="V342" s="241"/>
      <c r="W342" s="241"/>
      <c r="X342" s="241"/>
      <c r="Y342" s="241"/>
      <c r="Z342" s="241"/>
    </row>
    <row r="343" spans="16:26">
      <c r="P343" s="245"/>
      <c r="Q343" s="245"/>
      <c r="R343" s="245"/>
      <c r="S343" s="245"/>
      <c r="T343" s="245"/>
      <c r="U343" s="245"/>
      <c r="V343" s="245"/>
      <c r="W343" s="245"/>
      <c r="X343" s="245"/>
      <c r="Y343" s="245"/>
      <c r="Z343" s="245"/>
    </row>
    <row r="344" spans="16:26">
      <c r="P344" s="245"/>
      <c r="Q344" s="245"/>
      <c r="R344" s="245"/>
      <c r="S344" s="245"/>
      <c r="T344" s="245"/>
      <c r="U344" s="245"/>
      <c r="V344" s="245"/>
      <c r="W344" s="245"/>
      <c r="X344" s="245"/>
      <c r="Y344" s="245"/>
      <c r="Z344" s="245"/>
    </row>
    <row r="345" spans="16:26">
      <c r="P345" s="241"/>
      <c r="Q345" s="241"/>
      <c r="R345" s="241"/>
      <c r="S345" s="241"/>
      <c r="T345" s="241"/>
      <c r="U345" s="241"/>
      <c r="V345" s="241"/>
      <c r="W345" s="241"/>
      <c r="X345" s="241"/>
      <c r="Y345" s="241"/>
      <c r="Z345" s="241"/>
    </row>
    <row r="346" spans="16:26">
      <c r="P346" s="245"/>
      <c r="Q346" s="245"/>
      <c r="R346" s="245"/>
      <c r="S346" s="245"/>
      <c r="T346" s="245"/>
      <c r="U346" s="245"/>
      <c r="V346" s="245"/>
      <c r="W346" s="245"/>
      <c r="X346" s="245"/>
      <c r="Y346" s="245"/>
      <c r="Z346" s="245"/>
    </row>
    <row r="347" spans="16:26">
      <c r="P347" s="245"/>
      <c r="Q347" s="245"/>
      <c r="R347" s="245"/>
      <c r="S347" s="245"/>
      <c r="T347" s="245"/>
      <c r="U347" s="245"/>
      <c r="V347" s="245"/>
      <c r="W347" s="245"/>
      <c r="X347" s="245"/>
      <c r="Y347" s="245"/>
      <c r="Z347" s="245"/>
    </row>
    <row r="348" spans="16:26">
      <c r="P348" s="241"/>
      <c r="Q348" s="241"/>
      <c r="R348" s="241"/>
      <c r="S348" s="241"/>
      <c r="T348" s="241"/>
      <c r="U348" s="241"/>
      <c r="V348" s="241"/>
      <c r="W348" s="241"/>
      <c r="X348" s="241"/>
      <c r="Y348" s="241"/>
      <c r="Z348" s="241"/>
    </row>
    <row r="349" spans="16:26">
      <c r="P349" s="245"/>
      <c r="Q349" s="245"/>
      <c r="R349" s="245"/>
      <c r="S349" s="245"/>
      <c r="T349" s="245"/>
      <c r="U349" s="245"/>
      <c r="V349" s="245"/>
      <c r="W349" s="245"/>
      <c r="X349" s="245"/>
      <c r="Y349" s="245"/>
      <c r="Z349" s="245"/>
    </row>
    <row r="350" spans="16:26">
      <c r="P350" s="245"/>
      <c r="Q350" s="245"/>
      <c r="R350" s="245"/>
      <c r="S350" s="245"/>
      <c r="T350" s="245"/>
      <c r="U350" s="245"/>
      <c r="V350" s="245"/>
      <c r="W350" s="245"/>
      <c r="X350" s="245"/>
      <c r="Y350" s="245"/>
      <c r="Z350" s="245"/>
    </row>
    <row r="351" spans="16:26">
      <c r="P351" s="241"/>
      <c r="Q351" s="241"/>
      <c r="R351" s="241"/>
      <c r="S351" s="241"/>
      <c r="T351" s="241"/>
      <c r="U351" s="241"/>
      <c r="V351" s="241"/>
      <c r="W351" s="241"/>
      <c r="X351" s="241"/>
      <c r="Y351" s="241"/>
      <c r="Z351" s="241"/>
    </row>
    <row r="352" spans="16:26">
      <c r="P352" s="245"/>
      <c r="Q352" s="245"/>
      <c r="R352" s="245"/>
      <c r="S352" s="245"/>
      <c r="T352" s="245"/>
      <c r="U352" s="245"/>
      <c r="V352" s="245"/>
      <c r="W352" s="245"/>
      <c r="X352" s="245"/>
      <c r="Y352" s="245"/>
      <c r="Z352" s="245"/>
    </row>
    <row r="353" spans="16:26">
      <c r="P353" s="245"/>
      <c r="Q353" s="245"/>
      <c r="R353" s="245"/>
      <c r="S353" s="245"/>
      <c r="T353" s="245"/>
      <c r="U353" s="245"/>
      <c r="V353" s="245"/>
      <c r="W353" s="245"/>
      <c r="X353" s="245"/>
      <c r="Y353" s="245"/>
      <c r="Z353" s="245"/>
    </row>
    <row r="354" spans="16:26">
      <c r="P354" s="241"/>
      <c r="Q354" s="241"/>
      <c r="R354" s="241"/>
      <c r="S354" s="241"/>
      <c r="T354" s="241"/>
      <c r="U354" s="241"/>
      <c r="V354" s="241"/>
      <c r="W354" s="241"/>
      <c r="X354" s="241"/>
      <c r="Y354" s="241"/>
      <c r="Z354" s="241"/>
    </row>
    <row r="355" spans="16:26">
      <c r="P355" s="245"/>
      <c r="Q355" s="245"/>
      <c r="R355" s="245"/>
      <c r="S355" s="245"/>
      <c r="T355" s="245"/>
      <c r="U355" s="245"/>
      <c r="V355" s="245"/>
      <c r="W355" s="245"/>
      <c r="X355" s="245"/>
      <c r="Y355" s="245"/>
      <c r="Z355" s="245"/>
    </row>
    <row r="356" spans="16:26">
      <c r="P356" s="245"/>
      <c r="Q356" s="245"/>
      <c r="R356" s="245"/>
      <c r="S356" s="245"/>
      <c r="T356" s="245"/>
      <c r="U356" s="245"/>
      <c r="V356" s="245"/>
      <c r="W356" s="245"/>
      <c r="X356" s="245"/>
      <c r="Y356" s="245"/>
      <c r="Z356" s="245"/>
    </row>
    <row r="357" spans="16:26">
      <c r="P357" s="241"/>
      <c r="Q357" s="241"/>
      <c r="R357" s="241"/>
      <c r="S357" s="241"/>
      <c r="T357" s="241"/>
      <c r="U357" s="241"/>
      <c r="V357" s="241"/>
      <c r="W357" s="241"/>
      <c r="X357" s="241"/>
      <c r="Y357" s="241"/>
      <c r="Z357" s="241"/>
    </row>
    <row r="358" spans="16:26">
      <c r="P358" s="245"/>
      <c r="Q358" s="245"/>
      <c r="R358" s="245"/>
      <c r="S358" s="245"/>
      <c r="T358" s="245"/>
      <c r="U358" s="245"/>
      <c r="V358" s="245"/>
      <c r="W358" s="245"/>
      <c r="X358" s="245"/>
      <c r="Y358" s="245"/>
      <c r="Z358" s="245"/>
    </row>
    <row r="359" spans="16:26">
      <c r="P359" s="245"/>
      <c r="Q359" s="245"/>
      <c r="R359" s="245"/>
      <c r="S359" s="245"/>
      <c r="T359" s="245"/>
      <c r="U359" s="245"/>
      <c r="V359" s="245"/>
      <c r="W359" s="245"/>
      <c r="X359" s="245"/>
      <c r="Y359" s="245"/>
      <c r="Z359" s="245"/>
    </row>
    <row r="360" spans="16:26">
      <c r="P360" s="241"/>
      <c r="Q360" s="241"/>
      <c r="R360" s="241"/>
      <c r="S360" s="241"/>
      <c r="T360" s="241"/>
      <c r="U360" s="241"/>
      <c r="V360" s="241"/>
      <c r="W360" s="241"/>
      <c r="X360" s="241"/>
      <c r="Y360" s="241"/>
      <c r="Z360" s="241"/>
    </row>
    <row r="361" spans="16:26">
      <c r="P361" s="245"/>
      <c r="Q361" s="245"/>
      <c r="R361" s="245"/>
      <c r="S361" s="245"/>
      <c r="T361" s="245"/>
      <c r="U361" s="245"/>
      <c r="V361" s="245"/>
      <c r="W361" s="245"/>
      <c r="X361" s="245"/>
      <c r="Y361" s="245"/>
      <c r="Z361" s="245"/>
    </row>
    <row r="362" spans="16:26">
      <c r="P362" s="245"/>
      <c r="Q362" s="245"/>
      <c r="R362" s="245"/>
      <c r="S362" s="245"/>
      <c r="T362" s="245"/>
      <c r="U362" s="245"/>
      <c r="V362" s="245"/>
      <c r="W362" s="245"/>
      <c r="X362" s="245"/>
      <c r="Y362" s="245"/>
      <c r="Z362" s="245"/>
    </row>
    <row r="363" spans="16:26">
      <c r="P363" s="241"/>
      <c r="Q363" s="241"/>
      <c r="R363" s="241"/>
      <c r="S363" s="241"/>
      <c r="T363" s="241"/>
      <c r="U363" s="241"/>
      <c r="V363" s="241"/>
      <c r="W363" s="241"/>
      <c r="X363" s="241"/>
      <c r="Y363" s="241"/>
      <c r="Z363" s="241"/>
    </row>
    <row r="364" spans="16:26">
      <c r="P364" s="245"/>
      <c r="Q364" s="245"/>
      <c r="R364" s="245"/>
      <c r="S364" s="245"/>
      <c r="T364" s="245"/>
      <c r="U364" s="245"/>
      <c r="V364" s="245"/>
      <c r="W364" s="245"/>
      <c r="X364" s="245"/>
      <c r="Y364" s="245"/>
      <c r="Z364" s="245"/>
    </row>
    <row r="365" spans="16:26">
      <c r="P365" s="245"/>
      <c r="Q365" s="245"/>
      <c r="R365" s="245"/>
      <c r="S365" s="245"/>
      <c r="T365" s="245"/>
      <c r="U365" s="245"/>
      <c r="V365" s="245"/>
      <c r="W365" s="245"/>
      <c r="X365" s="245"/>
      <c r="Y365" s="245"/>
      <c r="Z365" s="245"/>
    </row>
    <row r="366" spans="16:26">
      <c r="P366" s="241"/>
      <c r="Q366" s="241"/>
      <c r="R366" s="241"/>
      <c r="S366" s="241"/>
      <c r="T366" s="241"/>
      <c r="U366" s="241"/>
      <c r="V366" s="241"/>
      <c r="W366" s="241"/>
      <c r="X366" s="241"/>
      <c r="Y366" s="241"/>
      <c r="Z366" s="241"/>
    </row>
    <row r="367" spans="16:26">
      <c r="P367" s="245"/>
      <c r="Q367" s="245"/>
      <c r="R367" s="245"/>
      <c r="S367" s="245"/>
      <c r="T367" s="245"/>
      <c r="U367" s="245"/>
      <c r="V367" s="245"/>
      <c r="W367" s="245"/>
      <c r="X367" s="245"/>
      <c r="Y367" s="245"/>
      <c r="Z367" s="245"/>
    </row>
    <row r="368" spans="16:26">
      <c r="P368" s="245"/>
      <c r="Q368" s="245"/>
      <c r="R368" s="245"/>
      <c r="S368" s="245"/>
      <c r="T368" s="245"/>
      <c r="U368" s="245"/>
      <c r="V368" s="245"/>
      <c r="W368" s="245"/>
      <c r="X368" s="245"/>
      <c r="Y368" s="245"/>
      <c r="Z368" s="245"/>
    </row>
    <row r="369" spans="16:26">
      <c r="P369" s="241"/>
      <c r="Q369" s="241"/>
      <c r="R369" s="241"/>
      <c r="S369" s="241"/>
      <c r="T369" s="241"/>
      <c r="U369" s="241"/>
      <c r="V369" s="241"/>
      <c r="W369" s="241"/>
      <c r="X369" s="241"/>
      <c r="Y369" s="241"/>
      <c r="Z369" s="241"/>
    </row>
    <row r="370" spans="16:26">
      <c r="P370" s="245"/>
      <c r="Q370" s="245"/>
      <c r="R370" s="245"/>
      <c r="S370" s="245"/>
      <c r="T370" s="245"/>
      <c r="U370" s="245"/>
      <c r="V370" s="245"/>
      <c r="W370" s="245"/>
      <c r="X370" s="245"/>
      <c r="Y370" s="245"/>
      <c r="Z370" s="245"/>
    </row>
    <row r="371" spans="16:26">
      <c r="P371" s="245"/>
      <c r="Q371" s="245"/>
      <c r="R371" s="245"/>
      <c r="S371" s="245"/>
      <c r="T371" s="245"/>
      <c r="U371" s="245"/>
      <c r="V371" s="245"/>
      <c r="W371" s="245"/>
      <c r="X371" s="245"/>
      <c r="Y371" s="245"/>
      <c r="Z371" s="245"/>
    </row>
    <row r="372" spans="16:26">
      <c r="P372" s="241"/>
      <c r="Q372" s="241"/>
      <c r="R372" s="241"/>
      <c r="S372" s="241"/>
      <c r="T372" s="241"/>
      <c r="U372" s="241"/>
      <c r="V372" s="241"/>
      <c r="W372" s="241"/>
      <c r="X372" s="241"/>
      <c r="Y372" s="241"/>
      <c r="Z372" s="241"/>
    </row>
    <row r="373" spans="16:26">
      <c r="P373" s="245"/>
      <c r="Q373" s="245"/>
      <c r="R373" s="245"/>
      <c r="S373" s="245"/>
      <c r="T373" s="245"/>
      <c r="U373" s="245"/>
      <c r="V373" s="245"/>
      <c r="W373" s="245"/>
      <c r="X373" s="245"/>
      <c r="Y373" s="245"/>
      <c r="Z373" s="245"/>
    </row>
    <row r="374" spans="16:26">
      <c r="P374" s="245"/>
      <c r="Q374" s="245"/>
      <c r="R374" s="245"/>
      <c r="S374" s="245"/>
      <c r="T374" s="245"/>
      <c r="U374" s="245"/>
      <c r="V374" s="245"/>
      <c r="W374" s="245"/>
      <c r="X374" s="245"/>
      <c r="Y374" s="245"/>
      <c r="Z374" s="245"/>
    </row>
    <row r="375" spans="16:26">
      <c r="P375" s="241"/>
      <c r="Q375" s="241"/>
      <c r="R375" s="241"/>
      <c r="S375" s="241"/>
      <c r="T375" s="241"/>
      <c r="U375" s="241"/>
      <c r="V375" s="241"/>
      <c r="W375" s="241"/>
      <c r="X375" s="241"/>
      <c r="Y375" s="241"/>
      <c r="Z375" s="241"/>
    </row>
    <row r="376" spans="16:26">
      <c r="P376" s="245"/>
      <c r="Q376" s="245"/>
      <c r="R376" s="245"/>
      <c r="S376" s="245"/>
      <c r="T376" s="245"/>
      <c r="U376" s="245"/>
      <c r="V376" s="245"/>
      <c r="W376" s="245"/>
      <c r="X376" s="245"/>
      <c r="Y376" s="245"/>
      <c r="Z376" s="245"/>
    </row>
    <row r="377" spans="16:26">
      <c r="P377" s="245"/>
      <c r="Q377" s="245"/>
      <c r="R377" s="245"/>
      <c r="S377" s="245"/>
      <c r="T377" s="245"/>
      <c r="U377" s="245"/>
      <c r="V377" s="245"/>
      <c r="W377" s="245"/>
      <c r="X377" s="245"/>
      <c r="Y377" s="245"/>
      <c r="Z377" s="245"/>
    </row>
    <row r="378" spans="16:26">
      <c r="P378" s="241"/>
      <c r="Q378" s="241"/>
      <c r="R378" s="241"/>
      <c r="S378" s="241"/>
      <c r="T378" s="241"/>
      <c r="U378" s="241"/>
      <c r="V378" s="241"/>
      <c r="W378" s="241"/>
      <c r="X378" s="241"/>
      <c r="Y378" s="241"/>
      <c r="Z378" s="241"/>
    </row>
    <row r="379" spans="16:26">
      <c r="P379" s="245"/>
      <c r="Q379" s="245"/>
      <c r="R379" s="245"/>
      <c r="S379" s="245"/>
      <c r="T379" s="245"/>
      <c r="U379" s="245"/>
      <c r="V379" s="245"/>
      <c r="W379" s="245"/>
      <c r="X379" s="245"/>
      <c r="Y379" s="245"/>
      <c r="Z379" s="245"/>
    </row>
    <row r="380" spans="16:26">
      <c r="P380" s="245"/>
      <c r="Q380" s="245"/>
      <c r="R380" s="245"/>
      <c r="S380" s="245"/>
      <c r="T380" s="245"/>
      <c r="U380" s="245"/>
      <c r="V380" s="245"/>
      <c r="W380" s="245"/>
      <c r="X380" s="245"/>
      <c r="Y380" s="245"/>
      <c r="Z380" s="245"/>
    </row>
    <row r="381" spans="16:26">
      <c r="P381" s="241"/>
      <c r="Q381" s="241"/>
      <c r="R381" s="241"/>
      <c r="S381" s="241"/>
      <c r="T381" s="241"/>
      <c r="U381" s="241"/>
      <c r="V381" s="241"/>
      <c r="W381" s="241"/>
      <c r="X381" s="241"/>
      <c r="Y381" s="241"/>
      <c r="Z381" s="241"/>
    </row>
    <row r="382" spans="16:26">
      <c r="P382" s="245"/>
      <c r="Q382" s="245"/>
      <c r="R382" s="245"/>
      <c r="S382" s="245"/>
      <c r="T382" s="245"/>
      <c r="U382" s="245"/>
      <c r="V382" s="245"/>
      <c r="W382" s="245"/>
      <c r="X382" s="245"/>
      <c r="Y382" s="245"/>
      <c r="Z382" s="245"/>
    </row>
    <row r="383" spans="16:26">
      <c r="P383" s="245"/>
      <c r="Q383" s="245"/>
      <c r="R383" s="245"/>
      <c r="S383" s="245"/>
      <c r="T383" s="245"/>
      <c r="U383" s="245"/>
      <c r="V383" s="245"/>
      <c r="W383" s="245"/>
      <c r="X383" s="245"/>
      <c r="Y383" s="245"/>
      <c r="Z383" s="245"/>
    </row>
    <row r="384" spans="16:26">
      <c r="P384" s="241"/>
      <c r="Q384" s="241"/>
      <c r="R384" s="241"/>
      <c r="S384" s="241"/>
      <c r="T384" s="241"/>
      <c r="U384" s="241"/>
      <c r="V384" s="241"/>
      <c r="W384" s="241"/>
      <c r="X384" s="241"/>
      <c r="Y384" s="241"/>
      <c r="Z384" s="241"/>
    </row>
    <row r="385" spans="16:26">
      <c r="P385" s="245"/>
      <c r="Q385" s="245"/>
      <c r="R385" s="245"/>
      <c r="S385" s="245"/>
      <c r="T385" s="245"/>
      <c r="U385" s="245"/>
      <c r="V385" s="245"/>
      <c r="W385" s="245"/>
      <c r="X385" s="245"/>
      <c r="Y385" s="245"/>
      <c r="Z385" s="245"/>
    </row>
    <row r="386" spans="16:26">
      <c r="P386" s="245"/>
      <c r="Q386" s="245"/>
      <c r="R386" s="245"/>
      <c r="S386" s="245"/>
      <c r="T386" s="245"/>
      <c r="U386" s="245"/>
      <c r="V386" s="245"/>
      <c r="W386" s="245"/>
      <c r="X386" s="245"/>
      <c r="Y386" s="245"/>
      <c r="Z386" s="245"/>
    </row>
    <row r="387" spans="16:26">
      <c r="P387" s="241"/>
      <c r="Q387" s="241"/>
      <c r="R387" s="241"/>
      <c r="S387" s="241"/>
      <c r="T387" s="241"/>
      <c r="U387" s="241"/>
      <c r="V387" s="241"/>
      <c r="W387" s="241"/>
      <c r="X387" s="241"/>
      <c r="Y387" s="241"/>
      <c r="Z387" s="241"/>
    </row>
    <row r="388" spans="16:26">
      <c r="P388" s="245"/>
      <c r="Q388" s="245"/>
      <c r="R388" s="245"/>
      <c r="S388" s="245"/>
      <c r="T388" s="245"/>
      <c r="U388" s="245"/>
      <c r="V388" s="245"/>
      <c r="W388" s="245"/>
      <c r="X388" s="245"/>
      <c r="Y388" s="245"/>
      <c r="Z388" s="245"/>
    </row>
    <row r="389" spans="16:26">
      <c r="P389" s="245"/>
      <c r="Q389" s="245"/>
      <c r="R389" s="245"/>
      <c r="S389" s="245"/>
      <c r="T389" s="245"/>
      <c r="U389" s="245"/>
      <c r="V389" s="245"/>
      <c r="W389" s="245"/>
      <c r="X389" s="245"/>
      <c r="Y389" s="245"/>
      <c r="Z389" s="245"/>
    </row>
    <row r="390" spans="16:26">
      <c r="P390" s="241"/>
      <c r="Q390" s="241"/>
      <c r="R390" s="241"/>
      <c r="S390" s="241"/>
      <c r="T390" s="241"/>
      <c r="U390" s="241"/>
      <c r="V390" s="241"/>
      <c r="W390" s="241"/>
      <c r="X390" s="241"/>
      <c r="Y390" s="241"/>
      <c r="Z390" s="241"/>
    </row>
    <row r="391" spans="16:26">
      <c r="P391" s="245"/>
      <c r="Q391" s="245"/>
      <c r="R391" s="245"/>
      <c r="S391" s="245"/>
      <c r="T391" s="245"/>
      <c r="U391" s="245"/>
      <c r="V391" s="245"/>
      <c r="W391" s="245"/>
      <c r="X391" s="245"/>
      <c r="Y391" s="245"/>
      <c r="Z391" s="245"/>
    </row>
    <row r="392" spans="16:26">
      <c r="P392" s="245"/>
      <c r="Q392" s="245"/>
      <c r="R392" s="245"/>
      <c r="S392" s="245"/>
      <c r="T392" s="245"/>
      <c r="U392" s="245"/>
      <c r="V392" s="245"/>
      <c r="W392" s="245"/>
      <c r="X392" s="245"/>
      <c r="Y392" s="245"/>
      <c r="Z392" s="245"/>
    </row>
    <row r="393" spans="16:26">
      <c r="P393" s="241"/>
      <c r="Q393" s="241"/>
      <c r="R393" s="241"/>
      <c r="S393" s="241"/>
      <c r="T393" s="241"/>
      <c r="U393" s="241"/>
      <c r="V393" s="241"/>
      <c r="W393" s="241"/>
      <c r="X393" s="241"/>
      <c r="Y393" s="241"/>
      <c r="Z393" s="241"/>
    </row>
    <row r="394" spans="16:26">
      <c r="P394" s="245"/>
      <c r="Q394" s="245"/>
      <c r="R394" s="245"/>
      <c r="S394" s="245"/>
      <c r="T394" s="245"/>
      <c r="U394" s="245"/>
      <c r="V394" s="245"/>
      <c r="W394" s="245"/>
      <c r="X394" s="245"/>
      <c r="Y394" s="245"/>
      <c r="Z394" s="245"/>
    </row>
    <row r="395" spans="16:26">
      <c r="P395" s="245"/>
      <c r="Q395" s="245"/>
      <c r="R395" s="245"/>
      <c r="S395" s="245"/>
      <c r="T395" s="245"/>
      <c r="U395" s="245"/>
      <c r="V395" s="245"/>
      <c r="W395" s="245"/>
      <c r="X395" s="245"/>
      <c r="Y395" s="245"/>
      <c r="Z395" s="245"/>
    </row>
    <row r="396" spans="16:26">
      <c r="P396" s="241"/>
      <c r="Q396" s="241"/>
      <c r="R396" s="241"/>
      <c r="S396" s="241"/>
      <c r="T396" s="241"/>
      <c r="U396" s="241"/>
      <c r="V396" s="241"/>
      <c r="W396" s="241"/>
      <c r="X396" s="241"/>
      <c r="Y396" s="241"/>
      <c r="Z396" s="241"/>
    </row>
    <row r="397" spans="16:26">
      <c r="P397" s="245"/>
      <c r="Q397" s="245"/>
      <c r="R397" s="245"/>
      <c r="S397" s="245"/>
      <c r="T397" s="245"/>
      <c r="U397" s="245"/>
      <c r="V397" s="245"/>
      <c r="W397" s="245"/>
      <c r="X397" s="245"/>
      <c r="Y397" s="245"/>
      <c r="Z397" s="245"/>
    </row>
    <row r="398" spans="16:26">
      <c r="P398" s="245"/>
      <c r="Q398" s="245"/>
      <c r="R398" s="245"/>
      <c r="S398" s="245"/>
      <c r="T398" s="245"/>
      <c r="U398" s="245"/>
      <c r="V398" s="245"/>
      <c r="W398" s="245"/>
      <c r="X398" s="245"/>
      <c r="Y398" s="245"/>
      <c r="Z398" s="245"/>
    </row>
    <row r="399" spans="16:26">
      <c r="P399" s="241"/>
      <c r="Q399" s="241"/>
      <c r="R399" s="241"/>
      <c r="S399" s="241"/>
      <c r="T399" s="241"/>
      <c r="U399" s="241"/>
      <c r="V399" s="241"/>
      <c r="W399" s="241"/>
      <c r="X399" s="241"/>
      <c r="Y399" s="241"/>
      <c r="Z399" s="241"/>
    </row>
    <row r="400" spans="16:26">
      <c r="P400" s="245"/>
      <c r="Q400" s="245"/>
      <c r="R400" s="245"/>
      <c r="S400" s="245"/>
      <c r="T400" s="245"/>
      <c r="U400" s="245"/>
      <c r="V400" s="245"/>
      <c r="W400" s="245"/>
      <c r="X400" s="245"/>
      <c r="Y400" s="245"/>
      <c r="Z400" s="245"/>
    </row>
    <row r="401" spans="16:26">
      <c r="P401" s="245"/>
      <c r="Q401" s="245"/>
      <c r="R401" s="245"/>
      <c r="S401" s="245"/>
      <c r="T401" s="245"/>
      <c r="U401" s="245"/>
      <c r="V401" s="245"/>
      <c r="W401" s="245"/>
      <c r="X401" s="245"/>
      <c r="Y401" s="245"/>
      <c r="Z401" s="245"/>
    </row>
    <row r="402" spans="16:26">
      <c r="P402" s="241"/>
      <c r="Q402" s="241"/>
      <c r="R402" s="241"/>
      <c r="S402" s="241"/>
      <c r="T402" s="241"/>
      <c r="U402" s="241"/>
      <c r="V402" s="241"/>
      <c r="W402" s="241"/>
      <c r="X402" s="241"/>
      <c r="Y402" s="241"/>
      <c r="Z402" s="241"/>
    </row>
    <row r="403" spans="16:26">
      <c r="P403" s="245"/>
      <c r="Q403" s="245"/>
      <c r="R403" s="245"/>
      <c r="S403" s="245"/>
      <c r="T403" s="245"/>
      <c r="U403" s="245"/>
      <c r="V403" s="245"/>
      <c r="W403" s="245"/>
      <c r="X403" s="245"/>
      <c r="Y403" s="245"/>
      <c r="Z403" s="245"/>
    </row>
    <row r="404" spans="16:26">
      <c r="P404" s="245"/>
      <c r="Q404" s="245"/>
      <c r="R404" s="245"/>
      <c r="S404" s="245"/>
      <c r="T404" s="245"/>
      <c r="U404" s="245"/>
      <c r="V404" s="245"/>
      <c r="W404" s="245"/>
      <c r="X404" s="245"/>
      <c r="Y404" s="245"/>
      <c r="Z404" s="245"/>
    </row>
    <row r="405" spans="16:26">
      <c r="P405" s="241"/>
      <c r="Q405" s="241"/>
      <c r="R405" s="241"/>
      <c r="S405" s="241"/>
      <c r="T405" s="241"/>
      <c r="U405" s="241"/>
      <c r="V405" s="241"/>
      <c r="W405" s="241"/>
      <c r="X405" s="241"/>
      <c r="Y405" s="241"/>
      <c r="Z405" s="241"/>
    </row>
    <row r="406" spans="16:26">
      <c r="P406" s="245"/>
      <c r="Q406" s="245"/>
      <c r="R406" s="245"/>
      <c r="S406" s="245"/>
      <c r="T406" s="245"/>
      <c r="U406" s="245"/>
      <c r="V406" s="245"/>
      <c r="W406" s="245"/>
      <c r="X406" s="245"/>
      <c r="Y406" s="245"/>
      <c r="Z406" s="245"/>
    </row>
    <row r="407" spans="16:26">
      <c r="P407" s="245"/>
      <c r="Q407" s="245"/>
      <c r="R407" s="245"/>
      <c r="S407" s="245"/>
      <c r="T407" s="245"/>
      <c r="U407" s="245"/>
      <c r="V407" s="245"/>
      <c r="W407" s="245"/>
      <c r="X407" s="245"/>
      <c r="Y407" s="245"/>
      <c r="Z407" s="245"/>
    </row>
    <row r="408" spans="16:26">
      <c r="P408" s="241"/>
      <c r="Q408" s="241"/>
      <c r="R408" s="241"/>
      <c r="S408" s="241"/>
      <c r="T408" s="241"/>
      <c r="U408" s="241"/>
      <c r="V408" s="241"/>
      <c r="W408" s="241"/>
      <c r="X408" s="241"/>
      <c r="Y408" s="241"/>
      <c r="Z408" s="241"/>
    </row>
    <row r="409" spans="16:26">
      <c r="P409" s="245"/>
      <c r="Q409" s="245"/>
      <c r="R409" s="245"/>
      <c r="S409" s="245"/>
      <c r="T409" s="245"/>
      <c r="U409" s="245"/>
      <c r="V409" s="245"/>
      <c r="W409" s="245"/>
      <c r="X409" s="245"/>
      <c r="Y409" s="245"/>
      <c r="Z409" s="245"/>
    </row>
    <row r="410" spans="16:26">
      <c r="P410" s="245"/>
      <c r="Q410" s="245"/>
      <c r="R410" s="245"/>
      <c r="S410" s="245"/>
      <c r="T410" s="245"/>
      <c r="U410" s="245"/>
      <c r="V410" s="245"/>
      <c r="W410" s="245"/>
      <c r="X410" s="245"/>
      <c r="Y410" s="245"/>
      <c r="Z410" s="245"/>
    </row>
    <row r="411" spans="16:26">
      <c r="P411" s="241"/>
      <c r="Q411" s="241"/>
      <c r="R411" s="241"/>
      <c r="S411" s="241"/>
      <c r="T411" s="241"/>
      <c r="U411" s="241"/>
      <c r="V411" s="241"/>
      <c r="W411" s="241"/>
      <c r="X411" s="241"/>
      <c r="Y411" s="241"/>
      <c r="Z411" s="241"/>
    </row>
    <row r="412" spans="16:26">
      <c r="P412" s="245"/>
      <c r="Q412" s="245"/>
      <c r="R412" s="245"/>
      <c r="S412" s="245"/>
      <c r="T412" s="245"/>
      <c r="U412" s="245"/>
      <c r="V412" s="245"/>
      <c r="W412" s="245"/>
      <c r="X412" s="245"/>
      <c r="Y412" s="245"/>
      <c r="Z412" s="245"/>
    </row>
    <row r="413" spans="16:26">
      <c r="P413" s="245"/>
      <c r="Q413" s="245"/>
      <c r="R413" s="245"/>
      <c r="S413" s="245"/>
      <c r="T413" s="245"/>
      <c r="U413" s="245"/>
      <c r="V413" s="245"/>
      <c r="W413" s="245"/>
      <c r="X413" s="245"/>
      <c r="Y413" s="245"/>
      <c r="Z413" s="245"/>
    </row>
    <row r="414" spans="16:26">
      <c r="P414" s="241"/>
      <c r="Q414" s="241"/>
      <c r="R414" s="241"/>
      <c r="S414" s="241"/>
      <c r="T414" s="241"/>
      <c r="U414" s="241"/>
      <c r="V414" s="241"/>
      <c r="W414" s="241"/>
      <c r="X414" s="241"/>
      <c r="Y414" s="241"/>
      <c r="Z414" s="241"/>
    </row>
    <row r="415" spans="16:26">
      <c r="P415" s="245"/>
      <c r="Q415" s="245"/>
      <c r="R415" s="245"/>
      <c r="S415" s="245"/>
      <c r="T415" s="245"/>
      <c r="U415" s="245"/>
      <c r="V415" s="245"/>
      <c r="W415" s="245"/>
      <c r="X415" s="245"/>
      <c r="Y415" s="245"/>
      <c r="Z415" s="245"/>
    </row>
    <row r="416" spans="16:26">
      <c r="P416" s="245"/>
      <c r="Q416" s="245"/>
      <c r="R416" s="245"/>
      <c r="S416" s="245"/>
      <c r="T416" s="245"/>
      <c r="U416" s="245"/>
      <c r="V416" s="245"/>
      <c r="W416" s="245"/>
      <c r="X416" s="245"/>
      <c r="Y416" s="245"/>
      <c r="Z416" s="245"/>
    </row>
    <row r="417" spans="16:26">
      <c r="P417" s="241"/>
      <c r="Q417" s="241"/>
      <c r="R417" s="241"/>
      <c r="S417" s="241"/>
      <c r="T417" s="241"/>
      <c r="U417" s="241"/>
      <c r="V417" s="241"/>
      <c r="W417" s="241"/>
      <c r="X417" s="241"/>
      <c r="Y417" s="241"/>
      <c r="Z417" s="241"/>
    </row>
    <row r="418" spans="16:26">
      <c r="P418" s="245"/>
      <c r="Q418" s="245"/>
      <c r="R418" s="245"/>
      <c r="S418" s="245"/>
      <c r="T418" s="245"/>
      <c r="U418" s="245"/>
      <c r="V418" s="245"/>
      <c r="W418" s="245"/>
      <c r="X418" s="245"/>
      <c r="Y418" s="245"/>
      <c r="Z418" s="245"/>
    </row>
    <row r="419" spans="16:26">
      <c r="P419" s="245"/>
      <c r="Q419" s="245"/>
      <c r="R419" s="245"/>
      <c r="S419" s="245"/>
      <c r="T419" s="245"/>
      <c r="U419" s="245"/>
      <c r="V419" s="245"/>
      <c r="W419" s="245"/>
      <c r="X419" s="245"/>
      <c r="Y419" s="245"/>
      <c r="Z419" s="245"/>
    </row>
    <row r="420" spans="16:26">
      <c r="P420" s="241"/>
      <c r="Q420" s="241"/>
      <c r="R420" s="241"/>
      <c r="S420" s="241"/>
      <c r="T420" s="241"/>
      <c r="U420" s="241"/>
      <c r="V420" s="241"/>
      <c r="W420" s="241"/>
      <c r="X420" s="241"/>
      <c r="Y420" s="241"/>
      <c r="Z420" s="241"/>
    </row>
    <row r="421" spans="16:26">
      <c r="P421" s="245"/>
      <c r="Q421" s="245"/>
      <c r="R421" s="245"/>
      <c r="S421" s="245"/>
      <c r="T421" s="245"/>
      <c r="U421" s="245"/>
      <c r="V421" s="245"/>
      <c r="W421" s="245"/>
      <c r="X421" s="245"/>
      <c r="Y421" s="245"/>
      <c r="Z421" s="245"/>
    </row>
    <row r="422" spans="16:26">
      <c r="P422" s="245"/>
      <c r="Q422" s="245"/>
      <c r="R422" s="245"/>
      <c r="S422" s="245"/>
      <c r="T422" s="245"/>
      <c r="U422" s="245"/>
      <c r="V422" s="245"/>
      <c r="W422" s="245"/>
      <c r="X422" s="245"/>
      <c r="Y422" s="245"/>
      <c r="Z422" s="245"/>
    </row>
    <row r="423" spans="16:26">
      <c r="P423" s="241"/>
      <c r="Q423" s="241"/>
      <c r="R423" s="241"/>
      <c r="S423" s="241"/>
      <c r="T423" s="241"/>
      <c r="U423" s="241"/>
      <c r="V423" s="241"/>
      <c r="W423" s="241"/>
      <c r="X423" s="241"/>
      <c r="Y423" s="241"/>
      <c r="Z423" s="241"/>
    </row>
    <row r="424" spans="16:26">
      <c r="P424" s="245"/>
      <c r="Q424" s="245"/>
      <c r="R424" s="245"/>
      <c r="S424" s="245"/>
      <c r="T424" s="245"/>
      <c r="U424" s="245"/>
      <c r="V424" s="245"/>
      <c r="W424" s="245"/>
      <c r="X424" s="245"/>
      <c r="Y424" s="245"/>
      <c r="Z424" s="245"/>
    </row>
    <row r="425" spans="16:26">
      <c r="P425" s="245"/>
      <c r="Q425" s="245"/>
      <c r="R425" s="245"/>
      <c r="S425" s="245"/>
      <c r="T425" s="245"/>
      <c r="U425" s="245"/>
      <c r="V425" s="245"/>
      <c r="W425" s="245"/>
      <c r="X425" s="245"/>
      <c r="Y425" s="245"/>
      <c r="Z425" s="245"/>
    </row>
    <row r="426" spans="16:26">
      <c r="P426" s="241"/>
      <c r="Q426" s="241"/>
      <c r="R426" s="241"/>
      <c r="S426" s="241"/>
      <c r="T426" s="241"/>
      <c r="U426" s="241"/>
      <c r="V426" s="241"/>
      <c r="W426" s="241"/>
      <c r="X426" s="241"/>
      <c r="Y426" s="241"/>
      <c r="Z426" s="241"/>
    </row>
    <row r="427" spans="16:26">
      <c r="P427" s="245"/>
      <c r="Q427" s="245"/>
      <c r="R427" s="245"/>
      <c r="S427" s="245"/>
      <c r="T427" s="245"/>
      <c r="U427" s="245"/>
      <c r="V427" s="245"/>
      <c r="W427" s="245"/>
      <c r="X427" s="245"/>
      <c r="Y427" s="245"/>
      <c r="Z427" s="245"/>
    </row>
    <row r="428" spans="16:26">
      <c r="P428" s="245"/>
      <c r="Q428" s="245"/>
      <c r="R428" s="245"/>
      <c r="S428" s="245"/>
      <c r="T428" s="245"/>
      <c r="U428" s="245"/>
      <c r="V428" s="245"/>
      <c r="W428" s="245"/>
      <c r="X428" s="245"/>
      <c r="Y428" s="245"/>
      <c r="Z428" s="245"/>
    </row>
    <row r="429" spans="16:26">
      <c r="P429" s="241"/>
      <c r="Q429" s="241"/>
      <c r="R429" s="241"/>
      <c r="S429" s="241"/>
      <c r="T429" s="241"/>
      <c r="U429" s="241"/>
      <c r="V429" s="241"/>
      <c r="W429" s="241"/>
      <c r="X429" s="241"/>
      <c r="Y429" s="241"/>
      <c r="Z429" s="241"/>
    </row>
    <row r="430" spans="16:26">
      <c r="P430" s="245"/>
      <c r="Q430" s="245"/>
      <c r="R430" s="245"/>
      <c r="S430" s="245"/>
      <c r="T430" s="245"/>
      <c r="U430" s="245"/>
      <c r="V430" s="245"/>
      <c r="W430" s="245"/>
      <c r="X430" s="245"/>
      <c r="Y430" s="245"/>
      <c r="Z430" s="245"/>
    </row>
    <row r="431" spans="16:26">
      <c r="P431" s="245"/>
      <c r="Q431" s="245"/>
      <c r="R431" s="245"/>
      <c r="S431" s="245"/>
      <c r="T431" s="245"/>
      <c r="U431" s="245"/>
      <c r="V431" s="245"/>
      <c r="W431" s="245"/>
      <c r="X431" s="245"/>
      <c r="Y431" s="245"/>
      <c r="Z431" s="245"/>
    </row>
    <row r="432" spans="16:26">
      <c r="P432" s="241"/>
      <c r="Q432" s="241"/>
      <c r="R432" s="241"/>
      <c r="S432" s="241"/>
      <c r="T432" s="241"/>
      <c r="U432" s="241"/>
      <c r="V432" s="241"/>
      <c r="W432" s="241"/>
      <c r="X432" s="241"/>
      <c r="Y432" s="241"/>
      <c r="Z432" s="241"/>
    </row>
    <row r="433" spans="16:26">
      <c r="P433" s="245"/>
      <c r="Q433" s="245"/>
      <c r="R433" s="245"/>
      <c r="S433" s="245"/>
      <c r="T433" s="245"/>
      <c r="U433" s="245"/>
      <c r="V433" s="245"/>
      <c r="W433" s="245"/>
      <c r="X433" s="245"/>
      <c r="Y433" s="245"/>
      <c r="Z433" s="245"/>
    </row>
    <row r="434" spans="16:26">
      <c r="P434" s="245"/>
      <c r="Q434" s="245"/>
      <c r="R434" s="245"/>
      <c r="S434" s="245"/>
      <c r="T434" s="245"/>
      <c r="U434" s="245"/>
      <c r="V434" s="245"/>
      <c r="W434" s="245"/>
      <c r="X434" s="245"/>
      <c r="Y434" s="245"/>
      <c r="Z434" s="245"/>
    </row>
    <row r="435" spans="16:26">
      <c r="P435" s="241"/>
      <c r="Q435" s="241"/>
      <c r="R435" s="241"/>
      <c r="S435" s="241"/>
      <c r="T435" s="241"/>
      <c r="U435" s="241"/>
      <c r="V435" s="241"/>
      <c r="W435" s="241"/>
      <c r="X435" s="241"/>
      <c r="Y435" s="241"/>
      <c r="Z435" s="241"/>
    </row>
    <row r="436" spans="16:26">
      <c r="P436" s="245"/>
      <c r="Q436" s="245"/>
      <c r="R436" s="245"/>
      <c r="S436" s="245"/>
      <c r="T436" s="245"/>
      <c r="U436" s="245"/>
      <c r="V436" s="245"/>
      <c r="W436" s="245"/>
      <c r="X436" s="245"/>
      <c r="Y436" s="245"/>
      <c r="Z436" s="245"/>
    </row>
    <row r="437" spans="16:26">
      <c r="P437" s="245"/>
      <c r="Q437" s="245"/>
      <c r="R437" s="245"/>
      <c r="S437" s="245"/>
      <c r="T437" s="245"/>
      <c r="U437" s="245"/>
      <c r="V437" s="245"/>
      <c r="W437" s="245"/>
      <c r="X437" s="245"/>
      <c r="Y437" s="245"/>
      <c r="Z437" s="245"/>
    </row>
    <row r="438" spans="16:26">
      <c r="P438" s="241"/>
      <c r="Q438" s="241"/>
      <c r="R438" s="241"/>
      <c r="S438" s="241"/>
      <c r="T438" s="241"/>
      <c r="U438" s="241"/>
      <c r="V438" s="241"/>
      <c r="W438" s="241"/>
      <c r="X438" s="241"/>
      <c r="Y438" s="241"/>
      <c r="Z438" s="241"/>
    </row>
    <row r="439" spans="16:26">
      <c r="P439" s="245"/>
      <c r="Q439" s="245"/>
      <c r="R439" s="245"/>
      <c r="S439" s="245"/>
      <c r="T439" s="245"/>
      <c r="U439" s="245"/>
      <c r="V439" s="245"/>
      <c r="W439" s="245"/>
      <c r="X439" s="245"/>
      <c r="Y439" s="245"/>
      <c r="Z439" s="245"/>
    </row>
    <row r="440" spans="16:26">
      <c r="P440" s="245"/>
      <c r="Q440" s="245"/>
      <c r="R440" s="245"/>
      <c r="S440" s="245"/>
      <c r="T440" s="245"/>
      <c r="U440" s="245"/>
      <c r="V440" s="245"/>
      <c r="W440" s="245"/>
      <c r="X440" s="245"/>
      <c r="Y440" s="245"/>
      <c r="Z440" s="245"/>
    </row>
    <row r="441" spans="16:26">
      <c r="P441" s="241"/>
      <c r="Q441" s="241"/>
      <c r="R441" s="241"/>
      <c r="S441" s="241"/>
      <c r="T441" s="241"/>
      <c r="U441" s="241"/>
      <c r="V441" s="241"/>
      <c r="W441" s="241"/>
      <c r="X441" s="241"/>
      <c r="Y441" s="241"/>
      <c r="Z441" s="241"/>
    </row>
    <row r="442" spans="16:26">
      <c r="P442" s="245"/>
      <c r="Q442" s="245"/>
      <c r="R442" s="245"/>
      <c r="S442" s="245"/>
      <c r="T442" s="245"/>
      <c r="U442" s="245"/>
      <c r="V442" s="245"/>
      <c r="W442" s="245"/>
      <c r="X442" s="245"/>
      <c r="Y442" s="245"/>
      <c r="Z442" s="245"/>
    </row>
    <row r="443" spans="16:26">
      <c r="P443" s="245"/>
      <c r="Q443" s="245"/>
      <c r="R443" s="245"/>
      <c r="S443" s="245"/>
      <c r="T443" s="245"/>
      <c r="U443" s="245"/>
      <c r="V443" s="245"/>
      <c r="W443" s="245"/>
      <c r="X443" s="245"/>
      <c r="Y443" s="245"/>
      <c r="Z443" s="245"/>
    </row>
    <row r="444" spans="16:26">
      <c r="P444" s="241"/>
      <c r="Q444" s="241"/>
      <c r="R444" s="241"/>
      <c r="S444" s="241"/>
      <c r="T444" s="241"/>
      <c r="U444" s="241"/>
      <c r="V444" s="241"/>
      <c r="W444" s="241"/>
      <c r="X444" s="241"/>
      <c r="Y444" s="241"/>
      <c r="Z444" s="241"/>
    </row>
    <row r="445" spans="16:26">
      <c r="P445" s="245"/>
      <c r="Q445" s="245"/>
      <c r="R445" s="245"/>
      <c r="S445" s="245"/>
      <c r="T445" s="245"/>
      <c r="U445" s="245"/>
      <c r="V445" s="245"/>
      <c r="W445" s="245"/>
      <c r="X445" s="245"/>
      <c r="Y445" s="245"/>
      <c r="Z445" s="245"/>
    </row>
    <row r="446" spans="16:26">
      <c r="P446" s="245"/>
      <c r="Q446" s="245"/>
      <c r="R446" s="245"/>
      <c r="S446" s="245"/>
      <c r="T446" s="245"/>
      <c r="U446" s="245"/>
      <c r="V446" s="245"/>
      <c r="W446" s="245"/>
      <c r="X446" s="245"/>
      <c r="Y446" s="245"/>
      <c r="Z446" s="245"/>
    </row>
    <row r="447" spans="16:26">
      <c r="P447" s="241"/>
      <c r="Q447" s="241"/>
      <c r="R447" s="241"/>
      <c r="S447" s="241"/>
      <c r="T447" s="241"/>
      <c r="U447" s="241"/>
      <c r="V447" s="241"/>
      <c r="W447" s="241"/>
      <c r="X447" s="241"/>
      <c r="Y447" s="241"/>
      <c r="Z447" s="241"/>
    </row>
    <row r="448" spans="16:26">
      <c r="P448" s="245"/>
      <c r="Q448" s="245"/>
      <c r="R448" s="245"/>
      <c r="S448" s="245"/>
      <c r="T448" s="245"/>
      <c r="U448" s="245"/>
      <c r="V448" s="245"/>
      <c r="W448" s="245"/>
      <c r="X448" s="245"/>
      <c r="Y448" s="245"/>
      <c r="Z448" s="245"/>
    </row>
    <row r="449" spans="16:26">
      <c r="P449" s="245"/>
      <c r="Q449" s="245"/>
      <c r="R449" s="245"/>
      <c r="S449" s="245"/>
      <c r="T449" s="245"/>
      <c r="U449" s="245"/>
      <c r="V449" s="245"/>
      <c r="W449" s="245"/>
      <c r="X449" s="245"/>
      <c r="Y449" s="245"/>
      <c r="Z449" s="245"/>
    </row>
    <row r="450" spans="16:26">
      <c r="P450" s="241"/>
      <c r="Q450" s="241"/>
      <c r="R450" s="241"/>
      <c r="S450" s="241"/>
      <c r="T450" s="241"/>
      <c r="U450" s="241"/>
      <c r="V450" s="241"/>
      <c r="W450" s="241"/>
      <c r="X450" s="241"/>
      <c r="Y450" s="241"/>
      <c r="Z450" s="241"/>
    </row>
    <row r="451" spans="16:26">
      <c r="P451" s="245"/>
      <c r="Q451" s="245"/>
      <c r="R451" s="245"/>
      <c r="S451" s="245"/>
      <c r="T451" s="245"/>
      <c r="U451" s="245"/>
      <c r="V451" s="245"/>
      <c r="W451" s="245"/>
      <c r="X451" s="245"/>
      <c r="Y451" s="245"/>
      <c r="Z451" s="245"/>
    </row>
    <row r="452" spans="16:26">
      <c r="P452" s="245"/>
      <c r="Q452" s="245"/>
      <c r="R452" s="245"/>
      <c r="S452" s="245"/>
      <c r="T452" s="245"/>
      <c r="U452" s="245"/>
      <c r="V452" s="245"/>
      <c r="W452" s="245"/>
      <c r="X452" s="245"/>
      <c r="Y452" s="245"/>
      <c r="Z452" s="245"/>
    </row>
    <row r="453" spans="16:26">
      <c r="P453" s="241"/>
      <c r="Q453" s="241"/>
      <c r="R453" s="241"/>
      <c r="S453" s="241"/>
      <c r="T453" s="241"/>
      <c r="U453" s="241"/>
      <c r="V453" s="241"/>
      <c r="W453" s="241"/>
      <c r="X453" s="241"/>
      <c r="Y453" s="241"/>
      <c r="Z453" s="241"/>
    </row>
    <row r="454" spans="16:26">
      <c r="P454" s="245"/>
      <c r="Q454" s="245"/>
      <c r="R454" s="245"/>
      <c r="S454" s="245"/>
      <c r="T454" s="245"/>
      <c r="U454" s="245"/>
      <c r="V454" s="245"/>
      <c r="W454" s="245"/>
      <c r="X454" s="245"/>
      <c r="Y454" s="245"/>
      <c r="Z454" s="245"/>
    </row>
    <row r="455" spans="16:26">
      <c r="P455" s="245"/>
      <c r="Q455" s="245"/>
      <c r="R455" s="245"/>
      <c r="S455" s="245"/>
      <c r="T455" s="245"/>
      <c r="U455" s="245"/>
      <c r="V455" s="245"/>
      <c r="W455" s="245"/>
      <c r="X455" s="245"/>
      <c r="Y455" s="245"/>
      <c r="Z455" s="245"/>
    </row>
    <row r="456" spans="16:26">
      <c r="P456" s="241"/>
      <c r="Q456" s="241"/>
      <c r="R456" s="241"/>
      <c r="S456" s="241"/>
      <c r="T456" s="241"/>
      <c r="U456" s="241"/>
      <c r="V456" s="241"/>
      <c r="W456" s="241"/>
      <c r="X456" s="241"/>
      <c r="Y456" s="241"/>
      <c r="Z456" s="241"/>
    </row>
    <row r="457" spans="16:26">
      <c r="P457" s="245"/>
      <c r="Q457" s="245"/>
      <c r="R457" s="245"/>
      <c r="S457" s="245"/>
      <c r="T457" s="245"/>
      <c r="U457" s="245"/>
      <c r="V457" s="245"/>
      <c r="W457" s="245"/>
      <c r="X457" s="245"/>
      <c r="Y457" s="245"/>
      <c r="Z457" s="245"/>
    </row>
    <row r="458" spans="16:26">
      <c r="P458" s="245"/>
      <c r="Q458" s="245"/>
      <c r="R458" s="245"/>
      <c r="S458" s="245"/>
      <c r="T458" s="245"/>
      <c r="U458" s="245"/>
      <c r="V458" s="245"/>
      <c r="W458" s="245"/>
      <c r="X458" s="245"/>
      <c r="Y458" s="245"/>
      <c r="Z458" s="245"/>
    </row>
    <row r="459" spans="16:26">
      <c r="P459" s="241"/>
      <c r="Q459" s="241"/>
      <c r="R459" s="241"/>
      <c r="S459" s="241"/>
      <c r="T459" s="241"/>
      <c r="U459" s="241"/>
      <c r="V459" s="241"/>
      <c r="W459" s="241"/>
      <c r="X459" s="241"/>
      <c r="Y459" s="241"/>
      <c r="Z459" s="241"/>
    </row>
    <row r="460" spans="16:26">
      <c r="P460" s="245"/>
      <c r="Q460" s="245"/>
      <c r="R460" s="245"/>
      <c r="S460" s="245"/>
      <c r="T460" s="245"/>
      <c r="U460" s="245"/>
      <c r="V460" s="245"/>
      <c r="W460" s="245"/>
      <c r="X460" s="245"/>
      <c r="Y460" s="245"/>
      <c r="Z460" s="245"/>
    </row>
    <row r="461" spans="16:26">
      <c r="P461" s="245"/>
      <c r="Q461" s="245"/>
      <c r="R461" s="245"/>
      <c r="S461" s="245"/>
      <c r="T461" s="245"/>
      <c r="U461" s="245"/>
      <c r="V461" s="245"/>
      <c r="W461" s="245"/>
      <c r="X461" s="245"/>
      <c r="Y461" s="245"/>
      <c r="Z461" s="245"/>
    </row>
    <row r="462" spans="16:26">
      <c r="P462" s="241"/>
      <c r="Q462" s="241"/>
      <c r="R462" s="241"/>
      <c r="S462" s="241"/>
      <c r="T462" s="241"/>
      <c r="U462" s="241"/>
      <c r="V462" s="241"/>
      <c r="W462" s="241"/>
      <c r="X462" s="241"/>
      <c r="Y462" s="241"/>
      <c r="Z462" s="241"/>
    </row>
    <row r="463" spans="16:26">
      <c r="P463" s="245"/>
      <c r="Q463" s="245"/>
      <c r="R463" s="245"/>
      <c r="S463" s="245"/>
      <c r="T463" s="245"/>
      <c r="U463" s="245"/>
      <c r="V463" s="245"/>
      <c r="W463" s="245"/>
      <c r="X463" s="245"/>
      <c r="Y463" s="245"/>
      <c r="Z463" s="245"/>
    </row>
    <row r="464" spans="16:26">
      <c r="P464" s="245"/>
      <c r="Q464" s="245"/>
      <c r="R464" s="245"/>
      <c r="S464" s="245"/>
      <c r="T464" s="245"/>
      <c r="U464" s="245"/>
      <c r="V464" s="245"/>
      <c r="W464" s="245"/>
      <c r="X464" s="245"/>
      <c r="Y464" s="245"/>
      <c r="Z464" s="245"/>
    </row>
    <row r="465" spans="16:26">
      <c r="P465" s="241"/>
      <c r="Q465" s="241"/>
      <c r="R465" s="241"/>
      <c r="S465" s="241"/>
      <c r="T465" s="241"/>
      <c r="U465" s="241"/>
      <c r="V465" s="241"/>
      <c r="W465" s="241"/>
      <c r="X465" s="241"/>
      <c r="Y465" s="241"/>
      <c r="Z465" s="241"/>
    </row>
    <row r="466" spans="16:26">
      <c r="P466" s="245"/>
      <c r="Q466" s="245"/>
      <c r="R466" s="245"/>
      <c r="S466" s="245"/>
      <c r="T466" s="245"/>
      <c r="U466" s="245"/>
      <c r="V466" s="245"/>
      <c r="W466" s="245"/>
      <c r="X466" s="245"/>
      <c r="Y466" s="245"/>
      <c r="Z466" s="245"/>
    </row>
    <row r="467" spans="16:26">
      <c r="P467" s="245"/>
      <c r="Q467" s="245"/>
      <c r="R467" s="245"/>
      <c r="S467" s="245"/>
      <c r="T467" s="245"/>
      <c r="U467" s="245"/>
      <c r="V467" s="245"/>
      <c r="W467" s="245"/>
      <c r="X467" s="245"/>
      <c r="Y467" s="245"/>
      <c r="Z467" s="245"/>
    </row>
    <row r="468" spans="16:26">
      <c r="P468" s="241"/>
      <c r="Q468" s="241"/>
      <c r="R468" s="241"/>
      <c r="S468" s="241"/>
      <c r="T468" s="241"/>
      <c r="U468" s="241"/>
      <c r="V468" s="241"/>
      <c r="W468" s="241"/>
      <c r="X468" s="241"/>
      <c r="Y468" s="241"/>
      <c r="Z468" s="241"/>
    </row>
    <row r="469" spans="16:26">
      <c r="P469" s="245"/>
      <c r="Q469" s="245"/>
      <c r="R469" s="245"/>
      <c r="S469" s="245"/>
      <c r="T469" s="245"/>
      <c r="U469" s="245"/>
      <c r="V469" s="245"/>
      <c r="W469" s="245"/>
      <c r="X469" s="245"/>
      <c r="Y469" s="245"/>
      <c r="Z469" s="245"/>
    </row>
    <row r="470" spans="16:26">
      <c r="P470" s="245"/>
      <c r="Q470" s="245"/>
      <c r="R470" s="245"/>
      <c r="S470" s="245"/>
      <c r="T470" s="245"/>
      <c r="U470" s="245"/>
      <c r="V470" s="245"/>
      <c r="W470" s="245"/>
      <c r="X470" s="245"/>
      <c r="Y470" s="245"/>
      <c r="Z470" s="245"/>
    </row>
    <row r="471" spans="16:26">
      <c r="P471" s="241"/>
      <c r="Q471" s="241"/>
      <c r="R471" s="241"/>
      <c r="S471" s="241"/>
      <c r="T471" s="241"/>
      <c r="U471" s="241"/>
      <c r="V471" s="241"/>
      <c r="W471" s="241"/>
      <c r="X471" s="241"/>
      <c r="Y471" s="241"/>
      <c r="Z471" s="241"/>
    </row>
    <row r="472" spans="16:26">
      <c r="P472" s="245"/>
      <c r="Q472" s="245"/>
      <c r="R472" s="245"/>
      <c r="S472" s="245"/>
      <c r="T472" s="245"/>
      <c r="U472" s="245"/>
      <c r="V472" s="245"/>
      <c r="W472" s="245"/>
      <c r="X472" s="245"/>
      <c r="Y472" s="245"/>
      <c r="Z472" s="245"/>
    </row>
    <row r="473" spans="16:26">
      <c r="P473" s="245"/>
      <c r="Q473" s="245"/>
      <c r="R473" s="245"/>
      <c r="S473" s="245"/>
      <c r="T473" s="245"/>
      <c r="U473" s="245"/>
      <c r="V473" s="245"/>
      <c r="W473" s="245"/>
      <c r="X473" s="245"/>
      <c r="Y473" s="245"/>
      <c r="Z473" s="245"/>
    </row>
    <row r="474" spans="16:26">
      <c r="P474" s="241"/>
      <c r="Q474" s="241"/>
      <c r="R474" s="241"/>
      <c r="S474" s="241"/>
      <c r="T474" s="241"/>
      <c r="U474" s="241"/>
      <c r="V474" s="241"/>
      <c r="W474" s="241"/>
      <c r="X474" s="241"/>
      <c r="Y474" s="241"/>
      <c r="Z474" s="241"/>
    </row>
    <row r="475" spans="16:26">
      <c r="P475" s="245"/>
      <c r="Q475" s="245"/>
      <c r="R475" s="245"/>
      <c r="S475" s="245"/>
      <c r="T475" s="245"/>
      <c r="U475" s="245"/>
      <c r="V475" s="245"/>
      <c r="W475" s="245"/>
      <c r="X475" s="245"/>
      <c r="Y475" s="245"/>
      <c r="Z475" s="245"/>
    </row>
    <row r="476" spans="16:26">
      <c r="P476" s="245"/>
      <c r="Q476" s="245"/>
      <c r="R476" s="245"/>
      <c r="S476" s="245"/>
      <c r="T476" s="245"/>
      <c r="U476" s="245"/>
      <c r="V476" s="245"/>
      <c r="W476" s="245"/>
      <c r="X476" s="245"/>
      <c r="Y476" s="245"/>
      <c r="Z476" s="245"/>
    </row>
    <row r="477" spans="16:26">
      <c r="P477" s="241"/>
      <c r="Q477" s="241"/>
      <c r="R477" s="241"/>
      <c r="S477" s="241"/>
      <c r="T477" s="241"/>
      <c r="U477" s="241"/>
      <c r="V477" s="241"/>
      <c r="W477" s="241"/>
      <c r="X477" s="241"/>
      <c r="Y477" s="241"/>
      <c r="Z477" s="241"/>
    </row>
    <row r="478" spans="16:26">
      <c r="P478" s="245"/>
      <c r="Q478" s="245"/>
      <c r="R478" s="245"/>
      <c r="S478" s="245"/>
      <c r="T478" s="245"/>
      <c r="U478" s="245"/>
      <c r="V478" s="245"/>
      <c r="W478" s="245"/>
      <c r="X478" s="245"/>
      <c r="Y478" s="245"/>
      <c r="Z478" s="245"/>
    </row>
    <row r="479" spans="16:26">
      <c r="P479" s="245"/>
      <c r="Q479" s="245"/>
      <c r="R479" s="245"/>
      <c r="S479" s="245"/>
      <c r="T479" s="245"/>
      <c r="U479" s="245"/>
      <c r="V479" s="245"/>
      <c r="W479" s="245"/>
      <c r="X479" s="245"/>
      <c r="Y479" s="245"/>
      <c r="Z479" s="245"/>
    </row>
    <row r="480" spans="16:26">
      <c r="P480" s="241"/>
      <c r="Q480" s="241"/>
      <c r="R480" s="241"/>
      <c r="S480" s="241"/>
      <c r="T480" s="241"/>
      <c r="U480" s="241"/>
      <c r="V480" s="241"/>
      <c r="W480" s="241"/>
      <c r="X480" s="241"/>
      <c r="Y480" s="241"/>
      <c r="Z480" s="241"/>
    </row>
    <row r="481" spans="16:26">
      <c r="P481" s="245"/>
      <c r="Q481" s="245"/>
      <c r="R481" s="245"/>
      <c r="S481" s="245"/>
      <c r="T481" s="245"/>
      <c r="U481" s="245"/>
      <c r="V481" s="245"/>
      <c r="W481" s="245"/>
      <c r="X481" s="245"/>
      <c r="Y481" s="245"/>
      <c r="Z481" s="245"/>
    </row>
    <row r="482" spans="16:26">
      <c r="P482" s="245"/>
      <c r="Q482" s="245"/>
      <c r="R482" s="245"/>
      <c r="S482" s="245"/>
      <c r="T482" s="245"/>
      <c r="U482" s="245"/>
      <c r="V482" s="245"/>
      <c r="W482" s="245"/>
      <c r="X482" s="245"/>
      <c r="Y482" s="245"/>
      <c r="Z482" s="245"/>
    </row>
    <row r="483" spans="16:26">
      <c r="P483" s="241"/>
      <c r="Q483" s="241"/>
      <c r="R483" s="241"/>
      <c r="S483" s="241"/>
      <c r="T483" s="241"/>
      <c r="U483" s="241"/>
      <c r="V483" s="241"/>
      <c r="W483" s="241"/>
      <c r="X483" s="241"/>
      <c r="Y483" s="241"/>
      <c r="Z483" s="241"/>
    </row>
    <row r="484" spans="16:26">
      <c r="P484" s="245"/>
      <c r="Q484" s="245"/>
      <c r="R484" s="245"/>
      <c r="S484" s="245"/>
      <c r="T484" s="245"/>
      <c r="U484" s="245"/>
      <c r="V484" s="245"/>
      <c r="W484" s="245"/>
      <c r="X484" s="245"/>
      <c r="Y484" s="245"/>
      <c r="Z484" s="245"/>
    </row>
    <row r="485" spans="16:26">
      <c r="P485" s="245"/>
      <c r="Q485" s="245"/>
      <c r="R485" s="245"/>
      <c r="S485" s="245"/>
      <c r="T485" s="245"/>
      <c r="U485" s="245"/>
      <c r="V485" s="245"/>
      <c r="W485" s="245"/>
      <c r="X485" s="245"/>
      <c r="Y485" s="245"/>
      <c r="Z485" s="245"/>
    </row>
    <row r="486" spans="16:26">
      <c r="P486" s="241"/>
      <c r="Q486" s="241"/>
      <c r="R486" s="241"/>
      <c r="S486" s="241"/>
      <c r="T486" s="241"/>
      <c r="U486" s="241"/>
      <c r="V486" s="241"/>
      <c r="W486" s="241"/>
      <c r="X486" s="241"/>
      <c r="Y486" s="241"/>
      <c r="Z486" s="241"/>
    </row>
    <row r="487" spans="16:26">
      <c r="P487" s="245"/>
      <c r="Q487" s="245"/>
      <c r="R487" s="245"/>
      <c r="S487" s="245"/>
      <c r="T487" s="245"/>
      <c r="U487" s="245"/>
      <c r="V487" s="245"/>
      <c r="W487" s="245"/>
      <c r="X487" s="245"/>
      <c r="Y487" s="245"/>
      <c r="Z487" s="245"/>
    </row>
    <row r="488" spans="16:26">
      <c r="P488" s="245"/>
      <c r="Q488" s="245"/>
      <c r="R488" s="245"/>
      <c r="S488" s="245"/>
      <c r="T488" s="245"/>
      <c r="U488" s="245"/>
      <c r="V488" s="245"/>
      <c r="W488" s="245"/>
      <c r="X488" s="245"/>
      <c r="Y488" s="245"/>
      <c r="Z488" s="245"/>
    </row>
    <row r="489" spans="16:26">
      <c r="P489" s="241"/>
      <c r="Q489" s="241"/>
      <c r="R489" s="241"/>
      <c r="S489" s="241"/>
      <c r="T489" s="241"/>
      <c r="U489" s="241"/>
      <c r="V489" s="241"/>
      <c r="W489" s="241"/>
      <c r="X489" s="241"/>
      <c r="Y489" s="241"/>
      <c r="Z489" s="241"/>
    </row>
    <row r="490" spans="16:26">
      <c r="P490" s="245"/>
      <c r="Q490" s="245"/>
      <c r="R490" s="245"/>
      <c r="S490" s="245"/>
      <c r="T490" s="245"/>
      <c r="U490" s="245"/>
      <c r="V490" s="245"/>
      <c r="W490" s="245"/>
      <c r="X490" s="245"/>
      <c r="Y490" s="245"/>
      <c r="Z490" s="245"/>
    </row>
    <row r="491" spans="16:26">
      <c r="P491" s="245"/>
      <c r="Q491" s="245"/>
      <c r="R491" s="245"/>
      <c r="S491" s="245"/>
      <c r="T491" s="245"/>
      <c r="U491" s="245"/>
      <c r="V491" s="245"/>
      <c r="W491" s="245"/>
      <c r="X491" s="245"/>
      <c r="Y491" s="245"/>
      <c r="Z491" s="245"/>
    </row>
    <row r="492" spans="16:26">
      <c r="P492" s="241"/>
      <c r="Q492" s="241"/>
      <c r="R492" s="241"/>
      <c r="S492" s="241"/>
      <c r="T492" s="241"/>
      <c r="U492" s="241"/>
      <c r="V492" s="241"/>
      <c r="W492" s="241"/>
      <c r="X492" s="241"/>
      <c r="Y492" s="241"/>
      <c r="Z492" s="241"/>
    </row>
    <row r="493" spans="16:26">
      <c r="P493" s="245"/>
      <c r="Q493" s="245"/>
      <c r="R493" s="245"/>
      <c r="S493" s="245"/>
      <c r="T493" s="245"/>
      <c r="U493" s="245"/>
      <c r="V493" s="245"/>
      <c r="W493" s="245"/>
      <c r="X493" s="245"/>
      <c r="Y493" s="245"/>
      <c r="Z493" s="245"/>
    </row>
    <row r="494" spans="16:26">
      <c r="P494" s="245"/>
      <c r="Q494" s="245"/>
      <c r="R494" s="245"/>
      <c r="S494" s="245"/>
      <c r="T494" s="245"/>
      <c r="U494" s="245"/>
      <c r="V494" s="245"/>
      <c r="W494" s="245"/>
      <c r="X494" s="245"/>
      <c r="Y494" s="245"/>
      <c r="Z494" s="245"/>
    </row>
    <row r="495" spans="16:26">
      <c r="P495" s="241"/>
      <c r="Q495" s="241"/>
      <c r="R495" s="241"/>
      <c r="S495" s="241"/>
      <c r="T495" s="241"/>
      <c r="U495" s="241"/>
      <c r="V495" s="241"/>
      <c r="W495" s="241"/>
      <c r="X495" s="241"/>
      <c r="Y495" s="241"/>
      <c r="Z495" s="241"/>
    </row>
    <row r="496" spans="16:26">
      <c r="P496" s="245"/>
      <c r="Q496" s="245"/>
      <c r="R496" s="245"/>
      <c r="S496" s="245"/>
      <c r="T496" s="245"/>
      <c r="U496" s="245"/>
      <c r="V496" s="245"/>
      <c r="W496" s="245"/>
      <c r="X496" s="245"/>
      <c r="Y496" s="245"/>
      <c r="Z496" s="245"/>
    </row>
    <row r="497" spans="16:26">
      <c r="P497" s="245"/>
      <c r="Q497" s="245"/>
      <c r="R497" s="245"/>
      <c r="S497" s="245"/>
      <c r="T497" s="245"/>
      <c r="U497" s="245"/>
      <c r="V497" s="245"/>
      <c r="W497" s="245"/>
      <c r="X497" s="245"/>
      <c r="Y497" s="245"/>
      <c r="Z497" s="245"/>
    </row>
    <row r="498" spans="16:26">
      <c r="P498" s="241"/>
      <c r="Q498" s="241"/>
      <c r="R498" s="241"/>
      <c r="S498" s="241"/>
      <c r="T498" s="241"/>
      <c r="U498" s="241"/>
      <c r="V498" s="241"/>
      <c r="W498" s="241"/>
      <c r="X498" s="241"/>
      <c r="Y498" s="241"/>
      <c r="Z498" s="241"/>
    </row>
    <row r="499" spans="16:26">
      <c r="P499" s="245"/>
      <c r="Q499" s="245"/>
      <c r="R499" s="245"/>
      <c r="S499" s="245"/>
      <c r="T499" s="245"/>
      <c r="U499" s="245"/>
      <c r="V499" s="245"/>
      <c r="W499" s="245"/>
      <c r="X499" s="245"/>
      <c r="Y499" s="245"/>
      <c r="Z499" s="245"/>
    </row>
    <row r="500" spans="16:26">
      <c r="P500" s="245"/>
      <c r="Q500" s="245"/>
      <c r="R500" s="245"/>
      <c r="S500" s="245"/>
      <c r="T500" s="245"/>
      <c r="U500" s="245"/>
      <c r="V500" s="245"/>
      <c r="W500" s="245"/>
      <c r="X500" s="245"/>
      <c r="Y500" s="245"/>
      <c r="Z500" s="245"/>
    </row>
    <row r="501" spans="16:26">
      <c r="P501" s="241"/>
      <c r="Q501" s="241"/>
      <c r="R501" s="241"/>
      <c r="S501" s="241"/>
      <c r="T501" s="241"/>
      <c r="U501" s="241"/>
      <c r="V501" s="241"/>
      <c r="W501" s="241"/>
      <c r="X501" s="241"/>
      <c r="Y501" s="241"/>
      <c r="Z501" s="241"/>
    </row>
    <row r="502" spans="16:26">
      <c r="P502" s="245"/>
      <c r="Q502" s="245"/>
      <c r="R502" s="245"/>
      <c r="S502" s="245"/>
      <c r="T502" s="245"/>
      <c r="U502" s="245"/>
      <c r="V502" s="245"/>
      <c r="W502" s="245"/>
      <c r="X502" s="245"/>
      <c r="Y502" s="245"/>
      <c r="Z502" s="245"/>
    </row>
    <row r="503" spans="16:26">
      <c r="P503" s="245"/>
      <c r="Q503" s="245"/>
      <c r="R503" s="245"/>
      <c r="S503" s="245"/>
      <c r="T503" s="245"/>
      <c r="U503" s="245"/>
      <c r="V503" s="245"/>
      <c r="W503" s="245"/>
      <c r="X503" s="245"/>
      <c r="Y503" s="245"/>
      <c r="Z503" s="245"/>
    </row>
    <row r="504" spans="16:26">
      <c r="P504" s="241"/>
      <c r="Q504" s="241"/>
      <c r="R504" s="241"/>
      <c r="S504" s="241"/>
      <c r="T504" s="241"/>
      <c r="U504" s="241"/>
      <c r="V504" s="241"/>
      <c r="W504" s="241"/>
      <c r="X504" s="241"/>
      <c r="Y504" s="241"/>
      <c r="Z504" s="241"/>
    </row>
    <row r="505" spans="16:26">
      <c r="P505" s="245"/>
      <c r="Q505" s="245"/>
      <c r="R505" s="245"/>
      <c r="S505" s="245"/>
      <c r="T505" s="245"/>
      <c r="U505" s="245"/>
      <c r="V505" s="245"/>
      <c r="W505" s="245"/>
      <c r="X505" s="245"/>
      <c r="Y505" s="245"/>
      <c r="Z505" s="245"/>
    </row>
    <row r="506" spans="16:26">
      <c r="P506" s="245"/>
      <c r="Q506" s="245"/>
      <c r="R506" s="245"/>
      <c r="S506" s="245"/>
      <c r="T506" s="245"/>
      <c r="U506" s="245"/>
      <c r="V506" s="245"/>
      <c r="W506" s="245"/>
      <c r="X506" s="245"/>
      <c r="Y506" s="245"/>
      <c r="Z506" s="245"/>
    </row>
    <row r="507" spans="16:26">
      <c r="P507" s="241"/>
      <c r="Q507" s="241"/>
      <c r="R507" s="241"/>
      <c r="S507" s="241"/>
      <c r="T507" s="241"/>
      <c r="U507" s="241"/>
      <c r="V507" s="241"/>
      <c r="W507" s="241"/>
      <c r="X507" s="241"/>
      <c r="Y507" s="241"/>
      <c r="Z507" s="241"/>
    </row>
    <row r="508" spans="16:26">
      <c r="P508" s="245"/>
      <c r="Q508" s="245"/>
      <c r="R508" s="245"/>
      <c r="S508" s="245"/>
      <c r="T508" s="245"/>
      <c r="U508" s="245"/>
      <c r="V508" s="245"/>
      <c r="W508" s="245"/>
      <c r="X508" s="245"/>
      <c r="Y508" s="245"/>
      <c r="Z508" s="245"/>
    </row>
    <row r="509" spans="16:26">
      <c r="P509" s="245"/>
      <c r="Q509" s="245"/>
      <c r="R509" s="245"/>
      <c r="S509" s="245"/>
      <c r="T509" s="245"/>
      <c r="U509" s="245"/>
      <c r="V509" s="245"/>
      <c r="W509" s="245"/>
      <c r="X509" s="245"/>
      <c r="Y509" s="245"/>
      <c r="Z509" s="245"/>
    </row>
    <row r="510" spans="16:26">
      <c r="P510" s="241"/>
      <c r="Q510" s="241"/>
      <c r="R510" s="241"/>
      <c r="S510" s="241"/>
      <c r="T510" s="241"/>
      <c r="U510" s="241"/>
      <c r="V510" s="241"/>
      <c r="W510" s="241"/>
      <c r="X510" s="241"/>
      <c r="Y510" s="241"/>
      <c r="Z510" s="241"/>
    </row>
    <row r="511" spans="16:26">
      <c r="P511" s="245"/>
      <c r="Q511" s="245"/>
      <c r="R511" s="245"/>
      <c r="S511" s="245"/>
      <c r="T511" s="245"/>
      <c r="U511" s="245"/>
      <c r="V511" s="245"/>
      <c r="W511" s="245"/>
      <c r="X511" s="245"/>
      <c r="Y511" s="245"/>
      <c r="Z511" s="245"/>
    </row>
    <row r="512" spans="16:26">
      <c r="P512" s="245"/>
      <c r="Q512" s="245"/>
      <c r="R512" s="245"/>
      <c r="S512" s="245"/>
      <c r="T512" s="245"/>
      <c r="U512" s="245"/>
      <c r="V512" s="245"/>
      <c r="W512" s="245"/>
      <c r="X512" s="245"/>
      <c r="Y512" s="245"/>
      <c r="Z512" s="245"/>
    </row>
    <row r="513" spans="16:26">
      <c r="P513" s="241"/>
      <c r="Q513" s="241"/>
      <c r="R513" s="241"/>
      <c r="S513" s="241"/>
      <c r="T513" s="241"/>
      <c r="U513" s="241"/>
      <c r="V513" s="241"/>
      <c r="W513" s="241"/>
      <c r="X513" s="241"/>
      <c r="Y513" s="241"/>
      <c r="Z513" s="241"/>
    </row>
    <row r="514" spans="16:26">
      <c r="P514" s="245"/>
      <c r="Q514" s="245"/>
      <c r="R514" s="245"/>
      <c r="S514" s="245"/>
      <c r="T514" s="245"/>
      <c r="U514" s="245"/>
      <c r="V514" s="245"/>
      <c r="W514" s="245"/>
      <c r="X514" s="245"/>
      <c r="Y514" s="245"/>
      <c r="Z514" s="245"/>
    </row>
    <row r="515" spans="16:26">
      <c r="P515" s="245"/>
      <c r="Q515" s="245"/>
      <c r="R515" s="245"/>
      <c r="S515" s="245"/>
      <c r="T515" s="245"/>
      <c r="U515" s="245"/>
      <c r="V515" s="245"/>
      <c r="W515" s="245"/>
      <c r="X515" s="245"/>
      <c r="Y515" s="245"/>
      <c r="Z515" s="245"/>
    </row>
    <row r="516" spans="16:26">
      <c r="P516" s="241"/>
      <c r="Q516" s="241"/>
      <c r="R516" s="241"/>
      <c r="S516" s="241"/>
      <c r="T516" s="241"/>
      <c r="U516" s="241"/>
      <c r="V516" s="241"/>
      <c r="W516" s="241"/>
      <c r="X516" s="241"/>
      <c r="Y516" s="241"/>
      <c r="Z516" s="241"/>
    </row>
    <row r="517" spans="16:26">
      <c r="P517" s="245"/>
      <c r="Q517" s="245"/>
      <c r="R517" s="245"/>
      <c r="S517" s="245"/>
      <c r="T517" s="245"/>
      <c r="U517" s="245"/>
      <c r="V517" s="245"/>
      <c r="W517" s="245"/>
      <c r="X517" s="245"/>
      <c r="Y517" s="245"/>
      <c r="Z517" s="245"/>
    </row>
    <row r="518" spans="16:26">
      <c r="P518" s="245"/>
      <c r="Q518" s="245"/>
      <c r="R518" s="245"/>
      <c r="S518" s="245"/>
      <c r="T518" s="245"/>
      <c r="U518" s="245"/>
      <c r="V518" s="245"/>
      <c r="W518" s="245"/>
      <c r="X518" s="245"/>
      <c r="Y518" s="245"/>
      <c r="Z518" s="245"/>
    </row>
    <row r="519" spans="16:26">
      <c r="P519" s="241"/>
      <c r="Q519" s="241"/>
      <c r="R519" s="241"/>
      <c r="S519" s="241"/>
      <c r="T519" s="241"/>
      <c r="U519" s="241"/>
      <c r="V519" s="241"/>
      <c r="W519" s="241"/>
      <c r="X519" s="241"/>
      <c r="Y519" s="241"/>
      <c r="Z519" s="241"/>
    </row>
    <row r="520" spans="16:26">
      <c r="P520" s="245"/>
      <c r="Q520" s="245"/>
      <c r="R520" s="245"/>
      <c r="S520" s="245"/>
      <c r="T520" s="245"/>
      <c r="U520" s="245"/>
      <c r="V520" s="245"/>
      <c r="W520" s="245"/>
      <c r="X520" s="245"/>
      <c r="Y520" s="245"/>
      <c r="Z520" s="245"/>
    </row>
    <row r="521" spans="16:26">
      <c r="P521" s="245"/>
      <c r="Q521" s="245"/>
      <c r="R521" s="245"/>
      <c r="S521" s="245"/>
      <c r="T521" s="245"/>
      <c r="U521" s="245"/>
      <c r="V521" s="245"/>
      <c r="W521" s="245"/>
      <c r="X521" s="245"/>
      <c r="Y521" s="245"/>
      <c r="Z521" s="245"/>
    </row>
    <row r="522" spans="16:26">
      <c r="P522" s="241"/>
      <c r="Q522" s="241"/>
      <c r="R522" s="241"/>
      <c r="S522" s="241"/>
      <c r="T522" s="241"/>
      <c r="U522" s="241"/>
      <c r="V522" s="241"/>
      <c r="W522" s="241"/>
      <c r="X522" s="241"/>
      <c r="Y522" s="241"/>
      <c r="Z522" s="241"/>
    </row>
    <row r="523" spans="16:26">
      <c r="P523" s="245"/>
      <c r="Q523" s="245"/>
      <c r="R523" s="245"/>
      <c r="S523" s="245"/>
      <c r="T523" s="245"/>
      <c r="U523" s="245"/>
      <c r="V523" s="245"/>
      <c r="W523" s="245"/>
      <c r="X523" s="245"/>
      <c r="Y523" s="245"/>
      <c r="Z523" s="245"/>
    </row>
    <row r="524" spans="16:26">
      <c r="P524" s="245"/>
      <c r="Q524" s="245"/>
      <c r="R524" s="245"/>
      <c r="S524" s="245"/>
      <c r="T524" s="245"/>
      <c r="U524" s="245"/>
      <c r="V524" s="245"/>
      <c r="W524" s="245"/>
      <c r="X524" s="245"/>
      <c r="Y524" s="245"/>
      <c r="Z524" s="245"/>
    </row>
    <row r="525" spans="16:26">
      <c r="P525" s="241"/>
      <c r="Q525" s="241"/>
      <c r="R525" s="241"/>
      <c r="S525" s="241"/>
      <c r="T525" s="241"/>
      <c r="U525" s="241"/>
      <c r="V525" s="241"/>
      <c r="W525" s="241"/>
      <c r="X525" s="241"/>
      <c r="Y525" s="241"/>
      <c r="Z525" s="241"/>
    </row>
    <row r="526" spans="16:26">
      <c r="P526" s="245"/>
      <c r="Q526" s="245"/>
      <c r="R526" s="245"/>
      <c r="S526" s="245"/>
      <c r="T526" s="245"/>
      <c r="U526" s="245"/>
      <c r="V526" s="245"/>
      <c r="W526" s="245"/>
      <c r="X526" s="245"/>
      <c r="Y526" s="245"/>
      <c r="Z526" s="245"/>
    </row>
    <row r="527" spans="16:26">
      <c r="P527" s="245"/>
      <c r="Q527" s="245"/>
      <c r="R527" s="245"/>
      <c r="S527" s="245"/>
      <c r="T527" s="245"/>
      <c r="U527" s="245"/>
      <c r="V527" s="245"/>
      <c r="W527" s="245"/>
      <c r="X527" s="245"/>
      <c r="Y527" s="245"/>
      <c r="Z527" s="245"/>
    </row>
    <row r="528" spans="16:26">
      <c r="P528" s="241"/>
      <c r="Q528" s="241"/>
      <c r="R528" s="241"/>
      <c r="S528" s="241"/>
      <c r="T528" s="241"/>
      <c r="U528" s="241"/>
      <c r="V528" s="241"/>
      <c r="W528" s="241"/>
      <c r="X528" s="241"/>
      <c r="Y528" s="241"/>
      <c r="Z528" s="241"/>
    </row>
    <row r="529" spans="16:26">
      <c r="P529" s="245"/>
      <c r="Q529" s="245"/>
      <c r="R529" s="245"/>
      <c r="S529" s="245"/>
      <c r="T529" s="245"/>
      <c r="U529" s="245"/>
      <c r="V529" s="245"/>
      <c r="W529" s="245"/>
      <c r="X529" s="245"/>
      <c r="Y529" s="245"/>
      <c r="Z529" s="245"/>
    </row>
    <row r="530" spans="16:26">
      <c r="P530" s="245"/>
      <c r="Q530" s="245"/>
      <c r="R530" s="245"/>
      <c r="S530" s="245"/>
      <c r="T530" s="245"/>
      <c r="U530" s="245"/>
      <c r="V530" s="245"/>
      <c r="W530" s="245"/>
      <c r="X530" s="245"/>
      <c r="Y530" s="245"/>
      <c r="Z530" s="245"/>
    </row>
    <row r="531" spans="16:26">
      <c r="P531" s="241"/>
      <c r="Q531" s="241"/>
      <c r="R531" s="241"/>
      <c r="S531" s="241"/>
      <c r="T531" s="241"/>
      <c r="U531" s="241"/>
      <c r="V531" s="241"/>
      <c r="W531" s="241"/>
      <c r="X531" s="241"/>
      <c r="Y531" s="241"/>
      <c r="Z531" s="241"/>
    </row>
    <row r="532" spans="16:26">
      <c r="P532" s="245"/>
      <c r="Q532" s="245"/>
      <c r="R532" s="245"/>
      <c r="S532" s="245"/>
      <c r="T532" s="245"/>
      <c r="U532" s="245"/>
      <c r="V532" s="245"/>
      <c r="W532" s="245"/>
      <c r="X532" s="245"/>
      <c r="Y532" s="245"/>
      <c r="Z532" s="245"/>
    </row>
    <row r="533" spans="16:26">
      <c r="P533" s="245"/>
      <c r="Q533" s="245"/>
      <c r="R533" s="245"/>
      <c r="S533" s="245"/>
      <c r="T533" s="245"/>
      <c r="U533" s="245"/>
      <c r="V533" s="245"/>
      <c r="W533" s="245"/>
      <c r="X533" s="245"/>
      <c r="Y533" s="245"/>
      <c r="Z533" s="245"/>
    </row>
    <row r="534" spans="16:26">
      <c r="P534" s="241"/>
      <c r="Q534" s="241"/>
      <c r="R534" s="241"/>
      <c r="S534" s="241"/>
      <c r="T534" s="241"/>
      <c r="U534" s="241"/>
      <c r="V534" s="241"/>
      <c r="W534" s="241"/>
      <c r="X534" s="241"/>
      <c r="Y534" s="241"/>
      <c r="Z534" s="241"/>
    </row>
    <row r="535" spans="16:26">
      <c r="P535" s="245"/>
      <c r="Q535" s="245"/>
      <c r="R535" s="245"/>
      <c r="S535" s="245"/>
      <c r="T535" s="245"/>
      <c r="U535" s="245"/>
      <c r="V535" s="245"/>
      <c r="W535" s="245"/>
      <c r="X535" s="245"/>
      <c r="Y535" s="245"/>
      <c r="Z535" s="245"/>
    </row>
    <row r="536" spans="16:26">
      <c r="P536" s="245"/>
      <c r="Q536" s="245"/>
      <c r="R536" s="245"/>
      <c r="S536" s="245"/>
      <c r="T536" s="245"/>
      <c r="U536" s="245"/>
      <c r="V536" s="245"/>
      <c r="W536" s="245"/>
      <c r="X536" s="245"/>
      <c r="Y536" s="245"/>
      <c r="Z536" s="245"/>
    </row>
    <row r="537" spans="16:26">
      <c r="P537" s="241"/>
      <c r="Q537" s="241"/>
      <c r="R537" s="241"/>
      <c r="S537" s="241"/>
      <c r="T537" s="241"/>
      <c r="U537" s="241"/>
      <c r="V537" s="241"/>
      <c r="W537" s="241"/>
      <c r="X537" s="241"/>
      <c r="Y537" s="241"/>
      <c r="Z537" s="241"/>
    </row>
    <row r="538" spans="16:26">
      <c r="P538" s="245"/>
      <c r="Q538" s="245"/>
      <c r="R538" s="245"/>
      <c r="S538" s="245"/>
      <c r="T538" s="245"/>
      <c r="U538" s="245"/>
      <c r="V538" s="245"/>
      <c r="W538" s="245"/>
      <c r="X538" s="245"/>
      <c r="Y538" s="245"/>
      <c r="Z538" s="245"/>
    </row>
    <row r="539" spans="16:26">
      <c r="P539" s="245"/>
      <c r="Q539" s="245"/>
      <c r="R539" s="245"/>
      <c r="S539" s="245"/>
      <c r="T539" s="245"/>
      <c r="U539" s="245"/>
      <c r="V539" s="245"/>
      <c r="W539" s="245"/>
      <c r="X539" s="245"/>
      <c r="Y539" s="245"/>
      <c r="Z539" s="245"/>
    </row>
    <row r="540" spans="16:26">
      <c r="P540" s="241"/>
      <c r="Q540" s="241"/>
      <c r="R540" s="241"/>
      <c r="S540" s="241"/>
      <c r="T540" s="241"/>
      <c r="U540" s="241"/>
      <c r="V540" s="241"/>
      <c r="W540" s="241"/>
      <c r="X540" s="241"/>
      <c r="Y540" s="241"/>
      <c r="Z540" s="241"/>
    </row>
    <row r="541" spans="16:26">
      <c r="P541" s="245"/>
      <c r="Q541" s="245"/>
      <c r="R541" s="245"/>
      <c r="S541" s="245"/>
      <c r="T541" s="245"/>
      <c r="U541" s="245"/>
      <c r="V541" s="245"/>
      <c r="W541" s="245"/>
      <c r="X541" s="245"/>
      <c r="Y541" s="245"/>
      <c r="Z541" s="245"/>
    </row>
    <row r="542" spans="16:26">
      <c r="P542" s="245"/>
      <c r="Q542" s="245"/>
      <c r="R542" s="245"/>
      <c r="S542" s="245"/>
      <c r="T542" s="245"/>
      <c r="U542" s="245"/>
      <c r="V542" s="245"/>
      <c r="W542" s="245"/>
      <c r="X542" s="245"/>
      <c r="Y542" s="245"/>
      <c r="Z542" s="245"/>
    </row>
    <row r="543" spans="16:26">
      <c r="P543" s="241"/>
      <c r="Q543" s="241"/>
      <c r="R543" s="241"/>
      <c r="S543" s="241"/>
      <c r="T543" s="241"/>
      <c r="U543" s="241"/>
      <c r="V543" s="241"/>
      <c r="W543" s="241"/>
      <c r="X543" s="241"/>
      <c r="Y543" s="241"/>
      <c r="Z543" s="241"/>
    </row>
    <row r="544" spans="16:26">
      <c r="P544" s="245"/>
      <c r="Q544" s="245"/>
      <c r="R544" s="245"/>
      <c r="S544" s="245"/>
      <c r="T544" s="245"/>
      <c r="U544" s="245"/>
      <c r="V544" s="245"/>
      <c r="W544" s="245"/>
      <c r="X544" s="245"/>
      <c r="Y544" s="245"/>
      <c r="Z544" s="245"/>
    </row>
    <row r="545" spans="16:26">
      <c r="P545" s="245"/>
      <c r="Q545" s="245"/>
      <c r="R545" s="245"/>
      <c r="S545" s="245"/>
      <c r="T545" s="245"/>
      <c r="U545" s="245"/>
      <c r="V545" s="245"/>
      <c r="W545" s="245"/>
      <c r="X545" s="245"/>
      <c r="Y545" s="245"/>
      <c r="Z545" s="245"/>
    </row>
    <row r="546" spans="16:26">
      <c r="P546" s="241"/>
      <c r="Q546" s="241"/>
      <c r="R546" s="241"/>
      <c r="S546" s="241"/>
      <c r="T546" s="241"/>
      <c r="U546" s="241"/>
      <c r="V546" s="241"/>
      <c r="W546" s="241"/>
      <c r="X546" s="241"/>
      <c r="Y546" s="241"/>
      <c r="Z546" s="241"/>
    </row>
    <row r="547" spans="16:26">
      <c r="P547" s="245"/>
      <c r="Q547" s="245"/>
      <c r="R547" s="245"/>
      <c r="S547" s="245"/>
      <c r="T547" s="245"/>
      <c r="U547" s="245"/>
      <c r="V547" s="245"/>
      <c r="W547" s="245"/>
      <c r="X547" s="245"/>
      <c r="Y547" s="245"/>
      <c r="Z547" s="245"/>
    </row>
    <row r="548" spans="16:26">
      <c r="P548" s="245"/>
      <c r="Q548" s="245"/>
      <c r="R548" s="245"/>
      <c r="S548" s="245"/>
      <c r="T548" s="245"/>
      <c r="U548" s="245"/>
      <c r="V548" s="245"/>
      <c r="W548" s="245"/>
      <c r="X548" s="245"/>
      <c r="Y548" s="245"/>
      <c r="Z548" s="245"/>
    </row>
    <row r="549" spans="16:26">
      <c r="P549" s="241"/>
      <c r="Q549" s="241"/>
      <c r="R549" s="241"/>
      <c r="S549" s="241"/>
      <c r="T549" s="241"/>
      <c r="U549" s="241"/>
      <c r="V549" s="241"/>
      <c r="W549" s="241"/>
      <c r="X549" s="241"/>
      <c r="Y549" s="241"/>
      <c r="Z549" s="241"/>
    </row>
    <row r="550" spans="16:26">
      <c r="P550" s="245"/>
      <c r="Q550" s="245"/>
      <c r="R550" s="245"/>
      <c r="S550" s="245"/>
      <c r="T550" s="245"/>
      <c r="U550" s="245"/>
      <c r="V550" s="245"/>
      <c r="W550" s="245"/>
      <c r="X550" s="245"/>
      <c r="Y550" s="245"/>
      <c r="Z550" s="245"/>
    </row>
    <row r="551" spans="16:26">
      <c r="P551" s="245"/>
      <c r="Q551" s="245"/>
      <c r="R551" s="245"/>
      <c r="S551" s="245"/>
      <c r="T551" s="245"/>
      <c r="U551" s="245"/>
      <c r="V551" s="245"/>
      <c r="W551" s="245"/>
      <c r="X551" s="245"/>
      <c r="Y551" s="245"/>
      <c r="Z551" s="245"/>
    </row>
    <row r="552" spans="16:26">
      <c r="P552" s="241"/>
      <c r="Q552" s="241"/>
      <c r="R552" s="241"/>
      <c r="S552" s="241"/>
      <c r="T552" s="241"/>
      <c r="U552" s="241"/>
      <c r="V552" s="241"/>
      <c r="W552" s="241"/>
      <c r="X552" s="241"/>
      <c r="Y552" s="241"/>
      <c r="Z552" s="241"/>
    </row>
    <row r="553" spans="16:26">
      <c r="P553" s="245"/>
      <c r="Q553" s="245"/>
      <c r="R553" s="245"/>
      <c r="S553" s="245"/>
      <c r="T553" s="245"/>
      <c r="U553" s="245"/>
      <c r="V553" s="245"/>
      <c r="W553" s="245"/>
      <c r="X553" s="245"/>
      <c r="Y553" s="245"/>
      <c r="Z553" s="245"/>
    </row>
    <row r="554" spans="16:26">
      <c r="P554" s="245"/>
      <c r="Q554" s="245"/>
      <c r="R554" s="245"/>
      <c r="S554" s="245"/>
      <c r="T554" s="245"/>
      <c r="U554" s="245"/>
      <c r="V554" s="245"/>
      <c r="W554" s="245"/>
      <c r="X554" s="245"/>
      <c r="Y554" s="245"/>
      <c r="Z554" s="245"/>
    </row>
    <row r="555" spans="16:26">
      <c r="P555" s="241"/>
      <c r="Q555" s="241"/>
      <c r="R555" s="241"/>
      <c r="S555" s="241"/>
      <c r="T555" s="241"/>
      <c r="U555" s="241"/>
      <c r="V555" s="241"/>
      <c r="W555" s="241"/>
      <c r="X555" s="241"/>
      <c r="Y555" s="241"/>
      <c r="Z555" s="241"/>
    </row>
    <row r="556" spans="16:26">
      <c r="P556" s="245"/>
      <c r="Q556" s="245"/>
      <c r="R556" s="245"/>
      <c r="S556" s="245"/>
      <c r="T556" s="245"/>
      <c r="U556" s="245"/>
      <c r="V556" s="245"/>
      <c r="W556" s="245"/>
      <c r="X556" s="245"/>
      <c r="Y556" s="245"/>
      <c r="Z556" s="245"/>
    </row>
    <row r="557" spans="16:26">
      <c r="P557" s="245"/>
      <c r="Q557" s="245"/>
      <c r="R557" s="245"/>
      <c r="S557" s="245"/>
      <c r="T557" s="245"/>
      <c r="U557" s="245"/>
      <c r="V557" s="245"/>
      <c r="W557" s="245"/>
      <c r="X557" s="245"/>
      <c r="Y557" s="245"/>
      <c r="Z557" s="245"/>
    </row>
    <row r="558" spans="16:26">
      <c r="P558" s="241"/>
      <c r="Q558" s="241"/>
      <c r="R558" s="241"/>
      <c r="S558" s="241"/>
      <c r="T558" s="241"/>
      <c r="U558" s="241"/>
      <c r="V558" s="241"/>
      <c r="W558" s="241"/>
      <c r="X558" s="241"/>
      <c r="Y558" s="241"/>
      <c r="Z558" s="241"/>
    </row>
    <row r="559" spans="16:26">
      <c r="P559" s="245"/>
      <c r="Q559" s="245"/>
      <c r="R559" s="245"/>
      <c r="S559" s="245"/>
      <c r="T559" s="245"/>
      <c r="U559" s="245"/>
      <c r="V559" s="245"/>
      <c r="W559" s="245"/>
      <c r="X559" s="245"/>
      <c r="Y559" s="245"/>
      <c r="Z559" s="245"/>
    </row>
    <row r="560" spans="16:26">
      <c r="P560" s="245"/>
      <c r="Q560" s="245"/>
      <c r="R560" s="245"/>
      <c r="S560" s="245"/>
      <c r="T560" s="245"/>
      <c r="U560" s="245"/>
      <c r="V560" s="245"/>
      <c r="W560" s="245"/>
      <c r="X560" s="245"/>
      <c r="Y560" s="245"/>
      <c r="Z560" s="245"/>
    </row>
    <row r="561" spans="16:26">
      <c r="P561" s="241"/>
      <c r="Q561" s="241"/>
      <c r="R561" s="241"/>
      <c r="S561" s="241"/>
      <c r="T561" s="241"/>
      <c r="U561" s="241"/>
      <c r="V561" s="241"/>
      <c r="W561" s="241"/>
      <c r="X561" s="241"/>
      <c r="Y561" s="241"/>
      <c r="Z561" s="241"/>
    </row>
    <row r="562" spans="16:26">
      <c r="P562" s="245"/>
      <c r="Q562" s="245"/>
      <c r="R562" s="245"/>
      <c r="S562" s="245"/>
      <c r="T562" s="245"/>
      <c r="U562" s="245"/>
      <c r="V562" s="245"/>
      <c r="W562" s="245"/>
      <c r="X562" s="245"/>
      <c r="Y562" s="245"/>
      <c r="Z562" s="245"/>
    </row>
    <row r="563" spans="16:26">
      <c r="P563" s="245"/>
      <c r="Q563" s="245"/>
      <c r="R563" s="245"/>
      <c r="S563" s="245"/>
      <c r="T563" s="245"/>
      <c r="U563" s="245"/>
      <c r="V563" s="245"/>
      <c r="W563" s="245"/>
      <c r="X563" s="245"/>
      <c r="Y563" s="245"/>
      <c r="Z563" s="245"/>
    </row>
    <row r="564" spans="16:26">
      <c r="P564" s="241"/>
      <c r="Q564" s="241"/>
      <c r="R564" s="241"/>
      <c r="S564" s="241"/>
      <c r="T564" s="241"/>
      <c r="U564" s="241"/>
      <c r="V564" s="241"/>
      <c r="W564" s="241"/>
      <c r="X564" s="241"/>
      <c r="Y564" s="241"/>
      <c r="Z564" s="241"/>
    </row>
    <row r="565" spans="16:26">
      <c r="P565" s="245"/>
      <c r="Q565" s="245"/>
      <c r="R565" s="245"/>
      <c r="S565" s="245"/>
      <c r="T565" s="245"/>
      <c r="U565" s="245"/>
      <c r="V565" s="245"/>
      <c r="W565" s="245"/>
      <c r="X565" s="245"/>
      <c r="Y565" s="245"/>
      <c r="Z565" s="245"/>
    </row>
    <row r="566" spans="16:26">
      <c r="P566" s="245"/>
      <c r="Q566" s="245"/>
      <c r="R566" s="245"/>
      <c r="S566" s="245"/>
      <c r="T566" s="245"/>
      <c r="U566" s="245"/>
      <c r="V566" s="245"/>
      <c r="W566" s="245"/>
      <c r="X566" s="245"/>
      <c r="Y566" s="245"/>
      <c r="Z566" s="245"/>
    </row>
    <row r="567" spans="16:26">
      <c r="P567" s="241"/>
      <c r="Q567" s="241"/>
      <c r="R567" s="241"/>
      <c r="S567" s="241"/>
      <c r="T567" s="241"/>
      <c r="U567" s="241"/>
      <c r="V567" s="241"/>
      <c r="W567" s="241"/>
      <c r="X567" s="241"/>
      <c r="Y567" s="241"/>
      <c r="Z567" s="241"/>
    </row>
    <row r="568" spans="16:26">
      <c r="P568" s="245"/>
      <c r="Q568" s="245"/>
      <c r="R568" s="245"/>
      <c r="S568" s="245"/>
      <c r="T568" s="245"/>
      <c r="U568" s="245"/>
      <c r="V568" s="245"/>
      <c r="W568" s="245"/>
      <c r="X568" s="245"/>
      <c r="Y568" s="245"/>
      <c r="Z568" s="245"/>
    </row>
    <row r="569" spans="16:26">
      <c r="P569" s="245"/>
      <c r="Q569" s="245"/>
      <c r="R569" s="245"/>
      <c r="S569" s="245"/>
      <c r="T569" s="245"/>
      <c r="U569" s="245"/>
      <c r="V569" s="245"/>
      <c r="W569" s="245"/>
      <c r="X569" s="245"/>
      <c r="Y569" s="245"/>
      <c r="Z569" s="245"/>
    </row>
    <row r="570" spans="16:26">
      <c r="P570" s="241"/>
      <c r="Q570" s="241"/>
      <c r="R570" s="241"/>
      <c r="S570" s="241"/>
      <c r="T570" s="241"/>
      <c r="U570" s="241"/>
      <c r="V570" s="241"/>
      <c r="W570" s="241"/>
      <c r="X570" s="241"/>
      <c r="Y570" s="241"/>
      <c r="Z570" s="241"/>
    </row>
    <row r="571" spans="16:26">
      <c r="P571" s="245"/>
      <c r="Q571" s="245"/>
      <c r="R571" s="245"/>
      <c r="S571" s="245"/>
      <c r="T571" s="245"/>
      <c r="U571" s="245"/>
      <c r="V571" s="245"/>
      <c r="W571" s="245"/>
      <c r="X571" s="245"/>
      <c r="Y571" s="245"/>
      <c r="Z571" s="245"/>
    </row>
    <row r="572" spans="16:26">
      <c r="P572" s="245"/>
      <c r="Q572" s="245"/>
      <c r="R572" s="245"/>
      <c r="S572" s="245"/>
      <c r="T572" s="245"/>
      <c r="U572" s="245"/>
      <c r="V572" s="245"/>
      <c r="W572" s="245"/>
      <c r="X572" s="245"/>
      <c r="Y572" s="245"/>
      <c r="Z572" s="245"/>
    </row>
    <row r="573" spans="16:26">
      <c r="P573" s="241"/>
      <c r="Q573" s="241"/>
      <c r="R573" s="241"/>
      <c r="S573" s="241"/>
      <c r="T573" s="241"/>
      <c r="U573" s="241"/>
      <c r="V573" s="241"/>
      <c r="W573" s="241"/>
      <c r="X573" s="241"/>
      <c r="Y573" s="241"/>
      <c r="Z573" s="241"/>
    </row>
    <row r="574" spans="16:26">
      <c r="P574" s="245"/>
      <c r="Q574" s="245"/>
      <c r="R574" s="245"/>
      <c r="S574" s="245"/>
      <c r="T574" s="245"/>
      <c r="U574" s="245"/>
      <c r="V574" s="245"/>
      <c r="W574" s="245"/>
      <c r="X574" s="245"/>
      <c r="Y574" s="245"/>
      <c r="Z574" s="245"/>
    </row>
    <row r="575" spans="16:26">
      <c r="P575" s="245"/>
      <c r="Q575" s="245"/>
      <c r="R575" s="245"/>
      <c r="S575" s="245"/>
      <c r="T575" s="245"/>
      <c r="U575" s="245"/>
      <c r="V575" s="245"/>
      <c r="W575" s="245"/>
      <c r="X575" s="245"/>
      <c r="Y575" s="245"/>
      <c r="Z575" s="245"/>
    </row>
    <row r="576" spans="16:26">
      <c r="P576" s="241"/>
      <c r="Q576" s="241"/>
      <c r="R576" s="241"/>
      <c r="S576" s="241"/>
      <c r="T576" s="241"/>
      <c r="U576" s="241"/>
      <c r="V576" s="241"/>
      <c r="W576" s="241"/>
      <c r="X576" s="241"/>
      <c r="Y576" s="241"/>
      <c r="Z576" s="241"/>
    </row>
    <row r="577" spans="16:26">
      <c r="P577" s="245"/>
      <c r="Q577" s="245"/>
      <c r="R577" s="245"/>
      <c r="S577" s="245"/>
      <c r="T577" s="245"/>
      <c r="U577" s="245"/>
      <c r="V577" s="245"/>
      <c r="W577" s="245"/>
      <c r="X577" s="245"/>
      <c r="Y577" s="245"/>
      <c r="Z577" s="245"/>
    </row>
    <row r="578" spans="16:26">
      <c r="P578" s="245"/>
      <c r="Q578" s="245"/>
      <c r="R578" s="245"/>
      <c r="S578" s="245"/>
      <c r="T578" s="245"/>
      <c r="U578" s="245"/>
      <c r="V578" s="245"/>
      <c r="W578" s="245"/>
      <c r="X578" s="245"/>
      <c r="Y578" s="245"/>
      <c r="Z578" s="245"/>
    </row>
    <row r="579" spans="16:26">
      <c r="P579" s="241"/>
      <c r="Q579" s="241"/>
      <c r="R579" s="241"/>
      <c r="S579" s="241"/>
      <c r="T579" s="241"/>
      <c r="U579" s="241"/>
      <c r="V579" s="241"/>
      <c r="W579" s="241"/>
      <c r="X579" s="241"/>
      <c r="Y579" s="241"/>
      <c r="Z579" s="241"/>
    </row>
    <row r="580" spans="16:26">
      <c r="P580" s="245"/>
      <c r="Q580" s="245"/>
      <c r="R580" s="245"/>
      <c r="S580" s="245"/>
      <c r="T580" s="245"/>
      <c r="U580" s="245"/>
      <c r="V580" s="245"/>
      <c r="W580" s="245"/>
      <c r="X580" s="245"/>
      <c r="Y580" s="245"/>
      <c r="Z580" s="245"/>
    </row>
    <row r="581" spans="16:26">
      <c r="P581" s="245"/>
      <c r="Q581" s="245"/>
      <c r="R581" s="245"/>
      <c r="S581" s="245"/>
      <c r="T581" s="245"/>
      <c r="U581" s="245"/>
      <c r="V581" s="245"/>
      <c r="W581" s="245"/>
      <c r="X581" s="245"/>
      <c r="Y581" s="245"/>
      <c r="Z581" s="245"/>
    </row>
    <row r="582" spans="16:26">
      <c r="P582" s="241"/>
      <c r="Q582" s="241"/>
      <c r="R582" s="241"/>
      <c r="S582" s="241"/>
      <c r="T582" s="241"/>
      <c r="U582" s="241"/>
      <c r="V582" s="241"/>
      <c r="W582" s="241"/>
      <c r="X582" s="241"/>
      <c r="Y582" s="241"/>
      <c r="Z582" s="241"/>
    </row>
    <row r="583" spans="16:26">
      <c r="P583" s="245"/>
      <c r="Q583" s="245"/>
      <c r="R583" s="245"/>
      <c r="S583" s="245"/>
      <c r="T583" s="245"/>
      <c r="U583" s="245"/>
      <c r="V583" s="245"/>
      <c r="W583" s="245"/>
      <c r="X583" s="245"/>
      <c r="Y583" s="245"/>
      <c r="Z583" s="245"/>
    </row>
    <row r="584" spans="16:26">
      <c r="P584" s="245"/>
      <c r="Q584" s="245"/>
      <c r="R584" s="245"/>
      <c r="S584" s="245"/>
      <c r="T584" s="245"/>
      <c r="U584" s="245"/>
      <c r="V584" s="245"/>
      <c r="W584" s="245"/>
      <c r="X584" s="245"/>
      <c r="Y584" s="245"/>
      <c r="Z584" s="245"/>
    </row>
    <row r="585" spans="16:26">
      <c r="P585" s="241"/>
      <c r="Q585" s="241"/>
      <c r="R585" s="241"/>
      <c r="S585" s="241"/>
      <c r="T585" s="241"/>
      <c r="U585" s="241"/>
      <c r="V585" s="241"/>
      <c r="W585" s="241"/>
      <c r="X585" s="241"/>
      <c r="Y585" s="241"/>
      <c r="Z585" s="241"/>
    </row>
    <row r="586" spans="16:26">
      <c r="P586" s="245"/>
      <c r="Q586" s="245"/>
      <c r="R586" s="245"/>
      <c r="S586" s="245"/>
      <c r="T586" s="245"/>
      <c r="U586" s="245"/>
      <c r="V586" s="245"/>
      <c r="W586" s="245"/>
      <c r="X586" s="245"/>
      <c r="Y586" s="245"/>
      <c r="Z586" s="245"/>
    </row>
    <row r="587" spans="16:26">
      <c r="P587" s="245"/>
      <c r="Q587" s="245"/>
      <c r="R587" s="245"/>
      <c r="S587" s="245"/>
      <c r="T587" s="245"/>
      <c r="U587" s="245"/>
      <c r="V587" s="245"/>
      <c r="W587" s="245"/>
      <c r="X587" s="245"/>
      <c r="Y587" s="245"/>
      <c r="Z587" s="245"/>
    </row>
    <row r="588" spans="16:26">
      <c r="P588" s="241"/>
      <c r="Q588" s="241"/>
      <c r="R588" s="241"/>
      <c r="S588" s="241"/>
      <c r="T588" s="241"/>
      <c r="U588" s="241"/>
      <c r="V588" s="241"/>
      <c r="W588" s="241"/>
      <c r="X588" s="241"/>
      <c r="Y588" s="241"/>
      <c r="Z588" s="241"/>
    </row>
    <row r="589" spans="16:26">
      <c r="P589" s="245"/>
      <c r="Q589" s="245"/>
      <c r="R589" s="245"/>
      <c r="S589" s="245"/>
      <c r="T589" s="245"/>
      <c r="U589" s="245"/>
      <c r="V589" s="245"/>
      <c r="W589" s="245"/>
      <c r="X589" s="245"/>
      <c r="Y589" s="245"/>
      <c r="Z589" s="245"/>
    </row>
    <row r="590" spans="16:26">
      <c r="P590" s="245"/>
      <c r="Q590" s="245"/>
      <c r="R590" s="245"/>
      <c r="S590" s="245"/>
      <c r="T590" s="245"/>
      <c r="U590" s="245"/>
      <c r="V590" s="245"/>
      <c r="W590" s="245"/>
      <c r="X590" s="245"/>
      <c r="Y590" s="245"/>
      <c r="Z590" s="245"/>
    </row>
    <row r="591" spans="16:26">
      <c r="P591" s="241"/>
      <c r="Q591" s="241"/>
      <c r="R591" s="241"/>
      <c r="S591" s="241"/>
      <c r="T591" s="241"/>
      <c r="U591" s="241"/>
      <c r="V591" s="241"/>
      <c r="W591" s="241"/>
      <c r="X591" s="241"/>
      <c r="Y591" s="241"/>
      <c r="Z591" s="241"/>
    </row>
    <row r="592" spans="16:26">
      <c r="P592" s="245"/>
      <c r="Q592" s="245"/>
      <c r="R592" s="245"/>
      <c r="S592" s="245"/>
      <c r="T592" s="245"/>
      <c r="U592" s="245"/>
      <c r="V592" s="245"/>
      <c r="W592" s="245"/>
      <c r="X592" s="245"/>
      <c r="Y592" s="245"/>
      <c r="Z592" s="245"/>
    </row>
    <row r="593" spans="16:26">
      <c r="P593" s="245"/>
      <c r="Q593" s="245"/>
      <c r="R593" s="245"/>
      <c r="S593" s="245"/>
      <c r="T593" s="245"/>
      <c r="U593" s="245"/>
      <c r="V593" s="245"/>
      <c r="W593" s="245"/>
      <c r="X593" s="245"/>
      <c r="Y593" s="245"/>
      <c r="Z593" s="245"/>
    </row>
    <row r="594" spans="16:26">
      <c r="P594" s="241"/>
      <c r="Q594" s="241"/>
      <c r="R594" s="241"/>
      <c r="S594" s="241"/>
      <c r="T594" s="241"/>
      <c r="U594" s="241"/>
      <c r="V594" s="241"/>
      <c r="W594" s="241"/>
      <c r="X594" s="241"/>
      <c r="Y594" s="241"/>
      <c r="Z594" s="241"/>
    </row>
    <row r="595" spans="16:26">
      <c r="P595" s="245"/>
      <c r="Q595" s="245"/>
      <c r="R595" s="245"/>
      <c r="S595" s="245"/>
      <c r="T595" s="245"/>
      <c r="U595" s="245"/>
      <c r="V595" s="245"/>
      <c r="W595" s="245"/>
      <c r="X595" s="245"/>
      <c r="Y595" s="245"/>
      <c r="Z595" s="245"/>
    </row>
    <row r="596" spans="16:26">
      <c r="P596" s="245"/>
      <c r="Q596" s="245"/>
      <c r="R596" s="245"/>
      <c r="S596" s="245"/>
      <c r="T596" s="245"/>
      <c r="U596" s="245"/>
      <c r="V596" s="245"/>
      <c r="W596" s="245"/>
      <c r="X596" s="245"/>
      <c r="Y596" s="245"/>
      <c r="Z596" s="245"/>
    </row>
    <row r="597" spans="16:26">
      <c r="P597" s="241"/>
      <c r="Q597" s="241"/>
      <c r="R597" s="241"/>
      <c r="S597" s="241"/>
      <c r="T597" s="241"/>
      <c r="U597" s="241"/>
      <c r="V597" s="241"/>
      <c r="W597" s="241"/>
      <c r="X597" s="241"/>
      <c r="Y597" s="241"/>
      <c r="Z597" s="241"/>
    </row>
    <row r="598" spans="16:26">
      <c r="P598" s="245"/>
      <c r="Q598" s="245"/>
      <c r="R598" s="245"/>
      <c r="S598" s="245"/>
      <c r="T598" s="245"/>
      <c r="U598" s="245"/>
      <c r="V598" s="245"/>
      <c r="W598" s="245"/>
      <c r="X598" s="245"/>
      <c r="Y598" s="245"/>
      <c r="Z598" s="245"/>
    </row>
    <row r="599" spans="16:26">
      <c r="P599" s="245"/>
      <c r="Q599" s="245"/>
      <c r="R599" s="245"/>
      <c r="S599" s="245"/>
      <c r="T599" s="245"/>
      <c r="U599" s="245"/>
      <c r="V599" s="245"/>
      <c r="W599" s="245"/>
      <c r="X599" s="245"/>
      <c r="Y599" s="245"/>
      <c r="Z599" s="245"/>
    </row>
    <row r="600" spans="16:26">
      <c r="P600" s="241"/>
      <c r="Q600" s="241"/>
      <c r="R600" s="241"/>
      <c r="S600" s="241"/>
      <c r="T600" s="241"/>
      <c r="U600" s="241"/>
      <c r="V600" s="241"/>
      <c r="W600" s="241"/>
      <c r="X600" s="241"/>
      <c r="Y600" s="241"/>
      <c r="Z600" s="241"/>
    </row>
    <row r="601" spans="16:26">
      <c r="P601" s="245"/>
      <c r="Q601" s="245"/>
      <c r="R601" s="245"/>
      <c r="S601" s="245"/>
      <c r="T601" s="245"/>
      <c r="U601" s="245"/>
      <c r="V601" s="245"/>
      <c r="W601" s="245"/>
      <c r="X601" s="245"/>
      <c r="Y601" s="245"/>
      <c r="Z601" s="245"/>
    </row>
    <row r="602" spans="16:26">
      <c r="P602" s="245"/>
      <c r="Q602" s="245"/>
      <c r="R602" s="245"/>
      <c r="S602" s="245"/>
      <c r="T602" s="245"/>
      <c r="U602" s="245"/>
      <c r="V602" s="245"/>
      <c r="W602" s="245"/>
      <c r="X602" s="245"/>
      <c r="Y602" s="245"/>
      <c r="Z602" s="245"/>
    </row>
    <row r="603" spans="16:26">
      <c r="P603" s="241"/>
      <c r="Q603" s="241"/>
      <c r="R603" s="241"/>
      <c r="S603" s="241"/>
      <c r="T603" s="241"/>
      <c r="U603" s="241"/>
      <c r="V603" s="241"/>
      <c r="W603" s="241"/>
      <c r="X603" s="241"/>
      <c r="Y603" s="241"/>
      <c r="Z603" s="241"/>
    </row>
    <row r="604" spans="16:26">
      <c r="P604" s="245"/>
      <c r="Q604" s="245"/>
      <c r="R604" s="245"/>
      <c r="S604" s="245"/>
      <c r="T604" s="245"/>
      <c r="U604" s="245"/>
      <c r="V604" s="245"/>
      <c r="W604" s="245"/>
      <c r="X604" s="245"/>
      <c r="Y604" s="245"/>
      <c r="Z604" s="245"/>
    </row>
    <row r="605" spans="16:26">
      <c r="P605" s="245"/>
      <c r="Q605" s="245"/>
      <c r="R605" s="245"/>
      <c r="S605" s="245"/>
      <c r="T605" s="245"/>
      <c r="U605" s="245"/>
      <c r="V605" s="245"/>
      <c r="W605" s="245"/>
      <c r="X605" s="245"/>
      <c r="Y605" s="245"/>
      <c r="Z605" s="245"/>
    </row>
    <row r="606" spans="16:26">
      <c r="P606" s="241"/>
      <c r="Q606" s="241"/>
      <c r="R606" s="241"/>
      <c r="S606" s="241"/>
      <c r="T606" s="241"/>
      <c r="U606" s="241"/>
      <c r="V606" s="241"/>
      <c r="W606" s="241"/>
      <c r="X606" s="241"/>
      <c r="Y606" s="241"/>
      <c r="Z606" s="241"/>
    </row>
    <row r="607" spans="16:26">
      <c r="P607" s="245"/>
      <c r="Q607" s="245"/>
      <c r="R607" s="245"/>
      <c r="S607" s="245"/>
      <c r="T607" s="245"/>
      <c r="U607" s="245"/>
      <c r="V607" s="245"/>
      <c r="W607" s="245"/>
      <c r="X607" s="245"/>
      <c r="Y607" s="245"/>
      <c r="Z607" s="245"/>
    </row>
    <row r="608" spans="16:26">
      <c r="P608" s="245"/>
      <c r="Q608" s="245"/>
      <c r="R608" s="245"/>
      <c r="S608" s="245"/>
      <c r="T608" s="245"/>
      <c r="U608" s="245"/>
      <c r="V608" s="245"/>
      <c r="W608" s="245"/>
      <c r="X608" s="245"/>
      <c r="Y608" s="245"/>
      <c r="Z608" s="245"/>
    </row>
    <row r="609" spans="16:26">
      <c r="P609" s="241"/>
      <c r="Q609" s="241"/>
      <c r="R609" s="241"/>
      <c r="S609" s="241"/>
      <c r="T609" s="241"/>
      <c r="U609" s="241"/>
      <c r="V609" s="241"/>
      <c r="W609" s="241"/>
      <c r="X609" s="241"/>
      <c r="Y609" s="241"/>
      <c r="Z609" s="241"/>
    </row>
    <row r="610" spans="16:26">
      <c r="P610" s="245"/>
      <c r="Q610" s="245"/>
      <c r="R610" s="245"/>
      <c r="S610" s="245"/>
      <c r="T610" s="245"/>
      <c r="U610" s="245"/>
      <c r="V610" s="245"/>
      <c r="W610" s="245"/>
      <c r="X610" s="245"/>
      <c r="Y610" s="245"/>
      <c r="Z610" s="245"/>
    </row>
    <row r="611" spans="16:26">
      <c r="P611" s="245"/>
      <c r="Q611" s="245"/>
      <c r="R611" s="245"/>
      <c r="S611" s="245"/>
      <c r="T611" s="245"/>
      <c r="U611" s="245"/>
      <c r="V611" s="245"/>
      <c r="W611" s="245"/>
      <c r="X611" s="245"/>
      <c r="Y611" s="245"/>
      <c r="Z611" s="245"/>
    </row>
    <row r="612" spans="16:26">
      <c r="P612" s="241"/>
      <c r="Q612" s="241"/>
      <c r="R612" s="241"/>
      <c r="S612" s="241"/>
      <c r="T612" s="241"/>
      <c r="U612" s="241"/>
      <c r="V612" s="241"/>
      <c r="W612" s="241"/>
      <c r="X612" s="241"/>
      <c r="Y612" s="241"/>
      <c r="Z612" s="241"/>
    </row>
    <row r="613" spans="16:26">
      <c r="P613" s="245"/>
      <c r="Q613" s="245"/>
      <c r="R613" s="245"/>
      <c r="S613" s="245"/>
      <c r="T613" s="245"/>
      <c r="U613" s="245"/>
      <c r="V613" s="245"/>
      <c r="W613" s="245"/>
      <c r="X613" s="245"/>
      <c r="Y613" s="245"/>
      <c r="Z613" s="245"/>
    </row>
    <row r="614" spans="16:26">
      <c r="P614" s="245"/>
      <c r="Q614" s="245"/>
      <c r="R614" s="245"/>
      <c r="S614" s="245"/>
      <c r="T614" s="245"/>
      <c r="U614" s="245"/>
      <c r="V614" s="245"/>
      <c r="W614" s="245"/>
      <c r="X614" s="245"/>
      <c r="Y614" s="245"/>
      <c r="Z614" s="245"/>
    </row>
    <row r="615" spans="16:26">
      <c r="P615" s="241"/>
      <c r="Q615" s="241"/>
      <c r="R615" s="241"/>
      <c r="S615" s="241"/>
      <c r="T615" s="241"/>
      <c r="U615" s="241"/>
      <c r="V615" s="241"/>
      <c r="W615" s="241"/>
      <c r="X615" s="241"/>
      <c r="Y615" s="241"/>
      <c r="Z615" s="241"/>
    </row>
    <row r="616" spans="16:26">
      <c r="P616" s="245"/>
      <c r="Q616" s="245"/>
      <c r="R616" s="245"/>
      <c r="S616" s="245"/>
      <c r="T616" s="245"/>
      <c r="U616" s="245"/>
      <c r="V616" s="245"/>
      <c r="W616" s="245"/>
      <c r="X616" s="245"/>
      <c r="Y616" s="245"/>
      <c r="Z616" s="245"/>
    </row>
    <row r="617" spans="16:26">
      <c r="P617" s="245"/>
      <c r="Q617" s="245"/>
      <c r="R617" s="245"/>
      <c r="S617" s="245"/>
      <c r="T617" s="245"/>
      <c r="U617" s="245"/>
      <c r="V617" s="245"/>
      <c r="W617" s="245"/>
      <c r="X617" s="245"/>
      <c r="Y617" s="245"/>
      <c r="Z617" s="245"/>
    </row>
    <row r="618" spans="16:26">
      <c r="P618" s="241"/>
      <c r="Q618" s="241"/>
      <c r="R618" s="241"/>
      <c r="S618" s="241"/>
      <c r="T618" s="241"/>
      <c r="U618" s="241"/>
      <c r="V618" s="241"/>
      <c r="W618" s="241"/>
      <c r="X618" s="241"/>
      <c r="Y618" s="241"/>
      <c r="Z618" s="241"/>
    </row>
    <row r="619" spans="16:26">
      <c r="P619" s="245"/>
      <c r="Q619" s="245"/>
      <c r="R619" s="245"/>
      <c r="S619" s="245"/>
      <c r="T619" s="245"/>
      <c r="U619" s="245"/>
      <c r="V619" s="245"/>
      <c r="W619" s="245"/>
      <c r="X619" s="245"/>
      <c r="Y619" s="245"/>
      <c r="Z619" s="245"/>
    </row>
    <row r="620" spans="16:26">
      <c r="P620" s="245"/>
      <c r="Q620" s="245"/>
      <c r="R620" s="245"/>
      <c r="S620" s="245"/>
      <c r="T620" s="245"/>
      <c r="U620" s="245"/>
      <c r="V620" s="245"/>
      <c r="W620" s="245"/>
      <c r="X620" s="245"/>
      <c r="Y620" s="245"/>
      <c r="Z620" s="245"/>
    </row>
    <row r="621" spans="16:26">
      <c r="P621" s="241"/>
      <c r="Q621" s="241"/>
      <c r="R621" s="241"/>
      <c r="S621" s="241"/>
      <c r="T621" s="241"/>
      <c r="U621" s="241"/>
      <c r="V621" s="241"/>
      <c r="W621" s="241"/>
      <c r="X621" s="241"/>
      <c r="Y621" s="241"/>
      <c r="Z621" s="241"/>
    </row>
    <row r="622" spans="16:26">
      <c r="P622" s="245"/>
      <c r="Q622" s="245"/>
      <c r="R622" s="245"/>
      <c r="S622" s="245"/>
      <c r="T622" s="245"/>
      <c r="U622" s="245"/>
      <c r="V622" s="245"/>
      <c r="W622" s="245"/>
      <c r="X622" s="245"/>
      <c r="Y622" s="245"/>
      <c r="Z622" s="245"/>
    </row>
    <row r="623" spans="16:26">
      <c r="P623" s="245"/>
      <c r="Q623" s="245"/>
      <c r="R623" s="245"/>
      <c r="S623" s="245"/>
      <c r="T623" s="245"/>
      <c r="U623" s="245"/>
      <c r="V623" s="245"/>
      <c r="W623" s="245"/>
      <c r="X623" s="245"/>
      <c r="Y623" s="245"/>
      <c r="Z623" s="245"/>
    </row>
    <row r="624" spans="16:26">
      <c r="P624" s="241"/>
      <c r="Q624" s="241"/>
      <c r="R624" s="241"/>
      <c r="S624" s="241"/>
      <c r="T624" s="241"/>
      <c r="U624" s="241"/>
      <c r="V624" s="241"/>
      <c r="W624" s="241"/>
      <c r="X624" s="241"/>
      <c r="Y624" s="241"/>
      <c r="Z624" s="241"/>
    </row>
    <row r="625" spans="16:26">
      <c r="P625" s="245"/>
      <c r="Q625" s="245"/>
      <c r="R625" s="245"/>
      <c r="S625" s="245"/>
      <c r="T625" s="245"/>
      <c r="U625" s="245"/>
      <c r="V625" s="245"/>
      <c r="W625" s="245"/>
      <c r="X625" s="245"/>
      <c r="Y625" s="245"/>
      <c r="Z625" s="245"/>
    </row>
    <row r="626" spans="16:26">
      <c r="P626" s="245"/>
      <c r="Q626" s="245"/>
      <c r="R626" s="245"/>
      <c r="S626" s="245"/>
      <c r="T626" s="245"/>
      <c r="U626" s="245"/>
      <c r="V626" s="245"/>
      <c r="W626" s="245"/>
      <c r="X626" s="245"/>
      <c r="Y626" s="245"/>
      <c r="Z626" s="245"/>
    </row>
    <row r="627" spans="16:26">
      <c r="P627" s="241"/>
      <c r="Q627" s="241"/>
      <c r="R627" s="241"/>
      <c r="S627" s="241"/>
      <c r="T627" s="241"/>
      <c r="U627" s="241"/>
      <c r="V627" s="241"/>
      <c r="W627" s="241"/>
      <c r="X627" s="241"/>
      <c r="Y627" s="241"/>
      <c r="Z627" s="241"/>
    </row>
    <row r="628" spans="16:26">
      <c r="P628" s="245"/>
      <c r="Q628" s="245"/>
      <c r="R628" s="245"/>
      <c r="S628" s="245"/>
      <c r="T628" s="245"/>
      <c r="U628" s="245"/>
      <c r="V628" s="245"/>
      <c r="W628" s="245"/>
      <c r="X628" s="245"/>
      <c r="Y628" s="245"/>
      <c r="Z628" s="245"/>
    </row>
    <row r="629" spans="16:26">
      <c r="P629" s="245"/>
      <c r="Q629" s="245"/>
      <c r="R629" s="245"/>
      <c r="S629" s="245"/>
      <c r="T629" s="245"/>
      <c r="U629" s="245"/>
      <c r="V629" s="245"/>
      <c r="W629" s="245"/>
      <c r="X629" s="245"/>
      <c r="Y629" s="245"/>
      <c r="Z629" s="245"/>
    </row>
    <row r="630" spans="16:26">
      <c r="P630" s="241"/>
      <c r="Q630" s="241"/>
      <c r="R630" s="241"/>
      <c r="S630" s="241"/>
      <c r="T630" s="241"/>
      <c r="U630" s="241"/>
      <c r="V630" s="241"/>
      <c r="W630" s="241"/>
      <c r="X630" s="241"/>
      <c r="Y630" s="241"/>
      <c r="Z630" s="241"/>
    </row>
    <row r="631" spans="16:26">
      <c r="P631" s="245"/>
      <c r="Q631" s="245"/>
      <c r="R631" s="245"/>
      <c r="S631" s="245"/>
      <c r="T631" s="245"/>
      <c r="U631" s="245"/>
      <c r="V631" s="245"/>
      <c r="W631" s="245"/>
      <c r="X631" s="245"/>
      <c r="Y631" s="245"/>
      <c r="Z631" s="245"/>
    </row>
    <row r="632" spans="16:26">
      <c r="P632" s="245"/>
      <c r="Q632" s="245"/>
      <c r="R632" s="245"/>
      <c r="S632" s="245"/>
      <c r="T632" s="245"/>
      <c r="U632" s="245"/>
      <c r="V632" s="245"/>
      <c r="W632" s="245"/>
      <c r="X632" s="245"/>
      <c r="Y632" s="245"/>
      <c r="Z632" s="245"/>
    </row>
    <row r="633" spans="16:26">
      <c r="P633" s="241"/>
      <c r="Q633" s="241"/>
      <c r="R633" s="241"/>
      <c r="S633" s="241"/>
      <c r="T633" s="241"/>
      <c r="U633" s="241"/>
      <c r="V633" s="241"/>
      <c r="W633" s="241"/>
      <c r="X633" s="241"/>
      <c r="Y633" s="241"/>
      <c r="Z633" s="241"/>
    </row>
    <row r="634" spans="16:26">
      <c r="P634" s="245"/>
      <c r="Q634" s="245"/>
      <c r="R634" s="245"/>
      <c r="S634" s="245"/>
      <c r="T634" s="245"/>
      <c r="U634" s="245"/>
      <c r="V634" s="245"/>
      <c r="W634" s="245"/>
      <c r="X634" s="245"/>
      <c r="Y634" s="245"/>
      <c r="Z634" s="245"/>
    </row>
    <row r="635" spans="16:26">
      <c r="P635" s="245"/>
      <c r="Q635" s="245"/>
      <c r="R635" s="245"/>
      <c r="S635" s="245"/>
      <c r="T635" s="245"/>
      <c r="U635" s="245"/>
      <c r="V635" s="245"/>
      <c r="W635" s="245"/>
      <c r="X635" s="245"/>
      <c r="Y635" s="245"/>
      <c r="Z635" s="245"/>
    </row>
    <row r="636" spans="16:26">
      <c r="P636" s="241"/>
      <c r="Q636" s="241"/>
      <c r="R636" s="241"/>
      <c r="S636" s="241"/>
      <c r="T636" s="241"/>
      <c r="U636" s="241"/>
      <c r="V636" s="241"/>
      <c r="W636" s="241"/>
      <c r="X636" s="241"/>
      <c r="Y636" s="241"/>
      <c r="Z636" s="241"/>
    </row>
    <row r="637" spans="16:26">
      <c r="P637" s="245"/>
      <c r="Q637" s="245"/>
      <c r="R637" s="245"/>
      <c r="S637" s="245"/>
      <c r="T637" s="245"/>
      <c r="U637" s="245"/>
      <c r="V637" s="245"/>
      <c r="W637" s="245"/>
      <c r="X637" s="245"/>
      <c r="Y637" s="245"/>
      <c r="Z637" s="245"/>
    </row>
    <row r="638" spans="16:26">
      <c r="P638" s="245"/>
      <c r="Q638" s="245"/>
      <c r="R638" s="245"/>
      <c r="S638" s="245"/>
      <c r="T638" s="245"/>
      <c r="U638" s="245"/>
      <c r="V638" s="245"/>
      <c r="W638" s="245"/>
      <c r="X638" s="245"/>
      <c r="Y638" s="245"/>
      <c r="Z638" s="245"/>
    </row>
    <row r="639" spans="16:26">
      <c r="P639" s="241"/>
      <c r="Q639" s="241"/>
      <c r="R639" s="241"/>
      <c r="S639" s="241"/>
      <c r="T639" s="241"/>
      <c r="U639" s="241"/>
      <c r="V639" s="241"/>
      <c r="W639" s="241"/>
      <c r="X639" s="241"/>
      <c r="Y639" s="241"/>
      <c r="Z639" s="241"/>
    </row>
    <row r="640" spans="16:26">
      <c r="P640" s="245"/>
      <c r="Q640" s="245"/>
      <c r="R640" s="245"/>
      <c r="S640" s="245"/>
      <c r="T640" s="245"/>
      <c r="U640" s="245"/>
      <c r="V640" s="245"/>
      <c r="W640" s="245"/>
      <c r="X640" s="245"/>
      <c r="Y640" s="245"/>
      <c r="Z640" s="245"/>
    </row>
    <row r="641" spans="16:26">
      <c r="P641" s="245"/>
      <c r="Q641" s="245"/>
      <c r="R641" s="245"/>
      <c r="S641" s="245"/>
      <c r="T641" s="245"/>
      <c r="U641" s="245"/>
      <c r="V641" s="245"/>
      <c r="W641" s="245"/>
      <c r="X641" s="245"/>
      <c r="Y641" s="245"/>
      <c r="Z641" s="245"/>
    </row>
    <row r="642" spans="16:26">
      <c r="P642" s="241"/>
      <c r="Q642" s="241"/>
      <c r="R642" s="241"/>
      <c r="S642" s="241"/>
      <c r="T642" s="241"/>
      <c r="U642" s="241"/>
      <c r="V642" s="241"/>
      <c r="W642" s="241"/>
      <c r="X642" s="241"/>
      <c r="Y642" s="241"/>
      <c r="Z642" s="241"/>
    </row>
    <row r="643" spans="16:26">
      <c r="P643" s="241"/>
      <c r="Q643" s="241"/>
      <c r="R643" s="241"/>
      <c r="S643" s="241"/>
      <c r="T643" s="241"/>
      <c r="U643" s="241"/>
      <c r="V643" s="241"/>
      <c r="W643" s="241"/>
      <c r="X643" s="241"/>
      <c r="Y643" s="241"/>
      <c r="Z643" s="241"/>
    </row>
    <row r="644" spans="16:26">
      <c r="P644" s="241"/>
      <c r="Q644" s="241"/>
      <c r="R644" s="241"/>
      <c r="S644" s="241"/>
      <c r="T644" s="241"/>
      <c r="U644" s="241"/>
      <c r="V644" s="241"/>
      <c r="W644" s="241"/>
      <c r="X644" s="241"/>
      <c r="Y644" s="241"/>
      <c r="Z644" s="241"/>
    </row>
    <row r="645" spans="16:26">
      <c r="P645" s="241"/>
      <c r="Q645" s="241"/>
      <c r="R645" s="241"/>
      <c r="S645" s="241"/>
      <c r="T645" s="241"/>
      <c r="U645" s="241"/>
      <c r="V645" s="241"/>
      <c r="W645" s="241"/>
      <c r="X645" s="241"/>
      <c r="Y645" s="241"/>
      <c r="Z645" s="241"/>
    </row>
    <row r="646" spans="16:26">
      <c r="P646" s="241"/>
      <c r="Q646" s="241"/>
      <c r="R646" s="241"/>
      <c r="S646" s="241"/>
      <c r="T646" s="241"/>
      <c r="U646" s="241"/>
      <c r="V646" s="241"/>
      <c r="W646" s="241"/>
      <c r="X646" s="241"/>
      <c r="Y646" s="241"/>
      <c r="Z646" s="241"/>
    </row>
    <row r="647" spans="16:26">
      <c r="P647" s="241"/>
      <c r="Q647" s="241"/>
      <c r="R647" s="241"/>
      <c r="S647" s="241"/>
      <c r="T647" s="241"/>
      <c r="U647" s="241"/>
      <c r="V647" s="241"/>
      <c r="W647" s="241"/>
      <c r="X647" s="241"/>
      <c r="Y647" s="241"/>
      <c r="Z647" s="241"/>
    </row>
    <row r="648" spans="16:26">
      <c r="P648" s="241"/>
      <c r="Q648" s="241"/>
      <c r="R648" s="241"/>
      <c r="S648" s="241"/>
      <c r="T648" s="241"/>
      <c r="U648" s="241"/>
      <c r="V648" s="241"/>
      <c r="W648" s="241"/>
      <c r="X648" s="241"/>
      <c r="Y648" s="241"/>
      <c r="Z648" s="241"/>
    </row>
    <row r="649" spans="16:26">
      <c r="P649" s="241"/>
      <c r="Q649" s="241"/>
      <c r="R649" s="241"/>
      <c r="S649" s="241"/>
      <c r="T649" s="241"/>
      <c r="U649" s="241"/>
      <c r="V649" s="241"/>
      <c r="W649" s="241"/>
      <c r="X649" s="241"/>
      <c r="Y649" s="241"/>
      <c r="Z649" s="241"/>
    </row>
    <row r="650" spans="16:26">
      <c r="P650" s="241"/>
      <c r="Q650" s="241"/>
      <c r="R650" s="241"/>
      <c r="S650" s="241"/>
      <c r="T650" s="241"/>
      <c r="U650" s="241"/>
      <c r="V650" s="241"/>
      <c r="W650" s="241"/>
      <c r="X650" s="241"/>
      <c r="Y650" s="241"/>
      <c r="Z650" s="241"/>
    </row>
    <row r="651" spans="16:26">
      <c r="P651" s="241"/>
      <c r="Q651" s="241"/>
      <c r="R651" s="241"/>
      <c r="S651" s="241"/>
      <c r="T651" s="241"/>
      <c r="U651" s="241"/>
      <c r="V651" s="241"/>
      <c r="W651" s="241"/>
      <c r="X651" s="241"/>
      <c r="Y651" s="241"/>
      <c r="Z651" s="241"/>
    </row>
    <row r="652" spans="16:26">
      <c r="P652" s="241"/>
      <c r="Q652" s="241"/>
      <c r="R652" s="241"/>
      <c r="S652" s="241"/>
      <c r="T652" s="241"/>
      <c r="U652" s="241"/>
      <c r="V652" s="241"/>
      <c r="W652" s="241"/>
      <c r="X652" s="241"/>
      <c r="Y652" s="241"/>
      <c r="Z652" s="241"/>
    </row>
    <row r="653" spans="16:26">
      <c r="P653" s="241"/>
      <c r="Q653" s="241"/>
      <c r="R653" s="241"/>
      <c r="S653" s="241"/>
      <c r="T653" s="241"/>
      <c r="U653" s="241"/>
      <c r="V653" s="241"/>
      <c r="W653" s="241"/>
      <c r="X653" s="241"/>
      <c r="Y653" s="241"/>
      <c r="Z653" s="241"/>
    </row>
    <row r="654" spans="16:26">
      <c r="P654" s="241"/>
      <c r="Q654" s="241"/>
      <c r="R654" s="241"/>
      <c r="S654" s="241"/>
      <c r="T654" s="241"/>
      <c r="U654" s="241"/>
      <c r="V654" s="241"/>
      <c r="W654" s="241"/>
      <c r="X654" s="241"/>
      <c r="Y654" s="241"/>
      <c r="Z654" s="241"/>
    </row>
    <row r="655" spans="16:26">
      <c r="P655" s="241"/>
      <c r="Q655" s="241"/>
      <c r="R655" s="241"/>
      <c r="S655" s="241"/>
      <c r="T655" s="241"/>
      <c r="U655" s="241"/>
      <c r="V655" s="241"/>
      <c r="W655" s="241"/>
      <c r="X655" s="241"/>
      <c r="Y655" s="241"/>
      <c r="Z655" s="241"/>
    </row>
    <row r="656" spans="16:26">
      <c r="P656" s="241"/>
      <c r="Q656" s="241"/>
      <c r="R656" s="241"/>
      <c r="S656" s="241"/>
      <c r="T656" s="241"/>
      <c r="U656" s="241"/>
      <c r="V656" s="241"/>
      <c r="W656" s="241"/>
      <c r="X656" s="241"/>
      <c r="Y656" s="241"/>
      <c r="Z656" s="241"/>
    </row>
    <row r="657" spans="16:26">
      <c r="P657" s="241"/>
      <c r="Q657" s="241"/>
      <c r="R657" s="241"/>
      <c r="S657" s="241"/>
      <c r="T657" s="241"/>
      <c r="U657" s="241"/>
      <c r="V657" s="241"/>
      <c r="W657" s="241"/>
      <c r="X657" s="241"/>
      <c r="Y657" s="241"/>
      <c r="Z657" s="241"/>
    </row>
    <row r="658" spans="16:26">
      <c r="P658" s="241"/>
      <c r="Q658" s="241"/>
      <c r="R658" s="241"/>
      <c r="S658" s="241"/>
      <c r="T658" s="241"/>
      <c r="U658" s="241"/>
      <c r="V658" s="241"/>
      <c r="W658" s="241"/>
      <c r="X658" s="241"/>
      <c r="Y658" s="241"/>
      <c r="Z658" s="241"/>
    </row>
    <row r="659" spans="16:26">
      <c r="P659" s="241"/>
      <c r="Q659" s="241"/>
      <c r="R659" s="241"/>
      <c r="S659" s="241"/>
      <c r="T659" s="241"/>
      <c r="U659" s="241"/>
      <c r="V659" s="241"/>
      <c r="W659" s="241"/>
      <c r="X659" s="241"/>
      <c r="Y659" s="241"/>
      <c r="Z659" s="241"/>
    </row>
    <row r="660" spans="16:26">
      <c r="P660" s="241"/>
      <c r="Q660" s="241"/>
      <c r="R660" s="241"/>
      <c r="S660" s="241"/>
      <c r="T660" s="241"/>
      <c r="U660" s="241"/>
      <c r="V660" s="241"/>
      <c r="W660" s="241"/>
      <c r="X660" s="241"/>
      <c r="Y660" s="241"/>
      <c r="Z660" s="241"/>
    </row>
    <row r="661" spans="16:26">
      <c r="P661" s="241"/>
      <c r="Q661" s="241"/>
      <c r="R661" s="241"/>
      <c r="S661" s="241"/>
      <c r="T661" s="241"/>
      <c r="U661" s="241"/>
      <c r="V661" s="241"/>
      <c r="W661" s="241"/>
      <c r="X661" s="241"/>
      <c r="Y661" s="241"/>
      <c r="Z661" s="241"/>
    </row>
    <row r="662" spans="16:26">
      <c r="P662" s="241"/>
      <c r="Q662" s="241"/>
      <c r="R662" s="241"/>
      <c r="S662" s="241"/>
      <c r="T662" s="241"/>
      <c r="U662" s="241"/>
      <c r="V662" s="241"/>
      <c r="W662" s="241"/>
      <c r="X662" s="241"/>
      <c r="Y662" s="241"/>
      <c r="Z662" s="241"/>
    </row>
    <row r="663" spans="16:26">
      <c r="P663" s="241"/>
      <c r="Q663" s="241"/>
      <c r="R663" s="241"/>
      <c r="S663" s="241"/>
      <c r="T663" s="241"/>
      <c r="U663" s="241"/>
      <c r="V663" s="241"/>
      <c r="W663" s="241"/>
      <c r="X663" s="241"/>
      <c r="Y663" s="241"/>
      <c r="Z663" s="241"/>
    </row>
    <row r="664" spans="16:26">
      <c r="P664" s="241"/>
      <c r="Q664" s="241"/>
      <c r="R664" s="241"/>
      <c r="S664" s="241"/>
      <c r="T664" s="241"/>
      <c r="U664" s="241"/>
      <c r="V664" s="241"/>
      <c r="W664" s="241"/>
      <c r="X664" s="241"/>
      <c r="Y664" s="241"/>
      <c r="Z664" s="241"/>
    </row>
    <row r="665" spans="16:26">
      <c r="P665" s="241"/>
      <c r="Q665" s="241"/>
      <c r="R665" s="241"/>
      <c r="S665" s="241"/>
      <c r="T665" s="241"/>
      <c r="U665" s="241"/>
      <c r="V665" s="241"/>
      <c r="W665" s="241"/>
      <c r="X665" s="241"/>
      <c r="Y665" s="241"/>
      <c r="Z665" s="241"/>
    </row>
    <row r="666" spans="16:26">
      <c r="P666" s="241"/>
      <c r="Q666" s="241"/>
      <c r="R666" s="241"/>
      <c r="S666" s="241"/>
      <c r="T666" s="241"/>
      <c r="U666" s="241"/>
      <c r="V666" s="241"/>
      <c r="W666" s="241"/>
      <c r="X666" s="241"/>
      <c r="Y666" s="241"/>
      <c r="Z666" s="241"/>
    </row>
    <row r="667" spans="16:26">
      <c r="P667" s="241"/>
      <c r="Q667" s="241"/>
      <c r="R667" s="241"/>
      <c r="S667" s="241"/>
      <c r="T667" s="241"/>
      <c r="U667" s="241"/>
      <c r="V667" s="241"/>
      <c r="W667" s="241"/>
      <c r="X667" s="241"/>
      <c r="Y667" s="241"/>
      <c r="Z667" s="241"/>
    </row>
    <row r="668" spans="16:26">
      <c r="P668" s="241"/>
      <c r="Q668" s="241"/>
      <c r="R668" s="241"/>
      <c r="S668" s="241"/>
      <c r="T668" s="241"/>
      <c r="U668" s="241"/>
      <c r="V668" s="241"/>
      <c r="W668" s="241"/>
      <c r="X668" s="241"/>
      <c r="Y668" s="241"/>
      <c r="Z668" s="241"/>
    </row>
    <row r="669" spans="16:26">
      <c r="P669" s="241"/>
      <c r="Q669" s="241"/>
      <c r="R669" s="241"/>
      <c r="S669" s="241"/>
      <c r="T669" s="241"/>
      <c r="U669" s="241"/>
      <c r="V669" s="241"/>
      <c r="W669" s="241"/>
      <c r="X669" s="241"/>
      <c r="Y669" s="241"/>
      <c r="Z669" s="241"/>
    </row>
    <row r="670" spans="16:26">
      <c r="P670" s="241"/>
      <c r="Q670" s="241"/>
      <c r="R670" s="241"/>
      <c r="S670" s="241"/>
      <c r="T670" s="241"/>
      <c r="U670" s="241"/>
      <c r="V670" s="241"/>
      <c r="W670" s="241"/>
      <c r="X670" s="241"/>
      <c r="Y670" s="241"/>
      <c r="Z670" s="241"/>
    </row>
    <row r="671" spans="16:26">
      <c r="P671" s="241"/>
      <c r="Q671" s="241"/>
      <c r="R671" s="241"/>
      <c r="S671" s="241"/>
      <c r="T671" s="241"/>
      <c r="U671" s="241"/>
      <c r="V671" s="241"/>
      <c r="W671" s="241"/>
      <c r="X671" s="241"/>
      <c r="Y671" s="241"/>
      <c r="Z671" s="241"/>
    </row>
    <row r="672" spans="16:26">
      <c r="P672" s="241"/>
      <c r="Q672" s="241"/>
      <c r="R672" s="241"/>
      <c r="S672" s="241"/>
      <c r="T672" s="241"/>
      <c r="U672" s="241"/>
      <c r="V672" s="241"/>
      <c r="W672" s="241"/>
      <c r="X672" s="241"/>
      <c r="Y672" s="241"/>
      <c r="Z672" s="241"/>
    </row>
    <row r="673" spans="16:26">
      <c r="P673" s="241"/>
      <c r="Q673" s="241"/>
      <c r="R673" s="241"/>
      <c r="S673" s="241"/>
      <c r="T673" s="241"/>
      <c r="U673" s="241"/>
      <c r="V673" s="241"/>
      <c r="W673" s="241"/>
      <c r="X673" s="241"/>
      <c r="Y673" s="241"/>
      <c r="Z673" s="241"/>
    </row>
    <row r="674" spans="16:26">
      <c r="P674" s="241"/>
      <c r="Q674" s="241"/>
      <c r="R674" s="241"/>
      <c r="S674" s="241"/>
      <c r="T674" s="241"/>
      <c r="U674" s="241"/>
      <c r="V674" s="241"/>
      <c r="W674" s="241"/>
      <c r="X674" s="241"/>
      <c r="Y674" s="241"/>
      <c r="Z674" s="241"/>
    </row>
    <row r="675" spans="16:26">
      <c r="P675" s="241"/>
      <c r="Q675" s="241"/>
      <c r="R675" s="241"/>
      <c r="S675" s="241"/>
      <c r="T675" s="241"/>
      <c r="U675" s="241"/>
      <c r="V675" s="241"/>
      <c r="W675" s="241"/>
      <c r="X675" s="241"/>
      <c r="Y675" s="241"/>
      <c r="Z675" s="241"/>
    </row>
    <row r="676" spans="16:26">
      <c r="P676" s="241"/>
      <c r="Q676" s="241"/>
      <c r="R676" s="241"/>
      <c r="S676" s="241"/>
      <c r="T676" s="241"/>
      <c r="U676" s="241"/>
      <c r="V676" s="241"/>
      <c r="W676" s="241"/>
      <c r="X676" s="241"/>
      <c r="Y676" s="241"/>
      <c r="Z676" s="241"/>
    </row>
    <row r="677" spans="16:26">
      <c r="P677" s="241"/>
      <c r="Q677" s="241"/>
      <c r="R677" s="241"/>
      <c r="S677" s="241"/>
      <c r="T677" s="241"/>
      <c r="U677" s="241"/>
      <c r="V677" s="241"/>
      <c r="W677" s="241"/>
      <c r="X677" s="241"/>
      <c r="Y677" s="241"/>
      <c r="Z677" s="241"/>
    </row>
    <row r="678" spans="16:26">
      <c r="P678" s="241"/>
      <c r="Q678" s="241"/>
      <c r="R678" s="241"/>
      <c r="S678" s="241"/>
      <c r="T678" s="241"/>
      <c r="U678" s="241"/>
      <c r="V678" s="241"/>
      <c r="W678" s="241"/>
      <c r="X678" s="241"/>
      <c r="Y678" s="241"/>
      <c r="Z678" s="241"/>
    </row>
    <row r="679" spans="16:26">
      <c r="P679" s="241"/>
      <c r="Q679" s="241"/>
      <c r="R679" s="241"/>
      <c r="S679" s="241"/>
      <c r="T679" s="241"/>
      <c r="U679" s="241"/>
      <c r="V679" s="241"/>
      <c r="W679" s="241"/>
      <c r="X679" s="241"/>
      <c r="Y679" s="241"/>
      <c r="Z679" s="241"/>
    </row>
    <row r="680" spans="16:26">
      <c r="P680" s="241"/>
      <c r="Q680" s="241"/>
      <c r="R680" s="241"/>
      <c r="S680" s="241"/>
      <c r="T680" s="241"/>
      <c r="U680" s="241"/>
      <c r="V680" s="241"/>
      <c r="W680" s="241"/>
      <c r="X680" s="241"/>
      <c r="Y680" s="241"/>
      <c r="Z680" s="241"/>
    </row>
    <row r="681" spans="16:26">
      <c r="P681" s="241"/>
      <c r="Q681" s="241"/>
      <c r="R681" s="241"/>
      <c r="S681" s="241"/>
      <c r="T681" s="241"/>
      <c r="U681" s="241"/>
      <c r="V681" s="241"/>
      <c r="W681" s="241"/>
      <c r="X681" s="241"/>
      <c r="Y681" s="241"/>
      <c r="Z681" s="241"/>
    </row>
    <row r="682" spans="16:26">
      <c r="P682" s="241"/>
      <c r="Q682" s="241"/>
      <c r="R682" s="241"/>
      <c r="S682" s="241"/>
      <c r="T682" s="241"/>
      <c r="U682" s="241"/>
      <c r="V682" s="241"/>
      <c r="W682" s="241"/>
      <c r="X682" s="241"/>
      <c r="Y682" s="241"/>
      <c r="Z682" s="241"/>
    </row>
    <row r="683" spans="16:26">
      <c r="P683" s="241"/>
      <c r="Q683" s="241"/>
      <c r="R683" s="241"/>
      <c r="S683" s="241"/>
      <c r="T683" s="241"/>
      <c r="U683" s="241"/>
      <c r="V683" s="241"/>
      <c r="W683" s="241"/>
      <c r="X683" s="241"/>
      <c r="Y683" s="241"/>
      <c r="Z683" s="241"/>
    </row>
    <row r="684" spans="16:26">
      <c r="P684" s="241"/>
      <c r="Q684" s="241"/>
      <c r="R684" s="241"/>
      <c r="S684" s="241"/>
      <c r="T684" s="241"/>
      <c r="U684" s="241"/>
      <c r="V684" s="241"/>
      <c r="W684" s="241"/>
      <c r="X684" s="241"/>
      <c r="Y684" s="241"/>
      <c r="Z684" s="241"/>
    </row>
    <row r="685" spans="16:26">
      <c r="P685" s="241"/>
      <c r="Q685" s="241"/>
      <c r="R685" s="241"/>
      <c r="S685" s="241"/>
      <c r="T685" s="241"/>
      <c r="U685" s="241"/>
      <c r="V685" s="241"/>
      <c r="W685" s="241"/>
      <c r="X685" s="241"/>
      <c r="Y685" s="241"/>
      <c r="Z685" s="241"/>
    </row>
    <row r="686" spans="16:26">
      <c r="P686" s="241"/>
      <c r="Q686" s="241"/>
      <c r="R686" s="241"/>
      <c r="S686" s="241"/>
      <c r="T686" s="241"/>
      <c r="U686" s="241"/>
      <c r="V686" s="241"/>
      <c r="W686" s="241"/>
      <c r="X686" s="241"/>
      <c r="Y686" s="241"/>
      <c r="Z686" s="241"/>
    </row>
    <row r="687" spans="16:26">
      <c r="P687" s="241"/>
      <c r="Q687" s="241"/>
      <c r="R687" s="241"/>
      <c r="S687" s="241"/>
      <c r="T687" s="241"/>
      <c r="U687" s="241"/>
      <c r="V687" s="241"/>
      <c r="W687" s="241"/>
      <c r="X687" s="241"/>
      <c r="Y687" s="241"/>
      <c r="Z687" s="241"/>
    </row>
    <row r="688" spans="16:26">
      <c r="P688" s="241"/>
      <c r="Q688" s="241"/>
      <c r="R688" s="241"/>
      <c r="S688" s="241"/>
      <c r="T688" s="241"/>
      <c r="U688" s="241"/>
      <c r="V688" s="241"/>
      <c r="W688" s="241"/>
      <c r="X688" s="241"/>
      <c r="Y688" s="241"/>
      <c r="Z688" s="241"/>
    </row>
    <row r="689" spans="16:26">
      <c r="P689" s="241"/>
      <c r="Q689" s="241"/>
      <c r="R689" s="241"/>
      <c r="S689" s="241"/>
      <c r="T689" s="241"/>
      <c r="U689" s="241"/>
      <c r="V689" s="241"/>
      <c r="W689" s="241"/>
      <c r="X689" s="241"/>
      <c r="Y689" s="241"/>
      <c r="Z689" s="241"/>
    </row>
    <row r="690" spans="16:26">
      <c r="P690" s="241"/>
      <c r="Q690" s="241"/>
      <c r="R690" s="241"/>
      <c r="S690" s="241"/>
      <c r="T690" s="241"/>
      <c r="U690" s="241"/>
      <c r="V690" s="241"/>
      <c r="W690" s="241"/>
      <c r="X690" s="241"/>
      <c r="Y690" s="241"/>
      <c r="Z690" s="241"/>
    </row>
    <row r="691" spans="16:26">
      <c r="P691" s="241"/>
      <c r="Q691" s="241"/>
      <c r="R691" s="241"/>
      <c r="S691" s="241"/>
      <c r="T691" s="241"/>
      <c r="U691" s="241"/>
      <c r="V691" s="241"/>
      <c r="W691" s="241"/>
      <c r="X691" s="241"/>
      <c r="Y691" s="241"/>
      <c r="Z691" s="241"/>
    </row>
    <row r="692" spans="16:26">
      <c r="P692" s="241"/>
      <c r="Q692" s="241"/>
      <c r="R692" s="241"/>
      <c r="S692" s="241"/>
      <c r="T692" s="241"/>
      <c r="U692" s="241"/>
      <c r="V692" s="241"/>
      <c r="W692" s="241"/>
      <c r="X692" s="241"/>
      <c r="Y692" s="241"/>
      <c r="Z692" s="241"/>
    </row>
    <row r="693" spans="16:26">
      <c r="P693" s="241"/>
      <c r="Q693" s="241"/>
      <c r="R693" s="241"/>
      <c r="S693" s="241"/>
      <c r="T693" s="241"/>
      <c r="U693" s="241"/>
      <c r="V693" s="241"/>
      <c r="W693" s="241"/>
      <c r="X693" s="241"/>
      <c r="Y693" s="241"/>
      <c r="Z693" s="241"/>
    </row>
    <row r="694" spans="16:26">
      <c r="P694" s="241"/>
      <c r="Q694" s="241"/>
      <c r="R694" s="241"/>
      <c r="S694" s="241"/>
      <c r="T694" s="241"/>
      <c r="U694" s="241"/>
      <c r="V694" s="241"/>
      <c r="W694" s="241"/>
      <c r="X694" s="241"/>
      <c r="Y694" s="241"/>
      <c r="Z694" s="241"/>
    </row>
    <row r="695" spans="16:26">
      <c r="P695" s="241"/>
      <c r="Q695" s="241"/>
      <c r="R695" s="241"/>
      <c r="S695" s="241"/>
      <c r="T695" s="241"/>
      <c r="U695" s="241"/>
      <c r="V695" s="241"/>
      <c r="W695" s="241"/>
      <c r="X695" s="241"/>
      <c r="Y695" s="241"/>
      <c r="Z695" s="241"/>
    </row>
    <row r="696" spans="16:26">
      <c r="P696" s="241"/>
      <c r="Q696" s="241"/>
      <c r="R696" s="241"/>
      <c r="S696" s="241"/>
      <c r="T696" s="241"/>
      <c r="U696" s="241"/>
      <c r="V696" s="241"/>
      <c r="W696" s="241"/>
      <c r="X696" s="241"/>
      <c r="Y696" s="241"/>
      <c r="Z696" s="241"/>
    </row>
    <row r="697" spans="16:26">
      <c r="P697" s="241"/>
      <c r="Q697" s="241"/>
      <c r="R697" s="241"/>
      <c r="S697" s="241"/>
      <c r="T697" s="241"/>
      <c r="U697" s="241"/>
      <c r="V697" s="241"/>
      <c r="W697" s="241"/>
      <c r="X697" s="241"/>
      <c r="Y697" s="241"/>
      <c r="Z697" s="241"/>
    </row>
    <row r="698" spans="16:26">
      <c r="P698" s="241"/>
      <c r="Q698" s="241"/>
      <c r="R698" s="241"/>
      <c r="S698" s="241"/>
      <c r="T698" s="241"/>
      <c r="U698" s="241"/>
      <c r="V698" s="241"/>
      <c r="W698" s="241"/>
      <c r="X698" s="241"/>
      <c r="Y698" s="241"/>
      <c r="Z698" s="241"/>
    </row>
    <row r="699" spans="16:26">
      <c r="P699" s="241"/>
      <c r="Q699" s="241"/>
      <c r="R699" s="241"/>
      <c r="S699" s="241"/>
      <c r="T699" s="241"/>
      <c r="U699" s="241"/>
      <c r="V699" s="241"/>
      <c r="W699" s="241"/>
      <c r="X699" s="241"/>
      <c r="Y699" s="241"/>
      <c r="Z699" s="241"/>
    </row>
    <row r="700" spans="16:26">
      <c r="P700" s="241"/>
      <c r="Q700" s="241"/>
      <c r="R700" s="241"/>
      <c r="S700" s="241"/>
      <c r="T700" s="241"/>
      <c r="U700" s="241"/>
      <c r="V700" s="241"/>
      <c r="W700" s="241"/>
      <c r="X700" s="241"/>
      <c r="Y700" s="241"/>
      <c r="Z700" s="241"/>
    </row>
    <row r="701" spans="16:26">
      <c r="P701" s="241"/>
      <c r="Q701" s="241"/>
      <c r="R701" s="241"/>
      <c r="S701" s="241"/>
      <c r="T701" s="241"/>
      <c r="U701" s="241"/>
      <c r="V701" s="241"/>
      <c r="W701" s="241"/>
      <c r="X701" s="241"/>
      <c r="Y701" s="241"/>
      <c r="Z701" s="241"/>
    </row>
    <row r="702" spans="16:26">
      <c r="P702" s="241"/>
      <c r="Q702" s="241"/>
      <c r="R702" s="241"/>
      <c r="S702" s="241"/>
      <c r="T702" s="241"/>
      <c r="U702" s="241"/>
      <c r="V702" s="241"/>
      <c r="W702" s="241"/>
      <c r="X702" s="241"/>
      <c r="Y702" s="241"/>
      <c r="Z702" s="241"/>
    </row>
    <row r="703" spans="16:26">
      <c r="P703" s="241"/>
      <c r="Q703" s="241"/>
      <c r="R703" s="241"/>
      <c r="S703" s="241"/>
      <c r="T703" s="241"/>
      <c r="U703" s="241"/>
      <c r="V703" s="241"/>
      <c r="W703" s="241"/>
      <c r="X703" s="241"/>
      <c r="Y703" s="241"/>
      <c r="Z703" s="241"/>
    </row>
    <row r="704" spans="16:26">
      <c r="P704" s="241"/>
      <c r="Q704" s="241"/>
      <c r="R704" s="241"/>
      <c r="S704" s="241"/>
      <c r="T704" s="241"/>
      <c r="U704" s="241"/>
      <c r="V704" s="241"/>
      <c r="W704" s="241"/>
      <c r="X704" s="241"/>
      <c r="Y704" s="241"/>
      <c r="Z704" s="241"/>
    </row>
    <row r="705" spans="16:26">
      <c r="P705" s="241"/>
      <c r="Q705" s="241"/>
      <c r="R705" s="241"/>
      <c r="S705" s="241"/>
      <c r="T705" s="241"/>
      <c r="U705" s="241"/>
      <c r="V705" s="241"/>
      <c r="W705" s="241"/>
      <c r="X705" s="241"/>
      <c r="Y705" s="241"/>
      <c r="Z705" s="241"/>
    </row>
    <row r="706" spans="16:26">
      <c r="P706" s="241"/>
      <c r="Q706" s="241"/>
      <c r="R706" s="241"/>
      <c r="S706" s="241"/>
      <c r="T706" s="241"/>
      <c r="U706" s="241"/>
      <c r="V706" s="241"/>
      <c r="W706" s="241"/>
      <c r="X706" s="241"/>
      <c r="Y706" s="241"/>
      <c r="Z706" s="241"/>
    </row>
    <row r="707" spans="16:26">
      <c r="P707" s="241"/>
      <c r="Q707" s="241"/>
      <c r="R707" s="241"/>
      <c r="S707" s="241"/>
      <c r="T707" s="241"/>
      <c r="U707" s="241"/>
      <c r="V707" s="241"/>
      <c r="W707" s="241"/>
      <c r="X707" s="241"/>
      <c r="Y707" s="241"/>
      <c r="Z707" s="241"/>
    </row>
    <row r="708" spans="16:26">
      <c r="P708" s="241"/>
      <c r="Q708" s="241"/>
      <c r="R708" s="241"/>
      <c r="S708" s="241"/>
      <c r="T708" s="241"/>
      <c r="U708" s="241"/>
      <c r="V708" s="241"/>
      <c r="W708" s="241"/>
      <c r="X708" s="241"/>
      <c r="Y708" s="241"/>
      <c r="Z708" s="241"/>
    </row>
    <row r="709" spans="16:26">
      <c r="P709" s="241"/>
      <c r="Q709" s="241"/>
      <c r="R709" s="241"/>
      <c r="S709" s="241"/>
      <c r="T709" s="241"/>
      <c r="U709" s="241"/>
      <c r="V709" s="241"/>
      <c r="W709" s="241"/>
      <c r="X709" s="241"/>
      <c r="Y709" s="241"/>
      <c r="Z709" s="241"/>
    </row>
    <row r="710" spans="16:26">
      <c r="P710" s="241"/>
      <c r="Q710" s="241"/>
      <c r="R710" s="241"/>
      <c r="S710" s="241"/>
      <c r="T710" s="241"/>
      <c r="U710" s="241"/>
      <c r="V710" s="241"/>
      <c r="W710" s="241"/>
      <c r="X710" s="241"/>
      <c r="Y710" s="241"/>
      <c r="Z710" s="241"/>
    </row>
    <row r="711" spans="16:26">
      <c r="P711" s="241"/>
      <c r="Q711" s="241"/>
      <c r="R711" s="241"/>
      <c r="S711" s="241"/>
      <c r="T711" s="241"/>
      <c r="U711" s="241"/>
      <c r="V711" s="241"/>
      <c r="W711" s="241"/>
      <c r="X711" s="241"/>
      <c r="Y711" s="241"/>
      <c r="Z711" s="241"/>
    </row>
    <row r="712" spans="16:26">
      <c r="P712" s="241"/>
      <c r="Q712" s="241"/>
      <c r="R712" s="241"/>
      <c r="S712" s="241"/>
      <c r="T712" s="241"/>
      <c r="U712" s="241"/>
      <c r="V712" s="241"/>
      <c r="W712" s="241"/>
      <c r="X712" s="241"/>
      <c r="Y712" s="241"/>
      <c r="Z712" s="241"/>
    </row>
    <row r="713" spans="16:26">
      <c r="P713" s="241"/>
      <c r="Q713" s="241"/>
      <c r="R713" s="241"/>
      <c r="S713" s="241"/>
      <c r="T713" s="241"/>
      <c r="U713" s="241"/>
      <c r="V713" s="241"/>
      <c r="W713" s="241"/>
      <c r="X713" s="241"/>
      <c r="Y713" s="241"/>
      <c r="Z713" s="241"/>
    </row>
    <row r="714" spans="16:26">
      <c r="P714" s="241"/>
      <c r="Q714" s="241"/>
      <c r="R714" s="241"/>
      <c r="S714" s="241"/>
      <c r="T714" s="241"/>
      <c r="U714" s="241"/>
      <c r="V714" s="241"/>
      <c r="W714" s="241"/>
      <c r="X714" s="241"/>
      <c r="Y714" s="241"/>
      <c r="Z714" s="241"/>
    </row>
    <row r="715" spans="16:26">
      <c r="P715" s="241"/>
      <c r="Q715" s="241"/>
      <c r="R715" s="241"/>
      <c r="S715" s="241"/>
      <c r="T715" s="241"/>
      <c r="U715" s="241"/>
      <c r="V715" s="241"/>
      <c r="W715" s="241"/>
      <c r="X715" s="241"/>
      <c r="Y715" s="241"/>
      <c r="Z715" s="241"/>
    </row>
    <row r="716" spans="16:26">
      <c r="P716" s="241"/>
      <c r="Q716" s="241"/>
      <c r="R716" s="241"/>
      <c r="S716" s="241"/>
      <c r="T716" s="241"/>
      <c r="U716" s="241"/>
      <c r="V716" s="241"/>
      <c r="W716" s="241"/>
      <c r="X716" s="241"/>
      <c r="Y716" s="241"/>
      <c r="Z716" s="241"/>
    </row>
    <row r="717" spans="16:26">
      <c r="P717" s="241"/>
      <c r="Q717" s="241"/>
      <c r="R717" s="241"/>
      <c r="S717" s="241"/>
      <c r="T717" s="241"/>
      <c r="U717" s="241"/>
      <c r="V717" s="241"/>
      <c r="W717" s="241"/>
      <c r="X717" s="241"/>
      <c r="Y717" s="241"/>
      <c r="Z717" s="241"/>
    </row>
    <row r="718" spans="16:26">
      <c r="P718" s="241"/>
      <c r="Q718" s="241"/>
      <c r="R718" s="241"/>
      <c r="S718" s="241"/>
      <c r="T718" s="241"/>
      <c r="U718" s="241"/>
      <c r="V718" s="241"/>
      <c r="W718" s="241"/>
      <c r="X718" s="241"/>
      <c r="Y718" s="241"/>
      <c r="Z718" s="241"/>
    </row>
    <row r="719" spans="16:26">
      <c r="P719" s="241"/>
      <c r="Q719" s="241"/>
      <c r="R719" s="241"/>
      <c r="S719" s="241"/>
      <c r="T719" s="241"/>
      <c r="U719" s="241"/>
      <c r="V719" s="241"/>
      <c r="W719" s="241"/>
      <c r="X719" s="241"/>
      <c r="Y719" s="241"/>
      <c r="Z719" s="241"/>
    </row>
    <row r="720" spans="16:26">
      <c r="P720" s="241"/>
      <c r="Q720" s="241"/>
      <c r="R720" s="241"/>
      <c r="S720" s="241"/>
      <c r="T720" s="241"/>
      <c r="U720" s="241"/>
      <c r="V720" s="241"/>
      <c r="W720" s="241"/>
      <c r="X720" s="241"/>
      <c r="Y720" s="241"/>
      <c r="Z720" s="241"/>
    </row>
    <row r="721" spans="16:26">
      <c r="P721" s="241"/>
      <c r="Q721" s="241"/>
      <c r="R721" s="241"/>
      <c r="S721" s="241"/>
      <c r="T721" s="241"/>
      <c r="U721" s="241"/>
      <c r="V721" s="241"/>
      <c r="W721" s="241"/>
      <c r="X721" s="241"/>
      <c r="Y721" s="241"/>
      <c r="Z721" s="241"/>
    </row>
    <row r="722" spans="16:26">
      <c r="P722" s="241"/>
      <c r="Q722" s="241"/>
      <c r="R722" s="241"/>
      <c r="S722" s="241"/>
      <c r="T722" s="241"/>
      <c r="U722" s="241"/>
      <c r="V722" s="241"/>
      <c r="W722" s="241"/>
      <c r="X722" s="241"/>
      <c r="Y722" s="241"/>
      <c r="Z722" s="241"/>
    </row>
    <row r="723" spans="16:26">
      <c r="P723" s="241"/>
      <c r="Q723" s="241"/>
      <c r="R723" s="241"/>
      <c r="S723" s="241"/>
      <c r="T723" s="241"/>
      <c r="U723" s="241"/>
      <c r="V723" s="241"/>
      <c r="W723" s="241"/>
      <c r="X723" s="241"/>
      <c r="Y723" s="241"/>
      <c r="Z723" s="241"/>
    </row>
    <row r="724" spans="16:26">
      <c r="P724" s="241"/>
      <c r="Q724" s="241"/>
      <c r="R724" s="241"/>
      <c r="S724" s="241"/>
      <c r="T724" s="241"/>
      <c r="U724" s="241"/>
      <c r="V724" s="241"/>
      <c r="W724" s="241"/>
      <c r="X724" s="241"/>
      <c r="Y724" s="241"/>
      <c r="Z724" s="241"/>
    </row>
    <row r="725" spans="16:26">
      <c r="P725" s="241"/>
      <c r="Q725" s="241"/>
      <c r="R725" s="241"/>
      <c r="S725" s="241"/>
      <c r="T725" s="241"/>
      <c r="U725" s="241"/>
      <c r="V725" s="241"/>
      <c r="W725" s="241"/>
      <c r="X725" s="241"/>
      <c r="Y725" s="241"/>
      <c r="Z725" s="241"/>
    </row>
    <row r="726" spans="16:26">
      <c r="P726" s="241"/>
      <c r="Q726" s="241"/>
      <c r="R726" s="241"/>
      <c r="S726" s="241"/>
      <c r="T726" s="241"/>
      <c r="U726" s="241"/>
      <c r="V726" s="241"/>
      <c r="W726" s="241"/>
      <c r="X726" s="241"/>
      <c r="Y726" s="241"/>
      <c r="Z726" s="241"/>
    </row>
    <row r="727" spans="16:26">
      <c r="P727" s="241"/>
      <c r="Q727" s="241"/>
      <c r="R727" s="241"/>
      <c r="S727" s="241"/>
      <c r="T727" s="241"/>
      <c r="U727" s="241"/>
      <c r="V727" s="241"/>
      <c r="W727" s="241"/>
      <c r="X727" s="241"/>
      <c r="Y727" s="241"/>
      <c r="Z727" s="241"/>
    </row>
    <row r="728" spans="16:26">
      <c r="P728" s="241"/>
      <c r="Q728" s="241"/>
      <c r="R728" s="241"/>
      <c r="S728" s="241"/>
      <c r="T728" s="241"/>
      <c r="U728" s="241"/>
      <c r="V728" s="241"/>
      <c r="W728" s="241"/>
      <c r="X728" s="241"/>
      <c r="Y728" s="241"/>
      <c r="Z728" s="241"/>
    </row>
    <row r="729" spans="16:26">
      <c r="P729" s="241"/>
      <c r="Q729" s="241"/>
      <c r="R729" s="241"/>
      <c r="S729" s="241"/>
      <c r="T729" s="241"/>
      <c r="U729" s="241"/>
      <c r="V729" s="241"/>
      <c r="W729" s="241"/>
      <c r="X729" s="241"/>
      <c r="Y729" s="241"/>
      <c r="Z729" s="241"/>
    </row>
    <row r="730" spans="16:26">
      <c r="P730" s="241"/>
      <c r="Q730" s="241"/>
      <c r="R730" s="241"/>
      <c r="S730" s="241"/>
      <c r="T730" s="241"/>
      <c r="U730" s="241"/>
      <c r="V730" s="241"/>
      <c r="W730" s="241"/>
      <c r="X730" s="241"/>
      <c r="Y730" s="241"/>
      <c r="Z730" s="241"/>
    </row>
    <row r="731" spans="16:26">
      <c r="P731" s="241"/>
      <c r="Q731" s="241"/>
      <c r="R731" s="241"/>
      <c r="S731" s="241"/>
      <c r="T731" s="241"/>
      <c r="U731" s="241"/>
      <c r="V731" s="241"/>
      <c r="W731" s="241"/>
      <c r="X731" s="241"/>
      <c r="Y731" s="241"/>
      <c r="Z731" s="241"/>
    </row>
    <row r="732" spans="16:26">
      <c r="P732" s="241"/>
      <c r="Q732" s="241"/>
      <c r="R732" s="241"/>
      <c r="S732" s="241"/>
      <c r="T732" s="241"/>
      <c r="U732" s="241"/>
      <c r="V732" s="241"/>
      <c r="W732" s="241"/>
      <c r="X732" s="241"/>
      <c r="Y732" s="241"/>
      <c r="Z732" s="241"/>
    </row>
    <row r="733" spans="16:26">
      <c r="P733" s="241"/>
      <c r="Q733" s="241"/>
      <c r="R733" s="241"/>
      <c r="S733" s="241"/>
      <c r="T733" s="241"/>
      <c r="U733" s="241"/>
      <c r="V733" s="241"/>
      <c r="W733" s="241"/>
      <c r="X733" s="241"/>
      <c r="Y733" s="241"/>
      <c r="Z733" s="241"/>
    </row>
    <row r="734" spans="16:26">
      <c r="P734" s="241"/>
      <c r="Q734" s="241"/>
      <c r="R734" s="241"/>
      <c r="S734" s="241"/>
      <c r="T734" s="241"/>
      <c r="U734" s="241"/>
      <c r="V734" s="241"/>
      <c r="W734" s="241"/>
      <c r="X734" s="241"/>
      <c r="Y734" s="241"/>
      <c r="Z734" s="241"/>
    </row>
    <row r="735" spans="16:26">
      <c r="P735" s="241"/>
      <c r="Q735" s="241"/>
      <c r="R735" s="241"/>
      <c r="S735" s="241"/>
      <c r="T735" s="241"/>
      <c r="U735" s="241"/>
      <c r="V735" s="241"/>
      <c r="W735" s="241"/>
      <c r="X735" s="241"/>
      <c r="Y735" s="241"/>
      <c r="Z735" s="241"/>
    </row>
    <row r="736" spans="16:26">
      <c r="P736" s="241"/>
      <c r="Q736" s="241"/>
      <c r="R736" s="241"/>
      <c r="S736" s="241"/>
      <c r="T736" s="241"/>
      <c r="U736" s="241"/>
      <c r="V736" s="241"/>
      <c r="W736" s="241"/>
      <c r="X736" s="241"/>
      <c r="Y736" s="241"/>
      <c r="Z736" s="241"/>
    </row>
    <row r="737" spans="16:26">
      <c r="P737" s="241"/>
      <c r="Q737" s="241"/>
      <c r="R737" s="241"/>
      <c r="S737" s="241"/>
      <c r="T737" s="241"/>
      <c r="U737" s="241"/>
      <c r="V737" s="241"/>
      <c r="W737" s="241"/>
      <c r="X737" s="241"/>
      <c r="Y737" s="241"/>
      <c r="Z737" s="241"/>
    </row>
    <row r="738" spans="16:26">
      <c r="P738" s="241"/>
      <c r="Q738" s="241"/>
      <c r="R738" s="241"/>
      <c r="S738" s="241"/>
      <c r="T738" s="241"/>
      <c r="U738" s="241"/>
      <c r="V738" s="241"/>
      <c r="W738" s="241"/>
      <c r="X738" s="241"/>
      <c r="Y738" s="241"/>
      <c r="Z738" s="241"/>
    </row>
    <row r="739" spans="16:26">
      <c r="P739" s="241"/>
      <c r="Q739" s="241"/>
      <c r="R739" s="241"/>
      <c r="S739" s="241"/>
      <c r="T739" s="241"/>
      <c r="U739" s="241"/>
      <c r="V739" s="241"/>
      <c r="W739" s="241"/>
      <c r="X739" s="241"/>
      <c r="Y739" s="241"/>
      <c r="Z739" s="241"/>
    </row>
    <row r="740" spans="16:26">
      <c r="P740" s="241"/>
      <c r="Q740" s="241"/>
      <c r="R740" s="241"/>
      <c r="S740" s="241"/>
      <c r="T740" s="241"/>
      <c r="U740" s="241"/>
      <c r="V740" s="241"/>
      <c r="W740" s="241"/>
      <c r="X740" s="241"/>
      <c r="Y740" s="241"/>
      <c r="Z740" s="241"/>
    </row>
    <row r="741" spans="16:26">
      <c r="P741" s="241"/>
      <c r="Q741" s="241"/>
      <c r="R741" s="241"/>
      <c r="S741" s="241"/>
      <c r="T741" s="241"/>
      <c r="U741" s="241"/>
      <c r="V741" s="241"/>
      <c r="W741" s="241"/>
      <c r="X741" s="241"/>
      <c r="Y741" s="241"/>
      <c r="Z741" s="241"/>
    </row>
    <row r="742" spans="16:26">
      <c r="P742" s="241"/>
      <c r="Q742" s="241"/>
      <c r="R742" s="241"/>
      <c r="S742" s="241"/>
      <c r="T742" s="241"/>
      <c r="U742" s="241"/>
      <c r="V742" s="241"/>
      <c r="W742" s="241"/>
      <c r="X742" s="241"/>
      <c r="Y742" s="241"/>
      <c r="Z742" s="241"/>
    </row>
    <row r="743" spans="16:26">
      <c r="P743" s="241"/>
      <c r="Q743" s="241"/>
      <c r="R743" s="241"/>
      <c r="S743" s="241"/>
      <c r="T743" s="241"/>
      <c r="U743" s="241"/>
      <c r="V743" s="241"/>
      <c r="W743" s="241"/>
      <c r="X743" s="241"/>
      <c r="Y743" s="241"/>
      <c r="Z743" s="241"/>
    </row>
    <row r="744" spans="16:26">
      <c r="P744" s="241"/>
      <c r="Q744" s="241"/>
      <c r="R744" s="241"/>
      <c r="S744" s="241"/>
      <c r="T744" s="241"/>
      <c r="U744" s="241"/>
      <c r="V744" s="241"/>
      <c r="W744" s="241"/>
      <c r="X744" s="241"/>
      <c r="Y744" s="241"/>
      <c r="Z744" s="241"/>
    </row>
    <row r="745" spans="16:26">
      <c r="P745" s="241"/>
      <c r="Q745" s="241"/>
      <c r="R745" s="241"/>
      <c r="S745" s="241"/>
      <c r="T745" s="241"/>
      <c r="U745" s="241"/>
      <c r="V745" s="241"/>
      <c r="W745" s="241"/>
      <c r="X745" s="241"/>
      <c r="Y745" s="241"/>
      <c r="Z745" s="241"/>
    </row>
    <row r="746" spans="16:26">
      <c r="P746" s="241"/>
      <c r="Q746" s="241"/>
      <c r="R746" s="241"/>
      <c r="S746" s="241"/>
      <c r="T746" s="241"/>
      <c r="U746" s="241"/>
      <c r="V746" s="241"/>
      <c r="W746" s="241"/>
      <c r="X746" s="241"/>
      <c r="Y746" s="241"/>
      <c r="Z746" s="241"/>
    </row>
    <row r="747" spans="16:26">
      <c r="P747" s="241"/>
      <c r="Q747" s="241"/>
      <c r="R747" s="241"/>
      <c r="S747" s="241"/>
      <c r="T747" s="241"/>
      <c r="U747" s="241"/>
      <c r="V747" s="241"/>
      <c r="W747" s="241"/>
      <c r="X747" s="241"/>
      <c r="Y747" s="241"/>
      <c r="Z747" s="241"/>
    </row>
    <row r="748" spans="16:26">
      <c r="P748" s="241"/>
      <c r="Q748" s="241"/>
      <c r="R748" s="241"/>
      <c r="S748" s="241"/>
      <c r="T748" s="241"/>
      <c r="U748" s="241"/>
      <c r="V748" s="241"/>
      <c r="W748" s="241"/>
      <c r="X748" s="241"/>
      <c r="Y748" s="241"/>
      <c r="Z748" s="241"/>
    </row>
    <row r="749" spans="16:26">
      <c r="P749" s="241"/>
      <c r="Q749" s="241"/>
      <c r="R749" s="241"/>
      <c r="S749" s="241"/>
      <c r="T749" s="241"/>
      <c r="U749" s="241"/>
      <c r="V749" s="241"/>
      <c r="W749" s="241"/>
      <c r="X749" s="241"/>
      <c r="Y749" s="241"/>
      <c r="Z749" s="241"/>
    </row>
    <row r="750" spans="16:26">
      <c r="P750" s="241"/>
      <c r="Q750" s="241"/>
      <c r="R750" s="241"/>
      <c r="S750" s="241"/>
      <c r="T750" s="241"/>
      <c r="U750" s="241"/>
      <c r="V750" s="241"/>
      <c r="W750" s="241"/>
      <c r="X750" s="241"/>
      <c r="Y750" s="241"/>
      <c r="Z750" s="241"/>
    </row>
    <row r="751" spans="16:26">
      <c r="P751" s="241"/>
      <c r="Q751" s="241"/>
      <c r="R751" s="241"/>
      <c r="S751" s="241"/>
      <c r="T751" s="241"/>
      <c r="U751" s="241"/>
      <c r="V751" s="241"/>
      <c r="W751" s="241"/>
      <c r="X751" s="241"/>
      <c r="Y751" s="241"/>
      <c r="Z751" s="241"/>
    </row>
    <row r="752" spans="16:26">
      <c r="P752" s="241"/>
      <c r="Q752" s="241"/>
      <c r="R752" s="241"/>
      <c r="S752" s="241"/>
      <c r="T752" s="241"/>
      <c r="U752" s="241"/>
      <c r="V752" s="241"/>
      <c r="W752" s="241"/>
      <c r="X752" s="241"/>
      <c r="Y752" s="241"/>
      <c r="Z752" s="241"/>
    </row>
    <row r="753" spans="16:26">
      <c r="P753" s="241"/>
      <c r="Q753" s="241"/>
      <c r="R753" s="241"/>
      <c r="S753" s="241"/>
      <c r="T753" s="241"/>
      <c r="U753" s="241"/>
      <c r="V753" s="241"/>
      <c r="W753" s="241"/>
      <c r="X753" s="241"/>
      <c r="Y753" s="241"/>
      <c r="Z753" s="241"/>
    </row>
    <row r="754" spans="16:26">
      <c r="P754" s="241"/>
      <c r="Q754" s="241"/>
      <c r="R754" s="241"/>
      <c r="S754" s="241"/>
      <c r="T754" s="241"/>
      <c r="U754" s="241"/>
      <c r="V754" s="241"/>
      <c r="W754" s="241"/>
      <c r="X754" s="241"/>
      <c r="Y754" s="241"/>
      <c r="Z754" s="241"/>
    </row>
    <row r="755" spans="16:26">
      <c r="P755" s="241"/>
      <c r="Q755" s="241"/>
      <c r="R755" s="241"/>
      <c r="S755" s="241"/>
      <c r="T755" s="241"/>
      <c r="U755" s="241"/>
      <c r="V755" s="241"/>
      <c r="W755" s="241"/>
      <c r="X755" s="241"/>
      <c r="Y755" s="241"/>
      <c r="Z755" s="241"/>
    </row>
    <row r="756" spans="16:26">
      <c r="P756" s="241"/>
      <c r="Q756" s="241"/>
      <c r="R756" s="241"/>
      <c r="S756" s="241"/>
      <c r="T756" s="241"/>
      <c r="U756" s="241"/>
      <c r="V756" s="241"/>
      <c r="W756" s="241"/>
      <c r="X756" s="241"/>
      <c r="Y756" s="241"/>
      <c r="Z756" s="241"/>
    </row>
    <row r="757" spans="16:26">
      <c r="P757" s="241"/>
      <c r="Q757" s="241"/>
      <c r="R757" s="241"/>
      <c r="S757" s="241"/>
      <c r="T757" s="241"/>
      <c r="U757" s="241"/>
      <c r="V757" s="241"/>
      <c r="W757" s="241"/>
      <c r="X757" s="241"/>
      <c r="Y757" s="241"/>
      <c r="Z757" s="241"/>
    </row>
    <row r="758" spans="16:26">
      <c r="P758" s="241"/>
      <c r="Q758" s="241"/>
      <c r="R758" s="241"/>
      <c r="S758" s="241"/>
      <c r="T758" s="241"/>
      <c r="U758" s="241"/>
      <c r="V758" s="241"/>
      <c r="W758" s="241"/>
      <c r="X758" s="241"/>
      <c r="Y758" s="241"/>
      <c r="Z758" s="241"/>
    </row>
    <row r="759" spans="16:26">
      <c r="P759" s="241"/>
      <c r="Q759" s="241"/>
      <c r="R759" s="241"/>
      <c r="S759" s="241"/>
      <c r="T759" s="241"/>
      <c r="U759" s="241"/>
      <c r="V759" s="241"/>
      <c r="W759" s="241"/>
      <c r="X759" s="241"/>
      <c r="Y759" s="241"/>
      <c r="Z759" s="241"/>
    </row>
    <row r="760" spans="16:26">
      <c r="P760" s="241"/>
      <c r="Q760" s="241"/>
      <c r="R760" s="241"/>
      <c r="S760" s="241"/>
      <c r="T760" s="241"/>
      <c r="U760" s="241"/>
      <c r="V760" s="241"/>
      <c r="W760" s="241"/>
      <c r="X760" s="241"/>
      <c r="Y760" s="241"/>
      <c r="Z760" s="241"/>
    </row>
    <row r="761" spans="16:26">
      <c r="P761" s="241"/>
      <c r="Q761" s="241"/>
      <c r="R761" s="241"/>
      <c r="S761" s="241"/>
      <c r="T761" s="241"/>
      <c r="U761" s="241"/>
      <c r="V761" s="241"/>
      <c r="W761" s="241"/>
      <c r="X761" s="241"/>
      <c r="Y761" s="241"/>
      <c r="Z761" s="241"/>
    </row>
    <row r="762" spans="16:26">
      <c r="P762" s="241"/>
      <c r="Q762" s="241"/>
      <c r="R762" s="241"/>
      <c r="S762" s="241"/>
      <c r="T762" s="241"/>
      <c r="U762" s="241"/>
      <c r="V762" s="241"/>
      <c r="W762" s="241"/>
      <c r="X762" s="241"/>
      <c r="Y762" s="241"/>
      <c r="Z762" s="241"/>
    </row>
    <row r="763" spans="16:26">
      <c r="P763" s="241"/>
      <c r="Q763" s="241"/>
      <c r="R763" s="241"/>
      <c r="S763" s="241"/>
      <c r="T763" s="241"/>
      <c r="U763" s="241"/>
      <c r="V763" s="241"/>
      <c r="W763" s="241"/>
      <c r="X763" s="241"/>
      <c r="Y763" s="241"/>
      <c r="Z763" s="241"/>
    </row>
    <row r="764" spans="16:26">
      <c r="P764" s="241"/>
      <c r="Q764" s="241"/>
      <c r="R764" s="241"/>
      <c r="S764" s="241"/>
      <c r="T764" s="241"/>
      <c r="U764" s="241"/>
      <c r="V764" s="241"/>
      <c r="W764" s="241"/>
      <c r="X764" s="241"/>
      <c r="Y764" s="241"/>
      <c r="Z764" s="241"/>
    </row>
    <row r="765" spans="16:26">
      <c r="P765" s="241"/>
      <c r="Q765" s="241"/>
      <c r="R765" s="241"/>
      <c r="S765" s="241"/>
      <c r="T765" s="241"/>
      <c r="U765" s="241"/>
      <c r="V765" s="241"/>
      <c r="W765" s="241"/>
      <c r="X765" s="241"/>
      <c r="Y765" s="241"/>
      <c r="Z765" s="241"/>
    </row>
    <row r="766" spans="16:26">
      <c r="P766" s="241"/>
      <c r="Q766" s="241"/>
      <c r="R766" s="241"/>
      <c r="S766" s="241"/>
      <c r="T766" s="241"/>
      <c r="U766" s="241"/>
      <c r="V766" s="241"/>
      <c r="W766" s="241"/>
      <c r="X766" s="241"/>
      <c r="Y766" s="241"/>
      <c r="Z766" s="241"/>
    </row>
    <row r="767" spans="16:26">
      <c r="P767" s="241"/>
      <c r="Q767" s="241"/>
      <c r="R767" s="241"/>
      <c r="S767" s="241"/>
      <c r="T767" s="241"/>
      <c r="U767" s="241"/>
      <c r="V767" s="241"/>
      <c r="W767" s="241"/>
      <c r="X767" s="241"/>
      <c r="Y767" s="241"/>
      <c r="Z767" s="241"/>
    </row>
    <row r="768" spans="16:26">
      <c r="P768" s="241"/>
      <c r="Q768" s="241"/>
      <c r="R768" s="241"/>
      <c r="S768" s="241"/>
      <c r="T768" s="241"/>
      <c r="U768" s="241"/>
      <c r="V768" s="241"/>
      <c r="W768" s="241"/>
      <c r="X768" s="241"/>
      <c r="Y768" s="241"/>
      <c r="Z768" s="241"/>
    </row>
    <row r="769" spans="16:26">
      <c r="P769" s="241"/>
      <c r="Q769" s="241"/>
      <c r="R769" s="241"/>
      <c r="S769" s="241"/>
      <c r="T769" s="241"/>
      <c r="U769" s="241"/>
      <c r="V769" s="241"/>
      <c r="W769" s="241"/>
      <c r="X769" s="241"/>
      <c r="Y769" s="241"/>
      <c r="Z769" s="241"/>
    </row>
    <row r="770" spans="16:26">
      <c r="P770" s="241"/>
      <c r="Q770" s="241"/>
      <c r="R770" s="241"/>
      <c r="S770" s="241"/>
      <c r="T770" s="241"/>
      <c r="U770" s="241"/>
      <c r="V770" s="241"/>
      <c r="W770" s="241"/>
      <c r="X770" s="241"/>
      <c r="Y770" s="241"/>
      <c r="Z770" s="241"/>
    </row>
    <row r="771" spans="16:26">
      <c r="P771" s="241"/>
      <c r="Q771" s="241"/>
      <c r="R771" s="241"/>
      <c r="S771" s="241"/>
      <c r="T771" s="241"/>
      <c r="U771" s="241"/>
      <c r="V771" s="241"/>
      <c r="W771" s="241"/>
      <c r="X771" s="241"/>
      <c r="Y771" s="241"/>
      <c r="Z771" s="241"/>
    </row>
    <row r="772" spans="16:26">
      <c r="P772" s="241"/>
      <c r="Q772" s="241"/>
      <c r="R772" s="241"/>
      <c r="S772" s="241"/>
      <c r="T772" s="241"/>
      <c r="U772" s="241"/>
      <c r="V772" s="241"/>
      <c r="W772" s="241"/>
      <c r="X772" s="241"/>
      <c r="Y772" s="241"/>
      <c r="Z772" s="241"/>
    </row>
    <row r="773" spans="16:26">
      <c r="P773" s="241"/>
      <c r="Q773" s="241"/>
      <c r="R773" s="241"/>
      <c r="S773" s="241"/>
      <c r="T773" s="241"/>
      <c r="U773" s="241"/>
      <c r="V773" s="241"/>
      <c r="W773" s="241"/>
      <c r="X773" s="241"/>
      <c r="Y773" s="241"/>
      <c r="Z773" s="241"/>
    </row>
    <row r="774" spans="16:26">
      <c r="P774" s="241"/>
      <c r="Q774" s="241"/>
      <c r="R774" s="241"/>
      <c r="S774" s="241"/>
      <c r="T774" s="241"/>
      <c r="U774" s="241"/>
      <c r="V774" s="241"/>
      <c r="W774" s="241"/>
      <c r="X774" s="241"/>
      <c r="Y774" s="241"/>
      <c r="Z774" s="241"/>
    </row>
    <row r="775" spans="16:26">
      <c r="P775" s="241"/>
      <c r="Q775" s="241"/>
      <c r="R775" s="241"/>
      <c r="S775" s="241"/>
      <c r="T775" s="241"/>
      <c r="U775" s="241"/>
      <c r="V775" s="241"/>
      <c r="W775" s="241"/>
      <c r="X775" s="241"/>
      <c r="Y775" s="241"/>
      <c r="Z775" s="241"/>
    </row>
    <row r="776" spans="16:26">
      <c r="P776" s="241"/>
      <c r="Q776" s="241"/>
      <c r="R776" s="241"/>
      <c r="S776" s="241"/>
      <c r="T776" s="241"/>
      <c r="U776" s="241"/>
      <c r="V776" s="241"/>
      <c r="W776" s="241"/>
      <c r="X776" s="241"/>
      <c r="Y776" s="241"/>
      <c r="Z776" s="241"/>
    </row>
    <row r="777" spans="16:26">
      <c r="P777" s="241"/>
      <c r="Q777" s="241"/>
      <c r="R777" s="241"/>
      <c r="S777" s="241"/>
      <c r="T777" s="241"/>
      <c r="U777" s="241"/>
      <c r="V777" s="241"/>
      <c r="W777" s="241"/>
      <c r="X777" s="241"/>
      <c r="Y777" s="241"/>
      <c r="Z777" s="241"/>
    </row>
    <row r="778" spans="16:26">
      <c r="P778" s="241"/>
      <c r="Q778" s="241"/>
      <c r="R778" s="241"/>
      <c r="S778" s="241"/>
      <c r="T778" s="241"/>
      <c r="U778" s="241"/>
      <c r="V778" s="241"/>
      <c r="W778" s="241"/>
      <c r="X778" s="241"/>
      <c r="Y778" s="241"/>
      <c r="Z778" s="241"/>
    </row>
    <row r="779" spans="16:26">
      <c r="P779" s="241"/>
      <c r="Q779" s="241"/>
      <c r="R779" s="241"/>
      <c r="S779" s="241"/>
      <c r="T779" s="241"/>
      <c r="U779" s="241"/>
      <c r="V779" s="241"/>
      <c r="W779" s="241"/>
      <c r="X779" s="241"/>
      <c r="Y779" s="241"/>
      <c r="Z779" s="241"/>
    </row>
    <row r="780" spans="16:26">
      <c r="P780" s="241"/>
      <c r="Q780" s="241"/>
      <c r="R780" s="241"/>
      <c r="S780" s="241"/>
      <c r="T780" s="241"/>
      <c r="U780" s="241"/>
      <c r="V780" s="241"/>
      <c r="W780" s="241"/>
      <c r="X780" s="241"/>
      <c r="Y780" s="241"/>
      <c r="Z780" s="241"/>
    </row>
    <row r="781" spans="16:26">
      <c r="P781" s="241"/>
      <c r="Q781" s="241"/>
      <c r="R781" s="241"/>
      <c r="S781" s="241"/>
      <c r="T781" s="241"/>
      <c r="U781" s="241"/>
      <c r="V781" s="241"/>
      <c r="W781" s="241"/>
      <c r="X781" s="241"/>
      <c r="Y781" s="241"/>
      <c r="Z781" s="241"/>
    </row>
    <row r="782" spans="16:26">
      <c r="P782" s="241"/>
      <c r="Q782" s="241"/>
      <c r="R782" s="241"/>
      <c r="S782" s="241"/>
      <c r="T782" s="241"/>
      <c r="U782" s="241"/>
      <c r="V782" s="241"/>
      <c r="W782" s="241"/>
      <c r="X782" s="241"/>
      <c r="Y782" s="241"/>
      <c r="Z782" s="241"/>
    </row>
    <row r="783" spans="16:26">
      <c r="P783" s="241"/>
      <c r="Q783" s="241"/>
      <c r="R783" s="241"/>
      <c r="S783" s="241"/>
      <c r="T783" s="241"/>
      <c r="U783" s="241"/>
      <c r="V783" s="241"/>
      <c r="W783" s="241"/>
      <c r="X783" s="241"/>
      <c r="Y783" s="241"/>
      <c r="Z783" s="241"/>
    </row>
    <row r="784" spans="16:26">
      <c r="P784" s="241"/>
      <c r="Q784" s="241"/>
      <c r="R784" s="241"/>
      <c r="S784" s="241"/>
      <c r="T784" s="241"/>
      <c r="U784" s="241"/>
      <c r="V784" s="241"/>
      <c r="W784" s="241"/>
      <c r="X784" s="241"/>
      <c r="Y784" s="241"/>
      <c r="Z784" s="241"/>
    </row>
    <row r="785" spans="16:26">
      <c r="P785" s="241"/>
      <c r="Q785" s="241"/>
      <c r="R785" s="241"/>
      <c r="S785" s="241"/>
      <c r="T785" s="241"/>
      <c r="U785" s="241"/>
      <c r="V785" s="241"/>
      <c r="W785" s="241"/>
      <c r="X785" s="241"/>
      <c r="Y785" s="241"/>
      <c r="Z785" s="241"/>
    </row>
    <row r="786" spans="16:26">
      <c r="P786" s="241"/>
      <c r="Q786" s="241"/>
      <c r="R786" s="241"/>
      <c r="S786" s="241"/>
      <c r="T786" s="241"/>
      <c r="U786" s="241"/>
      <c r="V786" s="241"/>
      <c r="W786" s="241"/>
      <c r="X786" s="241"/>
      <c r="Y786" s="241"/>
      <c r="Z786" s="241"/>
    </row>
    <row r="787" spans="16:26">
      <c r="P787" s="241"/>
      <c r="Q787" s="241"/>
      <c r="R787" s="241"/>
      <c r="S787" s="241"/>
      <c r="T787" s="241"/>
      <c r="U787" s="241"/>
      <c r="V787" s="241"/>
      <c r="W787" s="241"/>
      <c r="X787" s="241"/>
      <c r="Y787" s="241"/>
      <c r="Z787" s="241"/>
    </row>
    <row r="788" spans="16:26">
      <c r="P788" s="241"/>
      <c r="Q788" s="241"/>
      <c r="R788" s="241"/>
      <c r="S788" s="241"/>
      <c r="T788" s="241"/>
      <c r="U788" s="241"/>
      <c r="V788" s="241"/>
      <c r="W788" s="241"/>
      <c r="X788" s="241"/>
      <c r="Y788" s="241"/>
      <c r="Z788" s="241"/>
    </row>
    <row r="789" spans="16:26">
      <c r="P789" s="241"/>
      <c r="Q789" s="241"/>
      <c r="R789" s="241"/>
      <c r="S789" s="241"/>
      <c r="T789" s="241"/>
      <c r="U789" s="241"/>
      <c r="V789" s="241"/>
      <c r="W789" s="241"/>
      <c r="X789" s="241"/>
      <c r="Y789" s="241"/>
      <c r="Z789" s="241"/>
    </row>
    <row r="790" spans="16:26">
      <c r="P790" s="241"/>
      <c r="Q790" s="241"/>
      <c r="R790" s="241"/>
      <c r="S790" s="241"/>
      <c r="T790" s="241"/>
      <c r="U790" s="241"/>
      <c r="V790" s="241"/>
      <c r="W790" s="241"/>
      <c r="X790" s="241"/>
      <c r="Y790" s="241"/>
      <c r="Z790" s="241"/>
    </row>
    <row r="791" spans="16:26">
      <c r="P791" s="241"/>
      <c r="Q791" s="241"/>
      <c r="R791" s="241"/>
      <c r="S791" s="241"/>
      <c r="T791" s="241"/>
      <c r="U791" s="241"/>
      <c r="V791" s="241"/>
      <c r="W791" s="241"/>
      <c r="X791" s="241"/>
      <c r="Y791" s="241"/>
      <c r="Z791" s="241"/>
    </row>
    <row r="792" spans="16:26">
      <c r="P792" s="241"/>
      <c r="Q792" s="241"/>
      <c r="R792" s="241"/>
      <c r="S792" s="241"/>
      <c r="T792" s="241"/>
      <c r="U792" s="241"/>
      <c r="V792" s="241"/>
      <c r="W792" s="241"/>
      <c r="X792" s="241"/>
      <c r="Y792" s="241"/>
      <c r="Z792" s="241"/>
    </row>
    <row r="793" spans="16:26">
      <c r="P793" s="241"/>
      <c r="Q793" s="241"/>
      <c r="R793" s="241"/>
      <c r="S793" s="241"/>
      <c r="T793" s="241"/>
      <c r="U793" s="241"/>
      <c r="V793" s="241"/>
      <c r="W793" s="241"/>
      <c r="X793" s="241"/>
      <c r="Y793" s="241"/>
      <c r="Z793" s="241"/>
    </row>
    <row r="794" spans="16:26">
      <c r="P794" s="241"/>
      <c r="Q794" s="241"/>
      <c r="R794" s="241"/>
      <c r="S794" s="241"/>
      <c r="T794" s="241"/>
      <c r="U794" s="241"/>
      <c r="V794" s="241"/>
      <c r="W794" s="241"/>
      <c r="X794" s="241"/>
      <c r="Y794" s="241"/>
      <c r="Z794" s="241"/>
    </row>
    <row r="795" spans="16:26">
      <c r="P795" s="241"/>
      <c r="Q795" s="241"/>
      <c r="R795" s="241"/>
      <c r="S795" s="241"/>
      <c r="T795" s="241"/>
      <c r="U795" s="241"/>
      <c r="V795" s="241"/>
      <c r="W795" s="241"/>
      <c r="X795" s="241"/>
      <c r="Y795" s="241"/>
      <c r="Z795" s="241"/>
    </row>
    <row r="796" spans="16:26">
      <c r="P796" s="241"/>
      <c r="Q796" s="241"/>
      <c r="R796" s="241"/>
      <c r="S796" s="241"/>
      <c r="T796" s="241"/>
      <c r="U796" s="241"/>
      <c r="V796" s="241"/>
      <c r="W796" s="241"/>
      <c r="X796" s="241"/>
      <c r="Y796" s="241"/>
      <c r="Z796" s="241"/>
    </row>
    <row r="797" spans="16:26">
      <c r="P797" s="241"/>
      <c r="Q797" s="241"/>
      <c r="R797" s="241"/>
      <c r="S797" s="241"/>
      <c r="T797" s="241"/>
      <c r="U797" s="241"/>
      <c r="V797" s="241"/>
      <c r="W797" s="241"/>
      <c r="X797" s="241"/>
      <c r="Y797" s="241"/>
      <c r="Z797" s="241"/>
    </row>
    <row r="798" spans="16:26">
      <c r="P798" s="241"/>
      <c r="Q798" s="241"/>
      <c r="R798" s="241"/>
      <c r="S798" s="241"/>
      <c r="T798" s="241"/>
      <c r="U798" s="241"/>
      <c r="V798" s="241"/>
      <c r="W798" s="241"/>
      <c r="X798" s="241"/>
      <c r="Y798" s="241"/>
      <c r="Z798" s="241"/>
    </row>
    <row r="799" spans="16:26">
      <c r="P799" s="241"/>
      <c r="Q799" s="241"/>
      <c r="R799" s="241"/>
      <c r="S799" s="241"/>
      <c r="T799" s="241"/>
      <c r="U799" s="241"/>
      <c r="V799" s="241"/>
      <c r="W799" s="241"/>
      <c r="X799" s="241"/>
      <c r="Y799" s="241"/>
      <c r="Z799" s="241"/>
    </row>
    <row r="800" spans="16:26">
      <c r="P800" s="241"/>
      <c r="Q800" s="241"/>
      <c r="R800" s="241"/>
      <c r="S800" s="241"/>
      <c r="T800" s="241"/>
      <c r="U800" s="241"/>
      <c r="V800" s="241"/>
      <c r="W800" s="241"/>
      <c r="X800" s="241"/>
      <c r="Y800" s="241"/>
      <c r="Z800" s="241"/>
    </row>
    <row r="801" spans="16:26">
      <c r="P801" s="241"/>
      <c r="Q801" s="241"/>
      <c r="R801" s="241"/>
      <c r="S801" s="241"/>
      <c r="T801" s="241"/>
      <c r="U801" s="241"/>
      <c r="V801" s="241"/>
      <c r="W801" s="241"/>
      <c r="X801" s="241"/>
      <c r="Y801" s="241"/>
      <c r="Z801" s="241"/>
    </row>
    <row r="802" spans="16:26">
      <c r="P802" s="241"/>
      <c r="Q802" s="241"/>
      <c r="R802" s="241"/>
      <c r="S802" s="241"/>
      <c r="T802" s="241"/>
      <c r="U802" s="241"/>
      <c r="V802" s="241"/>
      <c r="W802" s="241"/>
      <c r="X802" s="241"/>
      <c r="Y802" s="241"/>
      <c r="Z802" s="241"/>
    </row>
    <row r="803" spans="16:26">
      <c r="P803" s="241"/>
      <c r="Q803" s="241"/>
      <c r="R803" s="241"/>
      <c r="S803" s="241"/>
      <c r="T803" s="241"/>
      <c r="U803" s="241"/>
      <c r="V803" s="241"/>
      <c r="W803" s="241"/>
      <c r="X803" s="241"/>
      <c r="Y803" s="241"/>
      <c r="Z803" s="241"/>
    </row>
    <row r="804" spans="16:26">
      <c r="P804" s="241"/>
      <c r="Q804" s="241"/>
      <c r="R804" s="241"/>
      <c r="S804" s="241"/>
      <c r="T804" s="241"/>
      <c r="U804" s="241"/>
      <c r="V804" s="241"/>
      <c r="W804" s="241"/>
      <c r="X804" s="241"/>
      <c r="Y804" s="241"/>
      <c r="Z804" s="241"/>
    </row>
    <row r="805" spans="16:26">
      <c r="P805" s="241"/>
      <c r="Q805" s="241"/>
      <c r="R805" s="241"/>
      <c r="S805" s="241"/>
      <c r="T805" s="241"/>
      <c r="U805" s="241"/>
      <c r="V805" s="241"/>
      <c r="W805" s="241"/>
      <c r="X805" s="241"/>
      <c r="Y805" s="241"/>
      <c r="Z805" s="241"/>
    </row>
    <row r="806" spans="16:26">
      <c r="P806" s="241"/>
      <c r="Q806" s="241"/>
      <c r="R806" s="241"/>
      <c r="S806" s="241"/>
      <c r="T806" s="241"/>
      <c r="U806" s="241"/>
      <c r="V806" s="241"/>
      <c r="W806" s="241"/>
      <c r="X806" s="241"/>
      <c r="Y806" s="241"/>
      <c r="Z806" s="241"/>
    </row>
    <row r="807" spans="16:26">
      <c r="P807" s="241"/>
      <c r="Q807" s="241"/>
      <c r="R807" s="241"/>
      <c r="S807" s="241"/>
      <c r="T807" s="241"/>
      <c r="U807" s="241"/>
      <c r="V807" s="241"/>
      <c r="W807" s="241"/>
      <c r="X807" s="241"/>
      <c r="Y807" s="241"/>
      <c r="Z807" s="241"/>
    </row>
    <row r="808" spans="16:26">
      <c r="P808" s="241"/>
      <c r="Q808" s="241"/>
      <c r="R808" s="241"/>
      <c r="S808" s="241"/>
      <c r="T808" s="241"/>
      <c r="U808" s="241"/>
      <c r="V808" s="241"/>
      <c r="W808" s="241"/>
      <c r="X808" s="241"/>
      <c r="Y808" s="241"/>
      <c r="Z808" s="241"/>
    </row>
    <row r="809" spans="16:26">
      <c r="P809" s="241"/>
      <c r="Q809" s="241"/>
      <c r="R809" s="241"/>
      <c r="S809" s="241"/>
      <c r="T809" s="241"/>
      <c r="U809" s="241"/>
      <c r="V809" s="241"/>
      <c r="W809" s="241"/>
      <c r="X809" s="241"/>
      <c r="Y809" s="241"/>
      <c r="Z809" s="241"/>
    </row>
    <row r="810" spans="16:26">
      <c r="P810" s="241"/>
      <c r="Q810" s="241"/>
      <c r="R810" s="241"/>
      <c r="S810" s="241"/>
      <c r="T810" s="241"/>
      <c r="U810" s="241"/>
      <c r="V810" s="241"/>
      <c r="W810" s="241"/>
      <c r="X810" s="241"/>
      <c r="Y810" s="241"/>
      <c r="Z810" s="241"/>
    </row>
    <row r="811" spans="16:26">
      <c r="P811" s="241"/>
      <c r="Q811" s="241"/>
      <c r="R811" s="241"/>
      <c r="S811" s="241"/>
      <c r="T811" s="241"/>
      <c r="U811" s="241"/>
      <c r="V811" s="241"/>
      <c r="W811" s="241"/>
      <c r="X811" s="241"/>
      <c r="Y811" s="241"/>
      <c r="Z811" s="241"/>
    </row>
    <row r="812" spans="16:26">
      <c r="P812" s="241"/>
      <c r="Q812" s="241"/>
      <c r="R812" s="241"/>
      <c r="S812" s="241"/>
      <c r="T812" s="241"/>
      <c r="U812" s="241"/>
      <c r="V812" s="241"/>
      <c r="W812" s="241"/>
      <c r="X812" s="241"/>
      <c r="Y812" s="241"/>
      <c r="Z812" s="241"/>
    </row>
    <row r="813" spans="16:26">
      <c r="P813" s="241"/>
      <c r="Q813" s="241"/>
      <c r="R813" s="241"/>
      <c r="S813" s="241"/>
      <c r="T813" s="241"/>
      <c r="U813" s="241"/>
      <c r="V813" s="241"/>
      <c r="W813" s="241"/>
      <c r="X813" s="241"/>
      <c r="Y813" s="241"/>
      <c r="Z813" s="241"/>
    </row>
    <row r="814" spans="16:26">
      <c r="P814" s="241"/>
      <c r="Q814" s="241"/>
      <c r="R814" s="241"/>
      <c r="S814" s="241"/>
      <c r="T814" s="241"/>
      <c r="U814" s="241"/>
      <c r="V814" s="241"/>
      <c r="W814" s="241"/>
      <c r="X814" s="241"/>
      <c r="Y814" s="241"/>
      <c r="Z814" s="241"/>
    </row>
    <row r="815" spans="16:26">
      <c r="P815" s="241"/>
      <c r="Q815" s="241"/>
      <c r="R815" s="241"/>
      <c r="S815" s="241"/>
      <c r="T815" s="241"/>
      <c r="U815" s="241"/>
      <c r="V815" s="241"/>
      <c r="W815" s="241"/>
      <c r="X815" s="241"/>
      <c r="Y815" s="241"/>
      <c r="Z815" s="241"/>
    </row>
    <row r="816" spans="16:26">
      <c r="P816" s="241"/>
      <c r="Q816" s="241"/>
      <c r="R816" s="241"/>
      <c r="S816" s="241"/>
      <c r="T816" s="241"/>
      <c r="U816" s="241"/>
      <c r="V816" s="241"/>
      <c r="W816" s="241"/>
      <c r="X816" s="241"/>
      <c r="Y816" s="241"/>
      <c r="Z816" s="241"/>
    </row>
    <row r="817" spans="16:26">
      <c r="P817" s="241"/>
      <c r="Q817" s="241"/>
      <c r="R817" s="241"/>
      <c r="S817" s="241"/>
      <c r="T817" s="241"/>
      <c r="U817" s="241"/>
      <c r="V817" s="241"/>
      <c r="W817" s="241"/>
      <c r="X817" s="241"/>
      <c r="Y817" s="241"/>
      <c r="Z817" s="241"/>
    </row>
    <row r="818" spans="16:26">
      <c r="P818" s="241"/>
      <c r="Q818" s="241"/>
      <c r="R818" s="241"/>
      <c r="S818" s="241"/>
      <c r="T818" s="241"/>
      <c r="U818" s="241"/>
      <c r="V818" s="241"/>
      <c r="W818" s="241"/>
      <c r="X818" s="241"/>
      <c r="Y818" s="241"/>
      <c r="Z818" s="241"/>
    </row>
    <row r="819" spans="16:26">
      <c r="P819" s="241"/>
      <c r="Q819" s="241"/>
      <c r="R819" s="241"/>
      <c r="S819" s="241"/>
      <c r="T819" s="241"/>
      <c r="U819" s="241"/>
      <c r="V819" s="241"/>
      <c r="W819" s="241"/>
      <c r="X819" s="241"/>
      <c r="Y819" s="241"/>
      <c r="Z819" s="241"/>
    </row>
    <row r="820" spans="16:26">
      <c r="P820" s="241"/>
      <c r="Q820" s="241"/>
      <c r="R820" s="241"/>
      <c r="S820" s="241"/>
      <c r="T820" s="241"/>
      <c r="U820" s="241"/>
      <c r="V820" s="241"/>
      <c r="W820" s="241"/>
      <c r="X820" s="241"/>
      <c r="Y820" s="241"/>
      <c r="Z820" s="241"/>
    </row>
    <row r="821" spans="16:26">
      <c r="P821" s="241"/>
      <c r="Q821" s="241"/>
      <c r="R821" s="241"/>
      <c r="S821" s="241"/>
      <c r="T821" s="241"/>
      <c r="U821" s="241"/>
      <c r="V821" s="241"/>
      <c r="W821" s="241"/>
      <c r="X821" s="241"/>
      <c r="Y821" s="241"/>
      <c r="Z821" s="241"/>
    </row>
    <row r="822" spans="16:26">
      <c r="P822" s="241"/>
      <c r="Q822" s="241"/>
      <c r="R822" s="241"/>
      <c r="S822" s="241"/>
      <c r="T822" s="241"/>
      <c r="U822" s="241"/>
      <c r="V822" s="241"/>
      <c r="W822" s="241"/>
      <c r="X822" s="241"/>
      <c r="Y822" s="241"/>
      <c r="Z822" s="241"/>
    </row>
    <row r="823" spans="16:26">
      <c r="P823" s="241"/>
      <c r="Q823" s="241"/>
      <c r="R823" s="241"/>
      <c r="S823" s="241"/>
      <c r="T823" s="241"/>
      <c r="U823" s="241"/>
      <c r="V823" s="241"/>
      <c r="W823" s="241"/>
      <c r="X823" s="241"/>
      <c r="Y823" s="241"/>
      <c r="Z823" s="241"/>
    </row>
    <row r="824" spans="16:26">
      <c r="P824" s="241"/>
      <c r="Q824" s="241"/>
      <c r="R824" s="241"/>
      <c r="S824" s="241"/>
      <c r="T824" s="241"/>
      <c r="U824" s="241"/>
      <c r="V824" s="241"/>
      <c r="W824" s="241"/>
      <c r="X824" s="241"/>
      <c r="Y824" s="241"/>
      <c r="Z824" s="241"/>
    </row>
    <row r="825" spans="16:26">
      <c r="P825" s="241"/>
      <c r="Q825" s="241"/>
      <c r="R825" s="241"/>
      <c r="S825" s="241"/>
      <c r="T825" s="241"/>
      <c r="U825" s="241"/>
      <c r="V825" s="241"/>
      <c r="W825" s="241"/>
      <c r="X825" s="241"/>
      <c r="Y825" s="241"/>
      <c r="Z825" s="241"/>
    </row>
    <row r="826" spans="16:26">
      <c r="P826" s="241"/>
      <c r="Q826" s="241"/>
      <c r="R826" s="241"/>
      <c r="S826" s="241"/>
      <c r="T826" s="241"/>
      <c r="U826" s="241"/>
      <c r="V826" s="241"/>
      <c r="W826" s="241"/>
      <c r="X826" s="241"/>
      <c r="Y826" s="241"/>
      <c r="Z826" s="241"/>
    </row>
    <row r="827" spans="16:26">
      <c r="P827" s="241"/>
      <c r="Q827" s="241"/>
      <c r="R827" s="241"/>
      <c r="S827" s="241"/>
      <c r="T827" s="241"/>
      <c r="U827" s="241"/>
      <c r="V827" s="241"/>
      <c r="W827" s="241"/>
      <c r="X827" s="241"/>
      <c r="Y827" s="241"/>
      <c r="Z827" s="241"/>
    </row>
    <row r="828" spans="16:26">
      <c r="P828" s="241"/>
      <c r="Q828" s="241"/>
      <c r="R828" s="241"/>
      <c r="S828" s="241"/>
      <c r="T828" s="241"/>
      <c r="U828" s="241"/>
      <c r="V828" s="241"/>
      <c r="W828" s="241"/>
      <c r="X828" s="241"/>
      <c r="Y828" s="241"/>
      <c r="Z828" s="241"/>
    </row>
    <row r="829" spans="16:26">
      <c r="P829" s="241"/>
      <c r="Q829" s="241"/>
      <c r="R829" s="241"/>
      <c r="S829" s="241"/>
      <c r="T829" s="241"/>
      <c r="U829" s="241"/>
      <c r="V829" s="241"/>
      <c r="W829" s="241"/>
      <c r="X829" s="241"/>
      <c r="Y829" s="241"/>
      <c r="Z829" s="241"/>
    </row>
    <row r="830" spans="16:26">
      <c r="P830" s="241"/>
      <c r="Q830" s="241"/>
      <c r="R830" s="241"/>
      <c r="S830" s="241"/>
      <c r="T830" s="241"/>
      <c r="U830" s="241"/>
      <c r="V830" s="241"/>
      <c r="W830" s="241"/>
      <c r="X830" s="241"/>
      <c r="Y830" s="241"/>
      <c r="Z830" s="241"/>
    </row>
    <row r="831" spans="16:26">
      <c r="P831" s="241"/>
      <c r="Q831" s="241"/>
      <c r="R831" s="241"/>
      <c r="S831" s="241"/>
      <c r="T831" s="241"/>
      <c r="U831" s="241"/>
      <c r="V831" s="241"/>
      <c r="W831" s="241"/>
      <c r="X831" s="241"/>
      <c r="Y831" s="241"/>
      <c r="Z831" s="241"/>
    </row>
    <row r="832" spans="16:26">
      <c r="P832" s="241"/>
      <c r="Q832" s="241"/>
      <c r="R832" s="241"/>
      <c r="S832" s="241"/>
      <c r="T832" s="241"/>
      <c r="U832" s="241"/>
      <c r="V832" s="241"/>
      <c r="W832" s="241"/>
      <c r="X832" s="241"/>
      <c r="Y832" s="241"/>
      <c r="Z832" s="241"/>
    </row>
    <row r="833" spans="16:26">
      <c r="P833" s="241"/>
      <c r="Q833" s="241"/>
      <c r="R833" s="241"/>
      <c r="S833" s="241"/>
      <c r="T833" s="241"/>
      <c r="U833" s="241"/>
      <c r="V833" s="241"/>
      <c r="W833" s="241"/>
      <c r="X833" s="241"/>
      <c r="Y833" s="241"/>
      <c r="Z833" s="241"/>
    </row>
    <row r="834" spans="16:26">
      <c r="P834" s="241"/>
      <c r="Q834" s="241"/>
      <c r="R834" s="241"/>
      <c r="S834" s="241"/>
      <c r="T834" s="241"/>
      <c r="U834" s="241"/>
      <c r="V834" s="241"/>
      <c r="W834" s="241"/>
      <c r="X834" s="241"/>
      <c r="Y834" s="241"/>
      <c r="Z834" s="241"/>
    </row>
    <row r="835" spans="16:26">
      <c r="P835" s="241"/>
      <c r="Q835" s="241"/>
      <c r="R835" s="241"/>
      <c r="S835" s="241"/>
      <c r="T835" s="241"/>
      <c r="U835" s="241"/>
      <c r="V835" s="241"/>
      <c r="W835" s="241"/>
      <c r="X835" s="241"/>
      <c r="Y835" s="241"/>
      <c r="Z835" s="241"/>
    </row>
    <row r="836" spans="16:26">
      <c r="P836" s="241"/>
      <c r="Q836" s="241"/>
      <c r="R836" s="241"/>
      <c r="S836" s="241"/>
      <c r="T836" s="241"/>
      <c r="U836" s="241"/>
      <c r="V836" s="241"/>
      <c r="W836" s="241"/>
      <c r="X836" s="241"/>
      <c r="Y836" s="241"/>
      <c r="Z836" s="241"/>
    </row>
    <row r="837" spans="16:26">
      <c r="P837" s="241"/>
      <c r="Q837" s="241"/>
      <c r="R837" s="241"/>
      <c r="S837" s="241"/>
      <c r="T837" s="241"/>
      <c r="U837" s="241"/>
      <c r="V837" s="241"/>
      <c r="W837" s="241"/>
      <c r="X837" s="241"/>
      <c r="Y837" s="241"/>
      <c r="Z837" s="241"/>
    </row>
    <row r="838" spans="16:26">
      <c r="P838" s="241"/>
      <c r="Q838" s="241"/>
      <c r="R838" s="241"/>
      <c r="S838" s="241"/>
      <c r="T838" s="241"/>
      <c r="U838" s="241"/>
      <c r="V838" s="241"/>
      <c r="W838" s="241"/>
      <c r="X838" s="241"/>
      <c r="Y838" s="241"/>
      <c r="Z838" s="241"/>
    </row>
    <row r="839" spans="16:26">
      <c r="P839" s="241"/>
      <c r="Q839" s="241"/>
      <c r="R839" s="241"/>
      <c r="S839" s="241"/>
      <c r="T839" s="241"/>
      <c r="U839" s="241"/>
      <c r="V839" s="241"/>
      <c r="W839" s="241"/>
      <c r="X839" s="241"/>
      <c r="Y839" s="241"/>
      <c r="Z839" s="241"/>
    </row>
    <row r="840" spans="16:26">
      <c r="P840" s="241"/>
      <c r="Q840" s="241"/>
      <c r="R840" s="241"/>
      <c r="S840" s="241"/>
      <c r="T840" s="241"/>
      <c r="U840" s="241"/>
      <c r="V840" s="241"/>
      <c r="W840" s="241"/>
      <c r="X840" s="241"/>
      <c r="Y840" s="241"/>
      <c r="Z840" s="241"/>
    </row>
    <row r="841" spans="16:26">
      <c r="P841" s="241"/>
      <c r="Q841" s="241"/>
      <c r="R841" s="241"/>
      <c r="S841" s="241"/>
      <c r="T841" s="241"/>
      <c r="U841" s="241"/>
      <c r="V841" s="241"/>
      <c r="W841" s="241"/>
      <c r="X841" s="241"/>
      <c r="Y841" s="241"/>
      <c r="Z841" s="241"/>
    </row>
    <row r="842" spans="16:26">
      <c r="P842" s="241"/>
      <c r="Q842" s="241"/>
      <c r="R842" s="241"/>
      <c r="S842" s="241"/>
      <c r="T842" s="241"/>
      <c r="U842" s="241"/>
      <c r="V842" s="241"/>
      <c r="W842" s="241"/>
      <c r="X842" s="241"/>
      <c r="Y842" s="241"/>
      <c r="Z842" s="241"/>
    </row>
    <row r="843" spans="16:26">
      <c r="P843" s="241"/>
      <c r="Q843" s="241"/>
      <c r="R843" s="241"/>
      <c r="S843" s="241"/>
      <c r="T843" s="241"/>
      <c r="U843" s="241"/>
      <c r="V843" s="241"/>
      <c r="W843" s="241"/>
      <c r="X843" s="241"/>
      <c r="Y843" s="241"/>
      <c r="Z843" s="241"/>
    </row>
    <row r="844" spans="16:26">
      <c r="P844" s="241"/>
      <c r="Q844" s="241"/>
      <c r="R844" s="241"/>
      <c r="S844" s="241"/>
      <c r="T844" s="241"/>
      <c r="U844" s="241"/>
      <c r="V844" s="241"/>
      <c r="W844" s="241"/>
      <c r="X844" s="241"/>
      <c r="Y844" s="241"/>
      <c r="Z844" s="241"/>
    </row>
    <row r="845" spans="16:26">
      <c r="P845" s="241"/>
      <c r="Q845" s="241"/>
      <c r="R845" s="241"/>
      <c r="S845" s="241"/>
      <c r="T845" s="241"/>
      <c r="U845" s="241"/>
      <c r="V845" s="241"/>
      <c r="W845" s="241"/>
      <c r="X845" s="241"/>
      <c r="Y845" s="241"/>
      <c r="Z845" s="241"/>
    </row>
    <row r="846" spans="16:26">
      <c r="P846" s="241"/>
      <c r="Q846" s="241"/>
      <c r="R846" s="241"/>
      <c r="S846" s="241"/>
      <c r="T846" s="241"/>
      <c r="U846" s="241"/>
      <c r="V846" s="241"/>
      <c r="W846" s="241"/>
      <c r="X846" s="241"/>
      <c r="Y846" s="241"/>
      <c r="Z846" s="241"/>
    </row>
    <row r="847" spans="16:26">
      <c r="P847" s="241"/>
      <c r="Q847" s="241"/>
      <c r="R847" s="241"/>
      <c r="S847" s="241"/>
      <c r="T847" s="241"/>
      <c r="U847" s="241"/>
      <c r="V847" s="241"/>
      <c r="W847" s="241"/>
      <c r="X847" s="241"/>
      <c r="Y847" s="241"/>
      <c r="Z847" s="241"/>
    </row>
    <row r="848" spans="16:26">
      <c r="P848" s="241"/>
      <c r="Q848" s="241"/>
      <c r="R848" s="241"/>
      <c r="S848" s="241"/>
      <c r="T848" s="241"/>
      <c r="U848" s="241"/>
      <c r="V848" s="241"/>
      <c r="W848" s="241"/>
      <c r="X848" s="241"/>
      <c r="Y848" s="241"/>
      <c r="Z848" s="241"/>
    </row>
    <row r="849" spans="16:26">
      <c r="P849" s="241"/>
      <c r="Q849" s="241"/>
      <c r="R849" s="241"/>
      <c r="S849" s="241"/>
      <c r="T849" s="241"/>
      <c r="U849" s="241"/>
      <c r="V849" s="241"/>
      <c r="W849" s="241"/>
      <c r="X849" s="241"/>
      <c r="Y849" s="241"/>
      <c r="Z849" s="241"/>
    </row>
    <row r="850" spans="16:26">
      <c r="P850" s="241"/>
      <c r="Q850" s="241"/>
      <c r="R850" s="241"/>
      <c r="S850" s="241"/>
      <c r="T850" s="241"/>
      <c r="U850" s="241"/>
      <c r="V850" s="241"/>
      <c r="W850" s="241"/>
      <c r="X850" s="241"/>
      <c r="Y850" s="241"/>
      <c r="Z850" s="241"/>
    </row>
    <row r="851" spans="16:26">
      <c r="P851" s="241"/>
      <c r="Q851" s="241"/>
      <c r="R851" s="241"/>
      <c r="S851" s="241"/>
      <c r="T851" s="241"/>
      <c r="U851" s="241"/>
      <c r="V851" s="241"/>
      <c r="W851" s="241"/>
      <c r="X851" s="241"/>
      <c r="Y851" s="241"/>
      <c r="Z851" s="241"/>
    </row>
    <row r="852" spans="16:26">
      <c r="P852" s="241"/>
      <c r="Q852" s="241"/>
      <c r="R852" s="241"/>
      <c r="S852" s="241"/>
      <c r="T852" s="241"/>
      <c r="U852" s="241"/>
      <c r="V852" s="241"/>
      <c r="W852" s="241"/>
      <c r="X852" s="241"/>
      <c r="Y852" s="241"/>
      <c r="Z852" s="241"/>
    </row>
    <row r="853" spans="16:26">
      <c r="P853" s="241"/>
      <c r="Q853" s="241"/>
      <c r="R853" s="241"/>
      <c r="S853" s="241"/>
      <c r="T853" s="241"/>
      <c r="U853" s="241"/>
      <c r="V853" s="241"/>
      <c r="W853" s="241"/>
      <c r="X853" s="241"/>
      <c r="Y853" s="241"/>
      <c r="Z853" s="241"/>
    </row>
    <row r="854" spans="16:26">
      <c r="P854" s="241"/>
      <c r="Q854" s="241"/>
      <c r="R854" s="241"/>
      <c r="S854" s="241"/>
      <c r="T854" s="241"/>
      <c r="U854" s="241"/>
      <c r="V854" s="241"/>
      <c r="W854" s="241"/>
      <c r="X854" s="241"/>
      <c r="Y854" s="241"/>
      <c r="Z854" s="241"/>
    </row>
    <row r="855" spans="16:26">
      <c r="P855" s="241"/>
      <c r="Q855" s="241"/>
      <c r="R855" s="241"/>
      <c r="S855" s="241"/>
      <c r="T855" s="241"/>
      <c r="U855" s="241"/>
      <c r="V855" s="241"/>
      <c r="W855" s="241"/>
      <c r="X855" s="241"/>
      <c r="Y855" s="241"/>
      <c r="Z855" s="241"/>
    </row>
    <row r="856" spans="16:26">
      <c r="P856" s="241"/>
      <c r="Q856" s="241"/>
      <c r="R856" s="241"/>
      <c r="S856" s="241"/>
      <c r="T856" s="241"/>
      <c r="U856" s="241"/>
      <c r="V856" s="241"/>
      <c r="W856" s="241"/>
      <c r="X856" s="241"/>
      <c r="Y856" s="241"/>
      <c r="Z856" s="241"/>
    </row>
    <row r="857" spans="16:26">
      <c r="P857" s="241"/>
      <c r="Q857" s="241"/>
      <c r="R857" s="241"/>
      <c r="S857" s="241"/>
      <c r="T857" s="241"/>
      <c r="U857" s="241"/>
      <c r="V857" s="241"/>
      <c r="W857" s="241"/>
      <c r="X857" s="241"/>
      <c r="Y857" s="241"/>
      <c r="Z857" s="241"/>
    </row>
    <row r="858" spans="16:26">
      <c r="P858" s="241"/>
      <c r="Q858" s="241"/>
      <c r="R858" s="241"/>
      <c r="S858" s="241"/>
      <c r="T858" s="241"/>
      <c r="U858" s="241"/>
      <c r="V858" s="241"/>
      <c r="W858" s="241"/>
      <c r="X858" s="241"/>
      <c r="Y858" s="241"/>
      <c r="Z858" s="241"/>
    </row>
    <row r="859" spans="16:26">
      <c r="P859" s="241"/>
      <c r="Q859" s="241"/>
      <c r="R859" s="241"/>
      <c r="S859" s="241"/>
      <c r="T859" s="241"/>
      <c r="U859" s="241"/>
      <c r="V859" s="241"/>
      <c r="W859" s="241"/>
      <c r="X859" s="241"/>
      <c r="Y859" s="241"/>
      <c r="Z859" s="241"/>
    </row>
    <row r="860" spans="16:26">
      <c r="P860" s="241"/>
      <c r="Q860" s="241"/>
      <c r="R860" s="241"/>
      <c r="S860" s="241"/>
      <c r="T860" s="241"/>
      <c r="U860" s="241"/>
      <c r="V860" s="241"/>
      <c r="W860" s="241"/>
      <c r="X860" s="241"/>
      <c r="Y860" s="241"/>
      <c r="Z860" s="241"/>
    </row>
    <row r="861" spans="16:26">
      <c r="P861" s="241"/>
      <c r="Q861" s="241"/>
      <c r="R861" s="241"/>
      <c r="S861" s="241"/>
      <c r="T861" s="241"/>
      <c r="U861" s="241"/>
      <c r="V861" s="241"/>
      <c r="W861" s="241"/>
      <c r="X861" s="241"/>
      <c r="Y861" s="241"/>
      <c r="Z861" s="241"/>
    </row>
    <row r="862" spans="16:26">
      <c r="P862" s="241"/>
      <c r="Q862" s="241"/>
      <c r="R862" s="241"/>
      <c r="S862" s="241"/>
      <c r="T862" s="241"/>
      <c r="U862" s="241"/>
      <c r="V862" s="241"/>
      <c r="W862" s="241"/>
      <c r="X862" s="241"/>
      <c r="Y862" s="241"/>
      <c r="Z862" s="241"/>
    </row>
    <row r="863" spans="16:26">
      <c r="P863" s="241"/>
      <c r="Q863" s="241"/>
      <c r="R863" s="241"/>
      <c r="S863" s="241"/>
      <c r="T863" s="241"/>
      <c r="U863" s="241"/>
      <c r="V863" s="241"/>
      <c r="W863" s="241"/>
      <c r="X863" s="241"/>
      <c r="Y863" s="241"/>
      <c r="Z863" s="241"/>
    </row>
    <row r="864" spans="16:26">
      <c r="P864" s="241"/>
      <c r="Q864" s="241"/>
      <c r="R864" s="241"/>
      <c r="S864" s="241"/>
      <c r="T864" s="241"/>
      <c r="U864" s="241"/>
      <c r="V864" s="241"/>
      <c r="W864" s="241"/>
      <c r="X864" s="241"/>
      <c r="Y864" s="241"/>
      <c r="Z864" s="241"/>
    </row>
    <row r="865" spans="16:26">
      <c r="P865" s="241"/>
      <c r="Q865" s="241"/>
      <c r="R865" s="241"/>
      <c r="S865" s="241"/>
      <c r="T865" s="241"/>
      <c r="U865" s="241"/>
      <c r="V865" s="241"/>
      <c r="W865" s="241"/>
      <c r="X865" s="241"/>
      <c r="Y865" s="241"/>
      <c r="Z865" s="241"/>
    </row>
    <row r="866" spans="16:26">
      <c r="P866" s="241"/>
      <c r="Q866" s="241"/>
      <c r="R866" s="241"/>
      <c r="S866" s="241"/>
      <c r="T866" s="241"/>
      <c r="U866" s="241"/>
      <c r="V866" s="241"/>
      <c r="W866" s="241"/>
      <c r="X866" s="241"/>
      <c r="Y866" s="241"/>
      <c r="Z866" s="241"/>
    </row>
    <row r="867" spans="16:26">
      <c r="P867" s="241"/>
      <c r="Q867" s="241"/>
      <c r="R867" s="241"/>
      <c r="S867" s="241"/>
      <c r="T867" s="241"/>
      <c r="U867" s="241"/>
      <c r="V867" s="241"/>
      <c r="W867" s="241"/>
      <c r="X867" s="241"/>
      <c r="Y867" s="241"/>
      <c r="Z867" s="241"/>
    </row>
    <row r="868" spans="16:26">
      <c r="P868" s="241"/>
      <c r="Q868" s="241"/>
      <c r="R868" s="241"/>
      <c r="S868" s="241"/>
      <c r="T868" s="241"/>
      <c r="U868" s="241"/>
      <c r="V868" s="241"/>
      <c r="W868" s="241"/>
      <c r="X868" s="241"/>
      <c r="Y868" s="241"/>
      <c r="Z868" s="241"/>
    </row>
    <row r="869" spans="16:26">
      <c r="P869" s="241"/>
      <c r="Q869" s="241"/>
      <c r="R869" s="241"/>
      <c r="S869" s="241"/>
      <c r="T869" s="241"/>
      <c r="U869" s="241"/>
      <c r="V869" s="241"/>
      <c r="W869" s="241"/>
      <c r="X869" s="241"/>
      <c r="Y869" s="241"/>
      <c r="Z869" s="241"/>
    </row>
    <row r="870" spans="16:26">
      <c r="P870" s="241"/>
      <c r="Q870" s="241"/>
      <c r="R870" s="241"/>
      <c r="S870" s="241"/>
      <c r="T870" s="241"/>
      <c r="U870" s="241"/>
      <c r="V870" s="241"/>
      <c r="W870" s="241"/>
      <c r="X870" s="241"/>
      <c r="Y870" s="241"/>
      <c r="Z870" s="241"/>
    </row>
    <row r="871" spans="16:26">
      <c r="P871" s="241"/>
      <c r="Q871" s="241"/>
      <c r="R871" s="241"/>
      <c r="S871" s="241"/>
      <c r="T871" s="241"/>
      <c r="U871" s="241"/>
      <c r="V871" s="241"/>
      <c r="W871" s="241"/>
      <c r="X871" s="241"/>
      <c r="Y871" s="241"/>
      <c r="Z871" s="241"/>
    </row>
    <row r="872" spans="16:26">
      <c r="P872" s="241"/>
      <c r="Q872" s="241"/>
      <c r="R872" s="241"/>
      <c r="S872" s="241"/>
      <c r="T872" s="241"/>
      <c r="U872" s="241"/>
      <c r="V872" s="241"/>
      <c r="W872" s="241"/>
      <c r="X872" s="241"/>
      <c r="Y872" s="241"/>
      <c r="Z872" s="241"/>
    </row>
    <row r="873" spans="16:26">
      <c r="P873" s="241"/>
      <c r="Q873" s="241"/>
      <c r="R873" s="241"/>
      <c r="S873" s="241"/>
      <c r="T873" s="241"/>
      <c r="U873" s="241"/>
      <c r="V873" s="241"/>
      <c r="W873" s="241"/>
      <c r="X873" s="241"/>
      <c r="Y873" s="241"/>
      <c r="Z873" s="241"/>
    </row>
    <row r="874" spans="16:26">
      <c r="P874" s="241"/>
      <c r="Q874" s="241"/>
      <c r="R874" s="241"/>
      <c r="S874" s="241"/>
      <c r="T874" s="241"/>
      <c r="U874" s="241"/>
      <c r="V874" s="241"/>
      <c r="W874" s="241"/>
      <c r="X874" s="241"/>
      <c r="Y874" s="241"/>
      <c r="Z874" s="241"/>
    </row>
    <row r="875" spans="16:26">
      <c r="P875" s="241"/>
      <c r="Q875" s="241"/>
      <c r="R875" s="241"/>
      <c r="S875" s="241"/>
      <c r="T875" s="241"/>
      <c r="U875" s="241"/>
      <c r="V875" s="241"/>
      <c r="W875" s="241"/>
      <c r="X875" s="241"/>
      <c r="Y875" s="241"/>
      <c r="Z875" s="241"/>
    </row>
    <row r="876" spans="16:26">
      <c r="P876" s="241"/>
      <c r="Q876" s="241"/>
      <c r="R876" s="241"/>
      <c r="S876" s="241"/>
      <c r="T876" s="241"/>
      <c r="U876" s="241"/>
      <c r="V876" s="241"/>
      <c r="W876" s="241"/>
      <c r="X876" s="241"/>
      <c r="Y876" s="241"/>
      <c r="Z876" s="241"/>
    </row>
    <row r="877" spans="16:26">
      <c r="P877" s="241"/>
      <c r="Q877" s="241"/>
      <c r="R877" s="241"/>
      <c r="S877" s="241"/>
      <c r="T877" s="241"/>
      <c r="U877" s="241"/>
      <c r="V877" s="241"/>
      <c r="W877" s="241"/>
      <c r="X877" s="241"/>
      <c r="Y877" s="241"/>
      <c r="Z877" s="241"/>
    </row>
    <row r="878" spans="16:26">
      <c r="P878" s="241"/>
      <c r="Q878" s="241"/>
      <c r="R878" s="241"/>
      <c r="S878" s="241"/>
      <c r="T878" s="241"/>
      <c r="U878" s="241"/>
      <c r="V878" s="241"/>
      <c r="W878" s="241"/>
      <c r="X878" s="241"/>
      <c r="Y878" s="241"/>
      <c r="Z878" s="241"/>
    </row>
    <row r="879" spans="16:26">
      <c r="P879" s="241"/>
      <c r="Q879" s="241"/>
      <c r="R879" s="241"/>
      <c r="S879" s="241"/>
      <c r="T879" s="241"/>
      <c r="U879" s="241"/>
      <c r="V879" s="241"/>
      <c r="W879" s="241"/>
      <c r="X879" s="241"/>
      <c r="Y879" s="241"/>
      <c r="Z879" s="241"/>
    </row>
    <row r="880" spans="16:26">
      <c r="P880" s="241"/>
      <c r="Q880" s="241"/>
      <c r="R880" s="241"/>
      <c r="S880" s="241"/>
      <c r="T880" s="241"/>
      <c r="U880" s="241"/>
      <c r="V880" s="241"/>
      <c r="W880" s="241"/>
      <c r="X880" s="241"/>
      <c r="Y880" s="241"/>
      <c r="Z880" s="241"/>
    </row>
    <row r="881" spans="16:26">
      <c r="P881" s="241"/>
      <c r="Q881" s="241"/>
      <c r="R881" s="241"/>
      <c r="S881" s="241"/>
      <c r="T881" s="241"/>
      <c r="U881" s="241"/>
      <c r="V881" s="241"/>
      <c r="W881" s="241"/>
      <c r="X881" s="241"/>
      <c r="Y881" s="241"/>
      <c r="Z881" s="241"/>
    </row>
    <row r="882" spans="16:26">
      <c r="P882" s="241"/>
      <c r="Q882" s="241"/>
      <c r="R882" s="241"/>
      <c r="S882" s="241"/>
      <c r="T882" s="241"/>
      <c r="U882" s="241"/>
      <c r="V882" s="241"/>
      <c r="W882" s="241"/>
      <c r="X882" s="241"/>
      <c r="Y882" s="241"/>
      <c r="Z882" s="241"/>
    </row>
    <row r="883" spans="16:26">
      <c r="P883" s="241"/>
      <c r="Q883" s="241"/>
      <c r="R883" s="241"/>
      <c r="S883" s="241"/>
      <c r="T883" s="241"/>
      <c r="U883" s="241"/>
      <c r="V883" s="241"/>
      <c r="W883" s="241"/>
      <c r="X883" s="241"/>
      <c r="Y883" s="241"/>
      <c r="Z883" s="241"/>
    </row>
    <row r="884" spans="16:26">
      <c r="P884" s="241"/>
      <c r="Q884" s="241"/>
      <c r="R884" s="241"/>
      <c r="S884" s="241"/>
      <c r="T884" s="241"/>
      <c r="U884" s="241"/>
      <c r="V884" s="241"/>
      <c r="W884" s="241"/>
      <c r="X884" s="241"/>
      <c r="Y884" s="241"/>
      <c r="Z884" s="241"/>
    </row>
  </sheetData>
  <sheetProtection password="8C51" sheet="1" objects="1" scenarios="1" selectLockedCells="1"/>
  <pageMargins left="0.75" right="0.75" top="1" bottom="1" header="0.5" footer="0.5"/>
  <pageSetup orientation="portrait" horizontalDpi="1200" verticalDpi="1200"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B1:Z884"/>
  <sheetViews>
    <sheetView zoomScaleNormal="100" workbookViewId="0">
      <selection activeCell="P1" sqref="P1"/>
    </sheetView>
  </sheetViews>
  <sheetFormatPr defaultColWidth="8.88671875" defaultRowHeight="10.199999999999999"/>
  <cols>
    <col min="1" max="15" width="8.88671875" style="57"/>
    <col min="16" max="26" width="8.88671875" style="243"/>
    <col min="27" max="16384" width="8.88671875" style="57"/>
  </cols>
  <sheetData>
    <row r="1" spans="2:26">
      <c r="B1" s="57" t="s">
        <v>46</v>
      </c>
      <c r="C1" s="57" t="s">
        <v>47</v>
      </c>
      <c r="D1" s="57" t="s">
        <v>48</v>
      </c>
      <c r="E1" s="57" t="s">
        <v>49</v>
      </c>
      <c r="F1" s="57" t="s">
        <v>50</v>
      </c>
      <c r="G1" s="57" t="s">
        <v>51</v>
      </c>
      <c r="H1" s="57" t="s">
        <v>52</v>
      </c>
      <c r="I1" s="57" t="s">
        <v>53</v>
      </c>
      <c r="J1" s="57" t="s">
        <v>54</v>
      </c>
      <c r="P1" s="244"/>
      <c r="Q1" s="244"/>
      <c r="R1" s="244"/>
      <c r="S1" s="244"/>
      <c r="T1" s="244"/>
      <c r="U1" s="244"/>
      <c r="V1" s="244"/>
      <c r="W1" s="244"/>
      <c r="X1" s="244"/>
      <c r="Y1" s="244"/>
      <c r="Z1" s="244"/>
    </row>
    <row r="2" spans="2:26">
      <c r="B2" s="57" t="s">
        <v>55</v>
      </c>
      <c r="C2" s="57" t="s">
        <v>56</v>
      </c>
      <c r="D2" s="57" t="s">
        <v>56</v>
      </c>
      <c r="E2" s="57" t="s">
        <v>57</v>
      </c>
      <c r="F2" s="57" t="s">
        <v>57</v>
      </c>
      <c r="G2" s="57" t="s">
        <v>58</v>
      </c>
      <c r="H2" s="57" t="s">
        <v>59</v>
      </c>
      <c r="I2" s="57" t="s">
        <v>60</v>
      </c>
      <c r="J2" s="57" t="s">
        <v>61</v>
      </c>
      <c r="K2" s="57" t="s">
        <v>62</v>
      </c>
      <c r="L2" s="57" t="s">
        <v>63</v>
      </c>
      <c r="P2" s="244"/>
      <c r="Q2" s="244"/>
      <c r="R2" s="244"/>
      <c r="S2" s="244"/>
      <c r="T2" s="244"/>
      <c r="U2" s="244"/>
      <c r="V2" s="244"/>
      <c r="W2" s="244"/>
      <c r="X2" s="244"/>
      <c r="Y2" s="244"/>
      <c r="Z2" s="244"/>
    </row>
    <row r="3" spans="2:26">
      <c r="P3" s="244"/>
      <c r="Q3" s="244"/>
      <c r="R3" s="244"/>
      <c r="S3" s="244"/>
      <c r="T3" s="244"/>
      <c r="U3" s="244"/>
      <c r="V3" s="244"/>
      <c r="W3" s="244"/>
      <c r="X3" s="244"/>
      <c r="Y3" s="244"/>
      <c r="Z3" s="244"/>
    </row>
    <row r="4" spans="2:26">
      <c r="B4" s="57" t="s">
        <v>64</v>
      </c>
      <c r="C4" s="234" t="str">
        <f ca="1">IF(P1="","","L"&amp;MID(INDIRECT("P"&amp;L4),6,FIND(" ",INDIRECT("P"&amp;L4),6)-5))</f>
        <v/>
      </c>
      <c r="D4" s="234" t="str">
        <f ca="1">IF(P1="","",MID(INDIRECT("P"&amp;L4),SEARCH("(",INDIRECT("P"&amp;L4),1)+1,3))</f>
        <v/>
      </c>
      <c r="E4" s="234" t="str">
        <f ca="1">IF(P1="","",MID(INDIRECT("P"&amp;L4),SEARCH(")",INDIRECT("P"&amp;L4),1)+2,LEN(INDIRECT("P"&amp;L4))))</f>
        <v/>
      </c>
      <c r="F4" s="234"/>
      <c r="G4" s="234"/>
      <c r="H4" s="234"/>
      <c r="I4" s="234"/>
      <c r="J4" s="234"/>
      <c r="K4" s="234"/>
      <c r="L4" s="234" t="str">
        <f>IF(P1="","",MATCH("CASE*",P1:P10,0))</f>
        <v/>
      </c>
      <c r="M4" s="55">
        <f>ROUND(COUNT(P:P)*1.6,0)</f>
        <v>0</v>
      </c>
      <c r="P4" s="244"/>
      <c r="Q4" s="244"/>
      <c r="R4" s="244"/>
      <c r="S4" s="244"/>
      <c r="T4" s="244"/>
      <c r="U4" s="244"/>
      <c r="V4" s="244"/>
      <c r="W4" s="244"/>
      <c r="X4" s="244"/>
      <c r="Y4" s="244"/>
      <c r="Z4" s="244"/>
    </row>
    <row r="5" spans="2:26">
      <c r="P5" s="244"/>
      <c r="Q5" s="244"/>
      <c r="R5" s="244"/>
      <c r="S5" s="244"/>
      <c r="T5" s="244"/>
      <c r="U5" s="244"/>
      <c r="V5" s="244"/>
      <c r="W5" s="244"/>
      <c r="X5" s="244"/>
      <c r="Y5" s="244"/>
      <c r="Z5" s="244"/>
    </row>
    <row r="6" spans="2:26">
      <c r="B6" s="56" t="str">
        <f>IF('Low Stress Type Gasket'!BE11="","",'Low Stress Type Gasket'!BE11)</f>
        <v/>
      </c>
      <c r="C6" s="58" t="str">
        <f t="shared" ref="C6:L21" ca="1" si="0">IF($M$4=0,"",VLOOKUP($B6,INDIRECT("$P$1:$Z$"&amp;$M$4),COLUMN()-1,0))</f>
        <v/>
      </c>
      <c r="D6" s="58" t="str">
        <f t="shared" ca="1" si="0"/>
        <v/>
      </c>
      <c r="E6" s="58" t="str">
        <f t="shared" ca="1" si="0"/>
        <v/>
      </c>
      <c r="F6" s="58" t="str">
        <f t="shared" ca="1" si="0"/>
        <v/>
      </c>
      <c r="G6" s="58" t="str">
        <f t="shared" ca="1" si="0"/>
        <v/>
      </c>
      <c r="H6" s="58" t="str">
        <f t="shared" ca="1" si="0"/>
        <v/>
      </c>
      <c r="I6" s="58" t="str">
        <f t="shared" ca="1" si="0"/>
        <v/>
      </c>
      <c r="J6" s="58" t="str">
        <f t="shared" ca="1" si="0"/>
        <v/>
      </c>
      <c r="K6" s="58" t="str">
        <f t="shared" ca="1" si="0"/>
        <v/>
      </c>
      <c r="L6" s="58" t="str">
        <f t="shared" ca="1" si="0"/>
        <v/>
      </c>
      <c r="P6" s="244"/>
      <c r="Q6" s="244"/>
      <c r="R6" s="244"/>
      <c r="S6" s="244"/>
      <c r="T6" s="244"/>
      <c r="U6" s="244"/>
      <c r="V6" s="244"/>
      <c r="W6" s="244"/>
      <c r="X6" s="244"/>
      <c r="Y6" s="244"/>
      <c r="Z6" s="244"/>
    </row>
    <row r="7" spans="2:26">
      <c r="B7" s="56" t="str">
        <f>IF('Low Stress Type Gasket'!BE12="","",'Low Stress Type Gasket'!BE12)</f>
        <v/>
      </c>
      <c r="C7" s="58" t="str">
        <f t="shared" ca="1" si="0"/>
        <v/>
      </c>
      <c r="D7" s="58" t="str">
        <f t="shared" ca="1" si="0"/>
        <v/>
      </c>
      <c r="E7" s="58" t="str">
        <f t="shared" ca="1" si="0"/>
        <v/>
      </c>
      <c r="F7" s="58" t="str">
        <f t="shared" ca="1" si="0"/>
        <v/>
      </c>
      <c r="G7" s="58" t="str">
        <f t="shared" ca="1" si="0"/>
        <v/>
      </c>
      <c r="H7" s="58" t="str">
        <f t="shared" ca="1" si="0"/>
        <v/>
      </c>
      <c r="I7" s="58" t="str">
        <f t="shared" ca="1" si="0"/>
        <v/>
      </c>
      <c r="J7" s="58" t="str">
        <f t="shared" ca="1" si="0"/>
        <v/>
      </c>
      <c r="K7" s="58" t="str">
        <f t="shared" ca="1" si="0"/>
        <v/>
      </c>
      <c r="L7" s="58" t="str">
        <f t="shared" ca="1" si="0"/>
        <v/>
      </c>
      <c r="P7" s="244"/>
      <c r="Q7" s="244"/>
      <c r="R7" s="244"/>
      <c r="S7" s="244"/>
      <c r="T7" s="244"/>
      <c r="U7" s="244"/>
      <c r="V7" s="244"/>
      <c r="W7" s="244"/>
      <c r="X7" s="244"/>
      <c r="Y7" s="244"/>
      <c r="Z7" s="244"/>
    </row>
    <row r="8" spans="2:26">
      <c r="B8" s="56" t="str">
        <f>IF('Low Stress Type Gasket'!BE13="","",'Low Stress Type Gasket'!BE13)</f>
        <v/>
      </c>
      <c r="C8" s="58" t="str">
        <f t="shared" ca="1" si="0"/>
        <v/>
      </c>
      <c r="D8" s="58" t="str">
        <f t="shared" ca="1" si="0"/>
        <v/>
      </c>
      <c r="E8" s="58" t="str">
        <f t="shared" ca="1" si="0"/>
        <v/>
      </c>
      <c r="F8" s="58" t="str">
        <f t="shared" ca="1" si="0"/>
        <v/>
      </c>
      <c r="G8" s="58" t="str">
        <f t="shared" ca="1" si="0"/>
        <v/>
      </c>
      <c r="H8" s="58" t="str">
        <f t="shared" ca="1" si="0"/>
        <v/>
      </c>
      <c r="I8" s="58" t="str">
        <f t="shared" ca="1" si="0"/>
        <v/>
      </c>
      <c r="J8" s="58" t="str">
        <f t="shared" ca="1" si="0"/>
        <v/>
      </c>
      <c r="K8" s="58" t="str">
        <f t="shared" ca="1" si="0"/>
        <v/>
      </c>
      <c r="L8" s="58" t="str">
        <f t="shared" ca="1" si="0"/>
        <v/>
      </c>
      <c r="P8" s="241"/>
      <c r="Q8" s="241"/>
      <c r="R8" s="241"/>
      <c r="S8" s="241"/>
      <c r="T8" s="241"/>
      <c r="U8" s="241"/>
      <c r="V8" s="241"/>
      <c r="W8" s="241"/>
      <c r="X8" s="241"/>
      <c r="Y8" s="241"/>
      <c r="Z8" s="241"/>
    </row>
    <row r="9" spans="2:26">
      <c r="B9" s="56" t="str">
        <f>IF('Low Stress Type Gasket'!BE14="","",'Low Stress Type Gasket'!BE14)</f>
        <v/>
      </c>
      <c r="C9" s="58" t="str">
        <f t="shared" ca="1" si="0"/>
        <v/>
      </c>
      <c r="D9" s="58" t="str">
        <f t="shared" ca="1" si="0"/>
        <v/>
      </c>
      <c r="E9" s="58" t="str">
        <f t="shared" ca="1" si="0"/>
        <v/>
      </c>
      <c r="F9" s="58" t="str">
        <f t="shared" ca="1" si="0"/>
        <v/>
      </c>
      <c r="G9" s="58" t="str">
        <f t="shared" ca="1" si="0"/>
        <v/>
      </c>
      <c r="H9" s="58" t="str">
        <f t="shared" ca="1" si="0"/>
        <v/>
      </c>
      <c r="I9" s="58" t="str">
        <f t="shared" ca="1" si="0"/>
        <v/>
      </c>
      <c r="J9" s="58" t="str">
        <f t="shared" ca="1" si="0"/>
        <v/>
      </c>
      <c r="K9" s="58" t="str">
        <f t="shared" ca="1" si="0"/>
        <v/>
      </c>
      <c r="L9" s="58" t="str">
        <f t="shared" ca="1" si="0"/>
        <v/>
      </c>
      <c r="P9" s="244"/>
      <c r="Q9" s="244"/>
      <c r="R9" s="244"/>
      <c r="S9" s="244"/>
      <c r="T9" s="244"/>
      <c r="U9" s="244"/>
      <c r="V9" s="244"/>
      <c r="W9" s="244"/>
      <c r="X9" s="244"/>
      <c r="Y9" s="244"/>
      <c r="Z9" s="244"/>
    </row>
    <row r="10" spans="2:26">
      <c r="B10" s="56" t="str">
        <f>IF('Low Stress Type Gasket'!BE15="","",'Low Stress Type Gasket'!BE15)</f>
        <v/>
      </c>
      <c r="C10" s="58" t="str">
        <f t="shared" ca="1" si="0"/>
        <v/>
      </c>
      <c r="D10" s="58" t="str">
        <f t="shared" ca="1" si="0"/>
        <v/>
      </c>
      <c r="E10" s="58" t="str">
        <f t="shared" ca="1" si="0"/>
        <v/>
      </c>
      <c r="F10" s="58" t="str">
        <f t="shared" ca="1" si="0"/>
        <v/>
      </c>
      <c r="G10" s="58" t="str">
        <f t="shared" ca="1" si="0"/>
        <v/>
      </c>
      <c r="H10" s="58" t="str">
        <f t="shared" ca="1" si="0"/>
        <v/>
      </c>
      <c r="I10" s="58" t="str">
        <f t="shared" ca="1" si="0"/>
        <v/>
      </c>
      <c r="J10" s="58" t="str">
        <f t="shared" ca="1" si="0"/>
        <v/>
      </c>
      <c r="K10" s="58" t="str">
        <f t="shared" ca="1" si="0"/>
        <v/>
      </c>
      <c r="L10" s="58" t="str">
        <f t="shared" ca="1" si="0"/>
        <v/>
      </c>
      <c r="P10" s="244"/>
      <c r="Q10" s="244"/>
      <c r="R10" s="244"/>
      <c r="S10" s="244"/>
      <c r="T10" s="244"/>
      <c r="U10" s="244"/>
      <c r="V10" s="244"/>
      <c r="W10" s="244"/>
      <c r="X10" s="244"/>
      <c r="Y10" s="244"/>
      <c r="Z10" s="244"/>
    </row>
    <row r="11" spans="2:26">
      <c r="B11" s="56" t="str">
        <f>IF('Low Stress Type Gasket'!BE16="","",'Low Stress Type Gasket'!BE16)</f>
        <v/>
      </c>
      <c r="C11" s="58" t="str">
        <f t="shared" ca="1" si="0"/>
        <v/>
      </c>
      <c r="D11" s="58" t="str">
        <f t="shared" ca="1" si="0"/>
        <v/>
      </c>
      <c r="E11" s="58" t="str">
        <f t="shared" ca="1" si="0"/>
        <v/>
      </c>
      <c r="F11" s="58" t="str">
        <f t="shared" ca="1" si="0"/>
        <v/>
      </c>
      <c r="G11" s="58" t="str">
        <f t="shared" ca="1" si="0"/>
        <v/>
      </c>
      <c r="H11" s="58" t="str">
        <f t="shared" ca="1" si="0"/>
        <v/>
      </c>
      <c r="I11" s="58" t="str">
        <f t="shared" ca="1" si="0"/>
        <v/>
      </c>
      <c r="J11" s="58" t="str">
        <f t="shared" ca="1" si="0"/>
        <v/>
      </c>
      <c r="K11" s="58" t="str">
        <f t="shared" ca="1" si="0"/>
        <v/>
      </c>
      <c r="L11" s="58" t="str">
        <f t="shared" ca="1" si="0"/>
        <v/>
      </c>
      <c r="P11" s="244"/>
      <c r="Q11" s="244"/>
      <c r="R11" s="244"/>
      <c r="S11" s="244"/>
      <c r="T11" s="244"/>
      <c r="U11" s="244"/>
      <c r="V11" s="244"/>
      <c r="W11" s="244"/>
      <c r="X11" s="244"/>
      <c r="Y11" s="244"/>
      <c r="Z11" s="244"/>
    </row>
    <row r="12" spans="2:26">
      <c r="B12" s="56" t="str">
        <f>IF('Low Stress Type Gasket'!BE17="","",'Low Stress Type Gasket'!BE17)</f>
        <v/>
      </c>
      <c r="C12" s="58" t="str">
        <f t="shared" ca="1" si="0"/>
        <v/>
      </c>
      <c r="D12" s="58" t="str">
        <f t="shared" ca="1" si="0"/>
        <v/>
      </c>
      <c r="E12" s="58" t="str">
        <f t="shared" ca="1" si="0"/>
        <v/>
      </c>
      <c r="F12" s="58" t="str">
        <f t="shared" ca="1" si="0"/>
        <v/>
      </c>
      <c r="G12" s="58" t="str">
        <f t="shared" ca="1" si="0"/>
        <v/>
      </c>
      <c r="H12" s="58" t="str">
        <f t="shared" ca="1" si="0"/>
        <v/>
      </c>
      <c r="I12" s="58" t="str">
        <f t="shared" ca="1" si="0"/>
        <v/>
      </c>
      <c r="J12" s="58" t="str">
        <f t="shared" ca="1" si="0"/>
        <v/>
      </c>
      <c r="K12" s="58" t="str">
        <f t="shared" ca="1" si="0"/>
        <v/>
      </c>
      <c r="L12" s="58" t="str">
        <f t="shared" ca="1" si="0"/>
        <v/>
      </c>
      <c r="P12" s="241"/>
      <c r="Q12" s="241"/>
      <c r="R12" s="241"/>
      <c r="S12" s="241"/>
      <c r="T12" s="241"/>
      <c r="U12" s="241"/>
      <c r="V12" s="241"/>
      <c r="W12" s="241"/>
      <c r="X12" s="241"/>
      <c r="Y12" s="241"/>
      <c r="Z12" s="241"/>
    </row>
    <row r="13" spans="2:26">
      <c r="B13" s="56" t="str">
        <f>IF('Low Stress Type Gasket'!BE18="","",'Low Stress Type Gasket'!BE18)</f>
        <v/>
      </c>
      <c r="C13" s="58" t="str">
        <f t="shared" ca="1" si="0"/>
        <v/>
      </c>
      <c r="D13" s="58" t="str">
        <f t="shared" ca="1" si="0"/>
        <v/>
      </c>
      <c r="E13" s="58" t="str">
        <f t="shared" ca="1" si="0"/>
        <v/>
      </c>
      <c r="F13" s="58" t="str">
        <f t="shared" ca="1" si="0"/>
        <v/>
      </c>
      <c r="G13" s="58" t="str">
        <f t="shared" ca="1" si="0"/>
        <v/>
      </c>
      <c r="H13" s="58" t="str">
        <f t="shared" ca="1" si="0"/>
        <v/>
      </c>
      <c r="I13" s="58" t="str">
        <f t="shared" ca="1" si="0"/>
        <v/>
      </c>
      <c r="J13" s="58" t="str">
        <f t="shared" ca="1" si="0"/>
        <v/>
      </c>
      <c r="K13" s="58" t="str">
        <f t="shared" ca="1" si="0"/>
        <v/>
      </c>
      <c r="L13" s="58" t="str">
        <f t="shared" ca="1" si="0"/>
        <v/>
      </c>
      <c r="P13" s="244"/>
      <c r="Q13" s="244"/>
      <c r="R13" s="244"/>
      <c r="S13" s="244"/>
      <c r="T13" s="244"/>
      <c r="U13" s="244"/>
      <c r="V13" s="244"/>
      <c r="W13" s="244"/>
      <c r="X13" s="244"/>
      <c r="Y13" s="244"/>
      <c r="Z13" s="244"/>
    </row>
    <row r="14" spans="2:26">
      <c r="B14" s="56" t="str">
        <f>IF('Low Stress Type Gasket'!BE19="","",'Low Stress Type Gasket'!BE19)</f>
        <v/>
      </c>
      <c r="C14" s="58" t="str">
        <f t="shared" ca="1" si="0"/>
        <v/>
      </c>
      <c r="D14" s="58" t="str">
        <f t="shared" ca="1" si="0"/>
        <v/>
      </c>
      <c r="E14" s="58" t="str">
        <f t="shared" ca="1" si="0"/>
        <v/>
      </c>
      <c r="F14" s="58" t="str">
        <f t="shared" ca="1" si="0"/>
        <v/>
      </c>
      <c r="G14" s="58" t="str">
        <f t="shared" ca="1" si="0"/>
        <v/>
      </c>
      <c r="H14" s="58" t="str">
        <f t="shared" ca="1" si="0"/>
        <v/>
      </c>
      <c r="I14" s="58" t="str">
        <f t="shared" ca="1" si="0"/>
        <v/>
      </c>
      <c r="J14" s="58" t="str">
        <f t="shared" ca="1" si="0"/>
        <v/>
      </c>
      <c r="K14" s="58" t="str">
        <f t="shared" ca="1" si="0"/>
        <v/>
      </c>
      <c r="L14" s="58" t="str">
        <f t="shared" ca="1" si="0"/>
        <v/>
      </c>
      <c r="P14" s="244"/>
      <c r="Q14" s="244"/>
      <c r="R14" s="244"/>
      <c r="S14" s="244"/>
      <c r="T14" s="244"/>
      <c r="U14" s="244"/>
      <c r="V14" s="244"/>
      <c r="W14" s="244"/>
      <c r="X14" s="244"/>
      <c r="Y14" s="244"/>
      <c r="Z14" s="244"/>
    </row>
    <row r="15" spans="2:26">
      <c r="B15" s="56" t="str">
        <f>IF('Low Stress Type Gasket'!BE20="","",'Low Stress Type Gasket'!BE20)</f>
        <v/>
      </c>
      <c r="C15" s="58" t="str">
        <f t="shared" ca="1" si="0"/>
        <v/>
      </c>
      <c r="D15" s="58" t="str">
        <f t="shared" ca="1" si="0"/>
        <v/>
      </c>
      <c r="E15" s="58" t="str">
        <f t="shared" ca="1" si="0"/>
        <v/>
      </c>
      <c r="F15" s="58" t="str">
        <f t="shared" ca="1" si="0"/>
        <v/>
      </c>
      <c r="G15" s="58" t="str">
        <f t="shared" ca="1" si="0"/>
        <v/>
      </c>
      <c r="H15" s="58" t="str">
        <f t="shared" ca="1" si="0"/>
        <v/>
      </c>
      <c r="I15" s="58" t="str">
        <f t="shared" ca="1" si="0"/>
        <v/>
      </c>
      <c r="J15" s="58" t="str">
        <f t="shared" ca="1" si="0"/>
        <v/>
      </c>
      <c r="K15" s="58" t="str">
        <f t="shared" ca="1" si="0"/>
        <v/>
      </c>
      <c r="L15" s="58" t="str">
        <f t="shared" ca="1" si="0"/>
        <v/>
      </c>
      <c r="P15" s="241"/>
      <c r="Q15" s="241"/>
      <c r="R15" s="241"/>
      <c r="S15" s="241"/>
      <c r="T15" s="241"/>
      <c r="U15" s="241"/>
      <c r="V15" s="241"/>
      <c r="W15" s="241"/>
      <c r="X15" s="241"/>
      <c r="Y15" s="241"/>
      <c r="Z15" s="241"/>
    </row>
    <row r="16" spans="2:26">
      <c r="B16" s="56" t="str">
        <f>IF('Low Stress Type Gasket'!BE21="","",'Low Stress Type Gasket'!BE21)</f>
        <v/>
      </c>
      <c r="C16" s="58" t="str">
        <f t="shared" ca="1" si="0"/>
        <v/>
      </c>
      <c r="D16" s="58" t="str">
        <f t="shared" ca="1" si="0"/>
        <v/>
      </c>
      <c r="E16" s="58" t="str">
        <f t="shared" ca="1" si="0"/>
        <v/>
      </c>
      <c r="F16" s="58" t="str">
        <f t="shared" ca="1" si="0"/>
        <v/>
      </c>
      <c r="G16" s="58" t="str">
        <f t="shared" ca="1" si="0"/>
        <v/>
      </c>
      <c r="H16" s="58" t="str">
        <f t="shared" ca="1" si="0"/>
        <v/>
      </c>
      <c r="I16" s="58" t="str">
        <f t="shared" ca="1" si="0"/>
        <v/>
      </c>
      <c r="J16" s="58" t="str">
        <f t="shared" ca="1" si="0"/>
        <v/>
      </c>
      <c r="K16" s="58" t="str">
        <f t="shared" ca="1" si="0"/>
        <v/>
      </c>
      <c r="L16" s="58" t="str">
        <f t="shared" ca="1" si="0"/>
        <v/>
      </c>
      <c r="P16" s="244"/>
      <c r="Q16" s="244"/>
      <c r="R16" s="244"/>
      <c r="S16" s="244"/>
      <c r="T16" s="244"/>
      <c r="U16" s="244"/>
      <c r="V16" s="244"/>
      <c r="W16" s="244"/>
      <c r="X16" s="244"/>
      <c r="Y16" s="244"/>
      <c r="Z16" s="244"/>
    </row>
    <row r="17" spans="2:26">
      <c r="B17" s="56" t="str">
        <f>IF('Low Stress Type Gasket'!BE22="","",'Low Stress Type Gasket'!BE22)</f>
        <v/>
      </c>
      <c r="C17" s="58" t="str">
        <f t="shared" ca="1" si="0"/>
        <v/>
      </c>
      <c r="D17" s="58" t="str">
        <f t="shared" ca="1" si="0"/>
        <v/>
      </c>
      <c r="E17" s="58" t="str">
        <f t="shared" ca="1" si="0"/>
        <v/>
      </c>
      <c r="F17" s="58" t="str">
        <f t="shared" ca="1" si="0"/>
        <v/>
      </c>
      <c r="G17" s="58" t="str">
        <f t="shared" ca="1" si="0"/>
        <v/>
      </c>
      <c r="H17" s="58" t="str">
        <f t="shared" ca="1" si="0"/>
        <v/>
      </c>
      <c r="I17" s="58" t="str">
        <f t="shared" ca="1" si="0"/>
        <v/>
      </c>
      <c r="J17" s="58" t="str">
        <f t="shared" ca="1" si="0"/>
        <v/>
      </c>
      <c r="K17" s="58" t="str">
        <f t="shared" ca="1" si="0"/>
        <v/>
      </c>
      <c r="L17" s="58" t="str">
        <f t="shared" ca="1" si="0"/>
        <v/>
      </c>
      <c r="P17" s="244"/>
      <c r="Q17" s="244"/>
      <c r="R17" s="244"/>
      <c r="S17" s="244"/>
      <c r="T17" s="244"/>
      <c r="U17" s="244"/>
      <c r="V17" s="244"/>
      <c r="W17" s="244"/>
      <c r="X17" s="244"/>
      <c r="Y17" s="244"/>
      <c r="Z17" s="244"/>
    </row>
    <row r="18" spans="2:26">
      <c r="B18" s="56" t="str">
        <f>IF('Low Stress Type Gasket'!BE23="","",'Low Stress Type Gasket'!BE23)</f>
        <v/>
      </c>
      <c r="C18" s="58" t="str">
        <f t="shared" ca="1" si="0"/>
        <v/>
      </c>
      <c r="D18" s="58" t="str">
        <f t="shared" ca="1" si="0"/>
        <v/>
      </c>
      <c r="E18" s="58" t="str">
        <f t="shared" ca="1" si="0"/>
        <v/>
      </c>
      <c r="F18" s="58" t="str">
        <f t="shared" ca="1" si="0"/>
        <v/>
      </c>
      <c r="G18" s="58" t="str">
        <f t="shared" ca="1" si="0"/>
        <v/>
      </c>
      <c r="H18" s="58" t="str">
        <f t="shared" ca="1" si="0"/>
        <v/>
      </c>
      <c r="I18" s="58" t="str">
        <f t="shared" ca="1" si="0"/>
        <v/>
      </c>
      <c r="J18" s="58" t="str">
        <f t="shared" ca="1" si="0"/>
        <v/>
      </c>
      <c r="K18" s="58" t="str">
        <f t="shared" ca="1" si="0"/>
        <v/>
      </c>
      <c r="L18" s="58" t="str">
        <f t="shared" ca="1" si="0"/>
        <v/>
      </c>
      <c r="P18" s="241"/>
      <c r="Q18" s="241"/>
      <c r="R18" s="241"/>
      <c r="S18" s="241"/>
      <c r="T18" s="241"/>
      <c r="U18" s="241"/>
      <c r="V18" s="241"/>
      <c r="W18" s="241"/>
      <c r="X18" s="241"/>
      <c r="Y18" s="241"/>
      <c r="Z18" s="241"/>
    </row>
    <row r="19" spans="2:26">
      <c r="B19" s="56" t="str">
        <f>IF('Low Stress Type Gasket'!BE24="","",'Low Stress Type Gasket'!BE24)</f>
        <v/>
      </c>
      <c r="C19" s="58" t="str">
        <f t="shared" ca="1" si="0"/>
        <v/>
      </c>
      <c r="D19" s="58" t="str">
        <f t="shared" ca="1" si="0"/>
        <v/>
      </c>
      <c r="E19" s="58" t="str">
        <f t="shared" ca="1" si="0"/>
        <v/>
      </c>
      <c r="F19" s="58" t="str">
        <f t="shared" ca="1" si="0"/>
        <v/>
      </c>
      <c r="G19" s="58" t="str">
        <f t="shared" ca="1" si="0"/>
        <v/>
      </c>
      <c r="H19" s="58" t="str">
        <f t="shared" ca="1" si="0"/>
        <v/>
      </c>
      <c r="I19" s="58" t="str">
        <f t="shared" ca="1" si="0"/>
        <v/>
      </c>
      <c r="J19" s="58" t="str">
        <f t="shared" ca="1" si="0"/>
        <v/>
      </c>
      <c r="K19" s="58" t="str">
        <f t="shared" ca="1" si="0"/>
        <v/>
      </c>
      <c r="L19" s="58" t="str">
        <f t="shared" ca="1" si="0"/>
        <v/>
      </c>
      <c r="P19" s="244"/>
      <c r="Q19" s="244"/>
      <c r="R19" s="244"/>
      <c r="S19" s="244"/>
      <c r="T19" s="244"/>
      <c r="U19" s="244"/>
      <c r="V19" s="244"/>
      <c r="W19" s="244"/>
      <c r="X19" s="244"/>
      <c r="Y19" s="244"/>
      <c r="Z19" s="244"/>
    </row>
    <row r="20" spans="2:26">
      <c r="B20" s="56" t="str">
        <f>IF('Low Stress Type Gasket'!BE25="","",'Low Stress Type Gasket'!BE25)</f>
        <v/>
      </c>
      <c r="C20" s="58" t="str">
        <f t="shared" ca="1" si="0"/>
        <v/>
      </c>
      <c r="D20" s="58" t="str">
        <f t="shared" ca="1" si="0"/>
        <v/>
      </c>
      <c r="E20" s="58" t="str">
        <f t="shared" ca="1" si="0"/>
        <v/>
      </c>
      <c r="F20" s="58" t="str">
        <f t="shared" ca="1" si="0"/>
        <v/>
      </c>
      <c r="G20" s="58" t="str">
        <f t="shared" ca="1" si="0"/>
        <v/>
      </c>
      <c r="H20" s="58" t="str">
        <f t="shared" ca="1" si="0"/>
        <v/>
      </c>
      <c r="I20" s="58" t="str">
        <f t="shared" ca="1" si="0"/>
        <v/>
      </c>
      <c r="J20" s="58" t="str">
        <f t="shared" ca="1" si="0"/>
        <v/>
      </c>
      <c r="K20" s="58" t="str">
        <f t="shared" ca="1" si="0"/>
        <v/>
      </c>
      <c r="L20" s="58" t="str">
        <f t="shared" ca="1" si="0"/>
        <v/>
      </c>
      <c r="P20" s="244"/>
      <c r="Q20" s="244"/>
      <c r="R20" s="244"/>
      <c r="S20" s="244"/>
      <c r="T20" s="244"/>
      <c r="U20" s="244"/>
      <c r="V20" s="244"/>
      <c r="W20" s="244"/>
      <c r="X20" s="244"/>
      <c r="Y20" s="244"/>
      <c r="Z20" s="244"/>
    </row>
    <row r="21" spans="2:26">
      <c r="B21" s="56" t="str">
        <f>IF('Low Stress Type Gasket'!BE26="","",'Low Stress Type Gasket'!BE26)</f>
        <v/>
      </c>
      <c r="C21" s="58" t="str">
        <f t="shared" ca="1" si="0"/>
        <v/>
      </c>
      <c r="D21" s="58" t="str">
        <f t="shared" ca="1" si="0"/>
        <v/>
      </c>
      <c r="E21" s="58" t="str">
        <f t="shared" ca="1" si="0"/>
        <v/>
      </c>
      <c r="F21" s="58" t="str">
        <f t="shared" ca="1" si="0"/>
        <v/>
      </c>
      <c r="G21" s="58" t="str">
        <f t="shared" ca="1" si="0"/>
        <v/>
      </c>
      <c r="H21" s="58" t="str">
        <f t="shared" ca="1" si="0"/>
        <v/>
      </c>
      <c r="I21" s="58" t="str">
        <f t="shared" ca="1" si="0"/>
        <v/>
      </c>
      <c r="J21" s="58" t="str">
        <f t="shared" ca="1" si="0"/>
        <v/>
      </c>
      <c r="K21" s="58" t="str">
        <f t="shared" ca="1" si="0"/>
        <v/>
      </c>
      <c r="L21" s="58" t="str">
        <f t="shared" ca="1" si="0"/>
        <v/>
      </c>
      <c r="P21" s="241"/>
      <c r="Q21" s="241"/>
      <c r="R21" s="241"/>
      <c r="S21" s="241"/>
      <c r="T21" s="241"/>
      <c r="U21" s="241"/>
      <c r="V21" s="241"/>
      <c r="W21" s="241"/>
      <c r="X21" s="241"/>
      <c r="Y21" s="241"/>
      <c r="Z21" s="241"/>
    </row>
    <row r="22" spans="2:26">
      <c r="B22" s="56" t="str">
        <f>IF('Low Stress Type Gasket'!BE27="","",'Low Stress Type Gasket'!BE27)</f>
        <v/>
      </c>
      <c r="C22" s="58" t="str">
        <f t="shared" ref="C22:L37" ca="1" si="1">IF($M$4=0,"",VLOOKUP($B22,INDIRECT("$P$1:$Z$"&amp;$M$4),COLUMN()-1,0))</f>
        <v/>
      </c>
      <c r="D22" s="58" t="str">
        <f t="shared" ca="1" si="1"/>
        <v/>
      </c>
      <c r="E22" s="58" t="str">
        <f t="shared" ca="1" si="1"/>
        <v/>
      </c>
      <c r="F22" s="58" t="str">
        <f t="shared" ca="1" si="1"/>
        <v/>
      </c>
      <c r="G22" s="58" t="str">
        <f t="shared" ca="1" si="1"/>
        <v/>
      </c>
      <c r="H22" s="58" t="str">
        <f t="shared" ca="1" si="1"/>
        <v/>
      </c>
      <c r="I22" s="58" t="str">
        <f t="shared" ca="1" si="1"/>
        <v/>
      </c>
      <c r="J22" s="58" t="str">
        <f t="shared" ca="1" si="1"/>
        <v/>
      </c>
      <c r="K22" s="58" t="str">
        <f t="shared" ca="1" si="1"/>
        <v/>
      </c>
      <c r="L22" s="58" t="str">
        <f t="shared" ca="1" si="1"/>
        <v/>
      </c>
      <c r="P22" s="244"/>
      <c r="Q22" s="244"/>
      <c r="R22" s="244"/>
      <c r="S22" s="244"/>
      <c r="T22" s="244"/>
      <c r="U22" s="244"/>
      <c r="V22" s="244"/>
      <c r="W22" s="244"/>
      <c r="X22" s="244"/>
      <c r="Y22" s="244"/>
      <c r="Z22" s="244"/>
    </row>
    <row r="23" spans="2:26">
      <c r="B23" s="56" t="str">
        <f>IF('Low Stress Type Gasket'!BE28="","",'Low Stress Type Gasket'!BE28)</f>
        <v/>
      </c>
      <c r="C23" s="58" t="str">
        <f t="shared" ca="1" si="1"/>
        <v/>
      </c>
      <c r="D23" s="58" t="str">
        <f t="shared" ca="1" si="1"/>
        <v/>
      </c>
      <c r="E23" s="58" t="str">
        <f t="shared" ca="1" si="1"/>
        <v/>
      </c>
      <c r="F23" s="58" t="str">
        <f t="shared" ca="1" si="1"/>
        <v/>
      </c>
      <c r="G23" s="58" t="str">
        <f t="shared" ca="1" si="1"/>
        <v/>
      </c>
      <c r="H23" s="58" t="str">
        <f t="shared" ca="1" si="1"/>
        <v/>
      </c>
      <c r="I23" s="58" t="str">
        <f t="shared" ca="1" si="1"/>
        <v/>
      </c>
      <c r="J23" s="58" t="str">
        <f t="shared" ca="1" si="1"/>
        <v/>
      </c>
      <c r="K23" s="58" t="str">
        <f t="shared" ca="1" si="1"/>
        <v/>
      </c>
      <c r="L23" s="58" t="str">
        <f t="shared" ca="1" si="1"/>
        <v/>
      </c>
      <c r="P23" s="244"/>
      <c r="Q23" s="244"/>
      <c r="R23" s="244"/>
      <c r="S23" s="244"/>
      <c r="T23" s="244"/>
      <c r="U23" s="244"/>
      <c r="V23" s="244"/>
      <c r="W23" s="244"/>
      <c r="X23" s="244"/>
      <c r="Y23" s="244"/>
      <c r="Z23" s="244"/>
    </row>
    <row r="24" spans="2:26">
      <c r="B24" s="56" t="str">
        <f>IF('Low Stress Type Gasket'!BE29="","",'Low Stress Type Gasket'!BE29)</f>
        <v/>
      </c>
      <c r="C24" s="58" t="str">
        <f t="shared" ca="1" si="1"/>
        <v/>
      </c>
      <c r="D24" s="58" t="str">
        <f t="shared" ca="1" si="1"/>
        <v/>
      </c>
      <c r="E24" s="58" t="str">
        <f t="shared" ca="1" si="1"/>
        <v/>
      </c>
      <c r="F24" s="58" t="str">
        <f t="shared" ca="1" si="1"/>
        <v/>
      </c>
      <c r="G24" s="58" t="str">
        <f t="shared" ca="1" si="1"/>
        <v/>
      </c>
      <c r="H24" s="58" t="str">
        <f t="shared" ca="1" si="1"/>
        <v/>
      </c>
      <c r="I24" s="58" t="str">
        <f t="shared" ca="1" si="1"/>
        <v/>
      </c>
      <c r="J24" s="58" t="str">
        <f t="shared" ca="1" si="1"/>
        <v/>
      </c>
      <c r="K24" s="58" t="str">
        <f t="shared" ca="1" si="1"/>
        <v/>
      </c>
      <c r="L24" s="58" t="str">
        <f t="shared" ca="1" si="1"/>
        <v/>
      </c>
      <c r="P24" s="241"/>
      <c r="Q24" s="241"/>
      <c r="R24" s="241"/>
      <c r="S24" s="241"/>
      <c r="T24" s="241"/>
      <c r="U24" s="241"/>
      <c r="V24" s="241"/>
      <c r="W24" s="241"/>
      <c r="X24" s="241"/>
      <c r="Y24" s="241"/>
      <c r="Z24" s="241"/>
    </row>
    <row r="25" spans="2:26">
      <c r="B25" s="56" t="str">
        <f>IF('Low Stress Type Gasket'!BE30="","",'Low Stress Type Gasket'!BE30)</f>
        <v/>
      </c>
      <c r="C25" s="58" t="str">
        <f t="shared" ca="1" si="1"/>
        <v/>
      </c>
      <c r="D25" s="58" t="str">
        <f t="shared" ca="1" si="1"/>
        <v/>
      </c>
      <c r="E25" s="58" t="str">
        <f t="shared" ca="1" si="1"/>
        <v/>
      </c>
      <c r="F25" s="58" t="str">
        <f t="shared" ca="1" si="1"/>
        <v/>
      </c>
      <c r="G25" s="58" t="str">
        <f t="shared" ca="1" si="1"/>
        <v/>
      </c>
      <c r="H25" s="58" t="str">
        <f t="shared" ca="1" si="1"/>
        <v/>
      </c>
      <c r="I25" s="58" t="str">
        <f t="shared" ca="1" si="1"/>
        <v/>
      </c>
      <c r="J25" s="58" t="str">
        <f t="shared" ca="1" si="1"/>
        <v/>
      </c>
      <c r="K25" s="58" t="str">
        <f t="shared" ca="1" si="1"/>
        <v/>
      </c>
      <c r="L25" s="58" t="str">
        <f t="shared" ca="1" si="1"/>
        <v/>
      </c>
      <c r="P25" s="244"/>
      <c r="Q25" s="244"/>
      <c r="R25" s="244"/>
      <c r="S25" s="244"/>
      <c r="T25" s="244"/>
      <c r="U25" s="244"/>
      <c r="V25" s="244"/>
      <c r="W25" s="244"/>
      <c r="X25" s="244"/>
      <c r="Y25" s="244"/>
      <c r="Z25" s="244"/>
    </row>
    <row r="26" spans="2:26">
      <c r="B26" s="56" t="str">
        <f>IF('Low Stress Type Gasket'!BE31="","",'Low Stress Type Gasket'!BE31)</f>
        <v/>
      </c>
      <c r="C26" s="58" t="str">
        <f t="shared" ca="1" si="1"/>
        <v/>
      </c>
      <c r="D26" s="58" t="str">
        <f t="shared" ca="1" si="1"/>
        <v/>
      </c>
      <c r="E26" s="58" t="str">
        <f t="shared" ca="1" si="1"/>
        <v/>
      </c>
      <c r="F26" s="58" t="str">
        <f t="shared" ca="1" si="1"/>
        <v/>
      </c>
      <c r="G26" s="58" t="str">
        <f t="shared" ca="1" si="1"/>
        <v/>
      </c>
      <c r="H26" s="58" t="str">
        <f t="shared" ca="1" si="1"/>
        <v/>
      </c>
      <c r="I26" s="58" t="str">
        <f t="shared" ca="1" si="1"/>
        <v/>
      </c>
      <c r="J26" s="58" t="str">
        <f t="shared" ca="1" si="1"/>
        <v/>
      </c>
      <c r="K26" s="58" t="str">
        <f t="shared" ca="1" si="1"/>
        <v/>
      </c>
      <c r="L26" s="58" t="str">
        <f t="shared" ca="1" si="1"/>
        <v/>
      </c>
      <c r="P26" s="244"/>
      <c r="Q26" s="244"/>
      <c r="R26" s="244"/>
      <c r="S26" s="244"/>
      <c r="T26" s="244"/>
      <c r="U26" s="244"/>
      <c r="V26" s="244"/>
      <c r="W26" s="244"/>
      <c r="X26" s="244"/>
      <c r="Y26" s="244"/>
      <c r="Z26" s="244"/>
    </row>
    <row r="27" spans="2:26">
      <c r="B27" s="56" t="str">
        <f>IF('Low Stress Type Gasket'!BE32="","",'Low Stress Type Gasket'!BE32)</f>
        <v/>
      </c>
      <c r="C27" s="58" t="str">
        <f t="shared" ca="1" si="1"/>
        <v/>
      </c>
      <c r="D27" s="58" t="str">
        <f t="shared" ca="1" si="1"/>
        <v/>
      </c>
      <c r="E27" s="58" t="str">
        <f t="shared" ca="1" si="1"/>
        <v/>
      </c>
      <c r="F27" s="58" t="str">
        <f t="shared" ca="1" si="1"/>
        <v/>
      </c>
      <c r="G27" s="58" t="str">
        <f t="shared" ca="1" si="1"/>
        <v/>
      </c>
      <c r="H27" s="58" t="str">
        <f t="shared" ca="1" si="1"/>
        <v/>
      </c>
      <c r="I27" s="58" t="str">
        <f t="shared" ca="1" si="1"/>
        <v/>
      </c>
      <c r="J27" s="58" t="str">
        <f t="shared" ca="1" si="1"/>
        <v/>
      </c>
      <c r="K27" s="58" t="str">
        <f t="shared" ca="1" si="1"/>
        <v/>
      </c>
      <c r="L27" s="58" t="str">
        <f t="shared" ca="1" si="1"/>
        <v/>
      </c>
      <c r="P27" s="241"/>
      <c r="Q27" s="241"/>
      <c r="R27" s="241"/>
      <c r="S27" s="241"/>
      <c r="T27" s="241"/>
      <c r="U27" s="241"/>
      <c r="V27" s="241"/>
      <c r="W27" s="241"/>
      <c r="X27" s="241"/>
      <c r="Y27" s="241"/>
      <c r="Z27" s="241"/>
    </row>
    <row r="28" spans="2:26">
      <c r="B28" s="56" t="str">
        <f>IF('Low Stress Type Gasket'!BE33="","",'Low Stress Type Gasket'!BE33)</f>
        <v/>
      </c>
      <c r="C28" s="58" t="str">
        <f t="shared" ca="1" si="1"/>
        <v/>
      </c>
      <c r="D28" s="58" t="str">
        <f t="shared" ca="1" si="1"/>
        <v/>
      </c>
      <c r="E28" s="58" t="str">
        <f t="shared" ca="1" si="1"/>
        <v/>
      </c>
      <c r="F28" s="58" t="str">
        <f t="shared" ca="1" si="1"/>
        <v/>
      </c>
      <c r="G28" s="58" t="str">
        <f t="shared" ca="1" si="1"/>
        <v/>
      </c>
      <c r="H28" s="58" t="str">
        <f t="shared" ca="1" si="1"/>
        <v/>
      </c>
      <c r="I28" s="58" t="str">
        <f t="shared" ca="1" si="1"/>
        <v/>
      </c>
      <c r="J28" s="58" t="str">
        <f t="shared" ca="1" si="1"/>
        <v/>
      </c>
      <c r="K28" s="58" t="str">
        <f t="shared" ca="1" si="1"/>
        <v/>
      </c>
      <c r="L28" s="58" t="str">
        <f t="shared" ca="1" si="1"/>
        <v/>
      </c>
      <c r="P28" s="244"/>
      <c r="Q28" s="244"/>
      <c r="R28" s="244"/>
      <c r="S28" s="244"/>
      <c r="T28" s="244"/>
      <c r="U28" s="244"/>
      <c r="V28" s="244"/>
      <c r="W28" s="244"/>
      <c r="X28" s="244"/>
      <c r="Y28" s="244"/>
      <c r="Z28" s="244"/>
    </row>
    <row r="29" spans="2:26">
      <c r="B29" s="56" t="str">
        <f>IF('Low Stress Type Gasket'!BE34="","",'Low Stress Type Gasket'!BE34)</f>
        <v/>
      </c>
      <c r="C29" s="58" t="str">
        <f t="shared" ca="1" si="1"/>
        <v/>
      </c>
      <c r="D29" s="58" t="str">
        <f t="shared" ca="1" si="1"/>
        <v/>
      </c>
      <c r="E29" s="58" t="str">
        <f t="shared" ca="1" si="1"/>
        <v/>
      </c>
      <c r="F29" s="58" t="str">
        <f t="shared" ca="1" si="1"/>
        <v/>
      </c>
      <c r="G29" s="58" t="str">
        <f t="shared" ca="1" si="1"/>
        <v/>
      </c>
      <c r="H29" s="58" t="str">
        <f t="shared" ca="1" si="1"/>
        <v/>
      </c>
      <c r="I29" s="58" t="str">
        <f t="shared" ca="1" si="1"/>
        <v/>
      </c>
      <c r="J29" s="58" t="str">
        <f t="shared" ca="1" si="1"/>
        <v/>
      </c>
      <c r="K29" s="58" t="str">
        <f t="shared" ca="1" si="1"/>
        <v/>
      </c>
      <c r="L29" s="58" t="str">
        <f t="shared" ca="1" si="1"/>
        <v/>
      </c>
      <c r="P29" s="244"/>
      <c r="Q29" s="244"/>
      <c r="R29" s="244"/>
      <c r="S29" s="244"/>
      <c r="T29" s="244"/>
      <c r="U29" s="244"/>
      <c r="V29" s="244"/>
      <c r="W29" s="244"/>
      <c r="X29" s="244"/>
      <c r="Y29" s="244"/>
      <c r="Z29" s="244"/>
    </row>
    <row r="30" spans="2:26">
      <c r="B30" s="56" t="str">
        <f>IF('Low Stress Type Gasket'!BE35="","",'Low Stress Type Gasket'!BE35)</f>
        <v/>
      </c>
      <c r="C30" s="58" t="str">
        <f t="shared" ca="1" si="1"/>
        <v/>
      </c>
      <c r="D30" s="58" t="str">
        <f t="shared" ca="1" si="1"/>
        <v/>
      </c>
      <c r="E30" s="58" t="str">
        <f t="shared" ca="1" si="1"/>
        <v/>
      </c>
      <c r="F30" s="58" t="str">
        <f t="shared" ca="1" si="1"/>
        <v/>
      </c>
      <c r="G30" s="58" t="str">
        <f t="shared" ca="1" si="1"/>
        <v/>
      </c>
      <c r="H30" s="58" t="str">
        <f t="shared" ca="1" si="1"/>
        <v/>
      </c>
      <c r="I30" s="58" t="str">
        <f t="shared" ca="1" si="1"/>
        <v/>
      </c>
      <c r="J30" s="58" t="str">
        <f t="shared" ca="1" si="1"/>
        <v/>
      </c>
      <c r="K30" s="58" t="str">
        <f t="shared" ca="1" si="1"/>
        <v/>
      </c>
      <c r="L30" s="58" t="str">
        <f t="shared" ca="1" si="1"/>
        <v/>
      </c>
      <c r="P30" s="241"/>
      <c r="Q30" s="241"/>
      <c r="R30" s="241"/>
      <c r="S30" s="241"/>
      <c r="T30" s="241"/>
      <c r="U30" s="241"/>
      <c r="V30" s="241"/>
      <c r="W30" s="241"/>
      <c r="X30" s="241"/>
      <c r="Y30" s="241"/>
      <c r="Z30" s="241"/>
    </row>
    <row r="31" spans="2:26">
      <c r="B31" s="56" t="str">
        <f>IF('Low Stress Type Gasket'!BE36="","",'Low Stress Type Gasket'!BE36)</f>
        <v/>
      </c>
      <c r="C31" s="58" t="str">
        <f t="shared" ca="1" si="1"/>
        <v/>
      </c>
      <c r="D31" s="58" t="str">
        <f t="shared" ca="1" si="1"/>
        <v/>
      </c>
      <c r="E31" s="58" t="str">
        <f t="shared" ca="1" si="1"/>
        <v/>
      </c>
      <c r="F31" s="58" t="str">
        <f t="shared" ca="1" si="1"/>
        <v/>
      </c>
      <c r="G31" s="58" t="str">
        <f t="shared" ca="1" si="1"/>
        <v/>
      </c>
      <c r="H31" s="58" t="str">
        <f t="shared" ca="1" si="1"/>
        <v/>
      </c>
      <c r="I31" s="58" t="str">
        <f t="shared" ca="1" si="1"/>
        <v/>
      </c>
      <c r="J31" s="58" t="str">
        <f t="shared" ca="1" si="1"/>
        <v/>
      </c>
      <c r="K31" s="58" t="str">
        <f t="shared" ca="1" si="1"/>
        <v/>
      </c>
      <c r="L31" s="58" t="str">
        <f t="shared" ca="1" si="1"/>
        <v/>
      </c>
      <c r="P31" s="244"/>
      <c r="Q31" s="244"/>
      <c r="R31" s="244"/>
      <c r="S31" s="244"/>
      <c r="T31" s="244"/>
      <c r="U31" s="244"/>
      <c r="V31" s="244"/>
      <c r="W31" s="244"/>
      <c r="X31" s="244"/>
      <c r="Y31" s="244"/>
      <c r="Z31" s="244"/>
    </row>
    <row r="32" spans="2:26">
      <c r="B32" s="56" t="str">
        <f>IF('Low Stress Type Gasket'!BE37="","",'Low Stress Type Gasket'!BE37)</f>
        <v/>
      </c>
      <c r="C32" s="58" t="str">
        <f t="shared" ca="1" si="1"/>
        <v/>
      </c>
      <c r="D32" s="58" t="str">
        <f t="shared" ca="1" si="1"/>
        <v/>
      </c>
      <c r="E32" s="58" t="str">
        <f t="shared" ca="1" si="1"/>
        <v/>
      </c>
      <c r="F32" s="58" t="str">
        <f t="shared" ca="1" si="1"/>
        <v/>
      </c>
      <c r="G32" s="58" t="str">
        <f t="shared" ca="1" si="1"/>
        <v/>
      </c>
      <c r="H32" s="58" t="str">
        <f t="shared" ca="1" si="1"/>
        <v/>
      </c>
      <c r="I32" s="58" t="str">
        <f t="shared" ca="1" si="1"/>
        <v/>
      </c>
      <c r="J32" s="58" t="str">
        <f t="shared" ca="1" si="1"/>
        <v/>
      </c>
      <c r="K32" s="58" t="str">
        <f t="shared" ca="1" si="1"/>
        <v/>
      </c>
      <c r="L32" s="58" t="str">
        <f t="shared" ca="1" si="1"/>
        <v/>
      </c>
      <c r="P32" s="244"/>
      <c r="Q32" s="244"/>
      <c r="R32" s="244"/>
      <c r="S32" s="244"/>
      <c r="T32" s="244"/>
      <c r="U32" s="244"/>
      <c r="V32" s="244"/>
      <c r="W32" s="244"/>
      <c r="X32" s="244"/>
      <c r="Y32" s="244"/>
      <c r="Z32" s="244"/>
    </row>
    <row r="33" spans="2:26">
      <c r="B33" s="56" t="str">
        <f>IF('Low Stress Type Gasket'!BE38="","",'Low Stress Type Gasket'!BE38)</f>
        <v/>
      </c>
      <c r="C33" s="58" t="str">
        <f t="shared" ca="1" si="1"/>
        <v/>
      </c>
      <c r="D33" s="58" t="str">
        <f t="shared" ca="1" si="1"/>
        <v/>
      </c>
      <c r="E33" s="58" t="str">
        <f t="shared" ca="1" si="1"/>
        <v/>
      </c>
      <c r="F33" s="58" t="str">
        <f t="shared" ca="1" si="1"/>
        <v/>
      </c>
      <c r="G33" s="58" t="str">
        <f t="shared" ca="1" si="1"/>
        <v/>
      </c>
      <c r="H33" s="58" t="str">
        <f t="shared" ca="1" si="1"/>
        <v/>
      </c>
      <c r="I33" s="58" t="str">
        <f t="shared" ca="1" si="1"/>
        <v/>
      </c>
      <c r="J33" s="58" t="str">
        <f t="shared" ca="1" si="1"/>
        <v/>
      </c>
      <c r="K33" s="58" t="str">
        <f t="shared" ca="1" si="1"/>
        <v/>
      </c>
      <c r="L33" s="58" t="str">
        <f t="shared" ca="1" si="1"/>
        <v/>
      </c>
      <c r="P33" s="241"/>
      <c r="Q33" s="241"/>
      <c r="R33" s="241"/>
      <c r="S33" s="241"/>
      <c r="T33" s="241"/>
      <c r="U33" s="241"/>
      <c r="V33" s="241"/>
      <c r="W33" s="241"/>
      <c r="X33" s="241"/>
      <c r="Y33" s="241"/>
      <c r="Z33" s="241"/>
    </row>
    <row r="34" spans="2:26">
      <c r="B34" s="56" t="str">
        <f>IF('Low Stress Type Gasket'!BE39="","",'Low Stress Type Gasket'!BE39)</f>
        <v/>
      </c>
      <c r="C34" s="58" t="str">
        <f t="shared" ca="1" si="1"/>
        <v/>
      </c>
      <c r="D34" s="58" t="str">
        <f t="shared" ca="1" si="1"/>
        <v/>
      </c>
      <c r="E34" s="58" t="str">
        <f t="shared" ca="1" si="1"/>
        <v/>
      </c>
      <c r="F34" s="58" t="str">
        <f t="shared" ca="1" si="1"/>
        <v/>
      </c>
      <c r="G34" s="58" t="str">
        <f t="shared" ca="1" si="1"/>
        <v/>
      </c>
      <c r="H34" s="58" t="str">
        <f t="shared" ca="1" si="1"/>
        <v/>
      </c>
      <c r="I34" s="58" t="str">
        <f t="shared" ca="1" si="1"/>
        <v/>
      </c>
      <c r="J34" s="58" t="str">
        <f t="shared" ca="1" si="1"/>
        <v/>
      </c>
      <c r="K34" s="58" t="str">
        <f t="shared" ca="1" si="1"/>
        <v/>
      </c>
      <c r="L34" s="58" t="str">
        <f t="shared" ca="1" si="1"/>
        <v/>
      </c>
      <c r="P34" s="244"/>
      <c r="Q34" s="244"/>
      <c r="R34" s="244"/>
      <c r="S34" s="244"/>
      <c r="T34" s="244"/>
      <c r="U34" s="244"/>
      <c r="V34" s="244"/>
      <c r="W34" s="244"/>
      <c r="X34" s="244"/>
      <c r="Y34" s="244"/>
      <c r="Z34" s="244"/>
    </row>
    <row r="35" spans="2:26">
      <c r="B35" s="56" t="str">
        <f>IF('Low Stress Type Gasket'!BE40="","",'Low Stress Type Gasket'!BE40)</f>
        <v/>
      </c>
      <c r="C35" s="58" t="str">
        <f t="shared" ca="1" si="1"/>
        <v/>
      </c>
      <c r="D35" s="58" t="str">
        <f t="shared" ca="1" si="1"/>
        <v/>
      </c>
      <c r="E35" s="58" t="str">
        <f t="shared" ca="1" si="1"/>
        <v/>
      </c>
      <c r="F35" s="58" t="str">
        <f t="shared" ca="1" si="1"/>
        <v/>
      </c>
      <c r="G35" s="58" t="str">
        <f t="shared" ca="1" si="1"/>
        <v/>
      </c>
      <c r="H35" s="58" t="str">
        <f t="shared" ca="1" si="1"/>
        <v/>
      </c>
      <c r="I35" s="58" t="str">
        <f t="shared" ca="1" si="1"/>
        <v/>
      </c>
      <c r="J35" s="58" t="str">
        <f t="shared" ca="1" si="1"/>
        <v/>
      </c>
      <c r="K35" s="58" t="str">
        <f t="shared" ca="1" si="1"/>
        <v/>
      </c>
      <c r="L35" s="58" t="str">
        <f t="shared" ca="1" si="1"/>
        <v/>
      </c>
      <c r="P35" s="244"/>
      <c r="Q35" s="244"/>
      <c r="R35" s="244"/>
      <c r="S35" s="244"/>
      <c r="T35" s="244"/>
      <c r="U35" s="244"/>
      <c r="V35" s="244"/>
      <c r="W35" s="244"/>
      <c r="X35" s="244"/>
      <c r="Y35" s="244"/>
      <c r="Z35" s="244"/>
    </row>
    <row r="36" spans="2:26">
      <c r="B36" s="56" t="str">
        <f>IF('Low Stress Type Gasket'!BE41="","",'Low Stress Type Gasket'!BE41)</f>
        <v/>
      </c>
      <c r="C36" s="58" t="str">
        <f t="shared" ca="1" si="1"/>
        <v/>
      </c>
      <c r="D36" s="58" t="str">
        <f t="shared" ca="1" si="1"/>
        <v/>
      </c>
      <c r="E36" s="58" t="str">
        <f t="shared" ca="1" si="1"/>
        <v/>
      </c>
      <c r="F36" s="58" t="str">
        <f t="shared" ca="1" si="1"/>
        <v/>
      </c>
      <c r="G36" s="58" t="str">
        <f t="shared" ca="1" si="1"/>
        <v/>
      </c>
      <c r="H36" s="58" t="str">
        <f t="shared" ca="1" si="1"/>
        <v/>
      </c>
      <c r="I36" s="58" t="str">
        <f t="shared" ca="1" si="1"/>
        <v/>
      </c>
      <c r="J36" s="58" t="str">
        <f t="shared" ca="1" si="1"/>
        <v/>
      </c>
      <c r="K36" s="58" t="str">
        <f t="shared" ca="1" si="1"/>
        <v/>
      </c>
      <c r="L36" s="58" t="str">
        <f t="shared" ca="1" si="1"/>
        <v/>
      </c>
      <c r="P36" s="241"/>
      <c r="Q36" s="241"/>
      <c r="R36" s="241"/>
      <c r="S36" s="241"/>
      <c r="T36" s="241"/>
      <c r="U36" s="241"/>
      <c r="V36" s="241"/>
      <c r="W36" s="241"/>
      <c r="X36" s="241"/>
      <c r="Y36" s="241"/>
      <c r="Z36" s="241"/>
    </row>
    <row r="37" spans="2:26">
      <c r="B37" s="56" t="str">
        <f>IF('Low Stress Type Gasket'!BE42="","",'Low Stress Type Gasket'!BE42)</f>
        <v/>
      </c>
      <c r="C37" s="58" t="str">
        <f t="shared" ca="1" si="1"/>
        <v/>
      </c>
      <c r="D37" s="58" t="str">
        <f t="shared" ca="1" si="1"/>
        <v/>
      </c>
      <c r="E37" s="58" t="str">
        <f t="shared" ca="1" si="1"/>
        <v/>
      </c>
      <c r="F37" s="58" t="str">
        <f t="shared" ca="1" si="1"/>
        <v/>
      </c>
      <c r="G37" s="58" t="str">
        <f t="shared" ca="1" si="1"/>
        <v/>
      </c>
      <c r="H37" s="58" t="str">
        <f t="shared" ca="1" si="1"/>
        <v/>
      </c>
      <c r="I37" s="58" t="str">
        <f t="shared" ca="1" si="1"/>
        <v/>
      </c>
      <c r="J37" s="58" t="str">
        <f t="shared" ca="1" si="1"/>
        <v/>
      </c>
      <c r="K37" s="58" t="str">
        <f t="shared" ca="1" si="1"/>
        <v/>
      </c>
      <c r="L37" s="58" t="str">
        <f t="shared" ca="1" si="1"/>
        <v/>
      </c>
      <c r="P37" s="244"/>
      <c r="Q37" s="244"/>
      <c r="R37" s="244"/>
      <c r="S37" s="244"/>
      <c r="T37" s="244"/>
      <c r="U37" s="244"/>
      <c r="V37" s="244"/>
      <c r="W37" s="244"/>
      <c r="X37" s="244"/>
      <c r="Y37" s="244"/>
      <c r="Z37" s="244"/>
    </row>
    <row r="38" spans="2:26">
      <c r="B38" s="56" t="str">
        <f>IF('Low Stress Type Gasket'!BE43="","",'Low Stress Type Gasket'!BE43)</f>
        <v/>
      </c>
      <c r="C38" s="58" t="str">
        <f t="shared" ref="C38:L53" ca="1" si="2">IF($M$4=0,"",VLOOKUP($B38,INDIRECT("$P$1:$Z$"&amp;$M$4),COLUMN()-1,0))</f>
        <v/>
      </c>
      <c r="D38" s="58" t="str">
        <f t="shared" ca="1" si="2"/>
        <v/>
      </c>
      <c r="E38" s="58" t="str">
        <f t="shared" ca="1" si="2"/>
        <v/>
      </c>
      <c r="F38" s="58" t="str">
        <f t="shared" ca="1" si="2"/>
        <v/>
      </c>
      <c r="G38" s="58" t="str">
        <f t="shared" ca="1" si="2"/>
        <v/>
      </c>
      <c r="H38" s="58" t="str">
        <f t="shared" ca="1" si="2"/>
        <v/>
      </c>
      <c r="I38" s="58" t="str">
        <f t="shared" ca="1" si="2"/>
        <v/>
      </c>
      <c r="J38" s="58" t="str">
        <f t="shared" ca="1" si="2"/>
        <v/>
      </c>
      <c r="K38" s="58" t="str">
        <f t="shared" ca="1" si="2"/>
        <v/>
      </c>
      <c r="L38" s="58" t="str">
        <f t="shared" ca="1" si="2"/>
        <v/>
      </c>
      <c r="P38" s="244"/>
      <c r="Q38" s="244"/>
      <c r="R38" s="244"/>
      <c r="S38" s="244"/>
      <c r="T38" s="244"/>
      <c r="U38" s="244"/>
      <c r="V38" s="244"/>
      <c r="W38" s="244"/>
      <c r="X38" s="244"/>
      <c r="Y38" s="244"/>
      <c r="Z38" s="244"/>
    </row>
    <row r="39" spans="2:26">
      <c r="B39" s="56" t="str">
        <f>IF('Low Stress Type Gasket'!BE44="","",'Low Stress Type Gasket'!BE44)</f>
        <v/>
      </c>
      <c r="C39" s="58" t="str">
        <f t="shared" ca="1" si="2"/>
        <v/>
      </c>
      <c r="D39" s="58" t="str">
        <f t="shared" ca="1" si="2"/>
        <v/>
      </c>
      <c r="E39" s="58" t="str">
        <f t="shared" ca="1" si="2"/>
        <v/>
      </c>
      <c r="F39" s="58" t="str">
        <f t="shared" ca="1" si="2"/>
        <v/>
      </c>
      <c r="G39" s="58" t="str">
        <f t="shared" ca="1" si="2"/>
        <v/>
      </c>
      <c r="H39" s="58" t="str">
        <f t="shared" ca="1" si="2"/>
        <v/>
      </c>
      <c r="I39" s="58" t="str">
        <f t="shared" ca="1" si="2"/>
        <v/>
      </c>
      <c r="J39" s="58" t="str">
        <f t="shared" ca="1" si="2"/>
        <v/>
      </c>
      <c r="K39" s="58" t="str">
        <f t="shared" ca="1" si="2"/>
        <v/>
      </c>
      <c r="L39" s="58" t="str">
        <f t="shared" ca="1" si="2"/>
        <v/>
      </c>
      <c r="P39" s="241"/>
      <c r="Q39" s="241"/>
      <c r="R39" s="241"/>
      <c r="S39" s="241"/>
      <c r="T39" s="241"/>
      <c r="U39" s="241"/>
      <c r="V39" s="241"/>
      <c r="W39" s="241"/>
      <c r="X39" s="241"/>
      <c r="Y39" s="241"/>
      <c r="Z39" s="241"/>
    </row>
    <row r="40" spans="2:26">
      <c r="B40" s="56" t="str">
        <f>IF('Low Stress Type Gasket'!BE45="","",'Low Stress Type Gasket'!BE45)</f>
        <v/>
      </c>
      <c r="C40" s="58" t="str">
        <f t="shared" ca="1" si="2"/>
        <v/>
      </c>
      <c r="D40" s="58" t="str">
        <f t="shared" ca="1" si="2"/>
        <v/>
      </c>
      <c r="E40" s="58" t="str">
        <f t="shared" ca="1" si="2"/>
        <v/>
      </c>
      <c r="F40" s="58" t="str">
        <f t="shared" ca="1" si="2"/>
        <v/>
      </c>
      <c r="G40" s="58" t="str">
        <f t="shared" ca="1" si="2"/>
        <v/>
      </c>
      <c r="H40" s="58" t="str">
        <f t="shared" ca="1" si="2"/>
        <v/>
      </c>
      <c r="I40" s="58" t="str">
        <f t="shared" ca="1" si="2"/>
        <v/>
      </c>
      <c r="J40" s="58" t="str">
        <f t="shared" ca="1" si="2"/>
        <v/>
      </c>
      <c r="K40" s="58" t="str">
        <f t="shared" ca="1" si="2"/>
        <v/>
      </c>
      <c r="L40" s="58" t="str">
        <f t="shared" ca="1" si="2"/>
        <v/>
      </c>
      <c r="P40" s="244"/>
      <c r="Q40" s="244"/>
      <c r="R40" s="244"/>
      <c r="S40" s="244"/>
      <c r="T40" s="244"/>
      <c r="U40" s="244"/>
      <c r="V40" s="244"/>
      <c r="W40" s="244"/>
      <c r="X40" s="244"/>
      <c r="Y40" s="244"/>
      <c r="Z40" s="244"/>
    </row>
    <row r="41" spans="2:26">
      <c r="B41" s="56" t="str">
        <f>IF('Low Stress Type Gasket'!BE46="","",'Low Stress Type Gasket'!BE46)</f>
        <v/>
      </c>
      <c r="C41" s="58" t="str">
        <f t="shared" ca="1" si="2"/>
        <v/>
      </c>
      <c r="D41" s="58" t="str">
        <f t="shared" ca="1" si="2"/>
        <v/>
      </c>
      <c r="E41" s="58" t="str">
        <f t="shared" ca="1" si="2"/>
        <v/>
      </c>
      <c r="F41" s="58" t="str">
        <f t="shared" ca="1" si="2"/>
        <v/>
      </c>
      <c r="G41" s="58" t="str">
        <f t="shared" ca="1" si="2"/>
        <v/>
      </c>
      <c r="H41" s="58" t="str">
        <f t="shared" ca="1" si="2"/>
        <v/>
      </c>
      <c r="I41" s="58" t="str">
        <f t="shared" ca="1" si="2"/>
        <v/>
      </c>
      <c r="J41" s="58" t="str">
        <f t="shared" ca="1" si="2"/>
        <v/>
      </c>
      <c r="K41" s="58" t="str">
        <f t="shared" ca="1" si="2"/>
        <v/>
      </c>
      <c r="L41" s="58" t="str">
        <f t="shared" ca="1" si="2"/>
        <v/>
      </c>
      <c r="P41" s="244"/>
      <c r="Q41" s="244"/>
      <c r="R41" s="244"/>
      <c r="S41" s="244"/>
      <c r="T41" s="244"/>
      <c r="U41" s="244"/>
      <c r="V41" s="244"/>
      <c r="W41" s="244"/>
      <c r="X41" s="244"/>
      <c r="Y41" s="244"/>
      <c r="Z41" s="244"/>
    </row>
    <row r="42" spans="2:26">
      <c r="B42" s="56" t="str">
        <f>IF('Low Stress Type Gasket'!BE47="","",'Low Stress Type Gasket'!BE47)</f>
        <v/>
      </c>
      <c r="C42" s="58" t="str">
        <f t="shared" ca="1" si="2"/>
        <v/>
      </c>
      <c r="D42" s="58" t="str">
        <f t="shared" ca="1" si="2"/>
        <v/>
      </c>
      <c r="E42" s="58" t="str">
        <f t="shared" ca="1" si="2"/>
        <v/>
      </c>
      <c r="F42" s="58" t="str">
        <f t="shared" ca="1" si="2"/>
        <v/>
      </c>
      <c r="G42" s="58" t="str">
        <f t="shared" ca="1" si="2"/>
        <v/>
      </c>
      <c r="H42" s="58" t="str">
        <f t="shared" ca="1" si="2"/>
        <v/>
      </c>
      <c r="I42" s="58" t="str">
        <f t="shared" ca="1" si="2"/>
        <v/>
      </c>
      <c r="J42" s="58" t="str">
        <f t="shared" ca="1" si="2"/>
        <v/>
      </c>
      <c r="K42" s="58" t="str">
        <f t="shared" ca="1" si="2"/>
        <v/>
      </c>
      <c r="L42" s="58" t="str">
        <f t="shared" ca="1" si="2"/>
        <v/>
      </c>
      <c r="P42" s="241"/>
      <c r="Q42" s="241"/>
      <c r="R42" s="241"/>
      <c r="S42" s="241"/>
      <c r="T42" s="241"/>
      <c r="U42" s="241"/>
      <c r="V42" s="241"/>
      <c r="W42" s="241"/>
      <c r="X42" s="241"/>
      <c r="Y42" s="241"/>
      <c r="Z42" s="241"/>
    </row>
    <row r="43" spans="2:26">
      <c r="B43" s="56" t="str">
        <f>IF('Low Stress Type Gasket'!BE48="","",'Low Stress Type Gasket'!BE48)</f>
        <v/>
      </c>
      <c r="C43" s="58" t="str">
        <f t="shared" ca="1" si="2"/>
        <v/>
      </c>
      <c r="D43" s="58" t="str">
        <f t="shared" ca="1" si="2"/>
        <v/>
      </c>
      <c r="E43" s="58" t="str">
        <f t="shared" ca="1" si="2"/>
        <v/>
      </c>
      <c r="F43" s="58" t="str">
        <f t="shared" ca="1" si="2"/>
        <v/>
      </c>
      <c r="G43" s="58" t="str">
        <f t="shared" ca="1" si="2"/>
        <v/>
      </c>
      <c r="H43" s="58" t="str">
        <f t="shared" ca="1" si="2"/>
        <v/>
      </c>
      <c r="I43" s="58" t="str">
        <f t="shared" ca="1" si="2"/>
        <v/>
      </c>
      <c r="J43" s="58" t="str">
        <f t="shared" ca="1" si="2"/>
        <v/>
      </c>
      <c r="K43" s="58" t="str">
        <f t="shared" ca="1" si="2"/>
        <v/>
      </c>
      <c r="L43" s="58" t="str">
        <f t="shared" ca="1" si="2"/>
        <v/>
      </c>
      <c r="P43" s="244"/>
      <c r="Q43" s="244"/>
      <c r="R43" s="244"/>
      <c r="S43" s="244"/>
      <c r="T43" s="244"/>
      <c r="U43" s="244"/>
      <c r="V43" s="244"/>
      <c r="W43" s="244"/>
      <c r="X43" s="244"/>
      <c r="Y43" s="244"/>
      <c r="Z43" s="244"/>
    </row>
    <row r="44" spans="2:26">
      <c r="B44" s="56" t="str">
        <f>IF('Low Stress Type Gasket'!BE49="","",'Low Stress Type Gasket'!BE49)</f>
        <v/>
      </c>
      <c r="C44" s="58" t="str">
        <f t="shared" ca="1" si="2"/>
        <v/>
      </c>
      <c r="D44" s="58" t="str">
        <f t="shared" ca="1" si="2"/>
        <v/>
      </c>
      <c r="E44" s="58" t="str">
        <f t="shared" ca="1" si="2"/>
        <v/>
      </c>
      <c r="F44" s="58" t="str">
        <f t="shared" ca="1" si="2"/>
        <v/>
      </c>
      <c r="G44" s="58" t="str">
        <f t="shared" ca="1" si="2"/>
        <v/>
      </c>
      <c r="H44" s="58" t="str">
        <f t="shared" ca="1" si="2"/>
        <v/>
      </c>
      <c r="I44" s="58" t="str">
        <f t="shared" ca="1" si="2"/>
        <v/>
      </c>
      <c r="J44" s="58" t="str">
        <f t="shared" ca="1" si="2"/>
        <v/>
      </c>
      <c r="K44" s="58" t="str">
        <f t="shared" ca="1" si="2"/>
        <v/>
      </c>
      <c r="L44" s="58" t="str">
        <f t="shared" ca="1" si="2"/>
        <v/>
      </c>
      <c r="P44" s="244"/>
      <c r="Q44" s="244"/>
      <c r="R44" s="244"/>
      <c r="S44" s="244"/>
      <c r="T44" s="244"/>
      <c r="U44" s="244"/>
      <c r="V44" s="244"/>
      <c r="W44" s="244"/>
      <c r="X44" s="244"/>
      <c r="Y44" s="244"/>
      <c r="Z44" s="244"/>
    </row>
    <row r="45" spans="2:26">
      <c r="B45" s="56" t="str">
        <f>IF('Low Stress Type Gasket'!BE50="","",'Low Stress Type Gasket'!BE50)</f>
        <v/>
      </c>
      <c r="C45" s="58" t="str">
        <f t="shared" ca="1" si="2"/>
        <v/>
      </c>
      <c r="D45" s="58" t="str">
        <f t="shared" ca="1" si="2"/>
        <v/>
      </c>
      <c r="E45" s="58" t="str">
        <f t="shared" ca="1" si="2"/>
        <v/>
      </c>
      <c r="F45" s="58" t="str">
        <f t="shared" ca="1" si="2"/>
        <v/>
      </c>
      <c r="G45" s="58" t="str">
        <f t="shared" ca="1" si="2"/>
        <v/>
      </c>
      <c r="H45" s="58" t="str">
        <f t="shared" ca="1" si="2"/>
        <v/>
      </c>
      <c r="I45" s="58" t="str">
        <f t="shared" ca="1" si="2"/>
        <v/>
      </c>
      <c r="J45" s="58" t="str">
        <f t="shared" ca="1" si="2"/>
        <v/>
      </c>
      <c r="K45" s="58" t="str">
        <f t="shared" ca="1" si="2"/>
        <v/>
      </c>
      <c r="L45" s="58" t="str">
        <f t="shared" ca="1" si="2"/>
        <v/>
      </c>
      <c r="P45" s="241"/>
      <c r="Q45" s="241"/>
      <c r="R45" s="241"/>
      <c r="S45" s="241"/>
      <c r="T45" s="241"/>
      <c r="U45" s="241"/>
      <c r="V45" s="241"/>
      <c r="W45" s="241"/>
      <c r="X45" s="241"/>
      <c r="Y45" s="241"/>
      <c r="Z45" s="241"/>
    </row>
    <row r="46" spans="2:26">
      <c r="B46" s="56" t="str">
        <f>IF('Low Stress Type Gasket'!BE51="","",'Low Stress Type Gasket'!BE51)</f>
        <v/>
      </c>
      <c r="C46" s="58" t="str">
        <f t="shared" ca="1" si="2"/>
        <v/>
      </c>
      <c r="D46" s="58" t="str">
        <f t="shared" ca="1" si="2"/>
        <v/>
      </c>
      <c r="E46" s="58" t="str">
        <f t="shared" ca="1" si="2"/>
        <v/>
      </c>
      <c r="F46" s="58" t="str">
        <f t="shared" ca="1" si="2"/>
        <v/>
      </c>
      <c r="G46" s="58" t="str">
        <f t="shared" ca="1" si="2"/>
        <v/>
      </c>
      <c r="H46" s="58" t="str">
        <f t="shared" ca="1" si="2"/>
        <v/>
      </c>
      <c r="I46" s="58" t="str">
        <f t="shared" ca="1" si="2"/>
        <v/>
      </c>
      <c r="J46" s="58" t="str">
        <f t="shared" ca="1" si="2"/>
        <v/>
      </c>
      <c r="K46" s="58" t="str">
        <f t="shared" ca="1" si="2"/>
        <v/>
      </c>
      <c r="L46" s="58" t="str">
        <f t="shared" ca="1" si="2"/>
        <v/>
      </c>
      <c r="P46" s="244"/>
      <c r="Q46" s="244"/>
      <c r="R46" s="244"/>
      <c r="S46" s="244"/>
      <c r="T46" s="244"/>
      <c r="U46" s="244"/>
      <c r="V46" s="244"/>
      <c r="W46" s="244"/>
      <c r="X46" s="244"/>
      <c r="Y46" s="244"/>
      <c r="Z46" s="244"/>
    </row>
    <row r="47" spans="2:26">
      <c r="B47" s="56" t="str">
        <f>IF('Low Stress Type Gasket'!BE52="","",'Low Stress Type Gasket'!BE52)</f>
        <v/>
      </c>
      <c r="C47" s="58" t="str">
        <f t="shared" ca="1" si="2"/>
        <v/>
      </c>
      <c r="D47" s="58" t="str">
        <f t="shared" ca="1" si="2"/>
        <v/>
      </c>
      <c r="E47" s="58" t="str">
        <f t="shared" ca="1" si="2"/>
        <v/>
      </c>
      <c r="F47" s="58" t="str">
        <f t="shared" ca="1" si="2"/>
        <v/>
      </c>
      <c r="G47" s="58" t="str">
        <f t="shared" ca="1" si="2"/>
        <v/>
      </c>
      <c r="H47" s="58" t="str">
        <f t="shared" ca="1" si="2"/>
        <v/>
      </c>
      <c r="I47" s="58" t="str">
        <f t="shared" ca="1" si="2"/>
        <v/>
      </c>
      <c r="J47" s="58" t="str">
        <f t="shared" ca="1" si="2"/>
        <v/>
      </c>
      <c r="K47" s="58" t="str">
        <f t="shared" ca="1" si="2"/>
        <v/>
      </c>
      <c r="L47" s="58" t="str">
        <f t="shared" ca="1" si="2"/>
        <v/>
      </c>
      <c r="P47" s="244"/>
      <c r="Q47" s="244"/>
      <c r="R47" s="244"/>
      <c r="S47" s="244"/>
      <c r="T47" s="244"/>
      <c r="U47" s="244"/>
      <c r="V47" s="244"/>
      <c r="W47" s="244"/>
      <c r="X47" s="244"/>
      <c r="Y47" s="244"/>
      <c r="Z47" s="244"/>
    </row>
    <row r="48" spans="2:26">
      <c r="B48" s="56" t="str">
        <f>IF('Low Stress Type Gasket'!BE53="","",'Low Stress Type Gasket'!BE53)</f>
        <v/>
      </c>
      <c r="C48" s="58" t="str">
        <f t="shared" ca="1" si="2"/>
        <v/>
      </c>
      <c r="D48" s="58" t="str">
        <f t="shared" ca="1" si="2"/>
        <v/>
      </c>
      <c r="E48" s="58" t="str">
        <f t="shared" ca="1" si="2"/>
        <v/>
      </c>
      <c r="F48" s="58" t="str">
        <f t="shared" ca="1" si="2"/>
        <v/>
      </c>
      <c r="G48" s="58" t="str">
        <f t="shared" ca="1" si="2"/>
        <v/>
      </c>
      <c r="H48" s="58" t="str">
        <f t="shared" ca="1" si="2"/>
        <v/>
      </c>
      <c r="I48" s="58" t="str">
        <f t="shared" ca="1" si="2"/>
        <v/>
      </c>
      <c r="J48" s="58" t="str">
        <f t="shared" ca="1" si="2"/>
        <v/>
      </c>
      <c r="K48" s="58" t="str">
        <f t="shared" ca="1" si="2"/>
        <v/>
      </c>
      <c r="L48" s="58" t="str">
        <f t="shared" ca="1" si="2"/>
        <v/>
      </c>
      <c r="P48" s="241"/>
      <c r="Q48" s="241"/>
      <c r="R48" s="241"/>
      <c r="S48" s="241"/>
      <c r="T48" s="241"/>
      <c r="U48" s="241"/>
      <c r="V48" s="241"/>
      <c r="W48" s="241"/>
      <c r="X48" s="241"/>
      <c r="Y48" s="241"/>
      <c r="Z48" s="241"/>
    </row>
    <row r="49" spans="2:26">
      <c r="B49" s="56" t="str">
        <f>IF('Low Stress Type Gasket'!BE54="","",'Low Stress Type Gasket'!BE54)</f>
        <v/>
      </c>
      <c r="C49" s="58" t="str">
        <f t="shared" ca="1" si="2"/>
        <v/>
      </c>
      <c r="D49" s="58" t="str">
        <f t="shared" ca="1" si="2"/>
        <v/>
      </c>
      <c r="E49" s="58" t="str">
        <f t="shared" ca="1" si="2"/>
        <v/>
      </c>
      <c r="F49" s="58" t="str">
        <f t="shared" ca="1" si="2"/>
        <v/>
      </c>
      <c r="G49" s="58" t="str">
        <f t="shared" ca="1" si="2"/>
        <v/>
      </c>
      <c r="H49" s="58" t="str">
        <f t="shared" ca="1" si="2"/>
        <v/>
      </c>
      <c r="I49" s="58" t="str">
        <f t="shared" ca="1" si="2"/>
        <v/>
      </c>
      <c r="J49" s="58" t="str">
        <f t="shared" ca="1" si="2"/>
        <v/>
      </c>
      <c r="K49" s="58" t="str">
        <f t="shared" ca="1" si="2"/>
        <v/>
      </c>
      <c r="L49" s="58" t="str">
        <f t="shared" ca="1" si="2"/>
        <v/>
      </c>
      <c r="P49" s="244"/>
      <c r="Q49" s="244"/>
      <c r="R49" s="244"/>
      <c r="S49" s="244"/>
      <c r="T49" s="244"/>
      <c r="U49" s="244"/>
      <c r="V49" s="244"/>
      <c r="W49" s="244"/>
      <c r="X49" s="244"/>
      <c r="Y49" s="244"/>
      <c r="Z49" s="244"/>
    </row>
    <row r="50" spans="2:26">
      <c r="B50" s="56" t="str">
        <f>IF('Low Stress Type Gasket'!BE55="","",'Low Stress Type Gasket'!BE55)</f>
        <v/>
      </c>
      <c r="C50" s="58" t="str">
        <f t="shared" ca="1" si="2"/>
        <v/>
      </c>
      <c r="D50" s="58" t="str">
        <f t="shared" ca="1" si="2"/>
        <v/>
      </c>
      <c r="E50" s="58" t="str">
        <f t="shared" ca="1" si="2"/>
        <v/>
      </c>
      <c r="F50" s="58" t="str">
        <f t="shared" ca="1" si="2"/>
        <v/>
      </c>
      <c r="G50" s="58" t="str">
        <f t="shared" ca="1" si="2"/>
        <v/>
      </c>
      <c r="H50" s="58" t="str">
        <f t="shared" ca="1" si="2"/>
        <v/>
      </c>
      <c r="I50" s="58" t="str">
        <f t="shared" ca="1" si="2"/>
        <v/>
      </c>
      <c r="J50" s="58" t="str">
        <f t="shared" ca="1" si="2"/>
        <v/>
      </c>
      <c r="K50" s="58" t="str">
        <f t="shared" ca="1" si="2"/>
        <v/>
      </c>
      <c r="L50" s="58" t="str">
        <f t="shared" ca="1" si="2"/>
        <v/>
      </c>
      <c r="P50" s="244"/>
      <c r="Q50" s="244"/>
      <c r="R50" s="244"/>
      <c r="S50" s="244"/>
      <c r="T50" s="244"/>
      <c r="U50" s="244"/>
      <c r="V50" s="244"/>
      <c r="W50" s="244"/>
      <c r="X50" s="244"/>
      <c r="Y50" s="244"/>
      <c r="Z50" s="244"/>
    </row>
    <row r="51" spans="2:26">
      <c r="B51" s="56" t="str">
        <f>IF('Low Stress Type Gasket'!BE56="","",'Low Stress Type Gasket'!BE56)</f>
        <v/>
      </c>
      <c r="C51" s="58" t="str">
        <f t="shared" ca="1" si="2"/>
        <v/>
      </c>
      <c r="D51" s="58" t="str">
        <f t="shared" ca="1" si="2"/>
        <v/>
      </c>
      <c r="E51" s="58" t="str">
        <f t="shared" ca="1" si="2"/>
        <v/>
      </c>
      <c r="F51" s="58" t="str">
        <f t="shared" ca="1" si="2"/>
        <v/>
      </c>
      <c r="G51" s="58" t="str">
        <f t="shared" ca="1" si="2"/>
        <v/>
      </c>
      <c r="H51" s="58" t="str">
        <f t="shared" ca="1" si="2"/>
        <v/>
      </c>
      <c r="I51" s="58" t="str">
        <f t="shared" ca="1" si="2"/>
        <v/>
      </c>
      <c r="J51" s="58" t="str">
        <f t="shared" ca="1" si="2"/>
        <v/>
      </c>
      <c r="K51" s="58" t="str">
        <f t="shared" ca="1" si="2"/>
        <v/>
      </c>
      <c r="L51" s="58" t="str">
        <f t="shared" ca="1" si="2"/>
        <v/>
      </c>
      <c r="P51" s="241"/>
      <c r="Q51" s="241"/>
      <c r="R51" s="241"/>
      <c r="S51" s="241"/>
      <c r="T51" s="241"/>
      <c r="U51" s="241"/>
      <c r="V51" s="241"/>
      <c r="W51" s="241"/>
      <c r="X51" s="241"/>
      <c r="Y51" s="241"/>
      <c r="Z51" s="241"/>
    </row>
    <row r="52" spans="2:26">
      <c r="B52" s="56" t="str">
        <f>IF('Low Stress Type Gasket'!BE57="","",'Low Stress Type Gasket'!BE57)</f>
        <v/>
      </c>
      <c r="C52" s="58" t="str">
        <f t="shared" ca="1" si="2"/>
        <v/>
      </c>
      <c r="D52" s="58" t="str">
        <f t="shared" ca="1" si="2"/>
        <v/>
      </c>
      <c r="E52" s="58" t="str">
        <f t="shared" ca="1" si="2"/>
        <v/>
      </c>
      <c r="F52" s="58" t="str">
        <f t="shared" ca="1" si="2"/>
        <v/>
      </c>
      <c r="G52" s="58" t="str">
        <f t="shared" ca="1" si="2"/>
        <v/>
      </c>
      <c r="H52" s="58" t="str">
        <f t="shared" ca="1" si="2"/>
        <v/>
      </c>
      <c r="I52" s="58" t="str">
        <f t="shared" ca="1" si="2"/>
        <v/>
      </c>
      <c r="J52" s="58" t="str">
        <f t="shared" ca="1" si="2"/>
        <v/>
      </c>
      <c r="K52" s="58" t="str">
        <f t="shared" ca="1" si="2"/>
        <v/>
      </c>
      <c r="L52" s="58" t="str">
        <f t="shared" ca="1" si="2"/>
        <v/>
      </c>
      <c r="P52" s="244"/>
      <c r="Q52" s="244"/>
      <c r="R52" s="244"/>
      <c r="S52" s="244"/>
      <c r="T52" s="244"/>
      <c r="U52" s="244"/>
      <c r="V52" s="244"/>
      <c r="W52" s="244"/>
      <c r="X52" s="244"/>
      <c r="Y52" s="244"/>
      <c r="Z52" s="244"/>
    </row>
    <row r="53" spans="2:26">
      <c r="B53" s="56" t="str">
        <f>IF('Low Stress Type Gasket'!BE58="","",'Low Stress Type Gasket'!BE58)</f>
        <v/>
      </c>
      <c r="C53" s="58" t="str">
        <f t="shared" ca="1" si="2"/>
        <v/>
      </c>
      <c r="D53" s="58" t="str">
        <f t="shared" ca="1" si="2"/>
        <v/>
      </c>
      <c r="E53" s="58" t="str">
        <f t="shared" ca="1" si="2"/>
        <v/>
      </c>
      <c r="F53" s="58" t="str">
        <f t="shared" ca="1" si="2"/>
        <v/>
      </c>
      <c r="G53" s="58" t="str">
        <f t="shared" ca="1" si="2"/>
        <v/>
      </c>
      <c r="H53" s="58" t="str">
        <f t="shared" ca="1" si="2"/>
        <v/>
      </c>
      <c r="I53" s="58" t="str">
        <f t="shared" ca="1" si="2"/>
        <v/>
      </c>
      <c r="J53" s="58" t="str">
        <f t="shared" ca="1" si="2"/>
        <v/>
      </c>
      <c r="K53" s="58" t="str">
        <f t="shared" ca="1" si="2"/>
        <v/>
      </c>
      <c r="L53" s="58" t="str">
        <f t="shared" ca="1" si="2"/>
        <v/>
      </c>
      <c r="P53" s="244"/>
      <c r="Q53" s="244"/>
      <c r="R53" s="244"/>
      <c r="S53" s="244"/>
      <c r="T53" s="244"/>
      <c r="U53" s="244"/>
      <c r="V53" s="244"/>
      <c r="W53" s="244"/>
      <c r="X53" s="244"/>
      <c r="Y53" s="244"/>
      <c r="Z53" s="244"/>
    </row>
    <row r="54" spans="2:26">
      <c r="B54" s="56" t="str">
        <f>IF('Low Stress Type Gasket'!BE59="","",'Low Stress Type Gasket'!BE59)</f>
        <v/>
      </c>
      <c r="C54" s="58" t="str">
        <f t="shared" ref="C54:L55" ca="1" si="3">IF($M$4=0,"",VLOOKUP($B54,INDIRECT("$P$1:$Z$"&amp;$M$4),COLUMN()-1,0))</f>
        <v/>
      </c>
      <c r="D54" s="58" t="str">
        <f t="shared" ca="1" si="3"/>
        <v/>
      </c>
      <c r="E54" s="58" t="str">
        <f t="shared" ca="1" si="3"/>
        <v/>
      </c>
      <c r="F54" s="58" t="str">
        <f t="shared" ca="1" si="3"/>
        <v/>
      </c>
      <c r="G54" s="58" t="str">
        <f t="shared" ca="1" si="3"/>
        <v/>
      </c>
      <c r="H54" s="58" t="str">
        <f t="shared" ca="1" si="3"/>
        <v/>
      </c>
      <c r="I54" s="58" t="str">
        <f t="shared" ca="1" si="3"/>
        <v/>
      </c>
      <c r="J54" s="58" t="str">
        <f t="shared" ca="1" si="3"/>
        <v/>
      </c>
      <c r="K54" s="58" t="str">
        <f t="shared" ca="1" si="3"/>
        <v/>
      </c>
      <c r="L54" s="58" t="str">
        <f t="shared" ca="1" si="3"/>
        <v/>
      </c>
      <c r="P54" s="241"/>
      <c r="Q54" s="241"/>
      <c r="R54" s="241"/>
      <c r="S54" s="241"/>
      <c r="T54" s="241"/>
      <c r="U54" s="241"/>
      <c r="V54" s="241"/>
      <c r="W54" s="241"/>
      <c r="X54" s="241"/>
      <c r="Y54" s="241"/>
      <c r="Z54" s="241"/>
    </row>
    <row r="55" spans="2:26">
      <c r="B55" s="56" t="str">
        <f>IF('Low Stress Type Gasket'!BE60="","",'Low Stress Type Gasket'!BE60)</f>
        <v/>
      </c>
      <c r="C55" s="58" t="str">
        <f t="shared" ca="1" si="3"/>
        <v/>
      </c>
      <c r="D55" s="58" t="str">
        <f t="shared" ca="1" si="3"/>
        <v/>
      </c>
      <c r="E55" s="58" t="str">
        <f t="shared" ca="1" si="3"/>
        <v/>
      </c>
      <c r="F55" s="58" t="str">
        <f t="shared" ca="1" si="3"/>
        <v/>
      </c>
      <c r="G55" s="58" t="str">
        <f t="shared" ca="1" si="3"/>
        <v/>
      </c>
      <c r="H55" s="58" t="str">
        <f t="shared" ca="1" si="3"/>
        <v/>
      </c>
      <c r="I55" s="58" t="str">
        <f t="shared" ca="1" si="3"/>
        <v/>
      </c>
      <c r="J55" s="58" t="str">
        <f t="shared" ca="1" si="3"/>
        <v/>
      </c>
      <c r="K55" s="58" t="str">
        <f t="shared" ca="1" si="3"/>
        <v/>
      </c>
      <c r="L55" s="58" t="str">
        <f t="shared" ca="1" si="3"/>
        <v/>
      </c>
      <c r="P55" s="244"/>
      <c r="Q55" s="244"/>
      <c r="R55" s="244"/>
      <c r="S55" s="244"/>
      <c r="T55" s="244"/>
      <c r="U55" s="244"/>
      <c r="V55" s="244"/>
      <c r="W55" s="244"/>
      <c r="X55" s="244"/>
      <c r="Y55" s="244"/>
      <c r="Z55" s="244"/>
    </row>
    <row r="56" spans="2:26">
      <c r="P56" s="244"/>
      <c r="Q56" s="244"/>
      <c r="R56" s="244"/>
      <c r="S56" s="244"/>
      <c r="T56" s="244"/>
      <c r="U56" s="244"/>
      <c r="V56" s="244"/>
      <c r="W56" s="244"/>
      <c r="X56" s="244"/>
      <c r="Y56" s="244"/>
      <c r="Z56" s="244"/>
    </row>
    <row r="57" spans="2:26">
      <c r="P57" s="241"/>
      <c r="Q57" s="241"/>
      <c r="R57" s="241"/>
      <c r="S57" s="241"/>
      <c r="T57" s="241"/>
      <c r="U57" s="241"/>
      <c r="V57" s="241"/>
      <c r="W57" s="241"/>
      <c r="X57" s="241"/>
      <c r="Y57" s="241"/>
      <c r="Z57" s="241"/>
    </row>
    <row r="58" spans="2:26">
      <c r="P58" s="244"/>
      <c r="Q58" s="244"/>
      <c r="R58" s="244"/>
      <c r="S58" s="244"/>
      <c r="T58" s="244"/>
      <c r="U58" s="244"/>
      <c r="V58" s="244"/>
      <c r="W58" s="244"/>
      <c r="X58" s="244"/>
      <c r="Y58" s="244"/>
      <c r="Z58" s="244"/>
    </row>
    <row r="59" spans="2:26">
      <c r="P59" s="244"/>
      <c r="Q59" s="244"/>
      <c r="R59" s="244"/>
      <c r="S59" s="244"/>
      <c r="T59" s="244"/>
      <c r="U59" s="244"/>
      <c r="V59" s="244"/>
      <c r="W59" s="244"/>
      <c r="X59" s="244"/>
      <c r="Y59" s="244"/>
      <c r="Z59" s="244"/>
    </row>
    <row r="60" spans="2:26">
      <c r="P60" s="241"/>
      <c r="Q60" s="241"/>
      <c r="R60" s="241"/>
      <c r="S60" s="241"/>
      <c r="T60" s="241"/>
      <c r="U60" s="241"/>
      <c r="V60" s="241"/>
      <c r="W60" s="241"/>
      <c r="X60" s="241"/>
      <c r="Y60" s="241"/>
      <c r="Z60" s="241"/>
    </row>
    <row r="61" spans="2:26">
      <c r="P61" s="244"/>
      <c r="Q61" s="244"/>
      <c r="R61" s="244"/>
      <c r="S61" s="244"/>
      <c r="T61" s="244"/>
      <c r="U61" s="244"/>
      <c r="V61" s="244"/>
      <c r="W61" s="244"/>
      <c r="X61" s="244"/>
      <c r="Y61" s="244"/>
      <c r="Z61" s="244"/>
    </row>
    <row r="62" spans="2:26">
      <c r="P62" s="244"/>
      <c r="Q62" s="244"/>
      <c r="R62" s="244"/>
      <c r="S62" s="244"/>
      <c r="T62" s="244"/>
      <c r="U62" s="244"/>
      <c r="V62" s="244"/>
      <c r="W62" s="244"/>
      <c r="X62" s="244"/>
      <c r="Y62" s="244"/>
      <c r="Z62" s="244"/>
    </row>
    <row r="63" spans="2:26">
      <c r="P63" s="241"/>
      <c r="Q63" s="241"/>
      <c r="R63" s="241"/>
      <c r="S63" s="241"/>
      <c r="T63" s="241"/>
      <c r="U63" s="241"/>
      <c r="V63" s="241"/>
      <c r="W63" s="241"/>
      <c r="X63" s="241"/>
      <c r="Y63" s="241"/>
      <c r="Z63" s="241"/>
    </row>
    <row r="64" spans="2:26">
      <c r="P64" s="244"/>
      <c r="Q64" s="244"/>
      <c r="R64" s="244"/>
      <c r="S64" s="244"/>
      <c r="T64" s="244"/>
      <c r="U64" s="244"/>
      <c r="V64" s="244"/>
      <c r="W64" s="244"/>
      <c r="X64" s="244"/>
      <c r="Y64" s="244"/>
      <c r="Z64" s="244"/>
    </row>
    <row r="65" spans="16:26">
      <c r="P65" s="244"/>
      <c r="Q65" s="244"/>
      <c r="R65" s="244"/>
      <c r="S65" s="244"/>
      <c r="T65" s="244"/>
      <c r="U65" s="244"/>
      <c r="V65" s="244"/>
      <c r="W65" s="244"/>
      <c r="X65" s="244"/>
      <c r="Y65" s="244"/>
      <c r="Z65" s="244"/>
    </row>
    <row r="66" spans="16:26">
      <c r="P66" s="241"/>
      <c r="Q66" s="241"/>
      <c r="R66" s="241"/>
      <c r="S66" s="241"/>
      <c r="T66" s="241"/>
      <c r="U66" s="241"/>
      <c r="V66" s="241"/>
      <c r="W66" s="241"/>
      <c r="X66" s="241"/>
      <c r="Y66" s="241"/>
      <c r="Z66" s="241"/>
    </row>
    <row r="67" spans="16:26">
      <c r="P67" s="244"/>
      <c r="Q67" s="244"/>
      <c r="R67" s="244"/>
      <c r="S67" s="244"/>
      <c r="T67" s="244"/>
      <c r="U67" s="244"/>
      <c r="V67" s="244"/>
      <c r="W67" s="244"/>
      <c r="X67" s="244"/>
      <c r="Y67" s="244"/>
      <c r="Z67" s="244"/>
    </row>
    <row r="68" spans="16:26">
      <c r="P68" s="244"/>
      <c r="Q68" s="244"/>
      <c r="R68" s="244"/>
      <c r="S68" s="244"/>
      <c r="T68" s="244"/>
      <c r="U68" s="244"/>
      <c r="V68" s="244"/>
      <c r="W68" s="244"/>
      <c r="X68" s="244"/>
      <c r="Y68" s="244"/>
      <c r="Z68" s="244"/>
    </row>
    <row r="69" spans="16:26">
      <c r="P69" s="241"/>
      <c r="Q69" s="241"/>
      <c r="R69" s="241"/>
      <c r="S69" s="241"/>
      <c r="T69" s="241"/>
      <c r="U69" s="241"/>
      <c r="V69" s="241"/>
      <c r="W69" s="241"/>
      <c r="X69" s="241"/>
      <c r="Y69" s="241"/>
      <c r="Z69" s="241"/>
    </row>
    <row r="70" spans="16:26">
      <c r="P70" s="244"/>
      <c r="Q70" s="244"/>
      <c r="R70" s="244"/>
      <c r="S70" s="244"/>
      <c r="T70" s="244"/>
      <c r="U70" s="244"/>
      <c r="V70" s="244"/>
      <c r="W70" s="244"/>
      <c r="X70" s="244"/>
      <c r="Y70" s="244"/>
      <c r="Z70" s="244"/>
    </row>
    <row r="71" spans="16:26">
      <c r="P71" s="244"/>
      <c r="Q71" s="244"/>
      <c r="R71" s="244"/>
      <c r="S71" s="244"/>
      <c r="T71" s="244"/>
      <c r="U71" s="244"/>
      <c r="V71" s="244"/>
      <c r="W71" s="244"/>
      <c r="X71" s="244"/>
      <c r="Y71" s="244"/>
      <c r="Z71" s="244"/>
    </row>
    <row r="72" spans="16:26">
      <c r="P72" s="241"/>
      <c r="Q72" s="241"/>
      <c r="R72" s="241"/>
      <c r="S72" s="241"/>
      <c r="T72" s="241"/>
      <c r="U72" s="241"/>
      <c r="V72" s="241"/>
      <c r="W72" s="241"/>
      <c r="X72" s="241"/>
      <c r="Y72" s="241"/>
      <c r="Z72" s="241"/>
    </row>
    <row r="73" spans="16:26">
      <c r="P73" s="244"/>
      <c r="Q73" s="244"/>
      <c r="R73" s="244"/>
      <c r="S73" s="244"/>
      <c r="T73" s="244"/>
      <c r="U73" s="244"/>
      <c r="V73" s="244"/>
      <c r="W73" s="244"/>
      <c r="X73" s="244"/>
      <c r="Y73" s="244"/>
      <c r="Z73" s="244"/>
    </row>
    <row r="74" spans="16:26">
      <c r="P74" s="244"/>
      <c r="Q74" s="244"/>
      <c r="R74" s="244"/>
      <c r="S74" s="244"/>
      <c r="T74" s="244"/>
      <c r="U74" s="244"/>
      <c r="V74" s="244"/>
      <c r="W74" s="244"/>
      <c r="X74" s="244"/>
      <c r="Y74" s="244"/>
      <c r="Z74" s="244"/>
    </row>
    <row r="75" spans="16:26">
      <c r="P75" s="241"/>
      <c r="Q75" s="241"/>
      <c r="R75" s="241"/>
      <c r="S75" s="241"/>
      <c r="T75" s="241"/>
      <c r="U75" s="241"/>
      <c r="V75" s="241"/>
      <c r="W75" s="241"/>
      <c r="X75" s="241"/>
      <c r="Y75" s="241"/>
      <c r="Z75" s="241"/>
    </row>
    <row r="76" spans="16:26">
      <c r="P76" s="244"/>
      <c r="Q76" s="244"/>
      <c r="R76" s="244"/>
      <c r="S76" s="244"/>
      <c r="T76" s="244"/>
      <c r="U76" s="244"/>
      <c r="V76" s="244"/>
      <c r="W76" s="244"/>
      <c r="X76" s="244"/>
      <c r="Y76" s="244"/>
      <c r="Z76" s="244"/>
    </row>
    <row r="77" spans="16:26">
      <c r="P77" s="244"/>
      <c r="Q77" s="244"/>
      <c r="R77" s="244"/>
      <c r="S77" s="244"/>
      <c r="T77" s="244"/>
      <c r="U77" s="244"/>
      <c r="V77" s="244"/>
      <c r="W77" s="244"/>
      <c r="X77" s="244"/>
      <c r="Y77" s="244"/>
      <c r="Z77" s="244"/>
    </row>
    <row r="78" spans="16:26">
      <c r="P78" s="241"/>
      <c r="Q78" s="241"/>
      <c r="R78" s="241"/>
      <c r="S78" s="241"/>
      <c r="T78" s="241"/>
      <c r="U78" s="241"/>
      <c r="V78" s="241"/>
      <c r="W78" s="241"/>
      <c r="X78" s="241"/>
      <c r="Y78" s="241"/>
      <c r="Z78" s="241"/>
    </row>
    <row r="79" spans="16:26">
      <c r="P79" s="244"/>
      <c r="Q79" s="244"/>
      <c r="R79" s="244"/>
      <c r="S79" s="244"/>
      <c r="T79" s="244"/>
      <c r="U79" s="244"/>
      <c r="V79" s="244"/>
      <c r="W79" s="244"/>
      <c r="X79" s="244"/>
      <c r="Y79" s="244"/>
      <c r="Z79" s="244"/>
    </row>
    <row r="80" spans="16:26">
      <c r="P80" s="244"/>
      <c r="Q80" s="244"/>
      <c r="R80" s="244"/>
      <c r="S80" s="244"/>
      <c r="T80" s="244"/>
      <c r="U80" s="244"/>
      <c r="V80" s="244"/>
      <c r="W80" s="244"/>
      <c r="X80" s="244"/>
      <c r="Y80" s="244"/>
      <c r="Z80" s="244"/>
    </row>
    <row r="81" spans="16:26">
      <c r="P81" s="241"/>
      <c r="Q81" s="241"/>
      <c r="R81" s="241"/>
      <c r="S81" s="241"/>
      <c r="T81" s="241"/>
      <c r="U81" s="241"/>
      <c r="V81" s="241"/>
      <c r="W81" s="241"/>
      <c r="X81" s="241"/>
      <c r="Y81" s="241"/>
      <c r="Z81" s="241"/>
    </row>
    <row r="82" spans="16:26">
      <c r="P82" s="244"/>
      <c r="Q82" s="244"/>
      <c r="R82" s="244"/>
      <c r="S82" s="244"/>
      <c r="T82" s="244"/>
      <c r="U82" s="244"/>
      <c r="V82" s="244"/>
      <c r="W82" s="244"/>
      <c r="X82" s="244"/>
      <c r="Y82" s="244"/>
      <c r="Z82" s="244"/>
    </row>
    <row r="83" spans="16:26">
      <c r="P83" s="244"/>
      <c r="Q83" s="244"/>
      <c r="R83" s="244"/>
      <c r="S83" s="244"/>
      <c r="T83" s="244"/>
      <c r="U83" s="244"/>
      <c r="V83" s="244"/>
      <c r="W83" s="244"/>
      <c r="X83" s="244"/>
      <c r="Y83" s="244"/>
      <c r="Z83" s="244"/>
    </row>
    <row r="84" spans="16:26">
      <c r="P84" s="241"/>
      <c r="Q84" s="241"/>
      <c r="R84" s="241"/>
      <c r="S84" s="241"/>
      <c r="T84" s="241"/>
      <c r="U84" s="241"/>
      <c r="V84" s="241"/>
      <c r="W84" s="241"/>
      <c r="X84" s="241"/>
      <c r="Y84" s="241"/>
      <c r="Z84" s="241"/>
    </row>
    <row r="85" spans="16:26">
      <c r="P85" s="244"/>
      <c r="Q85" s="244"/>
      <c r="R85" s="244"/>
      <c r="S85" s="244"/>
      <c r="T85" s="244"/>
      <c r="U85" s="244"/>
      <c r="V85" s="244"/>
      <c r="W85" s="244"/>
      <c r="X85" s="244"/>
      <c r="Y85" s="244"/>
      <c r="Z85" s="244"/>
    </row>
    <row r="86" spans="16:26">
      <c r="P86" s="244"/>
      <c r="Q86" s="244"/>
      <c r="R86" s="244"/>
      <c r="S86" s="244"/>
      <c r="T86" s="244"/>
      <c r="U86" s="244"/>
      <c r="V86" s="244"/>
      <c r="W86" s="244"/>
      <c r="X86" s="244"/>
      <c r="Y86" s="244"/>
      <c r="Z86" s="244"/>
    </row>
    <row r="87" spans="16:26">
      <c r="P87" s="241"/>
      <c r="Q87" s="241"/>
      <c r="R87" s="241"/>
      <c r="S87" s="241"/>
      <c r="T87" s="241"/>
      <c r="U87" s="241"/>
      <c r="V87" s="241"/>
      <c r="W87" s="241"/>
      <c r="X87" s="241"/>
      <c r="Y87" s="241"/>
      <c r="Z87" s="241"/>
    </row>
    <row r="88" spans="16:26">
      <c r="P88" s="244"/>
      <c r="Q88" s="244"/>
      <c r="R88" s="244"/>
      <c r="S88" s="244"/>
      <c r="T88" s="244"/>
      <c r="U88" s="244"/>
      <c r="V88" s="244"/>
      <c r="W88" s="244"/>
      <c r="X88" s="244"/>
      <c r="Y88" s="244"/>
      <c r="Z88" s="244"/>
    </row>
    <row r="89" spans="16:26">
      <c r="P89" s="244"/>
      <c r="Q89" s="244"/>
      <c r="R89" s="244"/>
      <c r="S89" s="244"/>
      <c r="T89" s="244"/>
      <c r="U89" s="244"/>
      <c r="V89" s="244"/>
      <c r="W89" s="244"/>
      <c r="X89" s="244"/>
      <c r="Y89" s="244"/>
      <c r="Z89" s="244"/>
    </row>
    <row r="90" spans="16:26">
      <c r="P90" s="241"/>
      <c r="Q90" s="241"/>
      <c r="R90" s="241"/>
      <c r="S90" s="241"/>
      <c r="T90" s="241"/>
      <c r="U90" s="241"/>
      <c r="V90" s="241"/>
      <c r="W90" s="241"/>
      <c r="X90" s="241"/>
      <c r="Y90" s="241"/>
      <c r="Z90" s="241"/>
    </row>
    <row r="91" spans="16:26">
      <c r="P91" s="244"/>
      <c r="Q91" s="244"/>
      <c r="R91" s="244"/>
      <c r="S91" s="244"/>
      <c r="T91" s="244"/>
      <c r="U91" s="244"/>
      <c r="V91" s="244"/>
      <c r="W91" s="244"/>
      <c r="X91" s="244"/>
      <c r="Y91" s="244"/>
      <c r="Z91" s="244"/>
    </row>
    <row r="92" spans="16:26">
      <c r="P92" s="244"/>
      <c r="Q92" s="244"/>
      <c r="R92" s="244"/>
      <c r="S92" s="244"/>
      <c r="T92" s="244"/>
      <c r="U92" s="244"/>
      <c r="V92" s="244"/>
      <c r="W92" s="244"/>
      <c r="X92" s="244"/>
      <c r="Y92" s="244"/>
      <c r="Z92" s="244"/>
    </row>
    <row r="93" spans="16:26">
      <c r="P93" s="241"/>
      <c r="Q93" s="241"/>
      <c r="R93" s="241"/>
      <c r="S93" s="241"/>
      <c r="T93" s="241"/>
      <c r="U93" s="241"/>
      <c r="V93" s="241"/>
      <c r="W93" s="241"/>
      <c r="X93" s="241"/>
      <c r="Y93" s="241"/>
      <c r="Z93" s="241"/>
    </row>
    <row r="94" spans="16:26">
      <c r="P94" s="244"/>
      <c r="Q94" s="244"/>
      <c r="R94" s="244"/>
      <c r="S94" s="244"/>
      <c r="T94" s="244"/>
      <c r="U94" s="244"/>
      <c r="V94" s="244"/>
      <c r="W94" s="244"/>
      <c r="X94" s="244"/>
      <c r="Y94" s="244"/>
      <c r="Z94" s="244"/>
    </row>
    <row r="95" spans="16:26">
      <c r="P95" s="244"/>
      <c r="Q95" s="244"/>
      <c r="R95" s="244"/>
      <c r="S95" s="244"/>
      <c r="T95" s="244"/>
      <c r="U95" s="244"/>
      <c r="V95" s="244"/>
      <c r="W95" s="244"/>
      <c r="X95" s="244"/>
      <c r="Y95" s="244"/>
      <c r="Z95" s="244"/>
    </row>
    <row r="96" spans="16:26">
      <c r="P96" s="241"/>
      <c r="Q96" s="241"/>
      <c r="R96" s="241"/>
      <c r="S96" s="241"/>
      <c r="T96" s="241"/>
      <c r="U96" s="241"/>
      <c r="V96" s="241"/>
      <c r="W96" s="241"/>
      <c r="X96" s="241"/>
      <c r="Y96" s="241"/>
      <c r="Z96" s="241"/>
    </row>
    <row r="97" spans="16:26">
      <c r="P97" s="244"/>
      <c r="Q97" s="244"/>
      <c r="R97" s="244"/>
      <c r="S97" s="244"/>
      <c r="T97" s="244"/>
      <c r="U97" s="244"/>
      <c r="V97" s="244"/>
      <c r="W97" s="244"/>
      <c r="X97" s="244"/>
      <c r="Y97" s="244"/>
      <c r="Z97" s="244"/>
    </row>
    <row r="98" spans="16:26">
      <c r="P98" s="244"/>
      <c r="Q98" s="244"/>
      <c r="R98" s="244"/>
      <c r="S98" s="244"/>
      <c r="T98" s="244"/>
      <c r="U98" s="244"/>
      <c r="V98" s="244"/>
      <c r="W98" s="244"/>
      <c r="X98" s="244"/>
      <c r="Y98" s="244"/>
      <c r="Z98" s="244"/>
    </row>
    <row r="99" spans="16:26">
      <c r="P99" s="241"/>
      <c r="Q99" s="241"/>
      <c r="R99" s="241"/>
      <c r="S99" s="241"/>
      <c r="T99" s="241"/>
      <c r="U99" s="241"/>
      <c r="V99" s="241"/>
      <c r="W99" s="241"/>
      <c r="X99" s="241"/>
      <c r="Y99" s="241"/>
      <c r="Z99" s="241"/>
    </row>
    <row r="100" spans="16:26">
      <c r="P100" s="244"/>
      <c r="Q100" s="244"/>
      <c r="R100" s="244"/>
      <c r="S100" s="244"/>
      <c r="T100" s="244"/>
      <c r="U100" s="244"/>
      <c r="V100" s="244"/>
      <c r="W100" s="244"/>
      <c r="X100" s="244"/>
      <c r="Y100" s="244"/>
      <c r="Z100" s="244"/>
    </row>
    <row r="101" spans="16:26">
      <c r="P101" s="244"/>
      <c r="Q101" s="244"/>
      <c r="R101" s="244"/>
      <c r="S101" s="244"/>
      <c r="T101" s="244"/>
      <c r="U101" s="244"/>
      <c r="V101" s="244"/>
      <c r="W101" s="244"/>
      <c r="X101" s="244"/>
      <c r="Y101" s="244"/>
      <c r="Z101" s="244"/>
    </row>
    <row r="102" spans="16:26">
      <c r="P102" s="241"/>
      <c r="Q102" s="241"/>
      <c r="R102" s="241"/>
      <c r="S102" s="241"/>
      <c r="T102" s="241"/>
      <c r="U102" s="241"/>
      <c r="V102" s="241"/>
      <c r="W102" s="241"/>
      <c r="X102" s="241"/>
      <c r="Y102" s="241"/>
      <c r="Z102" s="241"/>
    </row>
    <row r="103" spans="16:26">
      <c r="P103" s="244"/>
      <c r="Q103" s="244"/>
      <c r="R103" s="244"/>
      <c r="S103" s="244"/>
      <c r="T103" s="244"/>
      <c r="U103" s="244"/>
      <c r="V103" s="244"/>
      <c r="W103" s="244"/>
      <c r="X103" s="244"/>
      <c r="Y103" s="244"/>
      <c r="Z103" s="244"/>
    </row>
    <row r="104" spans="16:26">
      <c r="P104" s="244"/>
      <c r="Q104" s="244"/>
      <c r="R104" s="244"/>
      <c r="S104" s="244"/>
      <c r="T104" s="244"/>
      <c r="U104" s="244"/>
      <c r="V104" s="244"/>
      <c r="W104" s="244"/>
      <c r="X104" s="244"/>
      <c r="Y104" s="244"/>
      <c r="Z104" s="244"/>
    </row>
    <row r="105" spans="16:26">
      <c r="P105" s="241"/>
      <c r="Q105" s="241"/>
      <c r="R105" s="241"/>
      <c r="S105" s="241"/>
      <c r="T105" s="241"/>
      <c r="U105" s="241"/>
      <c r="V105" s="241"/>
      <c r="W105" s="241"/>
      <c r="X105" s="241"/>
      <c r="Y105" s="241"/>
      <c r="Z105" s="241"/>
    </row>
    <row r="106" spans="16:26">
      <c r="P106" s="244"/>
      <c r="Q106" s="244"/>
      <c r="R106" s="244"/>
      <c r="S106" s="244"/>
      <c r="T106" s="244"/>
      <c r="U106" s="244"/>
      <c r="V106" s="244"/>
      <c r="W106" s="244"/>
      <c r="X106" s="244"/>
      <c r="Y106" s="244"/>
      <c r="Z106" s="244"/>
    </row>
    <row r="107" spans="16:26">
      <c r="P107" s="244"/>
      <c r="Q107" s="244"/>
      <c r="R107" s="244"/>
      <c r="S107" s="244"/>
      <c r="T107" s="244"/>
      <c r="U107" s="244"/>
      <c r="V107" s="244"/>
      <c r="W107" s="244"/>
      <c r="X107" s="244"/>
      <c r="Y107" s="244"/>
      <c r="Z107" s="244"/>
    </row>
    <row r="108" spans="16:26">
      <c r="P108" s="241"/>
      <c r="Q108" s="241"/>
      <c r="R108" s="241"/>
      <c r="S108" s="241"/>
      <c r="T108" s="241"/>
      <c r="U108" s="241"/>
      <c r="V108" s="241"/>
      <c r="W108" s="241"/>
      <c r="X108" s="241"/>
      <c r="Y108" s="241"/>
      <c r="Z108" s="241"/>
    </row>
    <row r="109" spans="16:26">
      <c r="P109" s="244"/>
      <c r="Q109" s="244"/>
      <c r="R109" s="244"/>
      <c r="S109" s="244"/>
      <c r="T109" s="244"/>
      <c r="U109" s="244"/>
      <c r="V109" s="244"/>
      <c r="W109" s="244"/>
      <c r="X109" s="244"/>
      <c r="Y109" s="244"/>
      <c r="Z109" s="244"/>
    </row>
    <row r="110" spans="16:26">
      <c r="P110" s="244"/>
      <c r="Q110" s="244"/>
      <c r="R110" s="244"/>
      <c r="S110" s="244"/>
      <c r="T110" s="244"/>
      <c r="U110" s="244"/>
      <c r="V110" s="244"/>
      <c r="W110" s="244"/>
      <c r="X110" s="244"/>
      <c r="Y110" s="244"/>
      <c r="Z110" s="244"/>
    </row>
    <row r="111" spans="16:26">
      <c r="P111" s="241"/>
      <c r="Q111" s="241"/>
      <c r="R111" s="241"/>
      <c r="S111" s="241"/>
      <c r="T111" s="241"/>
      <c r="U111" s="241"/>
      <c r="V111" s="241"/>
      <c r="W111" s="241"/>
      <c r="X111" s="241"/>
      <c r="Y111" s="241"/>
      <c r="Z111" s="241"/>
    </row>
    <row r="112" spans="16:26">
      <c r="P112" s="244"/>
      <c r="Q112" s="244"/>
      <c r="R112" s="244"/>
      <c r="S112" s="244"/>
      <c r="T112" s="244"/>
      <c r="U112" s="244"/>
      <c r="V112" s="244"/>
      <c r="W112" s="244"/>
      <c r="X112" s="244"/>
      <c r="Y112" s="244"/>
      <c r="Z112" s="244"/>
    </row>
    <row r="113" spans="16:26">
      <c r="P113" s="244"/>
      <c r="Q113" s="244"/>
      <c r="R113" s="244"/>
      <c r="S113" s="244"/>
      <c r="T113" s="244"/>
      <c r="U113" s="244"/>
      <c r="V113" s="244"/>
      <c r="W113" s="244"/>
      <c r="X113" s="244"/>
      <c r="Y113" s="244"/>
      <c r="Z113" s="244"/>
    </row>
    <row r="114" spans="16:26">
      <c r="P114" s="241"/>
      <c r="Q114" s="241"/>
      <c r="R114" s="241"/>
      <c r="S114" s="241"/>
      <c r="T114" s="241"/>
      <c r="U114" s="241"/>
      <c r="V114" s="241"/>
      <c r="W114" s="241"/>
      <c r="X114" s="241"/>
      <c r="Y114" s="241"/>
      <c r="Z114" s="241"/>
    </row>
    <row r="115" spans="16:26">
      <c r="P115" s="244"/>
      <c r="Q115" s="244"/>
      <c r="R115" s="244"/>
      <c r="S115" s="244"/>
      <c r="T115" s="244"/>
      <c r="U115" s="244"/>
      <c r="V115" s="244"/>
      <c r="W115" s="244"/>
      <c r="X115" s="244"/>
      <c r="Y115" s="244"/>
      <c r="Z115" s="244"/>
    </row>
    <row r="116" spans="16:26">
      <c r="P116" s="244"/>
      <c r="Q116" s="244"/>
      <c r="R116" s="244"/>
      <c r="S116" s="244"/>
      <c r="T116" s="244"/>
      <c r="U116" s="244"/>
      <c r="V116" s="244"/>
      <c r="W116" s="244"/>
      <c r="X116" s="244"/>
      <c r="Y116" s="244"/>
      <c r="Z116" s="244"/>
    </row>
    <row r="117" spans="16:26">
      <c r="P117" s="241"/>
      <c r="Q117" s="241"/>
      <c r="R117" s="241"/>
      <c r="S117" s="241"/>
      <c r="T117" s="241"/>
      <c r="U117" s="241"/>
      <c r="V117" s="241"/>
      <c r="W117" s="241"/>
      <c r="X117" s="241"/>
      <c r="Y117" s="241"/>
      <c r="Z117" s="241"/>
    </row>
    <row r="118" spans="16:26">
      <c r="P118" s="244"/>
      <c r="Q118" s="244"/>
      <c r="R118" s="244"/>
      <c r="S118" s="244"/>
      <c r="T118" s="244"/>
      <c r="U118" s="244"/>
      <c r="V118" s="244"/>
      <c r="W118" s="244"/>
      <c r="X118" s="244"/>
      <c r="Y118" s="244"/>
      <c r="Z118" s="244"/>
    </row>
    <row r="119" spans="16:26">
      <c r="P119" s="244"/>
      <c r="Q119" s="244"/>
      <c r="R119" s="244"/>
      <c r="S119" s="244"/>
      <c r="T119" s="244"/>
      <c r="U119" s="244"/>
      <c r="V119" s="244"/>
      <c r="W119" s="244"/>
      <c r="X119" s="244"/>
      <c r="Y119" s="244"/>
      <c r="Z119" s="244"/>
    </row>
    <row r="120" spans="16:26">
      <c r="P120" s="241"/>
      <c r="Q120" s="241"/>
      <c r="R120" s="241"/>
      <c r="S120" s="241"/>
      <c r="T120" s="241"/>
      <c r="U120" s="241"/>
      <c r="V120" s="241"/>
      <c r="W120" s="241"/>
      <c r="X120" s="241"/>
      <c r="Y120" s="241"/>
      <c r="Z120" s="241"/>
    </row>
    <row r="121" spans="16:26">
      <c r="P121" s="244"/>
      <c r="Q121" s="244"/>
      <c r="R121" s="244"/>
      <c r="S121" s="244"/>
      <c r="T121" s="244"/>
      <c r="U121" s="244"/>
      <c r="V121" s="244"/>
      <c r="W121" s="244"/>
      <c r="X121" s="244"/>
      <c r="Y121" s="244"/>
      <c r="Z121" s="244"/>
    </row>
    <row r="122" spans="16:26">
      <c r="P122" s="244"/>
      <c r="Q122" s="244"/>
      <c r="R122" s="244"/>
      <c r="S122" s="244"/>
      <c r="T122" s="244"/>
      <c r="U122" s="244"/>
      <c r="V122" s="244"/>
      <c r="W122" s="244"/>
      <c r="X122" s="244"/>
      <c r="Y122" s="244"/>
      <c r="Z122" s="244"/>
    </row>
    <row r="123" spans="16:26">
      <c r="P123" s="241"/>
      <c r="Q123" s="241"/>
      <c r="R123" s="241"/>
      <c r="S123" s="241"/>
      <c r="T123" s="241"/>
      <c r="U123" s="241"/>
      <c r="V123" s="241"/>
      <c r="W123" s="241"/>
      <c r="X123" s="241"/>
      <c r="Y123" s="241"/>
      <c r="Z123" s="241"/>
    </row>
    <row r="124" spans="16:26">
      <c r="P124" s="244"/>
      <c r="Q124" s="244"/>
      <c r="R124" s="244"/>
      <c r="S124" s="244"/>
      <c r="T124" s="244"/>
      <c r="U124" s="244"/>
      <c r="V124" s="244"/>
      <c r="W124" s="244"/>
      <c r="X124" s="244"/>
      <c r="Y124" s="244"/>
      <c r="Z124" s="244"/>
    </row>
    <row r="125" spans="16:26">
      <c r="P125" s="244"/>
      <c r="Q125" s="244"/>
      <c r="R125" s="244"/>
      <c r="S125" s="244"/>
      <c r="T125" s="244"/>
      <c r="U125" s="244"/>
      <c r="V125" s="244"/>
      <c r="W125" s="244"/>
      <c r="X125" s="244"/>
      <c r="Y125" s="244"/>
      <c r="Z125" s="244"/>
    </row>
    <row r="126" spans="16:26">
      <c r="P126" s="241"/>
      <c r="Q126" s="241"/>
      <c r="R126" s="241"/>
      <c r="S126" s="241"/>
      <c r="T126" s="241"/>
      <c r="U126" s="241"/>
      <c r="V126" s="241"/>
      <c r="W126" s="241"/>
      <c r="X126" s="241"/>
      <c r="Y126" s="241"/>
      <c r="Z126" s="241"/>
    </row>
    <row r="127" spans="16:26">
      <c r="P127" s="244"/>
      <c r="Q127" s="244"/>
      <c r="R127" s="244"/>
      <c r="S127" s="244"/>
      <c r="T127" s="244"/>
      <c r="U127" s="244"/>
      <c r="V127" s="244"/>
      <c r="W127" s="244"/>
      <c r="X127" s="244"/>
      <c r="Y127" s="244"/>
      <c r="Z127" s="244"/>
    </row>
    <row r="128" spans="16:26">
      <c r="P128" s="244"/>
      <c r="Q128" s="244"/>
      <c r="R128" s="244"/>
      <c r="S128" s="244"/>
      <c r="T128" s="244"/>
      <c r="U128" s="244"/>
      <c r="V128" s="244"/>
      <c r="W128" s="244"/>
      <c r="X128" s="244"/>
      <c r="Y128" s="244"/>
      <c r="Z128" s="244"/>
    </row>
    <row r="129" spans="16:26">
      <c r="P129" s="241"/>
      <c r="Q129" s="241"/>
      <c r="R129" s="241"/>
      <c r="S129" s="241"/>
      <c r="T129" s="241"/>
      <c r="U129" s="241"/>
      <c r="V129" s="241"/>
      <c r="W129" s="241"/>
      <c r="X129" s="241"/>
      <c r="Y129" s="241"/>
      <c r="Z129" s="241"/>
    </row>
    <row r="130" spans="16:26">
      <c r="P130" s="244"/>
      <c r="Q130" s="244"/>
      <c r="R130" s="244"/>
      <c r="S130" s="244"/>
      <c r="T130" s="244"/>
      <c r="U130" s="244"/>
      <c r="V130" s="244"/>
      <c r="W130" s="244"/>
      <c r="X130" s="244"/>
      <c r="Y130" s="244"/>
      <c r="Z130" s="244"/>
    </row>
    <row r="131" spans="16:26">
      <c r="P131" s="244"/>
      <c r="Q131" s="244"/>
      <c r="R131" s="244"/>
      <c r="S131" s="244"/>
      <c r="T131" s="244"/>
      <c r="U131" s="244"/>
      <c r="V131" s="244"/>
      <c r="W131" s="244"/>
      <c r="X131" s="244"/>
      <c r="Y131" s="244"/>
      <c r="Z131" s="244"/>
    </row>
    <row r="132" spans="16:26">
      <c r="P132" s="241"/>
      <c r="Q132" s="241"/>
      <c r="R132" s="241"/>
      <c r="S132" s="241"/>
      <c r="T132" s="241"/>
      <c r="U132" s="241"/>
      <c r="V132" s="241"/>
      <c r="W132" s="241"/>
      <c r="X132" s="241"/>
      <c r="Y132" s="241"/>
      <c r="Z132" s="241"/>
    </row>
    <row r="133" spans="16:26">
      <c r="P133" s="244"/>
      <c r="Q133" s="244"/>
      <c r="R133" s="244"/>
      <c r="S133" s="244"/>
      <c r="T133" s="244"/>
      <c r="U133" s="244"/>
      <c r="V133" s="244"/>
      <c r="W133" s="244"/>
      <c r="X133" s="244"/>
      <c r="Y133" s="244"/>
      <c r="Z133" s="244"/>
    </row>
    <row r="134" spans="16:26">
      <c r="P134" s="244"/>
      <c r="Q134" s="244"/>
      <c r="R134" s="244"/>
      <c r="S134" s="244"/>
      <c r="T134" s="244"/>
      <c r="U134" s="244"/>
      <c r="V134" s="244"/>
      <c r="W134" s="244"/>
      <c r="X134" s="244"/>
      <c r="Y134" s="244"/>
      <c r="Z134" s="244"/>
    </row>
    <row r="135" spans="16:26">
      <c r="P135" s="241"/>
      <c r="Q135" s="241"/>
      <c r="R135" s="241"/>
      <c r="S135" s="241"/>
      <c r="T135" s="241"/>
      <c r="U135" s="241"/>
      <c r="V135" s="241"/>
      <c r="W135" s="241"/>
      <c r="X135" s="241"/>
      <c r="Y135" s="241"/>
      <c r="Z135" s="241"/>
    </row>
    <row r="136" spans="16:26">
      <c r="P136" s="244"/>
      <c r="Q136" s="244"/>
      <c r="R136" s="244"/>
      <c r="S136" s="244"/>
      <c r="T136" s="244"/>
      <c r="U136" s="244"/>
      <c r="V136" s="244"/>
      <c r="W136" s="244"/>
      <c r="X136" s="244"/>
      <c r="Y136" s="244"/>
      <c r="Z136" s="244"/>
    </row>
    <row r="137" spans="16:26">
      <c r="P137" s="244"/>
      <c r="Q137" s="244"/>
      <c r="R137" s="244"/>
      <c r="S137" s="244"/>
      <c r="T137" s="244"/>
      <c r="U137" s="244"/>
      <c r="V137" s="244"/>
      <c r="W137" s="244"/>
      <c r="X137" s="244"/>
      <c r="Y137" s="244"/>
      <c r="Z137" s="244"/>
    </row>
    <row r="138" spans="16:26">
      <c r="P138" s="241"/>
      <c r="Q138" s="241"/>
      <c r="R138" s="241"/>
      <c r="S138" s="241"/>
      <c r="T138" s="241"/>
      <c r="U138" s="241"/>
      <c r="V138" s="241"/>
      <c r="W138" s="241"/>
      <c r="X138" s="241"/>
      <c r="Y138" s="241"/>
      <c r="Z138" s="241"/>
    </row>
    <row r="139" spans="16:26">
      <c r="P139" s="244"/>
      <c r="Q139" s="244"/>
      <c r="R139" s="244"/>
      <c r="S139" s="244"/>
      <c r="T139" s="244"/>
      <c r="U139" s="244"/>
      <c r="V139" s="244"/>
      <c r="W139" s="244"/>
      <c r="X139" s="244"/>
      <c r="Y139" s="244"/>
      <c r="Z139" s="244"/>
    </row>
    <row r="140" spans="16:26">
      <c r="P140" s="244"/>
      <c r="Q140" s="244"/>
      <c r="R140" s="244"/>
      <c r="S140" s="244"/>
      <c r="T140" s="244"/>
      <c r="U140" s="244"/>
      <c r="V140" s="244"/>
      <c r="W140" s="244"/>
      <c r="X140" s="244"/>
      <c r="Y140" s="244"/>
      <c r="Z140" s="244"/>
    </row>
    <row r="141" spans="16:26">
      <c r="P141" s="241"/>
      <c r="Q141" s="241"/>
      <c r="R141" s="241"/>
      <c r="S141" s="241"/>
      <c r="T141" s="241"/>
      <c r="U141" s="241"/>
      <c r="V141" s="241"/>
      <c r="W141" s="241"/>
      <c r="X141" s="241"/>
      <c r="Y141" s="241"/>
      <c r="Z141" s="241"/>
    </row>
    <row r="142" spans="16:26">
      <c r="P142" s="244"/>
      <c r="Q142" s="244"/>
      <c r="R142" s="244"/>
      <c r="S142" s="244"/>
      <c r="T142" s="244"/>
      <c r="U142" s="244"/>
      <c r="V142" s="244"/>
      <c r="W142" s="244"/>
      <c r="X142" s="244"/>
      <c r="Y142" s="244"/>
      <c r="Z142" s="244"/>
    </row>
    <row r="143" spans="16:26">
      <c r="P143" s="244"/>
      <c r="Q143" s="244"/>
      <c r="R143" s="244"/>
      <c r="S143" s="244"/>
      <c r="T143" s="244"/>
      <c r="U143" s="244"/>
      <c r="V143" s="244"/>
      <c r="W143" s="244"/>
      <c r="X143" s="244"/>
      <c r="Y143" s="244"/>
      <c r="Z143" s="244"/>
    </row>
    <row r="144" spans="16:26">
      <c r="P144" s="241"/>
      <c r="Q144" s="241"/>
      <c r="R144" s="241"/>
      <c r="S144" s="241"/>
      <c r="T144" s="241"/>
      <c r="U144" s="241"/>
      <c r="V144" s="241"/>
      <c r="W144" s="241"/>
      <c r="X144" s="241"/>
      <c r="Y144" s="241"/>
      <c r="Z144" s="241"/>
    </row>
    <row r="145" spans="16:26">
      <c r="P145" s="244"/>
      <c r="Q145" s="244"/>
      <c r="R145" s="244"/>
      <c r="S145" s="244"/>
      <c r="T145" s="244"/>
      <c r="U145" s="244"/>
      <c r="V145" s="244"/>
      <c r="W145" s="244"/>
      <c r="X145" s="244"/>
      <c r="Y145" s="244"/>
      <c r="Z145" s="244"/>
    </row>
    <row r="146" spans="16:26">
      <c r="P146" s="244"/>
      <c r="Q146" s="244"/>
      <c r="R146" s="244"/>
      <c r="S146" s="244"/>
      <c r="T146" s="244"/>
      <c r="U146" s="244"/>
      <c r="V146" s="244"/>
      <c r="W146" s="244"/>
      <c r="X146" s="244"/>
      <c r="Y146" s="244"/>
      <c r="Z146" s="244"/>
    </row>
    <row r="147" spans="16:26">
      <c r="P147" s="241"/>
      <c r="Q147" s="241"/>
      <c r="R147" s="241"/>
      <c r="S147" s="241"/>
      <c r="T147" s="241"/>
      <c r="U147" s="241"/>
      <c r="V147" s="241"/>
      <c r="W147" s="241"/>
      <c r="X147" s="241"/>
      <c r="Y147" s="241"/>
      <c r="Z147" s="241"/>
    </row>
    <row r="148" spans="16:26">
      <c r="P148" s="244"/>
      <c r="Q148" s="244"/>
      <c r="R148" s="244"/>
      <c r="S148" s="244"/>
      <c r="T148" s="244"/>
      <c r="U148" s="244"/>
      <c r="V148" s="244"/>
      <c r="W148" s="244"/>
      <c r="X148" s="244"/>
      <c r="Y148" s="244"/>
      <c r="Z148" s="244"/>
    </row>
    <row r="149" spans="16:26">
      <c r="P149" s="244"/>
      <c r="Q149" s="244"/>
      <c r="R149" s="244"/>
      <c r="S149" s="244"/>
      <c r="T149" s="244"/>
      <c r="U149" s="244"/>
      <c r="V149" s="244"/>
      <c r="W149" s="244"/>
      <c r="X149" s="244"/>
      <c r="Y149" s="244"/>
      <c r="Z149" s="244"/>
    </row>
    <row r="150" spans="16:26">
      <c r="P150" s="241"/>
      <c r="Q150" s="241"/>
      <c r="R150" s="241"/>
      <c r="S150" s="241"/>
      <c r="T150" s="241"/>
      <c r="U150" s="241"/>
      <c r="V150" s="241"/>
      <c r="W150" s="241"/>
      <c r="X150" s="241"/>
      <c r="Y150" s="241"/>
      <c r="Z150" s="241"/>
    </row>
    <row r="151" spans="16:26">
      <c r="P151" s="244"/>
      <c r="Q151" s="244"/>
      <c r="R151" s="244"/>
      <c r="S151" s="244"/>
      <c r="T151" s="244"/>
      <c r="U151" s="244"/>
      <c r="V151" s="244"/>
      <c r="W151" s="244"/>
      <c r="X151" s="244"/>
      <c r="Y151" s="244"/>
      <c r="Z151" s="244"/>
    </row>
    <row r="152" spans="16:26">
      <c r="P152" s="244"/>
      <c r="Q152" s="244"/>
      <c r="R152" s="244"/>
      <c r="S152" s="244"/>
      <c r="T152" s="244"/>
      <c r="U152" s="244"/>
      <c r="V152" s="244"/>
      <c r="W152" s="244"/>
      <c r="X152" s="244"/>
      <c r="Y152" s="244"/>
      <c r="Z152" s="244"/>
    </row>
    <row r="153" spans="16:26">
      <c r="P153" s="241"/>
      <c r="Q153" s="241"/>
      <c r="R153" s="241"/>
      <c r="S153" s="241"/>
      <c r="T153" s="241"/>
      <c r="U153" s="241"/>
      <c r="V153" s="241"/>
      <c r="W153" s="241"/>
      <c r="X153" s="241"/>
      <c r="Y153" s="241"/>
      <c r="Z153" s="241"/>
    </row>
    <row r="154" spans="16:26">
      <c r="P154" s="244"/>
      <c r="Q154" s="244"/>
      <c r="R154" s="244"/>
      <c r="S154" s="244"/>
      <c r="T154" s="244"/>
      <c r="U154" s="244"/>
      <c r="V154" s="244"/>
      <c r="W154" s="244"/>
      <c r="X154" s="244"/>
      <c r="Y154" s="244"/>
      <c r="Z154" s="244"/>
    </row>
    <row r="155" spans="16:26">
      <c r="P155" s="244"/>
      <c r="Q155" s="244"/>
      <c r="R155" s="244"/>
      <c r="S155" s="244"/>
      <c r="T155" s="244"/>
      <c r="U155" s="244"/>
      <c r="V155" s="244"/>
      <c r="W155" s="244"/>
      <c r="X155" s="244"/>
      <c r="Y155" s="244"/>
      <c r="Z155" s="244"/>
    </row>
    <row r="156" spans="16:26">
      <c r="P156" s="241"/>
      <c r="Q156" s="241"/>
      <c r="R156" s="241"/>
      <c r="S156" s="241"/>
      <c r="T156" s="241"/>
      <c r="U156" s="241"/>
      <c r="V156" s="241"/>
      <c r="W156" s="241"/>
      <c r="X156" s="241"/>
      <c r="Y156" s="241"/>
      <c r="Z156" s="241"/>
    </row>
    <row r="157" spans="16:26">
      <c r="P157" s="244"/>
      <c r="Q157" s="244"/>
      <c r="R157" s="244"/>
      <c r="S157" s="244"/>
      <c r="T157" s="244"/>
      <c r="U157" s="244"/>
      <c r="V157" s="244"/>
      <c r="W157" s="244"/>
      <c r="X157" s="244"/>
      <c r="Y157" s="244"/>
      <c r="Z157" s="244"/>
    </row>
    <row r="158" spans="16:26">
      <c r="P158" s="244"/>
      <c r="Q158" s="244"/>
      <c r="R158" s="244"/>
      <c r="S158" s="244"/>
      <c r="T158" s="244"/>
      <c r="U158" s="244"/>
      <c r="V158" s="244"/>
      <c r="W158" s="244"/>
      <c r="X158" s="244"/>
      <c r="Y158" s="244"/>
      <c r="Z158" s="244"/>
    </row>
    <row r="159" spans="16:26">
      <c r="P159" s="241"/>
      <c r="Q159" s="241"/>
      <c r="R159" s="241"/>
      <c r="S159" s="241"/>
      <c r="T159" s="241"/>
      <c r="U159" s="241"/>
      <c r="V159" s="241"/>
      <c r="W159" s="241"/>
      <c r="X159" s="241"/>
      <c r="Y159" s="241"/>
      <c r="Z159" s="241"/>
    </row>
    <row r="160" spans="16:26">
      <c r="P160" s="244"/>
      <c r="Q160" s="244"/>
      <c r="R160" s="244"/>
      <c r="S160" s="244"/>
      <c r="T160" s="244"/>
      <c r="U160" s="244"/>
      <c r="V160" s="244"/>
      <c r="W160" s="244"/>
      <c r="X160" s="244"/>
      <c r="Y160" s="244"/>
      <c r="Z160" s="244"/>
    </row>
    <row r="161" spans="16:26">
      <c r="P161" s="244"/>
      <c r="Q161" s="244"/>
      <c r="R161" s="244"/>
      <c r="S161" s="244"/>
      <c r="T161" s="244"/>
      <c r="U161" s="244"/>
      <c r="V161" s="244"/>
      <c r="W161" s="244"/>
      <c r="X161" s="244"/>
      <c r="Y161" s="244"/>
      <c r="Z161" s="244"/>
    </row>
    <row r="162" spans="16:26">
      <c r="P162" s="241"/>
      <c r="Q162" s="241"/>
      <c r="R162" s="241"/>
      <c r="S162" s="241"/>
      <c r="T162" s="241"/>
      <c r="U162" s="241"/>
      <c r="V162" s="241"/>
      <c r="W162" s="241"/>
      <c r="X162" s="241"/>
      <c r="Y162" s="241"/>
      <c r="Z162" s="241"/>
    </row>
    <row r="163" spans="16:26">
      <c r="P163" s="244"/>
      <c r="Q163" s="244"/>
      <c r="R163" s="244"/>
      <c r="S163" s="244"/>
      <c r="T163" s="244"/>
      <c r="U163" s="244"/>
      <c r="V163" s="244"/>
      <c r="W163" s="244"/>
      <c r="X163" s="244"/>
      <c r="Y163" s="244"/>
      <c r="Z163" s="244"/>
    </row>
    <row r="164" spans="16:26">
      <c r="P164" s="244"/>
      <c r="Q164" s="244"/>
      <c r="R164" s="244"/>
      <c r="S164" s="244"/>
      <c r="T164" s="244"/>
      <c r="U164" s="244"/>
      <c r="V164" s="244"/>
      <c r="W164" s="244"/>
      <c r="X164" s="244"/>
      <c r="Y164" s="244"/>
      <c r="Z164" s="244"/>
    </row>
    <row r="165" spans="16:26">
      <c r="P165" s="241"/>
      <c r="Q165" s="241"/>
      <c r="R165" s="241"/>
      <c r="S165" s="241"/>
      <c r="T165" s="241"/>
      <c r="U165" s="241"/>
      <c r="V165" s="241"/>
      <c r="W165" s="241"/>
      <c r="X165" s="241"/>
      <c r="Y165" s="241"/>
      <c r="Z165" s="241"/>
    </row>
    <row r="166" spans="16:26">
      <c r="P166" s="244"/>
      <c r="Q166" s="244"/>
      <c r="R166" s="244"/>
      <c r="S166" s="244"/>
      <c r="T166" s="244"/>
      <c r="U166" s="244"/>
      <c r="V166" s="244"/>
      <c r="W166" s="244"/>
      <c r="X166" s="244"/>
      <c r="Y166" s="244"/>
      <c r="Z166" s="244"/>
    </row>
    <row r="167" spans="16:26">
      <c r="P167" s="244"/>
      <c r="Q167" s="244"/>
      <c r="R167" s="244"/>
      <c r="S167" s="244"/>
      <c r="T167" s="244"/>
      <c r="U167" s="244"/>
      <c r="V167" s="244"/>
      <c r="W167" s="244"/>
      <c r="X167" s="244"/>
      <c r="Y167" s="244"/>
      <c r="Z167" s="244"/>
    </row>
    <row r="168" spans="16:26">
      <c r="P168" s="241"/>
      <c r="Q168" s="241"/>
      <c r="R168" s="241"/>
      <c r="S168" s="241"/>
      <c r="T168" s="241"/>
      <c r="U168" s="241"/>
      <c r="V168" s="241"/>
      <c r="W168" s="241"/>
      <c r="X168" s="241"/>
      <c r="Y168" s="241"/>
      <c r="Z168" s="241"/>
    </row>
    <row r="169" spans="16:26">
      <c r="P169" s="244"/>
      <c r="Q169" s="244"/>
      <c r="R169" s="244"/>
      <c r="S169" s="244"/>
      <c r="T169" s="244"/>
      <c r="U169" s="244"/>
      <c r="V169" s="244"/>
      <c r="W169" s="244"/>
      <c r="X169" s="244"/>
      <c r="Y169" s="244"/>
      <c r="Z169" s="244"/>
    </row>
    <row r="170" spans="16:26">
      <c r="P170" s="244"/>
      <c r="Q170" s="244"/>
      <c r="R170" s="244"/>
      <c r="S170" s="244"/>
      <c r="T170" s="244"/>
      <c r="U170" s="244"/>
      <c r="V170" s="244"/>
      <c r="W170" s="244"/>
      <c r="X170" s="244"/>
      <c r="Y170" s="244"/>
      <c r="Z170" s="244"/>
    </row>
    <row r="171" spans="16:26">
      <c r="P171" s="241"/>
      <c r="Q171" s="241"/>
      <c r="R171" s="241"/>
      <c r="S171" s="241"/>
      <c r="T171" s="241"/>
      <c r="U171" s="241"/>
      <c r="V171" s="241"/>
      <c r="W171" s="241"/>
      <c r="X171" s="241"/>
      <c r="Y171" s="241"/>
      <c r="Z171" s="241"/>
    </row>
    <row r="172" spans="16:26">
      <c r="P172" s="244"/>
      <c r="Q172" s="244"/>
      <c r="R172" s="244"/>
      <c r="S172" s="244"/>
      <c r="T172" s="244"/>
      <c r="U172" s="244"/>
      <c r="V172" s="244"/>
      <c r="W172" s="244"/>
      <c r="X172" s="244"/>
      <c r="Y172" s="244"/>
      <c r="Z172" s="244"/>
    </row>
    <row r="173" spans="16:26">
      <c r="P173" s="244"/>
      <c r="Q173" s="244"/>
      <c r="R173" s="244"/>
      <c r="S173" s="244"/>
      <c r="T173" s="244"/>
      <c r="U173" s="244"/>
      <c r="V173" s="244"/>
      <c r="W173" s="244"/>
      <c r="X173" s="244"/>
      <c r="Y173" s="244"/>
      <c r="Z173" s="244"/>
    </row>
    <row r="174" spans="16:26">
      <c r="P174" s="241"/>
      <c r="Q174" s="241"/>
      <c r="R174" s="241"/>
      <c r="S174" s="241"/>
      <c r="T174" s="241"/>
      <c r="U174" s="241"/>
      <c r="V174" s="241"/>
      <c r="W174" s="241"/>
      <c r="X174" s="241"/>
      <c r="Y174" s="241"/>
      <c r="Z174" s="241"/>
    </row>
    <row r="175" spans="16:26">
      <c r="P175" s="244"/>
      <c r="Q175" s="244"/>
      <c r="R175" s="244"/>
      <c r="S175" s="244"/>
      <c r="T175" s="244"/>
      <c r="U175" s="244"/>
      <c r="V175" s="244"/>
      <c r="W175" s="244"/>
      <c r="X175" s="244"/>
      <c r="Y175" s="244"/>
      <c r="Z175" s="244"/>
    </row>
    <row r="176" spans="16:26">
      <c r="P176" s="244"/>
      <c r="Q176" s="244"/>
      <c r="R176" s="244"/>
      <c r="S176" s="244"/>
      <c r="T176" s="244"/>
      <c r="U176" s="244"/>
      <c r="V176" s="244"/>
      <c r="W176" s="244"/>
      <c r="X176" s="244"/>
      <c r="Y176" s="244"/>
      <c r="Z176" s="244"/>
    </row>
    <row r="177" spans="16:26">
      <c r="P177" s="241"/>
      <c r="Q177" s="241"/>
      <c r="R177" s="241"/>
      <c r="S177" s="241"/>
      <c r="T177" s="241"/>
      <c r="U177" s="241"/>
      <c r="V177" s="241"/>
      <c r="W177" s="241"/>
      <c r="X177" s="241"/>
      <c r="Y177" s="241"/>
      <c r="Z177" s="241"/>
    </row>
    <row r="178" spans="16:26">
      <c r="P178" s="244"/>
      <c r="Q178" s="244"/>
      <c r="R178" s="244"/>
      <c r="S178" s="244"/>
      <c r="T178" s="244"/>
      <c r="U178" s="244"/>
      <c r="V178" s="244"/>
      <c r="W178" s="244"/>
      <c r="X178" s="244"/>
      <c r="Y178" s="244"/>
      <c r="Z178" s="244"/>
    </row>
    <row r="179" spans="16:26">
      <c r="P179" s="244"/>
      <c r="Q179" s="244"/>
      <c r="R179" s="244"/>
      <c r="S179" s="244"/>
      <c r="T179" s="244"/>
      <c r="U179" s="244"/>
      <c r="V179" s="244"/>
      <c r="W179" s="244"/>
      <c r="X179" s="244"/>
      <c r="Y179" s="244"/>
      <c r="Z179" s="244"/>
    </row>
    <row r="180" spans="16:26">
      <c r="P180" s="241"/>
      <c r="Q180" s="241"/>
      <c r="R180" s="241"/>
      <c r="S180" s="241"/>
      <c r="T180" s="241"/>
      <c r="U180" s="241"/>
      <c r="V180" s="241"/>
      <c r="W180" s="241"/>
      <c r="X180" s="241"/>
      <c r="Y180" s="241"/>
      <c r="Z180" s="241"/>
    </row>
    <row r="181" spans="16:26">
      <c r="P181" s="244"/>
      <c r="Q181" s="244"/>
      <c r="R181" s="244"/>
      <c r="S181" s="244"/>
      <c r="T181" s="244"/>
      <c r="U181" s="244"/>
      <c r="V181" s="244"/>
      <c r="W181" s="244"/>
      <c r="X181" s="244"/>
      <c r="Y181" s="244"/>
      <c r="Z181" s="244"/>
    </row>
    <row r="182" spans="16:26">
      <c r="P182" s="244"/>
      <c r="Q182" s="244"/>
      <c r="R182" s="244"/>
      <c r="S182" s="244"/>
      <c r="T182" s="244"/>
      <c r="U182" s="244"/>
      <c r="V182" s="244"/>
      <c r="W182" s="244"/>
      <c r="X182" s="244"/>
      <c r="Y182" s="244"/>
      <c r="Z182" s="244"/>
    </row>
    <row r="183" spans="16:26">
      <c r="P183" s="241"/>
      <c r="Q183" s="241"/>
      <c r="R183" s="241"/>
      <c r="S183" s="241"/>
      <c r="T183" s="241"/>
      <c r="U183" s="241"/>
      <c r="V183" s="241"/>
      <c r="W183" s="241"/>
      <c r="X183" s="241"/>
      <c r="Y183" s="241"/>
      <c r="Z183" s="241"/>
    </row>
    <row r="184" spans="16:26">
      <c r="P184" s="244"/>
      <c r="Q184" s="244"/>
      <c r="R184" s="244"/>
      <c r="S184" s="244"/>
      <c r="T184" s="244"/>
      <c r="U184" s="244"/>
      <c r="V184" s="244"/>
      <c r="W184" s="244"/>
      <c r="X184" s="244"/>
      <c r="Y184" s="244"/>
      <c r="Z184" s="244"/>
    </row>
    <row r="185" spans="16:26">
      <c r="P185" s="244"/>
      <c r="Q185" s="244"/>
      <c r="R185" s="244"/>
      <c r="S185" s="244"/>
      <c r="T185" s="244"/>
      <c r="U185" s="244"/>
      <c r="V185" s="244"/>
      <c r="W185" s="244"/>
      <c r="X185" s="244"/>
      <c r="Y185" s="244"/>
      <c r="Z185" s="244"/>
    </row>
    <row r="186" spans="16:26">
      <c r="P186" s="241"/>
      <c r="Q186" s="241"/>
      <c r="R186" s="241"/>
      <c r="S186" s="241"/>
      <c r="T186" s="241"/>
      <c r="U186" s="241"/>
      <c r="V186" s="241"/>
      <c r="W186" s="241"/>
      <c r="X186" s="241"/>
      <c r="Y186" s="241"/>
      <c r="Z186" s="241"/>
    </row>
    <row r="187" spans="16:26">
      <c r="P187" s="244"/>
      <c r="Q187" s="244"/>
      <c r="R187" s="244"/>
      <c r="S187" s="244"/>
      <c r="T187" s="244"/>
      <c r="U187" s="244"/>
      <c r="V187" s="244"/>
      <c r="W187" s="244"/>
      <c r="X187" s="244"/>
      <c r="Y187" s="244"/>
      <c r="Z187" s="244"/>
    </row>
    <row r="188" spans="16:26">
      <c r="P188" s="244"/>
      <c r="Q188" s="244"/>
      <c r="R188" s="244"/>
      <c r="S188" s="244"/>
      <c r="T188" s="244"/>
      <c r="U188" s="244"/>
      <c r="V188" s="244"/>
      <c r="W188" s="244"/>
      <c r="X188" s="244"/>
      <c r="Y188" s="244"/>
      <c r="Z188" s="244"/>
    </row>
    <row r="189" spans="16:26">
      <c r="P189" s="241"/>
      <c r="Q189" s="241"/>
      <c r="R189" s="241"/>
      <c r="S189" s="241"/>
      <c r="T189" s="241"/>
      <c r="U189" s="241"/>
      <c r="V189" s="241"/>
      <c r="W189" s="241"/>
      <c r="X189" s="241"/>
      <c r="Y189" s="241"/>
      <c r="Z189" s="241"/>
    </row>
    <row r="190" spans="16:26">
      <c r="P190" s="244"/>
      <c r="Q190" s="244"/>
      <c r="R190" s="244"/>
      <c r="S190" s="244"/>
      <c r="T190" s="244"/>
      <c r="U190" s="244"/>
      <c r="V190" s="244"/>
      <c r="W190" s="244"/>
      <c r="X190" s="244"/>
      <c r="Y190" s="244"/>
      <c r="Z190" s="244"/>
    </row>
    <row r="191" spans="16:26">
      <c r="P191" s="244"/>
      <c r="Q191" s="244"/>
      <c r="R191" s="244"/>
      <c r="S191" s="244"/>
      <c r="T191" s="244"/>
      <c r="U191" s="244"/>
      <c r="V191" s="244"/>
      <c r="W191" s="244"/>
      <c r="X191" s="244"/>
      <c r="Y191" s="244"/>
      <c r="Z191" s="244"/>
    </row>
    <row r="192" spans="16:26">
      <c r="P192" s="241"/>
      <c r="Q192" s="241"/>
      <c r="R192" s="241"/>
      <c r="S192" s="241"/>
      <c r="T192" s="241"/>
      <c r="U192" s="241"/>
      <c r="V192" s="241"/>
      <c r="W192" s="241"/>
      <c r="X192" s="241"/>
      <c r="Y192" s="241"/>
      <c r="Z192" s="241"/>
    </row>
    <row r="193" spans="16:26">
      <c r="P193" s="244"/>
      <c r="Q193" s="244"/>
      <c r="R193" s="244"/>
      <c r="S193" s="244"/>
      <c r="T193" s="244"/>
      <c r="U193" s="244"/>
      <c r="V193" s="244"/>
      <c r="W193" s="244"/>
      <c r="X193" s="244"/>
      <c r="Y193" s="244"/>
      <c r="Z193" s="244"/>
    </row>
    <row r="194" spans="16:26">
      <c r="P194" s="244"/>
      <c r="Q194" s="244"/>
      <c r="R194" s="244"/>
      <c r="S194" s="244"/>
      <c r="T194" s="244"/>
      <c r="U194" s="244"/>
      <c r="V194" s="244"/>
      <c r="W194" s="244"/>
      <c r="X194" s="244"/>
      <c r="Y194" s="244"/>
      <c r="Z194" s="244"/>
    </row>
    <row r="195" spans="16:26">
      <c r="P195" s="241"/>
      <c r="Q195" s="241"/>
      <c r="R195" s="241"/>
      <c r="S195" s="241"/>
      <c r="T195" s="241"/>
      <c r="U195" s="241"/>
      <c r="V195" s="241"/>
      <c r="W195" s="241"/>
      <c r="X195" s="241"/>
      <c r="Y195" s="241"/>
      <c r="Z195" s="241"/>
    </row>
    <row r="196" spans="16:26">
      <c r="P196" s="244"/>
      <c r="Q196" s="244"/>
      <c r="R196" s="244"/>
      <c r="S196" s="244"/>
      <c r="T196" s="244"/>
      <c r="U196" s="244"/>
      <c r="V196" s="244"/>
      <c r="W196" s="244"/>
      <c r="X196" s="244"/>
      <c r="Y196" s="244"/>
      <c r="Z196" s="244"/>
    </row>
    <row r="197" spans="16:26">
      <c r="P197" s="244"/>
      <c r="Q197" s="244"/>
      <c r="R197" s="244"/>
      <c r="S197" s="244"/>
      <c r="T197" s="244"/>
      <c r="U197" s="244"/>
      <c r="V197" s="244"/>
      <c r="W197" s="244"/>
      <c r="X197" s="244"/>
      <c r="Y197" s="244"/>
      <c r="Z197" s="244"/>
    </row>
    <row r="198" spans="16:26">
      <c r="P198" s="241"/>
      <c r="Q198" s="241"/>
      <c r="R198" s="241"/>
      <c r="S198" s="241"/>
      <c r="T198" s="241"/>
      <c r="U198" s="241"/>
      <c r="V198" s="241"/>
      <c r="W198" s="241"/>
      <c r="X198" s="241"/>
      <c r="Y198" s="241"/>
      <c r="Z198" s="241"/>
    </row>
    <row r="199" spans="16:26">
      <c r="P199" s="244"/>
      <c r="Q199" s="244"/>
      <c r="R199" s="244"/>
      <c r="S199" s="244"/>
      <c r="T199" s="244"/>
      <c r="U199" s="244"/>
      <c r="V199" s="244"/>
      <c r="W199" s="244"/>
      <c r="X199" s="244"/>
      <c r="Y199" s="244"/>
      <c r="Z199" s="244"/>
    </row>
    <row r="200" spans="16:26">
      <c r="P200" s="244"/>
      <c r="Q200" s="244"/>
      <c r="R200" s="244"/>
      <c r="S200" s="244"/>
      <c r="T200" s="244"/>
      <c r="U200" s="244"/>
      <c r="V200" s="244"/>
      <c r="W200" s="244"/>
      <c r="X200" s="244"/>
      <c r="Y200" s="244"/>
      <c r="Z200" s="244"/>
    </row>
    <row r="201" spans="16:26">
      <c r="P201" s="241"/>
      <c r="Q201" s="241"/>
      <c r="R201" s="241"/>
      <c r="S201" s="241"/>
      <c r="T201" s="241"/>
      <c r="U201" s="241"/>
      <c r="V201" s="241"/>
      <c r="W201" s="241"/>
      <c r="X201" s="241"/>
      <c r="Y201" s="241"/>
      <c r="Z201" s="241"/>
    </row>
    <row r="202" spans="16:26">
      <c r="P202" s="244"/>
      <c r="Q202" s="244"/>
      <c r="R202" s="244"/>
      <c r="S202" s="244"/>
      <c r="T202" s="244"/>
      <c r="U202" s="244"/>
      <c r="V202" s="244"/>
      <c r="W202" s="244"/>
      <c r="X202" s="244"/>
      <c r="Y202" s="244"/>
      <c r="Z202" s="244"/>
    </row>
    <row r="203" spans="16:26">
      <c r="P203" s="244"/>
      <c r="Q203" s="244"/>
      <c r="R203" s="244"/>
      <c r="S203" s="244"/>
      <c r="T203" s="244"/>
      <c r="U203" s="244"/>
      <c r="V203" s="244"/>
      <c r="W203" s="244"/>
      <c r="X203" s="244"/>
      <c r="Y203" s="244"/>
      <c r="Z203" s="244"/>
    </row>
    <row r="204" spans="16:26">
      <c r="P204" s="241"/>
      <c r="Q204" s="241"/>
      <c r="R204" s="241"/>
      <c r="S204" s="241"/>
      <c r="T204" s="241"/>
      <c r="U204" s="241"/>
      <c r="V204" s="241"/>
      <c r="W204" s="241"/>
      <c r="X204" s="241"/>
      <c r="Y204" s="241"/>
      <c r="Z204" s="241"/>
    </row>
    <row r="205" spans="16:26">
      <c r="P205" s="244"/>
      <c r="Q205" s="244"/>
      <c r="R205" s="244"/>
      <c r="S205" s="244"/>
      <c r="T205" s="244"/>
      <c r="U205" s="244"/>
      <c r="V205" s="244"/>
      <c r="W205" s="244"/>
      <c r="X205" s="244"/>
      <c r="Y205" s="244"/>
      <c r="Z205" s="244"/>
    </row>
    <row r="206" spans="16:26">
      <c r="P206" s="244"/>
      <c r="Q206" s="244"/>
      <c r="R206" s="244"/>
      <c r="S206" s="244"/>
      <c r="T206" s="244"/>
      <c r="U206" s="244"/>
      <c r="V206" s="244"/>
      <c r="W206" s="244"/>
      <c r="X206" s="244"/>
      <c r="Y206" s="244"/>
      <c r="Z206" s="244"/>
    </row>
    <row r="207" spans="16:26">
      <c r="P207" s="241"/>
      <c r="Q207" s="241"/>
      <c r="R207" s="241"/>
      <c r="S207" s="241"/>
      <c r="T207" s="241"/>
      <c r="U207" s="241"/>
      <c r="V207" s="241"/>
      <c r="W207" s="241"/>
      <c r="X207" s="241"/>
      <c r="Y207" s="241"/>
      <c r="Z207" s="241"/>
    </row>
    <row r="208" spans="16:26">
      <c r="P208" s="244"/>
      <c r="Q208" s="244"/>
      <c r="R208" s="244"/>
      <c r="S208" s="244"/>
      <c r="T208" s="244"/>
      <c r="U208" s="244"/>
      <c r="V208" s="244"/>
      <c r="W208" s="244"/>
      <c r="X208" s="244"/>
      <c r="Y208" s="244"/>
      <c r="Z208" s="244"/>
    </row>
    <row r="209" spans="16:26">
      <c r="P209" s="244"/>
      <c r="Q209" s="244"/>
      <c r="R209" s="244"/>
      <c r="S209" s="244"/>
      <c r="T209" s="244"/>
      <c r="U209" s="244"/>
      <c r="V209" s="244"/>
      <c r="W209" s="244"/>
      <c r="X209" s="244"/>
      <c r="Y209" s="244"/>
      <c r="Z209" s="244"/>
    </row>
    <row r="210" spans="16:26">
      <c r="P210" s="241"/>
      <c r="Q210" s="241"/>
      <c r="R210" s="241"/>
      <c r="S210" s="241"/>
      <c r="T210" s="241"/>
      <c r="U210" s="241"/>
      <c r="V210" s="241"/>
      <c r="W210" s="241"/>
      <c r="X210" s="241"/>
      <c r="Y210" s="241"/>
      <c r="Z210" s="241"/>
    </row>
    <row r="211" spans="16:26">
      <c r="P211" s="244"/>
      <c r="Q211" s="244"/>
      <c r="R211" s="244"/>
      <c r="S211" s="244"/>
      <c r="T211" s="244"/>
      <c r="U211" s="244"/>
      <c r="V211" s="244"/>
      <c r="W211" s="244"/>
      <c r="X211" s="244"/>
      <c r="Y211" s="244"/>
      <c r="Z211" s="244"/>
    </row>
    <row r="212" spans="16:26">
      <c r="P212" s="244"/>
      <c r="Q212" s="244"/>
      <c r="R212" s="244"/>
      <c r="S212" s="244"/>
      <c r="T212" s="244"/>
      <c r="U212" s="244"/>
      <c r="V212" s="244"/>
      <c r="W212" s="244"/>
      <c r="X212" s="244"/>
      <c r="Y212" s="244"/>
      <c r="Z212" s="244"/>
    </row>
    <row r="213" spans="16:26">
      <c r="P213" s="241"/>
      <c r="Q213" s="241"/>
      <c r="R213" s="241"/>
      <c r="S213" s="241"/>
      <c r="T213" s="241"/>
      <c r="U213" s="241"/>
      <c r="V213" s="241"/>
      <c r="W213" s="241"/>
      <c r="X213" s="241"/>
      <c r="Y213" s="241"/>
      <c r="Z213" s="241"/>
    </row>
    <row r="214" spans="16:26">
      <c r="P214" s="244"/>
      <c r="Q214" s="244"/>
      <c r="R214" s="244"/>
      <c r="S214" s="244"/>
      <c r="T214" s="244"/>
      <c r="U214" s="244"/>
      <c r="V214" s="244"/>
      <c r="W214" s="244"/>
      <c r="X214" s="244"/>
      <c r="Y214" s="244"/>
      <c r="Z214" s="244"/>
    </row>
    <row r="215" spans="16:26">
      <c r="P215" s="244"/>
      <c r="Q215" s="244"/>
      <c r="R215" s="244"/>
      <c r="S215" s="244"/>
      <c r="T215" s="244"/>
      <c r="U215" s="244"/>
      <c r="V215" s="244"/>
      <c r="W215" s="244"/>
      <c r="X215" s="244"/>
      <c r="Y215" s="244"/>
      <c r="Z215" s="244"/>
    </row>
    <row r="216" spans="16:26">
      <c r="P216" s="241"/>
      <c r="Q216" s="241"/>
      <c r="R216" s="241"/>
      <c r="S216" s="241"/>
      <c r="T216" s="241"/>
      <c r="U216" s="241"/>
      <c r="V216" s="241"/>
      <c r="W216" s="241"/>
      <c r="X216" s="241"/>
      <c r="Y216" s="241"/>
      <c r="Z216" s="241"/>
    </row>
    <row r="217" spans="16:26">
      <c r="P217" s="244"/>
      <c r="Q217" s="244"/>
      <c r="R217" s="244"/>
      <c r="S217" s="244"/>
      <c r="T217" s="244"/>
      <c r="U217" s="244"/>
      <c r="V217" s="244"/>
      <c r="W217" s="244"/>
      <c r="X217" s="244"/>
      <c r="Y217" s="244"/>
      <c r="Z217" s="244"/>
    </row>
    <row r="218" spans="16:26">
      <c r="P218" s="244"/>
      <c r="Q218" s="244"/>
      <c r="R218" s="244"/>
      <c r="S218" s="244"/>
      <c r="T218" s="244"/>
      <c r="U218" s="244"/>
      <c r="V218" s="244"/>
      <c r="W218" s="244"/>
      <c r="X218" s="244"/>
      <c r="Y218" s="244"/>
      <c r="Z218" s="244"/>
    </row>
    <row r="219" spans="16:26">
      <c r="P219" s="241"/>
      <c r="Q219" s="241"/>
      <c r="R219" s="241"/>
      <c r="S219" s="241"/>
      <c r="T219" s="241"/>
      <c r="U219" s="241"/>
      <c r="V219" s="241"/>
      <c r="W219" s="241"/>
      <c r="X219" s="241"/>
      <c r="Y219" s="241"/>
      <c r="Z219" s="241"/>
    </row>
    <row r="220" spans="16:26">
      <c r="P220" s="244"/>
      <c r="Q220" s="244"/>
      <c r="R220" s="244"/>
      <c r="S220" s="244"/>
      <c r="T220" s="244"/>
      <c r="U220" s="244"/>
      <c r="V220" s="244"/>
      <c r="W220" s="244"/>
      <c r="X220" s="244"/>
      <c r="Y220" s="244"/>
      <c r="Z220" s="244"/>
    </row>
    <row r="221" spans="16:26">
      <c r="P221" s="244"/>
      <c r="Q221" s="244"/>
      <c r="R221" s="244"/>
      <c r="S221" s="244"/>
      <c r="T221" s="244"/>
      <c r="U221" s="244"/>
      <c r="V221" s="244"/>
      <c r="W221" s="244"/>
      <c r="X221" s="244"/>
      <c r="Y221" s="244"/>
      <c r="Z221" s="244"/>
    </row>
    <row r="222" spans="16:26">
      <c r="P222" s="241"/>
      <c r="Q222" s="241"/>
      <c r="R222" s="241"/>
      <c r="S222" s="241"/>
      <c r="T222" s="241"/>
      <c r="U222" s="241"/>
      <c r="V222" s="241"/>
      <c r="W222" s="241"/>
      <c r="X222" s="241"/>
      <c r="Y222" s="241"/>
      <c r="Z222" s="241"/>
    </row>
    <row r="223" spans="16:26">
      <c r="P223" s="244"/>
      <c r="Q223" s="244"/>
      <c r="R223" s="244"/>
      <c r="S223" s="244"/>
      <c r="T223" s="244"/>
      <c r="U223" s="244"/>
      <c r="V223" s="244"/>
      <c r="W223" s="244"/>
      <c r="X223" s="244"/>
      <c r="Y223" s="244"/>
      <c r="Z223" s="244"/>
    </row>
    <row r="224" spans="16:26">
      <c r="P224" s="244"/>
      <c r="Q224" s="244"/>
      <c r="R224" s="244"/>
      <c r="S224" s="244"/>
      <c r="T224" s="244"/>
      <c r="U224" s="244"/>
      <c r="V224" s="244"/>
      <c r="W224" s="244"/>
      <c r="X224" s="244"/>
      <c r="Y224" s="244"/>
      <c r="Z224" s="244"/>
    </row>
    <row r="225" spans="16:26">
      <c r="P225" s="241"/>
      <c r="Q225" s="241"/>
      <c r="R225" s="241"/>
      <c r="S225" s="241"/>
      <c r="T225" s="241"/>
      <c r="U225" s="241"/>
      <c r="V225" s="241"/>
      <c r="W225" s="241"/>
      <c r="X225" s="241"/>
      <c r="Y225" s="241"/>
      <c r="Z225" s="241"/>
    </row>
    <row r="226" spans="16:26">
      <c r="P226" s="244"/>
      <c r="Q226" s="244"/>
      <c r="R226" s="244"/>
      <c r="S226" s="244"/>
      <c r="T226" s="244"/>
      <c r="U226" s="244"/>
      <c r="V226" s="244"/>
      <c r="W226" s="244"/>
      <c r="X226" s="244"/>
      <c r="Y226" s="244"/>
      <c r="Z226" s="244"/>
    </row>
    <row r="227" spans="16:26">
      <c r="P227" s="244"/>
      <c r="Q227" s="244"/>
      <c r="R227" s="244"/>
      <c r="S227" s="244"/>
      <c r="T227" s="244"/>
      <c r="U227" s="244"/>
      <c r="V227" s="244"/>
      <c r="W227" s="244"/>
      <c r="X227" s="244"/>
      <c r="Y227" s="244"/>
      <c r="Z227" s="244"/>
    </row>
    <row r="228" spans="16:26">
      <c r="P228" s="241"/>
      <c r="Q228" s="241"/>
      <c r="R228" s="241"/>
      <c r="S228" s="241"/>
      <c r="T228" s="241"/>
      <c r="U228" s="241"/>
      <c r="V228" s="241"/>
      <c r="W228" s="241"/>
      <c r="X228" s="241"/>
      <c r="Y228" s="241"/>
      <c r="Z228" s="241"/>
    </row>
    <row r="229" spans="16:26">
      <c r="P229" s="244"/>
      <c r="Q229" s="244"/>
      <c r="R229" s="244"/>
      <c r="S229" s="244"/>
      <c r="T229" s="244"/>
      <c r="U229" s="244"/>
      <c r="V229" s="244"/>
      <c r="W229" s="244"/>
      <c r="X229" s="244"/>
      <c r="Y229" s="244"/>
      <c r="Z229" s="244"/>
    </row>
    <row r="230" spans="16:26">
      <c r="P230" s="244"/>
      <c r="Q230" s="244"/>
      <c r="R230" s="244"/>
      <c r="S230" s="244"/>
      <c r="T230" s="244"/>
      <c r="U230" s="244"/>
      <c r="V230" s="244"/>
      <c r="W230" s="244"/>
      <c r="X230" s="244"/>
      <c r="Y230" s="244"/>
      <c r="Z230" s="244"/>
    </row>
    <row r="231" spans="16:26">
      <c r="P231" s="241"/>
      <c r="Q231" s="241"/>
      <c r="R231" s="241"/>
      <c r="S231" s="241"/>
      <c r="T231" s="241"/>
      <c r="U231" s="241"/>
      <c r="V231" s="241"/>
      <c r="W231" s="241"/>
      <c r="X231" s="241"/>
      <c r="Y231" s="241"/>
      <c r="Z231" s="241"/>
    </row>
    <row r="232" spans="16:26">
      <c r="P232" s="244"/>
      <c r="Q232" s="244"/>
      <c r="R232" s="244"/>
      <c r="S232" s="244"/>
      <c r="T232" s="244"/>
      <c r="U232" s="244"/>
      <c r="V232" s="244"/>
      <c r="W232" s="244"/>
      <c r="X232" s="244"/>
      <c r="Y232" s="244"/>
      <c r="Z232" s="244"/>
    </row>
    <row r="233" spans="16:26">
      <c r="P233" s="244"/>
      <c r="Q233" s="244"/>
      <c r="R233" s="244"/>
      <c r="S233" s="244"/>
      <c r="T233" s="244"/>
      <c r="U233" s="244"/>
      <c r="V233" s="244"/>
      <c r="W233" s="244"/>
      <c r="X233" s="244"/>
      <c r="Y233" s="244"/>
      <c r="Z233" s="244"/>
    </row>
    <row r="234" spans="16:26">
      <c r="P234" s="241"/>
      <c r="Q234" s="241"/>
      <c r="R234" s="241"/>
      <c r="S234" s="241"/>
      <c r="T234" s="241"/>
      <c r="U234" s="241"/>
      <c r="V234" s="241"/>
      <c r="W234" s="241"/>
      <c r="X234" s="241"/>
      <c r="Y234" s="241"/>
      <c r="Z234" s="241"/>
    </row>
    <row r="235" spans="16:26">
      <c r="P235" s="244"/>
      <c r="Q235" s="244"/>
      <c r="R235" s="244"/>
      <c r="S235" s="244"/>
      <c r="T235" s="244"/>
      <c r="U235" s="244"/>
      <c r="V235" s="244"/>
      <c r="W235" s="244"/>
      <c r="X235" s="244"/>
      <c r="Y235" s="244"/>
      <c r="Z235" s="244"/>
    </row>
    <row r="236" spans="16:26">
      <c r="P236" s="244"/>
      <c r="Q236" s="244"/>
      <c r="R236" s="244"/>
      <c r="S236" s="244"/>
      <c r="T236" s="244"/>
      <c r="U236" s="244"/>
      <c r="V236" s="244"/>
      <c r="W236" s="244"/>
      <c r="X236" s="244"/>
      <c r="Y236" s="244"/>
      <c r="Z236" s="244"/>
    </row>
    <row r="237" spans="16:26">
      <c r="P237" s="241"/>
      <c r="Q237" s="241"/>
      <c r="R237" s="241"/>
      <c r="S237" s="241"/>
      <c r="T237" s="241"/>
      <c r="U237" s="241"/>
      <c r="V237" s="241"/>
      <c r="W237" s="241"/>
      <c r="X237" s="241"/>
      <c r="Y237" s="241"/>
      <c r="Z237" s="241"/>
    </row>
    <row r="238" spans="16:26">
      <c r="P238" s="244"/>
      <c r="Q238" s="244"/>
      <c r="R238" s="244"/>
      <c r="S238" s="244"/>
      <c r="T238" s="244"/>
      <c r="U238" s="244"/>
      <c r="V238" s="244"/>
      <c r="W238" s="244"/>
      <c r="X238" s="244"/>
      <c r="Y238" s="244"/>
      <c r="Z238" s="244"/>
    </row>
    <row r="239" spans="16:26">
      <c r="P239" s="244"/>
      <c r="Q239" s="244"/>
      <c r="R239" s="244"/>
      <c r="S239" s="244"/>
      <c r="T239" s="244"/>
      <c r="U239" s="244"/>
      <c r="V239" s="244"/>
      <c r="W239" s="244"/>
      <c r="X239" s="244"/>
      <c r="Y239" s="244"/>
      <c r="Z239" s="244"/>
    </row>
    <row r="240" spans="16:26">
      <c r="P240" s="241"/>
      <c r="Q240" s="241"/>
      <c r="R240" s="241"/>
      <c r="S240" s="241"/>
      <c r="T240" s="241"/>
      <c r="U240" s="241"/>
      <c r="V240" s="241"/>
      <c r="W240" s="241"/>
      <c r="X240" s="241"/>
      <c r="Y240" s="241"/>
      <c r="Z240" s="241"/>
    </row>
    <row r="241" spans="16:26">
      <c r="P241" s="244"/>
      <c r="Q241" s="244"/>
      <c r="R241" s="244"/>
      <c r="S241" s="244"/>
      <c r="T241" s="244"/>
      <c r="U241" s="244"/>
      <c r="V241" s="244"/>
      <c r="W241" s="244"/>
      <c r="X241" s="244"/>
      <c r="Y241" s="244"/>
      <c r="Z241" s="244"/>
    </row>
    <row r="242" spans="16:26">
      <c r="P242" s="244"/>
      <c r="Q242" s="244"/>
      <c r="R242" s="244"/>
      <c r="S242" s="244"/>
      <c r="T242" s="244"/>
      <c r="U242" s="244"/>
      <c r="V242" s="244"/>
      <c r="W242" s="244"/>
      <c r="X242" s="244"/>
      <c r="Y242" s="244"/>
      <c r="Z242" s="244"/>
    </row>
    <row r="243" spans="16:26">
      <c r="P243" s="241"/>
      <c r="Q243" s="241"/>
      <c r="R243" s="241"/>
      <c r="S243" s="241"/>
      <c r="T243" s="241"/>
      <c r="U243" s="241"/>
      <c r="V243" s="241"/>
      <c r="W243" s="241"/>
      <c r="X243" s="241"/>
      <c r="Y243" s="241"/>
      <c r="Z243" s="241"/>
    </row>
    <row r="244" spans="16:26">
      <c r="P244" s="244"/>
      <c r="Q244" s="244"/>
      <c r="R244" s="244"/>
      <c r="S244" s="244"/>
      <c r="T244" s="244"/>
      <c r="U244" s="244"/>
      <c r="V244" s="244"/>
      <c r="W244" s="244"/>
      <c r="X244" s="244"/>
      <c r="Y244" s="244"/>
      <c r="Z244" s="244"/>
    </row>
    <row r="245" spans="16:26">
      <c r="P245" s="244"/>
      <c r="Q245" s="244"/>
      <c r="R245" s="244"/>
      <c r="S245" s="244"/>
      <c r="T245" s="244"/>
      <c r="U245" s="244"/>
      <c r="V245" s="244"/>
      <c r="W245" s="244"/>
      <c r="X245" s="244"/>
      <c r="Y245" s="244"/>
      <c r="Z245" s="244"/>
    </row>
    <row r="246" spans="16:26">
      <c r="P246" s="241"/>
      <c r="Q246" s="241"/>
      <c r="R246" s="241"/>
      <c r="S246" s="241"/>
      <c r="T246" s="241"/>
      <c r="U246" s="241"/>
      <c r="V246" s="241"/>
      <c r="W246" s="241"/>
      <c r="X246" s="241"/>
      <c r="Y246" s="241"/>
      <c r="Z246" s="241"/>
    </row>
    <row r="247" spans="16:26">
      <c r="P247" s="244"/>
      <c r="Q247" s="244"/>
      <c r="R247" s="244"/>
      <c r="S247" s="244"/>
      <c r="T247" s="244"/>
      <c r="U247" s="244"/>
      <c r="V247" s="244"/>
      <c r="W247" s="244"/>
      <c r="X247" s="244"/>
      <c r="Y247" s="244"/>
      <c r="Z247" s="244"/>
    </row>
    <row r="248" spans="16:26">
      <c r="P248" s="244"/>
      <c r="Q248" s="244"/>
      <c r="R248" s="244"/>
      <c r="S248" s="244"/>
      <c r="T248" s="244"/>
      <c r="U248" s="244"/>
      <c r="V248" s="244"/>
      <c r="W248" s="244"/>
      <c r="X248" s="244"/>
      <c r="Y248" s="244"/>
      <c r="Z248" s="244"/>
    </row>
    <row r="249" spans="16:26">
      <c r="P249" s="241"/>
      <c r="Q249" s="241"/>
      <c r="R249" s="241"/>
      <c r="S249" s="241"/>
      <c r="T249" s="241"/>
      <c r="U249" s="241"/>
      <c r="V249" s="241"/>
      <c r="W249" s="241"/>
      <c r="X249" s="241"/>
      <c r="Y249" s="241"/>
      <c r="Z249" s="241"/>
    </row>
    <row r="250" spans="16:26">
      <c r="P250" s="244"/>
      <c r="Q250" s="244"/>
      <c r="R250" s="244"/>
      <c r="S250" s="244"/>
      <c r="T250" s="244"/>
      <c r="U250" s="244"/>
      <c r="V250" s="244"/>
      <c r="W250" s="244"/>
      <c r="X250" s="244"/>
      <c r="Y250" s="244"/>
      <c r="Z250" s="244"/>
    </row>
    <row r="251" spans="16:26">
      <c r="P251" s="244"/>
      <c r="Q251" s="244"/>
      <c r="R251" s="244"/>
      <c r="S251" s="244"/>
      <c r="T251" s="244"/>
      <c r="U251" s="244"/>
      <c r="V251" s="244"/>
      <c r="W251" s="244"/>
      <c r="X251" s="244"/>
      <c r="Y251" s="244"/>
      <c r="Z251" s="244"/>
    </row>
    <row r="252" spans="16:26">
      <c r="P252" s="241"/>
      <c r="Q252" s="241"/>
      <c r="R252" s="241"/>
      <c r="S252" s="241"/>
      <c r="T252" s="241"/>
      <c r="U252" s="241"/>
      <c r="V252" s="241"/>
      <c r="W252" s="241"/>
      <c r="X252" s="241"/>
      <c r="Y252" s="241"/>
      <c r="Z252" s="241"/>
    </row>
    <row r="253" spans="16:26">
      <c r="P253" s="244"/>
      <c r="Q253" s="244"/>
      <c r="R253" s="244"/>
      <c r="S253" s="244"/>
      <c r="T253" s="244"/>
      <c r="U253" s="244"/>
      <c r="V253" s="244"/>
      <c r="W253" s="244"/>
      <c r="X253" s="244"/>
      <c r="Y253" s="244"/>
      <c r="Z253" s="244"/>
    </row>
    <row r="254" spans="16:26">
      <c r="P254" s="244"/>
      <c r="Q254" s="244"/>
      <c r="R254" s="244"/>
      <c r="S254" s="244"/>
      <c r="T254" s="244"/>
      <c r="U254" s="244"/>
      <c r="V254" s="244"/>
      <c r="W254" s="244"/>
      <c r="X254" s="244"/>
      <c r="Y254" s="244"/>
      <c r="Z254" s="244"/>
    </row>
    <row r="255" spans="16:26">
      <c r="P255" s="241"/>
      <c r="Q255" s="241"/>
      <c r="R255" s="241"/>
      <c r="S255" s="241"/>
      <c r="T255" s="241"/>
      <c r="U255" s="241"/>
      <c r="V255" s="241"/>
      <c r="W255" s="241"/>
      <c r="X255" s="241"/>
      <c r="Y255" s="241"/>
      <c r="Z255" s="241"/>
    </row>
    <row r="256" spans="16:26">
      <c r="P256" s="244"/>
      <c r="Q256" s="244"/>
      <c r="R256" s="244"/>
      <c r="S256" s="244"/>
      <c r="T256" s="244"/>
      <c r="U256" s="244"/>
      <c r="V256" s="244"/>
      <c r="W256" s="244"/>
      <c r="X256" s="244"/>
      <c r="Y256" s="244"/>
      <c r="Z256" s="244"/>
    </row>
    <row r="257" spans="16:26">
      <c r="P257" s="244"/>
      <c r="Q257" s="244"/>
      <c r="R257" s="244"/>
      <c r="S257" s="244"/>
      <c r="T257" s="244"/>
      <c r="U257" s="244"/>
      <c r="V257" s="244"/>
      <c r="W257" s="244"/>
      <c r="X257" s="244"/>
      <c r="Y257" s="244"/>
      <c r="Z257" s="244"/>
    </row>
    <row r="258" spans="16:26">
      <c r="P258" s="241"/>
      <c r="Q258" s="241"/>
      <c r="R258" s="241"/>
      <c r="S258" s="241"/>
      <c r="T258" s="241"/>
      <c r="U258" s="241"/>
      <c r="V258" s="241"/>
      <c r="W258" s="241"/>
      <c r="X258" s="241"/>
      <c r="Y258" s="241"/>
      <c r="Z258" s="241"/>
    </row>
    <row r="259" spans="16:26">
      <c r="P259" s="244"/>
      <c r="Q259" s="244"/>
      <c r="R259" s="244"/>
      <c r="S259" s="244"/>
      <c r="T259" s="244"/>
      <c r="U259" s="244"/>
      <c r="V259" s="244"/>
      <c r="W259" s="244"/>
      <c r="X259" s="244"/>
      <c r="Y259" s="244"/>
      <c r="Z259" s="244"/>
    </row>
    <row r="260" spans="16:26">
      <c r="P260" s="244"/>
      <c r="Q260" s="244"/>
      <c r="R260" s="244"/>
      <c r="S260" s="244"/>
      <c r="T260" s="244"/>
      <c r="U260" s="244"/>
      <c r="V260" s="244"/>
      <c r="W260" s="244"/>
      <c r="X260" s="244"/>
      <c r="Y260" s="244"/>
      <c r="Z260" s="244"/>
    </row>
    <row r="261" spans="16:26">
      <c r="P261" s="241"/>
      <c r="Q261" s="241"/>
      <c r="R261" s="241"/>
      <c r="S261" s="241"/>
      <c r="T261" s="241"/>
      <c r="U261" s="241"/>
      <c r="V261" s="241"/>
      <c r="W261" s="241"/>
      <c r="X261" s="241"/>
      <c r="Y261" s="241"/>
      <c r="Z261" s="241"/>
    </row>
    <row r="262" spans="16:26">
      <c r="P262" s="244"/>
      <c r="Q262" s="244"/>
      <c r="R262" s="244"/>
      <c r="S262" s="244"/>
      <c r="T262" s="244"/>
      <c r="U262" s="244"/>
      <c r="V262" s="244"/>
      <c r="W262" s="244"/>
      <c r="X262" s="244"/>
      <c r="Y262" s="244"/>
      <c r="Z262" s="244"/>
    </row>
    <row r="263" spans="16:26">
      <c r="P263" s="244"/>
      <c r="Q263" s="244"/>
      <c r="R263" s="244"/>
      <c r="S263" s="244"/>
      <c r="T263" s="244"/>
      <c r="U263" s="244"/>
      <c r="V263" s="244"/>
      <c r="W263" s="244"/>
      <c r="X263" s="244"/>
      <c r="Y263" s="244"/>
      <c r="Z263" s="244"/>
    </row>
    <row r="264" spans="16:26">
      <c r="P264" s="241"/>
      <c r="Q264" s="241"/>
      <c r="R264" s="241"/>
      <c r="S264" s="241"/>
      <c r="T264" s="241"/>
      <c r="U264" s="241"/>
      <c r="V264" s="241"/>
      <c r="W264" s="241"/>
      <c r="X264" s="241"/>
      <c r="Y264" s="241"/>
      <c r="Z264" s="241"/>
    </row>
    <row r="265" spans="16:26">
      <c r="P265" s="244"/>
      <c r="Q265" s="244"/>
      <c r="R265" s="244"/>
      <c r="S265" s="244"/>
      <c r="T265" s="244"/>
      <c r="U265" s="244"/>
      <c r="V265" s="244"/>
      <c r="W265" s="244"/>
      <c r="X265" s="244"/>
      <c r="Y265" s="244"/>
      <c r="Z265" s="244"/>
    </row>
    <row r="266" spans="16:26">
      <c r="P266" s="244"/>
      <c r="Q266" s="244"/>
      <c r="R266" s="244"/>
      <c r="S266" s="244"/>
      <c r="T266" s="244"/>
      <c r="U266" s="244"/>
      <c r="V266" s="244"/>
      <c r="W266" s="244"/>
      <c r="X266" s="244"/>
      <c r="Y266" s="244"/>
      <c r="Z266" s="244"/>
    </row>
    <row r="267" spans="16:26">
      <c r="P267" s="241"/>
      <c r="Q267" s="241"/>
      <c r="R267" s="241"/>
      <c r="S267" s="241"/>
      <c r="T267" s="241"/>
      <c r="U267" s="241"/>
      <c r="V267" s="241"/>
      <c r="W267" s="241"/>
      <c r="X267" s="241"/>
      <c r="Y267" s="241"/>
      <c r="Z267" s="241"/>
    </row>
    <row r="268" spans="16:26">
      <c r="P268" s="244"/>
      <c r="Q268" s="244"/>
      <c r="R268" s="244"/>
      <c r="S268" s="244"/>
      <c r="T268" s="244"/>
      <c r="U268" s="244"/>
      <c r="V268" s="244"/>
      <c r="W268" s="244"/>
      <c r="X268" s="244"/>
      <c r="Y268" s="244"/>
      <c r="Z268" s="244"/>
    </row>
    <row r="269" spans="16:26">
      <c r="P269" s="244"/>
      <c r="Q269" s="244"/>
      <c r="R269" s="244"/>
      <c r="S269" s="244"/>
      <c r="T269" s="244"/>
      <c r="U269" s="244"/>
      <c r="V269" s="244"/>
      <c r="W269" s="244"/>
      <c r="X269" s="244"/>
      <c r="Y269" s="244"/>
      <c r="Z269" s="244"/>
    </row>
    <row r="270" spans="16:26">
      <c r="P270" s="241"/>
      <c r="Q270" s="241"/>
      <c r="R270" s="241"/>
      <c r="S270" s="241"/>
      <c r="T270" s="241"/>
      <c r="U270" s="241"/>
      <c r="V270" s="241"/>
      <c r="W270" s="241"/>
      <c r="X270" s="241"/>
      <c r="Y270" s="241"/>
      <c r="Z270" s="241"/>
    </row>
    <row r="271" spans="16:26">
      <c r="P271" s="244"/>
      <c r="Q271" s="244"/>
      <c r="R271" s="244"/>
      <c r="S271" s="244"/>
      <c r="T271" s="244"/>
      <c r="U271" s="244"/>
      <c r="V271" s="244"/>
      <c r="W271" s="244"/>
      <c r="X271" s="244"/>
      <c r="Y271" s="244"/>
      <c r="Z271" s="244"/>
    </row>
    <row r="272" spans="16:26">
      <c r="P272" s="244"/>
      <c r="Q272" s="244"/>
      <c r="R272" s="244"/>
      <c r="S272" s="244"/>
      <c r="T272" s="244"/>
      <c r="U272" s="244"/>
      <c r="V272" s="244"/>
      <c r="W272" s="244"/>
      <c r="X272" s="244"/>
      <c r="Y272" s="244"/>
      <c r="Z272" s="244"/>
    </row>
    <row r="273" spans="16:26">
      <c r="P273" s="241"/>
      <c r="Q273" s="241"/>
      <c r="R273" s="241"/>
      <c r="S273" s="241"/>
      <c r="T273" s="241"/>
      <c r="U273" s="241"/>
      <c r="V273" s="241"/>
      <c r="W273" s="241"/>
      <c r="X273" s="241"/>
      <c r="Y273" s="241"/>
      <c r="Z273" s="241"/>
    </row>
    <row r="274" spans="16:26">
      <c r="P274" s="244"/>
      <c r="Q274" s="244"/>
      <c r="R274" s="244"/>
      <c r="S274" s="244"/>
      <c r="T274" s="244"/>
      <c r="U274" s="244"/>
      <c r="V274" s="244"/>
      <c r="W274" s="244"/>
      <c r="X274" s="244"/>
      <c r="Y274" s="244"/>
      <c r="Z274" s="244"/>
    </row>
    <row r="275" spans="16:26">
      <c r="P275" s="244"/>
      <c r="Q275" s="244"/>
      <c r="R275" s="244"/>
      <c r="S275" s="244"/>
      <c r="T275" s="244"/>
      <c r="U275" s="244"/>
      <c r="V275" s="244"/>
      <c r="W275" s="244"/>
      <c r="X275" s="244"/>
      <c r="Y275" s="244"/>
      <c r="Z275" s="244"/>
    </row>
    <row r="276" spans="16:26">
      <c r="P276" s="241"/>
      <c r="Q276" s="241"/>
      <c r="R276" s="241"/>
      <c r="S276" s="241"/>
      <c r="T276" s="241"/>
      <c r="U276" s="241"/>
      <c r="V276" s="241"/>
      <c r="W276" s="241"/>
      <c r="X276" s="241"/>
      <c r="Y276" s="241"/>
      <c r="Z276" s="241"/>
    </row>
    <row r="277" spans="16:26">
      <c r="P277" s="244"/>
      <c r="Q277" s="244"/>
      <c r="R277" s="244"/>
      <c r="S277" s="244"/>
      <c r="T277" s="244"/>
      <c r="U277" s="244"/>
      <c r="V277" s="244"/>
      <c r="W277" s="244"/>
      <c r="X277" s="244"/>
      <c r="Y277" s="244"/>
      <c r="Z277" s="244"/>
    </row>
    <row r="278" spans="16:26">
      <c r="P278" s="244"/>
      <c r="Q278" s="244"/>
      <c r="R278" s="244"/>
      <c r="S278" s="244"/>
      <c r="T278" s="244"/>
      <c r="U278" s="244"/>
      <c r="V278" s="244"/>
      <c r="W278" s="244"/>
      <c r="X278" s="244"/>
      <c r="Y278" s="244"/>
      <c r="Z278" s="244"/>
    </row>
    <row r="279" spans="16:26">
      <c r="P279" s="241"/>
      <c r="Q279" s="241"/>
      <c r="R279" s="241"/>
      <c r="S279" s="241"/>
      <c r="T279" s="241"/>
      <c r="U279" s="241"/>
      <c r="V279" s="241"/>
      <c r="W279" s="241"/>
      <c r="X279" s="241"/>
      <c r="Y279" s="241"/>
      <c r="Z279" s="241"/>
    </row>
    <row r="280" spans="16:26">
      <c r="P280" s="244"/>
      <c r="Q280" s="244"/>
      <c r="R280" s="244"/>
      <c r="S280" s="244"/>
      <c r="T280" s="244"/>
      <c r="U280" s="244"/>
      <c r="V280" s="244"/>
      <c r="W280" s="244"/>
      <c r="X280" s="244"/>
      <c r="Y280" s="244"/>
      <c r="Z280" s="244"/>
    </row>
    <row r="281" spans="16:26">
      <c r="P281" s="244"/>
      <c r="Q281" s="244"/>
      <c r="R281" s="244"/>
      <c r="S281" s="244"/>
      <c r="T281" s="244"/>
      <c r="U281" s="244"/>
      <c r="V281" s="244"/>
      <c r="W281" s="244"/>
      <c r="X281" s="244"/>
      <c r="Y281" s="244"/>
      <c r="Z281" s="244"/>
    </row>
    <row r="282" spans="16:26">
      <c r="P282" s="241"/>
      <c r="Q282" s="241"/>
      <c r="R282" s="241"/>
      <c r="S282" s="241"/>
      <c r="T282" s="241"/>
      <c r="U282" s="241"/>
      <c r="V282" s="241"/>
      <c r="W282" s="241"/>
      <c r="X282" s="241"/>
      <c r="Y282" s="241"/>
      <c r="Z282" s="241"/>
    </row>
    <row r="283" spans="16:26">
      <c r="P283" s="244"/>
      <c r="Q283" s="244"/>
      <c r="R283" s="244"/>
      <c r="S283" s="244"/>
      <c r="T283" s="244"/>
      <c r="U283" s="244"/>
      <c r="V283" s="244"/>
      <c r="W283" s="244"/>
      <c r="X283" s="244"/>
      <c r="Y283" s="244"/>
      <c r="Z283" s="244"/>
    </row>
    <row r="284" spans="16:26">
      <c r="P284" s="244"/>
      <c r="Q284" s="244"/>
      <c r="R284" s="244"/>
      <c r="S284" s="244"/>
      <c r="T284" s="244"/>
      <c r="U284" s="244"/>
      <c r="V284" s="244"/>
      <c r="W284" s="244"/>
      <c r="X284" s="244"/>
      <c r="Y284" s="244"/>
      <c r="Z284" s="244"/>
    </row>
    <row r="285" spans="16:26">
      <c r="P285" s="241"/>
      <c r="Q285" s="241"/>
      <c r="R285" s="241"/>
      <c r="S285" s="241"/>
      <c r="T285" s="241"/>
      <c r="U285" s="241"/>
      <c r="V285" s="241"/>
      <c r="W285" s="241"/>
      <c r="X285" s="241"/>
      <c r="Y285" s="241"/>
      <c r="Z285" s="241"/>
    </row>
    <row r="286" spans="16:26">
      <c r="P286" s="244"/>
      <c r="Q286" s="244"/>
      <c r="R286" s="244"/>
      <c r="S286" s="244"/>
      <c r="T286" s="244"/>
      <c r="U286" s="244"/>
      <c r="V286" s="244"/>
      <c r="W286" s="244"/>
      <c r="X286" s="244"/>
      <c r="Y286" s="244"/>
      <c r="Z286" s="244"/>
    </row>
    <row r="287" spans="16:26">
      <c r="P287" s="244"/>
      <c r="Q287" s="244"/>
      <c r="R287" s="244"/>
      <c r="S287" s="244"/>
      <c r="T287" s="244"/>
      <c r="U287" s="244"/>
      <c r="V287" s="244"/>
      <c r="W287" s="244"/>
      <c r="X287" s="244"/>
      <c r="Y287" s="244"/>
      <c r="Z287" s="244"/>
    </row>
    <row r="288" spans="16:26">
      <c r="P288" s="241"/>
      <c r="Q288" s="241"/>
      <c r="R288" s="241"/>
      <c r="S288" s="241"/>
      <c r="T288" s="241"/>
      <c r="U288" s="241"/>
      <c r="V288" s="241"/>
      <c r="W288" s="241"/>
      <c r="X288" s="241"/>
      <c r="Y288" s="241"/>
      <c r="Z288" s="241"/>
    </row>
    <row r="289" spans="16:26">
      <c r="P289" s="244"/>
      <c r="Q289" s="244"/>
      <c r="R289" s="244"/>
      <c r="S289" s="244"/>
      <c r="T289" s="244"/>
      <c r="U289" s="244"/>
      <c r="V289" s="244"/>
      <c r="W289" s="244"/>
      <c r="X289" s="244"/>
      <c r="Y289" s="244"/>
      <c r="Z289" s="244"/>
    </row>
    <row r="290" spans="16:26">
      <c r="P290" s="244"/>
      <c r="Q290" s="244"/>
      <c r="R290" s="244"/>
      <c r="S290" s="244"/>
      <c r="T290" s="244"/>
      <c r="U290" s="244"/>
      <c r="V290" s="244"/>
      <c r="W290" s="244"/>
      <c r="X290" s="244"/>
      <c r="Y290" s="244"/>
      <c r="Z290" s="244"/>
    </row>
    <row r="291" spans="16:26">
      <c r="P291" s="241"/>
      <c r="Q291" s="241"/>
      <c r="R291" s="241"/>
      <c r="S291" s="241"/>
      <c r="T291" s="241"/>
      <c r="U291" s="241"/>
      <c r="V291" s="241"/>
      <c r="W291" s="241"/>
      <c r="X291" s="241"/>
      <c r="Y291" s="241"/>
      <c r="Z291" s="241"/>
    </row>
    <row r="292" spans="16:26">
      <c r="P292" s="244"/>
      <c r="Q292" s="244"/>
      <c r="R292" s="244"/>
      <c r="S292" s="244"/>
      <c r="T292" s="244"/>
      <c r="U292" s="244"/>
      <c r="V292" s="244"/>
      <c r="W292" s="244"/>
      <c r="X292" s="244"/>
      <c r="Y292" s="244"/>
      <c r="Z292" s="244"/>
    </row>
    <row r="293" spans="16:26">
      <c r="P293" s="244"/>
      <c r="Q293" s="244"/>
      <c r="R293" s="244"/>
      <c r="S293" s="244"/>
      <c r="T293" s="244"/>
      <c r="U293" s="244"/>
      <c r="V293" s="244"/>
      <c r="W293" s="244"/>
      <c r="X293" s="244"/>
      <c r="Y293" s="244"/>
      <c r="Z293" s="244"/>
    </row>
    <row r="294" spans="16:26">
      <c r="P294" s="241"/>
      <c r="Q294" s="241"/>
      <c r="R294" s="241"/>
      <c r="S294" s="241"/>
      <c r="T294" s="241"/>
      <c r="U294" s="241"/>
      <c r="V294" s="241"/>
      <c r="W294" s="241"/>
      <c r="X294" s="241"/>
      <c r="Y294" s="241"/>
      <c r="Z294" s="241"/>
    </row>
    <row r="295" spans="16:26">
      <c r="P295" s="244"/>
      <c r="Q295" s="244"/>
      <c r="R295" s="244"/>
      <c r="S295" s="244"/>
      <c r="T295" s="244"/>
      <c r="U295" s="244"/>
      <c r="V295" s="244"/>
      <c r="W295" s="244"/>
      <c r="X295" s="244"/>
      <c r="Y295" s="244"/>
      <c r="Z295" s="244"/>
    </row>
    <row r="296" spans="16:26">
      <c r="P296" s="244"/>
      <c r="Q296" s="244"/>
      <c r="R296" s="244"/>
      <c r="S296" s="244"/>
      <c r="T296" s="244"/>
      <c r="U296" s="244"/>
      <c r="V296" s="244"/>
      <c r="W296" s="244"/>
      <c r="X296" s="244"/>
      <c r="Y296" s="244"/>
      <c r="Z296" s="244"/>
    </row>
    <row r="297" spans="16:26">
      <c r="P297" s="241"/>
      <c r="Q297" s="241"/>
      <c r="R297" s="241"/>
      <c r="S297" s="241"/>
      <c r="T297" s="241"/>
      <c r="U297" s="241"/>
      <c r="V297" s="241"/>
      <c r="W297" s="241"/>
      <c r="X297" s="241"/>
      <c r="Y297" s="241"/>
      <c r="Z297" s="241"/>
    </row>
    <row r="298" spans="16:26">
      <c r="P298" s="244"/>
      <c r="Q298" s="244"/>
      <c r="R298" s="244"/>
      <c r="S298" s="244"/>
      <c r="T298" s="244"/>
      <c r="U298" s="244"/>
      <c r="V298" s="244"/>
      <c r="W298" s="244"/>
      <c r="X298" s="244"/>
      <c r="Y298" s="244"/>
      <c r="Z298" s="244"/>
    </row>
    <row r="299" spans="16:26">
      <c r="P299" s="244"/>
      <c r="Q299" s="244"/>
      <c r="R299" s="244"/>
      <c r="S299" s="244"/>
      <c r="T299" s="244"/>
      <c r="U299" s="244"/>
      <c r="V299" s="244"/>
      <c r="W299" s="244"/>
      <c r="X299" s="244"/>
      <c r="Y299" s="244"/>
      <c r="Z299" s="244"/>
    </row>
    <row r="300" spans="16:26">
      <c r="P300" s="241"/>
      <c r="Q300" s="241"/>
      <c r="R300" s="241"/>
      <c r="S300" s="241"/>
      <c r="T300" s="241"/>
      <c r="U300" s="241"/>
      <c r="V300" s="241"/>
      <c r="W300" s="241"/>
      <c r="X300" s="241"/>
      <c r="Y300" s="241"/>
      <c r="Z300" s="241"/>
    </row>
    <row r="301" spans="16:26">
      <c r="P301" s="244"/>
      <c r="Q301" s="244"/>
      <c r="R301" s="244"/>
      <c r="S301" s="244"/>
      <c r="T301" s="244"/>
      <c r="U301" s="244"/>
      <c r="V301" s="244"/>
      <c r="W301" s="244"/>
      <c r="X301" s="244"/>
      <c r="Y301" s="244"/>
      <c r="Z301" s="244"/>
    </row>
    <row r="302" spans="16:26">
      <c r="P302" s="244"/>
      <c r="Q302" s="244"/>
      <c r="R302" s="244"/>
      <c r="S302" s="244"/>
      <c r="T302" s="244"/>
      <c r="U302" s="244"/>
      <c r="V302" s="244"/>
      <c r="W302" s="244"/>
      <c r="X302" s="244"/>
      <c r="Y302" s="244"/>
      <c r="Z302" s="244"/>
    </row>
    <row r="303" spans="16:26">
      <c r="P303" s="241"/>
      <c r="Q303" s="241"/>
      <c r="R303" s="241"/>
      <c r="S303" s="241"/>
      <c r="T303" s="241"/>
      <c r="U303" s="241"/>
      <c r="V303" s="241"/>
      <c r="W303" s="241"/>
      <c r="X303" s="241"/>
      <c r="Y303" s="241"/>
      <c r="Z303" s="241"/>
    </row>
    <row r="304" spans="16:26">
      <c r="P304" s="244"/>
      <c r="Q304" s="244"/>
      <c r="R304" s="244"/>
      <c r="S304" s="244"/>
      <c r="T304" s="244"/>
      <c r="U304" s="244"/>
      <c r="V304" s="244"/>
      <c r="W304" s="244"/>
      <c r="X304" s="244"/>
      <c r="Y304" s="244"/>
      <c r="Z304" s="244"/>
    </row>
    <row r="305" spans="16:26">
      <c r="P305" s="244"/>
      <c r="Q305" s="244"/>
      <c r="R305" s="244"/>
      <c r="S305" s="244"/>
      <c r="T305" s="244"/>
      <c r="U305" s="244"/>
      <c r="V305" s="244"/>
      <c r="W305" s="244"/>
      <c r="X305" s="244"/>
      <c r="Y305" s="244"/>
      <c r="Z305" s="244"/>
    </row>
    <row r="306" spans="16:26">
      <c r="P306" s="241"/>
      <c r="Q306" s="241"/>
      <c r="R306" s="241"/>
      <c r="S306" s="241"/>
      <c r="T306" s="241"/>
      <c r="U306" s="241"/>
      <c r="V306" s="241"/>
      <c r="W306" s="241"/>
      <c r="X306" s="241"/>
      <c r="Y306" s="241"/>
      <c r="Z306" s="241"/>
    </row>
    <row r="307" spans="16:26">
      <c r="P307" s="244"/>
      <c r="Q307" s="244"/>
      <c r="R307" s="244"/>
      <c r="S307" s="244"/>
      <c r="T307" s="244"/>
      <c r="U307" s="244"/>
      <c r="V307" s="244"/>
      <c r="W307" s="244"/>
      <c r="X307" s="244"/>
      <c r="Y307" s="244"/>
      <c r="Z307" s="244"/>
    </row>
    <row r="308" spans="16:26">
      <c r="P308" s="244"/>
      <c r="Q308" s="244"/>
      <c r="R308" s="244"/>
      <c r="S308" s="244"/>
      <c r="T308" s="244"/>
      <c r="U308" s="244"/>
      <c r="V308" s="244"/>
      <c r="W308" s="244"/>
      <c r="X308" s="244"/>
      <c r="Y308" s="244"/>
      <c r="Z308" s="244"/>
    </row>
    <row r="309" spans="16:26">
      <c r="P309" s="241"/>
      <c r="Q309" s="241"/>
      <c r="R309" s="241"/>
      <c r="S309" s="241"/>
      <c r="T309" s="241"/>
      <c r="U309" s="241"/>
      <c r="V309" s="241"/>
      <c r="W309" s="241"/>
      <c r="X309" s="241"/>
      <c r="Y309" s="241"/>
      <c r="Z309" s="241"/>
    </row>
    <row r="310" spans="16:26">
      <c r="P310" s="244"/>
      <c r="Q310" s="244"/>
      <c r="R310" s="244"/>
      <c r="S310" s="244"/>
      <c r="T310" s="244"/>
      <c r="U310" s="244"/>
      <c r="V310" s="244"/>
      <c r="W310" s="244"/>
      <c r="X310" s="244"/>
      <c r="Y310" s="244"/>
      <c r="Z310" s="244"/>
    </row>
    <row r="311" spans="16:26">
      <c r="P311" s="244"/>
      <c r="Q311" s="244"/>
      <c r="R311" s="244"/>
      <c r="S311" s="244"/>
      <c r="T311" s="244"/>
      <c r="U311" s="244"/>
      <c r="V311" s="244"/>
      <c r="W311" s="244"/>
      <c r="X311" s="244"/>
      <c r="Y311" s="244"/>
      <c r="Z311" s="244"/>
    </row>
    <row r="312" spans="16:26">
      <c r="P312" s="241"/>
      <c r="Q312" s="241"/>
      <c r="R312" s="241"/>
      <c r="S312" s="241"/>
      <c r="T312" s="241"/>
      <c r="U312" s="241"/>
      <c r="V312" s="241"/>
      <c r="W312" s="241"/>
      <c r="X312" s="241"/>
      <c r="Y312" s="241"/>
      <c r="Z312" s="241"/>
    </row>
    <row r="313" spans="16:26">
      <c r="P313" s="244"/>
      <c r="Q313" s="244"/>
      <c r="R313" s="244"/>
      <c r="S313" s="244"/>
      <c r="T313" s="244"/>
      <c r="U313" s="244"/>
      <c r="V313" s="244"/>
      <c r="W313" s="244"/>
      <c r="X313" s="244"/>
      <c r="Y313" s="244"/>
      <c r="Z313" s="244"/>
    </row>
    <row r="314" spans="16:26">
      <c r="P314" s="244"/>
      <c r="Q314" s="244"/>
      <c r="R314" s="244"/>
      <c r="S314" s="244"/>
      <c r="T314" s="244"/>
      <c r="U314" s="244"/>
      <c r="V314" s="244"/>
      <c r="W314" s="244"/>
      <c r="X314" s="244"/>
      <c r="Y314" s="244"/>
      <c r="Z314" s="244"/>
    </row>
    <row r="315" spans="16:26">
      <c r="P315" s="241"/>
      <c r="Q315" s="241"/>
      <c r="R315" s="241"/>
      <c r="S315" s="241"/>
      <c r="T315" s="241"/>
      <c r="U315" s="241"/>
      <c r="V315" s="241"/>
      <c r="W315" s="241"/>
      <c r="X315" s="241"/>
      <c r="Y315" s="241"/>
      <c r="Z315" s="241"/>
    </row>
    <row r="316" spans="16:26">
      <c r="P316" s="244"/>
      <c r="Q316" s="244"/>
      <c r="R316" s="244"/>
      <c r="S316" s="244"/>
      <c r="T316" s="244"/>
      <c r="U316" s="244"/>
      <c r="V316" s="244"/>
      <c r="W316" s="244"/>
      <c r="X316" s="244"/>
      <c r="Y316" s="244"/>
      <c r="Z316" s="244"/>
    </row>
    <row r="317" spans="16:26">
      <c r="P317" s="244"/>
      <c r="Q317" s="244"/>
      <c r="R317" s="244"/>
      <c r="S317" s="244"/>
      <c r="T317" s="244"/>
      <c r="U317" s="244"/>
      <c r="V317" s="244"/>
      <c r="W317" s="244"/>
      <c r="X317" s="244"/>
      <c r="Y317" s="244"/>
      <c r="Z317" s="244"/>
    </row>
    <row r="318" spans="16:26">
      <c r="P318" s="241"/>
      <c r="Q318" s="241"/>
      <c r="R318" s="241"/>
      <c r="S318" s="241"/>
      <c r="T318" s="241"/>
      <c r="U318" s="241"/>
      <c r="V318" s="241"/>
      <c r="W318" s="241"/>
      <c r="X318" s="241"/>
      <c r="Y318" s="241"/>
      <c r="Z318" s="241"/>
    </row>
    <row r="319" spans="16:26">
      <c r="P319" s="244"/>
      <c r="Q319" s="244"/>
      <c r="R319" s="244"/>
      <c r="S319" s="244"/>
      <c r="T319" s="244"/>
      <c r="U319" s="244"/>
      <c r="V319" s="244"/>
      <c r="W319" s="244"/>
      <c r="X319" s="244"/>
      <c r="Y319" s="244"/>
      <c r="Z319" s="244"/>
    </row>
    <row r="320" spans="16:26">
      <c r="P320" s="244"/>
      <c r="Q320" s="244"/>
      <c r="R320" s="244"/>
      <c r="S320" s="244"/>
      <c r="T320" s="244"/>
      <c r="U320" s="244"/>
      <c r="V320" s="244"/>
      <c r="W320" s="244"/>
      <c r="X320" s="244"/>
      <c r="Y320" s="244"/>
      <c r="Z320" s="244"/>
    </row>
    <row r="321" spans="16:26">
      <c r="P321" s="241"/>
      <c r="Q321" s="241"/>
      <c r="R321" s="241"/>
      <c r="S321" s="241"/>
      <c r="T321" s="241"/>
      <c r="U321" s="241"/>
      <c r="V321" s="241"/>
      <c r="W321" s="241"/>
      <c r="X321" s="241"/>
      <c r="Y321" s="241"/>
      <c r="Z321" s="241"/>
    </row>
    <row r="322" spans="16:26">
      <c r="P322" s="244"/>
      <c r="Q322" s="244"/>
      <c r="R322" s="244"/>
      <c r="S322" s="244"/>
      <c r="T322" s="244"/>
      <c r="U322" s="244"/>
      <c r="V322" s="244"/>
      <c r="W322" s="244"/>
      <c r="X322" s="244"/>
      <c r="Y322" s="244"/>
      <c r="Z322" s="244"/>
    </row>
    <row r="323" spans="16:26">
      <c r="P323" s="244"/>
      <c r="Q323" s="244"/>
      <c r="R323" s="244"/>
      <c r="S323" s="244"/>
      <c r="T323" s="244"/>
      <c r="U323" s="244"/>
      <c r="V323" s="244"/>
      <c r="W323" s="244"/>
      <c r="X323" s="244"/>
      <c r="Y323" s="244"/>
      <c r="Z323" s="244"/>
    </row>
    <row r="324" spans="16:26">
      <c r="P324" s="241"/>
      <c r="Q324" s="241"/>
      <c r="R324" s="241"/>
      <c r="S324" s="241"/>
      <c r="T324" s="241"/>
      <c r="U324" s="241"/>
      <c r="V324" s="241"/>
      <c r="W324" s="241"/>
      <c r="X324" s="241"/>
      <c r="Y324" s="241"/>
      <c r="Z324" s="241"/>
    </row>
    <row r="325" spans="16:26">
      <c r="P325" s="244"/>
      <c r="Q325" s="244"/>
      <c r="R325" s="244"/>
      <c r="S325" s="244"/>
      <c r="T325" s="244"/>
      <c r="U325" s="244"/>
      <c r="V325" s="244"/>
      <c r="W325" s="244"/>
      <c r="X325" s="244"/>
      <c r="Y325" s="244"/>
      <c r="Z325" s="244"/>
    </row>
    <row r="326" spans="16:26">
      <c r="P326" s="244"/>
      <c r="Q326" s="244"/>
      <c r="R326" s="244"/>
      <c r="S326" s="244"/>
      <c r="T326" s="244"/>
      <c r="U326" s="244"/>
      <c r="V326" s="244"/>
      <c r="W326" s="244"/>
      <c r="X326" s="244"/>
      <c r="Y326" s="244"/>
      <c r="Z326" s="244"/>
    </row>
    <row r="327" spans="16:26">
      <c r="P327" s="241"/>
      <c r="Q327" s="241"/>
      <c r="R327" s="241"/>
      <c r="S327" s="241"/>
      <c r="T327" s="241"/>
      <c r="U327" s="241"/>
      <c r="V327" s="241"/>
      <c r="W327" s="241"/>
      <c r="X327" s="241"/>
      <c r="Y327" s="241"/>
      <c r="Z327" s="241"/>
    </row>
    <row r="328" spans="16:26">
      <c r="P328" s="244"/>
      <c r="Q328" s="244"/>
      <c r="R328" s="244"/>
      <c r="S328" s="244"/>
      <c r="T328" s="244"/>
      <c r="U328" s="244"/>
      <c r="V328" s="244"/>
      <c r="W328" s="244"/>
      <c r="X328" s="244"/>
      <c r="Y328" s="244"/>
      <c r="Z328" s="244"/>
    </row>
    <row r="329" spans="16:26">
      <c r="P329" s="244"/>
      <c r="Q329" s="244"/>
      <c r="R329" s="244"/>
      <c r="S329" s="244"/>
      <c r="T329" s="244"/>
      <c r="U329" s="244"/>
      <c r="V329" s="244"/>
      <c r="W329" s="244"/>
      <c r="X329" s="244"/>
      <c r="Y329" s="244"/>
      <c r="Z329" s="244"/>
    </row>
    <row r="330" spans="16:26">
      <c r="P330" s="241"/>
      <c r="Q330" s="241"/>
      <c r="R330" s="241"/>
      <c r="S330" s="241"/>
      <c r="T330" s="241"/>
      <c r="U330" s="241"/>
      <c r="V330" s="241"/>
      <c r="W330" s="241"/>
      <c r="X330" s="241"/>
      <c r="Y330" s="241"/>
      <c r="Z330" s="241"/>
    </row>
    <row r="331" spans="16:26">
      <c r="P331" s="244"/>
      <c r="Q331" s="244"/>
      <c r="R331" s="244"/>
      <c r="S331" s="244"/>
      <c r="T331" s="244"/>
      <c r="U331" s="244"/>
      <c r="V331" s="244"/>
      <c r="W331" s="244"/>
      <c r="X331" s="244"/>
      <c r="Y331" s="244"/>
      <c r="Z331" s="244"/>
    </row>
    <row r="332" spans="16:26">
      <c r="P332" s="244"/>
      <c r="Q332" s="244"/>
      <c r="R332" s="244"/>
      <c r="S332" s="244"/>
      <c r="T332" s="244"/>
      <c r="U332" s="244"/>
      <c r="V332" s="244"/>
      <c r="W332" s="244"/>
      <c r="X332" s="244"/>
      <c r="Y332" s="244"/>
      <c r="Z332" s="244"/>
    </row>
    <row r="333" spans="16:26">
      <c r="P333" s="241"/>
      <c r="Q333" s="241"/>
      <c r="R333" s="241"/>
      <c r="S333" s="241"/>
      <c r="T333" s="241"/>
      <c r="U333" s="241"/>
      <c r="V333" s="241"/>
      <c r="W333" s="241"/>
      <c r="X333" s="241"/>
      <c r="Y333" s="241"/>
      <c r="Z333" s="241"/>
    </row>
    <row r="334" spans="16:26">
      <c r="P334" s="244"/>
      <c r="Q334" s="244"/>
      <c r="R334" s="244"/>
      <c r="S334" s="244"/>
      <c r="T334" s="244"/>
      <c r="U334" s="244"/>
      <c r="V334" s="244"/>
      <c r="W334" s="244"/>
      <c r="X334" s="244"/>
      <c r="Y334" s="244"/>
      <c r="Z334" s="244"/>
    </row>
    <row r="335" spans="16:26">
      <c r="P335" s="244"/>
      <c r="Q335" s="244"/>
      <c r="R335" s="244"/>
      <c r="S335" s="244"/>
      <c r="T335" s="244"/>
      <c r="U335" s="244"/>
      <c r="V335" s="244"/>
      <c r="W335" s="244"/>
      <c r="X335" s="244"/>
      <c r="Y335" s="244"/>
      <c r="Z335" s="244"/>
    </row>
    <row r="336" spans="16:26">
      <c r="P336" s="241"/>
      <c r="Q336" s="241"/>
      <c r="R336" s="241"/>
      <c r="S336" s="241"/>
      <c r="T336" s="241"/>
      <c r="U336" s="241"/>
      <c r="V336" s="241"/>
      <c r="W336" s="241"/>
      <c r="X336" s="241"/>
      <c r="Y336" s="241"/>
      <c r="Z336" s="241"/>
    </row>
    <row r="337" spans="16:26">
      <c r="P337" s="244"/>
      <c r="Q337" s="244"/>
      <c r="R337" s="244"/>
      <c r="S337" s="244"/>
      <c r="T337" s="244"/>
      <c r="U337" s="244"/>
      <c r="V337" s="244"/>
      <c r="W337" s="244"/>
      <c r="X337" s="244"/>
      <c r="Y337" s="244"/>
      <c r="Z337" s="244"/>
    </row>
    <row r="338" spans="16:26">
      <c r="P338" s="244"/>
      <c r="Q338" s="244"/>
      <c r="R338" s="244"/>
      <c r="S338" s="244"/>
      <c r="T338" s="244"/>
      <c r="U338" s="244"/>
      <c r="V338" s="244"/>
      <c r="W338" s="244"/>
      <c r="X338" s="244"/>
      <c r="Y338" s="244"/>
      <c r="Z338" s="244"/>
    </row>
    <row r="339" spans="16:26">
      <c r="P339" s="241"/>
      <c r="Q339" s="241"/>
      <c r="R339" s="241"/>
      <c r="S339" s="241"/>
      <c r="T339" s="241"/>
      <c r="U339" s="241"/>
      <c r="V339" s="241"/>
      <c r="W339" s="241"/>
      <c r="X339" s="241"/>
      <c r="Y339" s="241"/>
      <c r="Z339" s="241"/>
    </row>
    <row r="340" spans="16:26">
      <c r="P340" s="244"/>
      <c r="Q340" s="244"/>
      <c r="R340" s="244"/>
      <c r="S340" s="244"/>
      <c r="T340" s="244"/>
      <c r="U340" s="244"/>
      <c r="V340" s="244"/>
      <c r="W340" s="244"/>
      <c r="X340" s="244"/>
      <c r="Y340" s="244"/>
      <c r="Z340" s="244"/>
    </row>
    <row r="341" spans="16:26">
      <c r="P341" s="244"/>
      <c r="Q341" s="244"/>
      <c r="R341" s="244"/>
      <c r="S341" s="244"/>
      <c r="T341" s="244"/>
      <c r="U341" s="244"/>
      <c r="V341" s="244"/>
      <c r="W341" s="244"/>
      <c r="X341" s="244"/>
      <c r="Y341" s="244"/>
      <c r="Z341" s="244"/>
    </row>
    <row r="342" spans="16:26">
      <c r="P342" s="241"/>
      <c r="Q342" s="241"/>
      <c r="R342" s="241"/>
      <c r="S342" s="241"/>
      <c r="T342" s="241"/>
      <c r="U342" s="241"/>
      <c r="V342" s="241"/>
      <c r="W342" s="241"/>
      <c r="X342" s="241"/>
      <c r="Y342" s="241"/>
      <c r="Z342" s="241"/>
    </row>
    <row r="343" spans="16:26">
      <c r="P343" s="244"/>
      <c r="Q343" s="244"/>
      <c r="R343" s="244"/>
      <c r="S343" s="244"/>
      <c r="T343" s="244"/>
      <c r="U343" s="244"/>
      <c r="V343" s="244"/>
      <c r="W343" s="244"/>
      <c r="X343" s="244"/>
      <c r="Y343" s="244"/>
      <c r="Z343" s="244"/>
    </row>
    <row r="344" spans="16:26">
      <c r="P344" s="244"/>
      <c r="Q344" s="244"/>
      <c r="R344" s="244"/>
      <c r="S344" s="244"/>
      <c r="T344" s="244"/>
      <c r="U344" s="244"/>
      <c r="V344" s="244"/>
      <c r="W344" s="244"/>
      <c r="X344" s="244"/>
      <c r="Y344" s="244"/>
      <c r="Z344" s="244"/>
    </row>
    <row r="345" spans="16:26">
      <c r="P345" s="241"/>
      <c r="Q345" s="241"/>
      <c r="R345" s="241"/>
      <c r="S345" s="241"/>
      <c r="T345" s="241"/>
      <c r="U345" s="241"/>
      <c r="V345" s="241"/>
      <c r="W345" s="241"/>
      <c r="X345" s="241"/>
      <c r="Y345" s="241"/>
      <c r="Z345" s="241"/>
    </row>
    <row r="346" spans="16:26">
      <c r="P346" s="244"/>
      <c r="Q346" s="244"/>
      <c r="R346" s="244"/>
      <c r="S346" s="244"/>
      <c r="T346" s="244"/>
      <c r="U346" s="244"/>
      <c r="V346" s="244"/>
      <c r="W346" s="244"/>
      <c r="X346" s="244"/>
      <c r="Y346" s="244"/>
      <c r="Z346" s="244"/>
    </row>
    <row r="347" spans="16:26">
      <c r="P347" s="244"/>
      <c r="Q347" s="244"/>
      <c r="R347" s="244"/>
      <c r="S347" s="244"/>
      <c r="T347" s="244"/>
      <c r="U347" s="244"/>
      <c r="V347" s="244"/>
      <c r="W347" s="244"/>
      <c r="X347" s="244"/>
      <c r="Y347" s="244"/>
      <c r="Z347" s="244"/>
    </row>
    <row r="348" spans="16:26">
      <c r="P348" s="241"/>
      <c r="Q348" s="241"/>
      <c r="R348" s="241"/>
      <c r="S348" s="241"/>
      <c r="T348" s="241"/>
      <c r="U348" s="241"/>
      <c r="V348" s="241"/>
      <c r="W348" s="241"/>
      <c r="X348" s="241"/>
      <c r="Y348" s="241"/>
      <c r="Z348" s="241"/>
    </row>
    <row r="349" spans="16:26">
      <c r="P349" s="244"/>
      <c r="Q349" s="244"/>
      <c r="R349" s="244"/>
      <c r="S349" s="244"/>
      <c r="T349" s="244"/>
      <c r="U349" s="244"/>
      <c r="V349" s="244"/>
      <c r="W349" s="244"/>
      <c r="X349" s="244"/>
      <c r="Y349" s="244"/>
      <c r="Z349" s="244"/>
    </row>
    <row r="350" spans="16:26">
      <c r="P350" s="244"/>
      <c r="Q350" s="244"/>
      <c r="R350" s="244"/>
      <c r="S350" s="244"/>
      <c r="T350" s="244"/>
      <c r="U350" s="244"/>
      <c r="V350" s="244"/>
      <c r="W350" s="244"/>
      <c r="X350" s="244"/>
      <c r="Y350" s="244"/>
      <c r="Z350" s="244"/>
    </row>
    <row r="351" spans="16:26">
      <c r="P351" s="241"/>
      <c r="Q351" s="241"/>
      <c r="R351" s="241"/>
      <c r="S351" s="241"/>
      <c r="T351" s="241"/>
      <c r="U351" s="241"/>
      <c r="V351" s="241"/>
      <c r="W351" s="241"/>
      <c r="X351" s="241"/>
      <c r="Y351" s="241"/>
      <c r="Z351" s="241"/>
    </row>
    <row r="352" spans="16:26">
      <c r="P352" s="244"/>
      <c r="Q352" s="244"/>
      <c r="R352" s="244"/>
      <c r="S352" s="244"/>
      <c r="T352" s="244"/>
      <c r="U352" s="244"/>
      <c r="V352" s="244"/>
      <c r="W352" s="244"/>
      <c r="X352" s="244"/>
      <c r="Y352" s="244"/>
      <c r="Z352" s="244"/>
    </row>
    <row r="353" spans="16:26">
      <c r="P353" s="244"/>
      <c r="Q353" s="244"/>
      <c r="R353" s="244"/>
      <c r="S353" s="244"/>
      <c r="T353" s="244"/>
      <c r="U353" s="244"/>
      <c r="V353" s="244"/>
      <c r="W353" s="244"/>
      <c r="X353" s="244"/>
      <c r="Y353" s="244"/>
      <c r="Z353" s="244"/>
    </row>
    <row r="354" spans="16:26">
      <c r="P354" s="241"/>
      <c r="Q354" s="241"/>
      <c r="R354" s="241"/>
      <c r="S354" s="241"/>
      <c r="T354" s="241"/>
      <c r="U354" s="241"/>
      <c r="V354" s="241"/>
      <c r="W354" s="241"/>
      <c r="X354" s="241"/>
      <c r="Y354" s="241"/>
      <c r="Z354" s="241"/>
    </row>
    <row r="355" spans="16:26">
      <c r="P355" s="244"/>
      <c r="Q355" s="244"/>
      <c r="R355" s="244"/>
      <c r="S355" s="244"/>
      <c r="T355" s="244"/>
      <c r="U355" s="244"/>
      <c r="V355" s="244"/>
      <c r="W355" s="244"/>
      <c r="X355" s="244"/>
      <c r="Y355" s="244"/>
      <c r="Z355" s="244"/>
    </row>
    <row r="356" spans="16:26">
      <c r="P356" s="244"/>
      <c r="Q356" s="244"/>
      <c r="R356" s="244"/>
      <c r="S356" s="244"/>
      <c r="T356" s="244"/>
      <c r="U356" s="244"/>
      <c r="V356" s="244"/>
      <c r="W356" s="244"/>
      <c r="X356" s="244"/>
      <c r="Y356" s="244"/>
      <c r="Z356" s="244"/>
    </row>
    <row r="357" spans="16:26">
      <c r="P357" s="241"/>
      <c r="Q357" s="241"/>
      <c r="R357" s="241"/>
      <c r="S357" s="241"/>
      <c r="T357" s="241"/>
      <c r="U357" s="241"/>
      <c r="V357" s="241"/>
      <c r="W357" s="241"/>
      <c r="X357" s="241"/>
      <c r="Y357" s="241"/>
      <c r="Z357" s="241"/>
    </row>
    <row r="358" spans="16:26">
      <c r="P358" s="244"/>
      <c r="Q358" s="244"/>
      <c r="R358" s="244"/>
      <c r="S358" s="244"/>
      <c r="T358" s="244"/>
      <c r="U358" s="244"/>
      <c r="V358" s="244"/>
      <c r="W358" s="244"/>
      <c r="X358" s="244"/>
      <c r="Y358" s="244"/>
      <c r="Z358" s="244"/>
    </row>
    <row r="359" spans="16:26">
      <c r="P359" s="244"/>
      <c r="Q359" s="244"/>
      <c r="R359" s="244"/>
      <c r="S359" s="244"/>
      <c r="T359" s="244"/>
      <c r="U359" s="244"/>
      <c r="V359" s="244"/>
      <c r="W359" s="244"/>
      <c r="X359" s="244"/>
      <c r="Y359" s="244"/>
      <c r="Z359" s="244"/>
    </row>
    <row r="360" spans="16:26">
      <c r="P360" s="241"/>
      <c r="Q360" s="241"/>
      <c r="R360" s="241"/>
      <c r="S360" s="241"/>
      <c r="T360" s="241"/>
      <c r="U360" s="241"/>
      <c r="V360" s="241"/>
      <c r="W360" s="241"/>
      <c r="X360" s="241"/>
      <c r="Y360" s="241"/>
      <c r="Z360" s="241"/>
    </row>
    <row r="361" spans="16:26">
      <c r="P361" s="244"/>
      <c r="Q361" s="244"/>
      <c r="R361" s="244"/>
      <c r="S361" s="244"/>
      <c r="T361" s="244"/>
      <c r="U361" s="244"/>
      <c r="V361" s="244"/>
      <c r="W361" s="244"/>
      <c r="X361" s="244"/>
      <c r="Y361" s="244"/>
      <c r="Z361" s="244"/>
    </row>
    <row r="362" spans="16:26">
      <c r="P362" s="244"/>
      <c r="Q362" s="244"/>
      <c r="R362" s="244"/>
      <c r="S362" s="244"/>
      <c r="T362" s="244"/>
      <c r="U362" s="244"/>
      <c r="V362" s="244"/>
      <c r="W362" s="244"/>
      <c r="X362" s="244"/>
      <c r="Y362" s="244"/>
      <c r="Z362" s="244"/>
    </row>
    <row r="363" spans="16:26">
      <c r="P363" s="241"/>
      <c r="Q363" s="241"/>
      <c r="R363" s="241"/>
      <c r="S363" s="241"/>
      <c r="T363" s="241"/>
      <c r="U363" s="241"/>
      <c r="V363" s="241"/>
      <c r="W363" s="241"/>
      <c r="X363" s="241"/>
      <c r="Y363" s="241"/>
      <c r="Z363" s="241"/>
    </row>
    <row r="364" spans="16:26">
      <c r="P364" s="244"/>
      <c r="Q364" s="244"/>
      <c r="R364" s="244"/>
      <c r="S364" s="244"/>
      <c r="T364" s="244"/>
      <c r="U364" s="244"/>
      <c r="V364" s="244"/>
      <c r="W364" s="244"/>
      <c r="X364" s="244"/>
      <c r="Y364" s="244"/>
      <c r="Z364" s="244"/>
    </row>
    <row r="365" spans="16:26">
      <c r="P365" s="244"/>
      <c r="Q365" s="244"/>
      <c r="R365" s="244"/>
      <c r="S365" s="244"/>
      <c r="T365" s="244"/>
      <c r="U365" s="244"/>
      <c r="V365" s="244"/>
      <c r="W365" s="244"/>
      <c r="X365" s="244"/>
      <c r="Y365" s="244"/>
      <c r="Z365" s="244"/>
    </row>
    <row r="366" spans="16:26">
      <c r="P366" s="241"/>
      <c r="Q366" s="241"/>
      <c r="R366" s="241"/>
      <c r="S366" s="241"/>
      <c r="T366" s="241"/>
      <c r="U366" s="241"/>
      <c r="V366" s="241"/>
      <c r="W366" s="241"/>
      <c r="X366" s="241"/>
      <c r="Y366" s="241"/>
      <c r="Z366" s="241"/>
    </row>
    <row r="367" spans="16:26">
      <c r="P367" s="244"/>
      <c r="Q367" s="244"/>
      <c r="R367" s="244"/>
      <c r="S367" s="244"/>
      <c r="T367" s="244"/>
      <c r="U367" s="244"/>
      <c r="V367" s="244"/>
      <c r="W367" s="244"/>
      <c r="X367" s="244"/>
      <c r="Y367" s="244"/>
      <c r="Z367" s="244"/>
    </row>
    <row r="368" spans="16:26">
      <c r="P368" s="244"/>
      <c r="Q368" s="244"/>
      <c r="R368" s="244"/>
      <c r="S368" s="244"/>
      <c r="T368" s="244"/>
      <c r="U368" s="244"/>
      <c r="V368" s="244"/>
      <c r="W368" s="244"/>
      <c r="X368" s="244"/>
      <c r="Y368" s="244"/>
      <c r="Z368" s="244"/>
    </row>
    <row r="369" spans="16:26">
      <c r="P369" s="241"/>
      <c r="Q369" s="241"/>
      <c r="R369" s="241"/>
      <c r="S369" s="241"/>
      <c r="T369" s="241"/>
      <c r="U369" s="241"/>
      <c r="V369" s="241"/>
      <c r="W369" s="241"/>
      <c r="X369" s="241"/>
      <c r="Y369" s="241"/>
      <c r="Z369" s="241"/>
    </row>
    <row r="370" spans="16:26">
      <c r="P370" s="244"/>
      <c r="Q370" s="244"/>
      <c r="R370" s="244"/>
      <c r="S370" s="244"/>
      <c r="T370" s="244"/>
      <c r="U370" s="244"/>
      <c r="V370" s="244"/>
      <c r="W370" s="244"/>
      <c r="X370" s="244"/>
      <c r="Y370" s="244"/>
      <c r="Z370" s="244"/>
    </row>
    <row r="371" spans="16:26">
      <c r="P371" s="244"/>
      <c r="Q371" s="244"/>
      <c r="R371" s="244"/>
      <c r="S371" s="244"/>
      <c r="T371" s="244"/>
      <c r="U371" s="244"/>
      <c r="V371" s="244"/>
      <c r="W371" s="244"/>
      <c r="X371" s="244"/>
      <c r="Y371" s="244"/>
      <c r="Z371" s="244"/>
    </row>
    <row r="372" spans="16:26">
      <c r="P372" s="241"/>
      <c r="Q372" s="241"/>
      <c r="R372" s="241"/>
      <c r="S372" s="241"/>
      <c r="T372" s="241"/>
      <c r="U372" s="241"/>
      <c r="V372" s="241"/>
      <c r="W372" s="241"/>
      <c r="X372" s="241"/>
      <c r="Y372" s="241"/>
      <c r="Z372" s="241"/>
    </row>
    <row r="373" spans="16:26">
      <c r="P373" s="244"/>
      <c r="Q373" s="244"/>
      <c r="R373" s="244"/>
      <c r="S373" s="244"/>
      <c r="T373" s="244"/>
      <c r="U373" s="244"/>
      <c r="V373" s="244"/>
      <c r="W373" s="244"/>
      <c r="X373" s="244"/>
      <c r="Y373" s="244"/>
      <c r="Z373" s="244"/>
    </row>
    <row r="374" spans="16:26">
      <c r="P374" s="244"/>
      <c r="Q374" s="244"/>
      <c r="R374" s="244"/>
      <c r="S374" s="244"/>
      <c r="T374" s="244"/>
      <c r="U374" s="244"/>
      <c r="V374" s="244"/>
      <c r="W374" s="244"/>
      <c r="X374" s="244"/>
      <c r="Y374" s="244"/>
      <c r="Z374" s="244"/>
    </row>
    <row r="375" spans="16:26">
      <c r="P375" s="241"/>
      <c r="Q375" s="241"/>
      <c r="R375" s="241"/>
      <c r="S375" s="241"/>
      <c r="T375" s="241"/>
      <c r="U375" s="241"/>
      <c r="V375" s="241"/>
      <c r="W375" s="241"/>
      <c r="X375" s="241"/>
      <c r="Y375" s="241"/>
      <c r="Z375" s="241"/>
    </row>
    <row r="376" spans="16:26">
      <c r="P376" s="244"/>
      <c r="Q376" s="244"/>
      <c r="R376" s="244"/>
      <c r="S376" s="244"/>
      <c r="T376" s="244"/>
      <c r="U376" s="244"/>
      <c r="V376" s="244"/>
      <c r="W376" s="244"/>
      <c r="X376" s="244"/>
      <c r="Y376" s="244"/>
      <c r="Z376" s="244"/>
    </row>
    <row r="377" spans="16:26">
      <c r="P377" s="244"/>
      <c r="Q377" s="244"/>
      <c r="R377" s="244"/>
      <c r="S377" s="244"/>
      <c r="T377" s="244"/>
      <c r="U377" s="244"/>
      <c r="V377" s="244"/>
      <c r="W377" s="244"/>
      <c r="X377" s="244"/>
      <c r="Y377" s="244"/>
      <c r="Z377" s="244"/>
    </row>
    <row r="378" spans="16:26">
      <c r="P378" s="241"/>
      <c r="Q378" s="241"/>
      <c r="R378" s="241"/>
      <c r="S378" s="241"/>
      <c r="T378" s="241"/>
      <c r="U378" s="241"/>
      <c r="V378" s="241"/>
      <c r="W378" s="241"/>
      <c r="X378" s="241"/>
      <c r="Y378" s="241"/>
      <c r="Z378" s="241"/>
    </row>
    <row r="379" spans="16:26">
      <c r="P379" s="244"/>
      <c r="Q379" s="244"/>
      <c r="R379" s="244"/>
      <c r="S379" s="244"/>
      <c r="T379" s="244"/>
      <c r="U379" s="244"/>
      <c r="V379" s="244"/>
      <c r="W379" s="244"/>
      <c r="X379" s="244"/>
      <c r="Y379" s="244"/>
      <c r="Z379" s="244"/>
    </row>
    <row r="380" spans="16:26">
      <c r="P380" s="244"/>
      <c r="Q380" s="244"/>
      <c r="R380" s="244"/>
      <c r="S380" s="244"/>
      <c r="T380" s="244"/>
      <c r="U380" s="244"/>
      <c r="V380" s="244"/>
      <c r="W380" s="244"/>
      <c r="X380" s="244"/>
      <c r="Y380" s="244"/>
      <c r="Z380" s="244"/>
    </row>
    <row r="381" spans="16:26">
      <c r="P381" s="241"/>
      <c r="Q381" s="241"/>
      <c r="R381" s="241"/>
      <c r="S381" s="241"/>
      <c r="T381" s="241"/>
      <c r="U381" s="241"/>
      <c r="V381" s="241"/>
      <c r="W381" s="241"/>
      <c r="X381" s="241"/>
      <c r="Y381" s="241"/>
      <c r="Z381" s="241"/>
    </row>
    <row r="382" spans="16:26">
      <c r="P382" s="244"/>
      <c r="Q382" s="244"/>
      <c r="R382" s="244"/>
      <c r="S382" s="244"/>
      <c r="T382" s="244"/>
      <c r="U382" s="244"/>
      <c r="V382" s="244"/>
      <c r="W382" s="244"/>
      <c r="X382" s="244"/>
      <c r="Y382" s="244"/>
      <c r="Z382" s="244"/>
    </row>
    <row r="383" spans="16:26">
      <c r="P383" s="244"/>
      <c r="Q383" s="244"/>
      <c r="R383" s="244"/>
      <c r="S383" s="244"/>
      <c r="T383" s="244"/>
      <c r="U383" s="244"/>
      <c r="V383" s="244"/>
      <c r="W383" s="244"/>
      <c r="X383" s="244"/>
      <c r="Y383" s="244"/>
      <c r="Z383" s="244"/>
    </row>
    <row r="384" spans="16:26">
      <c r="P384" s="241"/>
      <c r="Q384" s="241"/>
      <c r="R384" s="241"/>
      <c r="S384" s="241"/>
      <c r="T384" s="241"/>
      <c r="U384" s="241"/>
      <c r="V384" s="241"/>
      <c r="W384" s="241"/>
      <c r="X384" s="241"/>
      <c r="Y384" s="241"/>
      <c r="Z384" s="241"/>
    </row>
    <row r="385" spans="16:26">
      <c r="P385" s="244"/>
      <c r="Q385" s="244"/>
      <c r="R385" s="244"/>
      <c r="S385" s="244"/>
      <c r="T385" s="244"/>
      <c r="U385" s="244"/>
      <c r="V385" s="244"/>
      <c r="W385" s="244"/>
      <c r="X385" s="244"/>
      <c r="Y385" s="244"/>
      <c r="Z385" s="244"/>
    </row>
    <row r="386" spans="16:26">
      <c r="P386" s="244"/>
      <c r="Q386" s="244"/>
      <c r="R386" s="244"/>
      <c r="S386" s="244"/>
      <c r="T386" s="244"/>
      <c r="U386" s="244"/>
      <c r="V386" s="244"/>
      <c r="W386" s="244"/>
      <c r="X386" s="244"/>
      <c r="Y386" s="244"/>
      <c r="Z386" s="244"/>
    </row>
    <row r="387" spans="16:26">
      <c r="P387" s="241"/>
      <c r="Q387" s="241"/>
      <c r="R387" s="241"/>
      <c r="S387" s="241"/>
      <c r="T387" s="241"/>
      <c r="U387" s="241"/>
      <c r="V387" s="241"/>
      <c r="W387" s="241"/>
      <c r="X387" s="241"/>
      <c r="Y387" s="241"/>
      <c r="Z387" s="241"/>
    </row>
    <row r="388" spans="16:26">
      <c r="P388" s="244"/>
      <c r="Q388" s="244"/>
      <c r="R388" s="244"/>
      <c r="S388" s="244"/>
      <c r="T388" s="244"/>
      <c r="U388" s="244"/>
      <c r="V388" s="244"/>
      <c r="W388" s="244"/>
      <c r="X388" s="244"/>
      <c r="Y388" s="244"/>
      <c r="Z388" s="244"/>
    </row>
    <row r="389" spans="16:26">
      <c r="P389" s="244"/>
      <c r="Q389" s="244"/>
      <c r="R389" s="244"/>
      <c r="S389" s="244"/>
      <c r="T389" s="244"/>
      <c r="U389" s="244"/>
      <c r="V389" s="244"/>
      <c r="W389" s="244"/>
      <c r="X389" s="244"/>
      <c r="Y389" s="244"/>
      <c r="Z389" s="244"/>
    </row>
    <row r="390" spans="16:26">
      <c r="P390" s="241"/>
      <c r="Q390" s="241"/>
      <c r="R390" s="241"/>
      <c r="S390" s="241"/>
      <c r="T390" s="241"/>
      <c r="U390" s="241"/>
      <c r="V390" s="241"/>
      <c r="W390" s="241"/>
      <c r="X390" s="241"/>
      <c r="Y390" s="241"/>
      <c r="Z390" s="241"/>
    </row>
    <row r="391" spans="16:26">
      <c r="P391" s="244"/>
      <c r="Q391" s="244"/>
      <c r="R391" s="244"/>
      <c r="S391" s="244"/>
      <c r="T391" s="244"/>
      <c r="U391" s="244"/>
      <c r="V391" s="244"/>
      <c r="W391" s="244"/>
      <c r="X391" s="244"/>
      <c r="Y391" s="244"/>
      <c r="Z391" s="244"/>
    </row>
    <row r="392" spans="16:26">
      <c r="P392" s="244"/>
      <c r="Q392" s="244"/>
      <c r="R392" s="244"/>
      <c r="S392" s="244"/>
      <c r="T392" s="244"/>
      <c r="U392" s="244"/>
      <c r="V392" s="244"/>
      <c r="W392" s="244"/>
      <c r="X392" s="244"/>
      <c r="Y392" s="244"/>
      <c r="Z392" s="244"/>
    </row>
    <row r="393" spans="16:26">
      <c r="P393" s="241"/>
      <c r="Q393" s="241"/>
      <c r="R393" s="241"/>
      <c r="S393" s="241"/>
      <c r="T393" s="241"/>
      <c r="U393" s="241"/>
      <c r="V393" s="241"/>
      <c r="W393" s="241"/>
      <c r="X393" s="241"/>
      <c r="Y393" s="241"/>
      <c r="Z393" s="241"/>
    </row>
    <row r="394" spans="16:26">
      <c r="P394" s="244"/>
      <c r="Q394" s="244"/>
      <c r="R394" s="244"/>
      <c r="S394" s="244"/>
      <c r="T394" s="244"/>
      <c r="U394" s="244"/>
      <c r="V394" s="244"/>
      <c r="W394" s="244"/>
      <c r="X394" s="244"/>
      <c r="Y394" s="244"/>
      <c r="Z394" s="244"/>
    </row>
    <row r="395" spans="16:26">
      <c r="P395" s="244"/>
      <c r="Q395" s="244"/>
      <c r="R395" s="244"/>
      <c r="S395" s="244"/>
      <c r="T395" s="244"/>
      <c r="U395" s="244"/>
      <c r="V395" s="244"/>
      <c r="W395" s="244"/>
      <c r="X395" s="244"/>
      <c r="Y395" s="244"/>
      <c r="Z395" s="244"/>
    </row>
    <row r="396" spans="16:26">
      <c r="P396" s="241"/>
      <c r="Q396" s="241"/>
      <c r="R396" s="241"/>
      <c r="S396" s="241"/>
      <c r="T396" s="241"/>
      <c r="U396" s="241"/>
      <c r="V396" s="241"/>
      <c r="W396" s="241"/>
      <c r="X396" s="241"/>
      <c r="Y396" s="241"/>
      <c r="Z396" s="241"/>
    </row>
    <row r="397" spans="16:26">
      <c r="P397" s="244"/>
      <c r="Q397" s="244"/>
      <c r="R397" s="244"/>
      <c r="S397" s="244"/>
      <c r="T397" s="244"/>
      <c r="U397" s="244"/>
      <c r="V397" s="244"/>
      <c r="W397" s="244"/>
      <c r="X397" s="244"/>
      <c r="Y397" s="244"/>
      <c r="Z397" s="244"/>
    </row>
    <row r="398" spans="16:26">
      <c r="P398" s="244"/>
      <c r="Q398" s="244"/>
      <c r="R398" s="244"/>
      <c r="S398" s="244"/>
      <c r="T398" s="244"/>
      <c r="U398" s="244"/>
      <c r="V398" s="244"/>
      <c r="W398" s="244"/>
      <c r="X398" s="244"/>
      <c r="Y398" s="244"/>
      <c r="Z398" s="244"/>
    </row>
    <row r="399" spans="16:26">
      <c r="P399" s="241"/>
      <c r="Q399" s="241"/>
      <c r="R399" s="241"/>
      <c r="S399" s="241"/>
      <c r="T399" s="241"/>
      <c r="U399" s="241"/>
      <c r="V399" s="241"/>
      <c r="W399" s="241"/>
      <c r="X399" s="241"/>
      <c r="Y399" s="241"/>
      <c r="Z399" s="241"/>
    </row>
    <row r="400" spans="16:26">
      <c r="P400" s="244"/>
      <c r="Q400" s="244"/>
      <c r="R400" s="244"/>
      <c r="S400" s="244"/>
      <c r="T400" s="244"/>
      <c r="U400" s="244"/>
      <c r="V400" s="244"/>
      <c r="W400" s="244"/>
      <c r="X400" s="244"/>
      <c r="Y400" s="244"/>
      <c r="Z400" s="244"/>
    </row>
    <row r="401" spans="16:26">
      <c r="P401" s="244"/>
      <c r="Q401" s="244"/>
      <c r="R401" s="244"/>
      <c r="S401" s="244"/>
      <c r="T401" s="244"/>
      <c r="U401" s="244"/>
      <c r="V401" s="244"/>
      <c r="W401" s="244"/>
      <c r="X401" s="244"/>
      <c r="Y401" s="244"/>
      <c r="Z401" s="244"/>
    </row>
    <row r="402" spans="16:26">
      <c r="P402" s="241"/>
      <c r="Q402" s="241"/>
      <c r="R402" s="241"/>
      <c r="S402" s="241"/>
      <c r="T402" s="241"/>
      <c r="U402" s="241"/>
      <c r="V402" s="241"/>
      <c r="W402" s="241"/>
      <c r="X402" s="241"/>
      <c r="Y402" s="241"/>
      <c r="Z402" s="241"/>
    </row>
    <row r="403" spans="16:26">
      <c r="P403" s="244"/>
      <c r="Q403" s="244"/>
      <c r="R403" s="244"/>
      <c r="S403" s="244"/>
      <c r="T403" s="244"/>
      <c r="U403" s="244"/>
      <c r="V403" s="244"/>
      <c r="W403" s="244"/>
      <c r="X403" s="244"/>
      <c r="Y403" s="244"/>
      <c r="Z403" s="244"/>
    </row>
    <row r="404" spans="16:26">
      <c r="P404" s="244"/>
      <c r="Q404" s="244"/>
      <c r="R404" s="244"/>
      <c r="S404" s="244"/>
      <c r="T404" s="244"/>
      <c r="U404" s="244"/>
      <c r="V404" s="244"/>
      <c r="W404" s="244"/>
      <c r="X404" s="244"/>
      <c r="Y404" s="244"/>
      <c r="Z404" s="244"/>
    </row>
    <row r="405" spans="16:26">
      <c r="P405" s="241"/>
      <c r="Q405" s="241"/>
      <c r="R405" s="241"/>
      <c r="S405" s="241"/>
      <c r="T405" s="241"/>
      <c r="U405" s="241"/>
      <c r="V405" s="241"/>
      <c r="W405" s="241"/>
      <c r="X405" s="241"/>
      <c r="Y405" s="241"/>
      <c r="Z405" s="241"/>
    </row>
    <row r="406" spans="16:26">
      <c r="P406" s="244"/>
      <c r="Q406" s="244"/>
      <c r="R406" s="244"/>
      <c r="S406" s="244"/>
      <c r="T406" s="244"/>
      <c r="U406" s="244"/>
      <c r="V406" s="244"/>
      <c r="W406" s="244"/>
      <c r="X406" s="244"/>
      <c r="Y406" s="244"/>
      <c r="Z406" s="244"/>
    </row>
    <row r="407" spans="16:26">
      <c r="P407" s="244"/>
      <c r="Q407" s="244"/>
      <c r="R407" s="244"/>
      <c r="S407" s="244"/>
      <c r="T407" s="244"/>
      <c r="U407" s="244"/>
      <c r="V407" s="244"/>
      <c r="W407" s="244"/>
      <c r="X407" s="244"/>
      <c r="Y407" s="244"/>
      <c r="Z407" s="244"/>
    </row>
    <row r="408" spans="16:26">
      <c r="P408" s="241"/>
      <c r="Q408" s="241"/>
      <c r="R408" s="241"/>
      <c r="S408" s="241"/>
      <c r="T408" s="241"/>
      <c r="U408" s="241"/>
      <c r="V408" s="241"/>
      <c r="W408" s="241"/>
      <c r="X408" s="241"/>
      <c r="Y408" s="241"/>
      <c r="Z408" s="241"/>
    </row>
    <row r="409" spans="16:26">
      <c r="P409" s="244"/>
      <c r="Q409" s="244"/>
      <c r="R409" s="244"/>
      <c r="S409" s="244"/>
      <c r="T409" s="244"/>
      <c r="U409" s="244"/>
      <c r="V409" s="244"/>
      <c r="W409" s="244"/>
      <c r="X409" s="244"/>
      <c r="Y409" s="244"/>
      <c r="Z409" s="244"/>
    </row>
    <row r="410" spans="16:26">
      <c r="P410" s="244"/>
      <c r="Q410" s="244"/>
      <c r="R410" s="244"/>
      <c r="S410" s="244"/>
      <c r="T410" s="244"/>
      <c r="U410" s="244"/>
      <c r="V410" s="244"/>
      <c r="W410" s="244"/>
      <c r="X410" s="244"/>
      <c r="Y410" s="244"/>
      <c r="Z410" s="244"/>
    </row>
    <row r="411" spans="16:26">
      <c r="P411" s="241"/>
      <c r="Q411" s="241"/>
      <c r="R411" s="241"/>
      <c r="S411" s="241"/>
      <c r="T411" s="241"/>
      <c r="U411" s="241"/>
      <c r="V411" s="241"/>
      <c r="W411" s="241"/>
      <c r="X411" s="241"/>
      <c r="Y411" s="241"/>
      <c r="Z411" s="241"/>
    </row>
    <row r="412" spans="16:26">
      <c r="P412" s="244"/>
      <c r="Q412" s="244"/>
      <c r="R412" s="244"/>
      <c r="S412" s="244"/>
      <c r="T412" s="244"/>
      <c r="U412" s="244"/>
      <c r="V412" s="244"/>
      <c r="W412" s="244"/>
      <c r="X412" s="244"/>
      <c r="Y412" s="244"/>
      <c r="Z412" s="244"/>
    </row>
    <row r="413" spans="16:26">
      <c r="P413" s="244"/>
      <c r="Q413" s="244"/>
      <c r="R413" s="244"/>
      <c r="S413" s="244"/>
      <c r="T413" s="244"/>
      <c r="U413" s="244"/>
      <c r="V413" s="244"/>
      <c r="W413" s="244"/>
      <c r="X413" s="244"/>
      <c r="Y413" s="244"/>
      <c r="Z413" s="244"/>
    </row>
    <row r="414" spans="16:26">
      <c r="P414" s="241"/>
      <c r="Q414" s="241"/>
      <c r="R414" s="241"/>
      <c r="S414" s="241"/>
      <c r="T414" s="241"/>
      <c r="U414" s="241"/>
      <c r="V414" s="241"/>
      <c r="W414" s="241"/>
      <c r="X414" s="241"/>
      <c r="Y414" s="241"/>
      <c r="Z414" s="241"/>
    </row>
    <row r="415" spans="16:26">
      <c r="P415" s="244"/>
      <c r="Q415" s="244"/>
      <c r="R415" s="244"/>
      <c r="S415" s="244"/>
      <c r="T415" s="244"/>
      <c r="U415" s="244"/>
      <c r="V415" s="244"/>
      <c r="W415" s="244"/>
      <c r="X415" s="244"/>
      <c r="Y415" s="244"/>
      <c r="Z415" s="244"/>
    </row>
    <row r="416" spans="16:26">
      <c r="P416" s="244"/>
      <c r="Q416" s="244"/>
      <c r="R416" s="244"/>
      <c r="S416" s="244"/>
      <c r="T416" s="244"/>
      <c r="U416" s="244"/>
      <c r="V416" s="244"/>
      <c r="W416" s="244"/>
      <c r="X416" s="244"/>
      <c r="Y416" s="244"/>
      <c r="Z416" s="244"/>
    </row>
    <row r="417" spans="16:26">
      <c r="P417" s="241"/>
      <c r="Q417" s="241"/>
      <c r="R417" s="241"/>
      <c r="S417" s="241"/>
      <c r="T417" s="241"/>
      <c r="U417" s="241"/>
      <c r="V417" s="241"/>
      <c r="W417" s="241"/>
      <c r="X417" s="241"/>
      <c r="Y417" s="241"/>
      <c r="Z417" s="241"/>
    </row>
    <row r="418" spans="16:26">
      <c r="P418" s="244"/>
      <c r="Q418" s="244"/>
      <c r="R418" s="244"/>
      <c r="S418" s="244"/>
      <c r="T418" s="244"/>
      <c r="U418" s="244"/>
      <c r="V418" s="244"/>
      <c r="W418" s="244"/>
      <c r="X418" s="244"/>
      <c r="Y418" s="244"/>
      <c r="Z418" s="244"/>
    </row>
    <row r="419" spans="16:26">
      <c r="P419" s="244"/>
      <c r="Q419" s="244"/>
      <c r="R419" s="244"/>
      <c r="S419" s="244"/>
      <c r="T419" s="244"/>
      <c r="U419" s="244"/>
      <c r="V419" s="244"/>
      <c r="W419" s="244"/>
      <c r="X419" s="244"/>
      <c r="Y419" s="244"/>
      <c r="Z419" s="244"/>
    </row>
    <row r="420" spans="16:26">
      <c r="P420" s="241"/>
      <c r="Q420" s="241"/>
      <c r="R420" s="241"/>
      <c r="S420" s="241"/>
      <c r="T420" s="241"/>
      <c r="U420" s="241"/>
      <c r="V420" s="241"/>
      <c r="W420" s="241"/>
      <c r="X420" s="241"/>
      <c r="Y420" s="241"/>
      <c r="Z420" s="241"/>
    </row>
    <row r="421" spans="16:26">
      <c r="P421" s="244"/>
      <c r="Q421" s="244"/>
      <c r="R421" s="244"/>
      <c r="S421" s="244"/>
      <c r="T421" s="244"/>
      <c r="U421" s="244"/>
      <c r="V421" s="244"/>
      <c r="W421" s="244"/>
      <c r="X421" s="244"/>
      <c r="Y421" s="244"/>
      <c r="Z421" s="244"/>
    </row>
    <row r="422" spans="16:26">
      <c r="P422" s="244"/>
      <c r="Q422" s="244"/>
      <c r="R422" s="244"/>
      <c r="S422" s="244"/>
      <c r="T422" s="244"/>
      <c r="U422" s="244"/>
      <c r="V422" s="244"/>
      <c r="W422" s="244"/>
      <c r="X422" s="244"/>
      <c r="Y422" s="244"/>
      <c r="Z422" s="244"/>
    </row>
    <row r="423" spans="16:26">
      <c r="P423" s="241"/>
      <c r="Q423" s="241"/>
      <c r="R423" s="241"/>
      <c r="S423" s="241"/>
      <c r="T423" s="241"/>
      <c r="U423" s="241"/>
      <c r="V423" s="241"/>
      <c r="W423" s="241"/>
      <c r="X423" s="241"/>
      <c r="Y423" s="241"/>
      <c r="Z423" s="241"/>
    </row>
    <row r="424" spans="16:26">
      <c r="P424" s="244"/>
      <c r="Q424" s="244"/>
      <c r="R424" s="244"/>
      <c r="S424" s="244"/>
      <c r="T424" s="244"/>
      <c r="U424" s="244"/>
      <c r="V424" s="244"/>
      <c r="W424" s="244"/>
      <c r="X424" s="244"/>
      <c r="Y424" s="244"/>
      <c r="Z424" s="244"/>
    </row>
    <row r="425" spans="16:26">
      <c r="P425" s="244"/>
      <c r="Q425" s="244"/>
      <c r="R425" s="244"/>
      <c r="S425" s="244"/>
      <c r="T425" s="244"/>
      <c r="U425" s="244"/>
      <c r="V425" s="244"/>
      <c r="W425" s="244"/>
      <c r="X425" s="244"/>
      <c r="Y425" s="244"/>
      <c r="Z425" s="244"/>
    </row>
    <row r="426" spans="16:26">
      <c r="P426" s="241"/>
      <c r="Q426" s="241"/>
      <c r="R426" s="241"/>
      <c r="S426" s="241"/>
      <c r="T426" s="241"/>
      <c r="U426" s="241"/>
      <c r="V426" s="241"/>
      <c r="W426" s="241"/>
      <c r="X426" s="241"/>
      <c r="Y426" s="241"/>
      <c r="Z426" s="241"/>
    </row>
    <row r="427" spans="16:26">
      <c r="P427" s="244"/>
      <c r="Q427" s="244"/>
      <c r="R427" s="244"/>
      <c r="S427" s="244"/>
      <c r="T427" s="244"/>
      <c r="U427" s="244"/>
      <c r="V427" s="244"/>
      <c r="W427" s="244"/>
      <c r="X427" s="244"/>
      <c r="Y427" s="244"/>
      <c r="Z427" s="244"/>
    </row>
    <row r="428" spans="16:26">
      <c r="P428" s="244"/>
      <c r="Q428" s="244"/>
      <c r="R428" s="244"/>
      <c r="S428" s="244"/>
      <c r="T428" s="244"/>
      <c r="U428" s="244"/>
      <c r="V428" s="244"/>
      <c r="W428" s="244"/>
      <c r="X428" s="244"/>
      <c r="Y428" s="244"/>
      <c r="Z428" s="244"/>
    </row>
    <row r="429" spans="16:26">
      <c r="P429" s="241"/>
      <c r="Q429" s="241"/>
      <c r="R429" s="241"/>
      <c r="S429" s="241"/>
      <c r="T429" s="241"/>
      <c r="U429" s="241"/>
      <c r="V429" s="241"/>
      <c r="W429" s="241"/>
      <c r="X429" s="241"/>
      <c r="Y429" s="241"/>
      <c r="Z429" s="241"/>
    </row>
    <row r="430" spans="16:26">
      <c r="P430" s="244"/>
      <c r="Q430" s="244"/>
      <c r="R430" s="244"/>
      <c r="S430" s="244"/>
      <c r="T430" s="244"/>
      <c r="U430" s="244"/>
      <c r="V430" s="244"/>
      <c r="W430" s="244"/>
      <c r="X430" s="244"/>
      <c r="Y430" s="244"/>
      <c r="Z430" s="244"/>
    </row>
    <row r="431" spans="16:26">
      <c r="P431" s="244"/>
      <c r="Q431" s="244"/>
      <c r="R431" s="244"/>
      <c r="S431" s="244"/>
      <c r="T431" s="244"/>
      <c r="U431" s="244"/>
      <c r="V431" s="244"/>
      <c r="W431" s="244"/>
      <c r="X431" s="244"/>
      <c r="Y431" s="244"/>
      <c r="Z431" s="244"/>
    </row>
    <row r="432" spans="16:26">
      <c r="P432" s="241"/>
      <c r="Q432" s="241"/>
      <c r="R432" s="241"/>
      <c r="S432" s="241"/>
      <c r="T432" s="241"/>
      <c r="U432" s="241"/>
      <c r="V432" s="241"/>
      <c r="W432" s="241"/>
      <c r="X432" s="241"/>
      <c r="Y432" s="241"/>
      <c r="Z432" s="241"/>
    </row>
    <row r="433" spans="16:26">
      <c r="P433" s="244"/>
      <c r="Q433" s="244"/>
      <c r="R433" s="244"/>
      <c r="S433" s="244"/>
      <c r="T433" s="244"/>
      <c r="U433" s="244"/>
      <c r="V433" s="244"/>
      <c r="W433" s="244"/>
      <c r="X433" s="244"/>
      <c r="Y433" s="244"/>
      <c r="Z433" s="244"/>
    </row>
    <row r="434" spans="16:26">
      <c r="P434" s="244"/>
      <c r="Q434" s="244"/>
      <c r="R434" s="244"/>
      <c r="S434" s="244"/>
      <c r="T434" s="244"/>
      <c r="U434" s="244"/>
      <c r="V434" s="244"/>
      <c r="W434" s="244"/>
      <c r="X434" s="244"/>
      <c r="Y434" s="244"/>
      <c r="Z434" s="244"/>
    </row>
    <row r="435" spans="16:26">
      <c r="P435" s="241"/>
      <c r="Q435" s="241"/>
      <c r="R435" s="241"/>
      <c r="S435" s="241"/>
      <c r="T435" s="241"/>
      <c r="U435" s="241"/>
      <c r="V435" s="241"/>
      <c r="W435" s="241"/>
      <c r="X435" s="241"/>
      <c r="Y435" s="241"/>
      <c r="Z435" s="241"/>
    </row>
    <row r="436" spans="16:26">
      <c r="P436" s="244"/>
      <c r="Q436" s="244"/>
      <c r="R436" s="244"/>
      <c r="S436" s="244"/>
      <c r="T436" s="244"/>
      <c r="U436" s="244"/>
      <c r="V436" s="244"/>
      <c r="W436" s="244"/>
      <c r="X436" s="244"/>
      <c r="Y436" s="244"/>
      <c r="Z436" s="244"/>
    </row>
    <row r="437" spans="16:26">
      <c r="P437" s="244"/>
      <c r="Q437" s="244"/>
      <c r="R437" s="244"/>
      <c r="S437" s="244"/>
      <c r="T437" s="244"/>
      <c r="U437" s="244"/>
      <c r="V437" s="244"/>
      <c r="W437" s="244"/>
      <c r="X437" s="244"/>
      <c r="Y437" s="244"/>
      <c r="Z437" s="244"/>
    </row>
    <row r="438" spans="16:26">
      <c r="P438" s="241"/>
      <c r="Q438" s="241"/>
      <c r="R438" s="241"/>
      <c r="S438" s="241"/>
      <c r="T438" s="241"/>
      <c r="U438" s="241"/>
      <c r="V438" s="241"/>
      <c r="W438" s="241"/>
      <c r="X438" s="241"/>
      <c r="Y438" s="241"/>
      <c r="Z438" s="241"/>
    </row>
    <row r="439" spans="16:26">
      <c r="P439" s="244"/>
      <c r="Q439" s="244"/>
      <c r="R439" s="244"/>
      <c r="S439" s="244"/>
      <c r="T439" s="244"/>
      <c r="U439" s="244"/>
      <c r="V439" s="244"/>
      <c r="W439" s="244"/>
      <c r="X439" s="244"/>
      <c r="Y439" s="244"/>
      <c r="Z439" s="244"/>
    </row>
    <row r="440" spans="16:26">
      <c r="P440" s="244"/>
      <c r="Q440" s="244"/>
      <c r="R440" s="244"/>
      <c r="S440" s="244"/>
      <c r="T440" s="244"/>
      <c r="U440" s="244"/>
      <c r="V440" s="244"/>
      <c r="W440" s="244"/>
      <c r="X440" s="244"/>
      <c r="Y440" s="244"/>
      <c r="Z440" s="244"/>
    </row>
    <row r="441" spans="16:26">
      <c r="P441" s="241"/>
      <c r="Q441" s="241"/>
      <c r="R441" s="241"/>
      <c r="S441" s="241"/>
      <c r="T441" s="241"/>
      <c r="U441" s="241"/>
      <c r="V441" s="241"/>
      <c r="W441" s="241"/>
      <c r="X441" s="241"/>
      <c r="Y441" s="241"/>
      <c r="Z441" s="241"/>
    </row>
    <row r="442" spans="16:26">
      <c r="P442" s="244"/>
      <c r="Q442" s="244"/>
      <c r="R442" s="244"/>
      <c r="S442" s="244"/>
      <c r="T442" s="244"/>
      <c r="U442" s="244"/>
      <c r="V442" s="244"/>
      <c r="W442" s="244"/>
      <c r="X442" s="244"/>
      <c r="Y442" s="244"/>
      <c r="Z442" s="244"/>
    </row>
    <row r="443" spans="16:26">
      <c r="P443" s="244"/>
      <c r="Q443" s="244"/>
      <c r="R443" s="244"/>
      <c r="S443" s="244"/>
      <c r="T443" s="244"/>
      <c r="U443" s="244"/>
      <c r="V443" s="244"/>
      <c r="W443" s="244"/>
      <c r="X443" s="244"/>
      <c r="Y443" s="244"/>
      <c r="Z443" s="244"/>
    </row>
    <row r="444" spans="16:26">
      <c r="P444" s="241"/>
      <c r="Q444" s="241"/>
      <c r="R444" s="241"/>
      <c r="S444" s="241"/>
      <c r="T444" s="241"/>
      <c r="U444" s="241"/>
      <c r="V444" s="241"/>
      <c r="W444" s="241"/>
      <c r="X444" s="241"/>
      <c r="Y444" s="241"/>
      <c r="Z444" s="241"/>
    </row>
    <row r="445" spans="16:26">
      <c r="P445" s="244"/>
      <c r="Q445" s="244"/>
      <c r="R445" s="244"/>
      <c r="S445" s="244"/>
      <c r="T445" s="244"/>
      <c r="U445" s="244"/>
      <c r="V445" s="244"/>
      <c r="W445" s="244"/>
      <c r="X445" s="244"/>
      <c r="Y445" s="244"/>
      <c r="Z445" s="244"/>
    </row>
    <row r="446" spans="16:26">
      <c r="P446" s="244"/>
      <c r="Q446" s="244"/>
      <c r="R446" s="244"/>
      <c r="S446" s="244"/>
      <c r="T446" s="244"/>
      <c r="U446" s="244"/>
      <c r="V446" s="244"/>
      <c r="W446" s="244"/>
      <c r="X446" s="244"/>
      <c r="Y446" s="244"/>
      <c r="Z446" s="244"/>
    </row>
    <row r="447" spans="16:26">
      <c r="P447" s="241"/>
      <c r="Q447" s="241"/>
      <c r="R447" s="241"/>
      <c r="S447" s="241"/>
      <c r="T447" s="241"/>
      <c r="U447" s="241"/>
      <c r="V447" s="241"/>
      <c r="W447" s="241"/>
      <c r="X447" s="241"/>
      <c r="Y447" s="241"/>
      <c r="Z447" s="241"/>
    </row>
    <row r="448" spans="16:26">
      <c r="P448" s="244"/>
      <c r="Q448" s="244"/>
      <c r="R448" s="244"/>
      <c r="S448" s="244"/>
      <c r="T448" s="244"/>
      <c r="U448" s="244"/>
      <c r="V448" s="244"/>
      <c r="W448" s="244"/>
      <c r="X448" s="244"/>
      <c r="Y448" s="244"/>
      <c r="Z448" s="244"/>
    </row>
    <row r="449" spans="16:26">
      <c r="P449" s="244"/>
      <c r="Q449" s="244"/>
      <c r="R449" s="244"/>
      <c r="S449" s="244"/>
      <c r="T449" s="244"/>
      <c r="U449" s="244"/>
      <c r="V449" s="244"/>
      <c r="W449" s="244"/>
      <c r="X449" s="244"/>
      <c r="Y449" s="244"/>
      <c r="Z449" s="244"/>
    </row>
    <row r="450" spans="16:26">
      <c r="P450" s="241"/>
      <c r="Q450" s="241"/>
      <c r="R450" s="241"/>
      <c r="S450" s="241"/>
      <c r="T450" s="241"/>
      <c r="U450" s="241"/>
      <c r="V450" s="241"/>
      <c r="W450" s="241"/>
      <c r="X450" s="241"/>
      <c r="Y450" s="241"/>
      <c r="Z450" s="241"/>
    </row>
    <row r="451" spans="16:26">
      <c r="P451" s="244"/>
      <c r="Q451" s="244"/>
      <c r="R451" s="244"/>
      <c r="S451" s="244"/>
      <c r="T451" s="244"/>
      <c r="U451" s="244"/>
      <c r="V451" s="244"/>
      <c r="W451" s="244"/>
      <c r="X451" s="244"/>
      <c r="Y451" s="244"/>
      <c r="Z451" s="244"/>
    </row>
    <row r="452" spans="16:26">
      <c r="P452" s="244"/>
      <c r="Q452" s="244"/>
      <c r="R452" s="244"/>
      <c r="S452" s="244"/>
      <c r="T452" s="244"/>
      <c r="U452" s="244"/>
      <c r="V452" s="244"/>
      <c r="W452" s="244"/>
      <c r="X452" s="244"/>
      <c r="Y452" s="244"/>
      <c r="Z452" s="244"/>
    </row>
    <row r="453" spans="16:26">
      <c r="P453" s="241"/>
      <c r="Q453" s="241"/>
      <c r="R453" s="241"/>
      <c r="S453" s="241"/>
      <c r="T453" s="241"/>
      <c r="U453" s="241"/>
      <c r="V453" s="241"/>
      <c r="W453" s="241"/>
      <c r="X453" s="241"/>
      <c r="Y453" s="241"/>
      <c r="Z453" s="241"/>
    </row>
    <row r="454" spans="16:26">
      <c r="P454" s="244"/>
      <c r="Q454" s="244"/>
      <c r="R454" s="244"/>
      <c r="S454" s="244"/>
      <c r="T454" s="244"/>
      <c r="U454" s="244"/>
      <c r="V454" s="244"/>
      <c r="W454" s="244"/>
      <c r="X454" s="244"/>
      <c r="Y454" s="244"/>
      <c r="Z454" s="244"/>
    </row>
    <row r="455" spans="16:26">
      <c r="P455" s="244"/>
      <c r="Q455" s="244"/>
      <c r="R455" s="244"/>
      <c r="S455" s="244"/>
      <c r="T455" s="244"/>
      <c r="U455" s="244"/>
      <c r="V455" s="244"/>
      <c r="W455" s="244"/>
      <c r="X455" s="244"/>
      <c r="Y455" s="244"/>
      <c r="Z455" s="244"/>
    </row>
    <row r="456" spans="16:26">
      <c r="P456" s="241"/>
      <c r="Q456" s="241"/>
      <c r="R456" s="241"/>
      <c r="S456" s="241"/>
      <c r="T456" s="241"/>
      <c r="U456" s="241"/>
      <c r="V456" s="241"/>
      <c r="W456" s="241"/>
      <c r="X456" s="241"/>
      <c r="Y456" s="241"/>
      <c r="Z456" s="241"/>
    </row>
    <row r="457" spans="16:26">
      <c r="P457" s="244"/>
      <c r="Q457" s="244"/>
      <c r="R457" s="244"/>
      <c r="S457" s="244"/>
      <c r="T457" s="244"/>
      <c r="U457" s="244"/>
      <c r="V457" s="244"/>
      <c r="W457" s="244"/>
      <c r="X457" s="244"/>
      <c r="Y457" s="244"/>
      <c r="Z457" s="244"/>
    </row>
    <row r="458" spans="16:26">
      <c r="P458" s="244"/>
      <c r="Q458" s="244"/>
      <c r="R458" s="244"/>
      <c r="S458" s="244"/>
      <c r="T458" s="244"/>
      <c r="U458" s="244"/>
      <c r="V458" s="244"/>
      <c r="W458" s="244"/>
      <c r="X458" s="244"/>
      <c r="Y458" s="244"/>
      <c r="Z458" s="244"/>
    </row>
    <row r="459" spans="16:26">
      <c r="P459" s="241"/>
      <c r="Q459" s="241"/>
      <c r="R459" s="241"/>
      <c r="S459" s="241"/>
      <c r="T459" s="241"/>
      <c r="U459" s="241"/>
      <c r="V459" s="241"/>
      <c r="W459" s="241"/>
      <c r="X459" s="241"/>
      <c r="Y459" s="241"/>
      <c r="Z459" s="241"/>
    </row>
    <row r="460" spans="16:26">
      <c r="P460" s="244"/>
      <c r="Q460" s="244"/>
      <c r="R460" s="244"/>
      <c r="S460" s="244"/>
      <c r="T460" s="244"/>
      <c r="U460" s="244"/>
      <c r="V460" s="244"/>
      <c r="W460" s="244"/>
      <c r="X460" s="244"/>
      <c r="Y460" s="244"/>
      <c r="Z460" s="244"/>
    </row>
    <row r="461" spans="16:26">
      <c r="P461" s="244"/>
      <c r="Q461" s="244"/>
      <c r="R461" s="244"/>
      <c r="S461" s="244"/>
      <c r="T461" s="244"/>
      <c r="U461" s="244"/>
      <c r="V461" s="244"/>
      <c r="W461" s="244"/>
      <c r="X461" s="244"/>
      <c r="Y461" s="244"/>
      <c r="Z461" s="244"/>
    </row>
    <row r="462" spans="16:26">
      <c r="P462" s="241"/>
      <c r="Q462" s="241"/>
      <c r="R462" s="241"/>
      <c r="S462" s="241"/>
      <c r="T462" s="241"/>
      <c r="U462" s="241"/>
      <c r="V462" s="241"/>
      <c r="W462" s="241"/>
      <c r="X462" s="241"/>
      <c r="Y462" s="241"/>
      <c r="Z462" s="241"/>
    </row>
    <row r="463" spans="16:26">
      <c r="P463" s="244"/>
      <c r="Q463" s="244"/>
      <c r="R463" s="244"/>
      <c r="S463" s="244"/>
      <c r="T463" s="244"/>
      <c r="U463" s="244"/>
      <c r="V463" s="244"/>
      <c r="W463" s="244"/>
      <c r="X463" s="244"/>
      <c r="Y463" s="244"/>
      <c r="Z463" s="244"/>
    </row>
    <row r="464" spans="16:26">
      <c r="P464" s="244"/>
      <c r="Q464" s="244"/>
      <c r="R464" s="244"/>
      <c r="S464" s="244"/>
      <c r="T464" s="244"/>
      <c r="U464" s="244"/>
      <c r="V464" s="244"/>
      <c r="W464" s="244"/>
      <c r="X464" s="244"/>
      <c r="Y464" s="244"/>
      <c r="Z464" s="244"/>
    </row>
    <row r="465" spans="16:26">
      <c r="P465" s="241"/>
      <c r="Q465" s="241"/>
      <c r="R465" s="241"/>
      <c r="S465" s="241"/>
      <c r="T465" s="241"/>
      <c r="U465" s="241"/>
      <c r="V465" s="241"/>
      <c r="W465" s="241"/>
      <c r="X465" s="241"/>
      <c r="Y465" s="241"/>
      <c r="Z465" s="241"/>
    </row>
    <row r="466" spans="16:26">
      <c r="P466" s="244"/>
      <c r="Q466" s="244"/>
      <c r="R466" s="244"/>
      <c r="S466" s="244"/>
      <c r="T466" s="244"/>
      <c r="U466" s="244"/>
      <c r="V466" s="244"/>
      <c r="W466" s="244"/>
      <c r="X466" s="244"/>
      <c r="Y466" s="244"/>
      <c r="Z466" s="244"/>
    </row>
    <row r="467" spans="16:26">
      <c r="P467" s="244"/>
      <c r="Q467" s="244"/>
      <c r="R467" s="244"/>
      <c r="S467" s="244"/>
      <c r="T467" s="244"/>
      <c r="U467" s="244"/>
      <c r="V467" s="244"/>
      <c r="W467" s="244"/>
      <c r="X467" s="244"/>
      <c r="Y467" s="244"/>
      <c r="Z467" s="244"/>
    </row>
    <row r="468" spans="16:26">
      <c r="P468" s="241"/>
      <c r="Q468" s="241"/>
      <c r="R468" s="241"/>
      <c r="S468" s="241"/>
      <c r="T468" s="241"/>
      <c r="U468" s="241"/>
      <c r="V468" s="241"/>
      <c r="W468" s="241"/>
      <c r="X468" s="241"/>
      <c r="Y468" s="241"/>
      <c r="Z468" s="241"/>
    </row>
    <row r="469" spans="16:26">
      <c r="P469" s="244"/>
      <c r="Q469" s="244"/>
      <c r="R469" s="244"/>
      <c r="S469" s="244"/>
      <c r="T469" s="244"/>
      <c r="U469" s="244"/>
      <c r="V469" s="244"/>
      <c r="W469" s="244"/>
      <c r="X469" s="244"/>
      <c r="Y469" s="244"/>
      <c r="Z469" s="244"/>
    </row>
    <row r="470" spans="16:26">
      <c r="P470" s="244"/>
      <c r="Q470" s="244"/>
      <c r="R470" s="244"/>
      <c r="S470" s="244"/>
      <c r="T470" s="244"/>
      <c r="U470" s="244"/>
      <c r="V470" s="244"/>
      <c r="W470" s="244"/>
      <c r="X470" s="244"/>
      <c r="Y470" s="244"/>
      <c r="Z470" s="244"/>
    </row>
    <row r="471" spans="16:26">
      <c r="P471" s="241"/>
      <c r="Q471" s="241"/>
      <c r="R471" s="241"/>
      <c r="S471" s="241"/>
      <c r="T471" s="241"/>
      <c r="U471" s="241"/>
      <c r="V471" s="241"/>
      <c r="W471" s="241"/>
      <c r="X471" s="241"/>
      <c r="Y471" s="241"/>
      <c r="Z471" s="241"/>
    </row>
    <row r="472" spans="16:26">
      <c r="P472" s="244"/>
      <c r="Q472" s="244"/>
      <c r="R472" s="244"/>
      <c r="S472" s="244"/>
      <c r="T472" s="244"/>
      <c r="U472" s="244"/>
      <c r="V472" s="244"/>
      <c r="W472" s="244"/>
      <c r="X472" s="244"/>
      <c r="Y472" s="244"/>
      <c r="Z472" s="244"/>
    </row>
    <row r="473" spans="16:26">
      <c r="P473" s="244"/>
      <c r="Q473" s="244"/>
      <c r="R473" s="244"/>
      <c r="S473" s="244"/>
      <c r="T473" s="244"/>
      <c r="U473" s="244"/>
      <c r="V473" s="244"/>
      <c r="W473" s="244"/>
      <c r="X473" s="244"/>
      <c r="Y473" s="244"/>
      <c r="Z473" s="244"/>
    </row>
    <row r="474" spans="16:26">
      <c r="P474" s="241"/>
      <c r="Q474" s="241"/>
      <c r="R474" s="241"/>
      <c r="S474" s="241"/>
      <c r="T474" s="241"/>
      <c r="U474" s="241"/>
      <c r="V474" s="241"/>
      <c r="W474" s="241"/>
      <c r="X474" s="241"/>
      <c r="Y474" s="241"/>
      <c r="Z474" s="241"/>
    </row>
    <row r="475" spans="16:26">
      <c r="P475" s="244"/>
      <c r="Q475" s="244"/>
      <c r="R475" s="244"/>
      <c r="S475" s="244"/>
      <c r="T475" s="244"/>
      <c r="U475" s="244"/>
      <c r="V475" s="244"/>
      <c r="W475" s="244"/>
      <c r="X475" s="244"/>
      <c r="Y475" s="244"/>
      <c r="Z475" s="244"/>
    </row>
    <row r="476" spans="16:26">
      <c r="P476" s="244"/>
      <c r="Q476" s="244"/>
      <c r="R476" s="244"/>
      <c r="S476" s="244"/>
      <c r="T476" s="244"/>
      <c r="U476" s="244"/>
      <c r="V476" s="244"/>
      <c r="W476" s="244"/>
      <c r="X476" s="244"/>
      <c r="Y476" s="244"/>
      <c r="Z476" s="244"/>
    </row>
    <row r="477" spans="16:26">
      <c r="P477" s="241"/>
      <c r="Q477" s="241"/>
      <c r="R477" s="241"/>
      <c r="S477" s="241"/>
      <c r="T477" s="241"/>
      <c r="U477" s="241"/>
      <c r="V477" s="241"/>
      <c r="W477" s="241"/>
      <c r="X477" s="241"/>
      <c r="Y477" s="241"/>
      <c r="Z477" s="241"/>
    </row>
    <row r="478" spans="16:26">
      <c r="P478" s="244"/>
      <c r="Q478" s="244"/>
      <c r="R478" s="244"/>
      <c r="S478" s="244"/>
      <c r="T478" s="244"/>
      <c r="U478" s="244"/>
      <c r="V478" s="244"/>
      <c r="W478" s="244"/>
      <c r="X478" s="244"/>
      <c r="Y478" s="244"/>
      <c r="Z478" s="244"/>
    </row>
    <row r="479" spans="16:26">
      <c r="P479" s="244"/>
      <c r="Q479" s="244"/>
      <c r="R479" s="244"/>
      <c r="S479" s="244"/>
      <c r="T479" s="244"/>
      <c r="U479" s="244"/>
      <c r="V479" s="244"/>
      <c r="W479" s="244"/>
      <c r="X479" s="244"/>
      <c r="Y479" s="244"/>
      <c r="Z479" s="244"/>
    </row>
    <row r="480" spans="16:26">
      <c r="P480" s="241"/>
      <c r="Q480" s="241"/>
      <c r="R480" s="241"/>
      <c r="S480" s="241"/>
      <c r="T480" s="241"/>
      <c r="U480" s="241"/>
      <c r="V480" s="241"/>
      <c r="W480" s="241"/>
      <c r="X480" s="241"/>
      <c r="Y480" s="241"/>
      <c r="Z480" s="241"/>
    </row>
    <row r="481" spans="16:26">
      <c r="P481" s="244"/>
      <c r="Q481" s="244"/>
      <c r="R481" s="244"/>
      <c r="S481" s="244"/>
      <c r="T481" s="244"/>
      <c r="U481" s="244"/>
      <c r="V481" s="244"/>
      <c r="W481" s="244"/>
      <c r="X481" s="244"/>
      <c r="Y481" s="244"/>
      <c r="Z481" s="244"/>
    </row>
    <row r="482" spans="16:26">
      <c r="P482" s="244"/>
      <c r="Q482" s="244"/>
      <c r="R482" s="244"/>
      <c r="S482" s="244"/>
      <c r="T482" s="244"/>
      <c r="U482" s="244"/>
      <c r="V482" s="244"/>
      <c r="W482" s="244"/>
      <c r="X482" s="244"/>
      <c r="Y482" s="244"/>
      <c r="Z482" s="244"/>
    </row>
    <row r="483" spans="16:26">
      <c r="P483" s="241"/>
      <c r="Q483" s="241"/>
      <c r="R483" s="241"/>
      <c r="S483" s="241"/>
      <c r="T483" s="241"/>
      <c r="U483" s="241"/>
      <c r="V483" s="241"/>
      <c r="W483" s="241"/>
      <c r="X483" s="241"/>
      <c r="Y483" s="241"/>
      <c r="Z483" s="241"/>
    </row>
    <row r="484" spans="16:26">
      <c r="P484" s="244"/>
      <c r="Q484" s="244"/>
      <c r="R484" s="244"/>
      <c r="S484" s="244"/>
      <c r="T484" s="244"/>
      <c r="U484" s="244"/>
      <c r="V484" s="244"/>
      <c r="W484" s="244"/>
      <c r="X484" s="244"/>
      <c r="Y484" s="244"/>
      <c r="Z484" s="244"/>
    </row>
    <row r="485" spans="16:26">
      <c r="P485" s="244"/>
      <c r="Q485" s="244"/>
      <c r="R485" s="244"/>
      <c r="S485" s="244"/>
      <c r="T485" s="244"/>
      <c r="U485" s="244"/>
      <c r="V485" s="244"/>
      <c r="W485" s="244"/>
      <c r="X485" s="244"/>
      <c r="Y485" s="244"/>
      <c r="Z485" s="244"/>
    </row>
    <row r="486" spans="16:26">
      <c r="P486" s="241"/>
      <c r="Q486" s="241"/>
      <c r="R486" s="241"/>
      <c r="S486" s="241"/>
      <c r="T486" s="241"/>
      <c r="U486" s="241"/>
      <c r="V486" s="241"/>
      <c r="W486" s="241"/>
      <c r="X486" s="241"/>
      <c r="Y486" s="241"/>
      <c r="Z486" s="241"/>
    </row>
    <row r="487" spans="16:26">
      <c r="P487" s="244"/>
      <c r="Q487" s="244"/>
      <c r="R487" s="244"/>
      <c r="S487" s="244"/>
      <c r="T487" s="244"/>
      <c r="U487" s="244"/>
      <c r="V487" s="244"/>
      <c r="W487" s="244"/>
      <c r="X487" s="244"/>
      <c r="Y487" s="244"/>
      <c r="Z487" s="244"/>
    </row>
    <row r="488" spans="16:26">
      <c r="P488" s="244"/>
      <c r="Q488" s="244"/>
      <c r="R488" s="244"/>
      <c r="S488" s="244"/>
      <c r="T488" s="244"/>
      <c r="U488" s="244"/>
      <c r="V488" s="244"/>
      <c r="W488" s="244"/>
      <c r="X488" s="244"/>
      <c r="Y488" s="244"/>
      <c r="Z488" s="244"/>
    </row>
    <row r="489" spans="16:26">
      <c r="P489" s="241"/>
      <c r="Q489" s="241"/>
      <c r="R489" s="241"/>
      <c r="S489" s="241"/>
      <c r="T489" s="241"/>
      <c r="U489" s="241"/>
      <c r="V489" s="241"/>
      <c r="W489" s="241"/>
      <c r="X489" s="241"/>
      <c r="Y489" s="241"/>
      <c r="Z489" s="241"/>
    </row>
    <row r="490" spans="16:26">
      <c r="P490" s="244"/>
      <c r="Q490" s="244"/>
      <c r="R490" s="244"/>
      <c r="S490" s="244"/>
      <c r="T490" s="244"/>
      <c r="U490" s="244"/>
      <c r="V490" s="244"/>
      <c r="W490" s="244"/>
      <c r="X490" s="244"/>
      <c r="Y490" s="244"/>
      <c r="Z490" s="244"/>
    </row>
    <row r="491" spans="16:26">
      <c r="P491" s="244"/>
      <c r="Q491" s="244"/>
      <c r="R491" s="244"/>
      <c r="S491" s="244"/>
      <c r="T491" s="244"/>
      <c r="U491" s="244"/>
      <c r="V491" s="244"/>
      <c r="W491" s="244"/>
      <c r="X491" s="244"/>
      <c r="Y491" s="244"/>
      <c r="Z491" s="244"/>
    </row>
    <row r="492" spans="16:26">
      <c r="P492" s="241"/>
      <c r="Q492" s="241"/>
      <c r="R492" s="241"/>
      <c r="S492" s="241"/>
      <c r="T492" s="241"/>
      <c r="U492" s="241"/>
      <c r="V492" s="241"/>
      <c r="W492" s="241"/>
      <c r="X492" s="241"/>
      <c r="Y492" s="241"/>
      <c r="Z492" s="241"/>
    </row>
    <row r="493" spans="16:26">
      <c r="P493" s="244"/>
      <c r="Q493" s="244"/>
      <c r="R493" s="244"/>
      <c r="S493" s="244"/>
      <c r="T493" s="244"/>
      <c r="U493" s="244"/>
      <c r="V493" s="244"/>
      <c r="W493" s="244"/>
      <c r="X493" s="244"/>
      <c r="Y493" s="244"/>
      <c r="Z493" s="244"/>
    </row>
    <row r="494" spans="16:26">
      <c r="P494" s="244"/>
      <c r="Q494" s="244"/>
      <c r="R494" s="244"/>
      <c r="S494" s="244"/>
      <c r="T494" s="244"/>
      <c r="U494" s="244"/>
      <c r="V494" s="244"/>
      <c r="W494" s="244"/>
      <c r="X494" s="244"/>
      <c r="Y494" s="244"/>
      <c r="Z494" s="244"/>
    </row>
    <row r="495" spans="16:26">
      <c r="P495" s="241"/>
      <c r="Q495" s="241"/>
      <c r="R495" s="241"/>
      <c r="S495" s="241"/>
      <c r="T495" s="241"/>
      <c r="U495" s="241"/>
      <c r="V495" s="241"/>
      <c r="W495" s="241"/>
      <c r="X495" s="241"/>
      <c r="Y495" s="241"/>
      <c r="Z495" s="241"/>
    </row>
    <row r="496" spans="16:26">
      <c r="P496" s="244"/>
      <c r="Q496" s="244"/>
      <c r="R496" s="244"/>
      <c r="S496" s="244"/>
      <c r="T496" s="244"/>
      <c r="U496" s="244"/>
      <c r="V496" s="244"/>
      <c r="W496" s="244"/>
      <c r="X496" s="244"/>
      <c r="Y496" s="244"/>
      <c r="Z496" s="244"/>
    </row>
    <row r="497" spans="16:26">
      <c r="P497" s="244"/>
      <c r="Q497" s="244"/>
      <c r="R497" s="244"/>
      <c r="S497" s="244"/>
      <c r="T497" s="244"/>
      <c r="U497" s="244"/>
      <c r="V497" s="244"/>
      <c r="W497" s="244"/>
      <c r="X497" s="244"/>
      <c r="Y497" s="244"/>
      <c r="Z497" s="244"/>
    </row>
    <row r="498" spans="16:26">
      <c r="P498" s="241"/>
      <c r="Q498" s="241"/>
      <c r="R498" s="241"/>
      <c r="S498" s="241"/>
      <c r="T498" s="241"/>
      <c r="U498" s="241"/>
      <c r="V498" s="241"/>
      <c r="W498" s="241"/>
      <c r="X498" s="241"/>
      <c r="Y498" s="241"/>
      <c r="Z498" s="241"/>
    </row>
    <row r="499" spans="16:26">
      <c r="P499" s="244"/>
      <c r="Q499" s="244"/>
      <c r="R499" s="244"/>
      <c r="S499" s="244"/>
      <c r="T499" s="244"/>
      <c r="U499" s="244"/>
      <c r="V499" s="244"/>
      <c r="W499" s="244"/>
      <c r="X499" s="244"/>
      <c r="Y499" s="244"/>
      <c r="Z499" s="244"/>
    </row>
    <row r="500" spans="16:26">
      <c r="P500" s="244"/>
      <c r="Q500" s="244"/>
      <c r="R500" s="244"/>
      <c r="S500" s="244"/>
      <c r="T500" s="244"/>
      <c r="U500" s="244"/>
      <c r="V500" s="244"/>
      <c r="W500" s="244"/>
      <c r="X500" s="244"/>
      <c r="Y500" s="244"/>
      <c r="Z500" s="244"/>
    </row>
    <row r="501" spans="16:26">
      <c r="P501" s="241"/>
      <c r="Q501" s="241"/>
      <c r="R501" s="241"/>
      <c r="S501" s="241"/>
      <c r="T501" s="241"/>
      <c r="U501" s="241"/>
      <c r="V501" s="241"/>
      <c r="W501" s="241"/>
      <c r="X501" s="241"/>
      <c r="Y501" s="241"/>
      <c r="Z501" s="241"/>
    </row>
    <row r="502" spans="16:26">
      <c r="P502" s="244"/>
      <c r="Q502" s="244"/>
      <c r="R502" s="244"/>
      <c r="S502" s="244"/>
      <c r="T502" s="244"/>
      <c r="U502" s="244"/>
      <c r="V502" s="244"/>
      <c r="W502" s="244"/>
      <c r="X502" s="244"/>
      <c r="Y502" s="244"/>
      <c r="Z502" s="244"/>
    </row>
    <row r="503" spans="16:26">
      <c r="P503" s="244"/>
      <c r="Q503" s="244"/>
      <c r="R503" s="244"/>
      <c r="S503" s="244"/>
      <c r="T503" s="244"/>
      <c r="U503" s="244"/>
      <c r="V503" s="244"/>
      <c r="W503" s="244"/>
      <c r="X503" s="244"/>
      <c r="Y503" s="244"/>
      <c r="Z503" s="244"/>
    </row>
    <row r="504" spans="16:26">
      <c r="P504" s="241"/>
      <c r="Q504" s="241"/>
      <c r="R504" s="241"/>
      <c r="S504" s="241"/>
      <c r="T504" s="241"/>
      <c r="U504" s="241"/>
      <c r="V504" s="241"/>
      <c r="W504" s="241"/>
      <c r="X504" s="241"/>
      <c r="Y504" s="241"/>
      <c r="Z504" s="241"/>
    </row>
    <row r="505" spans="16:26">
      <c r="P505" s="244"/>
      <c r="Q505" s="244"/>
      <c r="R505" s="244"/>
      <c r="S505" s="244"/>
      <c r="T505" s="244"/>
      <c r="U505" s="244"/>
      <c r="V505" s="244"/>
      <c r="W505" s="244"/>
      <c r="X505" s="244"/>
      <c r="Y505" s="244"/>
      <c r="Z505" s="244"/>
    </row>
    <row r="506" spans="16:26">
      <c r="P506" s="244"/>
      <c r="Q506" s="244"/>
      <c r="R506" s="244"/>
      <c r="S506" s="244"/>
      <c r="T506" s="244"/>
      <c r="U506" s="244"/>
      <c r="V506" s="244"/>
      <c r="W506" s="244"/>
      <c r="X506" s="244"/>
      <c r="Y506" s="244"/>
      <c r="Z506" s="244"/>
    </row>
    <row r="507" spans="16:26">
      <c r="P507" s="241"/>
      <c r="Q507" s="241"/>
      <c r="R507" s="241"/>
      <c r="S507" s="241"/>
      <c r="T507" s="241"/>
      <c r="U507" s="241"/>
      <c r="V507" s="241"/>
      <c r="W507" s="241"/>
      <c r="X507" s="241"/>
      <c r="Y507" s="241"/>
      <c r="Z507" s="241"/>
    </row>
    <row r="508" spans="16:26">
      <c r="P508" s="244"/>
      <c r="Q508" s="244"/>
      <c r="R508" s="244"/>
      <c r="S508" s="244"/>
      <c r="T508" s="244"/>
      <c r="U508" s="244"/>
      <c r="V508" s="244"/>
      <c r="W508" s="244"/>
      <c r="X508" s="244"/>
      <c r="Y508" s="244"/>
      <c r="Z508" s="244"/>
    </row>
    <row r="509" spans="16:26">
      <c r="P509" s="244"/>
      <c r="Q509" s="244"/>
      <c r="R509" s="244"/>
      <c r="S509" s="244"/>
      <c r="T509" s="244"/>
      <c r="U509" s="244"/>
      <c r="V509" s="244"/>
      <c r="W509" s="244"/>
      <c r="X509" s="244"/>
      <c r="Y509" s="244"/>
      <c r="Z509" s="244"/>
    </row>
    <row r="510" spans="16:26">
      <c r="P510" s="241"/>
      <c r="Q510" s="241"/>
      <c r="R510" s="241"/>
      <c r="S510" s="241"/>
      <c r="T510" s="241"/>
      <c r="U510" s="241"/>
      <c r="V510" s="241"/>
      <c r="W510" s="241"/>
      <c r="X510" s="241"/>
      <c r="Y510" s="241"/>
      <c r="Z510" s="241"/>
    </row>
    <row r="511" spans="16:26">
      <c r="P511" s="244"/>
      <c r="Q511" s="244"/>
      <c r="R511" s="244"/>
      <c r="S511" s="244"/>
      <c r="T511" s="244"/>
      <c r="U511" s="244"/>
      <c r="V511" s="244"/>
      <c r="W511" s="244"/>
      <c r="X511" s="244"/>
      <c r="Y511" s="244"/>
      <c r="Z511" s="244"/>
    </row>
    <row r="512" spans="16:26">
      <c r="P512" s="244"/>
      <c r="Q512" s="244"/>
      <c r="R512" s="244"/>
      <c r="S512" s="244"/>
      <c r="T512" s="244"/>
      <c r="U512" s="244"/>
      <c r="V512" s="244"/>
      <c r="W512" s="244"/>
      <c r="X512" s="244"/>
      <c r="Y512" s="244"/>
      <c r="Z512" s="244"/>
    </row>
    <row r="513" spans="16:26">
      <c r="P513" s="241"/>
      <c r="Q513" s="241"/>
      <c r="R513" s="241"/>
      <c r="S513" s="241"/>
      <c r="T513" s="241"/>
      <c r="U513" s="241"/>
      <c r="V513" s="241"/>
      <c r="W513" s="241"/>
      <c r="X513" s="241"/>
      <c r="Y513" s="241"/>
      <c r="Z513" s="241"/>
    </row>
    <row r="514" spans="16:26">
      <c r="P514" s="244"/>
      <c r="Q514" s="244"/>
      <c r="R514" s="244"/>
      <c r="S514" s="244"/>
      <c r="T514" s="244"/>
      <c r="U514" s="244"/>
      <c r="V514" s="244"/>
      <c r="W514" s="244"/>
      <c r="X514" s="244"/>
      <c r="Y514" s="244"/>
      <c r="Z514" s="244"/>
    </row>
    <row r="515" spans="16:26">
      <c r="P515" s="244"/>
      <c r="Q515" s="244"/>
      <c r="R515" s="244"/>
      <c r="S515" s="244"/>
      <c r="T515" s="244"/>
      <c r="U515" s="244"/>
      <c r="V515" s="244"/>
      <c r="W515" s="244"/>
      <c r="X515" s="244"/>
      <c r="Y515" s="244"/>
      <c r="Z515" s="244"/>
    </row>
    <row r="516" spans="16:26">
      <c r="P516" s="241"/>
      <c r="Q516" s="241"/>
      <c r="R516" s="241"/>
      <c r="S516" s="241"/>
      <c r="T516" s="241"/>
      <c r="U516" s="241"/>
      <c r="V516" s="241"/>
      <c r="W516" s="241"/>
      <c r="X516" s="241"/>
      <c r="Y516" s="241"/>
      <c r="Z516" s="241"/>
    </row>
    <row r="517" spans="16:26">
      <c r="P517" s="244"/>
      <c r="Q517" s="244"/>
      <c r="R517" s="244"/>
      <c r="S517" s="244"/>
      <c r="T517" s="244"/>
      <c r="U517" s="244"/>
      <c r="V517" s="244"/>
      <c r="W517" s="244"/>
      <c r="X517" s="244"/>
      <c r="Y517" s="244"/>
      <c r="Z517" s="244"/>
    </row>
    <row r="518" spans="16:26">
      <c r="P518" s="244"/>
      <c r="Q518" s="244"/>
      <c r="R518" s="244"/>
      <c r="S518" s="244"/>
      <c r="T518" s="244"/>
      <c r="U518" s="244"/>
      <c r="V518" s="244"/>
      <c r="W518" s="244"/>
      <c r="X518" s="244"/>
      <c r="Y518" s="244"/>
      <c r="Z518" s="244"/>
    </row>
    <row r="519" spans="16:26">
      <c r="P519" s="241"/>
      <c r="Q519" s="241"/>
      <c r="R519" s="241"/>
      <c r="S519" s="241"/>
      <c r="T519" s="241"/>
      <c r="U519" s="241"/>
      <c r="V519" s="241"/>
      <c r="W519" s="241"/>
      <c r="X519" s="241"/>
      <c r="Y519" s="241"/>
      <c r="Z519" s="241"/>
    </row>
    <row r="520" spans="16:26">
      <c r="P520" s="244"/>
      <c r="Q520" s="244"/>
      <c r="R520" s="244"/>
      <c r="S520" s="244"/>
      <c r="T520" s="244"/>
      <c r="U520" s="244"/>
      <c r="V520" s="244"/>
      <c r="W520" s="244"/>
      <c r="X520" s="244"/>
      <c r="Y520" s="244"/>
      <c r="Z520" s="244"/>
    </row>
    <row r="521" spans="16:26">
      <c r="P521" s="244"/>
      <c r="Q521" s="244"/>
      <c r="R521" s="244"/>
      <c r="S521" s="244"/>
      <c r="T521" s="244"/>
      <c r="U521" s="244"/>
      <c r="V521" s="244"/>
      <c r="W521" s="244"/>
      <c r="X521" s="244"/>
      <c r="Y521" s="244"/>
      <c r="Z521" s="244"/>
    </row>
    <row r="522" spans="16:26">
      <c r="P522" s="241"/>
      <c r="Q522" s="241"/>
      <c r="R522" s="241"/>
      <c r="S522" s="241"/>
      <c r="T522" s="241"/>
      <c r="U522" s="241"/>
      <c r="V522" s="241"/>
      <c r="W522" s="241"/>
      <c r="X522" s="241"/>
      <c r="Y522" s="241"/>
      <c r="Z522" s="241"/>
    </row>
    <row r="523" spans="16:26">
      <c r="P523" s="244"/>
      <c r="Q523" s="244"/>
      <c r="R523" s="244"/>
      <c r="S523" s="244"/>
      <c r="T523" s="244"/>
      <c r="U523" s="244"/>
      <c r="V523" s="244"/>
      <c r="W523" s="244"/>
      <c r="X523" s="244"/>
      <c r="Y523" s="244"/>
      <c r="Z523" s="244"/>
    </row>
    <row r="524" spans="16:26">
      <c r="P524" s="244"/>
      <c r="Q524" s="244"/>
      <c r="R524" s="244"/>
      <c r="S524" s="244"/>
      <c r="T524" s="244"/>
      <c r="U524" s="244"/>
      <c r="V524" s="244"/>
      <c r="W524" s="244"/>
      <c r="X524" s="244"/>
      <c r="Y524" s="244"/>
      <c r="Z524" s="244"/>
    </row>
    <row r="525" spans="16:26">
      <c r="P525" s="241"/>
      <c r="Q525" s="241"/>
      <c r="R525" s="241"/>
      <c r="S525" s="241"/>
      <c r="T525" s="241"/>
      <c r="U525" s="241"/>
      <c r="V525" s="241"/>
      <c r="W525" s="241"/>
      <c r="X525" s="241"/>
      <c r="Y525" s="241"/>
      <c r="Z525" s="241"/>
    </row>
    <row r="526" spans="16:26">
      <c r="P526" s="244"/>
      <c r="Q526" s="244"/>
      <c r="R526" s="244"/>
      <c r="S526" s="244"/>
      <c r="T526" s="244"/>
      <c r="U526" s="244"/>
      <c r="V526" s="244"/>
      <c r="W526" s="244"/>
      <c r="X526" s="244"/>
      <c r="Y526" s="244"/>
      <c r="Z526" s="244"/>
    </row>
    <row r="527" spans="16:26">
      <c r="P527" s="244"/>
      <c r="Q527" s="244"/>
      <c r="R527" s="244"/>
      <c r="S527" s="244"/>
      <c r="T527" s="244"/>
      <c r="U527" s="244"/>
      <c r="V527" s="244"/>
      <c r="W527" s="244"/>
      <c r="X527" s="244"/>
      <c r="Y527" s="244"/>
      <c r="Z527" s="244"/>
    </row>
    <row r="528" spans="16:26">
      <c r="P528" s="241"/>
      <c r="Q528" s="241"/>
      <c r="R528" s="241"/>
      <c r="S528" s="241"/>
      <c r="T528" s="241"/>
      <c r="U528" s="241"/>
      <c r="V528" s="241"/>
      <c r="W528" s="241"/>
      <c r="X528" s="241"/>
      <c r="Y528" s="241"/>
      <c r="Z528" s="241"/>
    </row>
    <row r="529" spans="16:26">
      <c r="P529" s="244"/>
      <c r="Q529" s="244"/>
      <c r="R529" s="244"/>
      <c r="S529" s="244"/>
      <c r="T529" s="244"/>
      <c r="U529" s="244"/>
      <c r="V529" s="244"/>
      <c r="W529" s="244"/>
      <c r="X529" s="244"/>
      <c r="Y529" s="244"/>
      <c r="Z529" s="244"/>
    </row>
    <row r="530" spans="16:26">
      <c r="P530" s="244"/>
      <c r="Q530" s="244"/>
      <c r="R530" s="244"/>
      <c r="S530" s="244"/>
      <c r="T530" s="244"/>
      <c r="U530" s="244"/>
      <c r="V530" s="244"/>
      <c r="W530" s="244"/>
      <c r="X530" s="244"/>
      <c r="Y530" s="244"/>
      <c r="Z530" s="244"/>
    </row>
    <row r="531" spans="16:26">
      <c r="P531" s="241"/>
      <c r="Q531" s="241"/>
      <c r="R531" s="241"/>
      <c r="S531" s="241"/>
      <c r="T531" s="241"/>
      <c r="U531" s="241"/>
      <c r="V531" s="241"/>
      <c r="W531" s="241"/>
      <c r="X531" s="241"/>
      <c r="Y531" s="241"/>
      <c r="Z531" s="241"/>
    </row>
    <row r="532" spans="16:26">
      <c r="P532" s="244"/>
      <c r="Q532" s="244"/>
      <c r="R532" s="244"/>
      <c r="S532" s="244"/>
      <c r="T532" s="244"/>
      <c r="U532" s="244"/>
      <c r="V532" s="244"/>
      <c r="W532" s="244"/>
      <c r="X532" s="244"/>
      <c r="Y532" s="244"/>
      <c r="Z532" s="244"/>
    </row>
    <row r="533" spans="16:26">
      <c r="P533" s="244"/>
      <c r="Q533" s="244"/>
      <c r="R533" s="244"/>
      <c r="S533" s="244"/>
      <c r="T533" s="244"/>
      <c r="U533" s="244"/>
      <c r="V533" s="244"/>
      <c r="W533" s="244"/>
      <c r="X533" s="244"/>
      <c r="Y533" s="244"/>
      <c r="Z533" s="244"/>
    </row>
    <row r="534" spans="16:26">
      <c r="P534" s="241"/>
      <c r="Q534" s="241"/>
      <c r="R534" s="241"/>
      <c r="S534" s="241"/>
      <c r="T534" s="241"/>
      <c r="U534" s="241"/>
      <c r="V534" s="241"/>
      <c r="W534" s="241"/>
      <c r="X534" s="241"/>
      <c r="Y534" s="241"/>
      <c r="Z534" s="241"/>
    </row>
    <row r="535" spans="16:26">
      <c r="P535" s="244"/>
      <c r="Q535" s="244"/>
      <c r="R535" s="244"/>
      <c r="S535" s="244"/>
      <c r="T535" s="244"/>
      <c r="U535" s="244"/>
      <c r="V535" s="244"/>
      <c r="W535" s="244"/>
      <c r="X535" s="244"/>
      <c r="Y535" s="244"/>
      <c r="Z535" s="244"/>
    </row>
    <row r="536" spans="16:26">
      <c r="P536" s="244"/>
      <c r="Q536" s="244"/>
      <c r="R536" s="244"/>
      <c r="S536" s="244"/>
      <c r="T536" s="244"/>
      <c r="U536" s="244"/>
      <c r="V536" s="244"/>
      <c r="W536" s="244"/>
      <c r="X536" s="244"/>
      <c r="Y536" s="244"/>
      <c r="Z536" s="244"/>
    </row>
    <row r="537" spans="16:26">
      <c r="P537" s="241"/>
      <c r="Q537" s="241"/>
      <c r="R537" s="241"/>
      <c r="S537" s="241"/>
      <c r="T537" s="241"/>
      <c r="U537" s="241"/>
      <c r="V537" s="241"/>
      <c r="W537" s="241"/>
      <c r="X537" s="241"/>
      <c r="Y537" s="241"/>
      <c r="Z537" s="241"/>
    </row>
    <row r="538" spans="16:26">
      <c r="P538" s="244"/>
      <c r="Q538" s="244"/>
      <c r="R538" s="244"/>
      <c r="S538" s="244"/>
      <c r="T538" s="244"/>
      <c r="U538" s="244"/>
      <c r="V538" s="244"/>
      <c r="W538" s="244"/>
      <c r="X538" s="244"/>
      <c r="Y538" s="244"/>
      <c r="Z538" s="244"/>
    </row>
    <row r="539" spans="16:26">
      <c r="P539" s="244"/>
      <c r="Q539" s="244"/>
      <c r="R539" s="244"/>
      <c r="S539" s="244"/>
      <c r="T539" s="244"/>
      <c r="U539" s="244"/>
      <c r="V539" s="244"/>
      <c r="W539" s="244"/>
      <c r="X539" s="244"/>
      <c r="Y539" s="244"/>
      <c r="Z539" s="244"/>
    </row>
    <row r="540" spans="16:26">
      <c r="P540" s="241"/>
      <c r="Q540" s="241"/>
      <c r="R540" s="241"/>
      <c r="S540" s="241"/>
      <c r="T540" s="241"/>
      <c r="U540" s="241"/>
      <c r="V540" s="241"/>
      <c r="W540" s="241"/>
      <c r="X540" s="241"/>
      <c r="Y540" s="241"/>
      <c r="Z540" s="241"/>
    </row>
    <row r="541" spans="16:26">
      <c r="P541" s="244"/>
      <c r="Q541" s="244"/>
      <c r="R541" s="244"/>
      <c r="S541" s="244"/>
      <c r="T541" s="244"/>
      <c r="U541" s="244"/>
      <c r="V541" s="244"/>
      <c r="W541" s="244"/>
      <c r="X541" s="244"/>
      <c r="Y541" s="244"/>
      <c r="Z541" s="244"/>
    </row>
    <row r="542" spans="16:26">
      <c r="P542" s="244"/>
      <c r="Q542" s="244"/>
      <c r="R542" s="244"/>
      <c r="S542" s="244"/>
      <c r="T542" s="244"/>
      <c r="U542" s="244"/>
      <c r="V542" s="244"/>
      <c r="W542" s="244"/>
      <c r="X542" s="244"/>
      <c r="Y542" s="244"/>
      <c r="Z542" s="244"/>
    </row>
    <row r="543" spans="16:26">
      <c r="P543" s="241"/>
      <c r="Q543" s="241"/>
      <c r="R543" s="241"/>
      <c r="S543" s="241"/>
      <c r="T543" s="241"/>
      <c r="U543" s="241"/>
      <c r="V543" s="241"/>
      <c r="W543" s="241"/>
      <c r="X543" s="241"/>
      <c r="Y543" s="241"/>
      <c r="Z543" s="241"/>
    </row>
    <row r="544" spans="16:26">
      <c r="P544" s="244"/>
      <c r="Q544" s="244"/>
      <c r="R544" s="244"/>
      <c r="S544" s="244"/>
      <c r="T544" s="244"/>
      <c r="U544" s="244"/>
      <c r="V544" s="244"/>
      <c r="W544" s="244"/>
      <c r="X544" s="244"/>
      <c r="Y544" s="244"/>
      <c r="Z544" s="244"/>
    </row>
    <row r="545" spans="16:26">
      <c r="P545" s="244"/>
      <c r="Q545" s="244"/>
      <c r="R545" s="244"/>
      <c r="S545" s="244"/>
      <c r="T545" s="244"/>
      <c r="U545" s="244"/>
      <c r="V545" s="244"/>
      <c r="W545" s="244"/>
      <c r="X545" s="244"/>
      <c r="Y545" s="244"/>
      <c r="Z545" s="244"/>
    </row>
    <row r="546" spans="16:26">
      <c r="P546" s="241"/>
      <c r="Q546" s="241"/>
      <c r="R546" s="241"/>
      <c r="S546" s="241"/>
      <c r="T546" s="241"/>
      <c r="U546" s="241"/>
      <c r="V546" s="241"/>
      <c r="W546" s="241"/>
      <c r="X546" s="241"/>
      <c r="Y546" s="241"/>
      <c r="Z546" s="241"/>
    </row>
    <row r="547" spans="16:26">
      <c r="P547" s="244"/>
      <c r="Q547" s="244"/>
      <c r="R547" s="244"/>
      <c r="S547" s="244"/>
      <c r="T547" s="244"/>
      <c r="U547" s="244"/>
      <c r="V547" s="244"/>
      <c r="W547" s="244"/>
      <c r="X547" s="244"/>
      <c r="Y547" s="244"/>
      <c r="Z547" s="244"/>
    </row>
    <row r="548" spans="16:26">
      <c r="P548" s="244"/>
      <c r="Q548" s="244"/>
      <c r="R548" s="244"/>
      <c r="S548" s="244"/>
      <c r="T548" s="244"/>
      <c r="U548" s="244"/>
      <c r="V548" s="244"/>
      <c r="W548" s="244"/>
      <c r="X548" s="244"/>
      <c r="Y548" s="244"/>
      <c r="Z548" s="244"/>
    </row>
    <row r="549" spans="16:26">
      <c r="P549" s="241"/>
      <c r="Q549" s="241"/>
      <c r="R549" s="241"/>
      <c r="S549" s="241"/>
      <c r="T549" s="241"/>
      <c r="U549" s="241"/>
      <c r="V549" s="241"/>
      <c r="W549" s="241"/>
      <c r="X549" s="241"/>
      <c r="Y549" s="241"/>
      <c r="Z549" s="241"/>
    </row>
    <row r="550" spans="16:26">
      <c r="P550" s="244"/>
      <c r="Q550" s="244"/>
      <c r="R550" s="244"/>
      <c r="S550" s="244"/>
      <c r="T550" s="244"/>
      <c r="U550" s="244"/>
      <c r="V550" s="244"/>
      <c r="W550" s="244"/>
      <c r="X550" s="244"/>
      <c r="Y550" s="244"/>
      <c r="Z550" s="244"/>
    </row>
    <row r="551" spans="16:26">
      <c r="P551" s="244"/>
      <c r="Q551" s="244"/>
      <c r="R551" s="244"/>
      <c r="S551" s="244"/>
      <c r="T551" s="244"/>
      <c r="U551" s="244"/>
      <c r="V551" s="244"/>
      <c r="W551" s="244"/>
      <c r="X551" s="244"/>
      <c r="Y551" s="244"/>
      <c r="Z551" s="244"/>
    </row>
    <row r="552" spans="16:26">
      <c r="P552" s="241"/>
      <c r="Q552" s="241"/>
      <c r="R552" s="241"/>
      <c r="S552" s="241"/>
      <c r="T552" s="241"/>
      <c r="U552" s="241"/>
      <c r="V552" s="241"/>
      <c r="W552" s="241"/>
      <c r="X552" s="241"/>
      <c r="Y552" s="241"/>
      <c r="Z552" s="241"/>
    </row>
    <row r="553" spans="16:26">
      <c r="P553" s="244"/>
      <c r="Q553" s="244"/>
      <c r="R553" s="244"/>
      <c r="S553" s="244"/>
      <c r="T553" s="244"/>
      <c r="U553" s="244"/>
      <c r="V553" s="244"/>
      <c r="W553" s="244"/>
      <c r="X553" s="244"/>
      <c r="Y553" s="244"/>
      <c r="Z553" s="244"/>
    </row>
    <row r="554" spans="16:26">
      <c r="P554" s="244"/>
      <c r="Q554" s="244"/>
      <c r="R554" s="244"/>
      <c r="S554" s="244"/>
      <c r="T554" s="244"/>
      <c r="U554" s="244"/>
      <c r="V554" s="244"/>
      <c r="W554" s="244"/>
      <c r="X554" s="244"/>
      <c r="Y554" s="244"/>
      <c r="Z554" s="244"/>
    </row>
    <row r="555" spans="16:26">
      <c r="P555" s="241"/>
      <c r="Q555" s="241"/>
      <c r="R555" s="241"/>
      <c r="S555" s="241"/>
      <c r="T555" s="241"/>
      <c r="U555" s="241"/>
      <c r="V555" s="241"/>
      <c r="W555" s="241"/>
      <c r="X555" s="241"/>
      <c r="Y555" s="241"/>
      <c r="Z555" s="241"/>
    </row>
    <row r="556" spans="16:26">
      <c r="P556" s="244"/>
      <c r="Q556" s="244"/>
      <c r="R556" s="244"/>
      <c r="S556" s="244"/>
      <c r="T556" s="244"/>
      <c r="U556" s="244"/>
      <c r="V556" s="244"/>
      <c r="W556" s="244"/>
      <c r="X556" s="244"/>
      <c r="Y556" s="244"/>
      <c r="Z556" s="244"/>
    </row>
    <row r="557" spans="16:26">
      <c r="P557" s="244"/>
      <c r="Q557" s="244"/>
      <c r="R557" s="244"/>
      <c r="S557" s="244"/>
      <c r="T557" s="244"/>
      <c r="U557" s="244"/>
      <c r="V557" s="244"/>
      <c r="W557" s="244"/>
      <c r="X557" s="244"/>
      <c r="Y557" s="244"/>
      <c r="Z557" s="244"/>
    </row>
    <row r="558" spans="16:26">
      <c r="P558" s="241"/>
      <c r="Q558" s="241"/>
      <c r="R558" s="241"/>
      <c r="S558" s="241"/>
      <c r="T558" s="241"/>
      <c r="U558" s="241"/>
      <c r="V558" s="241"/>
      <c r="W558" s="241"/>
      <c r="X558" s="241"/>
      <c r="Y558" s="241"/>
      <c r="Z558" s="241"/>
    </row>
    <row r="559" spans="16:26">
      <c r="P559" s="244"/>
      <c r="Q559" s="244"/>
      <c r="R559" s="244"/>
      <c r="S559" s="244"/>
      <c r="T559" s="244"/>
      <c r="U559" s="244"/>
      <c r="V559" s="244"/>
      <c r="W559" s="244"/>
      <c r="X559" s="244"/>
      <c r="Y559" s="244"/>
      <c r="Z559" s="244"/>
    </row>
    <row r="560" spans="16:26">
      <c r="P560" s="244"/>
      <c r="Q560" s="244"/>
      <c r="R560" s="244"/>
      <c r="S560" s="244"/>
      <c r="T560" s="244"/>
      <c r="U560" s="244"/>
      <c r="V560" s="244"/>
      <c r="W560" s="244"/>
      <c r="X560" s="244"/>
      <c r="Y560" s="244"/>
      <c r="Z560" s="244"/>
    </row>
    <row r="561" spans="16:26">
      <c r="P561" s="241"/>
      <c r="Q561" s="241"/>
      <c r="R561" s="241"/>
      <c r="S561" s="241"/>
      <c r="T561" s="241"/>
      <c r="U561" s="241"/>
      <c r="V561" s="241"/>
      <c r="W561" s="241"/>
      <c r="X561" s="241"/>
      <c r="Y561" s="241"/>
      <c r="Z561" s="241"/>
    </row>
    <row r="562" spans="16:26">
      <c r="P562" s="244"/>
      <c r="Q562" s="244"/>
      <c r="R562" s="244"/>
      <c r="S562" s="244"/>
      <c r="T562" s="244"/>
      <c r="U562" s="244"/>
      <c r="V562" s="244"/>
      <c r="W562" s="244"/>
      <c r="X562" s="244"/>
      <c r="Y562" s="244"/>
      <c r="Z562" s="244"/>
    </row>
    <row r="563" spans="16:26">
      <c r="P563" s="244"/>
      <c r="Q563" s="244"/>
      <c r="R563" s="244"/>
      <c r="S563" s="244"/>
      <c r="T563" s="244"/>
      <c r="U563" s="244"/>
      <c r="V563" s="244"/>
      <c r="W563" s="244"/>
      <c r="X563" s="244"/>
      <c r="Y563" s="244"/>
      <c r="Z563" s="244"/>
    </row>
    <row r="564" spans="16:26">
      <c r="P564" s="241"/>
      <c r="Q564" s="241"/>
      <c r="R564" s="241"/>
      <c r="S564" s="241"/>
      <c r="T564" s="241"/>
      <c r="U564" s="241"/>
      <c r="V564" s="241"/>
      <c r="W564" s="241"/>
      <c r="X564" s="241"/>
      <c r="Y564" s="241"/>
      <c r="Z564" s="241"/>
    </row>
    <row r="565" spans="16:26">
      <c r="P565" s="244"/>
      <c r="Q565" s="244"/>
      <c r="R565" s="244"/>
      <c r="S565" s="244"/>
      <c r="T565" s="244"/>
      <c r="U565" s="244"/>
      <c r="V565" s="244"/>
      <c r="W565" s="244"/>
      <c r="X565" s="244"/>
      <c r="Y565" s="244"/>
      <c r="Z565" s="244"/>
    </row>
    <row r="566" spans="16:26">
      <c r="P566" s="244"/>
      <c r="Q566" s="244"/>
      <c r="R566" s="244"/>
      <c r="S566" s="244"/>
      <c r="T566" s="244"/>
      <c r="U566" s="244"/>
      <c r="V566" s="244"/>
      <c r="W566" s="244"/>
      <c r="X566" s="244"/>
      <c r="Y566" s="244"/>
      <c r="Z566" s="244"/>
    </row>
    <row r="567" spans="16:26">
      <c r="P567" s="241"/>
      <c r="Q567" s="241"/>
      <c r="R567" s="241"/>
      <c r="S567" s="241"/>
      <c r="T567" s="241"/>
      <c r="U567" s="241"/>
      <c r="V567" s="241"/>
      <c r="W567" s="241"/>
      <c r="X567" s="241"/>
      <c r="Y567" s="241"/>
      <c r="Z567" s="241"/>
    </row>
    <row r="568" spans="16:26">
      <c r="P568" s="244"/>
      <c r="Q568" s="244"/>
      <c r="R568" s="244"/>
      <c r="S568" s="244"/>
      <c r="T568" s="244"/>
      <c r="U568" s="244"/>
      <c r="V568" s="244"/>
      <c r="W568" s="244"/>
      <c r="X568" s="244"/>
      <c r="Y568" s="244"/>
      <c r="Z568" s="244"/>
    </row>
    <row r="569" spans="16:26">
      <c r="P569" s="244"/>
      <c r="Q569" s="244"/>
      <c r="R569" s="244"/>
      <c r="S569" s="244"/>
      <c r="T569" s="244"/>
      <c r="U569" s="244"/>
      <c r="V569" s="244"/>
      <c r="W569" s="244"/>
      <c r="X569" s="244"/>
      <c r="Y569" s="244"/>
      <c r="Z569" s="244"/>
    </row>
    <row r="570" spans="16:26">
      <c r="P570" s="241"/>
      <c r="Q570" s="241"/>
      <c r="R570" s="241"/>
      <c r="S570" s="241"/>
      <c r="T570" s="241"/>
      <c r="U570" s="241"/>
      <c r="V570" s="241"/>
      <c r="W570" s="241"/>
      <c r="X570" s="241"/>
      <c r="Y570" s="241"/>
      <c r="Z570" s="241"/>
    </row>
    <row r="571" spans="16:26">
      <c r="P571" s="244"/>
      <c r="Q571" s="244"/>
      <c r="R571" s="244"/>
      <c r="S571" s="244"/>
      <c r="T571" s="244"/>
      <c r="U571" s="244"/>
      <c r="V571" s="244"/>
      <c r="W571" s="244"/>
      <c r="X571" s="244"/>
      <c r="Y571" s="244"/>
      <c r="Z571" s="244"/>
    </row>
    <row r="572" spans="16:26">
      <c r="P572" s="244"/>
      <c r="Q572" s="244"/>
      <c r="R572" s="244"/>
      <c r="S572" s="244"/>
      <c r="T572" s="244"/>
      <c r="U572" s="244"/>
      <c r="V572" s="244"/>
      <c r="W572" s="244"/>
      <c r="X572" s="244"/>
      <c r="Y572" s="244"/>
      <c r="Z572" s="244"/>
    </row>
    <row r="573" spans="16:26">
      <c r="P573" s="241"/>
      <c r="Q573" s="241"/>
      <c r="R573" s="241"/>
      <c r="S573" s="241"/>
      <c r="T573" s="241"/>
      <c r="U573" s="241"/>
      <c r="V573" s="241"/>
      <c r="W573" s="241"/>
      <c r="X573" s="241"/>
      <c r="Y573" s="241"/>
      <c r="Z573" s="241"/>
    </row>
    <row r="574" spans="16:26">
      <c r="P574" s="244"/>
      <c r="Q574" s="244"/>
      <c r="R574" s="244"/>
      <c r="S574" s="244"/>
      <c r="T574" s="244"/>
      <c r="U574" s="244"/>
      <c r="V574" s="244"/>
      <c r="W574" s="244"/>
      <c r="X574" s="244"/>
      <c r="Y574" s="244"/>
      <c r="Z574" s="244"/>
    </row>
    <row r="575" spans="16:26">
      <c r="P575" s="244"/>
      <c r="Q575" s="244"/>
      <c r="R575" s="244"/>
      <c r="S575" s="244"/>
      <c r="T575" s="244"/>
      <c r="U575" s="244"/>
      <c r="V575" s="244"/>
      <c r="W575" s="244"/>
      <c r="X575" s="244"/>
      <c r="Y575" s="244"/>
      <c r="Z575" s="244"/>
    </row>
    <row r="576" spans="16:26">
      <c r="P576" s="241"/>
      <c r="Q576" s="241"/>
      <c r="R576" s="241"/>
      <c r="S576" s="241"/>
      <c r="T576" s="241"/>
      <c r="U576" s="241"/>
      <c r="V576" s="241"/>
      <c r="W576" s="241"/>
      <c r="X576" s="241"/>
      <c r="Y576" s="241"/>
      <c r="Z576" s="241"/>
    </row>
    <row r="577" spans="16:26">
      <c r="P577" s="244"/>
      <c r="Q577" s="244"/>
      <c r="R577" s="244"/>
      <c r="S577" s="244"/>
      <c r="T577" s="244"/>
      <c r="U577" s="244"/>
      <c r="V577" s="244"/>
      <c r="W577" s="244"/>
      <c r="X577" s="244"/>
      <c r="Y577" s="244"/>
      <c r="Z577" s="244"/>
    </row>
    <row r="578" spans="16:26">
      <c r="P578" s="244"/>
      <c r="Q578" s="244"/>
      <c r="R578" s="244"/>
      <c r="S578" s="244"/>
      <c r="T578" s="244"/>
      <c r="U578" s="244"/>
      <c r="V578" s="244"/>
      <c r="W578" s="244"/>
      <c r="X578" s="244"/>
      <c r="Y578" s="244"/>
      <c r="Z578" s="244"/>
    </row>
    <row r="579" spans="16:26">
      <c r="P579" s="241"/>
      <c r="Q579" s="241"/>
      <c r="R579" s="241"/>
      <c r="S579" s="241"/>
      <c r="T579" s="241"/>
      <c r="U579" s="241"/>
      <c r="V579" s="241"/>
      <c r="W579" s="241"/>
      <c r="X579" s="241"/>
      <c r="Y579" s="241"/>
      <c r="Z579" s="241"/>
    </row>
    <row r="580" spans="16:26">
      <c r="P580" s="244"/>
      <c r="Q580" s="244"/>
      <c r="R580" s="244"/>
      <c r="S580" s="244"/>
      <c r="T580" s="244"/>
      <c r="U580" s="244"/>
      <c r="V580" s="244"/>
      <c r="W580" s="244"/>
      <c r="X580" s="244"/>
      <c r="Y580" s="244"/>
      <c r="Z580" s="244"/>
    </row>
    <row r="581" spans="16:26">
      <c r="P581" s="244"/>
      <c r="Q581" s="244"/>
      <c r="R581" s="244"/>
      <c r="S581" s="244"/>
      <c r="T581" s="244"/>
      <c r="U581" s="244"/>
      <c r="V581" s="244"/>
      <c r="W581" s="244"/>
      <c r="X581" s="244"/>
      <c r="Y581" s="244"/>
      <c r="Z581" s="244"/>
    </row>
    <row r="582" spans="16:26">
      <c r="P582" s="241"/>
      <c r="Q582" s="241"/>
      <c r="R582" s="241"/>
      <c r="S582" s="241"/>
      <c r="T582" s="241"/>
      <c r="U582" s="241"/>
      <c r="V582" s="241"/>
      <c r="W582" s="241"/>
      <c r="X582" s="241"/>
      <c r="Y582" s="241"/>
      <c r="Z582" s="241"/>
    </row>
    <row r="583" spans="16:26">
      <c r="P583" s="244"/>
      <c r="Q583" s="244"/>
      <c r="R583" s="244"/>
      <c r="S583" s="244"/>
      <c r="T583" s="244"/>
      <c r="U583" s="244"/>
      <c r="V583" s="244"/>
      <c r="W583" s="244"/>
      <c r="X583" s="244"/>
      <c r="Y583" s="244"/>
      <c r="Z583" s="244"/>
    </row>
    <row r="584" spans="16:26">
      <c r="P584" s="244"/>
      <c r="Q584" s="244"/>
      <c r="R584" s="244"/>
      <c r="S584" s="244"/>
      <c r="T584" s="244"/>
      <c r="U584" s="244"/>
      <c r="V584" s="244"/>
      <c r="W584" s="244"/>
      <c r="X584" s="244"/>
      <c r="Y584" s="244"/>
      <c r="Z584" s="244"/>
    </row>
    <row r="585" spans="16:26">
      <c r="P585" s="241"/>
      <c r="Q585" s="241"/>
      <c r="R585" s="241"/>
      <c r="S585" s="241"/>
      <c r="T585" s="241"/>
      <c r="U585" s="241"/>
      <c r="V585" s="241"/>
      <c r="W585" s="241"/>
      <c r="X585" s="241"/>
      <c r="Y585" s="241"/>
      <c r="Z585" s="241"/>
    </row>
    <row r="586" spans="16:26">
      <c r="P586" s="244"/>
      <c r="Q586" s="244"/>
      <c r="R586" s="244"/>
      <c r="S586" s="244"/>
      <c r="T586" s="244"/>
      <c r="U586" s="244"/>
      <c r="V586" s="244"/>
      <c r="W586" s="244"/>
      <c r="X586" s="244"/>
      <c r="Y586" s="244"/>
      <c r="Z586" s="244"/>
    </row>
    <row r="587" spans="16:26">
      <c r="P587" s="244"/>
      <c r="Q587" s="244"/>
      <c r="R587" s="244"/>
      <c r="S587" s="244"/>
      <c r="T587" s="244"/>
      <c r="U587" s="244"/>
      <c r="V587" s="244"/>
      <c r="W587" s="244"/>
      <c r="X587" s="244"/>
      <c r="Y587" s="244"/>
      <c r="Z587" s="244"/>
    </row>
    <row r="588" spans="16:26">
      <c r="P588" s="241"/>
      <c r="Q588" s="241"/>
      <c r="R588" s="241"/>
      <c r="S588" s="241"/>
      <c r="T588" s="241"/>
      <c r="U588" s="241"/>
      <c r="V588" s="241"/>
      <c r="W588" s="241"/>
      <c r="X588" s="241"/>
      <c r="Y588" s="241"/>
      <c r="Z588" s="241"/>
    </row>
    <row r="589" spans="16:26">
      <c r="P589" s="244"/>
      <c r="Q589" s="244"/>
      <c r="R589" s="244"/>
      <c r="S589" s="244"/>
      <c r="T589" s="244"/>
      <c r="U589" s="244"/>
      <c r="V589" s="244"/>
      <c r="W589" s="244"/>
      <c r="X589" s="244"/>
      <c r="Y589" s="244"/>
      <c r="Z589" s="244"/>
    </row>
    <row r="590" spans="16:26">
      <c r="P590" s="244"/>
      <c r="Q590" s="244"/>
      <c r="R590" s="244"/>
      <c r="S590" s="244"/>
      <c r="T590" s="244"/>
      <c r="U590" s="244"/>
      <c r="V590" s="244"/>
      <c r="W590" s="244"/>
      <c r="X590" s="244"/>
      <c r="Y590" s="244"/>
      <c r="Z590" s="244"/>
    </row>
    <row r="591" spans="16:26">
      <c r="P591" s="241"/>
      <c r="Q591" s="241"/>
      <c r="R591" s="241"/>
      <c r="S591" s="241"/>
      <c r="T591" s="241"/>
      <c r="U591" s="241"/>
      <c r="V591" s="241"/>
      <c r="W591" s="241"/>
      <c r="X591" s="241"/>
      <c r="Y591" s="241"/>
      <c r="Z591" s="241"/>
    </row>
    <row r="592" spans="16:26">
      <c r="P592" s="244"/>
      <c r="Q592" s="244"/>
      <c r="R592" s="244"/>
      <c r="S592" s="244"/>
      <c r="T592" s="244"/>
      <c r="U592" s="244"/>
      <c r="V592" s="244"/>
      <c r="W592" s="244"/>
      <c r="X592" s="244"/>
      <c r="Y592" s="244"/>
      <c r="Z592" s="244"/>
    </row>
    <row r="593" spans="16:26">
      <c r="P593" s="244"/>
      <c r="Q593" s="244"/>
      <c r="R593" s="244"/>
      <c r="S593" s="244"/>
      <c r="T593" s="244"/>
      <c r="U593" s="244"/>
      <c r="V593" s="244"/>
      <c r="W593" s="244"/>
      <c r="X593" s="244"/>
      <c r="Y593" s="244"/>
      <c r="Z593" s="244"/>
    </row>
    <row r="594" spans="16:26">
      <c r="P594" s="241"/>
      <c r="Q594" s="241"/>
      <c r="R594" s="241"/>
      <c r="S594" s="241"/>
      <c r="T594" s="241"/>
      <c r="U594" s="241"/>
      <c r="V594" s="241"/>
      <c r="W594" s="241"/>
      <c r="X594" s="241"/>
      <c r="Y594" s="241"/>
      <c r="Z594" s="241"/>
    </row>
    <row r="595" spans="16:26">
      <c r="P595" s="244"/>
      <c r="Q595" s="244"/>
      <c r="R595" s="244"/>
      <c r="S595" s="244"/>
      <c r="T595" s="244"/>
      <c r="U595" s="244"/>
      <c r="V595" s="244"/>
      <c r="W595" s="244"/>
      <c r="X595" s="244"/>
      <c r="Y595" s="244"/>
      <c r="Z595" s="244"/>
    </row>
    <row r="596" spans="16:26">
      <c r="P596" s="244"/>
      <c r="Q596" s="244"/>
      <c r="R596" s="244"/>
      <c r="S596" s="244"/>
      <c r="T596" s="244"/>
      <c r="U596" s="244"/>
      <c r="V596" s="244"/>
      <c r="W596" s="244"/>
      <c r="X596" s="244"/>
      <c r="Y596" s="244"/>
      <c r="Z596" s="244"/>
    </row>
    <row r="597" spans="16:26">
      <c r="P597" s="241"/>
      <c r="Q597" s="241"/>
      <c r="R597" s="241"/>
      <c r="S597" s="241"/>
      <c r="T597" s="241"/>
      <c r="U597" s="241"/>
      <c r="V597" s="241"/>
      <c r="W597" s="241"/>
      <c r="X597" s="241"/>
      <c r="Y597" s="241"/>
      <c r="Z597" s="241"/>
    </row>
    <row r="598" spans="16:26">
      <c r="P598" s="244"/>
      <c r="Q598" s="244"/>
      <c r="R598" s="244"/>
      <c r="S598" s="244"/>
      <c r="T598" s="244"/>
      <c r="U598" s="244"/>
      <c r="V598" s="244"/>
      <c r="W598" s="244"/>
      <c r="X598" s="244"/>
      <c r="Y598" s="244"/>
      <c r="Z598" s="244"/>
    </row>
    <row r="599" spans="16:26">
      <c r="P599" s="244"/>
      <c r="Q599" s="244"/>
      <c r="R599" s="244"/>
      <c r="S599" s="244"/>
      <c r="T599" s="244"/>
      <c r="U599" s="244"/>
      <c r="V599" s="244"/>
      <c r="W599" s="244"/>
      <c r="X599" s="244"/>
      <c r="Y599" s="244"/>
      <c r="Z599" s="244"/>
    </row>
    <row r="600" spans="16:26">
      <c r="P600" s="241"/>
      <c r="Q600" s="241"/>
      <c r="R600" s="241"/>
      <c r="S600" s="241"/>
      <c r="T600" s="241"/>
      <c r="U600" s="241"/>
      <c r="V600" s="241"/>
      <c r="W600" s="241"/>
      <c r="X600" s="241"/>
      <c r="Y600" s="241"/>
      <c r="Z600" s="241"/>
    </row>
    <row r="601" spans="16:26">
      <c r="P601" s="244"/>
      <c r="Q601" s="244"/>
      <c r="R601" s="244"/>
      <c r="S601" s="244"/>
      <c r="T601" s="244"/>
      <c r="U601" s="244"/>
      <c r="V601" s="244"/>
      <c r="W601" s="244"/>
      <c r="X601" s="244"/>
      <c r="Y601" s="244"/>
      <c r="Z601" s="244"/>
    </row>
    <row r="602" spans="16:26">
      <c r="P602" s="244"/>
      <c r="Q602" s="244"/>
      <c r="R602" s="244"/>
      <c r="S602" s="244"/>
      <c r="T602" s="244"/>
      <c r="U602" s="244"/>
      <c r="V602" s="244"/>
      <c r="W602" s="244"/>
      <c r="X602" s="244"/>
      <c r="Y602" s="244"/>
      <c r="Z602" s="244"/>
    </row>
    <row r="603" spans="16:26">
      <c r="P603" s="241"/>
      <c r="Q603" s="241"/>
      <c r="R603" s="241"/>
      <c r="S603" s="241"/>
      <c r="T603" s="241"/>
      <c r="U603" s="241"/>
      <c r="V603" s="241"/>
      <c r="W603" s="241"/>
      <c r="X603" s="241"/>
      <c r="Y603" s="241"/>
      <c r="Z603" s="241"/>
    </row>
    <row r="604" spans="16:26">
      <c r="P604" s="244"/>
      <c r="Q604" s="244"/>
      <c r="R604" s="244"/>
      <c r="S604" s="244"/>
      <c r="T604" s="244"/>
      <c r="U604" s="244"/>
      <c r="V604" s="244"/>
      <c r="W604" s="244"/>
      <c r="X604" s="244"/>
      <c r="Y604" s="244"/>
      <c r="Z604" s="244"/>
    </row>
    <row r="605" spans="16:26">
      <c r="P605" s="244"/>
      <c r="Q605" s="244"/>
      <c r="R605" s="244"/>
      <c r="S605" s="244"/>
      <c r="T605" s="244"/>
      <c r="U605" s="244"/>
      <c r="V605" s="244"/>
      <c r="W605" s="244"/>
      <c r="X605" s="244"/>
      <c r="Y605" s="244"/>
      <c r="Z605" s="244"/>
    </row>
    <row r="606" spans="16:26">
      <c r="P606" s="241"/>
      <c r="Q606" s="241"/>
      <c r="R606" s="241"/>
      <c r="S606" s="241"/>
      <c r="T606" s="241"/>
      <c r="U606" s="241"/>
      <c r="V606" s="241"/>
      <c r="W606" s="241"/>
      <c r="X606" s="241"/>
      <c r="Y606" s="241"/>
      <c r="Z606" s="241"/>
    </row>
    <row r="607" spans="16:26">
      <c r="P607" s="244"/>
      <c r="Q607" s="244"/>
      <c r="R607" s="244"/>
      <c r="S607" s="244"/>
      <c r="T607" s="244"/>
      <c r="U607" s="244"/>
      <c r="V607" s="244"/>
      <c r="W607" s="244"/>
      <c r="X607" s="244"/>
      <c r="Y607" s="244"/>
      <c r="Z607" s="244"/>
    </row>
    <row r="608" spans="16:26">
      <c r="P608" s="244"/>
      <c r="Q608" s="244"/>
      <c r="R608" s="244"/>
      <c r="S608" s="244"/>
      <c r="T608" s="244"/>
      <c r="U608" s="244"/>
      <c r="V608" s="244"/>
      <c r="W608" s="244"/>
      <c r="X608" s="244"/>
      <c r="Y608" s="244"/>
      <c r="Z608" s="244"/>
    </row>
    <row r="609" spans="16:26">
      <c r="P609" s="241"/>
      <c r="Q609" s="241"/>
      <c r="R609" s="241"/>
      <c r="S609" s="241"/>
      <c r="T609" s="241"/>
      <c r="U609" s="241"/>
      <c r="V609" s="241"/>
      <c r="W609" s="241"/>
      <c r="X609" s="241"/>
      <c r="Y609" s="241"/>
      <c r="Z609" s="241"/>
    </row>
    <row r="610" spans="16:26">
      <c r="P610" s="244"/>
      <c r="Q610" s="244"/>
      <c r="R610" s="244"/>
      <c r="S610" s="244"/>
      <c r="T610" s="244"/>
      <c r="U610" s="244"/>
      <c r="V610" s="244"/>
      <c r="W610" s="244"/>
      <c r="X610" s="244"/>
      <c r="Y610" s="244"/>
      <c r="Z610" s="244"/>
    </row>
    <row r="611" spans="16:26">
      <c r="P611" s="244"/>
      <c r="Q611" s="244"/>
      <c r="R611" s="244"/>
      <c r="S611" s="244"/>
      <c r="T611" s="244"/>
      <c r="U611" s="244"/>
      <c r="V611" s="244"/>
      <c r="W611" s="244"/>
      <c r="X611" s="244"/>
      <c r="Y611" s="244"/>
      <c r="Z611" s="244"/>
    </row>
    <row r="612" spans="16:26">
      <c r="P612" s="241"/>
      <c r="Q612" s="241"/>
      <c r="R612" s="241"/>
      <c r="S612" s="241"/>
      <c r="T612" s="241"/>
      <c r="U612" s="241"/>
      <c r="V612" s="241"/>
      <c r="W612" s="241"/>
      <c r="X612" s="241"/>
      <c r="Y612" s="241"/>
      <c r="Z612" s="241"/>
    </row>
    <row r="613" spans="16:26">
      <c r="P613" s="244"/>
      <c r="Q613" s="244"/>
      <c r="R613" s="244"/>
      <c r="S613" s="244"/>
      <c r="T613" s="244"/>
      <c r="U613" s="244"/>
      <c r="V613" s="244"/>
      <c r="W613" s="244"/>
      <c r="X613" s="244"/>
      <c r="Y613" s="244"/>
      <c r="Z613" s="244"/>
    </row>
    <row r="614" spans="16:26">
      <c r="P614" s="244"/>
      <c r="Q614" s="244"/>
      <c r="R614" s="244"/>
      <c r="S614" s="244"/>
      <c r="T614" s="244"/>
      <c r="U614" s="244"/>
      <c r="V614" s="244"/>
      <c r="W614" s="244"/>
      <c r="X614" s="244"/>
      <c r="Y614" s="244"/>
      <c r="Z614" s="244"/>
    </row>
    <row r="615" spans="16:26">
      <c r="P615" s="241"/>
      <c r="Q615" s="241"/>
      <c r="R615" s="241"/>
      <c r="S615" s="241"/>
      <c r="T615" s="241"/>
      <c r="U615" s="241"/>
      <c r="V615" s="241"/>
      <c r="W615" s="241"/>
      <c r="X615" s="241"/>
      <c r="Y615" s="241"/>
      <c r="Z615" s="241"/>
    </row>
    <row r="616" spans="16:26">
      <c r="P616" s="244"/>
      <c r="Q616" s="244"/>
      <c r="R616" s="244"/>
      <c r="S616" s="244"/>
      <c r="T616" s="244"/>
      <c r="U616" s="244"/>
      <c r="V616" s="244"/>
      <c r="W616" s="244"/>
      <c r="X616" s="244"/>
      <c r="Y616" s="244"/>
      <c r="Z616" s="244"/>
    </row>
    <row r="617" spans="16:26">
      <c r="P617" s="244"/>
      <c r="Q617" s="244"/>
      <c r="R617" s="244"/>
      <c r="S617" s="244"/>
      <c r="T617" s="244"/>
      <c r="U617" s="244"/>
      <c r="V617" s="244"/>
      <c r="W617" s="244"/>
      <c r="X617" s="244"/>
      <c r="Y617" s="244"/>
      <c r="Z617" s="244"/>
    </row>
    <row r="618" spans="16:26">
      <c r="P618" s="241"/>
      <c r="Q618" s="241"/>
      <c r="R618" s="241"/>
      <c r="S618" s="241"/>
      <c r="T618" s="241"/>
      <c r="U618" s="241"/>
      <c r="V618" s="241"/>
      <c r="W618" s="241"/>
      <c r="X618" s="241"/>
      <c r="Y618" s="241"/>
      <c r="Z618" s="241"/>
    </row>
    <row r="619" spans="16:26">
      <c r="P619" s="244"/>
      <c r="Q619" s="244"/>
      <c r="R619" s="244"/>
      <c r="S619" s="244"/>
      <c r="T619" s="244"/>
      <c r="U619" s="244"/>
      <c r="V619" s="244"/>
      <c r="W619" s="244"/>
      <c r="X619" s="244"/>
      <c r="Y619" s="244"/>
      <c r="Z619" s="244"/>
    </row>
    <row r="620" spans="16:26">
      <c r="P620" s="244"/>
      <c r="Q620" s="244"/>
      <c r="R620" s="244"/>
      <c r="S620" s="244"/>
      <c r="T620" s="244"/>
      <c r="U620" s="244"/>
      <c r="V620" s="244"/>
      <c r="W620" s="244"/>
      <c r="X620" s="244"/>
      <c r="Y620" s="244"/>
      <c r="Z620" s="244"/>
    </row>
    <row r="621" spans="16:26">
      <c r="P621" s="241"/>
      <c r="Q621" s="241"/>
      <c r="R621" s="241"/>
      <c r="S621" s="241"/>
      <c r="T621" s="241"/>
      <c r="U621" s="241"/>
      <c r="V621" s="241"/>
      <c r="W621" s="241"/>
      <c r="X621" s="241"/>
      <c r="Y621" s="241"/>
      <c r="Z621" s="241"/>
    </row>
    <row r="622" spans="16:26">
      <c r="P622" s="244"/>
      <c r="Q622" s="244"/>
      <c r="R622" s="244"/>
      <c r="S622" s="244"/>
      <c r="T622" s="244"/>
      <c r="U622" s="244"/>
      <c r="V622" s="244"/>
      <c r="W622" s="244"/>
      <c r="X622" s="244"/>
      <c r="Y622" s="244"/>
      <c r="Z622" s="244"/>
    </row>
    <row r="623" spans="16:26">
      <c r="P623" s="244"/>
      <c r="Q623" s="244"/>
      <c r="R623" s="244"/>
      <c r="S623" s="244"/>
      <c r="T623" s="244"/>
      <c r="U623" s="244"/>
      <c r="V623" s="244"/>
      <c r="W623" s="244"/>
      <c r="X623" s="244"/>
      <c r="Y623" s="244"/>
      <c r="Z623" s="244"/>
    </row>
    <row r="624" spans="16:26">
      <c r="P624" s="241"/>
      <c r="Q624" s="241"/>
      <c r="R624" s="241"/>
      <c r="S624" s="241"/>
      <c r="T624" s="241"/>
      <c r="U624" s="241"/>
      <c r="V624" s="241"/>
      <c r="W624" s="241"/>
      <c r="X624" s="241"/>
      <c r="Y624" s="241"/>
      <c r="Z624" s="241"/>
    </row>
    <row r="625" spans="16:26">
      <c r="P625" s="244"/>
      <c r="Q625" s="244"/>
      <c r="R625" s="244"/>
      <c r="S625" s="244"/>
      <c r="T625" s="244"/>
      <c r="U625" s="244"/>
      <c r="V625" s="244"/>
      <c r="W625" s="244"/>
      <c r="X625" s="244"/>
      <c r="Y625" s="244"/>
      <c r="Z625" s="244"/>
    </row>
    <row r="626" spans="16:26">
      <c r="P626" s="244"/>
      <c r="Q626" s="244"/>
      <c r="R626" s="244"/>
      <c r="S626" s="244"/>
      <c r="T626" s="244"/>
      <c r="U626" s="244"/>
      <c r="V626" s="244"/>
      <c r="W626" s="244"/>
      <c r="X626" s="244"/>
      <c r="Y626" s="244"/>
      <c r="Z626" s="244"/>
    </row>
    <row r="627" spans="16:26">
      <c r="P627" s="241"/>
      <c r="Q627" s="241"/>
      <c r="R627" s="241"/>
      <c r="S627" s="241"/>
      <c r="T627" s="241"/>
      <c r="U627" s="241"/>
      <c r="V627" s="241"/>
      <c r="W627" s="241"/>
      <c r="X627" s="241"/>
      <c r="Y627" s="241"/>
      <c r="Z627" s="241"/>
    </row>
    <row r="628" spans="16:26">
      <c r="P628" s="244"/>
      <c r="Q628" s="244"/>
      <c r="R628" s="244"/>
      <c r="S628" s="244"/>
      <c r="T628" s="244"/>
      <c r="U628" s="244"/>
      <c r="V628" s="244"/>
      <c r="W628" s="244"/>
      <c r="X628" s="244"/>
      <c r="Y628" s="244"/>
      <c r="Z628" s="244"/>
    </row>
    <row r="629" spans="16:26">
      <c r="P629" s="244"/>
      <c r="Q629" s="244"/>
      <c r="R629" s="244"/>
      <c r="S629" s="244"/>
      <c r="T629" s="244"/>
      <c r="U629" s="244"/>
      <c r="V629" s="244"/>
      <c r="W629" s="244"/>
      <c r="X629" s="244"/>
      <c r="Y629" s="244"/>
      <c r="Z629" s="244"/>
    </row>
    <row r="630" spans="16:26">
      <c r="P630" s="241"/>
      <c r="Q630" s="241"/>
      <c r="R630" s="241"/>
      <c r="S630" s="241"/>
      <c r="T630" s="241"/>
      <c r="U630" s="241"/>
      <c r="V630" s="241"/>
      <c r="W630" s="241"/>
      <c r="X630" s="241"/>
      <c r="Y630" s="241"/>
      <c r="Z630" s="241"/>
    </row>
    <row r="631" spans="16:26">
      <c r="P631" s="244"/>
      <c r="Q631" s="244"/>
      <c r="R631" s="244"/>
      <c r="S631" s="244"/>
      <c r="T631" s="244"/>
      <c r="U631" s="244"/>
      <c r="V631" s="244"/>
      <c r="W631" s="244"/>
      <c r="X631" s="244"/>
      <c r="Y631" s="244"/>
      <c r="Z631" s="244"/>
    </row>
    <row r="632" spans="16:26">
      <c r="P632" s="244"/>
      <c r="Q632" s="244"/>
      <c r="R632" s="244"/>
      <c r="S632" s="244"/>
      <c r="T632" s="244"/>
      <c r="U632" s="244"/>
      <c r="V632" s="244"/>
      <c r="W632" s="244"/>
      <c r="X632" s="244"/>
      <c r="Y632" s="244"/>
      <c r="Z632" s="244"/>
    </row>
    <row r="633" spans="16:26">
      <c r="P633" s="241"/>
      <c r="Q633" s="241"/>
      <c r="R633" s="241"/>
      <c r="S633" s="241"/>
      <c r="T633" s="241"/>
      <c r="U633" s="241"/>
      <c r="V633" s="241"/>
      <c r="W633" s="241"/>
      <c r="X633" s="241"/>
      <c r="Y633" s="241"/>
      <c r="Z633" s="241"/>
    </row>
    <row r="634" spans="16:26">
      <c r="P634" s="244"/>
      <c r="Q634" s="244"/>
      <c r="R634" s="244"/>
      <c r="S634" s="244"/>
      <c r="T634" s="244"/>
      <c r="U634" s="244"/>
      <c r="V634" s="244"/>
      <c r="W634" s="244"/>
      <c r="X634" s="244"/>
      <c r="Y634" s="244"/>
      <c r="Z634" s="244"/>
    </row>
    <row r="635" spans="16:26">
      <c r="P635" s="244"/>
      <c r="Q635" s="244"/>
      <c r="R635" s="244"/>
      <c r="S635" s="244"/>
      <c r="T635" s="244"/>
      <c r="U635" s="244"/>
      <c r="V635" s="244"/>
      <c r="W635" s="244"/>
      <c r="X635" s="244"/>
      <c r="Y635" s="244"/>
      <c r="Z635" s="244"/>
    </row>
    <row r="636" spans="16:26">
      <c r="P636" s="241"/>
      <c r="Q636" s="241"/>
      <c r="R636" s="241"/>
      <c r="S636" s="241"/>
      <c r="T636" s="241"/>
      <c r="U636" s="241"/>
      <c r="V636" s="241"/>
      <c r="W636" s="241"/>
      <c r="X636" s="241"/>
      <c r="Y636" s="241"/>
      <c r="Z636" s="241"/>
    </row>
    <row r="637" spans="16:26">
      <c r="P637" s="244"/>
      <c r="Q637" s="244"/>
      <c r="R637" s="244"/>
      <c r="S637" s="244"/>
      <c r="T637" s="244"/>
      <c r="U637" s="244"/>
      <c r="V637" s="244"/>
      <c r="W637" s="244"/>
      <c r="X637" s="244"/>
      <c r="Y637" s="244"/>
      <c r="Z637" s="244"/>
    </row>
    <row r="638" spans="16:26">
      <c r="P638" s="244"/>
      <c r="Q638" s="244"/>
      <c r="R638" s="244"/>
      <c r="S638" s="244"/>
      <c r="T638" s="244"/>
      <c r="U638" s="244"/>
      <c r="V638" s="244"/>
      <c r="W638" s="244"/>
      <c r="X638" s="244"/>
      <c r="Y638" s="244"/>
      <c r="Z638" s="244"/>
    </row>
    <row r="639" spans="16:26">
      <c r="P639" s="241"/>
      <c r="Q639" s="241"/>
      <c r="R639" s="241"/>
      <c r="S639" s="241"/>
      <c r="T639" s="241"/>
      <c r="U639" s="241"/>
      <c r="V639" s="241"/>
      <c r="W639" s="241"/>
      <c r="X639" s="241"/>
      <c r="Y639" s="241"/>
      <c r="Z639" s="241"/>
    </row>
    <row r="640" spans="16:26">
      <c r="P640" s="244"/>
      <c r="Q640" s="244"/>
      <c r="R640" s="244"/>
      <c r="S640" s="244"/>
      <c r="T640" s="244"/>
      <c r="U640" s="244"/>
      <c r="V640" s="244"/>
      <c r="W640" s="244"/>
      <c r="X640" s="244"/>
      <c r="Y640" s="244"/>
      <c r="Z640" s="244"/>
    </row>
    <row r="641" spans="16:26">
      <c r="P641" s="244"/>
      <c r="Q641" s="244"/>
      <c r="R641" s="244"/>
      <c r="S641" s="244"/>
      <c r="T641" s="244"/>
      <c r="U641" s="244"/>
      <c r="V641" s="244"/>
      <c r="W641" s="244"/>
      <c r="X641" s="244"/>
      <c r="Y641" s="244"/>
      <c r="Z641" s="244"/>
    </row>
    <row r="642" spans="16:26">
      <c r="P642" s="241"/>
      <c r="Q642" s="241"/>
      <c r="R642" s="241"/>
      <c r="S642" s="241"/>
      <c r="T642" s="241"/>
      <c r="U642" s="241"/>
      <c r="V642" s="241"/>
      <c r="W642" s="241"/>
      <c r="X642" s="241"/>
      <c r="Y642" s="241"/>
      <c r="Z642" s="241"/>
    </row>
    <row r="643" spans="16:26">
      <c r="P643" s="241"/>
      <c r="Q643" s="241"/>
      <c r="R643" s="241"/>
      <c r="S643" s="241"/>
      <c r="T643" s="241"/>
      <c r="U643" s="241"/>
      <c r="V643" s="241"/>
      <c r="W643" s="241"/>
      <c r="X643" s="241"/>
      <c r="Y643" s="241"/>
      <c r="Z643" s="241"/>
    </row>
    <row r="644" spans="16:26">
      <c r="P644" s="241"/>
      <c r="Q644" s="241"/>
      <c r="R644" s="241"/>
      <c r="S644" s="241"/>
      <c r="T644" s="241"/>
      <c r="U644" s="241"/>
      <c r="V644" s="241"/>
      <c r="W644" s="241"/>
      <c r="X644" s="241"/>
      <c r="Y644" s="241"/>
      <c r="Z644" s="241"/>
    </row>
    <row r="645" spans="16:26">
      <c r="P645" s="241"/>
      <c r="Q645" s="241"/>
      <c r="R645" s="241"/>
      <c r="S645" s="241"/>
      <c r="T645" s="241"/>
      <c r="U645" s="241"/>
      <c r="V645" s="241"/>
      <c r="W645" s="241"/>
      <c r="X645" s="241"/>
      <c r="Y645" s="241"/>
      <c r="Z645" s="241"/>
    </row>
    <row r="646" spans="16:26">
      <c r="P646" s="241"/>
      <c r="Q646" s="241"/>
      <c r="R646" s="241"/>
      <c r="S646" s="241"/>
      <c r="T646" s="241"/>
      <c r="U646" s="241"/>
      <c r="V646" s="241"/>
      <c r="W646" s="241"/>
      <c r="X646" s="241"/>
      <c r="Y646" s="241"/>
      <c r="Z646" s="241"/>
    </row>
    <row r="647" spans="16:26">
      <c r="P647" s="241"/>
      <c r="Q647" s="241"/>
      <c r="R647" s="241"/>
      <c r="S647" s="241"/>
      <c r="T647" s="241"/>
      <c r="U647" s="241"/>
      <c r="V647" s="241"/>
      <c r="W647" s="241"/>
      <c r="X647" s="241"/>
      <c r="Y647" s="241"/>
      <c r="Z647" s="241"/>
    </row>
    <row r="648" spans="16:26">
      <c r="P648" s="241"/>
      <c r="Q648" s="241"/>
      <c r="R648" s="241"/>
      <c r="S648" s="241"/>
      <c r="T648" s="241"/>
      <c r="U648" s="241"/>
      <c r="V648" s="241"/>
      <c r="W648" s="241"/>
      <c r="X648" s="241"/>
      <c r="Y648" s="241"/>
      <c r="Z648" s="241"/>
    </row>
    <row r="649" spans="16:26">
      <c r="P649" s="241"/>
      <c r="Q649" s="241"/>
      <c r="R649" s="241"/>
      <c r="S649" s="241"/>
      <c r="T649" s="241"/>
      <c r="U649" s="241"/>
      <c r="V649" s="241"/>
      <c r="W649" s="241"/>
      <c r="X649" s="241"/>
      <c r="Y649" s="241"/>
      <c r="Z649" s="241"/>
    </row>
    <row r="650" spans="16:26">
      <c r="P650" s="241"/>
      <c r="Q650" s="241"/>
      <c r="R650" s="241"/>
      <c r="S650" s="241"/>
      <c r="T650" s="241"/>
      <c r="U650" s="241"/>
      <c r="V650" s="241"/>
      <c r="W650" s="241"/>
      <c r="X650" s="241"/>
      <c r="Y650" s="241"/>
      <c r="Z650" s="241"/>
    </row>
    <row r="651" spans="16:26">
      <c r="P651" s="241"/>
      <c r="Q651" s="241"/>
      <c r="R651" s="241"/>
      <c r="S651" s="241"/>
      <c r="T651" s="241"/>
      <c r="U651" s="241"/>
      <c r="V651" s="241"/>
      <c r="W651" s="241"/>
      <c r="X651" s="241"/>
      <c r="Y651" s="241"/>
      <c r="Z651" s="241"/>
    </row>
    <row r="652" spans="16:26">
      <c r="P652" s="241"/>
      <c r="Q652" s="241"/>
      <c r="R652" s="241"/>
      <c r="S652" s="241"/>
      <c r="T652" s="241"/>
      <c r="U652" s="241"/>
      <c r="V652" s="241"/>
      <c r="W652" s="241"/>
      <c r="X652" s="241"/>
      <c r="Y652" s="241"/>
      <c r="Z652" s="241"/>
    </row>
    <row r="653" spans="16:26">
      <c r="P653" s="241"/>
      <c r="Q653" s="241"/>
      <c r="R653" s="241"/>
      <c r="S653" s="241"/>
      <c r="T653" s="241"/>
      <c r="U653" s="241"/>
      <c r="V653" s="241"/>
      <c r="W653" s="241"/>
      <c r="X653" s="241"/>
      <c r="Y653" s="241"/>
      <c r="Z653" s="241"/>
    </row>
    <row r="654" spans="16:26">
      <c r="P654" s="241"/>
      <c r="Q654" s="241"/>
      <c r="R654" s="241"/>
      <c r="S654" s="241"/>
      <c r="T654" s="241"/>
      <c r="U654" s="241"/>
      <c r="V654" s="241"/>
      <c r="W654" s="241"/>
      <c r="X654" s="241"/>
      <c r="Y654" s="241"/>
      <c r="Z654" s="241"/>
    </row>
    <row r="655" spans="16:26">
      <c r="P655" s="241"/>
      <c r="Q655" s="241"/>
      <c r="R655" s="241"/>
      <c r="S655" s="241"/>
      <c r="T655" s="241"/>
      <c r="U655" s="241"/>
      <c r="V655" s="241"/>
      <c r="W655" s="241"/>
      <c r="X655" s="241"/>
      <c r="Y655" s="241"/>
      <c r="Z655" s="241"/>
    </row>
    <row r="656" spans="16:26">
      <c r="P656" s="241"/>
      <c r="Q656" s="241"/>
      <c r="R656" s="241"/>
      <c r="S656" s="241"/>
      <c r="T656" s="241"/>
      <c r="U656" s="241"/>
      <c r="V656" s="241"/>
      <c r="W656" s="241"/>
      <c r="X656" s="241"/>
      <c r="Y656" s="241"/>
      <c r="Z656" s="241"/>
    </row>
    <row r="657" spans="16:26">
      <c r="P657" s="241"/>
      <c r="Q657" s="241"/>
      <c r="R657" s="241"/>
      <c r="S657" s="241"/>
      <c r="T657" s="241"/>
      <c r="U657" s="241"/>
      <c r="V657" s="241"/>
      <c r="W657" s="241"/>
      <c r="X657" s="241"/>
      <c r="Y657" s="241"/>
      <c r="Z657" s="241"/>
    </row>
    <row r="658" spans="16:26">
      <c r="P658" s="241"/>
      <c r="Q658" s="241"/>
      <c r="R658" s="241"/>
      <c r="S658" s="241"/>
      <c r="T658" s="241"/>
      <c r="U658" s="241"/>
      <c r="V658" s="241"/>
      <c r="W658" s="241"/>
      <c r="X658" s="241"/>
      <c r="Y658" s="241"/>
      <c r="Z658" s="241"/>
    </row>
    <row r="659" spans="16:26">
      <c r="P659" s="241"/>
      <c r="Q659" s="241"/>
      <c r="R659" s="241"/>
      <c r="S659" s="241"/>
      <c r="T659" s="241"/>
      <c r="U659" s="241"/>
      <c r="V659" s="241"/>
      <c r="W659" s="241"/>
      <c r="X659" s="241"/>
      <c r="Y659" s="241"/>
      <c r="Z659" s="241"/>
    </row>
    <row r="660" spans="16:26">
      <c r="P660" s="241"/>
      <c r="Q660" s="241"/>
      <c r="R660" s="241"/>
      <c r="S660" s="241"/>
      <c r="T660" s="241"/>
      <c r="U660" s="241"/>
      <c r="V660" s="241"/>
      <c r="W660" s="241"/>
      <c r="X660" s="241"/>
      <c r="Y660" s="241"/>
      <c r="Z660" s="241"/>
    </row>
    <row r="661" spans="16:26">
      <c r="P661" s="241"/>
      <c r="Q661" s="241"/>
      <c r="R661" s="241"/>
      <c r="S661" s="241"/>
      <c r="T661" s="241"/>
      <c r="U661" s="241"/>
      <c r="V661" s="241"/>
      <c r="W661" s="241"/>
      <c r="X661" s="241"/>
      <c r="Y661" s="241"/>
      <c r="Z661" s="241"/>
    </row>
    <row r="662" spans="16:26">
      <c r="P662" s="241"/>
      <c r="Q662" s="241"/>
      <c r="R662" s="241"/>
      <c r="S662" s="241"/>
      <c r="T662" s="241"/>
      <c r="U662" s="241"/>
      <c r="V662" s="241"/>
      <c r="W662" s="241"/>
      <c r="X662" s="241"/>
      <c r="Y662" s="241"/>
      <c r="Z662" s="241"/>
    </row>
    <row r="663" spans="16:26">
      <c r="P663" s="241"/>
      <c r="Q663" s="241"/>
      <c r="R663" s="241"/>
      <c r="S663" s="241"/>
      <c r="T663" s="241"/>
      <c r="U663" s="241"/>
      <c r="V663" s="241"/>
      <c r="W663" s="241"/>
      <c r="X663" s="241"/>
      <c r="Y663" s="241"/>
      <c r="Z663" s="241"/>
    </row>
    <row r="664" spans="16:26">
      <c r="P664" s="241"/>
      <c r="Q664" s="241"/>
      <c r="R664" s="241"/>
      <c r="S664" s="241"/>
      <c r="T664" s="241"/>
      <c r="U664" s="241"/>
      <c r="V664" s="241"/>
      <c r="W664" s="241"/>
      <c r="X664" s="241"/>
      <c r="Y664" s="241"/>
      <c r="Z664" s="241"/>
    </row>
    <row r="665" spans="16:26">
      <c r="P665" s="241"/>
      <c r="Q665" s="241"/>
      <c r="R665" s="241"/>
      <c r="S665" s="241"/>
      <c r="T665" s="241"/>
      <c r="U665" s="241"/>
      <c r="V665" s="241"/>
      <c r="W665" s="241"/>
      <c r="X665" s="241"/>
      <c r="Y665" s="241"/>
      <c r="Z665" s="241"/>
    </row>
    <row r="666" spans="16:26">
      <c r="P666" s="241"/>
      <c r="Q666" s="241"/>
      <c r="R666" s="241"/>
      <c r="S666" s="241"/>
      <c r="T666" s="241"/>
      <c r="U666" s="241"/>
      <c r="V666" s="241"/>
      <c r="W666" s="241"/>
      <c r="X666" s="241"/>
      <c r="Y666" s="241"/>
      <c r="Z666" s="241"/>
    </row>
    <row r="667" spans="16:26">
      <c r="P667" s="241"/>
      <c r="Q667" s="241"/>
      <c r="R667" s="241"/>
      <c r="S667" s="241"/>
      <c r="T667" s="241"/>
      <c r="U667" s="241"/>
      <c r="V667" s="241"/>
      <c r="W667" s="241"/>
      <c r="X667" s="241"/>
      <c r="Y667" s="241"/>
      <c r="Z667" s="241"/>
    </row>
    <row r="668" spans="16:26">
      <c r="P668" s="241"/>
      <c r="Q668" s="241"/>
      <c r="R668" s="241"/>
      <c r="S668" s="241"/>
      <c r="T668" s="241"/>
      <c r="U668" s="241"/>
      <c r="V668" s="241"/>
      <c r="W668" s="241"/>
      <c r="X668" s="241"/>
      <c r="Y668" s="241"/>
      <c r="Z668" s="241"/>
    </row>
    <row r="669" spans="16:26">
      <c r="P669" s="241"/>
      <c r="Q669" s="241"/>
      <c r="R669" s="241"/>
      <c r="S669" s="241"/>
      <c r="T669" s="241"/>
      <c r="U669" s="241"/>
      <c r="V669" s="241"/>
      <c r="W669" s="241"/>
      <c r="X669" s="241"/>
      <c r="Y669" s="241"/>
      <c r="Z669" s="241"/>
    </row>
    <row r="670" spans="16:26">
      <c r="P670" s="241"/>
      <c r="Q670" s="241"/>
      <c r="R670" s="241"/>
      <c r="S670" s="241"/>
      <c r="T670" s="241"/>
      <c r="U670" s="241"/>
      <c r="V670" s="241"/>
      <c r="W670" s="241"/>
      <c r="X670" s="241"/>
      <c r="Y670" s="241"/>
      <c r="Z670" s="241"/>
    </row>
    <row r="671" spans="16:26">
      <c r="P671" s="241"/>
      <c r="Q671" s="241"/>
      <c r="R671" s="241"/>
      <c r="S671" s="241"/>
      <c r="T671" s="241"/>
      <c r="U671" s="241"/>
      <c r="V671" s="241"/>
      <c r="W671" s="241"/>
      <c r="X671" s="241"/>
      <c r="Y671" s="241"/>
      <c r="Z671" s="241"/>
    </row>
    <row r="672" spans="16:26">
      <c r="P672" s="241"/>
      <c r="Q672" s="241"/>
      <c r="R672" s="241"/>
      <c r="S672" s="241"/>
      <c r="T672" s="241"/>
      <c r="U672" s="241"/>
      <c r="V672" s="241"/>
      <c r="W672" s="241"/>
      <c r="X672" s="241"/>
      <c r="Y672" s="241"/>
      <c r="Z672" s="241"/>
    </row>
    <row r="673" spans="16:26">
      <c r="P673" s="241"/>
      <c r="Q673" s="241"/>
      <c r="R673" s="241"/>
      <c r="S673" s="241"/>
      <c r="T673" s="241"/>
      <c r="U673" s="241"/>
      <c r="V673" s="241"/>
      <c r="W673" s="241"/>
      <c r="X673" s="241"/>
      <c r="Y673" s="241"/>
      <c r="Z673" s="241"/>
    </row>
    <row r="674" spans="16:26">
      <c r="P674" s="241"/>
      <c r="Q674" s="241"/>
      <c r="R674" s="241"/>
      <c r="S674" s="241"/>
      <c r="T674" s="241"/>
      <c r="U674" s="241"/>
      <c r="V674" s="241"/>
      <c r="W674" s="241"/>
      <c r="X674" s="241"/>
      <c r="Y674" s="241"/>
      <c r="Z674" s="241"/>
    </row>
    <row r="675" spans="16:26">
      <c r="P675" s="241"/>
      <c r="Q675" s="241"/>
      <c r="R675" s="241"/>
      <c r="S675" s="241"/>
      <c r="T675" s="241"/>
      <c r="U675" s="241"/>
      <c r="V675" s="241"/>
      <c r="W675" s="241"/>
      <c r="X675" s="241"/>
      <c r="Y675" s="241"/>
      <c r="Z675" s="241"/>
    </row>
    <row r="676" spans="16:26">
      <c r="P676" s="241"/>
      <c r="Q676" s="241"/>
      <c r="R676" s="241"/>
      <c r="S676" s="241"/>
      <c r="T676" s="241"/>
      <c r="U676" s="241"/>
      <c r="V676" s="241"/>
      <c r="W676" s="241"/>
      <c r="X676" s="241"/>
      <c r="Y676" s="241"/>
      <c r="Z676" s="241"/>
    </row>
    <row r="677" spans="16:26">
      <c r="P677" s="241"/>
      <c r="Q677" s="241"/>
      <c r="R677" s="241"/>
      <c r="S677" s="241"/>
      <c r="T677" s="241"/>
      <c r="U677" s="241"/>
      <c r="V677" s="241"/>
      <c r="W677" s="241"/>
      <c r="X677" s="241"/>
      <c r="Y677" s="241"/>
      <c r="Z677" s="241"/>
    </row>
    <row r="678" spans="16:26">
      <c r="P678" s="241"/>
      <c r="Q678" s="241"/>
      <c r="R678" s="241"/>
      <c r="S678" s="241"/>
      <c r="T678" s="241"/>
      <c r="U678" s="241"/>
      <c r="V678" s="241"/>
      <c r="W678" s="241"/>
      <c r="X678" s="241"/>
      <c r="Y678" s="241"/>
      <c r="Z678" s="241"/>
    </row>
    <row r="679" spans="16:26">
      <c r="P679" s="241"/>
      <c r="Q679" s="241"/>
      <c r="R679" s="241"/>
      <c r="S679" s="241"/>
      <c r="T679" s="241"/>
      <c r="U679" s="241"/>
      <c r="V679" s="241"/>
      <c r="W679" s="241"/>
      <c r="X679" s="241"/>
      <c r="Y679" s="241"/>
      <c r="Z679" s="241"/>
    </row>
    <row r="680" spans="16:26">
      <c r="P680" s="241"/>
      <c r="Q680" s="241"/>
      <c r="R680" s="241"/>
      <c r="S680" s="241"/>
      <c r="T680" s="241"/>
      <c r="U680" s="241"/>
      <c r="V680" s="241"/>
      <c r="W680" s="241"/>
      <c r="X680" s="241"/>
      <c r="Y680" s="241"/>
      <c r="Z680" s="241"/>
    </row>
    <row r="681" spans="16:26">
      <c r="P681" s="241"/>
      <c r="Q681" s="241"/>
      <c r="R681" s="241"/>
      <c r="S681" s="241"/>
      <c r="T681" s="241"/>
      <c r="U681" s="241"/>
      <c r="V681" s="241"/>
      <c r="W681" s="241"/>
      <c r="X681" s="241"/>
      <c r="Y681" s="241"/>
      <c r="Z681" s="241"/>
    </row>
    <row r="682" spans="16:26">
      <c r="P682" s="241"/>
      <c r="Q682" s="241"/>
      <c r="R682" s="241"/>
      <c r="S682" s="241"/>
      <c r="T682" s="241"/>
      <c r="U682" s="241"/>
      <c r="V682" s="241"/>
      <c r="W682" s="241"/>
      <c r="X682" s="241"/>
      <c r="Y682" s="241"/>
      <c r="Z682" s="241"/>
    </row>
    <row r="683" spans="16:26">
      <c r="P683" s="241"/>
      <c r="Q683" s="241"/>
      <c r="R683" s="241"/>
      <c r="S683" s="241"/>
      <c r="T683" s="241"/>
      <c r="U683" s="241"/>
      <c r="V683" s="241"/>
      <c r="W683" s="241"/>
      <c r="X683" s="241"/>
      <c r="Y683" s="241"/>
      <c r="Z683" s="241"/>
    </row>
    <row r="684" spans="16:26">
      <c r="P684" s="241"/>
      <c r="Q684" s="241"/>
      <c r="R684" s="241"/>
      <c r="S684" s="241"/>
      <c r="T684" s="241"/>
      <c r="U684" s="241"/>
      <c r="V684" s="241"/>
      <c r="W684" s="241"/>
      <c r="X684" s="241"/>
      <c r="Y684" s="241"/>
      <c r="Z684" s="241"/>
    </row>
    <row r="685" spans="16:26">
      <c r="P685" s="241"/>
      <c r="Q685" s="241"/>
      <c r="R685" s="241"/>
      <c r="S685" s="241"/>
      <c r="T685" s="241"/>
      <c r="U685" s="241"/>
      <c r="V685" s="241"/>
      <c r="W685" s="241"/>
      <c r="X685" s="241"/>
      <c r="Y685" s="241"/>
      <c r="Z685" s="241"/>
    </row>
    <row r="686" spans="16:26">
      <c r="P686" s="241"/>
      <c r="Q686" s="241"/>
      <c r="R686" s="241"/>
      <c r="S686" s="241"/>
      <c r="T686" s="241"/>
      <c r="U686" s="241"/>
      <c r="V686" s="241"/>
      <c r="W686" s="241"/>
      <c r="X686" s="241"/>
      <c r="Y686" s="241"/>
      <c r="Z686" s="241"/>
    </row>
    <row r="687" spans="16:26">
      <c r="P687" s="241"/>
      <c r="Q687" s="241"/>
      <c r="R687" s="241"/>
      <c r="S687" s="241"/>
      <c r="T687" s="241"/>
      <c r="U687" s="241"/>
      <c r="V687" s="241"/>
      <c r="W687" s="241"/>
      <c r="X687" s="241"/>
      <c r="Y687" s="241"/>
      <c r="Z687" s="241"/>
    </row>
    <row r="688" spans="16:26">
      <c r="P688" s="241"/>
      <c r="Q688" s="241"/>
      <c r="R688" s="241"/>
      <c r="S688" s="241"/>
      <c r="T688" s="241"/>
      <c r="U688" s="241"/>
      <c r="V688" s="241"/>
      <c r="W688" s="241"/>
      <c r="X688" s="241"/>
      <c r="Y688" s="241"/>
      <c r="Z688" s="241"/>
    </row>
    <row r="689" spans="16:26">
      <c r="P689" s="241"/>
      <c r="Q689" s="241"/>
      <c r="R689" s="241"/>
      <c r="S689" s="241"/>
      <c r="T689" s="241"/>
      <c r="U689" s="241"/>
      <c r="V689" s="241"/>
      <c r="W689" s="241"/>
      <c r="X689" s="241"/>
      <c r="Y689" s="241"/>
      <c r="Z689" s="241"/>
    </row>
    <row r="690" spans="16:26">
      <c r="P690" s="241"/>
      <c r="Q690" s="241"/>
      <c r="R690" s="241"/>
      <c r="S690" s="241"/>
      <c r="T690" s="241"/>
      <c r="U690" s="241"/>
      <c r="V690" s="241"/>
      <c r="W690" s="241"/>
      <c r="X690" s="241"/>
      <c r="Y690" s="241"/>
      <c r="Z690" s="241"/>
    </row>
    <row r="691" spans="16:26">
      <c r="P691" s="241"/>
      <c r="Q691" s="241"/>
      <c r="R691" s="241"/>
      <c r="S691" s="241"/>
      <c r="T691" s="241"/>
      <c r="U691" s="241"/>
      <c r="V691" s="241"/>
      <c r="W691" s="241"/>
      <c r="X691" s="241"/>
      <c r="Y691" s="241"/>
      <c r="Z691" s="241"/>
    </row>
    <row r="692" spans="16:26">
      <c r="P692" s="241"/>
      <c r="Q692" s="241"/>
      <c r="R692" s="241"/>
      <c r="S692" s="241"/>
      <c r="T692" s="241"/>
      <c r="U692" s="241"/>
      <c r="V692" s="241"/>
      <c r="W692" s="241"/>
      <c r="X692" s="241"/>
      <c r="Y692" s="241"/>
      <c r="Z692" s="241"/>
    </row>
    <row r="693" spans="16:26">
      <c r="P693" s="241"/>
      <c r="Q693" s="241"/>
      <c r="R693" s="241"/>
      <c r="S693" s="241"/>
      <c r="T693" s="241"/>
      <c r="U693" s="241"/>
      <c r="V693" s="241"/>
      <c r="W693" s="241"/>
      <c r="X693" s="241"/>
      <c r="Y693" s="241"/>
      <c r="Z693" s="241"/>
    </row>
    <row r="694" spans="16:26">
      <c r="P694" s="241"/>
      <c r="Q694" s="241"/>
      <c r="R694" s="241"/>
      <c r="S694" s="241"/>
      <c r="T694" s="241"/>
      <c r="U694" s="241"/>
      <c r="V694" s="241"/>
      <c r="W694" s="241"/>
      <c r="X694" s="241"/>
      <c r="Y694" s="241"/>
      <c r="Z694" s="241"/>
    </row>
    <row r="695" spans="16:26">
      <c r="P695" s="241"/>
      <c r="Q695" s="241"/>
      <c r="R695" s="241"/>
      <c r="S695" s="241"/>
      <c r="T695" s="241"/>
      <c r="U695" s="241"/>
      <c r="V695" s="241"/>
      <c r="W695" s="241"/>
      <c r="X695" s="241"/>
      <c r="Y695" s="241"/>
      <c r="Z695" s="241"/>
    </row>
    <row r="696" spans="16:26">
      <c r="P696" s="241"/>
      <c r="Q696" s="241"/>
      <c r="R696" s="241"/>
      <c r="S696" s="241"/>
      <c r="T696" s="241"/>
      <c r="U696" s="241"/>
      <c r="V696" s="241"/>
      <c r="W696" s="241"/>
      <c r="X696" s="241"/>
      <c r="Y696" s="241"/>
      <c r="Z696" s="241"/>
    </row>
    <row r="697" spans="16:26">
      <c r="P697" s="241"/>
      <c r="Q697" s="241"/>
      <c r="R697" s="241"/>
      <c r="S697" s="241"/>
      <c r="T697" s="241"/>
      <c r="U697" s="241"/>
      <c r="V697" s="241"/>
      <c r="W697" s="241"/>
      <c r="X697" s="241"/>
      <c r="Y697" s="241"/>
      <c r="Z697" s="241"/>
    </row>
    <row r="698" spans="16:26">
      <c r="P698" s="241"/>
      <c r="Q698" s="241"/>
      <c r="R698" s="241"/>
      <c r="S698" s="241"/>
      <c r="T698" s="241"/>
      <c r="U698" s="241"/>
      <c r="V698" s="241"/>
      <c r="W698" s="241"/>
      <c r="X698" s="241"/>
      <c r="Y698" s="241"/>
      <c r="Z698" s="241"/>
    </row>
    <row r="699" spans="16:26">
      <c r="P699" s="241"/>
      <c r="Q699" s="241"/>
      <c r="R699" s="241"/>
      <c r="S699" s="241"/>
      <c r="T699" s="241"/>
      <c r="U699" s="241"/>
      <c r="V699" s="241"/>
      <c r="W699" s="241"/>
      <c r="X699" s="241"/>
      <c r="Y699" s="241"/>
      <c r="Z699" s="241"/>
    </row>
    <row r="700" spans="16:26">
      <c r="P700" s="241"/>
      <c r="Q700" s="241"/>
      <c r="R700" s="241"/>
      <c r="S700" s="241"/>
      <c r="T700" s="241"/>
      <c r="U700" s="241"/>
      <c r="V700" s="241"/>
      <c r="W700" s="241"/>
      <c r="X700" s="241"/>
      <c r="Y700" s="241"/>
      <c r="Z700" s="241"/>
    </row>
    <row r="701" spans="16:26">
      <c r="P701" s="241"/>
      <c r="Q701" s="241"/>
      <c r="R701" s="241"/>
      <c r="S701" s="241"/>
      <c r="T701" s="241"/>
      <c r="U701" s="241"/>
      <c r="V701" s="241"/>
      <c r="W701" s="241"/>
      <c r="X701" s="241"/>
      <c r="Y701" s="241"/>
      <c r="Z701" s="241"/>
    </row>
    <row r="702" spans="16:26">
      <c r="P702" s="241"/>
      <c r="Q702" s="241"/>
      <c r="R702" s="241"/>
      <c r="S702" s="241"/>
      <c r="T702" s="241"/>
      <c r="U702" s="241"/>
      <c r="V702" s="241"/>
      <c r="W702" s="241"/>
      <c r="X702" s="241"/>
      <c r="Y702" s="241"/>
      <c r="Z702" s="241"/>
    </row>
    <row r="703" spans="16:26">
      <c r="P703" s="241"/>
      <c r="Q703" s="241"/>
      <c r="R703" s="241"/>
      <c r="S703" s="241"/>
      <c r="T703" s="241"/>
      <c r="U703" s="241"/>
      <c r="V703" s="241"/>
      <c r="W703" s="241"/>
      <c r="X703" s="241"/>
      <c r="Y703" s="241"/>
      <c r="Z703" s="241"/>
    </row>
    <row r="704" spans="16:26">
      <c r="P704" s="241"/>
      <c r="Q704" s="241"/>
      <c r="R704" s="241"/>
      <c r="S704" s="241"/>
      <c r="T704" s="241"/>
      <c r="U704" s="241"/>
      <c r="V704" s="241"/>
      <c r="W704" s="241"/>
      <c r="X704" s="241"/>
      <c r="Y704" s="241"/>
      <c r="Z704" s="241"/>
    </row>
    <row r="705" spans="16:26">
      <c r="P705" s="241"/>
      <c r="Q705" s="241"/>
      <c r="R705" s="241"/>
      <c r="S705" s="241"/>
      <c r="T705" s="241"/>
      <c r="U705" s="241"/>
      <c r="V705" s="241"/>
      <c r="W705" s="241"/>
      <c r="X705" s="241"/>
      <c r="Y705" s="241"/>
      <c r="Z705" s="241"/>
    </row>
    <row r="706" spans="16:26">
      <c r="P706" s="241"/>
      <c r="Q706" s="241"/>
      <c r="R706" s="241"/>
      <c r="S706" s="241"/>
      <c r="T706" s="241"/>
      <c r="U706" s="241"/>
      <c r="V706" s="241"/>
      <c r="W706" s="241"/>
      <c r="X706" s="241"/>
      <c r="Y706" s="241"/>
      <c r="Z706" s="241"/>
    </row>
    <row r="707" spans="16:26">
      <c r="P707" s="241"/>
      <c r="Q707" s="241"/>
      <c r="R707" s="241"/>
      <c r="S707" s="241"/>
      <c r="T707" s="241"/>
      <c r="U707" s="241"/>
      <c r="V707" s="241"/>
      <c r="W707" s="241"/>
      <c r="X707" s="241"/>
      <c r="Y707" s="241"/>
      <c r="Z707" s="241"/>
    </row>
    <row r="708" spans="16:26">
      <c r="P708" s="241"/>
      <c r="Q708" s="241"/>
      <c r="R708" s="241"/>
      <c r="S708" s="241"/>
      <c r="T708" s="241"/>
      <c r="U708" s="241"/>
      <c r="V708" s="241"/>
      <c r="W708" s="241"/>
      <c r="X708" s="241"/>
      <c r="Y708" s="241"/>
      <c r="Z708" s="241"/>
    </row>
    <row r="709" spans="16:26">
      <c r="P709" s="241"/>
      <c r="Q709" s="241"/>
      <c r="R709" s="241"/>
      <c r="S709" s="241"/>
      <c r="T709" s="241"/>
      <c r="U709" s="241"/>
      <c r="V709" s="241"/>
      <c r="W709" s="241"/>
      <c r="X709" s="241"/>
      <c r="Y709" s="241"/>
      <c r="Z709" s="241"/>
    </row>
    <row r="710" spans="16:26">
      <c r="P710" s="241"/>
      <c r="Q710" s="241"/>
      <c r="R710" s="241"/>
      <c r="S710" s="241"/>
      <c r="T710" s="241"/>
      <c r="U710" s="241"/>
      <c r="V710" s="241"/>
      <c r="W710" s="241"/>
      <c r="X710" s="241"/>
      <c r="Y710" s="241"/>
      <c r="Z710" s="241"/>
    </row>
    <row r="711" spans="16:26">
      <c r="P711" s="241"/>
      <c r="Q711" s="241"/>
      <c r="R711" s="241"/>
      <c r="S711" s="241"/>
      <c r="T711" s="241"/>
      <c r="U711" s="241"/>
      <c r="V711" s="241"/>
      <c r="W711" s="241"/>
      <c r="X711" s="241"/>
      <c r="Y711" s="241"/>
      <c r="Z711" s="241"/>
    </row>
    <row r="712" spans="16:26">
      <c r="P712" s="241"/>
      <c r="Q712" s="241"/>
      <c r="R712" s="241"/>
      <c r="S712" s="241"/>
      <c r="T712" s="241"/>
      <c r="U712" s="241"/>
      <c r="V712" s="241"/>
      <c r="W712" s="241"/>
      <c r="X712" s="241"/>
      <c r="Y712" s="241"/>
      <c r="Z712" s="241"/>
    </row>
    <row r="713" spans="16:26">
      <c r="P713" s="241"/>
      <c r="Q713" s="241"/>
      <c r="R713" s="241"/>
      <c r="S713" s="241"/>
      <c r="T713" s="241"/>
      <c r="U713" s="241"/>
      <c r="V713" s="241"/>
      <c r="W713" s="241"/>
      <c r="X713" s="241"/>
      <c r="Y713" s="241"/>
      <c r="Z713" s="241"/>
    </row>
    <row r="714" spans="16:26">
      <c r="P714" s="241"/>
      <c r="Q714" s="241"/>
      <c r="R714" s="241"/>
      <c r="S714" s="241"/>
      <c r="T714" s="241"/>
      <c r="U714" s="241"/>
      <c r="V714" s="241"/>
      <c r="W714" s="241"/>
      <c r="X714" s="241"/>
      <c r="Y714" s="241"/>
      <c r="Z714" s="241"/>
    </row>
    <row r="715" spans="16:26">
      <c r="P715" s="241"/>
      <c r="Q715" s="241"/>
      <c r="R715" s="241"/>
      <c r="S715" s="241"/>
      <c r="T715" s="241"/>
      <c r="U715" s="241"/>
      <c r="V715" s="241"/>
      <c r="W715" s="241"/>
      <c r="X715" s="241"/>
      <c r="Y715" s="241"/>
      <c r="Z715" s="241"/>
    </row>
    <row r="716" spans="16:26">
      <c r="P716" s="241"/>
      <c r="Q716" s="241"/>
      <c r="R716" s="241"/>
      <c r="S716" s="241"/>
      <c r="T716" s="241"/>
      <c r="U716" s="241"/>
      <c r="V716" s="241"/>
      <c r="W716" s="241"/>
      <c r="X716" s="241"/>
      <c r="Y716" s="241"/>
      <c r="Z716" s="241"/>
    </row>
    <row r="717" spans="16:26">
      <c r="P717" s="241"/>
      <c r="Q717" s="241"/>
      <c r="R717" s="241"/>
      <c r="S717" s="241"/>
      <c r="T717" s="241"/>
      <c r="U717" s="241"/>
      <c r="V717" s="241"/>
      <c r="W717" s="241"/>
      <c r="X717" s="241"/>
      <c r="Y717" s="241"/>
      <c r="Z717" s="241"/>
    </row>
    <row r="718" spans="16:26">
      <c r="P718" s="241"/>
      <c r="Q718" s="241"/>
      <c r="R718" s="241"/>
      <c r="S718" s="241"/>
      <c r="T718" s="241"/>
      <c r="U718" s="241"/>
      <c r="V718" s="241"/>
      <c r="W718" s="241"/>
      <c r="X718" s="241"/>
      <c r="Y718" s="241"/>
      <c r="Z718" s="241"/>
    </row>
    <row r="719" spans="16:26">
      <c r="P719" s="241"/>
      <c r="Q719" s="241"/>
      <c r="R719" s="241"/>
      <c r="S719" s="241"/>
      <c r="T719" s="241"/>
      <c r="U719" s="241"/>
      <c r="V719" s="241"/>
      <c r="W719" s="241"/>
      <c r="X719" s="241"/>
      <c r="Y719" s="241"/>
      <c r="Z719" s="241"/>
    </row>
    <row r="720" spans="16:26">
      <c r="P720" s="241"/>
      <c r="Q720" s="241"/>
      <c r="R720" s="241"/>
      <c r="S720" s="241"/>
      <c r="T720" s="241"/>
      <c r="U720" s="241"/>
      <c r="V720" s="241"/>
      <c r="W720" s="241"/>
      <c r="X720" s="241"/>
      <c r="Y720" s="241"/>
      <c r="Z720" s="241"/>
    </row>
    <row r="721" spans="16:26">
      <c r="P721" s="241"/>
      <c r="Q721" s="241"/>
      <c r="R721" s="241"/>
      <c r="S721" s="241"/>
      <c r="T721" s="241"/>
      <c r="U721" s="241"/>
      <c r="V721" s="241"/>
      <c r="W721" s="241"/>
      <c r="X721" s="241"/>
      <c r="Y721" s="241"/>
      <c r="Z721" s="241"/>
    </row>
    <row r="722" spans="16:26">
      <c r="P722" s="241"/>
      <c r="Q722" s="241"/>
      <c r="R722" s="241"/>
      <c r="S722" s="241"/>
      <c r="T722" s="241"/>
      <c r="U722" s="241"/>
      <c r="V722" s="241"/>
      <c r="W722" s="241"/>
      <c r="X722" s="241"/>
      <c r="Y722" s="241"/>
      <c r="Z722" s="241"/>
    </row>
    <row r="723" spans="16:26">
      <c r="P723" s="241"/>
      <c r="Q723" s="241"/>
      <c r="R723" s="241"/>
      <c r="S723" s="241"/>
      <c r="T723" s="241"/>
      <c r="U723" s="241"/>
      <c r="V723" s="241"/>
      <c r="W723" s="241"/>
      <c r="X723" s="241"/>
      <c r="Y723" s="241"/>
      <c r="Z723" s="241"/>
    </row>
    <row r="724" spans="16:26">
      <c r="P724" s="241"/>
      <c r="Q724" s="241"/>
      <c r="R724" s="241"/>
      <c r="S724" s="241"/>
      <c r="T724" s="241"/>
      <c r="U724" s="241"/>
      <c r="V724" s="241"/>
      <c r="W724" s="241"/>
      <c r="X724" s="241"/>
      <c r="Y724" s="241"/>
      <c r="Z724" s="241"/>
    </row>
    <row r="725" spans="16:26">
      <c r="P725" s="241"/>
      <c r="Q725" s="241"/>
      <c r="R725" s="241"/>
      <c r="S725" s="241"/>
      <c r="T725" s="241"/>
      <c r="U725" s="241"/>
      <c r="V725" s="241"/>
      <c r="W725" s="241"/>
      <c r="X725" s="241"/>
      <c r="Y725" s="241"/>
      <c r="Z725" s="241"/>
    </row>
    <row r="726" spans="16:26">
      <c r="P726" s="241"/>
      <c r="Q726" s="241"/>
      <c r="R726" s="241"/>
      <c r="S726" s="241"/>
      <c r="T726" s="241"/>
      <c r="U726" s="241"/>
      <c r="V726" s="241"/>
      <c r="W726" s="241"/>
      <c r="X726" s="241"/>
      <c r="Y726" s="241"/>
      <c r="Z726" s="241"/>
    </row>
    <row r="727" spans="16:26">
      <c r="P727" s="241"/>
      <c r="Q727" s="241"/>
      <c r="R727" s="241"/>
      <c r="S727" s="241"/>
      <c r="T727" s="241"/>
      <c r="U727" s="241"/>
      <c r="V727" s="241"/>
      <c r="W727" s="241"/>
      <c r="X727" s="241"/>
      <c r="Y727" s="241"/>
      <c r="Z727" s="241"/>
    </row>
    <row r="728" spans="16:26">
      <c r="P728" s="241"/>
      <c r="Q728" s="241"/>
      <c r="R728" s="241"/>
      <c r="S728" s="241"/>
      <c r="T728" s="241"/>
      <c r="U728" s="241"/>
      <c r="V728" s="241"/>
      <c r="W728" s="241"/>
      <c r="X728" s="241"/>
      <c r="Y728" s="241"/>
      <c r="Z728" s="241"/>
    </row>
    <row r="729" spans="16:26">
      <c r="P729" s="241"/>
      <c r="Q729" s="241"/>
      <c r="R729" s="241"/>
      <c r="S729" s="241"/>
      <c r="T729" s="241"/>
      <c r="U729" s="241"/>
      <c r="V729" s="241"/>
      <c r="W729" s="241"/>
      <c r="X729" s="241"/>
      <c r="Y729" s="241"/>
      <c r="Z729" s="241"/>
    </row>
    <row r="730" spans="16:26">
      <c r="P730" s="241"/>
      <c r="Q730" s="241"/>
      <c r="R730" s="241"/>
      <c r="S730" s="241"/>
      <c r="T730" s="241"/>
      <c r="U730" s="241"/>
      <c r="V730" s="241"/>
      <c r="W730" s="241"/>
      <c r="X730" s="241"/>
      <c r="Y730" s="241"/>
      <c r="Z730" s="241"/>
    </row>
    <row r="731" spans="16:26">
      <c r="P731" s="241"/>
      <c r="Q731" s="241"/>
      <c r="R731" s="241"/>
      <c r="S731" s="241"/>
      <c r="T731" s="241"/>
      <c r="U731" s="241"/>
      <c r="V731" s="241"/>
      <c r="W731" s="241"/>
      <c r="X731" s="241"/>
      <c r="Y731" s="241"/>
      <c r="Z731" s="241"/>
    </row>
    <row r="732" spans="16:26">
      <c r="P732" s="241"/>
      <c r="Q732" s="241"/>
      <c r="R732" s="241"/>
      <c r="S732" s="241"/>
      <c r="T732" s="241"/>
      <c r="U732" s="241"/>
      <c r="V732" s="241"/>
      <c r="W732" s="241"/>
      <c r="X732" s="241"/>
      <c r="Y732" s="241"/>
      <c r="Z732" s="241"/>
    </row>
    <row r="733" spans="16:26">
      <c r="P733" s="241"/>
      <c r="Q733" s="241"/>
      <c r="R733" s="241"/>
      <c r="S733" s="241"/>
      <c r="T733" s="241"/>
      <c r="U733" s="241"/>
      <c r="V733" s="241"/>
      <c r="W733" s="241"/>
      <c r="X733" s="241"/>
      <c r="Y733" s="241"/>
      <c r="Z733" s="241"/>
    </row>
    <row r="734" spans="16:26">
      <c r="P734" s="241"/>
      <c r="Q734" s="241"/>
      <c r="R734" s="241"/>
      <c r="S734" s="241"/>
      <c r="T734" s="241"/>
      <c r="U734" s="241"/>
      <c r="V734" s="241"/>
      <c r="W734" s="241"/>
      <c r="X734" s="241"/>
      <c r="Y734" s="241"/>
      <c r="Z734" s="241"/>
    </row>
    <row r="735" spans="16:26">
      <c r="P735" s="241"/>
      <c r="Q735" s="241"/>
      <c r="R735" s="241"/>
      <c r="S735" s="241"/>
      <c r="T735" s="241"/>
      <c r="U735" s="241"/>
      <c r="V735" s="241"/>
      <c r="W735" s="241"/>
      <c r="X735" s="241"/>
      <c r="Y735" s="241"/>
      <c r="Z735" s="241"/>
    </row>
    <row r="736" spans="16:26">
      <c r="P736" s="241"/>
      <c r="Q736" s="241"/>
      <c r="R736" s="241"/>
      <c r="S736" s="241"/>
      <c r="T736" s="241"/>
      <c r="U736" s="241"/>
      <c r="V736" s="241"/>
      <c r="W736" s="241"/>
      <c r="X736" s="241"/>
      <c r="Y736" s="241"/>
      <c r="Z736" s="241"/>
    </row>
    <row r="737" spans="16:26">
      <c r="P737" s="241"/>
      <c r="Q737" s="241"/>
      <c r="R737" s="241"/>
      <c r="S737" s="241"/>
      <c r="T737" s="241"/>
      <c r="U737" s="241"/>
      <c r="V737" s="241"/>
      <c r="W737" s="241"/>
      <c r="X737" s="241"/>
      <c r="Y737" s="241"/>
      <c r="Z737" s="241"/>
    </row>
    <row r="738" spans="16:26">
      <c r="P738" s="241"/>
      <c r="Q738" s="241"/>
      <c r="R738" s="241"/>
      <c r="S738" s="241"/>
      <c r="T738" s="241"/>
      <c r="U738" s="241"/>
      <c r="V738" s="241"/>
      <c r="W738" s="241"/>
      <c r="X738" s="241"/>
      <c r="Y738" s="241"/>
      <c r="Z738" s="241"/>
    </row>
    <row r="739" spans="16:26">
      <c r="P739" s="241"/>
      <c r="Q739" s="241"/>
      <c r="R739" s="241"/>
      <c r="S739" s="241"/>
      <c r="T739" s="241"/>
      <c r="U739" s="241"/>
      <c r="V739" s="241"/>
      <c r="W739" s="241"/>
      <c r="X739" s="241"/>
      <c r="Y739" s="241"/>
      <c r="Z739" s="241"/>
    </row>
    <row r="740" spans="16:26">
      <c r="P740" s="241"/>
      <c r="Q740" s="241"/>
      <c r="R740" s="241"/>
      <c r="S740" s="241"/>
      <c r="T740" s="241"/>
      <c r="U740" s="241"/>
      <c r="V740" s="241"/>
      <c r="W740" s="241"/>
      <c r="X740" s="241"/>
      <c r="Y740" s="241"/>
      <c r="Z740" s="241"/>
    </row>
    <row r="741" spans="16:26">
      <c r="P741" s="241"/>
      <c r="Q741" s="241"/>
      <c r="R741" s="241"/>
      <c r="S741" s="241"/>
      <c r="T741" s="241"/>
      <c r="U741" s="241"/>
      <c r="V741" s="241"/>
      <c r="W741" s="241"/>
      <c r="X741" s="241"/>
      <c r="Y741" s="241"/>
      <c r="Z741" s="241"/>
    </row>
    <row r="742" spans="16:26">
      <c r="P742" s="241"/>
      <c r="Q742" s="241"/>
      <c r="R742" s="241"/>
      <c r="S742" s="241"/>
      <c r="T742" s="241"/>
      <c r="U742" s="241"/>
      <c r="V742" s="241"/>
      <c r="W742" s="241"/>
      <c r="X742" s="241"/>
      <c r="Y742" s="241"/>
      <c r="Z742" s="241"/>
    </row>
    <row r="743" spans="16:26">
      <c r="P743" s="241"/>
      <c r="Q743" s="241"/>
      <c r="R743" s="241"/>
      <c r="S743" s="241"/>
      <c r="T743" s="241"/>
      <c r="U743" s="241"/>
      <c r="V743" s="241"/>
      <c r="W743" s="241"/>
      <c r="X743" s="241"/>
      <c r="Y743" s="241"/>
      <c r="Z743" s="241"/>
    </row>
    <row r="744" spans="16:26">
      <c r="P744" s="241"/>
      <c r="Q744" s="241"/>
      <c r="R744" s="241"/>
      <c r="S744" s="241"/>
      <c r="T744" s="241"/>
      <c r="U744" s="241"/>
      <c r="V744" s="241"/>
      <c r="W744" s="241"/>
      <c r="X744" s="241"/>
      <c r="Y744" s="241"/>
      <c r="Z744" s="241"/>
    </row>
    <row r="745" spans="16:26">
      <c r="P745" s="241"/>
      <c r="Q745" s="241"/>
      <c r="R745" s="241"/>
      <c r="S745" s="241"/>
      <c r="T745" s="241"/>
      <c r="U745" s="241"/>
      <c r="V745" s="241"/>
      <c r="W745" s="241"/>
      <c r="X745" s="241"/>
      <c r="Y745" s="241"/>
      <c r="Z745" s="241"/>
    </row>
    <row r="746" spans="16:26">
      <c r="P746" s="241"/>
      <c r="Q746" s="241"/>
      <c r="R746" s="241"/>
      <c r="S746" s="241"/>
      <c r="T746" s="241"/>
      <c r="U746" s="241"/>
      <c r="V746" s="241"/>
      <c r="W746" s="241"/>
      <c r="X746" s="241"/>
      <c r="Y746" s="241"/>
      <c r="Z746" s="241"/>
    </row>
    <row r="747" spans="16:26">
      <c r="P747" s="241"/>
      <c r="Q747" s="241"/>
      <c r="R747" s="241"/>
      <c r="S747" s="241"/>
      <c r="T747" s="241"/>
      <c r="U747" s="241"/>
      <c r="V747" s="241"/>
      <c r="W747" s="241"/>
      <c r="X747" s="241"/>
      <c r="Y747" s="241"/>
      <c r="Z747" s="241"/>
    </row>
    <row r="748" spans="16:26">
      <c r="P748" s="241"/>
      <c r="Q748" s="241"/>
      <c r="R748" s="241"/>
      <c r="S748" s="241"/>
      <c r="T748" s="241"/>
      <c r="U748" s="241"/>
      <c r="V748" s="241"/>
      <c r="W748" s="241"/>
      <c r="X748" s="241"/>
      <c r="Y748" s="241"/>
      <c r="Z748" s="241"/>
    </row>
    <row r="749" spans="16:26">
      <c r="P749" s="241"/>
      <c r="Q749" s="241"/>
      <c r="R749" s="241"/>
      <c r="S749" s="241"/>
      <c r="T749" s="241"/>
      <c r="U749" s="241"/>
      <c r="V749" s="241"/>
      <c r="W749" s="241"/>
      <c r="X749" s="241"/>
      <c r="Y749" s="241"/>
      <c r="Z749" s="241"/>
    </row>
    <row r="750" spans="16:26">
      <c r="P750" s="241"/>
      <c r="Q750" s="241"/>
      <c r="R750" s="241"/>
      <c r="S750" s="241"/>
      <c r="T750" s="241"/>
      <c r="U750" s="241"/>
      <c r="V750" s="241"/>
      <c r="W750" s="241"/>
      <c r="X750" s="241"/>
      <c r="Y750" s="241"/>
      <c r="Z750" s="241"/>
    </row>
    <row r="751" spans="16:26">
      <c r="P751" s="241"/>
      <c r="Q751" s="241"/>
      <c r="R751" s="241"/>
      <c r="S751" s="241"/>
      <c r="T751" s="241"/>
      <c r="U751" s="241"/>
      <c r="V751" s="241"/>
      <c r="W751" s="241"/>
      <c r="X751" s="241"/>
      <c r="Y751" s="241"/>
      <c r="Z751" s="241"/>
    </row>
    <row r="752" spans="16:26">
      <c r="P752" s="241"/>
      <c r="Q752" s="241"/>
      <c r="R752" s="241"/>
      <c r="S752" s="241"/>
      <c r="T752" s="241"/>
      <c r="U752" s="241"/>
      <c r="V752" s="241"/>
      <c r="W752" s="241"/>
      <c r="X752" s="241"/>
      <c r="Y752" s="241"/>
      <c r="Z752" s="241"/>
    </row>
    <row r="753" spans="16:26">
      <c r="P753" s="241"/>
      <c r="Q753" s="241"/>
      <c r="R753" s="241"/>
      <c r="S753" s="241"/>
      <c r="T753" s="241"/>
      <c r="U753" s="241"/>
      <c r="V753" s="241"/>
      <c r="W753" s="241"/>
      <c r="X753" s="241"/>
      <c r="Y753" s="241"/>
      <c r="Z753" s="241"/>
    </row>
    <row r="754" spans="16:26">
      <c r="P754" s="241"/>
      <c r="Q754" s="241"/>
      <c r="R754" s="241"/>
      <c r="S754" s="241"/>
      <c r="T754" s="241"/>
      <c r="U754" s="241"/>
      <c r="V754" s="241"/>
      <c r="W754" s="241"/>
      <c r="X754" s="241"/>
      <c r="Y754" s="241"/>
      <c r="Z754" s="241"/>
    </row>
    <row r="755" spans="16:26">
      <c r="P755" s="241"/>
      <c r="Q755" s="241"/>
      <c r="R755" s="241"/>
      <c r="S755" s="241"/>
      <c r="T755" s="241"/>
      <c r="U755" s="241"/>
      <c r="V755" s="241"/>
      <c r="W755" s="241"/>
      <c r="X755" s="241"/>
      <c r="Y755" s="241"/>
      <c r="Z755" s="241"/>
    </row>
    <row r="756" spans="16:26">
      <c r="P756" s="241"/>
      <c r="Q756" s="241"/>
      <c r="R756" s="241"/>
      <c r="S756" s="241"/>
      <c r="T756" s="241"/>
      <c r="U756" s="241"/>
      <c r="V756" s="241"/>
      <c r="W756" s="241"/>
      <c r="X756" s="241"/>
      <c r="Y756" s="241"/>
      <c r="Z756" s="241"/>
    </row>
    <row r="757" spans="16:26">
      <c r="P757" s="241"/>
      <c r="Q757" s="241"/>
      <c r="R757" s="241"/>
      <c r="S757" s="241"/>
      <c r="T757" s="241"/>
      <c r="U757" s="241"/>
      <c r="V757" s="241"/>
      <c r="W757" s="241"/>
      <c r="X757" s="241"/>
      <c r="Y757" s="241"/>
      <c r="Z757" s="241"/>
    </row>
    <row r="758" spans="16:26">
      <c r="P758" s="241"/>
      <c r="Q758" s="241"/>
      <c r="R758" s="241"/>
      <c r="S758" s="241"/>
      <c r="T758" s="241"/>
      <c r="U758" s="241"/>
      <c r="V758" s="241"/>
      <c r="W758" s="241"/>
      <c r="X758" s="241"/>
      <c r="Y758" s="241"/>
      <c r="Z758" s="241"/>
    </row>
    <row r="759" spans="16:26">
      <c r="P759" s="241"/>
      <c r="Q759" s="241"/>
      <c r="R759" s="241"/>
      <c r="S759" s="241"/>
      <c r="T759" s="241"/>
      <c r="U759" s="241"/>
      <c r="V759" s="241"/>
      <c r="W759" s="241"/>
      <c r="X759" s="241"/>
      <c r="Y759" s="241"/>
      <c r="Z759" s="241"/>
    </row>
    <row r="760" spans="16:26">
      <c r="P760" s="241"/>
      <c r="Q760" s="241"/>
      <c r="R760" s="241"/>
      <c r="S760" s="241"/>
      <c r="T760" s="241"/>
      <c r="U760" s="241"/>
      <c r="V760" s="241"/>
      <c r="W760" s="241"/>
      <c r="X760" s="241"/>
      <c r="Y760" s="241"/>
      <c r="Z760" s="241"/>
    </row>
    <row r="761" spans="16:26">
      <c r="P761" s="241"/>
      <c r="Q761" s="241"/>
      <c r="R761" s="241"/>
      <c r="S761" s="241"/>
      <c r="T761" s="241"/>
      <c r="U761" s="241"/>
      <c r="V761" s="241"/>
      <c r="W761" s="241"/>
      <c r="X761" s="241"/>
      <c r="Y761" s="241"/>
      <c r="Z761" s="241"/>
    </row>
    <row r="762" spans="16:26">
      <c r="P762" s="241"/>
      <c r="Q762" s="241"/>
      <c r="R762" s="241"/>
      <c r="S762" s="241"/>
      <c r="T762" s="241"/>
      <c r="U762" s="241"/>
      <c r="V762" s="241"/>
      <c r="W762" s="241"/>
      <c r="X762" s="241"/>
      <c r="Y762" s="241"/>
      <c r="Z762" s="241"/>
    </row>
    <row r="763" spans="16:26">
      <c r="P763" s="241"/>
      <c r="Q763" s="241"/>
      <c r="R763" s="241"/>
      <c r="S763" s="241"/>
      <c r="T763" s="241"/>
      <c r="U763" s="241"/>
      <c r="V763" s="241"/>
      <c r="W763" s="241"/>
      <c r="X763" s="241"/>
      <c r="Y763" s="241"/>
      <c r="Z763" s="241"/>
    </row>
    <row r="764" spans="16:26">
      <c r="P764" s="241"/>
      <c r="Q764" s="241"/>
      <c r="R764" s="241"/>
      <c r="S764" s="241"/>
      <c r="T764" s="241"/>
      <c r="U764" s="241"/>
      <c r="V764" s="241"/>
      <c r="W764" s="241"/>
      <c r="X764" s="241"/>
      <c r="Y764" s="241"/>
      <c r="Z764" s="241"/>
    </row>
    <row r="765" spans="16:26">
      <c r="P765" s="241"/>
      <c r="Q765" s="241"/>
      <c r="R765" s="241"/>
      <c r="S765" s="241"/>
      <c r="T765" s="241"/>
      <c r="U765" s="241"/>
      <c r="V765" s="241"/>
      <c r="W765" s="241"/>
      <c r="X765" s="241"/>
      <c r="Y765" s="241"/>
      <c r="Z765" s="241"/>
    </row>
    <row r="766" spans="16:26">
      <c r="P766" s="241"/>
      <c r="Q766" s="241"/>
      <c r="R766" s="241"/>
      <c r="S766" s="241"/>
      <c r="T766" s="241"/>
      <c r="U766" s="241"/>
      <c r="V766" s="241"/>
      <c r="W766" s="241"/>
      <c r="X766" s="241"/>
      <c r="Y766" s="241"/>
      <c r="Z766" s="241"/>
    </row>
    <row r="767" spans="16:26">
      <c r="P767" s="241"/>
      <c r="Q767" s="241"/>
      <c r="R767" s="241"/>
      <c r="S767" s="241"/>
      <c r="T767" s="241"/>
      <c r="U767" s="241"/>
      <c r="V767" s="241"/>
      <c r="W767" s="241"/>
      <c r="X767" s="241"/>
      <c r="Y767" s="241"/>
      <c r="Z767" s="241"/>
    </row>
    <row r="768" spans="16:26">
      <c r="P768" s="241"/>
      <c r="Q768" s="241"/>
      <c r="R768" s="241"/>
      <c r="S768" s="241"/>
      <c r="T768" s="241"/>
      <c r="U768" s="241"/>
      <c r="V768" s="241"/>
      <c r="W768" s="241"/>
      <c r="X768" s="241"/>
      <c r="Y768" s="241"/>
      <c r="Z768" s="241"/>
    </row>
    <row r="769" spans="16:26">
      <c r="P769" s="241"/>
      <c r="Q769" s="241"/>
      <c r="R769" s="241"/>
      <c r="S769" s="241"/>
      <c r="T769" s="241"/>
      <c r="U769" s="241"/>
      <c r="V769" s="241"/>
      <c r="W769" s="241"/>
      <c r="X769" s="241"/>
      <c r="Y769" s="241"/>
      <c r="Z769" s="241"/>
    </row>
    <row r="770" spans="16:26">
      <c r="P770" s="241"/>
      <c r="Q770" s="241"/>
      <c r="R770" s="241"/>
      <c r="S770" s="241"/>
      <c r="T770" s="241"/>
      <c r="U770" s="241"/>
      <c r="V770" s="241"/>
      <c r="W770" s="241"/>
      <c r="X770" s="241"/>
      <c r="Y770" s="241"/>
      <c r="Z770" s="241"/>
    </row>
    <row r="771" spans="16:26">
      <c r="P771" s="241"/>
      <c r="Q771" s="241"/>
      <c r="R771" s="241"/>
      <c r="S771" s="241"/>
      <c r="T771" s="241"/>
      <c r="U771" s="241"/>
      <c r="V771" s="241"/>
      <c r="W771" s="241"/>
      <c r="X771" s="241"/>
      <c r="Y771" s="241"/>
      <c r="Z771" s="241"/>
    </row>
    <row r="772" spans="16:26">
      <c r="P772" s="241"/>
      <c r="Q772" s="241"/>
      <c r="R772" s="241"/>
      <c r="S772" s="241"/>
      <c r="T772" s="241"/>
      <c r="U772" s="241"/>
      <c r="V772" s="241"/>
      <c r="W772" s="241"/>
      <c r="X772" s="241"/>
      <c r="Y772" s="241"/>
      <c r="Z772" s="241"/>
    </row>
    <row r="773" spans="16:26">
      <c r="P773" s="241"/>
      <c r="Q773" s="241"/>
      <c r="R773" s="241"/>
      <c r="S773" s="241"/>
      <c r="T773" s="241"/>
      <c r="U773" s="241"/>
      <c r="V773" s="241"/>
      <c r="W773" s="241"/>
      <c r="X773" s="241"/>
      <c r="Y773" s="241"/>
      <c r="Z773" s="241"/>
    </row>
    <row r="774" spans="16:26">
      <c r="P774" s="241"/>
      <c r="Q774" s="241"/>
      <c r="R774" s="241"/>
      <c r="S774" s="241"/>
      <c r="T774" s="241"/>
      <c r="U774" s="241"/>
      <c r="V774" s="241"/>
      <c r="W774" s="241"/>
      <c r="X774" s="241"/>
      <c r="Y774" s="241"/>
      <c r="Z774" s="241"/>
    </row>
    <row r="775" spans="16:26">
      <c r="P775" s="241"/>
      <c r="Q775" s="241"/>
      <c r="R775" s="241"/>
      <c r="S775" s="241"/>
      <c r="T775" s="241"/>
      <c r="U775" s="241"/>
      <c r="V775" s="241"/>
      <c r="W775" s="241"/>
      <c r="X775" s="241"/>
      <c r="Y775" s="241"/>
      <c r="Z775" s="241"/>
    </row>
    <row r="776" spans="16:26">
      <c r="P776" s="241"/>
      <c r="Q776" s="241"/>
      <c r="R776" s="241"/>
      <c r="S776" s="241"/>
      <c r="T776" s="241"/>
      <c r="U776" s="241"/>
      <c r="V776" s="241"/>
      <c r="W776" s="241"/>
      <c r="X776" s="241"/>
      <c r="Y776" s="241"/>
      <c r="Z776" s="241"/>
    </row>
    <row r="777" spans="16:26">
      <c r="P777" s="241"/>
      <c r="Q777" s="241"/>
      <c r="R777" s="241"/>
      <c r="S777" s="241"/>
      <c r="T777" s="241"/>
      <c r="U777" s="241"/>
      <c r="V777" s="241"/>
      <c r="W777" s="241"/>
      <c r="X777" s="241"/>
      <c r="Y777" s="241"/>
      <c r="Z777" s="241"/>
    </row>
    <row r="778" spans="16:26">
      <c r="P778" s="241"/>
      <c r="Q778" s="241"/>
      <c r="R778" s="241"/>
      <c r="S778" s="241"/>
      <c r="T778" s="241"/>
      <c r="U778" s="241"/>
      <c r="V778" s="241"/>
      <c r="W778" s="241"/>
      <c r="X778" s="241"/>
      <c r="Y778" s="241"/>
      <c r="Z778" s="241"/>
    </row>
    <row r="779" spans="16:26">
      <c r="P779" s="241"/>
      <c r="Q779" s="241"/>
      <c r="R779" s="241"/>
      <c r="S779" s="241"/>
      <c r="T779" s="241"/>
      <c r="U779" s="241"/>
      <c r="V779" s="241"/>
      <c r="W779" s="241"/>
      <c r="X779" s="241"/>
      <c r="Y779" s="241"/>
      <c r="Z779" s="241"/>
    </row>
    <row r="780" spans="16:26">
      <c r="P780" s="241"/>
      <c r="Q780" s="241"/>
      <c r="R780" s="241"/>
      <c r="S780" s="241"/>
      <c r="T780" s="241"/>
      <c r="U780" s="241"/>
      <c r="V780" s="241"/>
      <c r="W780" s="241"/>
      <c r="X780" s="241"/>
      <c r="Y780" s="241"/>
      <c r="Z780" s="241"/>
    </row>
    <row r="781" spans="16:26">
      <c r="P781" s="241"/>
      <c r="Q781" s="241"/>
      <c r="R781" s="241"/>
      <c r="S781" s="241"/>
      <c r="T781" s="241"/>
      <c r="U781" s="241"/>
      <c r="V781" s="241"/>
      <c r="W781" s="241"/>
      <c r="X781" s="241"/>
      <c r="Y781" s="241"/>
      <c r="Z781" s="241"/>
    </row>
    <row r="782" spans="16:26">
      <c r="P782" s="241"/>
      <c r="Q782" s="241"/>
      <c r="R782" s="241"/>
      <c r="S782" s="241"/>
      <c r="T782" s="241"/>
      <c r="U782" s="241"/>
      <c r="V782" s="241"/>
      <c r="W782" s="241"/>
      <c r="X782" s="241"/>
      <c r="Y782" s="241"/>
      <c r="Z782" s="241"/>
    </row>
    <row r="783" spans="16:26">
      <c r="P783" s="241"/>
      <c r="Q783" s="241"/>
      <c r="R783" s="241"/>
      <c r="S783" s="241"/>
      <c r="T783" s="241"/>
      <c r="U783" s="241"/>
      <c r="V783" s="241"/>
      <c r="W783" s="241"/>
      <c r="X783" s="241"/>
      <c r="Y783" s="241"/>
      <c r="Z783" s="241"/>
    </row>
    <row r="784" spans="16:26">
      <c r="P784" s="241"/>
      <c r="Q784" s="241"/>
      <c r="R784" s="241"/>
      <c r="S784" s="241"/>
      <c r="T784" s="241"/>
      <c r="U784" s="241"/>
      <c r="V784" s="241"/>
      <c r="W784" s="241"/>
      <c r="X784" s="241"/>
      <c r="Y784" s="241"/>
      <c r="Z784" s="241"/>
    </row>
    <row r="785" spans="16:26">
      <c r="P785" s="241"/>
      <c r="Q785" s="241"/>
      <c r="R785" s="241"/>
      <c r="S785" s="241"/>
      <c r="T785" s="241"/>
      <c r="U785" s="241"/>
      <c r="V785" s="241"/>
      <c r="W785" s="241"/>
      <c r="X785" s="241"/>
      <c r="Y785" s="241"/>
      <c r="Z785" s="241"/>
    </row>
    <row r="786" spans="16:26">
      <c r="P786" s="241"/>
      <c r="Q786" s="241"/>
      <c r="R786" s="241"/>
      <c r="S786" s="241"/>
      <c r="T786" s="241"/>
      <c r="U786" s="241"/>
      <c r="V786" s="241"/>
      <c r="W786" s="241"/>
      <c r="X786" s="241"/>
      <c r="Y786" s="241"/>
      <c r="Z786" s="241"/>
    </row>
    <row r="787" spans="16:26">
      <c r="P787" s="241"/>
      <c r="Q787" s="241"/>
      <c r="R787" s="241"/>
      <c r="S787" s="241"/>
      <c r="T787" s="241"/>
      <c r="U787" s="241"/>
      <c r="V787" s="241"/>
      <c r="W787" s="241"/>
      <c r="X787" s="241"/>
      <c r="Y787" s="241"/>
      <c r="Z787" s="241"/>
    </row>
    <row r="788" spans="16:26">
      <c r="P788" s="241"/>
      <c r="Q788" s="241"/>
      <c r="R788" s="241"/>
      <c r="S788" s="241"/>
      <c r="T788" s="241"/>
      <c r="U788" s="241"/>
      <c r="V788" s="241"/>
      <c r="W788" s="241"/>
      <c r="X788" s="241"/>
      <c r="Y788" s="241"/>
      <c r="Z788" s="241"/>
    </row>
    <row r="789" spans="16:26">
      <c r="P789" s="241"/>
      <c r="Q789" s="241"/>
      <c r="R789" s="241"/>
      <c r="S789" s="241"/>
      <c r="T789" s="241"/>
      <c r="U789" s="241"/>
      <c r="V789" s="241"/>
      <c r="W789" s="241"/>
      <c r="X789" s="241"/>
      <c r="Y789" s="241"/>
      <c r="Z789" s="241"/>
    </row>
    <row r="790" spans="16:26">
      <c r="P790" s="241"/>
      <c r="Q790" s="241"/>
      <c r="R790" s="241"/>
      <c r="S790" s="241"/>
      <c r="T790" s="241"/>
      <c r="U790" s="241"/>
      <c r="V790" s="241"/>
      <c r="W790" s="241"/>
      <c r="X790" s="241"/>
      <c r="Y790" s="241"/>
      <c r="Z790" s="241"/>
    </row>
    <row r="791" spans="16:26">
      <c r="P791" s="241"/>
      <c r="Q791" s="241"/>
      <c r="R791" s="241"/>
      <c r="S791" s="241"/>
      <c r="T791" s="241"/>
      <c r="U791" s="241"/>
      <c r="V791" s="241"/>
      <c r="W791" s="241"/>
      <c r="X791" s="241"/>
      <c r="Y791" s="241"/>
      <c r="Z791" s="241"/>
    </row>
    <row r="792" spans="16:26">
      <c r="P792" s="241"/>
      <c r="Q792" s="241"/>
      <c r="R792" s="241"/>
      <c r="S792" s="241"/>
      <c r="T792" s="241"/>
      <c r="U792" s="241"/>
      <c r="V792" s="241"/>
      <c r="W792" s="241"/>
      <c r="X792" s="241"/>
      <c r="Y792" s="241"/>
      <c r="Z792" s="241"/>
    </row>
    <row r="793" spans="16:26">
      <c r="P793" s="241"/>
      <c r="Q793" s="241"/>
      <c r="R793" s="241"/>
      <c r="S793" s="241"/>
      <c r="T793" s="241"/>
      <c r="U793" s="241"/>
      <c r="V793" s="241"/>
      <c r="W793" s="241"/>
      <c r="X793" s="241"/>
      <c r="Y793" s="241"/>
      <c r="Z793" s="241"/>
    </row>
    <row r="794" spans="16:26">
      <c r="P794" s="241"/>
      <c r="Q794" s="241"/>
      <c r="R794" s="241"/>
      <c r="S794" s="241"/>
      <c r="T794" s="241"/>
      <c r="U794" s="241"/>
      <c r="V794" s="241"/>
      <c r="W794" s="241"/>
      <c r="X794" s="241"/>
      <c r="Y794" s="241"/>
      <c r="Z794" s="241"/>
    </row>
    <row r="795" spans="16:26">
      <c r="P795" s="241"/>
      <c r="Q795" s="241"/>
      <c r="R795" s="241"/>
      <c r="S795" s="241"/>
      <c r="T795" s="241"/>
      <c r="U795" s="241"/>
      <c r="V795" s="241"/>
      <c r="W795" s="241"/>
      <c r="X795" s="241"/>
      <c r="Y795" s="241"/>
      <c r="Z795" s="241"/>
    </row>
    <row r="796" spans="16:26">
      <c r="P796" s="241"/>
      <c r="Q796" s="241"/>
      <c r="R796" s="241"/>
      <c r="S796" s="241"/>
      <c r="T796" s="241"/>
      <c r="U796" s="241"/>
      <c r="V796" s="241"/>
      <c r="W796" s="241"/>
      <c r="X796" s="241"/>
      <c r="Y796" s="241"/>
      <c r="Z796" s="241"/>
    </row>
    <row r="797" spans="16:26">
      <c r="P797" s="241"/>
      <c r="Q797" s="241"/>
      <c r="R797" s="241"/>
      <c r="S797" s="241"/>
      <c r="T797" s="241"/>
      <c r="U797" s="241"/>
      <c r="V797" s="241"/>
      <c r="W797" s="241"/>
      <c r="X797" s="241"/>
      <c r="Y797" s="241"/>
      <c r="Z797" s="241"/>
    </row>
    <row r="798" spans="16:26">
      <c r="P798" s="241"/>
      <c r="Q798" s="241"/>
      <c r="R798" s="241"/>
      <c r="S798" s="241"/>
      <c r="T798" s="241"/>
      <c r="U798" s="241"/>
      <c r="V798" s="241"/>
      <c r="W798" s="241"/>
      <c r="X798" s="241"/>
      <c r="Y798" s="241"/>
      <c r="Z798" s="241"/>
    </row>
    <row r="799" spans="16:26">
      <c r="P799" s="241"/>
      <c r="Q799" s="241"/>
      <c r="R799" s="241"/>
      <c r="S799" s="241"/>
      <c r="T799" s="241"/>
      <c r="U799" s="241"/>
      <c r="V799" s="241"/>
      <c r="W799" s="241"/>
      <c r="X799" s="241"/>
      <c r="Y799" s="241"/>
      <c r="Z799" s="241"/>
    </row>
    <row r="800" spans="16:26">
      <c r="P800" s="241"/>
      <c r="Q800" s="241"/>
      <c r="R800" s="241"/>
      <c r="S800" s="241"/>
      <c r="T800" s="241"/>
      <c r="U800" s="241"/>
      <c r="V800" s="241"/>
      <c r="W800" s="241"/>
      <c r="X800" s="241"/>
      <c r="Y800" s="241"/>
      <c r="Z800" s="241"/>
    </row>
    <row r="801" spans="16:26">
      <c r="P801" s="241"/>
      <c r="Q801" s="241"/>
      <c r="R801" s="241"/>
      <c r="S801" s="241"/>
      <c r="T801" s="241"/>
      <c r="U801" s="241"/>
      <c r="V801" s="241"/>
      <c r="W801" s="241"/>
      <c r="X801" s="241"/>
      <c r="Y801" s="241"/>
      <c r="Z801" s="241"/>
    </row>
    <row r="802" spans="16:26">
      <c r="P802" s="241"/>
      <c r="Q802" s="241"/>
      <c r="R802" s="241"/>
      <c r="S802" s="241"/>
      <c r="T802" s="241"/>
      <c r="U802" s="241"/>
      <c r="V802" s="241"/>
      <c r="W802" s="241"/>
      <c r="X802" s="241"/>
      <c r="Y802" s="241"/>
      <c r="Z802" s="241"/>
    </row>
    <row r="803" spans="16:26">
      <c r="P803" s="241"/>
      <c r="Q803" s="241"/>
      <c r="R803" s="241"/>
      <c r="S803" s="241"/>
      <c r="T803" s="241"/>
      <c r="U803" s="241"/>
      <c r="V803" s="241"/>
      <c r="W803" s="241"/>
      <c r="X803" s="241"/>
      <c r="Y803" s="241"/>
      <c r="Z803" s="241"/>
    </row>
    <row r="804" spans="16:26">
      <c r="P804" s="241"/>
      <c r="Q804" s="241"/>
      <c r="R804" s="241"/>
      <c r="S804" s="241"/>
      <c r="T804" s="241"/>
      <c r="U804" s="241"/>
      <c r="V804" s="241"/>
      <c r="W804" s="241"/>
      <c r="X804" s="241"/>
      <c r="Y804" s="241"/>
      <c r="Z804" s="241"/>
    </row>
    <row r="805" spans="16:26">
      <c r="P805" s="241"/>
      <c r="Q805" s="241"/>
      <c r="R805" s="241"/>
      <c r="S805" s="241"/>
      <c r="T805" s="241"/>
      <c r="U805" s="241"/>
      <c r="V805" s="241"/>
      <c r="W805" s="241"/>
      <c r="X805" s="241"/>
      <c r="Y805" s="241"/>
      <c r="Z805" s="241"/>
    </row>
    <row r="806" spans="16:26">
      <c r="P806" s="241"/>
      <c r="Q806" s="241"/>
      <c r="R806" s="241"/>
      <c r="S806" s="241"/>
      <c r="T806" s="241"/>
      <c r="U806" s="241"/>
      <c r="V806" s="241"/>
      <c r="W806" s="241"/>
      <c r="X806" s="241"/>
      <c r="Y806" s="241"/>
      <c r="Z806" s="241"/>
    </row>
    <row r="807" spans="16:26">
      <c r="P807" s="241"/>
      <c r="Q807" s="241"/>
      <c r="R807" s="241"/>
      <c r="S807" s="241"/>
      <c r="T807" s="241"/>
      <c r="U807" s="241"/>
      <c r="V807" s="241"/>
      <c r="W807" s="241"/>
      <c r="X807" s="241"/>
      <c r="Y807" s="241"/>
      <c r="Z807" s="241"/>
    </row>
    <row r="808" spans="16:26">
      <c r="P808" s="241"/>
      <c r="Q808" s="241"/>
      <c r="R808" s="241"/>
      <c r="S808" s="241"/>
      <c r="T808" s="241"/>
      <c r="U808" s="241"/>
      <c r="V808" s="241"/>
      <c r="W808" s="241"/>
      <c r="X808" s="241"/>
      <c r="Y808" s="241"/>
      <c r="Z808" s="241"/>
    </row>
    <row r="809" spans="16:26">
      <c r="P809" s="241"/>
      <c r="Q809" s="241"/>
      <c r="R809" s="241"/>
      <c r="S809" s="241"/>
      <c r="T809" s="241"/>
      <c r="U809" s="241"/>
      <c r="V809" s="241"/>
      <c r="W809" s="241"/>
      <c r="X809" s="241"/>
      <c r="Y809" s="241"/>
      <c r="Z809" s="241"/>
    </row>
    <row r="810" spans="16:26">
      <c r="P810" s="241"/>
      <c r="Q810" s="241"/>
      <c r="R810" s="241"/>
      <c r="S810" s="241"/>
      <c r="T810" s="241"/>
      <c r="U810" s="241"/>
      <c r="V810" s="241"/>
      <c r="W810" s="241"/>
      <c r="X810" s="241"/>
      <c r="Y810" s="241"/>
      <c r="Z810" s="241"/>
    </row>
    <row r="811" spans="16:26">
      <c r="P811" s="241"/>
      <c r="Q811" s="241"/>
      <c r="R811" s="241"/>
      <c r="S811" s="241"/>
      <c r="T811" s="241"/>
      <c r="U811" s="241"/>
      <c r="V811" s="241"/>
      <c r="W811" s="241"/>
      <c r="X811" s="241"/>
      <c r="Y811" s="241"/>
      <c r="Z811" s="241"/>
    </row>
    <row r="812" spans="16:26">
      <c r="P812" s="241"/>
      <c r="Q812" s="241"/>
      <c r="R812" s="241"/>
      <c r="S812" s="241"/>
      <c r="T812" s="241"/>
      <c r="U812" s="241"/>
      <c r="V812" s="241"/>
      <c r="W812" s="241"/>
      <c r="X812" s="241"/>
      <c r="Y812" s="241"/>
      <c r="Z812" s="241"/>
    </row>
    <row r="813" spans="16:26">
      <c r="P813" s="241"/>
      <c r="Q813" s="241"/>
      <c r="R813" s="241"/>
      <c r="S813" s="241"/>
      <c r="T813" s="241"/>
      <c r="U813" s="241"/>
      <c r="V813" s="241"/>
      <c r="W813" s="241"/>
      <c r="X813" s="241"/>
      <c r="Y813" s="241"/>
      <c r="Z813" s="241"/>
    </row>
    <row r="814" spans="16:26">
      <c r="P814" s="241"/>
      <c r="Q814" s="241"/>
      <c r="R814" s="241"/>
      <c r="S814" s="241"/>
      <c r="T814" s="241"/>
      <c r="U814" s="241"/>
      <c r="V814" s="241"/>
      <c r="W814" s="241"/>
      <c r="X814" s="241"/>
      <c r="Y814" s="241"/>
      <c r="Z814" s="241"/>
    </row>
    <row r="815" spans="16:26">
      <c r="P815" s="241"/>
      <c r="Q815" s="241"/>
      <c r="R815" s="241"/>
      <c r="S815" s="241"/>
      <c r="T815" s="241"/>
      <c r="U815" s="241"/>
      <c r="V815" s="241"/>
      <c r="W815" s="241"/>
      <c r="X815" s="241"/>
      <c r="Y815" s="241"/>
      <c r="Z815" s="241"/>
    </row>
    <row r="816" spans="16:26">
      <c r="P816" s="241"/>
      <c r="Q816" s="241"/>
      <c r="R816" s="241"/>
      <c r="S816" s="241"/>
      <c r="T816" s="241"/>
      <c r="U816" s="241"/>
      <c r="V816" s="241"/>
      <c r="W816" s="241"/>
      <c r="X816" s="241"/>
      <c r="Y816" s="241"/>
      <c r="Z816" s="241"/>
    </row>
    <row r="817" spans="16:26">
      <c r="P817" s="241"/>
      <c r="Q817" s="241"/>
      <c r="R817" s="241"/>
      <c r="S817" s="241"/>
      <c r="T817" s="241"/>
      <c r="U817" s="241"/>
      <c r="V817" s="241"/>
      <c r="W817" s="241"/>
      <c r="X817" s="241"/>
      <c r="Y817" s="241"/>
      <c r="Z817" s="241"/>
    </row>
    <row r="818" spans="16:26">
      <c r="P818" s="241"/>
      <c r="Q818" s="241"/>
      <c r="R818" s="241"/>
      <c r="S818" s="241"/>
      <c r="T818" s="241"/>
      <c r="U818" s="241"/>
      <c r="V818" s="241"/>
      <c r="W818" s="241"/>
      <c r="X818" s="241"/>
      <c r="Y818" s="241"/>
      <c r="Z818" s="241"/>
    </row>
    <row r="819" spans="16:26">
      <c r="P819" s="241"/>
      <c r="Q819" s="241"/>
      <c r="R819" s="241"/>
      <c r="S819" s="241"/>
      <c r="T819" s="241"/>
      <c r="U819" s="241"/>
      <c r="V819" s="241"/>
      <c r="W819" s="241"/>
      <c r="X819" s="241"/>
      <c r="Y819" s="241"/>
      <c r="Z819" s="241"/>
    </row>
    <row r="820" spans="16:26">
      <c r="P820" s="241"/>
      <c r="Q820" s="241"/>
      <c r="R820" s="241"/>
      <c r="S820" s="241"/>
      <c r="T820" s="241"/>
      <c r="U820" s="241"/>
      <c r="V820" s="241"/>
      <c r="W820" s="241"/>
      <c r="X820" s="241"/>
      <c r="Y820" s="241"/>
      <c r="Z820" s="241"/>
    </row>
    <row r="821" spans="16:26">
      <c r="P821" s="241"/>
      <c r="Q821" s="241"/>
      <c r="R821" s="241"/>
      <c r="S821" s="241"/>
      <c r="T821" s="241"/>
      <c r="U821" s="241"/>
      <c r="V821" s="241"/>
      <c r="W821" s="241"/>
      <c r="X821" s="241"/>
      <c r="Y821" s="241"/>
      <c r="Z821" s="241"/>
    </row>
    <row r="822" spans="16:26">
      <c r="P822" s="241"/>
      <c r="Q822" s="241"/>
      <c r="R822" s="241"/>
      <c r="S822" s="241"/>
      <c r="T822" s="241"/>
      <c r="U822" s="241"/>
      <c r="V822" s="241"/>
      <c r="W822" s="241"/>
      <c r="X822" s="241"/>
      <c r="Y822" s="241"/>
      <c r="Z822" s="241"/>
    </row>
    <row r="823" spans="16:26">
      <c r="P823" s="241"/>
      <c r="Q823" s="241"/>
      <c r="R823" s="241"/>
      <c r="S823" s="241"/>
      <c r="T823" s="241"/>
      <c r="U823" s="241"/>
      <c r="V823" s="241"/>
      <c r="W823" s="241"/>
      <c r="X823" s="241"/>
      <c r="Y823" s="241"/>
      <c r="Z823" s="241"/>
    </row>
    <row r="824" spans="16:26">
      <c r="P824" s="241"/>
      <c r="Q824" s="241"/>
      <c r="R824" s="241"/>
      <c r="S824" s="241"/>
      <c r="T824" s="241"/>
      <c r="U824" s="241"/>
      <c r="V824" s="241"/>
      <c r="W824" s="241"/>
      <c r="X824" s="241"/>
      <c r="Y824" s="241"/>
      <c r="Z824" s="241"/>
    </row>
    <row r="825" spans="16:26">
      <c r="P825" s="241"/>
      <c r="Q825" s="241"/>
      <c r="R825" s="241"/>
      <c r="S825" s="241"/>
      <c r="T825" s="241"/>
      <c r="U825" s="241"/>
      <c r="V825" s="241"/>
      <c r="W825" s="241"/>
      <c r="X825" s="241"/>
      <c r="Y825" s="241"/>
      <c r="Z825" s="241"/>
    </row>
    <row r="826" spans="16:26">
      <c r="P826" s="241"/>
      <c r="Q826" s="241"/>
      <c r="R826" s="241"/>
      <c r="S826" s="241"/>
      <c r="T826" s="241"/>
      <c r="U826" s="241"/>
      <c r="V826" s="241"/>
      <c r="W826" s="241"/>
      <c r="X826" s="241"/>
      <c r="Y826" s="241"/>
      <c r="Z826" s="241"/>
    </row>
    <row r="827" spans="16:26">
      <c r="P827" s="241"/>
      <c r="Q827" s="241"/>
      <c r="R827" s="241"/>
      <c r="S827" s="241"/>
      <c r="T827" s="241"/>
      <c r="U827" s="241"/>
      <c r="V827" s="241"/>
      <c r="W827" s="241"/>
      <c r="X827" s="241"/>
      <c r="Y827" s="241"/>
      <c r="Z827" s="241"/>
    </row>
    <row r="828" spans="16:26">
      <c r="P828" s="241"/>
      <c r="Q828" s="241"/>
      <c r="R828" s="241"/>
      <c r="S828" s="241"/>
      <c r="T828" s="241"/>
      <c r="U828" s="241"/>
      <c r="V828" s="241"/>
      <c r="W828" s="241"/>
      <c r="X828" s="241"/>
      <c r="Y828" s="241"/>
      <c r="Z828" s="241"/>
    </row>
    <row r="829" spans="16:26">
      <c r="P829" s="241"/>
      <c r="Q829" s="241"/>
      <c r="R829" s="241"/>
      <c r="S829" s="241"/>
      <c r="T829" s="241"/>
      <c r="U829" s="241"/>
      <c r="V829" s="241"/>
      <c r="W829" s="241"/>
      <c r="X829" s="241"/>
      <c r="Y829" s="241"/>
      <c r="Z829" s="241"/>
    </row>
    <row r="830" spans="16:26">
      <c r="P830" s="241"/>
      <c r="Q830" s="241"/>
      <c r="R830" s="241"/>
      <c r="S830" s="241"/>
      <c r="T830" s="241"/>
      <c r="U830" s="241"/>
      <c r="V830" s="241"/>
      <c r="W830" s="241"/>
      <c r="X830" s="241"/>
      <c r="Y830" s="241"/>
      <c r="Z830" s="241"/>
    </row>
    <row r="831" spans="16:26">
      <c r="P831" s="241"/>
      <c r="Q831" s="241"/>
      <c r="R831" s="241"/>
      <c r="S831" s="241"/>
      <c r="T831" s="241"/>
      <c r="U831" s="241"/>
      <c r="V831" s="241"/>
      <c r="W831" s="241"/>
      <c r="X831" s="241"/>
      <c r="Y831" s="241"/>
      <c r="Z831" s="241"/>
    </row>
    <row r="832" spans="16:26">
      <c r="P832" s="241"/>
      <c r="Q832" s="241"/>
      <c r="R832" s="241"/>
      <c r="S832" s="241"/>
      <c r="T832" s="241"/>
      <c r="U832" s="241"/>
      <c r="V832" s="241"/>
      <c r="W832" s="241"/>
      <c r="X832" s="241"/>
      <c r="Y832" s="241"/>
      <c r="Z832" s="241"/>
    </row>
    <row r="833" spans="16:26">
      <c r="P833" s="241"/>
      <c r="Q833" s="241"/>
      <c r="R833" s="241"/>
      <c r="S833" s="241"/>
      <c r="T833" s="241"/>
      <c r="U833" s="241"/>
      <c r="V833" s="241"/>
      <c r="W833" s="241"/>
      <c r="X833" s="241"/>
      <c r="Y833" s="241"/>
      <c r="Z833" s="241"/>
    </row>
    <row r="834" spans="16:26">
      <c r="P834" s="241"/>
      <c r="Q834" s="241"/>
      <c r="R834" s="241"/>
      <c r="S834" s="241"/>
      <c r="T834" s="241"/>
      <c r="U834" s="241"/>
      <c r="V834" s="241"/>
      <c r="W834" s="241"/>
      <c r="X834" s="241"/>
      <c r="Y834" s="241"/>
      <c r="Z834" s="241"/>
    </row>
    <row r="835" spans="16:26">
      <c r="P835" s="241"/>
      <c r="Q835" s="241"/>
      <c r="R835" s="241"/>
      <c r="S835" s="241"/>
      <c r="T835" s="241"/>
      <c r="U835" s="241"/>
      <c r="V835" s="241"/>
      <c r="W835" s="241"/>
      <c r="X835" s="241"/>
      <c r="Y835" s="241"/>
      <c r="Z835" s="241"/>
    </row>
    <row r="836" spans="16:26">
      <c r="P836" s="241"/>
      <c r="Q836" s="241"/>
      <c r="R836" s="241"/>
      <c r="S836" s="241"/>
      <c r="T836" s="241"/>
      <c r="U836" s="241"/>
      <c r="V836" s="241"/>
      <c r="W836" s="241"/>
      <c r="X836" s="241"/>
      <c r="Y836" s="241"/>
      <c r="Z836" s="241"/>
    </row>
    <row r="837" spans="16:26">
      <c r="P837" s="241"/>
      <c r="Q837" s="241"/>
      <c r="R837" s="241"/>
      <c r="S837" s="241"/>
      <c r="T837" s="241"/>
      <c r="U837" s="241"/>
      <c r="V837" s="241"/>
      <c r="W837" s="241"/>
      <c r="X837" s="241"/>
      <c r="Y837" s="241"/>
      <c r="Z837" s="241"/>
    </row>
    <row r="838" spans="16:26">
      <c r="P838" s="241"/>
      <c r="Q838" s="241"/>
      <c r="R838" s="241"/>
      <c r="S838" s="241"/>
      <c r="T838" s="241"/>
      <c r="U838" s="241"/>
      <c r="V838" s="241"/>
      <c r="W838" s="241"/>
      <c r="X838" s="241"/>
      <c r="Y838" s="241"/>
      <c r="Z838" s="241"/>
    </row>
    <row r="839" spans="16:26">
      <c r="P839" s="241"/>
      <c r="Q839" s="241"/>
      <c r="R839" s="241"/>
      <c r="S839" s="241"/>
      <c r="T839" s="241"/>
      <c r="U839" s="241"/>
      <c r="V839" s="241"/>
      <c r="W839" s="241"/>
      <c r="X839" s="241"/>
      <c r="Y839" s="241"/>
      <c r="Z839" s="241"/>
    </row>
    <row r="840" spans="16:26">
      <c r="P840" s="241"/>
      <c r="Q840" s="241"/>
      <c r="R840" s="241"/>
      <c r="S840" s="241"/>
      <c r="T840" s="241"/>
      <c r="U840" s="241"/>
      <c r="V840" s="241"/>
      <c r="W840" s="241"/>
      <c r="X840" s="241"/>
      <c r="Y840" s="241"/>
      <c r="Z840" s="241"/>
    </row>
    <row r="841" spans="16:26">
      <c r="P841" s="241"/>
      <c r="Q841" s="241"/>
      <c r="R841" s="241"/>
      <c r="S841" s="241"/>
      <c r="T841" s="241"/>
      <c r="U841" s="241"/>
      <c r="V841" s="241"/>
      <c r="W841" s="241"/>
      <c r="X841" s="241"/>
      <c r="Y841" s="241"/>
      <c r="Z841" s="241"/>
    </row>
    <row r="842" spans="16:26">
      <c r="P842" s="241"/>
      <c r="Q842" s="241"/>
      <c r="R842" s="241"/>
      <c r="S842" s="241"/>
      <c r="T842" s="241"/>
      <c r="U842" s="241"/>
      <c r="V842" s="241"/>
      <c r="W842" s="241"/>
      <c r="X842" s="241"/>
      <c r="Y842" s="241"/>
      <c r="Z842" s="241"/>
    </row>
    <row r="843" spans="16:26">
      <c r="P843" s="241"/>
      <c r="Q843" s="241"/>
      <c r="R843" s="241"/>
      <c r="S843" s="241"/>
      <c r="T843" s="241"/>
      <c r="U843" s="241"/>
      <c r="V843" s="241"/>
      <c r="W843" s="241"/>
      <c r="X843" s="241"/>
      <c r="Y843" s="241"/>
      <c r="Z843" s="241"/>
    </row>
    <row r="844" spans="16:26">
      <c r="P844" s="241"/>
      <c r="Q844" s="241"/>
      <c r="R844" s="241"/>
      <c r="S844" s="241"/>
      <c r="T844" s="241"/>
      <c r="U844" s="241"/>
      <c r="V844" s="241"/>
      <c r="W844" s="241"/>
      <c r="X844" s="241"/>
      <c r="Y844" s="241"/>
      <c r="Z844" s="241"/>
    </row>
    <row r="845" spans="16:26">
      <c r="P845" s="241"/>
      <c r="Q845" s="241"/>
      <c r="R845" s="241"/>
      <c r="S845" s="241"/>
      <c r="T845" s="241"/>
      <c r="U845" s="241"/>
      <c r="V845" s="241"/>
      <c r="W845" s="241"/>
      <c r="X845" s="241"/>
      <c r="Y845" s="241"/>
      <c r="Z845" s="241"/>
    </row>
    <row r="846" spans="16:26">
      <c r="P846" s="241"/>
      <c r="Q846" s="241"/>
      <c r="R846" s="241"/>
      <c r="S846" s="241"/>
      <c r="T846" s="241"/>
      <c r="U846" s="241"/>
      <c r="V846" s="241"/>
      <c r="W846" s="241"/>
      <c r="X846" s="241"/>
      <c r="Y846" s="241"/>
      <c r="Z846" s="241"/>
    </row>
    <row r="847" spans="16:26">
      <c r="P847" s="241"/>
      <c r="Q847" s="241"/>
      <c r="R847" s="241"/>
      <c r="S847" s="241"/>
      <c r="T847" s="241"/>
      <c r="U847" s="241"/>
      <c r="V847" s="241"/>
      <c r="W847" s="241"/>
      <c r="X847" s="241"/>
      <c r="Y847" s="241"/>
      <c r="Z847" s="241"/>
    </row>
    <row r="848" spans="16:26">
      <c r="P848" s="241"/>
      <c r="Q848" s="241"/>
      <c r="R848" s="241"/>
      <c r="S848" s="241"/>
      <c r="T848" s="241"/>
      <c r="U848" s="241"/>
      <c r="V848" s="241"/>
      <c r="W848" s="241"/>
      <c r="X848" s="241"/>
      <c r="Y848" s="241"/>
      <c r="Z848" s="241"/>
    </row>
    <row r="849" spans="16:26">
      <c r="P849" s="241"/>
      <c r="Q849" s="241"/>
      <c r="R849" s="241"/>
      <c r="S849" s="241"/>
      <c r="T849" s="241"/>
      <c r="U849" s="241"/>
      <c r="V849" s="241"/>
      <c r="W849" s="241"/>
      <c r="X849" s="241"/>
      <c r="Y849" s="241"/>
      <c r="Z849" s="241"/>
    </row>
    <row r="850" spans="16:26">
      <c r="P850" s="241"/>
      <c r="Q850" s="241"/>
      <c r="R850" s="241"/>
      <c r="S850" s="241"/>
      <c r="T850" s="241"/>
      <c r="U850" s="241"/>
      <c r="V850" s="241"/>
      <c r="W850" s="241"/>
      <c r="X850" s="241"/>
      <c r="Y850" s="241"/>
      <c r="Z850" s="241"/>
    </row>
    <row r="851" spans="16:26">
      <c r="P851" s="241"/>
      <c r="Q851" s="241"/>
      <c r="R851" s="241"/>
      <c r="S851" s="241"/>
      <c r="T851" s="241"/>
      <c r="U851" s="241"/>
      <c r="V851" s="241"/>
      <c r="W851" s="241"/>
      <c r="X851" s="241"/>
      <c r="Y851" s="241"/>
      <c r="Z851" s="241"/>
    </row>
    <row r="852" spans="16:26">
      <c r="P852" s="241"/>
      <c r="Q852" s="241"/>
      <c r="R852" s="241"/>
      <c r="S852" s="241"/>
      <c r="T852" s="241"/>
      <c r="U852" s="241"/>
      <c r="V852" s="241"/>
      <c r="W852" s="241"/>
      <c r="X852" s="241"/>
      <c r="Y852" s="241"/>
      <c r="Z852" s="241"/>
    </row>
    <row r="853" spans="16:26">
      <c r="P853" s="241"/>
      <c r="Q853" s="241"/>
      <c r="R853" s="241"/>
      <c r="S853" s="241"/>
      <c r="T853" s="241"/>
      <c r="U853" s="241"/>
      <c r="V853" s="241"/>
      <c r="W853" s="241"/>
      <c r="X853" s="241"/>
      <c r="Y853" s="241"/>
      <c r="Z853" s="241"/>
    </row>
    <row r="854" spans="16:26">
      <c r="P854" s="241"/>
      <c r="Q854" s="241"/>
      <c r="R854" s="241"/>
      <c r="S854" s="241"/>
      <c r="T854" s="241"/>
      <c r="U854" s="241"/>
      <c r="V854" s="241"/>
      <c r="W854" s="241"/>
      <c r="X854" s="241"/>
      <c r="Y854" s="241"/>
      <c r="Z854" s="241"/>
    </row>
    <row r="855" spans="16:26">
      <c r="P855" s="241"/>
      <c r="Q855" s="241"/>
      <c r="R855" s="241"/>
      <c r="S855" s="241"/>
      <c r="T855" s="241"/>
      <c r="U855" s="241"/>
      <c r="V855" s="241"/>
      <c r="W855" s="241"/>
      <c r="X855" s="241"/>
      <c r="Y855" s="241"/>
      <c r="Z855" s="241"/>
    </row>
    <row r="856" spans="16:26">
      <c r="P856" s="241"/>
      <c r="Q856" s="241"/>
      <c r="R856" s="241"/>
      <c r="S856" s="241"/>
      <c r="T856" s="241"/>
      <c r="U856" s="241"/>
      <c r="V856" s="241"/>
      <c r="W856" s="241"/>
      <c r="X856" s="241"/>
      <c r="Y856" s="241"/>
      <c r="Z856" s="241"/>
    </row>
    <row r="857" spans="16:26">
      <c r="P857" s="241"/>
      <c r="Q857" s="241"/>
      <c r="R857" s="241"/>
      <c r="S857" s="241"/>
      <c r="T857" s="241"/>
      <c r="U857" s="241"/>
      <c r="V857" s="241"/>
      <c r="W857" s="241"/>
      <c r="X857" s="241"/>
      <c r="Y857" s="241"/>
      <c r="Z857" s="241"/>
    </row>
    <row r="858" spans="16:26">
      <c r="P858" s="241"/>
      <c r="Q858" s="241"/>
      <c r="R858" s="241"/>
      <c r="S858" s="241"/>
      <c r="T858" s="241"/>
      <c r="U858" s="241"/>
      <c r="V858" s="241"/>
      <c r="W858" s="241"/>
      <c r="X858" s="241"/>
      <c r="Y858" s="241"/>
      <c r="Z858" s="241"/>
    </row>
    <row r="859" spans="16:26">
      <c r="P859" s="241"/>
      <c r="Q859" s="241"/>
      <c r="R859" s="241"/>
      <c r="S859" s="241"/>
      <c r="T859" s="241"/>
      <c r="U859" s="241"/>
      <c r="V859" s="241"/>
      <c r="W859" s="241"/>
      <c r="X859" s="241"/>
      <c r="Y859" s="241"/>
      <c r="Z859" s="241"/>
    </row>
    <row r="860" spans="16:26">
      <c r="P860" s="241"/>
      <c r="Q860" s="241"/>
      <c r="R860" s="241"/>
      <c r="S860" s="241"/>
      <c r="T860" s="241"/>
      <c r="U860" s="241"/>
      <c r="V860" s="241"/>
      <c r="W860" s="241"/>
      <c r="X860" s="241"/>
      <c r="Y860" s="241"/>
      <c r="Z860" s="241"/>
    </row>
    <row r="861" spans="16:26">
      <c r="P861" s="241"/>
      <c r="Q861" s="241"/>
      <c r="R861" s="241"/>
      <c r="S861" s="241"/>
      <c r="T861" s="241"/>
      <c r="U861" s="241"/>
      <c r="V861" s="241"/>
      <c r="W861" s="241"/>
      <c r="X861" s="241"/>
      <c r="Y861" s="241"/>
      <c r="Z861" s="241"/>
    </row>
    <row r="862" spans="16:26">
      <c r="P862" s="241"/>
      <c r="Q862" s="241"/>
      <c r="R862" s="241"/>
      <c r="S862" s="241"/>
      <c r="T862" s="241"/>
      <c r="U862" s="241"/>
      <c r="V862" s="241"/>
      <c r="W862" s="241"/>
      <c r="X862" s="241"/>
      <c r="Y862" s="241"/>
      <c r="Z862" s="241"/>
    </row>
    <row r="863" spans="16:26">
      <c r="P863" s="241"/>
      <c r="Q863" s="241"/>
      <c r="R863" s="241"/>
      <c r="S863" s="241"/>
      <c r="T863" s="241"/>
      <c r="U863" s="241"/>
      <c r="V863" s="241"/>
      <c r="W863" s="241"/>
      <c r="X863" s="241"/>
      <c r="Y863" s="241"/>
      <c r="Z863" s="241"/>
    </row>
    <row r="864" spans="16:26">
      <c r="P864" s="241"/>
      <c r="Q864" s="241"/>
      <c r="R864" s="241"/>
      <c r="S864" s="241"/>
      <c r="T864" s="241"/>
      <c r="U864" s="241"/>
      <c r="V864" s="241"/>
      <c r="W864" s="241"/>
      <c r="X864" s="241"/>
      <c r="Y864" s="241"/>
      <c r="Z864" s="241"/>
    </row>
    <row r="865" spans="16:26">
      <c r="P865" s="241"/>
      <c r="Q865" s="241"/>
      <c r="R865" s="241"/>
      <c r="S865" s="241"/>
      <c r="T865" s="241"/>
      <c r="U865" s="241"/>
      <c r="V865" s="241"/>
      <c r="W865" s="241"/>
      <c r="X865" s="241"/>
      <c r="Y865" s="241"/>
      <c r="Z865" s="241"/>
    </row>
    <row r="866" spans="16:26">
      <c r="P866" s="241"/>
      <c r="Q866" s="241"/>
      <c r="R866" s="241"/>
      <c r="S866" s="241"/>
      <c r="T866" s="241"/>
      <c r="U866" s="241"/>
      <c r="V866" s="241"/>
      <c r="W866" s="241"/>
      <c r="X866" s="241"/>
      <c r="Y866" s="241"/>
      <c r="Z866" s="241"/>
    </row>
    <row r="867" spans="16:26">
      <c r="P867" s="241"/>
      <c r="Q867" s="241"/>
      <c r="R867" s="241"/>
      <c r="S867" s="241"/>
      <c r="T867" s="241"/>
      <c r="U867" s="241"/>
      <c r="V867" s="241"/>
      <c r="W867" s="241"/>
      <c r="X867" s="241"/>
      <c r="Y867" s="241"/>
      <c r="Z867" s="241"/>
    </row>
    <row r="868" spans="16:26">
      <c r="P868" s="241"/>
      <c r="Q868" s="241"/>
      <c r="R868" s="241"/>
      <c r="S868" s="241"/>
      <c r="T868" s="241"/>
      <c r="U868" s="241"/>
      <c r="V868" s="241"/>
      <c r="W868" s="241"/>
      <c r="X868" s="241"/>
      <c r="Y868" s="241"/>
      <c r="Z868" s="241"/>
    </row>
    <row r="869" spans="16:26">
      <c r="P869" s="241"/>
      <c r="Q869" s="241"/>
      <c r="R869" s="241"/>
      <c r="S869" s="241"/>
      <c r="T869" s="241"/>
      <c r="U869" s="241"/>
      <c r="V869" s="241"/>
      <c r="W869" s="241"/>
      <c r="X869" s="241"/>
      <c r="Y869" s="241"/>
      <c r="Z869" s="241"/>
    </row>
    <row r="870" spans="16:26">
      <c r="P870" s="241"/>
      <c r="Q870" s="241"/>
      <c r="R870" s="241"/>
      <c r="S870" s="241"/>
      <c r="T870" s="241"/>
      <c r="U870" s="241"/>
      <c r="V870" s="241"/>
      <c r="W870" s="241"/>
      <c r="X870" s="241"/>
      <c r="Y870" s="241"/>
      <c r="Z870" s="241"/>
    </row>
    <row r="871" spans="16:26">
      <c r="P871" s="241"/>
      <c r="Q871" s="241"/>
      <c r="R871" s="241"/>
      <c r="S871" s="241"/>
      <c r="T871" s="241"/>
      <c r="U871" s="241"/>
      <c r="V871" s="241"/>
      <c r="W871" s="241"/>
      <c r="X871" s="241"/>
      <c r="Y871" s="241"/>
      <c r="Z871" s="241"/>
    </row>
    <row r="872" spans="16:26">
      <c r="P872" s="241"/>
      <c r="Q872" s="241"/>
      <c r="R872" s="241"/>
      <c r="S872" s="241"/>
      <c r="T872" s="241"/>
      <c r="U872" s="241"/>
      <c r="V872" s="241"/>
      <c r="W872" s="241"/>
      <c r="X872" s="241"/>
      <c r="Y872" s="241"/>
      <c r="Z872" s="241"/>
    </row>
    <row r="873" spans="16:26">
      <c r="P873" s="241"/>
      <c r="Q873" s="241"/>
      <c r="R873" s="241"/>
      <c r="S873" s="241"/>
      <c r="T873" s="241"/>
      <c r="U873" s="241"/>
      <c r="V873" s="241"/>
      <c r="W873" s="241"/>
      <c r="X873" s="241"/>
      <c r="Y873" s="241"/>
      <c r="Z873" s="241"/>
    </row>
    <row r="874" spans="16:26">
      <c r="P874" s="241"/>
      <c r="Q874" s="241"/>
      <c r="R874" s="241"/>
      <c r="S874" s="241"/>
      <c r="T874" s="241"/>
      <c r="U874" s="241"/>
      <c r="V874" s="241"/>
      <c r="W874" s="241"/>
      <c r="X874" s="241"/>
      <c r="Y874" s="241"/>
      <c r="Z874" s="241"/>
    </row>
    <row r="875" spans="16:26">
      <c r="P875" s="241"/>
      <c r="Q875" s="241"/>
      <c r="R875" s="241"/>
      <c r="S875" s="241"/>
      <c r="T875" s="241"/>
      <c r="U875" s="241"/>
      <c r="V875" s="241"/>
      <c r="W875" s="241"/>
      <c r="X875" s="241"/>
      <c r="Y875" s="241"/>
      <c r="Z875" s="241"/>
    </row>
    <row r="876" spans="16:26">
      <c r="P876" s="241"/>
      <c r="Q876" s="241"/>
      <c r="R876" s="241"/>
      <c r="S876" s="241"/>
      <c r="T876" s="241"/>
      <c r="U876" s="241"/>
      <c r="V876" s="241"/>
      <c r="W876" s="241"/>
      <c r="X876" s="241"/>
      <c r="Y876" s="241"/>
      <c r="Z876" s="241"/>
    </row>
    <row r="877" spans="16:26">
      <c r="P877" s="241"/>
      <c r="Q877" s="241"/>
      <c r="R877" s="241"/>
      <c r="S877" s="241"/>
      <c r="T877" s="241"/>
      <c r="U877" s="241"/>
      <c r="V877" s="241"/>
      <c r="W877" s="241"/>
      <c r="X877" s="241"/>
      <c r="Y877" s="241"/>
      <c r="Z877" s="241"/>
    </row>
    <row r="878" spans="16:26">
      <c r="P878" s="241"/>
      <c r="Q878" s="241"/>
      <c r="R878" s="241"/>
      <c r="S878" s="241"/>
      <c r="T878" s="241"/>
      <c r="U878" s="241"/>
      <c r="V878" s="241"/>
      <c r="W878" s="241"/>
      <c r="X878" s="241"/>
      <c r="Y878" s="241"/>
      <c r="Z878" s="241"/>
    </row>
    <row r="879" spans="16:26">
      <c r="P879" s="241"/>
      <c r="Q879" s="241"/>
      <c r="R879" s="241"/>
      <c r="S879" s="241"/>
      <c r="T879" s="241"/>
      <c r="U879" s="241"/>
      <c r="V879" s="241"/>
      <c r="W879" s="241"/>
      <c r="X879" s="241"/>
      <c r="Y879" s="241"/>
      <c r="Z879" s="241"/>
    </row>
    <row r="880" spans="16:26">
      <c r="P880" s="241"/>
      <c r="Q880" s="241"/>
      <c r="R880" s="241"/>
      <c r="S880" s="241"/>
      <c r="T880" s="241"/>
      <c r="U880" s="241"/>
      <c r="V880" s="241"/>
      <c r="W880" s="241"/>
      <c r="X880" s="241"/>
      <c r="Y880" s="241"/>
      <c r="Z880" s="241"/>
    </row>
    <row r="881" spans="16:26">
      <c r="P881" s="241"/>
      <c r="Q881" s="241"/>
      <c r="R881" s="241"/>
      <c r="S881" s="241"/>
      <c r="T881" s="241"/>
      <c r="U881" s="241"/>
      <c r="V881" s="241"/>
      <c r="W881" s="241"/>
      <c r="X881" s="241"/>
      <c r="Y881" s="241"/>
      <c r="Z881" s="241"/>
    </row>
    <row r="882" spans="16:26">
      <c r="P882" s="241"/>
      <c r="Q882" s="241"/>
      <c r="R882" s="241"/>
      <c r="S882" s="241"/>
      <c r="T882" s="241"/>
      <c r="U882" s="241"/>
      <c r="V882" s="241"/>
      <c r="W882" s="241"/>
      <c r="X882" s="241"/>
      <c r="Y882" s="241"/>
      <c r="Z882" s="241"/>
    </row>
    <row r="883" spans="16:26">
      <c r="P883" s="241"/>
      <c r="Q883" s="241"/>
      <c r="R883" s="241"/>
      <c r="S883" s="241"/>
      <c r="T883" s="241"/>
      <c r="U883" s="241"/>
      <c r="V883" s="241"/>
      <c r="W883" s="241"/>
      <c r="X883" s="241"/>
      <c r="Y883" s="241"/>
      <c r="Z883" s="241"/>
    </row>
    <row r="884" spans="16:26">
      <c r="P884" s="241"/>
      <c r="Q884" s="241"/>
      <c r="R884" s="241"/>
      <c r="S884" s="241"/>
      <c r="T884" s="241"/>
      <c r="U884" s="241"/>
      <c r="V884" s="241"/>
      <c r="W884" s="241"/>
      <c r="X884" s="241"/>
      <c r="Y884" s="241"/>
      <c r="Z884" s="241"/>
    </row>
  </sheetData>
  <sheetProtection password="8C51" sheet="1" objects="1" scenarios="1" selectLockedCells="1"/>
  <pageMargins left="0.75" right="0.75" top="1" bottom="1" header="0.5" footer="0.5"/>
  <pageSetup orientation="portrait" horizontalDpi="1200" verticalDpi="1200"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B1:Z884"/>
  <sheetViews>
    <sheetView zoomScaleNormal="100" workbookViewId="0">
      <selection activeCell="P1" sqref="P1:Z1048576"/>
    </sheetView>
  </sheetViews>
  <sheetFormatPr defaultColWidth="8.88671875" defaultRowHeight="10.199999999999999"/>
  <cols>
    <col min="1" max="15" width="8.88671875" style="57"/>
    <col min="16" max="26" width="8.88671875" style="243"/>
    <col min="27" max="16384" width="8.88671875" style="57"/>
  </cols>
  <sheetData>
    <row r="1" spans="2:26">
      <c r="B1" s="57" t="s">
        <v>46</v>
      </c>
      <c r="C1" s="57" t="s">
        <v>47</v>
      </c>
      <c r="D1" s="57" t="s">
        <v>48</v>
      </c>
      <c r="E1" s="57" t="s">
        <v>49</v>
      </c>
      <c r="F1" s="57" t="s">
        <v>50</v>
      </c>
      <c r="G1" s="57" t="s">
        <v>51</v>
      </c>
      <c r="H1" s="57" t="s">
        <v>52</v>
      </c>
      <c r="I1" s="57" t="s">
        <v>53</v>
      </c>
      <c r="J1" s="57" t="s">
        <v>54</v>
      </c>
      <c r="P1" s="242"/>
      <c r="Q1" s="242"/>
      <c r="R1" s="242"/>
      <c r="S1" s="242"/>
      <c r="T1" s="242"/>
      <c r="U1" s="242"/>
      <c r="V1" s="242"/>
      <c r="W1" s="242"/>
      <c r="X1" s="242"/>
      <c r="Y1" s="242"/>
      <c r="Z1" s="242"/>
    </row>
    <row r="2" spans="2:26">
      <c r="B2" s="57" t="s">
        <v>55</v>
      </c>
      <c r="C2" s="57" t="s">
        <v>56</v>
      </c>
      <c r="D2" s="57" t="s">
        <v>56</v>
      </c>
      <c r="E2" s="57" t="s">
        <v>57</v>
      </c>
      <c r="F2" s="57" t="s">
        <v>57</v>
      </c>
      <c r="G2" s="57" t="s">
        <v>58</v>
      </c>
      <c r="H2" s="57" t="s">
        <v>59</v>
      </c>
      <c r="I2" s="57" t="s">
        <v>60</v>
      </c>
      <c r="J2" s="57" t="s">
        <v>61</v>
      </c>
      <c r="K2" s="57" t="s">
        <v>62</v>
      </c>
      <c r="L2" s="57" t="s">
        <v>63</v>
      </c>
      <c r="P2" s="242"/>
      <c r="Q2" s="242"/>
      <c r="R2" s="242"/>
      <c r="S2" s="242"/>
      <c r="T2" s="242"/>
      <c r="U2" s="242"/>
      <c r="V2" s="242"/>
      <c r="W2" s="242"/>
      <c r="X2" s="242"/>
      <c r="Y2" s="242"/>
      <c r="Z2" s="242"/>
    </row>
    <row r="3" spans="2:26">
      <c r="P3" s="242"/>
      <c r="Q3" s="242"/>
      <c r="R3" s="242"/>
      <c r="S3" s="242"/>
      <c r="T3" s="242"/>
      <c r="U3" s="242"/>
      <c r="V3" s="242"/>
      <c r="W3" s="242"/>
      <c r="X3" s="242"/>
      <c r="Y3" s="242"/>
      <c r="Z3" s="242"/>
    </row>
    <row r="4" spans="2:26">
      <c r="B4" s="57" t="s">
        <v>64</v>
      </c>
      <c r="C4" s="234" t="str">
        <f ca="1">IF(P1="","","L"&amp;MID(INDIRECT("P"&amp;L4),6,FIND(" ",INDIRECT("P"&amp;L4),6)-5))</f>
        <v/>
      </c>
      <c r="D4" s="234" t="str">
        <f ca="1">IF(P1="","",MID(INDIRECT("P"&amp;L4),SEARCH("(",INDIRECT("P"&amp;L4),1)+1,3))</f>
        <v/>
      </c>
      <c r="E4" s="234" t="str">
        <f ca="1">IF(P1="","",MID(INDIRECT("P"&amp;L4),SEARCH(")",INDIRECT("P"&amp;L4),1)+2,LEN(INDIRECT("P"&amp;L4))))</f>
        <v/>
      </c>
      <c r="F4" s="234"/>
      <c r="G4" s="234"/>
      <c r="H4" s="234"/>
      <c r="I4" s="234"/>
      <c r="J4" s="234"/>
      <c r="K4" s="234"/>
      <c r="L4" s="234" t="str">
        <f>IF(P1="","",MATCH("CASE*",P1:P10,0))</f>
        <v/>
      </c>
      <c r="M4" s="55">
        <f>ROUND(COUNT(P:P)*1.6,0)</f>
        <v>0</v>
      </c>
      <c r="P4" s="242"/>
      <c r="Q4" s="242"/>
      <c r="R4" s="242"/>
      <c r="S4" s="242"/>
      <c r="T4" s="242"/>
      <c r="U4" s="242"/>
      <c r="V4" s="242"/>
      <c r="W4" s="242"/>
      <c r="X4" s="242"/>
      <c r="Y4" s="242"/>
      <c r="Z4" s="242"/>
    </row>
    <row r="5" spans="2:26">
      <c r="P5" s="242"/>
      <c r="Q5" s="242"/>
      <c r="R5" s="242"/>
      <c r="S5" s="242"/>
      <c r="T5" s="242"/>
      <c r="U5" s="242"/>
      <c r="V5" s="242"/>
      <c r="W5" s="242"/>
      <c r="X5" s="242"/>
      <c r="Y5" s="242"/>
      <c r="Z5" s="242"/>
    </row>
    <row r="6" spans="2:26">
      <c r="B6" s="56" t="str">
        <f>IF('Low Stress Type Gasket'!BE11="","",'Low Stress Type Gasket'!BE11)</f>
        <v/>
      </c>
      <c r="C6" s="58" t="str">
        <f t="shared" ref="C6:L21" ca="1" si="0">IF($M$4=0,"",VLOOKUP($B6,INDIRECT("$P$1:$Z$"&amp;$M$4),COLUMN()-1,0))</f>
        <v/>
      </c>
      <c r="D6" s="58" t="str">
        <f t="shared" ca="1" si="0"/>
        <v/>
      </c>
      <c r="E6" s="58" t="str">
        <f t="shared" ca="1" si="0"/>
        <v/>
      </c>
      <c r="F6" s="58" t="str">
        <f t="shared" ca="1" si="0"/>
        <v/>
      </c>
      <c r="G6" s="58" t="str">
        <f t="shared" ca="1" si="0"/>
        <v/>
      </c>
      <c r="H6" s="58" t="str">
        <f t="shared" ca="1" si="0"/>
        <v/>
      </c>
      <c r="I6" s="58" t="str">
        <f t="shared" ca="1" si="0"/>
        <v/>
      </c>
      <c r="J6" s="58" t="str">
        <f t="shared" ca="1" si="0"/>
        <v/>
      </c>
      <c r="K6" s="58" t="str">
        <f t="shared" ca="1" si="0"/>
        <v/>
      </c>
      <c r="L6" s="58" t="str">
        <f t="shared" ca="1" si="0"/>
        <v/>
      </c>
      <c r="P6" s="242"/>
      <c r="Q6" s="242"/>
      <c r="R6" s="242"/>
      <c r="S6" s="242"/>
      <c r="T6" s="242"/>
      <c r="U6" s="242"/>
      <c r="V6" s="242"/>
      <c r="W6" s="242"/>
      <c r="X6" s="242"/>
      <c r="Y6" s="242"/>
      <c r="Z6" s="242"/>
    </row>
    <row r="7" spans="2:26">
      <c r="B7" s="56" t="str">
        <f>IF('Low Stress Type Gasket'!BE12="","",'Low Stress Type Gasket'!BE12)</f>
        <v/>
      </c>
      <c r="C7" s="58" t="str">
        <f t="shared" ca="1" si="0"/>
        <v/>
      </c>
      <c r="D7" s="58" t="str">
        <f t="shared" ca="1" si="0"/>
        <v/>
      </c>
      <c r="E7" s="58" t="str">
        <f t="shared" ca="1" si="0"/>
        <v/>
      </c>
      <c r="F7" s="58" t="str">
        <f t="shared" ca="1" si="0"/>
        <v/>
      </c>
      <c r="G7" s="58" t="str">
        <f t="shared" ca="1" si="0"/>
        <v/>
      </c>
      <c r="H7" s="58" t="str">
        <f t="shared" ca="1" si="0"/>
        <v/>
      </c>
      <c r="I7" s="58" t="str">
        <f t="shared" ca="1" si="0"/>
        <v/>
      </c>
      <c r="J7" s="58" t="str">
        <f t="shared" ca="1" si="0"/>
        <v/>
      </c>
      <c r="K7" s="58" t="str">
        <f t="shared" ca="1" si="0"/>
        <v/>
      </c>
      <c r="L7" s="58" t="str">
        <f t="shared" ca="1" si="0"/>
        <v/>
      </c>
      <c r="P7" s="242"/>
      <c r="Q7" s="242"/>
      <c r="R7" s="242"/>
      <c r="S7" s="242"/>
      <c r="T7" s="242"/>
      <c r="U7" s="242"/>
      <c r="V7" s="242"/>
      <c r="W7" s="242"/>
      <c r="X7" s="242"/>
      <c r="Y7" s="242"/>
      <c r="Z7" s="242"/>
    </row>
    <row r="8" spans="2:26">
      <c r="B8" s="56" t="str">
        <f>IF('Low Stress Type Gasket'!BE13="","",'Low Stress Type Gasket'!BE13)</f>
        <v/>
      </c>
      <c r="C8" s="58" t="str">
        <f t="shared" ca="1" si="0"/>
        <v/>
      </c>
      <c r="D8" s="58" t="str">
        <f t="shared" ca="1" si="0"/>
        <v/>
      </c>
      <c r="E8" s="58" t="str">
        <f t="shared" ca="1" si="0"/>
        <v/>
      </c>
      <c r="F8" s="58" t="str">
        <f t="shared" ca="1" si="0"/>
        <v/>
      </c>
      <c r="G8" s="58" t="str">
        <f t="shared" ca="1" si="0"/>
        <v/>
      </c>
      <c r="H8" s="58" t="str">
        <f t="shared" ca="1" si="0"/>
        <v/>
      </c>
      <c r="I8" s="58" t="str">
        <f t="shared" ca="1" si="0"/>
        <v/>
      </c>
      <c r="J8" s="58" t="str">
        <f t="shared" ca="1" si="0"/>
        <v/>
      </c>
      <c r="K8" s="58" t="str">
        <f t="shared" ca="1" si="0"/>
        <v/>
      </c>
      <c r="L8" s="58" t="str">
        <f t="shared" ca="1" si="0"/>
        <v/>
      </c>
      <c r="P8" s="241"/>
      <c r="Q8" s="241"/>
      <c r="R8" s="241"/>
      <c r="S8" s="241"/>
      <c r="T8" s="241"/>
      <c r="U8" s="241"/>
      <c r="V8" s="241"/>
      <c r="W8" s="241"/>
      <c r="X8" s="241"/>
      <c r="Y8" s="241"/>
      <c r="Z8" s="241"/>
    </row>
    <row r="9" spans="2:26">
      <c r="B9" s="56" t="str">
        <f>IF('Low Stress Type Gasket'!BE14="","",'Low Stress Type Gasket'!BE14)</f>
        <v/>
      </c>
      <c r="C9" s="58" t="str">
        <f t="shared" ca="1" si="0"/>
        <v/>
      </c>
      <c r="D9" s="58" t="str">
        <f t="shared" ca="1" si="0"/>
        <v/>
      </c>
      <c r="E9" s="58" t="str">
        <f t="shared" ca="1" si="0"/>
        <v/>
      </c>
      <c r="F9" s="58" t="str">
        <f t="shared" ca="1" si="0"/>
        <v/>
      </c>
      <c r="G9" s="58" t="str">
        <f t="shared" ca="1" si="0"/>
        <v/>
      </c>
      <c r="H9" s="58" t="str">
        <f t="shared" ca="1" si="0"/>
        <v/>
      </c>
      <c r="I9" s="58" t="str">
        <f t="shared" ca="1" si="0"/>
        <v/>
      </c>
      <c r="J9" s="58" t="str">
        <f t="shared" ca="1" si="0"/>
        <v/>
      </c>
      <c r="K9" s="58" t="str">
        <f t="shared" ca="1" si="0"/>
        <v/>
      </c>
      <c r="L9" s="58" t="str">
        <f t="shared" ca="1" si="0"/>
        <v/>
      </c>
      <c r="P9" s="242"/>
      <c r="Q9" s="242"/>
      <c r="R9" s="242"/>
      <c r="S9" s="242"/>
      <c r="T9" s="242"/>
      <c r="U9" s="242"/>
      <c r="V9" s="242"/>
      <c r="W9" s="242"/>
      <c r="X9" s="242"/>
      <c r="Y9" s="242"/>
      <c r="Z9" s="242"/>
    </row>
    <row r="10" spans="2:26">
      <c r="B10" s="56" t="str">
        <f>IF('Low Stress Type Gasket'!BE15="","",'Low Stress Type Gasket'!BE15)</f>
        <v/>
      </c>
      <c r="C10" s="58" t="str">
        <f t="shared" ca="1" si="0"/>
        <v/>
      </c>
      <c r="D10" s="58" t="str">
        <f t="shared" ca="1" si="0"/>
        <v/>
      </c>
      <c r="E10" s="58" t="str">
        <f t="shared" ca="1" si="0"/>
        <v/>
      </c>
      <c r="F10" s="58" t="str">
        <f t="shared" ca="1" si="0"/>
        <v/>
      </c>
      <c r="G10" s="58" t="str">
        <f t="shared" ca="1" si="0"/>
        <v/>
      </c>
      <c r="H10" s="58" t="str">
        <f t="shared" ca="1" si="0"/>
        <v/>
      </c>
      <c r="I10" s="58" t="str">
        <f t="shared" ca="1" si="0"/>
        <v/>
      </c>
      <c r="J10" s="58" t="str">
        <f t="shared" ca="1" si="0"/>
        <v/>
      </c>
      <c r="K10" s="58" t="str">
        <f t="shared" ca="1" si="0"/>
        <v/>
      </c>
      <c r="L10" s="58" t="str">
        <f t="shared" ca="1" si="0"/>
        <v/>
      </c>
      <c r="P10" s="242"/>
      <c r="Q10" s="242"/>
      <c r="R10" s="242"/>
      <c r="S10" s="242"/>
      <c r="T10" s="242"/>
      <c r="U10" s="242"/>
      <c r="V10" s="242"/>
      <c r="W10" s="242"/>
      <c r="X10" s="242"/>
      <c r="Y10" s="242"/>
      <c r="Z10" s="242"/>
    </row>
    <row r="11" spans="2:26">
      <c r="B11" s="56" t="str">
        <f>IF('Low Stress Type Gasket'!BE16="","",'Low Stress Type Gasket'!BE16)</f>
        <v/>
      </c>
      <c r="C11" s="58" t="str">
        <f t="shared" ca="1" si="0"/>
        <v/>
      </c>
      <c r="D11" s="58" t="str">
        <f t="shared" ca="1" si="0"/>
        <v/>
      </c>
      <c r="E11" s="58" t="str">
        <f t="shared" ca="1" si="0"/>
        <v/>
      </c>
      <c r="F11" s="58" t="str">
        <f t="shared" ca="1" si="0"/>
        <v/>
      </c>
      <c r="G11" s="58" t="str">
        <f t="shared" ca="1" si="0"/>
        <v/>
      </c>
      <c r="H11" s="58" t="str">
        <f t="shared" ca="1" si="0"/>
        <v/>
      </c>
      <c r="I11" s="58" t="str">
        <f t="shared" ca="1" si="0"/>
        <v/>
      </c>
      <c r="J11" s="58" t="str">
        <f t="shared" ca="1" si="0"/>
        <v/>
      </c>
      <c r="K11" s="58" t="str">
        <f t="shared" ca="1" si="0"/>
        <v/>
      </c>
      <c r="L11" s="58" t="str">
        <f t="shared" ca="1" si="0"/>
        <v/>
      </c>
      <c r="P11" s="242"/>
      <c r="Q11" s="242"/>
      <c r="R11" s="242"/>
      <c r="S11" s="242"/>
      <c r="T11" s="242"/>
      <c r="U11" s="242"/>
      <c r="V11" s="242"/>
      <c r="W11" s="242"/>
      <c r="X11" s="242"/>
      <c r="Y11" s="242"/>
      <c r="Z11" s="242"/>
    </row>
    <row r="12" spans="2:26">
      <c r="B12" s="56" t="str">
        <f>IF('Low Stress Type Gasket'!BE17="","",'Low Stress Type Gasket'!BE17)</f>
        <v/>
      </c>
      <c r="C12" s="58" t="str">
        <f t="shared" ca="1" si="0"/>
        <v/>
      </c>
      <c r="D12" s="58" t="str">
        <f t="shared" ca="1" si="0"/>
        <v/>
      </c>
      <c r="E12" s="58" t="str">
        <f t="shared" ca="1" si="0"/>
        <v/>
      </c>
      <c r="F12" s="58" t="str">
        <f t="shared" ca="1" si="0"/>
        <v/>
      </c>
      <c r="G12" s="58" t="str">
        <f t="shared" ca="1" si="0"/>
        <v/>
      </c>
      <c r="H12" s="58" t="str">
        <f t="shared" ca="1" si="0"/>
        <v/>
      </c>
      <c r="I12" s="58" t="str">
        <f t="shared" ca="1" si="0"/>
        <v/>
      </c>
      <c r="J12" s="58" t="str">
        <f t="shared" ca="1" si="0"/>
        <v/>
      </c>
      <c r="K12" s="58" t="str">
        <f t="shared" ca="1" si="0"/>
        <v/>
      </c>
      <c r="L12" s="58" t="str">
        <f t="shared" ca="1" si="0"/>
        <v/>
      </c>
      <c r="P12" s="241"/>
      <c r="Q12" s="241"/>
      <c r="R12" s="241"/>
      <c r="S12" s="241"/>
      <c r="T12" s="241"/>
      <c r="U12" s="241"/>
      <c r="V12" s="241"/>
      <c r="W12" s="241"/>
      <c r="X12" s="241"/>
      <c r="Y12" s="241"/>
      <c r="Z12" s="241"/>
    </row>
    <row r="13" spans="2:26">
      <c r="B13" s="56" t="str">
        <f>IF('Low Stress Type Gasket'!BE18="","",'Low Stress Type Gasket'!BE18)</f>
        <v/>
      </c>
      <c r="C13" s="58" t="str">
        <f t="shared" ca="1" si="0"/>
        <v/>
      </c>
      <c r="D13" s="58" t="str">
        <f t="shared" ca="1" si="0"/>
        <v/>
      </c>
      <c r="E13" s="58" t="str">
        <f t="shared" ca="1" si="0"/>
        <v/>
      </c>
      <c r="F13" s="58" t="str">
        <f t="shared" ca="1" si="0"/>
        <v/>
      </c>
      <c r="G13" s="58" t="str">
        <f t="shared" ca="1" si="0"/>
        <v/>
      </c>
      <c r="H13" s="58" t="str">
        <f t="shared" ca="1" si="0"/>
        <v/>
      </c>
      <c r="I13" s="58" t="str">
        <f t="shared" ca="1" si="0"/>
        <v/>
      </c>
      <c r="J13" s="58" t="str">
        <f t="shared" ca="1" si="0"/>
        <v/>
      </c>
      <c r="K13" s="58" t="str">
        <f t="shared" ca="1" si="0"/>
        <v/>
      </c>
      <c r="L13" s="58" t="str">
        <f t="shared" ca="1" si="0"/>
        <v/>
      </c>
      <c r="P13" s="242"/>
      <c r="Q13" s="242"/>
      <c r="R13" s="242"/>
      <c r="S13" s="242"/>
      <c r="T13" s="242"/>
      <c r="U13" s="242"/>
      <c r="V13" s="242"/>
      <c r="W13" s="242"/>
      <c r="X13" s="242"/>
      <c r="Y13" s="242"/>
      <c r="Z13" s="242"/>
    </row>
    <row r="14" spans="2:26">
      <c r="B14" s="56" t="str">
        <f>IF('Low Stress Type Gasket'!BE19="","",'Low Stress Type Gasket'!BE19)</f>
        <v/>
      </c>
      <c r="C14" s="58" t="str">
        <f t="shared" ca="1" si="0"/>
        <v/>
      </c>
      <c r="D14" s="58" t="str">
        <f t="shared" ca="1" si="0"/>
        <v/>
      </c>
      <c r="E14" s="58" t="str">
        <f t="shared" ca="1" si="0"/>
        <v/>
      </c>
      <c r="F14" s="58" t="str">
        <f t="shared" ca="1" si="0"/>
        <v/>
      </c>
      <c r="G14" s="58" t="str">
        <f t="shared" ca="1" si="0"/>
        <v/>
      </c>
      <c r="H14" s="58" t="str">
        <f t="shared" ca="1" si="0"/>
        <v/>
      </c>
      <c r="I14" s="58" t="str">
        <f t="shared" ca="1" si="0"/>
        <v/>
      </c>
      <c r="J14" s="58" t="str">
        <f t="shared" ca="1" si="0"/>
        <v/>
      </c>
      <c r="K14" s="58" t="str">
        <f t="shared" ca="1" si="0"/>
        <v/>
      </c>
      <c r="L14" s="58" t="str">
        <f t="shared" ca="1" si="0"/>
        <v/>
      </c>
      <c r="P14" s="242"/>
      <c r="Q14" s="242"/>
      <c r="R14" s="242"/>
      <c r="S14" s="242"/>
      <c r="T14" s="242"/>
      <c r="U14" s="242"/>
      <c r="V14" s="242"/>
      <c r="W14" s="242"/>
      <c r="X14" s="242"/>
      <c r="Y14" s="242"/>
      <c r="Z14" s="242"/>
    </row>
    <row r="15" spans="2:26">
      <c r="B15" s="56" t="str">
        <f>IF('Low Stress Type Gasket'!BE20="","",'Low Stress Type Gasket'!BE20)</f>
        <v/>
      </c>
      <c r="C15" s="58" t="str">
        <f t="shared" ca="1" si="0"/>
        <v/>
      </c>
      <c r="D15" s="58" t="str">
        <f t="shared" ca="1" si="0"/>
        <v/>
      </c>
      <c r="E15" s="58" t="str">
        <f t="shared" ca="1" si="0"/>
        <v/>
      </c>
      <c r="F15" s="58" t="str">
        <f t="shared" ca="1" si="0"/>
        <v/>
      </c>
      <c r="G15" s="58" t="str">
        <f t="shared" ca="1" si="0"/>
        <v/>
      </c>
      <c r="H15" s="58" t="str">
        <f t="shared" ca="1" si="0"/>
        <v/>
      </c>
      <c r="I15" s="58" t="str">
        <f t="shared" ca="1" si="0"/>
        <v/>
      </c>
      <c r="J15" s="58" t="str">
        <f t="shared" ca="1" si="0"/>
        <v/>
      </c>
      <c r="K15" s="58" t="str">
        <f t="shared" ca="1" si="0"/>
        <v/>
      </c>
      <c r="L15" s="58" t="str">
        <f t="shared" ca="1" si="0"/>
        <v/>
      </c>
      <c r="P15" s="241"/>
      <c r="Q15" s="241"/>
      <c r="R15" s="241"/>
      <c r="S15" s="241"/>
      <c r="T15" s="241"/>
      <c r="U15" s="241"/>
      <c r="V15" s="241"/>
      <c r="W15" s="241"/>
      <c r="X15" s="241"/>
      <c r="Y15" s="241"/>
      <c r="Z15" s="241"/>
    </row>
    <row r="16" spans="2:26">
      <c r="B16" s="56" t="str">
        <f>IF('Low Stress Type Gasket'!BE21="","",'Low Stress Type Gasket'!BE21)</f>
        <v/>
      </c>
      <c r="C16" s="58" t="str">
        <f t="shared" ca="1" si="0"/>
        <v/>
      </c>
      <c r="D16" s="58" t="str">
        <f t="shared" ca="1" si="0"/>
        <v/>
      </c>
      <c r="E16" s="58" t="str">
        <f t="shared" ca="1" si="0"/>
        <v/>
      </c>
      <c r="F16" s="58" t="str">
        <f t="shared" ca="1" si="0"/>
        <v/>
      </c>
      <c r="G16" s="58" t="str">
        <f t="shared" ca="1" si="0"/>
        <v/>
      </c>
      <c r="H16" s="58" t="str">
        <f t="shared" ca="1" si="0"/>
        <v/>
      </c>
      <c r="I16" s="58" t="str">
        <f t="shared" ca="1" si="0"/>
        <v/>
      </c>
      <c r="J16" s="58" t="str">
        <f t="shared" ca="1" si="0"/>
        <v/>
      </c>
      <c r="K16" s="58" t="str">
        <f t="shared" ca="1" si="0"/>
        <v/>
      </c>
      <c r="L16" s="58" t="str">
        <f t="shared" ca="1" si="0"/>
        <v/>
      </c>
      <c r="P16" s="242"/>
      <c r="Q16" s="242"/>
      <c r="R16" s="242"/>
      <c r="S16" s="242"/>
      <c r="T16" s="242"/>
      <c r="U16" s="242"/>
      <c r="V16" s="242"/>
      <c r="W16" s="242"/>
      <c r="X16" s="242"/>
      <c r="Y16" s="242"/>
      <c r="Z16" s="242"/>
    </row>
    <row r="17" spans="2:26">
      <c r="B17" s="56" t="str">
        <f>IF('Low Stress Type Gasket'!BE22="","",'Low Stress Type Gasket'!BE22)</f>
        <v/>
      </c>
      <c r="C17" s="58" t="str">
        <f t="shared" ca="1" si="0"/>
        <v/>
      </c>
      <c r="D17" s="58" t="str">
        <f t="shared" ca="1" si="0"/>
        <v/>
      </c>
      <c r="E17" s="58" t="str">
        <f t="shared" ca="1" si="0"/>
        <v/>
      </c>
      <c r="F17" s="58" t="str">
        <f t="shared" ca="1" si="0"/>
        <v/>
      </c>
      <c r="G17" s="58" t="str">
        <f t="shared" ca="1" si="0"/>
        <v/>
      </c>
      <c r="H17" s="58" t="str">
        <f t="shared" ca="1" si="0"/>
        <v/>
      </c>
      <c r="I17" s="58" t="str">
        <f t="shared" ca="1" si="0"/>
        <v/>
      </c>
      <c r="J17" s="58" t="str">
        <f t="shared" ca="1" si="0"/>
        <v/>
      </c>
      <c r="K17" s="58" t="str">
        <f t="shared" ca="1" si="0"/>
        <v/>
      </c>
      <c r="L17" s="58" t="str">
        <f t="shared" ca="1" si="0"/>
        <v/>
      </c>
      <c r="P17" s="242"/>
      <c r="Q17" s="242"/>
      <c r="R17" s="242"/>
      <c r="S17" s="242"/>
      <c r="T17" s="242"/>
      <c r="U17" s="242"/>
      <c r="V17" s="242"/>
      <c r="W17" s="242"/>
      <c r="X17" s="242"/>
      <c r="Y17" s="242"/>
      <c r="Z17" s="242"/>
    </row>
    <row r="18" spans="2:26">
      <c r="B18" s="56" t="str">
        <f>IF('Low Stress Type Gasket'!BE23="","",'Low Stress Type Gasket'!BE23)</f>
        <v/>
      </c>
      <c r="C18" s="58" t="str">
        <f t="shared" ca="1" si="0"/>
        <v/>
      </c>
      <c r="D18" s="58" t="str">
        <f t="shared" ca="1" si="0"/>
        <v/>
      </c>
      <c r="E18" s="58" t="str">
        <f t="shared" ca="1" si="0"/>
        <v/>
      </c>
      <c r="F18" s="58" t="str">
        <f t="shared" ca="1" si="0"/>
        <v/>
      </c>
      <c r="G18" s="58" t="str">
        <f t="shared" ca="1" si="0"/>
        <v/>
      </c>
      <c r="H18" s="58" t="str">
        <f t="shared" ca="1" si="0"/>
        <v/>
      </c>
      <c r="I18" s="58" t="str">
        <f t="shared" ca="1" si="0"/>
        <v/>
      </c>
      <c r="J18" s="58" t="str">
        <f t="shared" ca="1" si="0"/>
        <v/>
      </c>
      <c r="K18" s="58" t="str">
        <f t="shared" ca="1" si="0"/>
        <v/>
      </c>
      <c r="L18" s="58" t="str">
        <f t="shared" ca="1" si="0"/>
        <v/>
      </c>
      <c r="P18" s="241"/>
      <c r="Q18" s="241"/>
      <c r="R18" s="241"/>
      <c r="S18" s="241"/>
      <c r="T18" s="241"/>
      <c r="U18" s="241"/>
      <c r="V18" s="241"/>
      <c r="W18" s="241"/>
      <c r="X18" s="241"/>
      <c r="Y18" s="241"/>
      <c r="Z18" s="241"/>
    </row>
    <row r="19" spans="2:26">
      <c r="B19" s="56" t="str">
        <f>IF('Low Stress Type Gasket'!BE24="","",'Low Stress Type Gasket'!BE24)</f>
        <v/>
      </c>
      <c r="C19" s="58" t="str">
        <f t="shared" ca="1" si="0"/>
        <v/>
      </c>
      <c r="D19" s="58" t="str">
        <f t="shared" ca="1" si="0"/>
        <v/>
      </c>
      <c r="E19" s="58" t="str">
        <f t="shared" ca="1" si="0"/>
        <v/>
      </c>
      <c r="F19" s="58" t="str">
        <f t="shared" ca="1" si="0"/>
        <v/>
      </c>
      <c r="G19" s="58" t="str">
        <f t="shared" ca="1" si="0"/>
        <v/>
      </c>
      <c r="H19" s="58" t="str">
        <f t="shared" ca="1" si="0"/>
        <v/>
      </c>
      <c r="I19" s="58" t="str">
        <f t="shared" ca="1" si="0"/>
        <v/>
      </c>
      <c r="J19" s="58" t="str">
        <f t="shared" ca="1" si="0"/>
        <v/>
      </c>
      <c r="K19" s="58" t="str">
        <f t="shared" ca="1" si="0"/>
        <v/>
      </c>
      <c r="L19" s="58" t="str">
        <f t="shared" ca="1" si="0"/>
        <v/>
      </c>
      <c r="P19" s="242"/>
      <c r="Q19" s="242"/>
      <c r="R19" s="242"/>
      <c r="S19" s="242"/>
      <c r="T19" s="242"/>
      <c r="U19" s="242"/>
      <c r="V19" s="242"/>
      <c r="W19" s="242"/>
      <c r="X19" s="242"/>
      <c r="Y19" s="242"/>
      <c r="Z19" s="242"/>
    </row>
    <row r="20" spans="2:26">
      <c r="B20" s="56" t="str">
        <f>IF('Low Stress Type Gasket'!BE25="","",'Low Stress Type Gasket'!BE25)</f>
        <v/>
      </c>
      <c r="C20" s="58" t="str">
        <f t="shared" ca="1" si="0"/>
        <v/>
      </c>
      <c r="D20" s="58" t="str">
        <f t="shared" ca="1" si="0"/>
        <v/>
      </c>
      <c r="E20" s="58" t="str">
        <f t="shared" ca="1" si="0"/>
        <v/>
      </c>
      <c r="F20" s="58" t="str">
        <f t="shared" ca="1" si="0"/>
        <v/>
      </c>
      <c r="G20" s="58" t="str">
        <f t="shared" ca="1" si="0"/>
        <v/>
      </c>
      <c r="H20" s="58" t="str">
        <f t="shared" ca="1" si="0"/>
        <v/>
      </c>
      <c r="I20" s="58" t="str">
        <f t="shared" ca="1" si="0"/>
        <v/>
      </c>
      <c r="J20" s="58" t="str">
        <f t="shared" ca="1" si="0"/>
        <v/>
      </c>
      <c r="K20" s="58" t="str">
        <f t="shared" ca="1" si="0"/>
        <v/>
      </c>
      <c r="L20" s="58" t="str">
        <f t="shared" ca="1" si="0"/>
        <v/>
      </c>
      <c r="P20" s="242"/>
      <c r="Q20" s="242"/>
      <c r="R20" s="242"/>
      <c r="S20" s="242"/>
      <c r="T20" s="242"/>
      <c r="U20" s="242"/>
      <c r="V20" s="242"/>
      <c r="W20" s="242"/>
      <c r="X20" s="242"/>
      <c r="Y20" s="242"/>
      <c r="Z20" s="242"/>
    </row>
    <row r="21" spans="2:26">
      <c r="B21" s="56" t="str">
        <f>IF('Low Stress Type Gasket'!BE26="","",'Low Stress Type Gasket'!BE26)</f>
        <v/>
      </c>
      <c r="C21" s="58" t="str">
        <f t="shared" ca="1" si="0"/>
        <v/>
      </c>
      <c r="D21" s="58" t="str">
        <f t="shared" ca="1" si="0"/>
        <v/>
      </c>
      <c r="E21" s="58" t="str">
        <f t="shared" ca="1" si="0"/>
        <v/>
      </c>
      <c r="F21" s="58" t="str">
        <f t="shared" ca="1" si="0"/>
        <v/>
      </c>
      <c r="G21" s="58" t="str">
        <f t="shared" ca="1" si="0"/>
        <v/>
      </c>
      <c r="H21" s="58" t="str">
        <f t="shared" ca="1" si="0"/>
        <v/>
      </c>
      <c r="I21" s="58" t="str">
        <f t="shared" ca="1" si="0"/>
        <v/>
      </c>
      <c r="J21" s="58" t="str">
        <f t="shared" ca="1" si="0"/>
        <v/>
      </c>
      <c r="K21" s="58" t="str">
        <f t="shared" ca="1" si="0"/>
        <v/>
      </c>
      <c r="L21" s="58" t="str">
        <f t="shared" ca="1" si="0"/>
        <v/>
      </c>
      <c r="P21" s="241"/>
      <c r="Q21" s="241"/>
      <c r="R21" s="241"/>
      <c r="S21" s="241"/>
      <c r="T21" s="241"/>
      <c r="U21" s="241"/>
      <c r="V21" s="241"/>
      <c r="W21" s="241"/>
      <c r="X21" s="241"/>
      <c r="Y21" s="241"/>
      <c r="Z21" s="241"/>
    </row>
    <row r="22" spans="2:26">
      <c r="B22" s="56" t="str">
        <f>IF('Low Stress Type Gasket'!BE27="","",'Low Stress Type Gasket'!BE27)</f>
        <v/>
      </c>
      <c r="C22" s="58" t="str">
        <f t="shared" ref="C22:L37" ca="1" si="1">IF($M$4=0,"",VLOOKUP($B22,INDIRECT("$P$1:$Z$"&amp;$M$4),COLUMN()-1,0))</f>
        <v/>
      </c>
      <c r="D22" s="58" t="str">
        <f t="shared" ca="1" si="1"/>
        <v/>
      </c>
      <c r="E22" s="58" t="str">
        <f t="shared" ca="1" si="1"/>
        <v/>
      </c>
      <c r="F22" s="58" t="str">
        <f t="shared" ca="1" si="1"/>
        <v/>
      </c>
      <c r="G22" s="58" t="str">
        <f t="shared" ca="1" si="1"/>
        <v/>
      </c>
      <c r="H22" s="58" t="str">
        <f t="shared" ca="1" si="1"/>
        <v/>
      </c>
      <c r="I22" s="58" t="str">
        <f t="shared" ca="1" si="1"/>
        <v/>
      </c>
      <c r="J22" s="58" t="str">
        <f t="shared" ca="1" si="1"/>
        <v/>
      </c>
      <c r="K22" s="58" t="str">
        <f t="shared" ca="1" si="1"/>
        <v/>
      </c>
      <c r="L22" s="58" t="str">
        <f t="shared" ca="1" si="1"/>
        <v/>
      </c>
      <c r="P22" s="242"/>
      <c r="Q22" s="242"/>
      <c r="R22" s="242"/>
      <c r="S22" s="242"/>
      <c r="T22" s="242"/>
      <c r="U22" s="242"/>
      <c r="V22" s="242"/>
      <c r="W22" s="242"/>
      <c r="X22" s="242"/>
      <c r="Y22" s="242"/>
      <c r="Z22" s="242"/>
    </row>
    <row r="23" spans="2:26">
      <c r="B23" s="56" t="str">
        <f>IF('Low Stress Type Gasket'!BE28="","",'Low Stress Type Gasket'!BE28)</f>
        <v/>
      </c>
      <c r="C23" s="58" t="str">
        <f t="shared" ca="1" si="1"/>
        <v/>
      </c>
      <c r="D23" s="58" t="str">
        <f t="shared" ca="1" si="1"/>
        <v/>
      </c>
      <c r="E23" s="58" t="str">
        <f t="shared" ca="1" si="1"/>
        <v/>
      </c>
      <c r="F23" s="58" t="str">
        <f t="shared" ca="1" si="1"/>
        <v/>
      </c>
      <c r="G23" s="58" t="str">
        <f t="shared" ca="1" si="1"/>
        <v/>
      </c>
      <c r="H23" s="58" t="str">
        <f t="shared" ca="1" si="1"/>
        <v/>
      </c>
      <c r="I23" s="58" t="str">
        <f t="shared" ca="1" si="1"/>
        <v/>
      </c>
      <c r="J23" s="58" t="str">
        <f t="shared" ca="1" si="1"/>
        <v/>
      </c>
      <c r="K23" s="58" t="str">
        <f t="shared" ca="1" si="1"/>
        <v/>
      </c>
      <c r="L23" s="58" t="str">
        <f t="shared" ca="1" si="1"/>
        <v/>
      </c>
      <c r="P23" s="242"/>
      <c r="Q23" s="242"/>
      <c r="R23" s="242"/>
      <c r="S23" s="242"/>
      <c r="T23" s="242"/>
      <c r="U23" s="242"/>
      <c r="V23" s="242"/>
      <c r="W23" s="242"/>
      <c r="X23" s="242"/>
      <c r="Y23" s="242"/>
      <c r="Z23" s="242"/>
    </row>
    <row r="24" spans="2:26">
      <c r="B24" s="56" t="str">
        <f>IF('Low Stress Type Gasket'!BE29="","",'Low Stress Type Gasket'!BE29)</f>
        <v/>
      </c>
      <c r="C24" s="58" t="str">
        <f t="shared" ca="1" si="1"/>
        <v/>
      </c>
      <c r="D24" s="58" t="str">
        <f t="shared" ca="1" si="1"/>
        <v/>
      </c>
      <c r="E24" s="58" t="str">
        <f t="shared" ca="1" si="1"/>
        <v/>
      </c>
      <c r="F24" s="58" t="str">
        <f t="shared" ca="1" si="1"/>
        <v/>
      </c>
      <c r="G24" s="58" t="str">
        <f t="shared" ca="1" si="1"/>
        <v/>
      </c>
      <c r="H24" s="58" t="str">
        <f t="shared" ca="1" si="1"/>
        <v/>
      </c>
      <c r="I24" s="58" t="str">
        <f t="shared" ca="1" si="1"/>
        <v/>
      </c>
      <c r="J24" s="58" t="str">
        <f t="shared" ca="1" si="1"/>
        <v/>
      </c>
      <c r="K24" s="58" t="str">
        <f t="shared" ca="1" si="1"/>
        <v/>
      </c>
      <c r="L24" s="58" t="str">
        <f t="shared" ca="1" si="1"/>
        <v/>
      </c>
      <c r="P24" s="241"/>
      <c r="Q24" s="241"/>
      <c r="R24" s="241"/>
      <c r="S24" s="241"/>
      <c r="T24" s="241"/>
      <c r="U24" s="241"/>
      <c r="V24" s="241"/>
      <c r="W24" s="241"/>
      <c r="X24" s="241"/>
      <c r="Y24" s="241"/>
      <c r="Z24" s="241"/>
    </row>
    <row r="25" spans="2:26">
      <c r="B25" s="56" t="str">
        <f>IF('Low Stress Type Gasket'!BE30="","",'Low Stress Type Gasket'!BE30)</f>
        <v/>
      </c>
      <c r="C25" s="58" t="str">
        <f t="shared" ca="1" si="1"/>
        <v/>
      </c>
      <c r="D25" s="58" t="str">
        <f t="shared" ca="1" si="1"/>
        <v/>
      </c>
      <c r="E25" s="58" t="str">
        <f t="shared" ca="1" si="1"/>
        <v/>
      </c>
      <c r="F25" s="58" t="str">
        <f t="shared" ca="1" si="1"/>
        <v/>
      </c>
      <c r="G25" s="58" t="str">
        <f t="shared" ca="1" si="1"/>
        <v/>
      </c>
      <c r="H25" s="58" t="str">
        <f t="shared" ca="1" si="1"/>
        <v/>
      </c>
      <c r="I25" s="58" t="str">
        <f t="shared" ca="1" si="1"/>
        <v/>
      </c>
      <c r="J25" s="58" t="str">
        <f t="shared" ca="1" si="1"/>
        <v/>
      </c>
      <c r="K25" s="58" t="str">
        <f t="shared" ca="1" si="1"/>
        <v/>
      </c>
      <c r="L25" s="58" t="str">
        <f t="shared" ca="1" si="1"/>
        <v/>
      </c>
      <c r="P25" s="242"/>
      <c r="Q25" s="242"/>
      <c r="R25" s="242"/>
      <c r="S25" s="242"/>
      <c r="T25" s="242"/>
      <c r="U25" s="242"/>
      <c r="V25" s="242"/>
      <c r="W25" s="242"/>
      <c r="X25" s="242"/>
      <c r="Y25" s="242"/>
      <c r="Z25" s="242"/>
    </row>
    <row r="26" spans="2:26">
      <c r="B26" s="56" t="str">
        <f>IF('Low Stress Type Gasket'!BE31="","",'Low Stress Type Gasket'!BE31)</f>
        <v/>
      </c>
      <c r="C26" s="58" t="str">
        <f t="shared" ca="1" si="1"/>
        <v/>
      </c>
      <c r="D26" s="58" t="str">
        <f t="shared" ca="1" si="1"/>
        <v/>
      </c>
      <c r="E26" s="58" t="str">
        <f t="shared" ca="1" si="1"/>
        <v/>
      </c>
      <c r="F26" s="58" t="str">
        <f t="shared" ca="1" si="1"/>
        <v/>
      </c>
      <c r="G26" s="58" t="str">
        <f t="shared" ca="1" si="1"/>
        <v/>
      </c>
      <c r="H26" s="58" t="str">
        <f t="shared" ca="1" si="1"/>
        <v/>
      </c>
      <c r="I26" s="58" t="str">
        <f t="shared" ca="1" si="1"/>
        <v/>
      </c>
      <c r="J26" s="58" t="str">
        <f t="shared" ca="1" si="1"/>
        <v/>
      </c>
      <c r="K26" s="58" t="str">
        <f t="shared" ca="1" si="1"/>
        <v/>
      </c>
      <c r="L26" s="58" t="str">
        <f t="shared" ca="1" si="1"/>
        <v/>
      </c>
      <c r="P26" s="242"/>
      <c r="Q26" s="242"/>
      <c r="R26" s="242"/>
      <c r="S26" s="242"/>
      <c r="T26" s="242"/>
      <c r="U26" s="242"/>
      <c r="V26" s="242"/>
      <c r="W26" s="242"/>
      <c r="X26" s="242"/>
      <c r="Y26" s="242"/>
      <c r="Z26" s="242"/>
    </row>
    <row r="27" spans="2:26">
      <c r="B27" s="56" t="str">
        <f>IF('Low Stress Type Gasket'!BE32="","",'Low Stress Type Gasket'!BE32)</f>
        <v/>
      </c>
      <c r="C27" s="58" t="str">
        <f t="shared" ca="1" si="1"/>
        <v/>
      </c>
      <c r="D27" s="58" t="str">
        <f t="shared" ca="1" si="1"/>
        <v/>
      </c>
      <c r="E27" s="58" t="str">
        <f t="shared" ca="1" si="1"/>
        <v/>
      </c>
      <c r="F27" s="58" t="str">
        <f t="shared" ca="1" si="1"/>
        <v/>
      </c>
      <c r="G27" s="58" t="str">
        <f t="shared" ca="1" si="1"/>
        <v/>
      </c>
      <c r="H27" s="58" t="str">
        <f t="shared" ca="1" si="1"/>
        <v/>
      </c>
      <c r="I27" s="58" t="str">
        <f t="shared" ca="1" si="1"/>
        <v/>
      </c>
      <c r="J27" s="58" t="str">
        <f t="shared" ca="1" si="1"/>
        <v/>
      </c>
      <c r="K27" s="58" t="str">
        <f t="shared" ca="1" si="1"/>
        <v/>
      </c>
      <c r="L27" s="58" t="str">
        <f t="shared" ca="1" si="1"/>
        <v/>
      </c>
      <c r="P27" s="241"/>
      <c r="Q27" s="241"/>
      <c r="R27" s="241"/>
      <c r="S27" s="241"/>
      <c r="T27" s="241"/>
      <c r="U27" s="241"/>
      <c r="V27" s="241"/>
      <c r="W27" s="241"/>
      <c r="X27" s="241"/>
      <c r="Y27" s="241"/>
      <c r="Z27" s="241"/>
    </row>
    <row r="28" spans="2:26">
      <c r="B28" s="56" t="str">
        <f>IF('Low Stress Type Gasket'!BE33="","",'Low Stress Type Gasket'!BE33)</f>
        <v/>
      </c>
      <c r="C28" s="58" t="str">
        <f t="shared" ca="1" si="1"/>
        <v/>
      </c>
      <c r="D28" s="58" t="str">
        <f t="shared" ca="1" si="1"/>
        <v/>
      </c>
      <c r="E28" s="58" t="str">
        <f t="shared" ca="1" si="1"/>
        <v/>
      </c>
      <c r="F28" s="58" t="str">
        <f t="shared" ca="1" si="1"/>
        <v/>
      </c>
      <c r="G28" s="58" t="str">
        <f t="shared" ca="1" si="1"/>
        <v/>
      </c>
      <c r="H28" s="58" t="str">
        <f t="shared" ca="1" si="1"/>
        <v/>
      </c>
      <c r="I28" s="58" t="str">
        <f t="shared" ca="1" si="1"/>
        <v/>
      </c>
      <c r="J28" s="58" t="str">
        <f t="shared" ca="1" si="1"/>
        <v/>
      </c>
      <c r="K28" s="58" t="str">
        <f t="shared" ca="1" si="1"/>
        <v/>
      </c>
      <c r="L28" s="58" t="str">
        <f t="shared" ca="1" si="1"/>
        <v/>
      </c>
      <c r="P28" s="242"/>
      <c r="Q28" s="242"/>
      <c r="R28" s="242"/>
      <c r="S28" s="242"/>
      <c r="T28" s="242"/>
      <c r="U28" s="242"/>
      <c r="V28" s="242"/>
      <c r="W28" s="242"/>
      <c r="X28" s="242"/>
      <c r="Y28" s="242"/>
      <c r="Z28" s="242"/>
    </row>
    <row r="29" spans="2:26">
      <c r="B29" s="56" t="str">
        <f>IF('Low Stress Type Gasket'!BE34="","",'Low Stress Type Gasket'!BE34)</f>
        <v/>
      </c>
      <c r="C29" s="58" t="str">
        <f t="shared" ca="1" si="1"/>
        <v/>
      </c>
      <c r="D29" s="58" t="str">
        <f t="shared" ca="1" si="1"/>
        <v/>
      </c>
      <c r="E29" s="58" t="str">
        <f t="shared" ca="1" si="1"/>
        <v/>
      </c>
      <c r="F29" s="58" t="str">
        <f t="shared" ca="1" si="1"/>
        <v/>
      </c>
      <c r="G29" s="58" t="str">
        <f t="shared" ca="1" si="1"/>
        <v/>
      </c>
      <c r="H29" s="58" t="str">
        <f t="shared" ca="1" si="1"/>
        <v/>
      </c>
      <c r="I29" s="58" t="str">
        <f t="shared" ca="1" si="1"/>
        <v/>
      </c>
      <c r="J29" s="58" t="str">
        <f t="shared" ca="1" si="1"/>
        <v/>
      </c>
      <c r="K29" s="58" t="str">
        <f t="shared" ca="1" si="1"/>
        <v/>
      </c>
      <c r="L29" s="58" t="str">
        <f t="shared" ca="1" si="1"/>
        <v/>
      </c>
      <c r="P29" s="242"/>
      <c r="Q29" s="242"/>
      <c r="R29" s="242"/>
      <c r="S29" s="242"/>
      <c r="T29" s="242"/>
      <c r="U29" s="242"/>
      <c r="V29" s="242"/>
      <c r="W29" s="242"/>
      <c r="X29" s="242"/>
      <c r="Y29" s="242"/>
      <c r="Z29" s="242"/>
    </row>
    <row r="30" spans="2:26">
      <c r="B30" s="56" t="str">
        <f>IF('Low Stress Type Gasket'!BE35="","",'Low Stress Type Gasket'!BE35)</f>
        <v/>
      </c>
      <c r="C30" s="58" t="str">
        <f t="shared" ca="1" si="1"/>
        <v/>
      </c>
      <c r="D30" s="58" t="str">
        <f t="shared" ca="1" si="1"/>
        <v/>
      </c>
      <c r="E30" s="58" t="str">
        <f t="shared" ca="1" si="1"/>
        <v/>
      </c>
      <c r="F30" s="58" t="str">
        <f t="shared" ca="1" si="1"/>
        <v/>
      </c>
      <c r="G30" s="58" t="str">
        <f t="shared" ca="1" si="1"/>
        <v/>
      </c>
      <c r="H30" s="58" t="str">
        <f t="shared" ca="1" si="1"/>
        <v/>
      </c>
      <c r="I30" s="58" t="str">
        <f t="shared" ca="1" si="1"/>
        <v/>
      </c>
      <c r="J30" s="58" t="str">
        <f t="shared" ca="1" si="1"/>
        <v/>
      </c>
      <c r="K30" s="58" t="str">
        <f t="shared" ca="1" si="1"/>
        <v/>
      </c>
      <c r="L30" s="58" t="str">
        <f t="shared" ca="1" si="1"/>
        <v/>
      </c>
      <c r="P30" s="241"/>
      <c r="Q30" s="241"/>
      <c r="R30" s="241"/>
      <c r="S30" s="241"/>
      <c r="T30" s="241"/>
      <c r="U30" s="241"/>
      <c r="V30" s="241"/>
      <c r="W30" s="241"/>
      <c r="X30" s="241"/>
      <c r="Y30" s="241"/>
      <c r="Z30" s="241"/>
    </row>
    <row r="31" spans="2:26">
      <c r="B31" s="56" t="str">
        <f>IF('Low Stress Type Gasket'!BE36="","",'Low Stress Type Gasket'!BE36)</f>
        <v/>
      </c>
      <c r="C31" s="58" t="str">
        <f t="shared" ca="1" si="1"/>
        <v/>
      </c>
      <c r="D31" s="58" t="str">
        <f t="shared" ca="1" si="1"/>
        <v/>
      </c>
      <c r="E31" s="58" t="str">
        <f t="shared" ca="1" si="1"/>
        <v/>
      </c>
      <c r="F31" s="58" t="str">
        <f t="shared" ca="1" si="1"/>
        <v/>
      </c>
      <c r="G31" s="58" t="str">
        <f t="shared" ca="1" si="1"/>
        <v/>
      </c>
      <c r="H31" s="58" t="str">
        <f t="shared" ca="1" si="1"/>
        <v/>
      </c>
      <c r="I31" s="58" t="str">
        <f t="shared" ca="1" si="1"/>
        <v/>
      </c>
      <c r="J31" s="58" t="str">
        <f t="shared" ca="1" si="1"/>
        <v/>
      </c>
      <c r="K31" s="58" t="str">
        <f t="shared" ca="1" si="1"/>
        <v/>
      </c>
      <c r="L31" s="58" t="str">
        <f t="shared" ca="1" si="1"/>
        <v/>
      </c>
      <c r="P31" s="242"/>
      <c r="Q31" s="242"/>
      <c r="R31" s="242"/>
      <c r="S31" s="242"/>
      <c r="T31" s="242"/>
      <c r="U31" s="242"/>
      <c r="V31" s="242"/>
      <c r="W31" s="242"/>
      <c r="X31" s="242"/>
      <c r="Y31" s="242"/>
      <c r="Z31" s="242"/>
    </row>
    <row r="32" spans="2:26">
      <c r="B32" s="56" t="str">
        <f>IF('Low Stress Type Gasket'!BE37="","",'Low Stress Type Gasket'!BE37)</f>
        <v/>
      </c>
      <c r="C32" s="58" t="str">
        <f t="shared" ca="1" si="1"/>
        <v/>
      </c>
      <c r="D32" s="58" t="str">
        <f t="shared" ca="1" si="1"/>
        <v/>
      </c>
      <c r="E32" s="58" t="str">
        <f t="shared" ca="1" si="1"/>
        <v/>
      </c>
      <c r="F32" s="58" t="str">
        <f t="shared" ca="1" si="1"/>
        <v/>
      </c>
      <c r="G32" s="58" t="str">
        <f t="shared" ca="1" si="1"/>
        <v/>
      </c>
      <c r="H32" s="58" t="str">
        <f t="shared" ca="1" si="1"/>
        <v/>
      </c>
      <c r="I32" s="58" t="str">
        <f t="shared" ca="1" si="1"/>
        <v/>
      </c>
      <c r="J32" s="58" t="str">
        <f t="shared" ca="1" si="1"/>
        <v/>
      </c>
      <c r="K32" s="58" t="str">
        <f t="shared" ca="1" si="1"/>
        <v/>
      </c>
      <c r="L32" s="58" t="str">
        <f t="shared" ca="1" si="1"/>
        <v/>
      </c>
      <c r="P32" s="242"/>
      <c r="Q32" s="242"/>
      <c r="R32" s="242"/>
      <c r="S32" s="242"/>
      <c r="T32" s="242"/>
      <c r="U32" s="242"/>
      <c r="V32" s="242"/>
      <c r="W32" s="242"/>
      <c r="X32" s="242"/>
      <c r="Y32" s="242"/>
      <c r="Z32" s="242"/>
    </row>
    <row r="33" spans="2:26">
      <c r="B33" s="56" t="str">
        <f>IF('Low Stress Type Gasket'!BE38="","",'Low Stress Type Gasket'!BE38)</f>
        <v/>
      </c>
      <c r="C33" s="58" t="str">
        <f t="shared" ca="1" si="1"/>
        <v/>
      </c>
      <c r="D33" s="58" t="str">
        <f t="shared" ca="1" si="1"/>
        <v/>
      </c>
      <c r="E33" s="58" t="str">
        <f t="shared" ca="1" si="1"/>
        <v/>
      </c>
      <c r="F33" s="58" t="str">
        <f t="shared" ca="1" si="1"/>
        <v/>
      </c>
      <c r="G33" s="58" t="str">
        <f t="shared" ca="1" si="1"/>
        <v/>
      </c>
      <c r="H33" s="58" t="str">
        <f t="shared" ca="1" si="1"/>
        <v/>
      </c>
      <c r="I33" s="58" t="str">
        <f t="shared" ca="1" si="1"/>
        <v/>
      </c>
      <c r="J33" s="58" t="str">
        <f t="shared" ca="1" si="1"/>
        <v/>
      </c>
      <c r="K33" s="58" t="str">
        <f t="shared" ca="1" si="1"/>
        <v/>
      </c>
      <c r="L33" s="58" t="str">
        <f t="shared" ca="1" si="1"/>
        <v/>
      </c>
      <c r="P33" s="241"/>
      <c r="Q33" s="241"/>
      <c r="R33" s="241"/>
      <c r="S33" s="241"/>
      <c r="T33" s="241"/>
      <c r="U33" s="241"/>
      <c r="V33" s="241"/>
      <c r="W33" s="241"/>
      <c r="X33" s="241"/>
      <c r="Y33" s="241"/>
      <c r="Z33" s="241"/>
    </row>
    <row r="34" spans="2:26">
      <c r="B34" s="56" t="str">
        <f>IF('Low Stress Type Gasket'!BE39="","",'Low Stress Type Gasket'!BE39)</f>
        <v/>
      </c>
      <c r="C34" s="58" t="str">
        <f t="shared" ca="1" si="1"/>
        <v/>
      </c>
      <c r="D34" s="58" t="str">
        <f t="shared" ca="1" si="1"/>
        <v/>
      </c>
      <c r="E34" s="58" t="str">
        <f t="shared" ca="1" si="1"/>
        <v/>
      </c>
      <c r="F34" s="58" t="str">
        <f t="shared" ca="1" si="1"/>
        <v/>
      </c>
      <c r="G34" s="58" t="str">
        <f t="shared" ca="1" si="1"/>
        <v/>
      </c>
      <c r="H34" s="58" t="str">
        <f t="shared" ca="1" si="1"/>
        <v/>
      </c>
      <c r="I34" s="58" t="str">
        <f t="shared" ca="1" si="1"/>
        <v/>
      </c>
      <c r="J34" s="58" t="str">
        <f t="shared" ca="1" si="1"/>
        <v/>
      </c>
      <c r="K34" s="58" t="str">
        <f t="shared" ca="1" si="1"/>
        <v/>
      </c>
      <c r="L34" s="58" t="str">
        <f t="shared" ca="1" si="1"/>
        <v/>
      </c>
      <c r="P34" s="242"/>
      <c r="Q34" s="242"/>
      <c r="R34" s="242"/>
      <c r="S34" s="242"/>
      <c r="T34" s="242"/>
      <c r="U34" s="242"/>
      <c r="V34" s="242"/>
      <c r="W34" s="242"/>
      <c r="X34" s="242"/>
      <c r="Y34" s="242"/>
      <c r="Z34" s="242"/>
    </row>
    <row r="35" spans="2:26">
      <c r="B35" s="56" t="str">
        <f>IF('Low Stress Type Gasket'!BE40="","",'Low Stress Type Gasket'!BE40)</f>
        <v/>
      </c>
      <c r="C35" s="58" t="str">
        <f t="shared" ca="1" si="1"/>
        <v/>
      </c>
      <c r="D35" s="58" t="str">
        <f t="shared" ca="1" si="1"/>
        <v/>
      </c>
      <c r="E35" s="58" t="str">
        <f t="shared" ca="1" si="1"/>
        <v/>
      </c>
      <c r="F35" s="58" t="str">
        <f t="shared" ca="1" si="1"/>
        <v/>
      </c>
      <c r="G35" s="58" t="str">
        <f t="shared" ca="1" si="1"/>
        <v/>
      </c>
      <c r="H35" s="58" t="str">
        <f t="shared" ca="1" si="1"/>
        <v/>
      </c>
      <c r="I35" s="58" t="str">
        <f t="shared" ca="1" si="1"/>
        <v/>
      </c>
      <c r="J35" s="58" t="str">
        <f t="shared" ca="1" si="1"/>
        <v/>
      </c>
      <c r="K35" s="58" t="str">
        <f t="shared" ca="1" si="1"/>
        <v/>
      </c>
      <c r="L35" s="58" t="str">
        <f t="shared" ca="1" si="1"/>
        <v/>
      </c>
      <c r="P35" s="242"/>
      <c r="Q35" s="242"/>
      <c r="R35" s="242"/>
      <c r="S35" s="242"/>
      <c r="T35" s="242"/>
      <c r="U35" s="242"/>
      <c r="V35" s="242"/>
      <c r="W35" s="242"/>
      <c r="X35" s="242"/>
      <c r="Y35" s="242"/>
      <c r="Z35" s="242"/>
    </row>
    <row r="36" spans="2:26">
      <c r="B36" s="56" t="str">
        <f>IF('Low Stress Type Gasket'!BE41="","",'Low Stress Type Gasket'!BE41)</f>
        <v/>
      </c>
      <c r="C36" s="58" t="str">
        <f t="shared" ca="1" si="1"/>
        <v/>
      </c>
      <c r="D36" s="58" t="str">
        <f t="shared" ca="1" si="1"/>
        <v/>
      </c>
      <c r="E36" s="58" t="str">
        <f t="shared" ca="1" si="1"/>
        <v/>
      </c>
      <c r="F36" s="58" t="str">
        <f t="shared" ca="1" si="1"/>
        <v/>
      </c>
      <c r="G36" s="58" t="str">
        <f t="shared" ca="1" si="1"/>
        <v/>
      </c>
      <c r="H36" s="58" t="str">
        <f t="shared" ca="1" si="1"/>
        <v/>
      </c>
      <c r="I36" s="58" t="str">
        <f t="shared" ca="1" si="1"/>
        <v/>
      </c>
      <c r="J36" s="58" t="str">
        <f t="shared" ca="1" si="1"/>
        <v/>
      </c>
      <c r="K36" s="58" t="str">
        <f t="shared" ca="1" si="1"/>
        <v/>
      </c>
      <c r="L36" s="58" t="str">
        <f t="shared" ca="1" si="1"/>
        <v/>
      </c>
      <c r="P36" s="241"/>
      <c r="Q36" s="241"/>
      <c r="R36" s="241"/>
      <c r="S36" s="241"/>
      <c r="T36" s="241"/>
      <c r="U36" s="241"/>
      <c r="V36" s="241"/>
      <c r="W36" s="241"/>
      <c r="X36" s="241"/>
      <c r="Y36" s="241"/>
      <c r="Z36" s="241"/>
    </row>
    <row r="37" spans="2:26">
      <c r="B37" s="56" t="str">
        <f>IF('Low Stress Type Gasket'!BE42="","",'Low Stress Type Gasket'!BE42)</f>
        <v/>
      </c>
      <c r="C37" s="58" t="str">
        <f t="shared" ca="1" si="1"/>
        <v/>
      </c>
      <c r="D37" s="58" t="str">
        <f t="shared" ca="1" si="1"/>
        <v/>
      </c>
      <c r="E37" s="58" t="str">
        <f t="shared" ca="1" si="1"/>
        <v/>
      </c>
      <c r="F37" s="58" t="str">
        <f t="shared" ca="1" si="1"/>
        <v/>
      </c>
      <c r="G37" s="58" t="str">
        <f t="shared" ca="1" si="1"/>
        <v/>
      </c>
      <c r="H37" s="58" t="str">
        <f t="shared" ca="1" si="1"/>
        <v/>
      </c>
      <c r="I37" s="58" t="str">
        <f t="shared" ca="1" si="1"/>
        <v/>
      </c>
      <c r="J37" s="58" t="str">
        <f t="shared" ca="1" si="1"/>
        <v/>
      </c>
      <c r="K37" s="58" t="str">
        <f t="shared" ca="1" si="1"/>
        <v/>
      </c>
      <c r="L37" s="58" t="str">
        <f t="shared" ca="1" si="1"/>
        <v/>
      </c>
      <c r="P37" s="242"/>
      <c r="Q37" s="242"/>
      <c r="R37" s="242"/>
      <c r="S37" s="242"/>
      <c r="T37" s="242"/>
      <c r="U37" s="242"/>
      <c r="V37" s="242"/>
      <c r="W37" s="242"/>
      <c r="X37" s="242"/>
      <c r="Y37" s="242"/>
      <c r="Z37" s="242"/>
    </row>
    <row r="38" spans="2:26">
      <c r="B38" s="56" t="str">
        <f>IF('Low Stress Type Gasket'!BE43="","",'Low Stress Type Gasket'!BE43)</f>
        <v/>
      </c>
      <c r="C38" s="58" t="str">
        <f t="shared" ref="C38:L53" ca="1" si="2">IF($M$4=0,"",VLOOKUP($B38,INDIRECT("$P$1:$Z$"&amp;$M$4),COLUMN()-1,0))</f>
        <v/>
      </c>
      <c r="D38" s="58" t="str">
        <f t="shared" ca="1" si="2"/>
        <v/>
      </c>
      <c r="E38" s="58" t="str">
        <f t="shared" ca="1" si="2"/>
        <v/>
      </c>
      <c r="F38" s="58" t="str">
        <f t="shared" ca="1" si="2"/>
        <v/>
      </c>
      <c r="G38" s="58" t="str">
        <f t="shared" ca="1" si="2"/>
        <v/>
      </c>
      <c r="H38" s="58" t="str">
        <f t="shared" ca="1" si="2"/>
        <v/>
      </c>
      <c r="I38" s="58" t="str">
        <f t="shared" ca="1" si="2"/>
        <v/>
      </c>
      <c r="J38" s="58" t="str">
        <f t="shared" ca="1" si="2"/>
        <v/>
      </c>
      <c r="K38" s="58" t="str">
        <f t="shared" ca="1" si="2"/>
        <v/>
      </c>
      <c r="L38" s="58" t="str">
        <f t="shared" ca="1" si="2"/>
        <v/>
      </c>
      <c r="P38" s="242"/>
      <c r="Q38" s="242"/>
      <c r="R38" s="242"/>
      <c r="S38" s="242"/>
      <c r="T38" s="242"/>
      <c r="U38" s="242"/>
      <c r="V38" s="242"/>
      <c r="W38" s="242"/>
      <c r="X38" s="242"/>
      <c r="Y38" s="242"/>
      <c r="Z38" s="242"/>
    </row>
    <row r="39" spans="2:26">
      <c r="B39" s="56" t="str">
        <f>IF('Low Stress Type Gasket'!BE44="","",'Low Stress Type Gasket'!BE44)</f>
        <v/>
      </c>
      <c r="C39" s="58" t="str">
        <f t="shared" ca="1" si="2"/>
        <v/>
      </c>
      <c r="D39" s="58" t="str">
        <f t="shared" ca="1" si="2"/>
        <v/>
      </c>
      <c r="E39" s="58" t="str">
        <f t="shared" ca="1" si="2"/>
        <v/>
      </c>
      <c r="F39" s="58" t="str">
        <f t="shared" ca="1" si="2"/>
        <v/>
      </c>
      <c r="G39" s="58" t="str">
        <f t="shared" ca="1" si="2"/>
        <v/>
      </c>
      <c r="H39" s="58" t="str">
        <f t="shared" ca="1" si="2"/>
        <v/>
      </c>
      <c r="I39" s="58" t="str">
        <f t="shared" ca="1" si="2"/>
        <v/>
      </c>
      <c r="J39" s="58" t="str">
        <f t="shared" ca="1" si="2"/>
        <v/>
      </c>
      <c r="K39" s="58" t="str">
        <f t="shared" ca="1" si="2"/>
        <v/>
      </c>
      <c r="L39" s="58" t="str">
        <f t="shared" ca="1" si="2"/>
        <v/>
      </c>
      <c r="P39" s="241"/>
      <c r="Q39" s="241"/>
      <c r="R39" s="241"/>
      <c r="S39" s="241"/>
      <c r="T39" s="241"/>
      <c r="U39" s="241"/>
      <c r="V39" s="241"/>
      <c r="W39" s="241"/>
      <c r="X39" s="241"/>
      <c r="Y39" s="241"/>
      <c r="Z39" s="241"/>
    </row>
    <row r="40" spans="2:26">
      <c r="B40" s="56" t="str">
        <f>IF('Low Stress Type Gasket'!BE45="","",'Low Stress Type Gasket'!BE45)</f>
        <v/>
      </c>
      <c r="C40" s="58" t="str">
        <f t="shared" ca="1" si="2"/>
        <v/>
      </c>
      <c r="D40" s="58" t="str">
        <f t="shared" ca="1" si="2"/>
        <v/>
      </c>
      <c r="E40" s="58" t="str">
        <f t="shared" ca="1" si="2"/>
        <v/>
      </c>
      <c r="F40" s="58" t="str">
        <f t="shared" ca="1" si="2"/>
        <v/>
      </c>
      <c r="G40" s="58" t="str">
        <f t="shared" ca="1" si="2"/>
        <v/>
      </c>
      <c r="H40" s="58" t="str">
        <f t="shared" ca="1" si="2"/>
        <v/>
      </c>
      <c r="I40" s="58" t="str">
        <f t="shared" ca="1" si="2"/>
        <v/>
      </c>
      <c r="J40" s="58" t="str">
        <f t="shared" ca="1" si="2"/>
        <v/>
      </c>
      <c r="K40" s="58" t="str">
        <f t="shared" ca="1" si="2"/>
        <v/>
      </c>
      <c r="L40" s="58" t="str">
        <f t="shared" ca="1" si="2"/>
        <v/>
      </c>
      <c r="P40" s="242"/>
      <c r="Q40" s="242"/>
      <c r="R40" s="242"/>
      <c r="S40" s="242"/>
      <c r="T40" s="242"/>
      <c r="U40" s="242"/>
      <c r="V40" s="242"/>
      <c r="W40" s="242"/>
      <c r="X40" s="242"/>
      <c r="Y40" s="242"/>
      <c r="Z40" s="242"/>
    </row>
    <row r="41" spans="2:26">
      <c r="B41" s="56" t="str">
        <f>IF('Low Stress Type Gasket'!BE46="","",'Low Stress Type Gasket'!BE46)</f>
        <v/>
      </c>
      <c r="C41" s="58" t="str">
        <f t="shared" ca="1" si="2"/>
        <v/>
      </c>
      <c r="D41" s="58" t="str">
        <f t="shared" ca="1" si="2"/>
        <v/>
      </c>
      <c r="E41" s="58" t="str">
        <f t="shared" ca="1" si="2"/>
        <v/>
      </c>
      <c r="F41" s="58" t="str">
        <f t="shared" ca="1" si="2"/>
        <v/>
      </c>
      <c r="G41" s="58" t="str">
        <f t="shared" ca="1" si="2"/>
        <v/>
      </c>
      <c r="H41" s="58" t="str">
        <f t="shared" ca="1" si="2"/>
        <v/>
      </c>
      <c r="I41" s="58" t="str">
        <f t="shared" ca="1" si="2"/>
        <v/>
      </c>
      <c r="J41" s="58" t="str">
        <f t="shared" ca="1" si="2"/>
        <v/>
      </c>
      <c r="K41" s="58" t="str">
        <f t="shared" ca="1" si="2"/>
        <v/>
      </c>
      <c r="L41" s="58" t="str">
        <f t="shared" ca="1" si="2"/>
        <v/>
      </c>
      <c r="P41" s="242"/>
      <c r="Q41" s="242"/>
      <c r="R41" s="242"/>
      <c r="S41" s="242"/>
      <c r="T41" s="242"/>
      <c r="U41" s="242"/>
      <c r="V41" s="242"/>
      <c r="W41" s="242"/>
      <c r="X41" s="242"/>
      <c r="Y41" s="242"/>
      <c r="Z41" s="242"/>
    </row>
    <row r="42" spans="2:26">
      <c r="B42" s="56" t="str">
        <f>IF('Low Stress Type Gasket'!BE47="","",'Low Stress Type Gasket'!BE47)</f>
        <v/>
      </c>
      <c r="C42" s="58" t="str">
        <f t="shared" ca="1" si="2"/>
        <v/>
      </c>
      <c r="D42" s="58" t="str">
        <f t="shared" ca="1" si="2"/>
        <v/>
      </c>
      <c r="E42" s="58" t="str">
        <f t="shared" ca="1" si="2"/>
        <v/>
      </c>
      <c r="F42" s="58" t="str">
        <f t="shared" ca="1" si="2"/>
        <v/>
      </c>
      <c r="G42" s="58" t="str">
        <f t="shared" ca="1" si="2"/>
        <v/>
      </c>
      <c r="H42" s="58" t="str">
        <f t="shared" ca="1" si="2"/>
        <v/>
      </c>
      <c r="I42" s="58" t="str">
        <f t="shared" ca="1" si="2"/>
        <v/>
      </c>
      <c r="J42" s="58" t="str">
        <f t="shared" ca="1" si="2"/>
        <v/>
      </c>
      <c r="K42" s="58" t="str">
        <f t="shared" ca="1" si="2"/>
        <v/>
      </c>
      <c r="L42" s="58" t="str">
        <f t="shared" ca="1" si="2"/>
        <v/>
      </c>
      <c r="P42" s="241"/>
      <c r="Q42" s="241"/>
      <c r="R42" s="241"/>
      <c r="S42" s="241"/>
      <c r="T42" s="241"/>
      <c r="U42" s="241"/>
      <c r="V42" s="241"/>
      <c r="W42" s="241"/>
      <c r="X42" s="241"/>
      <c r="Y42" s="241"/>
      <c r="Z42" s="241"/>
    </row>
    <row r="43" spans="2:26">
      <c r="B43" s="56" t="str">
        <f>IF('Low Stress Type Gasket'!BE48="","",'Low Stress Type Gasket'!BE48)</f>
        <v/>
      </c>
      <c r="C43" s="58" t="str">
        <f t="shared" ca="1" si="2"/>
        <v/>
      </c>
      <c r="D43" s="58" t="str">
        <f t="shared" ca="1" si="2"/>
        <v/>
      </c>
      <c r="E43" s="58" t="str">
        <f t="shared" ca="1" si="2"/>
        <v/>
      </c>
      <c r="F43" s="58" t="str">
        <f t="shared" ca="1" si="2"/>
        <v/>
      </c>
      <c r="G43" s="58" t="str">
        <f t="shared" ca="1" si="2"/>
        <v/>
      </c>
      <c r="H43" s="58" t="str">
        <f t="shared" ca="1" si="2"/>
        <v/>
      </c>
      <c r="I43" s="58" t="str">
        <f t="shared" ca="1" si="2"/>
        <v/>
      </c>
      <c r="J43" s="58" t="str">
        <f t="shared" ca="1" si="2"/>
        <v/>
      </c>
      <c r="K43" s="58" t="str">
        <f t="shared" ca="1" si="2"/>
        <v/>
      </c>
      <c r="L43" s="58" t="str">
        <f t="shared" ca="1" si="2"/>
        <v/>
      </c>
      <c r="P43" s="242"/>
      <c r="Q43" s="242"/>
      <c r="R43" s="242"/>
      <c r="S43" s="242"/>
      <c r="T43" s="242"/>
      <c r="U43" s="242"/>
      <c r="V43" s="242"/>
      <c r="W43" s="242"/>
      <c r="X43" s="242"/>
      <c r="Y43" s="242"/>
      <c r="Z43" s="242"/>
    </row>
    <row r="44" spans="2:26">
      <c r="B44" s="56" t="str">
        <f>IF('Low Stress Type Gasket'!BE49="","",'Low Stress Type Gasket'!BE49)</f>
        <v/>
      </c>
      <c r="C44" s="58" t="str">
        <f t="shared" ca="1" si="2"/>
        <v/>
      </c>
      <c r="D44" s="58" t="str">
        <f t="shared" ca="1" si="2"/>
        <v/>
      </c>
      <c r="E44" s="58" t="str">
        <f t="shared" ca="1" si="2"/>
        <v/>
      </c>
      <c r="F44" s="58" t="str">
        <f t="shared" ca="1" si="2"/>
        <v/>
      </c>
      <c r="G44" s="58" t="str">
        <f t="shared" ca="1" si="2"/>
        <v/>
      </c>
      <c r="H44" s="58" t="str">
        <f t="shared" ca="1" si="2"/>
        <v/>
      </c>
      <c r="I44" s="58" t="str">
        <f t="shared" ca="1" si="2"/>
        <v/>
      </c>
      <c r="J44" s="58" t="str">
        <f t="shared" ca="1" si="2"/>
        <v/>
      </c>
      <c r="K44" s="58" t="str">
        <f t="shared" ca="1" si="2"/>
        <v/>
      </c>
      <c r="L44" s="58" t="str">
        <f t="shared" ca="1" si="2"/>
        <v/>
      </c>
      <c r="P44" s="242"/>
      <c r="Q44" s="242"/>
      <c r="R44" s="242"/>
      <c r="S44" s="242"/>
      <c r="T44" s="242"/>
      <c r="U44" s="242"/>
      <c r="V44" s="242"/>
      <c r="W44" s="242"/>
      <c r="X44" s="242"/>
      <c r="Y44" s="242"/>
      <c r="Z44" s="242"/>
    </row>
    <row r="45" spans="2:26">
      <c r="B45" s="56" t="str">
        <f>IF('Low Stress Type Gasket'!BE50="","",'Low Stress Type Gasket'!BE50)</f>
        <v/>
      </c>
      <c r="C45" s="58" t="str">
        <f t="shared" ca="1" si="2"/>
        <v/>
      </c>
      <c r="D45" s="58" t="str">
        <f t="shared" ca="1" si="2"/>
        <v/>
      </c>
      <c r="E45" s="58" t="str">
        <f t="shared" ca="1" si="2"/>
        <v/>
      </c>
      <c r="F45" s="58" t="str">
        <f t="shared" ca="1" si="2"/>
        <v/>
      </c>
      <c r="G45" s="58" t="str">
        <f t="shared" ca="1" si="2"/>
        <v/>
      </c>
      <c r="H45" s="58" t="str">
        <f t="shared" ca="1" si="2"/>
        <v/>
      </c>
      <c r="I45" s="58" t="str">
        <f t="shared" ca="1" si="2"/>
        <v/>
      </c>
      <c r="J45" s="58" t="str">
        <f t="shared" ca="1" si="2"/>
        <v/>
      </c>
      <c r="K45" s="58" t="str">
        <f t="shared" ca="1" si="2"/>
        <v/>
      </c>
      <c r="L45" s="58" t="str">
        <f t="shared" ca="1" si="2"/>
        <v/>
      </c>
      <c r="P45" s="241"/>
      <c r="Q45" s="241"/>
      <c r="R45" s="241"/>
      <c r="S45" s="241"/>
      <c r="T45" s="241"/>
      <c r="U45" s="241"/>
      <c r="V45" s="241"/>
      <c r="W45" s="241"/>
      <c r="X45" s="241"/>
      <c r="Y45" s="241"/>
      <c r="Z45" s="241"/>
    </row>
    <row r="46" spans="2:26">
      <c r="B46" s="56" t="str">
        <f>IF('Low Stress Type Gasket'!BE51="","",'Low Stress Type Gasket'!BE51)</f>
        <v/>
      </c>
      <c r="C46" s="58" t="str">
        <f t="shared" ca="1" si="2"/>
        <v/>
      </c>
      <c r="D46" s="58" t="str">
        <f t="shared" ca="1" si="2"/>
        <v/>
      </c>
      <c r="E46" s="58" t="str">
        <f t="shared" ca="1" si="2"/>
        <v/>
      </c>
      <c r="F46" s="58" t="str">
        <f t="shared" ca="1" si="2"/>
        <v/>
      </c>
      <c r="G46" s="58" t="str">
        <f t="shared" ca="1" si="2"/>
        <v/>
      </c>
      <c r="H46" s="58" t="str">
        <f t="shared" ca="1" si="2"/>
        <v/>
      </c>
      <c r="I46" s="58" t="str">
        <f t="shared" ca="1" si="2"/>
        <v/>
      </c>
      <c r="J46" s="58" t="str">
        <f t="shared" ca="1" si="2"/>
        <v/>
      </c>
      <c r="K46" s="58" t="str">
        <f t="shared" ca="1" si="2"/>
        <v/>
      </c>
      <c r="L46" s="58" t="str">
        <f t="shared" ca="1" si="2"/>
        <v/>
      </c>
      <c r="P46" s="242"/>
      <c r="Q46" s="242"/>
      <c r="R46" s="242"/>
      <c r="S46" s="242"/>
      <c r="T46" s="242"/>
      <c r="U46" s="242"/>
      <c r="V46" s="242"/>
      <c r="W46" s="242"/>
      <c r="X46" s="242"/>
      <c r="Y46" s="242"/>
      <c r="Z46" s="242"/>
    </row>
    <row r="47" spans="2:26">
      <c r="B47" s="56" t="str">
        <f>IF('Low Stress Type Gasket'!BE52="","",'Low Stress Type Gasket'!BE52)</f>
        <v/>
      </c>
      <c r="C47" s="58" t="str">
        <f t="shared" ca="1" si="2"/>
        <v/>
      </c>
      <c r="D47" s="58" t="str">
        <f t="shared" ca="1" si="2"/>
        <v/>
      </c>
      <c r="E47" s="58" t="str">
        <f t="shared" ca="1" si="2"/>
        <v/>
      </c>
      <c r="F47" s="58" t="str">
        <f t="shared" ca="1" si="2"/>
        <v/>
      </c>
      <c r="G47" s="58" t="str">
        <f t="shared" ca="1" si="2"/>
        <v/>
      </c>
      <c r="H47" s="58" t="str">
        <f t="shared" ca="1" si="2"/>
        <v/>
      </c>
      <c r="I47" s="58" t="str">
        <f t="shared" ca="1" si="2"/>
        <v/>
      </c>
      <c r="J47" s="58" t="str">
        <f t="shared" ca="1" si="2"/>
        <v/>
      </c>
      <c r="K47" s="58" t="str">
        <f t="shared" ca="1" si="2"/>
        <v/>
      </c>
      <c r="L47" s="58" t="str">
        <f t="shared" ca="1" si="2"/>
        <v/>
      </c>
      <c r="P47" s="242"/>
      <c r="Q47" s="242"/>
      <c r="R47" s="242"/>
      <c r="S47" s="242"/>
      <c r="T47" s="242"/>
      <c r="U47" s="242"/>
      <c r="V47" s="242"/>
      <c r="W47" s="242"/>
      <c r="X47" s="242"/>
      <c r="Y47" s="242"/>
      <c r="Z47" s="242"/>
    </row>
    <row r="48" spans="2:26">
      <c r="B48" s="56" t="str">
        <f>IF('Low Stress Type Gasket'!BE53="","",'Low Stress Type Gasket'!BE53)</f>
        <v/>
      </c>
      <c r="C48" s="58" t="str">
        <f t="shared" ca="1" si="2"/>
        <v/>
      </c>
      <c r="D48" s="58" t="str">
        <f t="shared" ca="1" si="2"/>
        <v/>
      </c>
      <c r="E48" s="58" t="str">
        <f t="shared" ca="1" si="2"/>
        <v/>
      </c>
      <c r="F48" s="58" t="str">
        <f t="shared" ca="1" si="2"/>
        <v/>
      </c>
      <c r="G48" s="58" t="str">
        <f t="shared" ca="1" si="2"/>
        <v/>
      </c>
      <c r="H48" s="58" t="str">
        <f t="shared" ca="1" si="2"/>
        <v/>
      </c>
      <c r="I48" s="58" t="str">
        <f t="shared" ca="1" si="2"/>
        <v/>
      </c>
      <c r="J48" s="58" t="str">
        <f t="shared" ca="1" si="2"/>
        <v/>
      </c>
      <c r="K48" s="58" t="str">
        <f t="shared" ca="1" si="2"/>
        <v/>
      </c>
      <c r="L48" s="58" t="str">
        <f t="shared" ca="1" si="2"/>
        <v/>
      </c>
      <c r="P48" s="241"/>
      <c r="Q48" s="241"/>
      <c r="R48" s="241"/>
      <c r="S48" s="241"/>
      <c r="T48" s="241"/>
      <c r="U48" s="241"/>
      <c r="V48" s="241"/>
      <c r="W48" s="241"/>
      <c r="X48" s="241"/>
      <c r="Y48" s="241"/>
      <c r="Z48" s="241"/>
    </row>
    <row r="49" spans="2:26">
      <c r="B49" s="56" t="str">
        <f>IF('Low Stress Type Gasket'!BE54="","",'Low Stress Type Gasket'!BE54)</f>
        <v/>
      </c>
      <c r="C49" s="58" t="str">
        <f t="shared" ca="1" si="2"/>
        <v/>
      </c>
      <c r="D49" s="58" t="str">
        <f t="shared" ca="1" si="2"/>
        <v/>
      </c>
      <c r="E49" s="58" t="str">
        <f t="shared" ca="1" si="2"/>
        <v/>
      </c>
      <c r="F49" s="58" t="str">
        <f t="shared" ca="1" si="2"/>
        <v/>
      </c>
      <c r="G49" s="58" t="str">
        <f t="shared" ca="1" si="2"/>
        <v/>
      </c>
      <c r="H49" s="58" t="str">
        <f t="shared" ca="1" si="2"/>
        <v/>
      </c>
      <c r="I49" s="58" t="str">
        <f t="shared" ca="1" si="2"/>
        <v/>
      </c>
      <c r="J49" s="58" t="str">
        <f t="shared" ca="1" si="2"/>
        <v/>
      </c>
      <c r="K49" s="58" t="str">
        <f t="shared" ca="1" si="2"/>
        <v/>
      </c>
      <c r="L49" s="58" t="str">
        <f t="shared" ca="1" si="2"/>
        <v/>
      </c>
      <c r="P49" s="242"/>
      <c r="Q49" s="242"/>
      <c r="R49" s="242"/>
      <c r="S49" s="242"/>
      <c r="T49" s="242"/>
      <c r="U49" s="242"/>
      <c r="V49" s="242"/>
      <c r="W49" s="242"/>
      <c r="X49" s="242"/>
      <c r="Y49" s="242"/>
      <c r="Z49" s="242"/>
    </row>
    <row r="50" spans="2:26">
      <c r="B50" s="56" t="str">
        <f>IF('Low Stress Type Gasket'!BE55="","",'Low Stress Type Gasket'!BE55)</f>
        <v/>
      </c>
      <c r="C50" s="58" t="str">
        <f t="shared" ca="1" si="2"/>
        <v/>
      </c>
      <c r="D50" s="58" t="str">
        <f t="shared" ca="1" si="2"/>
        <v/>
      </c>
      <c r="E50" s="58" t="str">
        <f t="shared" ca="1" si="2"/>
        <v/>
      </c>
      <c r="F50" s="58" t="str">
        <f t="shared" ca="1" si="2"/>
        <v/>
      </c>
      <c r="G50" s="58" t="str">
        <f t="shared" ca="1" si="2"/>
        <v/>
      </c>
      <c r="H50" s="58" t="str">
        <f t="shared" ca="1" si="2"/>
        <v/>
      </c>
      <c r="I50" s="58" t="str">
        <f t="shared" ca="1" si="2"/>
        <v/>
      </c>
      <c r="J50" s="58" t="str">
        <f t="shared" ca="1" si="2"/>
        <v/>
      </c>
      <c r="K50" s="58" t="str">
        <f t="shared" ca="1" si="2"/>
        <v/>
      </c>
      <c r="L50" s="58" t="str">
        <f t="shared" ca="1" si="2"/>
        <v/>
      </c>
      <c r="P50" s="242"/>
      <c r="Q50" s="242"/>
      <c r="R50" s="242"/>
      <c r="S50" s="242"/>
      <c r="T50" s="242"/>
      <c r="U50" s="242"/>
      <c r="V50" s="242"/>
      <c r="W50" s="242"/>
      <c r="X50" s="242"/>
      <c r="Y50" s="242"/>
      <c r="Z50" s="242"/>
    </row>
    <row r="51" spans="2:26">
      <c r="B51" s="56" t="str">
        <f>IF('Low Stress Type Gasket'!BE56="","",'Low Stress Type Gasket'!BE56)</f>
        <v/>
      </c>
      <c r="C51" s="58" t="str">
        <f t="shared" ca="1" si="2"/>
        <v/>
      </c>
      <c r="D51" s="58" t="str">
        <f t="shared" ca="1" si="2"/>
        <v/>
      </c>
      <c r="E51" s="58" t="str">
        <f t="shared" ca="1" si="2"/>
        <v/>
      </c>
      <c r="F51" s="58" t="str">
        <f t="shared" ca="1" si="2"/>
        <v/>
      </c>
      <c r="G51" s="58" t="str">
        <f t="shared" ca="1" si="2"/>
        <v/>
      </c>
      <c r="H51" s="58" t="str">
        <f t="shared" ca="1" si="2"/>
        <v/>
      </c>
      <c r="I51" s="58" t="str">
        <f t="shared" ca="1" si="2"/>
        <v/>
      </c>
      <c r="J51" s="58" t="str">
        <f t="shared" ca="1" si="2"/>
        <v/>
      </c>
      <c r="K51" s="58" t="str">
        <f t="shared" ca="1" si="2"/>
        <v/>
      </c>
      <c r="L51" s="58" t="str">
        <f t="shared" ca="1" si="2"/>
        <v/>
      </c>
      <c r="P51" s="241"/>
      <c r="Q51" s="241"/>
      <c r="R51" s="241"/>
      <c r="S51" s="241"/>
      <c r="T51" s="241"/>
      <c r="U51" s="241"/>
      <c r="V51" s="241"/>
      <c r="W51" s="241"/>
      <c r="X51" s="241"/>
      <c r="Y51" s="241"/>
      <c r="Z51" s="241"/>
    </row>
    <row r="52" spans="2:26">
      <c r="B52" s="56" t="str">
        <f>IF('Low Stress Type Gasket'!BE57="","",'Low Stress Type Gasket'!BE57)</f>
        <v/>
      </c>
      <c r="C52" s="58" t="str">
        <f t="shared" ca="1" si="2"/>
        <v/>
      </c>
      <c r="D52" s="58" t="str">
        <f t="shared" ca="1" si="2"/>
        <v/>
      </c>
      <c r="E52" s="58" t="str">
        <f t="shared" ca="1" si="2"/>
        <v/>
      </c>
      <c r="F52" s="58" t="str">
        <f t="shared" ca="1" si="2"/>
        <v/>
      </c>
      <c r="G52" s="58" t="str">
        <f t="shared" ca="1" si="2"/>
        <v/>
      </c>
      <c r="H52" s="58" t="str">
        <f t="shared" ca="1" si="2"/>
        <v/>
      </c>
      <c r="I52" s="58" t="str">
        <f t="shared" ca="1" si="2"/>
        <v/>
      </c>
      <c r="J52" s="58" t="str">
        <f t="shared" ca="1" si="2"/>
        <v/>
      </c>
      <c r="K52" s="58" t="str">
        <f t="shared" ca="1" si="2"/>
        <v/>
      </c>
      <c r="L52" s="58" t="str">
        <f t="shared" ca="1" si="2"/>
        <v/>
      </c>
      <c r="P52" s="242"/>
      <c r="Q52" s="242"/>
      <c r="R52" s="242"/>
      <c r="S52" s="242"/>
      <c r="T52" s="242"/>
      <c r="U52" s="242"/>
      <c r="V52" s="242"/>
      <c r="W52" s="242"/>
      <c r="X52" s="242"/>
      <c r="Y52" s="242"/>
      <c r="Z52" s="242"/>
    </row>
    <row r="53" spans="2:26">
      <c r="B53" s="56" t="str">
        <f>IF('Low Stress Type Gasket'!BE58="","",'Low Stress Type Gasket'!BE58)</f>
        <v/>
      </c>
      <c r="C53" s="58" t="str">
        <f t="shared" ca="1" si="2"/>
        <v/>
      </c>
      <c r="D53" s="58" t="str">
        <f t="shared" ca="1" si="2"/>
        <v/>
      </c>
      <c r="E53" s="58" t="str">
        <f t="shared" ca="1" si="2"/>
        <v/>
      </c>
      <c r="F53" s="58" t="str">
        <f t="shared" ca="1" si="2"/>
        <v/>
      </c>
      <c r="G53" s="58" t="str">
        <f t="shared" ca="1" si="2"/>
        <v/>
      </c>
      <c r="H53" s="58" t="str">
        <f t="shared" ca="1" si="2"/>
        <v/>
      </c>
      <c r="I53" s="58" t="str">
        <f t="shared" ca="1" si="2"/>
        <v/>
      </c>
      <c r="J53" s="58" t="str">
        <f t="shared" ca="1" si="2"/>
        <v/>
      </c>
      <c r="K53" s="58" t="str">
        <f t="shared" ca="1" si="2"/>
        <v/>
      </c>
      <c r="L53" s="58" t="str">
        <f t="shared" ca="1" si="2"/>
        <v/>
      </c>
      <c r="P53" s="242"/>
      <c r="Q53" s="242"/>
      <c r="R53" s="242"/>
      <c r="S53" s="242"/>
      <c r="T53" s="242"/>
      <c r="U53" s="242"/>
      <c r="V53" s="242"/>
      <c r="W53" s="242"/>
      <c r="X53" s="242"/>
      <c r="Y53" s="242"/>
      <c r="Z53" s="242"/>
    </row>
    <row r="54" spans="2:26">
      <c r="B54" s="56" t="str">
        <f>IF('Low Stress Type Gasket'!BE59="","",'Low Stress Type Gasket'!BE59)</f>
        <v/>
      </c>
      <c r="C54" s="58" t="str">
        <f t="shared" ref="C54:L55" ca="1" si="3">IF($M$4=0,"",VLOOKUP($B54,INDIRECT("$P$1:$Z$"&amp;$M$4),COLUMN()-1,0))</f>
        <v/>
      </c>
      <c r="D54" s="58" t="str">
        <f t="shared" ca="1" si="3"/>
        <v/>
      </c>
      <c r="E54" s="58" t="str">
        <f t="shared" ca="1" si="3"/>
        <v/>
      </c>
      <c r="F54" s="58" t="str">
        <f t="shared" ca="1" si="3"/>
        <v/>
      </c>
      <c r="G54" s="58" t="str">
        <f t="shared" ca="1" si="3"/>
        <v/>
      </c>
      <c r="H54" s="58" t="str">
        <f t="shared" ca="1" si="3"/>
        <v/>
      </c>
      <c r="I54" s="58" t="str">
        <f t="shared" ca="1" si="3"/>
        <v/>
      </c>
      <c r="J54" s="58" t="str">
        <f t="shared" ca="1" si="3"/>
        <v/>
      </c>
      <c r="K54" s="58" t="str">
        <f t="shared" ca="1" si="3"/>
        <v/>
      </c>
      <c r="L54" s="58" t="str">
        <f t="shared" ca="1" si="3"/>
        <v/>
      </c>
      <c r="P54" s="241"/>
      <c r="Q54" s="241"/>
      <c r="R54" s="241"/>
      <c r="S54" s="241"/>
      <c r="T54" s="241"/>
      <c r="U54" s="241"/>
      <c r="V54" s="241"/>
      <c r="W54" s="241"/>
      <c r="X54" s="241"/>
      <c r="Y54" s="241"/>
      <c r="Z54" s="241"/>
    </row>
    <row r="55" spans="2:26">
      <c r="B55" s="56" t="str">
        <f>IF('Low Stress Type Gasket'!BE60="","",'Low Stress Type Gasket'!BE60)</f>
        <v/>
      </c>
      <c r="C55" s="58" t="str">
        <f t="shared" ca="1" si="3"/>
        <v/>
      </c>
      <c r="D55" s="58" t="str">
        <f t="shared" ca="1" si="3"/>
        <v/>
      </c>
      <c r="E55" s="58" t="str">
        <f t="shared" ca="1" si="3"/>
        <v/>
      </c>
      <c r="F55" s="58" t="str">
        <f t="shared" ca="1" si="3"/>
        <v/>
      </c>
      <c r="G55" s="58" t="str">
        <f t="shared" ca="1" si="3"/>
        <v/>
      </c>
      <c r="H55" s="58" t="str">
        <f t="shared" ca="1" si="3"/>
        <v/>
      </c>
      <c r="I55" s="58" t="str">
        <f t="shared" ca="1" si="3"/>
        <v/>
      </c>
      <c r="J55" s="58" t="str">
        <f t="shared" ca="1" si="3"/>
        <v/>
      </c>
      <c r="K55" s="58" t="str">
        <f t="shared" ca="1" si="3"/>
        <v/>
      </c>
      <c r="L55" s="58" t="str">
        <f t="shared" ca="1" si="3"/>
        <v/>
      </c>
      <c r="P55" s="242"/>
      <c r="Q55" s="242"/>
      <c r="R55" s="242"/>
      <c r="S55" s="242"/>
      <c r="T55" s="242"/>
      <c r="U55" s="242"/>
      <c r="V55" s="242"/>
      <c r="W55" s="242"/>
      <c r="X55" s="242"/>
      <c r="Y55" s="242"/>
      <c r="Z55" s="242"/>
    </row>
    <row r="56" spans="2:26">
      <c r="P56" s="242"/>
      <c r="Q56" s="242"/>
      <c r="R56" s="242"/>
      <c r="S56" s="242"/>
      <c r="T56" s="242"/>
      <c r="U56" s="242"/>
      <c r="V56" s="242"/>
      <c r="W56" s="242"/>
      <c r="X56" s="242"/>
      <c r="Y56" s="242"/>
      <c r="Z56" s="242"/>
    </row>
    <row r="57" spans="2:26">
      <c r="P57" s="241"/>
      <c r="Q57" s="241"/>
      <c r="R57" s="241"/>
      <c r="S57" s="241"/>
      <c r="T57" s="241"/>
      <c r="U57" s="241"/>
      <c r="V57" s="241"/>
      <c r="W57" s="241"/>
      <c r="X57" s="241"/>
      <c r="Y57" s="241"/>
      <c r="Z57" s="241"/>
    </row>
    <row r="58" spans="2:26">
      <c r="P58" s="242"/>
      <c r="Q58" s="242"/>
      <c r="R58" s="242"/>
      <c r="S58" s="242"/>
      <c r="T58" s="242"/>
      <c r="U58" s="242"/>
      <c r="V58" s="242"/>
      <c r="W58" s="242"/>
      <c r="X58" s="242"/>
      <c r="Y58" s="242"/>
      <c r="Z58" s="242"/>
    </row>
    <row r="59" spans="2:26">
      <c r="P59" s="242"/>
      <c r="Q59" s="242"/>
      <c r="R59" s="242"/>
      <c r="S59" s="242"/>
      <c r="T59" s="242"/>
      <c r="U59" s="242"/>
      <c r="V59" s="242"/>
      <c r="W59" s="242"/>
      <c r="X59" s="242"/>
      <c r="Y59" s="242"/>
      <c r="Z59" s="242"/>
    </row>
    <row r="60" spans="2:26">
      <c r="P60" s="241"/>
      <c r="Q60" s="241"/>
      <c r="R60" s="241"/>
      <c r="S60" s="241"/>
      <c r="T60" s="241"/>
      <c r="U60" s="241"/>
      <c r="V60" s="241"/>
      <c r="W60" s="241"/>
      <c r="X60" s="241"/>
      <c r="Y60" s="241"/>
      <c r="Z60" s="241"/>
    </row>
    <row r="61" spans="2:26">
      <c r="P61" s="242"/>
      <c r="Q61" s="242"/>
      <c r="R61" s="242"/>
      <c r="S61" s="242"/>
      <c r="T61" s="242"/>
      <c r="U61" s="242"/>
      <c r="V61" s="242"/>
      <c r="W61" s="242"/>
      <c r="X61" s="242"/>
      <c r="Y61" s="242"/>
      <c r="Z61" s="242"/>
    </row>
    <row r="62" spans="2:26">
      <c r="P62" s="242"/>
      <c r="Q62" s="242"/>
      <c r="R62" s="242"/>
      <c r="S62" s="242"/>
      <c r="T62" s="242"/>
      <c r="U62" s="242"/>
      <c r="V62" s="242"/>
      <c r="W62" s="242"/>
      <c r="X62" s="242"/>
      <c r="Y62" s="242"/>
      <c r="Z62" s="242"/>
    </row>
    <row r="63" spans="2:26">
      <c r="P63" s="241"/>
      <c r="Q63" s="241"/>
      <c r="R63" s="241"/>
      <c r="S63" s="241"/>
      <c r="T63" s="241"/>
      <c r="U63" s="241"/>
      <c r="V63" s="241"/>
      <c r="W63" s="241"/>
      <c r="X63" s="241"/>
      <c r="Y63" s="241"/>
      <c r="Z63" s="241"/>
    </row>
    <row r="64" spans="2:26">
      <c r="P64" s="242"/>
      <c r="Q64" s="242"/>
      <c r="R64" s="242"/>
      <c r="S64" s="242"/>
      <c r="T64" s="242"/>
      <c r="U64" s="242"/>
      <c r="V64" s="242"/>
      <c r="W64" s="242"/>
      <c r="X64" s="242"/>
      <c r="Y64" s="242"/>
      <c r="Z64" s="242"/>
    </row>
    <row r="65" spans="16:26">
      <c r="P65" s="242"/>
      <c r="Q65" s="242"/>
      <c r="R65" s="242"/>
      <c r="S65" s="242"/>
      <c r="T65" s="242"/>
      <c r="U65" s="242"/>
      <c r="V65" s="242"/>
      <c r="W65" s="242"/>
      <c r="X65" s="242"/>
      <c r="Y65" s="242"/>
      <c r="Z65" s="242"/>
    </row>
    <row r="66" spans="16:26">
      <c r="P66" s="241"/>
      <c r="Q66" s="241"/>
      <c r="R66" s="241"/>
      <c r="S66" s="241"/>
      <c r="T66" s="241"/>
      <c r="U66" s="241"/>
      <c r="V66" s="241"/>
      <c r="W66" s="241"/>
      <c r="X66" s="241"/>
      <c r="Y66" s="241"/>
      <c r="Z66" s="241"/>
    </row>
    <row r="67" spans="16:26">
      <c r="P67" s="242"/>
      <c r="Q67" s="242"/>
      <c r="R67" s="242"/>
      <c r="S67" s="242"/>
      <c r="T67" s="242"/>
      <c r="U67" s="242"/>
      <c r="V67" s="242"/>
      <c r="W67" s="242"/>
      <c r="X67" s="242"/>
      <c r="Y67" s="242"/>
      <c r="Z67" s="242"/>
    </row>
    <row r="68" spans="16:26">
      <c r="P68" s="242"/>
      <c r="Q68" s="242"/>
      <c r="R68" s="242"/>
      <c r="S68" s="242"/>
      <c r="T68" s="242"/>
      <c r="U68" s="242"/>
      <c r="V68" s="242"/>
      <c r="W68" s="242"/>
      <c r="X68" s="242"/>
      <c r="Y68" s="242"/>
      <c r="Z68" s="242"/>
    </row>
    <row r="69" spans="16:26">
      <c r="P69" s="241"/>
      <c r="Q69" s="241"/>
      <c r="R69" s="241"/>
      <c r="S69" s="241"/>
      <c r="T69" s="241"/>
      <c r="U69" s="241"/>
      <c r="V69" s="241"/>
      <c r="W69" s="241"/>
      <c r="X69" s="241"/>
      <c r="Y69" s="241"/>
      <c r="Z69" s="241"/>
    </row>
    <row r="70" spans="16:26">
      <c r="P70" s="242"/>
      <c r="Q70" s="242"/>
      <c r="R70" s="242"/>
      <c r="S70" s="242"/>
      <c r="T70" s="242"/>
      <c r="U70" s="242"/>
      <c r="V70" s="242"/>
      <c r="W70" s="242"/>
      <c r="X70" s="242"/>
      <c r="Y70" s="242"/>
      <c r="Z70" s="242"/>
    </row>
    <row r="71" spans="16:26">
      <c r="P71" s="242"/>
      <c r="Q71" s="242"/>
      <c r="R71" s="242"/>
      <c r="S71" s="242"/>
      <c r="T71" s="242"/>
      <c r="U71" s="242"/>
      <c r="V71" s="242"/>
      <c r="W71" s="242"/>
      <c r="X71" s="242"/>
      <c r="Y71" s="242"/>
      <c r="Z71" s="242"/>
    </row>
    <row r="72" spans="16:26">
      <c r="P72" s="241"/>
      <c r="Q72" s="241"/>
      <c r="R72" s="241"/>
      <c r="S72" s="241"/>
      <c r="T72" s="241"/>
      <c r="U72" s="241"/>
      <c r="V72" s="241"/>
      <c r="W72" s="241"/>
      <c r="X72" s="241"/>
      <c r="Y72" s="241"/>
      <c r="Z72" s="241"/>
    </row>
    <row r="73" spans="16:26">
      <c r="P73" s="242"/>
      <c r="Q73" s="242"/>
      <c r="R73" s="242"/>
      <c r="S73" s="242"/>
      <c r="T73" s="242"/>
      <c r="U73" s="242"/>
      <c r="V73" s="242"/>
      <c r="W73" s="242"/>
      <c r="X73" s="242"/>
      <c r="Y73" s="242"/>
      <c r="Z73" s="242"/>
    </row>
    <row r="74" spans="16:26">
      <c r="P74" s="242"/>
      <c r="Q74" s="242"/>
      <c r="R74" s="242"/>
      <c r="S74" s="242"/>
      <c r="T74" s="242"/>
      <c r="U74" s="242"/>
      <c r="V74" s="242"/>
      <c r="W74" s="242"/>
      <c r="X74" s="242"/>
      <c r="Y74" s="242"/>
      <c r="Z74" s="242"/>
    </row>
    <row r="75" spans="16:26">
      <c r="P75" s="241"/>
      <c r="Q75" s="241"/>
      <c r="R75" s="241"/>
      <c r="S75" s="241"/>
      <c r="T75" s="241"/>
      <c r="U75" s="241"/>
      <c r="V75" s="241"/>
      <c r="W75" s="241"/>
      <c r="X75" s="241"/>
      <c r="Y75" s="241"/>
      <c r="Z75" s="241"/>
    </row>
    <row r="76" spans="16:26">
      <c r="P76" s="242"/>
      <c r="Q76" s="242"/>
      <c r="R76" s="242"/>
      <c r="S76" s="242"/>
      <c r="T76" s="242"/>
      <c r="U76" s="242"/>
      <c r="V76" s="242"/>
      <c r="W76" s="242"/>
      <c r="X76" s="242"/>
      <c r="Y76" s="242"/>
      <c r="Z76" s="242"/>
    </row>
    <row r="77" spans="16:26">
      <c r="P77" s="242"/>
      <c r="Q77" s="242"/>
      <c r="R77" s="242"/>
      <c r="S77" s="242"/>
      <c r="T77" s="242"/>
      <c r="U77" s="242"/>
      <c r="V77" s="242"/>
      <c r="W77" s="242"/>
      <c r="X77" s="242"/>
      <c r="Y77" s="242"/>
      <c r="Z77" s="242"/>
    </row>
    <row r="78" spans="16:26">
      <c r="P78" s="241"/>
      <c r="Q78" s="241"/>
      <c r="R78" s="241"/>
      <c r="S78" s="241"/>
      <c r="T78" s="241"/>
      <c r="U78" s="241"/>
      <c r="V78" s="241"/>
      <c r="W78" s="241"/>
      <c r="X78" s="241"/>
      <c r="Y78" s="241"/>
      <c r="Z78" s="241"/>
    </row>
    <row r="79" spans="16:26">
      <c r="P79" s="242"/>
      <c r="Q79" s="242"/>
      <c r="R79" s="242"/>
      <c r="S79" s="242"/>
      <c r="T79" s="242"/>
      <c r="U79" s="242"/>
      <c r="V79" s="242"/>
      <c r="W79" s="242"/>
      <c r="X79" s="242"/>
      <c r="Y79" s="242"/>
      <c r="Z79" s="242"/>
    </row>
    <row r="80" spans="16:26">
      <c r="P80" s="242"/>
      <c r="Q80" s="242"/>
      <c r="R80" s="242"/>
      <c r="S80" s="242"/>
      <c r="T80" s="242"/>
      <c r="U80" s="242"/>
      <c r="V80" s="242"/>
      <c r="W80" s="242"/>
      <c r="X80" s="242"/>
      <c r="Y80" s="242"/>
      <c r="Z80" s="242"/>
    </row>
    <row r="81" spans="16:26">
      <c r="P81" s="241"/>
      <c r="Q81" s="241"/>
      <c r="R81" s="241"/>
      <c r="S81" s="241"/>
      <c r="T81" s="241"/>
      <c r="U81" s="241"/>
      <c r="V81" s="241"/>
      <c r="W81" s="241"/>
      <c r="X81" s="241"/>
      <c r="Y81" s="241"/>
      <c r="Z81" s="241"/>
    </row>
    <row r="82" spans="16:26">
      <c r="P82" s="242"/>
      <c r="Q82" s="242"/>
      <c r="R82" s="242"/>
      <c r="S82" s="242"/>
      <c r="T82" s="242"/>
      <c r="U82" s="242"/>
      <c r="V82" s="242"/>
      <c r="W82" s="242"/>
      <c r="X82" s="242"/>
      <c r="Y82" s="242"/>
      <c r="Z82" s="242"/>
    </row>
    <row r="83" spans="16:26">
      <c r="P83" s="242"/>
      <c r="Q83" s="242"/>
      <c r="R83" s="242"/>
      <c r="S83" s="242"/>
      <c r="T83" s="242"/>
      <c r="U83" s="242"/>
      <c r="V83" s="242"/>
      <c r="W83" s="242"/>
      <c r="X83" s="242"/>
      <c r="Y83" s="242"/>
      <c r="Z83" s="242"/>
    </row>
    <row r="84" spans="16:26">
      <c r="P84" s="241"/>
      <c r="Q84" s="241"/>
      <c r="R84" s="241"/>
      <c r="S84" s="241"/>
      <c r="T84" s="241"/>
      <c r="U84" s="241"/>
      <c r="V84" s="241"/>
      <c r="W84" s="241"/>
      <c r="X84" s="241"/>
      <c r="Y84" s="241"/>
      <c r="Z84" s="241"/>
    </row>
    <row r="85" spans="16:26">
      <c r="P85" s="242"/>
      <c r="Q85" s="242"/>
      <c r="R85" s="242"/>
      <c r="S85" s="242"/>
      <c r="T85" s="242"/>
      <c r="U85" s="242"/>
      <c r="V85" s="242"/>
      <c r="W85" s="242"/>
      <c r="X85" s="242"/>
      <c r="Y85" s="242"/>
      <c r="Z85" s="242"/>
    </row>
    <row r="86" spans="16:26">
      <c r="P86" s="242"/>
      <c r="Q86" s="242"/>
      <c r="R86" s="242"/>
      <c r="S86" s="242"/>
      <c r="T86" s="242"/>
      <c r="U86" s="242"/>
      <c r="V86" s="242"/>
      <c r="W86" s="242"/>
      <c r="X86" s="242"/>
      <c r="Y86" s="242"/>
      <c r="Z86" s="242"/>
    </row>
    <row r="87" spans="16:26">
      <c r="P87" s="241"/>
      <c r="Q87" s="241"/>
      <c r="R87" s="241"/>
      <c r="S87" s="241"/>
      <c r="T87" s="241"/>
      <c r="U87" s="241"/>
      <c r="V87" s="241"/>
      <c r="W87" s="241"/>
      <c r="X87" s="241"/>
      <c r="Y87" s="241"/>
      <c r="Z87" s="241"/>
    </row>
    <row r="88" spans="16:26">
      <c r="P88" s="242"/>
      <c r="Q88" s="242"/>
      <c r="R88" s="242"/>
      <c r="S88" s="242"/>
      <c r="T88" s="242"/>
      <c r="U88" s="242"/>
      <c r="V88" s="242"/>
      <c r="W88" s="242"/>
      <c r="X88" s="242"/>
      <c r="Y88" s="242"/>
      <c r="Z88" s="242"/>
    </row>
    <row r="89" spans="16:26">
      <c r="P89" s="242"/>
      <c r="Q89" s="242"/>
      <c r="R89" s="242"/>
      <c r="S89" s="242"/>
      <c r="T89" s="242"/>
      <c r="U89" s="242"/>
      <c r="V89" s="242"/>
      <c r="W89" s="242"/>
      <c r="X89" s="242"/>
      <c r="Y89" s="242"/>
      <c r="Z89" s="242"/>
    </row>
    <row r="90" spans="16:26">
      <c r="P90" s="241"/>
      <c r="Q90" s="241"/>
      <c r="R90" s="241"/>
      <c r="S90" s="241"/>
      <c r="T90" s="241"/>
      <c r="U90" s="241"/>
      <c r="V90" s="241"/>
      <c r="W90" s="241"/>
      <c r="X90" s="241"/>
      <c r="Y90" s="241"/>
      <c r="Z90" s="241"/>
    </row>
    <row r="91" spans="16:26">
      <c r="P91" s="242"/>
      <c r="Q91" s="242"/>
      <c r="R91" s="242"/>
      <c r="S91" s="242"/>
      <c r="T91" s="242"/>
      <c r="U91" s="242"/>
      <c r="V91" s="242"/>
      <c r="W91" s="242"/>
      <c r="X91" s="242"/>
      <c r="Y91" s="242"/>
      <c r="Z91" s="242"/>
    </row>
    <row r="92" spans="16:26">
      <c r="P92" s="242"/>
      <c r="Q92" s="242"/>
      <c r="R92" s="242"/>
      <c r="S92" s="242"/>
      <c r="T92" s="242"/>
      <c r="U92" s="242"/>
      <c r="V92" s="242"/>
      <c r="W92" s="242"/>
      <c r="X92" s="242"/>
      <c r="Y92" s="242"/>
      <c r="Z92" s="242"/>
    </row>
    <row r="93" spans="16:26">
      <c r="P93" s="241"/>
      <c r="Q93" s="241"/>
      <c r="R93" s="241"/>
      <c r="S93" s="241"/>
      <c r="T93" s="241"/>
      <c r="U93" s="241"/>
      <c r="V93" s="241"/>
      <c r="W93" s="241"/>
      <c r="X93" s="241"/>
      <c r="Y93" s="241"/>
      <c r="Z93" s="241"/>
    </row>
    <row r="94" spans="16:26">
      <c r="P94" s="242"/>
      <c r="Q94" s="242"/>
      <c r="R94" s="242"/>
      <c r="S94" s="242"/>
      <c r="T94" s="242"/>
      <c r="U94" s="242"/>
      <c r="V94" s="242"/>
      <c r="W94" s="242"/>
      <c r="X94" s="242"/>
      <c r="Y94" s="242"/>
      <c r="Z94" s="242"/>
    </row>
    <row r="95" spans="16:26">
      <c r="P95" s="242"/>
      <c r="Q95" s="242"/>
      <c r="R95" s="242"/>
      <c r="S95" s="242"/>
      <c r="T95" s="242"/>
      <c r="U95" s="242"/>
      <c r="V95" s="242"/>
      <c r="W95" s="242"/>
      <c r="X95" s="242"/>
      <c r="Y95" s="242"/>
      <c r="Z95" s="242"/>
    </row>
    <row r="96" spans="16:26">
      <c r="P96" s="241"/>
      <c r="Q96" s="241"/>
      <c r="R96" s="241"/>
      <c r="S96" s="241"/>
      <c r="T96" s="241"/>
      <c r="U96" s="241"/>
      <c r="V96" s="241"/>
      <c r="W96" s="241"/>
      <c r="X96" s="241"/>
      <c r="Y96" s="241"/>
      <c r="Z96" s="241"/>
    </row>
    <row r="97" spans="16:26">
      <c r="P97" s="242"/>
      <c r="Q97" s="242"/>
      <c r="R97" s="242"/>
      <c r="S97" s="242"/>
      <c r="T97" s="242"/>
      <c r="U97" s="242"/>
      <c r="V97" s="242"/>
      <c r="W97" s="242"/>
      <c r="X97" s="242"/>
      <c r="Y97" s="242"/>
      <c r="Z97" s="242"/>
    </row>
    <row r="98" spans="16:26">
      <c r="P98" s="242"/>
      <c r="Q98" s="242"/>
      <c r="R98" s="242"/>
      <c r="S98" s="242"/>
      <c r="T98" s="242"/>
      <c r="U98" s="242"/>
      <c r="V98" s="242"/>
      <c r="W98" s="242"/>
      <c r="X98" s="242"/>
      <c r="Y98" s="242"/>
      <c r="Z98" s="242"/>
    </row>
    <row r="99" spans="16:26">
      <c r="P99" s="241"/>
      <c r="Q99" s="241"/>
      <c r="R99" s="241"/>
      <c r="S99" s="241"/>
      <c r="T99" s="241"/>
      <c r="U99" s="241"/>
      <c r="V99" s="241"/>
      <c r="W99" s="241"/>
      <c r="X99" s="241"/>
      <c r="Y99" s="241"/>
      <c r="Z99" s="241"/>
    </row>
    <row r="100" spans="16:26">
      <c r="P100" s="242"/>
      <c r="Q100" s="242"/>
      <c r="R100" s="242"/>
      <c r="S100" s="242"/>
      <c r="T100" s="242"/>
      <c r="U100" s="242"/>
      <c r="V100" s="242"/>
      <c r="W100" s="242"/>
      <c r="X100" s="242"/>
      <c r="Y100" s="242"/>
      <c r="Z100" s="242"/>
    </row>
    <row r="101" spans="16:26">
      <c r="P101" s="242"/>
      <c r="Q101" s="242"/>
      <c r="R101" s="242"/>
      <c r="S101" s="242"/>
      <c r="T101" s="242"/>
      <c r="U101" s="242"/>
      <c r="V101" s="242"/>
      <c r="W101" s="242"/>
      <c r="X101" s="242"/>
      <c r="Y101" s="242"/>
      <c r="Z101" s="242"/>
    </row>
    <row r="102" spans="16:26">
      <c r="P102" s="241"/>
      <c r="Q102" s="241"/>
      <c r="R102" s="241"/>
      <c r="S102" s="241"/>
      <c r="T102" s="241"/>
      <c r="U102" s="241"/>
      <c r="V102" s="241"/>
      <c r="W102" s="241"/>
      <c r="X102" s="241"/>
      <c r="Y102" s="241"/>
      <c r="Z102" s="241"/>
    </row>
    <row r="103" spans="16:26">
      <c r="P103" s="242"/>
      <c r="Q103" s="242"/>
      <c r="R103" s="242"/>
      <c r="S103" s="242"/>
      <c r="T103" s="242"/>
      <c r="U103" s="242"/>
      <c r="V103" s="242"/>
      <c r="W103" s="242"/>
      <c r="X103" s="242"/>
      <c r="Y103" s="242"/>
      <c r="Z103" s="242"/>
    </row>
    <row r="104" spans="16:26">
      <c r="P104" s="242"/>
      <c r="Q104" s="242"/>
      <c r="R104" s="242"/>
      <c r="S104" s="242"/>
      <c r="T104" s="242"/>
      <c r="U104" s="242"/>
      <c r="V104" s="242"/>
      <c r="W104" s="242"/>
      <c r="X104" s="242"/>
      <c r="Y104" s="242"/>
      <c r="Z104" s="242"/>
    </row>
    <row r="105" spans="16:26">
      <c r="P105" s="241"/>
      <c r="Q105" s="241"/>
      <c r="R105" s="241"/>
      <c r="S105" s="241"/>
      <c r="T105" s="241"/>
      <c r="U105" s="241"/>
      <c r="V105" s="241"/>
      <c r="W105" s="241"/>
      <c r="X105" s="241"/>
      <c r="Y105" s="241"/>
      <c r="Z105" s="241"/>
    </row>
    <row r="106" spans="16:26">
      <c r="P106" s="242"/>
      <c r="Q106" s="242"/>
      <c r="R106" s="242"/>
      <c r="S106" s="242"/>
      <c r="T106" s="242"/>
      <c r="U106" s="242"/>
      <c r="V106" s="242"/>
      <c r="W106" s="242"/>
      <c r="X106" s="242"/>
      <c r="Y106" s="242"/>
      <c r="Z106" s="242"/>
    </row>
    <row r="107" spans="16:26">
      <c r="P107" s="242"/>
      <c r="Q107" s="242"/>
      <c r="R107" s="242"/>
      <c r="S107" s="242"/>
      <c r="T107" s="242"/>
      <c r="U107" s="242"/>
      <c r="V107" s="242"/>
      <c r="W107" s="242"/>
      <c r="X107" s="242"/>
      <c r="Y107" s="242"/>
      <c r="Z107" s="242"/>
    </row>
    <row r="108" spans="16:26">
      <c r="P108" s="241"/>
      <c r="Q108" s="241"/>
      <c r="R108" s="241"/>
      <c r="S108" s="241"/>
      <c r="T108" s="241"/>
      <c r="U108" s="241"/>
      <c r="V108" s="241"/>
      <c r="W108" s="241"/>
      <c r="X108" s="241"/>
      <c r="Y108" s="241"/>
      <c r="Z108" s="241"/>
    </row>
    <row r="109" spans="16:26">
      <c r="P109" s="242"/>
      <c r="Q109" s="242"/>
      <c r="R109" s="242"/>
      <c r="S109" s="242"/>
      <c r="T109" s="242"/>
      <c r="U109" s="242"/>
      <c r="V109" s="242"/>
      <c r="W109" s="242"/>
      <c r="X109" s="242"/>
      <c r="Y109" s="242"/>
      <c r="Z109" s="242"/>
    </row>
    <row r="110" spans="16:26">
      <c r="P110" s="242"/>
      <c r="Q110" s="242"/>
      <c r="R110" s="242"/>
      <c r="S110" s="242"/>
      <c r="T110" s="242"/>
      <c r="U110" s="242"/>
      <c r="V110" s="242"/>
      <c r="W110" s="242"/>
      <c r="X110" s="242"/>
      <c r="Y110" s="242"/>
      <c r="Z110" s="242"/>
    </row>
    <row r="111" spans="16:26">
      <c r="P111" s="241"/>
      <c r="Q111" s="241"/>
      <c r="R111" s="241"/>
      <c r="S111" s="241"/>
      <c r="T111" s="241"/>
      <c r="U111" s="241"/>
      <c r="V111" s="241"/>
      <c r="W111" s="241"/>
      <c r="X111" s="241"/>
      <c r="Y111" s="241"/>
      <c r="Z111" s="241"/>
    </row>
    <row r="112" spans="16:26">
      <c r="P112" s="242"/>
      <c r="Q112" s="242"/>
      <c r="R112" s="242"/>
      <c r="S112" s="242"/>
      <c r="T112" s="242"/>
      <c r="U112" s="242"/>
      <c r="V112" s="242"/>
      <c r="W112" s="242"/>
      <c r="X112" s="242"/>
      <c r="Y112" s="242"/>
      <c r="Z112" s="242"/>
    </row>
    <row r="113" spans="16:26">
      <c r="P113" s="242"/>
      <c r="Q113" s="242"/>
      <c r="R113" s="242"/>
      <c r="S113" s="242"/>
      <c r="T113" s="242"/>
      <c r="U113" s="242"/>
      <c r="V113" s="242"/>
      <c r="W113" s="242"/>
      <c r="X113" s="242"/>
      <c r="Y113" s="242"/>
      <c r="Z113" s="242"/>
    </row>
    <row r="114" spans="16:26">
      <c r="P114" s="241"/>
      <c r="Q114" s="241"/>
      <c r="R114" s="241"/>
      <c r="S114" s="241"/>
      <c r="T114" s="241"/>
      <c r="U114" s="241"/>
      <c r="V114" s="241"/>
      <c r="W114" s="241"/>
      <c r="X114" s="241"/>
      <c r="Y114" s="241"/>
      <c r="Z114" s="241"/>
    </row>
    <row r="115" spans="16:26">
      <c r="P115" s="242"/>
      <c r="Q115" s="242"/>
      <c r="R115" s="242"/>
      <c r="S115" s="242"/>
      <c r="T115" s="242"/>
      <c r="U115" s="242"/>
      <c r="V115" s="242"/>
      <c r="W115" s="242"/>
      <c r="X115" s="242"/>
      <c r="Y115" s="242"/>
      <c r="Z115" s="242"/>
    </row>
    <row r="116" spans="16:26">
      <c r="P116" s="242"/>
      <c r="Q116" s="242"/>
      <c r="R116" s="242"/>
      <c r="S116" s="242"/>
      <c r="T116" s="242"/>
      <c r="U116" s="242"/>
      <c r="V116" s="242"/>
      <c r="W116" s="242"/>
      <c r="X116" s="242"/>
      <c r="Y116" s="242"/>
      <c r="Z116" s="242"/>
    </row>
    <row r="117" spans="16:26">
      <c r="P117" s="241"/>
      <c r="Q117" s="241"/>
      <c r="R117" s="241"/>
      <c r="S117" s="241"/>
      <c r="T117" s="241"/>
      <c r="U117" s="241"/>
      <c r="V117" s="241"/>
      <c r="W117" s="241"/>
      <c r="X117" s="241"/>
      <c r="Y117" s="241"/>
      <c r="Z117" s="241"/>
    </row>
    <row r="118" spans="16:26">
      <c r="P118" s="242"/>
      <c r="Q118" s="242"/>
      <c r="R118" s="242"/>
      <c r="S118" s="242"/>
      <c r="T118" s="242"/>
      <c r="U118" s="242"/>
      <c r="V118" s="242"/>
      <c r="W118" s="242"/>
      <c r="X118" s="242"/>
      <c r="Y118" s="242"/>
      <c r="Z118" s="242"/>
    </row>
    <row r="119" spans="16:26">
      <c r="P119" s="242"/>
      <c r="Q119" s="242"/>
      <c r="R119" s="242"/>
      <c r="S119" s="242"/>
      <c r="T119" s="242"/>
      <c r="U119" s="242"/>
      <c r="V119" s="242"/>
      <c r="W119" s="242"/>
      <c r="X119" s="242"/>
      <c r="Y119" s="242"/>
      <c r="Z119" s="242"/>
    </row>
    <row r="120" spans="16:26">
      <c r="P120" s="241"/>
      <c r="Q120" s="241"/>
      <c r="R120" s="241"/>
      <c r="S120" s="241"/>
      <c r="T120" s="241"/>
      <c r="U120" s="241"/>
      <c r="V120" s="241"/>
      <c r="W120" s="241"/>
      <c r="X120" s="241"/>
      <c r="Y120" s="241"/>
      <c r="Z120" s="241"/>
    </row>
    <row r="121" spans="16:26">
      <c r="P121" s="242"/>
      <c r="Q121" s="242"/>
      <c r="R121" s="242"/>
      <c r="S121" s="242"/>
      <c r="T121" s="242"/>
      <c r="U121" s="242"/>
      <c r="V121" s="242"/>
      <c r="W121" s="242"/>
      <c r="X121" s="242"/>
      <c r="Y121" s="242"/>
      <c r="Z121" s="242"/>
    </row>
    <row r="122" spans="16:26">
      <c r="P122" s="242"/>
      <c r="Q122" s="242"/>
      <c r="R122" s="242"/>
      <c r="S122" s="242"/>
      <c r="T122" s="242"/>
      <c r="U122" s="242"/>
      <c r="V122" s="242"/>
      <c r="W122" s="242"/>
      <c r="X122" s="242"/>
      <c r="Y122" s="242"/>
      <c r="Z122" s="242"/>
    </row>
    <row r="123" spans="16:26">
      <c r="P123" s="241"/>
      <c r="Q123" s="241"/>
      <c r="R123" s="241"/>
      <c r="S123" s="241"/>
      <c r="T123" s="241"/>
      <c r="U123" s="241"/>
      <c r="V123" s="241"/>
      <c r="W123" s="241"/>
      <c r="X123" s="241"/>
      <c r="Y123" s="241"/>
      <c r="Z123" s="241"/>
    </row>
    <row r="124" spans="16:26">
      <c r="P124" s="242"/>
      <c r="Q124" s="242"/>
      <c r="R124" s="242"/>
      <c r="S124" s="242"/>
      <c r="T124" s="242"/>
      <c r="U124" s="242"/>
      <c r="V124" s="242"/>
      <c r="W124" s="242"/>
      <c r="X124" s="242"/>
      <c r="Y124" s="242"/>
      <c r="Z124" s="242"/>
    </row>
    <row r="125" spans="16:26">
      <c r="P125" s="242"/>
      <c r="Q125" s="242"/>
      <c r="R125" s="242"/>
      <c r="S125" s="242"/>
      <c r="T125" s="242"/>
      <c r="U125" s="242"/>
      <c r="V125" s="242"/>
      <c r="W125" s="242"/>
      <c r="X125" s="242"/>
      <c r="Y125" s="242"/>
      <c r="Z125" s="242"/>
    </row>
    <row r="126" spans="16:26">
      <c r="P126" s="241"/>
      <c r="Q126" s="241"/>
      <c r="R126" s="241"/>
      <c r="S126" s="241"/>
      <c r="T126" s="241"/>
      <c r="U126" s="241"/>
      <c r="V126" s="241"/>
      <c r="W126" s="241"/>
      <c r="X126" s="241"/>
      <c r="Y126" s="241"/>
      <c r="Z126" s="241"/>
    </row>
    <row r="127" spans="16:26">
      <c r="P127" s="242"/>
      <c r="Q127" s="242"/>
      <c r="R127" s="242"/>
      <c r="S127" s="242"/>
      <c r="T127" s="242"/>
      <c r="U127" s="242"/>
      <c r="V127" s="242"/>
      <c r="W127" s="242"/>
      <c r="X127" s="242"/>
      <c r="Y127" s="242"/>
      <c r="Z127" s="242"/>
    </row>
    <row r="128" spans="16:26">
      <c r="P128" s="242"/>
      <c r="Q128" s="242"/>
      <c r="R128" s="242"/>
      <c r="S128" s="242"/>
      <c r="T128" s="242"/>
      <c r="U128" s="242"/>
      <c r="V128" s="242"/>
      <c r="W128" s="242"/>
      <c r="X128" s="242"/>
      <c r="Y128" s="242"/>
      <c r="Z128" s="242"/>
    </row>
    <row r="129" spans="16:26">
      <c r="P129" s="241"/>
      <c r="Q129" s="241"/>
      <c r="R129" s="241"/>
      <c r="S129" s="241"/>
      <c r="T129" s="241"/>
      <c r="U129" s="241"/>
      <c r="V129" s="241"/>
      <c r="W129" s="241"/>
      <c r="X129" s="241"/>
      <c r="Y129" s="241"/>
      <c r="Z129" s="241"/>
    </row>
    <row r="130" spans="16:26">
      <c r="P130" s="242"/>
      <c r="Q130" s="242"/>
      <c r="R130" s="242"/>
      <c r="S130" s="242"/>
      <c r="T130" s="242"/>
      <c r="U130" s="242"/>
      <c r="V130" s="242"/>
      <c r="W130" s="242"/>
      <c r="X130" s="242"/>
      <c r="Y130" s="242"/>
      <c r="Z130" s="242"/>
    </row>
    <row r="131" spans="16:26">
      <c r="P131" s="242"/>
      <c r="Q131" s="242"/>
      <c r="R131" s="242"/>
      <c r="S131" s="242"/>
      <c r="T131" s="242"/>
      <c r="U131" s="242"/>
      <c r="V131" s="242"/>
      <c r="W131" s="242"/>
      <c r="X131" s="242"/>
      <c r="Y131" s="242"/>
      <c r="Z131" s="242"/>
    </row>
    <row r="132" spans="16:26">
      <c r="P132" s="241"/>
      <c r="Q132" s="241"/>
      <c r="R132" s="241"/>
      <c r="S132" s="241"/>
      <c r="T132" s="241"/>
      <c r="U132" s="241"/>
      <c r="V132" s="241"/>
      <c r="W132" s="241"/>
      <c r="X132" s="241"/>
      <c r="Y132" s="241"/>
      <c r="Z132" s="241"/>
    </row>
    <row r="133" spans="16:26">
      <c r="P133" s="242"/>
      <c r="Q133" s="242"/>
      <c r="R133" s="242"/>
      <c r="S133" s="242"/>
      <c r="T133" s="242"/>
      <c r="U133" s="242"/>
      <c r="V133" s="242"/>
      <c r="W133" s="242"/>
      <c r="X133" s="242"/>
      <c r="Y133" s="242"/>
      <c r="Z133" s="242"/>
    </row>
    <row r="134" spans="16:26">
      <c r="P134" s="242"/>
      <c r="Q134" s="242"/>
      <c r="R134" s="242"/>
      <c r="S134" s="242"/>
      <c r="T134" s="242"/>
      <c r="U134" s="242"/>
      <c r="V134" s="242"/>
      <c r="W134" s="242"/>
      <c r="X134" s="242"/>
      <c r="Y134" s="242"/>
      <c r="Z134" s="242"/>
    </row>
    <row r="135" spans="16:26">
      <c r="P135" s="241"/>
      <c r="Q135" s="241"/>
      <c r="R135" s="241"/>
      <c r="S135" s="241"/>
      <c r="T135" s="241"/>
      <c r="U135" s="241"/>
      <c r="V135" s="241"/>
      <c r="W135" s="241"/>
      <c r="X135" s="241"/>
      <c r="Y135" s="241"/>
      <c r="Z135" s="241"/>
    </row>
    <row r="136" spans="16:26">
      <c r="P136" s="242"/>
      <c r="Q136" s="242"/>
      <c r="R136" s="242"/>
      <c r="S136" s="242"/>
      <c r="T136" s="242"/>
      <c r="U136" s="242"/>
      <c r="V136" s="242"/>
      <c r="W136" s="242"/>
      <c r="X136" s="242"/>
      <c r="Y136" s="242"/>
      <c r="Z136" s="242"/>
    </row>
    <row r="137" spans="16:26">
      <c r="P137" s="242"/>
      <c r="Q137" s="242"/>
      <c r="R137" s="242"/>
      <c r="S137" s="242"/>
      <c r="T137" s="242"/>
      <c r="U137" s="242"/>
      <c r="V137" s="242"/>
      <c r="W137" s="242"/>
      <c r="X137" s="242"/>
      <c r="Y137" s="242"/>
      <c r="Z137" s="242"/>
    </row>
    <row r="138" spans="16:26">
      <c r="P138" s="241"/>
      <c r="Q138" s="241"/>
      <c r="R138" s="241"/>
      <c r="S138" s="241"/>
      <c r="T138" s="241"/>
      <c r="U138" s="241"/>
      <c r="V138" s="241"/>
      <c r="W138" s="241"/>
      <c r="X138" s="241"/>
      <c r="Y138" s="241"/>
      <c r="Z138" s="241"/>
    </row>
    <row r="139" spans="16:26">
      <c r="P139" s="242"/>
      <c r="Q139" s="242"/>
      <c r="R139" s="242"/>
      <c r="S139" s="242"/>
      <c r="T139" s="242"/>
      <c r="U139" s="242"/>
      <c r="V139" s="242"/>
      <c r="W139" s="242"/>
      <c r="X139" s="242"/>
      <c r="Y139" s="242"/>
      <c r="Z139" s="242"/>
    </row>
    <row r="140" spans="16:26">
      <c r="P140" s="242"/>
      <c r="Q140" s="242"/>
      <c r="R140" s="242"/>
      <c r="S140" s="242"/>
      <c r="T140" s="242"/>
      <c r="U140" s="242"/>
      <c r="V140" s="242"/>
      <c r="W140" s="242"/>
      <c r="X140" s="242"/>
      <c r="Y140" s="242"/>
      <c r="Z140" s="242"/>
    </row>
    <row r="141" spans="16:26">
      <c r="P141" s="241"/>
      <c r="Q141" s="241"/>
      <c r="R141" s="241"/>
      <c r="S141" s="241"/>
      <c r="T141" s="241"/>
      <c r="U141" s="241"/>
      <c r="V141" s="241"/>
      <c r="W141" s="241"/>
      <c r="X141" s="241"/>
      <c r="Y141" s="241"/>
      <c r="Z141" s="241"/>
    </row>
    <row r="142" spans="16:26">
      <c r="P142" s="242"/>
      <c r="Q142" s="242"/>
      <c r="R142" s="242"/>
      <c r="S142" s="242"/>
      <c r="T142" s="242"/>
      <c r="U142" s="242"/>
      <c r="V142" s="242"/>
      <c r="W142" s="242"/>
      <c r="X142" s="242"/>
      <c r="Y142" s="242"/>
      <c r="Z142" s="242"/>
    </row>
    <row r="143" spans="16:26">
      <c r="P143" s="242"/>
      <c r="Q143" s="242"/>
      <c r="R143" s="242"/>
      <c r="S143" s="242"/>
      <c r="T143" s="242"/>
      <c r="U143" s="242"/>
      <c r="V143" s="242"/>
      <c r="W143" s="242"/>
      <c r="X143" s="242"/>
      <c r="Y143" s="242"/>
      <c r="Z143" s="242"/>
    </row>
    <row r="144" spans="16:26">
      <c r="P144" s="241"/>
      <c r="Q144" s="241"/>
      <c r="R144" s="241"/>
      <c r="S144" s="241"/>
      <c r="T144" s="241"/>
      <c r="U144" s="241"/>
      <c r="V144" s="241"/>
      <c r="W144" s="241"/>
      <c r="X144" s="241"/>
      <c r="Y144" s="241"/>
      <c r="Z144" s="241"/>
    </row>
    <row r="145" spans="16:26">
      <c r="P145" s="242"/>
      <c r="Q145" s="242"/>
      <c r="R145" s="242"/>
      <c r="S145" s="242"/>
      <c r="T145" s="242"/>
      <c r="U145" s="242"/>
      <c r="V145" s="242"/>
      <c r="W145" s="242"/>
      <c r="X145" s="242"/>
      <c r="Y145" s="242"/>
      <c r="Z145" s="242"/>
    </row>
    <row r="146" spans="16:26">
      <c r="P146" s="242"/>
      <c r="Q146" s="242"/>
      <c r="R146" s="242"/>
      <c r="S146" s="242"/>
      <c r="T146" s="242"/>
      <c r="U146" s="242"/>
      <c r="V146" s="242"/>
      <c r="W146" s="242"/>
      <c r="X146" s="242"/>
      <c r="Y146" s="242"/>
      <c r="Z146" s="242"/>
    </row>
    <row r="147" spans="16:26">
      <c r="P147" s="241"/>
      <c r="Q147" s="241"/>
      <c r="R147" s="241"/>
      <c r="S147" s="241"/>
      <c r="T147" s="241"/>
      <c r="U147" s="241"/>
      <c r="V147" s="241"/>
      <c r="W147" s="241"/>
      <c r="X147" s="241"/>
      <c r="Y147" s="241"/>
      <c r="Z147" s="241"/>
    </row>
    <row r="148" spans="16:26">
      <c r="P148" s="242"/>
      <c r="Q148" s="242"/>
      <c r="R148" s="242"/>
      <c r="S148" s="242"/>
      <c r="T148" s="242"/>
      <c r="U148" s="242"/>
      <c r="V148" s="242"/>
      <c r="W148" s="242"/>
      <c r="X148" s="242"/>
      <c r="Y148" s="242"/>
      <c r="Z148" s="242"/>
    </row>
    <row r="149" spans="16:26">
      <c r="P149" s="242"/>
      <c r="Q149" s="242"/>
      <c r="R149" s="242"/>
      <c r="S149" s="242"/>
      <c r="T149" s="242"/>
      <c r="U149" s="242"/>
      <c r="V149" s="242"/>
      <c r="W149" s="242"/>
      <c r="X149" s="242"/>
      <c r="Y149" s="242"/>
      <c r="Z149" s="242"/>
    </row>
    <row r="150" spans="16:26">
      <c r="P150" s="241"/>
      <c r="Q150" s="241"/>
      <c r="R150" s="241"/>
      <c r="S150" s="241"/>
      <c r="T150" s="241"/>
      <c r="U150" s="241"/>
      <c r="V150" s="241"/>
      <c r="W150" s="241"/>
      <c r="X150" s="241"/>
      <c r="Y150" s="241"/>
      <c r="Z150" s="241"/>
    </row>
    <row r="151" spans="16:26">
      <c r="P151" s="242"/>
      <c r="Q151" s="242"/>
      <c r="R151" s="242"/>
      <c r="S151" s="242"/>
      <c r="T151" s="242"/>
      <c r="U151" s="242"/>
      <c r="V151" s="242"/>
      <c r="W151" s="242"/>
      <c r="X151" s="242"/>
      <c r="Y151" s="242"/>
      <c r="Z151" s="242"/>
    </row>
    <row r="152" spans="16:26">
      <c r="P152" s="242"/>
      <c r="Q152" s="242"/>
      <c r="R152" s="242"/>
      <c r="S152" s="242"/>
      <c r="T152" s="242"/>
      <c r="U152" s="242"/>
      <c r="V152" s="242"/>
      <c r="W152" s="242"/>
      <c r="X152" s="242"/>
      <c r="Y152" s="242"/>
      <c r="Z152" s="242"/>
    </row>
    <row r="153" spans="16:26">
      <c r="P153" s="241"/>
      <c r="Q153" s="241"/>
      <c r="R153" s="241"/>
      <c r="S153" s="241"/>
      <c r="T153" s="241"/>
      <c r="U153" s="241"/>
      <c r="V153" s="241"/>
      <c r="W153" s="241"/>
      <c r="X153" s="241"/>
      <c r="Y153" s="241"/>
      <c r="Z153" s="241"/>
    </row>
    <row r="154" spans="16:26">
      <c r="P154" s="242"/>
      <c r="Q154" s="242"/>
      <c r="R154" s="242"/>
      <c r="S154" s="242"/>
      <c r="T154" s="242"/>
      <c r="U154" s="242"/>
      <c r="V154" s="242"/>
      <c r="W154" s="242"/>
      <c r="X154" s="242"/>
      <c r="Y154" s="242"/>
      <c r="Z154" s="242"/>
    </row>
    <row r="155" spans="16:26">
      <c r="P155" s="242"/>
      <c r="Q155" s="242"/>
      <c r="R155" s="242"/>
      <c r="S155" s="242"/>
      <c r="T155" s="242"/>
      <c r="U155" s="242"/>
      <c r="V155" s="242"/>
      <c r="W155" s="242"/>
      <c r="X155" s="242"/>
      <c r="Y155" s="242"/>
      <c r="Z155" s="242"/>
    </row>
    <row r="156" spans="16:26">
      <c r="P156" s="241"/>
      <c r="Q156" s="241"/>
      <c r="R156" s="241"/>
      <c r="S156" s="241"/>
      <c r="T156" s="241"/>
      <c r="U156" s="241"/>
      <c r="V156" s="241"/>
      <c r="W156" s="241"/>
      <c r="X156" s="241"/>
      <c r="Y156" s="241"/>
      <c r="Z156" s="241"/>
    </row>
    <row r="157" spans="16:26">
      <c r="P157" s="242"/>
      <c r="Q157" s="242"/>
      <c r="R157" s="242"/>
      <c r="S157" s="242"/>
      <c r="T157" s="242"/>
      <c r="U157" s="242"/>
      <c r="V157" s="242"/>
      <c r="W157" s="242"/>
      <c r="X157" s="242"/>
      <c r="Y157" s="242"/>
      <c r="Z157" s="242"/>
    </row>
    <row r="158" spans="16:26">
      <c r="P158" s="242"/>
      <c r="Q158" s="242"/>
      <c r="R158" s="242"/>
      <c r="S158" s="242"/>
      <c r="T158" s="242"/>
      <c r="U158" s="242"/>
      <c r="V158" s="242"/>
      <c r="W158" s="242"/>
      <c r="X158" s="242"/>
      <c r="Y158" s="242"/>
      <c r="Z158" s="242"/>
    </row>
    <row r="159" spans="16:26">
      <c r="P159" s="241"/>
      <c r="Q159" s="241"/>
      <c r="R159" s="241"/>
      <c r="S159" s="241"/>
      <c r="T159" s="241"/>
      <c r="U159" s="241"/>
      <c r="V159" s="241"/>
      <c r="W159" s="241"/>
      <c r="X159" s="241"/>
      <c r="Y159" s="241"/>
      <c r="Z159" s="241"/>
    </row>
    <row r="160" spans="16:26">
      <c r="P160" s="242"/>
      <c r="Q160" s="242"/>
      <c r="R160" s="242"/>
      <c r="S160" s="242"/>
      <c r="T160" s="242"/>
      <c r="U160" s="242"/>
      <c r="V160" s="242"/>
      <c r="W160" s="242"/>
      <c r="X160" s="242"/>
      <c r="Y160" s="242"/>
      <c r="Z160" s="242"/>
    </row>
    <row r="161" spans="16:26">
      <c r="P161" s="242"/>
      <c r="Q161" s="242"/>
      <c r="R161" s="242"/>
      <c r="S161" s="242"/>
      <c r="T161" s="242"/>
      <c r="U161" s="242"/>
      <c r="V161" s="242"/>
      <c r="W161" s="242"/>
      <c r="X161" s="242"/>
      <c r="Y161" s="242"/>
      <c r="Z161" s="242"/>
    </row>
    <row r="162" spans="16:26">
      <c r="P162" s="241"/>
      <c r="Q162" s="241"/>
      <c r="R162" s="241"/>
      <c r="S162" s="241"/>
      <c r="T162" s="241"/>
      <c r="U162" s="241"/>
      <c r="V162" s="241"/>
      <c r="W162" s="241"/>
      <c r="X162" s="241"/>
      <c r="Y162" s="241"/>
      <c r="Z162" s="241"/>
    </row>
    <row r="163" spans="16:26">
      <c r="P163" s="242"/>
      <c r="Q163" s="242"/>
      <c r="R163" s="242"/>
      <c r="S163" s="242"/>
      <c r="T163" s="242"/>
      <c r="U163" s="242"/>
      <c r="V163" s="242"/>
      <c r="W163" s="242"/>
      <c r="X163" s="242"/>
      <c r="Y163" s="242"/>
      <c r="Z163" s="242"/>
    </row>
    <row r="164" spans="16:26">
      <c r="P164" s="242"/>
      <c r="Q164" s="242"/>
      <c r="R164" s="242"/>
      <c r="S164" s="242"/>
      <c r="T164" s="242"/>
      <c r="U164" s="242"/>
      <c r="V164" s="242"/>
      <c r="W164" s="242"/>
      <c r="X164" s="242"/>
      <c r="Y164" s="242"/>
      <c r="Z164" s="242"/>
    </row>
    <row r="165" spans="16:26">
      <c r="P165" s="241"/>
      <c r="Q165" s="241"/>
      <c r="R165" s="241"/>
      <c r="S165" s="241"/>
      <c r="T165" s="241"/>
      <c r="U165" s="241"/>
      <c r="V165" s="241"/>
      <c r="W165" s="241"/>
      <c r="X165" s="241"/>
      <c r="Y165" s="241"/>
      <c r="Z165" s="241"/>
    </row>
    <row r="166" spans="16:26">
      <c r="P166" s="242"/>
      <c r="Q166" s="242"/>
      <c r="R166" s="242"/>
      <c r="S166" s="242"/>
      <c r="T166" s="242"/>
      <c r="U166" s="242"/>
      <c r="V166" s="242"/>
      <c r="W166" s="242"/>
      <c r="X166" s="242"/>
      <c r="Y166" s="242"/>
      <c r="Z166" s="242"/>
    </row>
    <row r="167" spans="16:26">
      <c r="P167" s="242"/>
      <c r="Q167" s="242"/>
      <c r="R167" s="242"/>
      <c r="S167" s="242"/>
      <c r="T167" s="242"/>
      <c r="U167" s="242"/>
      <c r="V167" s="242"/>
      <c r="W167" s="242"/>
      <c r="X167" s="242"/>
      <c r="Y167" s="242"/>
      <c r="Z167" s="242"/>
    </row>
    <row r="168" spans="16:26">
      <c r="P168" s="241"/>
      <c r="Q168" s="241"/>
      <c r="R168" s="241"/>
      <c r="S168" s="241"/>
      <c r="T168" s="241"/>
      <c r="U168" s="241"/>
      <c r="V168" s="241"/>
      <c r="W168" s="241"/>
      <c r="X168" s="241"/>
      <c r="Y168" s="241"/>
      <c r="Z168" s="241"/>
    </row>
    <row r="169" spans="16:26">
      <c r="P169" s="242"/>
      <c r="Q169" s="242"/>
      <c r="R169" s="242"/>
      <c r="S169" s="242"/>
      <c r="T169" s="242"/>
      <c r="U169" s="242"/>
      <c r="V169" s="242"/>
      <c r="W169" s="242"/>
      <c r="X169" s="242"/>
      <c r="Y169" s="242"/>
      <c r="Z169" s="242"/>
    </row>
    <row r="170" spans="16:26">
      <c r="P170" s="242"/>
      <c r="Q170" s="242"/>
      <c r="R170" s="242"/>
      <c r="S170" s="242"/>
      <c r="T170" s="242"/>
      <c r="U170" s="242"/>
      <c r="V170" s="242"/>
      <c r="W170" s="242"/>
      <c r="X170" s="242"/>
      <c r="Y170" s="242"/>
      <c r="Z170" s="242"/>
    </row>
    <row r="171" spans="16:26">
      <c r="P171" s="241"/>
      <c r="Q171" s="241"/>
      <c r="R171" s="241"/>
      <c r="S171" s="241"/>
      <c r="T171" s="241"/>
      <c r="U171" s="241"/>
      <c r="V171" s="241"/>
      <c r="W171" s="241"/>
      <c r="X171" s="241"/>
      <c r="Y171" s="241"/>
      <c r="Z171" s="241"/>
    </row>
    <row r="172" spans="16:26">
      <c r="P172" s="242"/>
      <c r="Q172" s="242"/>
      <c r="R172" s="242"/>
      <c r="S172" s="242"/>
      <c r="T172" s="242"/>
      <c r="U172" s="242"/>
      <c r="V172" s="242"/>
      <c r="W172" s="242"/>
      <c r="X172" s="242"/>
      <c r="Y172" s="242"/>
      <c r="Z172" s="242"/>
    </row>
    <row r="173" spans="16:26">
      <c r="P173" s="242"/>
      <c r="Q173" s="242"/>
      <c r="R173" s="242"/>
      <c r="S173" s="242"/>
      <c r="T173" s="242"/>
      <c r="U173" s="242"/>
      <c r="V173" s="242"/>
      <c r="W173" s="242"/>
      <c r="X173" s="242"/>
      <c r="Y173" s="242"/>
      <c r="Z173" s="242"/>
    </row>
    <row r="174" spans="16:26">
      <c r="P174" s="241"/>
      <c r="Q174" s="241"/>
      <c r="R174" s="241"/>
      <c r="S174" s="241"/>
      <c r="T174" s="241"/>
      <c r="U174" s="241"/>
      <c r="V174" s="241"/>
      <c r="W174" s="241"/>
      <c r="X174" s="241"/>
      <c r="Y174" s="241"/>
      <c r="Z174" s="241"/>
    </row>
    <row r="175" spans="16:26">
      <c r="P175" s="242"/>
      <c r="Q175" s="242"/>
      <c r="R175" s="242"/>
      <c r="S175" s="242"/>
      <c r="T175" s="242"/>
      <c r="U175" s="242"/>
      <c r="V175" s="242"/>
      <c r="W175" s="242"/>
      <c r="X175" s="242"/>
      <c r="Y175" s="242"/>
      <c r="Z175" s="242"/>
    </row>
    <row r="176" spans="16:26">
      <c r="P176" s="242"/>
      <c r="Q176" s="242"/>
      <c r="R176" s="242"/>
      <c r="S176" s="242"/>
      <c r="T176" s="242"/>
      <c r="U176" s="242"/>
      <c r="V176" s="242"/>
      <c r="W176" s="242"/>
      <c r="X176" s="242"/>
      <c r="Y176" s="242"/>
      <c r="Z176" s="242"/>
    </row>
    <row r="177" spans="16:26">
      <c r="P177" s="241"/>
      <c r="Q177" s="241"/>
      <c r="R177" s="241"/>
      <c r="S177" s="241"/>
      <c r="T177" s="241"/>
      <c r="U177" s="241"/>
      <c r="V177" s="241"/>
      <c r="W177" s="241"/>
      <c r="X177" s="241"/>
      <c r="Y177" s="241"/>
      <c r="Z177" s="241"/>
    </row>
    <row r="178" spans="16:26">
      <c r="P178" s="242"/>
      <c r="Q178" s="242"/>
      <c r="R178" s="242"/>
      <c r="S178" s="242"/>
      <c r="T178" s="242"/>
      <c r="U178" s="242"/>
      <c r="V178" s="242"/>
      <c r="W178" s="242"/>
      <c r="X178" s="242"/>
      <c r="Y178" s="242"/>
      <c r="Z178" s="242"/>
    </row>
    <row r="179" spans="16:26">
      <c r="P179" s="242"/>
      <c r="Q179" s="242"/>
      <c r="R179" s="242"/>
      <c r="S179" s="242"/>
      <c r="T179" s="242"/>
      <c r="U179" s="242"/>
      <c r="V179" s="242"/>
      <c r="W179" s="242"/>
      <c r="X179" s="242"/>
      <c r="Y179" s="242"/>
      <c r="Z179" s="242"/>
    </row>
    <row r="180" spans="16:26">
      <c r="P180" s="241"/>
      <c r="Q180" s="241"/>
      <c r="R180" s="241"/>
      <c r="S180" s="241"/>
      <c r="T180" s="241"/>
      <c r="U180" s="241"/>
      <c r="V180" s="241"/>
      <c r="W180" s="241"/>
      <c r="X180" s="241"/>
      <c r="Y180" s="241"/>
      <c r="Z180" s="241"/>
    </row>
    <row r="181" spans="16:26">
      <c r="P181" s="242"/>
      <c r="Q181" s="242"/>
      <c r="R181" s="242"/>
      <c r="S181" s="242"/>
      <c r="T181" s="242"/>
      <c r="U181" s="242"/>
      <c r="V181" s="242"/>
      <c r="W181" s="242"/>
      <c r="X181" s="242"/>
      <c r="Y181" s="242"/>
      <c r="Z181" s="242"/>
    </row>
    <row r="182" spans="16:26">
      <c r="P182" s="242"/>
      <c r="Q182" s="242"/>
      <c r="R182" s="242"/>
      <c r="S182" s="242"/>
      <c r="T182" s="242"/>
      <c r="U182" s="242"/>
      <c r="V182" s="242"/>
      <c r="W182" s="242"/>
      <c r="X182" s="242"/>
      <c r="Y182" s="242"/>
      <c r="Z182" s="242"/>
    </row>
    <row r="183" spans="16:26">
      <c r="P183" s="241"/>
      <c r="Q183" s="241"/>
      <c r="R183" s="241"/>
      <c r="S183" s="241"/>
      <c r="T183" s="241"/>
      <c r="U183" s="241"/>
      <c r="V183" s="241"/>
      <c r="W183" s="241"/>
      <c r="X183" s="241"/>
      <c r="Y183" s="241"/>
      <c r="Z183" s="241"/>
    </row>
    <row r="184" spans="16:26">
      <c r="P184" s="242"/>
      <c r="Q184" s="242"/>
      <c r="R184" s="242"/>
      <c r="S184" s="242"/>
      <c r="T184" s="242"/>
      <c r="U184" s="242"/>
      <c r="V184" s="242"/>
      <c r="W184" s="242"/>
      <c r="X184" s="242"/>
      <c r="Y184" s="242"/>
      <c r="Z184" s="242"/>
    </row>
    <row r="185" spans="16:26">
      <c r="P185" s="242"/>
      <c r="Q185" s="242"/>
      <c r="R185" s="242"/>
      <c r="S185" s="242"/>
      <c r="T185" s="242"/>
      <c r="U185" s="242"/>
      <c r="V185" s="242"/>
      <c r="W185" s="242"/>
      <c r="X185" s="242"/>
      <c r="Y185" s="242"/>
      <c r="Z185" s="242"/>
    </row>
    <row r="186" spans="16:26">
      <c r="P186" s="241"/>
      <c r="Q186" s="241"/>
      <c r="R186" s="241"/>
      <c r="S186" s="241"/>
      <c r="T186" s="241"/>
      <c r="U186" s="241"/>
      <c r="V186" s="241"/>
      <c r="W186" s="241"/>
      <c r="X186" s="241"/>
      <c r="Y186" s="241"/>
      <c r="Z186" s="241"/>
    </row>
    <row r="187" spans="16:26">
      <c r="P187" s="242"/>
      <c r="Q187" s="242"/>
      <c r="R187" s="242"/>
      <c r="S187" s="242"/>
      <c r="T187" s="242"/>
      <c r="U187" s="242"/>
      <c r="V187" s="242"/>
      <c r="W187" s="242"/>
      <c r="X187" s="242"/>
      <c r="Y187" s="242"/>
      <c r="Z187" s="242"/>
    </row>
    <row r="188" spans="16:26">
      <c r="P188" s="242"/>
      <c r="Q188" s="242"/>
      <c r="R188" s="242"/>
      <c r="S188" s="242"/>
      <c r="T188" s="242"/>
      <c r="U188" s="242"/>
      <c r="V188" s="242"/>
      <c r="W188" s="242"/>
      <c r="X188" s="242"/>
      <c r="Y188" s="242"/>
      <c r="Z188" s="242"/>
    </row>
    <row r="189" spans="16:26">
      <c r="P189" s="241"/>
      <c r="Q189" s="241"/>
      <c r="R189" s="241"/>
      <c r="S189" s="241"/>
      <c r="T189" s="241"/>
      <c r="U189" s="241"/>
      <c r="V189" s="241"/>
      <c r="W189" s="241"/>
      <c r="X189" s="241"/>
      <c r="Y189" s="241"/>
      <c r="Z189" s="241"/>
    </row>
    <row r="190" spans="16:26">
      <c r="P190" s="242"/>
      <c r="Q190" s="242"/>
      <c r="R190" s="242"/>
      <c r="S190" s="242"/>
      <c r="T190" s="242"/>
      <c r="U190" s="242"/>
      <c r="V190" s="242"/>
      <c r="W190" s="242"/>
      <c r="X190" s="242"/>
      <c r="Y190" s="242"/>
      <c r="Z190" s="242"/>
    </row>
    <row r="191" spans="16:26">
      <c r="P191" s="242"/>
      <c r="Q191" s="242"/>
      <c r="R191" s="242"/>
      <c r="S191" s="242"/>
      <c r="T191" s="242"/>
      <c r="U191" s="242"/>
      <c r="V191" s="242"/>
      <c r="W191" s="242"/>
      <c r="X191" s="242"/>
      <c r="Y191" s="242"/>
      <c r="Z191" s="242"/>
    </row>
    <row r="192" spans="16:26">
      <c r="P192" s="241"/>
      <c r="Q192" s="241"/>
      <c r="R192" s="241"/>
      <c r="S192" s="241"/>
      <c r="T192" s="241"/>
      <c r="U192" s="241"/>
      <c r="V192" s="241"/>
      <c r="W192" s="241"/>
      <c r="X192" s="241"/>
      <c r="Y192" s="241"/>
      <c r="Z192" s="241"/>
    </row>
    <row r="193" spans="16:26">
      <c r="P193" s="242"/>
      <c r="Q193" s="242"/>
      <c r="R193" s="242"/>
      <c r="S193" s="242"/>
      <c r="T193" s="242"/>
      <c r="U193" s="242"/>
      <c r="V193" s="242"/>
      <c r="W193" s="242"/>
      <c r="X193" s="242"/>
      <c r="Y193" s="242"/>
      <c r="Z193" s="242"/>
    </row>
    <row r="194" spans="16:26">
      <c r="P194" s="242"/>
      <c r="Q194" s="242"/>
      <c r="R194" s="242"/>
      <c r="S194" s="242"/>
      <c r="T194" s="242"/>
      <c r="U194" s="242"/>
      <c r="V194" s="242"/>
      <c r="W194" s="242"/>
      <c r="X194" s="242"/>
      <c r="Y194" s="242"/>
      <c r="Z194" s="242"/>
    </row>
    <row r="195" spans="16:26">
      <c r="P195" s="241"/>
      <c r="Q195" s="241"/>
      <c r="R195" s="241"/>
      <c r="S195" s="241"/>
      <c r="T195" s="241"/>
      <c r="U195" s="241"/>
      <c r="V195" s="241"/>
      <c r="W195" s="241"/>
      <c r="X195" s="241"/>
      <c r="Y195" s="241"/>
      <c r="Z195" s="241"/>
    </row>
    <row r="196" spans="16:26">
      <c r="P196" s="242"/>
      <c r="Q196" s="242"/>
      <c r="R196" s="242"/>
      <c r="S196" s="242"/>
      <c r="T196" s="242"/>
      <c r="U196" s="242"/>
      <c r="V196" s="242"/>
      <c r="W196" s="242"/>
      <c r="X196" s="242"/>
      <c r="Y196" s="242"/>
      <c r="Z196" s="242"/>
    </row>
    <row r="197" spans="16:26">
      <c r="P197" s="242"/>
      <c r="Q197" s="242"/>
      <c r="R197" s="242"/>
      <c r="S197" s="242"/>
      <c r="T197" s="242"/>
      <c r="U197" s="242"/>
      <c r="V197" s="242"/>
      <c r="W197" s="242"/>
      <c r="X197" s="242"/>
      <c r="Y197" s="242"/>
      <c r="Z197" s="242"/>
    </row>
    <row r="198" spans="16:26">
      <c r="P198" s="241"/>
      <c r="Q198" s="241"/>
      <c r="R198" s="241"/>
      <c r="S198" s="241"/>
      <c r="T198" s="241"/>
      <c r="U198" s="241"/>
      <c r="V198" s="241"/>
      <c r="W198" s="241"/>
      <c r="X198" s="241"/>
      <c r="Y198" s="241"/>
      <c r="Z198" s="241"/>
    </row>
    <row r="199" spans="16:26">
      <c r="P199" s="242"/>
      <c r="Q199" s="242"/>
      <c r="R199" s="242"/>
      <c r="S199" s="242"/>
      <c r="T199" s="242"/>
      <c r="U199" s="242"/>
      <c r="V199" s="242"/>
      <c r="W199" s="242"/>
      <c r="X199" s="242"/>
      <c r="Y199" s="242"/>
      <c r="Z199" s="242"/>
    </row>
    <row r="200" spans="16:26">
      <c r="P200" s="242"/>
      <c r="Q200" s="242"/>
      <c r="R200" s="242"/>
      <c r="S200" s="242"/>
      <c r="T200" s="242"/>
      <c r="U200" s="242"/>
      <c r="V200" s="242"/>
      <c r="W200" s="242"/>
      <c r="X200" s="242"/>
      <c r="Y200" s="242"/>
      <c r="Z200" s="242"/>
    </row>
    <row r="201" spans="16:26">
      <c r="P201" s="241"/>
      <c r="Q201" s="241"/>
      <c r="R201" s="241"/>
      <c r="S201" s="241"/>
      <c r="T201" s="241"/>
      <c r="U201" s="241"/>
      <c r="V201" s="241"/>
      <c r="W201" s="241"/>
      <c r="X201" s="241"/>
      <c r="Y201" s="241"/>
      <c r="Z201" s="241"/>
    </row>
    <row r="202" spans="16:26">
      <c r="P202" s="242"/>
      <c r="Q202" s="242"/>
      <c r="R202" s="242"/>
      <c r="S202" s="242"/>
      <c r="T202" s="242"/>
      <c r="U202" s="242"/>
      <c r="V202" s="242"/>
      <c r="W202" s="242"/>
      <c r="X202" s="242"/>
      <c r="Y202" s="242"/>
      <c r="Z202" s="242"/>
    </row>
    <row r="203" spans="16:26">
      <c r="P203" s="242"/>
      <c r="Q203" s="242"/>
      <c r="R203" s="242"/>
      <c r="S203" s="242"/>
      <c r="T203" s="242"/>
      <c r="U203" s="242"/>
      <c r="V203" s="242"/>
      <c r="W203" s="242"/>
      <c r="X203" s="242"/>
      <c r="Y203" s="242"/>
      <c r="Z203" s="242"/>
    </row>
    <row r="204" spans="16:26">
      <c r="P204" s="241"/>
      <c r="Q204" s="241"/>
      <c r="R204" s="241"/>
      <c r="S204" s="241"/>
      <c r="T204" s="241"/>
      <c r="U204" s="241"/>
      <c r="V204" s="241"/>
      <c r="W204" s="241"/>
      <c r="X204" s="241"/>
      <c r="Y204" s="241"/>
      <c r="Z204" s="241"/>
    </row>
    <row r="205" spans="16:26">
      <c r="P205" s="242"/>
      <c r="Q205" s="242"/>
      <c r="R205" s="242"/>
      <c r="S205" s="242"/>
      <c r="T205" s="242"/>
      <c r="U205" s="242"/>
      <c r="V205" s="242"/>
      <c r="W205" s="242"/>
      <c r="X205" s="242"/>
      <c r="Y205" s="242"/>
      <c r="Z205" s="242"/>
    </row>
    <row r="206" spans="16:26">
      <c r="P206" s="242"/>
      <c r="Q206" s="242"/>
      <c r="R206" s="242"/>
      <c r="S206" s="242"/>
      <c r="T206" s="242"/>
      <c r="U206" s="242"/>
      <c r="V206" s="242"/>
      <c r="W206" s="242"/>
      <c r="X206" s="242"/>
      <c r="Y206" s="242"/>
      <c r="Z206" s="242"/>
    </row>
    <row r="207" spans="16:26">
      <c r="P207" s="241"/>
      <c r="Q207" s="241"/>
      <c r="R207" s="241"/>
      <c r="S207" s="241"/>
      <c r="T207" s="241"/>
      <c r="U207" s="241"/>
      <c r="V207" s="241"/>
      <c r="W207" s="241"/>
      <c r="X207" s="241"/>
      <c r="Y207" s="241"/>
      <c r="Z207" s="241"/>
    </row>
    <row r="208" spans="16:26">
      <c r="P208" s="242"/>
      <c r="Q208" s="242"/>
      <c r="R208" s="242"/>
      <c r="S208" s="242"/>
      <c r="T208" s="242"/>
      <c r="U208" s="242"/>
      <c r="V208" s="242"/>
      <c r="W208" s="242"/>
      <c r="X208" s="242"/>
      <c r="Y208" s="242"/>
      <c r="Z208" s="242"/>
    </row>
    <row r="209" spans="16:26">
      <c r="P209" s="242"/>
      <c r="Q209" s="242"/>
      <c r="R209" s="242"/>
      <c r="S209" s="242"/>
      <c r="T209" s="242"/>
      <c r="U209" s="242"/>
      <c r="V209" s="242"/>
      <c r="W209" s="242"/>
      <c r="X209" s="242"/>
      <c r="Y209" s="242"/>
      <c r="Z209" s="242"/>
    </row>
    <row r="210" spans="16:26">
      <c r="P210" s="241"/>
      <c r="Q210" s="241"/>
      <c r="R210" s="241"/>
      <c r="S210" s="241"/>
      <c r="T210" s="241"/>
      <c r="U210" s="241"/>
      <c r="V210" s="241"/>
      <c r="W210" s="241"/>
      <c r="X210" s="241"/>
      <c r="Y210" s="241"/>
      <c r="Z210" s="241"/>
    </row>
    <row r="211" spans="16:26">
      <c r="P211" s="242"/>
      <c r="Q211" s="242"/>
      <c r="R211" s="242"/>
      <c r="S211" s="242"/>
      <c r="T211" s="242"/>
      <c r="U211" s="242"/>
      <c r="V211" s="242"/>
      <c r="W211" s="242"/>
      <c r="X211" s="242"/>
      <c r="Y211" s="242"/>
      <c r="Z211" s="242"/>
    </row>
    <row r="212" spans="16:26">
      <c r="P212" s="242"/>
      <c r="Q212" s="242"/>
      <c r="R212" s="242"/>
      <c r="S212" s="242"/>
      <c r="T212" s="242"/>
      <c r="U212" s="242"/>
      <c r="V212" s="242"/>
      <c r="W212" s="242"/>
      <c r="X212" s="242"/>
      <c r="Y212" s="242"/>
      <c r="Z212" s="242"/>
    </row>
    <row r="213" spans="16:26">
      <c r="P213" s="241"/>
      <c r="Q213" s="241"/>
      <c r="R213" s="241"/>
      <c r="S213" s="241"/>
      <c r="T213" s="241"/>
      <c r="U213" s="241"/>
      <c r="V213" s="241"/>
      <c r="W213" s="241"/>
      <c r="X213" s="241"/>
      <c r="Y213" s="241"/>
      <c r="Z213" s="241"/>
    </row>
    <row r="214" spans="16:26">
      <c r="P214" s="242"/>
      <c r="Q214" s="242"/>
      <c r="R214" s="242"/>
      <c r="S214" s="242"/>
      <c r="T214" s="242"/>
      <c r="U214" s="242"/>
      <c r="V214" s="242"/>
      <c r="W214" s="242"/>
      <c r="X214" s="242"/>
      <c r="Y214" s="242"/>
      <c r="Z214" s="242"/>
    </row>
    <row r="215" spans="16:26">
      <c r="P215" s="242"/>
      <c r="Q215" s="242"/>
      <c r="R215" s="242"/>
      <c r="S215" s="242"/>
      <c r="T215" s="242"/>
      <c r="U215" s="242"/>
      <c r="V215" s="242"/>
      <c r="W215" s="242"/>
      <c r="X215" s="242"/>
      <c r="Y215" s="242"/>
      <c r="Z215" s="242"/>
    </row>
    <row r="216" spans="16:26">
      <c r="P216" s="241"/>
      <c r="Q216" s="241"/>
      <c r="R216" s="241"/>
      <c r="S216" s="241"/>
      <c r="T216" s="241"/>
      <c r="U216" s="241"/>
      <c r="V216" s="241"/>
      <c r="W216" s="241"/>
      <c r="X216" s="241"/>
      <c r="Y216" s="241"/>
      <c r="Z216" s="241"/>
    </row>
    <row r="217" spans="16:26">
      <c r="P217" s="242"/>
      <c r="Q217" s="242"/>
      <c r="R217" s="242"/>
      <c r="S217" s="242"/>
      <c r="T217" s="242"/>
      <c r="U217" s="242"/>
      <c r="V217" s="242"/>
      <c r="W217" s="242"/>
      <c r="X217" s="242"/>
      <c r="Y217" s="242"/>
      <c r="Z217" s="242"/>
    </row>
    <row r="218" spans="16:26">
      <c r="P218" s="242"/>
      <c r="Q218" s="242"/>
      <c r="R218" s="242"/>
      <c r="S218" s="242"/>
      <c r="T218" s="242"/>
      <c r="U218" s="242"/>
      <c r="V218" s="242"/>
      <c r="W218" s="242"/>
      <c r="X218" s="242"/>
      <c r="Y218" s="242"/>
      <c r="Z218" s="242"/>
    </row>
    <row r="219" spans="16:26">
      <c r="P219" s="241"/>
      <c r="Q219" s="241"/>
      <c r="R219" s="241"/>
      <c r="S219" s="241"/>
      <c r="T219" s="241"/>
      <c r="U219" s="241"/>
      <c r="V219" s="241"/>
      <c r="W219" s="241"/>
      <c r="X219" s="241"/>
      <c r="Y219" s="241"/>
      <c r="Z219" s="241"/>
    </row>
    <row r="220" spans="16:26">
      <c r="P220" s="242"/>
      <c r="Q220" s="242"/>
      <c r="R220" s="242"/>
      <c r="S220" s="242"/>
      <c r="T220" s="242"/>
      <c r="U220" s="242"/>
      <c r="V220" s="242"/>
      <c r="W220" s="242"/>
      <c r="X220" s="242"/>
      <c r="Y220" s="242"/>
      <c r="Z220" s="242"/>
    </row>
    <row r="221" spans="16:26">
      <c r="P221" s="242"/>
      <c r="Q221" s="242"/>
      <c r="R221" s="242"/>
      <c r="S221" s="242"/>
      <c r="T221" s="242"/>
      <c r="U221" s="242"/>
      <c r="V221" s="242"/>
      <c r="W221" s="242"/>
      <c r="X221" s="242"/>
      <c r="Y221" s="242"/>
      <c r="Z221" s="242"/>
    </row>
    <row r="222" spans="16:26">
      <c r="P222" s="241"/>
      <c r="Q222" s="241"/>
      <c r="R222" s="241"/>
      <c r="S222" s="241"/>
      <c r="T222" s="241"/>
      <c r="U222" s="241"/>
      <c r="V222" s="241"/>
      <c r="W222" s="241"/>
      <c r="X222" s="241"/>
      <c r="Y222" s="241"/>
      <c r="Z222" s="241"/>
    </row>
    <row r="223" spans="16:26">
      <c r="P223" s="242"/>
      <c r="Q223" s="242"/>
      <c r="R223" s="242"/>
      <c r="S223" s="242"/>
      <c r="T223" s="242"/>
      <c r="U223" s="242"/>
      <c r="V223" s="242"/>
      <c r="W223" s="242"/>
      <c r="X223" s="242"/>
      <c r="Y223" s="242"/>
      <c r="Z223" s="242"/>
    </row>
    <row r="224" spans="16:26">
      <c r="P224" s="242"/>
      <c r="Q224" s="242"/>
      <c r="R224" s="242"/>
      <c r="S224" s="242"/>
      <c r="T224" s="242"/>
      <c r="U224" s="242"/>
      <c r="V224" s="242"/>
      <c r="W224" s="242"/>
      <c r="X224" s="242"/>
      <c r="Y224" s="242"/>
      <c r="Z224" s="242"/>
    </row>
    <row r="225" spans="16:26">
      <c r="P225" s="241"/>
      <c r="Q225" s="241"/>
      <c r="R225" s="241"/>
      <c r="S225" s="241"/>
      <c r="T225" s="241"/>
      <c r="U225" s="241"/>
      <c r="V225" s="241"/>
      <c r="W225" s="241"/>
      <c r="X225" s="241"/>
      <c r="Y225" s="241"/>
      <c r="Z225" s="241"/>
    </row>
    <row r="226" spans="16:26">
      <c r="P226" s="242"/>
      <c r="Q226" s="242"/>
      <c r="R226" s="242"/>
      <c r="S226" s="242"/>
      <c r="T226" s="242"/>
      <c r="U226" s="242"/>
      <c r="V226" s="242"/>
      <c r="W226" s="242"/>
      <c r="X226" s="242"/>
      <c r="Y226" s="242"/>
      <c r="Z226" s="242"/>
    </row>
    <row r="227" spans="16:26">
      <c r="P227" s="242"/>
      <c r="Q227" s="242"/>
      <c r="R227" s="242"/>
      <c r="S227" s="242"/>
      <c r="T227" s="242"/>
      <c r="U227" s="242"/>
      <c r="V227" s="242"/>
      <c r="W227" s="242"/>
      <c r="X227" s="242"/>
      <c r="Y227" s="242"/>
      <c r="Z227" s="242"/>
    </row>
    <row r="228" spans="16:26">
      <c r="P228" s="241"/>
      <c r="Q228" s="241"/>
      <c r="R228" s="241"/>
      <c r="S228" s="241"/>
      <c r="T228" s="241"/>
      <c r="U228" s="241"/>
      <c r="V228" s="241"/>
      <c r="W228" s="241"/>
      <c r="X228" s="241"/>
      <c r="Y228" s="241"/>
      <c r="Z228" s="241"/>
    </row>
    <row r="229" spans="16:26">
      <c r="P229" s="242"/>
      <c r="Q229" s="242"/>
      <c r="R229" s="242"/>
      <c r="S229" s="242"/>
      <c r="T229" s="242"/>
      <c r="U229" s="242"/>
      <c r="V229" s="242"/>
      <c r="W229" s="242"/>
      <c r="X229" s="242"/>
      <c r="Y229" s="242"/>
      <c r="Z229" s="242"/>
    </row>
    <row r="230" spans="16:26">
      <c r="P230" s="242"/>
      <c r="Q230" s="242"/>
      <c r="R230" s="242"/>
      <c r="S230" s="242"/>
      <c r="T230" s="242"/>
      <c r="U230" s="242"/>
      <c r="V230" s="242"/>
      <c r="W230" s="242"/>
      <c r="X230" s="242"/>
      <c r="Y230" s="242"/>
      <c r="Z230" s="242"/>
    </row>
    <row r="231" spans="16:26">
      <c r="P231" s="241"/>
      <c r="Q231" s="241"/>
      <c r="R231" s="241"/>
      <c r="S231" s="241"/>
      <c r="T231" s="241"/>
      <c r="U231" s="241"/>
      <c r="V231" s="241"/>
      <c r="W231" s="241"/>
      <c r="X231" s="241"/>
      <c r="Y231" s="241"/>
      <c r="Z231" s="241"/>
    </row>
    <row r="232" spans="16:26">
      <c r="P232" s="242"/>
      <c r="Q232" s="242"/>
      <c r="R232" s="242"/>
      <c r="S232" s="242"/>
      <c r="T232" s="242"/>
      <c r="U232" s="242"/>
      <c r="V232" s="242"/>
      <c r="W232" s="242"/>
      <c r="X232" s="242"/>
      <c r="Y232" s="242"/>
      <c r="Z232" s="242"/>
    </row>
    <row r="233" spans="16:26">
      <c r="P233" s="242"/>
      <c r="Q233" s="242"/>
      <c r="R233" s="242"/>
      <c r="S233" s="242"/>
      <c r="T233" s="242"/>
      <c r="U233" s="242"/>
      <c r="V233" s="242"/>
      <c r="W233" s="242"/>
      <c r="X233" s="242"/>
      <c r="Y233" s="242"/>
      <c r="Z233" s="242"/>
    </row>
    <row r="234" spans="16:26">
      <c r="P234" s="241"/>
      <c r="Q234" s="241"/>
      <c r="R234" s="241"/>
      <c r="S234" s="241"/>
      <c r="T234" s="241"/>
      <c r="U234" s="241"/>
      <c r="V234" s="241"/>
      <c r="W234" s="241"/>
      <c r="X234" s="241"/>
      <c r="Y234" s="241"/>
      <c r="Z234" s="241"/>
    </row>
    <row r="235" spans="16:26">
      <c r="P235" s="242"/>
      <c r="Q235" s="242"/>
      <c r="R235" s="242"/>
      <c r="S235" s="242"/>
      <c r="T235" s="242"/>
      <c r="U235" s="242"/>
      <c r="V235" s="242"/>
      <c r="W235" s="242"/>
      <c r="X235" s="242"/>
      <c r="Y235" s="242"/>
      <c r="Z235" s="242"/>
    </row>
    <row r="236" spans="16:26">
      <c r="P236" s="242"/>
      <c r="Q236" s="242"/>
      <c r="R236" s="242"/>
      <c r="S236" s="242"/>
      <c r="T236" s="242"/>
      <c r="U236" s="242"/>
      <c r="V236" s="242"/>
      <c r="W236" s="242"/>
      <c r="X236" s="242"/>
      <c r="Y236" s="242"/>
      <c r="Z236" s="242"/>
    </row>
    <row r="237" spans="16:26">
      <c r="P237" s="241"/>
      <c r="Q237" s="241"/>
      <c r="R237" s="241"/>
      <c r="S237" s="241"/>
      <c r="T237" s="241"/>
      <c r="U237" s="241"/>
      <c r="V237" s="241"/>
      <c r="W237" s="241"/>
      <c r="X237" s="241"/>
      <c r="Y237" s="241"/>
      <c r="Z237" s="241"/>
    </row>
    <row r="238" spans="16:26">
      <c r="P238" s="242"/>
      <c r="Q238" s="242"/>
      <c r="R238" s="242"/>
      <c r="S238" s="242"/>
      <c r="T238" s="242"/>
      <c r="U238" s="242"/>
      <c r="V238" s="242"/>
      <c r="W238" s="242"/>
      <c r="X238" s="242"/>
      <c r="Y238" s="242"/>
      <c r="Z238" s="242"/>
    </row>
    <row r="239" spans="16:26">
      <c r="P239" s="242"/>
      <c r="Q239" s="242"/>
      <c r="R239" s="242"/>
      <c r="S239" s="242"/>
      <c r="T239" s="242"/>
      <c r="U239" s="242"/>
      <c r="V239" s="242"/>
      <c r="W239" s="242"/>
      <c r="X239" s="242"/>
      <c r="Y239" s="242"/>
      <c r="Z239" s="242"/>
    </row>
    <row r="240" spans="16:26">
      <c r="P240" s="241"/>
      <c r="Q240" s="241"/>
      <c r="R240" s="241"/>
      <c r="S240" s="241"/>
      <c r="T240" s="241"/>
      <c r="U240" s="241"/>
      <c r="V240" s="241"/>
      <c r="W240" s="241"/>
      <c r="X240" s="241"/>
      <c r="Y240" s="241"/>
      <c r="Z240" s="241"/>
    </row>
    <row r="241" spans="16:26">
      <c r="P241" s="242"/>
      <c r="Q241" s="242"/>
      <c r="R241" s="242"/>
      <c r="S241" s="242"/>
      <c r="T241" s="242"/>
      <c r="U241" s="242"/>
      <c r="V241" s="242"/>
      <c r="W241" s="242"/>
      <c r="X241" s="242"/>
      <c r="Y241" s="242"/>
      <c r="Z241" s="242"/>
    </row>
    <row r="242" spans="16:26">
      <c r="P242" s="242"/>
      <c r="Q242" s="242"/>
      <c r="R242" s="242"/>
      <c r="S242" s="242"/>
      <c r="T242" s="242"/>
      <c r="U242" s="242"/>
      <c r="V242" s="242"/>
      <c r="W242" s="242"/>
      <c r="X242" s="242"/>
      <c r="Y242" s="242"/>
      <c r="Z242" s="242"/>
    </row>
    <row r="243" spans="16:26">
      <c r="P243" s="241"/>
      <c r="Q243" s="241"/>
      <c r="R243" s="241"/>
      <c r="S243" s="241"/>
      <c r="T243" s="241"/>
      <c r="U243" s="241"/>
      <c r="V243" s="241"/>
      <c r="W243" s="241"/>
      <c r="X243" s="241"/>
      <c r="Y243" s="241"/>
      <c r="Z243" s="241"/>
    </row>
    <row r="244" spans="16:26">
      <c r="P244" s="242"/>
      <c r="Q244" s="242"/>
      <c r="R244" s="242"/>
      <c r="S244" s="242"/>
      <c r="T244" s="242"/>
      <c r="U244" s="242"/>
      <c r="V244" s="242"/>
      <c r="W244" s="242"/>
      <c r="X244" s="242"/>
      <c r="Y244" s="242"/>
      <c r="Z244" s="242"/>
    </row>
    <row r="245" spans="16:26">
      <c r="P245" s="242"/>
      <c r="Q245" s="242"/>
      <c r="R245" s="242"/>
      <c r="S245" s="242"/>
      <c r="T245" s="242"/>
      <c r="U245" s="242"/>
      <c r="V245" s="242"/>
      <c r="W245" s="242"/>
      <c r="X245" s="242"/>
      <c r="Y245" s="242"/>
      <c r="Z245" s="242"/>
    </row>
    <row r="246" spans="16:26">
      <c r="P246" s="241"/>
      <c r="Q246" s="241"/>
      <c r="R246" s="241"/>
      <c r="S246" s="241"/>
      <c r="T246" s="241"/>
      <c r="U246" s="241"/>
      <c r="V246" s="241"/>
      <c r="W246" s="241"/>
      <c r="X246" s="241"/>
      <c r="Y246" s="241"/>
      <c r="Z246" s="241"/>
    </row>
    <row r="247" spans="16:26">
      <c r="P247" s="242"/>
      <c r="Q247" s="242"/>
      <c r="R247" s="242"/>
      <c r="S247" s="242"/>
      <c r="T247" s="242"/>
      <c r="U247" s="242"/>
      <c r="V247" s="242"/>
      <c r="W247" s="242"/>
      <c r="X247" s="242"/>
      <c r="Y247" s="242"/>
      <c r="Z247" s="242"/>
    </row>
    <row r="248" spans="16:26">
      <c r="P248" s="242"/>
      <c r="Q248" s="242"/>
      <c r="R248" s="242"/>
      <c r="S248" s="242"/>
      <c r="T248" s="242"/>
      <c r="U248" s="242"/>
      <c r="V248" s="242"/>
      <c r="W248" s="242"/>
      <c r="X248" s="242"/>
      <c r="Y248" s="242"/>
      <c r="Z248" s="242"/>
    </row>
    <row r="249" spans="16:26">
      <c r="P249" s="241"/>
      <c r="Q249" s="241"/>
      <c r="R249" s="241"/>
      <c r="S249" s="241"/>
      <c r="T249" s="241"/>
      <c r="U249" s="241"/>
      <c r="V249" s="241"/>
      <c r="W249" s="241"/>
      <c r="X249" s="241"/>
      <c r="Y249" s="241"/>
      <c r="Z249" s="241"/>
    </row>
    <row r="250" spans="16:26">
      <c r="P250" s="242"/>
      <c r="Q250" s="242"/>
      <c r="R250" s="242"/>
      <c r="S250" s="242"/>
      <c r="T250" s="242"/>
      <c r="U250" s="242"/>
      <c r="V250" s="242"/>
      <c r="W250" s="242"/>
      <c r="X250" s="242"/>
      <c r="Y250" s="242"/>
      <c r="Z250" s="242"/>
    </row>
    <row r="251" spans="16:26">
      <c r="P251" s="242"/>
      <c r="Q251" s="242"/>
      <c r="R251" s="242"/>
      <c r="S251" s="242"/>
      <c r="T251" s="242"/>
      <c r="U251" s="242"/>
      <c r="V251" s="242"/>
      <c r="W251" s="242"/>
      <c r="X251" s="242"/>
      <c r="Y251" s="242"/>
      <c r="Z251" s="242"/>
    </row>
    <row r="252" spans="16:26">
      <c r="P252" s="241"/>
      <c r="Q252" s="241"/>
      <c r="R252" s="241"/>
      <c r="S252" s="241"/>
      <c r="T252" s="241"/>
      <c r="U252" s="241"/>
      <c r="V252" s="241"/>
      <c r="W252" s="241"/>
      <c r="X252" s="241"/>
      <c r="Y252" s="241"/>
      <c r="Z252" s="241"/>
    </row>
    <row r="253" spans="16:26">
      <c r="P253" s="242"/>
      <c r="Q253" s="242"/>
      <c r="R253" s="242"/>
      <c r="S253" s="242"/>
      <c r="T253" s="242"/>
      <c r="U253" s="242"/>
      <c r="V253" s="242"/>
      <c r="W253" s="242"/>
      <c r="X253" s="242"/>
      <c r="Y253" s="242"/>
      <c r="Z253" s="242"/>
    </row>
    <row r="254" spans="16:26">
      <c r="P254" s="242"/>
      <c r="Q254" s="242"/>
      <c r="R254" s="242"/>
      <c r="S254" s="242"/>
      <c r="T254" s="242"/>
      <c r="U254" s="242"/>
      <c r="V254" s="242"/>
      <c r="W254" s="242"/>
      <c r="X254" s="242"/>
      <c r="Y254" s="242"/>
      <c r="Z254" s="242"/>
    </row>
    <row r="255" spans="16:26">
      <c r="P255" s="241"/>
      <c r="Q255" s="241"/>
      <c r="R255" s="241"/>
      <c r="S255" s="241"/>
      <c r="T255" s="241"/>
      <c r="U255" s="241"/>
      <c r="V255" s="241"/>
      <c r="W255" s="241"/>
      <c r="X255" s="241"/>
      <c r="Y255" s="241"/>
      <c r="Z255" s="241"/>
    </row>
    <row r="256" spans="16:26">
      <c r="P256" s="242"/>
      <c r="Q256" s="242"/>
      <c r="R256" s="242"/>
      <c r="S256" s="242"/>
      <c r="T256" s="242"/>
      <c r="U256" s="242"/>
      <c r="V256" s="242"/>
      <c r="W256" s="242"/>
      <c r="X256" s="242"/>
      <c r="Y256" s="242"/>
      <c r="Z256" s="242"/>
    </row>
    <row r="257" spans="16:26">
      <c r="P257" s="242"/>
      <c r="Q257" s="242"/>
      <c r="R257" s="242"/>
      <c r="S257" s="242"/>
      <c r="T257" s="242"/>
      <c r="U257" s="242"/>
      <c r="V257" s="242"/>
      <c r="W257" s="242"/>
      <c r="X257" s="242"/>
      <c r="Y257" s="242"/>
      <c r="Z257" s="242"/>
    </row>
    <row r="258" spans="16:26">
      <c r="P258" s="241"/>
      <c r="Q258" s="241"/>
      <c r="R258" s="241"/>
      <c r="S258" s="241"/>
      <c r="T258" s="241"/>
      <c r="U258" s="241"/>
      <c r="V258" s="241"/>
      <c r="W258" s="241"/>
      <c r="X258" s="241"/>
      <c r="Y258" s="241"/>
      <c r="Z258" s="241"/>
    </row>
    <row r="259" spans="16:26">
      <c r="P259" s="242"/>
      <c r="Q259" s="242"/>
      <c r="R259" s="242"/>
      <c r="S259" s="242"/>
      <c r="T259" s="242"/>
      <c r="U259" s="242"/>
      <c r="V259" s="242"/>
      <c r="W259" s="242"/>
      <c r="X259" s="242"/>
      <c r="Y259" s="242"/>
      <c r="Z259" s="242"/>
    </row>
    <row r="260" spans="16:26">
      <c r="P260" s="242"/>
      <c r="Q260" s="242"/>
      <c r="R260" s="242"/>
      <c r="S260" s="242"/>
      <c r="T260" s="242"/>
      <c r="U260" s="242"/>
      <c r="V260" s="242"/>
      <c r="W260" s="242"/>
      <c r="X260" s="242"/>
      <c r="Y260" s="242"/>
      <c r="Z260" s="242"/>
    </row>
    <row r="261" spans="16:26">
      <c r="P261" s="241"/>
      <c r="Q261" s="241"/>
      <c r="R261" s="241"/>
      <c r="S261" s="241"/>
      <c r="T261" s="241"/>
      <c r="U261" s="241"/>
      <c r="V261" s="241"/>
      <c r="W261" s="241"/>
      <c r="X261" s="241"/>
      <c r="Y261" s="241"/>
      <c r="Z261" s="241"/>
    </row>
    <row r="262" spans="16:26">
      <c r="P262" s="242"/>
      <c r="Q262" s="242"/>
      <c r="R262" s="242"/>
      <c r="S262" s="242"/>
      <c r="T262" s="242"/>
      <c r="U262" s="242"/>
      <c r="V262" s="242"/>
      <c r="W262" s="242"/>
      <c r="X262" s="242"/>
      <c r="Y262" s="242"/>
      <c r="Z262" s="242"/>
    </row>
    <row r="263" spans="16:26">
      <c r="P263" s="242"/>
      <c r="Q263" s="242"/>
      <c r="R263" s="242"/>
      <c r="S263" s="242"/>
      <c r="T263" s="242"/>
      <c r="U263" s="242"/>
      <c r="V263" s="242"/>
      <c r="W263" s="242"/>
      <c r="X263" s="242"/>
      <c r="Y263" s="242"/>
      <c r="Z263" s="242"/>
    </row>
    <row r="264" spans="16:26">
      <c r="P264" s="241"/>
      <c r="Q264" s="241"/>
      <c r="R264" s="241"/>
      <c r="S264" s="241"/>
      <c r="T264" s="241"/>
      <c r="U264" s="241"/>
      <c r="V264" s="241"/>
      <c r="W264" s="241"/>
      <c r="X264" s="241"/>
      <c r="Y264" s="241"/>
      <c r="Z264" s="241"/>
    </row>
    <row r="265" spans="16:26">
      <c r="P265" s="242"/>
      <c r="Q265" s="242"/>
      <c r="R265" s="242"/>
      <c r="S265" s="242"/>
      <c r="T265" s="242"/>
      <c r="U265" s="242"/>
      <c r="V265" s="242"/>
      <c r="W265" s="242"/>
      <c r="X265" s="242"/>
      <c r="Y265" s="242"/>
      <c r="Z265" s="242"/>
    </row>
    <row r="266" spans="16:26">
      <c r="P266" s="242"/>
      <c r="Q266" s="242"/>
      <c r="R266" s="242"/>
      <c r="S266" s="242"/>
      <c r="T266" s="242"/>
      <c r="U266" s="242"/>
      <c r="V266" s="242"/>
      <c r="W266" s="242"/>
      <c r="X266" s="242"/>
      <c r="Y266" s="242"/>
      <c r="Z266" s="242"/>
    </row>
    <row r="267" spans="16:26">
      <c r="P267" s="241"/>
      <c r="Q267" s="241"/>
      <c r="R267" s="241"/>
      <c r="S267" s="241"/>
      <c r="T267" s="241"/>
      <c r="U267" s="241"/>
      <c r="V267" s="241"/>
      <c r="W267" s="241"/>
      <c r="X267" s="241"/>
      <c r="Y267" s="241"/>
      <c r="Z267" s="241"/>
    </row>
    <row r="268" spans="16:26">
      <c r="P268" s="242"/>
      <c r="Q268" s="242"/>
      <c r="R268" s="242"/>
      <c r="S268" s="242"/>
      <c r="T268" s="242"/>
      <c r="U268" s="242"/>
      <c r="V268" s="242"/>
      <c r="W268" s="242"/>
      <c r="X268" s="242"/>
      <c r="Y268" s="242"/>
      <c r="Z268" s="242"/>
    </row>
    <row r="269" spans="16:26">
      <c r="P269" s="242"/>
      <c r="Q269" s="242"/>
      <c r="R269" s="242"/>
      <c r="S269" s="242"/>
      <c r="T269" s="242"/>
      <c r="U269" s="242"/>
      <c r="V269" s="242"/>
      <c r="W269" s="242"/>
      <c r="X269" s="242"/>
      <c r="Y269" s="242"/>
      <c r="Z269" s="242"/>
    </row>
    <row r="270" spans="16:26">
      <c r="P270" s="241"/>
      <c r="Q270" s="241"/>
      <c r="R270" s="241"/>
      <c r="S270" s="241"/>
      <c r="T270" s="241"/>
      <c r="U270" s="241"/>
      <c r="V270" s="241"/>
      <c r="W270" s="241"/>
      <c r="X270" s="241"/>
      <c r="Y270" s="241"/>
      <c r="Z270" s="241"/>
    </row>
    <row r="271" spans="16:26">
      <c r="P271" s="242"/>
      <c r="Q271" s="242"/>
      <c r="R271" s="242"/>
      <c r="S271" s="242"/>
      <c r="T271" s="242"/>
      <c r="U271" s="242"/>
      <c r="V271" s="242"/>
      <c r="W271" s="242"/>
      <c r="X271" s="242"/>
      <c r="Y271" s="242"/>
      <c r="Z271" s="242"/>
    </row>
    <row r="272" spans="16:26">
      <c r="P272" s="242"/>
      <c r="Q272" s="242"/>
      <c r="R272" s="242"/>
      <c r="S272" s="242"/>
      <c r="T272" s="242"/>
      <c r="U272" s="242"/>
      <c r="V272" s="242"/>
      <c r="W272" s="242"/>
      <c r="X272" s="242"/>
      <c r="Y272" s="242"/>
      <c r="Z272" s="242"/>
    </row>
    <row r="273" spans="16:26">
      <c r="P273" s="241"/>
      <c r="Q273" s="241"/>
      <c r="R273" s="241"/>
      <c r="S273" s="241"/>
      <c r="T273" s="241"/>
      <c r="U273" s="241"/>
      <c r="V273" s="241"/>
      <c r="W273" s="241"/>
      <c r="X273" s="241"/>
      <c r="Y273" s="241"/>
      <c r="Z273" s="241"/>
    </row>
    <row r="274" spans="16:26">
      <c r="P274" s="242"/>
      <c r="Q274" s="242"/>
      <c r="R274" s="242"/>
      <c r="S274" s="242"/>
      <c r="T274" s="242"/>
      <c r="U274" s="242"/>
      <c r="V274" s="242"/>
      <c r="W274" s="242"/>
      <c r="X274" s="242"/>
      <c r="Y274" s="242"/>
      <c r="Z274" s="242"/>
    </row>
    <row r="275" spans="16:26">
      <c r="P275" s="242"/>
      <c r="Q275" s="242"/>
      <c r="R275" s="242"/>
      <c r="S275" s="242"/>
      <c r="T275" s="242"/>
      <c r="U275" s="242"/>
      <c r="V275" s="242"/>
      <c r="W275" s="242"/>
      <c r="X275" s="242"/>
      <c r="Y275" s="242"/>
      <c r="Z275" s="242"/>
    </row>
    <row r="276" spans="16:26">
      <c r="P276" s="241"/>
      <c r="Q276" s="241"/>
      <c r="R276" s="241"/>
      <c r="S276" s="241"/>
      <c r="T276" s="241"/>
      <c r="U276" s="241"/>
      <c r="V276" s="241"/>
      <c r="W276" s="241"/>
      <c r="X276" s="241"/>
      <c r="Y276" s="241"/>
      <c r="Z276" s="241"/>
    </row>
    <row r="277" spans="16:26">
      <c r="P277" s="242"/>
      <c r="Q277" s="242"/>
      <c r="R277" s="242"/>
      <c r="S277" s="242"/>
      <c r="T277" s="242"/>
      <c r="U277" s="242"/>
      <c r="V277" s="242"/>
      <c r="W277" s="242"/>
      <c r="X277" s="242"/>
      <c r="Y277" s="242"/>
      <c r="Z277" s="242"/>
    </row>
    <row r="278" spans="16:26">
      <c r="P278" s="242"/>
      <c r="Q278" s="242"/>
      <c r="R278" s="242"/>
      <c r="S278" s="242"/>
      <c r="T278" s="242"/>
      <c r="U278" s="242"/>
      <c r="V278" s="242"/>
      <c r="W278" s="242"/>
      <c r="X278" s="242"/>
      <c r="Y278" s="242"/>
      <c r="Z278" s="242"/>
    </row>
    <row r="279" spans="16:26">
      <c r="P279" s="241"/>
      <c r="Q279" s="241"/>
      <c r="R279" s="241"/>
      <c r="S279" s="241"/>
      <c r="T279" s="241"/>
      <c r="U279" s="241"/>
      <c r="V279" s="241"/>
      <c r="W279" s="241"/>
      <c r="X279" s="241"/>
      <c r="Y279" s="241"/>
      <c r="Z279" s="241"/>
    </row>
    <row r="280" spans="16:26">
      <c r="P280" s="242"/>
      <c r="Q280" s="242"/>
      <c r="R280" s="242"/>
      <c r="S280" s="242"/>
      <c r="T280" s="242"/>
      <c r="U280" s="242"/>
      <c r="V280" s="242"/>
      <c r="W280" s="242"/>
      <c r="X280" s="242"/>
      <c r="Y280" s="242"/>
      <c r="Z280" s="242"/>
    </row>
    <row r="281" spans="16:26">
      <c r="P281" s="242"/>
      <c r="Q281" s="242"/>
      <c r="R281" s="242"/>
      <c r="S281" s="242"/>
      <c r="T281" s="242"/>
      <c r="U281" s="242"/>
      <c r="V281" s="242"/>
      <c r="W281" s="242"/>
      <c r="X281" s="242"/>
      <c r="Y281" s="242"/>
      <c r="Z281" s="242"/>
    </row>
    <row r="282" spans="16:26">
      <c r="P282" s="241"/>
      <c r="Q282" s="241"/>
      <c r="R282" s="241"/>
      <c r="S282" s="241"/>
      <c r="T282" s="241"/>
      <c r="U282" s="241"/>
      <c r="V282" s="241"/>
      <c r="W282" s="241"/>
      <c r="X282" s="241"/>
      <c r="Y282" s="241"/>
      <c r="Z282" s="241"/>
    </row>
    <row r="283" spans="16:26">
      <c r="P283" s="242"/>
      <c r="Q283" s="242"/>
      <c r="R283" s="242"/>
      <c r="S283" s="242"/>
      <c r="T283" s="242"/>
      <c r="U283" s="242"/>
      <c r="V283" s="242"/>
      <c r="W283" s="242"/>
      <c r="X283" s="242"/>
      <c r="Y283" s="242"/>
      <c r="Z283" s="242"/>
    </row>
    <row r="284" spans="16:26">
      <c r="P284" s="242"/>
      <c r="Q284" s="242"/>
      <c r="R284" s="242"/>
      <c r="S284" s="242"/>
      <c r="T284" s="242"/>
      <c r="U284" s="242"/>
      <c r="V284" s="242"/>
      <c r="W284" s="242"/>
      <c r="X284" s="242"/>
      <c r="Y284" s="242"/>
      <c r="Z284" s="242"/>
    </row>
    <row r="285" spans="16:26">
      <c r="P285" s="241"/>
      <c r="Q285" s="241"/>
      <c r="R285" s="241"/>
      <c r="S285" s="241"/>
      <c r="T285" s="241"/>
      <c r="U285" s="241"/>
      <c r="V285" s="241"/>
      <c r="W285" s="241"/>
      <c r="X285" s="241"/>
      <c r="Y285" s="241"/>
      <c r="Z285" s="241"/>
    </row>
    <row r="286" spans="16:26">
      <c r="P286" s="242"/>
      <c r="Q286" s="242"/>
      <c r="R286" s="242"/>
      <c r="S286" s="242"/>
      <c r="T286" s="242"/>
      <c r="U286" s="242"/>
      <c r="V286" s="242"/>
      <c r="W286" s="242"/>
      <c r="X286" s="242"/>
      <c r="Y286" s="242"/>
      <c r="Z286" s="242"/>
    </row>
    <row r="287" spans="16:26">
      <c r="P287" s="242"/>
      <c r="Q287" s="242"/>
      <c r="R287" s="242"/>
      <c r="S287" s="242"/>
      <c r="T287" s="242"/>
      <c r="U287" s="242"/>
      <c r="V287" s="242"/>
      <c r="W287" s="242"/>
      <c r="X287" s="242"/>
      <c r="Y287" s="242"/>
      <c r="Z287" s="242"/>
    </row>
    <row r="288" spans="16:26">
      <c r="P288" s="241"/>
      <c r="Q288" s="241"/>
      <c r="R288" s="241"/>
      <c r="S288" s="241"/>
      <c r="T288" s="241"/>
      <c r="U288" s="241"/>
      <c r="V288" s="241"/>
      <c r="W288" s="241"/>
      <c r="X288" s="241"/>
      <c r="Y288" s="241"/>
      <c r="Z288" s="241"/>
    </row>
    <row r="289" spans="16:26">
      <c r="P289" s="242"/>
      <c r="Q289" s="242"/>
      <c r="R289" s="242"/>
      <c r="S289" s="242"/>
      <c r="T289" s="242"/>
      <c r="U289" s="242"/>
      <c r="V289" s="242"/>
      <c r="W289" s="242"/>
      <c r="X289" s="242"/>
      <c r="Y289" s="242"/>
      <c r="Z289" s="242"/>
    </row>
    <row r="290" spans="16:26">
      <c r="P290" s="242"/>
      <c r="Q290" s="242"/>
      <c r="R290" s="242"/>
      <c r="S290" s="242"/>
      <c r="T290" s="242"/>
      <c r="U290" s="242"/>
      <c r="V290" s="242"/>
      <c r="W290" s="242"/>
      <c r="X290" s="242"/>
      <c r="Y290" s="242"/>
      <c r="Z290" s="242"/>
    </row>
    <row r="291" spans="16:26">
      <c r="P291" s="241"/>
      <c r="Q291" s="241"/>
      <c r="R291" s="241"/>
      <c r="S291" s="241"/>
      <c r="T291" s="241"/>
      <c r="U291" s="241"/>
      <c r="V291" s="241"/>
      <c r="W291" s="241"/>
      <c r="X291" s="241"/>
      <c r="Y291" s="241"/>
      <c r="Z291" s="241"/>
    </row>
    <row r="292" spans="16:26">
      <c r="P292" s="242"/>
      <c r="Q292" s="242"/>
      <c r="R292" s="242"/>
      <c r="S292" s="242"/>
      <c r="T292" s="242"/>
      <c r="U292" s="242"/>
      <c r="V292" s="242"/>
      <c r="W292" s="242"/>
      <c r="X292" s="242"/>
      <c r="Y292" s="242"/>
      <c r="Z292" s="242"/>
    </row>
    <row r="293" spans="16:26">
      <c r="P293" s="242"/>
      <c r="Q293" s="242"/>
      <c r="R293" s="242"/>
      <c r="S293" s="242"/>
      <c r="T293" s="242"/>
      <c r="U293" s="242"/>
      <c r="V293" s="242"/>
      <c r="W293" s="242"/>
      <c r="X293" s="242"/>
      <c r="Y293" s="242"/>
      <c r="Z293" s="242"/>
    </row>
    <row r="294" spans="16:26">
      <c r="P294" s="241"/>
      <c r="Q294" s="241"/>
      <c r="R294" s="241"/>
      <c r="S294" s="241"/>
      <c r="T294" s="241"/>
      <c r="U294" s="241"/>
      <c r="V294" s="241"/>
      <c r="W294" s="241"/>
      <c r="X294" s="241"/>
      <c r="Y294" s="241"/>
      <c r="Z294" s="241"/>
    </row>
    <row r="295" spans="16:26">
      <c r="P295" s="242"/>
      <c r="Q295" s="242"/>
      <c r="R295" s="242"/>
      <c r="S295" s="242"/>
      <c r="T295" s="242"/>
      <c r="U295" s="242"/>
      <c r="V295" s="242"/>
      <c r="W295" s="242"/>
      <c r="X295" s="242"/>
      <c r="Y295" s="242"/>
      <c r="Z295" s="242"/>
    </row>
    <row r="296" spans="16:26">
      <c r="P296" s="242"/>
      <c r="Q296" s="242"/>
      <c r="R296" s="242"/>
      <c r="S296" s="242"/>
      <c r="T296" s="242"/>
      <c r="U296" s="242"/>
      <c r="V296" s="242"/>
      <c r="W296" s="242"/>
      <c r="X296" s="242"/>
      <c r="Y296" s="242"/>
      <c r="Z296" s="242"/>
    </row>
    <row r="297" spans="16:26">
      <c r="P297" s="241"/>
      <c r="Q297" s="241"/>
      <c r="R297" s="241"/>
      <c r="S297" s="241"/>
      <c r="T297" s="241"/>
      <c r="U297" s="241"/>
      <c r="V297" s="241"/>
      <c r="W297" s="241"/>
      <c r="X297" s="241"/>
      <c r="Y297" s="241"/>
      <c r="Z297" s="241"/>
    </row>
    <row r="298" spans="16:26">
      <c r="P298" s="242"/>
      <c r="Q298" s="242"/>
      <c r="R298" s="242"/>
      <c r="S298" s="242"/>
      <c r="T298" s="242"/>
      <c r="U298" s="242"/>
      <c r="V298" s="242"/>
      <c r="W298" s="242"/>
      <c r="X298" s="242"/>
      <c r="Y298" s="242"/>
      <c r="Z298" s="242"/>
    </row>
    <row r="299" spans="16:26">
      <c r="P299" s="242"/>
      <c r="Q299" s="242"/>
      <c r="R299" s="242"/>
      <c r="S299" s="242"/>
      <c r="T299" s="242"/>
      <c r="U299" s="242"/>
      <c r="V299" s="242"/>
      <c r="W299" s="242"/>
      <c r="X299" s="242"/>
      <c r="Y299" s="242"/>
      <c r="Z299" s="242"/>
    </row>
    <row r="300" spans="16:26">
      <c r="P300" s="241"/>
      <c r="Q300" s="241"/>
      <c r="R300" s="241"/>
      <c r="S300" s="241"/>
      <c r="T300" s="241"/>
      <c r="U300" s="241"/>
      <c r="V300" s="241"/>
      <c r="W300" s="241"/>
      <c r="X300" s="241"/>
      <c r="Y300" s="241"/>
      <c r="Z300" s="241"/>
    </row>
    <row r="301" spans="16:26">
      <c r="P301" s="242"/>
      <c r="Q301" s="242"/>
      <c r="R301" s="242"/>
      <c r="S301" s="242"/>
      <c r="T301" s="242"/>
      <c r="U301" s="242"/>
      <c r="V301" s="242"/>
      <c r="W301" s="242"/>
      <c r="X301" s="242"/>
      <c r="Y301" s="242"/>
      <c r="Z301" s="242"/>
    </row>
    <row r="302" spans="16:26">
      <c r="P302" s="242"/>
      <c r="Q302" s="242"/>
      <c r="R302" s="242"/>
      <c r="S302" s="242"/>
      <c r="T302" s="242"/>
      <c r="U302" s="242"/>
      <c r="V302" s="242"/>
      <c r="W302" s="242"/>
      <c r="X302" s="242"/>
      <c r="Y302" s="242"/>
      <c r="Z302" s="242"/>
    </row>
    <row r="303" spans="16:26">
      <c r="P303" s="241"/>
      <c r="Q303" s="241"/>
      <c r="R303" s="241"/>
      <c r="S303" s="241"/>
      <c r="T303" s="241"/>
      <c r="U303" s="241"/>
      <c r="V303" s="241"/>
      <c r="W303" s="241"/>
      <c r="X303" s="241"/>
      <c r="Y303" s="241"/>
      <c r="Z303" s="241"/>
    </row>
    <row r="304" spans="16:26">
      <c r="P304" s="242"/>
      <c r="Q304" s="242"/>
      <c r="R304" s="242"/>
      <c r="S304" s="242"/>
      <c r="T304" s="242"/>
      <c r="U304" s="242"/>
      <c r="V304" s="242"/>
      <c r="W304" s="242"/>
      <c r="X304" s="242"/>
      <c r="Y304" s="242"/>
      <c r="Z304" s="242"/>
    </row>
    <row r="305" spans="16:26">
      <c r="P305" s="242"/>
      <c r="Q305" s="242"/>
      <c r="R305" s="242"/>
      <c r="S305" s="242"/>
      <c r="T305" s="242"/>
      <c r="U305" s="242"/>
      <c r="V305" s="242"/>
      <c r="W305" s="242"/>
      <c r="X305" s="242"/>
      <c r="Y305" s="242"/>
      <c r="Z305" s="242"/>
    </row>
    <row r="306" spans="16:26">
      <c r="P306" s="241"/>
      <c r="Q306" s="241"/>
      <c r="R306" s="241"/>
      <c r="S306" s="241"/>
      <c r="T306" s="241"/>
      <c r="U306" s="241"/>
      <c r="V306" s="241"/>
      <c r="W306" s="241"/>
      <c r="X306" s="241"/>
      <c r="Y306" s="241"/>
      <c r="Z306" s="241"/>
    </row>
    <row r="307" spans="16:26">
      <c r="P307" s="242"/>
      <c r="Q307" s="242"/>
      <c r="R307" s="242"/>
      <c r="S307" s="242"/>
      <c r="T307" s="242"/>
      <c r="U307" s="242"/>
      <c r="V307" s="242"/>
      <c r="W307" s="242"/>
      <c r="X307" s="242"/>
      <c r="Y307" s="242"/>
      <c r="Z307" s="242"/>
    </row>
    <row r="308" spans="16:26">
      <c r="P308" s="242"/>
      <c r="Q308" s="242"/>
      <c r="R308" s="242"/>
      <c r="S308" s="242"/>
      <c r="T308" s="242"/>
      <c r="U308" s="242"/>
      <c r="V308" s="242"/>
      <c r="W308" s="242"/>
      <c r="X308" s="242"/>
      <c r="Y308" s="242"/>
      <c r="Z308" s="242"/>
    </row>
    <row r="309" spans="16:26">
      <c r="P309" s="241"/>
      <c r="Q309" s="241"/>
      <c r="R309" s="241"/>
      <c r="S309" s="241"/>
      <c r="T309" s="241"/>
      <c r="U309" s="241"/>
      <c r="V309" s="241"/>
      <c r="W309" s="241"/>
      <c r="X309" s="241"/>
      <c r="Y309" s="241"/>
      <c r="Z309" s="241"/>
    </row>
    <row r="310" spans="16:26">
      <c r="P310" s="242"/>
      <c r="Q310" s="242"/>
      <c r="R310" s="242"/>
      <c r="S310" s="242"/>
      <c r="T310" s="242"/>
      <c r="U310" s="242"/>
      <c r="V310" s="242"/>
      <c r="W310" s="242"/>
      <c r="X310" s="242"/>
      <c r="Y310" s="242"/>
      <c r="Z310" s="242"/>
    </row>
    <row r="311" spans="16:26">
      <c r="P311" s="242"/>
      <c r="Q311" s="242"/>
      <c r="R311" s="242"/>
      <c r="S311" s="242"/>
      <c r="T311" s="242"/>
      <c r="U311" s="242"/>
      <c r="V311" s="242"/>
      <c r="W311" s="242"/>
      <c r="X311" s="242"/>
      <c r="Y311" s="242"/>
      <c r="Z311" s="242"/>
    </row>
    <row r="312" spans="16:26">
      <c r="P312" s="241"/>
      <c r="Q312" s="241"/>
      <c r="R312" s="241"/>
      <c r="S312" s="241"/>
      <c r="T312" s="241"/>
      <c r="U312" s="241"/>
      <c r="V312" s="241"/>
      <c r="W312" s="241"/>
      <c r="X312" s="241"/>
      <c r="Y312" s="241"/>
      <c r="Z312" s="241"/>
    </row>
    <row r="313" spans="16:26">
      <c r="P313" s="242"/>
      <c r="Q313" s="242"/>
      <c r="R313" s="242"/>
      <c r="S313" s="242"/>
      <c r="T313" s="242"/>
      <c r="U313" s="242"/>
      <c r="V313" s="242"/>
      <c r="W313" s="242"/>
      <c r="X313" s="242"/>
      <c r="Y313" s="242"/>
      <c r="Z313" s="242"/>
    </row>
    <row r="314" spans="16:26">
      <c r="P314" s="242"/>
      <c r="Q314" s="242"/>
      <c r="R314" s="242"/>
      <c r="S314" s="242"/>
      <c r="T314" s="242"/>
      <c r="U314" s="242"/>
      <c r="V314" s="242"/>
      <c r="W314" s="242"/>
      <c r="X314" s="242"/>
      <c r="Y314" s="242"/>
      <c r="Z314" s="242"/>
    </row>
    <row r="315" spans="16:26">
      <c r="P315" s="241"/>
      <c r="Q315" s="241"/>
      <c r="R315" s="241"/>
      <c r="S315" s="241"/>
      <c r="T315" s="241"/>
      <c r="U315" s="241"/>
      <c r="V315" s="241"/>
      <c r="W315" s="241"/>
      <c r="X315" s="241"/>
      <c r="Y315" s="241"/>
      <c r="Z315" s="241"/>
    </row>
    <row r="316" spans="16:26">
      <c r="P316" s="242"/>
      <c r="Q316" s="242"/>
      <c r="R316" s="242"/>
      <c r="S316" s="242"/>
      <c r="T316" s="242"/>
      <c r="U316" s="242"/>
      <c r="V316" s="242"/>
      <c r="W316" s="242"/>
      <c r="X316" s="242"/>
      <c r="Y316" s="242"/>
      <c r="Z316" s="242"/>
    </row>
    <row r="317" spans="16:26">
      <c r="P317" s="242"/>
      <c r="Q317" s="242"/>
      <c r="R317" s="242"/>
      <c r="S317" s="242"/>
      <c r="T317" s="242"/>
      <c r="U317" s="242"/>
      <c r="V317" s="242"/>
      <c r="W317" s="242"/>
      <c r="X317" s="242"/>
      <c r="Y317" s="242"/>
      <c r="Z317" s="242"/>
    </row>
    <row r="318" spans="16:26">
      <c r="P318" s="241"/>
      <c r="Q318" s="241"/>
      <c r="R318" s="241"/>
      <c r="S318" s="241"/>
      <c r="T318" s="241"/>
      <c r="U318" s="241"/>
      <c r="V318" s="241"/>
      <c r="W318" s="241"/>
      <c r="X318" s="241"/>
      <c r="Y318" s="241"/>
      <c r="Z318" s="241"/>
    </row>
    <row r="319" spans="16:26">
      <c r="P319" s="242"/>
      <c r="Q319" s="242"/>
      <c r="R319" s="242"/>
      <c r="S319" s="242"/>
      <c r="T319" s="242"/>
      <c r="U319" s="242"/>
      <c r="V319" s="242"/>
      <c r="W319" s="242"/>
      <c r="X319" s="242"/>
      <c r="Y319" s="242"/>
      <c r="Z319" s="242"/>
    </row>
    <row r="320" spans="16:26">
      <c r="P320" s="242"/>
      <c r="Q320" s="242"/>
      <c r="R320" s="242"/>
      <c r="S320" s="242"/>
      <c r="T320" s="242"/>
      <c r="U320" s="242"/>
      <c r="V320" s="242"/>
      <c r="W320" s="242"/>
      <c r="X320" s="242"/>
      <c r="Y320" s="242"/>
      <c r="Z320" s="242"/>
    </row>
    <row r="321" spans="16:26">
      <c r="P321" s="241"/>
      <c r="Q321" s="241"/>
      <c r="R321" s="241"/>
      <c r="S321" s="241"/>
      <c r="T321" s="241"/>
      <c r="U321" s="241"/>
      <c r="V321" s="241"/>
      <c r="W321" s="241"/>
      <c r="X321" s="241"/>
      <c r="Y321" s="241"/>
      <c r="Z321" s="241"/>
    </row>
    <row r="322" spans="16:26">
      <c r="P322" s="242"/>
      <c r="Q322" s="242"/>
      <c r="R322" s="242"/>
      <c r="S322" s="242"/>
      <c r="T322" s="242"/>
      <c r="U322" s="242"/>
      <c r="V322" s="242"/>
      <c r="W322" s="242"/>
      <c r="X322" s="242"/>
      <c r="Y322" s="242"/>
      <c r="Z322" s="242"/>
    </row>
    <row r="323" spans="16:26">
      <c r="P323" s="242"/>
      <c r="Q323" s="242"/>
      <c r="R323" s="242"/>
      <c r="S323" s="242"/>
      <c r="T323" s="242"/>
      <c r="U323" s="242"/>
      <c r="V323" s="242"/>
      <c r="W323" s="242"/>
      <c r="X323" s="242"/>
      <c r="Y323" s="242"/>
      <c r="Z323" s="242"/>
    </row>
    <row r="324" spans="16:26">
      <c r="P324" s="241"/>
      <c r="Q324" s="241"/>
      <c r="R324" s="241"/>
      <c r="S324" s="241"/>
      <c r="T324" s="241"/>
      <c r="U324" s="241"/>
      <c r="V324" s="241"/>
      <c r="W324" s="241"/>
      <c r="X324" s="241"/>
      <c r="Y324" s="241"/>
      <c r="Z324" s="241"/>
    </row>
    <row r="325" spans="16:26">
      <c r="P325" s="242"/>
      <c r="Q325" s="242"/>
      <c r="R325" s="242"/>
      <c r="S325" s="242"/>
      <c r="T325" s="242"/>
      <c r="U325" s="242"/>
      <c r="V325" s="242"/>
      <c r="W325" s="242"/>
      <c r="X325" s="242"/>
      <c r="Y325" s="242"/>
      <c r="Z325" s="242"/>
    </row>
    <row r="326" spans="16:26">
      <c r="P326" s="242"/>
      <c r="Q326" s="242"/>
      <c r="R326" s="242"/>
      <c r="S326" s="242"/>
      <c r="T326" s="242"/>
      <c r="U326" s="242"/>
      <c r="V326" s="242"/>
      <c r="W326" s="242"/>
      <c r="X326" s="242"/>
      <c r="Y326" s="242"/>
      <c r="Z326" s="242"/>
    </row>
    <row r="327" spans="16:26">
      <c r="P327" s="241"/>
      <c r="Q327" s="241"/>
      <c r="R327" s="241"/>
      <c r="S327" s="241"/>
      <c r="T327" s="241"/>
      <c r="U327" s="241"/>
      <c r="V327" s="241"/>
      <c r="W327" s="241"/>
      <c r="X327" s="241"/>
      <c r="Y327" s="241"/>
      <c r="Z327" s="241"/>
    </row>
    <row r="328" spans="16:26">
      <c r="P328" s="242"/>
      <c r="Q328" s="242"/>
      <c r="R328" s="242"/>
      <c r="S328" s="242"/>
      <c r="T328" s="242"/>
      <c r="U328" s="242"/>
      <c r="V328" s="242"/>
      <c r="W328" s="242"/>
      <c r="X328" s="242"/>
      <c r="Y328" s="242"/>
      <c r="Z328" s="242"/>
    </row>
    <row r="329" spans="16:26">
      <c r="P329" s="242"/>
      <c r="Q329" s="242"/>
      <c r="R329" s="242"/>
      <c r="S329" s="242"/>
      <c r="T329" s="242"/>
      <c r="U329" s="242"/>
      <c r="V329" s="242"/>
      <c r="W329" s="242"/>
      <c r="X329" s="242"/>
      <c r="Y329" s="242"/>
      <c r="Z329" s="242"/>
    </row>
    <row r="330" spans="16:26">
      <c r="P330" s="241"/>
      <c r="Q330" s="241"/>
      <c r="R330" s="241"/>
      <c r="S330" s="241"/>
      <c r="T330" s="241"/>
      <c r="U330" s="241"/>
      <c r="V330" s="241"/>
      <c r="W330" s="241"/>
      <c r="X330" s="241"/>
      <c r="Y330" s="241"/>
      <c r="Z330" s="241"/>
    </row>
    <row r="331" spans="16:26">
      <c r="P331" s="242"/>
      <c r="Q331" s="242"/>
      <c r="R331" s="242"/>
      <c r="S331" s="242"/>
      <c r="T331" s="242"/>
      <c r="U331" s="242"/>
      <c r="V331" s="242"/>
      <c r="W331" s="242"/>
      <c r="X331" s="242"/>
      <c r="Y331" s="242"/>
      <c r="Z331" s="242"/>
    </row>
    <row r="332" spans="16:26">
      <c r="P332" s="242"/>
      <c r="Q332" s="242"/>
      <c r="R332" s="242"/>
      <c r="S332" s="242"/>
      <c r="T332" s="242"/>
      <c r="U332" s="242"/>
      <c r="V332" s="242"/>
      <c r="W332" s="242"/>
      <c r="X332" s="242"/>
      <c r="Y332" s="242"/>
      <c r="Z332" s="242"/>
    </row>
    <row r="333" spans="16:26">
      <c r="P333" s="241"/>
      <c r="Q333" s="241"/>
      <c r="R333" s="241"/>
      <c r="S333" s="241"/>
      <c r="T333" s="241"/>
      <c r="U333" s="241"/>
      <c r="V333" s="241"/>
      <c r="W333" s="241"/>
      <c r="X333" s="241"/>
      <c r="Y333" s="241"/>
      <c r="Z333" s="241"/>
    </row>
    <row r="334" spans="16:26">
      <c r="P334" s="242"/>
      <c r="Q334" s="242"/>
      <c r="R334" s="242"/>
      <c r="S334" s="242"/>
      <c r="T334" s="242"/>
      <c r="U334" s="242"/>
      <c r="V334" s="242"/>
      <c r="W334" s="242"/>
      <c r="X334" s="242"/>
      <c r="Y334" s="242"/>
      <c r="Z334" s="242"/>
    </row>
    <row r="335" spans="16:26">
      <c r="P335" s="242"/>
      <c r="Q335" s="242"/>
      <c r="R335" s="242"/>
      <c r="S335" s="242"/>
      <c r="T335" s="242"/>
      <c r="U335" s="242"/>
      <c r="V335" s="242"/>
      <c r="W335" s="242"/>
      <c r="X335" s="242"/>
      <c r="Y335" s="242"/>
      <c r="Z335" s="242"/>
    </row>
    <row r="336" spans="16:26">
      <c r="P336" s="241"/>
      <c r="Q336" s="241"/>
      <c r="R336" s="241"/>
      <c r="S336" s="241"/>
      <c r="T336" s="241"/>
      <c r="U336" s="241"/>
      <c r="V336" s="241"/>
      <c r="W336" s="241"/>
      <c r="X336" s="241"/>
      <c r="Y336" s="241"/>
      <c r="Z336" s="241"/>
    </row>
    <row r="337" spans="16:26">
      <c r="P337" s="242"/>
      <c r="Q337" s="242"/>
      <c r="R337" s="242"/>
      <c r="S337" s="242"/>
      <c r="T337" s="242"/>
      <c r="U337" s="242"/>
      <c r="V337" s="242"/>
      <c r="W337" s="242"/>
      <c r="X337" s="242"/>
      <c r="Y337" s="242"/>
      <c r="Z337" s="242"/>
    </row>
    <row r="338" spans="16:26">
      <c r="P338" s="242"/>
      <c r="Q338" s="242"/>
      <c r="R338" s="242"/>
      <c r="S338" s="242"/>
      <c r="T338" s="242"/>
      <c r="U338" s="242"/>
      <c r="V338" s="242"/>
      <c r="W338" s="242"/>
      <c r="X338" s="242"/>
      <c r="Y338" s="242"/>
      <c r="Z338" s="242"/>
    </row>
    <row r="339" spans="16:26">
      <c r="P339" s="241"/>
      <c r="Q339" s="241"/>
      <c r="R339" s="241"/>
      <c r="S339" s="241"/>
      <c r="T339" s="241"/>
      <c r="U339" s="241"/>
      <c r="V339" s="241"/>
      <c r="W339" s="241"/>
      <c r="X339" s="241"/>
      <c r="Y339" s="241"/>
      <c r="Z339" s="241"/>
    </row>
    <row r="340" spans="16:26">
      <c r="P340" s="242"/>
      <c r="Q340" s="242"/>
      <c r="R340" s="242"/>
      <c r="S340" s="242"/>
      <c r="T340" s="242"/>
      <c r="U340" s="242"/>
      <c r="V340" s="242"/>
      <c r="W340" s="242"/>
      <c r="X340" s="242"/>
      <c r="Y340" s="242"/>
      <c r="Z340" s="242"/>
    </row>
    <row r="341" spans="16:26">
      <c r="P341" s="242"/>
      <c r="Q341" s="242"/>
      <c r="R341" s="242"/>
      <c r="S341" s="242"/>
      <c r="T341" s="242"/>
      <c r="U341" s="242"/>
      <c r="V341" s="242"/>
      <c r="W341" s="242"/>
      <c r="X341" s="242"/>
      <c r="Y341" s="242"/>
      <c r="Z341" s="242"/>
    </row>
    <row r="342" spans="16:26">
      <c r="P342" s="241"/>
      <c r="Q342" s="241"/>
      <c r="R342" s="241"/>
      <c r="S342" s="241"/>
      <c r="T342" s="241"/>
      <c r="U342" s="241"/>
      <c r="V342" s="241"/>
      <c r="W342" s="241"/>
      <c r="X342" s="241"/>
      <c r="Y342" s="241"/>
      <c r="Z342" s="241"/>
    </row>
    <row r="343" spans="16:26">
      <c r="P343" s="242"/>
      <c r="Q343" s="242"/>
      <c r="R343" s="242"/>
      <c r="S343" s="242"/>
      <c r="T343" s="242"/>
      <c r="U343" s="242"/>
      <c r="V343" s="242"/>
      <c r="W343" s="242"/>
      <c r="X343" s="242"/>
      <c r="Y343" s="242"/>
      <c r="Z343" s="242"/>
    </row>
    <row r="344" spans="16:26">
      <c r="P344" s="242"/>
      <c r="Q344" s="242"/>
      <c r="R344" s="242"/>
      <c r="S344" s="242"/>
      <c r="T344" s="242"/>
      <c r="U344" s="242"/>
      <c r="V344" s="242"/>
      <c r="W344" s="242"/>
      <c r="X344" s="242"/>
      <c r="Y344" s="242"/>
      <c r="Z344" s="242"/>
    </row>
    <row r="345" spans="16:26">
      <c r="P345" s="241"/>
      <c r="Q345" s="241"/>
      <c r="R345" s="241"/>
      <c r="S345" s="241"/>
      <c r="T345" s="241"/>
      <c r="U345" s="241"/>
      <c r="V345" s="241"/>
      <c r="W345" s="241"/>
      <c r="X345" s="241"/>
      <c r="Y345" s="241"/>
      <c r="Z345" s="241"/>
    </row>
    <row r="346" spans="16:26">
      <c r="P346" s="242"/>
      <c r="Q346" s="242"/>
      <c r="R346" s="242"/>
      <c r="S346" s="242"/>
      <c r="T346" s="242"/>
      <c r="U346" s="242"/>
      <c r="V346" s="242"/>
      <c r="W346" s="242"/>
      <c r="X346" s="242"/>
      <c r="Y346" s="242"/>
      <c r="Z346" s="242"/>
    </row>
    <row r="347" spans="16:26">
      <c r="P347" s="242"/>
      <c r="Q347" s="242"/>
      <c r="R347" s="242"/>
      <c r="S347" s="242"/>
      <c r="T347" s="242"/>
      <c r="U347" s="242"/>
      <c r="V347" s="242"/>
      <c r="W347" s="242"/>
      <c r="X347" s="242"/>
      <c r="Y347" s="242"/>
      <c r="Z347" s="242"/>
    </row>
    <row r="348" spans="16:26">
      <c r="P348" s="241"/>
      <c r="Q348" s="241"/>
      <c r="R348" s="241"/>
      <c r="S348" s="241"/>
      <c r="T348" s="241"/>
      <c r="U348" s="241"/>
      <c r="V348" s="241"/>
      <c r="W348" s="241"/>
      <c r="X348" s="241"/>
      <c r="Y348" s="241"/>
      <c r="Z348" s="241"/>
    </row>
    <row r="349" spans="16:26">
      <c r="P349" s="242"/>
      <c r="Q349" s="242"/>
      <c r="R349" s="242"/>
      <c r="S349" s="242"/>
      <c r="T349" s="242"/>
      <c r="U349" s="242"/>
      <c r="V349" s="242"/>
      <c r="W349" s="242"/>
      <c r="X349" s="242"/>
      <c r="Y349" s="242"/>
      <c r="Z349" s="242"/>
    </row>
    <row r="350" spans="16:26">
      <c r="P350" s="242"/>
      <c r="Q350" s="242"/>
      <c r="R350" s="242"/>
      <c r="S350" s="242"/>
      <c r="T350" s="242"/>
      <c r="U350" s="242"/>
      <c r="V350" s="242"/>
      <c r="W350" s="242"/>
      <c r="X350" s="242"/>
      <c r="Y350" s="242"/>
      <c r="Z350" s="242"/>
    </row>
    <row r="351" spans="16:26">
      <c r="P351" s="241"/>
      <c r="Q351" s="241"/>
      <c r="R351" s="241"/>
      <c r="S351" s="241"/>
      <c r="T351" s="241"/>
      <c r="U351" s="241"/>
      <c r="V351" s="241"/>
      <c r="W351" s="241"/>
      <c r="X351" s="241"/>
      <c r="Y351" s="241"/>
      <c r="Z351" s="241"/>
    </row>
    <row r="352" spans="16:26">
      <c r="P352" s="242"/>
      <c r="Q352" s="242"/>
      <c r="R352" s="242"/>
      <c r="S352" s="242"/>
      <c r="T352" s="242"/>
      <c r="U352" s="242"/>
      <c r="V352" s="242"/>
      <c r="W352" s="242"/>
      <c r="X352" s="242"/>
      <c r="Y352" s="242"/>
      <c r="Z352" s="242"/>
    </row>
    <row r="353" spans="16:26">
      <c r="P353" s="242"/>
      <c r="Q353" s="242"/>
      <c r="R353" s="242"/>
      <c r="S353" s="242"/>
      <c r="T353" s="242"/>
      <c r="U353" s="242"/>
      <c r="V353" s="242"/>
      <c r="W353" s="242"/>
      <c r="X353" s="242"/>
      <c r="Y353" s="242"/>
      <c r="Z353" s="242"/>
    </row>
    <row r="354" spans="16:26">
      <c r="P354" s="241"/>
      <c r="Q354" s="241"/>
      <c r="R354" s="241"/>
      <c r="S354" s="241"/>
      <c r="T354" s="241"/>
      <c r="U354" s="241"/>
      <c r="V354" s="241"/>
      <c r="W354" s="241"/>
      <c r="X354" s="241"/>
      <c r="Y354" s="241"/>
      <c r="Z354" s="241"/>
    </row>
    <row r="355" spans="16:26">
      <c r="P355" s="242"/>
      <c r="Q355" s="242"/>
      <c r="R355" s="242"/>
      <c r="S355" s="242"/>
      <c r="T355" s="242"/>
      <c r="U355" s="242"/>
      <c r="V355" s="242"/>
      <c r="W355" s="242"/>
      <c r="X355" s="242"/>
      <c r="Y355" s="242"/>
      <c r="Z355" s="242"/>
    </row>
    <row r="356" spans="16:26">
      <c r="P356" s="242"/>
      <c r="Q356" s="242"/>
      <c r="R356" s="242"/>
      <c r="S356" s="242"/>
      <c r="T356" s="242"/>
      <c r="U356" s="242"/>
      <c r="V356" s="242"/>
      <c r="W356" s="242"/>
      <c r="X356" s="242"/>
      <c r="Y356" s="242"/>
      <c r="Z356" s="242"/>
    </row>
    <row r="357" spans="16:26">
      <c r="P357" s="241"/>
      <c r="Q357" s="241"/>
      <c r="R357" s="241"/>
      <c r="S357" s="241"/>
      <c r="T357" s="241"/>
      <c r="U357" s="241"/>
      <c r="V357" s="241"/>
      <c r="W357" s="241"/>
      <c r="X357" s="241"/>
      <c r="Y357" s="241"/>
      <c r="Z357" s="241"/>
    </row>
    <row r="358" spans="16:26">
      <c r="P358" s="242"/>
      <c r="Q358" s="242"/>
      <c r="R358" s="242"/>
      <c r="S358" s="242"/>
      <c r="T358" s="242"/>
      <c r="U358" s="242"/>
      <c r="V358" s="242"/>
      <c r="W358" s="242"/>
      <c r="X358" s="242"/>
      <c r="Y358" s="242"/>
      <c r="Z358" s="242"/>
    </row>
    <row r="359" spans="16:26">
      <c r="P359" s="242"/>
      <c r="Q359" s="242"/>
      <c r="R359" s="242"/>
      <c r="S359" s="242"/>
      <c r="T359" s="242"/>
      <c r="U359" s="242"/>
      <c r="V359" s="242"/>
      <c r="W359" s="242"/>
      <c r="X359" s="242"/>
      <c r="Y359" s="242"/>
      <c r="Z359" s="242"/>
    </row>
    <row r="360" spans="16:26">
      <c r="P360" s="241"/>
      <c r="Q360" s="241"/>
      <c r="R360" s="241"/>
      <c r="S360" s="241"/>
      <c r="T360" s="241"/>
      <c r="U360" s="241"/>
      <c r="V360" s="241"/>
      <c r="W360" s="241"/>
      <c r="X360" s="241"/>
      <c r="Y360" s="241"/>
      <c r="Z360" s="241"/>
    </row>
    <row r="361" spans="16:26">
      <c r="P361" s="242"/>
      <c r="Q361" s="242"/>
      <c r="R361" s="242"/>
      <c r="S361" s="242"/>
      <c r="T361" s="242"/>
      <c r="U361" s="242"/>
      <c r="V361" s="242"/>
      <c r="W361" s="242"/>
      <c r="X361" s="242"/>
      <c r="Y361" s="242"/>
      <c r="Z361" s="242"/>
    </row>
    <row r="362" spans="16:26">
      <c r="P362" s="242"/>
      <c r="Q362" s="242"/>
      <c r="R362" s="242"/>
      <c r="S362" s="242"/>
      <c r="T362" s="242"/>
      <c r="U362" s="242"/>
      <c r="V362" s="242"/>
      <c r="W362" s="242"/>
      <c r="X362" s="242"/>
      <c r="Y362" s="242"/>
      <c r="Z362" s="242"/>
    </row>
    <row r="363" spans="16:26">
      <c r="P363" s="241"/>
      <c r="Q363" s="241"/>
      <c r="R363" s="241"/>
      <c r="S363" s="241"/>
      <c r="T363" s="241"/>
      <c r="U363" s="241"/>
      <c r="V363" s="241"/>
      <c r="W363" s="241"/>
      <c r="X363" s="241"/>
      <c r="Y363" s="241"/>
      <c r="Z363" s="241"/>
    </row>
    <row r="364" spans="16:26">
      <c r="P364" s="242"/>
      <c r="Q364" s="242"/>
      <c r="R364" s="242"/>
      <c r="S364" s="242"/>
      <c r="T364" s="242"/>
      <c r="U364" s="242"/>
      <c r="V364" s="242"/>
      <c r="W364" s="242"/>
      <c r="X364" s="242"/>
      <c r="Y364" s="242"/>
      <c r="Z364" s="242"/>
    </row>
    <row r="365" spans="16:26">
      <c r="P365" s="242"/>
      <c r="Q365" s="242"/>
      <c r="R365" s="242"/>
      <c r="S365" s="242"/>
      <c r="T365" s="242"/>
      <c r="U365" s="242"/>
      <c r="V365" s="242"/>
      <c r="W365" s="242"/>
      <c r="X365" s="242"/>
      <c r="Y365" s="242"/>
      <c r="Z365" s="242"/>
    </row>
    <row r="366" spans="16:26">
      <c r="P366" s="241"/>
      <c r="Q366" s="241"/>
      <c r="R366" s="241"/>
      <c r="S366" s="241"/>
      <c r="T366" s="241"/>
      <c r="U366" s="241"/>
      <c r="V366" s="241"/>
      <c r="W366" s="241"/>
      <c r="X366" s="241"/>
      <c r="Y366" s="241"/>
      <c r="Z366" s="241"/>
    </row>
    <row r="367" spans="16:26">
      <c r="P367" s="242"/>
      <c r="Q367" s="242"/>
      <c r="R367" s="242"/>
      <c r="S367" s="242"/>
      <c r="T367" s="242"/>
      <c r="U367" s="242"/>
      <c r="V367" s="242"/>
      <c r="W367" s="242"/>
      <c r="X367" s="242"/>
      <c r="Y367" s="242"/>
      <c r="Z367" s="242"/>
    </row>
    <row r="368" spans="16:26">
      <c r="P368" s="242"/>
      <c r="Q368" s="242"/>
      <c r="R368" s="242"/>
      <c r="S368" s="242"/>
      <c r="T368" s="242"/>
      <c r="U368" s="242"/>
      <c r="V368" s="242"/>
      <c r="W368" s="242"/>
      <c r="X368" s="242"/>
      <c r="Y368" s="242"/>
      <c r="Z368" s="242"/>
    </row>
    <row r="369" spans="16:26">
      <c r="P369" s="241"/>
      <c r="Q369" s="241"/>
      <c r="R369" s="241"/>
      <c r="S369" s="241"/>
      <c r="T369" s="241"/>
      <c r="U369" s="241"/>
      <c r="V369" s="241"/>
      <c r="W369" s="241"/>
      <c r="X369" s="241"/>
      <c r="Y369" s="241"/>
      <c r="Z369" s="241"/>
    </row>
    <row r="370" spans="16:26">
      <c r="P370" s="242"/>
      <c r="Q370" s="242"/>
      <c r="R370" s="242"/>
      <c r="S370" s="242"/>
      <c r="T370" s="242"/>
      <c r="U370" s="242"/>
      <c r="V370" s="242"/>
      <c r="W370" s="242"/>
      <c r="X370" s="242"/>
      <c r="Y370" s="242"/>
      <c r="Z370" s="242"/>
    </row>
    <row r="371" spans="16:26">
      <c r="P371" s="242"/>
      <c r="Q371" s="242"/>
      <c r="R371" s="242"/>
      <c r="S371" s="242"/>
      <c r="T371" s="242"/>
      <c r="U371" s="242"/>
      <c r="V371" s="242"/>
      <c r="W371" s="242"/>
      <c r="X371" s="242"/>
      <c r="Y371" s="242"/>
      <c r="Z371" s="242"/>
    </row>
    <row r="372" spans="16:26">
      <c r="P372" s="241"/>
      <c r="Q372" s="241"/>
      <c r="R372" s="241"/>
      <c r="S372" s="241"/>
      <c r="T372" s="241"/>
      <c r="U372" s="241"/>
      <c r="V372" s="241"/>
      <c r="W372" s="241"/>
      <c r="X372" s="241"/>
      <c r="Y372" s="241"/>
      <c r="Z372" s="241"/>
    </row>
    <row r="373" spans="16:26">
      <c r="P373" s="242"/>
      <c r="Q373" s="242"/>
      <c r="R373" s="242"/>
      <c r="S373" s="242"/>
      <c r="T373" s="242"/>
      <c r="U373" s="242"/>
      <c r="V373" s="242"/>
      <c r="W373" s="242"/>
      <c r="X373" s="242"/>
      <c r="Y373" s="242"/>
      <c r="Z373" s="242"/>
    </row>
    <row r="374" spans="16:26">
      <c r="P374" s="242"/>
      <c r="Q374" s="242"/>
      <c r="R374" s="242"/>
      <c r="S374" s="242"/>
      <c r="T374" s="242"/>
      <c r="U374" s="242"/>
      <c r="V374" s="242"/>
      <c r="W374" s="242"/>
      <c r="X374" s="242"/>
      <c r="Y374" s="242"/>
      <c r="Z374" s="242"/>
    </row>
    <row r="375" spans="16:26">
      <c r="P375" s="241"/>
      <c r="Q375" s="241"/>
      <c r="R375" s="241"/>
      <c r="S375" s="241"/>
      <c r="T375" s="241"/>
      <c r="U375" s="241"/>
      <c r="V375" s="241"/>
      <c r="W375" s="241"/>
      <c r="X375" s="241"/>
      <c r="Y375" s="241"/>
      <c r="Z375" s="241"/>
    </row>
    <row r="376" spans="16:26">
      <c r="P376" s="242"/>
      <c r="Q376" s="242"/>
      <c r="R376" s="242"/>
      <c r="S376" s="242"/>
      <c r="T376" s="242"/>
      <c r="U376" s="242"/>
      <c r="V376" s="242"/>
      <c r="W376" s="242"/>
      <c r="X376" s="242"/>
      <c r="Y376" s="242"/>
      <c r="Z376" s="242"/>
    </row>
    <row r="377" spans="16:26">
      <c r="P377" s="242"/>
      <c r="Q377" s="242"/>
      <c r="R377" s="242"/>
      <c r="S377" s="242"/>
      <c r="T377" s="242"/>
      <c r="U377" s="242"/>
      <c r="V377" s="242"/>
      <c r="W377" s="242"/>
      <c r="X377" s="242"/>
      <c r="Y377" s="242"/>
      <c r="Z377" s="242"/>
    </row>
    <row r="378" spans="16:26">
      <c r="P378" s="241"/>
      <c r="Q378" s="241"/>
      <c r="R378" s="241"/>
      <c r="S378" s="241"/>
      <c r="T378" s="241"/>
      <c r="U378" s="241"/>
      <c r="V378" s="241"/>
      <c r="W378" s="241"/>
      <c r="X378" s="241"/>
      <c r="Y378" s="241"/>
      <c r="Z378" s="241"/>
    </row>
    <row r="379" spans="16:26">
      <c r="P379" s="242"/>
      <c r="Q379" s="242"/>
      <c r="R379" s="242"/>
      <c r="S379" s="242"/>
      <c r="T379" s="242"/>
      <c r="U379" s="242"/>
      <c r="V379" s="242"/>
      <c r="W379" s="242"/>
      <c r="X379" s="242"/>
      <c r="Y379" s="242"/>
      <c r="Z379" s="242"/>
    </row>
    <row r="380" spans="16:26">
      <c r="P380" s="242"/>
      <c r="Q380" s="242"/>
      <c r="R380" s="242"/>
      <c r="S380" s="242"/>
      <c r="T380" s="242"/>
      <c r="U380" s="242"/>
      <c r="V380" s="242"/>
      <c r="W380" s="242"/>
      <c r="X380" s="242"/>
      <c r="Y380" s="242"/>
      <c r="Z380" s="242"/>
    </row>
    <row r="381" spans="16:26">
      <c r="P381" s="241"/>
      <c r="Q381" s="241"/>
      <c r="R381" s="241"/>
      <c r="S381" s="241"/>
      <c r="T381" s="241"/>
      <c r="U381" s="241"/>
      <c r="V381" s="241"/>
      <c r="W381" s="241"/>
      <c r="X381" s="241"/>
      <c r="Y381" s="241"/>
      <c r="Z381" s="241"/>
    </row>
    <row r="382" spans="16:26">
      <c r="P382" s="242"/>
      <c r="Q382" s="242"/>
      <c r="R382" s="242"/>
      <c r="S382" s="242"/>
      <c r="T382" s="242"/>
      <c r="U382" s="242"/>
      <c r="V382" s="242"/>
      <c r="W382" s="242"/>
      <c r="X382" s="242"/>
      <c r="Y382" s="242"/>
      <c r="Z382" s="242"/>
    </row>
    <row r="383" spans="16:26">
      <c r="P383" s="242"/>
      <c r="Q383" s="242"/>
      <c r="R383" s="242"/>
      <c r="S383" s="242"/>
      <c r="T383" s="242"/>
      <c r="U383" s="242"/>
      <c r="V383" s="242"/>
      <c r="W383" s="242"/>
      <c r="X383" s="242"/>
      <c r="Y383" s="242"/>
      <c r="Z383" s="242"/>
    </row>
    <row r="384" spans="16:26">
      <c r="P384" s="241"/>
      <c r="Q384" s="241"/>
      <c r="R384" s="241"/>
      <c r="S384" s="241"/>
      <c r="T384" s="241"/>
      <c r="U384" s="241"/>
      <c r="V384" s="241"/>
      <c r="W384" s="241"/>
      <c r="X384" s="241"/>
      <c r="Y384" s="241"/>
      <c r="Z384" s="241"/>
    </row>
    <row r="385" spans="16:26">
      <c r="P385" s="242"/>
      <c r="Q385" s="242"/>
      <c r="R385" s="242"/>
      <c r="S385" s="242"/>
      <c r="T385" s="242"/>
      <c r="U385" s="242"/>
      <c r="V385" s="242"/>
      <c r="W385" s="242"/>
      <c r="X385" s="242"/>
      <c r="Y385" s="242"/>
      <c r="Z385" s="242"/>
    </row>
    <row r="386" spans="16:26">
      <c r="P386" s="242"/>
      <c r="Q386" s="242"/>
      <c r="R386" s="242"/>
      <c r="S386" s="242"/>
      <c r="T386" s="242"/>
      <c r="U386" s="242"/>
      <c r="V386" s="242"/>
      <c r="W386" s="242"/>
      <c r="X386" s="242"/>
      <c r="Y386" s="242"/>
      <c r="Z386" s="242"/>
    </row>
    <row r="387" spans="16:26">
      <c r="P387" s="241"/>
      <c r="Q387" s="241"/>
      <c r="R387" s="241"/>
      <c r="S387" s="241"/>
      <c r="T387" s="241"/>
      <c r="U387" s="241"/>
      <c r="V387" s="241"/>
      <c r="W387" s="241"/>
      <c r="X387" s="241"/>
      <c r="Y387" s="241"/>
      <c r="Z387" s="241"/>
    </row>
    <row r="388" spans="16:26">
      <c r="P388" s="242"/>
      <c r="Q388" s="242"/>
      <c r="R388" s="242"/>
      <c r="S388" s="242"/>
      <c r="T388" s="242"/>
      <c r="U388" s="242"/>
      <c r="V388" s="242"/>
      <c r="W388" s="242"/>
      <c r="X388" s="242"/>
      <c r="Y388" s="242"/>
      <c r="Z388" s="242"/>
    </row>
    <row r="389" spans="16:26">
      <c r="P389" s="242"/>
      <c r="Q389" s="242"/>
      <c r="R389" s="242"/>
      <c r="S389" s="242"/>
      <c r="T389" s="242"/>
      <c r="U389" s="242"/>
      <c r="V389" s="242"/>
      <c r="W389" s="242"/>
      <c r="X389" s="242"/>
      <c r="Y389" s="242"/>
      <c r="Z389" s="242"/>
    </row>
    <row r="390" spans="16:26">
      <c r="P390" s="241"/>
      <c r="Q390" s="241"/>
      <c r="R390" s="241"/>
      <c r="S390" s="241"/>
      <c r="T390" s="241"/>
      <c r="U390" s="241"/>
      <c r="V390" s="241"/>
      <c r="W390" s="241"/>
      <c r="X390" s="241"/>
      <c r="Y390" s="241"/>
      <c r="Z390" s="241"/>
    </row>
    <row r="391" spans="16:26">
      <c r="P391" s="242"/>
      <c r="Q391" s="242"/>
      <c r="R391" s="242"/>
      <c r="S391" s="242"/>
      <c r="T391" s="242"/>
      <c r="U391" s="242"/>
      <c r="V391" s="242"/>
      <c r="W391" s="242"/>
      <c r="X391" s="242"/>
      <c r="Y391" s="242"/>
      <c r="Z391" s="242"/>
    </row>
    <row r="392" spans="16:26">
      <c r="P392" s="242"/>
      <c r="Q392" s="242"/>
      <c r="R392" s="242"/>
      <c r="S392" s="242"/>
      <c r="T392" s="242"/>
      <c r="U392" s="242"/>
      <c r="V392" s="242"/>
      <c r="W392" s="242"/>
      <c r="X392" s="242"/>
      <c r="Y392" s="242"/>
      <c r="Z392" s="242"/>
    </row>
    <row r="393" spans="16:26">
      <c r="P393" s="241"/>
      <c r="Q393" s="241"/>
      <c r="R393" s="241"/>
      <c r="S393" s="241"/>
      <c r="T393" s="241"/>
      <c r="U393" s="241"/>
      <c r="V393" s="241"/>
      <c r="W393" s="241"/>
      <c r="X393" s="241"/>
      <c r="Y393" s="241"/>
      <c r="Z393" s="241"/>
    </row>
    <row r="394" spans="16:26">
      <c r="P394" s="242"/>
      <c r="Q394" s="242"/>
      <c r="R394" s="242"/>
      <c r="S394" s="242"/>
      <c r="T394" s="242"/>
      <c r="U394" s="242"/>
      <c r="V394" s="242"/>
      <c r="W394" s="242"/>
      <c r="X394" s="242"/>
      <c r="Y394" s="242"/>
      <c r="Z394" s="242"/>
    </row>
    <row r="395" spans="16:26">
      <c r="P395" s="242"/>
      <c r="Q395" s="242"/>
      <c r="R395" s="242"/>
      <c r="S395" s="242"/>
      <c r="T395" s="242"/>
      <c r="U395" s="242"/>
      <c r="V395" s="242"/>
      <c r="W395" s="242"/>
      <c r="X395" s="242"/>
      <c r="Y395" s="242"/>
      <c r="Z395" s="242"/>
    </row>
    <row r="396" spans="16:26">
      <c r="P396" s="241"/>
      <c r="Q396" s="241"/>
      <c r="R396" s="241"/>
      <c r="S396" s="241"/>
      <c r="T396" s="241"/>
      <c r="U396" s="241"/>
      <c r="V396" s="241"/>
      <c r="W396" s="241"/>
      <c r="X396" s="241"/>
      <c r="Y396" s="241"/>
      <c r="Z396" s="241"/>
    </row>
    <row r="397" spans="16:26">
      <c r="P397" s="242"/>
      <c r="Q397" s="242"/>
      <c r="R397" s="242"/>
      <c r="S397" s="242"/>
      <c r="T397" s="242"/>
      <c r="U397" s="242"/>
      <c r="V397" s="242"/>
      <c r="W397" s="242"/>
      <c r="X397" s="242"/>
      <c r="Y397" s="242"/>
      <c r="Z397" s="242"/>
    </row>
    <row r="398" spans="16:26">
      <c r="P398" s="242"/>
      <c r="Q398" s="242"/>
      <c r="R398" s="242"/>
      <c r="S398" s="242"/>
      <c r="T398" s="242"/>
      <c r="U398" s="242"/>
      <c r="V398" s="242"/>
      <c r="W398" s="242"/>
      <c r="X398" s="242"/>
      <c r="Y398" s="242"/>
      <c r="Z398" s="242"/>
    </row>
    <row r="399" spans="16:26">
      <c r="P399" s="241"/>
      <c r="Q399" s="241"/>
      <c r="R399" s="241"/>
      <c r="S399" s="241"/>
      <c r="T399" s="241"/>
      <c r="U399" s="241"/>
      <c r="V399" s="241"/>
      <c r="W399" s="241"/>
      <c r="X399" s="241"/>
      <c r="Y399" s="241"/>
      <c r="Z399" s="241"/>
    </row>
    <row r="400" spans="16:26">
      <c r="P400" s="242"/>
      <c r="Q400" s="242"/>
      <c r="R400" s="242"/>
      <c r="S400" s="242"/>
      <c r="T400" s="242"/>
      <c r="U400" s="242"/>
      <c r="V400" s="242"/>
      <c r="W400" s="242"/>
      <c r="X400" s="242"/>
      <c r="Y400" s="242"/>
      <c r="Z400" s="242"/>
    </row>
    <row r="401" spans="16:26">
      <c r="P401" s="242"/>
      <c r="Q401" s="242"/>
      <c r="R401" s="242"/>
      <c r="S401" s="242"/>
      <c r="T401" s="242"/>
      <c r="U401" s="242"/>
      <c r="V401" s="242"/>
      <c r="W401" s="242"/>
      <c r="X401" s="242"/>
      <c r="Y401" s="242"/>
      <c r="Z401" s="242"/>
    </row>
    <row r="402" spans="16:26">
      <c r="P402" s="241"/>
      <c r="Q402" s="241"/>
      <c r="R402" s="241"/>
      <c r="S402" s="241"/>
      <c r="T402" s="241"/>
      <c r="U402" s="241"/>
      <c r="V402" s="241"/>
      <c r="W402" s="241"/>
      <c r="X402" s="241"/>
      <c r="Y402" s="241"/>
      <c r="Z402" s="241"/>
    </row>
    <row r="403" spans="16:26">
      <c r="P403" s="242"/>
      <c r="Q403" s="242"/>
      <c r="R403" s="242"/>
      <c r="S403" s="242"/>
      <c r="T403" s="242"/>
      <c r="U403" s="242"/>
      <c r="V403" s="242"/>
      <c r="W403" s="242"/>
      <c r="X403" s="242"/>
      <c r="Y403" s="242"/>
      <c r="Z403" s="242"/>
    </row>
    <row r="404" spans="16:26">
      <c r="P404" s="242"/>
      <c r="Q404" s="242"/>
      <c r="R404" s="242"/>
      <c r="S404" s="242"/>
      <c r="T404" s="242"/>
      <c r="U404" s="242"/>
      <c r="V404" s="242"/>
      <c r="W404" s="242"/>
      <c r="X404" s="242"/>
      <c r="Y404" s="242"/>
      <c r="Z404" s="242"/>
    </row>
    <row r="405" spans="16:26">
      <c r="P405" s="241"/>
      <c r="Q405" s="241"/>
      <c r="R405" s="241"/>
      <c r="S405" s="241"/>
      <c r="T405" s="241"/>
      <c r="U405" s="241"/>
      <c r="V405" s="241"/>
      <c r="W405" s="241"/>
      <c r="X405" s="241"/>
      <c r="Y405" s="241"/>
      <c r="Z405" s="241"/>
    </row>
    <row r="406" spans="16:26">
      <c r="P406" s="242"/>
      <c r="Q406" s="242"/>
      <c r="R406" s="242"/>
      <c r="S406" s="242"/>
      <c r="T406" s="242"/>
      <c r="U406" s="242"/>
      <c r="V406" s="242"/>
      <c r="W406" s="242"/>
      <c r="X406" s="242"/>
      <c r="Y406" s="242"/>
      <c r="Z406" s="242"/>
    </row>
    <row r="407" spans="16:26">
      <c r="P407" s="242"/>
      <c r="Q407" s="242"/>
      <c r="R407" s="242"/>
      <c r="S407" s="242"/>
      <c r="T407" s="242"/>
      <c r="U407" s="242"/>
      <c r="V407" s="242"/>
      <c r="W407" s="242"/>
      <c r="X407" s="242"/>
      <c r="Y407" s="242"/>
      <c r="Z407" s="242"/>
    </row>
    <row r="408" spans="16:26">
      <c r="P408" s="241"/>
      <c r="Q408" s="241"/>
      <c r="R408" s="241"/>
      <c r="S408" s="241"/>
      <c r="T408" s="241"/>
      <c r="U408" s="241"/>
      <c r="V408" s="241"/>
      <c r="W408" s="241"/>
      <c r="X408" s="241"/>
      <c r="Y408" s="241"/>
      <c r="Z408" s="241"/>
    </row>
    <row r="409" spans="16:26">
      <c r="P409" s="242"/>
      <c r="Q409" s="242"/>
      <c r="R409" s="242"/>
      <c r="S409" s="242"/>
      <c r="T409" s="242"/>
      <c r="U409" s="242"/>
      <c r="V409" s="242"/>
      <c r="W409" s="242"/>
      <c r="X409" s="242"/>
      <c r="Y409" s="242"/>
      <c r="Z409" s="242"/>
    </row>
    <row r="410" spans="16:26">
      <c r="P410" s="242"/>
      <c r="Q410" s="242"/>
      <c r="R410" s="242"/>
      <c r="S410" s="242"/>
      <c r="T410" s="242"/>
      <c r="U410" s="242"/>
      <c r="V410" s="242"/>
      <c r="W410" s="242"/>
      <c r="X410" s="242"/>
      <c r="Y410" s="242"/>
      <c r="Z410" s="242"/>
    </row>
    <row r="411" spans="16:26">
      <c r="P411" s="241"/>
      <c r="Q411" s="241"/>
      <c r="R411" s="241"/>
      <c r="S411" s="241"/>
      <c r="T411" s="241"/>
      <c r="U411" s="241"/>
      <c r="V411" s="241"/>
      <c r="W411" s="241"/>
      <c r="X411" s="241"/>
      <c r="Y411" s="241"/>
      <c r="Z411" s="241"/>
    </row>
    <row r="412" spans="16:26">
      <c r="P412" s="242"/>
      <c r="Q412" s="242"/>
      <c r="R412" s="242"/>
      <c r="S412" s="242"/>
      <c r="T412" s="242"/>
      <c r="U412" s="242"/>
      <c r="V412" s="242"/>
      <c r="W412" s="242"/>
      <c r="X412" s="242"/>
      <c r="Y412" s="242"/>
      <c r="Z412" s="242"/>
    </row>
    <row r="413" spans="16:26">
      <c r="P413" s="242"/>
      <c r="Q413" s="242"/>
      <c r="R413" s="242"/>
      <c r="S413" s="242"/>
      <c r="T413" s="242"/>
      <c r="U413" s="242"/>
      <c r="V413" s="242"/>
      <c r="W413" s="242"/>
      <c r="X413" s="242"/>
      <c r="Y413" s="242"/>
      <c r="Z413" s="242"/>
    </row>
    <row r="414" spans="16:26">
      <c r="P414" s="241"/>
      <c r="Q414" s="241"/>
      <c r="R414" s="241"/>
      <c r="S414" s="241"/>
      <c r="T414" s="241"/>
      <c r="U414" s="241"/>
      <c r="V414" s="241"/>
      <c r="W414" s="241"/>
      <c r="X414" s="241"/>
      <c r="Y414" s="241"/>
      <c r="Z414" s="241"/>
    </row>
    <row r="415" spans="16:26">
      <c r="P415" s="242"/>
      <c r="Q415" s="242"/>
      <c r="R415" s="242"/>
      <c r="S415" s="242"/>
      <c r="T415" s="242"/>
      <c r="U415" s="242"/>
      <c r="V415" s="242"/>
      <c r="W415" s="242"/>
      <c r="X415" s="242"/>
      <c r="Y415" s="242"/>
      <c r="Z415" s="242"/>
    </row>
    <row r="416" spans="16:26">
      <c r="P416" s="242"/>
      <c r="Q416" s="242"/>
      <c r="R416" s="242"/>
      <c r="S416" s="242"/>
      <c r="T416" s="242"/>
      <c r="U416" s="242"/>
      <c r="V416" s="242"/>
      <c r="W416" s="242"/>
      <c r="X416" s="242"/>
      <c r="Y416" s="242"/>
      <c r="Z416" s="242"/>
    </row>
    <row r="417" spans="16:26">
      <c r="P417" s="241"/>
      <c r="Q417" s="241"/>
      <c r="R417" s="241"/>
      <c r="S417" s="241"/>
      <c r="T417" s="241"/>
      <c r="U417" s="241"/>
      <c r="V417" s="241"/>
      <c r="W417" s="241"/>
      <c r="X417" s="241"/>
      <c r="Y417" s="241"/>
      <c r="Z417" s="241"/>
    </row>
    <row r="418" spans="16:26">
      <c r="P418" s="242"/>
      <c r="Q418" s="242"/>
      <c r="R418" s="242"/>
      <c r="S418" s="242"/>
      <c r="T418" s="242"/>
      <c r="U418" s="242"/>
      <c r="V418" s="242"/>
      <c r="W418" s="242"/>
      <c r="X418" s="242"/>
      <c r="Y418" s="242"/>
      <c r="Z418" s="242"/>
    </row>
    <row r="419" spans="16:26">
      <c r="P419" s="242"/>
      <c r="Q419" s="242"/>
      <c r="R419" s="242"/>
      <c r="S419" s="242"/>
      <c r="T419" s="242"/>
      <c r="U419" s="242"/>
      <c r="V419" s="242"/>
      <c r="W419" s="242"/>
      <c r="X419" s="242"/>
      <c r="Y419" s="242"/>
      <c r="Z419" s="242"/>
    </row>
    <row r="420" spans="16:26">
      <c r="P420" s="241"/>
      <c r="Q420" s="241"/>
      <c r="R420" s="241"/>
      <c r="S420" s="241"/>
      <c r="T420" s="241"/>
      <c r="U420" s="241"/>
      <c r="V420" s="241"/>
      <c r="W420" s="241"/>
      <c r="X420" s="241"/>
      <c r="Y420" s="241"/>
      <c r="Z420" s="241"/>
    </row>
    <row r="421" spans="16:26">
      <c r="P421" s="242"/>
      <c r="Q421" s="242"/>
      <c r="R421" s="242"/>
      <c r="S421" s="242"/>
      <c r="T421" s="242"/>
      <c r="U421" s="242"/>
      <c r="V421" s="242"/>
      <c r="W421" s="242"/>
      <c r="X421" s="242"/>
      <c r="Y421" s="242"/>
      <c r="Z421" s="242"/>
    </row>
    <row r="422" spans="16:26">
      <c r="P422" s="242"/>
      <c r="Q422" s="242"/>
      <c r="R422" s="242"/>
      <c r="S422" s="242"/>
      <c r="T422" s="242"/>
      <c r="U422" s="242"/>
      <c r="V422" s="242"/>
      <c r="W422" s="242"/>
      <c r="X422" s="242"/>
      <c r="Y422" s="242"/>
      <c r="Z422" s="242"/>
    </row>
    <row r="423" spans="16:26">
      <c r="P423" s="241"/>
      <c r="Q423" s="241"/>
      <c r="R423" s="241"/>
      <c r="S423" s="241"/>
      <c r="T423" s="241"/>
      <c r="U423" s="241"/>
      <c r="V423" s="241"/>
      <c r="W423" s="241"/>
      <c r="X423" s="241"/>
      <c r="Y423" s="241"/>
      <c r="Z423" s="241"/>
    </row>
    <row r="424" spans="16:26">
      <c r="P424" s="242"/>
      <c r="Q424" s="242"/>
      <c r="R424" s="242"/>
      <c r="S424" s="242"/>
      <c r="T424" s="242"/>
      <c r="U424" s="242"/>
      <c r="V424" s="242"/>
      <c r="W424" s="242"/>
      <c r="X424" s="242"/>
      <c r="Y424" s="242"/>
      <c r="Z424" s="242"/>
    </row>
    <row r="425" spans="16:26">
      <c r="P425" s="242"/>
      <c r="Q425" s="242"/>
      <c r="R425" s="242"/>
      <c r="S425" s="242"/>
      <c r="T425" s="242"/>
      <c r="U425" s="242"/>
      <c r="V425" s="242"/>
      <c r="W425" s="242"/>
      <c r="X425" s="242"/>
      <c r="Y425" s="242"/>
      <c r="Z425" s="242"/>
    </row>
    <row r="426" spans="16:26">
      <c r="P426" s="241"/>
      <c r="Q426" s="241"/>
      <c r="R426" s="241"/>
      <c r="S426" s="241"/>
      <c r="T426" s="241"/>
      <c r="U426" s="241"/>
      <c r="V426" s="241"/>
      <c r="W426" s="241"/>
      <c r="X426" s="241"/>
      <c r="Y426" s="241"/>
      <c r="Z426" s="241"/>
    </row>
    <row r="427" spans="16:26">
      <c r="P427" s="242"/>
      <c r="Q427" s="242"/>
      <c r="R427" s="242"/>
      <c r="S427" s="242"/>
      <c r="T427" s="242"/>
      <c r="U427" s="242"/>
      <c r="V427" s="242"/>
      <c r="W427" s="242"/>
      <c r="X427" s="242"/>
      <c r="Y427" s="242"/>
      <c r="Z427" s="242"/>
    </row>
    <row r="428" spans="16:26">
      <c r="P428" s="242"/>
      <c r="Q428" s="242"/>
      <c r="R428" s="242"/>
      <c r="S428" s="242"/>
      <c r="T428" s="242"/>
      <c r="U428" s="242"/>
      <c r="V428" s="242"/>
      <c r="W428" s="242"/>
      <c r="X428" s="242"/>
      <c r="Y428" s="242"/>
      <c r="Z428" s="242"/>
    </row>
    <row r="429" spans="16:26">
      <c r="P429" s="241"/>
      <c r="Q429" s="241"/>
      <c r="R429" s="241"/>
      <c r="S429" s="241"/>
      <c r="T429" s="241"/>
      <c r="U429" s="241"/>
      <c r="V429" s="241"/>
      <c r="W429" s="241"/>
      <c r="X429" s="241"/>
      <c r="Y429" s="241"/>
      <c r="Z429" s="241"/>
    </row>
    <row r="430" spans="16:26">
      <c r="P430" s="242"/>
      <c r="Q430" s="242"/>
      <c r="R430" s="242"/>
      <c r="S430" s="242"/>
      <c r="T430" s="242"/>
      <c r="U430" s="242"/>
      <c r="V430" s="242"/>
      <c r="W430" s="242"/>
      <c r="X430" s="242"/>
      <c r="Y430" s="242"/>
      <c r="Z430" s="242"/>
    </row>
    <row r="431" spans="16:26">
      <c r="P431" s="242"/>
      <c r="Q431" s="242"/>
      <c r="R431" s="242"/>
      <c r="S431" s="242"/>
      <c r="T431" s="242"/>
      <c r="U431" s="242"/>
      <c r="V431" s="242"/>
      <c r="W431" s="242"/>
      <c r="X431" s="242"/>
      <c r="Y431" s="242"/>
      <c r="Z431" s="242"/>
    </row>
    <row r="432" spans="16:26">
      <c r="P432" s="241"/>
      <c r="Q432" s="241"/>
      <c r="R432" s="241"/>
      <c r="S432" s="241"/>
      <c r="T432" s="241"/>
      <c r="U432" s="241"/>
      <c r="V432" s="241"/>
      <c r="W432" s="241"/>
      <c r="X432" s="241"/>
      <c r="Y432" s="241"/>
      <c r="Z432" s="241"/>
    </row>
    <row r="433" spans="16:26">
      <c r="P433" s="242"/>
      <c r="Q433" s="242"/>
      <c r="R433" s="242"/>
      <c r="S433" s="242"/>
      <c r="T433" s="242"/>
      <c r="U433" s="242"/>
      <c r="V433" s="242"/>
      <c r="W433" s="242"/>
      <c r="X433" s="242"/>
      <c r="Y433" s="242"/>
      <c r="Z433" s="242"/>
    </row>
    <row r="434" spans="16:26">
      <c r="P434" s="242"/>
      <c r="Q434" s="242"/>
      <c r="R434" s="242"/>
      <c r="S434" s="242"/>
      <c r="T434" s="242"/>
      <c r="U434" s="242"/>
      <c r="V434" s="242"/>
      <c r="W434" s="242"/>
      <c r="X434" s="242"/>
      <c r="Y434" s="242"/>
      <c r="Z434" s="242"/>
    </row>
    <row r="435" spans="16:26">
      <c r="P435" s="241"/>
      <c r="Q435" s="241"/>
      <c r="R435" s="241"/>
      <c r="S435" s="241"/>
      <c r="T435" s="241"/>
      <c r="U435" s="241"/>
      <c r="V435" s="241"/>
      <c r="W435" s="241"/>
      <c r="X435" s="241"/>
      <c r="Y435" s="241"/>
      <c r="Z435" s="241"/>
    </row>
    <row r="436" spans="16:26">
      <c r="P436" s="242"/>
      <c r="Q436" s="242"/>
      <c r="R436" s="242"/>
      <c r="S436" s="242"/>
      <c r="T436" s="242"/>
      <c r="U436" s="242"/>
      <c r="V436" s="242"/>
      <c r="W436" s="242"/>
      <c r="X436" s="242"/>
      <c r="Y436" s="242"/>
      <c r="Z436" s="242"/>
    </row>
    <row r="437" spans="16:26">
      <c r="P437" s="242"/>
      <c r="Q437" s="242"/>
      <c r="R437" s="242"/>
      <c r="S437" s="242"/>
      <c r="T437" s="242"/>
      <c r="U437" s="242"/>
      <c r="V437" s="242"/>
      <c r="W437" s="242"/>
      <c r="X437" s="242"/>
      <c r="Y437" s="242"/>
      <c r="Z437" s="242"/>
    </row>
    <row r="438" spans="16:26">
      <c r="P438" s="241"/>
      <c r="Q438" s="241"/>
      <c r="R438" s="241"/>
      <c r="S438" s="241"/>
      <c r="T438" s="241"/>
      <c r="U438" s="241"/>
      <c r="V438" s="241"/>
      <c r="W438" s="241"/>
      <c r="X438" s="241"/>
      <c r="Y438" s="241"/>
      <c r="Z438" s="241"/>
    </row>
    <row r="439" spans="16:26">
      <c r="P439" s="242"/>
      <c r="Q439" s="242"/>
      <c r="R439" s="242"/>
      <c r="S439" s="242"/>
      <c r="T439" s="242"/>
      <c r="U439" s="242"/>
      <c r="V439" s="242"/>
      <c r="W439" s="242"/>
      <c r="X439" s="242"/>
      <c r="Y439" s="242"/>
      <c r="Z439" s="242"/>
    </row>
    <row r="440" spans="16:26">
      <c r="P440" s="242"/>
      <c r="Q440" s="242"/>
      <c r="R440" s="242"/>
      <c r="S440" s="242"/>
      <c r="T440" s="242"/>
      <c r="U440" s="242"/>
      <c r="V440" s="242"/>
      <c r="W440" s="242"/>
      <c r="X440" s="242"/>
      <c r="Y440" s="242"/>
      <c r="Z440" s="242"/>
    </row>
    <row r="441" spans="16:26">
      <c r="P441" s="241"/>
      <c r="Q441" s="241"/>
      <c r="R441" s="241"/>
      <c r="S441" s="241"/>
      <c r="T441" s="241"/>
      <c r="U441" s="241"/>
      <c r="V441" s="241"/>
      <c r="W441" s="241"/>
      <c r="X441" s="241"/>
      <c r="Y441" s="241"/>
      <c r="Z441" s="241"/>
    </row>
    <row r="442" spans="16:26">
      <c r="P442" s="242"/>
      <c r="Q442" s="242"/>
      <c r="R442" s="242"/>
      <c r="S442" s="242"/>
      <c r="T442" s="242"/>
      <c r="U442" s="242"/>
      <c r="V442" s="242"/>
      <c r="W442" s="242"/>
      <c r="X442" s="242"/>
      <c r="Y442" s="242"/>
      <c r="Z442" s="242"/>
    </row>
    <row r="443" spans="16:26">
      <c r="P443" s="242"/>
      <c r="Q443" s="242"/>
      <c r="R443" s="242"/>
      <c r="S443" s="242"/>
      <c r="T443" s="242"/>
      <c r="U443" s="242"/>
      <c r="V443" s="242"/>
      <c r="W443" s="242"/>
      <c r="X443" s="242"/>
      <c r="Y443" s="242"/>
      <c r="Z443" s="242"/>
    </row>
    <row r="444" spans="16:26">
      <c r="P444" s="241"/>
      <c r="Q444" s="241"/>
      <c r="R444" s="241"/>
      <c r="S444" s="241"/>
      <c r="T444" s="241"/>
      <c r="U444" s="241"/>
      <c r="V444" s="241"/>
      <c r="W444" s="241"/>
      <c r="X444" s="241"/>
      <c r="Y444" s="241"/>
      <c r="Z444" s="241"/>
    </row>
    <row r="445" spans="16:26">
      <c r="P445" s="242"/>
      <c r="Q445" s="242"/>
      <c r="R445" s="242"/>
      <c r="S445" s="242"/>
      <c r="T445" s="242"/>
      <c r="U445" s="242"/>
      <c r="V445" s="242"/>
      <c r="W445" s="242"/>
      <c r="X445" s="242"/>
      <c r="Y445" s="242"/>
      <c r="Z445" s="242"/>
    </row>
    <row r="446" spans="16:26">
      <c r="P446" s="242"/>
      <c r="Q446" s="242"/>
      <c r="R446" s="242"/>
      <c r="S446" s="242"/>
      <c r="T446" s="242"/>
      <c r="U446" s="242"/>
      <c r="V446" s="242"/>
      <c r="W446" s="242"/>
      <c r="X446" s="242"/>
      <c r="Y446" s="242"/>
      <c r="Z446" s="242"/>
    </row>
    <row r="447" spans="16:26">
      <c r="P447" s="241"/>
      <c r="Q447" s="241"/>
      <c r="R447" s="241"/>
      <c r="S447" s="241"/>
      <c r="T447" s="241"/>
      <c r="U447" s="241"/>
      <c r="V447" s="241"/>
      <c r="W447" s="241"/>
      <c r="X447" s="241"/>
      <c r="Y447" s="241"/>
      <c r="Z447" s="241"/>
    </row>
    <row r="448" spans="16:26">
      <c r="P448" s="242"/>
      <c r="Q448" s="242"/>
      <c r="R448" s="242"/>
      <c r="S448" s="242"/>
      <c r="T448" s="242"/>
      <c r="U448" s="242"/>
      <c r="V448" s="242"/>
      <c r="W448" s="242"/>
      <c r="X448" s="242"/>
      <c r="Y448" s="242"/>
      <c r="Z448" s="242"/>
    </row>
    <row r="449" spans="16:26">
      <c r="P449" s="242"/>
      <c r="Q449" s="242"/>
      <c r="R449" s="242"/>
      <c r="S449" s="242"/>
      <c r="T449" s="242"/>
      <c r="U449" s="242"/>
      <c r="V449" s="242"/>
      <c r="W449" s="242"/>
      <c r="X449" s="242"/>
      <c r="Y449" s="242"/>
      <c r="Z449" s="242"/>
    </row>
    <row r="450" spans="16:26">
      <c r="P450" s="241"/>
      <c r="Q450" s="241"/>
      <c r="R450" s="241"/>
      <c r="S450" s="241"/>
      <c r="T450" s="241"/>
      <c r="U450" s="241"/>
      <c r="V450" s="241"/>
      <c r="W450" s="241"/>
      <c r="X450" s="241"/>
      <c r="Y450" s="241"/>
      <c r="Z450" s="241"/>
    </row>
    <row r="451" spans="16:26">
      <c r="P451" s="242"/>
      <c r="Q451" s="242"/>
      <c r="R451" s="242"/>
      <c r="S451" s="242"/>
      <c r="T451" s="242"/>
      <c r="U451" s="242"/>
      <c r="V451" s="242"/>
      <c r="W451" s="242"/>
      <c r="X451" s="242"/>
      <c r="Y451" s="242"/>
      <c r="Z451" s="242"/>
    </row>
    <row r="452" spans="16:26">
      <c r="P452" s="242"/>
      <c r="Q452" s="242"/>
      <c r="R452" s="242"/>
      <c r="S452" s="242"/>
      <c r="T452" s="242"/>
      <c r="U452" s="242"/>
      <c r="V452" s="242"/>
      <c r="W452" s="242"/>
      <c r="X452" s="242"/>
      <c r="Y452" s="242"/>
      <c r="Z452" s="242"/>
    </row>
    <row r="453" spans="16:26">
      <c r="P453" s="241"/>
      <c r="Q453" s="241"/>
      <c r="R453" s="241"/>
      <c r="S453" s="241"/>
      <c r="T453" s="241"/>
      <c r="U453" s="241"/>
      <c r="V453" s="241"/>
      <c r="W453" s="241"/>
      <c r="X453" s="241"/>
      <c r="Y453" s="241"/>
      <c r="Z453" s="241"/>
    </row>
    <row r="454" spans="16:26">
      <c r="P454" s="242"/>
      <c r="Q454" s="242"/>
      <c r="R454" s="242"/>
      <c r="S454" s="242"/>
      <c r="T454" s="242"/>
      <c r="U454" s="242"/>
      <c r="V454" s="242"/>
      <c r="W454" s="242"/>
      <c r="X454" s="242"/>
      <c r="Y454" s="242"/>
      <c r="Z454" s="242"/>
    </row>
    <row r="455" spans="16:26">
      <c r="P455" s="242"/>
      <c r="Q455" s="242"/>
      <c r="R455" s="242"/>
      <c r="S455" s="242"/>
      <c r="T455" s="242"/>
      <c r="U455" s="242"/>
      <c r="V455" s="242"/>
      <c r="W455" s="242"/>
      <c r="X455" s="242"/>
      <c r="Y455" s="242"/>
      <c r="Z455" s="242"/>
    </row>
    <row r="456" spans="16:26">
      <c r="P456" s="241"/>
      <c r="Q456" s="241"/>
      <c r="R456" s="241"/>
      <c r="S456" s="241"/>
      <c r="T456" s="241"/>
      <c r="U456" s="241"/>
      <c r="V456" s="241"/>
      <c r="W456" s="241"/>
      <c r="X456" s="241"/>
      <c r="Y456" s="241"/>
      <c r="Z456" s="241"/>
    </row>
    <row r="457" spans="16:26">
      <c r="P457" s="242"/>
      <c r="Q457" s="242"/>
      <c r="R457" s="242"/>
      <c r="S457" s="242"/>
      <c r="T457" s="242"/>
      <c r="U457" s="242"/>
      <c r="V457" s="242"/>
      <c r="W457" s="242"/>
      <c r="X457" s="242"/>
      <c r="Y457" s="242"/>
      <c r="Z457" s="242"/>
    </row>
    <row r="458" spans="16:26">
      <c r="P458" s="242"/>
      <c r="Q458" s="242"/>
      <c r="R458" s="242"/>
      <c r="S458" s="242"/>
      <c r="T458" s="242"/>
      <c r="U458" s="242"/>
      <c r="V458" s="242"/>
      <c r="W458" s="242"/>
      <c r="X458" s="242"/>
      <c r="Y458" s="242"/>
      <c r="Z458" s="242"/>
    </row>
    <row r="459" spans="16:26">
      <c r="P459" s="241"/>
      <c r="Q459" s="241"/>
      <c r="R459" s="241"/>
      <c r="S459" s="241"/>
      <c r="T459" s="241"/>
      <c r="U459" s="241"/>
      <c r="V459" s="241"/>
      <c r="W459" s="241"/>
      <c r="X459" s="241"/>
      <c r="Y459" s="241"/>
      <c r="Z459" s="241"/>
    </row>
    <row r="460" spans="16:26">
      <c r="P460" s="242"/>
      <c r="Q460" s="242"/>
      <c r="R460" s="242"/>
      <c r="S460" s="242"/>
      <c r="T460" s="242"/>
      <c r="U460" s="242"/>
      <c r="V460" s="242"/>
      <c r="W460" s="242"/>
      <c r="X460" s="242"/>
      <c r="Y460" s="242"/>
      <c r="Z460" s="242"/>
    </row>
    <row r="461" spans="16:26">
      <c r="P461" s="242"/>
      <c r="Q461" s="242"/>
      <c r="R461" s="242"/>
      <c r="S461" s="242"/>
      <c r="T461" s="242"/>
      <c r="U461" s="242"/>
      <c r="V461" s="242"/>
      <c r="W461" s="242"/>
      <c r="X461" s="242"/>
      <c r="Y461" s="242"/>
      <c r="Z461" s="242"/>
    </row>
    <row r="462" spans="16:26">
      <c r="P462" s="241"/>
      <c r="Q462" s="241"/>
      <c r="R462" s="241"/>
      <c r="S462" s="241"/>
      <c r="T462" s="241"/>
      <c r="U462" s="241"/>
      <c r="V462" s="241"/>
      <c r="W462" s="241"/>
      <c r="X462" s="241"/>
      <c r="Y462" s="241"/>
      <c r="Z462" s="241"/>
    </row>
    <row r="463" spans="16:26">
      <c r="P463" s="242"/>
      <c r="Q463" s="242"/>
      <c r="R463" s="242"/>
      <c r="S463" s="242"/>
      <c r="T463" s="242"/>
      <c r="U463" s="242"/>
      <c r="V463" s="242"/>
      <c r="W463" s="242"/>
      <c r="X463" s="242"/>
      <c r="Y463" s="242"/>
      <c r="Z463" s="242"/>
    </row>
    <row r="464" spans="16:26">
      <c r="P464" s="242"/>
      <c r="Q464" s="242"/>
      <c r="R464" s="242"/>
      <c r="S464" s="242"/>
      <c r="T464" s="242"/>
      <c r="U464" s="242"/>
      <c r="V464" s="242"/>
      <c r="W464" s="242"/>
      <c r="X464" s="242"/>
      <c r="Y464" s="242"/>
      <c r="Z464" s="242"/>
    </row>
    <row r="465" spans="16:26">
      <c r="P465" s="241"/>
      <c r="Q465" s="241"/>
      <c r="R465" s="241"/>
      <c r="S465" s="241"/>
      <c r="T465" s="241"/>
      <c r="U465" s="241"/>
      <c r="V465" s="241"/>
      <c r="W465" s="241"/>
      <c r="X465" s="241"/>
      <c r="Y465" s="241"/>
      <c r="Z465" s="241"/>
    </row>
    <row r="466" spans="16:26">
      <c r="P466" s="242"/>
      <c r="Q466" s="242"/>
      <c r="R466" s="242"/>
      <c r="S466" s="242"/>
      <c r="T466" s="242"/>
      <c r="U466" s="242"/>
      <c r="V466" s="242"/>
      <c r="W466" s="242"/>
      <c r="X466" s="242"/>
      <c r="Y466" s="242"/>
      <c r="Z466" s="242"/>
    </row>
    <row r="467" spans="16:26">
      <c r="P467" s="242"/>
      <c r="Q467" s="242"/>
      <c r="R467" s="242"/>
      <c r="S467" s="242"/>
      <c r="T467" s="242"/>
      <c r="U467" s="242"/>
      <c r="V467" s="242"/>
      <c r="W467" s="242"/>
      <c r="X467" s="242"/>
      <c r="Y467" s="242"/>
      <c r="Z467" s="242"/>
    </row>
    <row r="468" spans="16:26">
      <c r="P468" s="241"/>
      <c r="Q468" s="241"/>
      <c r="R468" s="241"/>
      <c r="S468" s="241"/>
      <c r="T468" s="241"/>
      <c r="U468" s="241"/>
      <c r="V468" s="241"/>
      <c r="W468" s="241"/>
      <c r="X468" s="241"/>
      <c r="Y468" s="241"/>
      <c r="Z468" s="241"/>
    </row>
    <row r="469" spans="16:26">
      <c r="P469" s="242"/>
      <c r="Q469" s="242"/>
      <c r="R469" s="242"/>
      <c r="S469" s="242"/>
      <c r="T469" s="242"/>
      <c r="U469" s="242"/>
      <c r="V469" s="242"/>
      <c r="W469" s="242"/>
      <c r="X469" s="242"/>
      <c r="Y469" s="242"/>
      <c r="Z469" s="242"/>
    </row>
    <row r="470" spans="16:26">
      <c r="P470" s="242"/>
      <c r="Q470" s="242"/>
      <c r="R470" s="242"/>
      <c r="S470" s="242"/>
      <c r="T470" s="242"/>
      <c r="U470" s="242"/>
      <c r="V470" s="242"/>
      <c r="W470" s="242"/>
      <c r="X470" s="242"/>
      <c r="Y470" s="242"/>
      <c r="Z470" s="242"/>
    </row>
    <row r="471" spans="16:26">
      <c r="P471" s="241"/>
      <c r="Q471" s="241"/>
      <c r="R471" s="241"/>
      <c r="S471" s="241"/>
      <c r="T471" s="241"/>
      <c r="U471" s="241"/>
      <c r="V471" s="241"/>
      <c r="W471" s="241"/>
      <c r="X471" s="241"/>
      <c r="Y471" s="241"/>
      <c r="Z471" s="241"/>
    </row>
    <row r="472" spans="16:26">
      <c r="P472" s="242"/>
      <c r="Q472" s="242"/>
      <c r="R472" s="242"/>
      <c r="S472" s="242"/>
      <c r="T472" s="242"/>
      <c r="U472" s="242"/>
      <c r="V472" s="242"/>
      <c r="W472" s="242"/>
      <c r="X472" s="242"/>
      <c r="Y472" s="242"/>
      <c r="Z472" s="242"/>
    </row>
    <row r="473" spans="16:26">
      <c r="P473" s="242"/>
      <c r="Q473" s="242"/>
      <c r="R473" s="242"/>
      <c r="S473" s="242"/>
      <c r="T473" s="242"/>
      <c r="U473" s="242"/>
      <c r="V473" s="242"/>
      <c r="W473" s="242"/>
      <c r="X473" s="242"/>
      <c r="Y473" s="242"/>
      <c r="Z473" s="242"/>
    </row>
    <row r="474" spans="16:26">
      <c r="P474" s="241"/>
      <c r="Q474" s="241"/>
      <c r="R474" s="241"/>
      <c r="S474" s="241"/>
      <c r="T474" s="241"/>
      <c r="U474" s="241"/>
      <c r="V474" s="241"/>
      <c r="W474" s="241"/>
      <c r="X474" s="241"/>
      <c r="Y474" s="241"/>
      <c r="Z474" s="241"/>
    </row>
    <row r="475" spans="16:26">
      <c r="P475" s="242"/>
      <c r="Q475" s="242"/>
      <c r="R475" s="242"/>
      <c r="S475" s="242"/>
      <c r="T475" s="242"/>
      <c r="U475" s="242"/>
      <c r="V475" s="242"/>
      <c r="W475" s="242"/>
      <c r="X475" s="242"/>
      <c r="Y475" s="242"/>
      <c r="Z475" s="242"/>
    </row>
    <row r="476" spans="16:26">
      <c r="P476" s="242"/>
      <c r="Q476" s="242"/>
      <c r="R476" s="242"/>
      <c r="S476" s="242"/>
      <c r="T476" s="242"/>
      <c r="U476" s="242"/>
      <c r="V476" s="242"/>
      <c r="W476" s="242"/>
      <c r="X476" s="242"/>
      <c r="Y476" s="242"/>
      <c r="Z476" s="242"/>
    </row>
    <row r="477" spans="16:26">
      <c r="P477" s="241"/>
      <c r="Q477" s="241"/>
      <c r="R477" s="241"/>
      <c r="S477" s="241"/>
      <c r="T477" s="241"/>
      <c r="U477" s="241"/>
      <c r="V477" s="241"/>
      <c r="W477" s="241"/>
      <c r="X477" s="241"/>
      <c r="Y477" s="241"/>
      <c r="Z477" s="241"/>
    </row>
    <row r="478" spans="16:26">
      <c r="P478" s="242"/>
      <c r="Q478" s="242"/>
      <c r="R478" s="242"/>
      <c r="S478" s="242"/>
      <c r="T478" s="242"/>
      <c r="U478" s="242"/>
      <c r="V478" s="242"/>
      <c r="W478" s="242"/>
      <c r="X478" s="242"/>
      <c r="Y478" s="242"/>
      <c r="Z478" s="242"/>
    </row>
    <row r="479" spans="16:26">
      <c r="P479" s="242"/>
      <c r="Q479" s="242"/>
      <c r="R479" s="242"/>
      <c r="S479" s="242"/>
      <c r="T479" s="242"/>
      <c r="U479" s="242"/>
      <c r="V479" s="242"/>
      <c r="W479" s="242"/>
      <c r="X479" s="242"/>
      <c r="Y479" s="242"/>
      <c r="Z479" s="242"/>
    </row>
    <row r="480" spans="16:26">
      <c r="P480" s="241"/>
      <c r="Q480" s="241"/>
      <c r="R480" s="241"/>
      <c r="S480" s="241"/>
      <c r="T480" s="241"/>
      <c r="U480" s="241"/>
      <c r="V480" s="241"/>
      <c r="W480" s="241"/>
      <c r="X480" s="241"/>
      <c r="Y480" s="241"/>
      <c r="Z480" s="241"/>
    </row>
    <row r="481" spans="16:26">
      <c r="P481" s="242"/>
      <c r="Q481" s="242"/>
      <c r="R481" s="242"/>
      <c r="S481" s="242"/>
      <c r="T481" s="242"/>
      <c r="U481" s="242"/>
      <c r="V481" s="242"/>
      <c r="W481" s="242"/>
      <c r="X481" s="242"/>
      <c r="Y481" s="242"/>
      <c r="Z481" s="242"/>
    </row>
    <row r="482" spans="16:26">
      <c r="P482" s="242"/>
      <c r="Q482" s="242"/>
      <c r="R482" s="242"/>
      <c r="S482" s="242"/>
      <c r="T482" s="242"/>
      <c r="U482" s="242"/>
      <c r="V482" s="242"/>
      <c r="W482" s="242"/>
      <c r="X482" s="242"/>
      <c r="Y482" s="242"/>
      <c r="Z482" s="242"/>
    </row>
    <row r="483" spans="16:26">
      <c r="P483" s="241"/>
      <c r="Q483" s="241"/>
      <c r="R483" s="241"/>
      <c r="S483" s="241"/>
      <c r="T483" s="241"/>
      <c r="U483" s="241"/>
      <c r="V483" s="241"/>
      <c r="W483" s="241"/>
      <c r="X483" s="241"/>
      <c r="Y483" s="241"/>
      <c r="Z483" s="241"/>
    </row>
    <row r="484" spans="16:26">
      <c r="P484" s="242"/>
      <c r="Q484" s="242"/>
      <c r="R484" s="242"/>
      <c r="S484" s="242"/>
      <c r="T484" s="242"/>
      <c r="U484" s="242"/>
      <c r="V484" s="242"/>
      <c r="W484" s="242"/>
      <c r="X484" s="242"/>
      <c r="Y484" s="242"/>
      <c r="Z484" s="242"/>
    </row>
    <row r="485" spans="16:26">
      <c r="P485" s="242"/>
      <c r="Q485" s="242"/>
      <c r="R485" s="242"/>
      <c r="S485" s="242"/>
      <c r="T485" s="242"/>
      <c r="U485" s="242"/>
      <c r="V485" s="242"/>
      <c r="W485" s="242"/>
      <c r="X485" s="242"/>
      <c r="Y485" s="242"/>
      <c r="Z485" s="242"/>
    </row>
    <row r="486" spans="16:26">
      <c r="P486" s="241"/>
      <c r="Q486" s="241"/>
      <c r="R486" s="241"/>
      <c r="S486" s="241"/>
      <c r="T486" s="241"/>
      <c r="U486" s="241"/>
      <c r="V486" s="241"/>
      <c r="W486" s="241"/>
      <c r="X486" s="241"/>
      <c r="Y486" s="241"/>
      <c r="Z486" s="241"/>
    </row>
    <row r="487" spans="16:26">
      <c r="P487" s="242"/>
      <c r="Q487" s="242"/>
      <c r="R487" s="242"/>
      <c r="S487" s="242"/>
      <c r="T487" s="242"/>
      <c r="U487" s="242"/>
      <c r="V487" s="242"/>
      <c r="W487" s="242"/>
      <c r="X487" s="242"/>
      <c r="Y487" s="242"/>
      <c r="Z487" s="242"/>
    </row>
    <row r="488" spans="16:26">
      <c r="P488" s="242"/>
      <c r="Q488" s="242"/>
      <c r="R488" s="242"/>
      <c r="S488" s="242"/>
      <c r="T488" s="242"/>
      <c r="U488" s="242"/>
      <c r="V488" s="242"/>
      <c r="W488" s="242"/>
      <c r="X488" s="242"/>
      <c r="Y488" s="242"/>
      <c r="Z488" s="242"/>
    </row>
    <row r="489" spans="16:26">
      <c r="P489" s="241"/>
      <c r="Q489" s="241"/>
      <c r="R489" s="241"/>
      <c r="S489" s="241"/>
      <c r="T489" s="241"/>
      <c r="U489" s="241"/>
      <c r="V489" s="241"/>
      <c r="W489" s="241"/>
      <c r="X489" s="241"/>
      <c r="Y489" s="241"/>
      <c r="Z489" s="241"/>
    </row>
    <row r="490" spans="16:26">
      <c r="P490" s="242"/>
      <c r="Q490" s="242"/>
      <c r="R490" s="242"/>
      <c r="S490" s="242"/>
      <c r="T490" s="242"/>
      <c r="U490" s="242"/>
      <c r="V490" s="242"/>
      <c r="W490" s="242"/>
      <c r="X490" s="242"/>
      <c r="Y490" s="242"/>
      <c r="Z490" s="242"/>
    </row>
    <row r="491" spans="16:26">
      <c r="P491" s="242"/>
      <c r="Q491" s="242"/>
      <c r="R491" s="242"/>
      <c r="S491" s="242"/>
      <c r="T491" s="242"/>
      <c r="U491" s="242"/>
      <c r="V491" s="242"/>
      <c r="W491" s="242"/>
      <c r="X491" s="242"/>
      <c r="Y491" s="242"/>
      <c r="Z491" s="242"/>
    </row>
    <row r="492" spans="16:26">
      <c r="P492" s="241"/>
      <c r="Q492" s="241"/>
      <c r="R492" s="241"/>
      <c r="S492" s="241"/>
      <c r="T492" s="241"/>
      <c r="U492" s="241"/>
      <c r="V492" s="241"/>
      <c r="W492" s="241"/>
      <c r="X492" s="241"/>
      <c r="Y492" s="241"/>
      <c r="Z492" s="241"/>
    </row>
    <row r="493" spans="16:26">
      <c r="P493" s="242"/>
      <c r="Q493" s="242"/>
      <c r="R493" s="242"/>
      <c r="S493" s="242"/>
      <c r="T493" s="242"/>
      <c r="U493" s="242"/>
      <c r="V493" s="242"/>
      <c r="W493" s="242"/>
      <c r="X493" s="242"/>
      <c r="Y493" s="242"/>
      <c r="Z493" s="242"/>
    </row>
    <row r="494" spans="16:26">
      <c r="P494" s="242"/>
      <c r="Q494" s="242"/>
      <c r="R494" s="242"/>
      <c r="S494" s="242"/>
      <c r="T494" s="242"/>
      <c r="U494" s="242"/>
      <c r="V494" s="242"/>
      <c r="W494" s="242"/>
      <c r="X494" s="242"/>
      <c r="Y494" s="242"/>
      <c r="Z494" s="242"/>
    </row>
    <row r="495" spans="16:26">
      <c r="P495" s="241"/>
      <c r="Q495" s="241"/>
      <c r="R495" s="241"/>
      <c r="S495" s="241"/>
      <c r="T495" s="241"/>
      <c r="U495" s="241"/>
      <c r="V495" s="241"/>
      <c r="W495" s="241"/>
      <c r="X495" s="241"/>
      <c r="Y495" s="241"/>
      <c r="Z495" s="241"/>
    </row>
    <row r="496" spans="16:26">
      <c r="P496" s="242"/>
      <c r="Q496" s="242"/>
      <c r="R496" s="242"/>
      <c r="S496" s="242"/>
      <c r="T496" s="242"/>
      <c r="U496" s="242"/>
      <c r="V496" s="242"/>
      <c r="W496" s="242"/>
      <c r="X496" s="242"/>
      <c r="Y496" s="242"/>
      <c r="Z496" s="242"/>
    </row>
    <row r="497" spans="16:26">
      <c r="P497" s="242"/>
      <c r="Q497" s="242"/>
      <c r="R497" s="242"/>
      <c r="S497" s="242"/>
      <c r="T497" s="242"/>
      <c r="U497" s="242"/>
      <c r="V497" s="242"/>
      <c r="W497" s="242"/>
      <c r="X497" s="242"/>
      <c r="Y497" s="242"/>
      <c r="Z497" s="242"/>
    </row>
    <row r="498" spans="16:26">
      <c r="P498" s="241"/>
      <c r="Q498" s="241"/>
      <c r="R498" s="241"/>
      <c r="S498" s="241"/>
      <c r="T498" s="241"/>
      <c r="U498" s="241"/>
      <c r="V498" s="241"/>
      <c r="W498" s="241"/>
      <c r="X498" s="241"/>
      <c r="Y498" s="241"/>
      <c r="Z498" s="241"/>
    </row>
    <row r="499" spans="16:26">
      <c r="P499" s="242"/>
      <c r="Q499" s="242"/>
      <c r="R499" s="242"/>
      <c r="S499" s="242"/>
      <c r="T499" s="242"/>
      <c r="U499" s="242"/>
      <c r="V499" s="242"/>
      <c r="W499" s="242"/>
      <c r="X499" s="242"/>
      <c r="Y499" s="242"/>
      <c r="Z499" s="242"/>
    </row>
    <row r="500" spans="16:26">
      <c r="P500" s="242"/>
      <c r="Q500" s="242"/>
      <c r="R500" s="242"/>
      <c r="S500" s="242"/>
      <c r="T500" s="242"/>
      <c r="U500" s="242"/>
      <c r="V500" s="242"/>
      <c r="W500" s="242"/>
      <c r="X500" s="242"/>
      <c r="Y500" s="242"/>
      <c r="Z500" s="242"/>
    </row>
    <row r="501" spans="16:26">
      <c r="P501" s="241"/>
      <c r="Q501" s="241"/>
      <c r="R501" s="241"/>
      <c r="S501" s="241"/>
      <c r="T501" s="241"/>
      <c r="U501" s="241"/>
      <c r="V501" s="241"/>
      <c r="W501" s="241"/>
      <c r="X501" s="241"/>
      <c r="Y501" s="241"/>
      <c r="Z501" s="241"/>
    </row>
    <row r="502" spans="16:26">
      <c r="P502" s="242"/>
      <c r="Q502" s="242"/>
      <c r="R502" s="242"/>
      <c r="S502" s="242"/>
      <c r="T502" s="242"/>
      <c r="U502" s="242"/>
      <c r="V502" s="242"/>
      <c r="W502" s="242"/>
      <c r="X502" s="242"/>
      <c r="Y502" s="242"/>
      <c r="Z502" s="242"/>
    </row>
    <row r="503" spans="16:26">
      <c r="P503" s="242"/>
      <c r="Q503" s="242"/>
      <c r="R503" s="242"/>
      <c r="S503" s="242"/>
      <c r="T503" s="242"/>
      <c r="U503" s="242"/>
      <c r="V503" s="242"/>
      <c r="W503" s="242"/>
      <c r="X503" s="242"/>
      <c r="Y503" s="242"/>
      <c r="Z503" s="242"/>
    </row>
    <row r="504" spans="16:26">
      <c r="P504" s="241"/>
      <c r="Q504" s="241"/>
      <c r="R504" s="241"/>
      <c r="S504" s="241"/>
      <c r="T504" s="241"/>
      <c r="U504" s="241"/>
      <c r="V504" s="241"/>
      <c r="W504" s="241"/>
      <c r="X504" s="241"/>
      <c r="Y504" s="241"/>
      <c r="Z504" s="241"/>
    </row>
    <row r="505" spans="16:26">
      <c r="P505" s="242"/>
      <c r="Q505" s="242"/>
      <c r="R505" s="242"/>
      <c r="S505" s="242"/>
      <c r="T505" s="242"/>
      <c r="U505" s="242"/>
      <c r="V505" s="242"/>
      <c r="W505" s="242"/>
      <c r="X505" s="242"/>
      <c r="Y505" s="242"/>
      <c r="Z505" s="242"/>
    </row>
    <row r="506" spans="16:26">
      <c r="P506" s="242"/>
      <c r="Q506" s="242"/>
      <c r="R506" s="242"/>
      <c r="S506" s="242"/>
      <c r="T506" s="242"/>
      <c r="U506" s="242"/>
      <c r="V506" s="242"/>
      <c r="W506" s="242"/>
      <c r="X506" s="242"/>
      <c r="Y506" s="242"/>
      <c r="Z506" s="242"/>
    </row>
    <row r="507" spans="16:26">
      <c r="P507" s="241"/>
      <c r="Q507" s="241"/>
      <c r="R507" s="241"/>
      <c r="S507" s="241"/>
      <c r="T507" s="241"/>
      <c r="U507" s="241"/>
      <c r="V507" s="241"/>
      <c r="W507" s="241"/>
      <c r="X507" s="241"/>
      <c r="Y507" s="241"/>
      <c r="Z507" s="241"/>
    </row>
    <row r="508" spans="16:26">
      <c r="P508" s="242"/>
      <c r="Q508" s="242"/>
      <c r="R508" s="242"/>
      <c r="S508" s="242"/>
      <c r="T508" s="242"/>
      <c r="U508" s="242"/>
      <c r="V508" s="242"/>
      <c r="W508" s="242"/>
      <c r="X508" s="242"/>
      <c r="Y508" s="242"/>
      <c r="Z508" s="242"/>
    </row>
    <row r="509" spans="16:26">
      <c r="P509" s="242"/>
      <c r="Q509" s="242"/>
      <c r="R509" s="242"/>
      <c r="S509" s="242"/>
      <c r="T509" s="242"/>
      <c r="U509" s="242"/>
      <c r="V509" s="242"/>
      <c r="W509" s="242"/>
      <c r="X509" s="242"/>
      <c r="Y509" s="242"/>
      <c r="Z509" s="242"/>
    </row>
    <row r="510" spans="16:26">
      <c r="P510" s="241"/>
      <c r="Q510" s="241"/>
      <c r="R510" s="241"/>
      <c r="S510" s="241"/>
      <c r="T510" s="241"/>
      <c r="U510" s="241"/>
      <c r="V510" s="241"/>
      <c r="W510" s="241"/>
      <c r="X510" s="241"/>
      <c r="Y510" s="241"/>
      <c r="Z510" s="241"/>
    </row>
    <row r="511" spans="16:26">
      <c r="P511" s="242"/>
      <c r="Q511" s="242"/>
      <c r="R511" s="242"/>
      <c r="S511" s="242"/>
      <c r="T511" s="242"/>
      <c r="U511" s="242"/>
      <c r="V511" s="242"/>
      <c r="W511" s="242"/>
      <c r="X511" s="242"/>
      <c r="Y511" s="242"/>
      <c r="Z511" s="242"/>
    </row>
    <row r="512" spans="16:26">
      <c r="P512" s="242"/>
      <c r="Q512" s="242"/>
      <c r="R512" s="242"/>
      <c r="S512" s="242"/>
      <c r="T512" s="242"/>
      <c r="U512" s="242"/>
      <c r="V512" s="242"/>
      <c r="W512" s="242"/>
      <c r="X512" s="242"/>
      <c r="Y512" s="242"/>
      <c r="Z512" s="242"/>
    </row>
    <row r="513" spans="16:26">
      <c r="P513" s="241"/>
      <c r="Q513" s="241"/>
      <c r="R513" s="241"/>
      <c r="S513" s="241"/>
      <c r="T513" s="241"/>
      <c r="U513" s="241"/>
      <c r="V513" s="241"/>
      <c r="W513" s="241"/>
      <c r="X513" s="241"/>
      <c r="Y513" s="241"/>
      <c r="Z513" s="241"/>
    </row>
    <row r="514" spans="16:26">
      <c r="P514" s="242"/>
      <c r="Q514" s="242"/>
      <c r="R514" s="242"/>
      <c r="S514" s="242"/>
      <c r="T514" s="242"/>
      <c r="U514" s="242"/>
      <c r="V514" s="242"/>
      <c r="W514" s="242"/>
      <c r="X514" s="242"/>
      <c r="Y514" s="242"/>
      <c r="Z514" s="242"/>
    </row>
    <row r="515" spans="16:26">
      <c r="P515" s="242"/>
      <c r="Q515" s="242"/>
      <c r="R515" s="242"/>
      <c r="S515" s="242"/>
      <c r="T515" s="242"/>
      <c r="U515" s="242"/>
      <c r="V515" s="242"/>
      <c r="W515" s="242"/>
      <c r="X515" s="242"/>
      <c r="Y515" s="242"/>
      <c r="Z515" s="242"/>
    </row>
    <row r="516" spans="16:26">
      <c r="P516" s="241"/>
      <c r="Q516" s="241"/>
      <c r="R516" s="241"/>
      <c r="S516" s="241"/>
      <c r="T516" s="241"/>
      <c r="U516" s="241"/>
      <c r="V516" s="241"/>
      <c r="W516" s="241"/>
      <c r="X516" s="241"/>
      <c r="Y516" s="241"/>
      <c r="Z516" s="241"/>
    </row>
    <row r="517" spans="16:26">
      <c r="P517" s="242"/>
      <c r="Q517" s="242"/>
      <c r="R517" s="242"/>
      <c r="S517" s="242"/>
      <c r="T517" s="242"/>
      <c r="U517" s="242"/>
      <c r="V517" s="242"/>
      <c r="W517" s="242"/>
      <c r="X517" s="242"/>
      <c r="Y517" s="242"/>
      <c r="Z517" s="242"/>
    </row>
    <row r="518" spans="16:26">
      <c r="P518" s="242"/>
      <c r="Q518" s="242"/>
      <c r="R518" s="242"/>
      <c r="S518" s="242"/>
      <c r="T518" s="242"/>
      <c r="U518" s="242"/>
      <c r="V518" s="242"/>
      <c r="W518" s="242"/>
      <c r="X518" s="242"/>
      <c r="Y518" s="242"/>
      <c r="Z518" s="242"/>
    </row>
    <row r="519" spans="16:26">
      <c r="P519" s="241"/>
      <c r="Q519" s="241"/>
      <c r="R519" s="241"/>
      <c r="S519" s="241"/>
      <c r="T519" s="241"/>
      <c r="U519" s="241"/>
      <c r="V519" s="241"/>
      <c r="W519" s="241"/>
      <c r="X519" s="241"/>
      <c r="Y519" s="241"/>
      <c r="Z519" s="241"/>
    </row>
    <row r="520" spans="16:26">
      <c r="P520" s="242"/>
      <c r="Q520" s="242"/>
      <c r="R520" s="242"/>
      <c r="S520" s="242"/>
      <c r="T520" s="242"/>
      <c r="U520" s="242"/>
      <c r="V520" s="242"/>
      <c r="W520" s="242"/>
      <c r="X520" s="242"/>
      <c r="Y520" s="242"/>
      <c r="Z520" s="242"/>
    </row>
    <row r="521" spans="16:26">
      <c r="P521" s="242"/>
      <c r="Q521" s="242"/>
      <c r="R521" s="242"/>
      <c r="S521" s="242"/>
      <c r="T521" s="242"/>
      <c r="U521" s="242"/>
      <c r="V521" s="242"/>
      <c r="W521" s="242"/>
      <c r="X521" s="242"/>
      <c r="Y521" s="242"/>
      <c r="Z521" s="242"/>
    </row>
    <row r="522" spans="16:26">
      <c r="P522" s="241"/>
      <c r="Q522" s="241"/>
      <c r="R522" s="241"/>
      <c r="S522" s="241"/>
      <c r="T522" s="241"/>
      <c r="U522" s="241"/>
      <c r="V522" s="241"/>
      <c r="W522" s="241"/>
      <c r="X522" s="241"/>
      <c r="Y522" s="241"/>
      <c r="Z522" s="241"/>
    </row>
    <row r="523" spans="16:26">
      <c r="P523" s="242"/>
      <c r="Q523" s="242"/>
      <c r="R523" s="242"/>
      <c r="S523" s="242"/>
      <c r="T523" s="242"/>
      <c r="U523" s="242"/>
      <c r="V523" s="242"/>
      <c r="W523" s="242"/>
      <c r="X523" s="242"/>
      <c r="Y523" s="242"/>
      <c r="Z523" s="242"/>
    </row>
    <row r="524" spans="16:26">
      <c r="P524" s="242"/>
      <c r="Q524" s="242"/>
      <c r="R524" s="242"/>
      <c r="S524" s="242"/>
      <c r="T524" s="242"/>
      <c r="U524" s="242"/>
      <c r="V524" s="242"/>
      <c r="W524" s="242"/>
      <c r="X524" s="242"/>
      <c r="Y524" s="242"/>
      <c r="Z524" s="242"/>
    </row>
    <row r="525" spans="16:26">
      <c r="P525" s="241"/>
      <c r="Q525" s="241"/>
      <c r="R525" s="241"/>
      <c r="S525" s="241"/>
      <c r="T525" s="241"/>
      <c r="U525" s="241"/>
      <c r="V525" s="241"/>
      <c r="W525" s="241"/>
      <c r="X525" s="241"/>
      <c r="Y525" s="241"/>
      <c r="Z525" s="241"/>
    </row>
    <row r="526" spans="16:26">
      <c r="P526" s="242"/>
      <c r="Q526" s="242"/>
      <c r="R526" s="242"/>
      <c r="S526" s="242"/>
      <c r="T526" s="242"/>
      <c r="U526" s="242"/>
      <c r="V526" s="242"/>
      <c r="W526" s="242"/>
      <c r="X526" s="242"/>
      <c r="Y526" s="242"/>
      <c r="Z526" s="242"/>
    </row>
    <row r="527" spans="16:26">
      <c r="P527" s="242"/>
      <c r="Q527" s="242"/>
      <c r="R527" s="242"/>
      <c r="S527" s="242"/>
      <c r="T527" s="242"/>
      <c r="U527" s="242"/>
      <c r="V527" s="242"/>
      <c r="W527" s="242"/>
      <c r="X527" s="242"/>
      <c r="Y527" s="242"/>
      <c r="Z527" s="242"/>
    </row>
    <row r="528" spans="16:26">
      <c r="P528" s="241"/>
      <c r="Q528" s="241"/>
      <c r="R528" s="241"/>
      <c r="S528" s="241"/>
      <c r="T528" s="241"/>
      <c r="U528" s="241"/>
      <c r="V528" s="241"/>
      <c r="W528" s="241"/>
      <c r="X528" s="241"/>
      <c r="Y528" s="241"/>
      <c r="Z528" s="241"/>
    </row>
    <row r="529" spans="16:26">
      <c r="P529" s="242"/>
      <c r="Q529" s="242"/>
      <c r="R529" s="242"/>
      <c r="S529" s="242"/>
      <c r="T529" s="242"/>
      <c r="U529" s="242"/>
      <c r="V529" s="242"/>
      <c r="W529" s="242"/>
      <c r="X529" s="242"/>
      <c r="Y529" s="242"/>
      <c r="Z529" s="242"/>
    </row>
    <row r="530" spans="16:26">
      <c r="P530" s="242"/>
      <c r="Q530" s="242"/>
      <c r="R530" s="242"/>
      <c r="S530" s="242"/>
      <c r="T530" s="242"/>
      <c r="U530" s="242"/>
      <c r="V530" s="242"/>
      <c r="W530" s="242"/>
      <c r="X530" s="242"/>
      <c r="Y530" s="242"/>
      <c r="Z530" s="242"/>
    </row>
    <row r="531" spans="16:26">
      <c r="P531" s="241"/>
      <c r="Q531" s="241"/>
      <c r="R531" s="241"/>
      <c r="S531" s="241"/>
      <c r="T531" s="241"/>
      <c r="U531" s="241"/>
      <c r="V531" s="241"/>
      <c r="W531" s="241"/>
      <c r="X531" s="241"/>
      <c r="Y531" s="241"/>
      <c r="Z531" s="241"/>
    </row>
    <row r="532" spans="16:26">
      <c r="P532" s="242"/>
      <c r="Q532" s="242"/>
      <c r="R532" s="242"/>
      <c r="S532" s="242"/>
      <c r="T532" s="242"/>
      <c r="U532" s="242"/>
      <c r="V532" s="242"/>
      <c r="W532" s="242"/>
      <c r="X532" s="242"/>
      <c r="Y532" s="242"/>
      <c r="Z532" s="242"/>
    </row>
    <row r="533" spans="16:26">
      <c r="P533" s="242"/>
      <c r="Q533" s="242"/>
      <c r="R533" s="242"/>
      <c r="S533" s="242"/>
      <c r="T533" s="242"/>
      <c r="U533" s="242"/>
      <c r="V533" s="242"/>
      <c r="W533" s="242"/>
      <c r="X533" s="242"/>
      <c r="Y533" s="242"/>
      <c r="Z533" s="242"/>
    </row>
    <row r="534" spans="16:26">
      <c r="P534" s="241"/>
      <c r="Q534" s="241"/>
      <c r="R534" s="241"/>
      <c r="S534" s="241"/>
      <c r="T534" s="241"/>
      <c r="U534" s="241"/>
      <c r="V534" s="241"/>
      <c r="W534" s="241"/>
      <c r="X534" s="241"/>
      <c r="Y534" s="241"/>
      <c r="Z534" s="241"/>
    </row>
    <row r="535" spans="16:26">
      <c r="P535" s="242"/>
      <c r="Q535" s="242"/>
      <c r="R535" s="242"/>
      <c r="S535" s="242"/>
      <c r="T535" s="242"/>
      <c r="U535" s="242"/>
      <c r="V535" s="242"/>
      <c r="W535" s="242"/>
      <c r="X535" s="242"/>
      <c r="Y535" s="242"/>
      <c r="Z535" s="242"/>
    </row>
    <row r="536" spans="16:26">
      <c r="P536" s="242"/>
      <c r="Q536" s="242"/>
      <c r="R536" s="242"/>
      <c r="S536" s="242"/>
      <c r="T536" s="242"/>
      <c r="U536" s="242"/>
      <c r="V536" s="242"/>
      <c r="W536" s="242"/>
      <c r="X536" s="242"/>
      <c r="Y536" s="242"/>
      <c r="Z536" s="242"/>
    </row>
    <row r="537" spans="16:26">
      <c r="P537" s="241"/>
      <c r="Q537" s="241"/>
      <c r="R537" s="241"/>
      <c r="S537" s="241"/>
      <c r="T537" s="241"/>
      <c r="U537" s="241"/>
      <c r="V537" s="241"/>
      <c r="W537" s="241"/>
      <c r="X537" s="241"/>
      <c r="Y537" s="241"/>
      <c r="Z537" s="241"/>
    </row>
    <row r="538" spans="16:26">
      <c r="P538" s="242"/>
      <c r="Q538" s="242"/>
      <c r="R538" s="242"/>
      <c r="S538" s="242"/>
      <c r="T538" s="242"/>
      <c r="U538" s="242"/>
      <c r="V538" s="242"/>
      <c r="W538" s="242"/>
      <c r="X538" s="242"/>
      <c r="Y538" s="242"/>
      <c r="Z538" s="242"/>
    </row>
    <row r="539" spans="16:26">
      <c r="P539" s="242"/>
      <c r="Q539" s="242"/>
      <c r="R539" s="242"/>
      <c r="S539" s="242"/>
      <c r="T539" s="242"/>
      <c r="U539" s="242"/>
      <c r="V539" s="242"/>
      <c r="W539" s="242"/>
      <c r="X539" s="242"/>
      <c r="Y539" s="242"/>
      <c r="Z539" s="242"/>
    </row>
    <row r="540" spans="16:26">
      <c r="P540" s="241"/>
      <c r="Q540" s="241"/>
      <c r="R540" s="241"/>
      <c r="S540" s="241"/>
      <c r="T540" s="241"/>
      <c r="U540" s="241"/>
      <c r="V540" s="241"/>
      <c r="W540" s="241"/>
      <c r="X540" s="241"/>
      <c r="Y540" s="241"/>
      <c r="Z540" s="241"/>
    </row>
    <row r="541" spans="16:26">
      <c r="P541" s="242"/>
      <c r="Q541" s="242"/>
      <c r="R541" s="242"/>
      <c r="S541" s="242"/>
      <c r="T541" s="242"/>
      <c r="U541" s="242"/>
      <c r="V541" s="242"/>
      <c r="W541" s="242"/>
      <c r="X541" s="242"/>
      <c r="Y541" s="242"/>
      <c r="Z541" s="242"/>
    </row>
    <row r="542" spans="16:26">
      <c r="P542" s="242"/>
      <c r="Q542" s="242"/>
      <c r="R542" s="242"/>
      <c r="S542" s="242"/>
      <c r="T542" s="242"/>
      <c r="U542" s="242"/>
      <c r="V542" s="242"/>
      <c r="W542" s="242"/>
      <c r="X542" s="242"/>
      <c r="Y542" s="242"/>
      <c r="Z542" s="242"/>
    </row>
    <row r="543" spans="16:26">
      <c r="P543" s="241"/>
      <c r="Q543" s="241"/>
      <c r="R543" s="241"/>
      <c r="S543" s="241"/>
      <c r="T543" s="241"/>
      <c r="U543" s="241"/>
      <c r="V543" s="241"/>
      <c r="W543" s="241"/>
      <c r="X543" s="241"/>
      <c r="Y543" s="241"/>
      <c r="Z543" s="241"/>
    </row>
    <row r="544" spans="16:26">
      <c r="P544" s="242"/>
      <c r="Q544" s="242"/>
      <c r="R544" s="242"/>
      <c r="S544" s="242"/>
      <c r="T544" s="242"/>
      <c r="U544" s="242"/>
      <c r="V544" s="242"/>
      <c r="W544" s="242"/>
      <c r="X544" s="242"/>
      <c r="Y544" s="242"/>
      <c r="Z544" s="242"/>
    </row>
    <row r="545" spans="16:26">
      <c r="P545" s="242"/>
      <c r="Q545" s="242"/>
      <c r="R545" s="242"/>
      <c r="S545" s="242"/>
      <c r="T545" s="242"/>
      <c r="U545" s="242"/>
      <c r="V545" s="242"/>
      <c r="W545" s="242"/>
      <c r="X545" s="242"/>
      <c r="Y545" s="242"/>
      <c r="Z545" s="242"/>
    </row>
    <row r="546" spans="16:26">
      <c r="P546" s="241"/>
      <c r="Q546" s="241"/>
      <c r="R546" s="241"/>
      <c r="S546" s="241"/>
      <c r="T546" s="241"/>
      <c r="U546" s="241"/>
      <c r="V546" s="241"/>
      <c r="W546" s="241"/>
      <c r="X546" s="241"/>
      <c r="Y546" s="241"/>
      <c r="Z546" s="241"/>
    </row>
    <row r="547" spans="16:26">
      <c r="P547" s="242"/>
      <c r="Q547" s="242"/>
      <c r="R547" s="242"/>
      <c r="S547" s="242"/>
      <c r="T547" s="242"/>
      <c r="U547" s="242"/>
      <c r="V547" s="242"/>
      <c r="W547" s="242"/>
      <c r="X547" s="242"/>
      <c r="Y547" s="242"/>
      <c r="Z547" s="242"/>
    </row>
    <row r="548" spans="16:26">
      <c r="P548" s="242"/>
      <c r="Q548" s="242"/>
      <c r="R548" s="242"/>
      <c r="S548" s="242"/>
      <c r="T548" s="242"/>
      <c r="U548" s="242"/>
      <c r="V548" s="242"/>
      <c r="W548" s="242"/>
      <c r="X548" s="242"/>
      <c r="Y548" s="242"/>
      <c r="Z548" s="242"/>
    </row>
    <row r="549" spans="16:26">
      <c r="P549" s="241"/>
      <c r="Q549" s="241"/>
      <c r="R549" s="241"/>
      <c r="S549" s="241"/>
      <c r="T549" s="241"/>
      <c r="U549" s="241"/>
      <c r="V549" s="241"/>
      <c r="W549" s="241"/>
      <c r="X549" s="241"/>
      <c r="Y549" s="241"/>
      <c r="Z549" s="241"/>
    </row>
    <row r="550" spans="16:26">
      <c r="P550" s="242"/>
      <c r="Q550" s="242"/>
      <c r="R550" s="242"/>
      <c r="S550" s="242"/>
      <c r="T550" s="242"/>
      <c r="U550" s="242"/>
      <c r="V550" s="242"/>
      <c r="W550" s="242"/>
      <c r="X550" s="242"/>
      <c r="Y550" s="242"/>
      <c r="Z550" s="242"/>
    </row>
    <row r="551" spans="16:26">
      <c r="P551" s="242"/>
      <c r="Q551" s="242"/>
      <c r="R551" s="242"/>
      <c r="S551" s="242"/>
      <c r="T551" s="242"/>
      <c r="U551" s="242"/>
      <c r="V551" s="242"/>
      <c r="W551" s="242"/>
      <c r="X551" s="242"/>
      <c r="Y551" s="242"/>
      <c r="Z551" s="242"/>
    </row>
    <row r="552" spans="16:26">
      <c r="P552" s="241"/>
      <c r="Q552" s="241"/>
      <c r="R552" s="241"/>
      <c r="S552" s="241"/>
      <c r="T552" s="241"/>
      <c r="U552" s="241"/>
      <c r="V552" s="241"/>
      <c r="W552" s="241"/>
      <c r="X552" s="241"/>
      <c r="Y552" s="241"/>
      <c r="Z552" s="241"/>
    </row>
    <row r="553" spans="16:26">
      <c r="P553" s="242"/>
      <c r="Q553" s="242"/>
      <c r="R553" s="242"/>
      <c r="S553" s="242"/>
      <c r="T553" s="242"/>
      <c r="U553" s="242"/>
      <c r="V553" s="242"/>
      <c r="W553" s="242"/>
      <c r="X553" s="242"/>
      <c r="Y553" s="242"/>
      <c r="Z553" s="242"/>
    </row>
    <row r="554" spans="16:26">
      <c r="P554" s="242"/>
      <c r="Q554" s="242"/>
      <c r="R554" s="242"/>
      <c r="S554" s="242"/>
      <c r="T554" s="242"/>
      <c r="U554" s="242"/>
      <c r="V554" s="242"/>
      <c r="W554" s="242"/>
      <c r="X554" s="242"/>
      <c r="Y554" s="242"/>
      <c r="Z554" s="242"/>
    </row>
    <row r="555" spans="16:26">
      <c r="P555" s="241"/>
      <c r="Q555" s="241"/>
      <c r="R555" s="241"/>
      <c r="S555" s="241"/>
      <c r="T555" s="241"/>
      <c r="U555" s="241"/>
      <c r="V555" s="241"/>
      <c r="W555" s="241"/>
      <c r="X555" s="241"/>
      <c r="Y555" s="241"/>
      <c r="Z555" s="241"/>
    </row>
    <row r="556" spans="16:26">
      <c r="P556" s="242"/>
      <c r="Q556" s="242"/>
      <c r="R556" s="242"/>
      <c r="S556" s="242"/>
      <c r="T556" s="242"/>
      <c r="U556" s="242"/>
      <c r="V556" s="242"/>
      <c r="W556" s="242"/>
      <c r="X556" s="242"/>
      <c r="Y556" s="242"/>
      <c r="Z556" s="242"/>
    </row>
    <row r="557" spans="16:26">
      <c r="P557" s="242"/>
      <c r="Q557" s="242"/>
      <c r="R557" s="242"/>
      <c r="S557" s="242"/>
      <c r="T557" s="242"/>
      <c r="U557" s="242"/>
      <c r="V557" s="242"/>
      <c r="W557" s="242"/>
      <c r="X557" s="242"/>
      <c r="Y557" s="242"/>
      <c r="Z557" s="242"/>
    </row>
    <row r="558" spans="16:26">
      <c r="P558" s="241"/>
      <c r="Q558" s="241"/>
      <c r="R558" s="241"/>
      <c r="S558" s="241"/>
      <c r="T558" s="241"/>
      <c r="U558" s="241"/>
      <c r="V558" s="241"/>
      <c r="W558" s="241"/>
      <c r="X558" s="241"/>
      <c r="Y558" s="241"/>
      <c r="Z558" s="241"/>
    </row>
    <row r="559" spans="16:26">
      <c r="P559" s="242"/>
      <c r="Q559" s="242"/>
      <c r="R559" s="242"/>
      <c r="S559" s="242"/>
      <c r="T559" s="242"/>
      <c r="U559" s="242"/>
      <c r="V559" s="242"/>
      <c r="W559" s="242"/>
      <c r="X559" s="242"/>
      <c r="Y559" s="242"/>
      <c r="Z559" s="242"/>
    </row>
    <row r="560" spans="16:26">
      <c r="P560" s="242"/>
      <c r="Q560" s="242"/>
      <c r="R560" s="242"/>
      <c r="S560" s="242"/>
      <c r="T560" s="242"/>
      <c r="U560" s="242"/>
      <c r="V560" s="242"/>
      <c r="W560" s="242"/>
      <c r="X560" s="242"/>
      <c r="Y560" s="242"/>
      <c r="Z560" s="242"/>
    </row>
    <row r="561" spans="16:26">
      <c r="P561" s="241"/>
      <c r="Q561" s="241"/>
      <c r="R561" s="241"/>
      <c r="S561" s="241"/>
      <c r="T561" s="241"/>
      <c r="U561" s="241"/>
      <c r="V561" s="241"/>
      <c r="W561" s="241"/>
      <c r="X561" s="241"/>
      <c r="Y561" s="241"/>
      <c r="Z561" s="241"/>
    </row>
    <row r="562" spans="16:26">
      <c r="P562" s="242"/>
      <c r="Q562" s="242"/>
      <c r="R562" s="242"/>
      <c r="S562" s="242"/>
      <c r="T562" s="242"/>
      <c r="U562" s="242"/>
      <c r="V562" s="242"/>
      <c r="W562" s="242"/>
      <c r="X562" s="242"/>
      <c r="Y562" s="242"/>
      <c r="Z562" s="242"/>
    </row>
    <row r="563" spans="16:26">
      <c r="P563" s="242"/>
      <c r="Q563" s="242"/>
      <c r="R563" s="242"/>
      <c r="S563" s="242"/>
      <c r="T563" s="242"/>
      <c r="U563" s="242"/>
      <c r="V563" s="242"/>
      <c r="W563" s="242"/>
      <c r="X563" s="242"/>
      <c r="Y563" s="242"/>
      <c r="Z563" s="242"/>
    </row>
    <row r="564" spans="16:26">
      <c r="P564" s="241"/>
      <c r="Q564" s="241"/>
      <c r="R564" s="241"/>
      <c r="S564" s="241"/>
      <c r="T564" s="241"/>
      <c r="U564" s="241"/>
      <c r="V564" s="241"/>
      <c r="W564" s="241"/>
      <c r="X564" s="241"/>
      <c r="Y564" s="241"/>
      <c r="Z564" s="241"/>
    </row>
    <row r="565" spans="16:26">
      <c r="P565" s="242"/>
      <c r="Q565" s="242"/>
      <c r="R565" s="242"/>
      <c r="S565" s="242"/>
      <c r="T565" s="242"/>
      <c r="U565" s="242"/>
      <c r="V565" s="242"/>
      <c r="W565" s="242"/>
      <c r="X565" s="242"/>
      <c r="Y565" s="242"/>
      <c r="Z565" s="242"/>
    </row>
    <row r="566" spans="16:26">
      <c r="P566" s="242"/>
      <c r="Q566" s="242"/>
      <c r="R566" s="242"/>
      <c r="S566" s="242"/>
      <c r="T566" s="242"/>
      <c r="U566" s="242"/>
      <c r="V566" s="242"/>
      <c r="W566" s="242"/>
      <c r="X566" s="242"/>
      <c r="Y566" s="242"/>
      <c r="Z566" s="242"/>
    </row>
    <row r="567" spans="16:26">
      <c r="P567" s="241"/>
      <c r="Q567" s="241"/>
      <c r="R567" s="241"/>
      <c r="S567" s="241"/>
      <c r="T567" s="241"/>
      <c r="U567" s="241"/>
      <c r="V567" s="241"/>
      <c r="W567" s="241"/>
      <c r="X567" s="241"/>
      <c r="Y567" s="241"/>
      <c r="Z567" s="241"/>
    </row>
    <row r="568" spans="16:26">
      <c r="P568" s="242"/>
      <c r="Q568" s="242"/>
      <c r="R568" s="242"/>
      <c r="S568" s="242"/>
      <c r="T568" s="242"/>
      <c r="U568" s="242"/>
      <c r="V568" s="242"/>
      <c r="W568" s="242"/>
      <c r="X568" s="242"/>
      <c r="Y568" s="242"/>
      <c r="Z568" s="242"/>
    </row>
    <row r="569" spans="16:26">
      <c r="P569" s="242"/>
      <c r="Q569" s="242"/>
      <c r="R569" s="242"/>
      <c r="S569" s="242"/>
      <c r="T569" s="242"/>
      <c r="U569" s="242"/>
      <c r="V569" s="242"/>
      <c r="W569" s="242"/>
      <c r="X569" s="242"/>
      <c r="Y569" s="242"/>
      <c r="Z569" s="242"/>
    </row>
    <row r="570" spans="16:26">
      <c r="P570" s="241"/>
      <c r="Q570" s="241"/>
      <c r="R570" s="241"/>
      <c r="S570" s="241"/>
      <c r="T570" s="241"/>
      <c r="U570" s="241"/>
      <c r="V570" s="241"/>
      <c r="W570" s="241"/>
      <c r="X570" s="241"/>
      <c r="Y570" s="241"/>
      <c r="Z570" s="241"/>
    </row>
    <row r="571" spans="16:26">
      <c r="P571" s="242"/>
      <c r="Q571" s="242"/>
      <c r="R571" s="242"/>
      <c r="S571" s="242"/>
      <c r="T571" s="242"/>
      <c r="U571" s="242"/>
      <c r="V571" s="242"/>
      <c r="W571" s="242"/>
      <c r="X571" s="242"/>
      <c r="Y571" s="242"/>
      <c r="Z571" s="242"/>
    </row>
    <row r="572" spans="16:26">
      <c r="P572" s="242"/>
      <c r="Q572" s="242"/>
      <c r="R572" s="242"/>
      <c r="S572" s="242"/>
      <c r="T572" s="242"/>
      <c r="U572" s="242"/>
      <c r="V572" s="242"/>
      <c r="W572" s="242"/>
      <c r="X572" s="242"/>
      <c r="Y572" s="242"/>
      <c r="Z572" s="242"/>
    </row>
    <row r="573" spans="16:26">
      <c r="P573" s="241"/>
      <c r="Q573" s="241"/>
      <c r="R573" s="241"/>
      <c r="S573" s="241"/>
      <c r="T573" s="241"/>
      <c r="U573" s="241"/>
      <c r="V573" s="241"/>
      <c r="W573" s="241"/>
      <c r="X573" s="241"/>
      <c r="Y573" s="241"/>
      <c r="Z573" s="241"/>
    </row>
    <row r="574" spans="16:26">
      <c r="P574" s="242"/>
      <c r="Q574" s="242"/>
      <c r="R574" s="242"/>
      <c r="S574" s="242"/>
      <c r="T574" s="242"/>
      <c r="U574" s="242"/>
      <c r="V574" s="242"/>
      <c r="W574" s="242"/>
      <c r="X574" s="242"/>
      <c r="Y574" s="242"/>
      <c r="Z574" s="242"/>
    </row>
    <row r="575" spans="16:26">
      <c r="P575" s="242"/>
      <c r="Q575" s="242"/>
      <c r="R575" s="242"/>
      <c r="S575" s="242"/>
      <c r="T575" s="242"/>
      <c r="U575" s="242"/>
      <c r="V575" s="242"/>
      <c r="W575" s="242"/>
      <c r="X575" s="242"/>
      <c r="Y575" s="242"/>
      <c r="Z575" s="242"/>
    </row>
    <row r="576" spans="16:26">
      <c r="P576" s="241"/>
      <c r="Q576" s="241"/>
      <c r="R576" s="241"/>
      <c r="S576" s="241"/>
      <c r="T576" s="241"/>
      <c r="U576" s="241"/>
      <c r="V576" s="241"/>
      <c r="W576" s="241"/>
      <c r="X576" s="241"/>
      <c r="Y576" s="241"/>
      <c r="Z576" s="241"/>
    </row>
    <row r="577" spans="16:26">
      <c r="P577" s="242"/>
      <c r="Q577" s="242"/>
      <c r="R577" s="242"/>
      <c r="S577" s="242"/>
      <c r="T577" s="242"/>
      <c r="U577" s="242"/>
      <c r="V577" s="242"/>
      <c r="W577" s="242"/>
      <c r="X577" s="242"/>
      <c r="Y577" s="242"/>
      <c r="Z577" s="242"/>
    </row>
    <row r="578" spans="16:26">
      <c r="P578" s="242"/>
      <c r="Q578" s="242"/>
      <c r="R578" s="242"/>
      <c r="S578" s="242"/>
      <c r="T578" s="242"/>
      <c r="U578" s="242"/>
      <c r="V578" s="242"/>
      <c r="W578" s="242"/>
      <c r="X578" s="242"/>
      <c r="Y578" s="242"/>
      <c r="Z578" s="242"/>
    </row>
    <row r="579" spans="16:26">
      <c r="P579" s="241"/>
      <c r="Q579" s="241"/>
      <c r="R579" s="241"/>
      <c r="S579" s="241"/>
      <c r="T579" s="241"/>
      <c r="U579" s="241"/>
      <c r="V579" s="241"/>
      <c r="W579" s="241"/>
      <c r="X579" s="241"/>
      <c r="Y579" s="241"/>
      <c r="Z579" s="241"/>
    </row>
    <row r="580" spans="16:26">
      <c r="P580" s="242"/>
      <c r="Q580" s="242"/>
      <c r="R580" s="242"/>
      <c r="S580" s="242"/>
      <c r="T580" s="242"/>
      <c r="U580" s="242"/>
      <c r="V580" s="242"/>
      <c r="W580" s="242"/>
      <c r="X580" s="242"/>
      <c r="Y580" s="242"/>
      <c r="Z580" s="242"/>
    </row>
    <row r="581" spans="16:26">
      <c r="P581" s="242"/>
      <c r="Q581" s="242"/>
      <c r="R581" s="242"/>
      <c r="S581" s="242"/>
      <c r="T581" s="242"/>
      <c r="U581" s="242"/>
      <c r="V581" s="242"/>
      <c r="W581" s="242"/>
      <c r="X581" s="242"/>
      <c r="Y581" s="242"/>
      <c r="Z581" s="242"/>
    </row>
    <row r="582" spans="16:26">
      <c r="P582" s="241"/>
      <c r="Q582" s="241"/>
      <c r="R582" s="241"/>
      <c r="S582" s="241"/>
      <c r="T582" s="241"/>
      <c r="U582" s="241"/>
      <c r="V582" s="241"/>
      <c r="W582" s="241"/>
      <c r="X582" s="241"/>
      <c r="Y582" s="241"/>
      <c r="Z582" s="241"/>
    </row>
    <row r="583" spans="16:26">
      <c r="P583" s="242"/>
      <c r="Q583" s="242"/>
      <c r="R583" s="242"/>
      <c r="S583" s="242"/>
      <c r="T583" s="242"/>
      <c r="U583" s="242"/>
      <c r="V583" s="242"/>
      <c r="W583" s="242"/>
      <c r="X583" s="242"/>
      <c r="Y583" s="242"/>
      <c r="Z583" s="242"/>
    </row>
    <row r="584" spans="16:26">
      <c r="P584" s="242"/>
      <c r="Q584" s="242"/>
      <c r="R584" s="242"/>
      <c r="S584" s="242"/>
      <c r="T584" s="242"/>
      <c r="U584" s="242"/>
      <c r="V584" s="242"/>
      <c r="W584" s="242"/>
      <c r="X584" s="242"/>
      <c r="Y584" s="242"/>
      <c r="Z584" s="242"/>
    </row>
    <row r="585" spans="16:26">
      <c r="P585" s="241"/>
      <c r="Q585" s="241"/>
      <c r="R585" s="241"/>
      <c r="S585" s="241"/>
      <c r="T585" s="241"/>
      <c r="U585" s="241"/>
      <c r="V585" s="241"/>
      <c r="W585" s="241"/>
      <c r="X585" s="241"/>
      <c r="Y585" s="241"/>
      <c r="Z585" s="241"/>
    </row>
    <row r="586" spans="16:26">
      <c r="P586" s="242"/>
      <c r="Q586" s="242"/>
      <c r="R586" s="242"/>
      <c r="S586" s="242"/>
      <c r="T586" s="242"/>
      <c r="U586" s="242"/>
      <c r="V586" s="242"/>
      <c r="W586" s="242"/>
      <c r="X586" s="242"/>
      <c r="Y586" s="242"/>
      <c r="Z586" s="242"/>
    </row>
    <row r="587" spans="16:26">
      <c r="P587" s="242"/>
      <c r="Q587" s="242"/>
      <c r="R587" s="242"/>
      <c r="S587" s="242"/>
      <c r="T587" s="242"/>
      <c r="U587" s="242"/>
      <c r="V587" s="242"/>
      <c r="W587" s="242"/>
      <c r="X587" s="242"/>
      <c r="Y587" s="242"/>
      <c r="Z587" s="242"/>
    </row>
    <row r="588" spans="16:26">
      <c r="P588" s="241"/>
      <c r="Q588" s="241"/>
      <c r="R588" s="241"/>
      <c r="S588" s="241"/>
      <c r="T588" s="241"/>
      <c r="U588" s="241"/>
      <c r="V588" s="241"/>
      <c r="W588" s="241"/>
      <c r="X588" s="241"/>
      <c r="Y588" s="241"/>
      <c r="Z588" s="241"/>
    </row>
    <row r="589" spans="16:26">
      <c r="P589" s="242"/>
      <c r="Q589" s="242"/>
      <c r="R589" s="242"/>
      <c r="S589" s="242"/>
      <c r="T589" s="242"/>
      <c r="U589" s="242"/>
      <c r="V589" s="242"/>
      <c r="W589" s="242"/>
      <c r="X589" s="242"/>
      <c r="Y589" s="242"/>
      <c r="Z589" s="242"/>
    </row>
    <row r="590" spans="16:26">
      <c r="P590" s="242"/>
      <c r="Q590" s="242"/>
      <c r="R590" s="242"/>
      <c r="S590" s="242"/>
      <c r="T590" s="242"/>
      <c r="U590" s="242"/>
      <c r="V590" s="242"/>
      <c r="W590" s="242"/>
      <c r="X590" s="242"/>
      <c r="Y590" s="242"/>
      <c r="Z590" s="242"/>
    </row>
    <row r="591" spans="16:26">
      <c r="P591" s="241"/>
      <c r="Q591" s="241"/>
      <c r="R591" s="241"/>
      <c r="S591" s="241"/>
      <c r="T591" s="241"/>
      <c r="U591" s="241"/>
      <c r="V591" s="241"/>
      <c r="W591" s="241"/>
      <c r="X591" s="241"/>
      <c r="Y591" s="241"/>
      <c r="Z591" s="241"/>
    </row>
    <row r="592" spans="16:26">
      <c r="P592" s="242"/>
      <c r="Q592" s="242"/>
      <c r="R592" s="242"/>
      <c r="S592" s="242"/>
      <c r="T592" s="242"/>
      <c r="U592" s="242"/>
      <c r="V592" s="242"/>
      <c r="W592" s="242"/>
      <c r="X592" s="242"/>
      <c r="Y592" s="242"/>
      <c r="Z592" s="242"/>
    </row>
    <row r="593" spans="16:26">
      <c r="P593" s="242"/>
      <c r="Q593" s="242"/>
      <c r="R593" s="242"/>
      <c r="S593" s="242"/>
      <c r="T593" s="242"/>
      <c r="U593" s="242"/>
      <c r="V593" s="242"/>
      <c r="W593" s="242"/>
      <c r="X593" s="242"/>
      <c r="Y593" s="242"/>
      <c r="Z593" s="242"/>
    </row>
    <row r="594" spans="16:26">
      <c r="P594" s="241"/>
      <c r="Q594" s="241"/>
      <c r="R594" s="241"/>
      <c r="S594" s="241"/>
      <c r="T594" s="241"/>
      <c r="U594" s="241"/>
      <c r="V594" s="241"/>
      <c r="W594" s="241"/>
      <c r="X594" s="241"/>
      <c r="Y594" s="241"/>
      <c r="Z594" s="241"/>
    </row>
    <row r="595" spans="16:26">
      <c r="P595" s="242"/>
      <c r="Q595" s="242"/>
      <c r="R595" s="242"/>
      <c r="S595" s="242"/>
      <c r="T595" s="242"/>
      <c r="U595" s="242"/>
      <c r="V595" s="242"/>
      <c r="W595" s="242"/>
      <c r="X595" s="242"/>
      <c r="Y595" s="242"/>
      <c r="Z595" s="242"/>
    </row>
    <row r="596" spans="16:26">
      <c r="P596" s="242"/>
      <c r="Q596" s="242"/>
      <c r="R596" s="242"/>
      <c r="S596" s="242"/>
      <c r="T596" s="242"/>
      <c r="U596" s="242"/>
      <c r="V596" s="242"/>
      <c r="W596" s="242"/>
      <c r="X596" s="242"/>
      <c r="Y596" s="242"/>
      <c r="Z596" s="242"/>
    </row>
    <row r="597" spans="16:26">
      <c r="P597" s="241"/>
      <c r="Q597" s="241"/>
      <c r="R597" s="241"/>
      <c r="S597" s="241"/>
      <c r="T597" s="241"/>
      <c r="U597" s="241"/>
      <c r="V597" s="241"/>
      <c r="W597" s="241"/>
      <c r="X597" s="241"/>
      <c r="Y597" s="241"/>
      <c r="Z597" s="241"/>
    </row>
    <row r="598" spans="16:26">
      <c r="P598" s="242"/>
      <c r="Q598" s="242"/>
      <c r="R598" s="242"/>
      <c r="S598" s="242"/>
      <c r="T598" s="242"/>
      <c r="U598" s="242"/>
      <c r="V598" s="242"/>
      <c r="W598" s="242"/>
      <c r="X598" s="242"/>
      <c r="Y598" s="242"/>
      <c r="Z598" s="242"/>
    </row>
    <row r="599" spans="16:26">
      <c r="P599" s="242"/>
      <c r="Q599" s="242"/>
      <c r="R599" s="242"/>
      <c r="S599" s="242"/>
      <c r="T599" s="242"/>
      <c r="U599" s="242"/>
      <c r="V599" s="242"/>
      <c r="W599" s="242"/>
      <c r="X599" s="242"/>
      <c r="Y599" s="242"/>
      <c r="Z599" s="242"/>
    </row>
    <row r="600" spans="16:26">
      <c r="P600" s="241"/>
      <c r="Q600" s="241"/>
      <c r="R600" s="241"/>
      <c r="S600" s="241"/>
      <c r="T600" s="241"/>
      <c r="U600" s="241"/>
      <c r="V600" s="241"/>
      <c r="W600" s="241"/>
      <c r="X600" s="241"/>
      <c r="Y600" s="241"/>
      <c r="Z600" s="241"/>
    </row>
    <row r="601" spans="16:26">
      <c r="P601" s="242"/>
      <c r="Q601" s="242"/>
      <c r="R601" s="242"/>
      <c r="S601" s="242"/>
      <c r="T601" s="242"/>
      <c r="U601" s="242"/>
      <c r="V601" s="242"/>
      <c r="W601" s="242"/>
      <c r="X601" s="242"/>
      <c r="Y601" s="242"/>
      <c r="Z601" s="242"/>
    </row>
    <row r="602" spans="16:26">
      <c r="P602" s="242"/>
      <c r="Q602" s="242"/>
      <c r="R602" s="242"/>
      <c r="S602" s="242"/>
      <c r="T602" s="242"/>
      <c r="U602" s="242"/>
      <c r="V602" s="242"/>
      <c r="W602" s="242"/>
      <c r="X602" s="242"/>
      <c r="Y602" s="242"/>
      <c r="Z602" s="242"/>
    </row>
    <row r="603" spans="16:26">
      <c r="P603" s="241"/>
      <c r="Q603" s="241"/>
      <c r="R603" s="241"/>
      <c r="S603" s="241"/>
      <c r="T603" s="241"/>
      <c r="U603" s="241"/>
      <c r="V603" s="241"/>
      <c r="W603" s="241"/>
      <c r="X603" s="241"/>
      <c r="Y603" s="241"/>
      <c r="Z603" s="241"/>
    </row>
    <row r="604" spans="16:26">
      <c r="P604" s="242"/>
      <c r="Q604" s="242"/>
      <c r="R604" s="242"/>
      <c r="S604" s="242"/>
      <c r="T604" s="242"/>
      <c r="U604" s="242"/>
      <c r="V604" s="242"/>
      <c r="W604" s="242"/>
      <c r="X604" s="242"/>
      <c r="Y604" s="242"/>
      <c r="Z604" s="242"/>
    </row>
    <row r="605" spans="16:26">
      <c r="P605" s="242"/>
      <c r="Q605" s="242"/>
      <c r="R605" s="242"/>
      <c r="S605" s="242"/>
      <c r="T605" s="242"/>
      <c r="U605" s="242"/>
      <c r="V605" s="242"/>
      <c r="W605" s="242"/>
      <c r="X605" s="242"/>
      <c r="Y605" s="242"/>
      <c r="Z605" s="242"/>
    </row>
    <row r="606" spans="16:26">
      <c r="P606" s="241"/>
      <c r="Q606" s="241"/>
      <c r="R606" s="241"/>
      <c r="S606" s="241"/>
      <c r="T606" s="241"/>
      <c r="U606" s="241"/>
      <c r="V606" s="241"/>
      <c r="W606" s="241"/>
      <c r="X606" s="241"/>
      <c r="Y606" s="241"/>
      <c r="Z606" s="241"/>
    </row>
    <row r="607" spans="16:26">
      <c r="P607" s="242"/>
      <c r="Q607" s="242"/>
      <c r="R607" s="242"/>
      <c r="S607" s="242"/>
      <c r="T607" s="242"/>
      <c r="U607" s="242"/>
      <c r="V607" s="242"/>
      <c r="W607" s="242"/>
      <c r="X607" s="242"/>
      <c r="Y607" s="242"/>
      <c r="Z607" s="242"/>
    </row>
    <row r="608" spans="16:26">
      <c r="P608" s="242"/>
      <c r="Q608" s="242"/>
      <c r="R608" s="242"/>
      <c r="S608" s="242"/>
      <c r="T608" s="242"/>
      <c r="U608" s="242"/>
      <c r="V608" s="242"/>
      <c r="W608" s="242"/>
      <c r="X608" s="242"/>
      <c r="Y608" s="242"/>
      <c r="Z608" s="242"/>
    </row>
    <row r="609" spans="16:26">
      <c r="P609" s="241"/>
      <c r="Q609" s="241"/>
      <c r="R609" s="241"/>
      <c r="S609" s="241"/>
      <c r="T609" s="241"/>
      <c r="U609" s="241"/>
      <c r="V609" s="241"/>
      <c r="W609" s="241"/>
      <c r="X609" s="241"/>
      <c r="Y609" s="241"/>
      <c r="Z609" s="241"/>
    </row>
    <row r="610" spans="16:26">
      <c r="P610" s="242"/>
      <c r="Q610" s="242"/>
      <c r="R610" s="242"/>
      <c r="S610" s="242"/>
      <c r="T610" s="242"/>
      <c r="U610" s="242"/>
      <c r="V610" s="242"/>
      <c r="W610" s="242"/>
      <c r="X610" s="242"/>
      <c r="Y610" s="242"/>
      <c r="Z610" s="242"/>
    </row>
    <row r="611" spans="16:26">
      <c r="P611" s="242"/>
      <c r="Q611" s="242"/>
      <c r="R611" s="242"/>
      <c r="S611" s="242"/>
      <c r="T611" s="242"/>
      <c r="U611" s="242"/>
      <c r="V611" s="242"/>
      <c r="W611" s="242"/>
      <c r="X611" s="242"/>
      <c r="Y611" s="242"/>
      <c r="Z611" s="242"/>
    </row>
    <row r="612" spans="16:26">
      <c r="P612" s="241"/>
      <c r="Q612" s="241"/>
      <c r="R612" s="241"/>
      <c r="S612" s="241"/>
      <c r="T612" s="241"/>
      <c r="U612" s="241"/>
      <c r="V612" s="241"/>
      <c r="W612" s="241"/>
      <c r="X612" s="241"/>
      <c r="Y612" s="241"/>
      <c r="Z612" s="241"/>
    </row>
    <row r="613" spans="16:26">
      <c r="P613" s="242"/>
      <c r="Q613" s="242"/>
      <c r="R613" s="242"/>
      <c r="S613" s="242"/>
      <c r="T613" s="242"/>
      <c r="U613" s="242"/>
      <c r="V613" s="242"/>
      <c r="W613" s="242"/>
      <c r="X613" s="242"/>
      <c r="Y613" s="242"/>
      <c r="Z613" s="242"/>
    </row>
    <row r="614" spans="16:26">
      <c r="P614" s="242"/>
      <c r="Q614" s="242"/>
      <c r="R614" s="242"/>
      <c r="S614" s="242"/>
      <c r="T614" s="242"/>
      <c r="U614" s="242"/>
      <c r="V614" s="242"/>
      <c r="W614" s="242"/>
      <c r="X614" s="242"/>
      <c r="Y614" s="242"/>
      <c r="Z614" s="242"/>
    </row>
    <row r="615" spans="16:26">
      <c r="P615" s="241"/>
      <c r="Q615" s="241"/>
      <c r="R615" s="241"/>
      <c r="S615" s="241"/>
      <c r="T615" s="241"/>
      <c r="U615" s="241"/>
      <c r="V615" s="241"/>
      <c r="W615" s="241"/>
      <c r="X615" s="241"/>
      <c r="Y615" s="241"/>
      <c r="Z615" s="241"/>
    </row>
    <row r="616" spans="16:26">
      <c r="P616" s="242"/>
      <c r="Q616" s="242"/>
      <c r="R616" s="242"/>
      <c r="S616" s="242"/>
      <c r="T616" s="242"/>
      <c r="U616" s="242"/>
      <c r="V616" s="242"/>
      <c r="W616" s="242"/>
      <c r="X616" s="242"/>
      <c r="Y616" s="242"/>
      <c r="Z616" s="242"/>
    </row>
    <row r="617" spans="16:26">
      <c r="P617" s="242"/>
      <c r="Q617" s="242"/>
      <c r="R617" s="242"/>
      <c r="S617" s="242"/>
      <c r="T617" s="242"/>
      <c r="U617" s="242"/>
      <c r="V617" s="242"/>
      <c r="W617" s="242"/>
      <c r="X617" s="242"/>
      <c r="Y617" s="242"/>
      <c r="Z617" s="242"/>
    </row>
    <row r="618" spans="16:26">
      <c r="P618" s="241"/>
      <c r="Q618" s="241"/>
      <c r="R618" s="241"/>
      <c r="S618" s="241"/>
      <c r="T618" s="241"/>
      <c r="U618" s="241"/>
      <c r="V618" s="241"/>
      <c r="W618" s="241"/>
      <c r="X618" s="241"/>
      <c r="Y618" s="241"/>
      <c r="Z618" s="241"/>
    </row>
    <row r="619" spans="16:26">
      <c r="P619" s="242"/>
      <c r="Q619" s="242"/>
      <c r="R619" s="242"/>
      <c r="S619" s="242"/>
      <c r="T619" s="242"/>
      <c r="U619" s="242"/>
      <c r="V619" s="242"/>
      <c r="W619" s="242"/>
      <c r="X619" s="242"/>
      <c r="Y619" s="242"/>
      <c r="Z619" s="242"/>
    </row>
    <row r="620" spans="16:26">
      <c r="P620" s="242"/>
      <c r="Q620" s="242"/>
      <c r="R620" s="242"/>
      <c r="S620" s="242"/>
      <c r="T620" s="242"/>
      <c r="U620" s="242"/>
      <c r="V620" s="242"/>
      <c r="W620" s="242"/>
      <c r="X620" s="242"/>
      <c r="Y620" s="242"/>
      <c r="Z620" s="242"/>
    </row>
    <row r="621" spans="16:26">
      <c r="P621" s="241"/>
      <c r="Q621" s="241"/>
      <c r="R621" s="241"/>
      <c r="S621" s="241"/>
      <c r="T621" s="241"/>
      <c r="U621" s="241"/>
      <c r="V621" s="241"/>
      <c r="W621" s="241"/>
      <c r="X621" s="241"/>
      <c r="Y621" s="241"/>
      <c r="Z621" s="241"/>
    </row>
    <row r="622" spans="16:26">
      <c r="P622" s="242"/>
      <c r="Q622" s="242"/>
      <c r="R622" s="242"/>
      <c r="S622" s="242"/>
      <c r="T622" s="242"/>
      <c r="U622" s="242"/>
      <c r="V622" s="242"/>
      <c r="W622" s="242"/>
      <c r="X622" s="242"/>
      <c r="Y622" s="242"/>
      <c r="Z622" s="242"/>
    </row>
    <row r="623" spans="16:26">
      <c r="P623" s="242"/>
      <c r="Q623" s="242"/>
      <c r="R623" s="242"/>
      <c r="S623" s="242"/>
      <c r="T623" s="242"/>
      <c r="U623" s="242"/>
      <c r="V623" s="242"/>
      <c r="W623" s="242"/>
      <c r="X623" s="242"/>
      <c r="Y623" s="242"/>
      <c r="Z623" s="242"/>
    </row>
    <row r="624" spans="16:26">
      <c r="P624" s="241"/>
      <c r="Q624" s="241"/>
      <c r="R624" s="241"/>
      <c r="S624" s="241"/>
      <c r="T624" s="241"/>
      <c r="U624" s="241"/>
      <c r="V624" s="241"/>
      <c r="W624" s="241"/>
      <c r="X624" s="241"/>
      <c r="Y624" s="241"/>
      <c r="Z624" s="241"/>
    </row>
    <row r="625" spans="16:26">
      <c r="P625" s="242"/>
      <c r="Q625" s="242"/>
      <c r="R625" s="242"/>
      <c r="S625" s="242"/>
      <c r="T625" s="242"/>
      <c r="U625" s="242"/>
      <c r="V625" s="242"/>
      <c r="W625" s="242"/>
      <c r="X625" s="242"/>
      <c r="Y625" s="242"/>
      <c r="Z625" s="242"/>
    </row>
    <row r="626" spans="16:26">
      <c r="P626" s="242"/>
      <c r="Q626" s="242"/>
      <c r="R626" s="242"/>
      <c r="S626" s="242"/>
      <c r="T626" s="242"/>
      <c r="U626" s="242"/>
      <c r="V626" s="242"/>
      <c r="W626" s="242"/>
      <c r="X626" s="242"/>
      <c r="Y626" s="242"/>
      <c r="Z626" s="242"/>
    </row>
    <row r="627" spans="16:26">
      <c r="P627" s="241"/>
      <c r="Q627" s="241"/>
      <c r="R627" s="241"/>
      <c r="S627" s="241"/>
      <c r="T627" s="241"/>
      <c r="U627" s="241"/>
      <c r="V627" s="241"/>
      <c r="W627" s="241"/>
      <c r="X627" s="241"/>
      <c r="Y627" s="241"/>
      <c r="Z627" s="241"/>
    </row>
    <row r="628" spans="16:26">
      <c r="P628" s="242"/>
      <c r="Q628" s="242"/>
      <c r="R628" s="242"/>
      <c r="S628" s="242"/>
      <c r="T628" s="242"/>
      <c r="U628" s="242"/>
      <c r="V628" s="242"/>
      <c r="W628" s="242"/>
      <c r="X628" s="242"/>
      <c r="Y628" s="242"/>
      <c r="Z628" s="242"/>
    </row>
    <row r="629" spans="16:26">
      <c r="P629" s="242"/>
      <c r="Q629" s="242"/>
      <c r="R629" s="242"/>
      <c r="S629" s="242"/>
      <c r="T629" s="242"/>
      <c r="U629" s="242"/>
      <c r="V629" s="242"/>
      <c r="W629" s="242"/>
      <c r="X629" s="242"/>
      <c r="Y629" s="242"/>
      <c r="Z629" s="242"/>
    </row>
    <row r="630" spans="16:26">
      <c r="P630" s="241"/>
      <c r="Q630" s="241"/>
      <c r="R630" s="241"/>
      <c r="S630" s="241"/>
      <c r="T630" s="241"/>
      <c r="U630" s="241"/>
      <c r="V630" s="241"/>
      <c r="W630" s="241"/>
      <c r="X630" s="241"/>
      <c r="Y630" s="241"/>
      <c r="Z630" s="241"/>
    </row>
    <row r="631" spans="16:26">
      <c r="P631" s="242"/>
      <c r="Q631" s="242"/>
      <c r="R631" s="242"/>
      <c r="S631" s="242"/>
      <c r="T631" s="242"/>
      <c r="U631" s="242"/>
      <c r="V631" s="242"/>
      <c r="W631" s="242"/>
      <c r="X631" s="242"/>
      <c r="Y631" s="242"/>
      <c r="Z631" s="242"/>
    </row>
    <row r="632" spans="16:26">
      <c r="P632" s="242"/>
      <c r="Q632" s="242"/>
      <c r="R632" s="242"/>
      <c r="S632" s="242"/>
      <c r="T632" s="242"/>
      <c r="U632" s="242"/>
      <c r="V632" s="242"/>
      <c r="W632" s="242"/>
      <c r="X632" s="242"/>
      <c r="Y632" s="242"/>
      <c r="Z632" s="242"/>
    </row>
    <row r="633" spans="16:26">
      <c r="P633" s="241"/>
      <c r="Q633" s="241"/>
      <c r="R633" s="241"/>
      <c r="S633" s="241"/>
      <c r="T633" s="241"/>
      <c r="U633" s="241"/>
      <c r="V633" s="241"/>
      <c r="W633" s="241"/>
      <c r="X633" s="241"/>
      <c r="Y633" s="241"/>
      <c r="Z633" s="241"/>
    </row>
    <row r="634" spans="16:26">
      <c r="P634" s="242"/>
      <c r="Q634" s="242"/>
      <c r="R634" s="242"/>
      <c r="S634" s="242"/>
      <c r="T634" s="242"/>
      <c r="U634" s="242"/>
      <c r="V634" s="242"/>
      <c r="W634" s="242"/>
      <c r="X634" s="242"/>
      <c r="Y634" s="242"/>
      <c r="Z634" s="242"/>
    </row>
    <row r="635" spans="16:26">
      <c r="P635" s="242"/>
      <c r="Q635" s="242"/>
      <c r="R635" s="242"/>
      <c r="S635" s="242"/>
      <c r="T635" s="242"/>
      <c r="U635" s="242"/>
      <c r="V635" s="242"/>
      <c r="W635" s="242"/>
      <c r="X635" s="242"/>
      <c r="Y635" s="242"/>
      <c r="Z635" s="242"/>
    </row>
    <row r="636" spans="16:26">
      <c r="P636" s="241"/>
      <c r="Q636" s="241"/>
      <c r="R636" s="241"/>
      <c r="S636" s="241"/>
      <c r="T636" s="241"/>
      <c r="U636" s="241"/>
      <c r="V636" s="241"/>
      <c r="W636" s="241"/>
      <c r="X636" s="241"/>
      <c r="Y636" s="241"/>
      <c r="Z636" s="241"/>
    </row>
    <row r="637" spans="16:26">
      <c r="P637" s="242"/>
      <c r="Q637" s="242"/>
      <c r="R637" s="242"/>
      <c r="S637" s="242"/>
      <c r="T637" s="242"/>
      <c r="U637" s="242"/>
      <c r="V637" s="242"/>
      <c r="W637" s="242"/>
      <c r="X637" s="242"/>
      <c r="Y637" s="242"/>
      <c r="Z637" s="242"/>
    </row>
    <row r="638" spans="16:26">
      <c r="P638" s="242"/>
      <c r="Q638" s="242"/>
      <c r="R638" s="242"/>
      <c r="S638" s="242"/>
      <c r="T638" s="242"/>
      <c r="U638" s="242"/>
      <c r="V638" s="242"/>
      <c r="W638" s="242"/>
      <c r="X638" s="242"/>
      <c r="Y638" s="242"/>
      <c r="Z638" s="242"/>
    </row>
    <row r="639" spans="16:26">
      <c r="P639" s="241"/>
      <c r="Q639" s="241"/>
      <c r="R639" s="241"/>
      <c r="S639" s="241"/>
      <c r="T639" s="241"/>
      <c r="U639" s="241"/>
      <c r="V639" s="241"/>
      <c r="W639" s="241"/>
      <c r="X639" s="241"/>
      <c r="Y639" s="241"/>
      <c r="Z639" s="241"/>
    </row>
    <row r="640" spans="16:26">
      <c r="P640" s="242"/>
      <c r="Q640" s="242"/>
      <c r="R640" s="242"/>
      <c r="S640" s="242"/>
      <c r="T640" s="242"/>
      <c r="U640" s="242"/>
      <c r="V640" s="242"/>
      <c r="W640" s="242"/>
      <c r="X640" s="242"/>
      <c r="Y640" s="242"/>
      <c r="Z640" s="242"/>
    </row>
    <row r="641" spans="16:26">
      <c r="P641" s="242"/>
      <c r="Q641" s="242"/>
      <c r="R641" s="242"/>
      <c r="S641" s="242"/>
      <c r="T641" s="242"/>
      <c r="U641" s="242"/>
      <c r="V641" s="242"/>
      <c r="W641" s="242"/>
      <c r="X641" s="242"/>
      <c r="Y641" s="242"/>
      <c r="Z641" s="242"/>
    </row>
    <row r="642" spans="16:26">
      <c r="P642" s="241"/>
      <c r="Q642" s="241"/>
      <c r="R642" s="241"/>
      <c r="S642" s="241"/>
      <c r="T642" s="241"/>
      <c r="U642" s="241"/>
      <c r="V642" s="241"/>
      <c r="W642" s="241"/>
      <c r="X642" s="241"/>
      <c r="Y642" s="241"/>
      <c r="Z642" s="241"/>
    </row>
    <row r="643" spans="16:26">
      <c r="P643" s="241"/>
      <c r="Q643" s="241"/>
      <c r="R643" s="241"/>
      <c r="S643" s="241"/>
      <c r="T643" s="241"/>
      <c r="U643" s="241"/>
      <c r="V643" s="241"/>
      <c r="W643" s="241"/>
      <c r="X643" s="241"/>
      <c r="Y643" s="241"/>
      <c r="Z643" s="241"/>
    </row>
    <row r="644" spans="16:26">
      <c r="P644" s="241"/>
      <c r="Q644" s="241"/>
      <c r="R644" s="241"/>
      <c r="S644" s="241"/>
      <c r="T644" s="241"/>
      <c r="U644" s="241"/>
      <c r="V644" s="241"/>
      <c r="W644" s="241"/>
      <c r="X644" s="241"/>
      <c r="Y644" s="241"/>
      <c r="Z644" s="241"/>
    </row>
    <row r="645" spans="16:26">
      <c r="P645" s="241"/>
      <c r="Q645" s="241"/>
      <c r="R645" s="241"/>
      <c r="S645" s="241"/>
      <c r="T645" s="241"/>
      <c r="U645" s="241"/>
      <c r="V645" s="241"/>
      <c r="W645" s="241"/>
      <c r="X645" s="241"/>
      <c r="Y645" s="241"/>
      <c r="Z645" s="241"/>
    </row>
    <row r="646" spans="16:26">
      <c r="P646" s="241"/>
      <c r="Q646" s="241"/>
      <c r="R646" s="241"/>
      <c r="S646" s="241"/>
      <c r="T646" s="241"/>
      <c r="U646" s="241"/>
      <c r="V646" s="241"/>
      <c r="W646" s="241"/>
      <c r="X646" s="241"/>
      <c r="Y646" s="241"/>
      <c r="Z646" s="241"/>
    </row>
    <row r="647" spans="16:26">
      <c r="P647" s="241"/>
      <c r="Q647" s="241"/>
      <c r="R647" s="241"/>
      <c r="S647" s="241"/>
      <c r="T647" s="241"/>
      <c r="U647" s="241"/>
      <c r="V647" s="241"/>
      <c r="W647" s="241"/>
      <c r="X647" s="241"/>
      <c r="Y647" s="241"/>
      <c r="Z647" s="241"/>
    </row>
    <row r="648" spans="16:26">
      <c r="P648" s="241"/>
      <c r="Q648" s="241"/>
      <c r="R648" s="241"/>
      <c r="S648" s="241"/>
      <c r="T648" s="241"/>
      <c r="U648" s="241"/>
      <c r="V648" s="241"/>
      <c r="W648" s="241"/>
      <c r="X648" s="241"/>
      <c r="Y648" s="241"/>
      <c r="Z648" s="241"/>
    </row>
    <row r="649" spans="16:26">
      <c r="P649" s="241"/>
      <c r="Q649" s="241"/>
      <c r="R649" s="241"/>
      <c r="S649" s="241"/>
      <c r="T649" s="241"/>
      <c r="U649" s="241"/>
      <c r="V649" s="241"/>
      <c r="W649" s="241"/>
      <c r="X649" s="241"/>
      <c r="Y649" s="241"/>
      <c r="Z649" s="241"/>
    </row>
    <row r="650" spans="16:26">
      <c r="P650" s="241"/>
      <c r="Q650" s="241"/>
      <c r="R650" s="241"/>
      <c r="S650" s="241"/>
      <c r="T650" s="241"/>
      <c r="U650" s="241"/>
      <c r="V650" s="241"/>
      <c r="W650" s="241"/>
      <c r="X650" s="241"/>
      <c r="Y650" s="241"/>
      <c r="Z650" s="241"/>
    </row>
    <row r="651" spans="16:26">
      <c r="P651" s="241"/>
      <c r="Q651" s="241"/>
      <c r="R651" s="241"/>
      <c r="S651" s="241"/>
      <c r="T651" s="241"/>
      <c r="U651" s="241"/>
      <c r="V651" s="241"/>
      <c r="W651" s="241"/>
      <c r="X651" s="241"/>
      <c r="Y651" s="241"/>
      <c r="Z651" s="241"/>
    </row>
    <row r="652" spans="16:26">
      <c r="P652" s="241"/>
      <c r="Q652" s="241"/>
      <c r="R652" s="241"/>
      <c r="S652" s="241"/>
      <c r="T652" s="241"/>
      <c r="U652" s="241"/>
      <c r="V652" s="241"/>
      <c r="W652" s="241"/>
      <c r="X652" s="241"/>
      <c r="Y652" s="241"/>
      <c r="Z652" s="241"/>
    </row>
    <row r="653" spans="16:26">
      <c r="P653" s="241"/>
      <c r="Q653" s="241"/>
      <c r="R653" s="241"/>
      <c r="S653" s="241"/>
      <c r="T653" s="241"/>
      <c r="U653" s="241"/>
      <c r="V653" s="241"/>
      <c r="W653" s="241"/>
      <c r="X653" s="241"/>
      <c r="Y653" s="241"/>
      <c r="Z653" s="241"/>
    </row>
    <row r="654" spans="16:26">
      <c r="P654" s="241"/>
      <c r="Q654" s="241"/>
      <c r="R654" s="241"/>
      <c r="S654" s="241"/>
      <c r="T654" s="241"/>
      <c r="U654" s="241"/>
      <c r="V654" s="241"/>
      <c r="W654" s="241"/>
      <c r="X654" s="241"/>
      <c r="Y654" s="241"/>
      <c r="Z654" s="241"/>
    </row>
    <row r="655" spans="16:26">
      <c r="P655" s="241"/>
      <c r="Q655" s="241"/>
      <c r="R655" s="241"/>
      <c r="S655" s="241"/>
      <c r="T655" s="241"/>
      <c r="U655" s="241"/>
      <c r="V655" s="241"/>
      <c r="W655" s="241"/>
      <c r="X655" s="241"/>
      <c r="Y655" s="241"/>
      <c r="Z655" s="241"/>
    </row>
    <row r="656" spans="16:26">
      <c r="P656" s="241"/>
      <c r="Q656" s="241"/>
      <c r="R656" s="241"/>
      <c r="S656" s="241"/>
      <c r="T656" s="241"/>
      <c r="U656" s="241"/>
      <c r="V656" s="241"/>
      <c r="W656" s="241"/>
      <c r="X656" s="241"/>
      <c r="Y656" s="241"/>
      <c r="Z656" s="241"/>
    </row>
    <row r="657" spans="16:26">
      <c r="P657" s="241"/>
      <c r="Q657" s="241"/>
      <c r="R657" s="241"/>
      <c r="S657" s="241"/>
      <c r="T657" s="241"/>
      <c r="U657" s="241"/>
      <c r="V657" s="241"/>
      <c r="W657" s="241"/>
      <c r="X657" s="241"/>
      <c r="Y657" s="241"/>
      <c r="Z657" s="241"/>
    </row>
    <row r="658" spans="16:26">
      <c r="P658" s="241"/>
      <c r="Q658" s="241"/>
      <c r="R658" s="241"/>
      <c r="S658" s="241"/>
      <c r="T658" s="241"/>
      <c r="U658" s="241"/>
      <c r="V658" s="241"/>
      <c r="W658" s="241"/>
      <c r="X658" s="241"/>
      <c r="Y658" s="241"/>
      <c r="Z658" s="241"/>
    </row>
    <row r="659" spans="16:26">
      <c r="P659" s="241"/>
      <c r="Q659" s="241"/>
      <c r="R659" s="241"/>
      <c r="S659" s="241"/>
      <c r="T659" s="241"/>
      <c r="U659" s="241"/>
      <c r="V659" s="241"/>
      <c r="W659" s="241"/>
      <c r="X659" s="241"/>
      <c r="Y659" s="241"/>
      <c r="Z659" s="241"/>
    </row>
    <row r="660" spans="16:26">
      <c r="P660" s="241"/>
      <c r="Q660" s="241"/>
      <c r="R660" s="241"/>
      <c r="S660" s="241"/>
      <c r="T660" s="241"/>
      <c r="U660" s="241"/>
      <c r="V660" s="241"/>
      <c r="W660" s="241"/>
      <c r="X660" s="241"/>
      <c r="Y660" s="241"/>
      <c r="Z660" s="241"/>
    </row>
    <row r="661" spans="16:26">
      <c r="P661" s="241"/>
      <c r="Q661" s="241"/>
      <c r="R661" s="241"/>
      <c r="S661" s="241"/>
      <c r="T661" s="241"/>
      <c r="U661" s="241"/>
      <c r="V661" s="241"/>
      <c r="W661" s="241"/>
      <c r="X661" s="241"/>
      <c r="Y661" s="241"/>
      <c r="Z661" s="241"/>
    </row>
    <row r="662" spans="16:26">
      <c r="P662" s="241"/>
      <c r="Q662" s="241"/>
      <c r="R662" s="241"/>
      <c r="S662" s="241"/>
      <c r="T662" s="241"/>
      <c r="U662" s="241"/>
      <c r="V662" s="241"/>
      <c r="W662" s="241"/>
      <c r="X662" s="241"/>
      <c r="Y662" s="241"/>
      <c r="Z662" s="241"/>
    </row>
    <row r="663" spans="16:26">
      <c r="P663" s="241"/>
      <c r="Q663" s="241"/>
      <c r="R663" s="241"/>
      <c r="S663" s="241"/>
      <c r="T663" s="241"/>
      <c r="U663" s="241"/>
      <c r="V663" s="241"/>
      <c r="W663" s="241"/>
      <c r="X663" s="241"/>
      <c r="Y663" s="241"/>
      <c r="Z663" s="241"/>
    </row>
    <row r="664" spans="16:26">
      <c r="P664" s="241"/>
      <c r="Q664" s="241"/>
      <c r="R664" s="241"/>
      <c r="S664" s="241"/>
      <c r="T664" s="241"/>
      <c r="U664" s="241"/>
      <c r="V664" s="241"/>
      <c r="W664" s="241"/>
      <c r="X664" s="241"/>
      <c r="Y664" s="241"/>
      <c r="Z664" s="241"/>
    </row>
    <row r="665" spans="16:26">
      <c r="P665" s="241"/>
      <c r="Q665" s="241"/>
      <c r="R665" s="241"/>
      <c r="S665" s="241"/>
      <c r="T665" s="241"/>
      <c r="U665" s="241"/>
      <c r="V665" s="241"/>
      <c r="W665" s="241"/>
      <c r="X665" s="241"/>
      <c r="Y665" s="241"/>
      <c r="Z665" s="241"/>
    </row>
    <row r="666" spans="16:26">
      <c r="P666" s="241"/>
      <c r="Q666" s="241"/>
      <c r="R666" s="241"/>
      <c r="S666" s="241"/>
      <c r="T666" s="241"/>
      <c r="U666" s="241"/>
      <c r="V666" s="241"/>
      <c r="W666" s="241"/>
      <c r="X666" s="241"/>
      <c r="Y666" s="241"/>
      <c r="Z666" s="241"/>
    </row>
    <row r="667" spans="16:26">
      <c r="P667" s="241"/>
      <c r="Q667" s="241"/>
      <c r="R667" s="241"/>
      <c r="S667" s="241"/>
      <c r="T667" s="241"/>
      <c r="U667" s="241"/>
      <c r="V667" s="241"/>
      <c r="W667" s="241"/>
      <c r="X667" s="241"/>
      <c r="Y667" s="241"/>
      <c r="Z667" s="241"/>
    </row>
    <row r="668" spans="16:26">
      <c r="P668" s="241"/>
      <c r="Q668" s="241"/>
      <c r="R668" s="241"/>
      <c r="S668" s="241"/>
      <c r="T668" s="241"/>
      <c r="U668" s="241"/>
      <c r="V668" s="241"/>
      <c r="W668" s="241"/>
      <c r="X668" s="241"/>
      <c r="Y668" s="241"/>
      <c r="Z668" s="241"/>
    </row>
    <row r="669" spans="16:26">
      <c r="P669" s="241"/>
      <c r="Q669" s="241"/>
      <c r="R669" s="241"/>
      <c r="S669" s="241"/>
      <c r="T669" s="241"/>
      <c r="U669" s="241"/>
      <c r="V669" s="241"/>
      <c r="W669" s="241"/>
      <c r="X669" s="241"/>
      <c r="Y669" s="241"/>
      <c r="Z669" s="241"/>
    </row>
    <row r="670" spans="16:26">
      <c r="P670" s="241"/>
      <c r="Q670" s="241"/>
      <c r="R670" s="241"/>
      <c r="S670" s="241"/>
      <c r="T670" s="241"/>
      <c r="U670" s="241"/>
      <c r="V670" s="241"/>
      <c r="W670" s="241"/>
      <c r="X670" s="241"/>
      <c r="Y670" s="241"/>
      <c r="Z670" s="241"/>
    </row>
    <row r="671" spans="16:26">
      <c r="P671" s="241"/>
      <c r="Q671" s="241"/>
      <c r="R671" s="241"/>
      <c r="S671" s="241"/>
      <c r="T671" s="241"/>
      <c r="U671" s="241"/>
      <c r="V671" s="241"/>
      <c r="W671" s="241"/>
      <c r="X671" s="241"/>
      <c r="Y671" s="241"/>
      <c r="Z671" s="241"/>
    </row>
    <row r="672" spans="16:26">
      <c r="P672" s="241"/>
      <c r="Q672" s="241"/>
      <c r="R672" s="241"/>
      <c r="S672" s="241"/>
      <c r="T672" s="241"/>
      <c r="U672" s="241"/>
      <c r="V672" s="241"/>
      <c r="W672" s="241"/>
      <c r="X672" s="241"/>
      <c r="Y672" s="241"/>
      <c r="Z672" s="241"/>
    </row>
    <row r="673" spans="16:26">
      <c r="P673" s="241"/>
      <c r="Q673" s="241"/>
      <c r="R673" s="241"/>
      <c r="S673" s="241"/>
      <c r="T673" s="241"/>
      <c r="U673" s="241"/>
      <c r="V673" s="241"/>
      <c r="W673" s="241"/>
      <c r="X673" s="241"/>
      <c r="Y673" s="241"/>
      <c r="Z673" s="241"/>
    </row>
    <row r="674" spans="16:26">
      <c r="P674" s="241"/>
      <c r="Q674" s="241"/>
      <c r="R674" s="241"/>
      <c r="S674" s="241"/>
      <c r="T674" s="241"/>
      <c r="U674" s="241"/>
      <c r="V674" s="241"/>
      <c r="W674" s="241"/>
      <c r="X674" s="241"/>
      <c r="Y674" s="241"/>
      <c r="Z674" s="241"/>
    </row>
    <row r="675" spans="16:26">
      <c r="P675" s="241"/>
      <c r="Q675" s="241"/>
      <c r="R675" s="241"/>
      <c r="S675" s="241"/>
      <c r="T675" s="241"/>
      <c r="U675" s="241"/>
      <c r="V675" s="241"/>
      <c r="W675" s="241"/>
      <c r="X675" s="241"/>
      <c r="Y675" s="241"/>
      <c r="Z675" s="241"/>
    </row>
    <row r="676" spans="16:26">
      <c r="P676" s="241"/>
      <c r="Q676" s="241"/>
      <c r="R676" s="241"/>
      <c r="S676" s="241"/>
      <c r="T676" s="241"/>
      <c r="U676" s="241"/>
      <c r="V676" s="241"/>
      <c r="W676" s="241"/>
      <c r="X676" s="241"/>
      <c r="Y676" s="241"/>
      <c r="Z676" s="241"/>
    </row>
    <row r="677" spans="16:26">
      <c r="P677" s="241"/>
      <c r="Q677" s="241"/>
      <c r="R677" s="241"/>
      <c r="S677" s="241"/>
      <c r="T677" s="241"/>
      <c r="U677" s="241"/>
      <c r="V677" s="241"/>
      <c r="W677" s="241"/>
      <c r="X677" s="241"/>
      <c r="Y677" s="241"/>
      <c r="Z677" s="241"/>
    </row>
    <row r="678" spans="16:26">
      <c r="P678" s="241"/>
      <c r="Q678" s="241"/>
      <c r="R678" s="241"/>
      <c r="S678" s="241"/>
      <c r="T678" s="241"/>
      <c r="U678" s="241"/>
      <c r="V678" s="241"/>
      <c r="W678" s="241"/>
      <c r="X678" s="241"/>
      <c r="Y678" s="241"/>
      <c r="Z678" s="241"/>
    </row>
    <row r="679" spans="16:26">
      <c r="P679" s="241"/>
      <c r="Q679" s="241"/>
      <c r="R679" s="241"/>
      <c r="S679" s="241"/>
      <c r="T679" s="241"/>
      <c r="U679" s="241"/>
      <c r="V679" s="241"/>
      <c r="W679" s="241"/>
      <c r="X679" s="241"/>
      <c r="Y679" s="241"/>
      <c r="Z679" s="241"/>
    </row>
    <row r="680" spans="16:26">
      <c r="P680" s="241"/>
      <c r="Q680" s="241"/>
      <c r="R680" s="241"/>
      <c r="S680" s="241"/>
      <c r="T680" s="241"/>
      <c r="U680" s="241"/>
      <c r="V680" s="241"/>
      <c r="W680" s="241"/>
      <c r="X680" s="241"/>
      <c r="Y680" s="241"/>
      <c r="Z680" s="241"/>
    </row>
    <row r="681" spans="16:26">
      <c r="P681" s="241"/>
      <c r="Q681" s="241"/>
      <c r="R681" s="241"/>
      <c r="S681" s="241"/>
      <c r="T681" s="241"/>
      <c r="U681" s="241"/>
      <c r="V681" s="241"/>
      <c r="W681" s="241"/>
      <c r="X681" s="241"/>
      <c r="Y681" s="241"/>
      <c r="Z681" s="241"/>
    </row>
    <row r="682" spans="16:26">
      <c r="P682" s="241"/>
      <c r="Q682" s="241"/>
      <c r="R682" s="241"/>
      <c r="S682" s="241"/>
      <c r="T682" s="241"/>
      <c r="U682" s="241"/>
      <c r="V682" s="241"/>
      <c r="W682" s="241"/>
      <c r="X682" s="241"/>
      <c r="Y682" s="241"/>
      <c r="Z682" s="241"/>
    </row>
    <row r="683" spans="16:26">
      <c r="P683" s="241"/>
      <c r="Q683" s="241"/>
      <c r="R683" s="241"/>
      <c r="S683" s="241"/>
      <c r="T683" s="241"/>
      <c r="U683" s="241"/>
      <c r="V683" s="241"/>
      <c r="W683" s="241"/>
      <c r="X683" s="241"/>
      <c r="Y683" s="241"/>
      <c r="Z683" s="241"/>
    </row>
    <row r="684" spans="16:26">
      <c r="P684" s="241"/>
      <c r="Q684" s="241"/>
      <c r="R684" s="241"/>
      <c r="S684" s="241"/>
      <c r="T684" s="241"/>
      <c r="U684" s="241"/>
      <c r="V684" s="241"/>
      <c r="W684" s="241"/>
      <c r="X684" s="241"/>
      <c r="Y684" s="241"/>
      <c r="Z684" s="241"/>
    </row>
    <row r="685" spans="16:26">
      <c r="P685" s="241"/>
      <c r="Q685" s="241"/>
      <c r="R685" s="241"/>
      <c r="S685" s="241"/>
      <c r="T685" s="241"/>
      <c r="U685" s="241"/>
      <c r="V685" s="241"/>
      <c r="W685" s="241"/>
      <c r="X685" s="241"/>
      <c r="Y685" s="241"/>
      <c r="Z685" s="241"/>
    </row>
    <row r="686" spans="16:26">
      <c r="P686" s="241"/>
      <c r="Q686" s="241"/>
      <c r="R686" s="241"/>
      <c r="S686" s="241"/>
      <c r="T686" s="241"/>
      <c r="U686" s="241"/>
      <c r="V686" s="241"/>
      <c r="W686" s="241"/>
      <c r="X686" s="241"/>
      <c r="Y686" s="241"/>
      <c r="Z686" s="241"/>
    </row>
    <row r="687" spans="16:26">
      <c r="P687" s="241"/>
      <c r="Q687" s="241"/>
      <c r="R687" s="241"/>
      <c r="S687" s="241"/>
      <c r="T687" s="241"/>
      <c r="U687" s="241"/>
      <c r="V687" s="241"/>
      <c r="W687" s="241"/>
      <c r="X687" s="241"/>
      <c r="Y687" s="241"/>
      <c r="Z687" s="241"/>
    </row>
    <row r="688" spans="16:26">
      <c r="P688" s="241"/>
      <c r="Q688" s="241"/>
      <c r="R688" s="241"/>
      <c r="S688" s="241"/>
      <c r="T688" s="241"/>
      <c r="U688" s="241"/>
      <c r="V688" s="241"/>
      <c r="W688" s="241"/>
      <c r="X688" s="241"/>
      <c r="Y688" s="241"/>
      <c r="Z688" s="241"/>
    </row>
    <row r="689" spans="16:26">
      <c r="P689" s="241"/>
      <c r="Q689" s="241"/>
      <c r="R689" s="241"/>
      <c r="S689" s="241"/>
      <c r="T689" s="241"/>
      <c r="U689" s="241"/>
      <c r="V689" s="241"/>
      <c r="W689" s="241"/>
      <c r="X689" s="241"/>
      <c r="Y689" s="241"/>
      <c r="Z689" s="241"/>
    </row>
    <row r="690" spans="16:26">
      <c r="P690" s="241"/>
      <c r="Q690" s="241"/>
      <c r="R690" s="241"/>
      <c r="S690" s="241"/>
      <c r="T690" s="241"/>
      <c r="U690" s="241"/>
      <c r="V690" s="241"/>
      <c r="W690" s="241"/>
      <c r="X690" s="241"/>
      <c r="Y690" s="241"/>
      <c r="Z690" s="241"/>
    </row>
    <row r="691" spans="16:26">
      <c r="P691" s="241"/>
      <c r="Q691" s="241"/>
      <c r="R691" s="241"/>
      <c r="S691" s="241"/>
      <c r="T691" s="241"/>
      <c r="U691" s="241"/>
      <c r="V691" s="241"/>
      <c r="W691" s="241"/>
      <c r="X691" s="241"/>
      <c r="Y691" s="241"/>
      <c r="Z691" s="241"/>
    </row>
    <row r="692" spans="16:26">
      <c r="P692" s="241"/>
      <c r="Q692" s="241"/>
      <c r="R692" s="241"/>
      <c r="S692" s="241"/>
      <c r="T692" s="241"/>
      <c r="U692" s="241"/>
      <c r="V692" s="241"/>
      <c r="W692" s="241"/>
      <c r="X692" s="241"/>
      <c r="Y692" s="241"/>
      <c r="Z692" s="241"/>
    </row>
    <row r="693" spans="16:26">
      <c r="P693" s="241"/>
      <c r="Q693" s="241"/>
      <c r="R693" s="241"/>
      <c r="S693" s="241"/>
      <c r="T693" s="241"/>
      <c r="U693" s="241"/>
      <c r="V693" s="241"/>
      <c r="W693" s="241"/>
      <c r="X693" s="241"/>
      <c r="Y693" s="241"/>
      <c r="Z693" s="241"/>
    </row>
    <row r="694" spans="16:26">
      <c r="P694" s="241"/>
      <c r="Q694" s="241"/>
      <c r="R694" s="241"/>
      <c r="S694" s="241"/>
      <c r="T694" s="241"/>
      <c r="U694" s="241"/>
      <c r="V694" s="241"/>
      <c r="W694" s="241"/>
      <c r="X694" s="241"/>
      <c r="Y694" s="241"/>
      <c r="Z694" s="241"/>
    </row>
    <row r="695" spans="16:26">
      <c r="P695" s="241"/>
      <c r="Q695" s="241"/>
      <c r="R695" s="241"/>
      <c r="S695" s="241"/>
      <c r="T695" s="241"/>
      <c r="U695" s="241"/>
      <c r="V695" s="241"/>
      <c r="W695" s="241"/>
      <c r="X695" s="241"/>
      <c r="Y695" s="241"/>
      <c r="Z695" s="241"/>
    </row>
    <row r="696" spans="16:26">
      <c r="P696" s="241"/>
      <c r="Q696" s="241"/>
      <c r="R696" s="241"/>
      <c r="S696" s="241"/>
      <c r="T696" s="241"/>
      <c r="U696" s="241"/>
      <c r="V696" s="241"/>
      <c r="W696" s="241"/>
      <c r="X696" s="241"/>
      <c r="Y696" s="241"/>
      <c r="Z696" s="241"/>
    </row>
    <row r="697" spans="16:26">
      <c r="P697" s="241"/>
      <c r="Q697" s="241"/>
      <c r="R697" s="241"/>
      <c r="S697" s="241"/>
      <c r="T697" s="241"/>
      <c r="U697" s="241"/>
      <c r="V697" s="241"/>
      <c r="W697" s="241"/>
      <c r="X697" s="241"/>
      <c r="Y697" s="241"/>
      <c r="Z697" s="241"/>
    </row>
    <row r="698" spans="16:26">
      <c r="P698" s="241"/>
      <c r="Q698" s="241"/>
      <c r="R698" s="241"/>
      <c r="S698" s="241"/>
      <c r="T698" s="241"/>
      <c r="U698" s="241"/>
      <c r="V698" s="241"/>
      <c r="W698" s="241"/>
      <c r="X698" s="241"/>
      <c r="Y698" s="241"/>
      <c r="Z698" s="241"/>
    </row>
    <row r="699" spans="16:26">
      <c r="P699" s="241"/>
      <c r="Q699" s="241"/>
      <c r="R699" s="241"/>
      <c r="S699" s="241"/>
      <c r="T699" s="241"/>
      <c r="U699" s="241"/>
      <c r="V699" s="241"/>
      <c r="W699" s="241"/>
      <c r="X699" s="241"/>
      <c r="Y699" s="241"/>
      <c r="Z699" s="241"/>
    </row>
    <row r="700" spans="16:26">
      <c r="P700" s="241"/>
      <c r="Q700" s="241"/>
      <c r="R700" s="241"/>
      <c r="S700" s="241"/>
      <c r="T700" s="241"/>
      <c r="U700" s="241"/>
      <c r="V700" s="241"/>
      <c r="W700" s="241"/>
      <c r="X700" s="241"/>
      <c r="Y700" s="241"/>
      <c r="Z700" s="241"/>
    </row>
    <row r="701" spans="16:26">
      <c r="P701" s="241"/>
      <c r="Q701" s="241"/>
      <c r="R701" s="241"/>
      <c r="S701" s="241"/>
      <c r="T701" s="241"/>
      <c r="U701" s="241"/>
      <c r="V701" s="241"/>
      <c r="W701" s="241"/>
      <c r="X701" s="241"/>
      <c r="Y701" s="241"/>
      <c r="Z701" s="241"/>
    </row>
    <row r="702" spans="16:26">
      <c r="P702" s="241"/>
      <c r="Q702" s="241"/>
      <c r="R702" s="241"/>
      <c r="S702" s="241"/>
      <c r="T702" s="241"/>
      <c r="U702" s="241"/>
      <c r="V702" s="241"/>
      <c r="W702" s="241"/>
      <c r="X702" s="241"/>
      <c r="Y702" s="241"/>
      <c r="Z702" s="241"/>
    </row>
    <row r="703" spans="16:26">
      <c r="P703" s="241"/>
      <c r="Q703" s="241"/>
      <c r="R703" s="241"/>
      <c r="S703" s="241"/>
      <c r="T703" s="241"/>
      <c r="U703" s="241"/>
      <c r="V703" s="241"/>
      <c r="W703" s="241"/>
      <c r="X703" s="241"/>
      <c r="Y703" s="241"/>
      <c r="Z703" s="241"/>
    </row>
    <row r="704" spans="16:26">
      <c r="P704" s="241"/>
      <c r="Q704" s="241"/>
      <c r="R704" s="241"/>
      <c r="S704" s="241"/>
      <c r="T704" s="241"/>
      <c r="U704" s="241"/>
      <c r="V704" s="241"/>
      <c r="W704" s="241"/>
      <c r="X704" s="241"/>
      <c r="Y704" s="241"/>
      <c r="Z704" s="241"/>
    </row>
    <row r="705" spans="16:26">
      <c r="P705" s="241"/>
      <c r="Q705" s="241"/>
      <c r="R705" s="241"/>
      <c r="S705" s="241"/>
      <c r="T705" s="241"/>
      <c r="U705" s="241"/>
      <c r="V705" s="241"/>
      <c r="W705" s="241"/>
      <c r="X705" s="241"/>
      <c r="Y705" s="241"/>
      <c r="Z705" s="241"/>
    </row>
    <row r="706" spans="16:26">
      <c r="P706" s="241"/>
      <c r="Q706" s="241"/>
      <c r="R706" s="241"/>
      <c r="S706" s="241"/>
      <c r="T706" s="241"/>
      <c r="U706" s="241"/>
      <c r="V706" s="241"/>
      <c r="W706" s="241"/>
      <c r="X706" s="241"/>
      <c r="Y706" s="241"/>
      <c r="Z706" s="241"/>
    </row>
    <row r="707" spans="16:26">
      <c r="P707" s="241"/>
      <c r="Q707" s="241"/>
      <c r="R707" s="241"/>
      <c r="S707" s="241"/>
      <c r="T707" s="241"/>
      <c r="U707" s="241"/>
      <c r="V707" s="241"/>
      <c r="W707" s="241"/>
      <c r="X707" s="241"/>
      <c r="Y707" s="241"/>
      <c r="Z707" s="241"/>
    </row>
    <row r="708" spans="16:26">
      <c r="P708" s="241"/>
      <c r="Q708" s="241"/>
      <c r="R708" s="241"/>
      <c r="S708" s="241"/>
      <c r="T708" s="241"/>
      <c r="U708" s="241"/>
      <c r="V708" s="241"/>
      <c r="W708" s="241"/>
      <c r="X708" s="241"/>
      <c r="Y708" s="241"/>
      <c r="Z708" s="241"/>
    </row>
    <row r="709" spans="16:26">
      <c r="P709" s="241"/>
      <c r="Q709" s="241"/>
      <c r="R709" s="241"/>
      <c r="S709" s="241"/>
      <c r="T709" s="241"/>
      <c r="U709" s="241"/>
      <c r="V709" s="241"/>
      <c r="W709" s="241"/>
      <c r="X709" s="241"/>
      <c r="Y709" s="241"/>
      <c r="Z709" s="241"/>
    </row>
    <row r="710" spans="16:26">
      <c r="P710" s="241"/>
      <c r="Q710" s="241"/>
      <c r="R710" s="241"/>
      <c r="S710" s="241"/>
      <c r="T710" s="241"/>
      <c r="U710" s="241"/>
      <c r="V710" s="241"/>
      <c r="W710" s="241"/>
      <c r="X710" s="241"/>
      <c r="Y710" s="241"/>
      <c r="Z710" s="241"/>
    </row>
    <row r="711" spans="16:26">
      <c r="P711" s="241"/>
      <c r="Q711" s="241"/>
      <c r="R711" s="241"/>
      <c r="S711" s="241"/>
      <c r="T711" s="241"/>
      <c r="U711" s="241"/>
      <c r="V711" s="241"/>
      <c r="W711" s="241"/>
      <c r="X711" s="241"/>
      <c r="Y711" s="241"/>
      <c r="Z711" s="241"/>
    </row>
    <row r="712" spans="16:26">
      <c r="P712" s="241"/>
      <c r="Q712" s="241"/>
      <c r="R712" s="241"/>
      <c r="S712" s="241"/>
      <c r="T712" s="241"/>
      <c r="U712" s="241"/>
      <c r="V712" s="241"/>
      <c r="W712" s="241"/>
      <c r="X712" s="241"/>
      <c r="Y712" s="241"/>
      <c r="Z712" s="241"/>
    </row>
    <row r="713" spans="16:26">
      <c r="P713" s="241"/>
      <c r="Q713" s="241"/>
      <c r="R713" s="241"/>
      <c r="S713" s="241"/>
      <c r="T713" s="241"/>
      <c r="U713" s="241"/>
      <c r="V713" s="241"/>
      <c r="W713" s="241"/>
      <c r="X713" s="241"/>
      <c r="Y713" s="241"/>
      <c r="Z713" s="241"/>
    </row>
    <row r="714" spans="16:26">
      <c r="P714" s="241"/>
      <c r="Q714" s="241"/>
      <c r="R714" s="241"/>
      <c r="S714" s="241"/>
      <c r="T714" s="241"/>
      <c r="U714" s="241"/>
      <c r="V714" s="241"/>
      <c r="W714" s="241"/>
      <c r="X714" s="241"/>
      <c r="Y714" s="241"/>
      <c r="Z714" s="241"/>
    </row>
    <row r="715" spans="16:26">
      <c r="P715" s="241"/>
      <c r="Q715" s="241"/>
      <c r="R715" s="241"/>
      <c r="S715" s="241"/>
      <c r="T715" s="241"/>
      <c r="U715" s="241"/>
      <c r="V715" s="241"/>
      <c r="W715" s="241"/>
      <c r="X715" s="241"/>
      <c r="Y715" s="241"/>
      <c r="Z715" s="241"/>
    </row>
    <row r="716" spans="16:26">
      <c r="P716" s="241"/>
      <c r="Q716" s="241"/>
      <c r="R716" s="241"/>
      <c r="S716" s="241"/>
      <c r="T716" s="241"/>
      <c r="U716" s="241"/>
      <c r="V716" s="241"/>
      <c r="W716" s="241"/>
      <c r="X716" s="241"/>
      <c r="Y716" s="241"/>
      <c r="Z716" s="241"/>
    </row>
    <row r="717" spans="16:26">
      <c r="P717" s="241"/>
      <c r="Q717" s="241"/>
      <c r="R717" s="241"/>
      <c r="S717" s="241"/>
      <c r="T717" s="241"/>
      <c r="U717" s="241"/>
      <c r="V717" s="241"/>
      <c r="W717" s="241"/>
      <c r="X717" s="241"/>
      <c r="Y717" s="241"/>
      <c r="Z717" s="241"/>
    </row>
    <row r="718" spans="16:26">
      <c r="P718" s="241"/>
      <c r="Q718" s="241"/>
      <c r="R718" s="241"/>
      <c r="S718" s="241"/>
      <c r="T718" s="241"/>
      <c r="U718" s="241"/>
      <c r="V718" s="241"/>
      <c r="W718" s="241"/>
      <c r="X718" s="241"/>
      <c r="Y718" s="241"/>
      <c r="Z718" s="241"/>
    </row>
    <row r="719" spans="16:26">
      <c r="P719" s="241"/>
      <c r="Q719" s="241"/>
      <c r="R719" s="241"/>
      <c r="S719" s="241"/>
      <c r="T719" s="241"/>
      <c r="U719" s="241"/>
      <c r="V719" s="241"/>
      <c r="W719" s="241"/>
      <c r="X719" s="241"/>
      <c r="Y719" s="241"/>
      <c r="Z719" s="241"/>
    </row>
    <row r="720" spans="16:26">
      <c r="P720" s="241"/>
      <c r="Q720" s="241"/>
      <c r="R720" s="241"/>
      <c r="S720" s="241"/>
      <c r="T720" s="241"/>
      <c r="U720" s="241"/>
      <c r="V720" s="241"/>
      <c r="W720" s="241"/>
      <c r="X720" s="241"/>
      <c r="Y720" s="241"/>
      <c r="Z720" s="241"/>
    </row>
    <row r="721" spans="16:26">
      <c r="P721" s="241"/>
      <c r="Q721" s="241"/>
      <c r="R721" s="241"/>
      <c r="S721" s="241"/>
      <c r="T721" s="241"/>
      <c r="U721" s="241"/>
      <c r="V721" s="241"/>
      <c r="W721" s="241"/>
      <c r="X721" s="241"/>
      <c r="Y721" s="241"/>
      <c r="Z721" s="241"/>
    </row>
    <row r="722" spans="16:26">
      <c r="P722" s="241"/>
      <c r="Q722" s="241"/>
      <c r="R722" s="241"/>
      <c r="S722" s="241"/>
      <c r="T722" s="241"/>
      <c r="U722" s="241"/>
      <c r="V722" s="241"/>
      <c r="W722" s="241"/>
      <c r="X722" s="241"/>
      <c r="Y722" s="241"/>
      <c r="Z722" s="241"/>
    </row>
    <row r="723" spans="16:26">
      <c r="P723" s="241"/>
      <c r="Q723" s="241"/>
      <c r="R723" s="241"/>
      <c r="S723" s="241"/>
      <c r="T723" s="241"/>
      <c r="U723" s="241"/>
      <c r="V723" s="241"/>
      <c r="W723" s="241"/>
      <c r="X723" s="241"/>
      <c r="Y723" s="241"/>
      <c r="Z723" s="241"/>
    </row>
    <row r="724" spans="16:26">
      <c r="P724" s="241"/>
      <c r="Q724" s="241"/>
      <c r="R724" s="241"/>
      <c r="S724" s="241"/>
      <c r="T724" s="241"/>
      <c r="U724" s="241"/>
      <c r="V724" s="241"/>
      <c r="W724" s="241"/>
      <c r="X724" s="241"/>
      <c r="Y724" s="241"/>
      <c r="Z724" s="241"/>
    </row>
    <row r="725" spans="16:26">
      <c r="P725" s="241"/>
      <c r="Q725" s="241"/>
      <c r="R725" s="241"/>
      <c r="S725" s="241"/>
      <c r="T725" s="241"/>
      <c r="U725" s="241"/>
      <c r="V725" s="241"/>
      <c r="W725" s="241"/>
      <c r="X725" s="241"/>
      <c r="Y725" s="241"/>
      <c r="Z725" s="241"/>
    </row>
    <row r="726" spans="16:26">
      <c r="P726" s="241"/>
      <c r="Q726" s="241"/>
      <c r="R726" s="241"/>
      <c r="S726" s="241"/>
      <c r="T726" s="241"/>
      <c r="U726" s="241"/>
      <c r="V726" s="241"/>
      <c r="W726" s="241"/>
      <c r="X726" s="241"/>
      <c r="Y726" s="241"/>
      <c r="Z726" s="241"/>
    </row>
    <row r="727" spans="16:26">
      <c r="P727" s="241"/>
      <c r="Q727" s="241"/>
      <c r="R727" s="241"/>
      <c r="S727" s="241"/>
      <c r="T727" s="241"/>
      <c r="U727" s="241"/>
      <c r="V727" s="241"/>
      <c r="W727" s="241"/>
      <c r="X727" s="241"/>
      <c r="Y727" s="241"/>
      <c r="Z727" s="241"/>
    </row>
    <row r="728" spans="16:26">
      <c r="P728" s="241"/>
      <c r="Q728" s="241"/>
      <c r="R728" s="241"/>
      <c r="S728" s="241"/>
      <c r="T728" s="241"/>
      <c r="U728" s="241"/>
      <c r="V728" s="241"/>
      <c r="W728" s="241"/>
      <c r="X728" s="241"/>
      <c r="Y728" s="241"/>
      <c r="Z728" s="241"/>
    </row>
    <row r="729" spans="16:26">
      <c r="P729" s="241"/>
      <c r="Q729" s="241"/>
      <c r="R729" s="241"/>
      <c r="S729" s="241"/>
      <c r="T729" s="241"/>
      <c r="U729" s="241"/>
      <c r="V729" s="241"/>
      <c r="W729" s="241"/>
      <c r="X729" s="241"/>
      <c r="Y729" s="241"/>
      <c r="Z729" s="241"/>
    </row>
    <row r="730" spans="16:26">
      <c r="P730" s="241"/>
      <c r="Q730" s="241"/>
      <c r="R730" s="241"/>
      <c r="S730" s="241"/>
      <c r="T730" s="241"/>
      <c r="U730" s="241"/>
      <c r="V730" s="241"/>
      <c r="W730" s="241"/>
      <c r="X730" s="241"/>
      <c r="Y730" s="241"/>
      <c r="Z730" s="241"/>
    </row>
    <row r="731" spans="16:26">
      <c r="P731" s="241"/>
      <c r="Q731" s="241"/>
      <c r="R731" s="241"/>
      <c r="S731" s="241"/>
      <c r="T731" s="241"/>
      <c r="U731" s="241"/>
      <c r="V731" s="241"/>
      <c r="W731" s="241"/>
      <c r="X731" s="241"/>
      <c r="Y731" s="241"/>
      <c r="Z731" s="241"/>
    </row>
    <row r="732" spans="16:26">
      <c r="P732" s="241"/>
      <c r="Q732" s="241"/>
      <c r="R732" s="241"/>
      <c r="S732" s="241"/>
      <c r="T732" s="241"/>
      <c r="U732" s="241"/>
      <c r="V732" s="241"/>
      <c r="W732" s="241"/>
      <c r="X732" s="241"/>
      <c r="Y732" s="241"/>
      <c r="Z732" s="241"/>
    </row>
    <row r="733" spans="16:26">
      <c r="P733" s="241"/>
      <c r="Q733" s="241"/>
      <c r="R733" s="241"/>
      <c r="S733" s="241"/>
      <c r="T733" s="241"/>
      <c r="U733" s="241"/>
      <c r="V733" s="241"/>
      <c r="W733" s="241"/>
      <c r="X733" s="241"/>
      <c r="Y733" s="241"/>
      <c r="Z733" s="241"/>
    </row>
    <row r="734" spans="16:26">
      <c r="P734" s="241"/>
      <c r="Q734" s="241"/>
      <c r="R734" s="241"/>
      <c r="S734" s="241"/>
      <c r="T734" s="241"/>
      <c r="U734" s="241"/>
      <c r="V734" s="241"/>
      <c r="W734" s="241"/>
      <c r="X734" s="241"/>
      <c r="Y734" s="241"/>
      <c r="Z734" s="241"/>
    </row>
    <row r="735" spans="16:26">
      <c r="P735" s="241"/>
      <c r="Q735" s="241"/>
      <c r="R735" s="241"/>
      <c r="S735" s="241"/>
      <c r="T735" s="241"/>
      <c r="U735" s="241"/>
      <c r="V735" s="241"/>
      <c r="W735" s="241"/>
      <c r="X735" s="241"/>
      <c r="Y735" s="241"/>
      <c r="Z735" s="241"/>
    </row>
    <row r="736" spans="16:26">
      <c r="P736" s="241"/>
      <c r="Q736" s="241"/>
      <c r="R736" s="241"/>
      <c r="S736" s="241"/>
      <c r="T736" s="241"/>
      <c r="U736" s="241"/>
      <c r="V736" s="241"/>
      <c r="W736" s="241"/>
      <c r="X736" s="241"/>
      <c r="Y736" s="241"/>
      <c r="Z736" s="241"/>
    </row>
    <row r="737" spans="16:26">
      <c r="P737" s="241"/>
      <c r="Q737" s="241"/>
      <c r="R737" s="241"/>
      <c r="S737" s="241"/>
      <c r="T737" s="241"/>
      <c r="U737" s="241"/>
      <c r="V737" s="241"/>
      <c r="W737" s="241"/>
      <c r="X737" s="241"/>
      <c r="Y737" s="241"/>
      <c r="Z737" s="241"/>
    </row>
    <row r="738" spans="16:26">
      <c r="P738" s="241"/>
      <c r="Q738" s="241"/>
      <c r="R738" s="241"/>
      <c r="S738" s="241"/>
      <c r="T738" s="241"/>
      <c r="U738" s="241"/>
      <c r="V738" s="241"/>
      <c r="W738" s="241"/>
      <c r="X738" s="241"/>
      <c r="Y738" s="241"/>
      <c r="Z738" s="241"/>
    </row>
    <row r="739" spans="16:26">
      <c r="P739" s="241"/>
      <c r="Q739" s="241"/>
      <c r="R739" s="241"/>
      <c r="S739" s="241"/>
      <c r="T739" s="241"/>
      <c r="U739" s="241"/>
      <c r="V739" s="241"/>
      <c r="W739" s="241"/>
      <c r="X739" s="241"/>
      <c r="Y739" s="241"/>
      <c r="Z739" s="241"/>
    </row>
    <row r="740" spans="16:26">
      <c r="P740" s="241"/>
      <c r="Q740" s="241"/>
      <c r="R740" s="241"/>
      <c r="S740" s="241"/>
      <c r="T740" s="241"/>
      <c r="U740" s="241"/>
      <c r="V740" s="241"/>
      <c r="W740" s="241"/>
      <c r="X740" s="241"/>
      <c r="Y740" s="241"/>
      <c r="Z740" s="241"/>
    </row>
    <row r="741" spans="16:26">
      <c r="P741" s="241"/>
      <c r="Q741" s="241"/>
      <c r="R741" s="241"/>
      <c r="S741" s="241"/>
      <c r="T741" s="241"/>
      <c r="U741" s="241"/>
      <c r="V741" s="241"/>
      <c r="W741" s="241"/>
      <c r="X741" s="241"/>
      <c r="Y741" s="241"/>
      <c r="Z741" s="241"/>
    </row>
    <row r="742" spans="16:26">
      <c r="P742" s="241"/>
      <c r="Q742" s="241"/>
      <c r="R742" s="241"/>
      <c r="S742" s="241"/>
      <c r="T742" s="241"/>
      <c r="U742" s="241"/>
      <c r="V742" s="241"/>
      <c r="W742" s="241"/>
      <c r="X742" s="241"/>
      <c r="Y742" s="241"/>
      <c r="Z742" s="241"/>
    </row>
    <row r="743" spans="16:26">
      <c r="P743" s="241"/>
      <c r="Q743" s="241"/>
      <c r="R743" s="241"/>
      <c r="S743" s="241"/>
      <c r="T743" s="241"/>
      <c r="U743" s="241"/>
      <c r="V743" s="241"/>
      <c r="W743" s="241"/>
      <c r="X743" s="241"/>
      <c r="Y743" s="241"/>
      <c r="Z743" s="241"/>
    </row>
    <row r="744" spans="16:26">
      <c r="P744" s="241"/>
      <c r="Q744" s="241"/>
      <c r="R744" s="241"/>
      <c r="S744" s="241"/>
      <c r="T744" s="241"/>
      <c r="U744" s="241"/>
      <c r="V744" s="241"/>
      <c r="W744" s="241"/>
      <c r="X744" s="241"/>
      <c r="Y744" s="241"/>
      <c r="Z744" s="241"/>
    </row>
    <row r="745" spans="16:26">
      <c r="P745" s="241"/>
      <c r="Q745" s="241"/>
      <c r="R745" s="241"/>
      <c r="S745" s="241"/>
      <c r="T745" s="241"/>
      <c r="U745" s="241"/>
      <c r="V745" s="241"/>
      <c r="W745" s="241"/>
      <c r="X745" s="241"/>
      <c r="Y745" s="241"/>
      <c r="Z745" s="241"/>
    </row>
    <row r="746" spans="16:26">
      <c r="P746" s="241"/>
      <c r="Q746" s="241"/>
      <c r="R746" s="241"/>
      <c r="S746" s="241"/>
      <c r="T746" s="241"/>
      <c r="U746" s="241"/>
      <c r="V746" s="241"/>
      <c r="W746" s="241"/>
      <c r="X746" s="241"/>
      <c r="Y746" s="241"/>
      <c r="Z746" s="241"/>
    </row>
    <row r="747" spans="16:26">
      <c r="P747" s="241"/>
      <c r="Q747" s="241"/>
      <c r="R747" s="241"/>
      <c r="S747" s="241"/>
      <c r="T747" s="241"/>
      <c r="U747" s="241"/>
      <c r="V747" s="241"/>
      <c r="W747" s="241"/>
      <c r="X747" s="241"/>
      <c r="Y747" s="241"/>
      <c r="Z747" s="241"/>
    </row>
    <row r="748" spans="16:26">
      <c r="P748" s="241"/>
      <c r="Q748" s="241"/>
      <c r="R748" s="241"/>
      <c r="S748" s="241"/>
      <c r="T748" s="241"/>
      <c r="U748" s="241"/>
      <c r="V748" s="241"/>
      <c r="W748" s="241"/>
      <c r="X748" s="241"/>
      <c r="Y748" s="241"/>
      <c r="Z748" s="241"/>
    </row>
    <row r="749" spans="16:26">
      <c r="P749" s="241"/>
      <c r="Q749" s="241"/>
      <c r="R749" s="241"/>
      <c r="S749" s="241"/>
      <c r="T749" s="241"/>
      <c r="U749" s="241"/>
      <c r="V749" s="241"/>
      <c r="W749" s="241"/>
      <c r="X749" s="241"/>
      <c r="Y749" s="241"/>
      <c r="Z749" s="241"/>
    </row>
    <row r="750" spans="16:26">
      <c r="P750" s="241"/>
      <c r="Q750" s="241"/>
      <c r="R750" s="241"/>
      <c r="S750" s="241"/>
      <c r="T750" s="241"/>
      <c r="U750" s="241"/>
      <c r="V750" s="241"/>
      <c r="W750" s="241"/>
      <c r="X750" s="241"/>
      <c r="Y750" s="241"/>
      <c r="Z750" s="241"/>
    </row>
    <row r="751" spans="16:26">
      <c r="P751" s="241"/>
      <c r="Q751" s="241"/>
      <c r="R751" s="241"/>
      <c r="S751" s="241"/>
      <c r="T751" s="241"/>
      <c r="U751" s="241"/>
      <c r="V751" s="241"/>
      <c r="W751" s="241"/>
      <c r="X751" s="241"/>
      <c r="Y751" s="241"/>
      <c r="Z751" s="241"/>
    </row>
    <row r="752" spans="16:26">
      <c r="P752" s="241"/>
      <c r="Q752" s="241"/>
      <c r="R752" s="241"/>
      <c r="S752" s="241"/>
      <c r="T752" s="241"/>
      <c r="U752" s="241"/>
      <c r="V752" s="241"/>
      <c r="W752" s="241"/>
      <c r="X752" s="241"/>
      <c r="Y752" s="241"/>
      <c r="Z752" s="241"/>
    </row>
    <row r="753" spans="16:26">
      <c r="P753" s="241"/>
      <c r="Q753" s="241"/>
      <c r="R753" s="241"/>
      <c r="S753" s="241"/>
      <c r="T753" s="241"/>
      <c r="U753" s="241"/>
      <c r="V753" s="241"/>
      <c r="W753" s="241"/>
      <c r="X753" s="241"/>
      <c r="Y753" s="241"/>
      <c r="Z753" s="241"/>
    </row>
    <row r="754" spans="16:26">
      <c r="P754" s="241"/>
      <c r="Q754" s="241"/>
      <c r="R754" s="241"/>
      <c r="S754" s="241"/>
      <c r="T754" s="241"/>
      <c r="U754" s="241"/>
      <c r="V754" s="241"/>
      <c r="W754" s="241"/>
      <c r="X754" s="241"/>
      <c r="Y754" s="241"/>
      <c r="Z754" s="241"/>
    </row>
    <row r="755" spans="16:26">
      <c r="P755" s="241"/>
      <c r="Q755" s="241"/>
      <c r="R755" s="241"/>
      <c r="S755" s="241"/>
      <c r="T755" s="241"/>
      <c r="U755" s="241"/>
      <c r="V755" s="241"/>
      <c r="W755" s="241"/>
      <c r="X755" s="241"/>
      <c r="Y755" s="241"/>
      <c r="Z755" s="241"/>
    </row>
    <row r="756" spans="16:26">
      <c r="P756" s="241"/>
      <c r="Q756" s="241"/>
      <c r="R756" s="241"/>
      <c r="S756" s="241"/>
      <c r="T756" s="241"/>
      <c r="U756" s="241"/>
      <c r="V756" s="241"/>
      <c r="W756" s="241"/>
      <c r="X756" s="241"/>
      <c r="Y756" s="241"/>
      <c r="Z756" s="241"/>
    </row>
    <row r="757" spans="16:26">
      <c r="P757" s="241"/>
      <c r="Q757" s="241"/>
      <c r="R757" s="241"/>
      <c r="S757" s="241"/>
      <c r="T757" s="241"/>
      <c r="U757" s="241"/>
      <c r="V757" s="241"/>
      <c r="W757" s="241"/>
      <c r="X757" s="241"/>
      <c r="Y757" s="241"/>
      <c r="Z757" s="241"/>
    </row>
    <row r="758" spans="16:26">
      <c r="P758" s="241"/>
      <c r="Q758" s="241"/>
      <c r="R758" s="241"/>
      <c r="S758" s="241"/>
      <c r="T758" s="241"/>
      <c r="U758" s="241"/>
      <c r="V758" s="241"/>
      <c r="W758" s="241"/>
      <c r="X758" s="241"/>
      <c r="Y758" s="241"/>
      <c r="Z758" s="241"/>
    </row>
    <row r="759" spans="16:26">
      <c r="P759" s="241"/>
      <c r="Q759" s="241"/>
      <c r="R759" s="241"/>
      <c r="S759" s="241"/>
      <c r="T759" s="241"/>
      <c r="U759" s="241"/>
      <c r="V759" s="241"/>
      <c r="W759" s="241"/>
      <c r="X759" s="241"/>
      <c r="Y759" s="241"/>
      <c r="Z759" s="241"/>
    </row>
    <row r="760" spans="16:26">
      <c r="P760" s="241"/>
      <c r="Q760" s="241"/>
      <c r="R760" s="241"/>
      <c r="S760" s="241"/>
      <c r="T760" s="241"/>
      <c r="U760" s="241"/>
      <c r="V760" s="241"/>
      <c r="W760" s="241"/>
      <c r="X760" s="241"/>
      <c r="Y760" s="241"/>
      <c r="Z760" s="241"/>
    </row>
    <row r="761" spans="16:26">
      <c r="P761" s="241"/>
      <c r="Q761" s="241"/>
      <c r="R761" s="241"/>
      <c r="S761" s="241"/>
      <c r="T761" s="241"/>
      <c r="U761" s="241"/>
      <c r="V761" s="241"/>
      <c r="W761" s="241"/>
      <c r="X761" s="241"/>
      <c r="Y761" s="241"/>
      <c r="Z761" s="241"/>
    </row>
    <row r="762" spans="16:26">
      <c r="P762" s="241"/>
      <c r="Q762" s="241"/>
      <c r="R762" s="241"/>
      <c r="S762" s="241"/>
      <c r="T762" s="241"/>
      <c r="U762" s="241"/>
      <c r="V762" s="241"/>
      <c r="W762" s="241"/>
      <c r="X762" s="241"/>
      <c r="Y762" s="241"/>
      <c r="Z762" s="241"/>
    </row>
    <row r="763" spans="16:26">
      <c r="P763" s="241"/>
      <c r="Q763" s="241"/>
      <c r="R763" s="241"/>
      <c r="S763" s="241"/>
      <c r="T763" s="241"/>
      <c r="U763" s="241"/>
      <c r="V763" s="241"/>
      <c r="W763" s="241"/>
      <c r="X763" s="241"/>
      <c r="Y763" s="241"/>
      <c r="Z763" s="241"/>
    </row>
    <row r="764" spans="16:26">
      <c r="P764" s="241"/>
      <c r="Q764" s="241"/>
      <c r="R764" s="241"/>
      <c r="S764" s="241"/>
      <c r="T764" s="241"/>
      <c r="U764" s="241"/>
      <c r="V764" s="241"/>
      <c r="W764" s="241"/>
      <c r="X764" s="241"/>
      <c r="Y764" s="241"/>
      <c r="Z764" s="241"/>
    </row>
    <row r="765" spans="16:26">
      <c r="P765" s="241"/>
      <c r="Q765" s="241"/>
      <c r="R765" s="241"/>
      <c r="S765" s="241"/>
      <c r="T765" s="241"/>
      <c r="U765" s="241"/>
      <c r="V765" s="241"/>
      <c r="W765" s="241"/>
      <c r="X765" s="241"/>
      <c r="Y765" s="241"/>
      <c r="Z765" s="241"/>
    </row>
    <row r="766" spans="16:26">
      <c r="P766" s="241"/>
      <c r="Q766" s="241"/>
      <c r="R766" s="241"/>
      <c r="S766" s="241"/>
      <c r="T766" s="241"/>
      <c r="U766" s="241"/>
      <c r="V766" s="241"/>
      <c r="W766" s="241"/>
      <c r="X766" s="241"/>
      <c r="Y766" s="241"/>
      <c r="Z766" s="241"/>
    </row>
    <row r="767" spans="16:26">
      <c r="P767" s="241"/>
      <c r="Q767" s="241"/>
      <c r="R767" s="241"/>
      <c r="S767" s="241"/>
      <c r="T767" s="241"/>
      <c r="U767" s="241"/>
      <c r="V767" s="241"/>
      <c r="W767" s="241"/>
      <c r="X767" s="241"/>
      <c r="Y767" s="241"/>
      <c r="Z767" s="241"/>
    </row>
    <row r="768" spans="16:26">
      <c r="P768" s="241"/>
      <c r="Q768" s="241"/>
      <c r="R768" s="241"/>
      <c r="S768" s="241"/>
      <c r="T768" s="241"/>
      <c r="U768" s="241"/>
      <c r="V768" s="241"/>
      <c r="W768" s="241"/>
      <c r="X768" s="241"/>
      <c r="Y768" s="241"/>
      <c r="Z768" s="241"/>
    </row>
    <row r="769" spans="16:26">
      <c r="P769" s="241"/>
      <c r="Q769" s="241"/>
      <c r="R769" s="241"/>
      <c r="S769" s="241"/>
      <c r="T769" s="241"/>
      <c r="U769" s="241"/>
      <c r="V769" s="241"/>
      <c r="W769" s="241"/>
      <c r="X769" s="241"/>
      <c r="Y769" s="241"/>
      <c r="Z769" s="241"/>
    </row>
    <row r="770" spans="16:26">
      <c r="P770" s="241"/>
      <c r="Q770" s="241"/>
      <c r="R770" s="241"/>
      <c r="S770" s="241"/>
      <c r="T770" s="241"/>
      <c r="U770" s="241"/>
      <c r="V770" s="241"/>
      <c r="W770" s="241"/>
      <c r="X770" s="241"/>
      <c r="Y770" s="241"/>
      <c r="Z770" s="241"/>
    </row>
    <row r="771" spans="16:26">
      <c r="P771" s="241"/>
      <c r="Q771" s="241"/>
      <c r="R771" s="241"/>
      <c r="S771" s="241"/>
      <c r="T771" s="241"/>
      <c r="U771" s="241"/>
      <c r="V771" s="241"/>
      <c r="W771" s="241"/>
      <c r="X771" s="241"/>
      <c r="Y771" s="241"/>
      <c r="Z771" s="241"/>
    </row>
    <row r="772" spans="16:26">
      <c r="P772" s="241"/>
      <c r="Q772" s="241"/>
      <c r="R772" s="241"/>
      <c r="S772" s="241"/>
      <c r="T772" s="241"/>
      <c r="U772" s="241"/>
      <c r="V772" s="241"/>
      <c r="W772" s="241"/>
      <c r="X772" s="241"/>
      <c r="Y772" s="241"/>
      <c r="Z772" s="241"/>
    </row>
    <row r="773" spans="16:26">
      <c r="P773" s="241"/>
      <c r="Q773" s="241"/>
      <c r="R773" s="241"/>
      <c r="S773" s="241"/>
      <c r="T773" s="241"/>
      <c r="U773" s="241"/>
      <c r="V773" s="241"/>
      <c r="W773" s="241"/>
      <c r="X773" s="241"/>
      <c r="Y773" s="241"/>
      <c r="Z773" s="241"/>
    </row>
    <row r="774" spans="16:26">
      <c r="P774" s="241"/>
      <c r="Q774" s="241"/>
      <c r="R774" s="241"/>
      <c r="S774" s="241"/>
      <c r="T774" s="241"/>
      <c r="U774" s="241"/>
      <c r="V774" s="241"/>
      <c r="W774" s="241"/>
      <c r="X774" s="241"/>
      <c r="Y774" s="241"/>
      <c r="Z774" s="241"/>
    </row>
    <row r="775" spans="16:26">
      <c r="P775" s="241"/>
      <c r="Q775" s="241"/>
      <c r="R775" s="241"/>
      <c r="S775" s="241"/>
      <c r="T775" s="241"/>
      <c r="U775" s="241"/>
      <c r="V775" s="241"/>
      <c r="W775" s="241"/>
      <c r="X775" s="241"/>
      <c r="Y775" s="241"/>
      <c r="Z775" s="241"/>
    </row>
    <row r="776" spans="16:26">
      <c r="P776" s="241"/>
      <c r="Q776" s="241"/>
      <c r="R776" s="241"/>
      <c r="S776" s="241"/>
      <c r="T776" s="241"/>
      <c r="U776" s="241"/>
      <c r="V776" s="241"/>
      <c r="W776" s="241"/>
      <c r="X776" s="241"/>
      <c r="Y776" s="241"/>
      <c r="Z776" s="241"/>
    </row>
    <row r="777" spans="16:26">
      <c r="P777" s="241"/>
      <c r="Q777" s="241"/>
      <c r="R777" s="241"/>
      <c r="S777" s="241"/>
      <c r="T777" s="241"/>
      <c r="U777" s="241"/>
      <c r="V777" s="241"/>
      <c r="W777" s="241"/>
      <c r="X777" s="241"/>
      <c r="Y777" s="241"/>
      <c r="Z777" s="241"/>
    </row>
    <row r="778" spans="16:26">
      <c r="P778" s="241"/>
      <c r="Q778" s="241"/>
      <c r="R778" s="241"/>
      <c r="S778" s="241"/>
      <c r="T778" s="241"/>
      <c r="U778" s="241"/>
      <c r="V778" s="241"/>
      <c r="W778" s="241"/>
      <c r="X778" s="241"/>
      <c r="Y778" s="241"/>
      <c r="Z778" s="241"/>
    </row>
    <row r="779" spans="16:26">
      <c r="P779" s="241"/>
      <c r="Q779" s="241"/>
      <c r="R779" s="241"/>
      <c r="S779" s="241"/>
      <c r="T779" s="241"/>
      <c r="U779" s="241"/>
      <c r="V779" s="241"/>
      <c r="W779" s="241"/>
      <c r="X779" s="241"/>
      <c r="Y779" s="241"/>
      <c r="Z779" s="241"/>
    </row>
    <row r="780" spans="16:26">
      <c r="P780" s="241"/>
      <c r="Q780" s="241"/>
      <c r="R780" s="241"/>
      <c r="S780" s="241"/>
      <c r="T780" s="241"/>
      <c r="U780" s="241"/>
      <c r="V780" s="241"/>
      <c r="W780" s="241"/>
      <c r="X780" s="241"/>
      <c r="Y780" s="241"/>
      <c r="Z780" s="241"/>
    </row>
    <row r="781" spans="16:26">
      <c r="P781" s="241"/>
      <c r="Q781" s="241"/>
      <c r="R781" s="241"/>
      <c r="S781" s="241"/>
      <c r="T781" s="241"/>
      <c r="U781" s="241"/>
      <c r="V781" s="241"/>
      <c r="W781" s="241"/>
      <c r="X781" s="241"/>
      <c r="Y781" s="241"/>
      <c r="Z781" s="241"/>
    </row>
    <row r="782" spans="16:26">
      <c r="P782" s="241"/>
      <c r="Q782" s="241"/>
      <c r="R782" s="241"/>
      <c r="S782" s="241"/>
      <c r="T782" s="241"/>
      <c r="U782" s="241"/>
      <c r="V782" s="241"/>
      <c r="W782" s="241"/>
      <c r="X782" s="241"/>
      <c r="Y782" s="241"/>
      <c r="Z782" s="241"/>
    </row>
    <row r="783" spans="16:26">
      <c r="P783" s="241"/>
      <c r="Q783" s="241"/>
      <c r="R783" s="241"/>
      <c r="S783" s="241"/>
      <c r="T783" s="241"/>
      <c r="U783" s="241"/>
      <c r="V783" s="241"/>
      <c r="W783" s="241"/>
      <c r="X783" s="241"/>
      <c r="Y783" s="241"/>
      <c r="Z783" s="241"/>
    </row>
    <row r="784" spans="16:26">
      <c r="P784" s="241"/>
      <c r="Q784" s="241"/>
      <c r="R784" s="241"/>
      <c r="S784" s="241"/>
      <c r="T784" s="241"/>
      <c r="U784" s="241"/>
      <c r="V784" s="241"/>
      <c r="W784" s="241"/>
      <c r="X784" s="241"/>
      <c r="Y784" s="241"/>
      <c r="Z784" s="241"/>
    </row>
    <row r="785" spans="16:26">
      <c r="P785" s="241"/>
      <c r="Q785" s="241"/>
      <c r="R785" s="241"/>
      <c r="S785" s="241"/>
      <c r="T785" s="241"/>
      <c r="U785" s="241"/>
      <c r="V785" s="241"/>
      <c r="W785" s="241"/>
      <c r="X785" s="241"/>
      <c r="Y785" s="241"/>
      <c r="Z785" s="241"/>
    </row>
    <row r="786" spans="16:26">
      <c r="P786" s="241"/>
      <c r="Q786" s="241"/>
      <c r="R786" s="241"/>
      <c r="S786" s="241"/>
      <c r="T786" s="241"/>
      <c r="U786" s="241"/>
      <c r="V786" s="241"/>
      <c r="W786" s="241"/>
      <c r="X786" s="241"/>
      <c r="Y786" s="241"/>
      <c r="Z786" s="241"/>
    </row>
    <row r="787" spans="16:26">
      <c r="P787" s="241"/>
      <c r="Q787" s="241"/>
      <c r="R787" s="241"/>
      <c r="S787" s="241"/>
      <c r="T787" s="241"/>
      <c r="U787" s="241"/>
      <c r="V787" s="241"/>
      <c r="W787" s="241"/>
      <c r="X787" s="241"/>
      <c r="Y787" s="241"/>
      <c r="Z787" s="241"/>
    </row>
    <row r="788" spans="16:26">
      <c r="P788" s="241"/>
      <c r="Q788" s="241"/>
      <c r="R788" s="241"/>
      <c r="S788" s="241"/>
      <c r="T788" s="241"/>
      <c r="U788" s="241"/>
      <c r="V788" s="241"/>
      <c r="W788" s="241"/>
      <c r="X788" s="241"/>
      <c r="Y788" s="241"/>
      <c r="Z788" s="241"/>
    </row>
    <row r="789" spans="16:26">
      <c r="P789" s="241"/>
      <c r="Q789" s="241"/>
      <c r="R789" s="241"/>
      <c r="S789" s="241"/>
      <c r="T789" s="241"/>
      <c r="U789" s="241"/>
      <c r="V789" s="241"/>
      <c r="W789" s="241"/>
      <c r="X789" s="241"/>
      <c r="Y789" s="241"/>
      <c r="Z789" s="241"/>
    </row>
    <row r="790" spans="16:26">
      <c r="P790" s="241"/>
      <c r="Q790" s="241"/>
      <c r="R790" s="241"/>
      <c r="S790" s="241"/>
      <c r="T790" s="241"/>
      <c r="U790" s="241"/>
      <c r="V790" s="241"/>
      <c r="W790" s="241"/>
      <c r="X790" s="241"/>
      <c r="Y790" s="241"/>
      <c r="Z790" s="241"/>
    </row>
    <row r="791" spans="16:26">
      <c r="P791" s="241"/>
      <c r="Q791" s="241"/>
      <c r="R791" s="241"/>
      <c r="S791" s="241"/>
      <c r="T791" s="241"/>
      <c r="U791" s="241"/>
      <c r="V791" s="241"/>
      <c r="W791" s="241"/>
      <c r="X791" s="241"/>
      <c r="Y791" s="241"/>
      <c r="Z791" s="241"/>
    </row>
    <row r="792" spans="16:26">
      <c r="P792" s="241"/>
      <c r="Q792" s="241"/>
      <c r="R792" s="241"/>
      <c r="S792" s="241"/>
      <c r="T792" s="241"/>
      <c r="U792" s="241"/>
      <c r="V792" s="241"/>
      <c r="W792" s="241"/>
      <c r="X792" s="241"/>
      <c r="Y792" s="241"/>
      <c r="Z792" s="241"/>
    </row>
    <row r="793" spans="16:26">
      <c r="P793" s="241"/>
      <c r="Q793" s="241"/>
      <c r="R793" s="241"/>
      <c r="S793" s="241"/>
      <c r="T793" s="241"/>
      <c r="U793" s="241"/>
      <c r="V793" s="241"/>
      <c r="W793" s="241"/>
      <c r="X793" s="241"/>
      <c r="Y793" s="241"/>
      <c r="Z793" s="241"/>
    </row>
    <row r="794" spans="16:26">
      <c r="P794" s="241"/>
      <c r="Q794" s="241"/>
      <c r="R794" s="241"/>
      <c r="S794" s="241"/>
      <c r="T794" s="241"/>
      <c r="U794" s="241"/>
      <c r="V794" s="241"/>
      <c r="W794" s="241"/>
      <c r="X794" s="241"/>
      <c r="Y794" s="241"/>
      <c r="Z794" s="241"/>
    </row>
    <row r="795" spans="16:26">
      <c r="P795" s="241"/>
      <c r="Q795" s="241"/>
      <c r="R795" s="241"/>
      <c r="S795" s="241"/>
      <c r="T795" s="241"/>
      <c r="U795" s="241"/>
      <c r="V795" s="241"/>
      <c r="W795" s="241"/>
      <c r="X795" s="241"/>
      <c r="Y795" s="241"/>
      <c r="Z795" s="241"/>
    </row>
    <row r="796" spans="16:26">
      <c r="P796" s="241"/>
      <c r="Q796" s="241"/>
      <c r="R796" s="241"/>
      <c r="S796" s="241"/>
      <c r="T796" s="241"/>
      <c r="U796" s="241"/>
      <c r="V796" s="241"/>
      <c r="W796" s="241"/>
      <c r="X796" s="241"/>
      <c r="Y796" s="241"/>
      <c r="Z796" s="241"/>
    </row>
    <row r="797" spans="16:26">
      <c r="P797" s="241"/>
      <c r="Q797" s="241"/>
      <c r="R797" s="241"/>
      <c r="S797" s="241"/>
      <c r="T797" s="241"/>
      <c r="U797" s="241"/>
      <c r="V797" s="241"/>
      <c r="W797" s="241"/>
      <c r="X797" s="241"/>
      <c r="Y797" s="241"/>
      <c r="Z797" s="241"/>
    </row>
    <row r="798" spans="16:26">
      <c r="P798" s="241"/>
      <c r="Q798" s="241"/>
      <c r="R798" s="241"/>
      <c r="S798" s="241"/>
      <c r="T798" s="241"/>
      <c r="U798" s="241"/>
      <c r="V798" s="241"/>
      <c r="W798" s="241"/>
      <c r="X798" s="241"/>
      <c r="Y798" s="241"/>
      <c r="Z798" s="241"/>
    </row>
    <row r="799" spans="16:26">
      <c r="P799" s="241"/>
      <c r="Q799" s="241"/>
      <c r="R799" s="241"/>
      <c r="S799" s="241"/>
      <c r="T799" s="241"/>
      <c r="U799" s="241"/>
      <c r="V799" s="241"/>
      <c r="W799" s="241"/>
      <c r="X799" s="241"/>
      <c r="Y799" s="241"/>
      <c r="Z799" s="241"/>
    </row>
    <row r="800" spans="16:26">
      <c r="P800" s="241"/>
      <c r="Q800" s="241"/>
      <c r="R800" s="241"/>
      <c r="S800" s="241"/>
      <c r="T800" s="241"/>
      <c r="U800" s="241"/>
      <c r="V800" s="241"/>
      <c r="W800" s="241"/>
      <c r="X800" s="241"/>
      <c r="Y800" s="241"/>
      <c r="Z800" s="241"/>
    </row>
    <row r="801" spans="16:26">
      <c r="P801" s="241"/>
      <c r="Q801" s="241"/>
      <c r="R801" s="241"/>
      <c r="S801" s="241"/>
      <c r="T801" s="241"/>
      <c r="U801" s="241"/>
      <c r="V801" s="241"/>
      <c r="W801" s="241"/>
      <c r="X801" s="241"/>
      <c r="Y801" s="241"/>
      <c r="Z801" s="241"/>
    </row>
    <row r="802" spans="16:26">
      <c r="P802" s="241"/>
      <c r="Q802" s="241"/>
      <c r="R802" s="241"/>
      <c r="S802" s="241"/>
      <c r="T802" s="241"/>
      <c r="U802" s="241"/>
      <c r="V802" s="241"/>
      <c r="W802" s="241"/>
      <c r="X802" s="241"/>
      <c r="Y802" s="241"/>
      <c r="Z802" s="241"/>
    </row>
    <row r="803" spans="16:26">
      <c r="P803" s="241"/>
      <c r="Q803" s="241"/>
      <c r="R803" s="241"/>
      <c r="S803" s="241"/>
      <c r="T803" s="241"/>
      <c r="U803" s="241"/>
      <c r="V803" s="241"/>
      <c r="W803" s="241"/>
      <c r="X803" s="241"/>
      <c r="Y803" s="241"/>
      <c r="Z803" s="241"/>
    </row>
    <row r="804" spans="16:26">
      <c r="P804" s="241"/>
      <c r="Q804" s="241"/>
      <c r="R804" s="241"/>
      <c r="S804" s="241"/>
      <c r="T804" s="241"/>
      <c r="U804" s="241"/>
      <c r="V804" s="241"/>
      <c r="W804" s="241"/>
      <c r="X804" s="241"/>
      <c r="Y804" s="241"/>
      <c r="Z804" s="241"/>
    </row>
    <row r="805" spans="16:26">
      <c r="P805" s="241"/>
      <c r="Q805" s="241"/>
      <c r="R805" s="241"/>
      <c r="S805" s="241"/>
      <c r="T805" s="241"/>
      <c r="U805" s="241"/>
      <c r="V805" s="241"/>
      <c r="W805" s="241"/>
      <c r="X805" s="241"/>
      <c r="Y805" s="241"/>
      <c r="Z805" s="241"/>
    </row>
    <row r="806" spans="16:26">
      <c r="P806" s="241"/>
      <c r="Q806" s="241"/>
      <c r="R806" s="241"/>
      <c r="S806" s="241"/>
      <c r="T806" s="241"/>
      <c r="U806" s="241"/>
      <c r="V806" s="241"/>
      <c r="W806" s="241"/>
      <c r="X806" s="241"/>
      <c r="Y806" s="241"/>
      <c r="Z806" s="241"/>
    </row>
    <row r="807" spans="16:26">
      <c r="P807" s="241"/>
      <c r="Q807" s="241"/>
      <c r="R807" s="241"/>
      <c r="S807" s="241"/>
      <c r="T807" s="241"/>
      <c r="U807" s="241"/>
      <c r="V807" s="241"/>
      <c r="W807" s="241"/>
      <c r="X807" s="241"/>
      <c r="Y807" s="241"/>
      <c r="Z807" s="241"/>
    </row>
    <row r="808" spans="16:26">
      <c r="P808" s="241"/>
      <c r="Q808" s="241"/>
      <c r="R808" s="241"/>
      <c r="S808" s="241"/>
      <c r="T808" s="241"/>
      <c r="U808" s="241"/>
      <c r="V808" s="241"/>
      <c r="W808" s="241"/>
      <c r="X808" s="241"/>
      <c r="Y808" s="241"/>
      <c r="Z808" s="241"/>
    </row>
    <row r="809" spans="16:26">
      <c r="P809" s="241"/>
      <c r="Q809" s="241"/>
      <c r="R809" s="241"/>
      <c r="S809" s="241"/>
      <c r="T809" s="241"/>
      <c r="U809" s="241"/>
      <c r="V809" s="241"/>
      <c r="W809" s="241"/>
      <c r="X809" s="241"/>
      <c r="Y809" s="241"/>
      <c r="Z809" s="241"/>
    </row>
    <row r="810" spans="16:26">
      <c r="P810" s="241"/>
      <c r="Q810" s="241"/>
      <c r="R810" s="241"/>
      <c r="S810" s="241"/>
      <c r="T810" s="241"/>
      <c r="U810" s="241"/>
      <c r="V810" s="241"/>
      <c r="W810" s="241"/>
      <c r="X810" s="241"/>
      <c r="Y810" s="241"/>
      <c r="Z810" s="241"/>
    </row>
    <row r="811" spans="16:26">
      <c r="P811" s="241"/>
      <c r="Q811" s="241"/>
      <c r="R811" s="241"/>
      <c r="S811" s="241"/>
      <c r="T811" s="241"/>
      <c r="U811" s="241"/>
      <c r="V811" s="241"/>
      <c r="W811" s="241"/>
      <c r="X811" s="241"/>
      <c r="Y811" s="241"/>
      <c r="Z811" s="241"/>
    </row>
    <row r="812" spans="16:26">
      <c r="P812" s="241"/>
      <c r="Q812" s="241"/>
      <c r="R812" s="241"/>
      <c r="S812" s="241"/>
      <c r="T812" s="241"/>
      <c r="U812" s="241"/>
      <c r="V812" s="241"/>
      <c r="W812" s="241"/>
      <c r="X812" s="241"/>
      <c r="Y812" s="241"/>
      <c r="Z812" s="241"/>
    </row>
    <row r="813" spans="16:26">
      <c r="P813" s="241"/>
      <c r="Q813" s="241"/>
      <c r="R813" s="241"/>
      <c r="S813" s="241"/>
      <c r="T813" s="241"/>
      <c r="U813" s="241"/>
      <c r="V813" s="241"/>
      <c r="W813" s="241"/>
      <c r="X813" s="241"/>
      <c r="Y813" s="241"/>
      <c r="Z813" s="241"/>
    </row>
    <row r="814" spans="16:26">
      <c r="P814" s="241"/>
      <c r="Q814" s="241"/>
      <c r="R814" s="241"/>
      <c r="S814" s="241"/>
      <c r="T814" s="241"/>
      <c r="U814" s="241"/>
      <c r="V814" s="241"/>
      <c r="W814" s="241"/>
      <c r="X814" s="241"/>
      <c r="Y814" s="241"/>
      <c r="Z814" s="241"/>
    </row>
    <row r="815" spans="16:26">
      <c r="P815" s="241"/>
      <c r="Q815" s="241"/>
      <c r="R815" s="241"/>
      <c r="S815" s="241"/>
      <c r="T815" s="241"/>
      <c r="U815" s="241"/>
      <c r="V815" s="241"/>
      <c r="W815" s="241"/>
      <c r="X815" s="241"/>
      <c r="Y815" s="241"/>
      <c r="Z815" s="241"/>
    </row>
    <row r="816" spans="16:26">
      <c r="P816" s="241"/>
      <c r="Q816" s="241"/>
      <c r="R816" s="241"/>
      <c r="S816" s="241"/>
      <c r="T816" s="241"/>
      <c r="U816" s="241"/>
      <c r="V816" s="241"/>
      <c r="W816" s="241"/>
      <c r="X816" s="241"/>
      <c r="Y816" s="241"/>
      <c r="Z816" s="241"/>
    </row>
    <row r="817" spans="16:26">
      <c r="P817" s="241"/>
      <c r="Q817" s="241"/>
      <c r="R817" s="241"/>
      <c r="S817" s="241"/>
      <c r="T817" s="241"/>
      <c r="U817" s="241"/>
      <c r="V817" s="241"/>
      <c r="W817" s="241"/>
      <c r="X817" s="241"/>
      <c r="Y817" s="241"/>
      <c r="Z817" s="241"/>
    </row>
    <row r="818" spans="16:26">
      <c r="P818" s="241"/>
      <c r="Q818" s="241"/>
      <c r="R818" s="241"/>
      <c r="S818" s="241"/>
      <c r="T818" s="241"/>
      <c r="U818" s="241"/>
      <c r="V818" s="241"/>
      <c r="W818" s="241"/>
      <c r="X818" s="241"/>
      <c r="Y818" s="241"/>
      <c r="Z818" s="241"/>
    </row>
    <row r="819" spans="16:26">
      <c r="P819" s="241"/>
      <c r="Q819" s="241"/>
      <c r="R819" s="241"/>
      <c r="S819" s="241"/>
      <c r="T819" s="241"/>
      <c r="U819" s="241"/>
      <c r="V819" s="241"/>
      <c r="W819" s="241"/>
      <c r="X819" s="241"/>
      <c r="Y819" s="241"/>
      <c r="Z819" s="241"/>
    </row>
    <row r="820" spans="16:26">
      <c r="P820" s="241"/>
      <c r="Q820" s="241"/>
      <c r="R820" s="241"/>
      <c r="S820" s="241"/>
      <c r="T820" s="241"/>
      <c r="U820" s="241"/>
      <c r="V820" s="241"/>
      <c r="W820" s="241"/>
      <c r="X820" s="241"/>
      <c r="Y820" s="241"/>
      <c r="Z820" s="241"/>
    </row>
    <row r="821" spans="16:26">
      <c r="P821" s="241"/>
      <c r="Q821" s="241"/>
      <c r="R821" s="241"/>
      <c r="S821" s="241"/>
      <c r="T821" s="241"/>
      <c r="U821" s="241"/>
      <c r="V821" s="241"/>
      <c r="W821" s="241"/>
      <c r="X821" s="241"/>
      <c r="Y821" s="241"/>
      <c r="Z821" s="241"/>
    </row>
    <row r="822" spans="16:26">
      <c r="P822" s="241"/>
      <c r="Q822" s="241"/>
      <c r="R822" s="241"/>
      <c r="S822" s="241"/>
      <c r="T822" s="241"/>
      <c r="U822" s="241"/>
      <c r="V822" s="241"/>
      <c r="W822" s="241"/>
      <c r="X822" s="241"/>
      <c r="Y822" s="241"/>
      <c r="Z822" s="241"/>
    </row>
    <row r="823" spans="16:26">
      <c r="P823" s="241"/>
      <c r="Q823" s="241"/>
      <c r="R823" s="241"/>
      <c r="S823" s="241"/>
      <c r="T823" s="241"/>
      <c r="U823" s="241"/>
      <c r="V823" s="241"/>
      <c r="W823" s="241"/>
      <c r="X823" s="241"/>
      <c r="Y823" s="241"/>
      <c r="Z823" s="241"/>
    </row>
    <row r="824" spans="16:26">
      <c r="P824" s="241"/>
      <c r="Q824" s="241"/>
      <c r="R824" s="241"/>
      <c r="S824" s="241"/>
      <c r="T824" s="241"/>
      <c r="U824" s="241"/>
      <c r="V824" s="241"/>
      <c r="W824" s="241"/>
      <c r="X824" s="241"/>
      <c r="Y824" s="241"/>
      <c r="Z824" s="241"/>
    </row>
    <row r="825" spans="16:26">
      <c r="P825" s="241"/>
      <c r="Q825" s="241"/>
      <c r="R825" s="241"/>
      <c r="S825" s="241"/>
      <c r="T825" s="241"/>
      <c r="U825" s="241"/>
      <c r="V825" s="241"/>
      <c r="W825" s="241"/>
      <c r="X825" s="241"/>
      <c r="Y825" s="241"/>
      <c r="Z825" s="241"/>
    </row>
    <row r="826" spans="16:26">
      <c r="P826" s="241"/>
      <c r="Q826" s="241"/>
      <c r="R826" s="241"/>
      <c r="S826" s="241"/>
      <c r="T826" s="241"/>
      <c r="U826" s="241"/>
      <c r="V826" s="241"/>
      <c r="W826" s="241"/>
      <c r="X826" s="241"/>
      <c r="Y826" s="241"/>
      <c r="Z826" s="241"/>
    </row>
    <row r="827" spans="16:26">
      <c r="P827" s="241"/>
      <c r="Q827" s="241"/>
      <c r="R827" s="241"/>
      <c r="S827" s="241"/>
      <c r="T827" s="241"/>
      <c r="U827" s="241"/>
      <c r="V827" s="241"/>
      <c r="W827" s="241"/>
      <c r="X827" s="241"/>
      <c r="Y827" s="241"/>
      <c r="Z827" s="241"/>
    </row>
    <row r="828" spans="16:26">
      <c r="P828" s="241"/>
      <c r="Q828" s="241"/>
      <c r="R828" s="241"/>
      <c r="S828" s="241"/>
      <c r="T828" s="241"/>
      <c r="U828" s="241"/>
      <c r="V828" s="241"/>
      <c r="W828" s="241"/>
      <c r="X828" s="241"/>
      <c r="Y828" s="241"/>
      <c r="Z828" s="241"/>
    </row>
    <row r="829" spans="16:26">
      <c r="P829" s="241"/>
      <c r="Q829" s="241"/>
      <c r="R829" s="241"/>
      <c r="S829" s="241"/>
      <c r="T829" s="241"/>
      <c r="U829" s="241"/>
      <c r="V829" s="241"/>
      <c r="W829" s="241"/>
      <c r="X829" s="241"/>
      <c r="Y829" s="241"/>
      <c r="Z829" s="241"/>
    </row>
    <row r="830" spans="16:26">
      <c r="P830" s="241"/>
      <c r="Q830" s="241"/>
      <c r="R830" s="241"/>
      <c r="S830" s="241"/>
      <c r="T830" s="241"/>
      <c r="U830" s="241"/>
      <c r="V830" s="241"/>
      <c r="W830" s="241"/>
      <c r="X830" s="241"/>
      <c r="Y830" s="241"/>
      <c r="Z830" s="241"/>
    </row>
    <row r="831" spans="16:26">
      <c r="P831" s="241"/>
      <c r="Q831" s="241"/>
      <c r="R831" s="241"/>
      <c r="S831" s="241"/>
      <c r="T831" s="241"/>
      <c r="U831" s="241"/>
      <c r="V831" s="241"/>
      <c r="W831" s="241"/>
      <c r="X831" s="241"/>
      <c r="Y831" s="241"/>
      <c r="Z831" s="241"/>
    </row>
    <row r="832" spans="16:26">
      <c r="P832" s="241"/>
      <c r="Q832" s="241"/>
      <c r="R832" s="241"/>
      <c r="S832" s="241"/>
      <c r="T832" s="241"/>
      <c r="U832" s="241"/>
      <c r="V832" s="241"/>
      <c r="W832" s="241"/>
      <c r="X832" s="241"/>
      <c r="Y832" s="241"/>
      <c r="Z832" s="241"/>
    </row>
    <row r="833" spans="16:26">
      <c r="P833" s="241"/>
      <c r="Q833" s="241"/>
      <c r="R833" s="241"/>
      <c r="S833" s="241"/>
      <c r="T833" s="241"/>
      <c r="U833" s="241"/>
      <c r="V833" s="241"/>
      <c r="W833" s="241"/>
      <c r="X833" s="241"/>
      <c r="Y833" s="241"/>
      <c r="Z833" s="241"/>
    </row>
    <row r="834" spans="16:26">
      <c r="P834" s="241"/>
      <c r="Q834" s="241"/>
      <c r="R834" s="241"/>
      <c r="S834" s="241"/>
      <c r="T834" s="241"/>
      <c r="U834" s="241"/>
      <c r="V834" s="241"/>
      <c r="W834" s="241"/>
      <c r="X834" s="241"/>
      <c r="Y834" s="241"/>
      <c r="Z834" s="241"/>
    </row>
    <row r="835" spans="16:26">
      <c r="P835" s="241"/>
      <c r="Q835" s="241"/>
      <c r="R835" s="241"/>
      <c r="S835" s="241"/>
      <c r="T835" s="241"/>
      <c r="U835" s="241"/>
      <c r="V835" s="241"/>
      <c r="W835" s="241"/>
      <c r="X835" s="241"/>
      <c r="Y835" s="241"/>
      <c r="Z835" s="241"/>
    </row>
    <row r="836" spans="16:26">
      <c r="P836" s="241"/>
      <c r="Q836" s="241"/>
      <c r="R836" s="241"/>
      <c r="S836" s="241"/>
      <c r="T836" s="241"/>
      <c r="U836" s="241"/>
      <c r="V836" s="241"/>
      <c r="W836" s="241"/>
      <c r="X836" s="241"/>
      <c r="Y836" s="241"/>
      <c r="Z836" s="241"/>
    </row>
    <row r="837" spans="16:26">
      <c r="P837" s="241"/>
      <c r="Q837" s="241"/>
      <c r="R837" s="241"/>
      <c r="S837" s="241"/>
      <c r="T837" s="241"/>
      <c r="U837" s="241"/>
      <c r="V837" s="241"/>
      <c r="W837" s="241"/>
      <c r="X837" s="241"/>
      <c r="Y837" s="241"/>
      <c r="Z837" s="241"/>
    </row>
    <row r="838" spans="16:26">
      <c r="P838" s="241"/>
      <c r="Q838" s="241"/>
      <c r="R838" s="241"/>
      <c r="S838" s="241"/>
      <c r="T838" s="241"/>
      <c r="U838" s="241"/>
      <c r="V838" s="241"/>
      <c r="W838" s="241"/>
      <c r="X838" s="241"/>
      <c r="Y838" s="241"/>
      <c r="Z838" s="241"/>
    </row>
    <row r="839" spans="16:26">
      <c r="P839" s="241"/>
      <c r="Q839" s="241"/>
      <c r="R839" s="241"/>
      <c r="S839" s="241"/>
      <c r="T839" s="241"/>
      <c r="U839" s="241"/>
      <c r="V839" s="241"/>
      <c r="W839" s="241"/>
      <c r="X839" s="241"/>
      <c r="Y839" s="241"/>
      <c r="Z839" s="241"/>
    </row>
    <row r="840" spans="16:26">
      <c r="P840" s="241"/>
      <c r="Q840" s="241"/>
      <c r="R840" s="241"/>
      <c r="S840" s="241"/>
      <c r="T840" s="241"/>
      <c r="U840" s="241"/>
      <c r="V840" s="241"/>
      <c r="W840" s="241"/>
      <c r="X840" s="241"/>
      <c r="Y840" s="241"/>
      <c r="Z840" s="241"/>
    </row>
    <row r="841" spans="16:26">
      <c r="P841" s="241"/>
      <c r="Q841" s="241"/>
      <c r="R841" s="241"/>
      <c r="S841" s="241"/>
      <c r="T841" s="241"/>
      <c r="U841" s="241"/>
      <c r="V841" s="241"/>
      <c r="W841" s="241"/>
      <c r="X841" s="241"/>
      <c r="Y841" s="241"/>
      <c r="Z841" s="241"/>
    </row>
    <row r="842" spans="16:26">
      <c r="P842" s="241"/>
      <c r="Q842" s="241"/>
      <c r="R842" s="241"/>
      <c r="S842" s="241"/>
      <c r="T842" s="241"/>
      <c r="U842" s="241"/>
      <c r="V842" s="241"/>
      <c r="W842" s="241"/>
      <c r="X842" s="241"/>
      <c r="Y842" s="241"/>
      <c r="Z842" s="241"/>
    </row>
    <row r="843" spans="16:26">
      <c r="P843" s="241"/>
      <c r="Q843" s="241"/>
      <c r="R843" s="241"/>
      <c r="S843" s="241"/>
      <c r="T843" s="241"/>
      <c r="U843" s="241"/>
      <c r="V843" s="241"/>
      <c r="W843" s="241"/>
      <c r="X843" s="241"/>
      <c r="Y843" s="241"/>
      <c r="Z843" s="241"/>
    </row>
    <row r="844" spans="16:26">
      <c r="P844" s="241"/>
      <c r="Q844" s="241"/>
      <c r="R844" s="241"/>
      <c r="S844" s="241"/>
      <c r="T844" s="241"/>
      <c r="U844" s="241"/>
      <c r="V844" s="241"/>
      <c r="W844" s="241"/>
      <c r="X844" s="241"/>
      <c r="Y844" s="241"/>
      <c r="Z844" s="241"/>
    </row>
    <row r="845" spans="16:26">
      <c r="P845" s="241"/>
      <c r="Q845" s="241"/>
      <c r="R845" s="241"/>
      <c r="S845" s="241"/>
      <c r="T845" s="241"/>
      <c r="U845" s="241"/>
      <c r="V845" s="241"/>
      <c r="W845" s="241"/>
      <c r="X845" s="241"/>
      <c r="Y845" s="241"/>
      <c r="Z845" s="241"/>
    </row>
    <row r="846" spans="16:26">
      <c r="P846" s="241"/>
      <c r="Q846" s="241"/>
      <c r="R846" s="241"/>
      <c r="S846" s="241"/>
      <c r="T846" s="241"/>
      <c r="U846" s="241"/>
      <c r="V846" s="241"/>
      <c r="W846" s="241"/>
      <c r="X846" s="241"/>
      <c r="Y846" s="241"/>
      <c r="Z846" s="241"/>
    </row>
    <row r="847" spans="16:26">
      <c r="P847" s="241"/>
      <c r="Q847" s="241"/>
      <c r="R847" s="241"/>
      <c r="S847" s="241"/>
      <c r="T847" s="241"/>
      <c r="U847" s="241"/>
      <c r="V847" s="241"/>
      <c r="W847" s="241"/>
      <c r="X847" s="241"/>
      <c r="Y847" s="241"/>
      <c r="Z847" s="241"/>
    </row>
    <row r="848" spans="16:26">
      <c r="P848" s="241"/>
      <c r="Q848" s="241"/>
      <c r="R848" s="241"/>
      <c r="S848" s="241"/>
      <c r="T848" s="241"/>
      <c r="U848" s="241"/>
      <c r="V848" s="241"/>
      <c r="W848" s="241"/>
      <c r="X848" s="241"/>
      <c r="Y848" s="241"/>
      <c r="Z848" s="241"/>
    </row>
    <row r="849" spans="16:26">
      <c r="P849" s="241"/>
      <c r="Q849" s="241"/>
      <c r="R849" s="241"/>
      <c r="S849" s="241"/>
      <c r="T849" s="241"/>
      <c r="U849" s="241"/>
      <c r="V849" s="241"/>
      <c r="W849" s="241"/>
      <c r="X849" s="241"/>
      <c r="Y849" s="241"/>
      <c r="Z849" s="241"/>
    </row>
    <row r="850" spans="16:26">
      <c r="P850" s="241"/>
      <c r="Q850" s="241"/>
      <c r="R850" s="241"/>
      <c r="S850" s="241"/>
      <c r="T850" s="241"/>
      <c r="U850" s="241"/>
      <c r="V850" s="241"/>
      <c r="W850" s="241"/>
      <c r="X850" s="241"/>
      <c r="Y850" s="241"/>
      <c r="Z850" s="241"/>
    </row>
    <row r="851" spans="16:26">
      <c r="P851" s="241"/>
      <c r="Q851" s="241"/>
      <c r="R851" s="241"/>
      <c r="S851" s="241"/>
      <c r="T851" s="241"/>
      <c r="U851" s="241"/>
      <c r="V851" s="241"/>
      <c r="W851" s="241"/>
      <c r="X851" s="241"/>
      <c r="Y851" s="241"/>
      <c r="Z851" s="241"/>
    </row>
    <row r="852" spans="16:26">
      <c r="P852" s="241"/>
      <c r="Q852" s="241"/>
      <c r="R852" s="241"/>
      <c r="S852" s="241"/>
      <c r="T852" s="241"/>
      <c r="U852" s="241"/>
      <c r="V852" s="241"/>
      <c r="W852" s="241"/>
      <c r="X852" s="241"/>
      <c r="Y852" s="241"/>
      <c r="Z852" s="241"/>
    </row>
    <row r="853" spans="16:26">
      <c r="P853" s="241"/>
      <c r="Q853" s="241"/>
      <c r="R853" s="241"/>
      <c r="S853" s="241"/>
      <c r="T853" s="241"/>
      <c r="U853" s="241"/>
      <c r="V853" s="241"/>
      <c r="W853" s="241"/>
      <c r="X853" s="241"/>
      <c r="Y853" s="241"/>
      <c r="Z853" s="241"/>
    </row>
    <row r="854" spans="16:26">
      <c r="P854" s="241"/>
      <c r="Q854" s="241"/>
      <c r="R854" s="241"/>
      <c r="S854" s="241"/>
      <c r="T854" s="241"/>
      <c r="U854" s="241"/>
      <c r="V854" s="241"/>
      <c r="W854" s="241"/>
      <c r="X854" s="241"/>
      <c r="Y854" s="241"/>
      <c r="Z854" s="241"/>
    </row>
    <row r="855" spans="16:26">
      <c r="P855" s="241"/>
      <c r="Q855" s="241"/>
      <c r="R855" s="241"/>
      <c r="S855" s="241"/>
      <c r="T855" s="241"/>
      <c r="U855" s="241"/>
      <c r="V855" s="241"/>
      <c r="W855" s="241"/>
      <c r="X855" s="241"/>
      <c r="Y855" s="241"/>
      <c r="Z855" s="241"/>
    </row>
    <row r="856" spans="16:26">
      <c r="P856" s="241"/>
      <c r="Q856" s="241"/>
      <c r="R856" s="241"/>
      <c r="S856" s="241"/>
      <c r="T856" s="241"/>
      <c r="U856" s="241"/>
      <c r="V856" s="241"/>
      <c r="W856" s="241"/>
      <c r="X856" s="241"/>
      <c r="Y856" s="241"/>
      <c r="Z856" s="241"/>
    </row>
    <row r="857" spans="16:26">
      <c r="P857" s="241"/>
      <c r="Q857" s="241"/>
      <c r="R857" s="241"/>
      <c r="S857" s="241"/>
      <c r="T857" s="241"/>
      <c r="U857" s="241"/>
      <c r="V857" s="241"/>
      <c r="W857" s="241"/>
      <c r="X857" s="241"/>
      <c r="Y857" s="241"/>
      <c r="Z857" s="241"/>
    </row>
    <row r="858" spans="16:26">
      <c r="P858" s="241"/>
      <c r="Q858" s="241"/>
      <c r="R858" s="241"/>
      <c r="S858" s="241"/>
      <c r="T858" s="241"/>
      <c r="U858" s="241"/>
      <c r="V858" s="241"/>
      <c r="W858" s="241"/>
      <c r="X858" s="241"/>
      <c r="Y858" s="241"/>
      <c r="Z858" s="241"/>
    </row>
    <row r="859" spans="16:26">
      <c r="P859" s="241"/>
      <c r="Q859" s="241"/>
      <c r="R859" s="241"/>
      <c r="S859" s="241"/>
      <c r="T859" s="241"/>
      <c r="U859" s="241"/>
      <c r="V859" s="241"/>
      <c r="W859" s="241"/>
      <c r="X859" s="241"/>
      <c r="Y859" s="241"/>
      <c r="Z859" s="241"/>
    </row>
    <row r="860" spans="16:26">
      <c r="P860" s="241"/>
      <c r="Q860" s="241"/>
      <c r="R860" s="241"/>
      <c r="S860" s="241"/>
      <c r="T860" s="241"/>
      <c r="U860" s="241"/>
      <c r="V860" s="241"/>
      <c r="W860" s="241"/>
      <c r="X860" s="241"/>
      <c r="Y860" s="241"/>
      <c r="Z860" s="241"/>
    </row>
    <row r="861" spans="16:26">
      <c r="P861" s="241"/>
      <c r="Q861" s="241"/>
      <c r="R861" s="241"/>
      <c r="S861" s="241"/>
      <c r="T861" s="241"/>
      <c r="U861" s="241"/>
      <c r="V861" s="241"/>
      <c r="W861" s="241"/>
      <c r="X861" s="241"/>
      <c r="Y861" s="241"/>
      <c r="Z861" s="241"/>
    </row>
    <row r="862" spans="16:26">
      <c r="P862" s="241"/>
      <c r="Q862" s="241"/>
      <c r="R862" s="241"/>
      <c r="S862" s="241"/>
      <c r="T862" s="241"/>
      <c r="U862" s="241"/>
      <c r="V862" s="241"/>
      <c r="W862" s="241"/>
      <c r="X862" s="241"/>
      <c r="Y862" s="241"/>
      <c r="Z862" s="241"/>
    </row>
    <row r="863" spans="16:26">
      <c r="P863" s="241"/>
      <c r="Q863" s="241"/>
      <c r="R863" s="241"/>
      <c r="S863" s="241"/>
      <c r="T863" s="241"/>
      <c r="U863" s="241"/>
      <c r="V863" s="241"/>
      <c r="W863" s="241"/>
      <c r="X863" s="241"/>
      <c r="Y863" s="241"/>
      <c r="Z863" s="241"/>
    </row>
    <row r="864" spans="16:26">
      <c r="P864" s="241"/>
      <c r="Q864" s="241"/>
      <c r="R864" s="241"/>
      <c r="S864" s="241"/>
      <c r="T864" s="241"/>
      <c r="U864" s="241"/>
      <c r="V864" s="241"/>
      <c r="W864" s="241"/>
      <c r="X864" s="241"/>
      <c r="Y864" s="241"/>
      <c r="Z864" s="241"/>
    </row>
    <row r="865" spans="16:26">
      <c r="P865" s="241"/>
      <c r="Q865" s="241"/>
      <c r="R865" s="241"/>
      <c r="S865" s="241"/>
      <c r="T865" s="241"/>
      <c r="U865" s="241"/>
      <c r="V865" s="241"/>
      <c r="W865" s="241"/>
      <c r="X865" s="241"/>
      <c r="Y865" s="241"/>
      <c r="Z865" s="241"/>
    </row>
    <row r="866" spans="16:26">
      <c r="P866" s="241"/>
      <c r="Q866" s="241"/>
      <c r="R866" s="241"/>
      <c r="S866" s="241"/>
      <c r="T866" s="241"/>
      <c r="U866" s="241"/>
      <c r="V866" s="241"/>
      <c r="W866" s="241"/>
      <c r="X866" s="241"/>
      <c r="Y866" s="241"/>
      <c r="Z866" s="241"/>
    </row>
    <row r="867" spans="16:26">
      <c r="P867" s="241"/>
      <c r="Q867" s="241"/>
      <c r="R867" s="241"/>
      <c r="S867" s="241"/>
      <c r="T867" s="241"/>
      <c r="U867" s="241"/>
      <c r="V867" s="241"/>
      <c r="W867" s="241"/>
      <c r="X867" s="241"/>
      <c r="Y867" s="241"/>
      <c r="Z867" s="241"/>
    </row>
    <row r="868" spans="16:26">
      <c r="P868" s="241"/>
      <c r="Q868" s="241"/>
      <c r="R868" s="241"/>
      <c r="S868" s="241"/>
      <c r="T868" s="241"/>
      <c r="U868" s="241"/>
      <c r="V868" s="241"/>
      <c r="W868" s="241"/>
      <c r="X868" s="241"/>
      <c r="Y868" s="241"/>
      <c r="Z868" s="241"/>
    </row>
    <row r="869" spans="16:26">
      <c r="P869" s="241"/>
      <c r="Q869" s="241"/>
      <c r="R869" s="241"/>
      <c r="S869" s="241"/>
      <c r="T869" s="241"/>
      <c r="U869" s="241"/>
      <c r="V869" s="241"/>
      <c r="W869" s="241"/>
      <c r="X869" s="241"/>
      <c r="Y869" s="241"/>
      <c r="Z869" s="241"/>
    </row>
    <row r="870" spans="16:26">
      <c r="P870" s="241"/>
      <c r="Q870" s="241"/>
      <c r="R870" s="241"/>
      <c r="S870" s="241"/>
      <c r="T870" s="241"/>
      <c r="U870" s="241"/>
      <c r="V870" s="241"/>
      <c r="W870" s="241"/>
      <c r="X870" s="241"/>
      <c r="Y870" s="241"/>
      <c r="Z870" s="241"/>
    </row>
    <row r="871" spans="16:26">
      <c r="P871" s="241"/>
      <c r="Q871" s="241"/>
      <c r="R871" s="241"/>
      <c r="S871" s="241"/>
      <c r="T871" s="241"/>
      <c r="U871" s="241"/>
      <c r="V871" s="241"/>
      <c r="W871" s="241"/>
      <c r="X871" s="241"/>
      <c r="Y871" s="241"/>
      <c r="Z871" s="241"/>
    </row>
    <row r="872" spans="16:26">
      <c r="P872" s="241"/>
      <c r="Q872" s="241"/>
      <c r="R872" s="241"/>
      <c r="S872" s="241"/>
      <c r="T872" s="241"/>
      <c r="U872" s="241"/>
      <c r="V872" s="241"/>
      <c r="W872" s="241"/>
      <c r="X872" s="241"/>
      <c r="Y872" s="241"/>
      <c r="Z872" s="241"/>
    </row>
    <row r="873" spans="16:26">
      <c r="P873" s="241"/>
      <c r="Q873" s="241"/>
      <c r="R873" s="241"/>
      <c r="S873" s="241"/>
      <c r="T873" s="241"/>
      <c r="U873" s="241"/>
      <c r="V873" s="241"/>
      <c r="W873" s="241"/>
      <c r="X873" s="241"/>
      <c r="Y873" s="241"/>
      <c r="Z873" s="241"/>
    </row>
    <row r="874" spans="16:26">
      <c r="P874" s="241"/>
      <c r="Q874" s="241"/>
      <c r="R874" s="241"/>
      <c r="S874" s="241"/>
      <c r="T874" s="241"/>
      <c r="U874" s="241"/>
      <c r="V874" s="241"/>
      <c r="W874" s="241"/>
      <c r="X874" s="241"/>
      <c r="Y874" s="241"/>
      <c r="Z874" s="241"/>
    </row>
    <row r="875" spans="16:26">
      <c r="P875" s="241"/>
      <c r="Q875" s="241"/>
      <c r="R875" s="241"/>
      <c r="S875" s="241"/>
      <c r="T875" s="241"/>
      <c r="U875" s="241"/>
      <c r="V875" s="241"/>
      <c r="W875" s="241"/>
      <c r="X875" s="241"/>
      <c r="Y875" s="241"/>
      <c r="Z875" s="241"/>
    </row>
    <row r="876" spans="16:26">
      <c r="P876" s="241"/>
      <c r="Q876" s="241"/>
      <c r="R876" s="241"/>
      <c r="S876" s="241"/>
      <c r="T876" s="241"/>
      <c r="U876" s="241"/>
      <c r="V876" s="241"/>
      <c r="W876" s="241"/>
      <c r="X876" s="241"/>
      <c r="Y876" s="241"/>
      <c r="Z876" s="241"/>
    </row>
    <row r="877" spans="16:26">
      <c r="P877" s="241"/>
      <c r="Q877" s="241"/>
      <c r="R877" s="241"/>
      <c r="S877" s="241"/>
      <c r="T877" s="241"/>
      <c r="U877" s="241"/>
      <c r="V877" s="241"/>
      <c r="W877" s="241"/>
      <c r="X877" s="241"/>
      <c r="Y877" s="241"/>
      <c r="Z877" s="241"/>
    </row>
    <row r="878" spans="16:26">
      <c r="P878" s="241"/>
      <c r="Q878" s="241"/>
      <c r="R878" s="241"/>
      <c r="S878" s="241"/>
      <c r="T878" s="241"/>
      <c r="U878" s="241"/>
      <c r="V878" s="241"/>
      <c r="W878" s="241"/>
      <c r="X878" s="241"/>
      <c r="Y878" s="241"/>
      <c r="Z878" s="241"/>
    </row>
    <row r="879" spans="16:26">
      <c r="P879" s="241"/>
      <c r="Q879" s="241"/>
      <c r="R879" s="241"/>
      <c r="S879" s="241"/>
      <c r="T879" s="241"/>
      <c r="U879" s="241"/>
      <c r="V879" s="241"/>
      <c r="W879" s="241"/>
      <c r="X879" s="241"/>
      <c r="Y879" s="241"/>
      <c r="Z879" s="241"/>
    </row>
    <row r="880" spans="16:26">
      <c r="P880" s="241"/>
      <c r="Q880" s="241"/>
      <c r="R880" s="241"/>
      <c r="S880" s="241"/>
      <c r="T880" s="241"/>
      <c r="U880" s="241"/>
      <c r="V880" s="241"/>
      <c r="W880" s="241"/>
      <c r="X880" s="241"/>
      <c r="Y880" s="241"/>
      <c r="Z880" s="241"/>
    </row>
    <row r="881" spans="16:26">
      <c r="P881" s="241"/>
      <c r="Q881" s="241"/>
      <c r="R881" s="241"/>
      <c r="S881" s="241"/>
      <c r="T881" s="241"/>
      <c r="U881" s="241"/>
      <c r="V881" s="241"/>
      <c r="W881" s="241"/>
      <c r="X881" s="241"/>
      <c r="Y881" s="241"/>
      <c r="Z881" s="241"/>
    </row>
    <row r="882" spans="16:26">
      <c r="P882" s="241"/>
      <c r="Q882" s="241"/>
      <c r="R882" s="241"/>
      <c r="S882" s="241"/>
      <c r="T882" s="241"/>
      <c r="U882" s="241"/>
      <c r="V882" s="241"/>
      <c r="W882" s="241"/>
      <c r="X882" s="241"/>
      <c r="Y882" s="241"/>
      <c r="Z882" s="241"/>
    </row>
    <row r="883" spans="16:26">
      <c r="P883" s="241"/>
      <c r="Q883" s="241"/>
      <c r="R883" s="241"/>
      <c r="S883" s="241"/>
      <c r="T883" s="241"/>
      <c r="U883" s="241"/>
      <c r="V883" s="241"/>
      <c r="W883" s="241"/>
      <c r="X883" s="241"/>
      <c r="Y883" s="241"/>
      <c r="Z883" s="241"/>
    </row>
    <row r="884" spans="16:26">
      <c r="P884" s="241"/>
      <c r="Q884" s="241"/>
      <c r="R884" s="241"/>
      <c r="S884" s="241"/>
      <c r="T884" s="241"/>
      <c r="U884" s="241"/>
      <c r="V884" s="241"/>
      <c r="W884" s="241"/>
      <c r="X884" s="241"/>
      <c r="Y884" s="241"/>
      <c r="Z884" s="241"/>
    </row>
  </sheetData>
  <sheetProtection password="8C51" sheet="1" objects="1" scenarios="1" selectLockedCells="1"/>
  <pageMargins left="0.75" right="0.75" top="1" bottom="1" header="0.5" footer="0.5"/>
  <pageSetup orientation="portrait" horizontalDpi="1200" verticalDpi="1200"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U48"/>
  <sheetViews>
    <sheetView workbookViewId="0"/>
  </sheetViews>
  <sheetFormatPr defaultRowHeight="14.4"/>
  <sheetData>
    <row r="1" spans="1:21">
      <c r="A1" s="221"/>
      <c r="B1" s="221"/>
      <c r="C1" s="222"/>
      <c r="D1" s="221"/>
      <c r="E1" s="221"/>
      <c r="F1" s="221"/>
      <c r="G1" s="221"/>
      <c r="H1" s="221"/>
      <c r="I1" s="221"/>
      <c r="J1" s="221"/>
      <c r="K1" s="221"/>
      <c r="L1" s="221"/>
      <c r="M1" s="221"/>
      <c r="N1" s="221"/>
      <c r="O1" s="221"/>
      <c r="P1" s="221"/>
      <c r="Q1" s="221"/>
      <c r="R1" s="221"/>
      <c r="S1" s="221"/>
      <c r="T1" s="221"/>
      <c r="U1" s="223"/>
    </row>
    <row r="2" spans="1:21">
      <c r="A2" s="224"/>
      <c r="B2" s="224"/>
      <c r="C2" s="225"/>
      <c r="D2" s="395" t="s">
        <v>20</v>
      </c>
      <c r="E2" s="395"/>
      <c r="F2" s="395"/>
      <c r="G2" s="395"/>
      <c r="H2" s="395"/>
      <c r="I2" s="395"/>
      <c r="J2" s="395"/>
      <c r="K2" s="395"/>
      <c r="L2" s="395"/>
      <c r="M2" s="395"/>
      <c r="N2" s="395"/>
      <c r="O2" s="395"/>
      <c r="P2" s="395"/>
      <c r="Q2" s="395"/>
      <c r="R2" s="395"/>
      <c r="S2" s="395"/>
      <c r="T2" s="395"/>
      <c r="U2" s="223"/>
    </row>
    <row r="3" spans="1:21">
      <c r="A3" s="224"/>
      <c r="B3" s="224"/>
      <c r="C3" s="225"/>
      <c r="D3" s="395" t="s">
        <v>21</v>
      </c>
      <c r="E3" s="395"/>
      <c r="F3" s="395"/>
      <c r="G3" s="395"/>
      <c r="H3" s="395"/>
      <c r="I3" s="395"/>
      <c r="J3" s="395"/>
      <c r="K3" s="395"/>
      <c r="L3" s="395"/>
      <c r="M3" s="395"/>
      <c r="N3" s="395"/>
      <c r="O3" s="395"/>
      <c r="P3" s="395"/>
      <c r="Q3" s="395"/>
      <c r="R3" s="395"/>
      <c r="S3" s="395"/>
      <c r="T3" s="395"/>
      <c r="U3" s="223"/>
    </row>
    <row r="4" spans="1:21" ht="15" thickBot="1">
      <c r="A4" s="224"/>
      <c r="B4" s="224"/>
      <c r="C4" s="225"/>
      <c r="D4" s="224"/>
      <c r="E4" s="224"/>
      <c r="F4" s="224"/>
      <c r="G4" s="224"/>
      <c r="H4" s="224"/>
      <c r="I4" s="224"/>
      <c r="J4" s="224"/>
      <c r="K4" s="224"/>
      <c r="L4" s="224"/>
      <c r="M4" s="224"/>
      <c r="N4" s="224"/>
      <c r="O4" s="224"/>
      <c r="P4" s="224"/>
      <c r="Q4" s="224"/>
      <c r="R4" s="224"/>
      <c r="S4" s="224"/>
      <c r="T4" s="224"/>
      <c r="U4" s="223"/>
    </row>
    <row r="5" spans="1:21" ht="15" thickBot="1">
      <c r="A5" s="226"/>
      <c r="B5" s="226"/>
      <c r="C5" s="227"/>
      <c r="D5" s="396" t="s">
        <v>22</v>
      </c>
      <c r="E5" s="397"/>
      <c r="F5" s="397"/>
      <c r="G5" s="397"/>
      <c r="H5" s="397"/>
      <c r="I5" s="397"/>
      <c r="J5" s="397"/>
      <c r="K5" s="397"/>
      <c r="L5" s="397"/>
      <c r="M5" s="397"/>
      <c r="N5" s="397"/>
      <c r="O5" s="397"/>
      <c r="P5" s="397"/>
      <c r="Q5" s="397"/>
      <c r="R5" s="397"/>
      <c r="S5" s="397"/>
      <c r="T5" s="398"/>
      <c r="U5" s="223"/>
    </row>
    <row r="6" spans="1:21" ht="15" thickBot="1">
      <c r="A6" s="11" t="s">
        <v>23</v>
      </c>
      <c r="B6" s="12" t="s">
        <v>24</v>
      </c>
      <c r="C6" s="13">
        <v>5</v>
      </c>
      <c r="D6" s="14" t="s">
        <v>25</v>
      </c>
      <c r="E6" s="15">
        <v>10</v>
      </c>
      <c r="F6" s="15" t="s">
        <v>26</v>
      </c>
      <c r="G6" s="15">
        <v>20</v>
      </c>
      <c r="H6" s="15">
        <v>30</v>
      </c>
      <c r="I6" s="15" t="s">
        <v>27</v>
      </c>
      <c r="J6" s="15">
        <v>40</v>
      </c>
      <c r="K6" s="15" t="s">
        <v>28</v>
      </c>
      <c r="L6" s="15">
        <v>60</v>
      </c>
      <c r="M6" s="15" t="s">
        <v>29</v>
      </c>
      <c r="N6" s="15">
        <v>80</v>
      </c>
      <c r="O6" s="15" t="s">
        <v>30</v>
      </c>
      <c r="P6" s="15">
        <v>100</v>
      </c>
      <c r="Q6" s="15">
        <v>120</v>
      </c>
      <c r="R6" s="15">
        <v>140</v>
      </c>
      <c r="S6" s="15">
        <v>160</v>
      </c>
      <c r="T6" s="16" t="s">
        <v>31</v>
      </c>
      <c r="U6" s="223"/>
    </row>
    <row r="7" spans="1:21" ht="15" thickTop="1">
      <c r="A7" s="47" t="s">
        <v>33</v>
      </c>
      <c r="B7" s="17">
        <v>21.34</v>
      </c>
      <c r="C7" s="18">
        <v>1.65</v>
      </c>
      <c r="D7" s="19">
        <v>1.65</v>
      </c>
      <c r="E7" s="20">
        <v>2.11</v>
      </c>
      <c r="F7" s="20">
        <v>2.11</v>
      </c>
      <c r="G7" s="20"/>
      <c r="H7" s="21">
        <v>2.41</v>
      </c>
      <c r="I7" s="20">
        <v>2.77</v>
      </c>
      <c r="J7" s="20">
        <v>2.77</v>
      </c>
      <c r="K7" s="20">
        <v>2.77</v>
      </c>
      <c r="L7" s="20"/>
      <c r="M7" s="20">
        <v>3.73</v>
      </c>
      <c r="N7" s="20">
        <v>3.73</v>
      </c>
      <c r="O7" s="20">
        <v>3.73</v>
      </c>
      <c r="P7" s="20"/>
      <c r="Q7" s="20"/>
      <c r="R7" s="20"/>
      <c r="S7" s="20">
        <v>4.78</v>
      </c>
      <c r="T7" s="22">
        <v>7.47</v>
      </c>
      <c r="U7" s="228">
        <v>0.5</v>
      </c>
    </row>
    <row r="8" spans="1:21">
      <c r="A8" s="50" t="s">
        <v>37</v>
      </c>
      <c r="B8" s="23">
        <v>26.67</v>
      </c>
      <c r="C8" s="24">
        <v>1.65</v>
      </c>
      <c r="D8" s="25">
        <v>1.65</v>
      </c>
      <c r="E8" s="26">
        <v>2.11</v>
      </c>
      <c r="F8" s="26">
        <v>2.11</v>
      </c>
      <c r="G8" s="26"/>
      <c r="H8" s="27">
        <v>2.41</v>
      </c>
      <c r="I8" s="26">
        <v>2.87</v>
      </c>
      <c r="J8" s="26">
        <v>2.87</v>
      </c>
      <c r="K8" s="26">
        <v>2.87</v>
      </c>
      <c r="L8" s="26"/>
      <c r="M8" s="26">
        <v>3.91</v>
      </c>
      <c r="N8" s="26">
        <v>3.91</v>
      </c>
      <c r="O8" s="26">
        <v>3.91</v>
      </c>
      <c r="P8" s="26"/>
      <c r="Q8" s="26"/>
      <c r="R8" s="26"/>
      <c r="S8" s="26">
        <v>5.56</v>
      </c>
      <c r="T8" s="28">
        <v>7.82</v>
      </c>
      <c r="U8" s="228">
        <v>0.75</v>
      </c>
    </row>
    <row r="9" spans="1:21">
      <c r="A9" s="48">
        <v>1</v>
      </c>
      <c r="B9" s="23">
        <v>33.4</v>
      </c>
      <c r="C9" s="24">
        <v>1.65</v>
      </c>
      <c r="D9" s="25">
        <v>1.65</v>
      </c>
      <c r="E9" s="26">
        <v>2.77</v>
      </c>
      <c r="F9" s="26">
        <v>2.77</v>
      </c>
      <c r="G9" s="26"/>
      <c r="H9" s="29">
        <v>2.9</v>
      </c>
      <c r="I9" s="26">
        <v>3.38</v>
      </c>
      <c r="J9" s="26">
        <v>3.38</v>
      </c>
      <c r="K9" s="26">
        <v>3.38</v>
      </c>
      <c r="L9" s="26"/>
      <c r="M9" s="26">
        <v>4.55</v>
      </c>
      <c r="N9" s="26">
        <v>4.55</v>
      </c>
      <c r="O9" s="26">
        <v>4.55</v>
      </c>
      <c r="P9" s="26"/>
      <c r="Q9" s="26"/>
      <c r="R9" s="26"/>
      <c r="S9" s="26">
        <v>6.35</v>
      </c>
      <c r="T9" s="28">
        <v>9.09</v>
      </c>
      <c r="U9" s="228">
        <v>1</v>
      </c>
    </row>
    <row r="10" spans="1:21">
      <c r="A10" s="51" t="s">
        <v>38</v>
      </c>
      <c r="B10" s="23">
        <v>42.16</v>
      </c>
      <c r="C10" s="24">
        <v>1.65</v>
      </c>
      <c r="D10" s="25">
        <v>1.65</v>
      </c>
      <c r="E10" s="26">
        <v>2.77</v>
      </c>
      <c r="F10" s="26">
        <v>2.77</v>
      </c>
      <c r="G10" s="26"/>
      <c r="H10" s="27">
        <v>2.97</v>
      </c>
      <c r="I10" s="26">
        <v>3.56</v>
      </c>
      <c r="J10" s="26">
        <v>3.56</v>
      </c>
      <c r="K10" s="26">
        <v>3.56</v>
      </c>
      <c r="L10" s="26"/>
      <c r="M10" s="26">
        <v>4.8499999999999996</v>
      </c>
      <c r="N10" s="26">
        <v>4.8499999999999996</v>
      </c>
      <c r="O10" s="26">
        <v>4.8499999999999996</v>
      </c>
      <c r="P10" s="26"/>
      <c r="Q10" s="26"/>
      <c r="R10" s="26"/>
      <c r="S10" s="26">
        <v>6.35</v>
      </c>
      <c r="T10" s="30">
        <v>9.6999999999999993</v>
      </c>
      <c r="U10" s="228">
        <v>1.25</v>
      </c>
    </row>
    <row r="11" spans="1:21">
      <c r="A11" s="51" t="s">
        <v>34</v>
      </c>
      <c r="B11" s="23">
        <v>48.26</v>
      </c>
      <c r="C11" s="24">
        <v>1.65</v>
      </c>
      <c r="D11" s="25">
        <v>1.65</v>
      </c>
      <c r="E11" s="26">
        <v>2.77</v>
      </c>
      <c r="F11" s="26">
        <v>2.77</v>
      </c>
      <c r="G11" s="26"/>
      <c r="H11" s="27">
        <v>3.18</v>
      </c>
      <c r="I11" s="26">
        <v>3.68</v>
      </c>
      <c r="J11" s="26">
        <v>3.68</v>
      </c>
      <c r="K11" s="26">
        <v>3.68</v>
      </c>
      <c r="L11" s="26"/>
      <c r="M11" s="26">
        <v>5.08</v>
      </c>
      <c r="N11" s="26">
        <v>5.08</v>
      </c>
      <c r="O11" s="26">
        <v>5.08</v>
      </c>
      <c r="P11" s="26"/>
      <c r="Q11" s="26"/>
      <c r="R11" s="26"/>
      <c r="S11" s="26">
        <v>7.14</v>
      </c>
      <c r="T11" s="28">
        <v>10.15</v>
      </c>
      <c r="U11" s="228">
        <v>1.5</v>
      </c>
    </row>
    <row r="12" spans="1:21">
      <c r="A12" s="48">
        <v>2</v>
      </c>
      <c r="B12" s="23">
        <v>60.32</v>
      </c>
      <c r="C12" s="24">
        <v>1.65</v>
      </c>
      <c r="D12" s="25">
        <v>1.65</v>
      </c>
      <c r="E12" s="26">
        <v>2.77</v>
      </c>
      <c r="F12" s="26">
        <v>2.77</v>
      </c>
      <c r="G12" s="26"/>
      <c r="H12" s="27">
        <v>3.18</v>
      </c>
      <c r="I12" s="26">
        <v>3.91</v>
      </c>
      <c r="J12" s="26">
        <v>3.91</v>
      </c>
      <c r="K12" s="26">
        <v>3.91</v>
      </c>
      <c r="L12" s="26"/>
      <c r="M12" s="26">
        <v>5.54</v>
      </c>
      <c r="N12" s="26">
        <v>5.54</v>
      </c>
      <c r="O12" s="26">
        <v>5.54</v>
      </c>
      <c r="P12" s="26"/>
      <c r="Q12" s="26"/>
      <c r="R12" s="26"/>
      <c r="S12" s="26">
        <v>8.74</v>
      </c>
      <c r="T12" s="28">
        <v>11.07</v>
      </c>
      <c r="U12" s="228">
        <v>2</v>
      </c>
    </row>
    <row r="13" spans="1:21">
      <c r="A13" s="51" t="s">
        <v>35</v>
      </c>
      <c r="B13" s="23">
        <v>73.02</v>
      </c>
      <c r="C13" s="24">
        <v>2.11</v>
      </c>
      <c r="D13" s="25">
        <v>2.11</v>
      </c>
      <c r="E13" s="26">
        <v>3.05</v>
      </c>
      <c r="F13" s="26">
        <v>3.05</v>
      </c>
      <c r="G13" s="26"/>
      <c r="H13" s="27">
        <v>4.78</v>
      </c>
      <c r="I13" s="26">
        <v>5.16</v>
      </c>
      <c r="J13" s="26">
        <v>5.16</v>
      </c>
      <c r="K13" s="26">
        <v>5.16</v>
      </c>
      <c r="L13" s="26"/>
      <c r="M13" s="26">
        <v>7.01</v>
      </c>
      <c r="N13" s="26">
        <v>7.01</v>
      </c>
      <c r="O13" s="26">
        <v>7.01</v>
      </c>
      <c r="P13" s="26"/>
      <c r="Q13" s="26"/>
      <c r="R13" s="26"/>
      <c r="S13" s="26">
        <v>9.5299999999999994</v>
      </c>
      <c r="T13" s="28">
        <v>14.02</v>
      </c>
      <c r="U13" s="228">
        <v>2.5</v>
      </c>
    </row>
    <row r="14" spans="1:21">
      <c r="A14" s="49">
        <v>3</v>
      </c>
      <c r="B14" s="23">
        <v>88.9</v>
      </c>
      <c r="C14" s="24">
        <v>2.11</v>
      </c>
      <c r="D14" s="25">
        <v>2.11</v>
      </c>
      <c r="E14" s="26">
        <v>3.05</v>
      </c>
      <c r="F14" s="26">
        <v>3.05</v>
      </c>
      <c r="G14" s="26"/>
      <c r="H14" s="27">
        <v>4.78</v>
      </c>
      <c r="I14" s="26">
        <v>5.49</v>
      </c>
      <c r="J14" s="26">
        <v>5.49</v>
      </c>
      <c r="K14" s="26">
        <v>5.49</v>
      </c>
      <c r="L14" s="26"/>
      <c r="M14" s="26">
        <v>7.62</v>
      </c>
      <c r="N14" s="26">
        <v>7.62</v>
      </c>
      <c r="O14" s="26">
        <v>7.62</v>
      </c>
      <c r="P14" s="26"/>
      <c r="Q14" s="26"/>
      <c r="R14" s="26"/>
      <c r="S14" s="26">
        <v>11.13</v>
      </c>
      <c r="T14" s="28">
        <v>15.24</v>
      </c>
      <c r="U14" s="228">
        <v>3</v>
      </c>
    </row>
    <row r="15" spans="1:21">
      <c r="A15" s="52" t="s">
        <v>36</v>
      </c>
      <c r="B15" s="23">
        <v>101.6</v>
      </c>
      <c r="C15" s="24">
        <v>2.11</v>
      </c>
      <c r="D15" s="25">
        <v>2.11</v>
      </c>
      <c r="E15" s="26">
        <v>3.05</v>
      </c>
      <c r="F15" s="26">
        <v>3.05</v>
      </c>
      <c r="G15" s="26"/>
      <c r="H15" s="27">
        <v>4.78</v>
      </c>
      <c r="I15" s="26">
        <v>5.74</v>
      </c>
      <c r="J15" s="26">
        <v>5.74</v>
      </c>
      <c r="K15" s="26">
        <v>5.74</v>
      </c>
      <c r="L15" s="26"/>
      <c r="M15" s="26">
        <v>8.08</v>
      </c>
      <c r="N15" s="26">
        <v>8.08</v>
      </c>
      <c r="O15" s="26">
        <v>8.08</v>
      </c>
      <c r="P15" s="26"/>
      <c r="Q15" s="26"/>
      <c r="R15" s="26"/>
      <c r="S15" s="26"/>
      <c r="T15" s="28" t="s">
        <v>32</v>
      </c>
      <c r="U15" s="228">
        <v>3.5</v>
      </c>
    </row>
    <row r="16" spans="1:21">
      <c r="A16" s="31">
        <v>4</v>
      </c>
      <c r="B16" s="23">
        <v>114.3</v>
      </c>
      <c r="C16" s="24">
        <v>2.11</v>
      </c>
      <c r="D16" s="25">
        <v>2.11</v>
      </c>
      <c r="E16" s="26">
        <v>3.05</v>
      </c>
      <c r="F16" s="26">
        <v>3.05</v>
      </c>
      <c r="G16" s="26"/>
      <c r="H16" s="27">
        <v>4.78</v>
      </c>
      <c r="I16" s="26">
        <v>6.02</v>
      </c>
      <c r="J16" s="26">
        <v>6.02</v>
      </c>
      <c r="K16" s="26">
        <v>6.02</v>
      </c>
      <c r="L16" s="26"/>
      <c r="M16" s="26">
        <v>8.56</v>
      </c>
      <c r="N16" s="26">
        <v>8.56</v>
      </c>
      <c r="O16" s="26">
        <v>8.56</v>
      </c>
      <c r="P16" s="26"/>
      <c r="Q16" s="26">
        <v>11.13</v>
      </c>
      <c r="R16" s="26"/>
      <c r="S16" s="26">
        <v>13.49</v>
      </c>
      <c r="T16" s="28">
        <v>17.12</v>
      </c>
      <c r="U16" s="53">
        <v>4</v>
      </c>
    </row>
    <row r="17" spans="1:21">
      <c r="A17" s="31">
        <v>5</v>
      </c>
      <c r="B17" s="23">
        <v>141.30000000000001</v>
      </c>
      <c r="C17" s="24">
        <v>2.77</v>
      </c>
      <c r="D17" s="25">
        <v>2.77</v>
      </c>
      <c r="E17" s="32">
        <v>3.4</v>
      </c>
      <c r="F17" s="32">
        <v>3.4</v>
      </c>
      <c r="G17" s="26"/>
      <c r="H17" s="26"/>
      <c r="I17" s="26">
        <v>6.55</v>
      </c>
      <c r="J17" s="26">
        <v>6.55</v>
      </c>
      <c r="K17" s="26">
        <v>6.55</v>
      </c>
      <c r="L17" s="26"/>
      <c r="M17" s="26">
        <v>9.5299999999999994</v>
      </c>
      <c r="N17" s="26">
        <v>9.5299999999999994</v>
      </c>
      <c r="O17" s="26">
        <v>9.5299999999999994</v>
      </c>
      <c r="P17" s="26"/>
      <c r="Q17" s="32">
        <v>12.7</v>
      </c>
      <c r="R17" s="26"/>
      <c r="S17" s="26">
        <v>15.88</v>
      </c>
      <c r="T17" s="28">
        <v>19.05</v>
      </c>
      <c r="U17" s="53">
        <v>5</v>
      </c>
    </row>
    <row r="18" spans="1:21">
      <c r="A18" s="31">
        <v>6</v>
      </c>
      <c r="B18" s="23">
        <v>168.27</v>
      </c>
      <c r="C18" s="24">
        <v>2.77</v>
      </c>
      <c r="D18" s="25">
        <v>2.77</v>
      </c>
      <c r="E18" s="32">
        <v>3.4</v>
      </c>
      <c r="F18" s="32">
        <v>3.4</v>
      </c>
      <c r="G18" s="26"/>
      <c r="H18" s="26"/>
      <c r="I18" s="26">
        <v>7.11</v>
      </c>
      <c r="J18" s="26">
        <v>7.11</v>
      </c>
      <c r="K18" s="26">
        <v>7.11</v>
      </c>
      <c r="L18" s="26"/>
      <c r="M18" s="26">
        <v>10.97</v>
      </c>
      <c r="N18" s="26">
        <v>10.97</v>
      </c>
      <c r="O18" s="26">
        <v>10.97</v>
      </c>
      <c r="P18" s="26"/>
      <c r="Q18" s="26">
        <v>14.27</v>
      </c>
      <c r="R18" s="26"/>
      <c r="S18" s="26">
        <v>18.260000000000002</v>
      </c>
      <c r="T18" s="28">
        <v>21.95</v>
      </c>
      <c r="U18" s="53">
        <v>6</v>
      </c>
    </row>
    <row r="19" spans="1:21">
      <c r="A19" s="31">
        <v>8</v>
      </c>
      <c r="B19" s="23">
        <v>219.07</v>
      </c>
      <c r="C19" s="24">
        <v>2.77</v>
      </c>
      <c r="D19" s="25">
        <v>2.77</v>
      </c>
      <c r="E19" s="26">
        <v>3.76</v>
      </c>
      <c r="F19" s="26">
        <v>3.76</v>
      </c>
      <c r="G19" s="26">
        <v>6.35</v>
      </c>
      <c r="H19" s="26">
        <v>7.04</v>
      </c>
      <c r="I19" s="26">
        <v>8.18</v>
      </c>
      <c r="J19" s="26">
        <v>8.18</v>
      </c>
      <c r="K19" s="26">
        <v>8.18</v>
      </c>
      <c r="L19" s="26">
        <v>10.31</v>
      </c>
      <c r="M19" s="32">
        <v>12.7</v>
      </c>
      <c r="N19" s="32">
        <v>12.7</v>
      </c>
      <c r="O19" s="32">
        <v>12.7</v>
      </c>
      <c r="P19" s="26">
        <v>15.09</v>
      </c>
      <c r="Q19" s="26">
        <v>18.260000000000002</v>
      </c>
      <c r="R19" s="26">
        <v>20.62</v>
      </c>
      <c r="S19" s="26">
        <v>23.01</v>
      </c>
      <c r="T19" s="28">
        <v>22.23</v>
      </c>
      <c r="U19" s="53">
        <v>8</v>
      </c>
    </row>
    <row r="20" spans="1:21">
      <c r="A20" s="31">
        <v>10</v>
      </c>
      <c r="B20" s="23">
        <v>273.05</v>
      </c>
      <c r="C20" s="33">
        <v>3.4</v>
      </c>
      <c r="D20" s="34">
        <v>3.4</v>
      </c>
      <c r="E20" s="26">
        <v>4.1900000000000004</v>
      </c>
      <c r="F20" s="26">
        <v>4.1900000000000004</v>
      </c>
      <c r="G20" s="26">
        <v>6.35</v>
      </c>
      <c r="H20" s="32">
        <v>7.8</v>
      </c>
      <c r="I20" s="26">
        <v>9.27</v>
      </c>
      <c r="J20" s="26">
        <v>9.27</v>
      </c>
      <c r="K20" s="26">
        <v>9.27</v>
      </c>
      <c r="L20" s="32">
        <v>12.7</v>
      </c>
      <c r="M20" s="32">
        <v>12.7</v>
      </c>
      <c r="N20" s="26">
        <v>15.09</v>
      </c>
      <c r="O20" s="32">
        <v>12.7</v>
      </c>
      <c r="P20" s="26">
        <v>18.260000000000002</v>
      </c>
      <c r="Q20" s="26">
        <v>21.44</v>
      </c>
      <c r="R20" s="32">
        <v>25.4</v>
      </c>
      <c r="S20" s="26">
        <v>28.58</v>
      </c>
      <c r="T20" s="30">
        <v>25.4</v>
      </c>
      <c r="U20" s="53">
        <v>10</v>
      </c>
    </row>
    <row r="21" spans="1:21">
      <c r="A21" s="31">
        <v>12</v>
      </c>
      <c r="B21" s="23">
        <v>323.85000000000002</v>
      </c>
      <c r="C21" s="24">
        <v>3.96</v>
      </c>
      <c r="D21" s="25">
        <v>3.96</v>
      </c>
      <c r="E21" s="26">
        <v>4.57</v>
      </c>
      <c r="F21" s="26">
        <v>4.57</v>
      </c>
      <c r="G21" s="26">
        <v>6.35</v>
      </c>
      <c r="H21" s="26">
        <v>8.3800000000000008</v>
      </c>
      <c r="I21" s="26">
        <v>9.5299999999999994</v>
      </c>
      <c r="J21" s="26">
        <v>10.31</v>
      </c>
      <c r="K21" s="26">
        <v>9.5299999999999994</v>
      </c>
      <c r="L21" s="26">
        <v>14.27</v>
      </c>
      <c r="M21" s="32">
        <v>12.7</v>
      </c>
      <c r="N21" s="26">
        <v>17.48</v>
      </c>
      <c r="O21" s="32">
        <v>12.7</v>
      </c>
      <c r="P21" s="26">
        <v>21.44</v>
      </c>
      <c r="Q21" s="32">
        <v>25.4</v>
      </c>
      <c r="R21" s="26">
        <v>28.58</v>
      </c>
      <c r="S21" s="26">
        <v>33.32</v>
      </c>
      <c r="T21" s="30">
        <v>25.4</v>
      </c>
      <c r="U21" s="53">
        <v>12</v>
      </c>
    </row>
    <row r="22" spans="1:21">
      <c r="A22" s="31">
        <v>14</v>
      </c>
      <c r="B22" s="23">
        <v>355.6</v>
      </c>
      <c r="C22" s="24">
        <v>3.96</v>
      </c>
      <c r="D22" s="25">
        <v>3.96</v>
      </c>
      <c r="E22" s="26">
        <v>6.35</v>
      </c>
      <c r="F22" s="26">
        <v>4.78</v>
      </c>
      <c r="G22" s="26">
        <v>7.92</v>
      </c>
      <c r="H22" s="26">
        <v>9.5299999999999994</v>
      </c>
      <c r="I22" s="26">
        <v>9.5299999999999994</v>
      </c>
      <c r="J22" s="26">
        <v>11.13</v>
      </c>
      <c r="K22" s="26"/>
      <c r="L22" s="26">
        <v>15.09</v>
      </c>
      <c r="M22" s="32">
        <v>12.7</v>
      </c>
      <c r="N22" s="26">
        <v>19.05</v>
      </c>
      <c r="O22" s="26"/>
      <c r="P22" s="26">
        <v>23.83</v>
      </c>
      <c r="Q22" s="26">
        <v>27.79</v>
      </c>
      <c r="R22" s="26">
        <v>31.75</v>
      </c>
      <c r="S22" s="26">
        <v>35.71</v>
      </c>
      <c r="T22" s="28"/>
      <c r="U22" s="53">
        <v>14</v>
      </c>
    </row>
    <row r="23" spans="1:21">
      <c r="A23" s="31">
        <v>16</v>
      </c>
      <c r="B23" s="23">
        <v>406.4</v>
      </c>
      <c r="C23" s="24">
        <v>4.1900000000000004</v>
      </c>
      <c r="D23" s="25">
        <v>4.1900000000000004</v>
      </c>
      <c r="E23" s="26">
        <v>6.35</v>
      </c>
      <c r="F23" s="26">
        <v>4.78</v>
      </c>
      <c r="G23" s="26">
        <v>7.92</v>
      </c>
      <c r="H23" s="26">
        <v>9.5299999999999994</v>
      </c>
      <c r="I23" s="26">
        <v>9.5299999999999994</v>
      </c>
      <c r="J23" s="32">
        <v>12.7</v>
      </c>
      <c r="K23" s="26"/>
      <c r="L23" s="26">
        <v>16.66</v>
      </c>
      <c r="M23" s="32">
        <v>12.7</v>
      </c>
      <c r="N23" s="26">
        <v>21.44</v>
      </c>
      <c r="O23" s="26"/>
      <c r="P23" s="26">
        <v>26.19</v>
      </c>
      <c r="Q23" s="26">
        <v>30.96</v>
      </c>
      <c r="R23" s="26">
        <v>36.53</v>
      </c>
      <c r="S23" s="26">
        <v>40.49</v>
      </c>
      <c r="T23" s="28"/>
      <c r="U23" s="53">
        <v>16</v>
      </c>
    </row>
    <row r="24" spans="1:21">
      <c r="A24" s="31">
        <v>18</v>
      </c>
      <c r="B24" s="23">
        <v>457.2</v>
      </c>
      <c r="C24" s="24">
        <v>4.1900000000000004</v>
      </c>
      <c r="D24" s="25">
        <v>4.1900000000000004</v>
      </c>
      <c r="E24" s="26">
        <v>6.35</v>
      </c>
      <c r="F24" s="26">
        <v>4.78</v>
      </c>
      <c r="G24" s="26">
        <v>7.92</v>
      </c>
      <c r="H24" s="26">
        <v>11.13</v>
      </c>
      <c r="I24" s="26">
        <v>9.5299999999999994</v>
      </c>
      <c r="J24" s="26">
        <v>14.27</v>
      </c>
      <c r="K24" s="26"/>
      <c r="L24" s="26">
        <v>19.05</v>
      </c>
      <c r="M24" s="32">
        <v>12.7</v>
      </c>
      <c r="N24" s="26">
        <v>23.83</v>
      </c>
      <c r="O24" s="26"/>
      <c r="P24" s="26">
        <v>29.36</v>
      </c>
      <c r="Q24" s="26">
        <v>34.93</v>
      </c>
      <c r="R24" s="26">
        <v>39.67</v>
      </c>
      <c r="S24" s="26">
        <v>45.24</v>
      </c>
      <c r="T24" s="28"/>
      <c r="U24" s="229">
        <v>18</v>
      </c>
    </row>
    <row r="25" spans="1:21">
      <c r="A25" s="31">
        <v>20</v>
      </c>
      <c r="B25" s="23">
        <v>508</v>
      </c>
      <c r="C25" s="24">
        <v>4.78</v>
      </c>
      <c r="D25" s="25">
        <v>4.78</v>
      </c>
      <c r="E25" s="26">
        <v>6.35</v>
      </c>
      <c r="F25" s="26">
        <v>5.54</v>
      </c>
      <c r="G25" s="26">
        <v>9.5299999999999994</v>
      </c>
      <c r="H25" s="32">
        <v>12.7</v>
      </c>
      <c r="I25" s="26">
        <v>9.5299999999999994</v>
      </c>
      <c r="J25" s="26">
        <v>15.09</v>
      </c>
      <c r="K25" s="26"/>
      <c r="L25" s="26">
        <v>20.62</v>
      </c>
      <c r="M25" s="32">
        <v>12.7</v>
      </c>
      <c r="N25" s="26">
        <v>26.19</v>
      </c>
      <c r="O25" s="26"/>
      <c r="P25" s="26">
        <v>32.54</v>
      </c>
      <c r="Q25" s="32">
        <v>38.1</v>
      </c>
      <c r="R25" s="26">
        <v>44.45</v>
      </c>
      <c r="S25" s="26">
        <v>50.01</v>
      </c>
      <c r="T25" s="28"/>
      <c r="U25" s="229">
        <v>20</v>
      </c>
    </row>
    <row r="26" spans="1:21">
      <c r="A26" s="31">
        <v>22</v>
      </c>
      <c r="B26" s="23">
        <v>558.79999999999995</v>
      </c>
      <c r="C26" s="24">
        <v>4.78</v>
      </c>
      <c r="D26" s="25">
        <v>4.78</v>
      </c>
      <c r="E26" s="26">
        <v>6.35</v>
      </c>
      <c r="F26" s="26">
        <v>5.54</v>
      </c>
      <c r="G26" s="26">
        <v>9.5299999999999994</v>
      </c>
      <c r="H26" s="32">
        <v>12.7</v>
      </c>
      <c r="I26" s="26">
        <v>9.5299999999999994</v>
      </c>
      <c r="J26" s="27"/>
      <c r="K26" s="27"/>
      <c r="L26" s="26">
        <v>22.23</v>
      </c>
      <c r="M26" s="32">
        <v>12.7</v>
      </c>
      <c r="N26" s="26">
        <v>28.58</v>
      </c>
      <c r="O26" s="26"/>
      <c r="P26" s="26">
        <v>34.93</v>
      </c>
      <c r="Q26" s="26">
        <v>41.28</v>
      </c>
      <c r="R26" s="26">
        <v>47.63</v>
      </c>
      <c r="S26" s="26">
        <v>53.98</v>
      </c>
      <c r="T26" s="28"/>
      <c r="U26" s="229">
        <v>22</v>
      </c>
    </row>
    <row r="27" spans="1:21">
      <c r="A27" s="31">
        <v>24</v>
      </c>
      <c r="B27" s="23">
        <v>609.6</v>
      </c>
      <c r="C27" s="24">
        <v>5.54</v>
      </c>
      <c r="D27" s="25">
        <v>5.54</v>
      </c>
      <c r="E27" s="26">
        <v>6.35</v>
      </c>
      <c r="F27" s="26">
        <v>6.35</v>
      </c>
      <c r="G27" s="26">
        <v>9.5299999999999994</v>
      </c>
      <c r="H27" s="26">
        <v>14.27</v>
      </c>
      <c r="I27" s="26">
        <v>9.5299999999999994</v>
      </c>
      <c r="J27" s="26">
        <v>17.48</v>
      </c>
      <c r="K27" s="26"/>
      <c r="L27" s="26">
        <v>24.61</v>
      </c>
      <c r="M27" s="32">
        <v>12.7</v>
      </c>
      <c r="N27" s="26">
        <v>30.96</v>
      </c>
      <c r="O27" s="26"/>
      <c r="P27" s="26">
        <v>38.89</v>
      </c>
      <c r="Q27" s="26">
        <v>46.02</v>
      </c>
      <c r="R27" s="26">
        <v>52.37</v>
      </c>
      <c r="S27" s="26">
        <v>59.54</v>
      </c>
      <c r="T27" s="28"/>
      <c r="U27" s="229">
        <v>24</v>
      </c>
    </row>
    <row r="28" spans="1:21">
      <c r="A28" s="31">
        <v>26</v>
      </c>
      <c r="B28" s="23">
        <v>660.4</v>
      </c>
      <c r="C28" s="24"/>
      <c r="D28" s="25"/>
      <c r="E28" s="26">
        <v>7.92</v>
      </c>
      <c r="F28" s="26"/>
      <c r="G28" s="32">
        <v>12.7</v>
      </c>
      <c r="H28" s="26"/>
      <c r="I28" s="26">
        <v>9.5299999999999994</v>
      </c>
      <c r="J28" s="26"/>
      <c r="K28" s="26"/>
      <c r="L28" s="26"/>
      <c r="M28" s="32">
        <v>12.7</v>
      </c>
      <c r="N28" s="26"/>
      <c r="O28" s="26"/>
      <c r="P28" s="26"/>
      <c r="Q28" s="26"/>
      <c r="R28" s="26"/>
      <c r="S28" s="26"/>
      <c r="T28" s="28"/>
      <c r="U28" s="229">
        <v>26</v>
      </c>
    </row>
    <row r="29" spans="1:21">
      <c r="A29" s="31">
        <v>28</v>
      </c>
      <c r="B29" s="23">
        <v>711.2</v>
      </c>
      <c r="C29" s="24"/>
      <c r="D29" s="25"/>
      <c r="E29" s="26">
        <v>7.92</v>
      </c>
      <c r="F29" s="26"/>
      <c r="G29" s="32">
        <v>12.7</v>
      </c>
      <c r="H29" s="26">
        <v>15.88</v>
      </c>
      <c r="I29" s="26">
        <v>9.5299999999999994</v>
      </c>
      <c r="J29" s="26"/>
      <c r="K29" s="26"/>
      <c r="L29" s="26"/>
      <c r="M29" s="32">
        <v>12.7</v>
      </c>
      <c r="N29" s="26"/>
      <c r="O29" s="26"/>
      <c r="P29" s="26"/>
      <c r="Q29" s="26"/>
      <c r="R29" s="26"/>
      <c r="S29" s="26"/>
      <c r="T29" s="28"/>
      <c r="U29" s="229">
        <v>28</v>
      </c>
    </row>
    <row r="30" spans="1:21">
      <c r="A30" s="31">
        <v>30</v>
      </c>
      <c r="B30" s="23">
        <v>762</v>
      </c>
      <c r="C30" s="24">
        <v>6.35</v>
      </c>
      <c r="D30" s="25">
        <v>6.35</v>
      </c>
      <c r="E30" s="26">
        <v>7.92</v>
      </c>
      <c r="F30" s="26">
        <v>7.92</v>
      </c>
      <c r="G30" s="32">
        <v>12.7</v>
      </c>
      <c r="H30" s="26">
        <v>15.88</v>
      </c>
      <c r="I30" s="26">
        <v>9.5299999999999994</v>
      </c>
      <c r="J30" s="26"/>
      <c r="K30" s="26"/>
      <c r="L30" s="26"/>
      <c r="M30" s="32">
        <v>12.7</v>
      </c>
      <c r="N30" s="26"/>
      <c r="O30" s="26"/>
      <c r="P30" s="26"/>
      <c r="Q30" s="26"/>
      <c r="R30" s="26"/>
      <c r="S30" s="26"/>
      <c r="T30" s="28"/>
      <c r="U30" s="229">
        <v>30</v>
      </c>
    </row>
    <row r="31" spans="1:21">
      <c r="A31" s="31">
        <v>32</v>
      </c>
      <c r="B31" s="23">
        <v>812.8</v>
      </c>
      <c r="C31" s="24"/>
      <c r="D31" s="25"/>
      <c r="E31" s="26">
        <v>7.92</v>
      </c>
      <c r="F31" s="26"/>
      <c r="G31" s="32">
        <v>12.7</v>
      </c>
      <c r="H31" s="26">
        <v>15.88</v>
      </c>
      <c r="I31" s="26">
        <v>9.5299999999999994</v>
      </c>
      <c r="J31" s="26">
        <v>17.48</v>
      </c>
      <c r="K31" s="26"/>
      <c r="L31" s="26"/>
      <c r="M31" s="32">
        <v>12.7</v>
      </c>
      <c r="N31" s="26"/>
      <c r="O31" s="26"/>
      <c r="P31" s="26"/>
      <c r="Q31" s="26"/>
      <c r="R31" s="26"/>
      <c r="S31" s="26"/>
      <c r="T31" s="28"/>
      <c r="U31" s="229">
        <v>32</v>
      </c>
    </row>
    <row r="32" spans="1:21">
      <c r="A32" s="31">
        <v>34</v>
      </c>
      <c r="B32" s="23">
        <v>863.6</v>
      </c>
      <c r="C32" s="24"/>
      <c r="D32" s="25"/>
      <c r="E32" s="26">
        <v>7.92</v>
      </c>
      <c r="F32" s="26"/>
      <c r="G32" s="32">
        <v>12.7</v>
      </c>
      <c r="H32" s="26">
        <v>15.88</v>
      </c>
      <c r="I32" s="26">
        <v>9.5299999999999994</v>
      </c>
      <c r="J32" s="26">
        <v>17.48</v>
      </c>
      <c r="K32" s="26"/>
      <c r="L32" s="26"/>
      <c r="M32" s="32">
        <v>12.7</v>
      </c>
      <c r="N32" s="26"/>
      <c r="O32" s="26"/>
      <c r="P32" s="26"/>
      <c r="Q32" s="26"/>
      <c r="R32" s="26"/>
      <c r="S32" s="26"/>
      <c r="T32" s="28"/>
      <c r="U32" s="229">
        <v>34</v>
      </c>
    </row>
    <row r="33" spans="1:21">
      <c r="A33" s="31">
        <v>36</v>
      </c>
      <c r="B33" s="23">
        <v>914.4</v>
      </c>
      <c r="C33" s="24"/>
      <c r="D33" s="25"/>
      <c r="E33" s="26">
        <v>7.92</v>
      </c>
      <c r="F33" s="26"/>
      <c r="G33" s="32">
        <v>12.7</v>
      </c>
      <c r="H33" s="26">
        <v>15.88</v>
      </c>
      <c r="I33" s="26">
        <v>9.5299999999999994</v>
      </c>
      <c r="J33" s="26">
        <v>19.05</v>
      </c>
      <c r="K33" s="26"/>
      <c r="L33" s="26"/>
      <c r="M33" s="32">
        <v>12.7</v>
      </c>
      <c r="N33" s="26"/>
      <c r="O33" s="26"/>
      <c r="P33" s="26"/>
      <c r="Q33" s="26"/>
      <c r="R33" s="26"/>
      <c r="S33" s="26"/>
      <c r="T33" s="28"/>
      <c r="U33" s="229">
        <v>36</v>
      </c>
    </row>
    <row r="34" spans="1:21">
      <c r="A34" s="35">
        <v>38</v>
      </c>
      <c r="B34" s="36">
        <v>965.2</v>
      </c>
      <c r="C34" s="37"/>
      <c r="D34" s="38"/>
      <c r="E34" s="39"/>
      <c r="F34" s="39"/>
      <c r="G34" s="39"/>
      <c r="H34" s="39"/>
      <c r="I34" s="26">
        <v>9.5299999999999994</v>
      </c>
      <c r="J34" s="39"/>
      <c r="K34" s="39"/>
      <c r="L34" s="39"/>
      <c r="M34" s="32">
        <v>12.7</v>
      </c>
      <c r="N34" s="39"/>
      <c r="O34" s="39"/>
      <c r="P34" s="39"/>
      <c r="Q34" s="39"/>
      <c r="R34" s="39"/>
      <c r="S34" s="39"/>
      <c r="T34" s="40"/>
      <c r="U34" s="229">
        <v>38</v>
      </c>
    </row>
    <row r="35" spans="1:21">
      <c r="A35" s="31">
        <v>40</v>
      </c>
      <c r="B35" s="23">
        <v>1016</v>
      </c>
      <c r="C35" s="24"/>
      <c r="D35" s="38"/>
      <c r="E35" s="39"/>
      <c r="F35" s="39"/>
      <c r="G35" s="39"/>
      <c r="H35" s="39"/>
      <c r="I35" s="26">
        <v>9.5299999999999994</v>
      </c>
      <c r="J35" s="39"/>
      <c r="K35" s="39"/>
      <c r="L35" s="39"/>
      <c r="M35" s="32">
        <v>12.7</v>
      </c>
      <c r="N35" s="39"/>
      <c r="O35" s="39"/>
      <c r="P35" s="39"/>
      <c r="Q35" s="39"/>
      <c r="R35" s="39"/>
      <c r="S35" s="39"/>
      <c r="T35" s="40"/>
      <c r="U35" s="229">
        <v>40</v>
      </c>
    </row>
    <row r="36" spans="1:21">
      <c r="A36" s="31">
        <v>42</v>
      </c>
      <c r="B36" s="23">
        <v>1066.8</v>
      </c>
      <c r="C36" s="24"/>
      <c r="D36" s="38"/>
      <c r="E36" s="39"/>
      <c r="F36" s="39"/>
      <c r="G36" s="39"/>
      <c r="H36" s="39"/>
      <c r="I36" s="26">
        <v>9.5299999999999994</v>
      </c>
      <c r="J36" s="39"/>
      <c r="K36" s="39"/>
      <c r="L36" s="39"/>
      <c r="M36" s="32">
        <v>12.7</v>
      </c>
      <c r="N36" s="39"/>
      <c r="O36" s="39"/>
      <c r="P36" s="39"/>
      <c r="Q36" s="39"/>
      <c r="R36" s="39"/>
      <c r="S36" s="39"/>
      <c r="T36" s="40"/>
      <c r="U36" s="229">
        <v>42</v>
      </c>
    </row>
    <row r="37" spans="1:21">
      <c r="A37" s="31">
        <v>44</v>
      </c>
      <c r="B37" s="23">
        <v>1117.5999999999999</v>
      </c>
      <c r="C37" s="24"/>
      <c r="D37" s="38"/>
      <c r="E37" s="39"/>
      <c r="F37" s="39"/>
      <c r="G37" s="39"/>
      <c r="H37" s="39"/>
      <c r="I37" s="26">
        <v>9.5299999999999994</v>
      </c>
      <c r="J37" s="39"/>
      <c r="K37" s="39"/>
      <c r="L37" s="39"/>
      <c r="M37" s="32">
        <v>12.7</v>
      </c>
      <c r="N37" s="39"/>
      <c r="O37" s="39"/>
      <c r="P37" s="39"/>
      <c r="Q37" s="39"/>
      <c r="R37" s="39"/>
      <c r="S37" s="39"/>
      <c r="T37" s="40"/>
      <c r="U37" s="229">
        <v>44</v>
      </c>
    </row>
    <row r="38" spans="1:21">
      <c r="A38" s="31">
        <v>46</v>
      </c>
      <c r="B38" s="23">
        <v>1168.4000000000001</v>
      </c>
      <c r="C38" s="24"/>
      <c r="D38" s="38"/>
      <c r="E38" s="39"/>
      <c r="F38" s="39"/>
      <c r="G38" s="39"/>
      <c r="H38" s="39"/>
      <c r="I38" s="26">
        <v>9.5299999999999994</v>
      </c>
      <c r="J38" s="39"/>
      <c r="K38" s="39"/>
      <c r="L38" s="39"/>
      <c r="M38" s="32">
        <v>12.7</v>
      </c>
      <c r="N38" s="39"/>
      <c r="O38" s="39"/>
      <c r="P38" s="39"/>
      <c r="Q38" s="39"/>
      <c r="R38" s="39"/>
      <c r="S38" s="39"/>
      <c r="T38" s="40"/>
      <c r="U38" s="229">
        <v>46</v>
      </c>
    </row>
    <row r="39" spans="1:21">
      <c r="A39" s="31">
        <v>48</v>
      </c>
      <c r="B39" s="23">
        <v>1219.2</v>
      </c>
      <c r="C39" s="24"/>
      <c r="D39" s="38"/>
      <c r="E39" s="39"/>
      <c r="F39" s="39"/>
      <c r="G39" s="39"/>
      <c r="H39" s="39"/>
      <c r="I39" s="26">
        <v>9.5299999999999994</v>
      </c>
      <c r="J39" s="39"/>
      <c r="K39" s="39"/>
      <c r="L39" s="39"/>
      <c r="M39" s="32">
        <v>12.7</v>
      </c>
      <c r="N39" s="39"/>
      <c r="O39" s="39"/>
      <c r="P39" s="39"/>
      <c r="Q39" s="39"/>
      <c r="R39" s="39"/>
      <c r="S39" s="39"/>
      <c r="T39" s="40"/>
      <c r="U39" s="229">
        <v>48</v>
      </c>
    </row>
    <row r="40" spans="1:21">
      <c r="A40" s="31">
        <v>52</v>
      </c>
      <c r="B40" s="23">
        <v>1320.8</v>
      </c>
      <c r="C40" s="24"/>
      <c r="D40" s="38"/>
      <c r="E40" s="39"/>
      <c r="F40" s="39"/>
      <c r="G40" s="39"/>
      <c r="H40" s="39"/>
      <c r="I40" s="39"/>
      <c r="J40" s="39"/>
      <c r="K40" s="39"/>
      <c r="L40" s="39"/>
      <c r="M40" s="39"/>
      <c r="N40" s="39"/>
      <c r="O40" s="39"/>
      <c r="P40" s="39"/>
      <c r="Q40" s="39"/>
      <c r="R40" s="39"/>
      <c r="S40" s="39"/>
      <c r="T40" s="40"/>
      <c r="U40" s="229">
        <v>52</v>
      </c>
    </row>
    <row r="41" spans="1:21">
      <c r="A41" s="31">
        <v>56</v>
      </c>
      <c r="B41" s="23">
        <v>1422.4</v>
      </c>
      <c r="C41" s="24"/>
      <c r="D41" s="38"/>
      <c r="E41" s="39"/>
      <c r="F41" s="39"/>
      <c r="G41" s="39"/>
      <c r="H41" s="39"/>
      <c r="I41" s="39"/>
      <c r="J41" s="39"/>
      <c r="K41" s="39"/>
      <c r="L41" s="39"/>
      <c r="M41" s="39"/>
      <c r="N41" s="39"/>
      <c r="O41" s="39"/>
      <c r="P41" s="39"/>
      <c r="Q41" s="39"/>
      <c r="R41" s="39"/>
      <c r="S41" s="39"/>
      <c r="T41" s="40"/>
      <c r="U41" s="229">
        <v>56</v>
      </c>
    </row>
    <row r="42" spans="1:21">
      <c r="A42" s="31">
        <v>60</v>
      </c>
      <c r="B42" s="23">
        <v>1524</v>
      </c>
      <c r="C42" s="24"/>
      <c r="D42" s="38"/>
      <c r="E42" s="39"/>
      <c r="F42" s="39"/>
      <c r="G42" s="39"/>
      <c r="H42" s="39"/>
      <c r="I42" s="39"/>
      <c r="J42" s="39"/>
      <c r="K42" s="39"/>
      <c r="L42" s="39"/>
      <c r="M42" s="39"/>
      <c r="N42" s="39"/>
      <c r="O42" s="39"/>
      <c r="P42" s="39"/>
      <c r="Q42" s="39"/>
      <c r="R42" s="39"/>
      <c r="S42" s="39"/>
      <c r="T42" s="40"/>
      <c r="U42" s="229">
        <v>60</v>
      </c>
    </row>
    <row r="43" spans="1:21">
      <c r="A43" s="31">
        <v>64</v>
      </c>
      <c r="B43" s="23">
        <v>1625.6</v>
      </c>
      <c r="C43" s="24"/>
      <c r="D43" s="38"/>
      <c r="E43" s="39"/>
      <c r="F43" s="39"/>
      <c r="G43" s="39"/>
      <c r="H43" s="39"/>
      <c r="I43" s="39"/>
      <c r="J43" s="39"/>
      <c r="K43" s="39"/>
      <c r="L43" s="39"/>
      <c r="M43" s="39"/>
      <c r="N43" s="39"/>
      <c r="O43" s="39"/>
      <c r="P43" s="39"/>
      <c r="Q43" s="39"/>
      <c r="R43" s="39"/>
      <c r="S43" s="39"/>
      <c r="T43" s="40"/>
      <c r="U43" s="229">
        <v>64</v>
      </c>
    </row>
    <row r="44" spans="1:21">
      <c r="A44" s="31">
        <v>66</v>
      </c>
      <c r="B44" s="23">
        <v>1676.4</v>
      </c>
      <c r="C44" s="24"/>
      <c r="D44" s="38"/>
      <c r="E44" s="39"/>
      <c r="F44" s="39"/>
      <c r="G44" s="39"/>
      <c r="H44" s="39"/>
      <c r="I44" s="39"/>
      <c r="J44" s="39"/>
      <c r="K44" s="39"/>
      <c r="L44" s="39"/>
      <c r="M44" s="39"/>
      <c r="N44" s="39"/>
      <c r="O44" s="39"/>
      <c r="P44" s="39"/>
      <c r="Q44" s="39"/>
      <c r="R44" s="39"/>
      <c r="S44" s="39"/>
      <c r="T44" s="40"/>
      <c r="U44" s="229">
        <v>66</v>
      </c>
    </row>
    <row r="45" spans="1:21">
      <c r="A45" s="31">
        <v>68</v>
      </c>
      <c r="B45" s="23">
        <v>1727.2</v>
      </c>
      <c r="C45" s="24"/>
      <c r="D45" s="38"/>
      <c r="E45" s="39"/>
      <c r="F45" s="39"/>
      <c r="G45" s="39"/>
      <c r="H45" s="39"/>
      <c r="I45" s="39"/>
      <c r="J45" s="39"/>
      <c r="K45" s="39"/>
      <c r="L45" s="39"/>
      <c r="M45" s="39"/>
      <c r="N45" s="39"/>
      <c r="O45" s="39"/>
      <c r="P45" s="39"/>
      <c r="Q45" s="39"/>
      <c r="R45" s="39"/>
      <c r="S45" s="39"/>
      <c r="T45" s="40"/>
      <c r="U45" s="229">
        <v>68</v>
      </c>
    </row>
    <row r="46" spans="1:21">
      <c r="A46" s="31">
        <v>72</v>
      </c>
      <c r="B46" s="23">
        <v>1828.8</v>
      </c>
      <c r="C46" s="24"/>
      <c r="D46" s="38"/>
      <c r="E46" s="39"/>
      <c r="F46" s="39"/>
      <c r="G46" s="39"/>
      <c r="H46" s="39"/>
      <c r="I46" s="39"/>
      <c r="J46" s="39"/>
      <c r="K46" s="39"/>
      <c r="L46" s="39"/>
      <c r="M46" s="39"/>
      <c r="N46" s="39"/>
      <c r="O46" s="39"/>
      <c r="P46" s="39"/>
      <c r="Q46" s="39"/>
      <c r="R46" s="39"/>
      <c r="S46" s="39"/>
      <c r="T46" s="40"/>
      <c r="U46" s="229">
        <v>72</v>
      </c>
    </row>
    <row r="47" spans="1:21">
      <c r="A47" s="31">
        <v>76</v>
      </c>
      <c r="B47" s="23">
        <v>1930.4</v>
      </c>
      <c r="C47" s="24"/>
      <c r="D47" s="38"/>
      <c r="E47" s="39"/>
      <c r="F47" s="39"/>
      <c r="G47" s="39"/>
      <c r="H47" s="39"/>
      <c r="I47" s="39"/>
      <c r="J47" s="39"/>
      <c r="K47" s="39"/>
      <c r="L47" s="39"/>
      <c r="M47" s="39"/>
      <c r="N47" s="39"/>
      <c r="O47" s="39"/>
      <c r="P47" s="39"/>
      <c r="Q47" s="39"/>
      <c r="R47" s="39"/>
      <c r="S47" s="39"/>
      <c r="T47" s="40"/>
      <c r="U47" s="229">
        <v>76</v>
      </c>
    </row>
    <row r="48" spans="1:21" ht="15" thickBot="1">
      <c r="A48" s="41">
        <v>80</v>
      </c>
      <c r="B48" s="42">
        <v>2032</v>
      </c>
      <c r="C48" s="43"/>
      <c r="D48" s="44"/>
      <c r="E48" s="45"/>
      <c r="F48" s="45"/>
      <c r="G48" s="45"/>
      <c r="H48" s="45"/>
      <c r="I48" s="45"/>
      <c r="J48" s="45"/>
      <c r="K48" s="45"/>
      <c r="L48" s="45"/>
      <c r="M48" s="45"/>
      <c r="N48" s="45"/>
      <c r="O48" s="45"/>
      <c r="P48" s="45"/>
      <c r="Q48" s="45"/>
      <c r="R48" s="45"/>
      <c r="S48" s="45"/>
      <c r="T48" s="46"/>
      <c r="U48" s="229">
        <v>80</v>
      </c>
    </row>
  </sheetData>
  <sheetProtection password="8C51" sheet="1" objects="1" scenarios="1" selectLockedCells="1" selectUnlockedCells="1"/>
  <mergeCells count="3">
    <mergeCell ref="D2:T2"/>
    <mergeCell ref="D3:T3"/>
    <mergeCell ref="D5:T5"/>
  </mergeCell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B45"/>
  <sheetViews>
    <sheetView workbookViewId="0"/>
  </sheetViews>
  <sheetFormatPr defaultRowHeight="14.4"/>
  <sheetData>
    <row r="1" spans="1:2" s="73" customFormat="1">
      <c r="A1" s="73">
        <v>6</v>
      </c>
      <c r="B1" s="73">
        <v>44</v>
      </c>
    </row>
    <row r="2" spans="1:2">
      <c r="A2" s="118">
        <v>150</v>
      </c>
      <c r="B2" s="125" t="s">
        <v>145</v>
      </c>
    </row>
    <row r="3" spans="1:2">
      <c r="A3" s="118">
        <v>300</v>
      </c>
      <c r="B3" s="126" t="s">
        <v>70</v>
      </c>
    </row>
    <row r="4" spans="1:2">
      <c r="A4" s="118">
        <v>600</v>
      </c>
      <c r="B4" s="126" t="s">
        <v>71</v>
      </c>
    </row>
    <row r="5" spans="1:2">
      <c r="A5" s="118">
        <v>900</v>
      </c>
      <c r="B5" s="126" t="s">
        <v>72</v>
      </c>
    </row>
    <row r="6" spans="1:2">
      <c r="A6" s="118">
        <v>1500</v>
      </c>
      <c r="B6" s="126" t="s">
        <v>73</v>
      </c>
    </row>
    <row r="7" spans="1:2">
      <c r="A7" s="118">
        <v>2500</v>
      </c>
      <c r="B7" s="126" t="s">
        <v>74</v>
      </c>
    </row>
    <row r="8" spans="1:2">
      <c r="B8" s="126" t="s">
        <v>75</v>
      </c>
    </row>
    <row r="9" spans="1:2">
      <c r="B9" s="126" t="s">
        <v>76</v>
      </c>
    </row>
    <row r="10" spans="1:2">
      <c r="B10" s="126" t="s">
        <v>187</v>
      </c>
    </row>
    <row r="11" spans="1:2">
      <c r="B11" s="126" t="s">
        <v>77</v>
      </c>
    </row>
    <row r="12" spans="1:2">
      <c r="B12" s="126" t="s">
        <v>78</v>
      </c>
    </row>
    <row r="13" spans="1:2">
      <c r="B13" s="126" t="s">
        <v>188</v>
      </c>
    </row>
    <row r="14" spans="1:2">
      <c r="B14" s="126" t="s">
        <v>189</v>
      </c>
    </row>
    <row r="15" spans="1:2">
      <c r="B15" s="126" t="s">
        <v>190</v>
      </c>
    </row>
    <row r="16" spans="1:2">
      <c r="B16" s="126" t="s">
        <v>79</v>
      </c>
    </row>
    <row r="17" spans="2:2">
      <c r="B17" s="126" t="s">
        <v>80</v>
      </c>
    </row>
    <row r="18" spans="2:2">
      <c r="B18" s="126" t="s">
        <v>81</v>
      </c>
    </row>
    <row r="19" spans="2:2">
      <c r="B19" s="126" t="s">
        <v>82</v>
      </c>
    </row>
    <row r="20" spans="2:2">
      <c r="B20" s="126" t="s">
        <v>83</v>
      </c>
    </row>
    <row r="21" spans="2:2">
      <c r="B21" s="126" t="s">
        <v>84</v>
      </c>
    </row>
    <row r="22" spans="2:2">
      <c r="B22" s="126" t="s">
        <v>85</v>
      </c>
    </row>
    <row r="23" spans="2:2">
      <c r="B23" s="125" t="s">
        <v>199</v>
      </c>
    </row>
    <row r="24" spans="2:2">
      <c r="B24" s="125" t="s">
        <v>200</v>
      </c>
    </row>
    <row r="25" spans="2:2">
      <c r="B25" s="125" t="s">
        <v>201</v>
      </c>
    </row>
    <row r="26" spans="2:2">
      <c r="B26" s="125" t="s">
        <v>202</v>
      </c>
    </row>
    <row r="27" spans="2:2">
      <c r="B27" s="125" t="s">
        <v>203</v>
      </c>
    </row>
    <row r="28" spans="2:2">
      <c r="B28" s="126" t="s">
        <v>86</v>
      </c>
    </row>
    <row r="29" spans="2:2">
      <c r="B29" s="126" t="s">
        <v>87</v>
      </c>
    </row>
    <row r="30" spans="2:2">
      <c r="B30" s="126" t="s">
        <v>88</v>
      </c>
    </row>
    <row r="31" spans="2:2">
      <c r="B31" s="126" t="s">
        <v>89</v>
      </c>
    </row>
    <row r="32" spans="2:2">
      <c r="B32" s="126" t="s">
        <v>90</v>
      </c>
    </row>
    <row r="33" spans="2:2">
      <c r="B33" s="126" t="s">
        <v>91</v>
      </c>
    </row>
    <row r="34" spans="2:2">
      <c r="B34" s="126" t="s">
        <v>92</v>
      </c>
    </row>
    <row r="35" spans="2:2">
      <c r="B35" s="126" t="s">
        <v>93</v>
      </c>
    </row>
    <row r="36" spans="2:2">
      <c r="B36" s="126" t="s">
        <v>94</v>
      </c>
    </row>
    <row r="37" spans="2:2">
      <c r="B37" s="126" t="s">
        <v>95</v>
      </c>
    </row>
    <row r="38" spans="2:2">
      <c r="B38" s="126" t="s">
        <v>96</v>
      </c>
    </row>
    <row r="39" spans="2:2">
      <c r="B39" s="126" t="s">
        <v>97</v>
      </c>
    </row>
    <row r="40" spans="2:2">
      <c r="B40" s="126" t="s">
        <v>98</v>
      </c>
    </row>
    <row r="41" spans="2:2">
      <c r="B41" s="126" t="s">
        <v>99</v>
      </c>
    </row>
    <row r="42" spans="2:2">
      <c r="B42" s="126" t="s">
        <v>100</v>
      </c>
    </row>
    <row r="43" spans="2:2">
      <c r="B43" s="126" t="s">
        <v>101</v>
      </c>
    </row>
    <row r="44" spans="2:2">
      <c r="B44" s="126" t="s">
        <v>213</v>
      </c>
    </row>
    <row r="45" spans="2:2">
      <c r="B45" s="126" t="s">
        <v>214</v>
      </c>
    </row>
  </sheetData>
  <sheetProtection password="8C51" sheet="1" objects="1" scenarios="1" selectLockedCells="1" selectUnlockedCells="1"/>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BX435"/>
  <sheetViews>
    <sheetView zoomScale="75" workbookViewId="0"/>
  </sheetViews>
  <sheetFormatPr defaultRowHeight="13.2"/>
  <cols>
    <col min="1" max="1" width="13.44140625" style="92" customWidth="1"/>
    <col min="2" max="2" width="16.6640625" style="101" customWidth="1"/>
    <col min="3" max="3" width="13.88671875" style="92" customWidth="1"/>
    <col min="4" max="4" width="14" style="92" customWidth="1"/>
    <col min="5" max="5" width="15.5546875" style="92" customWidth="1"/>
    <col min="6" max="6" width="9.6640625" style="92" customWidth="1"/>
    <col min="7" max="11" width="8.88671875" style="92" customWidth="1"/>
    <col min="12" max="13" width="8.88671875" style="92"/>
    <col min="14" max="17" width="0" style="92" hidden="1" customWidth="1"/>
    <col min="18" max="19" width="8.88671875" style="92"/>
    <col min="20" max="21" width="1.6640625" style="92" customWidth="1"/>
    <col min="22" max="45" width="5" style="92" customWidth="1"/>
    <col min="46" max="256" width="8.88671875" style="92"/>
    <col min="257" max="257" width="13.44140625" style="92" customWidth="1"/>
    <col min="258" max="258" width="16.6640625" style="92" customWidth="1"/>
    <col min="259" max="259" width="13.88671875" style="92" customWidth="1"/>
    <col min="260" max="260" width="14" style="92" customWidth="1"/>
    <col min="261" max="261" width="15.5546875" style="92" customWidth="1"/>
    <col min="262" max="262" width="9.6640625" style="92" customWidth="1"/>
    <col min="263" max="275" width="8.88671875" style="92"/>
    <col min="276" max="277" width="1.6640625" style="92" customWidth="1"/>
    <col min="278" max="301" width="5" style="92" customWidth="1"/>
    <col min="302" max="512" width="8.88671875" style="92"/>
    <col min="513" max="513" width="13.44140625" style="92" customWidth="1"/>
    <col min="514" max="514" width="16.6640625" style="92" customWidth="1"/>
    <col min="515" max="515" width="13.88671875" style="92" customWidth="1"/>
    <col min="516" max="516" width="14" style="92" customWidth="1"/>
    <col min="517" max="517" width="15.5546875" style="92" customWidth="1"/>
    <col min="518" max="518" width="9.6640625" style="92" customWidth="1"/>
    <col min="519" max="531" width="8.88671875" style="92"/>
    <col min="532" max="533" width="1.6640625" style="92" customWidth="1"/>
    <col min="534" max="557" width="5" style="92" customWidth="1"/>
    <col min="558" max="768" width="8.88671875" style="92"/>
    <col min="769" max="769" width="13.44140625" style="92" customWidth="1"/>
    <col min="770" max="770" width="16.6640625" style="92" customWidth="1"/>
    <col min="771" max="771" width="13.88671875" style="92" customWidth="1"/>
    <col min="772" max="772" width="14" style="92" customWidth="1"/>
    <col min="773" max="773" width="15.5546875" style="92" customWidth="1"/>
    <col min="774" max="774" width="9.6640625" style="92" customWidth="1"/>
    <col min="775" max="787" width="8.88671875" style="92"/>
    <col min="788" max="789" width="1.6640625" style="92" customWidth="1"/>
    <col min="790" max="813" width="5" style="92" customWidth="1"/>
    <col min="814" max="1024" width="8.88671875" style="92"/>
    <col min="1025" max="1025" width="13.44140625" style="92" customWidth="1"/>
    <col min="1026" max="1026" width="16.6640625" style="92" customWidth="1"/>
    <col min="1027" max="1027" width="13.88671875" style="92" customWidth="1"/>
    <col min="1028" max="1028" width="14" style="92" customWidth="1"/>
    <col min="1029" max="1029" width="15.5546875" style="92" customWidth="1"/>
    <col min="1030" max="1030" width="9.6640625" style="92" customWidth="1"/>
    <col min="1031" max="1043" width="8.88671875" style="92"/>
    <col min="1044" max="1045" width="1.6640625" style="92" customWidth="1"/>
    <col min="1046" max="1069" width="5" style="92" customWidth="1"/>
    <col min="1070" max="1280" width="8.88671875" style="92"/>
    <col min="1281" max="1281" width="13.44140625" style="92" customWidth="1"/>
    <col min="1282" max="1282" width="16.6640625" style="92" customWidth="1"/>
    <col min="1283" max="1283" width="13.88671875" style="92" customWidth="1"/>
    <col min="1284" max="1284" width="14" style="92" customWidth="1"/>
    <col min="1285" max="1285" width="15.5546875" style="92" customWidth="1"/>
    <col min="1286" max="1286" width="9.6640625" style="92" customWidth="1"/>
    <col min="1287" max="1299" width="8.88671875" style="92"/>
    <col min="1300" max="1301" width="1.6640625" style="92" customWidth="1"/>
    <col min="1302" max="1325" width="5" style="92" customWidth="1"/>
    <col min="1326" max="1536" width="8.88671875" style="92"/>
    <col min="1537" max="1537" width="13.44140625" style="92" customWidth="1"/>
    <col min="1538" max="1538" width="16.6640625" style="92" customWidth="1"/>
    <col min="1539" max="1539" width="13.88671875" style="92" customWidth="1"/>
    <col min="1540" max="1540" width="14" style="92" customWidth="1"/>
    <col min="1541" max="1541" width="15.5546875" style="92" customWidth="1"/>
    <col min="1542" max="1542" width="9.6640625" style="92" customWidth="1"/>
    <col min="1543" max="1555" width="8.88671875" style="92"/>
    <col min="1556" max="1557" width="1.6640625" style="92" customWidth="1"/>
    <col min="1558" max="1581" width="5" style="92" customWidth="1"/>
    <col min="1582" max="1792" width="8.88671875" style="92"/>
    <col min="1793" max="1793" width="13.44140625" style="92" customWidth="1"/>
    <col min="1794" max="1794" width="16.6640625" style="92" customWidth="1"/>
    <col min="1795" max="1795" width="13.88671875" style="92" customWidth="1"/>
    <col min="1796" max="1796" width="14" style="92" customWidth="1"/>
    <col min="1797" max="1797" width="15.5546875" style="92" customWidth="1"/>
    <col min="1798" max="1798" width="9.6640625" style="92" customWidth="1"/>
    <col min="1799" max="1811" width="8.88671875" style="92"/>
    <col min="1812" max="1813" width="1.6640625" style="92" customWidth="1"/>
    <col min="1814" max="1837" width="5" style="92" customWidth="1"/>
    <col min="1838" max="2048" width="8.88671875" style="92"/>
    <col min="2049" max="2049" width="13.44140625" style="92" customWidth="1"/>
    <col min="2050" max="2050" width="16.6640625" style="92" customWidth="1"/>
    <col min="2051" max="2051" width="13.88671875" style="92" customWidth="1"/>
    <col min="2052" max="2052" width="14" style="92" customWidth="1"/>
    <col min="2053" max="2053" width="15.5546875" style="92" customWidth="1"/>
    <col min="2054" max="2054" width="9.6640625" style="92" customWidth="1"/>
    <col min="2055" max="2067" width="8.88671875" style="92"/>
    <col min="2068" max="2069" width="1.6640625" style="92" customWidth="1"/>
    <col min="2070" max="2093" width="5" style="92" customWidth="1"/>
    <col min="2094" max="2304" width="8.88671875" style="92"/>
    <col min="2305" max="2305" width="13.44140625" style="92" customWidth="1"/>
    <col min="2306" max="2306" width="16.6640625" style="92" customWidth="1"/>
    <col min="2307" max="2307" width="13.88671875" style="92" customWidth="1"/>
    <col min="2308" max="2308" width="14" style="92" customWidth="1"/>
    <col min="2309" max="2309" width="15.5546875" style="92" customWidth="1"/>
    <col min="2310" max="2310" width="9.6640625" style="92" customWidth="1"/>
    <col min="2311" max="2323" width="8.88671875" style="92"/>
    <col min="2324" max="2325" width="1.6640625" style="92" customWidth="1"/>
    <col min="2326" max="2349" width="5" style="92" customWidth="1"/>
    <col min="2350" max="2560" width="8.88671875" style="92"/>
    <col min="2561" max="2561" width="13.44140625" style="92" customWidth="1"/>
    <col min="2562" max="2562" width="16.6640625" style="92" customWidth="1"/>
    <col min="2563" max="2563" width="13.88671875" style="92" customWidth="1"/>
    <col min="2564" max="2564" width="14" style="92" customWidth="1"/>
    <col min="2565" max="2565" width="15.5546875" style="92" customWidth="1"/>
    <col min="2566" max="2566" width="9.6640625" style="92" customWidth="1"/>
    <col min="2567" max="2579" width="8.88671875" style="92"/>
    <col min="2580" max="2581" width="1.6640625" style="92" customWidth="1"/>
    <col min="2582" max="2605" width="5" style="92" customWidth="1"/>
    <col min="2606" max="2816" width="8.88671875" style="92"/>
    <col min="2817" max="2817" width="13.44140625" style="92" customWidth="1"/>
    <col min="2818" max="2818" width="16.6640625" style="92" customWidth="1"/>
    <col min="2819" max="2819" width="13.88671875" style="92" customWidth="1"/>
    <col min="2820" max="2820" width="14" style="92" customWidth="1"/>
    <col min="2821" max="2821" width="15.5546875" style="92" customWidth="1"/>
    <col min="2822" max="2822" width="9.6640625" style="92" customWidth="1"/>
    <col min="2823" max="2835" width="8.88671875" style="92"/>
    <col min="2836" max="2837" width="1.6640625" style="92" customWidth="1"/>
    <col min="2838" max="2861" width="5" style="92" customWidth="1"/>
    <col min="2862" max="3072" width="8.88671875" style="92"/>
    <col min="3073" max="3073" width="13.44140625" style="92" customWidth="1"/>
    <col min="3074" max="3074" width="16.6640625" style="92" customWidth="1"/>
    <col min="3075" max="3075" width="13.88671875" style="92" customWidth="1"/>
    <col min="3076" max="3076" width="14" style="92" customWidth="1"/>
    <col min="3077" max="3077" width="15.5546875" style="92" customWidth="1"/>
    <col min="3078" max="3078" width="9.6640625" style="92" customWidth="1"/>
    <col min="3079" max="3091" width="8.88671875" style="92"/>
    <col min="3092" max="3093" width="1.6640625" style="92" customWidth="1"/>
    <col min="3094" max="3117" width="5" style="92" customWidth="1"/>
    <col min="3118" max="3328" width="8.88671875" style="92"/>
    <col min="3329" max="3329" width="13.44140625" style="92" customWidth="1"/>
    <col min="3330" max="3330" width="16.6640625" style="92" customWidth="1"/>
    <col min="3331" max="3331" width="13.88671875" style="92" customWidth="1"/>
    <col min="3332" max="3332" width="14" style="92" customWidth="1"/>
    <col min="3333" max="3333" width="15.5546875" style="92" customWidth="1"/>
    <col min="3334" max="3334" width="9.6640625" style="92" customWidth="1"/>
    <col min="3335" max="3347" width="8.88671875" style="92"/>
    <col min="3348" max="3349" width="1.6640625" style="92" customWidth="1"/>
    <col min="3350" max="3373" width="5" style="92" customWidth="1"/>
    <col min="3374" max="3584" width="8.88671875" style="92"/>
    <col min="3585" max="3585" width="13.44140625" style="92" customWidth="1"/>
    <col min="3586" max="3586" width="16.6640625" style="92" customWidth="1"/>
    <col min="3587" max="3587" width="13.88671875" style="92" customWidth="1"/>
    <col min="3588" max="3588" width="14" style="92" customWidth="1"/>
    <col min="3589" max="3589" width="15.5546875" style="92" customWidth="1"/>
    <col min="3590" max="3590" width="9.6640625" style="92" customWidth="1"/>
    <col min="3591" max="3603" width="8.88671875" style="92"/>
    <col min="3604" max="3605" width="1.6640625" style="92" customWidth="1"/>
    <col min="3606" max="3629" width="5" style="92" customWidth="1"/>
    <col min="3630" max="3840" width="8.88671875" style="92"/>
    <col min="3841" max="3841" width="13.44140625" style="92" customWidth="1"/>
    <col min="3842" max="3842" width="16.6640625" style="92" customWidth="1"/>
    <col min="3843" max="3843" width="13.88671875" style="92" customWidth="1"/>
    <col min="3844" max="3844" width="14" style="92" customWidth="1"/>
    <col min="3845" max="3845" width="15.5546875" style="92" customWidth="1"/>
    <col min="3846" max="3846" width="9.6640625" style="92" customWidth="1"/>
    <col min="3847" max="3859" width="8.88671875" style="92"/>
    <col min="3860" max="3861" width="1.6640625" style="92" customWidth="1"/>
    <col min="3862" max="3885" width="5" style="92" customWidth="1"/>
    <col min="3886" max="4096" width="8.88671875" style="92"/>
    <col min="4097" max="4097" width="13.44140625" style="92" customWidth="1"/>
    <col min="4098" max="4098" width="16.6640625" style="92" customWidth="1"/>
    <col min="4099" max="4099" width="13.88671875" style="92" customWidth="1"/>
    <col min="4100" max="4100" width="14" style="92" customWidth="1"/>
    <col min="4101" max="4101" width="15.5546875" style="92" customWidth="1"/>
    <col min="4102" max="4102" width="9.6640625" style="92" customWidth="1"/>
    <col min="4103" max="4115" width="8.88671875" style="92"/>
    <col min="4116" max="4117" width="1.6640625" style="92" customWidth="1"/>
    <col min="4118" max="4141" width="5" style="92" customWidth="1"/>
    <col min="4142" max="4352" width="8.88671875" style="92"/>
    <col min="4353" max="4353" width="13.44140625" style="92" customWidth="1"/>
    <col min="4354" max="4354" width="16.6640625" style="92" customWidth="1"/>
    <col min="4355" max="4355" width="13.88671875" style="92" customWidth="1"/>
    <col min="4356" max="4356" width="14" style="92" customWidth="1"/>
    <col min="4357" max="4357" width="15.5546875" style="92" customWidth="1"/>
    <col min="4358" max="4358" width="9.6640625" style="92" customWidth="1"/>
    <col min="4359" max="4371" width="8.88671875" style="92"/>
    <col min="4372" max="4373" width="1.6640625" style="92" customWidth="1"/>
    <col min="4374" max="4397" width="5" style="92" customWidth="1"/>
    <col min="4398" max="4608" width="8.88671875" style="92"/>
    <col min="4609" max="4609" width="13.44140625" style="92" customWidth="1"/>
    <col min="4610" max="4610" width="16.6640625" style="92" customWidth="1"/>
    <col min="4611" max="4611" width="13.88671875" style="92" customWidth="1"/>
    <col min="4612" max="4612" width="14" style="92" customWidth="1"/>
    <col min="4613" max="4613" width="15.5546875" style="92" customWidth="1"/>
    <col min="4614" max="4614" width="9.6640625" style="92" customWidth="1"/>
    <col min="4615" max="4627" width="8.88671875" style="92"/>
    <col min="4628" max="4629" width="1.6640625" style="92" customWidth="1"/>
    <col min="4630" max="4653" width="5" style="92" customWidth="1"/>
    <col min="4654" max="4864" width="8.88671875" style="92"/>
    <col min="4865" max="4865" width="13.44140625" style="92" customWidth="1"/>
    <col min="4866" max="4866" width="16.6640625" style="92" customWidth="1"/>
    <col min="4867" max="4867" width="13.88671875" style="92" customWidth="1"/>
    <col min="4868" max="4868" width="14" style="92" customWidth="1"/>
    <col min="4869" max="4869" width="15.5546875" style="92" customWidth="1"/>
    <col min="4870" max="4870" width="9.6640625" style="92" customWidth="1"/>
    <col min="4871" max="4883" width="8.88671875" style="92"/>
    <col min="4884" max="4885" width="1.6640625" style="92" customWidth="1"/>
    <col min="4886" max="4909" width="5" style="92" customWidth="1"/>
    <col min="4910" max="5120" width="8.88671875" style="92"/>
    <col min="5121" max="5121" width="13.44140625" style="92" customWidth="1"/>
    <col min="5122" max="5122" width="16.6640625" style="92" customWidth="1"/>
    <col min="5123" max="5123" width="13.88671875" style="92" customWidth="1"/>
    <col min="5124" max="5124" width="14" style="92" customWidth="1"/>
    <col min="5125" max="5125" width="15.5546875" style="92" customWidth="1"/>
    <col min="5126" max="5126" width="9.6640625" style="92" customWidth="1"/>
    <col min="5127" max="5139" width="8.88671875" style="92"/>
    <col min="5140" max="5141" width="1.6640625" style="92" customWidth="1"/>
    <col min="5142" max="5165" width="5" style="92" customWidth="1"/>
    <col min="5166" max="5376" width="8.88671875" style="92"/>
    <col min="5377" max="5377" width="13.44140625" style="92" customWidth="1"/>
    <col min="5378" max="5378" width="16.6640625" style="92" customWidth="1"/>
    <col min="5379" max="5379" width="13.88671875" style="92" customWidth="1"/>
    <col min="5380" max="5380" width="14" style="92" customWidth="1"/>
    <col min="5381" max="5381" width="15.5546875" style="92" customWidth="1"/>
    <col min="5382" max="5382" width="9.6640625" style="92" customWidth="1"/>
    <col min="5383" max="5395" width="8.88671875" style="92"/>
    <col min="5396" max="5397" width="1.6640625" style="92" customWidth="1"/>
    <col min="5398" max="5421" width="5" style="92" customWidth="1"/>
    <col min="5422" max="5632" width="8.88671875" style="92"/>
    <col min="5633" max="5633" width="13.44140625" style="92" customWidth="1"/>
    <col min="5634" max="5634" width="16.6640625" style="92" customWidth="1"/>
    <col min="5635" max="5635" width="13.88671875" style="92" customWidth="1"/>
    <col min="5636" max="5636" width="14" style="92" customWidth="1"/>
    <col min="5637" max="5637" width="15.5546875" style="92" customWidth="1"/>
    <col min="5638" max="5638" width="9.6640625" style="92" customWidth="1"/>
    <col min="5639" max="5651" width="8.88671875" style="92"/>
    <col min="5652" max="5653" width="1.6640625" style="92" customWidth="1"/>
    <col min="5654" max="5677" width="5" style="92" customWidth="1"/>
    <col min="5678" max="5888" width="8.88671875" style="92"/>
    <col min="5889" max="5889" width="13.44140625" style="92" customWidth="1"/>
    <col min="5890" max="5890" width="16.6640625" style="92" customWidth="1"/>
    <col min="5891" max="5891" width="13.88671875" style="92" customWidth="1"/>
    <col min="5892" max="5892" width="14" style="92" customWidth="1"/>
    <col min="5893" max="5893" width="15.5546875" style="92" customWidth="1"/>
    <col min="5894" max="5894" width="9.6640625" style="92" customWidth="1"/>
    <col min="5895" max="5907" width="8.88671875" style="92"/>
    <col min="5908" max="5909" width="1.6640625" style="92" customWidth="1"/>
    <col min="5910" max="5933" width="5" style="92" customWidth="1"/>
    <col min="5934" max="6144" width="8.88671875" style="92"/>
    <col min="6145" max="6145" width="13.44140625" style="92" customWidth="1"/>
    <col min="6146" max="6146" width="16.6640625" style="92" customWidth="1"/>
    <col min="6147" max="6147" width="13.88671875" style="92" customWidth="1"/>
    <col min="6148" max="6148" width="14" style="92" customWidth="1"/>
    <col min="6149" max="6149" width="15.5546875" style="92" customWidth="1"/>
    <col min="6150" max="6150" width="9.6640625" style="92" customWidth="1"/>
    <col min="6151" max="6163" width="8.88671875" style="92"/>
    <col min="6164" max="6165" width="1.6640625" style="92" customWidth="1"/>
    <col min="6166" max="6189" width="5" style="92" customWidth="1"/>
    <col min="6190" max="6400" width="8.88671875" style="92"/>
    <col min="6401" max="6401" width="13.44140625" style="92" customWidth="1"/>
    <col min="6402" max="6402" width="16.6640625" style="92" customWidth="1"/>
    <col min="6403" max="6403" width="13.88671875" style="92" customWidth="1"/>
    <col min="6404" max="6404" width="14" style="92" customWidth="1"/>
    <col min="6405" max="6405" width="15.5546875" style="92" customWidth="1"/>
    <col min="6406" max="6406" width="9.6640625" style="92" customWidth="1"/>
    <col min="6407" max="6419" width="8.88671875" style="92"/>
    <col min="6420" max="6421" width="1.6640625" style="92" customWidth="1"/>
    <col min="6422" max="6445" width="5" style="92" customWidth="1"/>
    <col min="6446" max="6656" width="8.88671875" style="92"/>
    <col min="6657" max="6657" width="13.44140625" style="92" customWidth="1"/>
    <col min="6658" max="6658" width="16.6640625" style="92" customWidth="1"/>
    <col min="6659" max="6659" width="13.88671875" style="92" customWidth="1"/>
    <col min="6660" max="6660" width="14" style="92" customWidth="1"/>
    <col min="6661" max="6661" width="15.5546875" style="92" customWidth="1"/>
    <col min="6662" max="6662" width="9.6640625" style="92" customWidth="1"/>
    <col min="6663" max="6675" width="8.88671875" style="92"/>
    <col min="6676" max="6677" width="1.6640625" style="92" customWidth="1"/>
    <col min="6678" max="6701" width="5" style="92" customWidth="1"/>
    <col min="6702" max="6912" width="8.88671875" style="92"/>
    <col min="6913" max="6913" width="13.44140625" style="92" customWidth="1"/>
    <col min="6914" max="6914" width="16.6640625" style="92" customWidth="1"/>
    <col min="6915" max="6915" width="13.88671875" style="92" customWidth="1"/>
    <col min="6916" max="6916" width="14" style="92" customWidth="1"/>
    <col min="6917" max="6917" width="15.5546875" style="92" customWidth="1"/>
    <col min="6918" max="6918" width="9.6640625" style="92" customWidth="1"/>
    <col min="6919" max="6931" width="8.88671875" style="92"/>
    <col min="6932" max="6933" width="1.6640625" style="92" customWidth="1"/>
    <col min="6934" max="6957" width="5" style="92" customWidth="1"/>
    <col min="6958" max="7168" width="8.88671875" style="92"/>
    <col min="7169" max="7169" width="13.44140625" style="92" customWidth="1"/>
    <col min="7170" max="7170" width="16.6640625" style="92" customWidth="1"/>
    <col min="7171" max="7171" width="13.88671875" style="92" customWidth="1"/>
    <col min="7172" max="7172" width="14" style="92" customWidth="1"/>
    <col min="7173" max="7173" width="15.5546875" style="92" customWidth="1"/>
    <col min="7174" max="7174" width="9.6640625" style="92" customWidth="1"/>
    <col min="7175" max="7187" width="8.88671875" style="92"/>
    <col min="7188" max="7189" width="1.6640625" style="92" customWidth="1"/>
    <col min="7190" max="7213" width="5" style="92" customWidth="1"/>
    <col min="7214" max="7424" width="8.88671875" style="92"/>
    <col min="7425" max="7425" width="13.44140625" style="92" customWidth="1"/>
    <col min="7426" max="7426" width="16.6640625" style="92" customWidth="1"/>
    <col min="7427" max="7427" width="13.88671875" style="92" customWidth="1"/>
    <col min="7428" max="7428" width="14" style="92" customWidth="1"/>
    <col min="7429" max="7429" width="15.5546875" style="92" customWidth="1"/>
    <col min="7430" max="7430" width="9.6640625" style="92" customWidth="1"/>
    <col min="7431" max="7443" width="8.88671875" style="92"/>
    <col min="7444" max="7445" width="1.6640625" style="92" customWidth="1"/>
    <col min="7446" max="7469" width="5" style="92" customWidth="1"/>
    <col min="7470" max="7680" width="8.88671875" style="92"/>
    <col min="7681" max="7681" width="13.44140625" style="92" customWidth="1"/>
    <col min="7682" max="7682" width="16.6640625" style="92" customWidth="1"/>
    <col min="7683" max="7683" width="13.88671875" style="92" customWidth="1"/>
    <col min="7684" max="7684" width="14" style="92" customWidth="1"/>
    <col min="7685" max="7685" width="15.5546875" style="92" customWidth="1"/>
    <col min="7686" max="7686" width="9.6640625" style="92" customWidth="1"/>
    <col min="7687" max="7699" width="8.88671875" style="92"/>
    <col min="7700" max="7701" width="1.6640625" style="92" customWidth="1"/>
    <col min="7702" max="7725" width="5" style="92" customWidth="1"/>
    <col min="7726" max="7936" width="8.88671875" style="92"/>
    <col min="7937" max="7937" width="13.44140625" style="92" customWidth="1"/>
    <col min="7938" max="7938" width="16.6640625" style="92" customWidth="1"/>
    <col min="7939" max="7939" width="13.88671875" style="92" customWidth="1"/>
    <col min="7940" max="7940" width="14" style="92" customWidth="1"/>
    <col min="7941" max="7941" width="15.5546875" style="92" customWidth="1"/>
    <col min="7942" max="7942" width="9.6640625" style="92" customWidth="1"/>
    <col min="7943" max="7955" width="8.88671875" style="92"/>
    <col min="7956" max="7957" width="1.6640625" style="92" customWidth="1"/>
    <col min="7958" max="7981" width="5" style="92" customWidth="1"/>
    <col min="7982" max="8192" width="8.88671875" style="92"/>
    <col min="8193" max="8193" width="13.44140625" style="92" customWidth="1"/>
    <col min="8194" max="8194" width="16.6640625" style="92" customWidth="1"/>
    <col min="8195" max="8195" width="13.88671875" style="92" customWidth="1"/>
    <col min="8196" max="8196" width="14" style="92" customWidth="1"/>
    <col min="8197" max="8197" width="15.5546875" style="92" customWidth="1"/>
    <col min="8198" max="8198" width="9.6640625" style="92" customWidth="1"/>
    <col min="8199" max="8211" width="8.88671875" style="92"/>
    <col min="8212" max="8213" width="1.6640625" style="92" customWidth="1"/>
    <col min="8214" max="8237" width="5" style="92" customWidth="1"/>
    <col min="8238" max="8448" width="8.88671875" style="92"/>
    <col min="8449" max="8449" width="13.44140625" style="92" customWidth="1"/>
    <col min="8450" max="8450" width="16.6640625" style="92" customWidth="1"/>
    <col min="8451" max="8451" width="13.88671875" style="92" customWidth="1"/>
    <col min="8452" max="8452" width="14" style="92" customWidth="1"/>
    <col min="8453" max="8453" width="15.5546875" style="92" customWidth="1"/>
    <col min="8454" max="8454" width="9.6640625" style="92" customWidth="1"/>
    <col min="8455" max="8467" width="8.88671875" style="92"/>
    <col min="8468" max="8469" width="1.6640625" style="92" customWidth="1"/>
    <col min="8470" max="8493" width="5" style="92" customWidth="1"/>
    <col min="8494" max="8704" width="8.88671875" style="92"/>
    <col min="8705" max="8705" width="13.44140625" style="92" customWidth="1"/>
    <col min="8706" max="8706" width="16.6640625" style="92" customWidth="1"/>
    <col min="8707" max="8707" width="13.88671875" style="92" customWidth="1"/>
    <col min="8708" max="8708" width="14" style="92" customWidth="1"/>
    <col min="8709" max="8709" width="15.5546875" style="92" customWidth="1"/>
    <col min="8710" max="8710" width="9.6640625" style="92" customWidth="1"/>
    <col min="8711" max="8723" width="8.88671875" style="92"/>
    <col min="8724" max="8725" width="1.6640625" style="92" customWidth="1"/>
    <col min="8726" max="8749" width="5" style="92" customWidth="1"/>
    <col min="8750" max="8960" width="8.88671875" style="92"/>
    <col min="8961" max="8961" width="13.44140625" style="92" customWidth="1"/>
    <col min="8962" max="8962" width="16.6640625" style="92" customWidth="1"/>
    <col min="8963" max="8963" width="13.88671875" style="92" customWidth="1"/>
    <col min="8964" max="8964" width="14" style="92" customWidth="1"/>
    <col min="8965" max="8965" width="15.5546875" style="92" customWidth="1"/>
    <col min="8966" max="8966" width="9.6640625" style="92" customWidth="1"/>
    <col min="8967" max="8979" width="8.88671875" style="92"/>
    <col min="8980" max="8981" width="1.6640625" style="92" customWidth="1"/>
    <col min="8982" max="9005" width="5" style="92" customWidth="1"/>
    <col min="9006" max="9216" width="8.88671875" style="92"/>
    <col min="9217" max="9217" width="13.44140625" style="92" customWidth="1"/>
    <col min="9218" max="9218" width="16.6640625" style="92" customWidth="1"/>
    <col min="9219" max="9219" width="13.88671875" style="92" customWidth="1"/>
    <col min="9220" max="9220" width="14" style="92" customWidth="1"/>
    <col min="9221" max="9221" width="15.5546875" style="92" customWidth="1"/>
    <col min="9222" max="9222" width="9.6640625" style="92" customWidth="1"/>
    <col min="9223" max="9235" width="8.88671875" style="92"/>
    <col min="9236" max="9237" width="1.6640625" style="92" customWidth="1"/>
    <col min="9238" max="9261" width="5" style="92" customWidth="1"/>
    <col min="9262" max="9472" width="8.88671875" style="92"/>
    <col min="9473" max="9473" width="13.44140625" style="92" customWidth="1"/>
    <col min="9474" max="9474" width="16.6640625" style="92" customWidth="1"/>
    <col min="9475" max="9475" width="13.88671875" style="92" customWidth="1"/>
    <col min="9476" max="9476" width="14" style="92" customWidth="1"/>
    <col min="9477" max="9477" width="15.5546875" style="92" customWidth="1"/>
    <col min="9478" max="9478" width="9.6640625" style="92" customWidth="1"/>
    <col min="9479" max="9491" width="8.88671875" style="92"/>
    <col min="9492" max="9493" width="1.6640625" style="92" customWidth="1"/>
    <col min="9494" max="9517" width="5" style="92" customWidth="1"/>
    <col min="9518" max="9728" width="8.88671875" style="92"/>
    <col min="9729" max="9729" width="13.44140625" style="92" customWidth="1"/>
    <col min="9730" max="9730" width="16.6640625" style="92" customWidth="1"/>
    <col min="9731" max="9731" width="13.88671875" style="92" customWidth="1"/>
    <col min="9732" max="9732" width="14" style="92" customWidth="1"/>
    <col min="9733" max="9733" width="15.5546875" style="92" customWidth="1"/>
    <col min="9734" max="9734" width="9.6640625" style="92" customWidth="1"/>
    <col min="9735" max="9747" width="8.88671875" style="92"/>
    <col min="9748" max="9749" width="1.6640625" style="92" customWidth="1"/>
    <col min="9750" max="9773" width="5" style="92" customWidth="1"/>
    <col min="9774" max="9984" width="8.88671875" style="92"/>
    <col min="9985" max="9985" width="13.44140625" style="92" customWidth="1"/>
    <col min="9986" max="9986" width="16.6640625" style="92" customWidth="1"/>
    <col min="9987" max="9987" width="13.88671875" style="92" customWidth="1"/>
    <col min="9988" max="9988" width="14" style="92" customWidth="1"/>
    <col min="9989" max="9989" width="15.5546875" style="92" customWidth="1"/>
    <col min="9990" max="9990" width="9.6640625" style="92" customWidth="1"/>
    <col min="9991" max="10003" width="8.88671875" style="92"/>
    <col min="10004" max="10005" width="1.6640625" style="92" customWidth="1"/>
    <col min="10006" max="10029" width="5" style="92" customWidth="1"/>
    <col min="10030" max="10240" width="8.88671875" style="92"/>
    <col min="10241" max="10241" width="13.44140625" style="92" customWidth="1"/>
    <col min="10242" max="10242" width="16.6640625" style="92" customWidth="1"/>
    <col min="10243" max="10243" width="13.88671875" style="92" customWidth="1"/>
    <col min="10244" max="10244" width="14" style="92" customWidth="1"/>
    <col min="10245" max="10245" width="15.5546875" style="92" customWidth="1"/>
    <col min="10246" max="10246" width="9.6640625" style="92" customWidth="1"/>
    <col min="10247" max="10259" width="8.88671875" style="92"/>
    <col min="10260" max="10261" width="1.6640625" style="92" customWidth="1"/>
    <col min="10262" max="10285" width="5" style="92" customWidth="1"/>
    <col min="10286" max="10496" width="8.88671875" style="92"/>
    <col min="10497" max="10497" width="13.44140625" style="92" customWidth="1"/>
    <col min="10498" max="10498" width="16.6640625" style="92" customWidth="1"/>
    <col min="10499" max="10499" width="13.88671875" style="92" customWidth="1"/>
    <col min="10500" max="10500" width="14" style="92" customWidth="1"/>
    <col min="10501" max="10501" width="15.5546875" style="92" customWidth="1"/>
    <col min="10502" max="10502" width="9.6640625" style="92" customWidth="1"/>
    <col min="10503" max="10515" width="8.88671875" style="92"/>
    <col min="10516" max="10517" width="1.6640625" style="92" customWidth="1"/>
    <col min="10518" max="10541" width="5" style="92" customWidth="1"/>
    <col min="10542" max="10752" width="8.88671875" style="92"/>
    <col min="10753" max="10753" width="13.44140625" style="92" customWidth="1"/>
    <col min="10754" max="10754" width="16.6640625" style="92" customWidth="1"/>
    <col min="10755" max="10755" width="13.88671875" style="92" customWidth="1"/>
    <col min="10756" max="10756" width="14" style="92" customWidth="1"/>
    <col min="10757" max="10757" width="15.5546875" style="92" customWidth="1"/>
    <col min="10758" max="10758" width="9.6640625" style="92" customWidth="1"/>
    <col min="10759" max="10771" width="8.88671875" style="92"/>
    <col min="10772" max="10773" width="1.6640625" style="92" customWidth="1"/>
    <col min="10774" max="10797" width="5" style="92" customWidth="1"/>
    <col min="10798" max="11008" width="8.88671875" style="92"/>
    <col min="11009" max="11009" width="13.44140625" style="92" customWidth="1"/>
    <col min="11010" max="11010" width="16.6640625" style="92" customWidth="1"/>
    <col min="11011" max="11011" width="13.88671875" style="92" customWidth="1"/>
    <col min="11012" max="11012" width="14" style="92" customWidth="1"/>
    <col min="11013" max="11013" width="15.5546875" style="92" customWidth="1"/>
    <col min="11014" max="11014" width="9.6640625" style="92" customWidth="1"/>
    <col min="11015" max="11027" width="8.88671875" style="92"/>
    <col min="11028" max="11029" width="1.6640625" style="92" customWidth="1"/>
    <col min="11030" max="11053" width="5" style="92" customWidth="1"/>
    <col min="11054" max="11264" width="8.88671875" style="92"/>
    <col min="11265" max="11265" width="13.44140625" style="92" customWidth="1"/>
    <col min="11266" max="11266" width="16.6640625" style="92" customWidth="1"/>
    <col min="11267" max="11267" width="13.88671875" style="92" customWidth="1"/>
    <col min="11268" max="11268" width="14" style="92" customWidth="1"/>
    <col min="11269" max="11269" width="15.5546875" style="92" customWidth="1"/>
    <col min="11270" max="11270" width="9.6640625" style="92" customWidth="1"/>
    <col min="11271" max="11283" width="8.88671875" style="92"/>
    <col min="11284" max="11285" width="1.6640625" style="92" customWidth="1"/>
    <col min="11286" max="11309" width="5" style="92" customWidth="1"/>
    <col min="11310" max="11520" width="8.88671875" style="92"/>
    <col min="11521" max="11521" width="13.44140625" style="92" customWidth="1"/>
    <col min="11522" max="11522" width="16.6640625" style="92" customWidth="1"/>
    <col min="11523" max="11523" width="13.88671875" style="92" customWidth="1"/>
    <col min="11524" max="11524" width="14" style="92" customWidth="1"/>
    <col min="11525" max="11525" width="15.5546875" style="92" customWidth="1"/>
    <col min="11526" max="11526" width="9.6640625" style="92" customWidth="1"/>
    <col min="11527" max="11539" width="8.88671875" style="92"/>
    <col min="11540" max="11541" width="1.6640625" style="92" customWidth="1"/>
    <col min="11542" max="11565" width="5" style="92" customWidth="1"/>
    <col min="11566" max="11776" width="8.88671875" style="92"/>
    <col min="11777" max="11777" width="13.44140625" style="92" customWidth="1"/>
    <col min="11778" max="11778" width="16.6640625" style="92" customWidth="1"/>
    <col min="11779" max="11779" width="13.88671875" style="92" customWidth="1"/>
    <col min="11780" max="11780" width="14" style="92" customWidth="1"/>
    <col min="11781" max="11781" width="15.5546875" style="92" customWidth="1"/>
    <col min="11782" max="11782" width="9.6640625" style="92" customWidth="1"/>
    <col min="11783" max="11795" width="8.88671875" style="92"/>
    <col min="11796" max="11797" width="1.6640625" style="92" customWidth="1"/>
    <col min="11798" max="11821" width="5" style="92" customWidth="1"/>
    <col min="11822" max="12032" width="8.88671875" style="92"/>
    <col min="12033" max="12033" width="13.44140625" style="92" customWidth="1"/>
    <col min="12034" max="12034" width="16.6640625" style="92" customWidth="1"/>
    <col min="12035" max="12035" width="13.88671875" style="92" customWidth="1"/>
    <col min="12036" max="12036" width="14" style="92" customWidth="1"/>
    <col min="12037" max="12037" width="15.5546875" style="92" customWidth="1"/>
    <col min="12038" max="12038" width="9.6640625" style="92" customWidth="1"/>
    <col min="12039" max="12051" width="8.88671875" style="92"/>
    <col min="12052" max="12053" width="1.6640625" style="92" customWidth="1"/>
    <col min="12054" max="12077" width="5" style="92" customWidth="1"/>
    <col min="12078" max="12288" width="8.88671875" style="92"/>
    <col min="12289" max="12289" width="13.44140625" style="92" customWidth="1"/>
    <col min="12290" max="12290" width="16.6640625" style="92" customWidth="1"/>
    <col min="12291" max="12291" width="13.88671875" style="92" customWidth="1"/>
    <col min="12292" max="12292" width="14" style="92" customWidth="1"/>
    <col min="12293" max="12293" width="15.5546875" style="92" customWidth="1"/>
    <col min="12294" max="12294" width="9.6640625" style="92" customWidth="1"/>
    <col min="12295" max="12307" width="8.88671875" style="92"/>
    <col min="12308" max="12309" width="1.6640625" style="92" customWidth="1"/>
    <col min="12310" max="12333" width="5" style="92" customWidth="1"/>
    <col min="12334" max="12544" width="8.88671875" style="92"/>
    <col min="12545" max="12545" width="13.44140625" style="92" customWidth="1"/>
    <col min="12546" max="12546" width="16.6640625" style="92" customWidth="1"/>
    <col min="12547" max="12547" width="13.88671875" style="92" customWidth="1"/>
    <col min="12548" max="12548" width="14" style="92" customWidth="1"/>
    <col min="12549" max="12549" width="15.5546875" style="92" customWidth="1"/>
    <col min="12550" max="12550" width="9.6640625" style="92" customWidth="1"/>
    <col min="12551" max="12563" width="8.88671875" style="92"/>
    <col min="12564" max="12565" width="1.6640625" style="92" customWidth="1"/>
    <col min="12566" max="12589" width="5" style="92" customWidth="1"/>
    <col min="12590" max="12800" width="8.88671875" style="92"/>
    <col min="12801" max="12801" width="13.44140625" style="92" customWidth="1"/>
    <col min="12802" max="12802" width="16.6640625" style="92" customWidth="1"/>
    <col min="12803" max="12803" width="13.88671875" style="92" customWidth="1"/>
    <col min="12804" max="12804" width="14" style="92" customWidth="1"/>
    <col min="12805" max="12805" width="15.5546875" style="92" customWidth="1"/>
    <col min="12806" max="12806" width="9.6640625" style="92" customWidth="1"/>
    <col min="12807" max="12819" width="8.88671875" style="92"/>
    <col min="12820" max="12821" width="1.6640625" style="92" customWidth="1"/>
    <col min="12822" max="12845" width="5" style="92" customWidth="1"/>
    <col min="12846" max="13056" width="8.88671875" style="92"/>
    <col min="13057" max="13057" width="13.44140625" style="92" customWidth="1"/>
    <col min="13058" max="13058" width="16.6640625" style="92" customWidth="1"/>
    <col min="13059" max="13059" width="13.88671875" style="92" customWidth="1"/>
    <col min="13060" max="13060" width="14" style="92" customWidth="1"/>
    <col min="13061" max="13061" width="15.5546875" style="92" customWidth="1"/>
    <col min="13062" max="13062" width="9.6640625" style="92" customWidth="1"/>
    <col min="13063" max="13075" width="8.88671875" style="92"/>
    <col min="13076" max="13077" width="1.6640625" style="92" customWidth="1"/>
    <col min="13078" max="13101" width="5" style="92" customWidth="1"/>
    <col min="13102" max="13312" width="8.88671875" style="92"/>
    <col min="13313" max="13313" width="13.44140625" style="92" customWidth="1"/>
    <col min="13314" max="13314" width="16.6640625" style="92" customWidth="1"/>
    <col min="13315" max="13315" width="13.88671875" style="92" customWidth="1"/>
    <col min="13316" max="13316" width="14" style="92" customWidth="1"/>
    <col min="13317" max="13317" width="15.5546875" style="92" customWidth="1"/>
    <col min="13318" max="13318" width="9.6640625" style="92" customWidth="1"/>
    <col min="13319" max="13331" width="8.88671875" style="92"/>
    <col min="13332" max="13333" width="1.6640625" style="92" customWidth="1"/>
    <col min="13334" max="13357" width="5" style="92" customWidth="1"/>
    <col min="13358" max="13568" width="8.88671875" style="92"/>
    <col min="13569" max="13569" width="13.44140625" style="92" customWidth="1"/>
    <col min="13570" max="13570" width="16.6640625" style="92" customWidth="1"/>
    <col min="13571" max="13571" width="13.88671875" style="92" customWidth="1"/>
    <col min="13572" max="13572" width="14" style="92" customWidth="1"/>
    <col min="13573" max="13573" width="15.5546875" style="92" customWidth="1"/>
    <col min="13574" max="13574" width="9.6640625" style="92" customWidth="1"/>
    <col min="13575" max="13587" width="8.88671875" style="92"/>
    <col min="13588" max="13589" width="1.6640625" style="92" customWidth="1"/>
    <col min="13590" max="13613" width="5" style="92" customWidth="1"/>
    <col min="13614" max="13824" width="8.88671875" style="92"/>
    <col min="13825" max="13825" width="13.44140625" style="92" customWidth="1"/>
    <col min="13826" max="13826" width="16.6640625" style="92" customWidth="1"/>
    <col min="13827" max="13827" width="13.88671875" style="92" customWidth="1"/>
    <col min="13828" max="13828" width="14" style="92" customWidth="1"/>
    <col min="13829" max="13829" width="15.5546875" style="92" customWidth="1"/>
    <col min="13830" max="13830" width="9.6640625" style="92" customWidth="1"/>
    <col min="13831" max="13843" width="8.88671875" style="92"/>
    <col min="13844" max="13845" width="1.6640625" style="92" customWidth="1"/>
    <col min="13846" max="13869" width="5" style="92" customWidth="1"/>
    <col min="13870" max="14080" width="8.88671875" style="92"/>
    <col min="14081" max="14081" width="13.44140625" style="92" customWidth="1"/>
    <col min="14082" max="14082" width="16.6640625" style="92" customWidth="1"/>
    <col min="14083" max="14083" width="13.88671875" style="92" customWidth="1"/>
    <col min="14084" max="14084" width="14" style="92" customWidth="1"/>
    <col min="14085" max="14085" width="15.5546875" style="92" customWidth="1"/>
    <col min="14086" max="14086" width="9.6640625" style="92" customWidth="1"/>
    <col min="14087" max="14099" width="8.88671875" style="92"/>
    <col min="14100" max="14101" width="1.6640625" style="92" customWidth="1"/>
    <col min="14102" max="14125" width="5" style="92" customWidth="1"/>
    <col min="14126" max="14336" width="8.88671875" style="92"/>
    <col min="14337" max="14337" width="13.44140625" style="92" customWidth="1"/>
    <col min="14338" max="14338" width="16.6640625" style="92" customWidth="1"/>
    <col min="14339" max="14339" width="13.88671875" style="92" customWidth="1"/>
    <col min="14340" max="14340" width="14" style="92" customWidth="1"/>
    <col min="14341" max="14341" width="15.5546875" style="92" customWidth="1"/>
    <col min="14342" max="14342" width="9.6640625" style="92" customWidth="1"/>
    <col min="14343" max="14355" width="8.88671875" style="92"/>
    <col min="14356" max="14357" width="1.6640625" style="92" customWidth="1"/>
    <col min="14358" max="14381" width="5" style="92" customWidth="1"/>
    <col min="14382" max="14592" width="8.88671875" style="92"/>
    <col min="14593" max="14593" width="13.44140625" style="92" customWidth="1"/>
    <col min="14594" max="14594" width="16.6640625" style="92" customWidth="1"/>
    <col min="14595" max="14595" width="13.88671875" style="92" customWidth="1"/>
    <col min="14596" max="14596" width="14" style="92" customWidth="1"/>
    <col min="14597" max="14597" width="15.5546875" style="92" customWidth="1"/>
    <col min="14598" max="14598" width="9.6640625" style="92" customWidth="1"/>
    <col min="14599" max="14611" width="8.88671875" style="92"/>
    <col min="14612" max="14613" width="1.6640625" style="92" customWidth="1"/>
    <col min="14614" max="14637" width="5" style="92" customWidth="1"/>
    <col min="14638" max="14848" width="8.88671875" style="92"/>
    <col min="14849" max="14849" width="13.44140625" style="92" customWidth="1"/>
    <col min="14850" max="14850" width="16.6640625" style="92" customWidth="1"/>
    <col min="14851" max="14851" width="13.88671875" style="92" customWidth="1"/>
    <col min="14852" max="14852" width="14" style="92" customWidth="1"/>
    <col min="14853" max="14853" width="15.5546875" style="92" customWidth="1"/>
    <col min="14854" max="14854" width="9.6640625" style="92" customWidth="1"/>
    <col min="14855" max="14867" width="8.88671875" style="92"/>
    <col min="14868" max="14869" width="1.6640625" style="92" customWidth="1"/>
    <col min="14870" max="14893" width="5" style="92" customWidth="1"/>
    <col min="14894" max="15104" width="8.88671875" style="92"/>
    <col min="15105" max="15105" width="13.44140625" style="92" customWidth="1"/>
    <col min="15106" max="15106" width="16.6640625" style="92" customWidth="1"/>
    <col min="15107" max="15107" width="13.88671875" style="92" customWidth="1"/>
    <col min="15108" max="15108" width="14" style="92" customWidth="1"/>
    <col min="15109" max="15109" width="15.5546875" style="92" customWidth="1"/>
    <col min="15110" max="15110" width="9.6640625" style="92" customWidth="1"/>
    <col min="15111" max="15123" width="8.88671875" style="92"/>
    <col min="15124" max="15125" width="1.6640625" style="92" customWidth="1"/>
    <col min="15126" max="15149" width="5" style="92" customWidth="1"/>
    <col min="15150" max="15360" width="8.88671875" style="92"/>
    <col min="15361" max="15361" width="13.44140625" style="92" customWidth="1"/>
    <col min="15362" max="15362" width="16.6640625" style="92" customWidth="1"/>
    <col min="15363" max="15363" width="13.88671875" style="92" customWidth="1"/>
    <col min="15364" max="15364" width="14" style="92" customWidth="1"/>
    <col min="15365" max="15365" width="15.5546875" style="92" customWidth="1"/>
    <col min="15366" max="15366" width="9.6640625" style="92" customWidth="1"/>
    <col min="15367" max="15379" width="8.88671875" style="92"/>
    <col min="15380" max="15381" width="1.6640625" style="92" customWidth="1"/>
    <col min="15382" max="15405" width="5" style="92" customWidth="1"/>
    <col min="15406" max="15616" width="8.88671875" style="92"/>
    <col min="15617" max="15617" width="13.44140625" style="92" customWidth="1"/>
    <col min="15618" max="15618" width="16.6640625" style="92" customWidth="1"/>
    <col min="15619" max="15619" width="13.88671875" style="92" customWidth="1"/>
    <col min="15620" max="15620" width="14" style="92" customWidth="1"/>
    <col min="15621" max="15621" width="15.5546875" style="92" customWidth="1"/>
    <col min="15622" max="15622" width="9.6640625" style="92" customWidth="1"/>
    <col min="15623" max="15635" width="8.88671875" style="92"/>
    <col min="15636" max="15637" width="1.6640625" style="92" customWidth="1"/>
    <col min="15638" max="15661" width="5" style="92" customWidth="1"/>
    <col min="15662" max="15872" width="8.88671875" style="92"/>
    <col min="15873" max="15873" width="13.44140625" style="92" customWidth="1"/>
    <col min="15874" max="15874" width="16.6640625" style="92" customWidth="1"/>
    <col min="15875" max="15875" width="13.88671875" style="92" customWidth="1"/>
    <col min="15876" max="15876" width="14" style="92" customWidth="1"/>
    <col min="15877" max="15877" width="15.5546875" style="92" customWidth="1"/>
    <col min="15878" max="15878" width="9.6640625" style="92" customWidth="1"/>
    <col min="15879" max="15891" width="8.88671875" style="92"/>
    <col min="15892" max="15893" width="1.6640625" style="92" customWidth="1"/>
    <col min="15894" max="15917" width="5" style="92" customWidth="1"/>
    <col min="15918" max="16128" width="8.88671875" style="92"/>
    <col min="16129" max="16129" width="13.44140625" style="92" customWidth="1"/>
    <col min="16130" max="16130" width="16.6640625" style="92" customWidth="1"/>
    <col min="16131" max="16131" width="13.88671875" style="92" customWidth="1"/>
    <col min="16132" max="16132" width="14" style="92" customWidth="1"/>
    <col min="16133" max="16133" width="15.5546875" style="92" customWidth="1"/>
    <col min="16134" max="16134" width="9.6640625" style="92" customWidth="1"/>
    <col min="16135" max="16147" width="8.88671875" style="92"/>
    <col min="16148" max="16149" width="1.6640625" style="92" customWidth="1"/>
    <col min="16150" max="16173" width="5" style="92" customWidth="1"/>
    <col min="16174" max="16384" width="8.88671875" style="92"/>
  </cols>
  <sheetData>
    <row r="1" spans="1:76">
      <c r="A1" s="95" t="s">
        <v>69</v>
      </c>
      <c r="B1" s="96" t="s">
        <v>104</v>
      </c>
      <c r="C1" s="95" t="s">
        <v>105</v>
      </c>
      <c r="D1" s="95" t="s">
        <v>106</v>
      </c>
      <c r="E1" s="95" t="s">
        <v>107</v>
      </c>
      <c r="F1" s="97" t="s">
        <v>147</v>
      </c>
      <c r="H1" s="98"/>
      <c r="I1" s="98"/>
      <c r="J1" s="95"/>
      <c r="K1" s="95"/>
      <c r="L1" s="95"/>
      <c r="M1" s="98" t="s">
        <v>146</v>
      </c>
      <c r="N1" s="95"/>
      <c r="O1" s="95"/>
      <c r="P1" s="95"/>
      <c r="Q1" s="95"/>
      <c r="R1" s="95"/>
      <c r="S1" s="403" t="s">
        <v>108</v>
      </c>
      <c r="T1" s="403"/>
      <c r="U1" s="403"/>
      <c r="V1" s="98">
        <v>100</v>
      </c>
      <c r="W1" s="98">
        <v>200</v>
      </c>
      <c r="X1" s="98">
        <v>300</v>
      </c>
      <c r="Y1" s="98">
        <v>400</v>
      </c>
      <c r="Z1" s="98">
        <v>500</v>
      </c>
      <c r="AA1" s="98">
        <v>600</v>
      </c>
      <c r="AB1" s="98">
        <v>650</v>
      </c>
      <c r="AC1" s="98">
        <v>700</v>
      </c>
      <c r="AD1" s="98">
        <v>750</v>
      </c>
      <c r="AE1" s="98">
        <v>800</v>
      </c>
      <c r="AF1" s="98">
        <v>850</v>
      </c>
      <c r="AG1" s="98">
        <v>900</v>
      </c>
      <c r="AH1" s="98">
        <v>950</v>
      </c>
      <c r="AI1" s="98">
        <v>1000</v>
      </c>
      <c r="AJ1" s="98">
        <v>1050</v>
      </c>
      <c r="AK1" s="98">
        <v>1100</v>
      </c>
      <c r="AL1" s="98">
        <v>1150</v>
      </c>
      <c r="AM1" s="98">
        <v>1200</v>
      </c>
      <c r="AN1" s="98">
        <v>1250</v>
      </c>
      <c r="AO1" s="98">
        <v>1300</v>
      </c>
      <c r="AP1" s="98">
        <v>1350</v>
      </c>
      <c r="AQ1" s="98">
        <v>1400</v>
      </c>
      <c r="AR1" s="98">
        <v>1450</v>
      </c>
      <c r="AS1" s="98">
        <v>1500</v>
      </c>
    </row>
    <row r="2" spans="1:76">
      <c r="A2" s="98">
        <f>'Low Stress Type Gasket'!P12</f>
        <v>150</v>
      </c>
      <c r="B2" s="99" t="str">
        <f>'Low Stress Type Gasket'!P13</f>
        <v>1.1</v>
      </c>
      <c r="C2" s="95">
        <f>('Low Stress Type Gasket'!P14*9/5)+32</f>
        <v>32</v>
      </c>
      <c r="D2" s="100">
        <f ca="1">IF(INDIRECT(ADDRESS($F2,$M2))=0,0,IF($C2&lt;=100,INDIRECT(ADDRESS($F2,$M2)),INDIRECT(ADDRESS($F2,$M2-1))+(INDIRECT(ADDRESS($F2,$M2))-INDIRECT(ADDRESS($F2,$M2-1)))*($C2-INDIRECT(ADDRESS(ROW($S$1),$M2-1)))/(INDIRECT(ADDRESS(ROW($S$1),$M2))-INDIRECT(ADDRESS(ROW($S$1),$M2-1)))))</f>
        <v>285</v>
      </c>
      <c r="E2" s="100">
        <f ca="1">INDIRECT(ADDRESS($F2,22))</f>
        <v>285</v>
      </c>
      <c r="F2" s="98">
        <f>IF(A2=150,$G2+ROW($V$3),IF(A2=300,$G2+34+ROW($V$3),IF(A2=400,$G2+2*34+ROW($V$3),IF(A2=600,$G2+3*34+ROW($V$3),IF(A2=900,$G2+4*34+ROW($V$3),IF(A2=1500,$G2+5*34+ROW($V$3),IF(A2=2500,$G2+6*34+ROW($V$3),"ERROR")))))))</f>
        <v>4</v>
      </c>
      <c r="G2" s="95">
        <f>IF(B2="1.1",1,IF(B2="1.2",2,IF(B2="1.3",3,IF(B2="1.4",4,IF(B2="1.5",5,IF(B2="1.7",6,IF(B2="1.9",7,IF(B2="1.10",8,IF(B2="1.11",9,H2)))))))))</f>
        <v>1</v>
      </c>
      <c r="H2" s="95" t="str">
        <f>IF(B2="1.13",10,IF(B2="1.14",11,IF(B2="1.15",12,IF(B2="1.17",13,IF(B2="1.18",14,IF(B2="2.1",15,IF(B2="2.2",16,IF(B2="2.3",17,IF(B2="2.4",18,I2)))))))))</f>
        <v>ERROR</v>
      </c>
      <c r="I2" s="95" t="str">
        <f>IF(B2="2.5",19,IF(B2="2.6",20,IF(B2="2.7",21,IF(B2="2.8",22,IF(B2="2.9",23,IF(B2="2.10",24,IF(B2="2.11",25,IF(B2="2.12",26,IF(B2="3.1",27,J2)))))))))</f>
        <v>ERROR</v>
      </c>
      <c r="J2" s="98" t="str">
        <f>IF(B2="3.2",28,IF(B2="3.3",29,IF(B2="3.4",30,IF(B2="3.5",31,IF(B2="3.6",32,IF(B2="3.7",33,IF(B2="3.8",34,IF(B2="3.9",35,IF(B2="3.10",36,K2)))))))))</f>
        <v>ERROR</v>
      </c>
      <c r="K2" s="98" t="str">
        <f>IF(B2="3.11",37,IF(B2="3.12",38,IF(B2="3.13",39,IF(B2="3.14",40,IF(B2="3.15",41,IF(B2="3.16",42,IF(B2="3.17",43,IF(B2="3.19",44,"ERROR"))))))))</f>
        <v>ERROR</v>
      </c>
      <c r="L2" s="95"/>
      <c r="M2" s="98">
        <f>$N2+COLUMN(V1)-4</f>
        <v>22</v>
      </c>
      <c r="N2" s="98">
        <f>IF(C2&lt;=100,4,IF(C2&lt;=200,5,IF(C2&lt;=300,6,IF(C2&lt;=400,7,IF(C2&lt;=500,8,IF(C2&lt;=600,9,IF(C2&lt;=650,10,IF(C2&lt;=700,11,O2))))))))</f>
        <v>4</v>
      </c>
      <c r="O2" s="98" t="b">
        <f>IF(C2&gt;700,IF(C2&lt;=750,12,IF(C2&lt;=800,13,IF(C2&lt;=850,14,IF(C2&lt;=900,15,IF(C2&lt;=950,16,IF(C2&lt;=1000,17,IF(C2&lt;=1050,18,P2))))))))</f>
        <v>0</v>
      </c>
      <c r="P2" s="98" t="b">
        <f>IF(C2&gt;1050,IF(C2&lt;=1100,19,IF(C2&lt;=1150,20,IF(C2&lt;=1200,21,IF(C2&lt;=1250,22,IF(C2&lt;=1300,23,IF(C2&lt;=1350,24,IF(C2&lt;=1400,25,Q2))))))))</f>
        <v>0</v>
      </c>
      <c r="Q2" s="98" t="b">
        <f>IF(C2&gt;1400,IF(C2&lt;=1450,26,IF(C2&lt;=1500,27,"ERROR")))</f>
        <v>0</v>
      </c>
      <c r="R2" s="95"/>
      <c r="S2" s="98"/>
      <c r="T2" s="98"/>
      <c r="U2" s="98"/>
      <c r="V2" s="98"/>
      <c r="W2" s="98"/>
      <c r="X2" s="98"/>
      <c r="Y2" s="98"/>
      <c r="Z2" s="98"/>
      <c r="AA2" s="98"/>
      <c r="AB2" s="98"/>
      <c r="AC2" s="98"/>
      <c r="AD2" s="98"/>
      <c r="AE2" s="98"/>
      <c r="AF2" s="98"/>
      <c r="AG2" s="98"/>
      <c r="AH2" s="98"/>
      <c r="AI2" s="98"/>
      <c r="AJ2" s="98"/>
      <c r="AK2" s="98"/>
      <c r="AL2" s="98"/>
      <c r="AM2" s="98"/>
      <c r="AN2" s="98"/>
      <c r="AO2" s="98"/>
      <c r="AP2" s="98"/>
      <c r="AQ2" s="98"/>
      <c r="AR2" s="98"/>
      <c r="AS2" s="98"/>
    </row>
    <row r="3" spans="1:76" ht="13.8" customHeight="1">
      <c r="A3" s="98"/>
      <c r="B3" s="96"/>
      <c r="C3" s="95"/>
      <c r="D3" s="100" t="s">
        <v>109</v>
      </c>
      <c r="E3" s="100" t="s">
        <v>110</v>
      </c>
      <c r="F3" s="98"/>
      <c r="G3" s="95"/>
      <c r="H3" s="95"/>
      <c r="I3" s="95"/>
      <c r="J3" s="98"/>
      <c r="K3" s="98"/>
      <c r="L3" s="95"/>
      <c r="M3" s="98"/>
      <c r="N3" s="98"/>
      <c r="O3" s="98"/>
      <c r="P3" s="98"/>
      <c r="Q3" s="98"/>
      <c r="R3" s="95"/>
      <c r="S3" s="403" t="s">
        <v>104</v>
      </c>
      <c r="T3" s="404"/>
      <c r="U3" s="404"/>
      <c r="V3" s="117">
        <v>150</v>
      </c>
      <c r="W3" s="98">
        <v>100</v>
      </c>
      <c r="X3" s="98">
        <v>1000</v>
      </c>
      <c r="Y3" s="98"/>
      <c r="Z3" s="98"/>
      <c r="AA3" s="98"/>
      <c r="AB3" s="98"/>
      <c r="AC3" s="98"/>
      <c r="AD3" s="98"/>
      <c r="AE3" s="98"/>
      <c r="AF3" s="98"/>
      <c r="AG3" s="98"/>
      <c r="AH3" s="98"/>
      <c r="AI3" s="98"/>
      <c r="AJ3" s="98"/>
      <c r="AK3" s="98"/>
      <c r="AL3" s="98"/>
      <c r="AM3" s="98"/>
      <c r="AN3" s="98"/>
      <c r="AO3" s="98"/>
      <c r="AP3" s="98"/>
      <c r="AQ3" s="98"/>
      <c r="AR3" s="98"/>
      <c r="AS3" s="98"/>
      <c r="AW3" s="207" t="s">
        <v>105</v>
      </c>
      <c r="AX3" s="92">
        <v>150</v>
      </c>
      <c r="AY3" s="92">
        <v>300</v>
      </c>
      <c r="AZ3" s="92">
        <v>400</v>
      </c>
      <c r="BA3" s="92">
        <v>600</v>
      </c>
      <c r="BB3" s="92">
        <v>900</v>
      </c>
      <c r="BC3" s="92">
        <v>1500</v>
      </c>
      <c r="BD3" s="92">
        <v>2500</v>
      </c>
      <c r="BG3" s="207" t="s">
        <v>105</v>
      </c>
      <c r="BH3" s="92">
        <v>150</v>
      </c>
      <c r="BI3" s="92">
        <v>300</v>
      </c>
      <c r="BJ3" s="92">
        <v>400</v>
      </c>
      <c r="BK3" s="92">
        <v>600</v>
      </c>
      <c r="BL3" s="92">
        <v>900</v>
      </c>
      <c r="BM3" s="92">
        <v>1500</v>
      </c>
      <c r="BN3" s="92">
        <v>2500</v>
      </c>
      <c r="BQ3" s="207" t="s">
        <v>105</v>
      </c>
      <c r="BR3" s="92">
        <v>150</v>
      </c>
      <c r="BS3" s="92">
        <v>300</v>
      </c>
      <c r="BT3" s="92">
        <v>400</v>
      </c>
      <c r="BU3" s="92">
        <v>600</v>
      </c>
      <c r="BV3" s="92">
        <v>900</v>
      </c>
      <c r="BW3" s="92">
        <v>1500</v>
      </c>
      <c r="BX3" s="92">
        <v>2500</v>
      </c>
    </row>
    <row r="4" spans="1:76">
      <c r="A4" s="102" t="s">
        <v>111</v>
      </c>
      <c r="B4" s="96"/>
      <c r="C4" s="95"/>
      <c r="D4" s="100"/>
      <c r="E4" s="100"/>
      <c r="F4" s="98"/>
      <c r="G4" s="95"/>
      <c r="H4" s="95"/>
      <c r="I4" s="95"/>
      <c r="J4" s="98"/>
      <c r="K4" s="98"/>
      <c r="L4" s="95"/>
      <c r="M4" s="98"/>
      <c r="N4" s="98"/>
      <c r="O4" s="98"/>
      <c r="P4" s="98"/>
      <c r="Q4" s="98"/>
      <c r="R4" s="95"/>
      <c r="S4" s="125" t="s">
        <v>145</v>
      </c>
      <c r="T4" s="204" t="s">
        <v>192</v>
      </c>
      <c r="U4" s="98"/>
      <c r="V4" s="98">
        <f t="shared" ref="V4:AE17" si="0">VLOOKUP($T4&amp;TEXT(V$1,"0000"),$AV$4:$BD$339,3)</f>
        <v>285</v>
      </c>
      <c r="W4" s="98">
        <f t="shared" si="0"/>
        <v>260</v>
      </c>
      <c r="X4" s="98">
        <f t="shared" si="0"/>
        <v>230</v>
      </c>
      <c r="Y4" s="98">
        <f t="shared" si="0"/>
        <v>200</v>
      </c>
      <c r="Z4" s="98">
        <f t="shared" si="0"/>
        <v>170</v>
      </c>
      <c r="AA4" s="98">
        <f t="shared" si="0"/>
        <v>140</v>
      </c>
      <c r="AB4" s="98">
        <f t="shared" si="0"/>
        <v>125</v>
      </c>
      <c r="AC4" s="98">
        <f t="shared" si="0"/>
        <v>110</v>
      </c>
      <c r="AD4" s="98">
        <f t="shared" si="0"/>
        <v>95</v>
      </c>
      <c r="AE4" s="98">
        <f t="shared" si="0"/>
        <v>80</v>
      </c>
      <c r="AF4" s="98">
        <f t="shared" ref="AF4:AS17" si="1">VLOOKUP($T4&amp;TEXT(AF$1,"0000"),$AV$4:$BD$339,3)</f>
        <v>65</v>
      </c>
      <c r="AG4" s="98">
        <f t="shared" si="1"/>
        <v>50</v>
      </c>
      <c r="AH4" s="98">
        <f t="shared" si="1"/>
        <v>35</v>
      </c>
      <c r="AI4" s="98">
        <f t="shared" si="1"/>
        <v>20</v>
      </c>
      <c r="AJ4" s="98">
        <f t="shared" si="1"/>
        <v>0</v>
      </c>
      <c r="AK4" s="98">
        <f t="shared" si="1"/>
        <v>0</v>
      </c>
      <c r="AL4" s="98">
        <f t="shared" si="1"/>
        <v>0</v>
      </c>
      <c r="AM4" s="98">
        <f t="shared" si="1"/>
        <v>0</v>
      </c>
      <c r="AN4" s="98">
        <f t="shared" si="1"/>
        <v>0</v>
      </c>
      <c r="AO4" s="98">
        <f t="shared" si="1"/>
        <v>0</v>
      </c>
      <c r="AP4" s="98">
        <f t="shared" si="1"/>
        <v>0</v>
      </c>
      <c r="AQ4" s="98">
        <f t="shared" si="1"/>
        <v>0</v>
      </c>
      <c r="AR4" s="98">
        <f t="shared" si="1"/>
        <v>0</v>
      </c>
      <c r="AS4" s="98">
        <f t="shared" si="1"/>
        <v>0</v>
      </c>
      <c r="AU4" s="92">
        <v>1.01</v>
      </c>
      <c r="AV4" s="101" t="str">
        <f>AU$4&amp;TEXT(AW4,"0000")</f>
        <v>1.010100</v>
      </c>
      <c r="AW4" s="92">
        <v>100</v>
      </c>
      <c r="AX4" s="92">
        <v>285</v>
      </c>
      <c r="AY4" s="92">
        <v>740</v>
      </c>
      <c r="AZ4" s="92">
        <v>985</v>
      </c>
      <c r="BA4" s="202">
        <v>1480</v>
      </c>
      <c r="BB4" s="202">
        <v>2220</v>
      </c>
      <c r="BC4" s="202">
        <v>3705</v>
      </c>
      <c r="BD4" s="202">
        <v>6170</v>
      </c>
      <c r="BE4" s="92">
        <v>2.0099999999999998</v>
      </c>
      <c r="BF4" s="101" t="str">
        <f>BE$4&amp;TEXT(BG4,"0000")</f>
        <v>2.010100</v>
      </c>
      <c r="BG4" s="92">
        <v>100</v>
      </c>
      <c r="BH4" s="92">
        <v>275</v>
      </c>
      <c r="BI4" s="92">
        <v>720</v>
      </c>
      <c r="BJ4" s="92">
        <v>960</v>
      </c>
      <c r="BK4" s="202">
        <v>1440</v>
      </c>
      <c r="BL4" s="202">
        <v>2160</v>
      </c>
      <c r="BM4" s="202">
        <v>3600</v>
      </c>
      <c r="BN4" s="202">
        <v>6000</v>
      </c>
      <c r="BO4" s="92">
        <v>3.01</v>
      </c>
      <c r="BP4" s="101" t="str">
        <f>BO$4&amp;TEXT(BQ4,"0000")</f>
        <v>3.010100</v>
      </c>
      <c r="BQ4" s="92">
        <v>100</v>
      </c>
      <c r="BR4" s="92">
        <v>290</v>
      </c>
      <c r="BS4" s="92">
        <v>750</v>
      </c>
      <c r="BT4" s="202">
        <v>1000</v>
      </c>
      <c r="BU4" s="202">
        <v>1500</v>
      </c>
      <c r="BV4" s="202">
        <v>2250</v>
      </c>
      <c r="BW4" s="202">
        <v>3750</v>
      </c>
      <c r="BX4" s="202">
        <v>6250</v>
      </c>
    </row>
    <row r="5" spans="1:76">
      <c r="A5" s="97" t="s">
        <v>112</v>
      </c>
      <c r="B5" s="96"/>
      <c r="C5" s="95"/>
      <c r="D5" s="100"/>
      <c r="E5" s="100"/>
      <c r="F5" s="98"/>
      <c r="G5" s="95"/>
      <c r="H5" s="95"/>
      <c r="I5" s="95"/>
      <c r="J5" s="98"/>
      <c r="K5" s="98"/>
      <c r="L5" s="95"/>
      <c r="M5" s="98"/>
      <c r="N5" s="98"/>
      <c r="O5" s="98"/>
      <c r="P5" s="98"/>
      <c r="Q5" s="98"/>
      <c r="R5" s="95"/>
      <c r="S5" s="99" t="s">
        <v>70</v>
      </c>
      <c r="T5" s="204" t="s">
        <v>193</v>
      </c>
      <c r="U5" s="98"/>
      <c r="V5" s="98">
        <f t="shared" si="0"/>
        <v>290</v>
      </c>
      <c r="W5" s="98">
        <f t="shared" si="0"/>
        <v>260</v>
      </c>
      <c r="X5" s="98">
        <f t="shared" si="0"/>
        <v>230</v>
      </c>
      <c r="Y5" s="98">
        <f t="shared" si="0"/>
        <v>200</v>
      </c>
      <c r="Z5" s="98">
        <f t="shared" si="0"/>
        <v>170</v>
      </c>
      <c r="AA5" s="98">
        <f t="shared" si="0"/>
        <v>140</v>
      </c>
      <c r="AB5" s="98">
        <f t="shared" si="0"/>
        <v>125</v>
      </c>
      <c r="AC5" s="98">
        <f t="shared" si="0"/>
        <v>110</v>
      </c>
      <c r="AD5" s="98">
        <f t="shared" si="0"/>
        <v>95</v>
      </c>
      <c r="AE5" s="98">
        <f t="shared" si="0"/>
        <v>80</v>
      </c>
      <c r="AF5" s="98">
        <f t="shared" si="1"/>
        <v>65</v>
      </c>
      <c r="AG5" s="98">
        <f t="shared" si="1"/>
        <v>50</v>
      </c>
      <c r="AH5" s="98">
        <f t="shared" si="1"/>
        <v>35</v>
      </c>
      <c r="AI5" s="98">
        <f t="shared" si="1"/>
        <v>20</v>
      </c>
      <c r="AJ5" s="98">
        <f t="shared" si="1"/>
        <v>0</v>
      </c>
      <c r="AK5" s="98">
        <f t="shared" si="1"/>
        <v>0</v>
      </c>
      <c r="AL5" s="98">
        <f t="shared" si="1"/>
        <v>0</v>
      </c>
      <c r="AM5" s="98">
        <f t="shared" si="1"/>
        <v>0</v>
      </c>
      <c r="AN5" s="98">
        <f t="shared" si="1"/>
        <v>0</v>
      </c>
      <c r="AO5" s="98">
        <f t="shared" si="1"/>
        <v>0</v>
      </c>
      <c r="AP5" s="98">
        <f t="shared" si="1"/>
        <v>0</v>
      </c>
      <c r="AQ5" s="98">
        <f t="shared" si="1"/>
        <v>0</v>
      </c>
      <c r="AR5" s="98">
        <f t="shared" si="1"/>
        <v>0</v>
      </c>
      <c r="AS5" s="98">
        <f t="shared" si="1"/>
        <v>0</v>
      </c>
      <c r="AV5" s="101" t="str">
        <f t="shared" ref="AV5:AV27" si="2">AU$4&amp;TEXT(AW5,"0000")</f>
        <v>1.010200</v>
      </c>
      <c r="AW5" s="101">
        <v>200</v>
      </c>
      <c r="AX5" s="92">
        <v>260</v>
      </c>
      <c r="AY5" s="92">
        <v>680</v>
      </c>
      <c r="AZ5" s="92">
        <v>905</v>
      </c>
      <c r="BA5" s="202">
        <v>1360</v>
      </c>
      <c r="BB5" s="202">
        <v>2035</v>
      </c>
      <c r="BC5" s="202">
        <v>3395</v>
      </c>
      <c r="BD5" s="202">
        <v>5655</v>
      </c>
      <c r="BF5" s="101" t="str">
        <f t="shared" ref="BF5:BF27" si="3">BE$4&amp;TEXT(BG5,"0000")</f>
        <v>2.010200</v>
      </c>
      <c r="BG5" s="101">
        <v>200</v>
      </c>
      <c r="BH5" s="92">
        <v>230</v>
      </c>
      <c r="BI5" s="92">
        <v>600</v>
      </c>
      <c r="BJ5" s="92">
        <v>800</v>
      </c>
      <c r="BK5" s="202">
        <v>1200</v>
      </c>
      <c r="BL5" s="202">
        <v>1800</v>
      </c>
      <c r="BM5" s="202">
        <v>3000</v>
      </c>
      <c r="BN5" s="202">
        <v>5000</v>
      </c>
      <c r="BP5" s="101" t="str">
        <f t="shared" ref="BP5:BP27" si="4">BO$4&amp;TEXT(BQ5,"0000")</f>
        <v>3.010200</v>
      </c>
      <c r="BQ5" s="101">
        <v>200</v>
      </c>
      <c r="BR5" s="92">
        <v>260</v>
      </c>
      <c r="BS5" s="92">
        <v>740</v>
      </c>
      <c r="BT5" s="92">
        <v>990</v>
      </c>
      <c r="BU5" s="202">
        <v>1485</v>
      </c>
      <c r="BV5" s="202">
        <v>2225</v>
      </c>
      <c r="BW5" s="202">
        <v>3710</v>
      </c>
      <c r="BX5" s="202">
        <v>6180</v>
      </c>
    </row>
    <row r="6" spans="1:76">
      <c r="A6" s="103"/>
      <c r="B6" s="104" t="s">
        <v>113</v>
      </c>
      <c r="C6" s="95"/>
      <c r="D6" s="100"/>
      <c r="E6" s="100"/>
      <c r="F6" s="98"/>
      <c r="G6" s="95"/>
      <c r="H6" s="95"/>
      <c r="I6" s="95"/>
      <c r="J6" s="98"/>
      <c r="K6" s="98"/>
      <c r="L6" s="95"/>
      <c r="M6" s="98"/>
      <c r="N6" s="98"/>
      <c r="O6" s="98"/>
      <c r="P6" s="98"/>
      <c r="Q6" s="98"/>
      <c r="R6" s="95"/>
      <c r="S6" s="99" t="s">
        <v>71</v>
      </c>
      <c r="T6" s="204" t="s">
        <v>194</v>
      </c>
      <c r="U6" s="98"/>
      <c r="V6" s="98">
        <f t="shared" si="0"/>
        <v>265</v>
      </c>
      <c r="W6" s="98">
        <f t="shared" si="0"/>
        <v>255</v>
      </c>
      <c r="X6" s="98">
        <f t="shared" si="0"/>
        <v>230</v>
      </c>
      <c r="Y6" s="98">
        <f t="shared" si="0"/>
        <v>200</v>
      </c>
      <c r="Z6" s="98">
        <f t="shared" si="0"/>
        <v>170</v>
      </c>
      <c r="AA6" s="98">
        <f t="shared" si="0"/>
        <v>140</v>
      </c>
      <c r="AB6" s="98">
        <f t="shared" si="0"/>
        <v>125</v>
      </c>
      <c r="AC6" s="98">
        <f t="shared" si="0"/>
        <v>110</v>
      </c>
      <c r="AD6" s="98">
        <f t="shared" si="0"/>
        <v>95</v>
      </c>
      <c r="AE6" s="98">
        <f t="shared" si="0"/>
        <v>80</v>
      </c>
      <c r="AF6" s="98">
        <f t="shared" si="1"/>
        <v>65</v>
      </c>
      <c r="AG6" s="98">
        <f t="shared" si="1"/>
        <v>50</v>
      </c>
      <c r="AH6" s="98">
        <f t="shared" si="1"/>
        <v>35</v>
      </c>
      <c r="AI6" s="98">
        <f t="shared" si="1"/>
        <v>20</v>
      </c>
      <c r="AJ6" s="98">
        <f t="shared" si="1"/>
        <v>0</v>
      </c>
      <c r="AK6" s="98">
        <f t="shared" si="1"/>
        <v>0</v>
      </c>
      <c r="AL6" s="98">
        <f t="shared" si="1"/>
        <v>0</v>
      </c>
      <c r="AM6" s="98">
        <f t="shared" si="1"/>
        <v>0</v>
      </c>
      <c r="AN6" s="98">
        <f t="shared" si="1"/>
        <v>0</v>
      </c>
      <c r="AO6" s="98">
        <f t="shared" si="1"/>
        <v>0</v>
      </c>
      <c r="AP6" s="98">
        <f t="shared" si="1"/>
        <v>0</v>
      </c>
      <c r="AQ6" s="98">
        <f t="shared" si="1"/>
        <v>0</v>
      </c>
      <c r="AR6" s="98">
        <f t="shared" si="1"/>
        <v>0</v>
      </c>
      <c r="AS6" s="98">
        <f t="shared" si="1"/>
        <v>0</v>
      </c>
      <c r="AV6" s="101" t="str">
        <f t="shared" si="2"/>
        <v>1.010300</v>
      </c>
      <c r="AW6" s="101">
        <v>300</v>
      </c>
      <c r="AX6" s="92">
        <v>230</v>
      </c>
      <c r="AY6" s="92">
        <v>655</v>
      </c>
      <c r="AZ6" s="92">
        <v>870</v>
      </c>
      <c r="BA6" s="202">
        <v>1310</v>
      </c>
      <c r="BB6" s="202">
        <v>1965</v>
      </c>
      <c r="BC6" s="202">
        <v>3270</v>
      </c>
      <c r="BD6" s="202">
        <v>5450</v>
      </c>
      <c r="BF6" s="101" t="str">
        <f t="shared" si="3"/>
        <v>2.010300</v>
      </c>
      <c r="BG6" s="101">
        <v>300</v>
      </c>
      <c r="BH6" s="92">
        <v>205</v>
      </c>
      <c r="BI6" s="92">
        <v>540</v>
      </c>
      <c r="BJ6" s="92">
        <v>715</v>
      </c>
      <c r="BK6" s="202">
        <v>1075</v>
      </c>
      <c r="BL6" s="202">
        <v>1615</v>
      </c>
      <c r="BM6" s="202">
        <v>2690</v>
      </c>
      <c r="BN6" s="202">
        <v>4480</v>
      </c>
      <c r="BP6" s="101" t="str">
        <f t="shared" si="4"/>
        <v>3.010300</v>
      </c>
      <c r="BQ6" s="101">
        <v>300</v>
      </c>
      <c r="BR6" s="92">
        <v>230</v>
      </c>
      <c r="BS6" s="92">
        <v>710</v>
      </c>
      <c r="BT6" s="92">
        <v>945</v>
      </c>
      <c r="BU6" s="202">
        <v>1420</v>
      </c>
      <c r="BV6" s="202">
        <v>2130</v>
      </c>
      <c r="BW6" s="202">
        <v>3550</v>
      </c>
      <c r="BX6" s="202">
        <v>5920</v>
      </c>
    </row>
    <row r="7" spans="1:76">
      <c r="A7" s="98"/>
      <c r="B7" s="104" t="s">
        <v>114</v>
      </c>
      <c r="C7" s="95"/>
      <c r="D7" s="100"/>
      <c r="E7" s="100"/>
      <c r="F7" s="98"/>
      <c r="G7" s="95"/>
      <c r="H7" s="95"/>
      <c r="I7" s="95"/>
      <c r="J7" s="98"/>
      <c r="K7" s="98"/>
      <c r="L7" s="95"/>
      <c r="M7" s="98"/>
      <c r="N7" s="98"/>
      <c r="O7" s="98"/>
      <c r="P7" s="98"/>
      <c r="Q7" s="98"/>
      <c r="R7" s="95"/>
      <c r="S7" s="99" t="s">
        <v>72</v>
      </c>
      <c r="T7" s="204" t="s">
        <v>195</v>
      </c>
      <c r="U7" s="98"/>
      <c r="V7" s="98">
        <f t="shared" si="0"/>
        <v>235</v>
      </c>
      <c r="W7" s="98">
        <f t="shared" si="0"/>
        <v>215</v>
      </c>
      <c r="X7" s="98">
        <f t="shared" si="0"/>
        <v>210</v>
      </c>
      <c r="Y7" s="98">
        <f t="shared" si="0"/>
        <v>200</v>
      </c>
      <c r="Z7" s="98">
        <f t="shared" si="0"/>
        <v>170</v>
      </c>
      <c r="AA7" s="98">
        <f t="shared" si="0"/>
        <v>140</v>
      </c>
      <c r="AB7" s="98">
        <f t="shared" si="0"/>
        <v>125</v>
      </c>
      <c r="AC7" s="98">
        <f t="shared" si="0"/>
        <v>110</v>
      </c>
      <c r="AD7" s="98">
        <f t="shared" si="0"/>
        <v>95</v>
      </c>
      <c r="AE7" s="98">
        <f t="shared" si="0"/>
        <v>80</v>
      </c>
      <c r="AF7" s="98">
        <f t="shared" si="1"/>
        <v>65</v>
      </c>
      <c r="AG7" s="98">
        <f t="shared" si="1"/>
        <v>50</v>
      </c>
      <c r="AH7" s="98">
        <f t="shared" si="1"/>
        <v>35</v>
      </c>
      <c r="AI7" s="98">
        <f t="shared" si="1"/>
        <v>20</v>
      </c>
      <c r="AJ7" s="98">
        <f t="shared" si="1"/>
        <v>0</v>
      </c>
      <c r="AK7" s="98">
        <f t="shared" si="1"/>
        <v>0</v>
      </c>
      <c r="AL7" s="98">
        <f t="shared" si="1"/>
        <v>0</v>
      </c>
      <c r="AM7" s="98">
        <f t="shared" si="1"/>
        <v>0</v>
      </c>
      <c r="AN7" s="98">
        <f t="shared" si="1"/>
        <v>0</v>
      </c>
      <c r="AO7" s="98">
        <f t="shared" si="1"/>
        <v>0</v>
      </c>
      <c r="AP7" s="98">
        <f t="shared" si="1"/>
        <v>0</v>
      </c>
      <c r="AQ7" s="98">
        <f t="shared" si="1"/>
        <v>0</v>
      </c>
      <c r="AR7" s="98">
        <f t="shared" si="1"/>
        <v>0</v>
      </c>
      <c r="AS7" s="98">
        <f t="shared" si="1"/>
        <v>0</v>
      </c>
      <c r="AV7" s="101" t="str">
        <f t="shared" si="2"/>
        <v>1.010400</v>
      </c>
      <c r="AW7" s="101">
        <v>400</v>
      </c>
      <c r="AX7" s="92">
        <v>200</v>
      </c>
      <c r="AY7" s="92">
        <v>635</v>
      </c>
      <c r="AZ7" s="92">
        <v>845</v>
      </c>
      <c r="BA7" s="202">
        <v>1265</v>
      </c>
      <c r="BB7" s="202">
        <v>1900</v>
      </c>
      <c r="BC7" s="202">
        <v>3170</v>
      </c>
      <c r="BD7" s="202">
        <v>5280</v>
      </c>
      <c r="BF7" s="101" t="str">
        <f t="shared" si="3"/>
        <v>2.010400</v>
      </c>
      <c r="BG7" s="101">
        <v>400</v>
      </c>
      <c r="BH7" s="92">
        <v>190</v>
      </c>
      <c r="BI7" s="92">
        <v>495</v>
      </c>
      <c r="BJ7" s="92">
        <v>660</v>
      </c>
      <c r="BK7" s="92">
        <v>995</v>
      </c>
      <c r="BL7" s="202">
        <v>1490</v>
      </c>
      <c r="BM7" s="202">
        <v>2485</v>
      </c>
      <c r="BN7" s="202">
        <v>4140</v>
      </c>
      <c r="BP7" s="101" t="str">
        <f t="shared" si="4"/>
        <v>3.010400</v>
      </c>
      <c r="BQ7" s="101">
        <v>400</v>
      </c>
      <c r="BR7" s="92">
        <v>200</v>
      </c>
      <c r="BS7" s="92">
        <v>680</v>
      </c>
      <c r="BT7" s="92">
        <v>910</v>
      </c>
      <c r="BU7" s="202">
        <v>1365</v>
      </c>
      <c r="BV7" s="202">
        <v>2045</v>
      </c>
      <c r="BW7" s="202">
        <v>3410</v>
      </c>
      <c r="BX7" s="202">
        <v>5680</v>
      </c>
    </row>
    <row r="8" spans="1:76">
      <c r="A8" s="205" t="s">
        <v>225</v>
      </c>
      <c r="B8" s="96"/>
      <c r="C8" s="95"/>
      <c r="D8" s="100"/>
      <c r="E8" s="100"/>
      <c r="F8" s="98"/>
      <c r="G8" s="95"/>
      <c r="H8" s="95"/>
      <c r="I8" s="95"/>
      <c r="J8" s="98"/>
      <c r="K8" s="98"/>
      <c r="L8" s="95"/>
      <c r="M8" s="98"/>
      <c r="N8" s="98"/>
      <c r="O8" s="98"/>
      <c r="P8" s="98"/>
      <c r="Q8" s="98"/>
      <c r="R8" s="95"/>
      <c r="S8" s="99" t="s">
        <v>73</v>
      </c>
      <c r="T8" s="204" t="s">
        <v>196</v>
      </c>
      <c r="U8" s="98"/>
      <c r="V8" s="98">
        <f t="shared" si="0"/>
        <v>265</v>
      </c>
      <c r="W8" s="98">
        <f t="shared" si="0"/>
        <v>260</v>
      </c>
      <c r="X8" s="98">
        <f t="shared" si="0"/>
        <v>230</v>
      </c>
      <c r="Y8" s="98">
        <f t="shared" si="0"/>
        <v>200</v>
      </c>
      <c r="Z8" s="98">
        <f t="shared" si="0"/>
        <v>170</v>
      </c>
      <c r="AA8" s="98">
        <f t="shared" si="0"/>
        <v>140</v>
      </c>
      <c r="AB8" s="98">
        <f t="shared" si="0"/>
        <v>125</v>
      </c>
      <c r="AC8" s="98">
        <f t="shared" si="0"/>
        <v>110</v>
      </c>
      <c r="AD8" s="98">
        <f t="shared" si="0"/>
        <v>95</v>
      </c>
      <c r="AE8" s="98">
        <f t="shared" si="0"/>
        <v>80</v>
      </c>
      <c r="AF8" s="98">
        <f t="shared" si="1"/>
        <v>65</v>
      </c>
      <c r="AG8" s="98">
        <f t="shared" si="1"/>
        <v>50</v>
      </c>
      <c r="AH8" s="98">
        <f t="shared" si="1"/>
        <v>35</v>
      </c>
      <c r="AI8" s="98">
        <f t="shared" si="1"/>
        <v>20</v>
      </c>
      <c r="AJ8" s="98">
        <f t="shared" si="1"/>
        <v>0</v>
      </c>
      <c r="AK8" s="98">
        <f t="shared" si="1"/>
        <v>0</v>
      </c>
      <c r="AL8" s="98">
        <f t="shared" si="1"/>
        <v>0</v>
      </c>
      <c r="AM8" s="98">
        <f t="shared" si="1"/>
        <v>0</v>
      </c>
      <c r="AN8" s="98">
        <f t="shared" si="1"/>
        <v>0</v>
      </c>
      <c r="AO8" s="98">
        <f t="shared" si="1"/>
        <v>0</v>
      </c>
      <c r="AP8" s="98">
        <f t="shared" si="1"/>
        <v>0</v>
      </c>
      <c r="AQ8" s="98">
        <f t="shared" si="1"/>
        <v>0</v>
      </c>
      <c r="AR8" s="98">
        <f t="shared" si="1"/>
        <v>0</v>
      </c>
      <c r="AS8" s="98">
        <f t="shared" si="1"/>
        <v>0</v>
      </c>
      <c r="AV8" s="101" t="str">
        <f t="shared" si="2"/>
        <v>1.010500</v>
      </c>
      <c r="AW8" s="101">
        <v>500</v>
      </c>
      <c r="AX8" s="92">
        <v>170</v>
      </c>
      <c r="AY8" s="92">
        <v>605</v>
      </c>
      <c r="AZ8" s="92">
        <v>805</v>
      </c>
      <c r="BA8" s="202">
        <v>1205</v>
      </c>
      <c r="BB8" s="202">
        <v>1810</v>
      </c>
      <c r="BC8" s="202">
        <v>3015</v>
      </c>
      <c r="BD8" s="202">
        <v>5025</v>
      </c>
      <c r="BF8" s="101" t="str">
        <f t="shared" si="3"/>
        <v>2.010500</v>
      </c>
      <c r="BG8" s="101">
        <v>500</v>
      </c>
      <c r="BH8" s="92">
        <v>170</v>
      </c>
      <c r="BI8" s="92">
        <v>465</v>
      </c>
      <c r="BJ8" s="92">
        <v>620</v>
      </c>
      <c r="BK8" s="92">
        <v>930</v>
      </c>
      <c r="BL8" s="202">
        <v>1395</v>
      </c>
      <c r="BM8" s="202">
        <v>2330</v>
      </c>
      <c r="BN8" s="202">
        <v>3880</v>
      </c>
      <c r="BP8" s="101" t="str">
        <f t="shared" si="4"/>
        <v>3.010500</v>
      </c>
      <c r="BQ8" s="101">
        <v>500</v>
      </c>
      <c r="BR8" s="92">
        <v>170</v>
      </c>
      <c r="BS8" s="92">
        <v>655</v>
      </c>
      <c r="BT8" s="92">
        <v>875</v>
      </c>
      <c r="BU8" s="202">
        <v>1310</v>
      </c>
      <c r="BV8" s="202">
        <v>1965</v>
      </c>
      <c r="BW8" s="202">
        <v>3275</v>
      </c>
      <c r="BX8" s="202">
        <v>5460</v>
      </c>
    </row>
    <row r="9" spans="1:76">
      <c r="A9" s="98"/>
      <c r="B9" s="206" t="s">
        <v>224</v>
      </c>
      <c r="C9" s="95"/>
      <c r="D9" s="100"/>
      <c r="E9" s="100"/>
      <c r="F9" s="98"/>
      <c r="G9" s="95"/>
      <c r="H9" s="95"/>
      <c r="I9" s="95"/>
      <c r="J9" s="98"/>
      <c r="K9" s="98"/>
      <c r="L9" s="95"/>
      <c r="M9" s="98"/>
      <c r="N9" s="98"/>
      <c r="O9" s="98"/>
      <c r="P9" s="98"/>
      <c r="Q9" s="98"/>
      <c r="R9" s="95"/>
      <c r="S9" s="99" t="s">
        <v>74</v>
      </c>
      <c r="T9" s="204" t="s">
        <v>197</v>
      </c>
      <c r="U9" s="98"/>
      <c r="V9" s="98">
        <f t="shared" si="0"/>
        <v>290</v>
      </c>
      <c r="W9" s="98">
        <f t="shared" si="0"/>
        <v>260</v>
      </c>
      <c r="X9" s="98">
        <f t="shared" si="0"/>
        <v>230</v>
      </c>
      <c r="Y9" s="98">
        <f t="shared" si="0"/>
        <v>200</v>
      </c>
      <c r="Z9" s="98">
        <f t="shared" si="0"/>
        <v>170</v>
      </c>
      <c r="AA9" s="98">
        <f t="shared" si="0"/>
        <v>140</v>
      </c>
      <c r="AB9" s="98">
        <f t="shared" si="0"/>
        <v>125</v>
      </c>
      <c r="AC9" s="98">
        <f t="shared" si="0"/>
        <v>110</v>
      </c>
      <c r="AD9" s="98">
        <f t="shared" si="0"/>
        <v>95</v>
      </c>
      <c r="AE9" s="98">
        <f t="shared" si="0"/>
        <v>80</v>
      </c>
      <c r="AF9" s="98">
        <f t="shared" si="1"/>
        <v>65</v>
      </c>
      <c r="AG9" s="98">
        <f t="shared" si="1"/>
        <v>50</v>
      </c>
      <c r="AH9" s="98">
        <f t="shared" si="1"/>
        <v>35</v>
      </c>
      <c r="AI9" s="98">
        <f t="shared" si="1"/>
        <v>20</v>
      </c>
      <c r="AJ9" s="98">
        <f t="shared" si="1"/>
        <v>0</v>
      </c>
      <c r="AK9" s="98">
        <f t="shared" si="1"/>
        <v>0</v>
      </c>
      <c r="AL9" s="98">
        <f t="shared" si="1"/>
        <v>0</v>
      </c>
      <c r="AM9" s="98">
        <f t="shared" si="1"/>
        <v>0</v>
      </c>
      <c r="AN9" s="98">
        <f t="shared" si="1"/>
        <v>0</v>
      </c>
      <c r="AO9" s="98">
        <f t="shared" si="1"/>
        <v>0</v>
      </c>
      <c r="AP9" s="98">
        <f t="shared" si="1"/>
        <v>0</v>
      </c>
      <c r="AQ9" s="98">
        <f t="shared" si="1"/>
        <v>0</v>
      </c>
      <c r="AR9" s="98">
        <f t="shared" si="1"/>
        <v>0</v>
      </c>
      <c r="AS9" s="98">
        <f t="shared" si="1"/>
        <v>0</v>
      </c>
      <c r="AV9" s="101" t="str">
        <f t="shared" si="2"/>
        <v>1.010600</v>
      </c>
      <c r="AW9" s="101">
        <v>600</v>
      </c>
      <c r="AX9" s="92">
        <v>140</v>
      </c>
      <c r="AY9" s="92">
        <v>570</v>
      </c>
      <c r="AZ9" s="92">
        <v>755</v>
      </c>
      <c r="BA9" s="202">
        <v>1135</v>
      </c>
      <c r="BB9" s="202">
        <v>1705</v>
      </c>
      <c r="BC9" s="202">
        <v>2840</v>
      </c>
      <c r="BD9" s="202">
        <v>4730</v>
      </c>
      <c r="BF9" s="101" t="str">
        <f t="shared" si="3"/>
        <v>2.010600</v>
      </c>
      <c r="BG9" s="101">
        <v>600</v>
      </c>
      <c r="BH9" s="92">
        <v>140</v>
      </c>
      <c r="BI9" s="92">
        <v>440</v>
      </c>
      <c r="BJ9" s="92">
        <v>590</v>
      </c>
      <c r="BK9" s="92">
        <v>885</v>
      </c>
      <c r="BL9" s="202">
        <v>1325</v>
      </c>
      <c r="BM9" s="202">
        <v>2210</v>
      </c>
      <c r="BN9" s="202">
        <v>3680</v>
      </c>
      <c r="BP9" s="101" t="str">
        <f t="shared" si="4"/>
        <v>3.010600</v>
      </c>
      <c r="BQ9" s="101">
        <v>600</v>
      </c>
      <c r="BR9" s="92">
        <v>140</v>
      </c>
      <c r="BS9" s="92">
        <v>605</v>
      </c>
      <c r="BT9" s="92">
        <v>805</v>
      </c>
      <c r="BU9" s="202">
        <v>1210</v>
      </c>
      <c r="BV9" s="202">
        <v>1815</v>
      </c>
      <c r="BW9" s="202">
        <v>3025</v>
      </c>
      <c r="BX9" s="202">
        <v>5040</v>
      </c>
    </row>
    <row r="10" spans="1:76">
      <c r="A10" s="98"/>
      <c r="B10" s="96"/>
      <c r="C10" s="95"/>
      <c r="D10" s="100"/>
      <c r="E10" s="100"/>
      <c r="F10" s="98"/>
      <c r="G10" s="95"/>
      <c r="H10" s="95"/>
      <c r="I10" s="95"/>
      <c r="J10" s="98"/>
      <c r="K10" s="98"/>
      <c r="L10" s="95"/>
      <c r="M10" s="98"/>
      <c r="N10" s="98"/>
      <c r="O10" s="98"/>
      <c r="P10" s="98"/>
      <c r="Q10" s="98"/>
      <c r="R10" s="95"/>
      <c r="S10" s="99" t="s">
        <v>75</v>
      </c>
      <c r="T10" s="204" t="s">
        <v>198</v>
      </c>
      <c r="U10" s="98"/>
      <c r="V10" s="98">
        <f t="shared" si="0"/>
        <v>290</v>
      </c>
      <c r="W10" s="98">
        <f t="shared" si="0"/>
        <v>260</v>
      </c>
      <c r="X10" s="98">
        <f t="shared" si="0"/>
        <v>230</v>
      </c>
      <c r="Y10" s="98">
        <f t="shared" si="0"/>
        <v>200</v>
      </c>
      <c r="Z10" s="98">
        <f t="shared" si="0"/>
        <v>170</v>
      </c>
      <c r="AA10" s="98">
        <f t="shared" si="0"/>
        <v>140</v>
      </c>
      <c r="AB10" s="98">
        <f t="shared" si="0"/>
        <v>125</v>
      </c>
      <c r="AC10" s="98">
        <f t="shared" si="0"/>
        <v>110</v>
      </c>
      <c r="AD10" s="98">
        <f t="shared" si="0"/>
        <v>95</v>
      </c>
      <c r="AE10" s="98">
        <f t="shared" si="0"/>
        <v>80</v>
      </c>
      <c r="AF10" s="98">
        <f t="shared" si="1"/>
        <v>65</v>
      </c>
      <c r="AG10" s="98">
        <f t="shared" si="1"/>
        <v>50</v>
      </c>
      <c r="AH10" s="98">
        <f t="shared" si="1"/>
        <v>35</v>
      </c>
      <c r="AI10" s="98">
        <f t="shared" si="1"/>
        <v>20</v>
      </c>
      <c r="AJ10" s="98">
        <f t="shared" si="1"/>
        <v>0</v>
      </c>
      <c r="AK10" s="98">
        <f t="shared" si="1"/>
        <v>0</v>
      </c>
      <c r="AL10" s="98">
        <f t="shared" si="1"/>
        <v>0</v>
      </c>
      <c r="AM10" s="98">
        <f t="shared" si="1"/>
        <v>0</v>
      </c>
      <c r="AN10" s="98">
        <f t="shared" si="1"/>
        <v>0</v>
      </c>
      <c r="AO10" s="98">
        <f t="shared" si="1"/>
        <v>0</v>
      </c>
      <c r="AP10" s="98">
        <f t="shared" si="1"/>
        <v>0</v>
      </c>
      <c r="AQ10" s="98">
        <f t="shared" si="1"/>
        <v>0</v>
      </c>
      <c r="AR10" s="98">
        <f t="shared" si="1"/>
        <v>0</v>
      </c>
      <c r="AS10" s="98">
        <f t="shared" si="1"/>
        <v>0</v>
      </c>
      <c r="AV10" s="101" t="str">
        <f t="shared" si="2"/>
        <v>1.010650</v>
      </c>
      <c r="AW10" s="101">
        <v>650</v>
      </c>
      <c r="AX10" s="92">
        <v>125</v>
      </c>
      <c r="AY10" s="92">
        <v>550</v>
      </c>
      <c r="AZ10" s="92">
        <v>730</v>
      </c>
      <c r="BA10" s="202">
        <v>1100</v>
      </c>
      <c r="BB10" s="202">
        <v>1650</v>
      </c>
      <c r="BC10" s="202">
        <v>2745</v>
      </c>
      <c r="BD10" s="202">
        <v>4575</v>
      </c>
      <c r="BF10" s="101" t="str">
        <f t="shared" si="3"/>
        <v>2.010650</v>
      </c>
      <c r="BG10" s="101">
        <v>650</v>
      </c>
      <c r="BH10" s="92">
        <v>125</v>
      </c>
      <c r="BI10" s="92">
        <v>430</v>
      </c>
      <c r="BJ10" s="92">
        <v>575</v>
      </c>
      <c r="BK10" s="92">
        <v>865</v>
      </c>
      <c r="BL10" s="202">
        <v>1295</v>
      </c>
      <c r="BM10" s="202">
        <v>2160</v>
      </c>
      <c r="BN10" s="202">
        <v>3600</v>
      </c>
      <c r="BP10" s="101" t="str">
        <f t="shared" si="4"/>
        <v>3.010650</v>
      </c>
      <c r="BQ10" s="101">
        <v>650</v>
      </c>
      <c r="BR10" s="92">
        <v>125</v>
      </c>
      <c r="BS10" s="92">
        <v>590</v>
      </c>
      <c r="BT10" s="92">
        <v>785</v>
      </c>
      <c r="BU10" s="202">
        <v>1175</v>
      </c>
      <c r="BV10" s="202">
        <v>1765</v>
      </c>
      <c r="BW10" s="202">
        <v>2940</v>
      </c>
      <c r="BX10" s="202">
        <v>4905</v>
      </c>
    </row>
    <row r="11" spans="1:76">
      <c r="A11" s="98"/>
      <c r="B11" s="96"/>
      <c r="C11" s="95"/>
      <c r="D11" s="100"/>
      <c r="E11" s="100"/>
      <c r="F11" s="98"/>
      <c r="G11" s="95"/>
      <c r="H11" s="95"/>
      <c r="I11" s="95"/>
      <c r="J11" s="98"/>
      <c r="K11" s="98"/>
      <c r="L11" s="95"/>
      <c r="M11" s="98"/>
      <c r="N11" s="98"/>
      <c r="O11" s="98"/>
      <c r="P11" s="98"/>
      <c r="Q11" s="98"/>
      <c r="R11" s="95"/>
      <c r="S11" s="99" t="s">
        <v>76</v>
      </c>
      <c r="T11" s="204" t="s">
        <v>76</v>
      </c>
      <c r="U11" s="98"/>
      <c r="V11" s="98">
        <f t="shared" si="0"/>
        <v>290</v>
      </c>
      <c r="W11" s="98">
        <f t="shared" si="0"/>
        <v>260</v>
      </c>
      <c r="X11" s="98">
        <f t="shared" si="0"/>
        <v>230</v>
      </c>
      <c r="Y11" s="98">
        <f t="shared" si="0"/>
        <v>200</v>
      </c>
      <c r="Z11" s="98">
        <f t="shared" si="0"/>
        <v>170</v>
      </c>
      <c r="AA11" s="98">
        <f t="shared" si="0"/>
        <v>140</v>
      </c>
      <c r="AB11" s="98">
        <f t="shared" si="0"/>
        <v>125</v>
      </c>
      <c r="AC11" s="98">
        <f t="shared" si="0"/>
        <v>110</v>
      </c>
      <c r="AD11" s="98">
        <f t="shared" si="0"/>
        <v>95</v>
      </c>
      <c r="AE11" s="98">
        <f t="shared" si="0"/>
        <v>80</v>
      </c>
      <c r="AF11" s="98">
        <f t="shared" si="1"/>
        <v>65</v>
      </c>
      <c r="AG11" s="98">
        <f t="shared" si="1"/>
        <v>50</v>
      </c>
      <c r="AH11" s="98">
        <f t="shared" si="1"/>
        <v>35</v>
      </c>
      <c r="AI11" s="98">
        <f t="shared" si="1"/>
        <v>20</v>
      </c>
      <c r="AJ11" s="98">
        <f t="shared" si="1"/>
        <v>0</v>
      </c>
      <c r="AK11" s="98">
        <f t="shared" si="1"/>
        <v>0</v>
      </c>
      <c r="AL11" s="98">
        <f t="shared" si="1"/>
        <v>0</v>
      </c>
      <c r="AM11" s="98">
        <f t="shared" si="1"/>
        <v>0</v>
      </c>
      <c r="AN11" s="98">
        <f t="shared" si="1"/>
        <v>0</v>
      </c>
      <c r="AO11" s="98">
        <f t="shared" si="1"/>
        <v>0</v>
      </c>
      <c r="AP11" s="98">
        <f t="shared" si="1"/>
        <v>0</v>
      </c>
      <c r="AQ11" s="98">
        <f t="shared" si="1"/>
        <v>0</v>
      </c>
      <c r="AR11" s="98">
        <f t="shared" si="1"/>
        <v>0</v>
      </c>
      <c r="AS11" s="98">
        <f t="shared" si="1"/>
        <v>0</v>
      </c>
      <c r="AV11" s="101" t="str">
        <f t="shared" si="2"/>
        <v>1.010700</v>
      </c>
      <c r="AW11" s="101">
        <v>700</v>
      </c>
      <c r="AX11" s="92">
        <v>110</v>
      </c>
      <c r="AY11" s="92">
        <v>530</v>
      </c>
      <c r="AZ11" s="92">
        <v>710</v>
      </c>
      <c r="BA11" s="202">
        <v>1060</v>
      </c>
      <c r="BB11" s="202">
        <v>1590</v>
      </c>
      <c r="BC11" s="202">
        <v>2655</v>
      </c>
      <c r="BD11" s="202">
        <v>4425</v>
      </c>
      <c r="BF11" s="101" t="str">
        <f t="shared" si="3"/>
        <v>2.010700</v>
      </c>
      <c r="BG11" s="101">
        <v>700</v>
      </c>
      <c r="BH11" s="92">
        <v>110</v>
      </c>
      <c r="BI11" s="92">
        <v>420</v>
      </c>
      <c r="BJ11" s="92">
        <v>565</v>
      </c>
      <c r="BK11" s="92">
        <v>845</v>
      </c>
      <c r="BL11" s="202">
        <v>1265</v>
      </c>
      <c r="BM11" s="202">
        <v>2110</v>
      </c>
      <c r="BN11" s="202">
        <v>3520</v>
      </c>
      <c r="BP11" s="101" t="str">
        <f t="shared" si="4"/>
        <v>3.010700</v>
      </c>
      <c r="BQ11" s="101">
        <v>700</v>
      </c>
      <c r="BR11" s="92">
        <v>110</v>
      </c>
      <c r="BS11" s="92">
        <v>570</v>
      </c>
      <c r="BT11" s="92">
        <v>755</v>
      </c>
      <c r="BU11" s="202">
        <v>1135</v>
      </c>
      <c r="BV11" s="202">
        <v>1705</v>
      </c>
      <c r="BW11" s="202">
        <v>2840</v>
      </c>
      <c r="BX11" s="202">
        <v>4730</v>
      </c>
    </row>
    <row r="12" spans="1:76">
      <c r="A12" s="98"/>
      <c r="B12" s="96"/>
      <c r="C12" s="95"/>
      <c r="D12" s="100"/>
      <c r="E12" s="100"/>
      <c r="F12" s="98"/>
      <c r="G12" s="95"/>
      <c r="H12" s="95"/>
      <c r="I12" s="95"/>
      <c r="J12" s="98"/>
      <c r="K12" s="98"/>
      <c r="L12" s="95"/>
      <c r="M12" s="98"/>
      <c r="N12" s="98"/>
      <c r="O12" s="98"/>
      <c r="P12" s="98"/>
      <c r="Q12" s="98"/>
      <c r="R12" s="95"/>
      <c r="S12" s="99" t="s">
        <v>187</v>
      </c>
      <c r="T12" s="204" t="s">
        <v>187</v>
      </c>
      <c r="U12" s="98"/>
      <c r="V12" s="98">
        <f t="shared" si="0"/>
        <v>290</v>
      </c>
      <c r="W12" s="98">
        <f t="shared" si="0"/>
        <v>260</v>
      </c>
      <c r="X12" s="98">
        <f t="shared" si="0"/>
        <v>230</v>
      </c>
      <c r="Y12" s="98">
        <f t="shared" si="0"/>
        <v>200</v>
      </c>
      <c r="Z12" s="98">
        <f t="shared" si="0"/>
        <v>170</v>
      </c>
      <c r="AA12" s="98">
        <f t="shared" si="0"/>
        <v>140</v>
      </c>
      <c r="AB12" s="98">
        <f t="shared" si="0"/>
        <v>125</v>
      </c>
      <c r="AC12" s="98">
        <f t="shared" si="0"/>
        <v>110</v>
      </c>
      <c r="AD12" s="98">
        <f t="shared" si="0"/>
        <v>95</v>
      </c>
      <c r="AE12" s="98">
        <f t="shared" si="0"/>
        <v>80</v>
      </c>
      <c r="AF12" s="98">
        <f t="shared" si="1"/>
        <v>65</v>
      </c>
      <c r="AG12" s="98">
        <f t="shared" si="1"/>
        <v>50</v>
      </c>
      <c r="AH12" s="98">
        <f t="shared" si="1"/>
        <v>35</v>
      </c>
      <c r="AI12" s="98">
        <f t="shared" si="1"/>
        <v>20</v>
      </c>
      <c r="AJ12" s="98">
        <f t="shared" si="1"/>
        <v>0</v>
      </c>
      <c r="AK12" s="98">
        <f t="shared" si="1"/>
        <v>0</v>
      </c>
      <c r="AL12" s="98">
        <f t="shared" si="1"/>
        <v>0</v>
      </c>
      <c r="AM12" s="98">
        <f t="shared" si="1"/>
        <v>0</v>
      </c>
      <c r="AN12" s="98">
        <f t="shared" si="1"/>
        <v>0</v>
      </c>
      <c r="AO12" s="98">
        <f t="shared" si="1"/>
        <v>0</v>
      </c>
      <c r="AP12" s="98">
        <f t="shared" si="1"/>
        <v>0</v>
      </c>
      <c r="AQ12" s="98">
        <f t="shared" si="1"/>
        <v>0</v>
      </c>
      <c r="AR12" s="98">
        <f t="shared" si="1"/>
        <v>0</v>
      </c>
      <c r="AS12" s="98">
        <f t="shared" si="1"/>
        <v>0</v>
      </c>
      <c r="AV12" s="101" t="str">
        <f t="shared" si="2"/>
        <v>1.010750</v>
      </c>
      <c r="AW12" s="101">
        <v>750</v>
      </c>
      <c r="AX12" s="92">
        <v>95</v>
      </c>
      <c r="AY12" s="92">
        <v>505</v>
      </c>
      <c r="AZ12" s="92">
        <v>675</v>
      </c>
      <c r="BA12" s="202">
        <v>1015</v>
      </c>
      <c r="BB12" s="202">
        <v>1520</v>
      </c>
      <c r="BC12" s="202">
        <v>2535</v>
      </c>
      <c r="BD12" s="202">
        <v>4230</v>
      </c>
      <c r="BF12" s="101" t="str">
        <f t="shared" si="3"/>
        <v>2.010750</v>
      </c>
      <c r="BG12" s="101">
        <v>750</v>
      </c>
      <c r="BH12" s="92">
        <v>95</v>
      </c>
      <c r="BI12" s="92">
        <v>415</v>
      </c>
      <c r="BJ12" s="92">
        <v>550</v>
      </c>
      <c r="BK12" s="92">
        <v>825</v>
      </c>
      <c r="BL12" s="202">
        <v>1240</v>
      </c>
      <c r="BM12" s="202">
        <v>2065</v>
      </c>
      <c r="BN12" s="202">
        <v>3440</v>
      </c>
      <c r="BP12" s="101" t="str">
        <f t="shared" si="4"/>
        <v>3.010750</v>
      </c>
      <c r="BQ12" s="101">
        <v>750</v>
      </c>
      <c r="BR12" s="92">
        <v>95</v>
      </c>
      <c r="BS12" s="92">
        <v>530</v>
      </c>
      <c r="BT12" s="92">
        <v>710</v>
      </c>
      <c r="BU12" s="202">
        <v>1065</v>
      </c>
      <c r="BV12" s="202">
        <v>1595</v>
      </c>
      <c r="BW12" s="202">
        <v>2660</v>
      </c>
      <c r="BX12" s="202">
        <v>4430</v>
      </c>
    </row>
    <row r="13" spans="1:76">
      <c r="A13" s="98"/>
      <c r="B13" s="96"/>
      <c r="C13" s="95"/>
      <c r="D13" s="100"/>
      <c r="E13" s="100"/>
      <c r="F13" s="98"/>
      <c r="G13" s="95"/>
      <c r="H13" s="95"/>
      <c r="I13" s="95"/>
      <c r="J13" s="98"/>
      <c r="K13" s="98"/>
      <c r="L13" s="95"/>
      <c r="M13" s="98"/>
      <c r="N13" s="98"/>
      <c r="O13" s="98"/>
      <c r="P13" s="98"/>
      <c r="Q13" s="98"/>
      <c r="R13" s="95"/>
      <c r="S13" s="99" t="s">
        <v>77</v>
      </c>
      <c r="T13" s="204" t="s">
        <v>77</v>
      </c>
      <c r="U13" s="98"/>
      <c r="V13" s="98">
        <f t="shared" si="0"/>
        <v>290</v>
      </c>
      <c r="W13" s="98">
        <f t="shared" si="0"/>
        <v>260</v>
      </c>
      <c r="X13" s="98">
        <f t="shared" si="0"/>
        <v>230</v>
      </c>
      <c r="Y13" s="98">
        <f t="shared" si="0"/>
        <v>200</v>
      </c>
      <c r="Z13" s="98">
        <f t="shared" si="0"/>
        <v>170</v>
      </c>
      <c r="AA13" s="98">
        <f t="shared" si="0"/>
        <v>140</v>
      </c>
      <c r="AB13" s="98">
        <f t="shared" si="0"/>
        <v>125</v>
      </c>
      <c r="AC13" s="98">
        <f t="shared" si="0"/>
        <v>110</v>
      </c>
      <c r="AD13" s="98">
        <f t="shared" si="0"/>
        <v>95</v>
      </c>
      <c r="AE13" s="98">
        <f t="shared" si="0"/>
        <v>80</v>
      </c>
      <c r="AF13" s="98">
        <f t="shared" si="1"/>
        <v>65</v>
      </c>
      <c r="AG13" s="98">
        <f t="shared" si="1"/>
        <v>50</v>
      </c>
      <c r="AH13" s="98">
        <f t="shared" si="1"/>
        <v>35</v>
      </c>
      <c r="AI13" s="98">
        <f t="shared" si="1"/>
        <v>20</v>
      </c>
      <c r="AJ13" s="98">
        <f t="shared" si="1"/>
        <v>0</v>
      </c>
      <c r="AK13" s="98">
        <f t="shared" si="1"/>
        <v>0</v>
      </c>
      <c r="AL13" s="98">
        <f t="shared" si="1"/>
        <v>0</v>
      </c>
      <c r="AM13" s="98">
        <f t="shared" si="1"/>
        <v>0</v>
      </c>
      <c r="AN13" s="98">
        <f t="shared" si="1"/>
        <v>0</v>
      </c>
      <c r="AO13" s="98">
        <f t="shared" si="1"/>
        <v>0</v>
      </c>
      <c r="AP13" s="98">
        <f t="shared" si="1"/>
        <v>0</v>
      </c>
      <c r="AQ13" s="98">
        <f t="shared" si="1"/>
        <v>0</v>
      </c>
      <c r="AR13" s="98">
        <f t="shared" si="1"/>
        <v>0</v>
      </c>
      <c r="AS13" s="98">
        <f t="shared" si="1"/>
        <v>0</v>
      </c>
      <c r="AV13" s="101" t="str">
        <f t="shared" si="2"/>
        <v>1.010800</v>
      </c>
      <c r="AW13" s="101">
        <v>800</v>
      </c>
      <c r="AX13" s="92">
        <v>80</v>
      </c>
      <c r="AY13" s="92">
        <v>410</v>
      </c>
      <c r="AZ13" s="92">
        <v>550</v>
      </c>
      <c r="BA13" s="92">
        <v>825</v>
      </c>
      <c r="BB13" s="202">
        <v>1235</v>
      </c>
      <c r="BC13" s="202">
        <v>2055</v>
      </c>
      <c r="BD13" s="202">
        <v>3430</v>
      </c>
      <c r="BF13" s="101" t="str">
        <f t="shared" si="3"/>
        <v>2.010800</v>
      </c>
      <c r="BG13" s="101">
        <v>800</v>
      </c>
      <c r="BH13" s="92">
        <v>80</v>
      </c>
      <c r="BI13" s="92">
        <v>405</v>
      </c>
      <c r="BJ13" s="92">
        <v>540</v>
      </c>
      <c r="BK13" s="92">
        <v>810</v>
      </c>
      <c r="BL13" s="202">
        <v>1215</v>
      </c>
      <c r="BM13" s="202">
        <v>2030</v>
      </c>
      <c r="BN13" s="202">
        <v>3380</v>
      </c>
      <c r="BP13" s="101" t="str">
        <f t="shared" si="4"/>
        <v>3.010800</v>
      </c>
      <c r="BQ13" s="101">
        <v>800</v>
      </c>
      <c r="BR13" s="92">
        <v>80</v>
      </c>
      <c r="BS13" s="92">
        <v>510</v>
      </c>
      <c r="BT13" s="92">
        <v>675</v>
      </c>
      <c r="BU13" s="202">
        <v>1015</v>
      </c>
      <c r="BV13" s="202">
        <v>1525</v>
      </c>
      <c r="BW13" s="202">
        <v>2540</v>
      </c>
      <c r="BX13" s="202">
        <v>4230</v>
      </c>
    </row>
    <row r="14" spans="1:76">
      <c r="A14" s="98"/>
      <c r="B14" s="96"/>
      <c r="C14" s="95"/>
      <c r="D14" s="100"/>
      <c r="E14" s="100"/>
      <c r="F14" s="98"/>
      <c r="G14" s="95"/>
      <c r="H14" s="95"/>
      <c r="I14" s="95"/>
      <c r="J14" s="98"/>
      <c r="K14" s="98"/>
      <c r="L14" s="95"/>
      <c r="M14" s="98"/>
      <c r="N14" s="98"/>
      <c r="O14" s="98"/>
      <c r="P14" s="98"/>
      <c r="Q14" s="98"/>
      <c r="R14" s="95"/>
      <c r="S14" s="99" t="s">
        <v>78</v>
      </c>
      <c r="T14" s="204" t="s">
        <v>78</v>
      </c>
      <c r="U14" s="98"/>
      <c r="V14" s="98">
        <f t="shared" si="0"/>
        <v>290</v>
      </c>
      <c r="W14" s="98">
        <f t="shared" si="0"/>
        <v>260</v>
      </c>
      <c r="X14" s="98">
        <f t="shared" si="0"/>
        <v>230</v>
      </c>
      <c r="Y14" s="98">
        <f t="shared" si="0"/>
        <v>200</v>
      </c>
      <c r="Z14" s="98">
        <f t="shared" si="0"/>
        <v>170</v>
      </c>
      <c r="AA14" s="98">
        <f t="shared" si="0"/>
        <v>140</v>
      </c>
      <c r="AB14" s="98">
        <f t="shared" si="0"/>
        <v>125</v>
      </c>
      <c r="AC14" s="98">
        <f t="shared" si="0"/>
        <v>110</v>
      </c>
      <c r="AD14" s="98">
        <f t="shared" si="0"/>
        <v>95</v>
      </c>
      <c r="AE14" s="98">
        <f t="shared" si="0"/>
        <v>80</v>
      </c>
      <c r="AF14" s="98">
        <f t="shared" si="1"/>
        <v>65</v>
      </c>
      <c r="AG14" s="98">
        <f t="shared" si="1"/>
        <v>50</v>
      </c>
      <c r="AH14" s="98">
        <f t="shared" si="1"/>
        <v>35</v>
      </c>
      <c r="AI14" s="98">
        <f t="shared" si="1"/>
        <v>20</v>
      </c>
      <c r="AJ14" s="98">
        <f t="shared" si="1"/>
        <v>0</v>
      </c>
      <c r="AK14" s="98">
        <f t="shared" si="1"/>
        <v>0</v>
      </c>
      <c r="AL14" s="98">
        <f t="shared" si="1"/>
        <v>0</v>
      </c>
      <c r="AM14" s="98">
        <f t="shared" si="1"/>
        <v>0</v>
      </c>
      <c r="AN14" s="98">
        <f t="shared" si="1"/>
        <v>0</v>
      </c>
      <c r="AO14" s="98">
        <f t="shared" si="1"/>
        <v>0</v>
      </c>
      <c r="AP14" s="98">
        <f t="shared" si="1"/>
        <v>0</v>
      </c>
      <c r="AQ14" s="98">
        <f t="shared" si="1"/>
        <v>0</v>
      </c>
      <c r="AR14" s="98">
        <f t="shared" si="1"/>
        <v>0</v>
      </c>
      <c r="AS14" s="98">
        <f t="shared" si="1"/>
        <v>0</v>
      </c>
      <c r="AV14" s="101" t="str">
        <f t="shared" si="2"/>
        <v>1.010850</v>
      </c>
      <c r="AW14" s="101">
        <v>850</v>
      </c>
      <c r="AX14" s="92">
        <v>65</v>
      </c>
      <c r="AY14" s="92">
        <v>320</v>
      </c>
      <c r="AZ14" s="92">
        <v>425</v>
      </c>
      <c r="BA14" s="92">
        <v>640</v>
      </c>
      <c r="BB14" s="92">
        <v>955</v>
      </c>
      <c r="BC14" s="202">
        <v>1595</v>
      </c>
      <c r="BD14" s="202">
        <v>2655</v>
      </c>
      <c r="BF14" s="101" t="str">
        <f t="shared" si="3"/>
        <v>2.010850</v>
      </c>
      <c r="BG14" s="101">
        <v>850</v>
      </c>
      <c r="BH14" s="92">
        <v>65</v>
      </c>
      <c r="BI14" s="92">
        <v>395</v>
      </c>
      <c r="BJ14" s="92">
        <v>530</v>
      </c>
      <c r="BK14" s="92">
        <v>790</v>
      </c>
      <c r="BL14" s="202">
        <v>1190</v>
      </c>
      <c r="BM14" s="202">
        <v>1980</v>
      </c>
      <c r="BN14" s="202">
        <v>3300</v>
      </c>
      <c r="BP14" s="101" t="str">
        <f t="shared" si="4"/>
        <v>3.010850</v>
      </c>
      <c r="BQ14" s="101">
        <v>850</v>
      </c>
    </row>
    <row r="15" spans="1:76">
      <c r="A15" s="98"/>
      <c r="B15" s="96"/>
      <c r="C15" s="95"/>
      <c r="D15" s="100"/>
      <c r="E15" s="100"/>
      <c r="F15" s="98"/>
      <c r="G15" s="95"/>
      <c r="H15" s="95"/>
      <c r="I15" s="95"/>
      <c r="J15" s="98"/>
      <c r="K15" s="98"/>
      <c r="L15" s="95"/>
      <c r="M15" s="98"/>
      <c r="N15" s="98"/>
      <c r="O15" s="98"/>
      <c r="P15" s="98"/>
      <c r="Q15" s="98"/>
      <c r="R15" s="95"/>
      <c r="S15" s="99" t="s">
        <v>191</v>
      </c>
      <c r="T15" s="204" t="s">
        <v>191</v>
      </c>
      <c r="U15" s="98"/>
      <c r="V15" s="98">
        <f t="shared" si="0"/>
        <v>290</v>
      </c>
      <c r="W15" s="98">
        <f t="shared" si="0"/>
        <v>260</v>
      </c>
      <c r="X15" s="98">
        <f t="shared" si="0"/>
        <v>230</v>
      </c>
      <c r="Y15" s="98">
        <f t="shared" si="0"/>
        <v>200</v>
      </c>
      <c r="Z15" s="98">
        <f t="shared" si="0"/>
        <v>170</v>
      </c>
      <c r="AA15" s="98">
        <f t="shared" si="0"/>
        <v>140</v>
      </c>
      <c r="AB15" s="98">
        <f t="shared" si="0"/>
        <v>125</v>
      </c>
      <c r="AC15" s="98">
        <f t="shared" si="0"/>
        <v>110</v>
      </c>
      <c r="AD15" s="98">
        <f t="shared" si="0"/>
        <v>95</v>
      </c>
      <c r="AE15" s="98">
        <f t="shared" si="0"/>
        <v>80</v>
      </c>
      <c r="AF15" s="98">
        <f t="shared" si="1"/>
        <v>65</v>
      </c>
      <c r="AG15" s="98">
        <f t="shared" si="1"/>
        <v>50</v>
      </c>
      <c r="AH15" s="98">
        <f t="shared" si="1"/>
        <v>35</v>
      </c>
      <c r="AI15" s="98">
        <f t="shared" si="1"/>
        <v>20</v>
      </c>
      <c r="AJ15" s="98">
        <f t="shared" si="1"/>
        <v>0</v>
      </c>
      <c r="AK15" s="98">
        <f t="shared" si="1"/>
        <v>0</v>
      </c>
      <c r="AL15" s="98">
        <f t="shared" si="1"/>
        <v>0</v>
      </c>
      <c r="AM15" s="98">
        <f t="shared" si="1"/>
        <v>0</v>
      </c>
      <c r="AN15" s="98">
        <f t="shared" si="1"/>
        <v>0</v>
      </c>
      <c r="AO15" s="98">
        <f t="shared" si="1"/>
        <v>0</v>
      </c>
      <c r="AP15" s="98">
        <f t="shared" si="1"/>
        <v>0</v>
      </c>
      <c r="AQ15" s="98">
        <f t="shared" si="1"/>
        <v>0</v>
      </c>
      <c r="AR15" s="98">
        <f t="shared" si="1"/>
        <v>0</v>
      </c>
      <c r="AS15" s="98">
        <f t="shared" si="1"/>
        <v>0</v>
      </c>
      <c r="AV15" s="101" t="str">
        <f t="shared" si="2"/>
        <v>1.010900</v>
      </c>
      <c r="AW15" s="101">
        <v>900</v>
      </c>
      <c r="AX15" s="92">
        <v>50</v>
      </c>
      <c r="AY15" s="92">
        <v>230</v>
      </c>
      <c r="AZ15" s="92">
        <v>305</v>
      </c>
      <c r="BA15" s="92">
        <v>460</v>
      </c>
      <c r="BB15" s="92">
        <v>690</v>
      </c>
      <c r="BC15" s="202">
        <v>1150</v>
      </c>
      <c r="BD15" s="202">
        <v>1915</v>
      </c>
      <c r="BF15" s="101" t="str">
        <f t="shared" si="3"/>
        <v>2.010900</v>
      </c>
      <c r="BG15" s="101">
        <v>900</v>
      </c>
      <c r="BH15" s="92">
        <v>50</v>
      </c>
      <c r="BI15" s="92">
        <v>390</v>
      </c>
      <c r="BJ15" s="92">
        <v>520</v>
      </c>
      <c r="BK15" s="92">
        <v>780</v>
      </c>
      <c r="BL15" s="202">
        <v>1165</v>
      </c>
      <c r="BM15" s="202">
        <v>1945</v>
      </c>
      <c r="BN15" s="202">
        <v>3240</v>
      </c>
      <c r="BP15" s="101" t="str">
        <f t="shared" si="4"/>
        <v>3.010900</v>
      </c>
      <c r="BQ15" s="101">
        <v>900</v>
      </c>
    </row>
    <row r="16" spans="1:76">
      <c r="A16" s="98"/>
      <c r="B16" s="96"/>
      <c r="C16" s="95"/>
      <c r="D16" s="100"/>
      <c r="E16" s="100"/>
      <c r="F16" s="98"/>
      <c r="G16" s="95"/>
      <c r="H16" s="95"/>
      <c r="I16" s="95"/>
      <c r="J16" s="98"/>
      <c r="K16" s="98"/>
      <c r="L16" s="95"/>
      <c r="M16" s="98"/>
      <c r="N16" s="98"/>
      <c r="O16" s="98"/>
      <c r="P16" s="98"/>
      <c r="Q16" s="98"/>
      <c r="R16" s="95"/>
      <c r="S16" s="99" t="s">
        <v>188</v>
      </c>
      <c r="T16" s="204" t="s">
        <v>188</v>
      </c>
      <c r="U16" s="98"/>
      <c r="V16" s="98">
        <f t="shared" si="0"/>
        <v>290</v>
      </c>
      <c r="W16" s="98">
        <f t="shared" si="0"/>
        <v>260</v>
      </c>
      <c r="X16" s="98">
        <f t="shared" si="0"/>
        <v>230</v>
      </c>
      <c r="Y16" s="98">
        <f t="shared" si="0"/>
        <v>200</v>
      </c>
      <c r="Z16" s="98">
        <f t="shared" si="0"/>
        <v>170</v>
      </c>
      <c r="AA16" s="98">
        <f t="shared" si="0"/>
        <v>140</v>
      </c>
      <c r="AB16" s="98">
        <f t="shared" si="0"/>
        <v>125</v>
      </c>
      <c r="AC16" s="98">
        <f t="shared" si="0"/>
        <v>110</v>
      </c>
      <c r="AD16" s="98">
        <f t="shared" si="0"/>
        <v>95</v>
      </c>
      <c r="AE16" s="98">
        <f t="shared" si="0"/>
        <v>80</v>
      </c>
      <c r="AF16" s="98">
        <f t="shared" si="1"/>
        <v>65</v>
      </c>
      <c r="AG16" s="98">
        <f t="shared" si="1"/>
        <v>50</v>
      </c>
      <c r="AH16" s="98">
        <f t="shared" si="1"/>
        <v>35</v>
      </c>
      <c r="AI16" s="98">
        <f t="shared" si="1"/>
        <v>20</v>
      </c>
      <c r="AJ16" s="98">
        <f t="shared" si="1"/>
        <v>0</v>
      </c>
      <c r="AK16" s="98">
        <f t="shared" si="1"/>
        <v>0</v>
      </c>
      <c r="AL16" s="98">
        <f t="shared" si="1"/>
        <v>0</v>
      </c>
      <c r="AM16" s="98">
        <f t="shared" si="1"/>
        <v>0</v>
      </c>
      <c r="AN16" s="98">
        <f t="shared" si="1"/>
        <v>0</v>
      </c>
      <c r="AO16" s="98">
        <f t="shared" si="1"/>
        <v>0</v>
      </c>
      <c r="AP16" s="98">
        <f t="shared" si="1"/>
        <v>0</v>
      </c>
      <c r="AQ16" s="98">
        <f t="shared" si="1"/>
        <v>0</v>
      </c>
      <c r="AR16" s="98">
        <f t="shared" si="1"/>
        <v>0</v>
      </c>
      <c r="AS16" s="98">
        <f t="shared" si="1"/>
        <v>0</v>
      </c>
      <c r="AV16" s="101" t="str">
        <f t="shared" si="2"/>
        <v>1.010950</v>
      </c>
      <c r="AW16" s="101">
        <v>950</v>
      </c>
      <c r="AX16" s="92">
        <v>35</v>
      </c>
      <c r="AY16" s="92">
        <v>135</v>
      </c>
      <c r="AZ16" s="92">
        <v>185</v>
      </c>
      <c r="BA16" s="92">
        <v>275</v>
      </c>
      <c r="BB16" s="92">
        <v>410</v>
      </c>
      <c r="BC16" s="92">
        <v>685</v>
      </c>
      <c r="BD16" s="202">
        <v>1145</v>
      </c>
      <c r="BF16" s="101" t="str">
        <f t="shared" si="3"/>
        <v>2.010950</v>
      </c>
      <c r="BG16" s="101">
        <v>950</v>
      </c>
      <c r="BH16" s="92">
        <v>35</v>
      </c>
      <c r="BI16" s="92">
        <v>380</v>
      </c>
      <c r="BJ16" s="92">
        <v>510</v>
      </c>
      <c r="BK16" s="92">
        <v>765</v>
      </c>
      <c r="BL16" s="202">
        <v>1145</v>
      </c>
      <c r="BM16" s="202">
        <v>1910</v>
      </c>
      <c r="BN16" s="202">
        <v>3180</v>
      </c>
      <c r="BP16" s="101" t="str">
        <f t="shared" si="4"/>
        <v>3.010950</v>
      </c>
      <c r="BQ16" s="101">
        <v>950</v>
      </c>
    </row>
    <row r="17" spans="1:76">
      <c r="A17" s="98"/>
      <c r="B17" s="96"/>
      <c r="C17" s="95"/>
      <c r="D17" s="100"/>
      <c r="E17" s="100"/>
      <c r="F17" s="98"/>
      <c r="G17" s="95"/>
      <c r="H17" s="95"/>
      <c r="I17" s="95"/>
      <c r="J17" s="98"/>
      <c r="K17" s="98"/>
      <c r="L17" s="95"/>
      <c r="M17" s="98"/>
      <c r="N17" s="98"/>
      <c r="O17" s="98"/>
      <c r="P17" s="98"/>
      <c r="Q17" s="98"/>
      <c r="R17" s="95"/>
      <c r="S17" s="99" t="s">
        <v>189</v>
      </c>
      <c r="T17" s="204" t="s">
        <v>189</v>
      </c>
      <c r="U17" s="98"/>
      <c r="V17" s="98">
        <f t="shared" si="0"/>
        <v>290</v>
      </c>
      <c r="W17" s="98">
        <f t="shared" si="0"/>
        <v>260</v>
      </c>
      <c r="X17" s="98">
        <f t="shared" si="0"/>
        <v>230</v>
      </c>
      <c r="Y17" s="98">
        <f t="shared" si="0"/>
        <v>200</v>
      </c>
      <c r="Z17" s="98">
        <f t="shared" si="0"/>
        <v>170</v>
      </c>
      <c r="AA17" s="98">
        <f t="shared" si="0"/>
        <v>140</v>
      </c>
      <c r="AB17" s="98">
        <f t="shared" si="0"/>
        <v>125</v>
      </c>
      <c r="AC17" s="98">
        <f t="shared" si="0"/>
        <v>110</v>
      </c>
      <c r="AD17" s="98">
        <f t="shared" si="0"/>
        <v>95</v>
      </c>
      <c r="AE17" s="98">
        <f t="shared" si="0"/>
        <v>80</v>
      </c>
      <c r="AF17" s="98">
        <f t="shared" si="1"/>
        <v>65</v>
      </c>
      <c r="AG17" s="98">
        <f t="shared" si="1"/>
        <v>50</v>
      </c>
      <c r="AH17" s="98">
        <f t="shared" si="1"/>
        <v>35</v>
      </c>
      <c r="AI17" s="98">
        <f t="shared" si="1"/>
        <v>20</v>
      </c>
      <c r="AJ17" s="98">
        <f t="shared" si="1"/>
        <v>20</v>
      </c>
      <c r="AK17" s="98">
        <f t="shared" si="1"/>
        <v>20</v>
      </c>
      <c r="AL17" s="98">
        <f t="shared" si="1"/>
        <v>20</v>
      </c>
      <c r="AM17" s="98">
        <f t="shared" si="1"/>
        <v>20</v>
      </c>
      <c r="AN17" s="98">
        <f t="shared" si="1"/>
        <v>0</v>
      </c>
      <c r="AO17" s="98">
        <f t="shared" si="1"/>
        <v>0</v>
      </c>
      <c r="AP17" s="98">
        <f t="shared" si="1"/>
        <v>0</v>
      </c>
      <c r="AQ17" s="98">
        <f t="shared" si="1"/>
        <v>0</v>
      </c>
      <c r="AR17" s="98">
        <f t="shared" si="1"/>
        <v>0</v>
      </c>
      <c r="AS17" s="98">
        <f t="shared" si="1"/>
        <v>0</v>
      </c>
      <c r="AV17" s="101" t="str">
        <f t="shared" si="2"/>
        <v>1.011000</v>
      </c>
      <c r="AW17" s="101">
        <v>1000</v>
      </c>
      <c r="AX17" s="92">
        <v>20</v>
      </c>
      <c r="AY17" s="92">
        <v>85</v>
      </c>
      <c r="AZ17" s="92">
        <v>115</v>
      </c>
      <c r="BA17" s="92">
        <v>170</v>
      </c>
      <c r="BB17" s="92">
        <v>255</v>
      </c>
      <c r="BC17" s="92">
        <v>430</v>
      </c>
      <c r="BD17" s="92">
        <v>715</v>
      </c>
      <c r="BF17" s="101" t="str">
        <f t="shared" si="3"/>
        <v>2.011000</v>
      </c>
      <c r="BG17" s="101">
        <v>1000</v>
      </c>
      <c r="BH17" s="92">
        <v>20</v>
      </c>
      <c r="BI17" s="92">
        <v>355</v>
      </c>
      <c r="BJ17" s="92">
        <v>470</v>
      </c>
      <c r="BK17" s="92">
        <v>710</v>
      </c>
      <c r="BL17" s="202">
        <v>1065</v>
      </c>
      <c r="BM17" s="202">
        <v>1770</v>
      </c>
      <c r="BN17" s="202">
        <v>2950</v>
      </c>
      <c r="BP17" s="101" t="str">
        <f t="shared" si="4"/>
        <v>3.011000</v>
      </c>
      <c r="BQ17" s="101">
        <v>1000</v>
      </c>
    </row>
    <row r="18" spans="1:76">
      <c r="A18" s="98"/>
      <c r="B18" s="96"/>
      <c r="C18" s="95"/>
      <c r="D18" s="100"/>
      <c r="E18" s="100"/>
      <c r="F18" s="98"/>
      <c r="G18" s="95"/>
      <c r="H18" s="95"/>
      <c r="I18" s="95"/>
      <c r="J18" s="98"/>
      <c r="K18" s="98"/>
      <c r="L18" s="95"/>
      <c r="M18" s="98"/>
      <c r="N18" s="98"/>
      <c r="O18" s="98"/>
      <c r="P18" s="98"/>
      <c r="Q18" s="98"/>
      <c r="R18" s="95"/>
      <c r="S18" s="99" t="s">
        <v>79</v>
      </c>
      <c r="T18" s="204" t="s">
        <v>204</v>
      </c>
      <c r="U18" s="98"/>
      <c r="V18" s="98">
        <f t="shared" ref="V18:AE29" si="5">VLOOKUP($T18&amp;TEXT(V$1,"0000"),$BF$4:$BN$339,3)</f>
        <v>275</v>
      </c>
      <c r="W18" s="98">
        <f t="shared" si="5"/>
        <v>230</v>
      </c>
      <c r="X18" s="98">
        <f t="shared" si="5"/>
        <v>205</v>
      </c>
      <c r="Y18" s="98">
        <f t="shared" si="5"/>
        <v>190</v>
      </c>
      <c r="Z18" s="98">
        <f t="shared" si="5"/>
        <v>170</v>
      </c>
      <c r="AA18" s="98">
        <f t="shared" si="5"/>
        <v>140</v>
      </c>
      <c r="AB18" s="98">
        <f t="shared" si="5"/>
        <v>125</v>
      </c>
      <c r="AC18" s="98">
        <f t="shared" si="5"/>
        <v>110</v>
      </c>
      <c r="AD18" s="98">
        <f t="shared" si="5"/>
        <v>95</v>
      </c>
      <c r="AE18" s="98">
        <f t="shared" si="5"/>
        <v>80</v>
      </c>
      <c r="AF18" s="98">
        <f t="shared" ref="AF18:AS29" si="6">VLOOKUP($T18&amp;TEXT(AF$1,"0000"),$BF$4:$BN$339,3)</f>
        <v>65</v>
      </c>
      <c r="AG18" s="98">
        <f t="shared" si="6"/>
        <v>50</v>
      </c>
      <c r="AH18" s="98">
        <f t="shared" si="6"/>
        <v>35</v>
      </c>
      <c r="AI18" s="98">
        <f t="shared" si="6"/>
        <v>20</v>
      </c>
      <c r="AJ18" s="98">
        <f t="shared" si="6"/>
        <v>0</v>
      </c>
      <c r="AK18" s="98">
        <f t="shared" si="6"/>
        <v>0</v>
      </c>
      <c r="AL18" s="98">
        <f t="shared" si="6"/>
        <v>0</v>
      </c>
      <c r="AM18" s="98">
        <f t="shared" si="6"/>
        <v>0</v>
      </c>
      <c r="AN18" s="98">
        <f t="shared" si="6"/>
        <v>0</v>
      </c>
      <c r="AO18" s="98">
        <f t="shared" si="6"/>
        <v>0</v>
      </c>
      <c r="AP18" s="98">
        <f t="shared" si="6"/>
        <v>0</v>
      </c>
      <c r="AQ18" s="98">
        <f t="shared" si="6"/>
        <v>0</v>
      </c>
      <c r="AR18" s="98">
        <f t="shared" si="6"/>
        <v>0</v>
      </c>
      <c r="AS18" s="98">
        <f t="shared" si="6"/>
        <v>0</v>
      </c>
      <c r="AV18" s="101" t="str">
        <f t="shared" si="2"/>
        <v>1.011050</v>
      </c>
      <c r="AW18" s="101">
        <v>1050</v>
      </c>
      <c r="BF18" s="101" t="str">
        <f t="shared" si="3"/>
        <v>2.011050</v>
      </c>
      <c r="BG18" s="101">
        <v>1050</v>
      </c>
      <c r="BI18" s="92">
        <v>325</v>
      </c>
      <c r="BJ18" s="92">
        <v>435</v>
      </c>
      <c r="BK18" s="92">
        <v>650</v>
      </c>
      <c r="BL18" s="92">
        <v>975</v>
      </c>
      <c r="BM18" s="202">
        <v>1630</v>
      </c>
      <c r="BN18" s="202">
        <v>2715</v>
      </c>
      <c r="BP18" s="101" t="str">
        <f t="shared" si="4"/>
        <v>3.011050</v>
      </c>
      <c r="BQ18" s="101">
        <v>1050</v>
      </c>
    </row>
    <row r="19" spans="1:76">
      <c r="A19" s="98"/>
      <c r="B19" s="96"/>
      <c r="C19" s="95"/>
      <c r="D19" s="100"/>
      <c r="E19" s="100"/>
      <c r="F19" s="98"/>
      <c r="G19" s="95"/>
      <c r="H19" s="95"/>
      <c r="I19" s="95"/>
      <c r="J19" s="98"/>
      <c r="K19" s="98"/>
      <c r="L19" s="95"/>
      <c r="M19" s="98"/>
      <c r="N19" s="98"/>
      <c r="O19" s="98"/>
      <c r="P19" s="98"/>
      <c r="Q19" s="98"/>
      <c r="R19" s="95"/>
      <c r="S19" s="99" t="s">
        <v>80</v>
      </c>
      <c r="T19" s="204" t="s">
        <v>205</v>
      </c>
      <c r="U19" s="98"/>
      <c r="V19" s="98">
        <f t="shared" si="5"/>
        <v>275</v>
      </c>
      <c r="W19" s="98">
        <f t="shared" si="5"/>
        <v>235</v>
      </c>
      <c r="X19" s="98">
        <f t="shared" si="5"/>
        <v>215</v>
      </c>
      <c r="Y19" s="98">
        <f t="shared" si="5"/>
        <v>195</v>
      </c>
      <c r="Z19" s="98">
        <f t="shared" si="5"/>
        <v>170</v>
      </c>
      <c r="AA19" s="98">
        <f t="shared" si="5"/>
        <v>140</v>
      </c>
      <c r="AB19" s="98">
        <f t="shared" si="5"/>
        <v>125</v>
      </c>
      <c r="AC19" s="98">
        <f t="shared" si="5"/>
        <v>110</v>
      </c>
      <c r="AD19" s="98">
        <f t="shared" si="5"/>
        <v>95</v>
      </c>
      <c r="AE19" s="98">
        <f t="shared" si="5"/>
        <v>80</v>
      </c>
      <c r="AF19" s="98">
        <f t="shared" si="6"/>
        <v>65</v>
      </c>
      <c r="AG19" s="98">
        <f t="shared" si="6"/>
        <v>50</v>
      </c>
      <c r="AH19" s="98">
        <f t="shared" si="6"/>
        <v>35</v>
      </c>
      <c r="AI19" s="98">
        <f t="shared" si="6"/>
        <v>20</v>
      </c>
      <c r="AJ19" s="98">
        <f t="shared" si="6"/>
        <v>0</v>
      </c>
      <c r="AK19" s="98">
        <f t="shared" si="6"/>
        <v>0</v>
      </c>
      <c r="AL19" s="98">
        <f t="shared" si="6"/>
        <v>0</v>
      </c>
      <c r="AM19" s="98">
        <f t="shared" si="6"/>
        <v>0</v>
      </c>
      <c r="AN19" s="98">
        <f t="shared" si="6"/>
        <v>0</v>
      </c>
      <c r="AO19" s="98">
        <f t="shared" si="6"/>
        <v>0</v>
      </c>
      <c r="AP19" s="98">
        <f t="shared" si="6"/>
        <v>0</v>
      </c>
      <c r="AQ19" s="98">
        <f t="shared" si="6"/>
        <v>0</v>
      </c>
      <c r="AR19" s="98">
        <f t="shared" si="6"/>
        <v>0</v>
      </c>
      <c r="AS19" s="98">
        <f t="shared" si="6"/>
        <v>0</v>
      </c>
      <c r="AV19" s="101" t="str">
        <f t="shared" si="2"/>
        <v>1.011100</v>
      </c>
      <c r="AW19" s="101">
        <v>1100</v>
      </c>
      <c r="BF19" s="101" t="str">
        <f t="shared" si="3"/>
        <v>2.011100</v>
      </c>
      <c r="BG19" s="101">
        <v>1100</v>
      </c>
      <c r="BI19" s="92">
        <v>255</v>
      </c>
      <c r="BJ19" s="92">
        <v>345</v>
      </c>
      <c r="BK19" s="92">
        <v>515</v>
      </c>
      <c r="BL19" s="92">
        <v>770</v>
      </c>
      <c r="BM19" s="202">
        <v>1285</v>
      </c>
      <c r="BN19" s="202">
        <v>2145</v>
      </c>
      <c r="BP19" s="101" t="str">
        <f t="shared" si="4"/>
        <v>3.011100</v>
      </c>
      <c r="BQ19" s="101">
        <v>1100</v>
      </c>
    </row>
    <row r="20" spans="1:76">
      <c r="A20" s="98"/>
      <c r="B20" s="96"/>
      <c r="C20" s="95"/>
      <c r="D20" s="100"/>
      <c r="E20" s="100"/>
      <c r="F20" s="98"/>
      <c r="G20" s="95"/>
      <c r="H20" s="95"/>
      <c r="I20" s="95"/>
      <c r="J20" s="98"/>
      <c r="K20" s="98"/>
      <c r="L20" s="95"/>
      <c r="M20" s="98"/>
      <c r="N20" s="98"/>
      <c r="O20" s="98"/>
      <c r="P20" s="98"/>
      <c r="Q20" s="98"/>
      <c r="R20" s="95"/>
      <c r="S20" s="99" t="s">
        <v>81</v>
      </c>
      <c r="T20" s="204" t="s">
        <v>206</v>
      </c>
      <c r="U20" s="98"/>
      <c r="V20" s="98">
        <f t="shared" si="5"/>
        <v>230</v>
      </c>
      <c r="W20" s="98">
        <f t="shared" si="5"/>
        <v>195</v>
      </c>
      <c r="X20" s="98">
        <f t="shared" si="5"/>
        <v>175</v>
      </c>
      <c r="Y20" s="98">
        <f t="shared" si="5"/>
        <v>160</v>
      </c>
      <c r="Z20" s="98">
        <f t="shared" si="5"/>
        <v>150</v>
      </c>
      <c r="AA20" s="98">
        <f t="shared" si="5"/>
        <v>140</v>
      </c>
      <c r="AB20" s="98">
        <f t="shared" si="5"/>
        <v>125</v>
      </c>
      <c r="AC20" s="98">
        <f t="shared" si="5"/>
        <v>110</v>
      </c>
      <c r="AD20" s="98">
        <f t="shared" si="5"/>
        <v>95</v>
      </c>
      <c r="AE20" s="98">
        <f t="shared" si="5"/>
        <v>80</v>
      </c>
      <c r="AF20" s="98">
        <f t="shared" si="6"/>
        <v>65</v>
      </c>
      <c r="AG20" s="98">
        <f t="shared" si="6"/>
        <v>0</v>
      </c>
      <c r="AH20" s="98">
        <f t="shared" si="6"/>
        <v>0</v>
      </c>
      <c r="AI20" s="98">
        <f t="shared" si="6"/>
        <v>0</v>
      </c>
      <c r="AJ20" s="98">
        <f t="shared" si="6"/>
        <v>0</v>
      </c>
      <c r="AK20" s="98">
        <f t="shared" si="6"/>
        <v>0</v>
      </c>
      <c r="AL20" s="98">
        <f t="shared" si="6"/>
        <v>0</v>
      </c>
      <c r="AM20" s="98">
        <f t="shared" si="6"/>
        <v>0</v>
      </c>
      <c r="AN20" s="98">
        <f t="shared" si="6"/>
        <v>0</v>
      </c>
      <c r="AO20" s="98">
        <f t="shared" si="6"/>
        <v>0</v>
      </c>
      <c r="AP20" s="98">
        <f t="shared" si="6"/>
        <v>0</v>
      </c>
      <c r="AQ20" s="98">
        <f t="shared" si="6"/>
        <v>0</v>
      </c>
      <c r="AR20" s="98">
        <f t="shared" si="6"/>
        <v>0</v>
      </c>
      <c r="AS20" s="98">
        <f t="shared" si="6"/>
        <v>0</v>
      </c>
      <c r="AV20" s="101" t="str">
        <f t="shared" si="2"/>
        <v>1.011150</v>
      </c>
      <c r="AW20" s="101">
        <v>1150</v>
      </c>
      <c r="BF20" s="101" t="str">
        <f t="shared" si="3"/>
        <v>2.011150</v>
      </c>
      <c r="BG20" s="101">
        <v>1150</v>
      </c>
      <c r="BI20" s="92">
        <v>205</v>
      </c>
      <c r="BJ20" s="92">
        <v>275</v>
      </c>
      <c r="BK20" s="92">
        <v>410</v>
      </c>
      <c r="BL20" s="92">
        <v>615</v>
      </c>
      <c r="BM20" s="202">
        <v>1030</v>
      </c>
      <c r="BN20" s="202">
        <v>1715</v>
      </c>
      <c r="BP20" s="101" t="str">
        <f t="shared" si="4"/>
        <v>3.011150</v>
      </c>
      <c r="BQ20" s="101">
        <v>1150</v>
      </c>
    </row>
    <row r="21" spans="1:76">
      <c r="A21" s="98"/>
      <c r="B21" s="96"/>
      <c r="C21" s="95"/>
      <c r="D21" s="100"/>
      <c r="E21" s="100"/>
      <c r="F21" s="98"/>
      <c r="G21" s="95"/>
      <c r="H21" s="95"/>
      <c r="I21" s="95"/>
      <c r="J21" s="98"/>
      <c r="K21" s="98"/>
      <c r="L21" s="95"/>
      <c r="M21" s="98"/>
      <c r="N21" s="98"/>
      <c r="O21" s="98"/>
      <c r="P21" s="98"/>
      <c r="Q21" s="98"/>
      <c r="R21" s="95"/>
      <c r="S21" s="99" t="s">
        <v>82</v>
      </c>
      <c r="T21" s="204" t="s">
        <v>207</v>
      </c>
      <c r="U21" s="98"/>
      <c r="V21" s="98">
        <f t="shared" si="5"/>
        <v>275</v>
      </c>
      <c r="W21" s="98">
        <f t="shared" si="5"/>
        <v>250</v>
      </c>
      <c r="X21" s="98">
        <f t="shared" si="5"/>
        <v>230</v>
      </c>
      <c r="Y21" s="98">
        <f t="shared" si="5"/>
        <v>200</v>
      </c>
      <c r="Z21" s="98">
        <f t="shared" si="5"/>
        <v>170</v>
      </c>
      <c r="AA21" s="98">
        <f t="shared" si="5"/>
        <v>140</v>
      </c>
      <c r="AB21" s="98">
        <f t="shared" si="5"/>
        <v>125</v>
      </c>
      <c r="AC21" s="98">
        <f t="shared" si="5"/>
        <v>110</v>
      </c>
      <c r="AD21" s="98">
        <f t="shared" si="5"/>
        <v>95</v>
      </c>
      <c r="AE21" s="98">
        <f t="shared" si="5"/>
        <v>80</v>
      </c>
      <c r="AF21" s="98">
        <f t="shared" si="6"/>
        <v>65</v>
      </c>
      <c r="AG21" s="98">
        <f t="shared" si="6"/>
        <v>50</v>
      </c>
      <c r="AH21" s="98">
        <f t="shared" si="6"/>
        <v>35</v>
      </c>
      <c r="AI21" s="98">
        <f t="shared" si="6"/>
        <v>20</v>
      </c>
      <c r="AJ21" s="98">
        <f t="shared" si="6"/>
        <v>0</v>
      </c>
      <c r="AK21" s="98">
        <f t="shared" si="6"/>
        <v>0</v>
      </c>
      <c r="AL21" s="98">
        <f t="shared" si="6"/>
        <v>0</v>
      </c>
      <c r="AM21" s="98">
        <f t="shared" si="6"/>
        <v>0</v>
      </c>
      <c r="AN21" s="98">
        <f t="shared" si="6"/>
        <v>0</v>
      </c>
      <c r="AO21" s="98">
        <f t="shared" si="6"/>
        <v>0</v>
      </c>
      <c r="AP21" s="98">
        <f t="shared" si="6"/>
        <v>0</v>
      </c>
      <c r="AQ21" s="98">
        <f t="shared" si="6"/>
        <v>0</v>
      </c>
      <c r="AR21" s="98">
        <f t="shared" si="6"/>
        <v>0</v>
      </c>
      <c r="AS21" s="98">
        <f t="shared" si="6"/>
        <v>0</v>
      </c>
      <c r="AV21" s="101" t="str">
        <f t="shared" si="2"/>
        <v>1.011200</v>
      </c>
      <c r="AW21" s="101">
        <v>1200</v>
      </c>
      <c r="BF21" s="101" t="str">
        <f t="shared" si="3"/>
        <v>2.011200</v>
      </c>
      <c r="BG21" s="101">
        <v>1200</v>
      </c>
      <c r="BI21" s="92">
        <v>165</v>
      </c>
      <c r="BJ21" s="92">
        <v>220</v>
      </c>
      <c r="BK21" s="92">
        <v>330</v>
      </c>
      <c r="BL21" s="92">
        <v>495</v>
      </c>
      <c r="BM21" s="92">
        <v>825</v>
      </c>
      <c r="BN21" s="202">
        <v>1370</v>
      </c>
      <c r="BP21" s="101" t="str">
        <f t="shared" si="4"/>
        <v>3.011200</v>
      </c>
      <c r="BQ21" s="101">
        <v>1200</v>
      </c>
    </row>
    <row r="22" spans="1:76">
      <c r="A22" s="98"/>
      <c r="B22" s="96"/>
      <c r="C22" s="95"/>
      <c r="D22" s="100"/>
      <c r="E22" s="100"/>
      <c r="F22" s="98"/>
      <c r="G22" s="95"/>
      <c r="H22" s="95"/>
      <c r="I22" s="95"/>
      <c r="J22" s="98"/>
      <c r="K22" s="98"/>
      <c r="L22" s="95"/>
      <c r="M22" s="98"/>
      <c r="N22" s="98"/>
      <c r="O22" s="98"/>
      <c r="P22" s="98"/>
      <c r="Q22" s="98"/>
      <c r="R22" s="95"/>
      <c r="S22" s="99" t="s">
        <v>83</v>
      </c>
      <c r="T22" s="204" t="s">
        <v>208</v>
      </c>
      <c r="U22" s="98"/>
      <c r="V22" s="98">
        <f t="shared" si="5"/>
        <v>275</v>
      </c>
      <c r="W22" s="98">
        <f t="shared" si="5"/>
        <v>255</v>
      </c>
      <c r="X22" s="98">
        <f t="shared" si="5"/>
        <v>230</v>
      </c>
      <c r="Y22" s="98">
        <f t="shared" si="5"/>
        <v>200</v>
      </c>
      <c r="Z22" s="98">
        <f t="shared" si="5"/>
        <v>170</v>
      </c>
      <c r="AA22" s="98">
        <f t="shared" si="5"/>
        <v>140</v>
      </c>
      <c r="AB22" s="98">
        <f t="shared" si="5"/>
        <v>125</v>
      </c>
      <c r="AC22" s="98">
        <f t="shared" si="5"/>
        <v>110</v>
      </c>
      <c r="AD22" s="98">
        <f t="shared" si="5"/>
        <v>95</v>
      </c>
      <c r="AE22" s="98">
        <f t="shared" si="5"/>
        <v>80</v>
      </c>
      <c r="AF22" s="98">
        <f t="shared" si="6"/>
        <v>65</v>
      </c>
      <c r="AG22" s="98">
        <f t="shared" si="6"/>
        <v>50</v>
      </c>
      <c r="AH22" s="98">
        <f t="shared" si="6"/>
        <v>35</v>
      </c>
      <c r="AI22" s="98">
        <f t="shared" si="6"/>
        <v>20</v>
      </c>
      <c r="AJ22" s="98">
        <f t="shared" si="6"/>
        <v>0</v>
      </c>
      <c r="AK22" s="98">
        <f t="shared" si="6"/>
        <v>0</v>
      </c>
      <c r="AL22" s="98">
        <f t="shared" si="6"/>
        <v>0</v>
      </c>
      <c r="AM22" s="98">
        <f t="shared" si="6"/>
        <v>0</v>
      </c>
      <c r="AN22" s="98">
        <f t="shared" si="6"/>
        <v>0</v>
      </c>
      <c r="AO22" s="98">
        <f t="shared" si="6"/>
        <v>0</v>
      </c>
      <c r="AP22" s="98">
        <f t="shared" si="6"/>
        <v>0</v>
      </c>
      <c r="AQ22" s="98">
        <f t="shared" si="6"/>
        <v>0</v>
      </c>
      <c r="AR22" s="98">
        <f t="shared" si="6"/>
        <v>0</v>
      </c>
      <c r="AS22" s="98">
        <f t="shared" si="6"/>
        <v>0</v>
      </c>
      <c r="AV22" s="101" t="str">
        <f t="shared" si="2"/>
        <v>1.011250</v>
      </c>
      <c r="AW22" s="101">
        <v>1250</v>
      </c>
      <c r="BF22" s="101" t="str">
        <f t="shared" si="3"/>
        <v>2.011250</v>
      </c>
      <c r="BG22" s="101">
        <v>1250</v>
      </c>
      <c r="BI22" s="92">
        <v>135</v>
      </c>
      <c r="BJ22" s="92">
        <v>180</v>
      </c>
      <c r="BK22" s="92">
        <v>265</v>
      </c>
      <c r="BL22" s="92">
        <v>400</v>
      </c>
      <c r="BM22" s="92">
        <v>670</v>
      </c>
      <c r="BN22" s="202">
        <v>1115</v>
      </c>
      <c r="BP22" s="101" t="str">
        <f t="shared" si="4"/>
        <v>3.011250</v>
      </c>
      <c r="BQ22" s="101">
        <v>1250</v>
      </c>
    </row>
    <row r="23" spans="1:76">
      <c r="A23" s="98"/>
      <c r="B23" s="96"/>
      <c r="C23" s="95"/>
      <c r="D23" s="100"/>
      <c r="E23" s="100"/>
      <c r="F23" s="98"/>
      <c r="G23" s="95"/>
      <c r="H23" s="95"/>
      <c r="I23" s="95"/>
      <c r="J23" s="98"/>
      <c r="K23" s="98"/>
      <c r="L23" s="95"/>
      <c r="M23" s="98"/>
      <c r="N23" s="98"/>
      <c r="O23" s="98"/>
      <c r="P23" s="98"/>
      <c r="Q23" s="98"/>
      <c r="R23" s="95"/>
      <c r="S23" s="99" t="s">
        <v>84</v>
      </c>
      <c r="T23" s="204" t="s">
        <v>209</v>
      </c>
      <c r="U23" s="98"/>
      <c r="V23" s="98">
        <f t="shared" si="5"/>
        <v>275</v>
      </c>
      <c r="W23" s="98">
        <f t="shared" si="5"/>
        <v>240</v>
      </c>
      <c r="X23" s="98">
        <f t="shared" si="5"/>
        <v>225</v>
      </c>
      <c r="Y23" s="98">
        <f t="shared" si="5"/>
        <v>200</v>
      </c>
      <c r="Z23" s="98">
        <f t="shared" si="5"/>
        <v>170</v>
      </c>
      <c r="AA23" s="98">
        <f t="shared" si="5"/>
        <v>140</v>
      </c>
      <c r="AB23" s="98">
        <f t="shared" si="5"/>
        <v>125</v>
      </c>
      <c r="AC23" s="98">
        <f t="shared" si="5"/>
        <v>110</v>
      </c>
      <c r="AD23" s="98">
        <f t="shared" si="5"/>
        <v>95</v>
      </c>
      <c r="AE23" s="98">
        <f t="shared" si="5"/>
        <v>80</v>
      </c>
      <c r="AF23" s="98">
        <f t="shared" si="6"/>
        <v>65</v>
      </c>
      <c r="AG23" s="98">
        <f t="shared" si="6"/>
        <v>50</v>
      </c>
      <c r="AH23" s="98">
        <f t="shared" si="6"/>
        <v>35</v>
      </c>
      <c r="AI23" s="98">
        <f t="shared" si="6"/>
        <v>20</v>
      </c>
      <c r="AJ23" s="98">
        <f t="shared" si="6"/>
        <v>0</v>
      </c>
      <c r="AK23" s="98">
        <f t="shared" si="6"/>
        <v>0</v>
      </c>
      <c r="AL23" s="98">
        <f t="shared" si="6"/>
        <v>0</v>
      </c>
      <c r="AM23" s="98">
        <f t="shared" si="6"/>
        <v>0</v>
      </c>
      <c r="AN23" s="98">
        <f t="shared" si="6"/>
        <v>0</v>
      </c>
      <c r="AO23" s="98">
        <f t="shared" si="6"/>
        <v>0</v>
      </c>
      <c r="AP23" s="98">
        <f t="shared" si="6"/>
        <v>0</v>
      </c>
      <c r="AQ23" s="98">
        <f t="shared" si="6"/>
        <v>0</v>
      </c>
      <c r="AR23" s="98">
        <f t="shared" si="6"/>
        <v>0</v>
      </c>
      <c r="AS23" s="98">
        <f t="shared" si="6"/>
        <v>0</v>
      </c>
      <c r="AV23" s="101" t="str">
        <f t="shared" si="2"/>
        <v>1.011300</v>
      </c>
      <c r="AW23" s="101">
        <v>1300</v>
      </c>
      <c r="BF23" s="101" t="str">
        <f t="shared" si="3"/>
        <v>2.011300</v>
      </c>
      <c r="BG23" s="101">
        <v>1300</v>
      </c>
      <c r="BI23" s="92">
        <v>115</v>
      </c>
      <c r="BJ23" s="92">
        <v>150</v>
      </c>
      <c r="BK23" s="92">
        <v>225</v>
      </c>
      <c r="BL23" s="92">
        <v>340</v>
      </c>
      <c r="BM23" s="92">
        <v>565</v>
      </c>
      <c r="BN23" s="92">
        <v>945</v>
      </c>
      <c r="BP23" s="101" t="str">
        <f t="shared" si="4"/>
        <v>3.011300</v>
      </c>
      <c r="BQ23" s="101">
        <v>1300</v>
      </c>
    </row>
    <row r="24" spans="1:76">
      <c r="A24" s="98"/>
      <c r="B24" s="96"/>
      <c r="C24" s="95"/>
      <c r="D24" s="100"/>
      <c r="E24" s="100"/>
      <c r="F24" s="98"/>
      <c r="G24" s="95"/>
      <c r="H24" s="95"/>
      <c r="I24" s="95"/>
      <c r="J24" s="98"/>
      <c r="K24" s="98"/>
      <c r="L24" s="95"/>
      <c r="M24" s="98"/>
      <c r="N24" s="98"/>
      <c r="O24" s="98"/>
      <c r="P24" s="98"/>
      <c r="Q24" s="98"/>
      <c r="R24" s="95"/>
      <c r="S24" s="99" t="s">
        <v>85</v>
      </c>
      <c r="T24" s="204" t="s">
        <v>210</v>
      </c>
      <c r="U24" s="98"/>
      <c r="V24" s="98">
        <f t="shared" si="5"/>
        <v>275</v>
      </c>
      <c r="W24" s="98">
        <f t="shared" si="5"/>
        <v>245</v>
      </c>
      <c r="X24" s="98">
        <f t="shared" si="5"/>
        <v>225</v>
      </c>
      <c r="Y24" s="98">
        <f t="shared" si="5"/>
        <v>200</v>
      </c>
      <c r="Z24" s="98">
        <f t="shared" si="5"/>
        <v>170</v>
      </c>
      <c r="AA24" s="98">
        <f t="shared" si="5"/>
        <v>140</v>
      </c>
      <c r="AB24" s="98">
        <f t="shared" si="5"/>
        <v>125</v>
      </c>
      <c r="AC24" s="98">
        <f t="shared" si="5"/>
        <v>110</v>
      </c>
      <c r="AD24" s="98">
        <f t="shared" si="5"/>
        <v>95</v>
      </c>
      <c r="AE24" s="98">
        <f t="shared" si="5"/>
        <v>80</v>
      </c>
      <c r="AF24" s="98">
        <f t="shared" si="6"/>
        <v>65</v>
      </c>
      <c r="AG24" s="98">
        <f t="shared" si="6"/>
        <v>50</v>
      </c>
      <c r="AH24" s="98">
        <f t="shared" si="6"/>
        <v>35</v>
      </c>
      <c r="AI24" s="98">
        <f t="shared" si="6"/>
        <v>20</v>
      </c>
      <c r="AJ24" s="98">
        <f t="shared" si="6"/>
        <v>0</v>
      </c>
      <c r="AK24" s="98">
        <f t="shared" si="6"/>
        <v>0</v>
      </c>
      <c r="AL24" s="98">
        <f t="shared" si="6"/>
        <v>0</v>
      </c>
      <c r="AM24" s="98">
        <f t="shared" si="6"/>
        <v>0</v>
      </c>
      <c r="AN24" s="98">
        <f t="shared" si="6"/>
        <v>0</v>
      </c>
      <c r="AO24" s="98">
        <f t="shared" si="6"/>
        <v>0</v>
      </c>
      <c r="AP24" s="98">
        <f t="shared" si="6"/>
        <v>0</v>
      </c>
      <c r="AQ24" s="98">
        <f t="shared" si="6"/>
        <v>0</v>
      </c>
      <c r="AR24" s="98">
        <f t="shared" si="6"/>
        <v>0</v>
      </c>
      <c r="AS24" s="98">
        <f t="shared" si="6"/>
        <v>0</v>
      </c>
      <c r="AV24" s="101" t="str">
        <f t="shared" si="2"/>
        <v>1.011350</v>
      </c>
      <c r="AW24" s="101">
        <v>1350</v>
      </c>
      <c r="BF24" s="101" t="str">
        <f t="shared" si="3"/>
        <v>2.011350</v>
      </c>
      <c r="BG24" s="101">
        <v>1350</v>
      </c>
      <c r="BI24" s="92">
        <v>95</v>
      </c>
      <c r="BJ24" s="92">
        <v>125</v>
      </c>
      <c r="BK24" s="92">
        <v>185</v>
      </c>
      <c r="BL24" s="92">
        <v>280</v>
      </c>
      <c r="BM24" s="92">
        <v>465</v>
      </c>
      <c r="BN24" s="92">
        <v>770</v>
      </c>
      <c r="BP24" s="101" t="str">
        <f t="shared" si="4"/>
        <v>3.011350</v>
      </c>
      <c r="BQ24" s="101">
        <v>1350</v>
      </c>
    </row>
    <row r="25" spans="1:76">
      <c r="A25" s="98"/>
      <c r="B25" s="96"/>
      <c r="C25" s="95"/>
      <c r="D25" s="100"/>
      <c r="E25" s="100"/>
      <c r="F25" s="98"/>
      <c r="G25" s="95"/>
      <c r="H25" s="95"/>
      <c r="I25" s="95"/>
      <c r="J25" s="98"/>
      <c r="K25" s="98"/>
      <c r="L25" s="95"/>
      <c r="M25" s="98"/>
      <c r="N25" s="98"/>
      <c r="O25" s="98"/>
      <c r="P25" s="98"/>
      <c r="Q25" s="98"/>
      <c r="R25" s="95"/>
      <c r="S25" s="99" t="s">
        <v>199</v>
      </c>
      <c r="T25" s="204" t="s">
        <v>211</v>
      </c>
      <c r="U25" s="98"/>
      <c r="V25" s="98">
        <f t="shared" si="5"/>
        <v>290</v>
      </c>
      <c r="W25" s="98">
        <f t="shared" si="5"/>
        <v>260</v>
      </c>
      <c r="X25" s="98">
        <f t="shared" si="5"/>
        <v>230</v>
      </c>
      <c r="Y25" s="98">
        <f t="shared" si="5"/>
        <v>200</v>
      </c>
      <c r="Z25" s="98">
        <f t="shared" si="5"/>
        <v>170</v>
      </c>
      <c r="AA25" s="98">
        <f t="shared" si="5"/>
        <v>140</v>
      </c>
      <c r="AB25" s="98">
        <f t="shared" si="5"/>
        <v>125</v>
      </c>
      <c r="AC25" s="98">
        <f t="shared" si="5"/>
        <v>110</v>
      </c>
      <c r="AD25" s="98">
        <f t="shared" si="5"/>
        <v>95</v>
      </c>
      <c r="AE25" s="98">
        <f t="shared" si="5"/>
        <v>0</v>
      </c>
      <c r="AF25" s="98">
        <f t="shared" si="6"/>
        <v>0</v>
      </c>
      <c r="AG25" s="98">
        <f t="shared" si="6"/>
        <v>0</v>
      </c>
      <c r="AH25" s="98">
        <f t="shared" si="6"/>
        <v>0</v>
      </c>
      <c r="AI25" s="98">
        <f t="shared" si="6"/>
        <v>0</v>
      </c>
      <c r="AJ25" s="98">
        <f t="shared" si="6"/>
        <v>0</v>
      </c>
      <c r="AK25" s="98">
        <f t="shared" si="6"/>
        <v>0</v>
      </c>
      <c r="AL25" s="98">
        <f t="shared" si="6"/>
        <v>0</v>
      </c>
      <c r="AM25" s="98">
        <f t="shared" si="6"/>
        <v>0</v>
      </c>
      <c r="AN25" s="98">
        <f t="shared" si="6"/>
        <v>0</v>
      </c>
      <c r="AO25" s="98">
        <f t="shared" si="6"/>
        <v>0</v>
      </c>
      <c r="AP25" s="98">
        <f t="shared" si="6"/>
        <v>0</v>
      </c>
      <c r="AQ25" s="98">
        <f t="shared" si="6"/>
        <v>0</v>
      </c>
      <c r="AR25" s="98">
        <f t="shared" si="6"/>
        <v>0</v>
      </c>
      <c r="AS25" s="98">
        <f t="shared" si="6"/>
        <v>0</v>
      </c>
      <c r="AV25" s="101" t="str">
        <f t="shared" si="2"/>
        <v>1.011400</v>
      </c>
      <c r="AW25" s="101">
        <v>1400</v>
      </c>
      <c r="BF25" s="101" t="str">
        <f t="shared" si="3"/>
        <v>2.011400</v>
      </c>
      <c r="BG25" s="101">
        <v>1400</v>
      </c>
      <c r="BI25" s="92">
        <v>75</v>
      </c>
      <c r="BJ25" s="92">
        <v>100</v>
      </c>
      <c r="BK25" s="92">
        <v>150</v>
      </c>
      <c r="BL25" s="92">
        <v>225</v>
      </c>
      <c r="BM25" s="92">
        <v>380</v>
      </c>
      <c r="BN25" s="92">
        <v>630</v>
      </c>
      <c r="BP25" s="101" t="str">
        <f t="shared" si="4"/>
        <v>3.011400</v>
      </c>
      <c r="BQ25" s="101">
        <v>1400</v>
      </c>
    </row>
    <row r="26" spans="1:76">
      <c r="A26" s="98"/>
      <c r="B26" s="96"/>
      <c r="C26" s="95"/>
      <c r="D26" s="100"/>
      <c r="E26" s="100"/>
      <c r="F26" s="98"/>
      <c r="G26" s="95"/>
      <c r="H26" s="95"/>
      <c r="I26" s="95"/>
      <c r="J26" s="98"/>
      <c r="K26" s="98"/>
      <c r="L26" s="95"/>
      <c r="M26" s="98"/>
      <c r="N26" s="98"/>
      <c r="O26" s="98"/>
      <c r="P26" s="98"/>
      <c r="Q26" s="98"/>
      <c r="R26" s="95"/>
      <c r="S26" s="99" t="s">
        <v>200</v>
      </c>
      <c r="T26" s="204" t="s">
        <v>212</v>
      </c>
      <c r="U26" s="98"/>
      <c r="V26" s="98">
        <f t="shared" si="5"/>
        <v>275</v>
      </c>
      <c r="W26" s="98">
        <f t="shared" si="5"/>
        <v>240</v>
      </c>
      <c r="X26" s="98">
        <f t="shared" si="5"/>
        <v>225</v>
      </c>
      <c r="Y26" s="98">
        <f t="shared" si="5"/>
        <v>200</v>
      </c>
      <c r="Z26" s="98">
        <f t="shared" si="5"/>
        <v>170</v>
      </c>
      <c r="AA26" s="98">
        <f t="shared" si="5"/>
        <v>140</v>
      </c>
      <c r="AB26" s="98">
        <f t="shared" si="5"/>
        <v>125</v>
      </c>
      <c r="AC26" s="98">
        <f t="shared" si="5"/>
        <v>110</v>
      </c>
      <c r="AD26" s="98">
        <f t="shared" si="5"/>
        <v>95</v>
      </c>
      <c r="AE26" s="98">
        <f t="shared" si="5"/>
        <v>80</v>
      </c>
      <c r="AF26" s="98">
        <f t="shared" si="6"/>
        <v>65</v>
      </c>
      <c r="AG26" s="98">
        <f t="shared" si="6"/>
        <v>50</v>
      </c>
      <c r="AH26" s="98">
        <f t="shared" si="6"/>
        <v>35</v>
      </c>
      <c r="AI26" s="98">
        <f t="shared" si="6"/>
        <v>20</v>
      </c>
      <c r="AJ26" s="98">
        <f t="shared" si="6"/>
        <v>0</v>
      </c>
      <c r="AK26" s="98">
        <f t="shared" si="6"/>
        <v>0</v>
      </c>
      <c r="AL26" s="98">
        <f t="shared" si="6"/>
        <v>0</v>
      </c>
      <c r="AM26" s="98">
        <f t="shared" si="6"/>
        <v>0</v>
      </c>
      <c r="AN26" s="98">
        <f t="shared" si="6"/>
        <v>0</v>
      </c>
      <c r="AO26" s="98">
        <f t="shared" si="6"/>
        <v>0</v>
      </c>
      <c r="AP26" s="98">
        <f t="shared" si="6"/>
        <v>0</v>
      </c>
      <c r="AQ26" s="98">
        <f t="shared" si="6"/>
        <v>0</v>
      </c>
      <c r="AR26" s="98">
        <f t="shared" si="6"/>
        <v>0</v>
      </c>
      <c r="AS26" s="98">
        <f t="shared" si="6"/>
        <v>0</v>
      </c>
      <c r="AV26" s="101" t="str">
        <f t="shared" si="2"/>
        <v>1.011450</v>
      </c>
      <c r="AW26" s="101">
        <v>1450</v>
      </c>
      <c r="BF26" s="101" t="str">
        <f t="shared" si="3"/>
        <v>2.011450</v>
      </c>
      <c r="BG26" s="101">
        <v>1450</v>
      </c>
      <c r="BI26" s="92">
        <v>60</v>
      </c>
      <c r="BJ26" s="92">
        <v>80</v>
      </c>
      <c r="BK26" s="92">
        <v>115</v>
      </c>
      <c r="BL26" s="92">
        <v>175</v>
      </c>
      <c r="BM26" s="92">
        <v>290</v>
      </c>
      <c r="BN26" s="92">
        <v>485</v>
      </c>
      <c r="BP26" s="101" t="str">
        <f t="shared" si="4"/>
        <v>3.011450</v>
      </c>
      <c r="BQ26" s="101">
        <v>1450</v>
      </c>
    </row>
    <row r="27" spans="1:76">
      <c r="A27" s="98"/>
      <c r="B27" s="96"/>
      <c r="C27" s="95"/>
      <c r="D27" s="100"/>
      <c r="E27" s="100"/>
      <c r="F27" s="98"/>
      <c r="G27" s="95"/>
      <c r="H27" s="95"/>
      <c r="I27" s="95"/>
      <c r="J27" s="98"/>
      <c r="K27" s="98"/>
      <c r="L27" s="95"/>
      <c r="M27" s="98"/>
      <c r="N27" s="98"/>
      <c r="O27" s="98"/>
      <c r="P27" s="98"/>
      <c r="Q27" s="98"/>
      <c r="R27" s="95"/>
      <c r="S27" s="99" t="s">
        <v>201</v>
      </c>
      <c r="T27" s="204" t="s">
        <v>201</v>
      </c>
      <c r="U27" s="98"/>
      <c r="V27" s="98">
        <f t="shared" si="5"/>
        <v>260</v>
      </c>
      <c r="W27" s="98">
        <f t="shared" si="5"/>
        <v>210</v>
      </c>
      <c r="X27" s="98">
        <f t="shared" si="5"/>
        <v>195</v>
      </c>
      <c r="Y27" s="98">
        <f t="shared" si="5"/>
        <v>185</v>
      </c>
      <c r="Z27" s="98">
        <f t="shared" si="5"/>
        <v>170</v>
      </c>
      <c r="AA27" s="98">
        <f t="shared" si="5"/>
        <v>140</v>
      </c>
      <c r="AB27" s="98">
        <f t="shared" si="5"/>
        <v>125</v>
      </c>
      <c r="AC27" s="98">
        <f t="shared" si="5"/>
        <v>110</v>
      </c>
      <c r="AD27" s="98">
        <f t="shared" si="5"/>
        <v>95</v>
      </c>
      <c r="AE27" s="98">
        <f t="shared" si="5"/>
        <v>80</v>
      </c>
      <c r="AF27" s="98">
        <f t="shared" si="6"/>
        <v>65</v>
      </c>
      <c r="AG27" s="98">
        <f t="shared" si="6"/>
        <v>50</v>
      </c>
      <c r="AH27" s="98">
        <f t="shared" si="6"/>
        <v>35</v>
      </c>
      <c r="AI27" s="98">
        <f t="shared" si="6"/>
        <v>20</v>
      </c>
      <c r="AJ27" s="98">
        <f t="shared" si="6"/>
        <v>0</v>
      </c>
      <c r="AK27" s="98">
        <f t="shared" si="6"/>
        <v>0</v>
      </c>
      <c r="AL27" s="98">
        <f t="shared" si="6"/>
        <v>0</v>
      </c>
      <c r="AM27" s="98">
        <f t="shared" si="6"/>
        <v>0</v>
      </c>
      <c r="AN27" s="98">
        <f t="shared" si="6"/>
        <v>0</v>
      </c>
      <c r="AO27" s="98">
        <f t="shared" si="6"/>
        <v>0</v>
      </c>
      <c r="AP27" s="98">
        <f t="shared" si="6"/>
        <v>0</v>
      </c>
      <c r="AQ27" s="98">
        <f t="shared" si="6"/>
        <v>0</v>
      </c>
      <c r="AR27" s="98">
        <f t="shared" si="6"/>
        <v>0</v>
      </c>
      <c r="AS27" s="98">
        <f t="shared" si="6"/>
        <v>0</v>
      </c>
      <c r="AV27" s="101" t="str">
        <f t="shared" si="2"/>
        <v>1.011500</v>
      </c>
      <c r="AW27" s="101">
        <v>1500</v>
      </c>
      <c r="BF27" s="101" t="str">
        <f t="shared" si="3"/>
        <v>2.011500</v>
      </c>
      <c r="BG27" s="101">
        <v>1500</v>
      </c>
      <c r="BI27" s="92">
        <v>40</v>
      </c>
      <c r="BJ27" s="92">
        <v>55</v>
      </c>
      <c r="BK27" s="92">
        <v>85</v>
      </c>
      <c r="BL27" s="92">
        <v>125</v>
      </c>
      <c r="BM27" s="92">
        <v>205</v>
      </c>
      <c r="BN27" s="92">
        <v>345</v>
      </c>
      <c r="BP27" s="101" t="str">
        <f t="shared" si="4"/>
        <v>3.011500</v>
      </c>
      <c r="BQ27" s="101">
        <v>1500</v>
      </c>
    </row>
    <row r="28" spans="1:76">
      <c r="A28" s="98"/>
      <c r="B28" s="96"/>
      <c r="C28" s="95"/>
      <c r="D28" s="100"/>
      <c r="E28" s="100"/>
      <c r="F28" s="98"/>
      <c r="G28" s="95"/>
      <c r="H28" s="95"/>
      <c r="I28" s="95"/>
      <c r="J28" s="98"/>
      <c r="K28" s="98"/>
      <c r="L28" s="95"/>
      <c r="M28" s="98"/>
      <c r="N28" s="98"/>
      <c r="O28" s="98"/>
      <c r="P28" s="98"/>
      <c r="Q28" s="98"/>
      <c r="R28" s="95"/>
      <c r="S28" s="99" t="s">
        <v>202</v>
      </c>
      <c r="T28" s="204" t="s">
        <v>202</v>
      </c>
      <c r="U28" s="98"/>
      <c r="V28" s="98">
        <f t="shared" si="5"/>
        <v>275</v>
      </c>
      <c r="W28" s="98">
        <f t="shared" si="5"/>
        <v>255</v>
      </c>
      <c r="X28" s="98">
        <f t="shared" si="5"/>
        <v>230</v>
      </c>
      <c r="Y28" s="98">
        <f t="shared" si="5"/>
        <v>200</v>
      </c>
      <c r="Z28" s="98">
        <f t="shared" si="5"/>
        <v>170</v>
      </c>
      <c r="AA28" s="98">
        <f t="shared" si="5"/>
        <v>140</v>
      </c>
      <c r="AB28" s="98">
        <f t="shared" si="5"/>
        <v>125</v>
      </c>
      <c r="AC28" s="98">
        <f t="shared" si="5"/>
        <v>110</v>
      </c>
      <c r="AD28" s="98">
        <f t="shared" si="5"/>
        <v>95</v>
      </c>
      <c r="AE28" s="98">
        <f t="shared" si="5"/>
        <v>80</v>
      </c>
      <c r="AF28" s="98">
        <f t="shared" si="6"/>
        <v>65</v>
      </c>
      <c r="AG28" s="98">
        <f t="shared" si="6"/>
        <v>50</v>
      </c>
      <c r="AH28" s="98">
        <f t="shared" si="6"/>
        <v>35</v>
      </c>
      <c r="AI28" s="98">
        <f t="shared" si="6"/>
        <v>20</v>
      </c>
      <c r="AJ28" s="98">
        <f t="shared" si="6"/>
        <v>0</v>
      </c>
      <c r="AK28" s="98">
        <f t="shared" si="6"/>
        <v>0</v>
      </c>
      <c r="AL28" s="98">
        <f t="shared" si="6"/>
        <v>0</v>
      </c>
      <c r="AM28" s="98">
        <f t="shared" si="6"/>
        <v>0</v>
      </c>
      <c r="AN28" s="98">
        <f t="shared" si="6"/>
        <v>0</v>
      </c>
      <c r="AO28" s="98">
        <f t="shared" si="6"/>
        <v>0</v>
      </c>
      <c r="AP28" s="98">
        <f t="shared" si="6"/>
        <v>0</v>
      </c>
      <c r="AQ28" s="98">
        <f t="shared" si="6"/>
        <v>0</v>
      </c>
      <c r="AR28" s="98">
        <f t="shared" si="6"/>
        <v>0</v>
      </c>
      <c r="AS28" s="98">
        <f t="shared" si="6"/>
        <v>0</v>
      </c>
      <c r="AU28" s="92">
        <v>1.02</v>
      </c>
      <c r="AV28" s="101" t="str">
        <f>AU$28&amp;TEXT(AW28,"0000")</f>
        <v>1.020100</v>
      </c>
      <c r="AW28" s="92">
        <v>100</v>
      </c>
      <c r="AX28" s="92">
        <v>290</v>
      </c>
      <c r="AY28" s="92">
        <v>750</v>
      </c>
      <c r="AZ28" s="202">
        <v>1000</v>
      </c>
      <c r="BA28" s="202">
        <v>1500</v>
      </c>
      <c r="BB28" s="202">
        <v>2250</v>
      </c>
      <c r="BC28" s="202">
        <v>3750</v>
      </c>
      <c r="BD28" s="202">
        <v>6250</v>
      </c>
      <c r="BE28" s="92">
        <v>2.02</v>
      </c>
      <c r="BF28" s="101" t="str">
        <f>BE$28&amp;TEXT(BG28,"0000")</f>
        <v>2.020100</v>
      </c>
      <c r="BG28" s="92">
        <v>100</v>
      </c>
      <c r="BH28" s="92">
        <v>275</v>
      </c>
      <c r="BI28" s="92">
        <v>720</v>
      </c>
      <c r="BJ28" s="92">
        <v>960</v>
      </c>
      <c r="BK28" s="202">
        <v>1440</v>
      </c>
      <c r="BL28" s="202">
        <v>2160</v>
      </c>
      <c r="BM28" s="202">
        <v>3600</v>
      </c>
      <c r="BN28" s="202">
        <v>6000</v>
      </c>
      <c r="BO28" s="92">
        <v>3.02</v>
      </c>
      <c r="BP28" s="101" t="str">
        <f>BO$28&amp;TEXT(BQ28,"0000")</f>
        <v>3.020100</v>
      </c>
      <c r="BQ28" s="92">
        <v>100</v>
      </c>
      <c r="BR28" s="92">
        <v>185</v>
      </c>
      <c r="BS28" s="92">
        <v>480</v>
      </c>
      <c r="BT28" s="92">
        <v>640</v>
      </c>
      <c r="BU28" s="92">
        <v>960</v>
      </c>
      <c r="BV28" s="202">
        <v>1440</v>
      </c>
      <c r="BW28" s="202">
        <v>2400</v>
      </c>
      <c r="BX28" s="202">
        <v>4000</v>
      </c>
    </row>
    <row r="29" spans="1:76">
      <c r="A29" s="98"/>
      <c r="B29" s="96"/>
      <c r="C29" s="95"/>
      <c r="D29" s="100"/>
      <c r="E29" s="100"/>
      <c r="F29" s="98"/>
      <c r="G29" s="95"/>
      <c r="H29" s="95"/>
      <c r="I29" s="95"/>
      <c r="J29" s="98"/>
      <c r="K29" s="98"/>
      <c r="L29" s="95"/>
      <c r="M29" s="98"/>
      <c r="N29" s="98"/>
      <c r="O29" s="98"/>
      <c r="P29" s="98"/>
      <c r="Q29" s="98"/>
      <c r="R29" s="95"/>
      <c r="S29" s="99" t="s">
        <v>203</v>
      </c>
      <c r="T29" s="204" t="s">
        <v>203</v>
      </c>
      <c r="U29" s="98"/>
      <c r="V29" s="98">
        <f t="shared" si="5"/>
        <v>260</v>
      </c>
      <c r="W29" s="98">
        <f t="shared" si="5"/>
        <v>210</v>
      </c>
      <c r="X29" s="98">
        <f t="shared" si="5"/>
        <v>195</v>
      </c>
      <c r="Y29" s="98">
        <f t="shared" si="5"/>
        <v>185</v>
      </c>
      <c r="Z29" s="98">
        <f t="shared" si="5"/>
        <v>170</v>
      </c>
      <c r="AA29" s="98">
        <f t="shared" si="5"/>
        <v>140</v>
      </c>
      <c r="AB29" s="98">
        <f t="shared" si="5"/>
        <v>125</v>
      </c>
      <c r="AC29" s="98">
        <f t="shared" si="5"/>
        <v>110</v>
      </c>
      <c r="AD29" s="98">
        <f t="shared" si="5"/>
        <v>95</v>
      </c>
      <c r="AE29" s="98">
        <f t="shared" si="5"/>
        <v>80</v>
      </c>
      <c r="AF29" s="98">
        <f t="shared" si="6"/>
        <v>65</v>
      </c>
      <c r="AG29" s="98">
        <f t="shared" si="6"/>
        <v>50</v>
      </c>
      <c r="AH29" s="98">
        <f t="shared" si="6"/>
        <v>35</v>
      </c>
      <c r="AI29" s="98">
        <f t="shared" si="6"/>
        <v>20</v>
      </c>
      <c r="AJ29" s="98">
        <f t="shared" si="6"/>
        <v>0</v>
      </c>
      <c r="AK29" s="98">
        <f t="shared" si="6"/>
        <v>0</v>
      </c>
      <c r="AL29" s="98">
        <f t="shared" si="6"/>
        <v>0</v>
      </c>
      <c r="AM29" s="98">
        <f t="shared" si="6"/>
        <v>0</v>
      </c>
      <c r="AN29" s="98">
        <f t="shared" si="6"/>
        <v>0</v>
      </c>
      <c r="AO29" s="98">
        <f t="shared" si="6"/>
        <v>0</v>
      </c>
      <c r="AP29" s="98">
        <f t="shared" si="6"/>
        <v>0</v>
      </c>
      <c r="AQ29" s="98">
        <f t="shared" si="6"/>
        <v>0</v>
      </c>
      <c r="AR29" s="98">
        <f t="shared" si="6"/>
        <v>0</v>
      </c>
      <c r="AS29" s="98">
        <f t="shared" si="6"/>
        <v>0</v>
      </c>
      <c r="AV29" s="101" t="str">
        <f t="shared" ref="AV29:AV51" si="7">AU$28&amp;TEXT(AW29,"0000")</f>
        <v>1.020200</v>
      </c>
      <c r="AW29" s="101">
        <v>200</v>
      </c>
      <c r="AX29" s="92">
        <v>260</v>
      </c>
      <c r="AY29" s="92">
        <v>750</v>
      </c>
      <c r="AZ29" s="202">
        <v>1000</v>
      </c>
      <c r="BA29" s="202">
        <v>1500</v>
      </c>
      <c r="BB29" s="202">
        <v>2250</v>
      </c>
      <c r="BC29" s="202">
        <v>3750</v>
      </c>
      <c r="BD29" s="202">
        <v>6250</v>
      </c>
      <c r="BF29" s="101" t="str">
        <f t="shared" ref="BF29:BF51" si="8">BE$28&amp;TEXT(BG29,"0000")</f>
        <v>2.020200</v>
      </c>
      <c r="BG29" s="101">
        <v>200</v>
      </c>
      <c r="BH29" s="92">
        <v>235</v>
      </c>
      <c r="BI29" s="92">
        <v>620</v>
      </c>
      <c r="BJ29" s="92">
        <v>825</v>
      </c>
      <c r="BK29" s="202">
        <v>1240</v>
      </c>
      <c r="BL29" s="202">
        <v>1860</v>
      </c>
      <c r="BM29" s="202">
        <v>3095</v>
      </c>
      <c r="BN29" s="202">
        <v>5160</v>
      </c>
      <c r="BP29" s="101" t="str">
        <f t="shared" ref="BP29:BP51" si="9">BO$28&amp;TEXT(BQ29,"0000")</f>
        <v>3.020200</v>
      </c>
      <c r="BQ29" s="101">
        <v>200</v>
      </c>
      <c r="BR29" s="92">
        <v>185</v>
      </c>
      <c r="BS29" s="92">
        <v>480</v>
      </c>
      <c r="BT29" s="92">
        <v>640</v>
      </c>
      <c r="BU29" s="92">
        <v>960</v>
      </c>
      <c r="BV29" s="202">
        <v>1440</v>
      </c>
      <c r="BW29" s="202">
        <v>2400</v>
      </c>
      <c r="BX29" s="202">
        <v>4000</v>
      </c>
    </row>
    <row r="30" spans="1:76">
      <c r="A30" s="98"/>
      <c r="B30" s="96"/>
      <c r="C30" s="95"/>
      <c r="D30" s="100"/>
      <c r="E30" s="100"/>
      <c r="F30" s="98"/>
      <c r="G30" s="95"/>
      <c r="H30" s="95"/>
      <c r="I30" s="95"/>
      <c r="J30" s="98"/>
      <c r="K30" s="98"/>
      <c r="L30" s="95"/>
      <c r="M30" s="98"/>
      <c r="N30" s="98"/>
      <c r="O30" s="98"/>
      <c r="P30" s="98"/>
      <c r="Q30" s="98"/>
      <c r="R30" s="95"/>
      <c r="S30" s="99" t="s">
        <v>86</v>
      </c>
      <c r="T30" s="204" t="s">
        <v>215</v>
      </c>
      <c r="U30" s="98"/>
      <c r="V30" s="98">
        <f t="shared" ref="V30:AE39" si="10">VLOOKUP($T30&amp;TEXT(V$1,"0000"),$BP$4:$BX$435,3)</f>
        <v>290</v>
      </c>
      <c r="W30" s="98">
        <f t="shared" si="10"/>
        <v>260</v>
      </c>
      <c r="X30" s="98">
        <f t="shared" si="10"/>
        <v>230</v>
      </c>
      <c r="Y30" s="98">
        <f t="shared" si="10"/>
        <v>200</v>
      </c>
      <c r="Z30" s="98">
        <f t="shared" si="10"/>
        <v>170</v>
      </c>
      <c r="AA30" s="98">
        <f t="shared" si="10"/>
        <v>140</v>
      </c>
      <c r="AB30" s="98">
        <f t="shared" si="10"/>
        <v>125</v>
      </c>
      <c r="AC30" s="98">
        <f t="shared" si="10"/>
        <v>110</v>
      </c>
      <c r="AD30" s="98">
        <f t="shared" si="10"/>
        <v>95</v>
      </c>
      <c r="AE30" s="98">
        <f t="shared" si="10"/>
        <v>80</v>
      </c>
      <c r="AF30" s="98">
        <f t="shared" ref="AF30:AS39" si="11">VLOOKUP($T30&amp;TEXT(AF$1,"0000"),$BP$4:$BX$435,3)</f>
        <v>0</v>
      </c>
      <c r="AG30" s="98">
        <f t="shared" si="11"/>
        <v>0</v>
      </c>
      <c r="AH30" s="98">
        <f t="shared" si="11"/>
        <v>0</v>
      </c>
      <c r="AI30" s="98">
        <f t="shared" si="11"/>
        <v>0</v>
      </c>
      <c r="AJ30" s="98">
        <f t="shared" si="11"/>
        <v>0</v>
      </c>
      <c r="AK30" s="98">
        <f t="shared" si="11"/>
        <v>0</v>
      </c>
      <c r="AL30" s="98">
        <f t="shared" si="11"/>
        <v>0</v>
      </c>
      <c r="AM30" s="98">
        <f t="shared" si="11"/>
        <v>0</v>
      </c>
      <c r="AN30" s="98">
        <f t="shared" si="11"/>
        <v>0</v>
      </c>
      <c r="AO30" s="98">
        <f t="shared" si="11"/>
        <v>0</v>
      </c>
      <c r="AP30" s="98">
        <f t="shared" si="11"/>
        <v>0</v>
      </c>
      <c r="AQ30" s="98">
        <f t="shared" si="11"/>
        <v>0</v>
      </c>
      <c r="AR30" s="98">
        <f t="shared" si="11"/>
        <v>0</v>
      </c>
      <c r="AS30" s="98">
        <f t="shared" si="11"/>
        <v>0</v>
      </c>
      <c r="AV30" s="101" t="str">
        <f t="shared" si="7"/>
        <v>1.020300</v>
      </c>
      <c r="AW30" s="101">
        <v>300</v>
      </c>
      <c r="AX30" s="92">
        <v>230</v>
      </c>
      <c r="AY30" s="92">
        <v>730</v>
      </c>
      <c r="AZ30" s="92">
        <v>970</v>
      </c>
      <c r="BA30" s="202">
        <v>1455</v>
      </c>
      <c r="BB30" s="202">
        <v>2185</v>
      </c>
      <c r="BC30" s="202">
        <v>3640</v>
      </c>
      <c r="BD30" s="202">
        <v>6070</v>
      </c>
      <c r="BF30" s="101" t="str">
        <f t="shared" si="8"/>
        <v>2.020300</v>
      </c>
      <c r="BG30" s="101">
        <v>300</v>
      </c>
      <c r="BH30" s="92">
        <v>215</v>
      </c>
      <c r="BI30" s="92">
        <v>560</v>
      </c>
      <c r="BJ30" s="92">
        <v>745</v>
      </c>
      <c r="BK30" s="202">
        <v>1120</v>
      </c>
      <c r="BL30" s="202">
        <v>1680</v>
      </c>
      <c r="BM30" s="202">
        <v>2795</v>
      </c>
      <c r="BN30" s="202">
        <v>4660</v>
      </c>
      <c r="BP30" s="101" t="str">
        <f t="shared" si="9"/>
        <v>3.020300</v>
      </c>
      <c r="BQ30" s="101">
        <v>300</v>
      </c>
      <c r="BR30" s="92">
        <v>185</v>
      </c>
      <c r="BS30" s="92">
        <v>480</v>
      </c>
      <c r="BT30" s="92">
        <v>640</v>
      </c>
      <c r="BU30" s="92">
        <v>960</v>
      </c>
      <c r="BV30" s="202">
        <v>1440</v>
      </c>
      <c r="BW30" s="202">
        <v>2400</v>
      </c>
      <c r="BX30" s="202">
        <v>4000</v>
      </c>
    </row>
    <row r="31" spans="1:76">
      <c r="A31" s="98"/>
      <c r="B31" s="96"/>
      <c r="C31" s="95"/>
      <c r="D31" s="100"/>
      <c r="E31" s="100"/>
      <c r="F31" s="98"/>
      <c r="G31" s="95"/>
      <c r="H31" s="95"/>
      <c r="I31" s="95"/>
      <c r="J31" s="98"/>
      <c r="K31" s="98"/>
      <c r="L31" s="95"/>
      <c r="M31" s="98"/>
      <c r="N31" s="98"/>
      <c r="O31" s="98"/>
      <c r="P31" s="98"/>
      <c r="Q31" s="98"/>
      <c r="R31" s="95"/>
      <c r="S31" s="99" t="s">
        <v>87</v>
      </c>
      <c r="T31" s="204" t="s">
        <v>216</v>
      </c>
      <c r="U31" s="98"/>
      <c r="V31" s="98">
        <f t="shared" si="10"/>
        <v>185</v>
      </c>
      <c r="W31" s="98">
        <f t="shared" si="10"/>
        <v>185</v>
      </c>
      <c r="X31" s="98">
        <f t="shared" si="10"/>
        <v>185</v>
      </c>
      <c r="Y31" s="98">
        <f t="shared" si="10"/>
        <v>185</v>
      </c>
      <c r="Z31" s="98">
        <f t="shared" si="10"/>
        <v>170</v>
      </c>
      <c r="AA31" s="98">
        <f t="shared" si="10"/>
        <v>140</v>
      </c>
      <c r="AB31" s="98">
        <f t="shared" si="10"/>
        <v>0</v>
      </c>
      <c r="AC31" s="98">
        <f t="shared" si="10"/>
        <v>0</v>
      </c>
      <c r="AD31" s="98">
        <f t="shared" si="10"/>
        <v>0</v>
      </c>
      <c r="AE31" s="98">
        <f t="shared" si="10"/>
        <v>0</v>
      </c>
      <c r="AF31" s="98">
        <f t="shared" si="11"/>
        <v>0</v>
      </c>
      <c r="AG31" s="98">
        <f t="shared" si="11"/>
        <v>0</v>
      </c>
      <c r="AH31" s="98">
        <f t="shared" si="11"/>
        <v>0</v>
      </c>
      <c r="AI31" s="98">
        <f t="shared" si="11"/>
        <v>0</v>
      </c>
      <c r="AJ31" s="98">
        <f t="shared" si="11"/>
        <v>0</v>
      </c>
      <c r="AK31" s="98">
        <f t="shared" si="11"/>
        <v>0</v>
      </c>
      <c r="AL31" s="98">
        <f t="shared" si="11"/>
        <v>0</v>
      </c>
      <c r="AM31" s="98">
        <f t="shared" si="11"/>
        <v>0</v>
      </c>
      <c r="AN31" s="98">
        <f t="shared" si="11"/>
        <v>0</v>
      </c>
      <c r="AO31" s="98">
        <f t="shared" si="11"/>
        <v>0</v>
      </c>
      <c r="AP31" s="98">
        <f t="shared" si="11"/>
        <v>0</v>
      </c>
      <c r="AQ31" s="98">
        <f t="shared" si="11"/>
        <v>0</v>
      </c>
      <c r="AR31" s="98">
        <f t="shared" si="11"/>
        <v>0</v>
      </c>
      <c r="AS31" s="98">
        <f t="shared" si="11"/>
        <v>0</v>
      </c>
      <c r="AV31" s="101" t="str">
        <f t="shared" si="7"/>
        <v>1.020400</v>
      </c>
      <c r="AW31" s="101">
        <v>400</v>
      </c>
      <c r="AX31" s="92">
        <v>200</v>
      </c>
      <c r="AY31" s="92">
        <v>705</v>
      </c>
      <c r="AZ31" s="92">
        <v>940</v>
      </c>
      <c r="BA31" s="202">
        <v>1405</v>
      </c>
      <c r="BB31" s="202">
        <v>2110</v>
      </c>
      <c r="BC31" s="202">
        <v>3520</v>
      </c>
      <c r="BD31" s="202">
        <v>5865</v>
      </c>
      <c r="BF31" s="101" t="str">
        <f t="shared" si="8"/>
        <v>2.020400</v>
      </c>
      <c r="BG31" s="101">
        <v>400</v>
      </c>
      <c r="BH31" s="92">
        <v>195</v>
      </c>
      <c r="BI31" s="92">
        <v>515</v>
      </c>
      <c r="BJ31" s="92">
        <v>685</v>
      </c>
      <c r="BK31" s="202">
        <v>1025</v>
      </c>
      <c r="BL31" s="202">
        <v>1540</v>
      </c>
      <c r="BM31" s="202">
        <v>2570</v>
      </c>
      <c r="BN31" s="202">
        <v>4280</v>
      </c>
      <c r="BP31" s="101" t="str">
        <f t="shared" si="9"/>
        <v>3.020400</v>
      </c>
      <c r="BQ31" s="101">
        <v>400</v>
      </c>
      <c r="BR31" s="92">
        <v>185</v>
      </c>
      <c r="BS31" s="92">
        <v>480</v>
      </c>
      <c r="BT31" s="92">
        <v>640</v>
      </c>
      <c r="BU31" s="92">
        <v>960</v>
      </c>
      <c r="BV31" s="202">
        <v>1440</v>
      </c>
      <c r="BW31" s="202">
        <v>2400</v>
      </c>
      <c r="BX31" s="202">
        <v>4000</v>
      </c>
    </row>
    <row r="32" spans="1:76">
      <c r="A32" s="98"/>
      <c r="B32" s="96"/>
      <c r="C32" s="95"/>
      <c r="D32" s="100"/>
      <c r="E32" s="100"/>
      <c r="F32" s="98"/>
      <c r="G32" s="95"/>
      <c r="H32" s="95"/>
      <c r="I32" s="95"/>
      <c r="J32" s="98"/>
      <c r="K32" s="98"/>
      <c r="L32" s="95"/>
      <c r="M32" s="98"/>
      <c r="N32" s="98"/>
      <c r="O32" s="98"/>
      <c r="P32" s="98"/>
      <c r="Q32" s="98"/>
      <c r="R32" s="95"/>
      <c r="S32" s="99" t="s">
        <v>88</v>
      </c>
      <c r="T32" s="204" t="s">
        <v>217</v>
      </c>
      <c r="U32" s="98"/>
      <c r="V32" s="98">
        <f t="shared" si="10"/>
        <v>90</v>
      </c>
      <c r="W32" s="98">
        <f t="shared" si="10"/>
        <v>90</v>
      </c>
      <c r="X32" s="98">
        <f t="shared" si="10"/>
        <v>85</v>
      </c>
      <c r="Y32" s="98">
        <f t="shared" si="10"/>
        <v>85</v>
      </c>
      <c r="Z32" s="98">
        <f t="shared" si="10"/>
        <v>85</v>
      </c>
      <c r="AA32" s="98">
        <f t="shared" si="10"/>
        <v>85</v>
      </c>
      <c r="AB32" s="98">
        <f t="shared" si="10"/>
        <v>85</v>
      </c>
      <c r="AC32" s="98">
        <f t="shared" si="10"/>
        <v>85</v>
      </c>
      <c r="AD32" s="98">
        <f t="shared" si="10"/>
        <v>85</v>
      </c>
      <c r="AE32" s="98">
        <f t="shared" si="10"/>
        <v>80</v>
      </c>
      <c r="AF32" s="98">
        <f t="shared" si="11"/>
        <v>65</v>
      </c>
      <c r="AG32" s="98">
        <f t="shared" si="11"/>
        <v>50</v>
      </c>
      <c r="AH32" s="98">
        <f t="shared" si="11"/>
        <v>35</v>
      </c>
      <c r="AI32" s="98">
        <f t="shared" si="11"/>
        <v>20</v>
      </c>
      <c r="AJ32" s="98">
        <f t="shared" si="11"/>
        <v>0</v>
      </c>
      <c r="AK32" s="98">
        <f t="shared" si="11"/>
        <v>0</v>
      </c>
      <c r="AL32" s="98">
        <f t="shared" si="11"/>
        <v>0</v>
      </c>
      <c r="AM32" s="98">
        <f t="shared" si="11"/>
        <v>0</v>
      </c>
      <c r="AN32" s="98">
        <f t="shared" si="11"/>
        <v>0</v>
      </c>
      <c r="AO32" s="98">
        <f t="shared" si="11"/>
        <v>0</v>
      </c>
      <c r="AP32" s="98">
        <f t="shared" si="11"/>
        <v>0</v>
      </c>
      <c r="AQ32" s="98">
        <f t="shared" si="11"/>
        <v>0</v>
      </c>
      <c r="AR32" s="98">
        <f t="shared" si="11"/>
        <v>0</v>
      </c>
      <c r="AS32" s="98">
        <f t="shared" si="11"/>
        <v>0</v>
      </c>
      <c r="AV32" s="101" t="str">
        <f t="shared" si="7"/>
        <v>1.020500</v>
      </c>
      <c r="AW32" s="101">
        <v>500</v>
      </c>
      <c r="AX32" s="92">
        <v>170</v>
      </c>
      <c r="AY32" s="92">
        <v>665</v>
      </c>
      <c r="AZ32" s="92">
        <v>885</v>
      </c>
      <c r="BA32" s="202">
        <v>1330</v>
      </c>
      <c r="BB32" s="202">
        <v>1995</v>
      </c>
      <c r="BC32" s="202">
        <v>3325</v>
      </c>
      <c r="BD32" s="202">
        <v>5540</v>
      </c>
      <c r="BF32" s="101" t="str">
        <f t="shared" si="8"/>
        <v>2.020500</v>
      </c>
      <c r="BG32" s="101">
        <v>500</v>
      </c>
      <c r="BH32" s="92">
        <v>170</v>
      </c>
      <c r="BI32" s="92">
        <v>480</v>
      </c>
      <c r="BJ32" s="92">
        <v>635</v>
      </c>
      <c r="BK32" s="92">
        <v>955</v>
      </c>
      <c r="BL32" s="202">
        <v>1435</v>
      </c>
      <c r="BM32" s="202">
        <v>2390</v>
      </c>
      <c r="BN32" s="202">
        <v>3980</v>
      </c>
      <c r="BP32" s="101" t="str">
        <f t="shared" si="9"/>
        <v>3.020500</v>
      </c>
      <c r="BQ32" s="101">
        <v>500</v>
      </c>
      <c r="BR32" s="92">
        <v>170</v>
      </c>
      <c r="BS32" s="92">
        <v>455</v>
      </c>
      <c r="BT32" s="92">
        <v>605</v>
      </c>
      <c r="BU32" s="92">
        <v>905</v>
      </c>
      <c r="BV32" s="202">
        <v>1360</v>
      </c>
      <c r="BW32" s="202">
        <v>2270</v>
      </c>
      <c r="BX32" s="202">
        <v>3780</v>
      </c>
    </row>
    <row r="33" spans="1:76">
      <c r="A33" s="98"/>
      <c r="B33" s="96"/>
      <c r="C33" s="95"/>
      <c r="D33" s="100"/>
      <c r="E33" s="100"/>
      <c r="F33" s="98"/>
      <c r="G33" s="95"/>
      <c r="H33" s="95"/>
      <c r="I33" s="95"/>
      <c r="J33" s="98"/>
      <c r="K33" s="98"/>
      <c r="L33" s="95"/>
      <c r="M33" s="98"/>
      <c r="N33" s="98"/>
      <c r="O33" s="98"/>
      <c r="P33" s="98"/>
      <c r="Q33" s="98"/>
      <c r="R33" s="95"/>
      <c r="S33" s="99" t="s">
        <v>89</v>
      </c>
      <c r="T33" s="204" t="s">
        <v>218</v>
      </c>
      <c r="U33" s="98"/>
      <c r="V33" s="98">
        <f t="shared" si="10"/>
        <v>230</v>
      </c>
      <c r="W33" s="98">
        <f t="shared" si="10"/>
        <v>200</v>
      </c>
      <c r="X33" s="98">
        <f t="shared" si="10"/>
        <v>190</v>
      </c>
      <c r="Y33" s="98">
        <f t="shared" si="10"/>
        <v>180</v>
      </c>
      <c r="Z33" s="98">
        <f t="shared" si="10"/>
        <v>170</v>
      </c>
      <c r="AA33" s="98">
        <f t="shared" si="10"/>
        <v>140</v>
      </c>
      <c r="AB33" s="98">
        <f t="shared" si="10"/>
        <v>125</v>
      </c>
      <c r="AC33" s="98">
        <f t="shared" si="10"/>
        <v>110</v>
      </c>
      <c r="AD33" s="98">
        <f t="shared" si="10"/>
        <v>95</v>
      </c>
      <c r="AE33" s="98">
        <f t="shared" si="10"/>
        <v>80</v>
      </c>
      <c r="AF33" s="98">
        <f t="shared" si="11"/>
        <v>65</v>
      </c>
      <c r="AG33" s="98">
        <f t="shared" si="11"/>
        <v>50</v>
      </c>
      <c r="AH33" s="98">
        <f t="shared" si="11"/>
        <v>0</v>
      </c>
      <c r="AI33" s="98">
        <f t="shared" si="11"/>
        <v>0</v>
      </c>
      <c r="AJ33" s="98">
        <f t="shared" si="11"/>
        <v>0</v>
      </c>
      <c r="AK33" s="98">
        <f t="shared" si="11"/>
        <v>0</v>
      </c>
      <c r="AL33" s="98">
        <f t="shared" si="11"/>
        <v>0</v>
      </c>
      <c r="AM33" s="98">
        <f t="shared" si="11"/>
        <v>0</v>
      </c>
      <c r="AN33" s="98">
        <f t="shared" si="11"/>
        <v>0</v>
      </c>
      <c r="AO33" s="98">
        <f t="shared" si="11"/>
        <v>0</v>
      </c>
      <c r="AP33" s="98">
        <f t="shared" si="11"/>
        <v>0</v>
      </c>
      <c r="AQ33" s="98">
        <f t="shared" si="11"/>
        <v>0</v>
      </c>
      <c r="AR33" s="98">
        <f t="shared" si="11"/>
        <v>0</v>
      </c>
      <c r="AS33" s="98">
        <f t="shared" si="11"/>
        <v>0</v>
      </c>
      <c r="AV33" s="101" t="str">
        <f t="shared" si="7"/>
        <v>1.020600</v>
      </c>
      <c r="AW33" s="101">
        <v>600</v>
      </c>
      <c r="AX33" s="92">
        <v>140</v>
      </c>
      <c r="AY33" s="92">
        <v>605</v>
      </c>
      <c r="AZ33" s="92">
        <v>805</v>
      </c>
      <c r="BA33" s="202">
        <v>1210</v>
      </c>
      <c r="BB33" s="202">
        <v>1815</v>
      </c>
      <c r="BC33" s="202">
        <v>3025</v>
      </c>
      <c r="BD33" s="202">
        <v>5040</v>
      </c>
      <c r="BF33" s="101" t="str">
        <f t="shared" si="8"/>
        <v>2.020600</v>
      </c>
      <c r="BG33" s="101">
        <v>600</v>
      </c>
      <c r="BH33" s="92">
        <v>140</v>
      </c>
      <c r="BI33" s="92">
        <v>450</v>
      </c>
      <c r="BJ33" s="92">
        <v>600</v>
      </c>
      <c r="BK33" s="92">
        <v>900</v>
      </c>
      <c r="BL33" s="202">
        <v>1355</v>
      </c>
      <c r="BM33" s="202">
        <v>2255</v>
      </c>
      <c r="BN33" s="202">
        <v>3760</v>
      </c>
      <c r="BP33" s="101" t="str">
        <f t="shared" si="9"/>
        <v>3.020600</v>
      </c>
      <c r="BQ33" s="101">
        <v>600</v>
      </c>
      <c r="BR33" s="92">
        <v>140</v>
      </c>
      <c r="BS33" s="92">
        <v>415</v>
      </c>
      <c r="BT33" s="92">
        <v>550</v>
      </c>
      <c r="BU33" s="92">
        <v>825</v>
      </c>
      <c r="BV33" s="202">
        <v>1240</v>
      </c>
      <c r="BW33" s="202">
        <v>2065</v>
      </c>
      <c r="BX33" s="202">
        <v>3440</v>
      </c>
    </row>
    <row r="34" spans="1:76">
      <c r="A34" s="98"/>
      <c r="B34" s="96"/>
      <c r="C34" s="95"/>
      <c r="D34" s="100"/>
      <c r="E34" s="100"/>
      <c r="F34" s="98"/>
      <c r="G34" s="95"/>
      <c r="H34" s="95"/>
      <c r="I34" s="95"/>
      <c r="J34" s="98"/>
      <c r="K34" s="98"/>
      <c r="L34" s="95"/>
      <c r="M34" s="98"/>
      <c r="N34" s="98"/>
      <c r="O34" s="98"/>
      <c r="P34" s="98"/>
      <c r="Q34" s="98"/>
      <c r="R34" s="95"/>
      <c r="S34" s="99" t="s">
        <v>90</v>
      </c>
      <c r="T34" s="204" t="s">
        <v>219</v>
      </c>
      <c r="U34" s="98"/>
      <c r="V34" s="98">
        <f t="shared" si="10"/>
        <v>290</v>
      </c>
      <c r="W34" s="98">
        <f t="shared" si="10"/>
        <v>260</v>
      </c>
      <c r="X34" s="98">
        <f t="shared" si="10"/>
        <v>230</v>
      </c>
      <c r="Y34" s="98">
        <f t="shared" si="10"/>
        <v>200</v>
      </c>
      <c r="Z34" s="98">
        <f t="shared" si="10"/>
        <v>170</v>
      </c>
      <c r="AA34" s="98">
        <f t="shared" si="10"/>
        <v>140</v>
      </c>
      <c r="AB34" s="98">
        <f t="shared" si="10"/>
        <v>125</v>
      </c>
      <c r="AC34" s="98">
        <f t="shared" si="10"/>
        <v>110</v>
      </c>
      <c r="AD34" s="98">
        <f t="shared" si="10"/>
        <v>95</v>
      </c>
      <c r="AE34" s="98">
        <f t="shared" si="10"/>
        <v>80</v>
      </c>
      <c r="AF34" s="98">
        <f t="shared" si="11"/>
        <v>65</v>
      </c>
      <c r="AG34" s="98">
        <f t="shared" si="11"/>
        <v>50</v>
      </c>
      <c r="AH34" s="98">
        <f t="shared" si="11"/>
        <v>35</v>
      </c>
      <c r="AI34" s="98">
        <f t="shared" si="11"/>
        <v>20</v>
      </c>
      <c r="AJ34" s="98">
        <f t="shared" si="11"/>
        <v>0</v>
      </c>
      <c r="AK34" s="98">
        <f t="shared" si="11"/>
        <v>0</v>
      </c>
      <c r="AL34" s="98">
        <f t="shared" si="11"/>
        <v>0</v>
      </c>
      <c r="AM34" s="98">
        <f t="shared" si="11"/>
        <v>0</v>
      </c>
      <c r="AN34" s="98">
        <f t="shared" si="11"/>
        <v>0</v>
      </c>
      <c r="AO34" s="98">
        <f t="shared" si="11"/>
        <v>0</v>
      </c>
      <c r="AP34" s="98">
        <f t="shared" si="11"/>
        <v>0</v>
      </c>
      <c r="AQ34" s="98">
        <f t="shared" si="11"/>
        <v>0</v>
      </c>
      <c r="AR34" s="98">
        <f t="shared" si="11"/>
        <v>0</v>
      </c>
      <c r="AS34" s="98">
        <f t="shared" si="11"/>
        <v>0</v>
      </c>
      <c r="AV34" s="101" t="str">
        <f t="shared" si="7"/>
        <v>1.020650</v>
      </c>
      <c r="AW34" s="101">
        <v>650</v>
      </c>
      <c r="AX34" s="92">
        <v>125</v>
      </c>
      <c r="AY34" s="92">
        <v>590</v>
      </c>
      <c r="AZ34" s="92">
        <v>785</v>
      </c>
      <c r="BA34" s="202">
        <v>1175</v>
      </c>
      <c r="BB34" s="202">
        <v>1765</v>
      </c>
      <c r="BC34" s="202">
        <v>2940</v>
      </c>
      <c r="BD34" s="202">
        <v>4905</v>
      </c>
      <c r="BF34" s="101" t="str">
        <f t="shared" si="8"/>
        <v>2.020650</v>
      </c>
      <c r="BG34" s="101">
        <v>650</v>
      </c>
      <c r="BH34" s="92">
        <v>125</v>
      </c>
      <c r="BI34" s="92">
        <v>440</v>
      </c>
      <c r="BJ34" s="92">
        <v>590</v>
      </c>
      <c r="BK34" s="92">
        <v>885</v>
      </c>
      <c r="BL34" s="202">
        <v>1325</v>
      </c>
      <c r="BM34" s="202">
        <v>2210</v>
      </c>
      <c r="BN34" s="202">
        <v>3680</v>
      </c>
      <c r="BP34" s="101" t="str">
        <f t="shared" si="9"/>
        <v>3.020650</v>
      </c>
      <c r="BQ34" s="101">
        <v>650</v>
      </c>
    </row>
    <row r="35" spans="1:76">
      <c r="A35" s="98"/>
      <c r="B35" s="96"/>
      <c r="C35" s="95"/>
      <c r="D35" s="100"/>
      <c r="E35" s="100"/>
      <c r="F35" s="98"/>
      <c r="G35" s="95"/>
      <c r="H35" s="95"/>
      <c r="I35" s="95"/>
      <c r="J35" s="98"/>
      <c r="K35" s="98"/>
      <c r="L35" s="95"/>
      <c r="M35" s="98"/>
      <c r="N35" s="98"/>
      <c r="O35" s="98"/>
      <c r="P35" s="98"/>
      <c r="Q35" s="98"/>
      <c r="R35" s="95"/>
      <c r="S35" s="99" t="s">
        <v>91</v>
      </c>
      <c r="T35" s="204" t="s">
        <v>220</v>
      </c>
      <c r="U35" s="98"/>
      <c r="V35" s="98">
        <f t="shared" si="10"/>
        <v>275</v>
      </c>
      <c r="W35" s="98">
        <f t="shared" si="10"/>
        <v>255</v>
      </c>
      <c r="X35" s="98">
        <f t="shared" si="10"/>
        <v>230</v>
      </c>
      <c r="Y35" s="98">
        <f t="shared" si="10"/>
        <v>200</v>
      </c>
      <c r="Z35" s="98">
        <f t="shared" si="10"/>
        <v>170</v>
      </c>
      <c r="AA35" s="98">
        <f t="shared" si="10"/>
        <v>140</v>
      </c>
      <c r="AB35" s="98">
        <f t="shared" si="10"/>
        <v>125</v>
      </c>
      <c r="AC35" s="98">
        <f t="shared" si="10"/>
        <v>110</v>
      </c>
      <c r="AD35" s="98">
        <f t="shared" si="10"/>
        <v>95</v>
      </c>
      <c r="AE35" s="98">
        <f t="shared" si="10"/>
        <v>80</v>
      </c>
      <c r="AF35" s="98">
        <f t="shared" si="11"/>
        <v>65</v>
      </c>
      <c r="AG35" s="98">
        <f t="shared" si="11"/>
        <v>50</v>
      </c>
      <c r="AH35" s="98">
        <f t="shared" si="11"/>
        <v>35</v>
      </c>
      <c r="AI35" s="98">
        <f t="shared" si="11"/>
        <v>20</v>
      </c>
      <c r="AJ35" s="98">
        <f t="shared" si="11"/>
        <v>0</v>
      </c>
      <c r="AK35" s="98">
        <f t="shared" si="11"/>
        <v>0</v>
      </c>
      <c r="AL35" s="98">
        <f t="shared" si="11"/>
        <v>0</v>
      </c>
      <c r="AM35" s="98">
        <f t="shared" si="11"/>
        <v>0</v>
      </c>
      <c r="AN35" s="98">
        <f t="shared" si="11"/>
        <v>0</v>
      </c>
      <c r="AO35" s="98">
        <f t="shared" si="11"/>
        <v>0</v>
      </c>
      <c r="AP35" s="98">
        <f t="shared" si="11"/>
        <v>0</v>
      </c>
      <c r="AQ35" s="98">
        <f t="shared" si="11"/>
        <v>0</v>
      </c>
      <c r="AR35" s="98">
        <f t="shared" si="11"/>
        <v>0</v>
      </c>
      <c r="AS35" s="98">
        <f t="shared" si="11"/>
        <v>0</v>
      </c>
      <c r="AV35" s="101" t="str">
        <f t="shared" si="7"/>
        <v>1.020700</v>
      </c>
      <c r="AW35" s="101">
        <v>700</v>
      </c>
      <c r="AX35" s="92">
        <v>110</v>
      </c>
      <c r="AY35" s="92">
        <v>555</v>
      </c>
      <c r="AZ35" s="92">
        <v>740</v>
      </c>
      <c r="BA35" s="202">
        <v>1110</v>
      </c>
      <c r="BB35" s="202">
        <v>1665</v>
      </c>
      <c r="BC35" s="202">
        <v>2775</v>
      </c>
      <c r="BD35" s="202">
        <v>4630</v>
      </c>
      <c r="BF35" s="101" t="str">
        <f t="shared" si="8"/>
        <v>2.020700</v>
      </c>
      <c r="BG35" s="101">
        <v>700</v>
      </c>
      <c r="BH35" s="92">
        <v>110</v>
      </c>
      <c r="BI35" s="92">
        <v>435</v>
      </c>
      <c r="BJ35" s="92">
        <v>580</v>
      </c>
      <c r="BK35" s="92">
        <v>870</v>
      </c>
      <c r="BL35" s="202">
        <v>1305</v>
      </c>
      <c r="BM35" s="202">
        <v>2170</v>
      </c>
      <c r="BN35" s="202">
        <v>3620</v>
      </c>
      <c r="BP35" s="101" t="str">
        <f t="shared" si="9"/>
        <v>3.020700</v>
      </c>
      <c r="BQ35" s="101">
        <v>700</v>
      </c>
    </row>
    <row r="36" spans="1:76">
      <c r="A36" s="98"/>
      <c r="B36" s="96"/>
      <c r="C36" s="95"/>
      <c r="D36" s="100"/>
      <c r="E36" s="100"/>
      <c r="F36" s="98"/>
      <c r="G36" s="95"/>
      <c r="H36" s="95"/>
      <c r="I36" s="95"/>
      <c r="J36" s="98"/>
      <c r="K36" s="98"/>
      <c r="L36" s="95"/>
      <c r="M36" s="98"/>
      <c r="N36" s="98"/>
      <c r="O36" s="98"/>
      <c r="P36" s="98"/>
      <c r="Q36" s="98"/>
      <c r="R36" s="95"/>
      <c r="S36" s="99" t="s">
        <v>92</v>
      </c>
      <c r="T36" s="204" t="s">
        <v>221</v>
      </c>
      <c r="U36" s="98"/>
      <c r="V36" s="98">
        <f t="shared" si="10"/>
        <v>290</v>
      </c>
      <c r="W36" s="98">
        <f t="shared" si="10"/>
        <v>260</v>
      </c>
      <c r="X36" s="98">
        <f t="shared" si="10"/>
        <v>230</v>
      </c>
      <c r="Y36" s="98">
        <f t="shared" si="10"/>
        <v>200</v>
      </c>
      <c r="Z36" s="98">
        <f t="shared" si="10"/>
        <v>170</v>
      </c>
      <c r="AA36" s="98">
        <f t="shared" si="10"/>
        <v>140</v>
      </c>
      <c r="AB36" s="98">
        <f t="shared" si="10"/>
        <v>125</v>
      </c>
      <c r="AC36" s="98">
        <f t="shared" si="10"/>
        <v>110</v>
      </c>
      <c r="AD36" s="98">
        <f t="shared" si="10"/>
        <v>95</v>
      </c>
      <c r="AE36" s="98">
        <f t="shared" si="10"/>
        <v>80</v>
      </c>
      <c r="AF36" s="98">
        <f t="shared" si="11"/>
        <v>0</v>
      </c>
      <c r="AG36" s="98">
        <f t="shared" si="11"/>
        <v>0</v>
      </c>
      <c r="AH36" s="98">
        <f t="shared" si="11"/>
        <v>0</v>
      </c>
      <c r="AI36" s="98">
        <f t="shared" si="11"/>
        <v>0</v>
      </c>
      <c r="AJ36" s="98">
        <f t="shared" si="11"/>
        <v>0</v>
      </c>
      <c r="AK36" s="98">
        <f t="shared" si="11"/>
        <v>0</v>
      </c>
      <c r="AL36" s="98">
        <f t="shared" si="11"/>
        <v>0</v>
      </c>
      <c r="AM36" s="98">
        <f t="shared" si="11"/>
        <v>0</v>
      </c>
      <c r="AN36" s="98">
        <f t="shared" si="11"/>
        <v>0</v>
      </c>
      <c r="AO36" s="98">
        <f t="shared" si="11"/>
        <v>0</v>
      </c>
      <c r="AP36" s="98">
        <f t="shared" si="11"/>
        <v>0</v>
      </c>
      <c r="AQ36" s="98">
        <f t="shared" si="11"/>
        <v>0</v>
      </c>
      <c r="AR36" s="98">
        <f t="shared" si="11"/>
        <v>0</v>
      </c>
      <c r="AS36" s="98">
        <f t="shared" si="11"/>
        <v>0</v>
      </c>
      <c r="AV36" s="101" t="str">
        <f t="shared" si="7"/>
        <v>1.020750</v>
      </c>
      <c r="AW36" s="101">
        <v>750</v>
      </c>
      <c r="AX36" s="92">
        <v>95</v>
      </c>
      <c r="AY36" s="92">
        <v>505</v>
      </c>
      <c r="AZ36" s="92">
        <v>675</v>
      </c>
      <c r="BA36" s="202">
        <v>1015</v>
      </c>
      <c r="BB36" s="202">
        <v>1520</v>
      </c>
      <c r="BC36" s="202">
        <v>2535</v>
      </c>
      <c r="BD36" s="202">
        <v>4230</v>
      </c>
      <c r="BF36" s="101" t="str">
        <f t="shared" si="8"/>
        <v>2.020750</v>
      </c>
      <c r="BG36" s="101">
        <v>750</v>
      </c>
      <c r="BH36" s="92">
        <v>95</v>
      </c>
      <c r="BI36" s="92">
        <v>425</v>
      </c>
      <c r="BJ36" s="92">
        <v>570</v>
      </c>
      <c r="BK36" s="92">
        <v>855</v>
      </c>
      <c r="BL36" s="202">
        <v>1280</v>
      </c>
      <c r="BM36" s="202">
        <v>2135</v>
      </c>
      <c r="BN36" s="202">
        <v>3560</v>
      </c>
      <c r="BP36" s="101" t="str">
        <f t="shared" si="9"/>
        <v>3.020750</v>
      </c>
      <c r="BQ36" s="101">
        <v>750</v>
      </c>
    </row>
    <row r="37" spans="1:76">
      <c r="A37" s="98"/>
      <c r="B37" s="96"/>
      <c r="C37" s="95"/>
      <c r="D37" s="100"/>
      <c r="E37" s="100"/>
      <c r="F37" s="98"/>
      <c r="G37" s="95"/>
      <c r="H37" s="95"/>
      <c r="I37" s="95"/>
      <c r="J37" s="98"/>
      <c r="K37" s="98"/>
      <c r="L37" s="95"/>
      <c r="M37" s="98"/>
      <c r="N37" s="98"/>
      <c r="O37" s="98"/>
      <c r="P37" s="98"/>
      <c r="Q37" s="98"/>
      <c r="R37" s="95"/>
      <c r="S37" s="99" t="s">
        <v>93</v>
      </c>
      <c r="T37" s="204" t="s">
        <v>222</v>
      </c>
      <c r="U37" s="98"/>
      <c r="V37" s="98">
        <f t="shared" si="10"/>
        <v>290</v>
      </c>
      <c r="W37" s="98">
        <f t="shared" si="10"/>
        <v>260</v>
      </c>
      <c r="X37" s="98">
        <f t="shared" si="10"/>
        <v>230</v>
      </c>
      <c r="Y37" s="98">
        <f t="shared" si="10"/>
        <v>200</v>
      </c>
      <c r="Z37" s="98">
        <f t="shared" si="10"/>
        <v>170</v>
      </c>
      <c r="AA37" s="98">
        <f t="shared" si="10"/>
        <v>140</v>
      </c>
      <c r="AB37" s="98">
        <f t="shared" si="10"/>
        <v>125</v>
      </c>
      <c r="AC37" s="98">
        <f t="shared" si="10"/>
        <v>110</v>
      </c>
      <c r="AD37" s="98">
        <f t="shared" si="10"/>
        <v>95</v>
      </c>
      <c r="AE37" s="98">
        <f t="shared" si="10"/>
        <v>80</v>
      </c>
      <c r="AF37" s="98">
        <f t="shared" si="11"/>
        <v>65</v>
      </c>
      <c r="AG37" s="98">
        <f t="shared" si="11"/>
        <v>50</v>
      </c>
      <c r="AH37" s="98">
        <f t="shared" si="11"/>
        <v>35</v>
      </c>
      <c r="AI37" s="98">
        <f t="shared" si="11"/>
        <v>20</v>
      </c>
      <c r="AJ37" s="98">
        <f t="shared" si="11"/>
        <v>0</v>
      </c>
      <c r="AK37" s="98">
        <f t="shared" si="11"/>
        <v>0</v>
      </c>
      <c r="AL37" s="98">
        <f t="shared" si="11"/>
        <v>0</v>
      </c>
      <c r="AM37" s="98">
        <f t="shared" si="11"/>
        <v>0</v>
      </c>
      <c r="AN37" s="98">
        <f t="shared" si="11"/>
        <v>0</v>
      </c>
      <c r="AO37" s="98">
        <f t="shared" si="11"/>
        <v>0</v>
      </c>
      <c r="AP37" s="98">
        <f t="shared" si="11"/>
        <v>0</v>
      </c>
      <c r="AQ37" s="98">
        <f t="shared" si="11"/>
        <v>0</v>
      </c>
      <c r="AR37" s="98">
        <f t="shared" si="11"/>
        <v>0</v>
      </c>
      <c r="AS37" s="98">
        <f t="shared" si="11"/>
        <v>0</v>
      </c>
      <c r="AV37" s="101" t="str">
        <f t="shared" si="7"/>
        <v>1.020800</v>
      </c>
      <c r="AW37" s="101">
        <v>800</v>
      </c>
      <c r="AX37" s="92">
        <v>80</v>
      </c>
      <c r="AY37" s="92">
        <v>410</v>
      </c>
      <c r="AZ37" s="92">
        <v>550</v>
      </c>
      <c r="BA37" s="92">
        <v>825</v>
      </c>
      <c r="BB37" s="202">
        <v>1235</v>
      </c>
      <c r="BC37" s="202">
        <v>2055</v>
      </c>
      <c r="BD37" s="202">
        <v>3430</v>
      </c>
      <c r="BF37" s="101" t="str">
        <f t="shared" si="8"/>
        <v>2.020800</v>
      </c>
      <c r="BG37" s="101">
        <v>800</v>
      </c>
      <c r="BH37" s="92">
        <v>80</v>
      </c>
      <c r="BI37" s="92">
        <v>420</v>
      </c>
      <c r="BJ37" s="92">
        <v>565</v>
      </c>
      <c r="BK37" s="92">
        <v>845</v>
      </c>
      <c r="BL37" s="202">
        <v>1265</v>
      </c>
      <c r="BM37" s="202">
        <v>2110</v>
      </c>
      <c r="BN37" s="202">
        <v>3520</v>
      </c>
      <c r="BP37" s="101" t="str">
        <f t="shared" si="9"/>
        <v>3.020800</v>
      </c>
      <c r="BQ37" s="101">
        <v>800</v>
      </c>
    </row>
    <row r="38" spans="1:76">
      <c r="A38" s="98"/>
      <c r="B38" s="96"/>
      <c r="C38" s="95"/>
      <c r="D38" s="100"/>
      <c r="E38" s="100"/>
      <c r="F38" s="98"/>
      <c r="G38" s="95"/>
      <c r="H38" s="95"/>
      <c r="I38" s="95"/>
      <c r="J38" s="98"/>
      <c r="K38" s="98"/>
      <c r="L38" s="95"/>
      <c r="M38" s="98"/>
      <c r="N38" s="98"/>
      <c r="O38" s="98"/>
      <c r="P38" s="98"/>
      <c r="Q38" s="98"/>
      <c r="R38" s="95"/>
      <c r="S38" s="99" t="s">
        <v>94</v>
      </c>
      <c r="T38" s="204" t="s">
        <v>223</v>
      </c>
      <c r="U38" s="98"/>
      <c r="V38" s="98">
        <f t="shared" si="10"/>
        <v>290</v>
      </c>
      <c r="W38" s="98">
        <f t="shared" si="10"/>
        <v>260</v>
      </c>
      <c r="X38" s="98">
        <f t="shared" si="10"/>
        <v>230</v>
      </c>
      <c r="Y38" s="98">
        <f t="shared" si="10"/>
        <v>200</v>
      </c>
      <c r="Z38" s="98">
        <f t="shared" si="10"/>
        <v>170</v>
      </c>
      <c r="AA38" s="98">
        <f t="shared" si="10"/>
        <v>140</v>
      </c>
      <c r="AB38" s="98">
        <f t="shared" si="10"/>
        <v>125</v>
      </c>
      <c r="AC38" s="98">
        <f t="shared" si="10"/>
        <v>110</v>
      </c>
      <c r="AD38" s="98">
        <f t="shared" si="10"/>
        <v>95</v>
      </c>
      <c r="AE38" s="98">
        <f t="shared" si="10"/>
        <v>80</v>
      </c>
      <c r="AF38" s="98">
        <f t="shared" si="11"/>
        <v>65</v>
      </c>
      <c r="AG38" s="98">
        <f t="shared" si="11"/>
        <v>50</v>
      </c>
      <c r="AH38" s="98">
        <f t="shared" si="11"/>
        <v>35</v>
      </c>
      <c r="AI38" s="98">
        <f t="shared" si="11"/>
        <v>20</v>
      </c>
      <c r="AJ38" s="98">
        <f t="shared" si="11"/>
        <v>0</v>
      </c>
      <c r="AK38" s="98">
        <f t="shared" si="11"/>
        <v>0</v>
      </c>
      <c r="AL38" s="98">
        <f t="shared" si="11"/>
        <v>0</v>
      </c>
      <c r="AM38" s="98">
        <f t="shared" si="11"/>
        <v>0</v>
      </c>
      <c r="AN38" s="98">
        <f t="shared" si="11"/>
        <v>0</v>
      </c>
      <c r="AO38" s="98">
        <f t="shared" si="11"/>
        <v>0</v>
      </c>
      <c r="AP38" s="98">
        <f t="shared" si="11"/>
        <v>0</v>
      </c>
      <c r="AQ38" s="98">
        <f t="shared" si="11"/>
        <v>0</v>
      </c>
      <c r="AR38" s="98">
        <f t="shared" si="11"/>
        <v>0</v>
      </c>
      <c r="AS38" s="98">
        <f t="shared" si="11"/>
        <v>0</v>
      </c>
      <c r="AV38" s="101" t="str">
        <f t="shared" si="7"/>
        <v>1.020850</v>
      </c>
      <c r="AW38" s="101">
        <v>850</v>
      </c>
      <c r="AX38" s="92">
        <v>65</v>
      </c>
      <c r="AY38" s="92">
        <v>320</v>
      </c>
      <c r="AZ38" s="92">
        <v>425</v>
      </c>
      <c r="BA38" s="92">
        <v>640</v>
      </c>
      <c r="BB38" s="92">
        <v>955</v>
      </c>
      <c r="BC38" s="202">
        <v>1595</v>
      </c>
      <c r="BD38" s="202">
        <v>2655</v>
      </c>
      <c r="BF38" s="101" t="str">
        <f t="shared" si="8"/>
        <v>2.020850</v>
      </c>
      <c r="BG38" s="101">
        <v>850</v>
      </c>
      <c r="BH38" s="92">
        <v>65</v>
      </c>
      <c r="BI38" s="92">
        <v>420</v>
      </c>
      <c r="BJ38" s="92">
        <v>555</v>
      </c>
      <c r="BK38" s="92">
        <v>835</v>
      </c>
      <c r="BL38" s="202">
        <v>1255</v>
      </c>
      <c r="BM38" s="202">
        <v>2090</v>
      </c>
      <c r="BN38" s="202">
        <v>3480</v>
      </c>
      <c r="BP38" s="101" t="str">
        <f t="shared" si="9"/>
        <v>3.020850</v>
      </c>
      <c r="BQ38" s="101">
        <v>850</v>
      </c>
    </row>
    <row r="39" spans="1:76">
      <c r="A39" s="98"/>
      <c r="B39" s="96"/>
      <c r="C39" s="95"/>
      <c r="D39" s="100"/>
      <c r="E39" s="100"/>
      <c r="F39" s="98"/>
      <c r="G39" s="95"/>
      <c r="H39" s="95"/>
      <c r="I39" s="95"/>
      <c r="J39" s="98"/>
      <c r="K39" s="98"/>
      <c r="L39" s="95"/>
      <c r="M39" s="98"/>
      <c r="N39" s="98"/>
      <c r="O39" s="98"/>
      <c r="P39" s="98"/>
      <c r="Q39" s="98"/>
      <c r="R39" s="95"/>
      <c r="S39" s="99" t="s">
        <v>95</v>
      </c>
      <c r="T39" s="204" t="s">
        <v>95</v>
      </c>
      <c r="U39" s="98"/>
      <c r="V39" s="98">
        <f t="shared" si="10"/>
        <v>290</v>
      </c>
      <c r="W39" s="98">
        <f t="shared" si="10"/>
        <v>260</v>
      </c>
      <c r="X39" s="98">
        <f t="shared" si="10"/>
        <v>230</v>
      </c>
      <c r="Y39" s="98">
        <f t="shared" si="10"/>
        <v>200</v>
      </c>
      <c r="Z39" s="98">
        <f t="shared" si="10"/>
        <v>170</v>
      </c>
      <c r="AA39" s="98">
        <f t="shared" si="10"/>
        <v>140</v>
      </c>
      <c r="AB39" s="98">
        <f t="shared" si="10"/>
        <v>125</v>
      </c>
      <c r="AC39" s="98">
        <f t="shared" si="10"/>
        <v>0</v>
      </c>
      <c r="AD39" s="98">
        <f t="shared" si="10"/>
        <v>0</v>
      </c>
      <c r="AE39" s="98">
        <f t="shared" si="10"/>
        <v>0</v>
      </c>
      <c r="AF39" s="98">
        <f t="shared" si="11"/>
        <v>0</v>
      </c>
      <c r="AG39" s="98">
        <f t="shared" si="11"/>
        <v>0</v>
      </c>
      <c r="AH39" s="98">
        <f t="shared" si="11"/>
        <v>0</v>
      </c>
      <c r="AI39" s="98">
        <f t="shared" si="11"/>
        <v>0</v>
      </c>
      <c r="AJ39" s="98">
        <f t="shared" si="11"/>
        <v>0</v>
      </c>
      <c r="AK39" s="98">
        <f t="shared" si="11"/>
        <v>0</v>
      </c>
      <c r="AL39" s="98">
        <f t="shared" si="11"/>
        <v>0</v>
      </c>
      <c r="AM39" s="98">
        <f t="shared" si="11"/>
        <v>0</v>
      </c>
      <c r="AN39" s="98">
        <f t="shared" si="11"/>
        <v>0</v>
      </c>
      <c r="AO39" s="98">
        <f t="shared" si="11"/>
        <v>0</v>
      </c>
      <c r="AP39" s="98">
        <f t="shared" si="11"/>
        <v>0</v>
      </c>
      <c r="AQ39" s="98">
        <f t="shared" si="11"/>
        <v>0</v>
      </c>
      <c r="AR39" s="98">
        <f t="shared" si="11"/>
        <v>0</v>
      </c>
      <c r="AS39" s="98">
        <f t="shared" si="11"/>
        <v>0</v>
      </c>
      <c r="AV39" s="101" t="str">
        <f t="shared" si="7"/>
        <v>1.020900</v>
      </c>
      <c r="AW39" s="101">
        <v>900</v>
      </c>
      <c r="AX39" s="92">
        <v>50</v>
      </c>
      <c r="AY39" s="92">
        <v>225</v>
      </c>
      <c r="AZ39" s="92">
        <v>295</v>
      </c>
      <c r="BA39" s="92">
        <v>445</v>
      </c>
      <c r="BB39" s="92">
        <v>670</v>
      </c>
      <c r="BC39" s="202">
        <v>1115</v>
      </c>
      <c r="BD39" s="202">
        <v>1855</v>
      </c>
      <c r="BF39" s="101" t="str">
        <f t="shared" si="8"/>
        <v>2.020900</v>
      </c>
      <c r="BG39" s="101">
        <v>900</v>
      </c>
      <c r="BH39" s="92">
        <v>50</v>
      </c>
      <c r="BI39" s="92">
        <v>415</v>
      </c>
      <c r="BJ39" s="92">
        <v>555</v>
      </c>
      <c r="BK39" s="92">
        <v>830</v>
      </c>
      <c r="BL39" s="202">
        <v>1245</v>
      </c>
      <c r="BM39" s="202">
        <v>2075</v>
      </c>
      <c r="BN39" s="202">
        <v>3460</v>
      </c>
      <c r="BP39" s="101" t="str">
        <f t="shared" si="9"/>
        <v>3.020900</v>
      </c>
      <c r="BQ39" s="101">
        <v>900</v>
      </c>
    </row>
    <row r="40" spans="1:76">
      <c r="A40" s="98"/>
      <c r="B40" s="96"/>
      <c r="C40" s="95"/>
      <c r="D40" s="100"/>
      <c r="E40" s="100"/>
      <c r="F40" s="98"/>
      <c r="G40" s="95"/>
      <c r="H40" s="95"/>
      <c r="I40" s="95"/>
      <c r="J40" s="98"/>
      <c r="K40" s="98"/>
      <c r="L40" s="95"/>
      <c r="M40" s="98"/>
      <c r="N40" s="98"/>
      <c r="O40" s="98"/>
      <c r="P40" s="98"/>
      <c r="Q40" s="98"/>
      <c r="R40" s="95"/>
      <c r="S40" s="99" t="s">
        <v>96</v>
      </c>
      <c r="T40" s="204" t="s">
        <v>96</v>
      </c>
      <c r="U40" s="98"/>
      <c r="V40" s="98">
        <f t="shared" ref="V40:AE47" si="12">VLOOKUP($T40&amp;TEXT(V$1,"0000"),$BP$4:$BX$435,3)</f>
        <v>285</v>
      </c>
      <c r="W40" s="98">
        <f t="shared" si="12"/>
        <v>230</v>
      </c>
      <c r="X40" s="98">
        <f t="shared" si="12"/>
        <v>210</v>
      </c>
      <c r="Y40" s="98">
        <f t="shared" si="12"/>
        <v>190</v>
      </c>
      <c r="Z40" s="98">
        <f t="shared" si="12"/>
        <v>170</v>
      </c>
      <c r="AA40" s="98">
        <f t="shared" si="12"/>
        <v>140</v>
      </c>
      <c r="AB40" s="98">
        <f t="shared" si="12"/>
        <v>125</v>
      </c>
      <c r="AC40" s="98">
        <f t="shared" si="12"/>
        <v>110</v>
      </c>
      <c r="AD40" s="98">
        <f t="shared" si="12"/>
        <v>0</v>
      </c>
      <c r="AE40" s="98">
        <f t="shared" si="12"/>
        <v>0</v>
      </c>
      <c r="AF40" s="98">
        <f t="shared" ref="AF40:AS47" si="13">VLOOKUP($T40&amp;TEXT(AF$1,"0000"),$BP$4:$BX$435,3)</f>
        <v>0</v>
      </c>
      <c r="AG40" s="98">
        <f t="shared" si="13"/>
        <v>0</v>
      </c>
      <c r="AH40" s="98">
        <f t="shared" si="13"/>
        <v>0</v>
      </c>
      <c r="AI40" s="98">
        <f t="shared" si="13"/>
        <v>0</v>
      </c>
      <c r="AJ40" s="98">
        <f t="shared" si="13"/>
        <v>0</v>
      </c>
      <c r="AK40" s="98">
        <f t="shared" si="13"/>
        <v>0</v>
      </c>
      <c r="AL40" s="98">
        <f t="shared" si="13"/>
        <v>0</v>
      </c>
      <c r="AM40" s="98">
        <f t="shared" si="13"/>
        <v>0</v>
      </c>
      <c r="AN40" s="98">
        <f t="shared" si="13"/>
        <v>0</v>
      </c>
      <c r="AO40" s="98">
        <f t="shared" si="13"/>
        <v>0</v>
      </c>
      <c r="AP40" s="98">
        <f t="shared" si="13"/>
        <v>0</v>
      </c>
      <c r="AQ40" s="98">
        <f t="shared" si="13"/>
        <v>0</v>
      </c>
      <c r="AR40" s="98">
        <f t="shared" si="13"/>
        <v>0</v>
      </c>
      <c r="AS40" s="98">
        <f t="shared" si="13"/>
        <v>0</v>
      </c>
      <c r="AV40" s="101" t="str">
        <f t="shared" si="7"/>
        <v>1.020950</v>
      </c>
      <c r="AW40" s="101">
        <v>950</v>
      </c>
      <c r="AX40" s="92">
        <v>35</v>
      </c>
      <c r="AY40" s="92">
        <v>135</v>
      </c>
      <c r="AZ40" s="92">
        <v>185</v>
      </c>
      <c r="BA40" s="92">
        <v>275</v>
      </c>
      <c r="BB40" s="92">
        <v>410</v>
      </c>
      <c r="BC40" s="92">
        <v>685</v>
      </c>
      <c r="BD40" s="202">
        <v>1145</v>
      </c>
      <c r="BF40" s="101" t="str">
        <f t="shared" si="8"/>
        <v>2.020950</v>
      </c>
      <c r="BG40" s="101">
        <v>950</v>
      </c>
      <c r="BH40" s="92">
        <v>35</v>
      </c>
      <c r="BI40" s="92">
        <v>385</v>
      </c>
      <c r="BJ40" s="92">
        <v>515</v>
      </c>
      <c r="BK40" s="92">
        <v>775</v>
      </c>
      <c r="BL40" s="202">
        <v>1160</v>
      </c>
      <c r="BM40" s="202">
        <v>1930</v>
      </c>
      <c r="BN40" s="202">
        <v>3220</v>
      </c>
      <c r="BP40" s="101" t="str">
        <f t="shared" si="9"/>
        <v>3.020950</v>
      </c>
      <c r="BQ40" s="101">
        <v>950</v>
      </c>
    </row>
    <row r="41" spans="1:76">
      <c r="A41" s="98"/>
      <c r="B41" s="96"/>
      <c r="C41" s="95"/>
      <c r="D41" s="100"/>
      <c r="E41" s="100"/>
      <c r="F41" s="98"/>
      <c r="G41" s="95"/>
      <c r="H41" s="95"/>
      <c r="I41" s="95"/>
      <c r="J41" s="98"/>
      <c r="K41" s="98"/>
      <c r="L41" s="95"/>
      <c r="M41" s="98"/>
      <c r="N41" s="98"/>
      <c r="O41" s="98"/>
      <c r="P41" s="98"/>
      <c r="Q41" s="98"/>
      <c r="R41" s="95"/>
      <c r="S41" s="99" t="s">
        <v>97</v>
      </c>
      <c r="T41" s="204" t="s">
        <v>97</v>
      </c>
      <c r="U41" s="98"/>
      <c r="V41" s="98">
        <f t="shared" si="12"/>
        <v>260</v>
      </c>
      <c r="W41" s="98">
        <f t="shared" si="12"/>
        <v>240</v>
      </c>
      <c r="X41" s="98">
        <f t="shared" si="12"/>
        <v>225</v>
      </c>
      <c r="Y41" s="98">
        <f t="shared" si="12"/>
        <v>200</v>
      </c>
      <c r="Z41" s="98">
        <f t="shared" si="12"/>
        <v>170</v>
      </c>
      <c r="AA41" s="98">
        <f t="shared" si="12"/>
        <v>140</v>
      </c>
      <c r="AB41" s="98">
        <f t="shared" si="12"/>
        <v>125</v>
      </c>
      <c r="AC41" s="98">
        <f t="shared" si="12"/>
        <v>110</v>
      </c>
      <c r="AD41" s="98">
        <f t="shared" si="12"/>
        <v>95</v>
      </c>
      <c r="AE41" s="98">
        <f t="shared" si="12"/>
        <v>80</v>
      </c>
      <c r="AF41" s="98">
        <f t="shared" si="13"/>
        <v>0</v>
      </c>
      <c r="AG41" s="98">
        <f t="shared" si="13"/>
        <v>0</v>
      </c>
      <c r="AH41" s="98">
        <f t="shared" si="13"/>
        <v>0</v>
      </c>
      <c r="AI41" s="98">
        <f t="shared" si="13"/>
        <v>0</v>
      </c>
      <c r="AJ41" s="98">
        <f t="shared" si="13"/>
        <v>0</v>
      </c>
      <c r="AK41" s="98">
        <f t="shared" si="13"/>
        <v>0</v>
      </c>
      <c r="AL41" s="98">
        <f t="shared" si="13"/>
        <v>0</v>
      </c>
      <c r="AM41" s="98">
        <f t="shared" si="13"/>
        <v>0</v>
      </c>
      <c r="AN41" s="98">
        <f t="shared" si="13"/>
        <v>0</v>
      </c>
      <c r="AO41" s="98">
        <f t="shared" si="13"/>
        <v>0</v>
      </c>
      <c r="AP41" s="98">
        <f t="shared" si="13"/>
        <v>0</v>
      </c>
      <c r="AQ41" s="98">
        <f t="shared" si="13"/>
        <v>0</v>
      </c>
      <c r="AR41" s="98">
        <f t="shared" si="13"/>
        <v>0</v>
      </c>
      <c r="AS41" s="98">
        <f t="shared" si="13"/>
        <v>0</v>
      </c>
      <c r="AV41" s="101" t="str">
        <f t="shared" si="7"/>
        <v>1.021000</v>
      </c>
      <c r="AW41" s="101">
        <v>1000</v>
      </c>
      <c r="AX41" s="92">
        <v>20</v>
      </c>
      <c r="AY41" s="92">
        <v>85</v>
      </c>
      <c r="AZ41" s="92">
        <v>115</v>
      </c>
      <c r="BA41" s="92">
        <v>170</v>
      </c>
      <c r="BB41" s="92">
        <v>255</v>
      </c>
      <c r="BC41" s="92">
        <v>430</v>
      </c>
      <c r="BD41" s="92">
        <v>715</v>
      </c>
      <c r="BF41" s="101" t="str">
        <f t="shared" si="8"/>
        <v>2.021000</v>
      </c>
      <c r="BG41" s="101">
        <v>1000</v>
      </c>
      <c r="BH41" s="92">
        <v>20</v>
      </c>
      <c r="BI41" s="92">
        <v>365</v>
      </c>
      <c r="BJ41" s="92">
        <v>485</v>
      </c>
      <c r="BK41" s="92">
        <v>725</v>
      </c>
      <c r="BL41" s="202">
        <v>1090</v>
      </c>
      <c r="BM41" s="202">
        <v>1820</v>
      </c>
      <c r="BN41" s="202">
        <v>3030</v>
      </c>
      <c r="BP41" s="101" t="str">
        <f t="shared" si="9"/>
        <v>3.021000</v>
      </c>
      <c r="BQ41" s="101">
        <v>1000</v>
      </c>
    </row>
    <row r="42" spans="1:76">
      <c r="A42" s="98"/>
      <c r="B42" s="96"/>
      <c r="C42" s="95"/>
      <c r="D42" s="100"/>
      <c r="E42" s="100"/>
      <c r="F42" s="98"/>
      <c r="G42" s="95"/>
      <c r="H42" s="95"/>
      <c r="I42" s="95"/>
      <c r="J42" s="98"/>
      <c r="K42" s="98"/>
      <c r="L42" s="95"/>
      <c r="M42" s="98"/>
      <c r="N42" s="98"/>
      <c r="O42" s="98"/>
      <c r="P42" s="98"/>
      <c r="Q42" s="98"/>
      <c r="R42" s="95"/>
      <c r="S42" s="99" t="s">
        <v>98</v>
      </c>
      <c r="T42" s="204" t="s">
        <v>98</v>
      </c>
      <c r="U42" s="98"/>
      <c r="V42" s="98">
        <f t="shared" si="12"/>
        <v>290</v>
      </c>
      <c r="W42" s="98">
        <f t="shared" si="12"/>
        <v>260</v>
      </c>
      <c r="X42" s="98">
        <f t="shared" si="12"/>
        <v>230</v>
      </c>
      <c r="Y42" s="98">
        <f t="shared" si="12"/>
        <v>200</v>
      </c>
      <c r="Z42" s="98">
        <f t="shared" si="12"/>
        <v>170</v>
      </c>
      <c r="AA42" s="98">
        <f t="shared" si="12"/>
        <v>140</v>
      </c>
      <c r="AB42" s="98">
        <f t="shared" si="12"/>
        <v>125</v>
      </c>
      <c r="AC42" s="98">
        <f t="shared" si="12"/>
        <v>110</v>
      </c>
      <c r="AD42" s="98">
        <f t="shared" si="12"/>
        <v>95</v>
      </c>
      <c r="AE42" s="98">
        <f t="shared" si="12"/>
        <v>80</v>
      </c>
      <c r="AF42" s="98">
        <f t="shared" si="13"/>
        <v>0</v>
      </c>
      <c r="AG42" s="98">
        <f t="shared" si="13"/>
        <v>0</v>
      </c>
      <c r="AH42" s="98">
        <f t="shared" si="13"/>
        <v>0</v>
      </c>
      <c r="AI42" s="98">
        <f t="shared" si="13"/>
        <v>0</v>
      </c>
      <c r="AJ42" s="98">
        <f t="shared" si="13"/>
        <v>0</v>
      </c>
      <c r="AK42" s="98">
        <f t="shared" si="13"/>
        <v>0</v>
      </c>
      <c r="AL42" s="98">
        <f t="shared" si="13"/>
        <v>0</v>
      </c>
      <c r="AM42" s="98">
        <f t="shared" si="13"/>
        <v>0</v>
      </c>
      <c r="AN42" s="98">
        <f t="shared" si="13"/>
        <v>0</v>
      </c>
      <c r="AO42" s="98">
        <f t="shared" si="13"/>
        <v>0</v>
      </c>
      <c r="AP42" s="98">
        <f t="shared" si="13"/>
        <v>0</v>
      </c>
      <c r="AQ42" s="98">
        <f t="shared" si="13"/>
        <v>0</v>
      </c>
      <c r="AR42" s="98">
        <f t="shared" si="13"/>
        <v>0</v>
      </c>
      <c r="AS42" s="98">
        <f t="shared" si="13"/>
        <v>0</v>
      </c>
      <c r="AV42" s="101" t="str">
        <f t="shared" si="7"/>
        <v>1.021050</v>
      </c>
      <c r="AW42" s="101">
        <v>1050</v>
      </c>
      <c r="BF42" s="101" t="str">
        <f t="shared" si="8"/>
        <v>2.021050</v>
      </c>
      <c r="BG42" s="101">
        <v>1050</v>
      </c>
      <c r="BI42" s="92">
        <v>360</v>
      </c>
      <c r="BJ42" s="92">
        <v>480</v>
      </c>
      <c r="BK42" s="92">
        <v>720</v>
      </c>
      <c r="BL42" s="202">
        <v>1080</v>
      </c>
      <c r="BM42" s="202">
        <v>1800</v>
      </c>
      <c r="BN42" s="202">
        <v>3000</v>
      </c>
      <c r="BP42" s="101" t="str">
        <f t="shared" si="9"/>
        <v>3.021050</v>
      </c>
      <c r="BQ42" s="101">
        <v>1050</v>
      </c>
    </row>
    <row r="43" spans="1:76">
      <c r="A43" s="98"/>
      <c r="B43" s="96"/>
      <c r="C43" s="95"/>
      <c r="D43" s="100"/>
      <c r="E43" s="100"/>
      <c r="F43" s="98"/>
      <c r="G43" s="95"/>
      <c r="H43" s="95"/>
      <c r="I43" s="95"/>
      <c r="J43" s="98"/>
      <c r="K43" s="98"/>
      <c r="L43" s="95"/>
      <c r="M43" s="98"/>
      <c r="N43" s="98"/>
      <c r="O43" s="98"/>
      <c r="P43" s="98"/>
      <c r="Q43" s="98"/>
      <c r="R43" s="95"/>
      <c r="S43" s="99" t="s">
        <v>99</v>
      </c>
      <c r="T43" s="204" t="s">
        <v>99</v>
      </c>
      <c r="U43" s="98"/>
      <c r="V43" s="98">
        <f t="shared" si="12"/>
        <v>275</v>
      </c>
      <c r="W43" s="98">
        <f t="shared" si="12"/>
        <v>250</v>
      </c>
      <c r="X43" s="98">
        <f t="shared" si="12"/>
        <v>230</v>
      </c>
      <c r="Y43" s="98">
        <f t="shared" si="12"/>
        <v>200</v>
      </c>
      <c r="Z43" s="98">
        <f t="shared" si="12"/>
        <v>170</v>
      </c>
      <c r="AA43" s="98">
        <f t="shared" si="12"/>
        <v>140</v>
      </c>
      <c r="AB43" s="98">
        <f t="shared" si="12"/>
        <v>125</v>
      </c>
      <c r="AC43" s="98">
        <f t="shared" si="12"/>
        <v>110</v>
      </c>
      <c r="AD43" s="98">
        <f t="shared" si="12"/>
        <v>95</v>
      </c>
      <c r="AE43" s="98">
        <f t="shared" si="12"/>
        <v>80</v>
      </c>
      <c r="AF43" s="98">
        <f t="shared" si="13"/>
        <v>65</v>
      </c>
      <c r="AG43" s="98">
        <f t="shared" si="13"/>
        <v>50</v>
      </c>
      <c r="AH43" s="98">
        <f t="shared" si="13"/>
        <v>35</v>
      </c>
      <c r="AI43" s="98">
        <f t="shared" si="13"/>
        <v>20</v>
      </c>
      <c r="AJ43" s="98">
        <f t="shared" si="13"/>
        <v>0</v>
      </c>
      <c r="AK43" s="98">
        <f t="shared" si="13"/>
        <v>0</v>
      </c>
      <c r="AL43" s="98">
        <f t="shared" si="13"/>
        <v>0</v>
      </c>
      <c r="AM43" s="98">
        <f t="shared" si="13"/>
        <v>0</v>
      </c>
      <c r="AN43" s="98">
        <f t="shared" si="13"/>
        <v>0</v>
      </c>
      <c r="AO43" s="98">
        <f t="shared" si="13"/>
        <v>0</v>
      </c>
      <c r="AP43" s="98">
        <f t="shared" si="13"/>
        <v>0</v>
      </c>
      <c r="AQ43" s="98">
        <f t="shared" si="13"/>
        <v>0</v>
      </c>
      <c r="AR43" s="98">
        <f t="shared" si="13"/>
        <v>0</v>
      </c>
      <c r="AS43" s="98">
        <f t="shared" si="13"/>
        <v>0</v>
      </c>
      <c r="AV43" s="101" t="str">
        <f t="shared" si="7"/>
        <v>1.021100</v>
      </c>
      <c r="AW43" s="101">
        <v>1100</v>
      </c>
      <c r="BF43" s="101" t="str">
        <f t="shared" si="8"/>
        <v>2.021100</v>
      </c>
      <c r="BG43" s="101">
        <v>1100</v>
      </c>
      <c r="BI43" s="92">
        <v>305</v>
      </c>
      <c r="BJ43" s="92">
        <v>405</v>
      </c>
      <c r="BK43" s="92">
        <v>610</v>
      </c>
      <c r="BL43" s="92">
        <v>915</v>
      </c>
      <c r="BM43" s="202">
        <v>1525</v>
      </c>
      <c r="BN43" s="202">
        <v>2545</v>
      </c>
      <c r="BP43" s="101" t="str">
        <f t="shared" si="9"/>
        <v>3.021100</v>
      </c>
      <c r="BQ43" s="101">
        <v>1100</v>
      </c>
    </row>
    <row r="44" spans="1:76">
      <c r="A44" s="98"/>
      <c r="B44" s="96"/>
      <c r="C44" s="95"/>
      <c r="D44" s="100"/>
      <c r="E44" s="100"/>
      <c r="F44" s="98"/>
      <c r="G44" s="95"/>
      <c r="H44" s="95"/>
      <c r="I44" s="95"/>
      <c r="J44" s="98"/>
      <c r="K44" s="98"/>
      <c r="L44" s="95"/>
      <c r="M44" s="98"/>
      <c r="N44" s="98"/>
      <c r="O44" s="98"/>
      <c r="P44" s="98"/>
      <c r="Q44" s="98"/>
      <c r="R44" s="95"/>
      <c r="S44" s="99" t="s">
        <v>100</v>
      </c>
      <c r="T44" s="204" t="s">
        <v>100</v>
      </c>
      <c r="U44" s="98"/>
      <c r="V44" s="98">
        <f t="shared" si="12"/>
        <v>230</v>
      </c>
      <c r="W44" s="98">
        <f t="shared" si="12"/>
        <v>210</v>
      </c>
      <c r="X44" s="98">
        <f t="shared" si="12"/>
        <v>200</v>
      </c>
      <c r="Y44" s="98">
        <f t="shared" si="12"/>
        <v>190</v>
      </c>
      <c r="Z44" s="98">
        <f t="shared" si="12"/>
        <v>170</v>
      </c>
      <c r="AA44" s="98">
        <f t="shared" si="12"/>
        <v>140</v>
      </c>
      <c r="AB44" s="98">
        <f t="shared" si="12"/>
        <v>125</v>
      </c>
      <c r="AC44" s="98">
        <f t="shared" si="12"/>
        <v>110</v>
      </c>
      <c r="AD44" s="98">
        <f t="shared" si="12"/>
        <v>95</v>
      </c>
      <c r="AE44" s="98">
        <f t="shared" si="12"/>
        <v>80</v>
      </c>
      <c r="AF44" s="98">
        <f t="shared" si="13"/>
        <v>65</v>
      </c>
      <c r="AG44" s="98">
        <f t="shared" si="13"/>
        <v>50</v>
      </c>
      <c r="AH44" s="98">
        <f t="shared" si="13"/>
        <v>35</v>
      </c>
      <c r="AI44" s="98">
        <f t="shared" si="13"/>
        <v>20</v>
      </c>
      <c r="AJ44" s="98">
        <f t="shared" si="13"/>
        <v>0</v>
      </c>
      <c r="AK44" s="98">
        <f t="shared" si="13"/>
        <v>0</v>
      </c>
      <c r="AL44" s="98">
        <f t="shared" si="13"/>
        <v>0</v>
      </c>
      <c r="AM44" s="98">
        <f t="shared" si="13"/>
        <v>0</v>
      </c>
      <c r="AN44" s="98">
        <f t="shared" si="13"/>
        <v>0</v>
      </c>
      <c r="AO44" s="98">
        <f t="shared" si="13"/>
        <v>0</v>
      </c>
      <c r="AP44" s="98">
        <f t="shared" si="13"/>
        <v>0</v>
      </c>
      <c r="AQ44" s="98">
        <f t="shared" si="13"/>
        <v>0</v>
      </c>
      <c r="AR44" s="98">
        <f t="shared" si="13"/>
        <v>0</v>
      </c>
      <c r="AS44" s="98">
        <f t="shared" si="13"/>
        <v>0</v>
      </c>
      <c r="AV44" s="101" t="str">
        <f t="shared" si="7"/>
        <v>1.021150</v>
      </c>
      <c r="AW44" s="101">
        <v>1150</v>
      </c>
      <c r="BF44" s="101" t="str">
        <f t="shared" si="8"/>
        <v>2.021150</v>
      </c>
      <c r="BG44" s="101">
        <v>1150</v>
      </c>
      <c r="BI44" s="92">
        <v>235</v>
      </c>
      <c r="BJ44" s="92">
        <v>315</v>
      </c>
      <c r="BK44" s="92">
        <v>475</v>
      </c>
      <c r="BL44" s="92">
        <v>710</v>
      </c>
      <c r="BM44" s="202">
        <v>1185</v>
      </c>
      <c r="BN44" s="202">
        <v>1970</v>
      </c>
      <c r="BP44" s="101" t="str">
        <f t="shared" si="9"/>
        <v>3.021150</v>
      </c>
      <c r="BQ44" s="101">
        <v>1150</v>
      </c>
    </row>
    <row r="45" spans="1:76">
      <c r="A45" s="98"/>
      <c r="B45" s="96"/>
      <c r="C45" s="95"/>
      <c r="D45" s="100"/>
      <c r="E45" s="100"/>
      <c r="F45" s="98"/>
      <c r="G45" s="95"/>
      <c r="H45" s="95"/>
      <c r="I45" s="95"/>
      <c r="J45" s="98"/>
      <c r="K45" s="98"/>
      <c r="L45" s="95"/>
      <c r="M45" s="98"/>
      <c r="N45" s="98"/>
      <c r="O45" s="98"/>
      <c r="P45" s="98"/>
      <c r="Q45" s="98"/>
      <c r="R45" s="95"/>
      <c r="S45" s="99" t="s">
        <v>101</v>
      </c>
      <c r="T45" s="204" t="s">
        <v>101</v>
      </c>
      <c r="U45" s="98"/>
      <c r="V45" s="98">
        <f t="shared" si="12"/>
        <v>275</v>
      </c>
      <c r="W45" s="98">
        <f t="shared" si="12"/>
        <v>245</v>
      </c>
      <c r="X45" s="98">
        <f t="shared" si="12"/>
        <v>225</v>
      </c>
      <c r="Y45" s="98">
        <f t="shared" si="12"/>
        <v>200</v>
      </c>
      <c r="Z45" s="98">
        <f t="shared" si="12"/>
        <v>170</v>
      </c>
      <c r="AA45" s="98">
        <f t="shared" si="12"/>
        <v>140</v>
      </c>
      <c r="AB45" s="98">
        <f t="shared" si="12"/>
        <v>125</v>
      </c>
      <c r="AC45" s="98">
        <f t="shared" si="12"/>
        <v>110</v>
      </c>
      <c r="AD45" s="98">
        <f t="shared" si="12"/>
        <v>95</v>
      </c>
      <c r="AE45" s="98">
        <f t="shared" si="12"/>
        <v>80</v>
      </c>
      <c r="AF45" s="98">
        <f t="shared" si="13"/>
        <v>65</v>
      </c>
      <c r="AG45" s="98">
        <f t="shared" si="13"/>
        <v>50</v>
      </c>
      <c r="AH45" s="98">
        <f t="shared" si="13"/>
        <v>35</v>
      </c>
      <c r="AI45" s="98">
        <f t="shared" si="13"/>
        <v>20</v>
      </c>
      <c r="AJ45" s="98">
        <f t="shared" si="13"/>
        <v>0</v>
      </c>
      <c r="AK45" s="98">
        <f t="shared" si="13"/>
        <v>0</v>
      </c>
      <c r="AL45" s="98">
        <f t="shared" si="13"/>
        <v>0</v>
      </c>
      <c r="AM45" s="98">
        <f t="shared" si="13"/>
        <v>0</v>
      </c>
      <c r="AN45" s="98">
        <f t="shared" si="13"/>
        <v>0</v>
      </c>
      <c r="AO45" s="98">
        <f t="shared" si="13"/>
        <v>0</v>
      </c>
      <c r="AP45" s="98">
        <f t="shared" si="13"/>
        <v>0</v>
      </c>
      <c r="AQ45" s="98">
        <f t="shared" si="13"/>
        <v>0</v>
      </c>
      <c r="AR45" s="98">
        <f t="shared" si="13"/>
        <v>0</v>
      </c>
      <c r="AS45" s="98">
        <f t="shared" si="13"/>
        <v>0</v>
      </c>
      <c r="AV45" s="101" t="str">
        <f t="shared" si="7"/>
        <v>1.021200</v>
      </c>
      <c r="AW45" s="101">
        <v>1200</v>
      </c>
      <c r="BF45" s="101" t="str">
        <f t="shared" si="8"/>
        <v>2.021200</v>
      </c>
      <c r="BG45" s="101">
        <v>1200</v>
      </c>
      <c r="BI45" s="92">
        <v>185</v>
      </c>
      <c r="BJ45" s="92">
        <v>245</v>
      </c>
      <c r="BK45" s="92">
        <v>370</v>
      </c>
      <c r="BL45" s="92">
        <v>555</v>
      </c>
      <c r="BM45" s="92">
        <v>925</v>
      </c>
      <c r="BN45" s="202">
        <v>1545</v>
      </c>
      <c r="BP45" s="101" t="str">
        <f t="shared" si="9"/>
        <v>3.021200</v>
      </c>
      <c r="BQ45" s="101">
        <v>1200</v>
      </c>
    </row>
    <row r="46" spans="1:76">
      <c r="A46" s="98"/>
      <c r="B46" s="96"/>
      <c r="C46" s="95"/>
      <c r="D46" s="100"/>
      <c r="E46" s="100"/>
      <c r="F46" s="98"/>
      <c r="G46" s="95"/>
      <c r="H46" s="95"/>
      <c r="I46" s="95"/>
      <c r="J46" s="98"/>
      <c r="K46" s="98"/>
      <c r="L46" s="95"/>
      <c r="M46" s="98"/>
      <c r="N46" s="98"/>
      <c r="O46" s="98"/>
      <c r="P46" s="98"/>
      <c r="Q46" s="98"/>
      <c r="R46" s="95"/>
      <c r="S46" s="99" t="s">
        <v>213</v>
      </c>
      <c r="T46" s="204" t="s">
        <v>213</v>
      </c>
      <c r="U46" s="98"/>
      <c r="V46" s="98">
        <f t="shared" si="12"/>
        <v>230</v>
      </c>
      <c r="W46" s="98">
        <f t="shared" si="12"/>
        <v>200</v>
      </c>
      <c r="X46" s="98">
        <f t="shared" si="12"/>
        <v>180</v>
      </c>
      <c r="Y46" s="98">
        <f t="shared" si="12"/>
        <v>160</v>
      </c>
      <c r="Z46" s="98">
        <f t="shared" si="12"/>
        <v>150</v>
      </c>
      <c r="AA46" s="98">
        <f t="shared" si="12"/>
        <v>140</v>
      </c>
      <c r="AB46" s="98">
        <f t="shared" si="12"/>
        <v>0</v>
      </c>
      <c r="AC46" s="98">
        <f t="shared" si="12"/>
        <v>0</v>
      </c>
      <c r="AD46" s="98">
        <f t="shared" si="12"/>
        <v>0</v>
      </c>
      <c r="AE46" s="98">
        <f t="shared" si="12"/>
        <v>0</v>
      </c>
      <c r="AF46" s="98">
        <f t="shared" si="13"/>
        <v>0</v>
      </c>
      <c r="AG46" s="98">
        <f t="shared" si="13"/>
        <v>0</v>
      </c>
      <c r="AH46" s="98">
        <f t="shared" si="13"/>
        <v>0</v>
      </c>
      <c r="AI46" s="98">
        <f t="shared" si="13"/>
        <v>0</v>
      </c>
      <c r="AJ46" s="98">
        <f t="shared" si="13"/>
        <v>0</v>
      </c>
      <c r="AK46" s="98">
        <f t="shared" si="13"/>
        <v>0</v>
      </c>
      <c r="AL46" s="98">
        <f t="shared" si="13"/>
        <v>0</v>
      </c>
      <c r="AM46" s="98">
        <f t="shared" si="13"/>
        <v>0</v>
      </c>
      <c r="AN46" s="98">
        <f t="shared" si="13"/>
        <v>0</v>
      </c>
      <c r="AO46" s="98">
        <f t="shared" si="13"/>
        <v>0</v>
      </c>
      <c r="AP46" s="98">
        <f t="shared" si="13"/>
        <v>0</v>
      </c>
      <c r="AQ46" s="98">
        <f t="shared" si="13"/>
        <v>0</v>
      </c>
      <c r="AR46" s="98">
        <f t="shared" si="13"/>
        <v>0</v>
      </c>
      <c r="AS46" s="98">
        <f t="shared" si="13"/>
        <v>0</v>
      </c>
      <c r="AV46" s="101" t="str">
        <f t="shared" si="7"/>
        <v>1.021250</v>
      </c>
      <c r="AW46" s="101">
        <v>1250</v>
      </c>
      <c r="BF46" s="101" t="str">
        <f t="shared" si="8"/>
        <v>2.021250</v>
      </c>
      <c r="BG46" s="101">
        <v>1250</v>
      </c>
      <c r="BI46" s="92">
        <v>145</v>
      </c>
      <c r="BJ46" s="92">
        <v>195</v>
      </c>
      <c r="BK46" s="92">
        <v>295</v>
      </c>
      <c r="BL46" s="92">
        <v>440</v>
      </c>
      <c r="BM46" s="92">
        <v>735</v>
      </c>
      <c r="BN46" s="202">
        <v>1230</v>
      </c>
      <c r="BP46" s="101" t="str">
        <f t="shared" si="9"/>
        <v>3.021250</v>
      </c>
      <c r="BQ46" s="101">
        <v>1250</v>
      </c>
    </row>
    <row r="47" spans="1:76">
      <c r="A47" s="98"/>
      <c r="B47" s="96"/>
      <c r="C47" s="95"/>
      <c r="D47" s="100"/>
      <c r="E47" s="100"/>
      <c r="F47" s="98"/>
      <c r="G47" s="95"/>
      <c r="H47" s="95"/>
      <c r="I47" s="95"/>
      <c r="J47" s="98"/>
      <c r="K47" s="98"/>
      <c r="L47" s="95"/>
      <c r="M47" s="98"/>
      <c r="N47" s="98"/>
      <c r="O47" s="98"/>
      <c r="P47" s="98"/>
      <c r="Q47" s="98"/>
      <c r="R47" s="95"/>
      <c r="S47" s="99" t="s">
        <v>214</v>
      </c>
      <c r="T47" s="204" t="s">
        <v>214</v>
      </c>
      <c r="U47" s="98"/>
      <c r="V47" s="98">
        <f t="shared" si="12"/>
        <v>290</v>
      </c>
      <c r="W47" s="98">
        <f t="shared" si="12"/>
        <v>260</v>
      </c>
      <c r="X47" s="98">
        <f t="shared" si="12"/>
        <v>230</v>
      </c>
      <c r="Y47" s="98">
        <f t="shared" si="12"/>
        <v>200</v>
      </c>
      <c r="Z47" s="98">
        <f t="shared" si="12"/>
        <v>170</v>
      </c>
      <c r="AA47" s="98">
        <f t="shared" si="12"/>
        <v>140</v>
      </c>
      <c r="AB47" s="98">
        <f t="shared" si="12"/>
        <v>125</v>
      </c>
      <c r="AC47" s="98">
        <f t="shared" si="12"/>
        <v>110</v>
      </c>
      <c r="AD47" s="98">
        <f t="shared" si="12"/>
        <v>95</v>
      </c>
      <c r="AE47" s="98">
        <f t="shared" si="12"/>
        <v>80</v>
      </c>
      <c r="AF47" s="98">
        <f t="shared" si="13"/>
        <v>65</v>
      </c>
      <c r="AG47" s="98">
        <f t="shared" si="13"/>
        <v>50</v>
      </c>
      <c r="AH47" s="98">
        <f t="shared" si="13"/>
        <v>35</v>
      </c>
      <c r="AI47" s="98">
        <f t="shared" si="13"/>
        <v>20</v>
      </c>
      <c r="AJ47" s="98">
        <f t="shared" si="13"/>
        <v>20</v>
      </c>
      <c r="AK47" s="98">
        <f t="shared" si="13"/>
        <v>20</v>
      </c>
      <c r="AL47" s="98">
        <f t="shared" si="13"/>
        <v>20</v>
      </c>
      <c r="AM47" s="98">
        <f t="shared" si="13"/>
        <v>20</v>
      </c>
      <c r="AN47" s="98">
        <f t="shared" si="13"/>
        <v>20</v>
      </c>
      <c r="AO47" s="98">
        <f t="shared" si="13"/>
        <v>20</v>
      </c>
      <c r="AP47" s="98">
        <f t="shared" si="13"/>
        <v>20</v>
      </c>
      <c r="AQ47" s="98">
        <f t="shared" si="13"/>
        <v>20</v>
      </c>
      <c r="AR47" s="98">
        <f t="shared" si="13"/>
        <v>20</v>
      </c>
      <c r="AS47" s="98">
        <f t="shared" si="13"/>
        <v>20</v>
      </c>
      <c r="AV47" s="101" t="str">
        <f t="shared" si="7"/>
        <v>1.021300</v>
      </c>
      <c r="AW47" s="101">
        <v>1300</v>
      </c>
      <c r="BF47" s="101" t="str">
        <f t="shared" si="8"/>
        <v>2.021300</v>
      </c>
      <c r="BG47" s="101">
        <v>1300</v>
      </c>
      <c r="BI47" s="92">
        <v>115</v>
      </c>
      <c r="BJ47" s="92">
        <v>155</v>
      </c>
      <c r="BK47" s="92">
        <v>235</v>
      </c>
      <c r="BL47" s="92">
        <v>350</v>
      </c>
      <c r="BM47" s="92">
        <v>585</v>
      </c>
      <c r="BN47" s="92">
        <v>970</v>
      </c>
      <c r="BP47" s="101" t="str">
        <f t="shared" si="9"/>
        <v>3.021300</v>
      </c>
      <c r="BQ47" s="101">
        <v>1300</v>
      </c>
    </row>
    <row r="48" spans="1:76">
      <c r="A48" s="98"/>
      <c r="B48" s="96"/>
      <c r="C48" s="95"/>
      <c r="D48" s="100"/>
      <c r="E48" s="100"/>
      <c r="F48" s="98"/>
      <c r="G48" s="95"/>
      <c r="H48" s="95"/>
      <c r="I48" s="95"/>
      <c r="J48" s="98"/>
      <c r="K48" s="98"/>
      <c r="L48" s="95"/>
      <c r="M48" s="98"/>
      <c r="N48" s="98"/>
      <c r="O48" s="98"/>
      <c r="P48" s="98"/>
      <c r="Q48" s="98"/>
      <c r="R48" s="95"/>
      <c r="S48" s="99"/>
      <c r="T48" s="98"/>
      <c r="U48" s="98"/>
      <c r="V48" s="117">
        <v>300</v>
      </c>
      <c r="W48" s="98">
        <v>100</v>
      </c>
      <c r="X48" s="98">
        <v>1500</v>
      </c>
      <c r="Y48" s="98"/>
      <c r="Z48" s="98"/>
      <c r="AA48" s="98"/>
      <c r="AB48" s="98"/>
      <c r="AC48" s="98"/>
      <c r="AD48" s="98"/>
      <c r="AE48" s="98"/>
      <c r="AF48" s="98"/>
      <c r="AG48" s="98"/>
      <c r="AH48" s="98"/>
      <c r="AI48" s="98"/>
      <c r="AJ48" s="98"/>
      <c r="AK48" s="98"/>
      <c r="AL48" s="98"/>
      <c r="AM48" s="98"/>
      <c r="AN48" s="98"/>
      <c r="AO48" s="98"/>
      <c r="AP48" s="98"/>
      <c r="AQ48" s="98"/>
      <c r="AR48" s="98"/>
      <c r="AS48" s="98"/>
      <c r="AV48" s="101" t="str">
        <f t="shared" si="7"/>
        <v>1.021350</v>
      </c>
      <c r="AW48" s="101">
        <v>1350</v>
      </c>
      <c r="BF48" s="101" t="str">
        <f t="shared" si="8"/>
        <v>2.021350</v>
      </c>
      <c r="BG48" s="101">
        <v>1350</v>
      </c>
      <c r="BI48" s="92">
        <v>95</v>
      </c>
      <c r="BJ48" s="92">
        <v>130</v>
      </c>
      <c r="BK48" s="92">
        <v>190</v>
      </c>
      <c r="BL48" s="92">
        <v>290</v>
      </c>
      <c r="BM48" s="92">
        <v>480</v>
      </c>
      <c r="BN48" s="92">
        <v>800</v>
      </c>
      <c r="BP48" s="101" t="str">
        <f t="shared" si="9"/>
        <v>3.021350</v>
      </c>
      <c r="BQ48" s="101">
        <v>1350</v>
      </c>
    </row>
    <row r="49" spans="1:76">
      <c r="A49" s="98"/>
      <c r="B49" s="96"/>
      <c r="C49" s="95"/>
      <c r="D49" s="100"/>
      <c r="E49" s="100"/>
      <c r="F49" s="98"/>
      <c r="G49" s="95"/>
      <c r="H49" s="95"/>
      <c r="I49" s="95"/>
      <c r="J49" s="98"/>
      <c r="K49" s="98"/>
      <c r="L49" s="95"/>
      <c r="M49" s="98"/>
      <c r="N49" s="98"/>
      <c r="O49" s="98"/>
      <c r="P49" s="98"/>
      <c r="Q49" s="98"/>
      <c r="R49" s="95"/>
      <c r="S49" s="99">
        <v>1.1000000000000001</v>
      </c>
      <c r="T49" s="204" t="s">
        <v>192</v>
      </c>
      <c r="U49" s="98"/>
      <c r="V49" s="98">
        <f t="shared" ref="V49:AE62" si="14">VLOOKUP($T49&amp;TEXT(V$1,"0000"),$AV$4:$BD$339,4)</f>
        <v>740</v>
      </c>
      <c r="W49" s="98">
        <f t="shared" si="14"/>
        <v>680</v>
      </c>
      <c r="X49" s="98">
        <f t="shared" si="14"/>
        <v>655</v>
      </c>
      <c r="Y49" s="98">
        <f t="shared" si="14"/>
        <v>635</v>
      </c>
      <c r="Z49" s="98">
        <f t="shared" si="14"/>
        <v>605</v>
      </c>
      <c r="AA49" s="98">
        <f t="shared" si="14"/>
        <v>570</v>
      </c>
      <c r="AB49" s="98">
        <f t="shared" si="14"/>
        <v>550</v>
      </c>
      <c r="AC49" s="98">
        <f t="shared" si="14"/>
        <v>530</v>
      </c>
      <c r="AD49" s="98">
        <f t="shared" si="14"/>
        <v>505</v>
      </c>
      <c r="AE49" s="98">
        <f t="shared" si="14"/>
        <v>410</v>
      </c>
      <c r="AF49" s="98">
        <f t="shared" ref="AF49:AS62" si="15">VLOOKUP($T49&amp;TEXT(AF$1,"0000"),$AV$4:$BD$339,4)</f>
        <v>320</v>
      </c>
      <c r="AG49" s="98">
        <f t="shared" si="15"/>
        <v>230</v>
      </c>
      <c r="AH49" s="98">
        <f t="shared" si="15"/>
        <v>135</v>
      </c>
      <c r="AI49" s="98">
        <f t="shared" si="15"/>
        <v>85</v>
      </c>
      <c r="AJ49" s="98">
        <f t="shared" si="15"/>
        <v>0</v>
      </c>
      <c r="AK49" s="98">
        <f t="shared" si="15"/>
        <v>0</v>
      </c>
      <c r="AL49" s="98">
        <f t="shared" si="15"/>
        <v>0</v>
      </c>
      <c r="AM49" s="98">
        <f t="shared" si="15"/>
        <v>0</v>
      </c>
      <c r="AN49" s="98">
        <f t="shared" si="15"/>
        <v>0</v>
      </c>
      <c r="AO49" s="98">
        <f t="shared" si="15"/>
        <v>0</v>
      </c>
      <c r="AP49" s="98">
        <f t="shared" si="15"/>
        <v>0</v>
      </c>
      <c r="AQ49" s="98">
        <f t="shared" si="15"/>
        <v>0</v>
      </c>
      <c r="AR49" s="98">
        <f t="shared" si="15"/>
        <v>0</v>
      </c>
      <c r="AS49" s="98">
        <f t="shared" si="15"/>
        <v>0</v>
      </c>
      <c r="AV49" s="101" t="str">
        <f t="shared" si="7"/>
        <v>1.021400</v>
      </c>
      <c r="AW49" s="101">
        <v>1400</v>
      </c>
      <c r="BF49" s="101" t="str">
        <f t="shared" si="8"/>
        <v>2.021400</v>
      </c>
      <c r="BG49" s="101">
        <v>1400</v>
      </c>
      <c r="BI49" s="92">
        <v>75</v>
      </c>
      <c r="BJ49" s="92">
        <v>100</v>
      </c>
      <c r="BK49" s="92">
        <v>150</v>
      </c>
      <c r="BL49" s="92">
        <v>225</v>
      </c>
      <c r="BM49" s="92">
        <v>380</v>
      </c>
      <c r="BN49" s="92">
        <v>630</v>
      </c>
      <c r="BP49" s="101" t="str">
        <f t="shared" si="9"/>
        <v>3.021400</v>
      </c>
      <c r="BQ49" s="101">
        <v>1400</v>
      </c>
    </row>
    <row r="50" spans="1:76">
      <c r="A50" s="98"/>
      <c r="B50" s="96"/>
      <c r="C50" s="95"/>
      <c r="D50" s="100"/>
      <c r="E50" s="100"/>
      <c r="F50" s="98"/>
      <c r="G50" s="95"/>
      <c r="H50" s="95"/>
      <c r="I50" s="95"/>
      <c r="J50" s="98"/>
      <c r="K50" s="98"/>
      <c r="L50" s="95"/>
      <c r="M50" s="98"/>
      <c r="N50" s="98"/>
      <c r="O50" s="98"/>
      <c r="P50" s="98"/>
      <c r="Q50" s="98"/>
      <c r="R50" s="95"/>
      <c r="S50" s="99" t="s">
        <v>70</v>
      </c>
      <c r="T50" s="204" t="s">
        <v>193</v>
      </c>
      <c r="U50" s="98"/>
      <c r="V50" s="98">
        <f t="shared" si="14"/>
        <v>750</v>
      </c>
      <c r="W50" s="98">
        <f t="shared" si="14"/>
        <v>750</v>
      </c>
      <c r="X50" s="98">
        <f t="shared" si="14"/>
        <v>730</v>
      </c>
      <c r="Y50" s="98">
        <f t="shared" si="14"/>
        <v>705</v>
      </c>
      <c r="Z50" s="98">
        <f t="shared" si="14"/>
        <v>665</v>
      </c>
      <c r="AA50" s="98">
        <f t="shared" si="14"/>
        <v>605</v>
      </c>
      <c r="AB50" s="98">
        <f t="shared" si="14"/>
        <v>590</v>
      </c>
      <c r="AC50" s="98">
        <f t="shared" si="14"/>
        <v>555</v>
      </c>
      <c r="AD50" s="98">
        <f t="shared" si="14"/>
        <v>505</v>
      </c>
      <c r="AE50" s="98">
        <f t="shared" si="14"/>
        <v>410</v>
      </c>
      <c r="AF50" s="98">
        <f t="shared" si="15"/>
        <v>320</v>
      </c>
      <c r="AG50" s="98">
        <f t="shared" si="15"/>
        <v>225</v>
      </c>
      <c r="AH50" s="98">
        <f t="shared" si="15"/>
        <v>135</v>
      </c>
      <c r="AI50" s="98">
        <f t="shared" si="15"/>
        <v>85</v>
      </c>
      <c r="AJ50" s="98">
        <f t="shared" si="15"/>
        <v>0</v>
      </c>
      <c r="AK50" s="98">
        <f t="shared" si="15"/>
        <v>0</v>
      </c>
      <c r="AL50" s="98">
        <f t="shared" si="15"/>
        <v>0</v>
      </c>
      <c r="AM50" s="98">
        <f t="shared" si="15"/>
        <v>0</v>
      </c>
      <c r="AN50" s="98">
        <f t="shared" si="15"/>
        <v>0</v>
      </c>
      <c r="AO50" s="98">
        <f t="shared" si="15"/>
        <v>0</v>
      </c>
      <c r="AP50" s="98">
        <f t="shared" si="15"/>
        <v>0</v>
      </c>
      <c r="AQ50" s="98">
        <f t="shared" si="15"/>
        <v>0</v>
      </c>
      <c r="AR50" s="98">
        <f t="shared" si="15"/>
        <v>0</v>
      </c>
      <c r="AS50" s="98">
        <f t="shared" si="15"/>
        <v>0</v>
      </c>
      <c r="AV50" s="101" t="str">
        <f t="shared" si="7"/>
        <v>1.021450</v>
      </c>
      <c r="AW50" s="101">
        <v>1450</v>
      </c>
      <c r="BF50" s="101" t="str">
        <f t="shared" si="8"/>
        <v>2.021450</v>
      </c>
      <c r="BG50" s="101">
        <v>1450</v>
      </c>
      <c r="BI50" s="92">
        <v>60</v>
      </c>
      <c r="BJ50" s="92">
        <v>80</v>
      </c>
      <c r="BK50" s="92">
        <v>115</v>
      </c>
      <c r="BL50" s="92">
        <v>175</v>
      </c>
      <c r="BM50" s="92">
        <v>290</v>
      </c>
      <c r="BN50" s="92">
        <v>485</v>
      </c>
      <c r="BP50" s="101" t="str">
        <f t="shared" si="9"/>
        <v>3.021450</v>
      </c>
      <c r="BQ50" s="101">
        <v>1450</v>
      </c>
    </row>
    <row r="51" spans="1:76">
      <c r="A51" s="98"/>
      <c r="B51" s="96"/>
      <c r="C51" s="95"/>
      <c r="D51" s="100"/>
      <c r="E51" s="100"/>
      <c r="F51" s="98"/>
      <c r="G51" s="95"/>
      <c r="H51" s="95"/>
      <c r="I51" s="95"/>
      <c r="J51" s="98"/>
      <c r="K51" s="98"/>
      <c r="L51" s="95"/>
      <c r="M51" s="98"/>
      <c r="N51" s="98"/>
      <c r="O51" s="98"/>
      <c r="P51" s="98"/>
      <c r="Q51" s="98"/>
      <c r="R51" s="95"/>
      <c r="S51" s="99" t="s">
        <v>71</v>
      </c>
      <c r="T51" s="204" t="s">
        <v>194</v>
      </c>
      <c r="U51" s="98"/>
      <c r="V51" s="98">
        <f t="shared" si="14"/>
        <v>695</v>
      </c>
      <c r="W51" s="98">
        <f t="shared" si="14"/>
        <v>660</v>
      </c>
      <c r="X51" s="98">
        <f t="shared" si="14"/>
        <v>640</v>
      </c>
      <c r="Y51" s="98">
        <f t="shared" si="14"/>
        <v>615</v>
      </c>
      <c r="Z51" s="98">
        <f t="shared" si="14"/>
        <v>585</v>
      </c>
      <c r="AA51" s="98">
        <f t="shared" si="14"/>
        <v>550</v>
      </c>
      <c r="AB51" s="98">
        <f t="shared" si="14"/>
        <v>535</v>
      </c>
      <c r="AC51" s="98">
        <f t="shared" si="14"/>
        <v>510</v>
      </c>
      <c r="AD51" s="98">
        <f t="shared" si="14"/>
        <v>475</v>
      </c>
      <c r="AE51" s="98">
        <f t="shared" si="14"/>
        <v>390</v>
      </c>
      <c r="AF51" s="98">
        <f t="shared" si="15"/>
        <v>300</v>
      </c>
      <c r="AG51" s="98">
        <f t="shared" si="15"/>
        <v>200</v>
      </c>
      <c r="AH51" s="98">
        <f t="shared" si="15"/>
        <v>135</v>
      </c>
      <c r="AI51" s="98">
        <f t="shared" si="15"/>
        <v>85</v>
      </c>
      <c r="AJ51" s="98">
        <f t="shared" si="15"/>
        <v>0</v>
      </c>
      <c r="AK51" s="98">
        <f t="shared" si="15"/>
        <v>0</v>
      </c>
      <c r="AL51" s="98">
        <f t="shared" si="15"/>
        <v>0</v>
      </c>
      <c r="AM51" s="98">
        <f t="shared" si="15"/>
        <v>0</v>
      </c>
      <c r="AN51" s="98">
        <f t="shared" si="15"/>
        <v>0</v>
      </c>
      <c r="AO51" s="98">
        <f t="shared" si="15"/>
        <v>0</v>
      </c>
      <c r="AP51" s="98">
        <f t="shared" si="15"/>
        <v>0</v>
      </c>
      <c r="AQ51" s="98">
        <f t="shared" si="15"/>
        <v>0</v>
      </c>
      <c r="AR51" s="98">
        <f t="shared" si="15"/>
        <v>0</v>
      </c>
      <c r="AS51" s="98">
        <f t="shared" si="15"/>
        <v>0</v>
      </c>
      <c r="AV51" s="101" t="str">
        <f t="shared" si="7"/>
        <v>1.021500</v>
      </c>
      <c r="AW51" s="101">
        <v>1500</v>
      </c>
      <c r="BF51" s="101" t="str">
        <f t="shared" si="8"/>
        <v>2.021500</v>
      </c>
      <c r="BG51" s="101">
        <v>1500</v>
      </c>
      <c r="BI51" s="92">
        <v>40</v>
      </c>
      <c r="BJ51" s="92">
        <v>55</v>
      </c>
      <c r="BK51" s="92">
        <v>85</v>
      </c>
      <c r="BL51" s="92">
        <v>125</v>
      </c>
      <c r="BM51" s="92">
        <v>205</v>
      </c>
      <c r="BN51" s="92">
        <v>345</v>
      </c>
      <c r="BP51" s="101" t="str">
        <f t="shared" si="9"/>
        <v>3.021500</v>
      </c>
      <c r="BQ51" s="101">
        <v>1500</v>
      </c>
    </row>
    <row r="52" spans="1:76">
      <c r="A52" s="98"/>
      <c r="B52" s="96"/>
      <c r="C52" s="95"/>
      <c r="D52" s="100"/>
      <c r="E52" s="100"/>
      <c r="F52" s="98"/>
      <c r="G52" s="95"/>
      <c r="H52" s="95"/>
      <c r="I52" s="95"/>
      <c r="J52" s="98"/>
      <c r="K52" s="98"/>
      <c r="L52" s="95"/>
      <c r="M52" s="98"/>
      <c r="N52" s="98"/>
      <c r="O52" s="98"/>
      <c r="P52" s="98"/>
      <c r="Q52" s="98"/>
      <c r="R52" s="95"/>
      <c r="S52" s="99" t="s">
        <v>72</v>
      </c>
      <c r="T52" s="204" t="s">
        <v>195</v>
      </c>
      <c r="U52" s="98"/>
      <c r="V52" s="98">
        <f t="shared" si="14"/>
        <v>615</v>
      </c>
      <c r="W52" s="98">
        <f t="shared" si="14"/>
        <v>565</v>
      </c>
      <c r="X52" s="98">
        <f t="shared" si="14"/>
        <v>545</v>
      </c>
      <c r="Y52" s="98">
        <f t="shared" si="14"/>
        <v>525</v>
      </c>
      <c r="Z52" s="98">
        <f t="shared" si="14"/>
        <v>500</v>
      </c>
      <c r="AA52" s="98">
        <f t="shared" si="14"/>
        <v>475</v>
      </c>
      <c r="AB52" s="98">
        <f t="shared" si="14"/>
        <v>455</v>
      </c>
      <c r="AC52" s="98">
        <f t="shared" si="14"/>
        <v>440</v>
      </c>
      <c r="AD52" s="98">
        <f t="shared" si="14"/>
        <v>430</v>
      </c>
      <c r="AE52" s="98">
        <f t="shared" si="14"/>
        <v>370</v>
      </c>
      <c r="AF52" s="98">
        <f t="shared" si="15"/>
        <v>300</v>
      </c>
      <c r="AG52" s="98">
        <f t="shared" si="15"/>
        <v>170</v>
      </c>
      <c r="AH52" s="98">
        <f t="shared" si="15"/>
        <v>135</v>
      </c>
      <c r="AI52" s="98">
        <f t="shared" si="15"/>
        <v>85</v>
      </c>
      <c r="AJ52" s="98">
        <f t="shared" si="15"/>
        <v>0</v>
      </c>
      <c r="AK52" s="98">
        <f t="shared" si="15"/>
        <v>0</v>
      </c>
      <c r="AL52" s="98">
        <f t="shared" si="15"/>
        <v>0</v>
      </c>
      <c r="AM52" s="98">
        <f t="shared" si="15"/>
        <v>0</v>
      </c>
      <c r="AN52" s="98">
        <f t="shared" si="15"/>
        <v>0</v>
      </c>
      <c r="AO52" s="98">
        <f t="shared" si="15"/>
        <v>0</v>
      </c>
      <c r="AP52" s="98">
        <f t="shared" si="15"/>
        <v>0</v>
      </c>
      <c r="AQ52" s="98">
        <f t="shared" si="15"/>
        <v>0</v>
      </c>
      <c r="AR52" s="98">
        <f t="shared" si="15"/>
        <v>0</v>
      </c>
      <c r="AS52" s="98">
        <f t="shared" si="15"/>
        <v>0</v>
      </c>
      <c r="AU52" s="92">
        <v>1.03</v>
      </c>
      <c r="AV52" s="101" t="str">
        <f>AU$52&amp;TEXT(AW52,"0000")</f>
        <v>1.030100</v>
      </c>
      <c r="AW52" s="92">
        <v>100</v>
      </c>
      <c r="AX52" s="92">
        <v>265</v>
      </c>
      <c r="AY52" s="92">
        <v>695</v>
      </c>
      <c r="AZ52" s="92">
        <v>930</v>
      </c>
      <c r="BA52" s="202">
        <v>1395</v>
      </c>
      <c r="BB52" s="202">
        <v>2090</v>
      </c>
      <c r="BC52" s="202">
        <v>3480</v>
      </c>
      <c r="BD52" s="202">
        <v>5805</v>
      </c>
      <c r="BE52" s="92">
        <v>2.0299999999999998</v>
      </c>
      <c r="BF52" s="101" t="str">
        <f>BE$52&amp;TEXT(BG52,"0000")</f>
        <v>2.030100</v>
      </c>
      <c r="BG52" s="92">
        <v>100</v>
      </c>
      <c r="BH52" s="92">
        <v>230</v>
      </c>
      <c r="BI52" s="92">
        <v>600</v>
      </c>
      <c r="BJ52" s="92">
        <v>800</v>
      </c>
      <c r="BK52" s="202">
        <v>1200</v>
      </c>
      <c r="BL52" s="202">
        <v>1800</v>
      </c>
      <c r="BM52" s="202">
        <v>3000</v>
      </c>
      <c r="BN52" s="202">
        <v>5000</v>
      </c>
      <c r="BO52" s="92">
        <v>3.03</v>
      </c>
      <c r="BP52" s="101" t="str">
        <f>BO$52&amp;TEXT(BQ52,"0000")</f>
        <v>3.030100</v>
      </c>
      <c r="BQ52" s="92">
        <v>100</v>
      </c>
      <c r="BR52" s="92">
        <v>90</v>
      </c>
      <c r="BS52" s="92">
        <v>240</v>
      </c>
      <c r="BT52" s="92">
        <v>320</v>
      </c>
      <c r="BU52" s="92">
        <v>480</v>
      </c>
      <c r="BV52" s="92">
        <v>720</v>
      </c>
      <c r="BW52" s="202">
        <v>1200</v>
      </c>
      <c r="BX52" s="202">
        <v>2000</v>
      </c>
    </row>
    <row r="53" spans="1:76">
      <c r="A53" s="98"/>
      <c r="B53" s="96"/>
      <c r="C53" s="95"/>
      <c r="D53" s="100"/>
      <c r="E53" s="100"/>
      <c r="F53" s="98"/>
      <c r="G53" s="95"/>
      <c r="H53" s="95"/>
      <c r="I53" s="95"/>
      <c r="J53" s="98"/>
      <c r="K53" s="98"/>
      <c r="L53" s="95"/>
      <c r="M53" s="98"/>
      <c r="N53" s="98"/>
      <c r="O53" s="98"/>
      <c r="P53" s="98"/>
      <c r="Q53" s="98"/>
      <c r="R53" s="95"/>
      <c r="S53" s="99" t="s">
        <v>73</v>
      </c>
      <c r="T53" s="204" t="s">
        <v>196</v>
      </c>
      <c r="U53" s="98"/>
      <c r="V53" s="98">
        <f t="shared" si="14"/>
        <v>695</v>
      </c>
      <c r="W53" s="98">
        <f t="shared" si="14"/>
        <v>695</v>
      </c>
      <c r="X53" s="98">
        <f t="shared" si="14"/>
        <v>685</v>
      </c>
      <c r="Y53" s="98">
        <f t="shared" si="14"/>
        <v>660</v>
      </c>
      <c r="Z53" s="98">
        <f t="shared" si="14"/>
        <v>640</v>
      </c>
      <c r="AA53" s="98">
        <f t="shared" si="14"/>
        <v>605</v>
      </c>
      <c r="AB53" s="98">
        <f t="shared" si="14"/>
        <v>590</v>
      </c>
      <c r="AC53" s="98">
        <f t="shared" si="14"/>
        <v>570</v>
      </c>
      <c r="AD53" s="98">
        <f t="shared" si="14"/>
        <v>530</v>
      </c>
      <c r="AE53" s="98">
        <f t="shared" si="14"/>
        <v>510</v>
      </c>
      <c r="AF53" s="98">
        <f t="shared" si="15"/>
        <v>485</v>
      </c>
      <c r="AG53" s="98">
        <f t="shared" si="15"/>
        <v>450</v>
      </c>
      <c r="AH53" s="98">
        <f t="shared" si="15"/>
        <v>280</v>
      </c>
      <c r="AI53" s="98">
        <f t="shared" si="15"/>
        <v>165</v>
      </c>
      <c r="AJ53" s="98">
        <f t="shared" si="15"/>
        <v>0</v>
      </c>
      <c r="AK53" s="98">
        <f t="shared" si="15"/>
        <v>0</v>
      </c>
      <c r="AL53" s="98">
        <f t="shared" si="15"/>
        <v>0</v>
      </c>
      <c r="AM53" s="98">
        <f t="shared" si="15"/>
        <v>0</v>
      </c>
      <c r="AN53" s="98">
        <f t="shared" si="15"/>
        <v>0</v>
      </c>
      <c r="AO53" s="98">
        <f t="shared" si="15"/>
        <v>0</v>
      </c>
      <c r="AP53" s="98">
        <f t="shared" si="15"/>
        <v>0</v>
      </c>
      <c r="AQ53" s="98">
        <f t="shared" si="15"/>
        <v>0</v>
      </c>
      <c r="AR53" s="98">
        <f t="shared" si="15"/>
        <v>0</v>
      </c>
      <c r="AS53" s="98">
        <f t="shared" si="15"/>
        <v>0</v>
      </c>
      <c r="AV53" s="101" t="str">
        <f t="shared" ref="AV53:AV75" si="16">AU$52&amp;TEXT(AW53,"0000")</f>
        <v>1.030200</v>
      </c>
      <c r="AW53" s="101">
        <v>200</v>
      </c>
      <c r="AX53" s="92">
        <v>255</v>
      </c>
      <c r="AY53" s="92">
        <v>660</v>
      </c>
      <c r="AZ53" s="92">
        <v>880</v>
      </c>
      <c r="BA53" s="202">
        <v>1320</v>
      </c>
      <c r="BB53" s="202">
        <v>1980</v>
      </c>
      <c r="BC53" s="202">
        <v>3300</v>
      </c>
      <c r="BD53" s="202">
        <v>5505</v>
      </c>
      <c r="BF53" s="101" t="str">
        <f t="shared" ref="BF53:BF75" si="17">BE$52&amp;TEXT(BG53,"0000")</f>
        <v>2.030200</v>
      </c>
      <c r="BG53" s="101">
        <v>200</v>
      </c>
      <c r="BH53" s="92">
        <v>195</v>
      </c>
      <c r="BI53" s="92">
        <v>510</v>
      </c>
      <c r="BJ53" s="92">
        <v>680</v>
      </c>
      <c r="BK53" s="202">
        <v>1020</v>
      </c>
      <c r="BL53" s="202">
        <v>1535</v>
      </c>
      <c r="BM53" s="202">
        <v>2555</v>
      </c>
      <c r="BN53" s="202">
        <v>4260</v>
      </c>
      <c r="BP53" s="101" t="str">
        <f t="shared" ref="BP53:BP75" si="18">BO$52&amp;TEXT(BQ53,"0000")</f>
        <v>3.030200</v>
      </c>
      <c r="BQ53" s="101">
        <v>200</v>
      </c>
      <c r="BR53" s="92">
        <v>90</v>
      </c>
      <c r="BS53" s="92">
        <v>230</v>
      </c>
      <c r="BT53" s="92">
        <v>305</v>
      </c>
      <c r="BU53" s="92">
        <v>460</v>
      </c>
      <c r="BV53" s="92">
        <v>690</v>
      </c>
      <c r="BW53" s="202">
        <v>1150</v>
      </c>
      <c r="BX53" s="202">
        <v>1920</v>
      </c>
    </row>
    <row r="54" spans="1:76">
      <c r="A54" s="98"/>
      <c r="B54" s="96"/>
      <c r="C54" s="95"/>
      <c r="D54" s="100"/>
      <c r="E54" s="100"/>
      <c r="F54" s="98"/>
      <c r="G54" s="95"/>
      <c r="H54" s="95"/>
      <c r="I54" s="95"/>
      <c r="J54" s="98"/>
      <c r="K54" s="98"/>
      <c r="L54" s="95"/>
      <c r="M54" s="98"/>
      <c r="N54" s="98"/>
      <c r="O54" s="98"/>
      <c r="P54" s="98"/>
      <c r="Q54" s="98"/>
      <c r="R54" s="95"/>
      <c r="S54" s="99" t="s">
        <v>74</v>
      </c>
      <c r="T54" s="204" t="s">
        <v>197</v>
      </c>
      <c r="U54" s="98"/>
      <c r="V54" s="98">
        <f t="shared" si="14"/>
        <v>750</v>
      </c>
      <c r="W54" s="98">
        <f t="shared" si="14"/>
        <v>750</v>
      </c>
      <c r="X54" s="98">
        <f t="shared" si="14"/>
        <v>730</v>
      </c>
      <c r="Y54" s="98">
        <f t="shared" si="14"/>
        <v>705</v>
      </c>
      <c r="Z54" s="98">
        <f t="shared" si="14"/>
        <v>665</v>
      </c>
      <c r="AA54" s="98">
        <f t="shared" si="14"/>
        <v>605</v>
      </c>
      <c r="AB54" s="98">
        <f t="shared" si="14"/>
        <v>590</v>
      </c>
      <c r="AC54" s="98">
        <f t="shared" si="14"/>
        <v>570</v>
      </c>
      <c r="AD54" s="98">
        <f t="shared" si="14"/>
        <v>530</v>
      </c>
      <c r="AE54" s="98">
        <f t="shared" si="14"/>
        <v>510</v>
      </c>
      <c r="AF54" s="98">
        <f t="shared" si="15"/>
        <v>485</v>
      </c>
      <c r="AG54" s="98">
        <f t="shared" si="15"/>
        <v>450</v>
      </c>
      <c r="AH54" s="98">
        <f t="shared" si="15"/>
        <v>315</v>
      </c>
      <c r="AI54" s="98">
        <f t="shared" si="15"/>
        <v>200</v>
      </c>
      <c r="AJ54" s="98">
        <f t="shared" si="15"/>
        <v>160</v>
      </c>
      <c r="AK54" s="98">
        <f t="shared" si="15"/>
        <v>0</v>
      </c>
      <c r="AL54" s="98">
        <f t="shared" si="15"/>
        <v>0</v>
      </c>
      <c r="AM54" s="98">
        <f t="shared" si="15"/>
        <v>0</v>
      </c>
      <c r="AN54" s="98">
        <f t="shared" si="15"/>
        <v>0</v>
      </c>
      <c r="AO54" s="98">
        <f t="shared" si="15"/>
        <v>0</v>
      </c>
      <c r="AP54" s="98">
        <f t="shared" si="15"/>
        <v>0</v>
      </c>
      <c r="AQ54" s="98">
        <f t="shared" si="15"/>
        <v>0</v>
      </c>
      <c r="AR54" s="98">
        <f t="shared" si="15"/>
        <v>0</v>
      </c>
      <c r="AS54" s="98">
        <f t="shared" si="15"/>
        <v>0</v>
      </c>
      <c r="AV54" s="101" t="str">
        <f t="shared" si="16"/>
        <v>1.030300</v>
      </c>
      <c r="AW54" s="101">
        <v>300</v>
      </c>
      <c r="AX54" s="92">
        <v>230</v>
      </c>
      <c r="AY54" s="92">
        <v>640</v>
      </c>
      <c r="AZ54" s="92">
        <v>850</v>
      </c>
      <c r="BA54" s="202">
        <v>1275</v>
      </c>
      <c r="BB54" s="202">
        <v>1915</v>
      </c>
      <c r="BC54" s="202">
        <v>3190</v>
      </c>
      <c r="BD54" s="202">
        <v>5315</v>
      </c>
      <c r="BF54" s="101" t="str">
        <f t="shared" si="17"/>
        <v>2.030300</v>
      </c>
      <c r="BG54" s="101">
        <v>300</v>
      </c>
      <c r="BH54" s="92">
        <v>175</v>
      </c>
      <c r="BI54" s="92">
        <v>455</v>
      </c>
      <c r="BJ54" s="92">
        <v>610</v>
      </c>
      <c r="BK54" s="92">
        <v>910</v>
      </c>
      <c r="BL54" s="202">
        <v>1370</v>
      </c>
      <c r="BM54" s="202">
        <v>2280</v>
      </c>
      <c r="BN54" s="202">
        <v>3800</v>
      </c>
      <c r="BP54" s="101" t="str">
        <f t="shared" si="18"/>
        <v>3.030300</v>
      </c>
      <c r="BQ54" s="101">
        <v>300</v>
      </c>
      <c r="BR54" s="92">
        <v>85</v>
      </c>
      <c r="BS54" s="92">
        <v>225</v>
      </c>
      <c r="BT54" s="92">
        <v>300</v>
      </c>
      <c r="BU54" s="92">
        <v>450</v>
      </c>
      <c r="BV54" s="92">
        <v>675</v>
      </c>
      <c r="BW54" s="202">
        <v>1130</v>
      </c>
      <c r="BX54" s="202">
        <v>1880</v>
      </c>
    </row>
    <row r="55" spans="1:76">
      <c r="A55" s="98"/>
      <c r="B55" s="96"/>
      <c r="C55" s="95"/>
      <c r="D55" s="100"/>
      <c r="E55" s="100"/>
      <c r="F55" s="98"/>
      <c r="G55" s="95"/>
      <c r="H55" s="95"/>
      <c r="I55" s="95"/>
      <c r="J55" s="98"/>
      <c r="K55" s="98"/>
      <c r="L55" s="95"/>
      <c r="M55" s="98"/>
      <c r="N55" s="98"/>
      <c r="O55" s="98"/>
      <c r="P55" s="98"/>
      <c r="Q55" s="98"/>
      <c r="R55" s="95"/>
      <c r="S55" s="99" t="s">
        <v>75</v>
      </c>
      <c r="T55" s="204" t="s">
        <v>198</v>
      </c>
      <c r="U55" s="98"/>
      <c r="V55" s="98">
        <f t="shared" si="14"/>
        <v>750</v>
      </c>
      <c r="W55" s="98">
        <f t="shared" si="14"/>
        <v>750</v>
      </c>
      <c r="X55" s="98">
        <f t="shared" si="14"/>
        <v>720</v>
      </c>
      <c r="Y55" s="98">
        <f t="shared" si="14"/>
        <v>695</v>
      </c>
      <c r="Z55" s="98">
        <f t="shared" si="14"/>
        <v>665</v>
      </c>
      <c r="AA55" s="98">
        <f t="shared" si="14"/>
        <v>605</v>
      </c>
      <c r="AB55" s="98">
        <f t="shared" si="14"/>
        <v>590</v>
      </c>
      <c r="AC55" s="98">
        <f t="shared" si="14"/>
        <v>570</v>
      </c>
      <c r="AD55" s="98">
        <f t="shared" si="14"/>
        <v>530</v>
      </c>
      <c r="AE55" s="98">
        <f t="shared" si="14"/>
        <v>510</v>
      </c>
      <c r="AF55" s="98">
        <f t="shared" si="15"/>
        <v>485</v>
      </c>
      <c r="AG55" s="98">
        <f t="shared" si="15"/>
        <v>450</v>
      </c>
      <c r="AH55" s="98">
        <f t="shared" si="15"/>
        <v>320</v>
      </c>
      <c r="AI55" s="98">
        <f t="shared" si="15"/>
        <v>215</v>
      </c>
      <c r="AJ55" s="98">
        <f t="shared" si="15"/>
        <v>145</v>
      </c>
      <c r="AK55" s="98">
        <f t="shared" si="15"/>
        <v>95</v>
      </c>
      <c r="AL55" s="98">
        <f t="shared" si="15"/>
        <v>65</v>
      </c>
      <c r="AM55" s="98">
        <f t="shared" si="15"/>
        <v>40</v>
      </c>
      <c r="AN55" s="98">
        <f t="shared" si="15"/>
        <v>0</v>
      </c>
      <c r="AO55" s="98">
        <f t="shared" si="15"/>
        <v>0</v>
      </c>
      <c r="AP55" s="98">
        <f t="shared" si="15"/>
        <v>0</v>
      </c>
      <c r="AQ55" s="98">
        <f t="shared" si="15"/>
        <v>0</v>
      </c>
      <c r="AR55" s="98">
        <f t="shared" si="15"/>
        <v>0</v>
      </c>
      <c r="AS55" s="98">
        <f t="shared" si="15"/>
        <v>0</v>
      </c>
      <c r="AV55" s="101" t="str">
        <f t="shared" si="16"/>
        <v>1.030400</v>
      </c>
      <c r="AW55" s="101">
        <v>400</v>
      </c>
      <c r="AX55" s="92">
        <v>200</v>
      </c>
      <c r="AY55" s="92">
        <v>615</v>
      </c>
      <c r="AZ55" s="92">
        <v>820</v>
      </c>
      <c r="BA55" s="202">
        <v>1230</v>
      </c>
      <c r="BB55" s="202">
        <v>1845</v>
      </c>
      <c r="BC55" s="202">
        <v>3075</v>
      </c>
      <c r="BD55" s="202">
        <v>5125</v>
      </c>
      <c r="BF55" s="101" t="str">
        <f t="shared" si="17"/>
        <v>2.030400</v>
      </c>
      <c r="BG55" s="101">
        <v>400</v>
      </c>
      <c r="BH55" s="92">
        <v>160</v>
      </c>
      <c r="BI55" s="92">
        <v>420</v>
      </c>
      <c r="BJ55" s="92">
        <v>560</v>
      </c>
      <c r="BK55" s="92">
        <v>840</v>
      </c>
      <c r="BL55" s="202">
        <v>1260</v>
      </c>
      <c r="BM55" s="202">
        <v>2100</v>
      </c>
      <c r="BN55" s="202">
        <v>3500</v>
      </c>
      <c r="BP55" s="101" t="str">
        <f t="shared" si="18"/>
        <v>3.030400</v>
      </c>
      <c r="BQ55" s="101">
        <v>400</v>
      </c>
      <c r="BR55" s="92">
        <v>85</v>
      </c>
      <c r="BS55" s="92">
        <v>225</v>
      </c>
      <c r="BT55" s="92">
        <v>300</v>
      </c>
      <c r="BU55" s="92">
        <v>450</v>
      </c>
      <c r="BV55" s="92">
        <v>675</v>
      </c>
      <c r="BW55" s="202">
        <v>1130</v>
      </c>
      <c r="BX55" s="202">
        <v>1880</v>
      </c>
    </row>
    <row r="56" spans="1:76">
      <c r="A56" s="95"/>
      <c r="B56" s="96"/>
      <c r="C56" s="95"/>
      <c r="D56" s="95"/>
      <c r="E56" s="95"/>
      <c r="F56" s="95"/>
      <c r="G56" s="95"/>
      <c r="H56" s="95"/>
      <c r="I56" s="95"/>
      <c r="J56" s="95"/>
      <c r="K56" s="95"/>
      <c r="L56" s="95"/>
      <c r="M56" s="95"/>
      <c r="N56" s="95"/>
      <c r="O56" s="95"/>
      <c r="P56" s="95"/>
      <c r="Q56" s="95"/>
      <c r="R56" s="95"/>
      <c r="S56" s="99" t="s">
        <v>76</v>
      </c>
      <c r="T56" s="204" t="s">
        <v>76</v>
      </c>
      <c r="U56" s="98"/>
      <c r="V56" s="98">
        <f t="shared" si="14"/>
        <v>750</v>
      </c>
      <c r="W56" s="98">
        <f t="shared" si="14"/>
        <v>750</v>
      </c>
      <c r="X56" s="98">
        <f t="shared" si="14"/>
        <v>730</v>
      </c>
      <c r="Y56" s="98">
        <f t="shared" si="14"/>
        <v>705</v>
      </c>
      <c r="Z56" s="98">
        <f t="shared" si="14"/>
        <v>665</v>
      </c>
      <c r="AA56" s="98">
        <f t="shared" si="14"/>
        <v>605</v>
      </c>
      <c r="AB56" s="98">
        <f t="shared" si="14"/>
        <v>590</v>
      </c>
      <c r="AC56" s="98">
        <f t="shared" si="14"/>
        <v>570</v>
      </c>
      <c r="AD56" s="98">
        <f t="shared" si="14"/>
        <v>530</v>
      </c>
      <c r="AE56" s="98">
        <f t="shared" si="14"/>
        <v>510</v>
      </c>
      <c r="AF56" s="98">
        <f t="shared" si="15"/>
        <v>485</v>
      </c>
      <c r="AG56" s="98">
        <f t="shared" si="15"/>
        <v>450</v>
      </c>
      <c r="AH56" s="98">
        <f t="shared" si="15"/>
        <v>385</v>
      </c>
      <c r="AI56" s="98">
        <f t="shared" si="15"/>
        <v>265</v>
      </c>
      <c r="AJ56" s="98">
        <f t="shared" si="15"/>
        <v>175</v>
      </c>
      <c r="AK56" s="98">
        <f t="shared" si="15"/>
        <v>110</v>
      </c>
      <c r="AL56" s="98">
        <f t="shared" si="15"/>
        <v>70</v>
      </c>
      <c r="AM56" s="98">
        <f t="shared" si="15"/>
        <v>40</v>
      </c>
      <c r="AN56" s="98">
        <f t="shared" si="15"/>
        <v>0</v>
      </c>
      <c r="AO56" s="98">
        <f t="shared" si="15"/>
        <v>0</v>
      </c>
      <c r="AP56" s="98">
        <f t="shared" si="15"/>
        <v>0</v>
      </c>
      <c r="AQ56" s="98">
        <f t="shared" si="15"/>
        <v>0</v>
      </c>
      <c r="AR56" s="98">
        <f t="shared" si="15"/>
        <v>0</v>
      </c>
      <c r="AS56" s="98">
        <f t="shared" si="15"/>
        <v>0</v>
      </c>
      <c r="AV56" s="101" t="str">
        <f t="shared" si="16"/>
        <v>1.030500</v>
      </c>
      <c r="AW56" s="101">
        <v>500</v>
      </c>
      <c r="AX56" s="92">
        <v>170</v>
      </c>
      <c r="AY56" s="92">
        <v>585</v>
      </c>
      <c r="AZ56" s="92">
        <v>780</v>
      </c>
      <c r="BA56" s="202">
        <v>1175</v>
      </c>
      <c r="BB56" s="202">
        <v>1760</v>
      </c>
      <c r="BC56" s="202">
        <v>2930</v>
      </c>
      <c r="BD56" s="202">
        <v>4885</v>
      </c>
      <c r="BF56" s="101" t="str">
        <f t="shared" si="17"/>
        <v>2.030500</v>
      </c>
      <c r="BG56" s="101">
        <v>500</v>
      </c>
      <c r="BH56" s="92">
        <v>150</v>
      </c>
      <c r="BI56" s="92">
        <v>395</v>
      </c>
      <c r="BJ56" s="92">
        <v>525</v>
      </c>
      <c r="BK56" s="92">
        <v>785</v>
      </c>
      <c r="BL56" s="202">
        <v>1180</v>
      </c>
      <c r="BM56" s="202">
        <v>1970</v>
      </c>
      <c r="BN56" s="202">
        <v>3280</v>
      </c>
      <c r="BP56" s="101" t="str">
        <f t="shared" si="18"/>
        <v>3.030500</v>
      </c>
      <c r="BQ56" s="101">
        <v>500</v>
      </c>
      <c r="BR56" s="92">
        <v>85</v>
      </c>
      <c r="BS56" s="92">
        <v>225</v>
      </c>
      <c r="BT56" s="92">
        <v>300</v>
      </c>
      <c r="BU56" s="92">
        <v>450</v>
      </c>
      <c r="BV56" s="92">
        <v>675</v>
      </c>
      <c r="BW56" s="202">
        <v>1130</v>
      </c>
      <c r="BX56" s="202">
        <v>1880</v>
      </c>
    </row>
    <row r="57" spans="1:76">
      <c r="A57" s="95"/>
      <c r="B57" s="96"/>
      <c r="C57" s="95"/>
      <c r="D57" s="95"/>
      <c r="E57" s="95"/>
      <c r="F57" s="95"/>
      <c r="G57" s="95"/>
      <c r="H57" s="95"/>
      <c r="I57" s="95"/>
      <c r="J57" s="95"/>
      <c r="K57" s="95"/>
      <c r="L57" s="95"/>
      <c r="M57" s="95"/>
      <c r="N57" s="95"/>
      <c r="O57" s="95"/>
      <c r="P57" s="95"/>
      <c r="Q57" s="95"/>
      <c r="R57" s="95"/>
      <c r="S57" s="99" t="s">
        <v>187</v>
      </c>
      <c r="T57" s="204" t="s">
        <v>187</v>
      </c>
      <c r="U57" s="98"/>
      <c r="V57" s="98">
        <f t="shared" si="14"/>
        <v>750</v>
      </c>
      <c r="W57" s="98">
        <f t="shared" si="14"/>
        <v>750</v>
      </c>
      <c r="X57" s="98">
        <f t="shared" si="14"/>
        <v>730</v>
      </c>
      <c r="Y57" s="98">
        <f t="shared" si="14"/>
        <v>705</v>
      </c>
      <c r="Z57" s="98">
        <f t="shared" si="14"/>
        <v>665</v>
      </c>
      <c r="AA57" s="98">
        <f t="shared" si="14"/>
        <v>605</v>
      </c>
      <c r="AB57" s="98">
        <f t="shared" si="14"/>
        <v>590</v>
      </c>
      <c r="AC57" s="98">
        <f t="shared" si="14"/>
        <v>570</v>
      </c>
      <c r="AD57" s="98">
        <f t="shared" si="14"/>
        <v>530</v>
      </c>
      <c r="AE57" s="98">
        <f t="shared" si="14"/>
        <v>510</v>
      </c>
      <c r="AF57" s="98">
        <f t="shared" si="15"/>
        <v>485</v>
      </c>
      <c r="AG57" s="98">
        <f t="shared" si="15"/>
        <v>450</v>
      </c>
      <c r="AH57" s="98">
        <f t="shared" si="15"/>
        <v>280</v>
      </c>
      <c r="AI57" s="98">
        <f t="shared" si="15"/>
        <v>165</v>
      </c>
      <c r="AJ57" s="98">
        <f t="shared" si="15"/>
        <v>165</v>
      </c>
      <c r="AK57" s="98">
        <f t="shared" si="15"/>
        <v>110</v>
      </c>
      <c r="AL57" s="98">
        <f t="shared" si="15"/>
        <v>80</v>
      </c>
      <c r="AM57" s="98">
        <f t="shared" si="15"/>
        <v>45</v>
      </c>
      <c r="AN57" s="98">
        <f t="shared" si="15"/>
        <v>0</v>
      </c>
      <c r="AO57" s="98">
        <f t="shared" si="15"/>
        <v>0</v>
      </c>
      <c r="AP57" s="98">
        <f t="shared" si="15"/>
        <v>0</v>
      </c>
      <c r="AQ57" s="98">
        <f t="shared" si="15"/>
        <v>0</v>
      </c>
      <c r="AR57" s="98">
        <f t="shared" si="15"/>
        <v>0</v>
      </c>
      <c r="AS57" s="98">
        <f t="shared" si="15"/>
        <v>0</v>
      </c>
      <c r="AV57" s="101" t="str">
        <f t="shared" si="16"/>
        <v>1.030600</v>
      </c>
      <c r="AW57" s="101">
        <v>600</v>
      </c>
      <c r="AX57" s="92">
        <v>140</v>
      </c>
      <c r="AY57" s="92">
        <v>550</v>
      </c>
      <c r="AZ57" s="92">
        <v>735</v>
      </c>
      <c r="BA57" s="202">
        <v>1105</v>
      </c>
      <c r="BB57" s="202">
        <v>1655</v>
      </c>
      <c r="BC57" s="202">
        <v>2755</v>
      </c>
      <c r="BD57" s="202">
        <v>4595</v>
      </c>
      <c r="BF57" s="101" t="str">
        <f t="shared" si="17"/>
        <v>2.030600</v>
      </c>
      <c r="BG57" s="101">
        <v>600</v>
      </c>
      <c r="BH57" s="92">
        <v>140</v>
      </c>
      <c r="BI57" s="92">
        <v>370</v>
      </c>
      <c r="BJ57" s="92">
        <v>495</v>
      </c>
      <c r="BK57" s="92">
        <v>745</v>
      </c>
      <c r="BL57" s="202">
        <v>1115</v>
      </c>
      <c r="BM57" s="202">
        <v>1860</v>
      </c>
      <c r="BN57" s="202">
        <v>3100</v>
      </c>
      <c r="BP57" s="101" t="str">
        <f t="shared" si="18"/>
        <v>3.030600</v>
      </c>
      <c r="BQ57" s="101">
        <v>600</v>
      </c>
      <c r="BR57" s="92">
        <v>85</v>
      </c>
      <c r="BS57" s="92">
        <v>225</v>
      </c>
      <c r="BT57" s="92">
        <v>300</v>
      </c>
      <c r="BU57" s="92">
        <v>450</v>
      </c>
      <c r="BV57" s="92">
        <v>675</v>
      </c>
      <c r="BW57" s="202">
        <v>1130</v>
      </c>
      <c r="BX57" s="202">
        <v>1880</v>
      </c>
    </row>
    <row r="58" spans="1:76">
      <c r="A58" s="95"/>
      <c r="B58" s="96"/>
      <c r="C58" s="95"/>
      <c r="D58" s="95"/>
      <c r="E58" s="95"/>
      <c r="F58" s="95"/>
      <c r="G58" s="95"/>
      <c r="H58" s="95"/>
      <c r="I58" s="95"/>
      <c r="J58" s="95"/>
      <c r="K58" s="95"/>
      <c r="L58" s="95"/>
      <c r="M58" s="95"/>
      <c r="N58" s="95"/>
      <c r="O58" s="95"/>
      <c r="P58" s="95"/>
      <c r="Q58" s="95"/>
      <c r="R58" s="95"/>
      <c r="S58" s="99" t="s">
        <v>77</v>
      </c>
      <c r="T58" s="204" t="s">
        <v>77</v>
      </c>
      <c r="U58" s="98"/>
      <c r="V58" s="98">
        <f t="shared" si="14"/>
        <v>750</v>
      </c>
      <c r="W58" s="98">
        <f t="shared" si="14"/>
        <v>750</v>
      </c>
      <c r="X58" s="98">
        <f t="shared" si="14"/>
        <v>730</v>
      </c>
      <c r="Y58" s="98">
        <f t="shared" si="14"/>
        <v>705</v>
      </c>
      <c r="Z58" s="98">
        <f t="shared" si="14"/>
        <v>665</v>
      </c>
      <c r="AA58" s="98">
        <f t="shared" si="14"/>
        <v>605</v>
      </c>
      <c r="AB58" s="98">
        <f t="shared" si="14"/>
        <v>590</v>
      </c>
      <c r="AC58" s="98">
        <f t="shared" si="14"/>
        <v>570</v>
      </c>
      <c r="AD58" s="98">
        <f t="shared" si="14"/>
        <v>530</v>
      </c>
      <c r="AE58" s="98">
        <f t="shared" si="14"/>
        <v>510</v>
      </c>
      <c r="AF58" s="98">
        <f t="shared" si="15"/>
        <v>485</v>
      </c>
      <c r="AG58" s="98">
        <f t="shared" si="15"/>
        <v>375</v>
      </c>
      <c r="AH58" s="98">
        <f t="shared" si="15"/>
        <v>275</v>
      </c>
      <c r="AI58" s="98">
        <f t="shared" si="15"/>
        <v>200</v>
      </c>
      <c r="AJ58" s="98">
        <f t="shared" si="15"/>
        <v>145</v>
      </c>
      <c r="AK58" s="98">
        <f t="shared" si="15"/>
        <v>100</v>
      </c>
      <c r="AL58" s="98">
        <f t="shared" si="15"/>
        <v>60</v>
      </c>
      <c r="AM58" s="98">
        <f t="shared" si="15"/>
        <v>35</v>
      </c>
      <c r="AN58" s="98">
        <f t="shared" si="15"/>
        <v>0</v>
      </c>
      <c r="AO58" s="98">
        <f t="shared" si="15"/>
        <v>0</v>
      </c>
      <c r="AP58" s="98">
        <f t="shared" si="15"/>
        <v>0</v>
      </c>
      <c r="AQ58" s="98">
        <f t="shared" si="15"/>
        <v>0</v>
      </c>
      <c r="AR58" s="98">
        <f t="shared" si="15"/>
        <v>0</v>
      </c>
      <c r="AS58" s="98">
        <f t="shared" si="15"/>
        <v>0</v>
      </c>
      <c r="AV58" s="101" t="str">
        <f t="shared" si="16"/>
        <v>1.030650</v>
      </c>
      <c r="AW58" s="101">
        <v>650</v>
      </c>
      <c r="AX58" s="92">
        <v>125</v>
      </c>
      <c r="AY58" s="92">
        <v>535</v>
      </c>
      <c r="AZ58" s="92">
        <v>710</v>
      </c>
      <c r="BA58" s="202">
        <v>1065</v>
      </c>
      <c r="BB58" s="202">
        <v>1600</v>
      </c>
      <c r="BC58" s="202">
        <v>2665</v>
      </c>
      <c r="BD58" s="202">
        <v>4440</v>
      </c>
      <c r="BF58" s="101" t="str">
        <f t="shared" si="17"/>
        <v>2.030650</v>
      </c>
      <c r="BG58" s="101">
        <v>650</v>
      </c>
      <c r="BH58" s="92">
        <v>125</v>
      </c>
      <c r="BI58" s="92">
        <v>365</v>
      </c>
      <c r="BJ58" s="92">
        <v>485</v>
      </c>
      <c r="BK58" s="92">
        <v>730</v>
      </c>
      <c r="BL58" s="202">
        <v>1095</v>
      </c>
      <c r="BM58" s="202">
        <v>1825</v>
      </c>
      <c r="BN58" s="202">
        <v>3040</v>
      </c>
      <c r="BP58" s="101" t="str">
        <f t="shared" si="18"/>
        <v>3.030650</v>
      </c>
      <c r="BQ58" s="101">
        <v>650</v>
      </c>
      <c r="BR58" s="92">
        <v>85</v>
      </c>
      <c r="BS58" s="92">
        <v>225</v>
      </c>
      <c r="BT58" s="92">
        <v>300</v>
      </c>
      <c r="BU58" s="92">
        <v>445</v>
      </c>
      <c r="BV58" s="92">
        <v>670</v>
      </c>
      <c r="BW58" s="202">
        <v>1115</v>
      </c>
      <c r="BX58" s="202">
        <v>1860</v>
      </c>
    </row>
    <row r="59" spans="1:76">
      <c r="A59" s="95"/>
      <c r="B59" s="96"/>
      <c r="C59" s="95"/>
      <c r="D59" s="95"/>
      <c r="E59" s="95"/>
      <c r="F59" s="95"/>
      <c r="G59" s="95"/>
      <c r="H59" s="95"/>
      <c r="I59" s="95"/>
      <c r="J59" s="95"/>
      <c r="K59" s="95"/>
      <c r="L59" s="95"/>
      <c r="M59" s="95"/>
      <c r="N59" s="95"/>
      <c r="O59" s="95"/>
      <c r="P59" s="95"/>
      <c r="Q59" s="95"/>
      <c r="R59" s="95"/>
      <c r="S59" s="99" t="s">
        <v>78</v>
      </c>
      <c r="T59" s="204" t="s">
        <v>78</v>
      </c>
      <c r="U59" s="98"/>
      <c r="V59" s="98">
        <f t="shared" si="14"/>
        <v>750</v>
      </c>
      <c r="W59" s="98">
        <f t="shared" si="14"/>
        <v>750</v>
      </c>
      <c r="X59" s="98">
        <f t="shared" si="14"/>
        <v>730</v>
      </c>
      <c r="Y59" s="98">
        <f t="shared" si="14"/>
        <v>705</v>
      </c>
      <c r="Z59" s="98">
        <f t="shared" si="14"/>
        <v>665</v>
      </c>
      <c r="AA59" s="98">
        <f t="shared" si="14"/>
        <v>605</v>
      </c>
      <c r="AB59" s="98">
        <f t="shared" si="14"/>
        <v>590</v>
      </c>
      <c r="AC59" s="98">
        <f t="shared" si="14"/>
        <v>570</v>
      </c>
      <c r="AD59" s="98">
        <f t="shared" si="14"/>
        <v>530</v>
      </c>
      <c r="AE59" s="98">
        <f t="shared" si="14"/>
        <v>510</v>
      </c>
      <c r="AF59" s="98">
        <f t="shared" si="15"/>
        <v>485</v>
      </c>
      <c r="AG59" s="98">
        <f t="shared" si="15"/>
        <v>450</v>
      </c>
      <c r="AH59" s="98">
        <f t="shared" si="15"/>
        <v>375</v>
      </c>
      <c r="AI59" s="98">
        <f t="shared" si="15"/>
        <v>255</v>
      </c>
      <c r="AJ59" s="98">
        <f t="shared" si="15"/>
        <v>170</v>
      </c>
      <c r="AK59" s="98">
        <f t="shared" si="15"/>
        <v>115</v>
      </c>
      <c r="AL59" s="98">
        <f t="shared" si="15"/>
        <v>75</v>
      </c>
      <c r="AM59" s="98">
        <f t="shared" si="15"/>
        <v>50</v>
      </c>
      <c r="AN59" s="98">
        <f t="shared" si="15"/>
        <v>0</v>
      </c>
      <c r="AO59" s="98">
        <f t="shared" si="15"/>
        <v>0</v>
      </c>
      <c r="AP59" s="98">
        <f t="shared" si="15"/>
        <v>0</v>
      </c>
      <c r="AQ59" s="98">
        <f t="shared" si="15"/>
        <v>0</v>
      </c>
      <c r="AR59" s="98">
        <f t="shared" si="15"/>
        <v>0</v>
      </c>
      <c r="AS59" s="98">
        <f t="shared" si="15"/>
        <v>0</v>
      </c>
      <c r="AV59" s="101" t="str">
        <f t="shared" si="16"/>
        <v>1.030700</v>
      </c>
      <c r="AW59" s="101">
        <v>700</v>
      </c>
      <c r="AX59" s="92">
        <v>110</v>
      </c>
      <c r="AY59" s="92">
        <v>510</v>
      </c>
      <c r="AZ59" s="92">
        <v>685</v>
      </c>
      <c r="BA59" s="202">
        <v>1025</v>
      </c>
      <c r="BB59" s="202">
        <v>1535</v>
      </c>
      <c r="BC59" s="202">
        <v>2560</v>
      </c>
      <c r="BD59" s="202">
        <v>4270</v>
      </c>
      <c r="BF59" s="101" t="str">
        <f t="shared" si="17"/>
        <v>2.030700</v>
      </c>
      <c r="BG59" s="101">
        <v>700</v>
      </c>
      <c r="BH59" s="92">
        <v>110</v>
      </c>
      <c r="BI59" s="92">
        <v>360</v>
      </c>
      <c r="BJ59" s="92">
        <v>480</v>
      </c>
      <c r="BK59" s="92">
        <v>720</v>
      </c>
      <c r="BL59" s="202">
        <v>1080</v>
      </c>
      <c r="BM59" s="202">
        <v>1800</v>
      </c>
      <c r="BN59" s="202">
        <v>3000</v>
      </c>
      <c r="BP59" s="101" t="str">
        <f t="shared" si="18"/>
        <v>3.030700</v>
      </c>
      <c r="BQ59" s="101">
        <v>700</v>
      </c>
      <c r="BR59" s="92">
        <v>85</v>
      </c>
      <c r="BS59" s="92">
        <v>225</v>
      </c>
      <c r="BT59" s="92">
        <v>300</v>
      </c>
      <c r="BU59" s="92">
        <v>445</v>
      </c>
      <c r="BV59" s="92">
        <v>670</v>
      </c>
      <c r="BW59" s="202">
        <v>1115</v>
      </c>
      <c r="BX59" s="202">
        <v>1860</v>
      </c>
    </row>
    <row r="60" spans="1:76">
      <c r="A60" s="95"/>
      <c r="B60" s="96"/>
      <c r="C60" s="95"/>
      <c r="D60" s="95"/>
      <c r="E60" s="95"/>
      <c r="F60" s="95"/>
      <c r="G60" s="95"/>
      <c r="H60" s="95"/>
      <c r="I60" s="95"/>
      <c r="J60" s="95"/>
      <c r="K60" s="95"/>
      <c r="L60" s="95"/>
      <c r="M60" s="95"/>
      <c r="N60" s="95"/>
      <c r="O60" s="95"/>
      <c r="P60" s="95"/>
      <c r="Q60" s="95"/>
      <c r="R60" s="95"/>
      <c r="S60" s="99" t="s">
        <v>191</v>
      </c>
      <c r="T60" s="204" t="s">
        <v>191</v>
      </c>
      <c r="U60" s="98"/>
      <c r="V60" s="98">
        <f t="shared" si="14"/>
        <v>750</v>
      </c>
      <c r="W60" s="98">
        <f t="shared" si="14"/>
        <v>750</v>
      </c>
      <c r="X60" s="98">
        <f t="shared" si="14"/>
        <v>730</v>
      </c>
      <c r="Y60" s="98">
        <f t="shared" si="14"/>
        <v>705</v>
      </c>
      <c r="Z60" s="98">
        <f t="shared" si="14"/>
        <v>665</v>
      </c>
      <c r="AA60" s="98">
        <f t="shared" si="14"/>
        <v>605</v>
      </c>
      <c r="AB60" s="98">
        <f t="shared" si="14"/>
        <v>590</v>
      </c>
      <c r="AC60" s="98">
        <f t="shared" si="14"/>
        <v>570</v>
      </c>
      <c r="AD60" s="98">
        <f t="shared" si="14"/>
        <v>530</v>
      </c>
      <c r="AE60" s="98">
        <f t="shared" si="14"/>
        <v>510</v>
      </c>
      <c r="AF60" s="98">
        <f t="shared" si="15"/>
        <v>485</v>
      </c>
      <c r="AG60" s="98">
        <f t="shared" si="15"/>
        <v>450</v>
      </c>
      <c r="AH60" s="98">
        <f t="shared" si="15"/>
        <v>385</v>
      </c>
      <c r="AI60" s="98">
        <f t="shared" si="15"/>
        <v>365</v>
      </c>
      <c r="AJ60" s="98">
        <f t="shared" si="15"/>
        <v>360</v>
      </c>
      <c r="AK60" s="98">
        <f t="shared" si="15"/>
        <v>300</v>
      </c>
      <c r="AL60" s="98">
        <f t="shared" si="15"/>
        <v>225</v>
      </c>
      <c r="AM60" s="98">
        <f t="shared" si="15"/>
        <v>145</v>
      </c>
      <c r="AN60" s="98">
        <f t="shared" si="15"/>
        <v>0</v>
      </c>
      <c r="AO60" s="98">
        <f t="shared" si="15"/>
        <v>0</v>
      </c>
      <c r="AP60" s="98">
        <f t="shared" si="15"/>
        <v>0</v>
      </c>
      <c r="AQ60" s="98">
        <f t="shared" si="15"/>
        <v>0</v>
      </c>
      <c r="AR60" s="98">
        <f t="shared" si="15"/>
        <v>0</v>
      </c>
      <c r="AS60" s="98">
        <f t="shared" si="15"/>
        <v>0</v>
      </c>
      <c r="AV60" s="101" t="str">
        <f t="shared" si="16"/>
        <v>1.030750</v>
      </c>
      <c r="AW60" s="101">
        <v>750</v>
      </c>
      <c r="AX60" s="92">
        <v>95</v>
      </c>
      <c r="AY60" s="92">
        <v>475</v>
      </c>
      <c r="AZ60" s="92">
        <v>635</v>
      </c>
      <c r="BA60" s="92">
        <v>955</v>
      </c>
      <c r="BB60" s="202">
        <v>1430</v>
      </c>
      <c r="BC60" s="202">
        <v>2385</v>
      </c>
      <c r="BD60" s="202">
        <v>3970</v>
      </c>
      <c r="BF60" s="101" t="str">
        <f t="shared" si="17"/>
        <v>2.030750</v>
      </c>
      <c r="BG60" s="101">
        <v>750</v>
      </c>
      <c r="BH60" s="92">
        <v>95</v>
      </c>
      <c r="BI60" s="92">
        <v>355</v>
      </c>
      <c r="BJ60" s="92">
        <v>470</v>
      </c>
      <c r="BK60" s="92">
        <v>705</v>
      </c>
      <c r="BL60" s="202">
        <v>1060</v>
      </c>
      <c r="BM60" s="202">
        <v>1765</v>
      </c>
      <c r="BN60" s="202">
        <v>2940</v>
      </c>
      <c r="BP60" s="101" t="str">
        <f t="shared" si="18"/>
        <v>3.030750</v>
      </c>
      <c r="BQ60" s="101">
        <v>750</v>
      </c>
      <c r="BR60" s="92">
        <v>85</v>
      </c>
      <c r="BS60" s="92">
        <v>220</v>
      </c>
      <c r="BT60" s="92">
        <v>295</v>
      </c>
      <c r="BU60" s="92">
        <v>440</v>
      </c>
      <c r="BV60" s="92">
        <v>660</v>
      </c>
      <c r="BW60" s="202">
        <v>1105</v>
      </c>
      <c r="BX60" s="202">
        <v>1840</v>
      </c>
    </row>
    <row r="61" spans="1:76">
      <c r="A61" s="95"/>
      <c r="B61" s="96"/>
      <c r="C61" s="95"/>
      <c r="D61" s="95"/>
      <c r="E61" s="95"/>
      <c r="F61" s="95"/>
      <c r="G61" s="95"/>
      <c r="H61" s="95"/>
      <c r="I61" s="95"/>
      <c r="J61" s="95"/>
      <c r="K61" s="95"/>
      <c r="L61" s="95"/>
      <c r="M61" s="95"/>
      <c r="N61" s="95"/>
      <c r="O61" s="95"/>
      <c r="P61" s="95"/>
      <c r="Q61" s="95"/>
      <c r="R61" s="95"/>
      <c r="S61" s="99" t="s">
        <v>188</v>
      </c>
      <c r="T61" s="204" t="s">
        <v>188</v>
      </c>
      <c r="U61" s="98"/>
      <c r="V61" s="98">
        <f t="shared" si="14"/>
        <v>750</v>
      </c>
      <c r="W61" s="98">
        <f t="shared" si="14"/>
        <v>735</v>
      </c>
      <c r="X61" s="98">
        <f t="shared" si="14"/>
        <v>700</v>
      </c>
      <c r="Y61" s="98">
        <f t="shared" si="14"/>
        <v>670</v>
      </c>
      <c r="Z61" s="98">
        <f t="shared" si="14"/>
        <v>645</v>
      </c>
      <c r="AA61" s="98">
        <f t="shared" si="14"/>
        <v>605</v>
      </c>
      <c r="AB61" s="98">
        <f t="shared" si="14"/>
        <v>590</v>
      </c>
      <c r="AC61" s="98">
        <f t="shared" si="14"/>
        <v>570</v>
      </c>
      <c r="AD61" s="98">
        <f t="shared" si="14"/>
        <v>530</v>
      </c>
      <c r="AE61" s="98">
        <f t="shared" si="14"/>
        <v>510</v>
      </c>
      <c r="AF61" s="98">
        <f t="shared" si="15"/>
        <v>485</v>
      </c>
      <c r="AG61" s="98">
        <f t="shared" si="15"/>
        <v>375</v>
      </c>
      <c r="AH61" s="98">
        <f t="shared" si="15"/>
        <v>275</v>
      </c>
      <c r="AI61" s="98">
        <f t="shared" si="15"/>
        <v>200</v>
      </c>
      <c r="AJ61" s="98">
        <f t="shared" si="15"/>
        <v>145</v>
      </c>
      <c r="AK61" s="98">
        <f t="shared" si="15"/>
        <v>95</v>
      </c>
      <c r="AL61" s="98">
        <f t="shared" si="15"/>
        <v>60</v>
      </c>
      <c r="AM61" s="98">
        <f t="shared" si="15"/>
        <v>35</v>
      </c>
      <c r="AN61" s="98">
        <f t="shared" si="15"/>
        <v>0</v>
      </c>
      <c r="AO61" s="98">
        <f t="shared" si="15"/>
        <v>0</v>
      </c>
      <c r="AP61" s="98">
        <f t="shared" si="15"/>
        <v>0</v>
      </c>
      <c r="AQ61" s="98">
        <f t="shared" si="15"/>
        <v>0</v>
      </c>
      <c r="AR61" s="98">
        <f t="shared" si="15"/>
        <v>0</v>
      </c>
      <c r="AS61" s="98">
        <f t="shared" si="15"/>
        <v>0</v>
      </c>
      <c r="AV61" s="101" t="str">
        <f t="shared" si="16"/>
        <v>1.030800</v>
      </c>
      <c r="AW61" s="101">
        <v>800</v>
      </c>
      <c r="AX61" s="92">
        <v>80</v>
      </c>
      <c r="AY61" s="92">
        <v>390</v>
      </c>
      <c r="AZ61" s="92">
        <v>520</v>
      </c>
      <c r="BA61" s="92">
        <v>780</v>
      </c>
      <c r="BB61" s="202">
        <v>1175</v>
      </c>
      <c r="BC61" s="202">
        <v>1955</v>
      </c>
      <c r="BD61" s="202">
        <v>3255</v>
      </c>
      <c r="BF61" s="101" t="str">
        <f t="shared" si="17"/>
        <v>2.030800</v>
      </c>
      <c r="BG61" s="101">
        <v>800</v>
      </c>
      <c r="BH61" s="92">
        <v>80</v>
      </c>
      <c r="BI61" s="92">
        <v>345</v>
      </c>
      <c r="BJ61" s="92">
        <v>460</v>
      </c>
      <c r="BK61" s="92">
        <v>690</v>
      </c>
      <c r="BL61" s="202">
        <v>1035</v>
      </c>
      <c r="BM61" s="202">
        <v>1730</v>
      </c>
      <c r="BN61" s="202">
        <v>2880</v>
      </c>
      <c r="BP61" s="101" t="str">
        <f t="shared" si="18"/>
        <v>3.030800</v>
      </c>
      <c r="BQ61" s="101">
        <v>800</v>
      </c>
      <c r="BR61" s="92">
        <v>80</v>
      </c>
      <c r="BS61" s="92">
        <v>215</v>
      </c>
      <c r="BT61" s="92">
        <v>290</v>
      </c>
      <c r="BU61" s="92">
        <v>430</v>
      </c>
      <c r="BV61" s="92">
        <v>650</v>
      </c>
      <c r="BW61" s="202">
        <v>1080</v>
      </c>
      <c r="BX61" s="202">
        <v>1800</v>
      </c>
    </row>
    <row r="62" spans="1:76">
      <c r="A62" s="95"/>
      <c r="B62" s="96"/>
      <c r="C62" s="95"/>
      <c r="D62" s="95"/>
      <c r="E62" s="95"/>
      <c r="F62" s="95"/>
      <c r="G62" s="95"/>
      <c r="H62" s="95"/>
      <c r="I62" s="95"/>
      <c r="J62" s="95"/>
      <c r="K62" s="95"/>
      <c r="L62" s="95"/>
      <c r="M62" s="95"/>
      <c r="N62" s="95"/>
      <c r="O62" s="95"/>
      <c r="P62" s="95"/>
      <c r="Q62" s="95"/>
      <c r="R62" s="95"/>
      <c r="S62" s="99" t="s">
        <v>189</v>
      </c>
      <c r="T62" s="204" t="s">
        <v>189</v>
      </c>
      <c r="U62" s="98"/>
      <c r="V62" s="98">
        <f t="shared" si="14"/>
        <v>750</v>
      </c>
      <c r="W62" s="98">
        <f t="shared" si="14"/>
        <v>750</v>
      </c>
      <c r="X62" s="98">
        <f t="shared" si="14"/>
        <v>730</v>
      </c>
      <c r="Y62" s="98">
        <f t="shared" si="14"/>
        <v>705</v>
      </c>
      <c r="Z62" s="98">
        <f t="shared" si="14"/>
        <v>665</v>
      </c>
      <c r="AA62" s="98">
        <f t="shared" si="14"/>
        <v>605</v>
      </c>
      <c r="AB62" s="98">
        <f t="shared" si="14"/>
        <v>590</v>
      </c>
      <c r="AC62" s="98">
        <f t="shared" si="14"/>
        <v>570</v>
      </c>
      <c r="AD62" s="98">
        <f t="shared" si="14"/>
        <v>530</v>
      </c>
      <c r="AE62" s="98">
        <f t="shared" si="14"/>
        <v>510</v>
      </c>
      <c r="AF62" s="98">
        <f t="shared" si="15"/>
        <v>485</v>
      </c>
      <c r="AG62" s="98">
        <f t="shared" si="15"/>
        <v>450</v>
      </c>
      <c r="AH62" s="98">
        <f t="shared" si="15"/>
        <v>385</v>
      </c>
      <c r="AI62" s="98">
        <f t="shared" si="15"/>
        <v>365</v>
      </c>
      <c r="AJ62" s="98">
        <f t="shared" si="15"/>
        <v>360</v>
      </c>
      <c r="AK62" s="98">
        <f t="shared" si="15"/>
        <v>325</v>
      </c>
      <c r="AL62" s="98">
        <f t="shared" si="15"/>
        <v>275</v>
      </c>
      <c r="AM62" s="98">
        <f t="shared" si="15"/>
        <v>205</v>
      </c>
      <c r="AN62" s="98">
        <f t="shared" si="15"/>
        <v>0</v>
      </c>
      <c r="AO62" s="98">
        <f t="shared" si="15"/>
        <v>0</v>
      </c>
      <c r="AP62" s="98">
        <f t="shared" si="15"/>
        <v>0</v>
      </c>
      <c r="AQ62" s="98">
        <f t="shared" si="15"/>
        <v>0</v>
      </c>
      <c r="AR62" s="98">
        <f t="shared" si="15"/>
        <v>0</v>
      </c>
      <c r="AS62" s="98">
        <f t="shared" si="15"/>
        <v>0</v>
      </c>
      <c r="AV62" s="101" t="str">
        <f t="shared" si="16"/>
        <v>1.030850</v>
      </c>
      <c r="AW62" s="101">
        <v>850</v>
      </c>
      <c r="AX62" s="92">
        <v>65</v>
      </c>
      <c r="AY62" s="92">
        <v>300</v>
      </c>
      <c r="AZ62" s="92">
        <v>400</v>
      </c>
      <c r="BA62" s="92">
        <v>595</v>
      </c>
      <c r="BB62" s="92">
        <v>895</v>
      </c>
      <c r="BC62" s="202">
        <v>1490</v>
      </c>
      <c r="BD62" s="202">
        <v>2485</v>
      </c>
      <c r="BF62" s="101" t="str">
        <f t="shared" si="17"/>
        <v>2.030850</v>
      </c>
      <c r="BG62" s="101">
        <v>850</v>
      </c>
      <c r="BH62" s="92">
        <v>65</v>
      </c>
      <c r="BI62" s="92">
        <v>340</v>
      </c>
      <c r="BJ62" s="92">
        <v>450</v>
      </c>
      <c r="BK62" s="92">
        <v>675</v>
      </c>
      <c r="BL62" s="202">
        <v>1015</v>
      </c>
      <c r="BM62" s="202">
        <v>1690</v>
      </c>
      <c r="BN62" s="202">
        <v>2820</v>
      </c>
      <c r="BP62" s="101" t="str">
        <f t="shared" si="18"/>
        <v>3.030850</v>
      </c>
      <c r="BQ62" s="101">
        <v>850</v>
      </c>
      <c r="BR62" s="92">
        <v>65</v>
      </c>
      <c r="BS62" s="92">
        <v>210</v>
      </c>
      <c r="BT62" s="92">
        <v>280</v>
      </c>
      <c r="BU62" s="92">
        <v>420</v>
      </c>
      <c r="BV62" s="92">
        <v>635</v>
      </c>
      <c r="BW62" s="202">
        <v>1055</v>
      </c>
      <c r="BX62" s="202">
        <v>1760</v>
      </c>
    </row>
    <row r="63" spans="1:76">
      <c r="A63" s="95"/>
      <c r="B63" s="96"/>
      <c r="C63" s="95"/>
      <c r="D63" s="95"/>
      <c r="E63" s="95"/>
      <c r="F63" s="95"/>
      <c r="G63" s="95"/>
      <c r="H63" s="95"/>
      <c r="I63" s="95"/>
      <c r="J63" s="95"/>
      <c r="K63" s="95"/>
      <c r="L63" s="95"/>
      <c r="M63" s="95"/>
      <c r="N63" s="95"/>
      <c r="O63" s="95"/>
      <c r="P63" s="95"/>
      <c r="Q63" s="95"/>
      <c r="R63" s="95"/>
      <c r="S63" s="99" t="s">
        <v>79</v>
      </c>
      <c r="T63" s="204" t="s">
        <v>204</v>
      </c>
      <c r="U63" s="98"/>
      <c r="V63" s="98">
        <f t="shared" ref="V63:AE74" si="19">VLOOKUP($T63&amp;TEXT(V$1,"0000"),$BF$4:$BN$339,4)</f>
        <v>720</v>
      </c>
      <c r="W63" s="98">
        <f t="shared" si="19"/>
        <v>600</v>
      </c>
      <c r="X63" s="98">
        <f t="shared" si="19"/>
        <v>540</v>
      </c>
      <c r="Y63" s="98">
        <f t="shared" si="19"/>
        <v>495</v>
      </c>
      <c r="Z63" s="98">
        <f t="shared" si="19"/>
        <v>465</v>
      </c>
      <c r="AA63" s="98">
        <f t="shared" si="19"/>
        <v>440</v>
      </c>
      <c r="AB63" s="98">
        <f t="shared" si="19"/>
        <v>430</v>
      </c>
      <c r="AC63" s="98">
        <f t="shared" si="19"/>
        <v>420</v>
      </c>
      <c r="AD63" s="98">
        <f t="shared" si="19"/>
        <v>415</v>
      </c>
      <c r="AE63" s="98">
        <f t="shared" si="19"/>
        <v>405</v>
      </c>
      <c r="AF63" s="98">
        <f t="shared" ref="AF63:AS74" si="20">VLOOKUP($T63&amp;TEXT(AF$1,"0000"),$BF$4:$BN$339,4)</f>
        <v>395</v>
      </c>
      <c r="AG63" s="98">
        <f t="shared" si="20"/>
        <v>390</v>
      </c>
      <c r="AH63" s="98">
        <f t="shared" si="20"/>
        <v>380</v>
      </c>
      <c r="AI63" s="98">
        <f t="shared" si="20"/>
        <v>355</v>
      </c>
      <c r="AJ63" s="98">
        <f t="shared" si="20"/>
        <v>325</v>
      </c>
      <c r="AK63" s="98">
        <f t="shared" si="20"/>
        <v>255</v>
      </c>
      <c r="AL63" s="98">
        <f t="shared" si="20"/>
        <v>205</v>
      </c>
      <c r="AM63" s="98">
        <f t="shared" si="20"/>
        <v>165</v>
      </c>
      <c r="AN63" s="98">
        <f t="shared" si="20"/>
        <v>135</v>
      </c>
      <c r="AO63" s="98">
        <f t="shared" si="20"/>
        <v>115</v>
      </c>
      <c r="AP63" s="98">
        <f t="shared" si="20"/>
        <v>95</v>
      </c>
      <c r="AQ63" s="98">
        <f t="shared" si="20"/>
        <v>75</v>
      </c>
      <c r="AR63" s="98">
        <f t="shared" si="20"/>
        <v>60</v>
      </c>
      <c r="AS63" s="98">
        <f t="shared" si="20"/>
        <v>40</v>
      </c>
      <c r="AV63" s="101" t="str">
        <f t="shared" si="16"/>
        <v>1.030900</v>
      </c>
      <c r="AW63" s="101">
        <v>900</v>
      </c>
      <c r="AX63" s="92">
        <v>50</v>
      </c>
      <c r="AY63" s="92">
        <v>200</v>
      </c>
      <c r="AZ63" s="92">
        <v>270</v>
      </c>
      <c r="BA63" s="92">
        <v>405</v>
      </c>
      <c r="BB63" s="92">
        <v>605</v>
      </c>
      <c r="BC63" s="202">
        <v>1010</v>
      </c>
      <c r="BD63" s="202">
        <v>1685</v>
      </c>
      <c r="BF63" s="101" t="str">
        <f t="shared" si="17"/>
        <v>2.030900</v>
      </c>
      <c r="BG63" s="101">
        <v>900</v>
      </c>
      <c r="BP63" s="101" t="str">
        <f t="shared" si="18"/>
        <v>3.030900</v>
      </c>
      <c r="BQ63" s="101">
        <v>900</v>
      </c>
      <c r="BR63" s="92">
        <v>50</v>
      </c>
      <c r="BS63" s="92">
        <v>205</v>
      </c>
      <c r="BT63" s="92">
        <v>275</v>
      </c>
      <c r="BU63" s="92">
        <v>415</v>
      </c>
      <c r="BV63" s="92">
        <v>620</v>
      </c>
      <c r="BW63" s="202">
        <v>1030</v>
      </c>
      <c r="BX63" s="202">
        <v>1720</v>
      </c>
    </row>
    <row r="64" spans="1:76">
      <c r="A64" s="95"/>
      <c r="B64" s="96"/>
      <c r="C64" s="95"/>
      <c r="D64" s="95"/>
      <c r="E64" s="95"/>
      <c r="F64" s="95"/>
      <c r="G64" s="95"/>
      <c r="H64" s="95"/>
      <c r="I64" s="95"/>
      <c r="J64" s="95"/>
      <c r="K64" s="95"/>
      <c r="L64" s="95"/>
      <c r="M64" s="95"/>
      <c r="N64" s="95"/>
      <c r="O64" s="95"/>
      <c r="P64" s="95"/>
      <c r="Q64" s="95"/>
      <c r="R64" s="95"/>
      <c r="S64" s="99" t="s">
        <v>80</v>
      </c>
      <c r="T64" s="204" t="s">
        <v>205</v>
      </c>
      <c r="U64" s="98"/>
      <c r="V64" s="98">
        <f t="shared" si="19"/>
        <v>720</v>
      </c>
      <c r="W64" s="98">
        <f t="shared" si="19"/>
        <v>620</v>
      </c>
      <c r="X64" s="98">
        <f t="shared" si="19"/>
        <v>560</v>
      </c>
      <c r="Y64" s="98">
        <f t="shared" si="19"/>
        <v>515</v>
      </c>
      <c r="Z64" s="98">
        <f t="shared" si="19"/>
        <v>480</v>
      </c>
      <c r="AA64" s="98">
        <f t="shared" si="19"/>
        <v>450</v>
      </c>
      <c r="AB64" s="98">
        <f t="shared" si="19"/>
        <v>440</v>
      </c>
      <c r="AC64" s="98">
        <f t="shared" si="19"/>
        <v>435</v>
      </c>
      <c r="AD64" s="98">
        <f t="shared" si="19"/>
        <v>425</v>
      </c>
      <c r="AE64" s="98">
        <f t="shared" si="19"/>
        <v>420</v>
      </c>
      <c r="AF64" s="98">
        <f t="shared" si="20"/>
        <v>420</v>
      </c>
      <c r="AG64" s="98">
        <f t="shared" si="20"/>
        <v>415</v>
      </c>
      <c r="AH64" s="98">
        <f t="shared" si="20"/>
        <v>385</v>
      </c>
      <c r="AI64" s="98">
        <f t="shared" si="20"/>
        <v>365</v>
      </c>
      <c r="AJ64" s="98">
        <f t="shared" si="20"/>
        <v>360</v>
      </c>
      <c r="AK64" s="98">
        <f t="shared" si="20"/>
        <v>305</v>
      </c>
      <c r="AL64" s="98">
        <f t="shared" si="20"/>
        <v>235</v>
      </c>
      <c r="AM64" s="98">
        <f t="shared" si="20"/>
        <v>185</v>
      </c>
      <c r="AN64" s="98">
        <f t="shared" si="20"/>
        <v>145</v>
      </c>
      <c r="AO64" s="98">
        <f t="shared" si="20"/>
        <v>115</v>
      </c>
      <c r="AP64" s="98">
        <f t="shared" si="20"/>
        <v>95</v>
      </c>
      <c r="AQ64" s="98">
        <f t="shared" si="20"/>
        <v>75</v>
      </c>
      <c r="AR64" s="98">
        <f t="shared" si="20"/>
        <v>60</v>
      </c>
      <c r="AS64" s="98">
        <f t="shared" si="20"/>
        <v>40</v>
      </c>
      <c r="AV64" s="101" t="str">
        <f t="shared" si="16"/>
        <v>1.030950</v>
      </c>
      <c r="AW64" s="101">
        <v>950</v>
      </c>
      <c r="AX64" s="92">
        <v>35</v>
      </c>
      <c r="AY64" s="92">
        <v>135</v>
      </c>
      <c r="AZ64" s="92">
        <v>185</v>
      </c>
      <c r="BA64" s="92">
        <v>275</v>
      </c>
      <c r="BB64" s="92">
        <v>410</v>
      </c>
      <c r="BC64" s="92">
        <v>685</v>
      </c>
      <c r="BD64" s="202">
        <v>1145</v>
      </c>
      <c r="BF64" s="101" t="str">
        <f t="shared" si="17"/>
        <v>2.030950</v>
      </c>
      <c r="BG64" s="101">
        <v>950</v>
      </c>
      <c r="BP64" s="101" t="str">
        <f t="shared" si="18"/>
        <v>3.030950</v>
      </c>
      <c r="BQ64" s="101">
        <v>950</v>
      </c>
      <c r="BR64" s="92">
        <v>35</v>
      </c>
      <c r="BS64" s="92">
        <v>195</v>
      </c>
      <c r="BT64" s="92">
        <v>260</v>
      </c>
      <c r="BU64" s="92">
        <v>395</v>
      </c>
      <c r="BV64" s="92">
        <v>590</v>
      </c>
      <c r="BW64" s="92">
        <v>985</v>
      </c>
      <c r="BX64" s="202">
        <v>1640</v>
      </c>
    </row>
    <row r="65" spans="1:76">
      <c r="A65" s="95"/>
      <c r="B65" s="96"/>
      <c r="C65" s="95"/>
      <c r="D65" s="95"/>
      <c r="E65" s="95"/>
      <c r="F65" s="95"/>
      <c r="G65" s="95"/>
      <c r="H65" s="95"/>
      <c r="I65" s="95"/>
      <c r="J65" s="95"/>
      <c r="K65" s="95"/>
      <c r="L65" s="95"/>
      <c r="M65" s="95"/>
      <c r="N65" s="95"/>
      <c r="O65" s="95"/>
      <c r="P65" s="95"/>
      <c r="Q65" s="95"/>
      <c r="R65" s="95"/>
      <c r="S65" s="99" t="s">
        <v>81</v>
      </c>
      <c r="T65" s="204" t="s">
        <v>206</v>
      </c>
      <c r="U65" s="98"/>
      <c r="V65" s="98">
        <f t="shared" si="19"/>
        <v>600</v>
      </c>
      <c r="W65" s="98">
        <f t="shared" si="19"/>
        <v>510</v>
      </c>
      <c r="X65" s="98">
        <f t="shared" si="19"/>
        <v>455</v>
      </c>
      <c r="Y65" s="98">
        <f t="shared" si="19"/>
        <v>420</v>
      </c>
      <c r="Z65" s="98">
        <f t="shared" si="19"/>
        <v>395</v>
      </c>
      <c r="AA65" s="98">
        <f t="shared" si="19"/>
        <v>370</v>
      </c>
      <c r="AB65" s="98">
        <f t="shared" si="19"/>
        <v>365</v>
      </c>
      <c r="AC65" s="98">
        <f t="shared" si="19"/>
        <v>360</v>
      </c>
      <c r="AD65" s="98">
        <f t="shared" si="19"/>
        <v>355</v>
      </c>
      <c r="AE65" s="98">
        <f t="shared" si="19"/>
        <v>345</v>
      </c>
      <c r="AF65" s="98">
        <f t="shared" si="20"/>
        <v>340</v>
      </c>
      <c r="AG65" s="98">
        <f t="shared" si="20"/>
        <v>0</v>
      </c>
      <c r="AH65" s="98">
        <f t="shared" si="20"/>
        <v>0</v>
      </c>
      <c r="AI65" s="98">
        <f t="shared" si="20"/>
        <v>0</v>
      </c>
      <c r="AJ65" s="98">
        <f t="shared" si="20"/>
        <v>0</v>
      </c>
      <c r="AK65" s="98">
        <f t="shared" si="20"/>
        <v>0</v>
      </c>
      <c r="AL65" s="98">
        <f t="shared" si="20"/>
        <v>0</v>
      </c>
      <c r="AM65" s="98">
        <f t="shared" si="20"/>
        <v>0</v>
      </c>
      <c r="AN65" s="98">
        <f t="shared" si="20"/>
        <v>0</v>
      </c>
      <c r="AO65" s="98">
        <f t="shared" si="20"/>
        <v>0</v>
      </c>
      <c r="AP65" s="98">
        <f t="shared" si="20"/>
        <v>0</v>
      </c>
      <c r="AQ65" s="98">
        <f t="shared" si="20"/>
        <v>0</v>
      </c>
      <c r="AR65" s="98">
        <f t="shared" si="20"/>
        <v>0</v>
      </c>
      <c r="AS65" s="98">
        <f t="shared" si="20"/>
        <v>0</v>
      </c>
      <c r="AV65" s="101" t="str">
        <f t="shared" si="16"/>
        <v>1.031000</v>
      </c>
      <c r="AW65" s="101">
        <v>1000</v>
      </c>
      <c r="AX65" s="92">
        <v>20</v>
      </c>
      <c r="AY65" s="92">
        <v>85</v>
      </c>
      <c r="AZ65" s="92">
        <v>115</v>
      </c>
      <c r="BA65" s="92">
        <v>170</v>
      </c>
      <c r="BB65" s="92">
        <v>255</v>
      </c>
      <c r="BC65" s="92">
        <v>430</v>
      </c>
      <c r="BD65" s="92">
        <v>715</v>
      </c>
      <c r="BF65" s="101" t="str">
        <f t="shared" si="17"/>
        <v>2.031000</v>
      </c>
      <c r="BG65" s="101">
        <v>1000</v>
      </c>
      <c r="BP65" s="101" t="str">
        <f t="shared" si="18"/>
        <v>3.031000</v>
      </c>
      <c r="BQ65" s="101">
        <v>1000</v>
      </c>
      <c r="BR65" s="92">
        <v>20</v>
      </c>
      <c r="BS65" s="92">
        <v>190</v>
      </c>
      <c r="BT65" s="92">
        <v>255</v>
      </c>
      <c r="BU65" s="92">
        <v>380</v>
      </c>
      <c r="BV65" s="92">
        <v>570</v>
      </c>
      <c r="BW65" s="92">
        <v>950</v>
      </c>
      <c r="BX65" s="202">
        <v>1580</v>
      </c>
    </row>
    <row r="66" spans="1:76">
      <c r="A66" s="95"/>
      <c r="B66" s="96"/>
      <c r="C66" s="95"/>
      <c r="D66" s="95"/>
      <c r="E66" s="95"/>
      <c r="F66" s="95"/>
      <c r="G66" s="95"/>
      <c r="H66" s="95"/>
      <c r="I66" s="95"/>
      <c r="J66" s="95"/>
      <c r="K66" s="95"/>
      <c r="L66" s="95"/>
      <c r="M66" s="95"/>
      <c r="N66" s="95"/>
      <c r="O66" s="95"/>
      <c r="P66" s="95"/>
      <c r="Q66" s="95"/>
      <c r="R66" s="95"/>
      <c r="S66" s="99" t="s">
        <v>82</v>
      </c>
      <c r="T66" s="204" t="s">
        <v>207</v>
      </c>
      <c r="U66" s="98"/>
      <c r="V66" s="98">
        <f t="shared" si="19"/>
        <v>720</v>
      </c>
      <c r="W66" s="98">
        <f t="shared" si="19"/>
        <v>650</v>
      </c>
      <c r="X66" s="98">
        <f t="shared" si="19"/>
        <v>595</v>
      </c>
      <c r="Y66" s="98">
        <f t="shared" si="19"/>
        <v>550</v>
      </c>
      <c r="Z66" s="98">
        <f t="shared" si="19"/>
        <v>515</v>
      </c>
      <c r="AA66" s="98">
        <f t="shared" si="19"/>
        <v>485</v>
      </c>
      <c r="AB66" s="98">
        <f t="shared" si="19"/>
        <v>475</v>
      </c>
      <c r="AC66" s="98">
        <f t="shared" si="19"/>
        <v>465</v>
      </c>
      <c r="AD66" s="98">
        <f t="shared" si="19"/>
        <v>460</v>
      </c>
      <c r="AE66" s="98">
        <f t="shared" si="19"/>
        <v>450</v>
      </c>
      <c r="AF66" s="98">
        <f t="shared" si="20"/>
        <v>445</v>
      </c>
      <c r="AG66" s="98">
        <f t="shared" si="20"/>
        <v>440</v>
      </c>
      <c r="AH66" s="98">
        <f t="shared" si="20"/>
        <v>385</v>
      </c>
      <c r="AI66" s="98">
        <f t="shared" si="20"/>
        <v>365</v>
      </c>
      <c r="AJ66" s="98">
        <f t="shared" si="20"/>
        <v>360</v>
      </c>
      <c r="AK66" s="98">
        <f t="shared" si="20"/>
        <v>310</v>
      </c>
      <c r="AL66" s="98">
        <f t="shared" si="20"/>
        <v>235</v>
      </c>
      <c r="AM66" s="98">
        <f t="shared" si="20"/>
        <v>185</v>
      </c>
      <c r="AN66" s="98">
        <f t="shared" si="20"/>
        <v>140</v>
      </c>
      <c r="AO66" s="98">
        <f t="shared" si="20"/>
        <v>110</v>
      </c>
      <c r="AP66" s="98">
        <f t="shared" si="20"/>
        <v>85</v>
      </c>
      <c r="AQ66" s="98">
        <f t="shared" si="20"/>
        <v>65</v>
      </c>
      <c r="AR66" s="98">
        <f t="shared" si="20"/>
        <v>50</v>
      </c>
      <c r="AS66" s="98">
        <f t="shared" si="20"/>
        <v>40</v>
      </c>
      <c r="AV66" s="101" t="str">
        <f t="shared" si="16"/>
        <v>1.031050</v>
      </c>
      <c r="AW66" s="101">
        <v>1050</v>
      </c>
      <c r="BF66" s="101" t="str">
        <f t="shared" si="17"/>
        <v>2.031050</v>
      </c>
      <c r="BG66" s="101">
        <v>1050</v>
      </c>
      <c r="BP66" s="101" t="str">
        <f t="shared" si="18"/>
        <v>3.031050</v>
      </c>
      <c r="BQ66" s="101">
        <v>1050</v>
      </c>
      <c r="BS66" s="92">
        <v>80</v>
      </c>
      <c r="BT66" s="92">
        <v>110</v>
      </c>
      <c r="BU66" s="92">
        <v>165</v>
      </c>
      <c r="BV66" s="92">
        <v>245</v>
      </c>
      <c r="BW66" s="92">
        <v>410</v>
      </c>
      <c r="BX66" s="92">
        <v>685</v>
      </c>
    </row>
    <row r="67" spans="1:76">
      <c r="A67" s="95"/>
      <c r="B67" s="96"/>
      <c r="C67" s="95"/>
      <c r="D67" s="95"/>
      <c r="E67" s="95"/>
      <c r="F67" s="95"/>
      <c r="G67" s="95"/>
      <c r="H67" s="95"/>
      <c r="I67" s="95"/>
      <c r="J67" s="95"/>
      <c r="K67" s="95"/>
      <c r="L67" s="95"/>
      <c r="M67" s="95"/>
      <c r="N67" s="95"/>
      <c r="O67" s="95"/>
      <c r="P67" s="95"/>
      <c r="Q67" s="95"/>
      <c r="R67" s="95"/>
      <c r="S67" s="99" t="s">
        <v>83</v>
      </c>
      <c r="T67" s="204" t="s">
        <v>208</v>
      </c>
      <c r="U67" s="98"/>
      <c r="V67" s="98">
        <f t="shared" si="19"/>
        <v>720</v>
      </c>
      <c r="W67" s="98">
        <f t="shared" si="19"/>
        <v>660</v>
      </c>
      <c r="X67" s="98">
        <f t="shared" si="19"/>
        <v>615</v>
      </c>
      <c r="Y67" s="98">
        <f t="shared" si="19"/>
        <v>575</v>
      </c>
      <c r="Z67" s="98">
        <f t="shared" si="19"/>
        <v>540</v>
      </c>
      <c r="AA67" s="98">
        <f t="shared" si="19"/>
        <v>515</v>
      </c>
      <c r="AB67" s="98">
        <f t="shared" si="19"/>
        <v>505</v>
      </c>
      <c r="AC67" s="98">
        <f t="shared" si="19"/>
        <v>495</v>
      </c>
      <c r="AD67" s="98">
        <f t="shared" si="19"/>
        <v>490</v>
      </c>
      <c r="AE67" s="98">
        <f t="shared" si="19"/>
        <v>485</v>
      </c>
      <c r="AF67" s="98">
        <f t="shared" si="20"/>
        <v>485</v>
      </c>
      <c r="AG67" s="98">
        <f t="shared" si="20"/>
        <v>450</v>
      </c>
      <c r="AH67" s="98">
        <f t="shared" si="20"/>
        <v>385</v>
      </c>
      <c r="AI67" s="98">
        <f t="shared" si="20"/>
        <v>365</v>
      </c>
      <c r="AJ67" s="98">
        <f t="shared" si="20"/>
        <v>360</v>
      </c>
      <c r="AK67" s="98">
        <f t="shared" si="20"/>
        <v>325</v>
      </c>
      <c r="AL67" s="98">
        <f t="shared" si="20"/>
        <v>275</v>
      </c>
      <c r="AM67" s="98">
        <f t="shared" si="20"/>
        <v>205</v>
      </c>
      <c r="AN67" s="98">
        <f t="shared" si="20"/>
        <v>180</v>
      </c>
      <c r="AO67" s="98">
        <f t="shared" si="20"/>
        <v>140</v>
      </c>
      <c r="AP67" s="98">
        <f t="shared" si="20"/>
        <v>105</v>
      </c>
      <c r="AQ67" s="98">
        <f t="shared" si="20"/>
        <v>75</v>
      </c>
      <c r="AR67" s="98">
        <f t="shared" si="20"/>
        <v>60</v>
      </c>
      <c r="AS67" s="98">
        <f t="shared" si="20"/>
        <v>40</v>
      </c>
      <c r="AV67" s="101" t="str">
        <f t="shared" si="16"/>
        <v>1.031100</v>
      </c>
      <c r="AW67" s="101">
        <v>1100</v>
      </c>
      <c r="BF67" s="101" t="str">
        <f t="shared" si="17"/>
        <v>2.031100</v>
      </c>
      <c r="BG67" s="101">
        <v>1100</v>
      </c>
      <c r="BP67" s="101" t="str">
        <f t="shared" si="18"/>
        <v>3.031100</v>
      </c>
      <c r="BQ67" s="101">
        <v>1100</v>
      </c>
      <c r="BS67" s="92">
        <v>70</v>
      </c>
      <c r="BT67" s="92">
        <v>90</v>
      </c>
      <c r="BU67" s="92">
        <v>135</v>
      </c>
      <c r="BV67" s="92">
        <v>205</v>
      </c>
      <c r="BW67" s="92">
        <v>345</v>
      </c>
      <c r="BX67" s="92">
        <v>570</v>
      </c>
    </row>
    <row r="68" spans="1:76">
      <c r="A68" s="95"/>
      <c r="B68" s="96"/>
      <c r="C68" s="95"/>
      <c r="D68" s="95"/>
      <c r="E68" s="95"/>
      <c r="F68" s="95"/>
      <c r="G68" s="95"/>
      <c r="H68" s="95"/>
      <c r="I68" s="95"/>
      <c r="J68" s="95"/>
      <c r="K68" s="95"/>
      <c r="L68" s="95"/>
      <c r="M68" s="95"/>
      <c r="N68" s="95"/>
      <c r="O68" s="95"/>
      <c r="P68" s="95"/>
      <c r="Q68" s="95"/>
      <c r="R68" s="95"/>
      <c r="S68" s="99" t="s">
        <v>84</v>
      </c>
      <c r="T68" s="204" t="s">
        <v>209</v>
      </c>
      <c r="U68" s="98"/>
      <c r="V68" s="98">
        <f t="shared" si="19"/>
        <v>720</v>
      </c>
      <c r="W68" s="98">
        <f t="shared" si="19"/>
        <v>630</v>
      </c>
      <c r="X68" s="98">
        <f t="shared" si="19"/>
        <v>580</v>
      </c>
      <c r="Y68" s="98">
        <f t="shared" si="19"/>
        <v>545</v>
      </c>
      <c r="Z68" s="98">
        <f t="shared" si="19"/>
        <v>520</v>
      </c>
      <c r="AA68" s="98">
        <f t="shared" si="19"/>
        <v>500</v>
      </c>
      <c r="AB68" s="98">
        <f t="shared" si="19"/>
        <v>490</v>
      </c>
      <c r="AC68" s="98">
        <f t="shared" si="19"/>
        <v>485</v>
      </c>
      <c r="AD68" s="98">
        <f t="shared" si="19"/>
        <v>480</v>
      </c>
      <c r="AE68" s="98">
        <f t="shared" si="19"/>
        <v>475</v>
      </c>
      <c r="AF68" s="98">
        <f t="shared" si="20"/>
        <v>465</v>
      </c>
      <c r="AG68" s="98">
        <f t="shared" si="20"/>
        <v>450</v>
      </c>
      <c r="AH68" s="98">
        <f t="shared" si="20"/>
        <v>385</v>
      </c>
      <c r="AI68" s="98">
        <f t="shared" si="20"/>
        <v>365</v>
      </c>
      <c r="AJ68" s="98">
        <f t="shared" si="20"/>
        <v>355</v>
      </c>
      <c r="AK68" s="98">
        <f t="shared" si="20"/>
        <v>260</v>
      </c>
      <c r="AL68" s="98">
        <f t="shared" si="20"/>
        <v>190</v>
      </c>
      <c r="AM68" s="98">
        <f t="shared" si="20"/>
        <v>135</v>
      </c>
      <c r="AN68" s="98">
        <f t="shared" si="20"/>
        <v>105</v>
      </c>
      <c r="AO68" s="98">
        <f t="shared" si="20"/>
        <v>75</v>
      </c>
      <c r="AP68" s="98">
        <f t="shared" si="20"/>
        <v>60</v>
      </c>
      <c r="AQ68" s="98">
        <f t="shared" si="20"/>
        <v>45</v>
      </c>
      <c r="AR68" s="98">
        <f t="shared" si="20"/>
        <v>35</v>
      </c>
      <c r="AS68" s="98">
        <f t="shared" si="20"/>
        <v>25</v>
      </c>
      <c r="AV68" s="101" t="str">
        <f t="shared" si="16"/>
        <v>1.031150</v>
      </c>
      <c r="AW68" s="101">
        <v>1150</v>
      </c>
      <c r="BF68" s="101" t="str">
        <f t="shared" si="17"/>
        <v>2.031150</v>
      </c>
      <c r="BG68" s="101">
        <v>1150</v>
      </c>
      <c r="BP68" s="101" t="str">
        <f t="shared" si="18"/>
        <v>3.031150</v>
      </c>
      <c r="BQ68" s="101">
        <v>1150</v>
      </c>
      <c r="BS68" s="92">
        <v>50</v>
      </c>
      <c r="BT68" s="92">
        <v>70</v>
      </c>
      <c r="BU68" s="92">
        <v>105</v>
      </c>
      <c r="BV68" s="92">
        <v>155</v>
      </c>
      <c r="BW68" s="92">
        <v>255</v>
      </c>
      <c r="BX68" s="92">
        <v>430</v>
      </c>
    </row>
    <row r="69" spans="1:76">
      <c r="A69" s="95"/>
      <c r="B69" s="96"/>
      <c r="C69" s="95"/>
      <c r="D69" s="95"/>
      <c r="E69" s="95"/>
      <c r="F69" s="95"/>
      <c r="G69" s="95"/>
      <c r="H69" s="95"/>
      <c r="I69" s="95"/>
      <c r="J69" s="95"/>
      <c r="K69" s="95"/>
      <c r="L69" s="95"/>
      <c r="M69" s="95"/>
      <c r="N69" s="95"/>
      <c r="O69" s="95"/>
      <c r="P69" s="95"/>
      <c r="Q69" s="95"/>
      <c r="R69" s="95"/>
      <c r="S69" s="99" t="s">
        <v>85</v>
      </c>
      <c r="T69" s="204" t="s">
        <v>210</v>
      </c>
      <c r="U69" s="98"/>
      <c r="V69" s="98">
        <f t="shared" si="19"/>
        <v>720</v>
      </c>
      <c r="W69" s="98">
        <f t="shared" si="19"/>
        <v>635</v>
      </c>
      <c r="X69" s="98">
        <f t="shared" si="19"/>
        <v>580</v>
      </c>
      <c r="Y69" s="98">
        <f t="shared" si="19"/>
        <v>540</v>
      </c>
      <c r="Z69" s="98">
        <f t="shared" si="19"/>
        <v>515</v>
      </c>
      <c r="AA69" s="98">
        <f t="shared" si="19"/>
        <v>495</v>
      </c>
      <c r="AB69" s="98">
        <f t="shared" si="19"/>
        <v>485</v>
      </c>
      <c r="AC69" s="98">
        <f t="shared" si="19"/>
        <v>480</v>
      </c>
      <c r="AD69" s="98">
        <f t="shared" si="19"/>
        <v>470</v>
      </c>
      <c r="AE69" s="98">
        <f t="shared" si="19"/>
        <v>465</v>
      </c>
      <c r="AF69" s="98">
        <f t="shared" si="20"/>
        <v>460</v>
      </c>
      <c r="AG69" s="98">
        <f t="shared" si="20"/>
        <v>450</v>
      </c>
      <c r="AH69" s="98">
        <f t="shared" si="20"/>
        <v>385</v>
      </c>
      <c r="AI69" s="98">
        <f t="shared" si="20"/>
        <v>365</v>
      </c>
      <c r="AJ69" s="98">
        <f t="shared" si="20"/>
        <v>355</v>
      </c>
      <c r="AK69" s="98">
        <f t="shared" si="20"/>
        <v>260</v>
      </c>
      <c r="AL69" s="98">
        <f t="shared" si="20"/>
        <v>190</v>
      </c>
      <c r="AM69" s="98">
        <f t="shared" si="20"/>
        <v>135</v>
      </c>
      <c r="AN69" s="98">
        <f t="shared" si="20"/>
        <v>105</v>
      </c>
      <c r="AO69" s="98">
        <f t="shared" si="20"/>
        <v>75</v>
      </c>
      <c r="AP69" s="98">
        <f t="shared" si="20"/>
        <v>60</v>
      </c>
      <c r="AQ69" s="98">
        <f t="shared" si="20"/>
        <v>45</v>
      </c>
      <c r="AR69" s="98">
        <f t="shared" si="20"/>
        <v>35</v>
      </c>
      <c r="AS69" s="98">
        <f t="shared" si="20"/>
        <v>25</v>
      </c>
      <c r="AV69" s="101" t="str">
        <f t="shared" si="16"/>
        <v>1.031200</v>
      </c>
      <c r="AW69" s="101">
        <v>1200</v>
      </c>
      <c r="BF69" s="101" t="str">
        <f t="shared" si="17"/>
        <v>2.031200</v>
      </c>
      <c r="BG69" s="101">
        <v>1200</v>
      </c>
      <c r="BP69" s="101" t="str">
        <f t="shared" si="18"/>
        <v>3.031200</v>
      </c>
      <c r="BQ69" s="101">
        <v>1200</v>
      </c>
      <c r="BS69" s="92">
        <v>40</v>
      </c>
      <c r="BT69" s="92">
        <v>55</v>
      </c>
      <c r="BU69" s="92">
        <v>80</v>
      </c>
      <c r="BV69" s="92">
        <v>125</v>
      </c>
      <c r="BW69" s="92">
        <v>205</v>
      </c>
      <c r="BX69" s="92">
        <v>345</v>
      </c>
    </row>
    <row r="70" spans="1:76">
      <c r="A70" s="95"/>
      <c r="B70" s="96"/>
      <c r="C70" s="95"/>
      <c r="D70" s="95"/>
      <c r="E70" s="95"/>
      <c r="F70" s="95"/>
      <c r="G70" s="95"/>
      <c r="H70" s="95"/>
      <c r="I70" s="95"/>
      <c r="J70" s="95"/>
      <c r="K70" s="95"/>
      <c r="L70" s="95"/>
      <c r="M70" s="95"/>
      <c r="N70" s="95"/>
      <c r="O70" s="95"/>
      <c r="P70" s="95"/>
      <c r="Q70" s="95"/>
      <c r="R70" s="95"/>
      <c r="S70" s="99" t="s">
        <v>199</v>
      </c>
      <c r="T70" s="204" t="s">
        <v>211</v>
      </c>
      <c r="U70" s="98"/>
      <c r="V70" s="98">
        <f t="shared" si="19"/>
        <v>750</v>
      </c>
      <c r="W70" s="98">
        <f t="shared" si="19"/>
        <v>745</v>
      </c>
      <c r="X70" s="98">
        <f t="shared" si="19"/>
        <v>665</v>
      </c>
      <c r="Y70" s="98">
        <f t="shared" si="19"/>
        <v>615</v>
      </c>
      <c r="Z70" s="98">
        <f t="shared" si="19"/>
        <v>580</v>
      </c>
      <c r="AA70" s="98">
        <f t="shared" si="19"/>
        <v>555</v>
      </c>
      <c r="AB70" s="98">
        <f t="shared" si="19"/>
        <v>545</v>
      </c>
      <c r="AC70" s="98">
        <f t="shared" si="19"/>
        <v>540</v>
      </c>
      <c r="AD70" s="98">
        <f t="shared" si="19"/>
        <v>530</v>
      </c>
      <c r="AE70" s="98">
        <f t="shared" si="19"/>
        <v>0</v>
      </c>
      <c r="AF70" s="98">
        <f t="shared" si="20"/>
        <v>0</v>
      </c>
      <c r="AG70" s="98">
        <f t="shared" si="20"/>
        <v>0</v>
      </c>
      <c r="AH70" s="98">
        <f t="shared" si="20"/>
        <v>0</v>
      </c>
      <c r="AI70" s="98">
        <f t="shared" si="20"/>
        <v>0</v>
      </c>
      <c r="AJ70" s="98">
        <f t="shared" si="20"/>
        <v>0</v>
      </c>
      <c r="AK70" s="98">
        <f t="shared" si="20"/>
        <v>0</v>
      </c>
      <c r="AL70" s="98">
        <f t="shared" si="20"/>
        <v>0</v>
      </c>
      <c r="AM70" s="98">
        <f t="shared" si="20"/>
        <v>0</v>
      </c>
      <c r="AN70" s="98">
        <f t="shared" si="20"/>
        <v>0</v>
      </c>
      <c r="AO70" s="98">
        <f t="shared" si="20"/>
        <v>0</v>
      </c>
      <c r="AP70" s="98">
        <f t="shared" si="20"/>
        <v>0</v>
      </c>
      <c r="AQ70" s="98">
        <f t="shared" si="20"/>
        <v>0</v>
      </c>
      <c r="AR70" s="98">
        <f t="shared" si="20"/>
        <v>0</v>
      </c>
      <c r="AS70" s="98">
        <f t="shared" si="20"/>
        <v>0</v>
      </c>
      <c r="AV70" s="101" t="str">
        <f t="shared" si="16"/>
        <v>1.031250</v>
      </c>
      <c r="AW70" s="101">
        <v>1250</v>
      </c>
      <c r="BF70" s="101" t="str">
        <f t="shared" si="17"/>
        <v>2.031250</v>
      </c>
      <c r="BG70" s="101">
        <v>1250</v>
      </c>
      <c r="BP70" s="101" t="str">
        <f t="shared" si="18"/>
        <v>3.031250</v>
      </c>
      <c r="BQ70" s="101">
        <v>1250</v>
      </c>
    </row>
    <row r="71" spans="1:76">
      <c r="A71" s="95"/>
      <c r="B71" s="96"/>
      <c r="C71" s="95"/>
      <c r="D71" s="95"/>
      <c r="E71" s="95"/>
      <c r="F71" s="95"/>
      <c r="G71" s="95"/>
      <c r="H71" s="95"/>
      <c r="I71" s="95"/>
      <c r="J71" s="95"/>
      <c r="K71" s="95"/>
      <c r="L71" s="95"/>
      <c r="M71" s="95"/>
      <c r="N71" s="95"/>
      <c r="O71" s="95"/>
      <c r="P71" s="95"/>
      <c r="Q71" s="95"/>
      <c r="R71" s="95"/>
      <c r="S71" s="99" t="s">
        <v>200</v>
      </c>
      <c r="T71" s="204" t="s">
        <v>212</v>
      </c>
      <c r="U71" s="98"/>
      <c r="V71" s="98">
        <f t="shared" si="19"/>
        <v>720</v>
      </c>
      <c r="W71" s="98">
        <f t="shared" si="19"/>
        <v>630</v>
      </c>
      <c r="X71" s="98">
        <f t="shared" si="19"/>
        <v>580</v>
      </c>
      <c r="Y71" s="98">
        <f t="shared" si="19"/>
        <v>540</v>
      </c>
      <c r="Z71" s="98">
        <f t="shared" si="19"/>
        <v>515</v>
      </c>
      <c r="AA71" s="98">
        <f t="shared" si="19"/>
        <v>495</v>
      </c>
      <c r="AB71" s="98">
        <f t="shared" si="19"/>
        <v>485</v>
      </c>
      <c r="AC71" s="98">
        <f t="shared" si="19"/>
        <v>480</v>
      </c>
      <c r="AD71" s="98">
        <f t="shared" si="19"/>
        <v>470</v>
      </c>
      <c r="AE71" s="98">
        <f t="shared" si="19"/>
        <v>465</v>
      </c>
      <c r="AF71" s="98">
        <f t="shared" si="20"/>
        <v>460</v>
      </c>
      <c r="AG71" s="98">
        <f t="shared" si="20"/>
        <v>450</v>
      </c>
      <c r="AH71" s="98">
        <f t="shared" si="20"/>
        <v>385</v>
      </c>
      <c r="AI71" s="98">
        <f t="shared" si="20"/>
        <v>340</v>
      </c>
      <c r="AJ71" s="98">
        <f t="shared" si="20"/>
        <v>245</v>
      </c>
      <c r="AK71" s="98">
        <f t="shared" si="20"/>
        <v>170</v>
      </c>
      <c r="AL71" s="98">
        <f t="shared" si="20"/>
        <v>125</v>
      </c>
      <c r="AM71" s="98">
        <f t="shared" si="20"/>
        <v>85</v>
      </c>
      <c r="AN71" s="98">
        <f t="shared" si="20"/>
        <v>50</v>
      </c>
      <c r="AO71" s="98">
        <f t="shared" si="20"/>
        <v>25</v>
      </c>
      <c r="AP71" s="98">
        <f t="shared" si="20"/>
        <v>15</v>
      </c>
      <c r="AQ71" s="98">
        <f t="shared" si="20"/>
        <v>15</v>
      </c>
      <c r="AR71" s="98">
        <f t="shared" si="20"/>
        <v>10</v>
      </c>
      <c r="AS71" s="98">
        <f t="shared" si="20"/>
        <v>5</v>
      </c>
      <c r="AV71" s="101" t="str">
        <f t="shared" si="16"/>
        <v>1.031300</v>
      </c>
      <c r="AW71" s="101">
        <v>1300</v>
      </c>
      <c r="BF71" s="101" t="str">
        <f t="shared" si="17"/>
        <v>2.031300</v>
      </c>
      <c r="BG71" s="101">
        <v>1300</v>
      </c>
      <c r="BP71" s="101" t="str">
        <f t="shared" si="18"/>
        <v>3.031300</v>
      </c>
      <c r="BQ71" s="101">
        <v>1300</v>
      </c>
    </row>
    <row r="72" spans="1:76">
      <c r="A72" s="95"/>
      <c r="B72" s="96"/>
      <c r="C72" s="95"/>
      <c r="D72" s="95"/>
      <c r="E72" s="95"/>
      <c r="F72" s="95"/>
      <c r="G72" s="95"/>
      <c r="H72" s="95"/>
      <c r="I72" s="95"/>
      <c r="J72" s="95"/>
      <c r="K72" s="95"/>
      <c r="L72" s="95"/>
      <c r="M72" s="95"/>
      <c r="N72" s="95"/>
      <c r="O72" s="95"/>
      <c r="P72" s="95"/>
      <c r="Q72" s="95"/>
      <c r="R72" s="95"/>
      <c r="S72" s="99" t="s">
        <v>201</v>
      </c>
      <c r="T72" s="204" t="s">
        <v>201</v>
      </c>
      <c r="U72" s="98"/>
      <c r="V72" s="98">
        <f t="shared" si="19"/>
        <v>670</v>
      </c>
      <c r="W72" s="98">
        <f t="shared" si="19"/>
        <v>550</v>
      </c>
      <c r="X72" s="98">
        <f t="shared" si="19"/>
        <v>505</v>
      </c>
      <c r="Y72" s="98">
        <f t="shared" si="19"/>
        <v>485</v>
      </c>
      <c r="Z72" s="98">
        <f t="shared" si="19"/>
        <v>470</v>
      </c>
      <c r="AA72" s="98">
        <f t="shared" si="19"/>
        <v>455</v>
      </c>
      <c r="AB72" s="98">
        <f t="shared" si="19"/>
        <v>445</v>
      </c>
      <c r="AC72" s="98">
        <f t="shared" si="19"/>
        <v>435</v>
      </c>
      <c r="AD72" s="98">
        <f t="shared" si="19"/>
        <v>420</v>
      </c>
      <c r="AE72" s="98">
        <f t="shared" si="19"/>
        <v>410</v>
      </c>
      <c r="AF72" s="98">
        <f t="shared" si="20"/>
        <v>400</v>
      </c>
      <c r="AG72" s="98">
        <f t="shared" si="20"/>
        <v>385</v>
      </c>
      <c r="AH72" s="98">
        <f t="shared" si="20"/>
        <v>370</v>
      </c>
      <c r="AI72" s="98">
        <f t="shared" si="20"/>
        <v>340</v>
      </c>
      <c r="AJ72" s="98">
        <f t="shared" si="20"/>
        <v>290</v>
      </c>
      <c r="AK72" s="98">
        <f t="shared" si="20"/>
        <v>225</v>
      </c>
      <c r="AL72" s="98">
        <f t="shared" si="20"/>
        <v>170</v>
      </c>
      <c r="AM72" s="98">
        <f t="shared" si="20"/>
        <v>130</v>
      </c>
      <c r="AN72" s="98">
        <f t="shared" si="20"/>
        <v>100</v>
      </c>
      <c r="AO72" s="98">
        <f t="shared" si="20"/>
        <v>80</v>
      </c>
      <c r="AP72" s="98">
        <f t="shared" si="20"/>
        <v>60</v>
      </c>
      <c r="AQ72" s="98">
        <f t="shared" si="20"/>
        <v>45</v>
      </c>
      <c r="AR72" s="98">
        <f t="shared" si="20"/>
        <v>30</v>
      </c>
      <c r="AS72" s="98">
        <f t="shared" si="20"/>
        <v>25</v>
      </c>
      <c r="AV72" s="101" t="str">
        <f t="shared" si="16"/>
        <v>1.031350</v>
      </c>
      <c r="AW72" s="101">
        <v>1350</v>
      </c>
      <c r="BF72" s="101" t="str">
        <f t="shared" si="17"/>
        <v>2.031350</v>
      </c>
      <c r="BG72" s="101">
        <v>1350</v>
      </c>
      <c r="BP72" s="101" t="str">
        <f t="shared" si="18"/>
        <v>3.031350</v>
      </c>
      <c r="BQ72" s="101">
        <v>1350</v>
      </c>
    </row>
    <row r="73" spans="1:76">
      <c r="A73" s="95"/>
      <c r="B73" s="96"/>
      <c r="C73" s="95"/>
      <c r="D73" s="95"/>
      <c r="E73" s="95"/>
      <c r="F73" s="95"/>
      <c r="G73" s="95"/>
      <c r="H73" s="95"/>
      <c r="I73" s="95"/>
      <c r="J73" s="95"/>
      <c r="K73" s="95"/>
      <c r="L73" s="95"/>
      <c r="M73" s="95"/>
      <c r="N73" s="95"/>
      <c r="O73" s="95"/>
      <c r="P73" s="95"/>
      <c r="Q73" s="95"/>
      <c r="R73" s="95"/>
      <c r="S73" s="99" t="s">
        <v>202</v>
      </c>
      <c r="T73" s="204" t="s">
        <v>202</v>
      </c>
      <c r="U73" s="98"/>
      <c r="V73" s="98">
        <f t="shared" si="19"/>
        <v>720</v>
      </c>
      <c r="W73" s="98">
        <f t="shared" si="19"/>
        <v>660</v>
      </c>
      <c r="X73" s="98">
        <f t="shared" si="19"/>
        <v>615</v>
      </c>
      <c r="Y73" s="98">
        <f t="shared" si="19"/>
        <v>575</v>
      </c>
      <c r="Z73" s="98">
        <f t="shared" si="19"/>
        <v>540</v>
      </c>
      <c r="AA73" s="98">
        <f t="shared" si="19"/>
        <v>515</v>
      </c>
      <c r="AB73" s="98">
        <f t="shared" si="19"/>
        <v>505</v>
      </c>
      <c r="AC73" s="98">
        <f t="shared" si="19"/>
        <v>495</v>
      </c>
      <c r="AD73" s="98">
        <f t="shared" si="19"/>
        <v>490</v>
      </c>
      <c r="AE73" s="98">
        <f t="shared" si="19"/>
        <v>485</v>
      </c>
      <c r="AF73" s="98">
        <f t="shared" si="20"/>
        <v>485</v>
      </c>
      <c r="AG73" s="98">
        <f t="shared" si="20"/>
        <v>450</v>
      </c>
      <c r="AH73" s="98">
        <f t="shared" si="20"/>
        <v>385</v>
      </c>
      <c r="AI73" s="98">
        <f t="shared" si="20"/>
        <v>365</v>
      </c>
      <c r="AJ73" s="98">
        <f t="shared" si="20"/>
        <v>360</v>
      </c>
      <c r="AK73" s="98">
        <f t="shared" si="20"/>
        <v>310</v>
      </c>
      <c r="AL73" s="98">
        <f t="shared" si="20"/>
        <v>210</v>
      </c>
      <c r="AM73" s="98">
        <f t="shared" si="20"/>
        <v>150</v>
      </c>
      <c r="AN73" s="98">
        <f t="shared" si="20"/>
        <v>115</v>
      </c>
      <c r="AO73" s="98">
        <f t="shared" si="20"/>
        <v>75</v>
      </c>
      <c r="AP73" s="98">
        <f t="shared" si="20"/>
        <v>50</v>
      </c>
      <c r="AQ73" s="98">
        <f t="shared" si="20"/>
        <v>40</v>
      </c>
      <c r="AR73" s="98">
        <f t="shared" si="20"/>
        <v>30</v>
      </c>
      <c r="AS73" s="98">
        <f t="shared" si="20"/>
        <v>25</v>
      </c>
      <c r="AV73" s="101" t="str">
        <f t="shared" si="16"/>
        <v>1.031400</v>
      </c>
      <c r="AW73" s="101">
        <v>1400</v>
      </c>
      <c r="BF73" s="101" t="str">
        <f t="shared" si="17"/>
        <v>2.031400</v>
      </c>
      <c r="BG73" s="101">
        <v>1400</v>
      </c>
      <c r="BP73" s="101" t="str">
        <f t="shared" si="18"/>
        <v>3.031400</v>
      </c>
      <c r="BQ73" s="101">
        <v>1400</v>
      </c>
    </row>
    <row r="74" spans="1:76">
      <c r="A74" s="95"/>
      <c r="B74" s="96"/>
      <c r="C74" s="95"/>
      <c r="D74" s="95"/>
      <c r="E74" s="95"/>
      <c r="F74" s="95"/>
      <c r="G74" s="95"/>
      <c r="H74" s="95"/>
      <c r="I74" s="95"/>
      <c r="J74" s="95"/>
      <c r="K74" s="95"/>
      <c r="L74" s="95"/>
      <c r="M74" s="95"/>
      <c r="N74" s="95"/>
      <c r="O74" s="95"/>
      <c r="P74" s="95"/>
      <c r="Q74" s="95"/>
      <c r="R74" s="95"/>
      <c r="S74" s="99" t="s">
        <v>203</v>
      </c>
      <c r="T74" s="204" t="s">
        <v>203</v>
      </c>
      <c r="U74" s="98"/>
      <c r="V74" s="98">
        <f t="shared" si="19"/>
        <v>670</v>
      </c>
      <c r="W74" s="98">
        <f t="shared" si="19"/>
        <v>550</v>
      </c>
      <c r="X74" s="98">
        <f t="shared" si="19"/>
        <v>505</v>
      </c>
      <c r="Y74" s="98">
        <f t="shared" si="19"/>
        <v>485</v>
      </c>
      <c r="Z74" s="98">
        <f t="shared" si="19"/>
        <v>470</v>
      </c>
      <c r="AA74" s="98">
        <f t="shared" si="19"/>
        <v>455</v>
      </c>
      <c r="AB74" s="98">
        <f t="shared" si="19"/>
        <v>445</v>
      </c>
      <c r="AC74" s="98">
        <f t="shared" si="19"/>
        <v>435</v>
      </c>
      <c r="AD74" s="98">
        <f t="shared" si="19"/>
        <v>420</v>
      </c>
      <c r="AE74" s="98">
        <f t="shared" si="19"/>
        <v>410</v>
      </c>
      <c r="AF74" s="98">
        <f t="shared" si="20"/>
        <v>400</v>
      </c>
      <c r="AG74" s="98">
        <f t="shared" si="20"/>
        <v>385</v>
      </c>
      <c r="AH74" s="98">
        <f t="shared" si="20"/>
        <v>370</v>
      </c>
      <c r="AI74" s="98">
        <f t="shared" si="20"/>
        <v>340</v>
      </c>
      <c r="AJ74" s="98">
        <f t="shared" si="20"/>
        <v>325</v>
      </c>
      <c r="AK74" s="98">
        <f t="shared" si="20"/>
        <v>290</v>
      </c>
      <c r="AL74" s="98">
        <f t="shared" si="20"/>
        <v>250</v>
      </c>
      <c r="AM74" s="98">
        <f t="shared" si="20"/>
        <v>205</v>
      </c>
      <c r="AN74" s="98">
        <f t="shared" si="20"/>
        <v>165</v>
      </c>
      <c r="AO74" s="98">
        <f t="shared" si="20"/>
        <v>120</v>
      </c>
      <c r="AP74" s="98">
        <f t="shared" si="20"/>
        <v>80</v>
      </c>
      <c r="AQ74" s="98">
        <f t="shared" si="20"/>
        <v>55</v>
      </c>
      <c r="AR74" s="98">
        <f t="shared" si="20"/>
        <v>40</v>
      </c>
      <c r="AS74" s="98">
        <f t="shared" si="20"/>
        <v>25</v>
      </c>
      <c r="AV74" s="101" t="str">
        <f t="shared" si="16"/>
        <v>1.031450</v>
      </c>
      <c r="AW74" s="101">
        <v>1450</v>
      </c>
      <c r="BF74" s="101" t="str">
        <f t="shared" si="17"/>
        <v>2.031450</v>
      </c>
      <c r="BG74" s="101">
        <v>1450</v>
      </c>
      <c r="BP74" s="101" t="str">
        <f t="shared" si="18"/>
        <v>3.031450</v>
      </c>
      <c r="BQ74" s="101">
        <v>1450</v>
      </c>
    </row>
    <row r="75" spans="1:76">
      <c r="A75" s="95"/>
      <c r="B75" s="96"/>
      <c r="C75" s="95"/>
      <c r="D75" s="95"/>
      <c r="E75" s="95"/>
      <c r="F75" s="95"/>
      <c r="G75" s="95"/>
      <c r="H75" s="95"/>
      <c r="I75" s="95"/>
      <c r="J75" s="95"/>
      <c r="K75" s="95"/>
      <c r="L75" s="95"/>
      <c r="M75" s="95"/>
      <c r="N75" s="95"/>
      <c r="O75" s="95"/>
      <c r="P75" s="95"/>
      <c r="Q75" s="95"/>
      <c r="R75" s="95"/>
      <c r="S75" s="99" t="s">
        <v>86</v>
      </c>
      <c r="T75" s="204" t="s">
        <v>215</v>
      </c>
      <c r="U75" s="98"/>
      <c r="V75" s="98">
        <f t="shared" ref="V75:AE84" si="21">VLOOKUP($T75&amp;TEXT(V$1,"0000"),$BP$4:$BX$435,4)</f>
        <v>750</v>
      </c>
      <c r="W75" s="98">
        <f t="shared" si="21"/>
        <v>740</v>
      </c>
      <c r="X75" s="98">
        <f t="shared" si="21"/>
        <v>710</v>
      </c>
      <c r="Y75" s="98">
        <f t="shared" si="21"/>
        <v>680</v>
      </c>
      <c r="Z75" s="98">
        <f t="shared" si="21"/>
        <v>655</v>
      </c>
      <c r="AA75" s="98">
        <f t="shared" si="21"/>
        <v>605</v>
      </c>
      <c r="AB75" s="98">
        <f t="shared" si="21"/>
        <v>590</v>
      </c>
      <c r="AC75" s="98">
        <f t="shared" si="21"/>
        <v>570</v>
      </c>
      <c r="AD75" s="98">
        <f t="shared" si="21"/>
        <v>530</v>
      </c>
      <c r="AE75" s="98">
        <f t="shared" si="21"/>
        <v>510</v>
      </c>
      <c r="AF75" s="98">
        <f t="shared" ref="AF75:AS84" si="22">VLOOKUP($T75&amp;TEXT(AF$1,"0000"),$BP$4:$BX$435,4)</f>
        <v>0</v>
      </c>
      <c r="AG75" s="98">
        <f t="shared" si="22"/>
        <v>0</v>
      </c>
      <c r="AH75" s="98">
        <f t="shared" si="22"/>
        <v>0</v>
      </c>
      <c r="AI75" s="98">
        <f t="shared" si="22"/>
        <v>0</v>
      </c>
      <c r="AJ75" s="98">
        <f t="shared" si="22"/>
        <v>0</v>
      </c>
      <c r="AK75" s="98">
        <f t="shared" si="22"/>
        <v>0</v>
      </c>
      <c r="AL75" s="98">
        <f t="shared" si="22"/>
        <v>0</v>
      </c>
      <c r="AM75" s="98">
        <f t="shared" si="22"/>
        <v>0</v>
      </c>
      <c r="AN75" s="98">
        <f t="shared" si="22"/>
        <v>0</v>
      </c>
      <c r="AO75" s="98">
        <f t="shared" si="22"/>
        <v>0</v>
      </c>
      <c r="AP75" s="98">
        <f t="shared" si="22"/>
        <v>0</v>
      </c>
      <c r="AQ75" s="98">
        <f t="shared" si="22"/>
        <v>0</v>
      </c>
      <c r="AR75" s="98">
        <f t="shared" si="22"/>
        <v>0</v>
      </c>
      <c r="AS75" s="98">
        <f t="shared" si="22"/>
        <v>0</v>
      </c>
      <c r="AV75" s="101" t="str">
        <f t="shared" si="16"/>
        <v>1.031500</v>
      </c>
      <c r="AW75" s="101">
        <v>1500</v>
      </c>
      <c r="BF75" s="101" t="str">
        <f t="shared" si="17"/>
        <v>2.031500</v>
      </c>
      <c r="BG75" s="101">
        <v>1500</v>
      </c>
      <c r="BP75" s="101" t="str">
        <f t="shared" si="18"/>
        <v>3.031500</v>
      </c>
      <c r="BQ75" s="101">
        <v>1500</v>
      </c>
    </row>
    <row r="76" spans="1:76">
      <c r="A76" s="95"/>
      <c r="B76" s="96"/>
      <c r="C76" s="95"/>
      <c r="D76" s="95"/>
      <c r="E76" s="95"/>
      <c r="F76" s="95"/>
      <c r="G76" s="95"/>
      <c r="H76" s="95"/>
      <c r="I76" s="95"/>
      <c r="J76" s="95"/>
      <c r="K76" s="95"/>
      <c r="L76" s="95"/>
      <c r="M76" s="95"/>
      <c r="N76" s="95"/>
      <c r="O76" s="95"/>
      <c r="P76" s="95"/>
      <c r="Q76" s="95"/>
      <c r="R76" s="95"/>
      <c r="S76" s="99" t="s">
        <v>87</v>
      </c>
      <c r="T76" s="204" t="s">
        <v>216</v>
      </c>
      <c r="U76" s="98"/>
      <c r="V76" s="98">
        <f t="shared" si="21"/>
        <v>480</v>
      </c>
      <c r="W76" s="98">
        <f t="shared" si="21"/>
        <v>480</v>
      </c>
      <c r="X76" s="98">
        <f t="shared" si="21"/>
        <v>480</v>
      </c>
      <c r="Y76" s="98">
        <f t="shared" si="21"/>
        <v>480</v>
      </c>
      <c r="Z76" s="98">
        <f t="shared" si="21"/>
        <v>455</v>
      </c>
      <c r="AA76" s="98">
        <f t="shared" si="21"/>
        <v>415</v>
      </c>
      <c r="AB76" s="98">
        <f t="shared" si="21"/>
        <v>0</v>
      </c>
      <c r="AC76" s="98">
        <f t="shared" si="21"/>
        <v>0</v>
      </c>
      <c r="AD76" s="98">
        <f t="shared" si="21"/>
        <v>0</v>
      </c>
      <c r="AE76" s="98">
        <f t="shared" si="21"/>
        <v>0</v>
      </c>
      <c r="AF76" s="98">
        <f t="shared" si="22"/>
        <v>0</v>
      </c>
      <c r="AG76" s="98">
        <f t="shared" si="22"/>
        <v>0</v>
      </c>
      <c r="AH76" s="98">
        <f t="shared" si="22"/>
        <v>0</v>
      </c>
      <c r="AI76" s="98">
        <f t="shared" si="22"/>
        <v>0</v>
      </c>
      <c r="AJ76" s="98">
        <f t="shared" si="22"/>
        <v>0</v>
      </c>
      <c r="AK76" s="98">
        <f t="shared" si="22"/>
        <v>0</v>
      </c>
      <c r="AL76" s="98">
        <f t="shared" si="22"/>
        <v>0</v>
      </c>
      <c r="AM76" s="98">
        <f t="shared" si="22"/>
        <v>0</v>
      </c>
      <c r="AN76" s="98">
        <f t="shared" si="22"/>
        <v>0</v>
      </c>
      <c r="AO76" s="98">
        <f t="shared" si="22"/>
        <v>0</v>
      </c>
      <c r="AP76" s="98">
        <f t="shared" si="22"/>
        <v>0</v>
      </c>
      <c r="AQ76" s="98">
        <f t="shared" si="22"/>
        <v>0</v>
      </c>
      <c r="AR76" s="98">
        <f t="shared" si="22"/>
        <v>0</v>
      </c>
      <c r="AS76" s="98">
        <f t="shared" si="22"/>
        <v>0</v>
      </c>
      <c r="AU76" s="92">
        <v>1.04</v>
      </c>
      <c r="AV76" s="101" t="str">
        <f>AU$76&amp;TEXT(AW76,"0000")</f>
        <v>1.040100</v>
      </c>
      <c r="AW76" s="92">
        <v>100</v>
      </c>
      <c r="AX76" s="92">
        <v>235</v>
      </c>
      <c r="AY76" s="92">
        <v>615</v>
      </c>
      <c r="AZ76" s="92">
        <v>825</v>
      </c>
      <c r="BA76" s="202">
        <v>1235</v>
      </c>
      <c r="BB76" s="202">
        <v>1850</v>
      </c>
      <c r="BC76" s="202">
        <v>3085</v>
      </c>
      <c r="BD76" s="202">
        <v>5145</v>
      </c>
      <c r="BE76" s="92">
        <v>2.04</v>
      </c>
      <c r="BF76" s="101" t="str">
        <f>BE$76&amp;TEXT(BG76,"0000")</f>
        <v>2.040100</v>
      </c>
      <c r="BG76" s="92">
        <v>100</v>
      </c>
      <c r="BH76" s="92">
        <v>275</v>
      </c>
      <c r="BI76" s="92">
        <v>720</v>
      </c>
      <c r="BJ76" s="92">
        <v>960</v>
      </c>
      <c r="BK76" s="202">
        <v>1440</v>
      </c>
      <c r="BL76" s="202">
        <v>2160</v>
      </c>
      <c r="BM76" s="202">
        <v>3600</v>
      </c>
      <c r="BN76" s="202">
        <v>6000</v>
      </c>
      <c r="BO76" s="92">
        <v>3.04</v>
      </c>
      <c r="BP76" s="101" t="str">
        <f>BO$76&amp;TEXT(BQ76,"0000")</f>
        <v>3.040100</v>
      </c>
      <c r="BQ76" s="92">
        <v>100</v>
      </c>
      <c r="BR76" s="92">
        <v>230</v>
      </c>
      <c r="BS76" s="92">
        <v>600</v>
      </c>
      <c r="BT76" s="92">
        <v>800</v>
      </c>
      <c r="BU76" s="202">
        <v>1200</v>
      </c>
      <c r="BV76" s="202">
        <v>1800</v>
      </c>
      <c r="BW76" s="202">
        <v>3000</v>
      </c>
      <c r="BX76" s="202">
        <v>5000</v>
      </c>
    </row>
    <row r="77" spans="1:76">
      <c r="A77" s="95"/>
      <c r="B77" s="96"/>
      <c r="C77" s="95"/>
      <c r="D77" s="95"/>
      <c r="E77" s="95"/>
      <c r="F77" s="95"/>
      <c r="G77" s="95"/>
      <c r="H77" s="95"/>
      <c r="I77" s="95"/>
      <c r="J77" s="95"/>
      <c r="K77" s="95"/>
      <c r="L77" s="95"/>
      <c r="M77" s="95"/>
      <c r="N77" s="95"/>
      <c r="O77" s="95"/>
      <c r="P77" s="95"/>
      <c r="Q77" s="95"/>
      <c r="R77" s="95"/>
      <c r="S77" s="99" t="s">
        <v>88</v>
      </c>
      <c r="T77" s="204" t="s">
        <v>217</v>
      </c>
      <c r="U77" s="98"/>
      <c r="V77" s="98">
        <f t="shared" si="21"/>
        <v>240</v>
      </c>
      <c r="W77" s="98">
        <f t="shared" si="21"/>
        <v>230</v>
      </c>
      <c r="X77" s="98">
        <f t="shared" si="21"/>
        <v>225</v>
      </c>
      <c r="Y77" s="98">
        <f t="shared" si="21"/>
        <v>225</v>
      </c>
      <c r="Z77" s="98">
        <f t="shared" si="21"/>
        <v>225</v>
      </c>
      <c r="AA77" s="98">
        <f t="shared" si="21"/>
        <v>225</v>
      </c>
      <c r="AB77" s="98">
        <f t="shared" si="21"/>
        <v>225</v>
      </c>
      <c r="AC77" s="98">
        <f t="shared" si="21"/>
        <v>225</v>
      </c>
      <c r="AD77" s="98">
        <f t="shared" si="21"/>
        <v>220</v>
      </c>
      <c r="AE77" s="98">
        <f t="shared" si="21"/>
        <v>215</v>
      </c>
      <c r="AF77" s="98">
        <f t="shared" si="22"/>
        <v>210</v>
      </c>
      <c r="AG77" s="98">
        <f t="shared" si="22"/>
        <v>205</v>
      </c>
      <c r="AH77" s="98">
        <f t="shared" si="22"/>
        <v>195</v>
      </c>
      <c r="AI77" s="98">
        <f t="shared" si="22"/>
        <v>190</v>
      </c>
      <c r="AJ77" s="98">
        <f t="shared" si="22"/>
        <v>80</v>
      </c>
      <c r="AK77" s="98">
        <f t="shared" si="22"/>
        <v>70</v>
      </c>
      <c r="AL77" s="98">
        <f t="shared" si="22"/>
        <v>50</v>
      </c>
      <c r="AM77" s="98">
        <f t="shared" si="22"/>
        <v>40</v>
      </c>
      <c r="AN77" s="98">
        <f t="shared" si="22"/>
        <v>0</v>
      </c>
      <c r="AO77" s="98">
        <f t="shared" si="22"/>
        <v>0</v>
      </c>
      <c r="AP77" s="98">
        <f t="shared" si="22"/>
        <v>0</v>
      </c>
      <c r="AQ77" s="98">
        <f t="shared" si="22"/>
        <v>0</v>
      </c>
      <c r="AR77" s="98">
        <f t="shared" si="22"/>
        <v>0</v>
      </c>
      <c r="AS77" s="98">
        <f t="shared" si="22"/>
        <v>0</v>
      </c>
      <c r="AV77" s="101" t="str">
        <f t="shared" ref="AV77:AV99" si="23">AU$76&amp;TEXT(AW77,"0000")</f>
        <v>1.040200</v>
      </c>
      <c r="AW77" s="101">
        <v>200</v>
      </c>
      <c r="AX77" s="92">
        <v>215</v>
      </c>
      <c r="AY77" s="92">
        <v>565</v>
      </c>
      <c r="AZ77" s="92">
        <v>755</v>
      </c>
      <c r="BA77" s="202">
        <v>1130</v>
      </c>
      <c r="BB77" s="202">
        <v>1695</v>
      </c>
      <c r="BC77" s="202">
        <v>2830</v>
      </c>
      <c r="BD77" s="202">
        <v>4715</v>
      </c>
      <c r="BF77" s="101" t="str">
        <f t="shared" ref="BF77:BF99" si="24">BE$76&amp;TEXT(BG77,"0000")</f>
        <v>2.040200</v>
      </c>
      <c r="BG77" s="101">
        <v>200</v>
      </c>
      <c r="BH77" s="92">
        <v>250</v>
      </c>
      <c r="BI77" s="92">
        <v>650</v>
      </c>
      <c r="BJ77" s="92">
        <v>865</v>
      </c>
      <c r="BK77" s="202">
        <v>1295</v>
      </c>
      <c r="BL77" s="202">
        <v>1945</v>
      </c>
      <c r="BM77" s="202">
        <v>3240</v>
      </c>
      <c r="BN77" s="202">
        <v>5400</v>
      </c>
      <c r="BP77" s="101" t="str">
        <f t="shared" ref="BP77:BP99" si="25">BO$76&amp;TEXT(BQ77,"0000")</f>
        <v>3.040200</v>
      </c>
      <c r="BQ77" s="101">
        <v>200</v>
      </c>
      <c r="BR77" s="92">
        <v>200</v>
      </c>
      <c r="BS77" s="92">
        <v>525</v>
      </c>
      <c r="BT77" s="92">
        <v>700</v>
      </c>
      <c r="BU77" s="202">
        <v>1050</v>
      </c>
      <c r="BV77" s="202">
        <v>1575</v>
      </c>
      <c r="BW77" s="202">
        <v>2630</v>
      </c>
      <c r="BX77" s="202">
        <v>4380</v>
      </c>
    </row>
    <row r="78" spans="1:76">
      <c r="A78" s="95"/>
      <c r="B78" s="96"/>
      <c r="C78" s="95"/>
      <c r="D78" s="95"/>
      <c r="E78" s="95"/>
      <c r="F78" s="95"/>
      <c r="G78" s="95"/>
      <c r="H78" s="95"/>
      <c r="I78" s="95"/>
      <c r="J78" s="95"/>
      <c r="K78" s="95"/>
      <c r="L78" s="95"/>
      <c r="M78" s="95"/>
      <c r="N78" s="95"/>
      <c r="O78" s="95"/>
      <c r="P78" s="95"/>
      <c r="Q78" s="95"/>
      <c r="R78" s="95"/>
      <c r="S78" s="99" t="s">
        <v>89</v>
      </c>
      <c r="T78" s="204" t="s">
        <v>218</v>
      </c>
      <c r="U78" s="98"/>
      <c r="V78" s="98">
        <f t="shared" si="21"/>
        <v>600</v>
      </c>
      <c r="W78" s="98">
        <f t="shared" si="21"/>
        <v>525</v>
      </c>
      <c r="X78" s="98">
        <f t="shared" si="21"/>
        <v>490</v>
      </c>
      <c r="Y78" s="98">
        <f t="shared" si="21"/>
        <v>475</v>
      </c>
      <c r="Z78" s="98">
        <f t="shared" si="21"/>
        <v>475</v>
      </c>
      <c r="AA78" s="98">
        <f t="shared" si="21"/>
        <v>475</v>
      </c>
      <c r="AB78" s="98">
        <f t="shared" si="21"/>
        <v>475</v>
      </c>
      <c r="AC78" s="98">
        <f t="shared" si="21"/>
        <v>470</v>
      </c>
      <c r="AD78" s="98">
        <f t="shared" si="21"/>
        <v>465</v>
      </c>
      <c r="AE78" s="98">
        <f t="shared" si="21"/>
        <v>460</v>
      </c>
      <c r="AF78" s="98">
        <f t="shared" si="22"/>
        <v>375</v>
      </c>
      <c r="AG78" s="98">
        <f t="shared" si="22"/>
        <v>275</v>
      </c>
      <c r="AH78" s="98">
        <f t="shared" si="22"/>
        <v>0</v>
      </c>
      <c r="AI78" s="98">
        <f t="shared" si="22"/>
        <v>0</v>
      </c>
      <c r="AJ78" s="98">
        <f t="shared" si="22"/>
        <v>0</v>
      </c>
      <c r="AK78" s="98">
        <f t="shared" si="22"/>
        <v>0</v>
      </c>
      <c r="AL78" s="98">
        <f t="shared" si="22"/>
        <v>0</v>
      </c>
      <c r="AM78" s="98">
        <f t="shared" si="22"/>
        <v>0</v>
      </c>
      <c r="AN78" s="98">
        <f t="shared" si="22"/>
        <v>0</v>
      </c>
      <c r="AO78" s="98">
        <f t="shared" si="22"/>
        <v>0</v>
      </c>
      <c r="AP78" s="98">
        <f t="shared" si="22"/>
        <v>0</v>
      </c>
      <c r="AQ78" s="98">
        <f t="shared" si="22"/>
        <v>0</v>
      </c>
      <c r="AR78" s="98">
        <f t="shared" si="22"/>
        <v>0</v>
      </c>
      <c r="AS78" s="98">
        <f t="shared" si="22"/>
        <v>0</v>
      </c>
      <c r="AV78" s="101" t="str">
        <f t="shared" si="23"/>
        <v>1.040300</v>
      </c>
      <c r="AW78" s="101">
        <v>300</v>
      </c>
      <c r="AX78" s="92">
        <v>210</v>
      </c>
      <c r="AY78" s="92">
        <v>545</v>
      </c>
      <c r="AZ78" s="92">
        <v>725</v>
      </c>
      <c r="BA78" s="202">
        <v>1090</v>
      </c>
      <c r="BB78" s="202">
        <v>1635</v>
      </c>
      <c r="BC78" s="202">
        <v>2725</v>
      </c>
      <c r="BD78" s="202">
        <v>4545</v>
      </c>
      <c r="BF78" s="101" t="str">
        <f t="shared" si="24"/>
        <v>2.040300</v>
      </c>
      <c r="BG78" s="101">
        <v>300</v>
      </c>
      <c r="BH78" s="92">
        <v>230</v>
      </c>
      <c r="BI78" s="92">
        <v>595</v>
      </c>
      <c r="BJ78" s="92">
        <v>795</v>
      </c>
      <c r="BK78" s="202">
        <v>1190</v>
      </c>
      <c r="BL78" s="202">
        <v>1785</v>
      </c>
      <c r="BM78" s="202">
        <v>2975</v>
      </c>
      <c r="BN78" s="202">
        <v>4960</v>
      </c>
      <c r="BP78" s="101" t="str">
        <f t="shared" si="25"/>
        <v>3.040300</v>
      </c>
      <c r="BQ78" s="101">
        <v>300</v>
      </c>
      <c r="BR78" s="92">
        <v>190</v>
      </c>
      <c r="BS78" s="92">
        <v>490</v>
      </c>
      <c r="BT78" s="92">
        <v>655</v>
      </c>
      <c r="BU78" s="92">
        <v>980</v>
      </c>
      <c r="BV78" s="202">
        <v>1470</v>
      </c>
      <c r="BW78" s="202">
        <v>2450</v>
      </c>
      <c r="BX78" s="202">
        <v>4080</v>
      </c>
    </row>
    <row r="79" spans="1:76">
      <c r="A79" s="95"/>
      <c r="B79" s="96"/>
      <c r="C79" s="95"/>
      <c r="D79" s="95"/>
      <c r="E79" s="95"/>
      <c r="F79" s="95"/>
      <c r="G79" s="95"/>
      <c r="H79" s="95"/>
      <c r="I79" s="95"/>
      <c r="J79" s="95"/>
      <c r="K79" s="95"/>
      <c r="L79" s="95"/>
      <c r="M79" s="95"/>
      <c r="N79" s="95"/>
      <c r="O79" s="95"/>
      <c r="P79" s="95"/>
      <c r="Q79" s="95"/>
      <c r="R79" s="95"/>
      <c r="S79" s="99" t="s">
        <v>90</v>
      </c>
      <c r="T79" s="204" t="s">
        <v>219</v>
      </c>
      <c r="U79" s="98"/>
      <c r="V79" s="98">
        <f t="shared" si="21"/>
        <v>750</v>
      </c>
      <c r="W79" s="98">
        <f t="shared" si="21"/>
        <v>750</v>
      </c>
      <c r="X79" s="98">
        <f t="shared" si="21"/>
        <v>730</v>
      </c>
      <c r="Y79" s="98">
        <f t="shared" si="21"/>
        <v>705</v>
      </c>
      <c r="Z79" s="98">
        <f t="shared" si="21"/>
        <v>665</v>
      </c>
      <c r="AA79" s="98">
        <f t="shared" si="21"/>
        <v>605</v>
      </c>
      <c r="AB79" s="98">
        <f t="shared" si="21"/>
        <v>590</v>
      </c>
      <c r="AC79" s="98">
        <f t="shared" si="21"/>
        <v>570</v>
      </c>
      <c r="AD79" s="98">
        <f t="shared" si="21"/>
        <v>530</v>
      </c>
      <c r="AE79" s="98">
        <f t="shared" si="21"/>
        <v>510</v>
      </c>
      <c r="AF79" s="98">
        <f t="shared" si="22"/>
        <v>485</v>
      </c>
      <c r="AG79" s="98">
        <f t="shared" si="22"/>
        <v>450</v>
      </c>
      <c r="AH79" s="98">
        <f t="shared" si="22"/>
        <v>365</v>
      </c>
      <c r="AI79" s="98">
        <f t="shared" si="22"/>
        <v>240</v>
      </c>
      <c r="AJ79" s="98">
        <f t="shared" si="22"/>
        <v>155</v>
      </c>
      <c r="AK79" s="98">
        <f t="shared" si="22"/>
        <v>105</v>
      </c>
      <c r="AL79" s="98">
        <f t="shared" si="22"/>
        <v>75</v>
      </c>
      <c r="AM79" s="98">
        <f t="shared" si="22"/>
        <v>70</v>
      </c>
      <c r="AN79" s="98">
        <f t="shared" si="22"/>
        <v>0</v>
      </c>
      <c r="AO79" s="98">
        <f t="shared" si="22"/>
        <v>0</v>
      </c>
      <c r="AP79" s="98">
        <f t="shared" si="22"/>
        <v>0</v>
      </c>
      <c r="AQ79" s="98">
        <f t="shared" si="22"/>
        <v>0</v>
      </c>
      <c r="AR79" s="98">
        <f t="shared" si="22"/>
        <v>0</v>
      </c>
      <c r="AS79" s="98">
        <f t="shared" si="22"/>
        <v>0</v>
      </c>
      <c r="AV79" s="101" t="str">
        <f t="shared" si="23"/>
        <v>1.040400</v>
      </c>
      <c r="AW79" s="101">
        <v>400</v>
      </c>
      <c r="AX79" s="92">
        <v>200</v>
      </c>
      <c r="AY79" s="92">
        <v>525</v>
      </c>
      <c r="AZ79" s="92">
        <v>700</v>
      </c>
      <c r="BA79" s="202">
        <v>1055</v>
      </c>
      <c r="BB79" s="202">
        <v>1580</v>
      </c>
      <c r="BC79" s="202">
        <v>2635</v>
      </c>
      <c r="BD79" s="202">
        <v>4390</v>
      </c>
      <c r="BF79" s="101" t="str">
        <f t="shared" si="24"/>
        <v>2.040400</v>
      </c>
      <c r="BG79" s="101">
        <v>400</v>
      </c>
      <c r="BH79" s="92">
        <v>200</v>
      </c>
      <c r="BI79" s="92">
        <v>550</v>
      </c>
      <c r="BJ79" s="92">
        <v>735</v>
      </c>
      <c r="BK79" s="202">
        <v>1105</v>
      </c>
      <c r="BL79" s="202">
        <v>1655</v>
      </c>
      <c r="BM79" s="202">
        <v>2760</v>
      </c>
      <c r="BN79" s="202">
        <v>4600</v>
      </c>
      <c r="BP79" s="101" t="str">
        <f t="shared" si="25"/>
        <v>3.040400</v>
      </c>
      <c r="BQ79" s="101">
        <v>400</v>
      </c>
      <c r="BR79" s="92">
        <v>180</v>
      </c>
      <c r="BS79" s="92">
        <v>475</v>
      </c>
      <c r="BT79" s="92">
        <v>630</v>
      </c>
      <c r="BU79" s="92">
        <v>945</v>
      </c>
      <c r="BV79" s="202">
        <v>1420</v>
      </c>
      <c r="BW79" s="202">
        <v>2365</v>
      </c>
      <c r="BX79" s="202">
        <v>3940</v>
      </c>
    </row>
    <row r="80" spans="1:76">
      <c r="A80" s="95"/>
      <c r="B80" s="96"/>
      <c r="C80" s="95"/>
      <c r="D80" s="95"/>
      <c r="E80" s="95"/>
      <c r="F80" s="95"/>
      <c r="G80" s="95"/>
      <c r="H80" s="95"/>
      <c r="I80" s="95"/>
      <c r="J80" s="95"/>
      <c r="K80" s="95"/>
      <c r="L80" s="95"/>
      <c r="M80" s="95"/>
      <c r="N80" s="95"/>
      <c r="O80" s="95"/>
      <c r="P80" s="95"/>
      <c r="Q80" s="95"/>
      <c r="R80" s="95"/>
      <c r="S80" s="99" t="s">
        <v>91</v>
      </c>
      <c r="T80" s="204" t="s">
        <v>220</v>
      </c>
      <c r="U80" s="98"/>
      <c r="V80" s="98">
        <f t="shared" si="21"/>
        <v>720</v>
      </c>
      <c r="W80" s="98">
        <f t="shared" si="21"/>
        <v>665</v>
      </c>
      <c r="X80" s="98">
        <f t="shared" si="21"/>
        <v>640</v>
      </c>
      <c r="Y80" s="98">
        <f t="shared" si="21"/>
        <v>620</v>
      </c>
      <c r="Z80" s="98">
        <f t="shared" si="21"/>
        <v>600</v>
      </c>
      <c r="AA80" s="98">
        <f t="shared" si="21"/>
        <v>590</v>
      </c>
      <c r="AB80" s="98">
        <f t="shared" si="21"/>
        <v>580</v>
      </c>
      <c r="AC80" s="98">
        <f t="shared" si="21"/>
        <v>570</v>
      </c>
      <c r="AD80" s="98">
        <f t="shared" si="21"/>
        <v>530</v>
      </c>
      <c r="AE80" s="98">
        <f t="shared" si="21"/>
        <v>510</v>
      </c>
      <c r="AF80" s="98">
        <f t="shared" si="22"/>
        <v>485</v>
      </c>
      <c r="AG80" s="98">
        <f t="shared" si="22"/>
        <v>450</v>
      </c>
      <c r="AH80" s="98">
        <f t="shared" si="22"/>
        <v>385</v>
      </c>
      <c r="AI80" s="98">
        <f t="shared" si="22"/>
        <v>365</v>
      </c>
      <c r="AJ80" s="98">
        <f t="shared" si="22"/>
        <v>360</v>
      </c>
      <c r="AK80" s="98">
        <f t="shared" si="22"/>
        <v>325</v>
      </c>
      <c r="AL80" s="98">
        <f t="shared" si="22"/>
        <v>275</v>
      </c>
      <c r="AM80" s="98">
        <f t="shared" si="22"/>
        <v>205</v>
      </c>
      <c r="AN80" s="98">
        <f t="shared" si="22"/>
        <v>145</v>
      </c>
      <c r="AO80" s="98">
        <f t="shared" si="22"/>
        <v>70</v>
      </c>
      <c r="AP80" s="98">
        <f t="shared" si="22"/>
        <v>55</v>
      </c>
      <c r="AQ80" s="98">
        <f t="shared" si="22"/>
        <v>40</v>
      </c>
      <c r="AR80" s="98">
        <f t="shared" si="22"/>
        <v>35</v>
      </c>
      <c r="AS80" s="98">
        <f t="shared" si="22"/>
        <v>25</v>
      </c>
      <c r="AV80" s="101" t="str">
        <f t="shared" si="23"/>
        <v>1.040500</v>
      </c>
      <c r="AW80" s="101">
        <v>500</v>
      </c>
      <c r="AX80" s="92">
        <v>170</v>
      </c>
      <c r="AY80" s="92">
        <v>500</v>
      </c>
      <c r="AZ80" s="92">
        <v>670</v>
      </c>
      <c r="BA80" s="202">
        <v>1005</v>
      </c>
      <c r="BB80" s="202">
        <v>1505</v>
      </c>
      <c r="BC80" s="202">
        <v>2510</v>
      </c>
      <c r="BD80" s="202">
        <v>4185</v>
      </c>
      <c r="BF80" s="101" t="str">
        <f t="shared" si="24"/>
        <v>2.040500</v>
      </c>
      <c r="BG80" s="101">
        <v>500</v>
      </c>
      <c r="BH80" s="92">
        <v>170</v>
      </c>
      <c r="BI80" s="92">
        <v>515</v>
      </c>
      <c r="BJ80" s="92">
        <v>690</v>
      </c>
      <c r="BK80" s="202">
        <v>1030</v>
      </c>
      <c r="BL80" s="202">
        <v>1550</v>
      </c>
      <c r="BM80" s="202">
        <v>2580</v>
      </c>
      <c r="BN80" s="202">
        <v>4300</v>
      </c>
      <c r="BP80" s="101" t="str">
        <f t="shared" si="25"/>
        <v>3.040500</v>
      </c>
      <c r="BQ80" s="101">
        <v>500</v>
      </c>
      <c r="BR80" s="92">
        <v>170</v>
      </c>
      <c r="BS80" s="92">
        <v>475</v>
      </c>
      <c r="BT80" s="92">
        <v>630</v>
      </c>
      <c r="BU80" s="92">
        <v>945</v>
      </c>
      <c r="BV80" s="202">
        <v>1420</v>
      </c>
      <c r="BW80" s="202">
        <v>2365</v>
      </c>
      <c r="BX80" s="202">
        <v>3940</v>
      </c>
    </row>
    <row r="81" spans="1:76">
      <c r="A81" s="95"/>
      <c r="B81" s="96"/>
      <c r="C81" s="95"/>
      <c r="D81" s="95"/>
      <c r="E81" s="95"/>
      <c r="F81" s="95"/>
      <c r="G81" s="95"/>
      <c r="H81" s="95"/>
      <c r="I81" s="95"/>
      <c r="J81" s="95"/>
      <c r="K81" s="95"/>
      <c r="L81" s="95"/>
      <c r="M81" s="95"/>
      <c r="N81" s="95"/>
      <c r="O81" s="95"/>
      <c r="P81" s="95"/>
      <c r="Q81" s="95"/>
      <c r="R81" s="95"/>
      <c r="S81" s="99" t="s">
        <v>92</v>
      </c>
      <c r="T81" s="204" t="s">
        <v>221</v>
      </c>
      <c r="U81" s="98"/>
      <c r="V81" s="98">
        <f t="shared" si="21"/>
        <v>750</v>
      </c>
      <c r="W81" s="98">
        <f t="shared" si="21"/>
        <v>750</v>
      </c>
      <c r="X81" s="98">
        <f t="shared" si="21"/>
        <v>730</v>
      </c>
      <c r="Y81" s="98">
        <f t="shared" si="21"/>
        <v>705</v>
      </c>
      <c r="Z81" s="98">
        <f t="shared" si="21"/>
        <v>665</v>
      </c>
      <c r="AA81" s="98">
        <f t="shared" si="21"/>
        <v>605</v>
      </c>
      <c r="AB81" s="98">
        <f t="shared" si="21"/>
        <v>590</v>
      </c>
      <c r="AC81" s="98">
        <f t="shared" si="21"/>
        <v>570</v>
      </c>
      <c r="AD81" s="98">
        <f t="shared" si="21"/>
        <v>530</v>
      </c>
      <c r="AE81" s="98">
        <f t="shared" si="21"/>
        <v>510</v>
      </c>
      <c r="AF81" s="98">
        <f t="shared" si="22"/>
        <v>0</v>
      </c>
      <c r="AG81" s="98">
        <f t="shared" si="22"/>
        <v>0</v>
      </c>
      <c r="AH81" s="98">
        <f t="shared" si="22"/>
        <v>0</v>
      </c>
      <c r="AI81" s="98">
        <f t="shared" si="22"/>
        <v>0</v>
      </c>
      <c r="AJ81" s="98">
        <f t="shared" si="22"/>
        <v>0</v>
      </c>
      <c r="AK81" s="98">
        <f t="shared" si="22"/>
        <v>0</v>
      </c>
      <c r="AL81" s="98">
        <f t="shared" si="22"/>
        <v>0</v>
      </c>
      <c r="AM81" s="98">
        <f t="shared" si="22"/>
        <v>0</v>
      </c>
      <c r="AN81" s="98">
        <f t="shared" si="22"/>
        <v>0</v>
      </c>
      <c r="AO81" s="98">
        <f t="shared" si="22"/>
        <v>0</v>
      </c>
      <c r="AP81" s="98">
        <f t="shared" si="22"/>
        <v>0</v>
      </c>
      <c r="AQ81" s="98">
        <f t="shared" si="22"/>
        <v>0</v>
      </c>
      <c r="AR81" s="98">
        <f t="shared" si="22"/>
        <v>0</v>
      </c>
      <c r="AS81" s="98">
        <f t="shared" si="22"/>
        <v>0</v>
      </c>
      <c r="AV81" s="101" t="str">
        <f t="shared" si="23"/>
        <v>1.040600</v>
      </c>
      <c r="AW81" s="101">
        <v>600</v>
      </c>
      <c r="AX81" s="92">
        <v>140</v>
      </c>
      <c r="AY81" s="92">
        <v>475</v>
      </c>
      <c r="AZ81" s="92">
        <v>630</v>
      </c>
      <c r="BA81" s="92">
        <v>945</v>
      </c>
      <c r="BB81" s="202">
        <v>1420</v>
      </c>
      <c r="BC81" s="202">
        <v>2365</v>
      </c>
      <c r="BD81" s="202">
        <v>3945</v>
      </c>
      <c r="BF81" s="101" t="str">
        <f t="shared" si="24"/>
        <v>2.040600</v>
      </c>
      <c r="BG81" s="101">
        <v>600</v>
      </c>
      <c r="BH81" s="92">
        <v>140</v>
      </c>
      <c r="BI81" s="92">
        <v>485</v>
      </c>
      <c r="BJ81" s="92">
        <v>650</v>
      </c>
      <c r="BK81" s="92">
        <v>975</v>
      </c>
      <c r="BL81" s="202">
        <v>1460</v>
      </c>
      <c r="BM81" s="202">
        <v>2435</v>
      </c>
      <c r="BN81" s="202">
        <v>4060</v>
      </c>
      <c r="BP81" s="101" t="str">
        <f t="shared" si="25"/>
        <v>3.040600</v>
      </c>
      <c r="BQ81" s="101">
        <v>600</v>
      </c>
      <c r="BR81" s="92">
        <v>140</v>
      </c>
      <c r="BS81" s="92">
        <v>475</v>
      </c>
      <c r="BT81" s="92">
        <v>630</v>
      </c>
      <c r="BU81" s="92">
        <v>945</v>
      </c>
      <c r="BV81" s="202">
        <v>1420</v>
      </c>
      <c r="BW81" s="202">
        <v>2365</v>
      </c>
      <c r="BX81" s="202">
        <v>3940</v>
      </c>
    </row>
    <row r="82" spans="1:76">
      <c r="A82" s="95"/>
      <c r="B82" s="96"/>
      <c r="C82" s="95"/>
      <c r="D82" s="95"/>
      <c r="E82" s="95"/>
      <c r="F82" s="95"/>
      <c r="G82" s="95"/>
      <c r="H82" s="95"/>
      <c r="I82" s="95"/>
      <c r="J82" s="95"/>
      <c r="K82" s="95"/>
      <c r="L82" s="95"/>
      <c r="M82" s="95"/>
      <c r="N82" s="95"/>
      <c r="O82" s="95"/>
      <c r="P82" s="95"/>
      <c r="Q82" s="95"/>
      <c r="R82" s="95"/>
      <c r="S82" s="99" t="s">
        <v>93</v>
      </c>
      <c r="T82" s="204" t="s">
        <v>222</v>
      </c>
      <c r="U82" s="98"/>
      <c r="V82" s="98">
        <f t="shared" si="21"/>
        <v>750</v>
      </c>
      <c r="W82" s="98">
        <f t="shared" si="21"/>
        <v>750</v>
      </c>
      <c r="X82" s="98">
        <f t="shared" si="21"/>
        <v>730</v>
      </c>
      <c r="Y82" s="98">
        <f t="shared" si="21"/>
        <v>700</v>
      </c>
      <c r="Z82" s="98">
        <f t="shared" si="21"/>
        <v>665</v>
      </c>
      <c r="AA82" s="98">
        <f t="shared" si="21"/>
        <v>605</v>
      </c>
      <c r="AB82" s="98">
        <f t="shared" si="21"/>
        <v>590</v>
      </c>
      <c r="AC82" s="98">
        <f t="shared" si="21"/>
        <v>570</v>
      </c>
      <c r="AD82" s="98">
        <f t="shared" si="21"/>
        <v>530</v>
      </c>
      <c r="AE82" s="98">
        <f t="shared" si="21"/>
        <v>510</v>
      </c>
      <c r="AF82" s="98">
        <f t="shared" si="22"/>
        <v>485</v>
      </c>
      <c r="AG82" s="98">
        <f t="shared" si="22"/>
        <v>450</v>
      </c>
      <c r="AH82" s="98">
        <f t="shared" si="22"/>
        <v>385</v>
      </c>
      <c r="AI82" s="98">
        <f t="shared" si="22"/>
        <v>365</v>
      </c>
      <c r="AJ82" s="98">
        <f t="shared" si="22"/>
        <v>360</v>
      </c>
      <c r="AK82" s="98">
        <f t="shared" si="22"/>
        <v>325</v>
      </c>
      <c r="AL82" s="98">
        <f t="shared" si="22"/>
        <v>275</v>
      </c>
      <c r="AM82" s="98">
        <f t="shared" si="22"/>
        <v>205</v>
      </c>
      <c r="AN82" s="98">
        <f t="shared" si="22"/>
        <v>165</v>
      </c>
      <c r="AO82" s="98">
        <f t="shared" si="22"/>
        <v>120</v>
      </c>
      <c r="AP82" s="98">
        <f t="shared" si="22"/>
        <v>0</v>
      </c>
      <c r="AQ82" s="98">
        <f t="shared" si="22"/>
        <v>0</v>
      </c>
      <c r="AR82" s="98">
        <f t="shared" si="22"/>
        <v>0</v>
      </c>
      <c r="AS82" s="98">
        <f t="shared" si="22"/>
        <v>0</v>
      </c>
      <c r="AV82" s="101" t="str">
        <f t="shared" si="23"/>
        <v>1.040650</v>
      </c>
      <c r="AW82" s="101">
        <v>650</v>
      </c>
      <c r="AX82" s="92">
        <v>125</v>
      </c>
      <c r="AY82" s="92">
        <v>455</v>
      </c>
      <c r="AZ82" s="92">
        <v>610</v>
      </c>
      <c r="BA82" s="92">
        <v>915</v>
      </c>
      <c r="BB82" s="202">
        <v>1370</v>
      </c>
      <c r="BC82" s="202">
        <v>2285</v>
      </c>
      <c r="BD82" s="202">
        <v>3805</v>
      </c>
      <c r="BF82" s="101" t="str">
        <f t="shared" si="24"/>
        <v>2.040650</v>
      </c>
      <c r="BG82" s="101">
        <v>650</v>
      </c>
      <c r="BH82" s="92">
        <v>125</v>
      </c>
      <c r="BI82" s="92">
        <v>475</v>
      </c>
      <c r="BJ82" s="92">
        <v>635</v>
      </c>
      <c r="BK82" s="92">
        <v>950</v>
      </c>
      <c r="BL82" s="202">
        <v>1425</v>
      </c>
      <c r="BM82" s="202">
        <v>2375</v>
      </c>
      <c r="BN82" s="202">
        <v>3960</v>
      </c>
      <c r="BP82" s="101" t="str">
        <f t="shared" si="25"/>
        <v>3.040650</v>
      </c>
      <c r="BQ82" s="101">
        <v>650</v>
      </c>
      <c r="BR82" s="92">
        <v>125</v>
      </c>
      <c r="BS82" s="92">
        <v>475</v>
      </c>
      <c r="BT82" s="92">
        <v>630</v>
      </c>
      <c r="BU82" s="92">
        <v>945</v>
      </c>
      <c r="BV82" s="202">
        <v>1420</v>
      </c>
      <c r="BW82" s="202">
        <v>2365</v>
      </c>
      <c r="BX82" s="202">
        <v>3940</v>
      </c>
    </row>
    <row r="83" spans="1:76">
      <c r="A83" s="95"/>
      <c r="B83" s="96"/>
      <c r="C83" s="95"/>
      <c r="D83" s="95"/>
      <c r="E83" s="95"/>
      <c r="F83" s="95"/>
      <c r="G83" s="95"/>
      <c r="H83" s="95"/>
      <c r="I83" s="95"/>
      <c r="J83" s="95"/>
      <c r="K83" s="95"/>
      <c r="L83" s="95"/>
      <c r="M83" s="95"/>
      <c r="N83" s="95"/>
      <c r="O83" s="95"/>
      <c r="P83" s="95"/>
      <c r="Q83" s="95"/>
      <c r="R83" s="95"/>
      <c r="S83" s="99" t="s">
        <v>94</v>
      </c>
      <c r="T83" s="204" t="s">
        <v>223</v>
      </c>
      <c r="U83" s="98"/>
      <c r="V83" s="98">
        <f t="shared" si="21"/>
        <v>750</v>
      </c>
      <c r="W83" s="98">
        <f t="shared" si="21"/>
        <v>750</v>
      </c>
      <c r="X83" s="98">
        <f t="shared" si="21"/>
        <v>690</v>
      </c>
      <c r="Y83" s="98">
        <f t="shared" si="21"/>
        <v>640</v>
      </c>
      <c r="Z83" s="98">
        <f t="shared" si="21"/>
        <v>595</v>
      </c>
      <c r="AA83" s="98">
        <f t="shared" si="21"/>
        <v>565</v>
      </c>
      <c r="AB83" s="98">
        <f t="shared" si="21"/>
        <v>550</v>
      </c>
      <c r="AC83" s="98">
        <f t="shared" si="21"/>
        <v>540</v>
      </c>
      <c r="AD83" s="98">
        <f t="shared" si="21"/>
        <v>530</v>
      </c>
      <c r="AE83" s="98">
        <f t="shared" si="21"/>
        <v>510</v>
      </c>
      <c r="AF83" s="98">
        <f t="shared" si="22"/>
        <v>485</v>
      </c>
      <c r="AG83" s="98">
        <f t="shared" si="22"/>
        <v>450</v>
      </c>
      <c r="AH83" s="98">
        <f t="shared" si="22"/>
        <v>385</v>
      </c>
      <c r="AI83" s="98">
        <f t="shared" si="22"/>
        <v>365</v>
      </c>
      <c r="AJ83" s="98">
        <f t="shared" si="22"/>
        <v>360</v>
      </c>
      <c r="AK83" s="98">
        <f t="shared" si="22"/>
        <v>325</v>
      </c>
      <c r="AL83" s="98">
        <f t="shared" si="22"/>
        <v>275</v>
      </c>
      <c r="AM83" s="98">
        <f t="shared" si="22"/>
        <v>205</v>
      </c>
      <c r="AN83" s="98">
        <f t="shared" si="22"/>
        <v>180</v>
      </c>
      <c r="AO83" s="98">
        <f t="shared" si="22"/>
        <v>140</v>
      </c>
      <c r="AP83" s="98">
        <f t="shared" si="22"/>
        <v>105</v>
      </c>
      <c r="AQ83" s="98">
        <f t="shared" si="22"/>
        <v>75</v>
      </c>
      <c r="AR83" s="98">
        <f t="shared" si="22"/>
        <v>60</v>
      </c>
      <c r="AS83" s="98">
        <f t="shared" si="22"/>
        <v>40</v>
      </c>
      <c r="AV83" s="101" t="str">
        <f t="shared" si="23"/>
        <v>1.040700</v>
      </c>
      <c r="AW83" s="101">
        <v>700</v>
      </c>
      <c r="AX83" s="92">
        <v>110</v>
      </c>
      <c r="AY83" s="92">
        <v>440</v>
      </c>
      <c r="AZ83" s="92">
        <v>590</v>
      </c>
      <c r="BA83" s="92">
        <v>885</v>
      </c>
      <c r="BB83" s="202">
        <v>1325</v>
      </c>
      <c r="BC83" s="202">
        <v>2210</v>
      </c>
      <c r="BD83" s="202">
        <v>3685</v>
      </c>
      <c r="BF83" s="101" t="str">
        <f t="shared" si="24"/>
        <v>2.040700</v>
      </c>
      <c r="BG83" s="101">
        <v>700</v>
      </c>
      <c r="BH83" s="92">
        <v>110</v>
      </c>
      <c r="BI83" s="92">
        <v>465</v>
      </c>
      <c r="BJ83" s="92">
        <v>620</v>
      </c>
      <c r="BK83" s="92">
        <v>930</v>
      </c>
      <c r="BL83" s="202">
        <v>1395</v>
      </c>
      <c r="BM83" s="202">
        <v>2330</v>
      </c>
      <c r="BN83" s="202">
        <v>3880</v>
      </c>
      <c r="BP83" s="101" t="str">
        <f t="shared" si="25"/>
        <v>3.040700</v>
      </c>
      <c r="BQ83" s="101">
        <v>700</v>
      </c>
      <c r="BR83" s="92">
        <v>110</v>
      </c>
      <c r="BS83" s="92">
        <v>470</v>
      </c>
      <c r="BT83" s="92">
        <v>625</v>
      </c>
      <c r="BU83" s="92">
        <v>940</v>
      </c>
      <c r="BV83" s="202">
        <v>1410</v>
      </c>
      <c r="BW83" s="202">
        <v>2350</v>
      </c>
      <c r="BX83" s="202">
        <v>3920</v>
      </c>
    </row>
    <row r="84" spans="1:76">
      <c r="A84" s="95"/>
      <c r="B84" s="96"/>
      <c r="C84" s="95"/>
      <c r="D84" s="95"/>
      <c r="E84" s="95"/>
      <c r="F84" s="95"/>
      <c r="G84" s="95"/>
      <c r="H84" s="95"/>
      <c r="I84" s="95"/>
      <c r="J84" s="95"/>
      <c r="K84" s="95"/>
      <c r="L84" s="95"/>
      <c r="M84" s="95"/>
      <c r="N84" s="95"/>
      <c r="O84" s="95"/>
      <c r="P84" s="95"/>
      <c r="Q84" s="95"/>
      <c r="R84" s="95"/>
      <c r="S84" s="99" t="s">
        <v>95</v>
      </c>
      <c r="T84" s="204" t="s">
        <v>95</v>
      </c>
      <c r="U84" s="98"/>
      <c r="V84" s="98">
        <f t="shared" si="21"/>
        <v>750</v>
      </c>
      <c r="W84" s="98">
        <f t="shared" si="21"/>
        <v>750</v>
      </c>
      <c r="X84" s="98">
        <f t="shared" si="21"/>
        <v>685</v>
      </c>
      <c r="Y84" s="98">
        <f t="shared" si="21"/>
        <v>640</v>
      </c>
      <c r="Z84" s="98">
        <f t="shared" si="21"/>
        <v>615</v>
      </c>
      <c r="AA84" s="98">
        <f t="shared" si="21"/>
        <v>595</v>
      </c>
      <c r="AB84" s="98">
        <f t="shared" si="21"/>
        <v>570</v>
      </c>
      <c r="AC84" s="98">
        <f t="shared" si="21"/>
        <v>0</v>
      </c>
      <c r="AD84" s="98">
        <f t="shared" si="21"/>
        <v>0</v>
      </c>
      <c r="AE84" s="98">
        <f t="shared" si="21"/>
        <v>0</v>
      </c>
      <c r="AF84" s="98">
        <f t="shared" si="22"/>
        <v>0</v>
      </c>
      <c r="AG84" s="98">
        <f t="shared" si="22"/>
        <v>0</v>
      </c>
      <c r="AH84" s="98">
        <f t="shared" si="22"/>
        <v>0</v>
      </c>
      <c r="AI84" s="98">
        <f t="shared" si="22"/>
        <v>0</v>
      </c>
      <c r="AJ84" s="98">
        <f t="shared" si="22"/>
        <v>0</v>
      </c>
      <c r="AK84" s="98">
        <f t="shared" si="22"/>
        <v>0</v>
      </c>
      <c r="AL84" s="98">
        <f t="shared" si="22"/>
        <v>0</v>
      </c>
      <c r="AM84" s="98">
        <f t="shared" si="22"/>
        <v>0</v>
      </c>
      <c r="AN84" s="98">
        <f t="shared" si="22"/>
        <v>0</v>
      </c>
      <c r="AO84" s="98">
        <f t="shared" si="22"/>
        <v>0</v>
      </c>
      <c r="AP84" s="98">
        <f t="shared" si="22"/>
        <v>0</v>
      </c>
      <c r="AQ84" s="98">
        <f t="shared" si="22"/>
        <v>0</v>
      </c>
      <c r="AR84" s="98">
        <f t="shared" si="22"/>
        <v>0</v>
      </c>
      <c r="AS84" s="98">
        <f t="shared" si="22"/>
        <v>0</v>
      </c>
      <c r="AV84" s="101" t="str">
        <f t="shared" si="23"/>
        <v>1.040750</v>
      </c>
      <c r="AW84" s="101">
        <v>750</v>
      </c>
      <c r="AX84" s="92">
        <v>95</v>
      </c>
      <c r="AY84" s="92">
        <v>430</v>
      </c>
      <c r="AZ84" s="92">
        <v>570</v>
      </c>
      <c r="BA84" s="92">
        <v>855</v>
      </c>
      <c r="BB84" s="202">
        <v>1285</v>
      </c>
      <c r="BC84" s="202">
        <v>2140</v>
      </c>
      <c r="BD84" s="202">
        <v>3565</v>
      </c>
      <c r="BF84" s="101" t="str">
        <f t="shared" si="24"/>
        <v>2.040750</v>
      </c>
      <c r="BG84" s="101">
        <v>750</v>
      </c>
      <c r="BH84" s="92">
        <v>95</v>
      </c>
      <c r="BI84" s="92">
        <v>460</v>
      </c>
      <c r="BJ84" s="92">
        <v>610</v>
      </c>
      <c r="BK84" s="92">
        <v>915</v>
      </c>
      <c r="BL84" s="202">
        <v>1375</v>
      </c>
      <c r="BM84" s="202">
        <v>2290</v>
      </c>
      <c r="BN84" s="202">
        <v>3820</v>
      </c>
      <c r="BP84" s="101" t="str">
        <f t="shared" si="25"/>
        <v>3.040750</v>
      </c>
      <c r="BQ84" s="101">
        <v>750</v>
      </c>
      <c r="BR84" s="92">
        <v>95</v>
      </c>
      <c r="BS84" s="92">
        <v>465</v>
      </c>
      <c r="BT84" s="92">
        <v>620</v>
      </c>
      <c r="BU84" s="92">
        <v>930</v>
      </c>
      <c r="BV84" s="202">
        <v>1395</v>
      </c>
      <c r="BW84" s="202">
        <v>2330</v>
      </c>
      <c r="BX84" s="202">
        <v>3880</v>
      </c>
    </row>
    <row r="85" spans="1:76">
      <c r="A85" s="95"/>
      <c r="B85" s="96"/>
      <c r="C85" s="95"/>
      <c r="D85" s="95"/>
      <c r="E85" s="95"/>
      <c r="F85" s="95"/>
      <c r="G85" s="95"/>
      <c r="H85" s="95"/>
      <c r="I85" s="95"/>
      <c r="J85" s="95"/>
      <c r="K85" s="95"/>
      <c r="L85" s="95"/>
      <c r="M85" s="95"/>
      <c r="N85" s="95"/>
      <c r="O85" s="95"/>
      <c r="P85" s="95"/>
      <c r="Q85" s="95"/>
      <c r="R85" s="95"/>
      <c r="S85" s="99" t="s">
        <v>96</v>
      </c>
      <c r="T85" s="204" t="s">
        <v>96</v>
      </c>
      <c r="U85" s="98"/>
      <c r="V85" s="98">
        <f t="shared" ref="V85:AE92" si="26">VLOOKUP($T85&amp;TEXT(V$1,"0000"),$BP$4:$BX$435,4)</f>
        <v>745</v>
      </c>
      <c r="W85" s="98">
        <f t="shared" si="26"/>
        <v>600</v>
      </c>
      <c r="X85" s="98">
        <f t="shared" si="26"/>
        <v>545</v>
      </c>
      <c r="Y85" s="98">
        <f t="shared" si="26"/>
        <v>500</v>
      </c>
      <c r="Z85" s="98">
        <f t="shared" si="26"/>
        <v>455</v>
      </c>
      <c r="AA85" s="98">
        <f t="shared" si="26"/>
        <v>425</v>
      </c>
      <c r="AB85" s="98">
        <f t="shared" si="26"/>
        <v>420</v>
      </c>
      <c r="AC85" s="98">
        <f t="shared" si="26"/>
        <v>410</v>
      </c>
      <c r="AD85" s="98">
        <f t="shared" si="26"/>
        <v>0</v>
      </c>
      <c r="AE85" s="98">
        <f t="shared" si="26"/>
        <v>0</v>
      </c>
      <c r="AF85" s="98">
        <f t="shared" ref="AF85:AS92" si="27">VLOOKUP($T85&amp;TEXT(AF$1,"0000"),$BP$4:$BX$435,4)</f>
        <v>0</v>
      </c>
      <c r="AG85" s="98">
        <f t="shared" si="27"/>
        <v>0</v>
      </c>
      <c r="AH85" s="98">
        <f t="shared" si="27"/>
        <v>0</v>
      </c>
      <c r="AI85" s="98">
        <f t="shared" si="27"/>
        <v>0</v>
      </c>
      <c r="AJ85" s="98">
        <f t="shared" si="27"/>
        <v>0</v>
      </c>
      <c r="AK85" s="98">
        <f t="shared" si="27"/>
        <v>0</v>
      </c>
      <c r="AL85" s="98">
        <f t="shared" si="27"/>
        <v>0</v>
      </c>
      <c r="AM85" s="98">
        <f t="shared" si="27"/>
        <v>0</v>
      </c>
      <c r="AN85" s="98">
        <f t="shared" si="27"/>
        <v>0</v>
      </c>
      <c r="AO85" s="98">
        <f t="shared" si="27"/>
        <v>0</v>
      </c>
      <c r="AP85" s="98">
        <f t="shared" si="27"/>
        <v>0</v>
      </c>
      <c r="AQ85" s="98">
        <f t="shared" si="27"/>
        <v>0</v>
      </c>
      <c r="AR85" s="98">
        <f t="shared" si="27"/>
        <v>0</v>
      </c>
      <c r="AS85" s="98">
        <f t="shared" si="27"/>
        <v>0</v>
      </c>
      <c r="AV85" s="101" t="str">
        <f t="shared" si="23"/>
        <v>1.040800</v>
      </c>
      <c r="AW85" s="101">
        <v>800</v>
      </c>
      <c r="AX85" s="92">
        <v>80</v>
      </c>
      <c r="AY85" s="92">
        <v>370</v>
      </c>
      <c r="AZ85" s="92">
        <v>495</v>
      </c>
      <c r="BA85" s="92">
        <v>740</v>
      </c>
      <c r="BB85" s="202">
        <v>1110</v>
      </c>
      <c r="BC85" s="202">
        <v>1850</v>
      </c>
      <c r="BD85" s="202">
        <v>3085</v>
      </c>
      <c r="BF85" s="101" t="str">
        <f t="shared" si="24"/>
        <v>2.040800</v>
      </c>
      <c r="BG85" s="101">
        <v>800</v>
      </c>
      <c r="BH85" s="92">
        <v>80</v>
      </c>
      <c r="BI85" s="92">
        <v>450</v>
      </c>
      <c r="BJ85" s="92">
        <v>600</v>
      </c>
      <c r="BK85" s="92">
        <v>900</v>
      </c>
      <c r="BL85" s="202">
        <v>1355</v>
      </c>
      <c r="BM85" s="202">
        <v>2255</v>
      </c>
      <c r="BN85" s="202">
        <v>3760</v>
      </c>
      <c r="BP85" s="101" t="str">
        <f t="shared" si="25"/>
        <v>3.040800</v>
      </c>
      <c r="BQ85" s="101">
        <v>800</v>
      </c>
      <c r="BR85" s="92">
        <v>80</v>
      </c>
      <c r="BS85" s="92">
        <v>460</v>
      </c>
      <c r="BT85" s="92">
        <v>610</v>
      </c>
      <c r="BU85" s="92">
        <v>915</v>
      </c>
      <c r="BV85" s="202">
        <v>1375</v>
      </c>
      <c r="BW85" s="202">
        <v>2290</v>
      </c>
      <c r="BX85" s="202">
        <v>3820</v>
      </c>
    </row>
    <row r="86" spans="1:76">
      <c r="A86" s="95"/>
      <c r="B86" s="96"/>
      <c r="C86" s="95"/>
      <c r="D86" s="95"/>
      <c r="E86" s="95"/>
      <c r="F86" s="95"/>
      <c r="G86" s="95"/>
      <c r="H86" s="95"/>
      <c r="I86" s="95"/>
      <c r="J86" s="95"/>
      <c r="K86" s="95"/>
      <c r="L86" s="95"/>
      <c r="M86" s="95"/>
      <c r="N86" s="95"/>
      <c r="O86" s="95"/>
      <c r="P86" s="95"/>
      <c r="Q86" s="95"/>
      <c r="R86" s="95"/>
      <c r="S86" s="99" t="s">
        <v>97</v>
      </c>
      <c r="T86" s="204" t="s">
        <v>97</v>
      </c>
      <c r="U86" s="98"/>
      <c r="V86" s="98">
        <f t="shared" si="26"/>
        <v>670</v>
      </c>
      <c r="W86" s="98">
        <f t="shared" si="26"/>
        <v>620</v>
      </c>
      <c r="X86" s="98">
        <f t="shared" si="26"/>
        <v>585</v>
      </c>
      <c r="Y86" s="98">
        <f t="shared" si="26"/>
        <v>540</v>
      </c>
      <c r="Z86" s="98">
        <f t="shared" si="26"/>
        <v>500</v>
      </c>
      <c r="AA86" s="98">
        <f t="shared" si="26"/>
        <v>475</v>
      </c>
      <c r="AB86" s="98">
        <f t="shared" si="26"/>
        <v>460</v>
      </c>
      <c r="AC86" s="98">
        <f t="shared" si="26"/>
        <v>450</v>
      </c>
      <c r="AD86" s="98">
        <f t="shared" si="26"/>
        <v>440</v>
      </c>
      <c r="AE86" s="98">
        <f t="shared" si="26"/>
        <v>430</v>
      </c>
      <c r="AF86" s="98">
        <f t="shared" si="27"/>
        <v>0</v>
      </c>
      <c r="AG86" s="98">
        <f t="shared" si="27"/>
        <v>0</v>
      </c>
      <c r="AH86" s="98">
        <f t="shared" si="27"/>
        <v>0</v>
      </c>
      <c r="AI86" s="98">
        <f t="shared" si="27"/>
        <v>0</v>
      </c>
      <c r="AJ86" s="98">
        <f t="shared" si="27"/>
        <v>0</v>
      </c>
      <c r="AK86" s="98">
        <f t="shared" si="27"/>
        <v>0</v>
      </c>
      <c r="AL86" s="98">
        <f t="shared" si="27"/>
        <v>0</v>
      </c>
      <c r="AM86" s="98">
        <f t="shared" si="27"/>
        <v>0</v>
      </c>
      <c r="AN86" s="98">
        <f t="shared" si="27"/>
        <v>0</v>
      </c>
      <c r="AO86" s="98">
        <f t="shared" si="27"/>
        <v>0</v>
      </c>
      <c r="AP86" s="98">
        <f t="shared" si="27"/>
        <v>0</v>
      </c>
      <c r="AQ86" s="98">
        <f t="shared" si="27"/>
        <v>0</v>
      </c>
      <c r="AR86" s="98">
        <f t="shared" si="27"/>
        <v>0</v>
      </c>
      <c r="AS86" s="98">
        <f t="shared" si="27"/>
        <v>0</v>
      </c>
      <c r="AV86" s="101" t="str">
        <f t="shared" si="23"/>
        <v>1.040850</v>
      </c>
      <c r="AW86" s="101">
        <v>850</v>
      </c>
      <c r="AX86" s="92">
        <v>65</v>
      </c>
      <c r="AY86" s="92">
        <v>300</v>
      </c>
      <c r="AZ86" s="92">
        <v>400</v>
      </c>
      <c r="BA86" s="92">
        <v>595</v>
      </c>
      <c r="BB86" s="92">
        <v>895</v>
      </c>
      <c r="BC86" s="202">
        <v>1490</v>
      </c>
      <c r="BD86" s="202">
        <v>2485</v>
      </c>
      <c r="BF86" s="101" t="str">
        <f t="shared" si="24"/>
        <v>2.040850</v>
      </c>
      <c r="BG86" s="101">
        <v>850</v>
      </c>
      <c r="BH86" s="92">
        <v>65</v>
      </c>
      <c r="BI86" s="92">
        <v>445</v>
      </c>
      <c r="BJ86" s="92">
        <v>595</v>
      </c>
      <c r="BK86" s="92">
        <v>895</v>
      </c>
      <c r="BL86" s="202">
        <v>1340</v>
      </c>
      <c r="BM86" s="202">
        <v>2230</v>
      </c>
      <c r="BN86" s="202">
        <v>3720</v>
      </c>
      <c r="BP86" s="101" t="str">
        <f t="shared" si="25"/>
        <v>3.040850</v>
      </c>
      <c r="BQ86" s="101">
        <v>850</v>
      </c>
      <c r="BR86" s="92">
        <v>65</v>
      </c>
      <c r="BS86" s="92">
        <v>375</v>
      </c>
      <c r="BT86" s="92">
        <v>505</v>
      </c>
      <c r="BU86" s="92">
        <v>755</v>
      </c>
      <c r="BV86" s="202">
        <v>1130</v>
      </c>
      <c r="BW86" s="202">
        <v>1885</v>
      </c>
      <c r="BX86" s="202">
        <v>3145</v>
      </c>
    </row>
    <row r="87" spans="1:76">
      <c r="A87" s="95"/>
      <c r="B87" s="96"/>
      <c r="C87" s="95"/>
      <c r="D87" s="95"/>
      <c r="E87" s="95"/>
      <c r="F87" s="95"/>
      <c r="G87" s="95"/>
      <c r="H87" s="95"/>
      <c r="I87" s="95"/>
      <c r="J87" s="95"/>
      <c r="K87" s="95"/>
      <c r="L87" s="95"/>
      <c r="M87" s="95"/>
      <c r="N87" s="95"/>
      <c r="O87" s="95"/>
      <c r="P87" s="95"/>
      <c r="Q87" s="95"/>
      <c r="R87" s="95"/>
      <c r="S87" s="99" t="s">
        <v>98</v>
      </c>
      <c r="T87" s="204" t="s">
        <v>98</v>
      </c>
      <c r="U87" s="98"/>
      <c r="V87" s="98">
        <f t="shared" si="26"/>
        <v>750</v>
      </c>
      <c r="W87" s="98">
        <f t="shared" si="26"/>
        <v>705</v>
      </c>
      <c r="X87" s="98">
        <f t="shared" si="26"/>
        <v>665</v>
      </c>
      <c r="Y87" s="98">
        <f t="shared" si="26"/>
        <v>630</v>
      </c>
      <c r="Z87" s="98">
        <f t="shared" si="26"/>
        <v>595</v>
      </c>
      <c r="AA87" s="98">
        <f t="shared" si="26"/>
        <v>560</v>
      </c>
      <c r="AB87" s="98">
        <f t="shared" si="26"/>
        <v>550</v>
      </c>
      <c r="AC87" s="98">
        <f t="shared" si="26"/>
        <v>540</v>
      </c>
      <c r="AD87" s="98">
        <f t="shared" si="26"/>
        <v>530</v>
      </c>
      <c r="AE87" s="98">
        <f t="shared" si="26"/>
        <v>510</v>
      </c>
      <c r="AF87" s="98">
        <f t="shared" si="27"/>
        <v>0</v>
      </c>
      <c r="AG87" s="98">
        <f t="shared" si="27"/>
        <v>0</v>
      </c>
      <c r="AH87" s="98">
        <f t="shared" si="27"/>
        <v>0</v>
      </c>
      <c r="AI87" s="98">
        <f t="shared" si="27"/>
        <v>0</v>
      </c>
      <c r="AJ87" s="98">
        <f t="shared" si="27"/>
        <v>0</v>
      </c>
      <c r="AK87" s="98">
        <f t="shared" si="27"/>
        <v>0</v>
      </c>
      <c r="AL87" s="98">
        <f t="shared" si="27"/>
        <v>0</v>
      </c>
      <c r="AM87" s="98">
        <f t="shared" si="27"/>
        <v>0</v>
      </c>
      <c r="AN87" s="98">
        <f t="shared" si="27"/>
        <v>0</v>
      </c>
      <c r="AO87" s="98">
        <f t="shared" si="27"/>
        <v>0</v>
      </c>
      <c r="AP87" s="98">
        <f t="shared" si="27"/>
        <v>0</v>
      </c>
      <c r="AQ87" s="98">
        <f t="shared" si="27"/>
        <v>0</v>
      </c>
      <c r="AR87" s="98">
        <f t="shared" si="27"/>
        <v>0</v>
      </c>
      <c r="AS87" s="98">
        <f t="shared" si="27"/>
        <v>0</v>
      </c>
      <c r="AV87" s="101" t="str">
        <f t="shared" si="23"/>
        <v>1.040900</v>
      </c>
      <c r="AW87" s="101">
        <v>900</v>
      </c>
      <c r="AX87" s="92">
        <v>50</v>
      </c>
      <c r="AY87" s="92">
        <v>170</v>
      </c>
      <c r="AZ87" s="92">
        <v>230</v>
      </c>
      <c r="BA87" s="92">
        <v>345</v>
      </c>
      <c r="BB87" s="92">
        <v>515</v>
      </c>
      <c r="BC87" s="92">
        <v>855</v>
      </c>
      <c r="BD87" s="202">
        <v>1430</v>
      </c>
      <c r="BF87" s="101" t="str">
        <f t="shared" si="24"/>
        <v>2.040900</v>
      </c>
      <c r="BG87" s="101">
        <v>900</v>
      </c>
      <c r="BH87" s="92">
        <v>50</v>
      </c>
      <c r="BI87" s="92">
        <v>440</v>
      </c>
      <c r="BJ87" s="92">
        <v>590</v>
      </c>
      <c r="BK87" s="92">
        <v>885</v>
      </c>
      <c r="BL87" s="202">
        <v>1325</v>
      </c>
      <c r="BM87" s="202">
        <v>2210</v>
      </c>
      <c r="BN87" s="202">
        <v>3680</v>
      </c>
      <c r="BP87" s="101" t="str">
        <f t="shared" si="25"/>
        <v>3.040900</v>
      </c>
      <c r="BQ87" s="101">
        <v>900</v>
      </c>
      <c r="BR87" s="92">
        <v>50</v>
      </c>
      <c r="BS87" s="92">
        <v>275</v>
      </c>
      <c r="BT87" s="92">
        <v>365</v>
      </c>
      <c r="BU87" s="92">
        <v>550</v>
      </c>
      <c r="BV87" s="92">
        <v>825</v>
      </c>
      <c r="BW87" s="202">
        <v>1370</v>
      </c>
      <c r="BX87" s="202">
        <v>2285</v>
      </c>
    </row>
    <row r="88" spans="1:76">
      <c r="A88" s="95"/>
      <c r="B88" s="96"/>
      <c r="C88" s="95"/>
      <c r="D88" s="95"/>
      <c r="E88" s="95"/>
      <c r="F88" s="95"/>
      <c r="G88" s="95"/>
      <c r="H88" s="95"/>
      <c r="I88" s="95"/>
      <c r="J88" s="95"/>
      <c r="K88" s="95"/>
      <c r="L88" s="95"/>
      <c r="M88" s="95"/>
      <c r="N88" s="95"/>
      <c r="O88" s="95"/>
      <c r="P88" s="95"/>
      <c r="Q88" s="95"/>
      <c r="R88" s="95"/>
      <c r="S88" s="99" t="s">
        <v>99</v>
      </c>
      <c r="T88" s="204" t="s">
        <v>99</v>
      </c>
      <c r="U88" s="98"/>
      <c r="V88" s="98">
        <f t="shared" si="26"/>
        <v>720</v>
      </c>
      <c r="W88" s="98">
        <f t="shared" si="26"/>
        <v>650</v>
      </c>
      <c r="X88" s="98">
        <f t="shared" si="26"/>
        <v>600</v>
      </c>
      <c r="Y88" s="98">
        <f t="shared" si="26"/>
        <v>565</v>
      </c>
      <c r="Z88" s="98">
        <f t="shared" si="26"/>
        <v>540</v>
      </c>
      <c r="AA88" s="98">
        <f t="shared" si="26"/>
        <v>520</v>
      </c>
      <c r="AB88" s="98">
        <f t="shared" si="26"/>
        <v>510</v>
      </c>
      <c r="AC88" s="98">
        <f t="shared" si="26"/>
        <v>505</v>
      </c>
      <c r="AD88" s="98">
        <f t="shared" si="26"/>
        <v>500</v>
      </c>
      <c r="AE88" s="98">
        <f t="shared" si="26"/>
        <v>500</v>
      </c>
      <c r="AF88" s="98">
        <f t="shared" si="27"/>
        <v>485</v>
      </c>
      <c r="AG88" s="98">
        <f t="shared" si="27"/>
        <v>450</v>
      </c>
      <c r="AH88" s="98">
        <f t="shared" si="27"/>
        <v>385</v>
      </c>
      <c r="AI88" s="98">
        <f t="shared" si="27"/>
        <v>365</v>
      </c>
      <c r="AJ88" s="98">
        <f t="shared" si="27"/>
        <v>0</v>
      </c>
      <c r="AK88" s="98">
        <f t="shared" si="27"/>
        <v>0</v>
      </c>
      <c r="AL88" s="98">
        <f t="shared" si="27"/>
        <v>0</v>
      </c>
      <c r="AM88" s="98">
        <f t="shared" si="27"/>
        <v>0</v>
      </c>
      <c r="AN88" s="98">
        <f t="shared" si="27"/>
        <v>0</v>
      </c>
      <c r="AO88" s="98">
        <f t="shared" si="27"/>
        <v>0</v>
      </c>
      <c r="AP88" s="98">
        <f t="shared" si="27"/>
        <v>0</v>
      </c>
      <c r="AQ88" s="98">
        <f t="shared" si="27"/>
        <v>0</v>
      </c>
      <c r="AR88" s="98">
        <f t="shared" si="27"/>
        <v>0</v>
      </c>
      <c r="AS88" s="98">
        <f t="shared" si="27"/>
        <v>0</v>
      </c>
      <c r="AV88" s="101" t="str">
        <f t="shared" si="23"/>
        <v>1.040950</v>
      </c>
      <c r="AW88" s="101">
        <v>950</v>
      </c>
      <c r="AX88" s="92">
        <v>35</v>
      </c>
      <c r="AY88" s="92">
        <v>135</v>
      </c>
      <c r="AZ88" s="92">
        <v>185</v>
      </c>
      <c r="BA88" s="92">
        <v>275</v>
      </c>
      <c r="BB88" s="92">
        <v>410</v>
      </c>
      <c r="BC88" s="92">
        <v>685</v>
      </c>
      <c r="BD88" s="202">
        <v>1145</v>
      </c>
      <c r="BF88" s="101" t="str">
        <f t="shared" si="24"/>
        <v>2.040950</v>
      </c>
      <c r="BG88" s="101">
        <v>950</v>
      </c>
      <c r="BH88" s="92">
        <v>35</v>
      </c>
      <c r="BI88" s="92">
        <v>385</v>
      </c>
      <c r="BJ88" s="92">
        <v>515</v>
      </c>
      <c r="BK88" s="92">
        <v>775</v>
      </c>
      <c r="BL88" s="202">
        <v>1160</v>
      </c>
      <c r="BM88" s="202">
        <v>1930</v>
      </c>
      <c r="BN88" s="202">
        <v>3220</v>
      </c>
      <c r="BP88" s="101" t="str">
        <f t="shared" si="25"/>
        <v>3.040950</v>
      </c>
      <c r="BQ88" s="101">
        <v>950</v>
      </c>
    </row>
    <row r="89" spans="1:76">
      <c r="A89" s="95"/>
      <c r="B89" s="96"/>
      <c r="C89" s="95"/>
      <c r="D89" s="95"/>
      <c r="E89" s="95"/>
      <c r="F89" s="95"/>
      <c r="G89" s="95"/>
      <c r="H89" s="95"/>
      <c r="I89" s="95"/>
      <c r="J89" s="95"/>
      <c r="K89" s="95"/>
      <c r="L89" s="95"/>
      <c r="M89" s="95"/>
      <c r="N89" s="95"/>
      <c r="O89" s="95"/>
      <c r="P89" s="95"/>
      <c r="Q89" s="95"/>
      <c r="R89" s="95"/>
      <c r="S89" s="99" t="s">
        <v>100</v>
      </c>
      <c r="T89" s="204" t="s">
        <v>100</v>
      </c>
      <c r="U89" s="98"/>
      <c r="V89" s="98">
        <f t="shared" si="26"/>
        <v>600</v>
      </c>
      <c r="W89" s="98">
        <f t="shared" si="26"/>
        <v>550</v>
      </c>
      <c r="X89" s="98">
        <f t="shared" si="26"/>
        <v>520</v>
      </c>
      <c r="Y89" s="98">
        <f t="shared" si="26"/>
        <v>490</v>
      </c>
      <c r="Z89" s="98">
        <f t="shared" si="26"/>
        <v>465</v>
      </c>
      <c r="AA89" s="98">
        <f t="shared" si="26"/>
        <v>440</v>
      </c>
      <c r="AB89" s="98">
        <f t="shared" si="26"/>
        <v>430</v>
      </c>
      <c r="AC89" s="98">
        <f t="shared" si="26"/>
        <v>420</v>
      </c>
      <c r="AD89" s="98">
        <f t="shared" si="26"/>
        <v>410</v>
      </c>
      <c r="AE89" s="98">
        <f t="shared" si="26"/>
        <v>400</v>
      </c>
      <c r="AF89" s="98">
        <f t="shared" si="27"/>
        <v>395</v>
      </c>
      <c r="AG89" s="98">
        <f t="shared" si="27"/>
        <v>385</v>
      </c>
      <c r="AH89" s="98">
        <f t="shared" si="27"/>
        <v>380</v>
      </c>
      <c r="AI89" s="98">
        <f t="shared" si="27"/>
        <v>365</v>
      </c>
      <c r="AJ89" s="98">
        <f t="shared" si="27"/>
        <v>350</v>
      </c>
      <c r="AK89" s="98">
        <f t="shared" si="27"/>
        <v>325</v>
      </c>
      <c r="AL89" s="98">
        <f t="shared" si="27"/>
        <v>275</v>
      </c>
      <c r="AM89" s="98">
        <f t="shared" si="27"/>
        <v>205</v>
      </c>
      <c r="AN89" s="98">
        <f t="shared" si="27"/>
        <v>180</v>
      </c>
      <c r="AO89" s="98">
        <f t="shared" si="27"/>
        <v>140</v>
      </c>
      <c r="AP89" s="98">
        <f t="shared" si="27"/>
        <v>105</v>
      </c>
      <c r="AQ89" s="98">
        <f t="shared" si="27"/>
        <v>75</v>
      </c>
      <c r="AR89" s="98">
        <f t="shared" si="27"/>
        <v>60</v>
      </c>
      <c r="AS89" s="98">
        <f t="shared" si="27"/>
        <v>40</v>
      </c>
      <c r="AV89" s="101" t="str">
        <f t="shared" si="23"/>
        <v>1.041000</v>
      </c>
      <c r="AW89" s="101">
        <v>1000</v>
      </c>
      <c r="AX89" s="92">
        <v>20</v>
      </c>
      <c r="AY89" s="92">
        <v>85</v>
      </c>
      <c r="AZ89" s="92">
        <v>115</v>
      </c>
      <c r="BA89" s="92">
        <v>170</v>
      </c>
      <c r="BB89" s="92">
        <v>255</v>
      </c>
      <c r="BC89" s="92">
        <v>430</v>
      </c>
      <c r="BD89" s="92">
        <v>715</v>
      </c>
      <c r="BF89" s="101" t="str">
        <f t="shared" si="24"/>
        <v>2.041000</v>
      </c>
      <c r="BG89" s="101">
        <v>1000</v>
      </c>
      <c r="BH89" s="92">
        <v>20</v>
      </c>
      <c r="BI89" s="92">
        <v>365</v>
      </c>
      <c r="BJ89" s="92">
        <v>485</v>
      </c>
      <c r="BK89" s="92">
        <v>725</v>
      </c>
      <c r="BL89" s="202">
        <v>1090</v>
      </c>
      <c r="BM89" s="202">
        <v>1820</v>
      </c>
      <c r="BN89" s="202">
        <v>3030</v>
      </c>
      <c r="BP89" s="101" t="str">
        <f t="shared" si="25"/>
        <v>3.041000</v>
      </c>
      <c r="BQ89" s="101">
        <v>1000</v>
      </c>
    </row>
    <row r="90" spans="1:76">
      <c r="A90" s="95"/>
      <c r="B90" s="96"/>
      <c r="C90" s="95"/>
      <c r="D90" s="95"/>
      <c r="E90" s="95"/>
      <c r="F90" s="95"/>
      <c r="G90" s="95"/>
      <c r="H90" s="95"/>
      <c r="I90" s="95"/>
      <c r="J90" s="95"/>
      <c r="K90" s="95"/>
      <c r="L90" s="95"/>
      <c r="M90" s="95"/>
      <c r="N90" s="95"/>
      <c r="O90" s="95"/>
      <c r="P90" s="95"/>
      <c r="Q90" s="95"/>
      <c r="R90" s="95"/>
      <c r="S90" s="99" t="s">
        <v>101</v>
      </c>
      <c r="T90" s="204" t="s">
        <v>101</v>
      </c>
      <c r="U90" s="98"/>
      <c r="V90" s="98">
        <f t="shared" si="26"/>
        <v>720</v>
      </c>
      <c r="W90" s="98">
        <f t="shared" si="26"/>
        <v>635</v>
      </c>
      <c r="X90" s="98">
        <f t="shared" si="26"/>
        <v>595</v>
      </c>
      <c r="Y90" s="98">
        <f t="shared" si="26"/>
        <v>555</v>
      </c>
      <c r="Z90" s="98">
        <f t="shared" si="26"/>
        <v>530</v>
      </c>
      <c r="AA90" s="98">
        <f t="shared" si="26"/>
        <v>505</v>
      </c>
      <c r="AB90" s="98">
        <f t="shared" si="26"/>
        <v>495</v>
      </c>
      <c r="AC90" s="98">
        <f t="shared" si="26"/>
        <v>480</v>
      </c>
      <c r="AD90" s="98">
        <f t="shared" si="26"/>
        <v>475</v>
      </c>
      <c r="AE90" s="98">
        <f t="shared" si="26"/>
        <v>465</v>
      </c>
      <c r="AF90" s="98">
        <f t="shared" si="27"/>
        <v>455</v>
      </c>
      <c r="AG90" s="98">
        <f t="shared" si="27"/>
        <v>445</v>
      </c>
      <c r="AH90" s="98">
        <f t="shared" si="27"/>
        <v>385</v>
      </c>
      <c r="AI90" s="98">
        <f t="shared" si="27"/>
        <v>365</v>
      </c>
      <c r="AJ90" s="98">
        <f t="shared" si="27"/>
        <v>345</v>
      </c>
      <c r="AK90" s="98">
        <f t="shared" si="27"/>
        <v>265</v>
      </c>
      <c r="AL90" s="98">
        <f t="shared" si="27"/>
        <v>205</v>
      </c>
      <c r="AM90" s="98">
        <f t="shared" si="27"/>
        <v>160</v>
      </c>
      <c r="AN90" s="98">
        <f t="shared" si="27"/>
        <v>130</v>
      </c>
      <c r="AO90" s="98">
        <f t="shared" si="27"/>
        <v>105</v>
      </c>
      <c r="AP90" s="98">
        <f t="shared" si="27"/>
        <v>80</v>
      </c>
      <c r="AQ90" s="98">
        <f t="shared" si="27"/>
        <v>60</v>
      </c>
      <c r="AR90" s="98">
        <f t="shared" si="27"/>
        <v>50</v>
      </c>
      <c r="AS90" s="98">
        <f t="shared" si="27"/>
        <v>40</v>
      </c>
      <c r="AV90" s="101" t="str">
        <f t="shared" si="23"/>
        <v>1.041050</v>
      </c>
      <c r="AW90" s="101">
        <v>1050</v>
      </c>
      <c r="BF90" s="101" t="str">
        <f t="shared" si="24"/>
        <v>2.041050</v>
      </c>
      <c r="BG90" s="101">
        <v>1050</v>
      </c>
      <c r="BI90" s="92">
        <v>360</v>
      </c>
      <c r="BJ90" s="92">
        <v>480</v>
      </c>
      <c r="BK90" s="92">
        <v>720</v>
      </c>
      <c r="BL90" s="202">
        <v>1080</v>
      </c>
      <c r="BM90" s="202">
        <v>1800</v>
      </c>
      <c r="BN90" s="202">
        <v>3000</v>
      </c>
      <c r="BP90" s="101" t="str">
        <f t="shared" si="25"/>
        <v>3.041050</v>
      </c>
      <c r="BQ90" s="101">
        <v>1050</v>
      </c>
    </row>
    <row r="91" spans="1:76">
      <c r="A91" s="95"/>
      <c r="B91" s="96"/>
      <c r="C91" s="95"/>
      <c r="D91" s="95"/>
      <c r="E91" s="95"/>
      <c r="F91" s="95"/>
      <c r="G91" s="95"/>
      <c r="H91" s="95"/>
      <c r="I91" s="95"/>
      <c r="J91" s="95"/>
      <c r="K91" s="95"/>
      <c r="L91" s="95"/>
      <c r="M91" s="95"/>
      <c r="N91" s="95"/>
      <c r="O91" s="95"/>
      <c r="P91" s="95"/>
      <c r="Q91" s="95"/>
      <c r="R91" s="95"/>
      <c r="S91" s="99" t="s">
        <v>213</v>
      </c>
      <c r="T91" s="204" t="s">
        <v>213</v>
      </c>
      <c r="U91" s="98"/>
      <c r="V91" s="98">
        <f t="shared" si="26"/>
        <v>600</v>
      </c>
      <c r="W91" s="98">
        <f t="shared" si="26"/>
        <v>520</v>
      </c>
      <c r="X91" s="98">
        <f t="shared" si="26"/>
        <v>465</v>
      </c>
      <c r="Y91" s="98">
        <f t="shared" si="26"/>
        <v>420</v>
      </c>
      <c r="Z91" s="98">
        <f t="shared" si="26"/>
        <v>390</v>
      </c>
      <c r="AA91" s="98">
        <f t="shared" si="26"/>
        <v>360</v>
      </c>
      <c r="AB91" s="98">
        <f t="shared" si="26"/>
        <v>0</v>
      </c>
      <c r="AC91" s="98">
        <f t="shared" si="26"/>
        <v>0</v>
      </c>
      <c r="AD91" s="98">
        <f t="shared" si="26"/>
        <v>0</v>
      </c>
      <c r="AE91" s="98">
        <f t="shared" si="26"/>
        <v>0</v>
      </c>
      <c r="AF91" s="98">
        <f t="shared" si="27"/>
        <v>0</v>
      </c>
      <c r="AG91" s="98">
        <f t="shared" si="27"/>
        <v>0</v>
      </c>
      <c r="AH91" s="98">
        <f t="shared" si="27"/>
        <v>0</v>
      </c>
      <c r="AI91" s="98">
        <f t="shared" si="27"/>
        <v>0</v>
      </c>
      <c r="AJ91" s="98">
        <f t="shared" si="27"/>
        <v>0</v>
      </c>
      <c r="AK91" s="98">
        <f t="shared" si="27"/>
        <v>0</v>
      </c>
      <c r="AL91" s="98">
        <f t="shared" si="27"/>
        <v>0</v>
      </c>
      <c r="AM91" s="98">
        <f t="shared" si="27"/>
        <v>0</v>
      </c>
      <c r="AN91" s="98">
        <f t="shared" si="27"/>
        <v>0</v>
      </c>
      <c r="AO91" s="98">
        <f t="shared" si="27"/>
        <v>0</v>
      </c>
      <c r="AP91" s="98">
        <f t="shared" si="27"/>
        <v>0</v>
      </c>
      <c r="AQ91" s="98">
        <f t="shared" si="27"/>
        <v>0</v>
      </c>
      <c r="AR91" s="98">
        <f t="shared" si="27"/>
        <v>0</v>
      </c>
      <c r="AS91" s="98">
        <f t="shared" si="27"/>
        <v>0</v>
      </c>
      <c r="AV91" s="101" t="str">
        <f t="shared" si="23"/>
        <v>1.041100</v>
      </c>
      <c r="AW91" s="101">
        <v>1100</v>
      </c>
      <c r="BF91" s="101" t="str">
        <f t="shared" si="24"/>
        <v>2.041100</v>
      </c>
      <c r="BG91" s="101">
        <v>1100</v>
      </c>
      <c r="BI91" s="92">
        <v>310</v>
      </c>
      <c r="BJ91" s="92">
        <v>415</v>
      </c>
      <c r="BK91" s="92">
        <v>625</v>
      </c>
      <c r="BL91" s="92">
        <v>935</v>
      </c>
      <c r="BM91" s="202">
        <v>1560</v>
      </c>
      <c r="BN91" s="202">
        <v>2600</v>
      </c>
      <c r="BP91" s="101" t="str">
        <f t="shared" si="25"/>
        <v>3.041100</v>
      </c>
      <c r="BQ91" s="101">
        <v>1100</v>
      </c>
    </row>
    <row r="92" spans="1:76">
      <c r="A92" s="95"/>
      <c r="B92" s="96"/>
      <c r="C92" s="95"/>
      <c r="D92" s="95"/>
      <c r="E92" s="95"/>
      <c r="F92" s="95"/>
      <c r="G92" s="95"/>
      <c r="H92" s="95"/>
      <c r="I92" s="95"/>
      <c r="J92" s="95"/>
      <c r="K92" s="95"/>
      <c r="L92" s="95"/>
      <c r="M92" s="95"/>
      <c r="N92" s="95"/>
      <c r="O92" s="95"/>
      <c r="P92" s="95"/>
      <c r="Q92" s="95"/>
      <c r="R92" s="95"/>
      <c r="S92" s="99" t="s">
        <v>214</v>
      </c>
      <c r="T92" s="204" t="s">
        <v>214</v>
      </c>
      <c r="U92" s="98"/>
      <c r="V92" s="98">
        <f t="shared" si="26"/>
        <v>750</v>
      </c>
      <c r="W92" s="98">
        <f t="shared" si="26"/>
        <v>750</v>
      </c>
      <c r="X92" s="98">
        <f t="shared" si="26"/>
        <v>730</v>
      </c>
      <c r="Y92" s="98">
        <f t="shared" si="26"/>
        <v>705</v>
      </c>
      <c r="Z92" s="98">
        <f t="shared" si="26"/>
        <v>665</v>
      </c>
      <c r="AA92" s="98">
        <f t="shared" si="26"/>
        <v>605</v>
      </c>
      <c r="AB92" s="98">
        <f t="shared" si="26"/>
        <v>590</v>
      </c>
      <c r="AC92" s="98">
        <f t="shared" si="26"/>
        <v>570</v>
      </c>
      <c r="AD92" s="98">
        <f t="shared" si="26"/>
        <v>530</v>
      </c>
      <c r="AE92" s="98">
        <f t="shared" si="26"/>
        <v>510</v>
      </c>
      <c r="AF92" s="98">
        <f t="shared" si="27"/>
        <v>485</v>
      </c>
      <c r="AG92" s="98">
        <f t="shared" si="27"/>
        <v>450</v>
      </c>
      <c r="AH92" s="98">
        <f t="shared" si="27"/>
        <v>385</v>
      </c>
      <c r="AI92" s="98">
        <f t="shared" si="27"/>
        <v>365</v>
      </c>
      <c r="AJ92" s="98">
        <f t="shared" si="27"/>
        <v>360</v>
      </c>
      <c r="AK92" s="98">
        <f t="shared" si="27"/>
        <v>325</v>
      </c>
      <c r="AL92" s="98">
        <f t="shared" si="27"/>
        <v>275</v>
      </c>
      <c r="AM92" s="98">
        <f t="shared" si="27"/>
        <v>205</v>
      </c>
      <c r="AN92" s="98">
        <f t="shared" si="27"/>
        <v>180</v>
      </c>
      <c r="AO92" s="98">
        <f t="shared" si="27"/>
        <v>140</v>
      </c>
      <c r="AP92" s="98">
        <f t="shared" si="27"/>
        <v>105</v>
      </c>
      <c r="AQ92" s="98">
        <f t="shared" si="27"/>
        <v>75</v>
      </c>
      <c r="AR92" s="98">
        <f t="shared" si="27"/>
        <v>60</v>
      </c>
      <c r="AS92" s="98">
        <f t="shared" si="27"/>
        <v>40</v>
      </c>
      <c r="AV92" s="101" t="str">
        <f t="shared" si="23"/>
        <v>1.041150</v>
      </c>
      <c r="AW92" s="101">
        <v>1150</v>
      </c>
      <c r="BF92" s="101" t="str">
        <f t="shared" si="24"/>
        <v>2.041150</v>
      </c>
      <c r="BG92" s="101">
        <v>1150</v>
      </c>
      <c r="BI92" s="92">
        <v>235</v>
      </c>
      <c r="BJ92" s="92">
        <v>315</v>
      </c>
      <c r="BK92" s="92">
        <v>475</v>
      </c>
      <c r="BL92" s="92">
        <v>710</v>
      </c>
      <c r="BM92" s="202">
        <v>1185</v>
      </c>
      <c r="BN92" s="202">
        <v>1970</v>
      </c>
      <c r="BP92" s="101" t="str">
        <f t="shared" si="25"/>
        <v>3.041150</v>
      </c>
      <c r="BQ92" s="101">
        <v>1150</v>
      </c>
    </row>
    <row r="93" spans="1:76">
      <c r="A93" s="95"/>
      <c r="B93" s="96"/>
      <c r="C93" s="95"/>
      <c r="D93" s="95"/>
      <c r="E93" s="95"/>
      <c r="F93" s="95"/>
      <c r="G93" s="95"/>
      <c r="H93" s="95"/>
      <c r="I93" s="95"/>
      <c r="J93" s="95"/>
      <c r="K93" s="95"/>
      <c r="L93" s="95"/>
      <c r="M93" s="95"/>
      <c r="N93" s="95"/>
      <c r="O93" s="95"/>
      <c r="P93" s="95"/>
      <c r="Q93" s="95"/>
      <c r="R93" s="95"/>
      <c r="S93" s="99"/>
      <c r="T93" s="98"/>
      <c r="U93" s="98"/>
      <c r="V93" s="117">
        <v>400</v>
      </c>
      <c r="W93" s="98">
        <v>100</v>
      </c>
      <c r="X93" s="98">
        <v>1500</v>
      </c>
      <c r="Y93" s="98"/>
      <c r="Z93" s="98"/>
      <c r="AA93" s="98"/>
      <c r="AB93" s="98"/>
      <c r="AC93" s="98"/>
      <c r="AD93" s="98"/>
      <c r="AE93" s="98"/>
      <c r="AF93" s="98"/>
      <c r="AG93" s="98"/>
      <c r="AH93" s="98"/>
      <c r="AI93" s="98"/>
      <c r="AJ93" s="98"/>
      <c r="AK93" s="98"/>
      <c r="AL93" s="98"/>
      <c r="AM93" s="98"/>
      <c r="AN93" s="98"/>
      <c r="AO93" s="98"/>
      <c r="AP93" s="98"/>
      <c r="AQ93" s="98"/>
      <c r="AR93" s="98"/>
      <c r="AS93" s="98"/>
      <c r="AV93" s="101" t="str">
        <f t="shared" si="23"/>
        <v>1.041200</v>
      </c>
      <c r="AW93" s="101">
        <v>1200</v>
      </c>
      <c r="BF93" s="101" t="str">
        <f t="shared" si="24"/>
        <v>2.041200</v>
      </c>
      <c r="BG93" s="101">
        <v>1200</v>
      </c>
      <c r="BI93" s="92">
        <v>185</v>
      </c>
      <c r="BJ93" s="92">
        <v>245</v>
      </c>
      <c r="BK93" s="92">
        <v>370</v>
      </c>
      <c r="BL93" s="92">
        <v>555</v>
      </c>
      <c r="BM93" s="92">
        <v>925</v>
      </c>
      <c r="BN93" s="202">
        <v>1545</v>
      </c>
      <c r="BP93" s="101" t="str">
        <f t="shared" si="25"/>
        <v>3.041200</v>
      </c>
      <c r="BQ93" s="101">
        <v>1200</v>
      </c>
    </row>
    <row r="94" spans="1:76">
      <c r="A94" s="95"/>
      <c r="B94" s="96"/>
      <c r="C94" s="95"/>
      <c r="D94" s="95"/>
      <c r="E94" s="95"/>
      <c r="F94" s="95"/>
      <c r="G94" s="95"/>
      <c r="H94" s="95"/>
      <c r="I94" s="95"/>
      <c r="J94" s="95"/>
      <c r="K94" s="95"/>
      <c r="L94" s="95"/>
      <c r="M94" s="95"/>
      <c r="N94" s="95"/>
      <c r="O94" s="95"/>
      <c r="P94" s="95"/>
      <c r="Q94" s="95"/>
      <c r="R94" s="95"/>
      <c r="S94" s="99">
        <v>1.1000000000000001</v>
      </c>
      <c r="T94" s="204" t="s">
        <v>192</v>
      </c>
      <c r="U94" s="98"/>
      <c r="V94" s="98">
        <f t="shared" ref="V94:AE107" si="28">VLOOKUP($T94&amp;TEXT(V$1,"0000"),$AV$4:$BD$339,5)</f>
        <v>985</v>
      </c>
      <c r="W94" s="98">
        <f t="shared" si="28"/>
        <v>905</v>
      </c>
      <c r="X94" s="98">
        <f t="shared" si="28"/>
        <v>870</v>
      </c>
      <c r="Y94" s="98">
        <f t="shared" si="28"/>
        <v>845</v>
      </c>
      <c r="Z94" s="98">
        <f t="shared" si="28"/>
        <v>805</v>
      </c>
      <c r="AA94" s="98">
        <f t="shared" si="28"/>
        <v>755</v>
      </c>
      <c r="AB94" s="98">
        <f t="shared" si="28"/>
        <v>730</v>
      </c>
      <c r="AC94" s="98">
        <f t="shared" si="28"/>
        <v>710</v>
      </c>
      <c r="AD94" s="98">
        <f t="shared" si="28"/>
        <v>675</v>
      </c>
      <c r="AE94" s="98">
        <f t="shared" si="28"/>
        <v>550</v>
      </c>
      <c r="AF94" s="98">
        <f t="shared" ref="AF94:AS107" si="29">VLOOKUP($T94&amp;TEXT(AF$1,"0000"),$AV$4:$BD$339,5)</f>
        <v>425</v>
      </c>
      <c r="AG94" s="98">
        <f t="shared" si="29"/>
        <v>305</v>
      </c>
      <c r="AH94" s="98">
        <f t="shared" si="29"/>
        <v>185</v>
      </c>
      <c r="AI94" s="98">
        <f t="shared" si="29"/>
        <v>115</v>
      </c>
      <c r="AJ94" s="98">
        <f t="shared" si="29"/>
        <v>0</v>
      </c>
      <c r="AK94" s="98">
        <f t="shared" si="29"/>
        <v>0</v>
      </c>
      <c r="AL94" s="98">
        <f t="shared" si="29"/>
        <v>0</v>
      </c>
      <c r="AM94" s="98">
        <f t="shared" si="29"/>
        <v>0</v>
      </c>
      <c r="AN94" s="98">
        <f t="shared" si="29"/>
        <v>0</v>
      </c>
      <c r="AO94" s="98">
        <f t="shared" si="29"/>
        <v>0</v>
      </c>
      <c r="AP94" s="98">
        <f t="shared" si="29"/>
        <v>0</v>
      </c>
      <c r="AQ94" s="98">
        <f t="shared" si="29"/>
        <v>0</v>
      </c>
      <c r="AR94" s="98">
        <f t="shared" si="29"/>
        <v>0</v>
      </c>
      <c r="AS94" s="98">
        <f t="shared" si="29"/>
        <v>0</v>
      </c>
      <c r="AV94" s="101" t="str">
        <f t="shared" si="23"/>
        <v>1.041250</v>
      </c>
      <c r="AW94" s="101">
        <v>1250</v>
      </c>
      <c r="BF94" s="101" t="str">
        <f t="shared" si="24"/>
        <v>2.041250</v>
      </c>
      <c r="BG94" s="101">
        <v>1250</v>
      </c>
      <c r="BI94" s="92">
        <v>140</v>
      </c>
      <c r="BJ94" s="92">
        <v>185</v>
      </c>
      <c r="BK94" s="92">
        <v>280</v>
      </c>
      <c r="BL94" s="92">
        <v>420</v>
      </c>
      <c r="BM94" s="92">
        <v>705</v>
      </c>
      <c r="BN94" s="202">
        <v>1170</v>
      </c>
      <c r="BP94" s="101" t="str">
        <f t="shared" si="25"/>
        <v>3.041250</v>
      </c>
      <c r="BQ94" s="101">
        <v>1250</v>
      </c>
    </row>
    <row r="95" spans="1:76">
      <c r="A95" s="95"/>
      <c r="B95" s="96"/>
      <c r="C95" s="95"/>
      <c r="D95" s="95"/>
      <c r="E95" s="95"/>
      <c r="F95" s="95"/>
      <c r="G95" s="95"/>
      <c r="H95" s="95"/>
      <c r="I95" s="95"/>
      <c r="J95" s="95"/>
      <c r="K95" s="95"/>
      <c r="L95" s="95"/>
      <c r="M95" s="95"/>
      <c r="N95" s="95"/>
      <c r="O95" s="95"/>
      <c r="P95" s="95"/>
      <c r="Q95" s="95"/>
      <c r="R95" s="95"/>
      <c r="S95" s="99" t="s">
        <v>70</v>
      </c>
      <c r="T95" s="204" t="s">
        <v>193</v>
      </c>
      <c r="U95" s="98"/>
      <c r="V95" s="98">
        <f t="shared" si="28"/>
        <v>1000</v>
      </c>
      <c r="W95" s="98">
        <f t="shared" si="28"/>
        <v>1000</v>
      </c>
      <c r="X95" s="98">
        <f t="shared" si="28"/>
        <v>970</v>
      </c>
      <c r="Y95" s="98">
        <f t="shared" si="28"/>
        <v>940</v>
      </c>
      <c r="Z95" s="98">
        <f t="shared" si="28"/>
        <v>885</v>
      </c>
      <c r="AA95" s="98">
        <f t="shared" si="28"/>
        <v>805</v>
      </c>
      <c r="AB95" s="98">
        <f t="shared" si="28"/>
        <v>785</v>
      </c>
      <c r="AC95" s="98">
        <f t="shared" si="28"/>
        <v>740</v>
      </c>
      <c r="AD95" s="98">
        <f t="shared" si="28"/>
        <v>675</v>
      </c>
      <c r="AE95" s="98">
        <f t="shared" si="28"/>
        <v>550</v>
      </c>
      <c r="AF95" s="98">
        <f t="shared" si="29"/>
        <v>425</v>
      </c>
      <c r="AG95" s="98">
        <f t="shared" si="29"/>
        <v>295</v>
      </c>
      <c r="AH95" s="98">
        <f t="shared" si="29"/>
        <v>185</v>
      </c>
      <c r="AI95" s="98">
        <f t="shared" si="29"/>
        <v>115</v>
      </c>
      <c r="AJ95" s="98">
        <f t="shared" si="29"/>
        <v>0</v>
      </c>
      <c r="AK95" s="98">
        <f t="shared" si="29"/>
        <v>0</v>
      </c>
      <c r="AL95" s="98">
        <f t="shared" si="29"/>
        <v>0</v>
      </c>
      <c r="AM95" s="98">
        <f t="shared" si="29"/>
        <v>0</v>
      </c>
      <c r="AN95" s="98">
        <f t="shared" si="29"/>
        <v>0</v>
      </c>
      <c r="AO95" s="98">
        <f t="shared" si="29"/>
        <v>0</v>
      </c>
      <c r="AP95" s="98">
        <f t="shared" si="29"/>
        <v>0</v>
      </c>
      <c r="AQ95" s="98">
        <f t="shared" si="29"/>
        <v>0</v>
      </c>
      <c r="AR95" s="98">
        <f t="shared" si="29"/>
        <v>0</v>
      </c>
      <c r="AS95" s="98">
        <f t="shared" si="29"/>
        <v>0</v>
      </c>
      <c r="AV95" s="101" t="str">
        <f t="shared" si="23"/>
        <v>1.041300</v>
      </c>
      <c r="AW95" s="101">
        <v>1300</v>
      </c>
      <c r="BF95" s="101" t="str">
        <f t="shared" si="24"/>
        <v>2.041300</v>
      </c>
      <c r="BG95" s="101">
        <v>1300</v>
      </c>
      <c r="BI95" s="92">
        <v>110</v>
      </c>
      <c r="BJ95" s="92">
        <v>145</v>
      </c>
      <c r="BK95" s="92">
        <v>220</v>
      </c>
      <c r="BL95" s="92">
        <v>330</v>
      </c>
      <c r="BM95" s="92">
        <v>550</v>
      </c>
      <c r="BN95" s="92">
        <v>915</v>
      </c>
      <c r="BP95" s="101" t="str">
        <f t="shared" si="25"/>
        <v>3.041300</v>
      </c>
      <c r="BQ95" s="101">
        <v>1300</v>
      </c>
    </row>
    <row r="96" spans="1:76">
      <c r="A96" s="95"/>
      <c r="B96" s="96"/>
      <c r="C96" s="95"/>
      <c r="D96" s="95"/>
      <c r="E96" s="95"/>
      <c r="F96" s="95"/>
      <c r="G96" s="95"/>
      <c r="H96" s="95"/>
      <c r="I96" s="95"/>
      <c r="J96" s="95"/>
      <c r="K96" s="95"/>
      <c r="L96" s="95"/>
      <c r="M96" s="95"/>
      <c r="N96" s="95"/>
      <c r="O96" s="95"/>
      <c r="P96" s="95"/>
      <c r="Q96" s="95"/>
      <c r="R96" s="95"/>
      <c r="S96" s="99" t="s">
        <v>71</v>
      </c>
      <c r="T96" s="204" t="s">
        <v>194</v>
      </c>
      <c r="U96" s="98"/>
      <c r="V96" s="98">
        <f t="shared" si="28"/>
        <v>930</v>
      </c>
      <c r="W96" s="98">
        <f t="shared" si="28"/>
        <v>880</v>
      </c>
      <c r="X96" s="98">
        <f t="shared" si="28"/>
        <v>850</v>
      </c>
      <c r="Y96" s="98">
        <f t="shared" si="28"/>
        <v>820</v>
      </c>
      <c r="Z96" s="98">
        <f t="shared" si="28"/>
        <v>780</v>
      </c>
      <c r="AA96" s="98">
        <f t="shared" si="28"/>
        <v>735</v>
      </c>
      <c r="AB96" s="98">
        <f t="shared" si="28"/>
        <v>710</v>
      </c>
      <c r="AC96" s="98">
        <f t="shared" si="28"/>
        <v>685</v>
      </c>
      <c r="AD96" s="98">
        <f t="shared" si="28"/>
        <v>635</v>
      </c>
      <c r="AE96" s="98">
        <f t="shared" si="28"/>
        <v>520</v>
      </c>
      <c r="AF96" s="98">
        <f t="shared" si="29"/>
        <v>400</v>
      </c>
      <c r="AG96" s="98">
        <f t="shared" si="29"/>
        <v>270</v>
      </c>
      <c r="AH96" s="98">
        <f t="shared" si="29"/>
        <v>185</v>
      </c>
      <c r="AI96" s="98">
        <f t="shared" si="29"/>
        <v>115</v>
      </c>
      <c r="AJ96" s="98">
        <f t="shared" si="29"/>
        <v>0</v>
      </c>
      <c r="AK96" s="98">
        <f t="shared" si="29"/>
        <v>0</v>
      </c>
      <c r="AL96" s="98">
        <f t="shared" si="29"/>
        <v>0</v>
      </c>
      <c r="AM96" s="98">
        <f t="shared" si="29"/>
        <v>0</v>
      </c>
      <c r="AN96" s="98">
        <f t="shared" si="29"/>
        <v>0</v>
      </c>
      <c r="AO96" s="98">
        <f t="shared" si="29"/>
        <v>0</v>
      </c>
      <c r="AP96" s="98">
        <f t="shared" si="29"/>
        <v>0</v>
      </c>
      <c r="AQ96" s="98">
        <f t="shared" si="29"/>
        <v>0</v>
      </c>
      <c r="AR96" s="98">
        <f t="shared" si="29"/>
        <v>0</v>
      </c>
      <c r="AS96" s="98">
        <f t="shared" si="29"/>
        <v>0</v>
      </c>
      <c r="AV96" s="101" t="str">
        <f t="shared" si="23"/>
        <v>1.041350</v>
      </c>
      <c r="AW96" s="101">
        <v>1350</v>
      </c>
      <c r="BF96" s="101" t="str">
        <f t="shared" si="24"/>
        <v>2.041350</v>
      </c>
      <c r="BG96" s="101">
        <v>1350</v>
      </c>
      <c r="BI96" s="92">
        <v>85</v>
      </c>
      <c r="BJ96" s="92">
        <v>115</v>
      </c>
      <c r="BK96" s="92">
        <v>170</v>
      </c>
      <c r="BL96" s="92">
        <v>255</v>
      </c>
      <c r="BM96" s="92">
        <v>430</v>
      </c>
      <c r="BN96" s="92">
        <v>715</v>
      </c>
      <c r="BP96" s="101" t="str">
        <f t="shared" si="25"/>
        <v>3.041350</v>
      </c>
      <c r="BQ96" s="101">
        <v>1350</v>
      </c>
    </row>
    <row r="97" spans="1:76">
      <c r="A97" s="95"/>
      <c r="B97" s="96"/>
      <c r="C97" s="95"/>
      <c r="D97" s="95"/>
      <c r="E97" s="95"/>
      <c r="F97" s="95"/>
      <c r="G97" s="95"/>
      <c r="H97" s="95"/>
      <c r="I97" s="95"/>
      <c r="J97" s="95"/>
      <c r="K97" s="95"/>
      <c r="L97" s="95"/>
      <c r="M97" s="95"/>
      <c r="N97" s="95"/>
      <c r="O97" s="95"/>
      <c r="P97" s="95"/>
      <c r="Q97" s="95"/>
      <c r="R97" s="95"/>
      <c r="S97" s="99" t="s">
        <v>72</v>
      </c>
      <c r="T97" s="204" t="s">
        <v>195</v>
      </c>
      <c r="U97" s="98"/>
      <c r="V97" s="98">
        <f t="shared" si="28"/>
        <v>825</v>
      </c>
      <c r="W97" s="98">
        <f t="shared" si="28"/>
        <v>755</v>
      </c>
      <c r="X97" s="98">
        <f t="shared" si="28"/>
        <v>725</v>
      </c>
      <c r="Y97" s="98">
        <f t="shared" si="28"/>
        <v>700</v>
      </c>
      <c r="Z97" s="98">
        <f t="shared" si="28"/>
        <v>670</v>
      </c>
      <c r="AA97" s="98">
        <f t="shared" si="28"/>
        <v>630</v>
      </c>
      <c r="AB97" s="98">
        <f t="shared" si="28"/>
        <v>610</v>
      </c>
      <c r="AC97" s="98">
        <f t="shared" si="28"/>
        <v>590</v>
      </c>
      <c r="AD97" s="98">
        <f t="shared" si="28"/>
        <v>570</v>
      </c>
      <c r="AE97" s="98">
        <f t="shared" si="28"/>
        <v>495</v>
      </c>
      <c r="AF97" s="98">
        <f t="shared" si="29"/>
        <v>400</v>
      </c>
      <c r="AG97" s="98">
        <f t="shared" si="29"/>
        <v>230</v>
      </c>
      <c r="AH97" s="98">
        <f t="shared" si="29"/>
        <v>185</v>
      </c>
      <c r="AI97" s="98">
        <f t="shared" si="29"/>
        <v>115</v>
      </c>
      <c r="AJ97" s="98">
        <f t="shared" si="29"/>
        <v>0</v>
      </c>
      <c r="AK97" s="98">
        <f t="shared" si="29"/>
        <v>0</v>
      </c>
      <c r="AL97" s="98">
        <f t="shared" si="29"/>
        <v>0</v>
      </c>
      <c r="AM97" s="98">
        <f t="shared" si="29"/>
        <v>0</v>
      </c>
      <c r="AN97" s="98">
        <f t="shared" si="29"/>
        <v>0</v>
      </c>
      <c r="AO97" s="98">
        <f t="shared" si="29"/>
        <v>0</v>
      </c>
      <c r="AP97" s="98">
        <f t="shared" si="29"/>
        <v>0</v>
      </c>
      <c r="AQ97" s="98">
        <f t="shared" si="29"/>
        <v>0</v>
      </c>
      <c r="AR97" s="98">
        <f t="shared" si="29"/>
        <v>0</v>
      </c>
      <c r="AS97" s="98">
        <f t="shared" si="29"/>
        <v>0</v>
      </c>
      <c r="AV97" s="101" t="str">
        <f t="shared" si="23"/>
        <v>1.041400</v>
      </c>
      <c r="AW97" s="101">
        <v>1400</v>
      </c>
      <c r="BF97" s="101" t="str">
        <f t="shared" si="24"/>
        <v>2.041400</v>
      </c>
      <c r="BG97" s="101">
        <v>1400</v>
      </c>
      <c r="BI97" s="92">
        <v>65</v>
      </c>
      <c r="BJ97" s="92">
        <v>85</v>
      </c>
      <c r="BK97" s="92">
        <v>130</v>
      </c>
      <c r="BL97" s="92">
        <v>195</v>
      </c>
      <c r="BM97" s="92">
        <v>325</v>
      </c>
      <c r="BN97" s="92">
        <v>545</v>
      </c>
      <c r="BP97" s="101" t="str">
        <f t="shared" si="25"/>
        <v>3.041400</v>
      </c>
      <c r="BQ97" s="101">
        <v>1400</v>
      </c>
    </row>
    <row r="98" spans="1:76">
      <c r="A98" s="95"/>
      <c r="B98" s="96"/>
      <c r="C98" s="95"/>
      <c r="D98" s="95"/>
      <c r="E98" s="95"/>
      <c r="F98" s="95"/>
      <c r="G98" s="95"/>
      <c r="H98" s="95"/>
      <c r="I98" s="95"/>
      <c r="J98" s="95"/>
      <c r="K98" s="95"/>
      <c r="L98" s="95"/>
      <c r="M98" s="95"/>
      <c r="N98" s="95"/>
      <c r="O98" s="95"/>
      <c r="P98" s="95"/>
      <c r="Q98" s="95"/>
      <c r="R98" s="95"/>
      <c r="S98" s="99" t="s">
        <v>73</v>
      </c>
      <c r="T98" s="204" t="s">
        <v>196</v>
      </c>
      <c r="U98" s="98"/>
      <c r="V98" s="98">
        <f t="shared" si="28"/>
        <v>930</v>
      </c>
      <c r="W98" s="98">
        <f t="shared" si="28"/>
        <v>930</v>
      </c>
      <c r="X98" s="98">
        <f t="shared" si="28"/>
        <v>915</v>
      </c>
      <c r="Y98" s="98">
        <f t="shared" si="28"/>
        <v>885</v>
      </c>
      <c r="Z98" s="98">
        <f t="shared" si="28"/>
        <v>855</v>
      </c>
      <c r="AA98" s="98">
        <f t="shared" si="28"/>
        <v>805</v>
      </c>
      <c r="AB98" s="98">
        <f t="shared" si="28"/>
        <v>785</v>
      </c>
      <c r="AC98" s="98">
        <f t="shared" si="28"/>
        <v>755</v>
      </c>
      <c r="AD98" s="98">
        <f t="shared" si="28"/>
        <v>710</v>
      </c>
      <c r="AE98" s="98">
        <f t="shared" si="28"/>
        <v>675</v>
      </c>
      <c r="AF98" s="98">
        <f t="shared" si="29"/>
        <v>650</v>
      </c>
      <c r="AG98" s="98">
        <f t="shared" si="29"/>
        <v>600</v>
      </c>
      <c r="AH98" s="98">
        <f t="shared" si="29"/>
        <v>375</v>
      </c>
      <c r="AI98" s="98">
        <f t="shared" si="29"/>
        <v>220</v>
      </c>
      <c r="AJ98" s="98">
        <f t="shared" si="29"/>
        <v>0</v>
      </c>
      <c r="AK98" s="98">
        <f t="shared" si="29"/>
        <v>0</v>
      </c>
      <c r="AL98" s="98">
        <f t="shared" si="29"/>
        <v>0</v>
      </c>
      <c r="AM98" s="98">
        <f t="shared" si="29"/>
        <v>0</v>
      </c>
      <c r="AN98" s="98">
        <f t="shared" si="29"/>
        <v>0</v>
      </c>
      <c r="AO98" s="98">
        <f t="shared" si="29"/>
        <v>0</v>
      </c>
      <c r="AP98" s="98">
        <f t="shared" si="29"/>
        <v>0</v>
      </c>
      <c r="AQ98" s="98">
        <f t="shared" si="29"/>
        <v>0</v>
      </c>
      <c r="AR98" s="98">
        <f t="shared" si="29"/>
        <v>0</v>
      </c>
      <c r="AS98" s="98">
        <f t="shared" si="29"/>
        <v>0</v>
      </c>
      <c r="AV98" s="101" t="str">
        <f t="shared" si="23"/>
        <v>1.041450</v>
      </c>
      <c r="AW98" s="101">
        <v>1450</v>
      </c>
      <c r="BF98" s="101" t="str">
        <f t="shared" si="24"/>
        <v>2.041450</v>
      </c>
      <c r="BG98" s="101">
        <v>1450</v>
      </c>
      <c r="BI98" s="92">
        <v>50</v>
      </c>
      <c r="BJ98" s="92">
        <v>70</v>
      </c>
      <c r="BK98" s="92">
        <v>105</v>
      </c>
      <c r="BL98" s="92">
        <v>155</v>
      </c>
      <c r="BM98" s="92">
        <v>255</v>
      </c>
      <c r="BN98" s="92">
        <v>430</v>
      </c>
      <c r="BP98" s="101" t="str">
        <f t="shared" si="25"/>
        <v>3.041450</v>
      </c>
      <c r="BQ98" s="101">
        <v>1450</v>
      </c>
    </row>
    <row r="99" spans="1:76">
      <c r="A99" s="95"/>
      <c r="B99" s="96"/>
      <c r="C99" s="95"/>
      <c r="D99" s="95"/>
      <c r="E99" s="95"/>
      <c r="F99" s="95"/>
      <c r="G99" s="95"/>
      <c r="H99" s="95"/>
      <c r="I99" s="95"/>
      <c r="J99" s="95"/>
      <c r="K99" s="95"/>
      <c r="L99" s="95"/>
      <c r="M99" s="95"/>
      <c r="N99" s="95"/>
      <c r="O99" s="95"/>
      <c r="P99" s="95"/>
      <c r="Q99" s="95"/>
      <c r="R99" s="95"/>
      <c r="S99" s="99" t="s">
        <v>74</v>
      </c>
      <c r="T99" s="204" t="s">
        <v>197</v>
      </c>
      <c r="U99" s="98"/>
      <c r="V99" s="98">
        <f t="shared" si="28"/>
        <v>1000</v>
      </c>
      <c r="W99" s="98">
        <f t="shared" si="28"/>
        <v>1000</v>
      </c>
      <c r="X99" s="98">
        <f t="shared" si="28"/>
        <v>970</v>
      </c>
      <c r="Y99" s="98">
        <f t="shared" si="28"/>
        <v>940</v>
      </c>
      <c r="Z99" s="98">
        <f t="shared" si="28"/>
        <v>885</v>
      </c>
      <c r="AA99" s="98">
        <f t="shared" si="28"/>
        <v>805</v>
      </c>
      <c r="AB99" s="98">
        <f t="shared" si="28"/>
        <v>785</v>
      </c>
      <c r="AC99" s="98">
        <f t="shared" si="28"/>
        <v>755</v>
      </c>
      <c r="AD99" s="98">
        <f t="shared" si="28"/>
        <v>710</v>
      </c>
      <c r="AE99" s="98">
        <f t="shared" si="28"/>
        <v>675</v>
      </c>
      <c r="AF99" s="98">
        <f t="shared" si="29"/>
        <v>650</v>
      </c>
      <c r="AG99" s="98">
        <f t="shared" si="29"/>
        <v>600</v>
      </c>
      <c r="AH99" s="98">
        <f t="shared" si="29"/>
        <v>420</v>
      </c>
      <c r="AI99" s="98">
        <f t="shared" si="29"/>
        <v>270</v>
      </c>
      <c r="AJ99" s="98">
        <f t="shared" si="29"/>
        <v>210</v>
      </c>
      <c r="AK99" s="98">
        <f t="shared" si="29"/>
        <v>0</v>
      </c>
      <c r="AL99" s="98">
        <f t="shared" si="29"/>
        <v>0</v>
      </c>
      <c r="AM99" s="98">
        <f t="shared" si="29"/>
        <v>0</v>
      </c>
      <c r="AN99" s="98">
        <f t="shared" si="29"/>
        <v>0</v>
      </c>
      <c r="AO99" s="98">
        <f t="shared" si="29"/>
        <v>0</v>
      </c>
      <c r="AP99" s="98">
        <f t="shared" si="29"/>
        <v>0</v>
      </c>
      <c r="AQ99" s="98">
        <f t="shared" si="29"/>
        <v>0</v>
      </c>
      <c r="AR99" s="98">
        <f t="shared" si="29"/>
        <v>0</v>
      </c>
      <c r="AS99" s="98">
        <f t="shared" si="29"/>
        <v>0</v>
      </c>
      <c r="AV99" s="101" t="str">
        <f t="shared" si="23"/>
        <v>1.041500</v>
      </c>
      <c r="AW99" s="101">
        <v>1500</v>
      </c>
      <c r="BF99" s="101" t="str">
        <f t="shared" si="24"/>
        <v>2.041500</v>
      </c>
      <c r="BG99" s="101">
        <v>1500</v>
      </c>
      <c r="BI99" s="92">
        <v>40</v>
      </c>
      <c r="BJ99" s="92">
        <v>50</v>
      </c>
      <c r="BK99" s="92">
        <v>75</v>
      </c>
      <c r="BL99" s="92">
        <v>115</v>
      </c>
      <c r="BM99" s="92">
        <v>190</v>
      </c>
      <c r="BN99" s="92">
        <v>315</v>
      </c>
      <c r="BP99" s="101" t="str">
        <f t="shared" si="25"/>
        <v>3.041500</v>
      </c>
      <c r="BQ99" s="101">
        <v>1500</v>
      </c>
    </row>
    <row r="100" spans="1:76">
      <c r="A100" s="95"/>
      <c r="B100" s="96"/>
      <c r="C100" s="95"/>
      <c r="D100" s="95"/>
      <c r="E100" s="95"/>
      <c r="F100" s="95"/>
      <c r="G100" s="95"/>
      <c r="H100" s="95"/>
      <c r="I100" s="95"/>
      <c r="J100" s="95"/>
      <c r="K100" s="95"/>
      <c r="L100" s="95"/>
      <c r="M100" s="95"/>
      <c r="N100" s="95"/>
      <c r="O100" s="95"/>
      <c r="P100" s="95"/>
      <c r="Q100" s="95"/>
      <c r="R100" s="95"/>
      <c r="S100" s="99" t="s">
        <v>75</v>
      </c>
      <c r="T100" s="204" t="s">
        <v>198</v>
      </c>
      <c r="U100" s="98"/>
      <c r="V100" s="98">
        <f t="shared" si="28"/>
        <v>1000</v>
      </c>
      <c r="W100" s="98">
        <f t="shared" si="28"/>
        <v>1000</v>
      </c>
      <c r="X100" s="98">
        <f t="shared" si="28"/>
        <v>965</v>
      </c>
      <c r="Y100" s="98">
        <f t="shared" si="28"/>
        <v>925</v>
      </c>
      <c r="Z100" s="98">
        <f t="shared" si="28"/>
        <v>885</v>
      </c>
      <c r="AA100" s="98">
        <f t="shared" si="28"/>
        <v>805</v>
      </c>
      <c r="AB100" s="98">
        <f t="shared" si="28"/>
        <v>785</v>
      </c>
      <c r="AC100" s="98">
        <f t="shared" si="28"/>
        <v>755</v>
      </c>
      <c r="AD100" s="98">
        <f t="shared" si="28"/>
        <v>710</v>
      </c>
      <c r="AE100" s="98">
        <f t="shared" si="28"/>
        <v>675</v>
      </c>
      <c r="AF100" s="98">
        <f t="shared" si="29"/>
        <v>650</v>
      </c>
      <c r="AG100" s="98">
        <f t="shared" si="29"/>
        <v>600</v>
      </c>
      <c r="AH100" s="98">
        <f t="shared" si="29"/>
        <v>425</v>
      </c>
      <c r="AI100" s="98">
        <f t="shared" si="29"/>
        <v>290</v>
      </c>
      <c r="AJ100" s="98">
        <f t="shared" si="29"/>
        <v>190</v>
      </c>
      <c r="AK100" s="98">
        <f t="shared" si="29"/>
        <v>130</v>
      </c>
      <c r="AL100" s="98">
        <f t="shared" si="29"/>
        <v>85</v>
      </c>
      <c r="AM100" s="98">
        <f t="shared" si="29"/>
        <v>55</v>
      </c>
      <c r="AN100" s="98">
        <f t="shared" si="29"/>
        <v>0</v>
      </c>
      <c r="AO100" s="98">
        <f t="shared" si="29"/>
        <v>0</v>
      </c>
      <c r="AP100" s="98">
        <f t="shared" si="29"/>
        <v>0</v>
      </c>
      <c r="AQ100" s="98">
        <f t="shared" si="29"/>
        <v>0</v>
      </c>
      <c r="AR100" s="98">
        <f t="shared" si="29"/>
        <v>0</v>
      </c>
      <c r="AS100" s="98">
        <f t="shared" si="29"/>
        <v>0</v>
      </c>
      <c r="AU100" s="92">
        <v>1.05</v>
      </c>
      <c r="AV100" s="101" t="str">
        <f>AU$100&amp;TEXT(AW100,"0000")</f>
        <v>1.050100</v>
      </c>
      <c r="AW100" s="92">
        <v>100</v>
      </c>
      <c r="AX100" s="92">
        <v>265</v>
      </c>
      <c r="AY100" s="92">
        <v>695</v>
      </c>
      <c r="AZ100" s="92">
        <v>930</v>
      </c>
      <c r="BA100" s="202">
        <v>1395</v>
      </c>
      <c r="BB100" s="202">
        <v>2090</v>
      </c>
      <c r="BC100" s="202">
        <v>3480</v>
      </c>
      <c r="BD100" s="202">
        <v>5805</v>
      </c>
      <c r="BE100" s="92">
        <v>2.0499999999999998</v>
      </c>
      <c r="BF100" s="101" t="str">
        <f>BE$100&amp;TEXT(BG100,"0000")</f>
        <v>2.050100</v>
      </c>
      <c r="BG100" s="92">
        <v>100</v>
      </c>
      <c r="BH100" s="92">
        <v>275</v>
      </c>
      <c r="BI100" s="92">
        <v>720</v>
      </c>
      <c r="BJ100" s="92">
        <v>960</v>
      </c>
      <c r="BK100" s="202">
        <v>1440</v>
      </c>
      <c r="BL100" s="202">
        <v>2160</v>
      </c>
      <c r="BM100" s="202">
        <v>3600</v>
      </c>
      <c r="BN100" s="202">
        <v>6000</v>
      </c>
      <c r="BO100" s="92">
        <v>3.05</v>
      </c>
      <c r="BP100" s="101" t="str">
        <f>BO$100&amp;TEXT(BQ100,"0000")</f>
        <v>3.050100</v>
      </c>
      <c r="BQ100" s="92">
        <v>100</v>
      </c>
      <c r="BR100" s="92">
        <v>290</v>
      </c>
      <c r="BS100" s="92">
        <v>750</v>
      </c>
      <c r="BT100" s="202">
        <v>1000</v>
      </c>
      <c r="BU100" s="202">
        <v>1500</v>
      </c>
      <c r="BV100" s="202">
        <v>2250</v>
      </c>
      <c r="BW100" s="202">
        <v>3750</v>
      </c>
      <c r="BX100" s="202">
        <v>6250</v>
      </c>
    </row>
    <row r="101" spans="1:76">
      <c r="A101" s="95"/>
      <c r="B101" s="96"/>
      <c r="C101" s="95"/>
      <c r="D101" s="95"/>
      <c r="E101" s="95"/>
      <c r="F101" s="95"/>
      <c r="G101" s="95"/>
      <c r="H101" s="95"/>
      <c r="I101" s="95"/>
      <c r="J101" s="95"/>
      <c r="K101" s="95"/>
      <c r="L101" s="95"/>
      <c r="M101" s="95"/>
      <c r="N101" s="95"/>
      <c r="O101" s="95"/>
      <c r="P101" s="95"/>
      <c r="Q101" s="95"/>
      <c r="R101" s="95"/>
      <c r="S101" s="99" t="s">
        <v>76</v>
      </c>
      <c r="T101" s="204" t="s">
        <v>76</v>
      </c>
      <c r="U101" s="98"/>
      <c r="V101" s="98">
        <f t="shared" si="28"/>
        <v>1000</v>
      </c>
      <c r="W101" s="98">
        <f t="shared" si="28"/>
        <v>1000</v>
      </c>
      <c r="X101" s="98">
        <f t="shared" si="28"/>
        <v>970</v>
      </c>
      <c r="Y101" s="98">
        <f t="shared" si="28"/>
        <v>940</v>
      </c>
      <c r="Z101" s="98">
        <f t="shared" si="28"/>
        <v>885</v>
      </c>
      <c r="AA101" s="98">
        <f t="shared" si="28"/>
        <v>805</v>
      </c>
      <c r="AB101" s="98">
        <f t="shared" si="28"/>
        <v>785</v>
      </c>
      <c r="AC101" s="98">
        <f t="shared" si="28"/>
        <v>755</v>
      </c>
      <c r="AD101" s="98">
        <f t="shared" si="28"/>
        <v>710</v>
      </c>
      <c r="AE101" s="98">
        <f t="shared" si="28"/>
        <v>675</v>
      </c>
      <c r="AF101" s="98">
        <f t="shared" si="29"/>
        <v>650</v>
      </c>
      <c r="AG101" s="98">
        <f t="shared" si="29"/>
        <v>600</v>
      </c>
      <c r="AH101" s="98">
        <f t="shared" si="29"/>
        <v>515</v>
      </c>
      <c r="AI101" s="98">
        <f t="shared" si="29"/>
        <v>355</v>
      </c>
      <c r="AJ101" s="98">
        <f t="shared" si="29"/>
        <v>235</v>
      </c>
      <c r="AK101" s="98">
        <f t="shared" si="29"/>
        <v>145</v>
      </c>
      <c r="AL101" s="98">
        <f t="shared" si="29"/>
        <v>90</v>
      </c>
      <c r="AM101" s="98">
        <f t="shared" si="29"/>
        <v>55</v>
      </c>
      <c r="AN101" s="98">
        <f t="shared" si="29"/>
        <v>0</v>
      </c>
      <c r="AO101" s="98">
        <f t="shared" si="29"/>
        <v>0</v>
      </c>
      <c r="AP101" s="98">
        <f t="shared" si="29"/>
        <v>0</v>
      </c>
      <c r="AQ101" s="98">
        <f t="shared" si="29"/>
        <v>0</v>
      </c>
      <c r="AR101" s="98">
        <f t="shared" si="29"/>
        <v>0</v>
      </c>
      <c r="AS101" s="98">
        <f t="shared" si="29"/>
        <v>0</v>
      </c>
      <c r="AV101" s="101" t="str">
        <f t="shared" ref="AV101:AV123" si="30">AU$100&amp;TEXT(AW101,"0000")</f>
        <v>1.050200</v>
      </c>
      <c r="AW101" s="101">
        <v>200</v>
      </c>
      <c r="AX101" s="92">
        <v>260</v>
      </c>
      <c r="AY101" s="92">
        <v>695</v>
      </c>
      <c r="AZ101" s="92">
        <v>930</v>
      </c>
      <c r="BA101" s="202">
        <v>1395</v>
      </c>
      <c r="BB101" s="202">
        <v>2090</v>
      </c>
      <c r="BC101" s="202">
        <v>3480</v>
      </c>
      <c r="BD101" s="202">
        <v>5805</v>
      </c>
      <c r="BF101" s="101" t="str">
        <f t="shared" ref="BF101:BF123" si="31">BE$100&amp;TEXT(BG101,"0000")</f>
        <v>2.050200</v>
      </c>
      <c r="BG101" s="101">
        <v>200</v>
      </c>
      <c r="BH101" s="92">
        <v>255</v>
      </c>
      <c r="BI101" s="92">
        <v>660</v>
      </c>
      <c r="BJ101" s="92">
        <v>885</v>
      </c>
      <c r="BK101" s="202">
        <v>1325</v>
      </c>
      <c r="BL101" s="202">
        <v>1985</v>
      </c>
      <c r="BM101" s="202">
        <v>3310</v>
      </c>
      <c r="BN101" s="202">
        <v>5520</v>
      </c>
      <c r="BP101" s="101" t="str">
        <f t="shared" ref="BP101:BP123" si="32">BO$100&amp;TEXT(BQ101,"0000")</f>
        <v>3.050200</v>
      </c>
      <c r="BQ101" s="101">
        <v>200</v>
      </c>
      <c r="BR101" s="92">
        <v>260</v>
      </c>
      <c r="BS101" s="92">
        <v>750</v>
      </c>
      <c r="BT101" s="202">
        <v>1000</v>
      </c>
      <c r="BU101" s="202">
        <v>1500</v>
      </c>
      <c r="BV101" s="202">
        <v>2250</v>
      </c>
      <c r="BW101" s="202">
        <v>3750</v>
      </c>
      <c r="BX101" s="202">
        <v>6250</v>
      </c>
    </row>
    <row r="102" spans="1:76">
      <c r="A102" s="95"/>
      <c r="B102" s="96"/>
      <c r="C102" s="95"/>
      <c r="D102" s="95"/>
      <c r="E102" s="95"/>
      <c r="F102" s="95"/>
      <c r="G102" s="95"/>
      <c r="H102" s="95"/>
      <c r="I102" s="95"/>
      <c r="J102" s="95"/>
      <c r="K102" s="95"/>
      <c r="L102" s="95"/>
      <c r="M102" s="95"/>
      <c r="N102" s="95"/>
      <c r="O102" s="95"/>
      <c r="P102" s="95"/>
      <c r="Q102" s="95"/>
      <c r="R102" s="95"/>
      <c r="S102" s="99" t="s">
        <v>187</v>
      </c>
      <c r="T102" s="204" t="s">
        <v>187</v>
      </c>
      <c r="U102" s="98"/>
      <c r="V102" s="98">
        <f t="shared" si="28"/>
        <v>1000</v>
      </c>
      <c r="W102" s="98">
        <f t="shared" si="28"/>
        <v>1000</v>
      </c>
      <c r="X102" s="98">
        <f t="shared" si="28"/>
        <v>970</v>
      </c>
      <c r="Y102" s="98">
        <f t="shared" si="28"/>
        <v>940</v>
      </c>
      <c r="Z102" s="98">
        <f t="shared" si="28"/>
        <v>885</v>
      </c>
      <c r="AA102" s="98">
        <f t="shared" si="28"/>
        <v>805</v>
      </c>
      <c r="AB102" s="98">
        <f t="shared" si="28"/>
        <v>785</v>
      </c>
      <c r="AC102" s="98">
        <f t="shared" si="28"/>
        <v>755</v>
      </c>
      <c r="AD102" s="98">
        <f t="shared" si="28"/>
        <v>710</v>
      </c>
      <c r="AE102" s="98">
        <f t="shared" si="28"/>
        <v>675</v>
      </c>
      <c r="AF102" s="98">
        <f t="shared" si="29"/>
        <v>650</v>
      </c>
      <c r="AG102" s="98">
        <f t="shared" si="29"/>
        <v>600</v>
      </c>
      <c r="AH102" s="98">
        <f t="shared" si="29"/>
        <v>375</v>
      </c>
      <c r="AI102" s="98">
        <f t="shared" si="29"/>
        <v>220</v>
      </c>
      <c r="AJ102" s="98">
        <f t="shared" si="29"/>
        <v>220</v>
      </c>
      <c r="AK102" s="98">
        <f t="shared" si="29"/>
        <v>145</v>
      </c>
      <c r="AL102" s="98">
        <f t="shared" si="29"/>
        <v>110</v>
      </c>
      <c r="AM102" s="98">
        <f t="shared" si="29"/>
        <v>60</v>
      </c>
      <c r="AN102" s="98">
        <f t="shared" si="29"/>
        <v>0</v>
      </c>
      <c r="AO102" s="98">
        <f t="shared" si="29"/>
        <v>0</v>
      </c>
      <c r="AP102" s="98">
        <f t="shared" si="29"/>
        <v>0</v>
      </c>
      <c r="AQ102" s="98">
        <f t="shared" si="29"/>
        <v>0</v>
      </c>
      <c r="AR102" s="98">
        <f t="shared" si="29"/>
        <v>0</v>
      </c>
      <c r="AS102" s="98">
        <f t="shared" si="29"/>
        <v>0</v>
      </c>
      <c r="AV102" s="101" t="str">
        <f t="shared" si="30"/>
        <v>1.050300</v>
      </c>
      <c r="AW102" s="101">
        <v>300</v>
      </c>
      <c r="AX102" s="92">
        <v>230</v>
      </c>
      <c r="AY102" s="92">
        <v>685</v>
      </c>
      <c r="AZ102" s="92">
        <v>915</v>
      </c>
      <c r="BA102" s="202">
        <v>1375</v>
      </c>
      <c r="BB102" s="202">
        <v>2060</v>
      </c>
      <c r="BC102" s="202">
        <v>3435</v>
      </c>
      <c r="BD102" s="202">
        <v>5725</v>
      </c>
      <c r="BF102" s="101" t="str">
        <f t="shared" si="31"/>
        <v>2.050300</v>
      </c>
      <c r="BG102" s="101">
        <v>300</v>
      </c>
      <c r="BH102" s="92">
        <v>230</v>
      </c>
      <c r="BI102" s="92">
        <v>615</v>
      </c>
      <c r="BJ102" s="92">
        <v>820</v>
      </c>
      <c r="BK102" s="202">
        <v>1235</v>
      </c>
      <c r="BL102" s="202">
        <v>1850</v>
      </c>
      <c r="BM102" s="202">
        <v>3085</v>
      </c>
      <c r="BN102" s="202">
        <v>5140</v>
      </c>
      <c r="BP102" s="101" t="str">
        <f t="shared" si="32"/>
        <v>3.050300</v>
      </c>
      <c r="BQ102" s="101">
        <v>300</v>
      </c>
      <c r="BR102" s="92">
        <v>230</v>
      </c>
      <c r="BS102" s="92">
        <v>730</v>
      </c>
      <c r="BT102" s="92">
        <v>970</v>
      </c>
      <c r="BU102" s="202">
        <v>1455</v>
      </c>
      <c r="BV102" s="202">
        <v>2185</v>
      </c>
      <c r="BW102" s="202">
        <v>3640</v>
      </c>
      <c r="BX102" s="202">
        <v>6070</v>
      </c>
    </row>
    <row r="103" spans="1:76">
      <c r="A103" s="95"/>
      <c r="B103" s="96"/>
      <c r="C103" s="95"/>
      <c r="D103" s="95"/>
      <c r="E103" s="95"/>
      <c r="F103" s="95"/>
      <c r="G103" s="95"/>
      <c r="H103" s="95"/>
      <c r="I103" s="95"/>
      <c r="J103" s="95"/>
      <c r="K103" s="95"/>
      <c r="L103" s="95"/>
      <c r="M103" s="95"/>
      <c r="N103" s="95"/>
      <c r="O103" s="95"/>
      <c r="P103" s="95"/>
      <c r="Q103" s="95"/>
      <c r="R103" s="95"/>
      <c r="S103" s="99" t="s">
        <v>77</v>
      </c>
      <c r="T103" s="204" t="s">
        <v>77</v>
      </c>
      <c r="U103" s="98"/>
      <c r="V103" s="98">
        <f t="shared" si="28"/>
        <v>1000</v>
      </c>
      <c r="W103" s="98">
        <f t="shared" si="28"/>
        <v>1000</v>
      </c>
      <c r="X103" s="98">
        <f t="shared" si="28"/>
        <v>970</v>
      </c>
      <c r="Y103" s="98">
        <f t="shared" si="28"/>
        <v>940</v>
      </c>
      <c r="Z103" s="98">
        <f t="shared" si="28"/>
        <v>885</v>
      </c>
      <c r="AA103" s="98">
        <f t="shared" si="28"/>
        <v>805</v>
      </c>
      <c r="AB103" s="98">
        <f t="shared" si="28"/>
        <v>785</v>
      </c>
      <c r="AC103" s="98">
        <f t="shared" si="28"/>
        <v>755</v>
      </c>
      <c r="AD103" s="98">
        <f t="shared" si="28"/>
        <v>710</v>
      </c>
      <c r="AE103" s="98">
        <f t="shared" si="28"/>
        <v>675</v>
      </c>
      <c r="AF103" s="98">
        <f t="shared" si="29"/>
        <v>650</v>
      </c>
      <c r="AG103" s="98">
        <f t="shared" si="29"/>
        <v>500</v>
      </c>
      <c r="AH103" s="98">
        <f t="shared" si="29"/>
        <v>365</v>
      </c>
      <c r="AI103" s="98">
        <f t="shared" si="29"/>
        <v>265</v>
      </c>
      <c r="AJ103" s="98">
        <f t="shared" si="29"/>
        <v>190</v>
      </c>
      <c r="AK103" s="98">
        <f t="shared" si="29"/>
        <v>135</v>
      </c>
      <c r="AL103" s="98">
        <f t="shared" si="29"/>
        <v>80</v>
      </c>
      <c r="AM103" s="98">
        <f t="shared" si="29"/>
        <v>45</v>
      </c>
      <c r="AN103" s="98">
        <f t="shared" si="29"/>
        <v>0</v>
      </c>
      <c r="AO103" s="98">
        <f t="shared" si="29"/>
        <v>0</v>
      </c>
      <c r="AP103" s="98">
        <f t="shared" si="29"/>
        <v>0</v>
      </c>
      <c r="AQ103" s="98">
        <f t="shared" si="29"/>
        <v>0</v>
      </c>
      <c r="AR103" s="98">
        <f t="shared" si="29"/>
        <v>0</v>
      </c>
      <c r="AS103" s="98">
        <f t="shared" si="29"/>
        <v>0</v>
      </c>
      <c r="AV103" s="101" t="str">
        <f t="shared" si="30"/>
        <v>1.050400</v>
      </c>
      <c r="AW103" s="101">
        <v>400</v>
      </c>
      <c r="AX103" s="92">
        <v>200</v>
      </c>
      <c r="AY103" s="92">
        <v>660</v>
      </c>
      <c r="AZ103" s="92">
        <v>885</v>
      </c>
      <c r="BA103" s="202">
        <v>1325</v>
      </c>
      <c r="BB103" s="202">
        <v>1985</v>
      </c>
      <c r="BC103" s="202">
        <v>3310</v>
      </c>
      <c r="BD103" s="202">
        <v>5520</v>
      </c>
      <c r="BF103" s="101" t="str">
        <f t="shared" si="31"/>
        <v>2.050400</v>
      </c>
      <c r="BG103" s="101">
        <v>400</v>
      </c>
      <c r="BH103" s="92">
        <v>200</v>
      </c>
      <c r="BI103" s="92">
        <v>575</v>
      </c>
      <c r="BJ103" s="92">
        <v>770</v>
      </c>
      <c r="BK103" s="202">
        <v>1150</v>
      </c>
      <c r="BL103" s="202">
        <v>1730</v>
      </c>
      <c r="BM103" s="202">
        <v>2880</v>
      </c>
      <c r="BN103" s="202">
        <v>4800</v>
      </c>
      <c r="BP103" s="101" t="str">
        <f t="shared" si="32"/>
        <v>3.050400</v>
      </c>
      <c r="BQ103" s="101">
        <v>400</v>
      </c>
      <c r="BR103" s="92">
        <v>200</v>
      </c>
      <c r="BS103" s="92">
        <v>705</v>
      </c>
      <c r="BT103" s="92">
        <v>940</v>
      </c>
      <c r="BU103" s="202">
        <v>1410</v>
      </c>
      <c r="BV103" s="202">
        <v>2115</v>
      </c>
      <c r="BW103" s="202">
        <v>3530</v>
      </c>
      <c r="BX103" s="202">
        <v>5880</v>
      </c>
    </row>
    <row r="104" spans="1:76">
      <c r="A104" s="95"/>
      <c r="B104" s="96"/>
      <c r="C104" s="95"/>
      <c r="D104" s="95"/>
      <c r="E104" s="95"/>
      <c r="F104" s="95"/>
      <c r="G104" s="95"/>
      <c r="H104" s="95"/>
      <c r="I104" s="95"/>
      <c r="J104" s="95"/>
      <c r="K104" s="95"/>
      <c r="L104" s="95"/>
      <c r="M104" s="95"/>
      <c r="N104" s="95"/>
      <c r="O104" s="95"/>
      <c r="P104" s="95"/>
      <c r="Q104" s="95"/>
      <c r="R104" s="95"/>
      <c r="S104" s="99" t="s">
        <v>78</v>
      </c>
      <c r="T104" s="204" t="s">
        <v>78</v>
      </c>
      <c r="U104" s="98"/>
      <c r="V104" s="98">
        <f t="shared" si="28"/>
        <v>1000</v>
      </c>
      <c r="W104" s="98">
        <f t="shared" si="28"/>
        <v>1000</v>
      </c>
      <c r="X104" s="98">
        <f t="shared" si="28"/>
        <v>970</v>
      </c>
      <c r="Y104" s="98">
        <f t="shared" si="28"/>
        <v>940</v>
      </c>
      <c r="Z104" s="98">
        <f t="shared" si="28"/>
        <v>885</v>
      </c>
      <c r="AA104" s="98">
        <f t="shared" si="28"/>
        <v>805</v>
      </c>
      <c r="AB104" s="98">
        <f t="shared" si="28"/>
        <v>785</v>
      </c>
      <c r="AC104" s="98">
        <f t="shared" si="28"/>
        <v>755</v>
      </c>
      <c r="AD104" s="98">
        <f t="shared" si="28"/>
        <v>710</v>
      </c>
      <c r="AE104" s="98">
        <f t="shared" si="28"/>
        <v>675</v>
      </c>
      <c r="AF104" s="98">
        <f t="shared" si="29"/>
        <v>650</v>
      </c>
      <c r="AG104" s="98">
        <f t="shared" si="29"/>
        <v>600</v>
      </c>
      <c r="AH104" s="98">
        <f t="shared" si="29"/>
        <v>505</v>
      </c>
      <c r="AI104" s="98">
        <f t="shared" si="29"/>
        <v>340</v>
      </c>
      <c r="AJ104" s="98">
        <f t="shared" si="29"/>
        <v>230</v>
      </c>
      <c r="AK104" s="98">
        <f t="shared" si="29"/>
        <v>150</v>
      </c>
      <c r="AL104" s="98">
        <f t="shared" si="29"/>
        <v>100</v>
      </c>
      <c r="AM104" s="98">
        <f t="shared" si="29"/>
        <v>70</v>
      </c>
      <c r="AN104" s="98">
        <f t="shared" si="29"/>
        <v>0</v>
      </c>
      <c r="AO104" s="98">
        <f t="shared" si="29"/>
        <v>0</v>
      </c>
      <c r="AP104" s="98">
        <f t="shared" si="29"/>
        <v>0</v>
      </c>
      <c r="AQ104" s="98">
        <f t="shared" si="29"/>
        <v>0</v>
      </c>
      <c r="AR104" s="98">
        <f t="shared" si="29"/>
        <v>0</v>
      </c>
      <c r="AS104" s="98">
        <f t="shared" si="29"/>
        <v>0</v>
      </c>
      <c r="AV104" s="101" t="str">
        <f t="shared" si="30"/>
        <v>1.050500</v>
      </c>
      <c r="AW104" s="101">
        <v>500</v>
      </c>
      <c r="AX104" s="92">
        <v>170</v>
      </c>
      <c r="AY104" s="92">
        <v>640</v>
      </c>
      <c r="AZ104" s="92">
        <v>855</v>
      </c>
      <c r="BA104" s="202">
        <v>1285</v>
      </c>
      <c r="BB104" s="202">
        <v>1925</v>
      </c>
      <c r="BC104" s="202">
        <v>3210</v>
      </c>
      <c r="BD104" s="202">
        <v>5350</v>
      </c>
      <c r="BF104" s="101" t="str">
        <f t="shared" si="31"/>
        <v>2.050500</v>
      </c>
      <c r="BG104" s="101">
        <v>500</v>
      </c>
      <c r="BH104" s="92">
        <v>170</v>
      </c>
      <c r="BI104" s="92">
        <v>540</v>
      </c>
      <c r="BJ104" s="92">
        <v>725</v>
      </c>
      <c r="BK104" s="202">
        <v>1085</v>
      </c>
      <c r="BL104" s="202">
        <v>1625</v>
      </c>
      <c r="BM104" s="202">
        <v>2710</v>
      </c>
      <c r="BN104" s="202">
        <v>4520</v>
      </c>
      <c r="BP104" s="101" t="str">
        <f t="shared" si="32"/>
        <v>3.050500</v>
      </c>
      <c r="BQ104" s="101">
        <v>500</v>
      </c>
      <c r="BR104" s="92">
        <v>170</v>
      </c>
      <c r="BS104" s="92">
        <v>665</v>
      </c>
      <c r="BT104" s="92">
        <v>885</v>
      </c>
      <c r="BU104" s="202">
        <v>1330</v>
      </c>
      <c r="BV104" s="202">
        <v>1995</v>
      </c>
      <c r="BW104" s="202">
        <v>3325</v>
      </c>
      <c r="BX104" s="202">
        <v>5540</v>
      </c>
    </row>
    <row r="105" spans="1:76">
      <c r="A105" s="95"/>
      <c r="B105" s="96"/>
      <c r="C105" s="95"/>
      <c r="D105" s="95"/>
      <c r="E105" s="95"/>
      <c r="F105" s="95"/>
      <c r="G105" s="95"/>
      <c r="H105" s="95"/>
      <c r="I105" s="95"/>
      <c r="J105" s="95"/>
      <c r="K105" s="95"/>
      <c r="L105" s="95"/>
      <c r="M105" s="95"/>
      <c r="N105" s="95"/>
      <c r="O105" s="95"/>
      <c r="P105" s="95"/>
      <c r="Q105" s="95"/>
      <c r="R105" s="95"/>
      <c r="S105" s="99" t="s">
        <v>191</v>
      </c>
      <c r="T105" s="204" t="s">
        <v>191</v>
      </c>
      <c r="U105" s="98"/>
      <c r="V105" s="98">
        <f t="shared" si="28"/>
        <v>1000</v>
      </c>
      <c r="W105" s="98">
        <f t="shared" si="28"/>
        <v>1000</v>
      </c>
      <c r="X105" s="98">
        <f t="shared" si="28"/>
        <v>970</v>
      </c>
      <c r="Y105" s="98">
        <f t="shared" si="28"/>
        <v>940</v>
      </c>
      <c r="Z105" s="98">
        <f t="shared" si="28"/>
        <v>885</v>
      </c>
      <c r="AA105" s="98">
        <f t="shared" si="28"/>
        <v>805</v>
      </c>
      <c r="AB105" s="98">
        <f t="shared" si="28"/>
        <v>785</v>
      </c>
      <c r="AC105" s="98">
        <f t="shared" si="28"/>
        <v>755</v>
      </c>
      <c r="AD105" s="98">
        <f t="shared" si="28"/>
        <v>710</v>
      </c>
      <c r="AE105" s="98">
        <f t="shared" si="28"/>
        <v>675</v>
      </c>
      <c r="AF105" s="98">
        <f t="shared" si="29"/>
        <v>650</v>
      </c>
      <c r="AG105" s="98">
        <f t="shared" si="29"/>
        <v>600</v>
      </c>
      <c r="AH105" s="98">
        <f t="shared" si="29"/>
        <v>515</v>
      </c>
      <c r="AI105" s="98">
        <f t="shared" si="29"/>
        <v>485</v>
      </c>
      <c r="AJ105" s="98">
        <f t="shared" si="29"/>
        <v>480</v>
      </c>
      <c r="AK105" s="98">
        <f t="shared" si="29"/>
        <v>400</v>
      </c>
      <c r="AL105" s="98">
        <f t="shared" si="29"/>
        <v>295</v>
      </c>
      <c r="AM105" s="98">
        <f t="shared" si="29"/>
        <v>190</v>
      </c>
      <c r="AN105" s="98">
        <f t="shared" si="29"/>
        <v>0</v>
      </c>
      <c r="AO105" s="98">
        <f t="shared" si="29"/>
        <v>0</v>
      </c>
      <c r="AP105" s="98">
        <f t="shared" si="29"/>
        <v>0</v>
      </c>
      <c r="AQ105" s="98">
        <f t="shared" si="29"/>
        <v>0</v>
      </c>
      <c r="AR105" s="98">
        <f t="shared" si="29"/>
        <v>0</v>
      </c>
      <c r="AS105" s="98">
        <f t="shared" si="29"/>
        <v>0</v>
      </c>
      <c r="AV105" s="101" t="str">
        <f t="shared" si="30"/>
        <v>1.050600</v>
      </c>
      <c r="AW105" s="101">
        <v>600</v>
      </c>
      <c r="AX105" s="92">
        <v>140</v>
      </c>
      <c r="AY105" s="92">
        <v>605</v>
      </c>
      <c r="AZ105" s="92">
        <v>805</v>
      </c>
      <c r="BA105" s="202">
        <v>1210</v>
      </c>
      <c r="BB105" s="202">
        <v>1815</v>
      </c>
      <c r="BC105" s="202">
        <v>3025</v>
      </c>
      <c r="BD105" s="202">
        <v>5040</v>
      </c>
      <c r="BF105" s="101" t="str">
        <f t="shared" si="31"/>
        <v>2.050600</v>
      </c>
      <c r="BG105" s="101">
        <v>600</v>
      </c>
      <c r="BH105" s="92">
        <v>140</v>
      </c>
      <c r="BI105" s="92">
        <v>515</v>
      </c>
      <c r="BJ105" s="92">
        <v>690</v>
      </c>
      <c r="BK105" s="202">
        <v>1030</v>
      </c>
      <c r="BL105" s="202">
        <v>1550</v>
      </c>
      <c r="BM105" s="202">
        <v>2580</v>
      </c>
      <c r="BN105" s="202">
        <v>4300</v>
      </c>
      <c r="BP105" s="101" t="str">
        <f t="shared" si="32"/>
        <v>3.050600</v>
      </c>
      <c r="BQ105" s="101">
        <v>600</v>
      </c>
      <c r="BR105" s="92">
        <v>140</v>
      </c>
      <c r="BS105" s="92">
        <v>605</v>
      </c>
      <c r="BT105" s="92">
        <v>805</v>
      </c>
      <c r="BU105" s="202">
        <v>1210</v>
      </c>
      <c r="BV105" s="202">
        <v>1815</v>
      </c>
      <c r="BW105" s="202">
        <v>3025</v>
      </c>
      <c r="BX105" s="202">
        <v>5040</v>
      </c>
    </row>
    <row r="106" spans="1:76">
      <c r="A106" s="95"/>
      <c r="B106" s="96"/>
      <c r="C106" s="95"/>
      <c r="D106" s="95"/>
      <c r="E106" s="95"/>
      <c r="F106" s="95"/>
      <c r="G106" s="95"/>
      <c r="H106" s="95"/>
      <c r="I106" s="95"/>
      <c r="J106" s="95"/>
      <c r="K106" s="95"/>
      <c r="L106" s="95"/>
      <c r="M106" s="95"/>
      <c r="N106" s="95"/>
      <c r="O106" s="95"/>
      <c r="P106" s="95"/>
      <c r="Q106" s="95"/>
      <c r="R106" s="95"/>
      <c r="S106" s="99" t="s">
        <v>188</v>
      </c>
      <c r="T106" s="204" t="s">
        <v>188</v>
      </c>
      <c r="U106" s="98"/>
      <c r="V106" s="98">
        <f t="shared" si="28"/>
        <v>1000</v>
      </c>
      <c r="W106" s="98">
        <f t="shared" si="28"/>
        <v>980</v>
      </c>
      <c r="X106" s="98">
        <f t="shared" si="28"/>
        <v>935</v>
      </c>
      <c r="Y106" s="98">
        <f t="shared" si="28"/>
        <v>890</v>
      </c>
      <c r="Z106" s="98">
        <f t="shared" si="28"/>
        <v>860</v>
      </c>
      <c r="AA106" s="98">
        <f t="shared" si="28"/>
        <v>805</v>
      </c>
      <c r="AB106" s="98">
        <f t="shared" si="28"/>
        <v>785</v>
      </c>
      <c r="AC106" s="98">
        <f t="shared" si="28"/>
        <v>755</v>
      </c>
      <c r="AD106" s="98">
        <f t="shared" si="28"/>
        <v>710</v>
      </c>
      <c r="AE106" s="98">
        <f t="shared" si="28"/>
        <v>675</v>
      </c>
      <c r="AF106" s="98">
        <f t="shared" si="29"/>
        <v>650</v>
      </c>
      <c r="AG106" s="98">
        <f t="shared" si="29"/>
        <v>500</v>
      </c>
      <c r="AH106" s="98">
        <f t="shared" si="29"/>
        <v>365</v>
      </c>
      <c r="AI106" s="98">
        <f t="shared" si="29"/>
        <v>265</v>
      </c>
      <c r="AJ106" s="98">
        <f t="shared" si="29"/>
        <v>190</v>
      </c>
      <c r="AK106" s="98">
        <f t="shared" si="29"/>
        <v>130</v>
      </c>
      <c r="AL106" s="98">
        <f t="shared" si="29"/>
        <v>80</v>
      </c>
      <c r="AM106" s="98">
        <f t="shared" si="29"/>
        <v>45</v>
      </c>
      <c r="AN106" s="98">
        <f t="shared" si="29"/>
        <v>0</v>
      </c>
      <c r="AO106" s="98">
        <f t="shared" si="29"/>
        <v>0</v>
      </c>
      <c r="AP106" s="98">
        <f t="shared" si="29"/>
        <v>0</v>
      </c>
      <c r="AQ106" s="98">
        <f t="shared" si="29"/>
        <v>0</v>
      </c>
      <c r="AR106" s="98">
        <f t="shared" si="29"/>
        <v>0</v>
      </c>
      <c r="AS106" s="98">
        <f t="shared" si="29"/>
        <v>0</v>
      </c>
      <c r="AV106" s="101" t="str">
        <f t="shared" si="30"/>
        <v>1.050650</v>
      </c>
      <c r="AW106" s="101">
        <v>650</v>
      </c>
      <c r="AX106" s="92">
        <v>125</v>
      </c>
      <c r="AY106" s="92">
        <v>590</v>
      </c>
      <c r="AZ106" s="92">
        <v>785</v>
      </c>
      <c r="BA106" s="202">
        <v>1175</v>
      </c>
      <c r="BB106" s="202">
        <v>1765</v>
      </c>
      <c r="BC106" s="202">
        <v>2940</v>
      </c>
      <c r="BD106" s="202">
        <v>4905</v>
      </c>
      <c r="BF106" s="101" t="str">
        <f t="shared" si="31"/>
        <v>2.050650</v>
      </c>
      <c r="BG106" s="101">
        <v>650</v>
      </c>
      <c r="BH106" s="92">
        <v>125</v>
      </c>
      <c r="BI106" s="92">
        <v>505</v>
      </c>
      <c r="BJ106" s="92">
        <v>675</v>
      </c>
      <c r="BK106" s="202">
        <v>1015</v>
      </c>
      <c r="BL106" s="202">
        <v>1520</v>
      </c>
      <c r="BM106" s="202">
        <v>2530</v>
      </c>
      <c r="BN106" s="202">
        <v>4220</v>
      </c>
      <c r="BP106" s="101" t="str">
        <f t="shared" si="32"/>
        <v>3.050650</v>
      </c>
      <c r="BQ106" s="101">
        <v>650</v>
      </c>
      <c r="BR106" s="92">
        <v>125</v>
      </c>
      <c r="BS106" s="92">
        <v>590</v>
      </c>
      <c r="BT106" s="92">
        <v>785</v>
      </c>
      <c r="BU106" s="202">
        <v>1175</v>
      </c>
      <c r="BV106" s="202">
        <v>1765</v>
      </c>
      <c r="BW106" s="202">
        <v>2940</v>
      </c>
      <c r="BX106" s="202">
        <v>4905</v>
      </c>
    </row>
    <row r="107" spans="1:76">
      <c r="A107" s="95"/>
      <c r="B107" s="96"/>
      <c r="C107" s="95"/>
      <c r="D107" s="95"/>
      <c r="E107" s="95"/>
      <c r="F107" s="95"/>
      <c r="G107" s="95"/>
      <c r="H107" s="95"/>
      <c r="I107" s="95"/>
      <c r="J107" s="95"/>
      <c r="K107" s="95"/>
      <c r="L107" s="95"/>
      <c r="M107" s="95"/>
      <c r="N107" s="95"/>
      <c r="O107" s="95"/>
      <c r="P107" s="95"/>
      <c r="Q107" s="95"/>
      <c r="R107" s="95"/>
      <c r="S107" s="99" t="s">
        <v>189</v>
      </c>
      <c r="T107" s="204" t="s">
        <v>189</v>
      </c>
      <c r="U107" s="98"/>
      <c r="V107" s="98">
        <f t="shared" si="28"/>
        <v>1000</v>
      </c>
      <c r="W107" s="98">
        <f t="shared" si="28"/>
        <v>1000</v>
      </c>
      <c r="X107" s="98">
        <f t="shared" si="28"/>
        <v>970</v>
      </c>
      <c r="Y107" s="98">
        <f t="shared" si="28"/>
        <v>940</v>
      </c>
      <c r="Z107" s="98">
        <f t="shared" si="28"/>
        <v>885</v>
      </c>
      <c r="AA107" s="98">
        <f t="shared" si="28"/>
        <v>805</v>
      </c>
      <c r="AB107" s="98">
        <f t="shared" si="28"/>
        <v>785</v>
      </c>
      <c r="AC107" s="98">
        <f t="shared" si="28"/>
        <v>755</v>
      </c>
      <c r="AD107" s="98">
        <f t="shared" si="28"/>
        <v>710</v>
      </c>
      <c r="AE107" s="98">
        <f t="shared" si="28"/>
        <v>675</v>
      </c>
      <c r="AF107" s="98">
        <f t="shared" si="29"/>
        <v>650</v>
      </c>
      <c r="AG107" s="98">
        <f t="shared" si="29"/>
        <v>600</v>
      </c>
      <c r="AH107" s="98">
        <f t="shared" si="29"/>
        <v>515</v>
      </c>
      <c r="AI107" s="98">
        <f t="shared" si="29"/>
        <v>485</v>
      </c>
      <c r="AJ107" s="98">
        <f t="shared" si="29"/>
        <v>480</v>
      </c>
      <c r="AK107" s="98">
        <f t="shared" si="29"/>
        <v>430</v>
      </c>
      <c r="AL107" s="98">
        <f t="shared" si="29"/>
        <v>365</v>
      </c>
      <c r="AM107" s="98">
        <f t="shared" si="29"/>
        <v>275</v>
      </c>
      <c r="AN107" s="98">
        <f t="shared" si="29"/>
        <v>0</v>
      </c>
      <c r="AO107" s="98">
        <f t="shared" si="29"/>
        <v>0</v>
      </c>
      <c r="AP107" s="98">
        <f t="shared" si="29"/>
        <v>0</v>
      </c>
      <c r="AQ107" s="98">
        <f t="shared" si="29"/>
        <v>0</v>
      </c>
      <c r="AR107" s="98">
        <f t="shared" si="29"/>
        <v>0</v>
      </c>
      <c r="AS107" s="98">
        <f t="shared" si="29"/>
        <v>0</v>
      </c>
      <c r="AV107" s="101" t="str">
        <f t="shared" si="30"/>
        <v>1.050700</v>
      </c>
      <c r="AW107" s="101">
        <v>700</v>
      </c>
      <c r="AX107" s="92">
        <v>110</v>
      </c>
      <c r="AY107" s="92">
        <v>570</v>
      </c>
      <c r="AZ107" s="92">
        <v>755</v>
      </c>
      <c r="BA107" s="202">
        <v>1135</v>
      </c>
      <c r="BB107" s="202">
        <v>1705</v>
      </c>
      <c r="BC107" s="202">
        <v>2840</v>
      </c>
      <c r="BD107" s="202">
        <v>4730</v>
      </c>
      <c r="BF107" s="101" t="str">
        <f t="shared" si="31"/>
        <v>2.050700</v>
      </c>
      <c r="BG107" s="101">
        <v>700</v>
      </c>
      <c r="BH107" s="92">
        <v>110</v>
      </c>
      <c r="BI107" s="92">
        <v>495</v>
      </c>
      <c r="BJ107" s="92">
        <v>660</v>
      </c>
      <c r="BK107" s="92">
        <v>995</v>
      </c>
      <c r="BL107" s="202">
        <v>1490</v>
      </c>
      <c r="BM107" s="202">
        <v>2485</v>
      </c>
      <c r="BN107" s="202">
        <v>4140</v>
      </c>
      <c r="BP107" s="101" t="str">
        <f t="shared" si="32"/>
        <v>3.050700</v>
      </c>
      <c r="BQ107" s="101">
        <v>700</v>
      </c>
      <c r="BR107" s="92">
        <v>110</v>
      </c>
      <c r="BS107" s="92">
        <v>570</v>
      </c>
      <c r="BT107" s="92">
        <v>755</v>
      </c>
      <c r="BU107" s="202">
        <v>1135</v>
      </c>
      <c r="BV107" s="202">
        <v>1705</v>
      </c>
      <c r="BW107" s="202">
        <v>2840</v>
      </c>
      <c r="BX107" s="202">
        <v>4730</v>
      </c>
    </row>
    <row r="108" spans="1:76">
      <c r="A108" s="95"/>
      <c r="B108" s="96"/>
      <c r="C108" s="95"/>
      <c r="D108" s="95"/>
      <c r="E108" s="95"/>
      <c r="F108" s="95"/>
      <c r="G108" s="95"/>
      <c r="H108" s="95"/>
      <c r="I108" s="95"/>
      <c r="J108" s="95"/>
      <c r="K108" s="95"/>
      <c r="L108" s="95"/>
      <c r="M108" s="95"/>
      <c r="N108" s="95"/>
      <c r="O108" s="95"/>
      <c r="P108" s="95"/>
      <c r="Q108" s="95"/>
      <c r="R108" s="95"/>
      <c r="S108" s="99" t="s">
        <v>79</v>
      </c>
      <c r="T108" s="204" t="s">
        <v>204</v>
      </c>
      <c r="U108" s="98"/>
      <c r="V108" s="98">
        <f t="shared" ref="V108:AE119" si="33">VLOOKUP($T108&amp;TEXT(V$1,"0000"),$BF$4:$BN$339,5)</f>
        <v>960</v>
      </c>
      <c r="W108" s="98">
        <f t="shared" si="33"/>
        <v>800</v>
      </c>
      <c r="X108" s="98">
        <f t="shared" si="33"/>
        <v>715</v>
      </c>
      <c r="Y108" s="98">
        <f t="shared" si="33"/>
        <v>660</v>
      </c>
      <c r="Z108" s="98">
        <f t="shared" si="33"/>
        <v>620</v>
      </c>
      <c r="AA108" s="98">
        <f t="shared" si="33"/>
        <v>590</v>
      </c>
      <c r="AB108" s="98">
        <f t="shared" si="33"/>
        <v>575</v>
      </c>
      <c r="AC108" s="98">
        <f t="shared" si="33"/>
        <v>565</v>
      </c>
      <c r="AD108" s="98">
        <f t="shared" si="33"/>
        <v>550</v>
      </c>
      <c r="AE108" s="98">
        <f t="shared" si="33"/>
        <v>540</v>
      </c>
      <c r="AF108" s="98">
        <f t="shared" ref="AF108:AS119" si="34">VLOOKUP($T108&amp;TEXT(AF$1,"0000"),$BF$4:$BN$339,5)</f>
        <v>530</v>
      </c>
      <c r="AG108" s="98">
        <f t="shared" si="34"/>
        <v>520</v>
      </c>
      <c r="AH108" s="98">
        <f t="shared" si="34"/>
        <v>510</v>
      </c>
      <c r="AI108" s="98">
        <f t="shared" si="34"/>
        <v>470</v>
      </c>
      <c r="AJ108" s="98">
        <f t="shared" si="34"/>
        <v>435</v>
      </c>
      <c r="AK108" s="98">
        <f t="shared" si="34"/>
        <v>345</v>
      </c>
      <c r="AL108" s="98">
        <f t="shared" si="34"/>
        <v>275</v>
      </c>
      <c r="AM108" s="98">
        <f t="shared" si="34"/>
        <v>220</v>
      </c>
      <c r="AN108" s="98">
        <f t="shared" si="34"/>
        <v>180</v>
      </c>
      <c r="AO108" s="98">
        <f t="shared" si="34"/>
        <v>150</v>
      </c>
      <c r="AP108" s="98">
        <f t="shared" si="34"/>
        <v>125</v>
      </c>
      <c r="AQ108" s="98">
        <f t="shared" si="34"/>
        <v>100</v>
      </c>
      <c r="AR108" s="98">
        <f t="shared" si="34"/>
        <v>80</v>
      </c>
      <c r="AS108" s="98">
        <f t="shared" si="34"/>
        <v>55</v>
      </c>
      <c r="AV108" s="101" t="str">
        <f t="shared" si="30"/>
        <v>1.050750</v>
      </c>
      <c r="AW108" s="101">
        <v>750</v>
      </c>
      <c r="AX108" s="92">
        <v>95</v>
      </c>
      <c r="AY108" s="92">
        <v>530</v>
      </c>
      <c r="AZ108" s="92">
        <v>710</v>
      </c>
      <c r="BA108" s="202">
        <v>1065</v>
      </c>
      <c r="BB108" s="202">
        <v>1595</v>
      </c>
      <c r="BC108" s="202">
        <v>2660</v>
      </c>
      <c r="BD108" s="202">
        <v>4430</v>
      </c>
      <c r="BF108" s="101" t="str">
        <f t="shared" si="31"/>
        <v>2.050750</v>
      </c>
      <c r="BG108" s="101">
        <v>750</v>
      </c>
      <c r="BH108" s="92">
        <v>95</v>
      </c>
      <c r="BI108" s="92">
        <v>490</v>
      </c>
      <c r="BJ108" s="92">
        <v>655</v>
      </c>
      <c r="BK108" s="92">
        <v>985</v>
      </c>
      <c r="BL108" s="202">
        <v>1475</v>
      </c>
      <c r="BM108" s="202">
        <v>2460</v>
      </c>
      <c r="BN108" s="202">
        <v>4100</v>
      </c>
      <c r="BP108" s="101" t="str">
        <f t="shared" si="32"/>
        <v>3.050750</v>
      </c>
      <c r="BQ108" s="101">
        <v>750</v>
      </c>
      <c r="BR108" s="92">
        <v>95</v>
      </c>
      <c r="BS108" s="92">
        <v>530</v>
      </c>
      <c r="BT108" s="92">
        <v>710</v>
      </c>
      <c r="BU108" s="202">
        <v>1065</v>
      </c>
      <c r="BV108" s="202">
        <v>1595</v>
      </c>
      <c r="BW108" s="202">
        <v>2660</v>
      </c>
      <c r="BX108" s="202">
        <v>4430</v>
      </c>
    </row>
    <row r="109" spans="1:76">
      <c r="A109" s="95"/>
      <c r="B109" s="96"/>
      <c r="C109" s="95"/>
      <c r="D109" s="95"/>
      <c r="E109" s="95"/>
      <c r="F109" s="95"/>
      <c r="G109" s="95"/>
      <c r="H109" s="95"/>
      <c r="I109" s="95"/>
      <c r="J109" s="95"/>
      <c r="K109" s="95"/>
      <c r="L109" s="95"/>
      <c r="M109" s="95"/>
      <c r="N109" s="95"/>
      <c r="O109" s="95"/>
      <c r="P109" s="95"/>
      <c r="Q109" s="95"/>
      <c r="R109" s="95"/>
      <c r="S109" s="99" t="s">
        <v>80</v>
      </c>
      <c r="T109" s="204" t="s">
        <v>205</v>
      </c>
      <c r="U109" s="98"/>
      <c r="V109" s="98">
        <f t="shared" si="33"/>
        <v>960</v>
      </c>
      <c r="W109" s="98">
        <f t="shared" si="33"/>
        <v>825</v>
      </c>
      <c r="X109" s="98">
        <f t="shared" si="33"/>
        <v>745</v>
      </c>
      <c r="Y109" s="98">
        <f t="shared" si="33"/>
        <v>685</v>
      </c>
      <c r="Z109" s="98">
        <f t="shared" si="33"/>
        <v>635</v>
      </c>
      <c r="AA109" s="98">
        <f t="shared" si="33"/>
        <v>600</v>
      </c>
      <c r="AB109" s="98">
        <f t="shared" si="33"/>
        <v>590</v>
      </c>
      <c r="AC109" s="98">
        <f t="shared" si="33"/>
        <v>580</v>
      </c>
      <c r="AD109" s="98">
        <f t="shared" si="33"/>
        <v>570</v>
      </c>
      <c r="AE109" s="98">
        <f t="shared" si="33"/>
        <v>565</v>
      </c>
      <c r="AF109" s="98">
        <f t="shared" si="34"/>
        <v>555</v>
      </c>
      <c r="AG109" s="98">
        <f t="shared" si="34"/>
        <v>555</v>
      </c>
      <c r="AH109" s="98">
        <f t="shared" si="34"/>
        <v>515</v>
      </c>
      <c r="AI109" s="98">
        <f t="shared" si="34"/>
        <v>485</v>
      </c>
      <c r="AJ109" s="98">
        <f t="shared" si="34"/>
        <v>480</v>
      </c>
      <c r="AK109" s="98">
        <f t="shared" si="34"/>
        <v>405</v>
      </c>
      <c r="AL109" s="98">
        <f t="shared" si="34"/>
        <v>315</v>
      </c>
      <c r="AM109" s="98">
        <f t="shared" si="34"/>
        <v>245</v>
      </c>
      <c r="AN109" s="98">
        <f t="shared" si="34"/>
        <v>195</v>
      </c>
      <c r="AO109" s="98">
        <f t="shared" si="34"/>
        <v>155</v>
      </c>
      <c r="AP109" s="98">
        <f t="shared" si="34"/>
        <v>130</v>
      </c>
      <c r="AQ109" s="98">
        <f t="shared" si="34"/>
        <v>100</v>
      </c>
      <c r="AR109" s="98">
        <f t="shared" si="34"/>
        <v>80</v>
      </c>
      <c r="AS109" s="98">
        <f t="shared" si="34"/>
        <v>55</v>
      </c>
      <c r="AV109" s="101" t="str">
        <f t="shared" si="30"/>
        <v>1.050800</v>
      </c>
      <c r="AW109" s="101">
        <v>800</v>
      </c>
      <c r="AX109" s="92">
        <v>80</v>
      </c>
      <c r="AY109" s="92">
        <v>510</v>
      </c>
      <c r="AZ109" s="92">
        <v>675</v>
      </c>
      <c r="BA109" s="202">
        <v>1015</v>
      </c>
      <c r="BB109" s="202">
        <v>1525</v>
      </c>
      <c r="BC109" s="202">
        <v>2540</v>
      </c>
      <c r="BD109" s="202">
        <v>4230</v>
      </c>
      <c r="BF109" s="101" t="str">
        <f t="shared" si="31"/>
        <v>2.050800</v>
      </c>
      <c r="BG109" s="101">
        <v>800</v>
      </c>
      <c r="BH109" s="92">
        <v>80</v>
      </c>
      <c r="BI109" s="92">
        <v>485</v>
      </c>
      <c r="BJ109" s="92">
        <v>650</v>
      </c>
      <c r="BK109" s="92">
        <v>975</v>
      </c>
      <c r="BL109" s="202">
        <v>1460</v>
      </c>
      <c r="BM109" s="202">
        <v>2435</v>
      </c>
      <c r="BN109" s="202">
        <v>4060</v>
      </c>
      <c r="BP109" s="101" t="str">
        <f t="shared" si="32"/>
        <v>3.050800</v>
      </c>
      <c r="BQ109" s="101">
        <v>800</v>
      </c>
      <c r="BR109" s="92">
        <v>80</v>
      </c>
      <c r="BS109" s="92">
        <v>510</v>
      </c>
      <c r="BT109" s="92">
        <v>675</v>
      </c>
      <c r="BU109" s="202">
        <v>1015</v>
      </c>
      <c r="BV109" s="202">
        <v>1525</v>
      </c>
      <c r="BW109" s="202">
        <v>2540</v>
      </c>
      <c r="BX109" s="202">
        <v>4230</v>
      </c>
    </row>
    <row r="110" spans="1:76">
      <c r="A110" s="95"/>
      <c r="B110" s="96"/>
      <c r="C110" s="95"/>
      <c r="D110" s="95"/>
      <c r="E110" s="95"/>
      <c r="F110" s="95"/>
      <c r="G110" s="95"/>
      <c r="H110" s="95"/>
      <c r="I110" s="95"/>
      <c r="J110" s="95"/>
      <c r="K110" s="95"/>
      <c r="L110" s="95"/>
      <c r="M110" s="95"/>
      <c r="N110" s="95"/>
      <c r="O110" s="95"/>
      <c r="P110" s="95"/>
      <c r="Q110" s="95"/>
      <c r="R110" s="95"/>
      <c r="S110" s="99" t="s">
        <v>81</v>
      </c>
      <c r="T110" s="204" t="s">
        <v>206</v>
      </c>
      <c r="U110" s="98"/>
      <c r="V110" s="98">
        <f t="shared" si="33"/>
        <v>800</v>
      </c>
      <c r="W110" s="98">
        <f t="shared" si="33"/>
        <v>680</v>
      </c>
      <c r="X110" s="98">
        <f t="shared" si="33"/>
        <v>610</v>
      </c>
      <c r="Y110" s="98">
        <f t="shared" si="33"/>
        <v>560</v>
      </c>
      <c r="Z110" s="98">
        <f t="shared" si="33"/>
        <v>525</v>
      </c>
      <c r="AA110" s="98">
        <f t="shared" si="33"/>
        <v>495</v>
      </c>
      <c r="AB110" s="98">
        <f t="shared" si="33"/>
        <v>485</v>
      </c>
      <c r="AC110" s="98">
        <f t="shared" si="33"/>
        <v>480</v>
      </c>
      <c r="AD110" s="98">
        <f t="shared" si="33"/>
        <v>470</v>
      </c>
      <c r="AE110" s="98">
        <f t="shared" si="33"/>
        <v>460</v>
      </c>
      <c r="AF110" s="98">
        <f t="shared" si="34"/>
        <v>450</v>
      </c>
      <c r="AG110" s="98">
        <f t="shared" si="34"/>
        <v>0</v>
      </c>
      <c r="AH110" s="98">
        <f t="shared" si="34"/>
        <v>0</v>
      </c>
      <c r="AI110" s="98">
        <f t="shared" si="34"/>
        <v>0</v>
      </c>
      <c r="AJ110" s="98">
        <f t="shared" si="34"/>
        <v>0</v>
      </c>
      <c r="AK110" s="98">
        <f t="shared" si="34"/>
        <v>0</v>
      </c>
      <c r="AL110" s="98">
        <f t="shared" si="34"/>
        <v>0</v>
      </c>
      <c r="AM110" s="98">
        <f t="shared" si="34"/>
        <v>0</v>
      </c>
      <c r="AN110" s="98">
        <f t="shared" si="34"/>
        <v>0</v>
      </c>
      <c r="AO110" s="98">
        <f t="shared" si="34"/>
        <v>0</v>
      </c>
      <c r="AP110" s="98">
        <f t="shared" si="34"/>
        <v>0</v>
      </c>
      <c r="AQ110" s="98">
        <f t="shared" si="34"/>
        <v>0</v>
      </c>
      <c r="AR110" s="98">
        <f t="shared" si="34"/>
        <v>0</v>
      </c>
      <c r="AS110" s="98">
        <f t="shared" si="34"/>
        <v>0</v>
      </c>
      <c r="AV110" s="101" t="str">
        <f t="shared" si="30"/>
        <v>1.050850</v>
      </c>
      <c r="AW110" s="101">
        <v>850</v>
      </c>
      <c r="AX110" s="92">
        <v>65</v>
      </c>
      <c r="AY110" s="92">
        <v>485</v>
      </c>
      <c r="AZ110" s="92">
        <v>650</v>
      </c>
      <c r="BA110" s="92">
        <v>975</v>
      </c>
      <c r="BB110" s="202">
        <v>1460</v>
      </c>
      <c r="BC110" s="202">
        <v>2435</v>
      </c>
      <c r="BD110" s="202">
        <v>4060</v>
      </c>
      <c r="BF110" s="101" t="str">
        <f t="shared" si="31"/>
        <v>2.050850</v>
      </c>
      <c r="BG110" s="101">
        <v>850</v>
      </c>
      <c r="BH110" s="92">
        <v>65</v>
      </c>
      <c r="BI110" s="92">
        <v>485</v>
      </c>
      <c r="BJ110" s="92">
        <v>645</v>
      </c>
      <c r="BK110" s="92">
        <v>970</v>
      </c>
      <c r="BL110" s="202">
        <v>1455</v>
      </c>
      <c r="BM110" s="202">
        <v>2425</v>
      </c>
      <c r="BN110" s="202">
        <v>4040</v>
      </c>
      <c r="BP110" s="101" t="str">
        <f t="shared" si="32"/>
        <v>3.050850</v>
      </c>
      <c r="BQ110" s="101">
        <v>850</v>
      </c>
      <c r="BR110" s="92">
        <v>65</v>
      </c>
      <c r="BS110" s="92">
        <v>485</v>
      </c>
      <c r="BT110" s="92">
        <v>650</v>
      </c>
      <c r="BU110" s="92">
        <v>975</v>
      </c>
      <c r="BV110" s="202">
        <v>1460</v>
      </c>
      <c r="BW110" s="202">
        <v>2435</v>
      </c>
      <c r="BX110" s="202">
        <v>4060</v>
      </c>
    </row>
    <row r="111" spans="1:76">
      <c r="A111" s="95"/>
      <c r="B111" s="96"/>
      <c r="C111" s="95"/>
      <c r="D111" s="95"/>
      <c r="E111" s="95"/>
      <c r="F111" s="95"/>
      <c r="G111" s="95"/>
      <c r="H111" s="95"/>
      <c r="I111" s="95"/>
      <c r="J111" s="95"/>
      <c r="K111" s="95"/>
      <c r="L111" s="95"/>
      <c r="M111" s="95"/>
      <c r="N111" s="95"/>
      <c r="O111" s="95"/>
      <c r="P111" s="95"/>
      <c r="Q111" s="95"/>
      <c r="R111" s="95"/>
      <c r="S111" s="99" t="s">
        <v>82</v>
      </c>
      <c r="T111" s="204" t="s">
        <v>207</v>
      </c>
      <c r="U111" s="98"/>
      <c r="V111" s="98">
        <f t="shared" si="33"/>
        <v>960</v>
      </c>
      <c r="W111" s="98">
        <f t="shared" si="33"/>
        <v>865</v>
      </c>
      <c r="X111" s="98">
        <f t="shared" si="33"/>
        <v>795</v>
      </c>
      <c r="Y111" s="98">
        <f t="shared" si="33"/>
        <v>735</v>
      </c>
      <c r="Z111" s="98">
        <f t="shared" si="33"/>
        <v>690</v>
      </c>
      <c r="AA111" s="98">
        <f t="shared" si="33"/>
        <v>650</v>
      </c>
      <c r="AB111" s="98">
        <f t="shared" si="33"/>
        <v>635</v>
      </c>
      <c r="AC111" s="98">
        <f t="shared" si="33"/>
        <v>620</v>
      </c>
      <c r="AD111" s="98">
        <f t="shared" si="33"/>
        <v>610</v>
      </c>
      <c r="AE111" s="98">
        <f t="shared" si="33"/>
        <v>600</v>
      </c>
      <c r="AF111" s="98">
        <f t="shared" si="34"/>
        <v>595</v>
      </c>
      <c r="AG111" s="98">
        <f t="shared" si="34"/>
        <v>590</v>
      </c>
      <c r="AH111" s="98">
        <f t="shared" si="34"/>
        <v>515</v>
      </c>
      <c r="AI111" s="98">
        <f t="shared" si="34"/>
        <v>485</v>
      </c>
      <c r="AJ111" s="98">
        <f t="shared" si="34"/>
        <v>480</v>
      </c>
      <c r="AK111" s="98">
        <f t="shared" si="34"/>
        <v>415</v>
      </c>
      <c r="AL111" s="98">
        <f t="shared" si="34"/>
        <v>315</v>
      </c>
      <c r="AM111" s="98">
        <f t="shared" si="34"/>
        <v>245</v>
      </c>
      <c r="AN111" s="98">
        <f t="shared" si="34"/>
        <v>185</v>
      </c>
      <c r="AO111" s="98">
        <f t="shared" si="34"/>
        <v>145</v>
      </c>
      <c r="AP111" s="98">
        <f t="shared" si="34"/>
        <v>115</v>
      </c>
      <c r="AQ111" s="98">
        <f t="shared" si="34"/>
        <v>85</v>
      </c>
      <c r="AR111" s="98">
        <f t="shared" si="34"/>
        <v>70</v>
      </c>
      <c r="AS111" s="98">
        <f t="shared" si="34"/>
        <v>50</v>
      </c>
      <c r="AV111" s="101" t="str">
        <f t="shared" si="30"/>
        <v>1.050900</v>
      </c>
      <c r="AW111" s="101">
        <v>900</v>
      </c>
      <c r="AX111" s="92">
        <v>50</v>
      </c>
      <c r="AY111" s="92">
        <v>450</v>
      </c>
      <c r="AZ111" s="92">
        <v>600</v>
      </c>
      <c r="BA111" s="92">
        <v>900</v>
      </c>
      <c r="BB111" s="202">
        <v>1350</v>
      </c>
      <c r="BC111" s="202">
        <v>2245</v>
      </c>
      <c r="BD111" s="202">
        <v>3745</v>
      </c>
      <c r="BF111" s="101" t="str">
        <f t="shared" si="31"/>
        <v>2.050900</v>
      </c>
      <c r="BG111" s="101">
        <v>900</v>
      </c>
      <c r="BH111" s="92">
        <v>50</v>
      </c>
      <c r="BI111" s="92">
        <v>450</v>
      </c>
      <c r="BJ111" s="92">
        <v>600</v>
      </c>
      <c r="BK111" s="92">
        <v>900</v>
      </c>
      <c r="BL111" s="202">
        <v>1350</v>
      </c>
      <c r="BM111" s="202">
        <v>2245</v>
      </c>
      <c r="BN111" s="202">
        <v>3745</v>
      </c>
      <c r="BP111" s="101" t="str">
        <f t="shared" si="32"/>
        <v>3.050900</v>
      </c>
      <c r="BQ111" s="101">
        <v>900</v>
      </c>
      <c r="BR111" s="92">
        <v>50</v>
      </c>
      <c r="BS111" s="92">
        <v>450</v>
      </c>
      <c r="BT111" s="92">
        <v>600</v>
      </c>
      <c r="BU111" s="92">
        <v>900</v>
      </c>
      <c r="BV111" s="202">
        <v>1350</v>
      </c>
      <c r="BW111" s="202">
        <v>2245</v>
      </c>
      <c r="BX111" s="202">
        <v>3745</v>
      </c>
    </row>
    <row r="112" spans="1:76">
      <c r="A112" s="95"/>
      <c r="B112" s="96"/>
      <c r="C112" s="95"/>
      <c r="D112" s="95"/>
      <c r="E112" s="95"/>
      <c r="F112" s="95"/>
      <c r="G112" s="95"/>
      <c r="H112" s="95"/>
      <c r="I112" s="95"/>
      <c r="J112" s="95"/>
      <c r="K112" s="95"/>
      <c r="L112" s="95"/>
      <c r="M112" s="95"/>
      <c r="N112" s="95"/>
      <c r="O112" s="95"/>
      <c r="P112" s="95"/>
      <c r="Q112" s="95"/>
      <c r="R112" s="95"/>
      <c r="S112" s="99" t="s">
        <v>83</v>
      </c>
      <c r="T112" s="204" t="s">
        <v>208</v>
      </c>
      <c r="U112" s="98"/>
      <c r="V112" s="98">
        <f t="shared" si="33"/>
        <v>960</v>
      </c>
      <c r="W112" s="98">
        <f t="shared" si="33"/>
        <v>885</v>
      </c>
      <c r="X112" s="98">
        <f t="shared" si="33"/>
        <v>820</v>
      </c>
      <c r="Y112" s="98">
        <f t="shared" si="33"/>
        <v>770</v>
      </c>
      <c r="Z112" s="98">
        <f t="shared" si="33"/>
        <v>725</v>
      </c>
      <c r="AA112" s="98">
        <f t="shared" si="33"/>
        <v>690</v>
      </c>
      <c r="AB112" s="98">
        <f t="shared" si="33"/>
        <v>675</v>
      </c>
      <c r="AC112" s="98">
        <f t="shared" si="33"/>
        <v>660</v>
      </c>
      <c r="AD112" s="98">
        <f t="shared" si="33"/>
        <v>655</v>
      </c>
      <c r="AE112" s="98">
        <f t="shared" si="33"/>
        <v>650</v>
      </c>
      <c r="AF112" s="98">
        <f t="shared" si="34"/>
        <v>645</v>
      </c>
      <c r="AG112" s="98">
        <f t="shared" si="34"/>
        <v>600</v>
      </c>
      <c r="AH112" s="98">
        <f t="shared" si="34"/>
        <v>515</v>
      </c>
      <c r="AI112" s="98">
        <f t="shared" si="34"/>
        <v>485</v>
      </c>
      <c r="AJ112" s="98">
        <f t="shared" si="34"/>
        <v>480</v>
      </c>
      <c r="AK112" s="98">
        <f t="shared" si="34"/>
        <v>430</v>
      </c>
      <c r="AL112" s="98">
        <f t="shared" si="34"/>
        <v>365</v>
      </c>
      <c r="AM112" s="98">
        <f t="shared" si="34"/>
        <v>275</v>
      </c>
      <c r="AN112" s="98">
        <f t="shared" si="34"/>
        <v>245</v>
      </c>
      <c r="AO112" s="98">
        <f t="shared" si="34"/>
        <v>185</v>
      </c>
      <c r="AP112" s="98">
        <f t="shared" si="34"/>
        <v>140</v>
      </c>
      <c r="AQ112" s="98">
        <f t="shared" si="34"/>
        <v>100</v>
      </c>
      <c r="AR112" s="98">
        <f t="shared" si="34"/>
        <v>80</v>
      </c>
      <c r="AS112" s="98">
        <f t="shared" si="34"/>
        <v>55</v>
      </c>
      <c r="AV112" s="101" t="str">
        <f t="shared" si="30"/>
        <v>1.050950</v>
      </c>
      <c r="AW112" s="101">
        <v>950</v>
      </c>
      <c r="AX112" s="92">
        <v>35</v>
      </c>
      <c r="AY112" s="92">
        <v>280</v>
      </c>
      <c r="AZ112" s="92">
        <v>375</v>
      </c>
      <c r="BA112" s="92">
        <v>560</v>
      </c>
      <c r="BB112" s="92">
        <v>845</v>
      </c>
      <c r="BC112" s="202">
        <v>1405</v>
      </c>
      <c r="BD112" s="202">
        <v>2345</v>
      </c>
      <c r="BF112" s="101" t="str">
        <f t="shared" si="31"/>
        <v>2.050950</v>
      </c>
      <c r="BG112" s="101">
        <v>950</v>
      </c>
      <c r="BH112" s="92">
        <v>35</v>
      </c>
      <c r="BI112" s="92">
        <v>385</v>
      </c>
      <c r="BJ112" s="92">
        <v>515</v>
      </c>
      <c r="BK112" s="92">
        <v>775</v>
      </c>
      <c r="BL112" s="202">
        <v>1160</v>
      </c>
      <c r="BM112" s="202">
        <v>1930</v>
      </c>
      <c r="BN112" s="202">
        <v>3220</v>
      </c>
      <c r="BP112" s="101" t="str">
        <f t="shared" si="32"/>
        <v>3.050950</v>
      </c>
      <c r="BQ112" s="101">
        <v>950</v>
      </c>
      <c r="BR112" s="92">
        <v>35</v>
      </c>
      <c r="BS112" s="92">
        <v>365</v>
      </c>
      <c r="BT112" s="92">
        <v>485</v>
      </c>
      <c r="BU112" s="92">
        <v>725</v>
      </c>
      <c r="BV112" s="202">
        <v>1090</v>
      </c>
      <c r="BW112" s="202">
        <v>1815</v>
      </c>
      <c r="BX112" s="202">
        <v>3030</v>
      </c>
    </row>
    <row r="113" spans="1:76">
      <c r="A113" s="95"/>
      <c r="B113" s="96"/>
      <c r="C113" s="95"/>
      <c r="D113" s="95"/>
      <c r="E113" s="95"/>
      <c r="F113" s="95"/>
      <c r="G113" s="95"/>
      <c r="H113" s="95"/>
      <c r="I113" s="95"/>
      <c r="J113" s="95"/>
      <c r="K113" s="95"/>
      <c r="L113" s="95"/>
      <c r="M113" s="95"/>
      <c r="N113" s="95"/>
      <c r="O113" s="95"/>
      <c r="P113" s="95"/>
      <c r="Q113" s="95"/>
      <c r="R113" s="95"/>
      <c r="S113" s="99" t="s">
        <v>84</v>
      </c>
      <c r="T113" s="204" t="s">
        <v>209</v>
      </c>
      <c r="U113" s="98"/>
      <c r="V113" s="98">
        <f t="shared" si="33"/>
        <v>960</v>
      </c>
      <c r="W113" s="98">
        <f t="shared" si="33"/>
        <v>840</v>
      </c>
      <c r="X113" s="98">
        <f t="shared" si="33"/>
        <v>775</v>
      </c>
      <c r="Y113" s="98">
        <f t="shared" si="33"/>
        <v>725</v>
      </c>
      <c r="Z113" s="98">
        <f t="shared" si="33"/>
        <v>690</v>
      </c>
      <c r="AA113" s="98">
        <f t="shared" si="33"/>
        <v>665</v>
      </c>
      <c r="AB113" s="98">
        <f t="shared" si="33"/>
        <v>655</v>
      </c>
      <c r="AC113" s="98">
        <f t="shared" si="33"/>
        <v>645</v>
      </c>
      <c r="AD113" s="98">
        <f t="shared" si="33"/>
        <v>640</v>
      </c>
      <c r="AE113" s="98">
        <f t="shared" si="33"/>
        <v>630</v>
      </c>
      <c r="AF113" s="98">
        <f t="shared" si="34"/>
        <v>620</v>
      </c>
      <c r="AG113" s="98">
        <f t="shared" si="34"/>
        <v>600</v>
      </c>
      <c r="AH113" s="98">
        <f t="shared" si="34"/>
        <v>515</v>
      </c>
      <c r="AI113" s="98">
        <f t="shared" si="34"/>
        <v>485</v>
      </c>
      <c r="AJ113" s="98">
        <f t="shared" si="34"/>
        <v>470</v>
      </c>
      <c r="AK113" s="98">
        <f t="shared" si="34"/>
        <v>345</v>
      </c>
      <c r="AL113" s="98">
        <f t="shared" si="34"/>
        <v>250</v>
      </c>
      <c r="AM113" s="98">
        <f t="shared" si="34"/>
        <v>185</v>
      </c>
      <c r="AN113" s="98">
        <f t="shared" si="34"/>
        <v>135</v>
      </c>
      <c r="AO113" s="98">
        <f t="shared" si="34"/>
        <v>100</v>
      </c>
      <c r="AP113" s="98">
        <f t="shared" si="34"/>
        <v>80</v>
      </c>
      <c r="AQ113" s="98">
        <f t="shared" si="34"/>
        <v>60</v>
      </c>
      <c r="AR113" s="98">
        <f t="shared" si="34"/>
        <v>45</v>
      </c>
      <c r="AS113" s="98">
        <f t="shared" si="34"/>
        <v>35</v>
      </c>
      <c r="AV113" s="101" t="str">
        <f t="shared" si="30"/>
        <v>1.051000</v>
      </c>
      <c r="AW113" s="101">
        <v>1000</v>
      </c>
      <c r="AX113" s="92">
        <v>20</v>
      </c>
      <c r="AY113" s="92">
        <v>165</v>
      </c>
      <c r="AZ113" s="92">
        <v>220</v>
      </c>
      <c r="BA113" s="92">
        <v>330</v>
      </c>
      <c r="BB113" s="92">
        <v>495</v>
      </c>
      <c r="BC113" s="92">
        <v>825</v>
      </c>
      <c r="BD113" s="202">
        <v>1370</v>
      </c>
      <c r="BF113" s="101" t="str">
        <f t="shared" si="31"/>
        <v>2.051000</v>
      </c>
      <c r="BG113" s="101">
        <v>1000</v>
      </c>
      <c r="BH113" s="92">
        <v>20</v>
      </c>
      <c r="BI113" s="92">
        <v>365</v>
      </c>
      <c r="BJ113" s="92">
        <v>485</v>
      </c>
      <c r="BK113" s="92">
        <v>725</v>
      </c>
      <c r="BL113" s="202">
        <v>1090</v>
      </c>
      <c r="BM113" s="202">
        <v>1820</v>
      </c>
      <c r="BN113" s="202">
        <v>3030</v>
      </c>
      <c r="BP113" s="101" t="str">
        <f t="shared" si="32"/>
        <v>3.051000</v>
      </c>
      <c r="BQ113" s="101">
        <v>1000</v>
      </c>
      <c r="BR113" s="92">
        <v>20</v>
      </c>
      <c r="BS113" s="92">
        <v>240</v>
      </c>
      <c r="BT113" s="92">
        <v>320</v>
      </c>
      <c r="BU113" s="92">
        <v>480</v>
      </c>
      <c r="BV113" s="92">
        <v>720</v>
      </c>
      <c r="BW113" s="202">
        <v>1200</v>
      </c>
      <c r="BX113" s="202">
        <v>2000</v>
      </c>
    </row>
    <row r="114" spans="1:76">
      <c r="A114" s="95"/>
      <c r="B114" s="96"/>
      <c r="C114" s="95"/>
      <c r="D114" s="95"/>
      <c r="E114" s="95"/>
      <c r="F114" s="95"/>
      <c r="G114" s="95"/>
      <c r="H114" s="95"/>
      <c r="I114" s="95"/>
      <c r="J114" s="95"/>
      <c r="K114" s="95"/>
      <c r="L114" s="95"/>
      <c r="M114" s="95"/>
      <c r="N114" s="95"/>
      <c r="O114" s="95"/>
      <c r="P114" s="95"/>
      <c r="Q114" s="95"/>
      <c r="R114" s="95"/>
      <c r="S114" s="99" t="s">
        <v>85</v>
      </c>
      <c r="T114" s="204" t="s">
        <v>210</v>
      </c>
      <c r="U114" s="98"/>
      <c r="V114" s="98">
        <f t="shared" si="33"/>
        <v>960</v>
      </c>
      <c r="W114" s="98">
        <f t="shared" si="33"/>
        <v>850</v>
      </c>
      <c r="X114" s="98">
        <f t="shared" si="33"/>
        <v>775</v>
      </c>
      <c r="Y114" s="98">
        <f t="shared" si="33"/>
        <v>725</v>
      </c>
      <c r="Z114" s="98">
        <f t="shared" si="33"/>
        <v>685</v>
      </c>
      <c r="AA114" s="98">
        <f t="shared" si="33"/>
        <v>660</v>
      </c>
      <c r="AB114" s="98">
        <f t="shared" si="33"/>
        <v>645</v>
      </c>
      <c r="AC114" s="98">
        <f t="shared" si="33"/>
        <v>635</v>
      </c>
      <c r="AD114" s="98">
        <f t="shared" si="33"/>
        <v>625</v>
      </c>
      <c r="AE114" s="98">
        <f t="shared" si="33"/>
        <v>620</v>
      </c>
      <c r="AF114" s="98">
        <f t="shared" si="34"/>
        <v>610</v>
      </c>
      <c r="AG114" s="98">
        <f t="shared" si="34"/>
        <v>600</v>
      </c>
      <c r="AH114" s="98">
        <f t="shared" si="34"/>
        <v>515</v>
      </c>
      <c r="AI114" s="98">
        <f t="shared" si="34"/>
        <v>485</v>
      </c>
      <c r="AJ114" s="98">
        <f t="shared" si="34"/>
        <v>470</v>
      </c>
      <c r="AK114" s="98">
        <f t="shared" si="34"/>
        <v>345</v>
      </c>
      <c r="AL114" s="98">
        <f t="shared" si="34"/>
        <v>250</v>
      </c>
      <c r="AM114" s="98">
        <f t="shared" si="34"/>
        <v>185</v>
      </c>
      <c r="AN114" s="98">
        <f t="shared" si="34"/>
        <v>135</v>
      </c>
      <c r="AO114" s="98">
        <f t="shared" si="34"/>
        <v>100</v>
      </c>
      <c r="AP114" s="98">
        <f t="shared" si="34"/>
        <v>80</v>
      </c>
      <c r="AQ114" s="98">
        <f t="shared" si="34"/>
        <v>60</v>
      </c>
      <c r="AR114" s="98">
        <f t="shared" si="34"/>
        <v>45</v>
      </c>
      <c r="AS114" s="98">
        <f t="shared" si="34"/>
        <v>35</v>
      </c>
      <c r="AV114" s="101" t="str">
        <f t="shared" si="30"/>
        <v>1.051050</v>
      </c>
      <c r="AW114" s="101">
        <v>1050</v>
      </c>
      <c r="BF114" s="101" t="str">
        <f t="shared" si="31"/>
        <v>2.051050</v>
      </c>
      <c r="BG114" s="101">
        <v>1050</v>
      </c>
      <c r="BI114" s="92">
        <v>360</v>
      </c>
      <c r="BJ114" s="92">
        <v>480</v>
      </c>
      <c r="BK114" s="92">
        <v>720</v>
      </c>
      <c r="BL114" s="202">
        <v>1080</v>
      </c>
      <c r="BM114" s="202">
        <v>1800</v>
      </c>
      <c r="BN114" s="202">
        <v>3000</v>
      </c>
      <c r="BP114" s="101" t="str">
        <f t="shared" si="32"/>
        <v>3.051050</v>
      </c>
      <c r="BQ114" s="101">
        <v>1050</v>
      </c>
      <c r="BS114" s="92">
        <v>155</v>
      </c>
      <c r="BT114" s="92">
        <v>205</v>
      </c>
      <c r="BU114" s="92">
        <v>310</v>
      </c>
      <c r="BV114" s="92">
        <v>465</v>
      </c>
      <c r="BW114" s="92">
        <v>770</v>
      </c>
      <c r="BX114" s="202">
        <v>1285</v>
      </c>
    </row>
    <row r="115" spans="1:76">
      <c r="A115" s="95"/>
      <c r="B115" s="96"/>
      <c r="C115" s="95"/>
      <c r="D115" s="95"/>
      <c r="E115" s="95"/>
      <c r="F115" s="95"/>
      <c r="G115" s="95"/>
      <c r="H115" s="95"/>
      <c r="I115" s="95"/>
      <c r="J115" s="95"/>
      <c r="K115" s="95"/>
      <c r="L115" s="95"/>
      <c r="M115" s="95"/>
      <c r="N115" s="95"/>
      <c r="O115" s="95"/>
      <c r="P115" s="95"/>
      <c r="Q115" s="95"/>
      <c r="R115" s="95"/>
      <c r="S115" s="99" t="s">
        <v>199</v>
      </c>
      <c r="T115" s="204" t="s">
        <v>211</v>
      </c>
      <c r="U115" s="98"/>
      <c r="V115" s="98">
        <f t="shared" si="33"/>
        <v>1000</v>
      </c>
      <c r="W115" s="98">
        <f t="shared" si="33"/>
        <v>990</v>
      </c>
      <c r="X115" s="98">
        <f t="shared" si="33"/>
        <v>890</v>
      </c>
      <c r="Y115" s="98">
        <f t="shared" si="33"/>
        <v>820</v>
      </c>
      <c r="Z115" s="98">
        <f t="shared" si="33"/>
        <v>775</v>
      </c>
      <c r="AA115" s="98">
        <f t="shared" si="33"/>
        <v>740</v>
      </c>
      <c r="AB115" s="98">
        <f t="shared" si="33"/>
        <v>730</v>
      </c>
      <c r="AC115" s="98">
        <f t="shared" si="33"/>
        <v>725</v>
      </c>
      <c r="AD115" s="98">
        <f t="shared" si="33"/>
        <v>710</v>
      </c>
      <c r="AE115" s="98">
        <f t="shared" si="33"/>
        <v>0</v>
      </c>
      <c r="AF115" s="98">
        <f t="shared" si="34"/>
        <v>0</v>
      </c>
      <c r="AG115" s="98">
        <f t="shared" si="34"/>
        <v>0</v>
      </c>
      <c r="AH115" s="98">
        <f t="shared" si="34"/>
        <v>0</v>
      </c>
      <c r="AI115" s="98">
        <f t="shared" si="34"/>
        <v>0</v>
      </c>
      <c r="AJ115" s="98">
        <f t="shared" si="34"/>
        <v>0</v>
      </c>
      <c r="AK115" s="98">
        <f t="shared" si="34"/>
        <v>0</v>
      </c>
      <c r="AL115" s="98">
        <f t="shared" si="34"/>
        <v>0</v>
      </c>
      <c r="AM115" s="98">
        <f t="shared" si="34"/>
        <v>0</v>
      </c>
      <c r="AN115" s="98">
        <f t="shared" si="34"/>
        <v>0</v>
      </c>
      <c r="AO115" s="98">
        <f t="shared" si="34"/>
        <v>0</v>
      </c>
      <c r="AP115" s="98">
        <f t="shared" si="34"/>
        <v>0</v>
      </c>
      <c r="AQ115" s="98">
        <f t="shared" si="34"/>
        <v>0</v>
      </c>
      <c r="AR115" s="98">
        <f t="shared" si="34"/>
        <v>0</v>
      </c>
      <c r="AS115" s="98">
        <f t="shared" si="34"/>
        <v>0</v>
      </c>
      <c r="AV115" s="101" t="str">
        <f t="shared" si="30"/>
        <v>1.051100</v>
      </c>
      <c r="AW115" s="101">
        <v>1100</v>
      </c>
      <c r="BF115" s="101" t="str">
        <f t="shared" si="31"/>
        <v>2.051100</v>
      </c>
      <c r="BG115" s="101">
        <v>1100</v>
      </c>
      <c r="BI115" s="92">
        <v>325</v>
      </c>
      <c r="BJ115" s="92">
        <v>430</v>
      </c>
      <c r="BK115" s="92">
        <v>645</v>
      </c>
      <c r="BL115" s="92">
        <v>965</v>
      </c>
      <c r="BM115" s="202">
        <v>1610</v>
      </c>
      <c r="BN115" s="202">
        <v>2685</v>
      </c>
      <c r="BP115" s="101" t="str">
        <f t="shared" si="32"/>
        <v>3.051100</v>
      </c>
      <c r="BQ115" s="101">
        <v>1100</v>
      </c>
      <c r="BS115" s="92">
        <v>105</v>
      </c>
      <c r="BT115" s="92">
        <v>135</v>
      </c>
      <c r="BU115" s="92">
        <v>205</v>
      </c>
      <c r="BV115" s="92">
        <v>310</v>
      </c>
      <c r="BW115" s="92">
        <v>515</v>
      </c>
      <c r="BX115" s="92">
        <v>855</v>
      </c>
    </row>
    <row r="116" spans="1:76">
      <c r="A116" s="95"/>
      <c r="B116" s="96"/>
      <c r="C116" s="95"/>
      <c r="D116" s="95"/>
      <c r="E116" s="95"/>
      <c r="F116" s="95"/>
      <c r="G116" s="95"/>
      <c r="H116" s="95"/>
      <c r="I116" s="95"/>
      <c r="J116" s="95"/>
      <c r="K116" s="95"/>
      <c r="L116" s="95"/>
      <c r="M116" s="95"/>
      <c r="N116" s="95"/>
      <c r="O116" s="95"/>
      <c r="P116" s="95"/>
      <c r="Q116" s="95"/>
      <c r="R116" s="95"/>
      <c r="S116" s="99" t="s">
        <v>200</v>
      </c>
      <c r="T116" s="204" t="s">
        <v>212</v>
      </c>
      <c r="U116" s="98"/>
      <c r="V116" s="98">
        <f t="shared" si="33"/>
        <v>960</v>
      </c>
      <c r="W116" s="98">
        <f t="shared" si="33"/>
        <v>840</v>
      </c>
      <c r="X116" s="98">
        <f t="shared" si="33"/>
        <v>775</v>
      </c>
      <c r="Y116" s="98">
        <f t="shared" si="33"/>
        <v>725</v>
      </c>
      <c r="Z116" s="98">
        <f t="shared" si="33"/>
        <v>685</v>
      </c>
      <c r="AA116" s="98">
        <f t="shared" si="33"/>
        <v>660</v>
      </c>
      <c r="AB116" s="98">
        <f t="shared" si="33"/>
        <v>645</v>
      </c>
      <c r="AC116" s="98">
        <f t="shared" si="33"/>
        <v>635</v>
      </c>
      <c r="AD116" s="98">
        <f t="shared" si="33"/>
        <v>625</v>
      </c>
      <c r="AE116" s="98">
        <f t="shared" si="33"/>
        <v>620</v>
      </c>
      <c r="AF116" s="98">
        <f t="shared" si="34"/>
        <v>610</v>
      </c>
      <c r="AG116" s="98">
        <f t="shared" si="34"/>
        <v>600</v>
      </c>
      <c r="AH116" s="98">
        <f t="shared" si="34"/>
        <v>515</v>
      </c>
      <c r="AI116" s="98">
        <f t="shared" si="34"/>
        <v>455</v>
      </c>
      <c r="AJ116" s="98">
        <f t="shared" si="34"/>
        <v>325</v>
      </c>
      <c r="AK116" s="98">
        <f t="shared" si="34"/>
        <v>230</v>
      </c>
      <c r="AL116" s="98">
        <f t="shared" si="34"/>
        <v>165</v>
      </c>
      <c r="AM116" s="98">
        <f t="shared" si="34"/>
        <v>115</v>
      </c>
      <c r="AN116" s="98">
        <f t="shared" si="34"/>
        <v>70</v>
      </c>
      <c r="AO116" s="98">
        <f t="shared" si="34"/>
        <v>35</v>
      </c>
      <c r="AP116" s="98">
        <f t="shared" si="34"/>
        <v>25</v>
      </c>
      <c r="AQ116" s="98">
        <f t="shared" si="34"/>
        <v>20</v>
      </c>
      <c r="AR116" s="98">
        <f t="shared" si="34"/>
        <v>15</v>
      </c>
      <c r="AS116" s="98">
        <f t="shared" si="34"/>
        <v>10</v>
      </c>
      <c r="AV116" s="101" t="str">
        <f t="shared" si="30"/>
        <v>1.051150</v>
      </c>
      <c r="AW116" s="101">
        <v>1150</v>
      </c>
      <c r="BF116" s="101" t="str">
        <f t="shared" si="31"/>
        <v>2.051150</v>
      </c>
      <c r="BG116" s="101">
        <v>1150</v>
      </c>
      <c r="BI116" s="92">
        <v>275</v>
      </c>
      <c r="BJ116" s="92">
        <v>365</v>
      </c>
      <c r="BK116" s="92">
        <v>550</v>
      </c>
      <c r="BL116" s="92">
        <v>825</v>
      </c>
      <c r="BM116" s="202">
        <v>1370</v>
      </c>
      <c r="BN116" s="202">
        <v>2285</v>
      </c>
      <c r="BP116" s="101" t="str">
        <f t="shared" si="32"/>
        <v>3.051150</v>
      </c>
      <c r="BQ116" s="101">
        <v>1150</v>
      </c>
      <c r="BS116" s="92">
        <v>75</v>
      </c>
      <c r="BT116" s="92">
        <v>100</v>
      </c>
      <c r="BU116" s="92">
        <v>150</v>
      </c>
      <c r="BV116" s="92">
        <v>225</v>
      </c>
      <c r="BW116" s="92">
        <v>375</v>
      </c>
      <c r="BX116" s="92">
        <v>630</v>
      </c>
    </row>
    <row r="117" spans="1:76">
      <c r="A117" s="95"/>
      <c r="B117" s="96"/>
      <c r="C117" s="95"/>
      <c r="D117" s="95"/>
      <c r="E117" s="95"/>
      <c r="F117" s="95"/>
      <c r="G117" s="95"/>
      <c r="H117" s="95"/>
      <c r="I117" s="95"/>
      <c r="J117" s="95"/>
      <c r="K117" s="95"/>
      <c r="L117" s="95"/>
      <c r="M117" s="95"/>
      <c r="N117" s="95"/>
      <c r="O117" s="95"/>
      <c r="P117" s="95"/>
      <c r="Q117" s="95"/>
      <c r="R117" s="95"/>
      <c r="S117" s="99" t="s">
        <v>201</v>
      </c>
      <c r="T117" s="204" t="s">
        <v>201</v>
      </c>
      <c r="U117" s="98"/>
      <c r="V117" s="98">
        <f t="shared" si="33"/>
        <v>895</v>
      </c>
      <c r="W117" s="98">
        <f t="shared" si="33"/>
        <v>735</v>
      </c>
      <c r="X117" s="98">
        <f t="shared" si="33"/>
        <v>675</v>
      </c>
      <c r="Y117" s="98">
        <f t="shared" si="33"/>
        <v>645</v>
      </c>
      <c r="Z117" s="98">
        <f t="shared" si="33"/>
        <v>625</v>
      </c>
      <c r="AA117" s="98">
        <f t="shared" si="33"/>
        <v>610</v>
      </c>
      <c r="AB117" s="98">
        <f t="shared" si="33"/>
        <v>595</v>
      </c>
      <c r="AC117" s="98">
        <f t="shared" si="33"/>
        <v>580</v>
      </c>
      <c r="AD117" s="98">
        <f t="shared" si="33"/>
        <v>565</v>
      </c>
      <c r="AE117" s="98">
        <f t="shared" si="33"/>
        <v>545</v>
      </c>
      <c r="AF117" s="98">
        <f t="shared" si="34"/>
        <v>530</v>
      </c>
      <c r="AG117" s="98">
        <f t="shared" si="34"/>
        <v>510</v>
      </c>
      <c r="AH117" s="98">
        <f t="shared" si="34"/>
        <v>495</v>
      </c>
      <c r="AI117" s="98">
        <f t="shared" si="34"/>
        <v>450</v>
      </c>
      <c r="AJ117" s="98">
        <f t="shared" si="34"/>
        <v>390</v>
      </c>
      <c r="AK117" s="98">
        <f t="shared" si="34"/>
        <v>295</v>
      </c>
      <c r="AL117" s="98">
        <f t="shared" si="34"/>
        <v>230</v>
      </c>
      <c r="AM117" s="98">
        <f t="shared" si="34"/>
        <v>175</v>
      </c>
      <c r="AN117" s="98">
        <f t="shared" si="34"/>
        <v>135</v>
      </c>
      <c r="AO117" s="98">
        <f t="shared" si="34"/>
        <v>105</v>
      </c>
      <c r="AP117" s="98">
        <f t="shared" si="34"/>
        <v>80</v>
      </c>
      <c r="AQ117" s="98">
        <f t="shared" si="34"/>
        <v>60</v>
      </c>
      <c r="AR117" s="98">
        <f t="shared" si="34"/>
        <v>40</v>
      </c>
      <c r="AS117" s="98">
        <f t="shared" si="34"/>
        <v>35</v>
      </c>
      <c r="AV117" s="101" t="str">
        <f t="shared" si="30"/>
        <v>1.051200</v>
      </c>
      <c r="AW117" s="101">
        <v>1200</v>
      </c>
      <c r="BF117" s="101" t="str">
        <f t="shared" si="31"/>
        <v>2.051200</v>
      </c>
      <c r="BG117" s="101">
        <v>1200</v>
      </c>
      <c r="BI117" s="92">
        <v>205</v>
      </c>
      <c r="BJ117" s="92">
        <v>275</v>
      </c>
      <c r="BK117" s="92">
        <v>410</v>
      </c>
      <c r="BL117" s="92">
        <v>620</v>
      </c>
      <c r="BM117" s="202">
        <v>1030</v>
      </c>
      <c r="BN117" s="202">
        <v>1715</v>
      </c>
      <c r="BP117" s="101" t="str">
        <f t="shared" si="32"/>
        <v>3.051200</v>
      </c>
      <c r="BQ117" s="101">
        <v>1200</v>
      </c>
      <c r="BS117" s="92">
        <v>70</v>
      </c>
      <c r="BT117" s="92">
        <v>90</v>
      </c>
      <c r="BU117" s="92">
        <v>135</v>
      </c>
      <c r="BV117" s="92">
        <v>205</v>
      </c>
      <c r="BW117" s="92">
        <v>345</v>
      </c>
      <c r="BX117" s="92">
        <v>570</v>
      </c>
    </row>
    <row r="118" spans="1:76">
      <c r="A118" s="95"/>
      <c r="B118" s="96"/>
      <c r="C118" s="95"/>
      <c r="D118" s="95"/>
      <c r="E118" s="95"/>
      <c r="F118" s="95"/>
      <c r="G118" s="95"/>
      <c r="H118" s="95"/>
      <c r="I118" s="95"/>
      <c r="J118" s="95"/>
      <c r="K118" s="95"/>
      <c r="L118" s="95"/>
      <c r="M118" s="95"/>
      <c r="N118" s="95"/>
      <c r="O118" s="95"/>
      <c r="P118" s="95"/>
      <c r="Q118" s="95"/>
      <c r="R118" s="95"/>
      <c r="S118" s="99" t="s">
        <v>202</v>
      </c>
      <c r="T118" s="204" t="s">
        <v>202</v>
      </c>
      <c r="U118" s="98"/>
      <c r="V118" s="98">
        <f t="shared" si="33"/>
        <v>960</v>
      </c>
      <c r="W118" s="98">
        <f t="shared" si="33"/>
        <v>885</v>
      </c>
      <c r="X118" s="98">
        <f t="shared" si="33"/>
        <v>820</v>
      </c>
      <c r="Y118" s="98">
        <f t="shared" si="33"/>
        <v>770</v>
      </c>
      <c r="Z118" s="98">
        <f t="shared" si="33"/>
        <v>725</v>
      </c>
      <c r="AA118" s="98">
        <f t="shared" si="33"/>
        <v>690</v>
      </c>
      <c r="AB118" s="98">
        <f t="shared" si="33"/>
        <v>675</v>
      </c>
      <c r="AC118" s="98">
        <f t="shared" si="33"/>
        <v>660</v>
      </c>
      <c r="AD118" s="98">
        <f t="shared" si="33"/>
        <v>655</v>
      </c>
      <c r="AE118" s="98">
        <f t="shared" si="33"/>
        <v>650</v>
      </c>
      <c r="AF118" s="98">
        <f t="shared" si="34"/>
        <v>645</v>
      </c>
      <c r="AG118" s="98">
        <f t="shared" si="34"/>
        <v>600</v>
      </c>
      <c r="AH118" s="98">
        <f t="shared" si="34"/>
        <v>515</v>
      </c>
      <c r="AI118" s="98">
        <f t="shared" si="34"/>
        <v>485</v>
      </c>
      <c r="AJ118" s="98">
        <f t="shared" si="34"/>
        <v>480</v>
      </c>
      <c r="AK118" s="98">
        <f t="shared" si="34"/>
        <v>415</v>
      </c>
      <c r="AL118" s="98">
        <f t="shared" si="34"/>
        <v>280</v>
      </c>
      <c r="AM118" s="98">
        <f t="shared" si="34"/>
        <v>200</v>
      </c>
      <c r="AN118" s="98">
        <f t="shared" si="34"/>
        <v>150</v>
      </c>
      <c r="AO118" s="98">
        <f t="shared" si="34"/>
        <v>100</v>
      </c>
      <c r="AP118" s="98">
        <f t="shared" si="34"/>
        <v>70</v>
      </c>
      <c r="AQ118" s="98">
        <f t="shared" si="34"/>
        <v>55</v>
      </c>
      <c r="AR118" s="98">
        <f t="shared" si="34"/>
        <v>40</v>
      </c>
      <c r="AS118" s="98">
        <f t="shared" si="34"/>
        <v>35</v>
      </c>
      <c r="AV118" s="101" t="str">
        <f t="shared" si="30"/>
        <v>1.051250</v>
      </c>
      <c r="AW118" s="101">
        <v>1250</v>
      </c>
      <c r="BF118" s="101" t="str">
        <f t="shared" si="31"/>
        <v>2.051250</v>
      </c>
      <c r="BG118" s="101">
        <v>1250</v>
      </c>
      <c r="BI118" s="92">
        <v>180</v>
      </c>
      <c r="BJ118" s="92">
        <v>245</v>
      </c>
      <c r="BK118" s="92">
        <v>365</v>
      </c>
      <c r="BL118" s="92">
        <v>545</v>
      </c>
      <c r="BM118" s="92">
        <v>910</v>
      </c>
      <c r="BN118" s="202">
        <v>1515</v>
      </c>
      <c r="BP118" s="101" t="str">
        <f t="shared" si="32"/>
        <v>3.051250</v>
      </c>
      <c r="BQ118" s="101">
        <v>1250</v>
      </c>
    </row>
    <row r="119" spans="1:76">
      <c r="A119" s="95"/>
      <c r="B119" s="96"/>
      <c r="C119" s="95"/>
      <c r="D119" s="95"/>
      <c r="E119" s="95"/>
      <c r="F119" s="95"/>
      <c r="G119" s="95"/>
      <c r="H119" s="95"/>
      <c r="I119" s="95"/>
      <c r="J119" s="95"/>
      <c r="K119" s="95"/>
      <c r="L119" s="95"/>
      <c r="M119" s="95"/>
      <c r="N119" s="95"/>
      <c r="O119" s="95"/>
      <c r="P119" s="95"/>
      <c r="Q119" s="95"/>
      <c r="R119" s="95"/>
      <c r="S119" s="99" t="s">
        <v>203</v>
      </c>
      <c r="T119" s="204" t="s">
        <v>203</v>
      </c>
      <c r="U119" s="98"/>
      <c r="V119" s="98">
        <f t="shared" si="33"/>
        <v>895</v>
      </c>
      <c r="W119" s="98">
        <f t="shared" si="33"/>
        <v>735</v>
      </c>
      <c r="X119" s="98">
        <f t="shared" si="33"/>
        <v>675</v>
      </c>
      <c r="Y119" s="98">
        <f t="shared" si="33"/>
        <v>645</v>
      </c>
      <c r="Z119" s="98">
        <f t="shared" si="33"/>
        <v>625</v>
      </c>
      <c r="AA119" s="98">
        <f t="shared" si="33"/>
        <v>610</v>
      </c>
      <c r="AB119" s="98">
        <f t="shared" si="33"/>
        <v>595</v>
      </c>
      <c r="AC119" s="98">
        <f t="shared" si="33"/>
        <v>580</v>
      </c>
      <c r="AD119" s="98">
        <f t="shared" si="33"/>
        <v>565</v>
      </c>
      <c r="AE119" s="98">
        <f t="shared" si="33"/>
        <v>545</v>
      </c>
      <c r="AF119" s="98">
        <f t="shared" si="34"/>
        <v>530</v>
      </c>
      <c r="AG119" s="98">
        <f t="shared" si="34"/>
        <v>510</v>
      </c>
      <c r="AH119" s="98">
        <f t="shared" si="34"/>
        <v>495</v>
      </c>
      <c r="AI119" s="98">
        <f t="shared" si="34"/>
        <v>450</v>
      </c>
      <c r="AJ119" s="98">
        <f t="shared" si="34"/>
        <v>435</v>
      </c>
      <c r="AK119" s="98">
        <f t="shared" si="34"/>
        <v>390</v>
      </c>
      <c r="AL119" s="98">
        <f t="shared" si="34"/>
        <v>335</v>
      </c>
      <c r="AM119" s="98">
        <f t="shared" si="34"/>
        <v>275</v>
      </c>
      <c r="AN119" s="98">
        <f t="shared" si="34"/>
        <v>220</v>
      </c>
      <c r="AO119" s="98">
        <f t="shared" si="34"/>
        <v>160</v>
      </c>
      <c r="AP119" s="98">
        <f t="shared" si="34"/>
        <v>110</v>
      </c>
      <c r="AQ119" s="98">
        <f t="shared" si="34"/>
        <v>75</v>
      </c>
      <c r="AR119" s="98">
        <f t="shared" si="34"/>
        <v>50</v>
      </c>
      <c r="AS119" s="98">
        <f t="shared" si="34"/>
        <v>35</v>
      </c>
      <c r="AV119" s="101" t="str">
        <f t="shared" si="30"/>
        <v>1.051300</v>
      </c>
      <c r="AW119" s="101">
        <v>1300</v>
      </c>
      <c r="BF119" s="101" t="str">
        <f t="shared" si="31"/>
        <v>2.051300</v>
      </c>
      <c r="BG119" s="101">
        <v>1300</v>
      </c>
      <c r="BI119" s="92">
        <v>140</v>
      </c>
      <c r="BJ119" s="92">
        <v>185</v>
      </c>
      <c r="BK119" s="92">
        <v>275</v>
      </c>
      <c r="BL119" s="92">
        <v>410</v>
      </c>
      <c r="BM119" s="92">
        <v>685</v>
      </c>
      <c r="BN119" s="202">
        <v>1145</v>
      </c>
      <c r="BP119" s="101" t="str">
        <f t="shared" si="32"/>
        <v>3.051300</v>
      </c>
      <c r="BQ119" s="101">
        <v>1300</v>
      </c>
    </row>
    <row r="120" spans="1:76">
      <c r="A120" s="95"/>
      <c r="B120" s="96"/>
      <c r="C120" s="95"/>
      <c r="D120" s="95"/>
      <c r="E120" s="95"/>
      <c r="F120" s="95"/>
      <c r="G120" s="95"/>
      <c r="H120" s="95"/>
      <c r="I120" s="95"/>
      <c r="J120" s="95"/>
      <c r="K120" s="95"/>
      <c r="L120" s="95"/>
      <c r="M120" s="95"/>
      <c r="N120" s="95"/>
      <c r="O120" s="95"/>
      <c r="P120" s="95"/>
      <c r="Q120" s="95"/>
      <c r="R120" s="95"/>
      <c r="S120" s="99" t="s">
        <v>86</v>
      </c>
      <c r="T120" s="204" t="s">
        <v>215</v>
      </c>
      <c r="U120" s="98"/>
      <c r="V120" s="98">
        <f t="shared" ref="V120:AE129" si="35">VLOOKUP($T120&amp;TEXT(V$1,"0000"),$BP$4:$BX$435,5)</f>
        <v>1000</v>
      </c>
      <c r="W120" s="98">
        <f t="shared" si="35"/>
        <v>990</v>
      </c>
      <c r="X120" s="98">
        <f t="shared" si="35"/>
        <v>945</v>
      </c>
      <c r="Y120" s="98">
        <f t="shared" si="35"/>
        <v>910</v>
      </c>
      <c r="Z120" s="98">
        <f t="shared" si="35"/>
        <v>875</v>
      </c>
      <c r="AA120" s="98">
        <f t="shared" si="35"/>
        <v>805</v>
      </c>
      <c r="AB120" s="98">
        <f t="shared" si="35"/>
        <v>785</v>
      </c>
      <c r="AC120" s="98">
        <f t="shared" si="35"/>
        <v>755</v>
      </c>
      <c r="AD120" s="98">
        <f t="shared" si="35"/>
        <v>710</v>
      </c>
      <c r="AE120" s="98">
        <f t="shared" si="35"/>
        <v>675</v>
      </c>
      <c r="AF120" s="98">
        <f t="shared" ref="AF120:AS129" si="36">VLOOKUP($T120&amp;TEXT(AF$1,"0000"),$BP$4:$BX$435,5)</f>
        <v>0</v>
      </c>
      <c r="AG120" s="98">
        <f t="shared" si="36"/>
        <v>0</v>
      </c>
      <c r="AH120" s="98">
        <f t="shared" si="36"/>
        <v>0</v>
      </c>
      <c r="AI120" s="98">
        <f t="shared" si="36"/>
        <v>0</v>
      </c>
      <c r="AJ120" s="98">
        <f t="shared" si="36"/>
        <v>0</v>
      </c>
      <c r="AK120" s="98">
        <f t="shared" si="36"/>
        <v>0</v>
      </c>
      <c r="AL120" s="98">
        <f t="shared" si="36"/>
        <v>0</v>
      </c>
      <c r="AM120" s="98">
        <f t="shared" si="36"/>
        <v>0</v>
      </c>
      <c r="AN120" s="98">
        <f t="shared" si="36"/>
        <v>0</v>
      </c>
      <c r="AO120" s="98">
        <f t="shared" si="36"/>
        <v>0</v>
      </c>
      <c r="AP120" s="98">
        <f t="shared" si="36"/>
        <v>0</v>
      </c>
      <c r="AQ120" s="98">
        <f t="shared" si="36"/>
        <v>0</v>
      </c>
      <c r="AR120" s="98">
        <f t="shared" si="36"/>
        <v>0</v>
      </c>
      <c r="AS120" s="98">
        <f t="shared" si="36"/>
        <v>0</v>
      </c>
      <c r="AV120" s="101" t="str">
        <f t="shared" si="30"/>
        <v>1.051350</v>
      </c>
      <c r="AW120" s="101">
        <v>1350</v>
      </c>
      <c r="BF120" s="101" t="str">
        <f t="shared" si="31"/>
        <v>2.051350</v>
      </c>
      <c r="BG120" s="101">
        <v>1350</v>
      </c>
      <c r="BI120" s="92">
        <v>105</v>
      </c>
      <c r="BJ120" s="92">
        <v>140</v>
      </c>
      <c r="BK120" s="92">
        <v>205</v>
      </c>
      <c r="BL120" s="92">
        <v>310</v>
      </c>
      <c r="BM120" s="92">
        <v>515</v>
      </c>
      <c r="BN120" s="92">
        <v>860</v>
      </c>
      <c r="BP120" s="101" t="str">
        <f t="shared" si="32"/>
        <v>3.051350</v>
      </c>
      <c r="BQ120" s="101">
        <v>1350</v>
      </c>
    </row>
    <row r="121" spans="1:76">
      <c r="A121" s="95"/>
      <c r="B121" s="96"/>
      <c r="C121" s="95"/>
      <c r="D121" s="95"/>
      <c r="E121" s="95"/>
      <c r="F121" s="95"/>
      <c r="G121" s="95"/>
      <c r="H121" s="95"/>
      <c r="I121" s="95"/>
      <c r="J121" s="95"/>
      <c r="K121" s="95"/>
      <c r="L121" s="95"/>
      <c r="M121" s="95"/>
      <c r="N121" s="95"/>
      <c r="O121" s="95"/>
      <c r="P121" s="95"/>
      <c r="Q121" s="95"/>
      <c r="R121" s="95"/>
      <c r="S121" s="99" t="s">
        <v>87</v>
      </c>
      <c r="T121" s="204" t="s">
        <v>216</v>
      </c>
      <c r="U121" s="98"/>
      <c r="V121" s="98">
        <f t="shared" si="35"/>
        <v>640</v>
      </c>
      <c r="W121" s="98">
        <f t="shared" si="35"/>
        <v>640</v>
      </c>
      <c r="X121" s="98">
        <f t="shared" si="35"/>
        <v>640</v>
      </c>
      <c r="Y121" s="98">
        <f t="shared" si="35"/>
        <v>640</v>
      </c>
      <c r="Z121" s="98">
        <f t="shared" si="35"/>
        <v>605</v>
      </c>
      <c r="AA121" s="98">
        <f t="shared" si="35"/>
        <v>550</v>
      </c>
      <c r="AB121" s="98">
        <f t="shared" si="35"/>
        <v>0</v>
      </c>
      <c r="AC121" s="98">
        <f t="shared" si="35"/>
        <v>0</v>
      </c>
      <c r="AD121" s="98">
        <f t="shared" si="35"/>
        <v>0</v>
      </c>
      <c r="AE121" s="98">
        <f t="shared" si="35"/>
        <v>0</v>
      </c>
      <c r="AF121" s="98">
        <f t="shared" si="36"/>
        <v>0</v>
      </c>
      <c r="AG121" s="98">
        <f t="shared" si="36"/>
        <v>0</v>
      </c>
      <c r="AH121" s="98">
        <f t="shared" si="36"/>
        <v>0</v>
      </c>
      <c r="AI121" s="98">
        <f t="shared" si="36"/>
        <v>0</v>
      </c>
      <c r="AJ121" s="98">
        <f t="shared" si="36"/>
        <v>0</v>
      </c>
      <c r="AK121" s="98">
        <f t="shared" si="36"/>
        <v>0</v>
      </c>
      <c r="AL121" s="98">
        <f t="shared" si="36"/>
        <v>0</v>
      </c>
      <c r="AM121" s="98">
        <f t="shared" si="36"/>
        <v>0</v>
      </c>
      <c r="AN121" s="98">
        <f t="shared" si="36"/>
        <v>0</v>
      </c>
      <c r="AO121" s="98">
        <f t="shared" si="36"/>
        <v>0</v>
      </c>
      <c r="AP121" s="98">
        <f t="shared" si="36"/>
        <v>0</v>
      </c>
      <c r="AQ121" s="98">
        <f t="shared" si="36"/>
        <v>0</v>
      </c>
      <c r="AR121" s="98">
        <f t="shared" si="36"/>
        <v>0</v>
      </c>
      <c r="AS121" s="98">
        <f t="shared" si="36"/>
        <v>0</v>
      </c>
      <c r="AV121" s="101" t="str">
        <f t="shared" si="30"/>
        <v>1.051400</v>
      </c>
      <c r="AW121" s="101">
        <v>1400</v>
      </c>
      <c r="BF121" s="101" t="str">
        <f t="shared" si="31"/>
        <v>2.051400</v>
      </c>
      <c r="BG121" s="101">
        <v>1400</v>
      </c>
      <c r="BI121" s="92">
        <v>75</v>
      </c>
      <c r="BJ121" s="92">
        <v>100</v>
      </c>
      <c r="BK121" s="92">
        <v>150</v>
      </c>
      <c r="BL121" s="92">
        <v>225</v>
      </c>
      <c r="BM121" s="92">
        <v>380</v>
      </c>
      <c r="BN121" s="92">
        <v>630</v>
      </c>
      <c r="BP121" s="101" t="str">
        <f t="shared" si="32"/>
        <v>3.051400</v>
      </c>
      <c r="BQ121" s="101">
        <v>1400</v>
      </c>
    </row>
    <row r="122" spans="1:76">
      <c r="A122" s="95"/>
      <c r="B122" s="96"/>
      <c r="C122" s="95"/>
      <c r="D122" s="95"/>
      <c r="E122" s="95"/>
      <c r="F122" s="95"/>
      <c r="G122" s="95"/>
      <c r="H122" s="95"/>
      <c r="I122" s="95"/>
      <c r="J122" s="95"/>
      <c r="K122" s="95"/>
      <c r="L122" s="95"/>
      <c r="M122" s="95"/>
      <c r="N122" s="95"/>
      <c r="O122" s="95"/>
      <c r="P122" s="95"/>
      <c r="Q122" s="95"/>
      <c r="R122" s="95"/>
      <c r="S122" s="99" t="s">
        <v>88</v>
      </c>
      <c r="T122" s="204" t="s">
        <v>217</v>
      </c>
      <c r="U122" s="98"/>
      <c r="V122" s="98">
        <f t="shared" si="35"/>
        <v>320</v>
      </c>
      <c r="W122" s="98">
        <f t="shared" si="35"/>
        <v>305</v>
      </c>
      <c r="X122" s="98">
        <f t="shared" si="35"/>
        <v>300</v>
      </c>
      <c r="Y122" s="98">
        <f t="shared" si="35"/>
        <v>300</v>
      </c>
      <c r="Z122" s="98">
        <f t="shared" si="35"/>
        <v>300</v>
      </c>
      <c r="AA122" s="98">
        <f t="shared" si="35"/>
        <v>300</v>
      </c>
      <c r="AB122" s="98">
        <f t="shared" si="35"/>
        <v>300</v>
      </c>
      <c r="AC122" s="98">
        <f t="shared" si="35"/>
        <v>300</v>
      </c>
      <c r="AD122" s="98">
        <f t="shared" si="35"/>
        <v>295</v>
      </c>
      <c r="AE122" s="98">
        <f t="shared" si="35"/>
        <v>290</v>
      </c>
      <c r="AF122" s="98">
        <f t="shared" si="36"/>
        <v>280</v>
      </c>
      <c r="AG122" s="98">
        <f t="shared" si="36"/>
        <v>275</v>
      </c>
      <c r="AH122" s="98">
        <f t="shared" si="36"/>
        <v>260</v>
      </c>
      <c r="AI122" s="98">
        <f t="shared" si="36"/>
        <v>255</v>
      </c>
      <c r="AJ122" s="98">
        <f t="shared" si="36"/>
        <v>110</v>
      </c>
      <c r="AK122" s="98">
        <f t="shared" si="36"/>
        <v>90</v>
      </c>
      <c r="AL122" s="98">
        <f t="shared" si="36"/>
        <v>70</v>
      </c>
      <c r="AM122" s="98">
        <f t="shared" si="36"/>
        <v>55</v>
      </c>
      <c r="AN122" s="98">
        <f t="shared" si="36"/>
        <v>0</v>
      </c>
      <c r="AO122" s="98">
        <f t="shared" si="36"/>
        <v>0</v>
      </c>
      <c r="AP122" s="98">
        <f t="shared" si="36"/>
        <v>0</v>
      </c>
      <c r="AQ122" s="98">
        <f t="shared" si="36"/>
        <v>0</v>
      </c>
      <c r="AR122" s="98">
        <f t="shared" si="36"/>
        <v>0</v>
      </c>
      <c r="AS122" s="98">
        <f t="shared" si="36"/>
        <v>0</v>
      </c>
      <c r="AV122" s="101" t="str">
        <f t="shared" si="30"/>
        <v>1.051450</v>
      </c>
      <c r="AW122" s="101">
        <v>1450</v>
      </c>
      <c r="BF122" s="101" t="str">
        <f t="shared" si="31"/>
        <v>2.051450</v>
      </c>
      <c r="BG122" s="101">
        <v>1450</v>
      </c>
      <c r="BI122" s="92">
        <v>60</v>
      </c>
      <c r="BJ122" s="92">
        <v>80</v>
      </c>
      <c r="BK122" s="92">
        <v>115</v>
      </c>
      <c r="BL122" s="92">
        <v>175</v>
      </c>
      <c r="BM122" s="92">
        <v>290</v>
      </c>
      <c r="BN122" s="92">
        <v>485</v>
      </c>
      <c r="BP122" s="101" t="str">
        <f t="shared" si="32"/>
        <v>3.051450</v>
      </c>
      <c r="BQ122" s="101">
        <v>1450</v>
      </c>
    </row>
    <row r="123" spans="1:76">
      <c r="A123" s="95"/>
      <c r="B123" s="96"/>
      <c r="C123" s="95"/>
      <c r="D123" s="95"/>
      <c r="E123" s="95"/>
      <c r="F123" s="95"/>
      <c r="G123" s="95"/>
      <c r="H123" s="95"/>
      <c r="I123" s="95"/>
      <c r="J123" s="95"/>
      <c r="K123" s="95"/>
      <c r="L123" s="95"/>
      <c r="M123" s="95"/>
      <c r="N123" s="95"/>
      <c r="O123" s="95"/>
      <c r="P123" s="95"/>
      <c r="Q123" s="95"/>
      <c r="R123" s="95"/>
      <c r="S123" s="99" t="s">
        <v>89</v>
      </c>
      <c r="T123" s="204" t="s">
        <v>218</v>
      </c>
      <c r="U123" s="98"/>
      <c r="V123" s="98">
        <f t="shared" si="35"/>
        <v>800</v>
      </c>
      <c r="W123" s="98">
        <f t="shared" si="35"/>
        <v>700</v>
      </c>
      <c r="X123" s="98">
        <f t="shared" si="35"/>
        <v>655</v>
      </c>
      <c r="Y123" s="98">
        <f t="shared" si="35"/>
        <v>630</v>
      </c>
      <c r="Z123" s="98">
        <f t="shared" si="35"/>
        <v>630</v>
      </c>
      <c r="AA123" s="98">
        <f t="shared" si="35"/>
        <v>630</v>
      </c>
      <c r="AB123" s="98">
        <f t="shared" si="35"/>
        <v>630</v>
      </c>
      <c r="AC123" s="98">
        <f t="shared" si="35"/>
        <v>625</v>
      </c>
      <c r="AD123" s="98">
        <f t="shared" si="35"/>
        <v>620</v>
      </c>
      <c r="AE123" s="98">
        <f t="shared" si="35"/>
        <v>610</v>
      </c>
      <c r="AF123" s="98">
        <f t="shared" si="36"/>
        <v>505</v>
      </c>
      <c r="AG123" s="98">
        <f t="shared" si="36"/>
        <v>365</v>
      </c>
      <c r="AH123" s="98">
        <f t="shared" si="36"/>
        <v>0</v>
      </c>
      <c r="AI123" s="98">
        <f t="shared" si="36"/>
        <v>0</v>
      </c>
      <c r="AJ123" s="98">
        <f t="shared" si="36"/>
        <v>0</v>
      </c>
      <c r="AK123" s="98">
        <f t="shared" si="36"/>
        <v>0</v>
      </c>
      <c r="AL123" s="98">
        <f t="shared" si="36"/>
        <v>0</v>
      </c>
      <c r="AM123" s="98">
        <f t="shared" si="36"/>
        <v>0</v>
      </c>
      <c r="AN123" s="98">
        <f t="shared" si="36"/>
        <v>0</v>
      </c>
      <c r="AO123" s="98">
        <f t="shared" si="36"/>
        <v>0</v>
      </c>
      <c r="AP123" s="98">
        <f t="shared" si="36"/>
        <v>0</v>
      </c>
      <c r="AQ123" s="98">
        <f t="shared" si="36"/>
        <v>0</v>
      </c>
      <c r="AR123" s="98">
        <f t="shared" si="36"/>
        <v>0</v>
      </c>
      <c r="AS123" s="98">
        <f t="shared" si="36"/>
        <v>0</v>
      </c>
      <c r="AV123" s="101" t="str">
        <f t="shared" si="30"/>
        <v>1.051500</v>
      </c>
      <c r="AW123" s="101">
        <v>1500</v>
      </c>
      <c r="BF123" s="101" t="str">
        <f t="shared" si="31"/>
        <v>2.051500</v>
      </c>
      <c r="BG123" s="101">
        <v>1500</v>
      </c>
      <c r="BI123" s="92">
        <v>40</v>
      </c>
      <c r="BJ123" s="92">
        <v>55</v>
      </c>
      <c r="BK123" s="92">
        <v>85</v>
      </c>
      <c r="BL123" s="92">
        <v>125</v>
      </c>
      <c r="BM123" s="92">
        <v>205</v>
      </c>
      <c r="BN123" s="92">
        <v>345</v>
      </c>
      <c r="BP123" s="101" t="str">
        <f t="shared" si="32"/>
        <v>3.051500</v>
      </c>
      <c r="BQ123" s="101">
        <v>1500</v>
      </c>
    </row>
    <row r="124" spans="1:76">
      <c r="A124" s="95"/>
      <c r="B124" s="96"/>
      <c r="C124" s="95"/>
      <c r="D124" s="95"/>
      <c r="E124" s="95"/>
      <c r="F124" s="95"/>
      <c r="G124" s="95"/>
      <c r="H124" s="95"/>
      <c r="I124" s="95"/>
      <c r="J124" s="95"/>
      <c r="K124" s="95"/>
      <c r="L124" s="95"/>
      <c r="M124" s="95"/>
      <c r="N124" s="95"/>
      <c r="O124" s="95"/>
      <c r="P124" s="95"/>
      <c r="Q124" s="95"/>
      <c r="R124" s="95"/>
      <c r="S124" s="99" t="s">
        <v>90</v>
      </c>
      <c r="T124" s="204" t="s">
        <v>219</v>
      </c>
      <c r="U124" s="98"/>
      <c r="V124" s="98">
        <f t="shared" si="35"/>
        <v>1000</v>
      </c>
      <c r="W124" s="98">
        <f t="shared" si="35"/>
        <v>1000</v>
      </c>
      <c r="X124" s="98">
        <f t="shared" si="35"/>
        <v>970</v>
      </c>
      <c r="Y124" s="98">
        <f t="shared" si="35"/>
        <v>940</v>
      </c>
      <c r="Z124" s="98">
        <f t="shared" si="35"/>
        <v>885</v>
      </c>
      <c r="AA124" s="98">
        <f t="shared" si="35"/>
        <v>805</v>
      </c>
      <c r="AB124" s="98">
        <f t="shared" si="35"/>
        <v>785</v>
      </c>
      <c r="AC124" s="98">
        <f t="shared" si="35"/>
        <v>755</v>
      </c>
      <c r="AD124" s="98">
        <f t="shared" si="35"/>
        <v>710</v>
      </c>
      <c r="AE124" s="98">
        <f t="shared" si="35"/>
        <v>675</v>
      </c>
      <c r="AF124" s="98">
        <f t="shared" si="36"/>
        <v>650</v>
      </c>
      <c r="AG124" s="98">
        <f t="shared" si="36"/>
        <v>600</v>
      </c>
      <c r="AH124" s="98">
        <f t="shared" si="36"/>
        <v>485</v>
      </c>
      <c r="AI124" s="98">
        <f t="shared" si="36"/>
        <v>320</v>
      </c>
      <c r="AJ124" s="98">
        <f t="shared" si="36"/>
        <v>205</v>
      </c>
      <c r="AK124" s="98">
        <f t="shared" si="36"/>
        <v>135</v>
      </c>
      <c r="AL124" s="98">
        <f t="shared" si="36"/>
        <v>100</v>
      </c>
      <c r="AM124" s="98">
        <f t="shared" si="36"/>
        <v>90</v>
      </c>
      <c r="AN124" s="98">
        <f t="shared" si="36"/>
        <v>0</v>
      </c>
      <c r="AO124" s="98">
        <f t="shared" si="36"/>
        <v>0</v>
      </c>
      <c r="AP124" s="98">
        <f t="shared" si="36"/>
        <v>0</v>
      </c>
      <c r="AQ124" s="98">
        <f t="shared" si="36"/>
        <v>0</v>
      </c>
      <c r="AR124" s="98">
        <f t="shared" si="36"/>
        <v>0</v>
      </c>
      <c r="AS124" s="98">
        <f t="shared" si="36"/>
        <v>0</v>
      </c>
      <c r="AU124" s="92">
        <v>1.07</v>
      </c>
      <c r="AV124" s="101" t="str">
        <f>AU$124&amp;TEXT(AW124,"0000")</f>
        <v>1.070100</v>
      </c>
      <c r="AW124" s="92">
        <v>100</v>
      </c>
      <c r="AX124" s="92">
        <v>290</v>
      </c>
      <c r="AY124" s="92">
        <v>750</v>
      </c>
      <c r="AZ124" s="202">
        <v>1000</v>
      </c>
      <c r="BA124" s="202">
        <v>1500</v>
      </c>
      <c r="BB124" s="202">
        <v>2250</v>
      </c>
      <c r="BC124" s="202">
        <v>3750</v>
      </c>
      <c r="BD124" s="202">
        <v>6250</v>
      </c>
      <c r="BE124" s="92">
        <v>2.06</v>
      </c>
      <c r="BF124" s="101" t="str">
        <f>BE$124&amp;TEXT(BG124,"0000")</f>
        <v>2.060100</v>
      </c>
      <c r="BG124" s="92">
        <v>100</v>
      </c>
      <c r="BH124" s="92">
        <v>275</v>
      </c>
      <c r="BI124" s="92">
        <v>720</v>
      </c>
      <c r="BJ124" s="92">
        <v>960</v>
      </c>
      <c r="BK124" s="202">
        <v>1440</v>
      </c>
      <c r="BL124" s="202">
        <v>2160</v>
      </c>
      <c r="BM124" s="202">
        <v>3600</v>
      </c>
      <c r="BN124" s="202">
        <v>6000</v>
      </c>
      <c r="BO124" s="92">
        <v>3.06</v>
      </c>
      <c r="BP124" s="101" t="str">
        <f>BO$124&amp;TEXT(BQ124,"0000")</f>
        <v>3.060100</v>
      </c>
      <c r="BQ124" s="92">
        <v>100</v>
      </c>
      <c r="BR124" s="92">
        <v>275</v>
      </c>
      <c r="BS124" s="92">
        <v>720</v>
      </c>
      <c r="BT124" s="92">
        <v>960</v>
      </c>
      <c r="BU124" s="202">
        <v>1440</v>
      </c>
      <c r="BV124" s="202">
        <v>2160</v>
      </c>
      <c r="BW124" s="202">
        <v>3600</v>
      </c>
      <c r="BX124" s="202">
        <v>6000</v>
      </c>
    </row>
    <row r="125" spans="1:76">
      <c r="A125" s="95"/>
      <c r="B125" s="96"/>
      <c r="C125" s="95"/>
      <c r="D125" s="95"/>
      <c r="E125" s="95"/>
      <c r="F125" s="95"/>
      <c r="G125" s="95"/>
      <c r="H125" s="95"/>
      <c r="I125" s="95"/>
      <c r="J125" s="95"/>
      <c r="K125" s="95"/>
      <c r="L125" s="95"/>
      <c r="M125" s="95"/>
      <c r="N125" s="95"/>
      <c r="O125" s="95"/>
      <c r="P125" s="95"/>
      <c r="Q125" s="95"/>
      <c r="R125" s="95"/>
      <c r="S125" s="99" t="s">
        <v>91</v>
      </c>
      <c r="T125" s="204" t="s">
        <v>220</v>
      </c>
      <c r="U125" s="98"/>
      <c r="V125" s="98">
        <f t="shared" si="35"/>
        <v>960</v>
      </c>
      <c r="W125" s="98">
        <f t="shared" si="35"/>
        <v>885</v>
      </c>
      <c r="X125" s="98">
        <f t="shared" si="35"/>
        <v>850</v>
      </c>
      <c r="Y125" s="98">
        <f t="shared" si="35"/>
        <v>825</v>
      </c>
      <c r="Z125" s="98">
        <f t="shared" si="35"/>
        <v>805</v>
      </c>
      <c r="AA125" s="98">
        <f t="shared" si="35"/>
        <v>785</v>
      </c>
      <c r="AB125" s="98">
        <f t="shared" si="35"/>
        <v>770</v>
      </c>
      <c r="AC125" s="98">
        <f t="shared" si="35"/>
        <v>755</v>
      </c>
      <c r="AD125" s="98">
        <f t="shared" si="35"/>
        <v>710</v>
      </c>
      <c r="AE125" s="98">
        <f t="shared" si="35"/>
        <v>675</v>
      </c>
      <c r="AF125" s="98">
        <f t="shared" si="36"/>
        <v>650</v>
      </c>
      <c r="AG125" s="98">
        <f t="shared" si="36"/>
        <v>600</v>
      </c>
      <c r="AH125" s="98">
        <f t="shared" si="36"/>
        <v>515</v>
      </c>
      <c r="AI125" s="98">
        <f t="shared" si="36"/>
        <v>485</v>
      </c>
      <c r="AJ125" s="98">
        <f t="shared" si="36"/>
        <v>480</v>
      </c>
      <c r="AK125" s="98">
        <f t="shared" si="36"/>
        <v>430</v>
      </c>
      <c r="AL125" s="98">
        <f t="shared" si="36"/>
        <v>365</v>
      </c>
      <c r="AM125" s="98">
        <f t="shared" si="36"/>
        <v>275</v>
      </c>
      <c r="AN125" s="98">
        <f t="shared" si="36"/>
        <v>190</v>
      </c>
      <c r="AO125" s="98">
        <f t="shared" si="36"/>
        <v>90</v>
      </c>
      <c r="AP125" s="98">
        <f t="shared" si="36"/>
        <v>75</v>
      </c>
      <c r="AQ125" s="98">
        <f t="shared" si="36"/>
        <v>50</v>
      </c>
      <c r="AR125" s="98">
        <f t="shared" si="36"/>
        <v>45</v>
      </c>
      <c r="AS125" s="98">
        <f t="shared" si="36"/>
        <v>35</v>
      </c>
      <c r="AV125" s="101" t="str">
        <f t="shared" ref="AV125:AV147" si="37">AU$124&amp;TEXT(AW125,"0000")</f>
        <v>1.070200</v>
      </c>
      <c r="AW125" s="101">
        <v>200</v>
      </c>
      <c r="AX125" s="92">
        <v>260</v>
      </c>
      <c r="AY125" s="92">
        <v>750</v>
      </c>
      <c r="AZ125" s="202">
        <v>1000</v>
      </c>
      <c r="BA125" s="202">
        <v>1500</v>
      </c>
      <c r="BB125" s="202">
        <v>2250</v>
      </c>
      <c r="BC125" s="202">
        <v>3750</v>
      </c>
      <c r="BD125" s="202">
        <v>6250</v>
      </c>
      <c r="BF125" s="101" t="str">
        <f t="shared" ref="BF125:BF147" si="38">BE$124&amp;TEXT(BG125,"0000")</f>
        <v>2.060200</v>
      </c>
      <c r="BG125" s="101">
        <v>200</v>
      </c>
      <c r="BH125" s="92">
        <v>240</v>
      </c>
      <c r="BI125" s="92">
        <v>630</v>
      </c>
      <c r="BJ125" s="92">
        <v>840</v>
      </c>
      <c r="BK125" s="202">
        <v>1260</v>
      </c>
      <c r="BL125" s="202">
        <v>1895</v>
      </c>
      <c r="BM125" s="202">
        <v>3155</v>
      </c>
      <c r="BN125" s="202">
        <v>5260</v>
      </c>
      <c r="BP125" s="101" t="str">
        <f t="shared" ref="BP125:BP147" si="39">BO$124&amp;TEXT(BQ125,"0000")</f>
        <v>3.060200</v>
      </c>
      <c r="BQ125" s="101">
        <v>200</v>
      </c>
      <c r="BR125" s="92">
        <v>255</v>
      </c>
      <c r="BS125" s="92">
        <v>665</v>
      </c>
      <c r="BT125" s="92">
        <v>885</v>
      </c>
      <c r="BU125" s="202">
        <v>1330</v>
      </c>
      <c r="BV125" s="202">
        <v>1995</v>
      </c>
      <c r="BW125" s="202">
        <v>3325</v>
      </c>
      <c r="BX125" s="202">
        <v>5540</v>
      </c>
    </row>
    <row r="126" spans="1:76">
      <c r="A126" s="95"/>
      <c r="B126" s="96"/>
      <c r="C126" s="95"/>
      <c r="D126" s="95"/>
      <c r="E126" s="95"/>
      <c r="F126" s="95"/>
      <c r="G126" s="95"/>
      <c r="H126" s="95"/>
      <c r="I126" s="95"/>
      <c r="J126" s="95"/>
      <c r="K126" s="95"/>
      <c r="L126" s="95"/>
      <c r="M126" s="95"/>
      <c r="N126" s="95"/>
      <c r="O126" s="95"/>
      <c r="P126" s="95"/>
      <c r="Q126" s="95"/>
      <c r="R126" s="95"/>
      <c r="S126" s="99" t="s">
        <v>92</v>
      </c>
      <c r="T126" s="204" t="s">
        <v>221</v>
      </c>
      <c r="U126" s="98"/>
      <c r="V126" s="98">
        <f t="shared" si="35"/>
        <v>1000</v>
      </c>
      <c r="W126" s="98">
        <f t="shared" si="35"/>
        <v>1000</v>
      </c>
      <c r="X126" s="98">
        <f t="shared" si="35"/>
        <v>970</v>
      </c>
      <c r="Y126" s="98">
        <f t="shared" si="35"/>
        <v>940</v>
      </c>
      <c r="Z126" s="98">
        <f t="shared" si="35"/>
        <v>885</v>
      </c>
      <c r="AA126" s="98">
        <f t="shared" si="35"/>
        <v>805</v>
      </c>
      <c r="AB126" s="98">
        <f t="shared" si="35"/>
        <v>785</v>
      </c>
      <c r="AC126" s="98">
        <f t="shared" si="35"/>
        <v>755</v>
      </c>
      <c r="AD126" s="98">
        <f t="shared" si="35"/>
        <v>710</v>
      </c>
      <c r="AE126" s="98">
        <f t="shared" si="35"/>
        <v>675</v>
      </c>
      <c r="AF126" s="98">
        <f t="shared" si="36"/>
        <v>0</v>
      </c>
      <c r="AG126" s="98">
        <f t="shared" si="36"/>
        <v>0</v>
      </c>
      <c r="AH126" s="98">
        <f t="shared" si="36"/>
        <v>0</v>
      </c>
      <c r="AI126" s="98">
        <f t="shared" si="36"/>
        <v>0</v>
      </c>
      <c r="AJ126" s="98">
        <f t="shared" si="36"/>
        <v>0</v>
      </c>
      <c r="AK126" s="98">
        <f t="shared" si="36"/>
        <v>0</v>
      </c>
      <c r="AL126" s="98">
        <f t="shared" si="36"/>
        <v>0</v>
      </c>
      <c r="AM126" s="98">
        <f t="shared" si="36"/>
        <v>0</v>
      </c>
      <c r="AN126" s="98">
        <f t="shared" si="36"/>
        <v>0</v>
      </c>
      <c r="AO126" s="98">
        <f t="shared" si="36"/>
        <v>0</v>
      </c>
      <c r="AP126" s="98">
        <f t="shared" si="36"/>
        <v>0</v>
      </c>
      <c r="AQ126" s="98">
        <f t="shared" si="36"/>
        <v>0</v>
      </c>
      <c r="AR126" s="98">
        <f t="shared" si="36"/>
        <v>0</v>
      </c>
      <c r="AS126" s="98">
        <f t="shared" si="36"/>
        <v>0</v>
      </c>
      <c r="AV126" s="101" t="str">
        <f t="shared" si="37"/>
        <v>1.070300</v>
      </c>
      <c r="AW126" s="101">
        <v>300</v>
      </c>
      <c r="AX126" s="92">
        <v>230</v>
      </c>
      <c r="AY126" s="92">
        <v>730</v>
      </c>
      <c r="AZ126" s="92">
        <v>970</v>
      </c>
      <c r="BA126" s="202">
        <v>1455</v>
      </c>
      <c r="BB126" s="202">
        <v>2185</v>
      </c>
      <c r="BC126" s="202">
        <v>3640</v>
      </c>
      <c r="BD126" s="202">
        <v>6070</v>
      </c>
      <c r="BF126" s="101" t="str">
        <f t="shared" si="38"/>
        <v>2.060300</v>
      </c>
      <c r="BG126" s="101">
        <v>300</v>
      </c>
      <c r="BH126" s="92">
        <v>225</v>
      </c>
      <c r="BI126" s="92">
        <v>580</v>
      </c>
      <c r="BJ126" s="92">
        <v>775</v>
      </c>
      <c r="BK126" s="202">
        <v>1160</v>
      </c>
      <c r="BL126" s="202">
        <v>1740</v>
      </c>
      <c r="BM126" s="202">
        <v>2905</v>
      </c>
      <c r="BN126" s="202">
        <v>4840</v>
      </c>
      <c r="BP126" s="101" t="str">
        <f t="shared" si="39"/>
        <v>3.060300</v>
      </c>
      <c r="BQ126" s="101">
        <v>300</v>
      </c>
      <c r="BR126" s="92">
        <v>230</v>
      </c>
      <c r="BS126" s="92">
        <v>640</v>
      </c>
      <c r="BT126" s="92">
        <v>850</v>
      </c>
      <c r="BU126" s="202">
        <v>1275</v>
      </c>
      <c r="BV126" s="202">
        <v>1915</v>
      </c>
      <c r="BW126" s="202">
        <v>3190</v>
      </c>
      <c r="BX126" s="202">
        <v>5320</v>
      </c>
    </row>
    <row r="127" spans="1:76">
      <c r="A127" s="95"/>
      <c r="B127" s="96"/>
      <c r="C127" s="95"/>
      <c r="D127" s="95"/>
      <c r="E127" s="95"/>
      <c r="F127" s="95"/>
      <c r="G127" s="95"/>
      <c r="H127" s="95"/>
      <c r="I127" s="95"/>
      <c r="J127" s="95"/>
      <c r="K127" s="95"/>
      <c r="L127" s="95"/>
      <c r="M127" s="95"/>
      <c r="N127" s="95"/>
      <c r="O127" s="95"/>
      <c r="P127" s="95"/>
      <c r="Q127" s="95"/>
      <c r="R127" s="95"/>
      <c r="S127" s="99" t="s">
        <v>93</v>
      </c>
      <c r="T127" s="204" t="s">
        <v>222</v>
      </c>
      <c r="U127" s="98"/>
      <c r="V127" s="98">
        <f t="shared" si="35"/>
        <v>1000</v>
      </c>
      <c r="W127" s="98">
        <f t="shared" si="35"/>
        <v>1000</v>
      </c>
      <c r="X127" s="98">
        <f t="shared" si="35"/>
        <v>970</v>
      </c>
      <c r="Y127" s="98">
        <f t="shared" si="35"/>
        <v>930</v>
      </c>
      <c r="Z127" s="98">
        <f t="shared" si="35"/>
        <v>885</v>
      </c>
      <c r="AA127" s="98">
        <f t="shared" si="35"/>
        <v>805</v>
      </c>
      <c r="AB127" s="98">
        <f t="shared" si="35"/>
        <v>785</v>
      </c>
      <c r="AC127" s="98">
        <f t="shared" si="35"/>
        <v>755</v>
      </c>
      <c r="AD127" s="98">
        <f t="shared" si="35"/>
        <v>710</v>
      </c>
      <c r="AE127" s="98">
        <f t="shared" si="35"/>
        <v>675</v>
      </c>
      <c r="AF127" s="98">
        <f t="shared" si="36"/>
        <v>650</v>
      </c>
      <c r="AG127" s="98">
        <f t="shared" si="36"/>
        <v>600</v>
      </c>
      <c r="AH127" s="98">
        <f t="shared" si="36"/>
        <v>515</v>
      </c>
      <c r="AI127" s="98">
        <f t="shared" si="36"/>
        <v>485</v>
      </c>
      <c r="AJ127" s="98">
        <f t="shared" si="36"/>
        <v>480</v>
      </c>
      <c r="AK127" s="98">
        <f t="shared" si="36"/>
        <v>430</v>
      </c>
      <c r="AL127" s="98">
        <f t="shared" si="36"/>
        <v>365</v>
      </c>
      <c r="AM127" s="98">
        <f t="shared" si="36"/>
        <v>275</v>
      </c>
      <c r="AN127" s="98">
        <f t="shared" si="36"/>
        <v>220</v>
      </c>
      <c r="AO127" s="98">
        <f t="shared" si="36"/>
        <v>160</v>
      </c>
      <c r="AP127" s="98">
        <f t="shared" si="36"/>
        <v>0</v>
      </c>
      <c r="AQ127" s="98">
        <f t="shared" si="36"/>
        <v>0</v>
      </c>
      <c r="AR127" s="98">
        <f t="shared" si="36"/>
        <v>0</v>
      </c>
      <c r="AS127" s="98">
        <f t="shared" si="36"/>
        <v>0</v>
      </c>
      <c r="AV127" s="101" t="str">
        <f t="shared" si="37"/>
        <v>1.070400</v>
      </c>
      <c r="AW127" s="101">
        <v>400</v>
      </c>
      <c r="AX127" s="92">
        <v>200</v>
      </c>
      <c r="AY127" s="92">
        <v>705</v>
      </c>
      <c r="AZ127" s="92">
        <v>940</v>
      </c>
      <c r="BA127" s="202">
        <v>1410</v>
      </c>
      <c r="BB127" s="202">
        <v>2115</v>
      </c>
      <c r="BC127" s="202">
        <v>3530</v>
      </c>
      <c r="BD127" s="202">
        <v>5880</v>
      </c>
      <c r="BF127" s="101" t="str">
        <f t="shared" si="38"/>
        <v>2.060400</v>
      </c>
      <c r="BG127" s="101">
        <v>400</v>
      </c>
      <c r="BH127" s="92">
        <v>200</v>
      </c>
      <c r="BI127" s="92">
        <v>545</v>
      </c>
      <c r="BJ127" s="92">
        <v>725</v>
      </c>
      <c r="BK127" s="202">
        <v>1090</v>
      </c>
      <c r="BL127" s="202">
        <v>1635</v>
      </c>
      <c r="BM127" s="202">
        <v>2725</v>
      </c>
      <c r="BN127" s="202">
        <v>4540</v>
      </c>
      <c r="BP127" s="101" t="str">
        <f t="shared" si="39"/>
        <v>3.060400</v>
      </c>
      <c r="BQ127" s="101">
        <v>400</v>
      </c>
      <c r="BR127" s="92">
        <v>200</v>
      </c>
      <c r="BS127" s="92">
        <v>620</v>
      </c>
      <c r="BT127" s="92">
        <v>825</v>
      </c>
      <c r="BU127" s="202">
        <v>1240</v>
      </c>
      <c r="BV127" s="202">
        <v>1860</v>
      </c>
      <c r="BW127" s="202">
        <v>3095</v>
      </c>
      <c r="BX127" s="202">
        <v>5160</v>
      </c>
    </row>
    <row r="128" spans="1:76">
      <c r="A128" s="95"/>
      <c r="B128" s="96"/>
      <c r="C128" s="95"/>
      <c r="D128" s="95"/>
      <c r="E128" s="95"/>
      <c r="F128" s="95"/>
      <c r="G128" s="95"/>
      <c r="H128" s="95"/>
      <c r="I128" s="95"/>
      <c r="J128" s="95"/>
      <c r="K128" s="95"/>
      <c r="L128" s="95"/>
      <c r="M128" s="95"/>
      <c r="N128" s="95"/>
      <c r="O128" s="95"/>
      <c r="P128" s="95"/>
      <c r="Q128" s="95"/>
      <c r="R128" s="95"/>
      <c r="S128" s="99" t="s">
        <v>94</v>
      </c>
      <c r="T128" s="204" t="s">
        <v>223</v>
      </c>
      <c r="U128" s="98"/>
      <c r="V128" s="98">
        <f t="shared" si="35"/>
        <v>1000</v>
      </c>
      <c r="W128" s="98">
        <f t="shared" si="35"/>
        <v>1000</v>
      </c>
      <c r="X128" s="98">
        <f t="shared" si="35"/>
        <v>920</v>
      </c>
      <c r="Y128" s="98">
        <f t="shared" si="35"/>
        <v>850</v>
      </c>
      <c r="Z128" s="98">
        <f t="shared" si="35"/>
        <v>795</v>
      </c>
      <c r="AA128" s="98">
        <f t="shared" si="35"/>
        <v>750</v>
      </c>
      <c r="AB128" s="98">
        <f t="shared" si="35"/>
        <v>735</v>
      </c>
      <c r="AC128" s="98">
        <f t="shared" si="35"/>
        <v>725</v>
      </c>
      <c r="AD128" s="98">
        <f t="shared" si="35"/>
        <v>710</v>
      </c>
      <c r="AE128" s="98">
        <f t="shared" si="35"/>
        <v>675</v>
      </c>
      <c r="AF128" s="98">
        <f t="shared" si="36"/>
        <v>650</v>
      </c>
      <c r="AG128" s="98">
        <f t="shared" si="36"/>
        <v>600</v>
      </c>
      <c r="AH128" s="98">
        <f t="shared" si="36"/>
        <v>515</v>
      </c>
      <c r="AI128" s="98">
        <f t="shared" si="36"/>
        <v>485</v>
      </c>
      <c r="AJ128" s="98">
        <f t="shared" si="36"/>
        <v>480</v>
      </c>
      <c r="AK128" s="98">
        <f t="shared" si="36"/>
        <v>430</v>
      </c>
      <c r="AL128" s="98">
        <f t="shared" si="36"/>
        <v>365</v>
      </c>
      <c r="AM128" s="98">
        <f t="shared" si="36"/>
        <v>275</v>
      </c>
      <c r="AN128" s="98">
        <f t="shared" si="36"/>
        <v>245</v>
      </c>
      <c r="AO128" s="98">
        <f t="shared" si="36"/>
        <v>185</v>
      </c>
      <c r="AP128" s="98">
        <f t="shared" si="36"/>
        <v>140</v>
      </c>
      <c r="AQ128" s="98">
        <f t="shared" si="36"/>
        <v>100</v>
      </c>
      <c r="AR128" s="98">
        <f t="shared" si="36"/>
        <v>80</v>
      </c>
      <c r="AS128" s="98">
        <f t="shared" si="36"/>
        <v>55</v>
      </c>
      <c r="AV128" s="101" t="str">
        <f t="shared" si="37"/>
        <v>1.070500</v>
      </c>
      <c r="AW128" s="101">
        <v>500</v>
      </c>
      <c r="AX128" s="92">
        <v>170</v>
      </c>
      <c r="AY128" s="92">
        <v>665</v>
      </c>
      <c r="AZ128" s="92">
        <v>885</v>
      </c>
      <c r="BA128" s="202">
        <v>1330</v>
      </c>
      <c r="BB128" s="202">
        <v>1995</v>
      </c>
      <c r="BC128" s="202">
        <v>3325</v>
      </c>
      <c r="BD128" s="202">
        <v>5540</v>
      </c>
      <c r="BF128" s="101" t="str">
        <f t="shared" si="38"/>
        <v>2.060500</v>
      </c>
      <c r="BG128" s="101">
        <v>500</v>
      </c>
      <c r="BH128" s="92">
        <v>170</v>
      </c>
      <c r="BI128" s="92">
        <v>520</v>
      </c>
      <c r="BJ128" s="92">
        <v>690</v>
      </c>
      <c r="BK128" s="202">
        <v>1035</v>
      </c>
      <c r="BL128" s="202">
        <v>1555</v>
      </c>
      <c r="BM128" s="202">
        <v>2590</v>
      </c>
      <c r="BN128" s="202">
        <v>4320</v>
      </c>
      <c r="BP128" s="101" t="str">
        <f t="shared" si="39"/>
        <v>3.060500</v>
      </c>
      <c r="BQ128" s="101">
        <v>500</v>
      </c>
      <c r="BR128" s="92">
        <v>170</v>
      </c>
      <c r="BS128" s="92">
        <v>600</v>
      </c>
      <c r="BT128" s="92">
        <v>805</v>
      </c>
      <c r="BU128" s="202">
        <v>1205</v>
      </c>
      <c r="BV128" s="202">
        <v>1805</v>
      </c>
      <c r="BW128" s="202">
        <v>3010</v>
      </c>
      <c r="BX128" s="202">
        <v>5020</v>
      </c>
    </row>
    <row r="129" spans="1:76">
      <c r="A129" s="95"/>
      <c r="B129" s="96"/>
      <c r="C129" s="95"/>
      <c r="D129" s="95"/>
      <c r="E129" s="95"/>
      <c r="F129" s="95"/>
      <c r="G129" s="95"/>
      <c r="H129" s="95"/>
      <c r="I129" s="95"/>
      <c r="J129" s="95"/>
      <c r="K129" s="95"/>
      <c r="L129" s="95"/>
      <c r="M129" s="95"/>
      <c r="N129" s="95"/>
      <c r="O129" s="95"/>
      <c r="P129" s="95"/>
      <c r="Q129" s="95"/>
      <c r="R129" s="95"/>
      <c r="S129" s="99" t="s">
        <v>95</v>
      </c>
      <c r="T129" s="204" t="s">
        <v>95</v>
      </c>
      <c r="U129" s="98"/>
      <c r="V129" s="98">
        <f t="shared" si="35"/>
        <v>1000</v>
      </c>
      <c r="W129" s="98">
        <f t="shared" si="35"/>
        <v>1000</v>
      </c>
      <c r="X129" s="98">
        <f t="shared" si="35"/>
        <v>910</v>
      </c>
      <c r="Y129" s="98">
        <f t="shared" si="35"/>
        <v>850</v>
      </c>
      <c r="Z129" s="98">
        <f t="shared" si="35"/>
        <v>820</v>
      </c>
      <c r="AA129" s="98">
        <f t="shared" si="35"/>
        <v>790</v>
      </c>
      <c r="AB129" s="98">
        <f t="shared" si="35"/>
        <v>760</v>
      </c>
      <c r="AC129" s="98">
        <f t="shared" si="35"/>
        <v>0</v>
      </c>
      <c r="AD129" s="98">
        <f t="shared" si="35"/>
        <v>0</v>
      </c>
      <c r="AE129" s="98">
        <f t="shared" si="35"/>
        <v>0</v>
      </c>
      <c r="AF129" s="98">
        <f t="shared" si="36"/>
        <v>0</v>
      </c>
      <c r="AG129" s="98">
        <f t="shared" si="36"/>
        <v>0</v>
      </c>
      <c r="AH129" s="98">
        <f t="shared" si="36"/>
        <v>0</v>
      </c>
      <c r="AI129" s="98">
        <f t="shared" si="36"/>
        <v>0</v>
      </c>
      <c r="AJ129" s="98">
        <f t="shared" si="36"/>
        <v>0</v>
      </c>
      <c r="AK129" s="98">
        <f t="shared" si="36"/>
        <v>0</v>
      </c>
      <c r="AL129" s="98">
        <f t="shared" si="36"/>
        <v>0</v>
      </c>
      <c r="AM129" s="98">
        <f t="shared" si="36"/>
        <v>0</v>
      </c>
      <c r="AN129" s="98">
        <f t="shared" si="36"/>
        <v>0</v>
      </c>
      <c r="AO129" s="98">
        <f t="shared" si="36"/>
        <v>0</v>
      </c>
      <c r="AP129" s="98">
        <f t="shared" si="36"/>
        <v>0</v>
      </c>
      <c r="AQ129" s="98">
        <f t="shared" si="36"/>
        <v>0</v>
      </c>
      <c r="AR129" s="98">
        <f t="shared" si="36"/>
        <v>0</v>
      </c>
      <c r="AS129" s="98">
        <f t="shared" si="36"/>
        <v>0</v>
      </c>
      <c r="AV129" s="101" t="str">
        <f t="shared" si="37"/>
        <v>1.070600</v>
      </c>
      <c r="AW129" s="101">
        <v>600</v>
      </c>
      <c r="AX129" s="92">
        <v>140</v>
      </c>
      <c r="AY129" s="92">
        <v>605</v>
      </c>
      <c r="AZ129" s="92">
        <v>805</v>
      </c>
      <c r="BA129" s="202">
        <v>1210</v>
      </c>
      <c r="BB129" s="202">
        <v>1815</v>
      </c>
      <c r="BC129" s="202">
        <v>3025</v>
      </c>
      <c r="BD129" s="202">
        <v>5040</v>
      </c>
      <c r="BF129" s="101" t="str">
        <f t="shared" si="38"/>
        <v>2.060600</v>
      </c>
      <c r="BG129" s="101">
        <v>600</v>
      </c>
      <c r="BH129" s="92">
        <v>140</v>
      </c>
      <c r="BI129" s="92">
        <v>500</v>
      </c>
      <c r="BJ129" s="92">
        <v>665</v>
      </c>
      <c r="BK129" s="202">
        <v>1000</v>
      </c>
      <c r="BL129" s="202">
        <v>1500</v>
      </c>
      <c r="BM129" s="202">
        <v>2495</v>
      </c>
      <c r="BN129" s="202">
        <v>4160</v>
      </c>
      <c r="BP129" s="101" t="str">
        <f t="shared" si="39"/>
        <v>3.060600</v>
      </c>
      <c r="BQ129" s="101">
        <v>600</v>
      </c>
      <c r="BR129" s="92">
        <v>140</v>
      </c>
      <c r="BS129" s="92">
        <v>590</v>
      </c>
      <c r="BT129" s="92">
        <v>785</v>
      </c>
      <c r="BU129" s="202">
        <v>1175</v>
      </c>
      <c r="BV129" s="202">
        <v>1765</v>
      </c>
      <c r="BW129" s="202">
        <v>2940</v>
      </c>
      <c r="BX129" s="202">
        <v>4900</v>
      </c>
    </row>
    <row r="130" spans="1:76">
      <c r="A130" s="95"/>
      <c r="B130" s="96"/>
      <c r="C130" s="95"/>
      <c r="D130" s="95"/>
      <c r="E130" s="95"/>
      <c r="F130" s="95"/>
      <c r="G130" s="95"/>
      <c r="H130" s="95"/>
      <c r="I130" s="95"/>
      <c r="J130" s="95"/>
      <c r="K130" s="95"/>
      <c r="L130" s="95"/>
      <c r="M130" s="95"/>
      <c r="N130" s="95"/>
      <c r="O130" s="95"/>
      <c r="P130" s="95"/>
      <c r="Q130" s="95"/>
      <c r="R130" s="95"/>
      <c r="S130" s="99" t="s">
        <v>96</v>
      </c>
      <c r="T130" s="204" t="s">
        <v>96</v>
      </c>
      <c r="U130" s="98"/>
      <c r="V130" s="98">
        <f t="shared" ref="V130:AE137" si="40">VLOOKUP($T130&amp;TEXT(V$1,"0000"),$BP$4:$BX$435,5)</f>
        <v>990</v>
      </c>
      <c r="W130" s="98">
        <f t="shared" si="40"/>
        <v>805</v>
      </c>
      <c r="X130" s="98">
        <f t="shared" si="40"/>
        <v>725</v>
      </c>
      <c r="Y130" s="98">
        <f t="shared" si="40"/>
        <v>665</v>
      </c>
      <c r="Z130" s="98">
        <f t="shared" si="40"/>
        <v>610</v>
      </c>
      <c r="AA130" s="98">
        <f t="shared" si="40"/>
        <v>570</v>
      </c>
      <c r="AB130" s="98">
        <f t="shared" si="40"/>
        <v>555</v>
      </c>
      <c r="AC130" s="98">
        <f t="shared" si="40"/>
        <v>545</v>
      </c>
      <c r="AD130" s="98">
        <f t="shared" si="40"/>
        <v>0</v>
      </c>
      <c r="AE130" s="98">
        <f t="shared" si="40"/>
        <v>0</v>
      </c>
      <c r="AF130" s="98">
        <f t="shared" ref="AF130:AS137" si="41">VLOOKUP($T130&amp;TEXT(AF$1,"0000"),$BP$4:$BX$435,5)</f>
        <v>0</v>
      </c>
      <c r="AG130" s="98">
        <f t="shared" si="41"/>
        <v>0</v>
      </c>
      <c r="AH130" s="98">
        <f t="shared" si="41"/>
        <v>0</v>
      </c>
      <c r="AI130" s="98">
        <f t="shared" si="41"/>
        <v>0</v>
      </c>
      <c r="AJ130" s="98">
        <f t="shared" si="41"/>
        <v>0</v>
      </c>
      <c r="AK130" s="98">
        <f t="shared" si="41"/>
        <v>0</v>
      </c>
      <c r="AL130" s="98">
        <f t="shared" si="41"/>
        <v>0</v>
      </c>
      <c r="AM130" s="98">
        <f t="shared" si="41"/>
        <v>0</v>
      </c>
      <c r="AN130" s="98">
        <f t="shared" si="41"/>
        <v>0</v>
      </c>
      <c r="AO130" s="98">
        <f t="shared" si="41"/>
        <v>0</v>
      </c>
      <c r="AP130" s="98">
        <f t="shared" si="41"/>
        <v>0</v>
      </c>
      <c r="AQ130" s="98">
        <f t="shared" si="41"/>
        <v>0</v>
      </c>
      <c r="AR130" s="98">
        <f t="shared" si="41"/>
        <v>0</v>
      </c>
      <c r="AS130" s="98">
        <f t="shared" si="41"/>
        <v>0</v>
      </c>
      <c r="AV130" s="101" t="str">
        <f t="shared" si="37"/>
        <v>1.070650</v>
      </c>
      <c r="AW130" s="101">
        <v>650</v>
      </c>
      <c r="AX130" s="92">
        <v>125</v>
      </c>
      <c r="AY130" s="92">
        <v>590</v>
      </c>
      <c r="AZ130" s="92">
        <v>785</v>
      </c>
      <c r="BA130" s="202">
        <v>1175</v>
      </c>
      <c r="BB130" s="202">
        <v>1765</v>
      </c>
      <c r="BC130" s="202">
        <v>2940</v>
      </c>
      <c r="BD130" s="202">
        <v>4905</v>
      </c>
      <c r="BF130" s="101" t="str">
        <f t="shared" si="38"/>
        <v>2.060650</v>
      </c>
      <c r="BG130" s="101">
        <v>650</v>
      </c>
      <c r="BH130" s="92">
        <v>125</v>
      </c>
      <c r="BI130" s="92">
        <v>490</v>
      </c>
      <c r="BJ130" s="92">
        <v>655</v>
      </c>
      <c r="BK130" s="92">
        <v>985</v>
      </c>
      <c r="BL130" s="202">
        <v>1475</v>
      </c>
      <c r="BM130" s="202">
        <v>2460</v>
      </c>
      <c r="BN130" s="202">
        <v>4100</v>
      </c>
      <c r="BP130" s="101" t="str">
        <f t="shared" si="39"/>
        <v>3.060650</v>
      </c>
      <c r="BQ130" s="101">
        <v>650</v>
      </c>
      <c r="BR130" s="92">
        <v>125</v>
      </c>
      <c r="BS130" s="92">
        <v>580</v>
      </c>
      <c r="BT130" s="92">
        <v>770</v>
      </c>
      <c r="BU130" s="202">
        <v>1155</v>
      </c>
      <c r="BV130" s="202">
        <v>1735</v>
      </c>
      <c r="BW130" s="202">
        <v>2890</v>
      </c>
      <c r="BX130" s="202">
        <v>4820</v>
      </c>
    </row>
    <row r="131" spans="1:76">
      <c r="A131" s="95"/>
      <c r="B131" s="96"/>
      <c r="C131" s="95"/>
      <c r="D131" s="95"/>
      <c r="E131" s="95"/>
      <c r="F131" s="95"/>
      <c r="G131" s="95"/>
      <c r="H131" s="95"/>
      <c r="I131" s="95"/>
      <c r="J131" s="95"/>
      <c r="K131" s="95"/>
      <c r="L131" s="95"/>
      <c r="M131" s="95"/>
      <c r="N131" s="95"/>
      <c r="O131" s="95"/>
      <c r="P131" s="95"/>
      <c r="Q131" s="95"/>
      <c r="R131" s="95"/>
      <c r="S131" s="99" t="s">
        <v>97</v>
      </c>
      <c r="T131" s="204" t="s">
        <v>97</v>
      </c>
      <c r="U131" s="98"/>
      <c r="V131" s="98">
        <f t="shared" si="40"/>
        <v>895</v>
      </c>
      <c r="W131" s="98">
        <f t="shared" si="40"/>
        <v>830</v>
      </c>
      <c r="X131" s="98">
        <f t="shared" si="40"/>
        <v>780</v>
      </c>
      <c r="Y131" s="98">
        <f t="shared" si="40"/>
        <v>715</v>
      </c>
      <c r="Z131" s="98">
        <f t="shared" si="40"/>
        <v>665</v>
      </c>
      <c r="AA131" s="98">
        <f t="shared" si="40"/>
        <v>630</v>
      </c>
      <c r="AB131" s="98">
        <f t="shared" si="40"/>
        <v>615</v>
      </c>
      <c r="AC131" s="98">
        <f t="shared" si="40"/>
        <v>600</v>
      </c>
      <c r="AD131" s="98">
        <f t="shared" si="40"/>
        <v>590</v>
      </c>
      <c r="AE131" s="98">
        <f t="shared" si="40"/>
        <v>575</v>
      </c>
      <c r="AF131" s="98">
        <f t="shared" si="41"/>
        <v>0</v>
      </c>
      <c r="AG131" s="98">
        <f t="shared" si="41"/>
        <v>0</v>
      </c>
      <c r="AH131" s="98">
        <f t="shared" si="41"/>
        <v>0</v>
      </c>
      <c r="AI131" s="98">
        <f t="shared" si="41"/>
        <v>0</v>
      </c>
      <c r="AJ131" s="98">
        <f t="shared" si="41"/>
        <v>0</v>
      </c>
      <c r="AK131" s="98">
        <f t="shared" si="41"/>
        <v>0</v>
      </c>
      <c r="AL131" s="98">
        <f t="shared" si="41"/>
        <v>0</v>
      </c>
      <c r="AM131" s="98">
        <f t="shared" si="41"/>
        <v>0</v>
      </c>
      <c r="AN131" s="98">
        <f t="shared" si="41"/>
        <v>0</v>
      </c>
      <c r="AO131" s="98">
        <f t="shared" si="41"/>
        <v>0</v>
      </c>
      <c r="AP131" s="98">
        <f t="shared" si="41"/>
        <v>0</v>
      </c>
      <c r="AQ131" s="98">
        <f t="shared" si="41"/>
        <v>0</v>
      </c>
      <c r="AR131" s="98">
        <f t="shared" si="41"/>
        <v>0</v>
      </c>
      <c r="AS131" s="98">
        <f t="shared" si="41"/>
        <v>0</v>
      </c>
      <c r="AV131" s="101" t="str">
        <f t="shared" si="37"/>
        <v>1.070700</v>
      </c>
      <c r="AW131" s="101">
        <v>700</v>
      </c>
      <c r="AX131" s="92">
        <v>110</v>
      </c>
      <c r="AY131" s="92">
        <v>570</v>
      </c>
      <c r="AZ131" s="92">
        <v>755</v>
      </c>
      <c r="BA131" s="202">
        <v>1135</v>
      </c>
      <c r="BB131" s="202">
        <v>1705</v>
      </c>
      <c r="BC131" s="202">
        <v>2840</v>
      </c>
      <c r="BD131" s="202">
        <v>4730</v>
      </c>
      <c r="BF131" s="101" t="str">
        <f t="shared" si="38"/>
        <v>2.060700</v>
      </c>
      <c r="BG131" s="101">
        <v>700</v>
      </c>
      <c r="BH131" s="92">
        <v>110</v>
      </c>
      <c r="BI131" s="92">
        <v>485</v>
      </c>
      <c r="BJ131" s="92">
        <v>645</v>
      </c>
      <c r="BK131" s="92">
        <v>970</v>
      </c>
      <c r="BL131" s="202">
        <v>1455</v>
      </c>
      <c r="BM131" s="202">
        <v>2425</v>
      </c>
      <c r="BN131" s="202">
        <v>4040</v>
      </c>
      <c r="BP131" s="101" t="str">
        <f t="shared" si="39"/>
        <v>3.060700</v>
      </c>
      <c r="BQ131" s="101">
        <v>700</v>
      </c>
      <c r="BR131" s="92">
        <v>110</v>
      </c>
      <c r="BS131" s="92">
        <v>570</v>
      </c>
      <c r="BT131" s="92">
        <v>755</v>
      </c>
      <c r="BU131" s="202">
        <v>1135</v>
      </c>
      <c r="BV131" s="202">
        <v>1705</v>
      </c>
      <c r="BW131" s="202">
        <v>2840</v>
      </c>
      <c r="BX131" s="202">
        <v>4730</v>
      </c>
    </row>
    <row r="132" spans="1:76">
      <c r="A132" s="95"/>
      <c r="B132" s="96"/>
      <c r="C132" s="95"/>
      <c r="D132" s="95"/>
      <c r="E132" s="95"/>
      <c r="F132" s="95"/>
      <c r="G132" s="95"/>
      <c r="H132" s="95"/>
      <c r="I132" s="95"/>
      <c r="J132" s="95"/>
      <c r="K132" s="95"/>
      <c r="L132" s="95"/>
      <c r="M132" s="95"/>
      <c r="N132" s="95"/>
      <c r="O132" s="95"/>
      <c r="P132" s="95"/>
      <c r="Q132" s="95"/>
      <c r="R132" s="95"/>
      <c r="S132" s="99" t="s">
        <v>98</v>
      </c>
      <c r="T132" s="204" t="s">
        <v>98</v>
      </c>
      <c r="U132" s="98"/>
      <c r="V132" s="98">
        <f t="shared" si="40"/>
        <v>1000</v>
      </c>
      <c r="W132" s="98">
        <f t="shared" si="40"/>
        <v>940</v>
      </c>
      <c r="X132" s="98">
        <f t="shared" si="40"/>
        <v>885</v>
      </c>
      <c r="Y132" s="98">
        <f t="shared" si="40"/>
        <v>840</v>
      </c>
      <c r="Z132" s="98">
        <f t="shared" si="40"/>
        <v>795</v>
      </c>
      <c r="AA132" s="98">
        <f t="shared" si="40"/>
        <v>750</v>
      </c>
      <c r="AB132" s="98">
        <f t="shared" si="40"/>
        <v>735</v>
      </c>
      <c r="AC132" s="98">
        <f t="shared" si="40"/>
        <v>720</v>
      </c>
      <c r="AD132" s="98">
        <f t="shared" si="40"/>
        <v>710</v>
      </c>
      <c r="AE132" s="98">
        <f t="shared" si="40"/>
        <v>675</v>
      </c>
      <c r="AF132" s="98">
        <f t="shared" si="41"/>
        <v>0</v>
      </c>
      <c r="AG132" s="98">
        <f t="shared" si="41"/>
        <v>0</v>
      </c>
      <c r="AH132" s="98">
        <f t="shared" si="41"/>
        <v>0</v>
      </c>
      <c r="AI132" s="98">
        <f t="shared" si="41"/>
        <v>0</v>
      </c>
      <c r="AJ132" s="98">
        <f t="shared" si="41"/>
        <v>0</v>
      </c>
      <c r="AK132" s="98">
        <f t="shared" si="41"/>
        <v>0</v>
      </c>
      <c r="AL132" s="98">
        <f t="shared" si="41"/>
        <v>0</v>
      </c>
      <c r="AM132" s="98">
        <f t="shared" si="41"/>
        <v>0</v>
      </c>
      <c r="AN132" s="98">
        <f t="shared" si="41"/>
        <v>0</v>
      </c>
      <c r="AO132" s="98">
        <f t="shared" si="41"/>
        <v>0</v>
      </c>
      <c r="AP132" s="98">
        <f t="shared" si="41"/>
        <v>0</v>
      </c>
      <c r="AQ132" s="98">
        <f t="shared" si="41"/>
        <v>0</v>
      </c>
      <c r="AR132" s="98">
        <f t="shared" si="41"/>
        <v>0</v>
      </c>
      <c r="AS132" s="98">
        <f t="shared" si="41"/>
        <v>0</v>
      </c>
      <c r="AV132" s="101" t="str">
        <f t="shared" si="37"/>
        <v>1.070750</v>
      </c>
      <c r="AW132" s="101">
        <v>750</v>
      </c>
      <c r="AX132" s="92">
        <v>95</v>
      </c>
      <c r="AY132" s="92">
        <v>530</v>
      </c>
      <c r="AZ132" s="92">
        <v>710</v>
      </c>
      <c r="BA132" s="202">
        <v>1065</v>
      </c>
      <c r="BB132" s="202">
        <v>1595</v>
      </c>
      <c r="BC132" s="202">
        <v>2660</v>
      </c>
      <c r="BD132" s="202">
        <v>4430</v>
      </c>
      <c r="BF132" s="101" t="str">
        <f t="shared" si="38"/>
        <v>2.060750</v>
      </c>
      <c r="BG132" s="101">
        <v>750</v>
      </c>
      <c r="BH132" s="92">
        <v>95</v>
      </c>
      <c r="BI132" s="92">
        <v>480</v>
      </c>
      <c r="BJ132" s="92">
        <v>640</v>
      </c>
      <c r="BK132" s="92">
        <v>960</v>
      </c>
      <c r="BL132" s="202">
        <v>1440</v>
      </c>
      <c r="BM132" s="202">
        <v>2400</v>
      </c>
      <c r="BN132" s="202">
        <v>4000</v>
      </c>
      <c r="BP132" s="101" t="str">
        <f t="shared" si="39"/>
        <v>3.060750</v>
      </c>
      <c r="BQ132" s="101">
        <v>750</v>
      </c>
      <c r="BR132" s="92">
        <v>95</v>
      </c>
      <c r="BS132" s="92">
        <v>530</v>
      </c>
      <c r="BT132" s="92">
        <v>710</v>
      </c>
      <c r="BU132" s="202">
        <v>1065</v>
      </c>
      <c r="BV132" s="202">
        <v>1595</v>
      </c>
      <c r="BW132" s="202">
        <v>2660</v>
      </c>
      <c r="BX132" s="202">
        <v>4430</v>
      </c>
    </row>
    <row r="133" spans="1:76">
      <c r="A133" s="95"/>
      <c r="B133" s="96"/>
      <c r="C133" s="95"/>
      <c r="D133" s="95"/>
      <c r="E133" s="95"/>
      <c r="F133" s="95"/>
      <c r="G133" s="95"/>
      <c r="H133" s="95"/>
      <c r="I133" s="95"/>
      <c r="J133" s="95"/>
      <c r="K133" s="95"/>
      <c r="L133" s="95"/>
      <c r="M133" s="95"/>
      <c r="N133" s="95"/>
      <c r="O133" s="95"/>
      <c r="P133" s="95"/>
      <c r="Q133" s="95"/>
      <c r="R133" s="95"/>
      <c r="S133" s="99" t="s">
        <v>99</v>
      </c>
      <c r="T133" s="204" t="s">
        <v>99</v>
      </c>
      <c r="U133" s="98"/>
      <c r="V133" s="98">
        <f t="shared" si="40"/>
        <v>960</v>
      </c>
      <c r="W133" s="98">
        <f t="shared" si="40"/>
        <v>865</v>
      </c>
      <c r="X133" s="98">
        <f t="shared" si="40"/>
        <v>800</v>
      </c>
      <c r="Y133" s="98">
        <f t="shared" si="40"/>
        <v>750</v>
      </c>
      <c r="Z133" s="98">
        <f t="shared" si="40"/>
        <v>715</v>
      </c>
      <c r="AA133" s="98">
        <f t="shared" si="40"/>
        <v>690</v>
      </c>
      <c r="AB133" s="98">
        <f t="shared" si="40"/>
        <v>680</v>
      </c>
      <c r="AC133" s="98">
        <f t="shared" si="40"/>
        <v>675</v>
      </c>
      <c r="AD133" s="98">
        <f t="shared" si="40"/>
        <v>670</v>
      </c>
      <c r="AE133" s="98">
        <f t="shared" si="40"/>
        <v>665</v>
      </c>
      <c r="AF133" s="98">
        <f t="shared" si="41"/>
        <v>650</v>
      </c>
      <c r="AG133" s="98">
        <f t="shared" si="41"/>
        <v>600</v>
      </c>
      <c r="AH133" s="98">
        <f t="shared" si="41"/>
        <v>515</v>
      </c>
      <c r="AI133" s="98">
        <f t="shared" si="41"/>
        <v>485</v>
      </c>
      <c r="AJ133" s="98">
        <f t="shared" si="41"/>
        <v>0</v>
      </c>
      <c r="AK133" s="98">
        <f t="shared" si="41"/>
        <v>0</v>
      </c>
      <c r="AL133" s="98">
        <f t="shared" si="41"/>
        <v>0</v>
      </c>
      <c r="AM133" s="98">
        <f t="shared" si="41"/>
        <v>0</v>
      </c>
      <c r="AN133" s="98">
        <f t="shared" si="41"/>
        <v>0</v>
      </c>
      <c r="AO133" s="98">
        <f t="shared" si="41"/>
        <v>0</v>
      </c>
      <c r="AP133" s="98">
        <f t="shared" si="41"/>
        <v>0</v>
      </c>
      <c r="AQ133" s="98">
        <f t="shared" si="41"/>
        <v>0</v>
      </c>
      <c r="AR133" s="98">
        <f t="shared" si="41"/>
        <v>0</v>
      </c>
      <c r="AS133" s="98">
        <f t="shared" si="41"/>
        <v>0</v>
      </c>
      <c r="AV133" s="101" t="str">
        <f t="shared" si="37"/>
        <v>1.070800</v>
      </c>
      <c r="AW133" s="101">
        <v>800</v>
      </c>
      <c r="AX133" s="92">
        <v>80</v>
      </c>
      <c r="AY133" s="92">
        <v>510</v>
      </c>
      <c r="AZ133" s="92">
        <v>675</v>
      </c>
      <c r="BA133" s="202">
        <v>1015</v>
      </c>
      <c r="BB133" s="202">
        <v>1525</v>
      </c>
      <c r="BC133" s="202">
        <v>2540</v>
      </c>
      <c r="BD133" s="202">
        <v>4230</v>
      </c>
      <c r="BF133" s="101" t="str">
        <f t="shared" si="38"/>
        <v>2.060800</v>
      </c>
      <c r="BG133" s="101">
        <v>800</v>
      </c>
      <c r="BH133" s="92">
        <v>80</v>
      </c>
      <c r="BI133" s="92">
        <v>475</v>
      </c>
      <c r="BJ133" s="92">
        <v>630</v>
      </c>
      <c r="BK133" s="92">
        <v>945</v>
      </c>
      <c r="BL133" s="202">
        <v>1420</v>
      </c>
      <c r="BM133" s="202">
        <v>2365</v>
      </c>
      <c r="BN133" s="202">
        <v>3940</v>
      </c>
      <c r="BP133" s="101" t="str">
        <f t="shared" si="39"/>
        <v>3.060800</v>
      </c>
      <c r="BQ133" s="101">
        <v>800</v>
      </c>
      <c r="BR133" s="92">
        <v>80</v>
      </c>
      <c r="BS133" s="92">
        <v>510</v>
      </c>
      <c r="BT133" s="92">
        <v>675</v>
      </c>
      <c r="BU133" s="202">
        <v>1015</v>
      </c>
      <c r="BV133" s="202">
        <v>1525</v>
      </c>
      <c r="BW133" s="202">
        <v>2540</v>
      </c>
      <c r="BX133" s="202">
        <v>4230</v>
      </c>
    </row>
    <row r="134" spans="1:76">
      <c r="A134" s="95"/>
      <c r="B134" s="96"/>
      <c r="C134" s="95"/>
      <c r="D134" s="95"/>
      <c r="E134" s="95"/>
      <c r="F134" s="95"/>
      <c r="G134" s="95"/>
      <c r="H134" s="95"/>
      <c r="I134" s="95"/>
      <c r="J134" s="95"/>
      <c r="K134" s="95"/>
      <c r="L134" s="95"/>
      <c r="M134" s="95"/>
      <c r="N134" s="95"/>
      <c r="O134" s="95"/>
      <c r="P134" s="95"/>
      <c r="Q134" s="95"/>
      <c r="R134" s="95"/>
      <c r="S134" s="99" t="s">
        <v>100</v>
      </c>
      <c r="T134" s="204" t="s">
        <v>100</v>
      </c>
      <c r="U134" s="98"/>
      <c r="V134" s="98">
        <f t="shared" si="40"/>
        <v>800</v>
      </c>
      <c r="W134" s="98">
        <f t="shared" si="40"/>
        <v>735</v>
      </c>
      <c r="X134" s="98">
        <f t="shared" si="40"/>
        <v>695</v>
      </c>
      <c r="Y134" s="98">
        <f t="shared" si="40"/>
        <v>655</v>
      </c>
      <c r="Z134" s="98">
        <f t="shared" si="40"/>
        <v>620</v>
      </c>
      <c r="AA134" s="98">
        <f t="shared" si="40"/>
        <v>585</v>
      </c>
      <c r="AB134" s="98">
        <f t="shared" si="40"/>
        <v>575</v>
      </c>
      <c r="AC134" s="98">
        <f t="shared" si="40"/>
        <v>555</v>
      </c>
      <c r="AD134" s="98">
        <f t="shared" si="40"/>
        <v>545</v>
      </c>
      <c r="AE134" s="98">
        <f t="shared" si="40"/>
        <v>535</v>
      </c>
      <c r="AF134" s="98">
        <f t="shared" si="41"/>
        <v>525</v>
      </c>
      <c r="AG134" s="98">
        <f t="shared" si="41"/>
        <v>515</v>
      </c>
      <c r="AH134" s="98">
        <f t="shared" si="41"/>
        <v>505</v>
      </c>
      <c r="AI134" s="98">
        <f t="shared" si="41"/>
        <v>485</v>
      </c>
      <c r="AJ134" s="98">
        <f t="shared" si="41"/>
        <v>465</v>
      </c>
      <c r="AK134" s="98">
        <f t="shared" si="41"/>
        <v>430</v>
      </c>
      <c r="AL134" s="98">
        <f t="shared" si="41"/>
        <v>365</v>
      </c>
      <c r="AM134" s="98">
        <f t="shared" si="41"/>
        <v>275</v>
      </c>
      <c r="AN134" s="98">
        <f t="shared" si="41"/>
        <v>245</v>
      </c>
      <c r="AO134" s="98">
        <f t="shared" si="41"/>
        <v>185</v>
      </c>
      <c r="AP134" s="98">
        <f t="shared" si="41"/>
        <v>140</v>
      </c>
      <c r="AQ134" s="98">
        <f t="shared" si="41"/>
        <v>100</v>
      </c>
      <c r="AR134" s="98">
        <f t="shared" si="41"/>
        <v>80</v>
      </c>
      <c r="AS134" s="98">
        <f t="shared" si="41"/>
        <v>55</v>
      </c>
      <c r="AV134" s="101" t="str">
        <f t="shared" si="37"/>
        <v>1.070850</v>
      </c>
      <c r="AW134" s="101">
        <v>850</v>
      </c>
      <c r="AX134" s="92">
        <v>65</v>
      </c>
      <c r="AY134" s="92">
        <v>485</v>
      </c>
      <c r="AZ134" s="92">
        <v>650</v>
      </c>
      <c r="BA134" s="92">
        <v>975</v>
      </c>
      <c r="BB134" s="202">
        <v>1460</v>
      </c>
      <c r="BC134" s="202">
        <v>2435</v>
      </c>
      <c r="BD134" s="202">
        <v>4060</v>
      </c>
      <c r="BF134" s="101" t="str">
        <f t="shared" si="38"/>
        <v>2.060850</v>
      </c>
      <c r="BG134" s="101">
        <v>850</v>
      </c>
      <c r="BH134" s="92">
        <v>65</v>
      </c>
      <c r="BI134" s="92">
        <v>465</v>
      </c>
      <c r="BJ134" s="92">
        <v>620</v>
      </c>
      <c r="BK134" s="92">
        <v>930</v>
      </c>
      <c r="BL134" s="202">
        <v>1395</v>
      </c>
      <c r="BM134" s="202">
        <v>2330</v>
      </c>
      <c r="BN134" s="202">
        <v>3880</v>
      </c>
      <c r="BP134" s="101" t="str">
        <f t="shared" si="39"/>
        <v>3.060850</v>
      </c>
      <c r="BQ134" s="101">
        <v>850</v>
      </c>
      <c r="BR134" s="92">
        <v>65</v>
      </c>
      <c r="BS134" s="92">
        <v>485</v>
      </c>
      <c r="BT134" s="92">
        <v>650</v>
      </c>
      <c r="BU134" s="92">
        <v>975</v>
      </c>
      <c r="BV134" s="202">
        <v>1460</v>
      </c>
      <c r="BW134" s="202">
        <v>2435</v>
      </c>
      <c r="BX134" s="202">
        <v>4060</v>
      </c>
    </row>
    <row r="135" spans="1:76">
      <c r="A135" s="95"/>
      <c r="B135" s="96"/>
      <c r="C135" s="95"/>
      <c r="D135" s="95"/>
      <c r="E135" s="95"/>
      <c r="F135" s="95"/>
      <c r="G135" s="95"/>
      <c r="H135" s="95"/>
      <c r="I135" s="95"/>
      <c r="J135" s="95"/>
      <c r="K135" s="95"/>
      <c r="L135" s="95"/>
      <c r="M135" s="95"/>
      <c r="N135" s="95"/>
      <c r="O135" s="95"/>
      <c r="P135" s="95"/>
      <c r="Q135" s="95"/>
      <c r="R135" s="95"/>
      <c r="S135" s="99" t="s">
        <v>101</v>
      </c>
      <c r="T135" s="204" t="s">
        <v>101</v>
      </c>
      <c r="U135" s="98"/>
      <c r="V135" s="98">
        <f t="shared" si="40"/>
        <v>960</v>
      </c>
      <c r="W135" s="98">
        <f t="shared" si="40"/>
        <v>850</v>
      </c>
      <c r="X135" s="98">
        <f t="shared" si="40"/>
        <v>790</v>
      </c>
      <c r="Y135" s="98">
        <f t="shared" si="40"/>
        <v>740</v>
      </c>
      <c r="Z135" s="98">
        <f t="shared" si="40"/>
        <v>705</v>
      </c>
      <c r="AA135" s="98">
        <f t="shared" si="40"/>
        <v>670</v>
      </c>
      <c r="AB135" s="98">
        <f t="shared" si="40"/>
        <v>660</v>
      </c>
      <c r="AC135" s="98">
        <f t="shared" si="40"/>
        <v>645</v>
      </c>
      <c r="AD135" s="98">
        <f t="shared" si="40"/>
        <v>630</v>
      </c>
      <c r="AE135" s="98">
        <f t="shared" si="40"/>
        <v>620</v>
      </c>
      <c r="AF135" s="98">
        <f t="shared" si="41"/>
        <v>605</v>
      </c>
      <c r="AG135" s="98">
        <f t="shared" si="41"/>
        <v>590</v>
      </c>
      <c r="AH135" s="98">
        <f t="shared" si="41"/>
        <v>515</v>
      </c>
      <c r="AI135" s="98">
        <f t="shared" si="41"/>
        <v>485</v>
      </c>
      <c r="AJ135" s="98">
        <f t="shared" si="41"/>
        <v>455</v>
      </c>
      <c r="AK135" s="98">
        <f t="shared" si="41"/>
        <v>355</v>
      </c>
      <c r="AL135" s="98">
        <f t="shared" si="41"/>
        <v>275</v>
      </c>
      <c r="AM135" s="98">
        <f t="shared" si="41"/>
        <v>215</v>
      </c>
      <c r="AN135" s="98">
        <f t="shared" si="41"/>
        <v>175</v>
      </c>
      <c r="AO135" s="98">
        <f t="shared" si="41"/>
        <v>140</v>
      </c>
      <c r="AP135" s="98">
        <f t="shared" si="41"/>
        <v>110</v>
      </c>
      <c r="AQ135" s="98">
        <f t="shared" si="41"/>
        <v>80</v>
      </c>
      <c r="AR135" s="98">
        <f t="shared" si="41"/>
        <v>70</v>
      </c>
      <c r="AS135" s="98">
        <f t="shared" si="41"/>
        <v>50</v>
      </c>
      <c r="AV135" s="101" t="str">
        <f t="shared" si="37"/>
        <v>1.070900</v>
      </c>
      <c r="AW135" s="101">
        <v>900</v>
      </c>
      <c r="AX135" s="92">
        <v>50</v>
      </c>
      <c r="AY135" s="92">
        <v>450</v>
      </c>
      <c r="AZ135" s="92">
        <v>600</v>
      </c>
      <c r="BA135" s="92">
        <v>900</v>
      </c>
      <c r="BB135" s="202">
        <v>1350</v>
      </c>
      <c r="BC135" s="202">
        <v>2245</v>
      </c>
      <c r="BD135" s="202">
        <v>3745</v>
      </c>
      <c r="BF135" s="101" t="str">
        <f t="shared" si="38"/>
        <v>2.060900</v>
      </c>
      <c r="BG135" s="101">
        <v>900</v>
      </c>
      <c r="BH135" s="92">
        <v>50</v>
      </c>
      <c r="BI135" s="92">
        <v>450</v>
      </c>
      <c r="BJ135" s="92">
        <v>600</v>
      </c>
      <c r="BK135" s="92">
        <v>900</v>
      </c>
      <c r="BL135" s="202">
        <v>1350</v>
      </c>
      <c r="BM135" s="202">
        <v>2245</v>
      </c>
      <c r="BN135" s="202">
        <v>3745</v>
      </c>
      <c r="BP135" s="101" t="str">
        <f t="shared" si="39"/>
        <v>3.060900</v>
      </c>
      <c r="BQ135" s="101">
        <v>900</v>
      </c>
      <c r="BR135" s="92">
        <v>50</v>
      </c>
      <c r="BS135" s="92">
        <v>450</v>
      </c>
      <c r="BT135" s="92">
        <v>600</v>
      </c>
      <c r="BU135" s="92">
        <v>900</v>
      </c>
      <c r="BV135" s="202">
        <v>1350</v>
      </c>
      <c r="BW135" s="202">
        <v>2245</v>
      </c>
      <c r="BX135" s="202">
        <v>3745</v>
      </c>
    </row>
    <row r="136" spans="1:76">
      <c r="A136" s="95"/>
      <c r="B136" s="96"/>
      <c r="C136" s="95"/>
      <c r="D136" s="95"/>
      <c r="E136" s="95"/>
      <c r="F136" s="95"/>
      <c r="G136" s="95"/>
      <c r="H136" s="95"/>
      <c r="I136" s="95"/>
      <c r="J136" s="95"/>
      <c r="K136" s="95"/>
      <c r="L136" s="95"/>
      <c r="M136" s="95"/>
      <c r="N136" s="95"/>
      <c r="O136" s="95"/>
      <c r="P136" s="95"/>
      <c r="Q136" s="95"/>
      <c r="R136" s="95"/>
      <c r="S136" s="99" t="s">
        <v>213</v>
      </c>
      <c r="T136" s="204" t="s">
        <v>213</v>
      </c>
      <c r="U136" s="98"/>
      <c r="V136" s="98">
        <f t="shared" si="40"/>
        <v>800</v>
      </c>
      <c r="W136" s="98">
        <f t="shared" si="40"/>
        <v>690</v>
      </c>
      <c r="X136" s="98">
        <f t="shared" si="40"/>
        <v>620</v>
      </c>
      <c r="Y136" s="98">
        <f t="shared" si="40"/>
        <v>565</v>
      </c>
      <c r="Z136" s="98">
        <f t="shared" si="40"/>
        <v>520</v>
      </c>
      <c r="AA136" s="98">
        <f t="shared" si="40"/>
        <v>480</v>
      </c>
      <c r="AB136" s="98">
        <f t="shared" si="40"/>
        <v>0</v>
      </c>
      <c r="AC136" s="98">
        <f t="shared" si="40"/>
        <v>0</v>
      </c>
      <c r="AD136" s="98">
        <f t="shared" si="40"/>
        <v>0</v>
      </c>
      <c r="AE136" s="98">
        <f t="shared" si="40"/>
        <v>0</v>
      </c>
      <c r="AF136" s="98">
        <f t="shared" si="41"/>
        <v>0</v>
      </c>
      <c r="AG136" s="98">
        <f t="shared" si="41"/>
        <v>0</v>
      </c>
      <c r="AH136" s="98">
        <f t="shared" si="41"/>
        <v>0</v>
      </c>
      <c r="AI136" s="98">
        <f t="shared" si="41"/>
        <v>0</v>
      </c>
      <c r="AJ136" s="98">
        <f t="shared" si="41"/>
        <v>0</v>
      </c>
      <c r="AK136" s="98">
        <f t="shared" si="41"/>
        <v>0</v>
      </c>
      <c r="AL136" s="98">
        <f t="shared" si="41"/>
        <v>0</v>
      </c>
      <c r="AM136" s="98">
        <f t="shared" si="41"/>
        <v>0</v>
      </c>
      <c r="AN136" s="98">
        <f t="shared" si="41"/>
        <v>0</v>
      </c>
      <c r="AO136" s="98">
        <f t="shared" si="41"/>
        <v>0</v>
      </c>
      <c r="AP136" s="98">
        <f t="shared" si="41"/>
        <v>0</v>
      </c>
      <c r="AQ136" s="98">
        <f t="shared" si="41"/>
        <v>0</v>
      </c>
      <c r="AR136" s="98">
        <f t="shared" si="41"/>
        <v>0</v>
      </c>
      <c r="AS136" s="98">
        <f t="shared" si="41"/>
        <v>0</v>
      </c>
      <c r="AV136" s="101" t="str">
        <f t="shared" si="37"/>
        <v>1.070950</v>
      </c>
      <c r="AW136" s="101">
        <v>950</v>
      </c>
      <c r="AX136" s="92">
        <v>35</v>
      </c>
      <c r="AY136" s="92">
        <v>315</v>
      </c>
      <c r="AZ136" s="92">
        <v>420</v>
      </c>
      <c r="BA136" s="92">
        <v>630</v>
      </c>
      <c r="BB136" s="92">
        <v>945</v>
      </c>
      <c r="BC136" s="202">
        <v>1575</v>
      </c>
      <c r="BD136" s="202">
        <v>2630</v>
      </c>
      <c r="BF136" s="101" t="str">
        <f t="shared" si="38"/>
        <v>2.060950</v>
      </c>
      <c r="BG136" s="101">
        <v>950</v>
      </c>
      <c r="BH136" s="92">
        <v>35</v>
      </c>
      <c r="BI136" s="92">
        <v>385</v>
      </c>
      <c r="BJ136" s="92">
        <v>515</v>
      </c>
      <c r="BK136" s="92">
        <v>775</v>
      </c>
      <c r="BL136" s="202">
        <v>1160</v>
      </c>
      <c r="BM136" s="202">
        <v>1930</v>
      </c>
      <c r="BN136" s="202">
        <v>3220</v>
      </c>
      <c r="BP136" s="101" t="str">
        <f t="shared" si="39"/>
        <v>3.060950</v>
      </c>
      <c r="BQ136" s="101">
        <v>950</v>
      </c>
      <c r="BR136" s="92">
        <v>35</v>
      </c>
      <c r="BS136" s="92">
        <v>385</v>
      </c>
      <c r="BT136" s="92">
        <v>515</v>
      </c>
      <c r="BU136" s="92">
        <v>775</v>
      </c>
      <c r="BV136" s="202">
        <v>1160</v>
      </c>
      <c r="BW136" s="202">
        <v>1930</v>
      </c>
      <c r="BX136" s="202">
        <v>3220</v>
      </c>
    </row>
    <row r="137" spans="1:76">
      <c r="A137" s="95"/>
      <c r="B137" s="96"/>
      <c r="C137" s="95"/>
      <c r="D137" s="95"/>
      <c r="E137" s="95"/>
      <c r="F137" s="95"/>
      <c r="G137" s="95"/>
      <c r="H137" s="95"/>
      <c r="I137" s="95"/>
      <c r="J137" s="95"/>
      <c r="K137" s="95"/>
      <c r="L137" s="95"/>
      <c r="M137" s="95"/>
      <c r="N137" s="95"/>
      <c r="O137" s="95"/>
      <c r="P137" s="95"/>
      <c r="Q137" s="95"/>
      <c r="R137" s="95"/>
      <c r="S137" s="99" t="s">
        <v>214</v>
      </c>
      <c r="T137" s="204" t="s">
        <v>214</v>
      </c>
      <c r="U137" s="98"/>
      <c r="V137" s="98">
        <f t="shared" si="40"/>
        <v>1000</v>
      </c>
      <c r="W137" s="98">
        <f t="shared" si="40"/>
        <v>1000</v>
      </c>
      <c r="X137" s="98">
        <f t="shared" si="40"/>
        <v>970</v>
      </c>
      <c r="Y137" s="98">
        <f t="shared" si="40"/>
        <v>940</v>
      </c>
      <c r="Z137" s="98">
        <f t="shared" si="40"/>
        <v>885</v>
      </c>
      <c r="AA137" s="98">
        <f t="shared" si="40"/>
        <v>805</v>
      </c>
      <c r="AB137" s="98">
        <f t="shared" si="40"/>
        <v>785</v>
      </c>
      <c r="AC137" s="98">
        <f t="shared" si="40"/>
        <v>755</v>
      </c>
      <c r="AD137" s="98">
        <f t="shared" si="40"/>
        <v>710</v>
      </c>
      <c r="AE137" s="98">
        <f t="shared" si="40"/>
        <v>675</v>
      </c>
      <c r="AF137" s="98">
        <f t="shared" si="41"/>
        <v>650</v>
      </c>
      <c r="AG137" s="98">
        <f t="shared" si="41"/>
        <v>600</v>
      </c>
      <c r="AH137" s="98">
        <f t="shared" si="41"/>
        <v>515</v>
      </c>
      <c r="AI137" s="98">
        <f t="shared" si="41"/>
        <v>485</v>
      </c>
      <c r="AJ137" s="98">
        <f t="shared" si="41"/>
        <v>480</v>
      </c>
      <c r="AK137" s="98">
        <f t="shared" si="41"/>
        <v>430</v>
      </c>
      <c r="AL137" s="98">
        <f t="shared" si="41"/>
        <v>365</v>
      </c>
      <c r="AM137" s="98">
        <f t="shared" si="41"/>
        <v>275</v>
      </c>
      <c r="AN137" s="98">
        <f t="shared" si="41"/>
        <v>245</v>
      </c>
      <c r="AO137" s="98">
        <f t="shared" si="41"/>
        <v>185</v>
      </c>
      <c r="AP137" s="98">
        <f t="shared" si="41"/>
        <v>140</v>
      </c>
      <c r="AQ137" s="98">
        <f t="shared" si="41"/>
        <v>100</v>
      </c>
      <c r="AR137" s="98">
        <f t="shared" si="41"/>
        <v>80</v>
      </c>
      <c r="AS137" s="98">
        <f t="shared" si="41"/>
        <v>55</v>
      </c>
      <c r="AV137" s="101" t="str">
        <f t="shared" si="37"/>
        <v>1.071000</v>
      </c>
      <c r="AW137" s="101">
        <v>1000</v>
      </c>
      <c r="AX137" s="92">
        <v>20</v>
      </c>
      <c r="AY137" s="92">
        <v>200</v>
      </c>
      <c r="AZ137" s="92">
        <v>270</v>
      </c>
      <c r="BA137" s="92">
        <v>405</v>
      </c>
      <c r="BB137" s="92">
        <v>605</v>
      </c>
      <c r="BC137" s="202">
        <v>1010</v>
      </c>
      <c r="BD137" s="202">
        <v>1685</v>
      </c>
      <c r="BF137" s="101" t="str">
        <f t="shared" si="38"/>
        <v>2.061000</v>
      </c>
      <c r="BG137" s="101">
        <v>1000</v>
      </c>
      <c r="BH137" s="92">
        <v>20</v>
      </c>
      <c r="BI137" s="92">
        <v>365</v>
      </c>
      <c r="BJ137" s="92">
        <v>485</v>
      </c>
      <c r="BK137" s="92">
        <v>725</v>
      </c>
      <c r="BL137" s="202">
        <v>1090</v>
      </c>
      <c r="BM137" s="202">
        <v>1820</v>
      </c>
      <c r="BN137" s="202">
        <v>3030</v>
      </c>
      <c r="BP137" s="101" t="str">
        <f t="shared" si="39"/>
        <v>3.061000</v>
      </c>
      <c r="BQ137" s="101">
        <v>1000</v>
      </c>
      <c r="BR137" s="92">
        <v>20</v>
      </c>
      <c r="BS137" s="92">
        <v>365</v>
      </c>
      <c r="BT137" s="92">
        <v>485</v>
      </c>
      <c r="BU137" s="92">
        <v>725</v>
      </c>
      <c r="BV137" s="202">
        <v>1090</v>
      </c>
      <c r="BW137" s="202">
        <v>1820</v>
      </c>
      <c r="BX137" s="202">
        <v>3030</v>
      </c>
    </row>
    <row r="138" spans="1:76">
      <c r="A138" s="95"/>
      <c r="B138" s="96"/>
      <c r="C138" s="95"/>
      <c r="D138" s="95"/>
      <c r="E138" s="95"/>
      <c r="F138" s="95"/>
      <c r="G138" s="95"/>
      <c r="H138" s="95"/>
      <c r="I138" s="95"/>
      <c r="J138" s="95"/>
      <c r="K138" s="95"/>
      <c r="L138" s="95"/>
      <c r="M138" s="95"/>
      <c r="N138" s="95"/>
      <c r="O138" s="95"/>
      <c r="P138" s="95"/>
      <c r="Q138" s="95"/>
      <c r="R138" s="95"/>
      <c r="S138" s="99"/>
      <c r="T138" s="98"/>
      <c r="U138" s="98"/>
      <c r="V138" s="117">
        <v>600</v>
      </c>
      <c r="W138" s="98">
        <v>100</v>
      </c>
      <c r="X138" s="98">
        <v>1500</v>
      </c>
      <c r="Y138" s="98"/>
      <c r="Z138" s="98"/>
      <c r="AA138" s="98"/>
      <c r="AB138" s="98"/>
      <c r="AC138" s="98"/>
      <c r="AD138" s="98"/>
      <c r="AE138" s="98"/>
      <c r="AF138" s="98"/>
      <c r="AG138" s="98"/>
      <c r="AH138" s="98"/>
      <c r="AI138" s="98"/>
      <c r="AJ138" s="98"/>
      <c r="AK138" s="98"/>
      <c r="AL138" s="98"/>
      <c r="AM138" s="98"/>
      <c r="AN138" s="98"/>
      <c r="AO138" s="98"/>
      <c r="AP138" s="98"/>
      <c r="AQ138" s="98"/>
      <c r="AR138" s="98"/>
      <c r="AS138" s="98"/>
      <c r="AV138" s="101" t="str">
        <f t="shared" si="37"/>
        <v>1.071050</v>
      </c>
      <c r="AW138" s="101">
        <v>1050</v>
      </c>
      <c r="AY138" s="92">
        <v>160</v>
      </c>
      <c r="AZ138" s="92">
        <v>210</v>
      </c>
      <c r="BA138" s="92">
        <v>315</v>
      </c>
      <c r="BB138" s="92">
        <v>475</v>
      </c>
      <c r="BC138" s="92">
        <v>790</v>
      </c>
      <c r="BD138" s="202">
        <v>1315</v>
      </c>
      <c r="BF138" s="101" t="str">
        <f t="shared" si="38"/>
        <v>2.061050</v>
      </c>
      <c r="BG138" s="101">
        <v>1050</v>
      </c>
      <c r="BI138" s="92">
        <v>355</v>
      </c>
      <c r="BJ138" s="92">
        <v>470</v>
      </c>
      <c r="BK138" s="92">
        <v>705</v>
      </c>
      <c r="BL138" s="202">
        <v>1060</v>
      </c>
      <c r="BM138" s="202">
        <v>1765</v>
      </c>
      <c r="BN138" s="202">
        <v>2945</v>
      </c>
      <c r="BP138" s="101" t="str">
        <f t="shared" si="39"/>
        <v>3.061050</v>
      </c>
      <c r="BQ138" s="101">
        <v>1050</v>
      </c>
      <c r="BS138" s="92">
        <v>360</v>
      </c>
      <c r="BT138" s="92">
        <v>480</v>
      </c>
      <c r="BU138" s="92">
        <v>720</v>
      </c>
      <c r="BV138" s="202">
        <v>1080</v>
      </c>
      <c r="BW138" s="202">
        <v>1800</v>
      </c>
      <c r="BX138" s="202">
        <v>3000</v>
      </c>
    </row>
    <row r="139" spans="1:76">
      <c r="A139" s="95"/>
      <c r="B139" s="96"/>
      <c r="C139" s="95"/>
      <c r="D139" s="95"/>
      <c r="E139" s="95"/>
      <c r="F139" s="95"/>
      <c r="G139" s="95"/>
      <c r="H139" s="95"/>
      <c r="I139" s="95"/>
      <c r="J139" s="95"/>
      <c r="K139" s="95"/>
      <c r="L139" s="95"/>
      <c r="M139" s="95"/>
      <c r="N139" s="95"/>
      <c r="O139" s="95"/>
      <c r="P139" s="95"/>
      <c r="Q139" s="95"/>
      <c r="R139" s="95"/>
      <c r="S139" s="99">
        <v>1.1000000000000001</v>
      </c>
      <c r="T139" s="204" t="s">
        <v>192</v>
      </c>
      <c r="U139" s="98"/>
      <c r="V139" s="98">
        <f t="shared" ref="V139:AE152" si="42">VLOOKUP($T139&amp;TEXT(V$1,"0000"),$AV$4:$BD$339,6)</f>
        <v>1480</v>
      </c>
      <c r="W139" s="98">
        <f t="shared" si="42"/>
        <v>1360</v>
      </c>
      <c r="X139" s="98">
        <f t="shared" si="42"/>
        <v>1310</v>
      </c>
      <c r="Y139" s="98">
        <f t="shared" si="42"/>
        <v>1265</v>
      </c>
      <c r="Z139" s="98">
        <f t="shared" si="42"/>
        <v>1205</v>
      </c>
      <c r="AA139" s="98">
        <f t="shared" si="42"/>
        <v>1135</v>
      </c>
      <c r="AB139" s="98">
        <f t="shared" si="42"/>
        <v>1100</v>
      </c>
      <c r="AC139" s="98">
        <f t="shared" si="42"/>
        <v>1060</v>
      </c>
      <c r="AD139" s="98">
        <f t="shared" si="42"/>
        <v>1015</v>
      </c>
      <c r="AE139" s="98">
        <f t="shared" si="42"/>
        <v>825</v>
      </c>
      <c r="AF139" s="98">
        <f t="shared" ref="AF139:AS152" si="43">VLOOKUP($T139&amp;TEXT(AF$1,"0000"),$AV$4:$BD$339,6)</f>
        <v>640</v>
      </c>
      <c r="AG139" s="98">
        <f t="shared" si="43"/>
        <v>460</v>
      </c>
      <c r="AH139" s="98">
        <f t="shared" si="43"/>
        <v>275</v>
      </c>
      <c r="AI139" s="98">
        <f t="shared" si="43"/>
        <v>170</v>
      </c>
      <c r="AJ139" s="98">
        <f t="shared" si="43"/>
        <v>0</v>
      </c>
      <c r="AK139" s="98">
        <f t="shared" si="43"/>
        <v>0</v>
      </c>
      <c r="AL139" s="98">
        <f t="shared" si="43"/>
        <v>0</v>
      </c>
      <c r="AM139" s="98">
        <f t="shared" si="43"/>
        <v>0</v>
      </c>
      <c r="AN139" s="98">
        <f t="shared" si="43"/>
        <v>0</v>
      </c>
      <c r="AO139" s="98">
        <f t="shared" si="43"/>
        <v>0</v>
      </c>
      <c r="AP139" s="98">
        <f t="shared" si="43"/>
        <v>0</v>
      </c>
      <c r="AQ139" s="98">
        <f t="shared" si="43"/>
        <v>0</v>
      </c>
      <c r="AR139" s="98">
        <f t="shared" si="43"/>
        <v>0</v>
      </c>
      <c r="AS139" s="98">
        <f t="shared" si="43"/>
        <v>0</v>
      </c>
      <c r="AV139" s="101" t="str">
        <f t="shared" si="37"/>
        <v>1.071100</v>
      </c>
      <c r="AW139" s="101">
        <v>1100</v>
      </c>
      <c r="BF139" s="101" t="str">
        <f t="shared" si="38"/>
        <v>2.061100</v>
      </c>
      <c r="BG139" s="101">
        <v>1100</v>
      </c>
      <c r="BI139" s="92">
        <v>260</v>
      </c>
      <c r="BJ139" s="92">
        <v>345</v>
      </c>
      <c r="BK139" s="92">
        <v>520</v>
      </c>
      <c r="BL139" s="92">
        <v>780</v>
      </c>
      <c r="BM139" s="202">
        <v>1305</v>
      </c>
      <c r="BN139" s="202">
        <v>2170</v>
      </c>
      <c r="BP139" s="101" t="str">
        <f t="shared" si="39"/>
        <v>3.061100</v>
      </c>
      <c r="BQ139" s="101">
        <v>1100</v>
      </c>
      <c r="BS139" s="92">
        <v>325</v>
      </c>
      <c r="BT139" s="92">
        <v>430</v>
      </c>
      <c r="BU139" s="92">
        <v>645</v>
      </c>
      <c r="BV139" s="92">
        <v>965</v>
      </c>
      <c r="BW139" s="202">
        <v>1610</v>
      </c>
      <c r="BX139" s="202">
        <v>2685</v>
      </c>
    </row>
    <row r="140" spans="1:76">
      <c r="A140" s="95"/>
      <c r="B140" s="96"/>
      <c r="C140" s="95"/>
      <c r="D140" s="95"/>
      <c r="E140" s="95"/>
      <c r="F140" s="95"/>
      <c r="G140" s="95"/>
      <c r="H140" s="95"/>
      <c r="I140" s="95"/>
      <c r="J140" s="95"/>
      <c r="K140" s="95"/>
      <c r="L140" s="95"/>
      <c r="M140" s="95"/>
      <c r="N140" s="95"/>
      <c r="O140" s="95"/>
      <c r="P140" s="95"/>
      <c r="Q140" s="95"/>
      <c r="R140" s="95"/>
      <c r="S140" s="99" t="s">
        <v>70</v>
      </c>
      <c r="T140" s="204" t="s">
        <v>193</v>
      </c>
      <c r="U140" s="98"/>
      <c r="V140" s="98">
        <f t="shared" si="42"/>
        <v>1500</v>
      </c>
      <c r="W140" s="98">
        <f t="shared" si="42"/>
        <v>1500</v>
      </c>
      <c r="X140" s="98">
        <f t="shared" si="42"/>
        <v>1455</v>
      </c>
      <c r="Y140" s="98">
        <f t="shared" si="42"/>
        <v>1405</v>
      </c>
      <c r="Z140" s="98">
        <f t="shared" si="42"/>
        <v>1330</v>
      </c>
      <c r="AA140" s="98">
        <f t="shared" si="42"/>
        <v>1210</v>
      </c>
      <c r="AB140" s="98">
        <f t="shared" si="42"/>
        <v>1175</v>
      </c>
      <c r="AC140" s="98">
        <f t="shared" si="42"/>
        <v>1110</v>
      </c>
      <c r="AD140" s="98">
        <f t="shared" si="42"/>
        <v>1015</v>
      </c>
      <c r="AE140" s="98">
        <f t="shared" si="42"/>
        <v>825</v>
      </c>
      <c r="AF140" s="98">
        <f t="shared" si="43"/>
        <v>640</v>
      </c>
      <c r="AG140" s="98">
        <f t="shared" si="43"/>
        <v>445</v>
      </c>
      <c r="AH140" s="98">
        <f t="shared" si="43"/>
        <v>275</v>
      </c>
      <c r="AI140" s="98">
        <f t="shared" si="43"/>
        <v>170</v>
      </c>
      <c r="AJ140" s="98">
        <f t="shared" si="43"/>
        <v>0</v>
      </c>
      <c r="AK140" s="98">
        <f t="shared" si="43"/>
        <v>0</v>
      </c>
      <c r="AL140" s="98">
        <f t="shared" si="43"/>
        <v>0</v>
      </c>
      <c r="AM140" s="98">
        <f t="shared" si="43"/>
        <v>0</v>
      </c>
      <c r="AN140" s="98">
        <f t="shared" si="43"/>
        <v>0</v>
      </c>
      <c r="AO140" s="98">
        <f t="shared" si="43"/>
        <v>0</v>
      </c>
      <c r="AP140" s="98">
        <f t="shared" si="43"/>
        <v>0</v>
      </c>
      <c r="AQ140" s="98">
        <f t="shared" si="43"/>
        <v>0</v>
      </c>
      <c r="AR140" s="98">
        <f t="shared" si="43"/>
        <v>0</v>
      </c>
      <c r="AS140" s="98">
        <f t="shared" si="43"/>
        <v>0</v>
      </c>
      <c r="AV140" s="101" t="str">
        <f t="shared" si="37"/>
        <v>1.071150</v>
      </c>
      <c r="AW140" s="101">
        <v>1150</v>
      </c>
      <c r="BF140" s="101" t="str">
        <f t="shared" si="38"/>
        <v>2.061150</v>
      </c>
      <c r="BG140" s="101">
        <v>1150</v>
      </c>
      <c r="BI140" s="92">
        <v>190</v>
      </c>
      <c r="BJ140" s="92">
        <v>250</v>
      </c>
      <c r="BK140" s="92">
        <v>375</v>
      </c>
      <c r="BL140" s="92">
        <v>565</v>
      </c>
      <c r="BM140" s="92">
        <v>945</v>
      </c>
      <c r="BN140" s="202">
        <v>1570</v>
      </c>
      <c r="BP140" s="101" t="str">
        <f t="shared" si="39"/>
        <v>3.061150</v>
      </c>
      <c r="BQ140" s="101">
        <v>1150</v>
      </c>
      <c r="BS140" s="92">
        <v>275</v>
      </c>
      <c r="BT140" s="92">
        <v>365</v>
      </c>
      <c r="BU140" s="92">
        <v>550</v>
      </c>
      <c r="BV140" s="92">
        <v>825</v>
      </c>
      <c r="BW140" s="202">
        <v>1370</v>
      </c>
      <c r="BX140" s="202">
        <v>2285</v>
      </c>
    </row>
    <row r="141" spans="1:76">
      <c r="A141" s="95"/>
      <c r="B141" s="96"/>
      <c r="C141" s="95"/>
      <c r="D141" s="95"/>
      <c r="E141" s="95"/>
      <c r="F141" s="95"/>
      <c r="G141" s="95"/>
      <c r="H141" s="95"/>
      <c r="I141" s="95"/>
      <c r="J141" s="95"/>
      <c r="K141" s="95"/>
      <c r="L141" s="95"/>
      <c r="M141" s="95"/>
      <c r="N141" s="95"/>
      <c r="O141" s="95"/>
      <c r="P141" s="95"/>
      <c r="Q141" s="95"/>
      <c r="R141" s="95"/>
      <c r="S141" s="99" t="s">
        <v>71</v>
      </c>
      <c r="T141" s="204" t="s">
        <v>194</v>
      </c>
      <c r="U141" s="98"/>
      <c r="V141" s="98">
        <f t="shared" si="42"/>
        <v>1395</v>
      </c>
      <c r="W141" s="98">
        <f t="shared" si="42"/>
        <v>1320</v>
      </c>
      <c r="X141" s="98">
        <f t="shared" si="42"/>
        <v>1275</v>
      </c>
      <c r="Y141" s="98">
        <f t="shared" si="42"/>
        <v>1230</v>
      </c>
      <c r="Z141" s="98">
        <f t="shared" si="42"/>
        <v>1175</v>
      </c>
      <c r="AA141" s="98">
        <f t="shared" si="42"/>
        <v>1105</v>
      </c>
      <c r="AB141" s="98">
        <f t="shared" si="42"/>
        <v>1065</v>
      </c>
      <c r="AC141" s="98">
        <f t="shared" si="42"/>
        <v>1025</v>
      </c>
      <c r="AD141" s="98">
        <f t="shared" si="42"/>
        <v>955</v>
      </c>
      <c r="AE141" s="98">
        <f t="shared" si="42"/>
        <v>780</v>
      </c>
      <c r="AF141" s="98">
        <f t="shared" si="43"/>
        <v>595</v>
      </c>
      <c r="AG141" s="98">
        <f t="shared" si="43"/>
        <v>405</v>
      </c>
      <c r="AH141" s="98">
        <f t="shared" si="43"/>
        <v>275</v>
      </c>
      <c r="AI141" s="98">
        <f t="shared" si="43"/>
        <v>170</v>
      </c>
      <c r="AJ141" s="98">
        <f t="shared" si="43"/>
        <v>0</v>
      </c>
      <c r="AK141" s="98">
        <f t="shared" si="43"/>
        <v>0</v>
      </c>
      <c r="AL141" s="98">
        <f t="shared" si="43"/>
        <v>0</v>
      </c>
      <c r="AM141" s="98">
        <f t="shared" si="43"/>
        <v>0</v>
      </c>
      <c r="AN141" s="98">
        <f t="shared" si="43"/>
        <v>0</v>
      </c>
      <c r="AO141" s="98">
        <f t="shared" si="43"/>
        <v>0</v>
      </c>
      <c r="AP141" s="98">
        <f t="shared" si="43"/>
        <v>0</v>
      </c>
      <c r="AQ141" s="98">
        <f t="shared" si="43"/>
        <v>0</v>
      </c>
      <c r="AR141" s="98">
        <f t="shared" si="43"/>
        <v>0</v>
      </c>
      <c r="AS141" s="98">
        <f t="shared" si="43"/>
        <v>0</v>
      </c>
      <c r="AV141" s="101" t="str">
        <f t="shared" si="37"/>
        <v>1.071200</v>
      </c>
      <c r="AW141" s="101">
        <v>1200</v>
      </c>
      <c r="BF141" s="101" t="str">
        <f t="shared" si="38"/>
        <v>2.061200</v>
      </c>
      <c r="BG141" s="101">
        <v>1200</v>
      </c>
      <c r="BI141" s="92">
        <v>135</v>
      </c>
      <c r="BJ141" s="92">
        <v>185</v>
      </c>
      <c r="BK141" s="92">
        <v>275</v>
      </c>
      <c r="BL141" s="92">
        <v>410</v>
      </c>
      <c r="BM141" s="92">
        <v>685</v>
      </c>
      <c r="BN141" s="202">
        <v>1145</v>
      </c>
      <c r="BP141" s="101" t="str">
        <f t="shared" si="39"/>
        <v>3.061200</v>
      </c>
      <c r="BQ141" s="101">
        <v>1200</v>
      </c>
      <c r="BS141" s="92">
        <v>205</v>
      </c>
      <c r="BT141" s="92">
        <v>275</v>
      </c>
      <c r="BU141" s="92">
        <v>410</v>
      </c>
      <c r="BV141" s="92">
        <v>620</v>
      </c>
      <c r="BW141" s="202">
        <v>1030</v>
      </c>
      <c r="BX141" s="202">
        <v>1715</v>
      </c>
    </row>
    <row r="142" spans="1:76">
      <c r="A142" s="95"/>
      <c r="B142" s="96"/>
      <c r="C142" s="95"/>
      <c r="D142" s="95"/>
      <c r="E142" s="95"/>
      <c r="F142" s="95"/>
      <c r="G142" s="95"/>
      <c r="H142" s="95"/>
      <c r="I142" s="95"/>
      <c r="J142" s="95"/>
      <c r="K142" s="95"/>
      <c r="L142" s="95"/>
      <c r="M142" s="95"/>
      <c r="N142" s="95"/>
      <c r="O142" s="95"/>
      <c r="P142" s="95"/>
      <c r="Q142" s="95"/>
      <c r="R142" s="95"/>
      <c r="S142" s="99" t="s">
        <v>72</v>
      </c>
      <c r="T142" s="204" t="s">
        <v>195</v>
      </c>
      <c r="U142" s="98"/>
      <c r="V142" s="98">
        <f t="shared" si="42"/>
        <v>1235</v>
      </c>
      <c r="W142" s="98">
        <f t="shared" si="42"/>
        <v>1130</v>
      </c>
      <c r="X142" s="98">
        <f t="shared" si="42"/>
        <v>1090</v>
      </c>
      <c r="Y142" s="98">
        <f t="shared" si="42"/>
        <v>1055</v>
      </c>
      <c r="Z142" s="98">
        <f t="shared" si="42"/>
        <v>1005</v>
      </c>
      <c r="AA142" s="98">
        <f t="shared" si="42"/>
        <v>945</v>
      </c>
      <c r="AB142" s="98">
        <f t="shared" si="42"/>
        <v>915</v>
      </c>
      <c r="AC142" s="98">
        <f t="shared" si="42"/>
        <v>885</v>
      </c>
      <c r="AD142" s="98">
        <f t="shared" si="42"/>
        <v>855</v>
      </c>
      <c r="AE142" s="98">
        <f t="shared" si="42"/>
        <v>740</v>
      </c>
      <c r="AF142" s="98">
        <f t="shared" si="43"/>
        <v>595</v>
      </c>
      <c r="AG142" s="98">
        <f t="shared" si="43"/>
        <v>345</v>
      </c>
      <c r="AH142" s="98">
        <f t="shared" si="43"/>
        <v>275</v>
      </c>
      <c r="AI142" s="98">
        <f t="shared" si="43"/>
        <v>170</v>
      </c>
      <c r="AJ142" s="98">
        <f t="shared" si="43"/>
        <v>0</v>
      </c>
      <c r="AK142" s="98">
        <f t="shared" si="43"/>
        <v>0</v>
      </c>
      <c r="AL142" s="98">
        <f t="shared" si="43"/>
        <v>0</v>
      </c>
      <c r="AM142" s="98">
        <f t="shared" si="43"/>
        <v>0</v>
      </c>
      <c r="AN142" s="98">
        <f t="shared" si="43"/>
        <v>0</v>
      </c>
      <c r="AO142" s="98">
        <f t="shared" si="43"/>
        <v>0</v>
      </c>
      <c r="AP142" s="98">
        <f t="shared" si="43"/>
        <v>0</v>
      </c>
      <c r="AQ142" s="98">
        <f t="shared" si="43"/>
        <v>0</v>
      </c>
      <c r="AR142" s="98">
        <f t="shared" si="43"/>
        <v>0</v>
      </c>
      <c r="AS142" s="98">
        <f t="shared" si="43"/>
        <v>0</v>
      </c>
      <c r="AV142" s="101" t="str">
        <f t="shared" si="37"/>
        <v>1.071250</v>
      </c>
      <c r="AW142" s="101">
        <v>1250</v>
      </c>
      <c r="BF142" s="101" t="str">
        <f t="shared" si="38"/>
        <v>2.061250</v>
      </c>
      <c r="BG142" s="101">
        <v>1250</v>
      </c>
      <c r="BI142" s="92">
        <v>105</v>
      </c>
      <c r="BJ142" s="92">
        <v>135</v>
      </c>
      <c r="BK142" s="92">
        <v>205</v>
      </c>
      <c r="BL142" s="92">
        <v>310</v>
      </c>
      <c r="BM142" s="92">
        <v>515</v>
      </c>
      <c r="BN142" s="92">
        <v>855</v>
      </c>
      <c r="BP142" s="101" t="str">
        <f t="shared" si="39"/>
        <v>3.061250</v>
      </c>
      <c r="BQ142" s="101">
        <v>1250</v>
      </c>
      <c r="BS142" s="92">
        <v>145</v>
      </c>
      <c r="BT142" s="92">
        <v>190</v>
      </c>
      <c r="BU142" s="92">
        <v>290</v>
      </c>
      <c r="BV142" s="92">
        <v>430</v>
      </c>
      <c r="BW142" s="92">
        <v>720</v>
      </c>
      <c r="BX142" s="202">
        <v>1200</v>
      </c>
    </row>
    <row r="143" spans="1:76">
      <c r="A143" s="95"/>
      <c r="B143" s="96"/>
      <c r="C143" s="95"/>
      <c r="D143" s="95"/>
      <c r="E143" s="95"/>
      <c r="F143" s="95"/>
      <c r="G143" s="95"/>
      <c r="H143" s="95"/>
      <c r="I143" s="95"/>
      <c r="J143" s="95"/>
      <c r="K143" s="95"/>
      <c r="L143" s="95"/>
      <c r="M143" s="95"/>
      <c r="N143" s="95"/>
      <c r="O143" s="95"/>
      <c r="P143" s="95"/>
      <c r="Q143" s="95"/>
      <c r="R143" s="95"/>
      <c r="S143" s="99" t="s">
        <v>73</v>
      </c>
      <c r="T143" s="204" t="s">
        <v>196</v>
      </c>
      <c r="U143" s="98"/>
      <c r="V143" s="98">
        <f t="shared" si="42"/>
        <v>1395</v>
      </c>
      <c r="W143" s="98">
        <f t="shared" si="42"/>
        <v>1395</v>
      </c>
      <c r="X143" s="98">
        <f t="shared" si="42"/>
        <v>1375</v>
      </c>
      <c r="Y143" s="98">
        <f t="shared" si="42"/>
        <v>1325</v>
      </c>
      <c r="Z143" s="98">
        <f t="shared" si="42"/>
        <v>1285</v>
      </c>
      <c r="AA143" s="98">
        <f t="shared" si="42"/>
        <v>1210</v>
      </c>
      <c r="AB143" s="98">
        <f t="shared" si="42"/>
        <v>1175</v>
      </c>
      <c r="AC143" s="98">
        <f t="shared" si="42"/>
        <v>1135</v>
      </c>
      <c r="AD143" s="98">
        <f t="shared" si="42"/>
        <v>1065</v>
      </c>
      <c r="AE143" s="98">
        <f t="shared" si="42"/>
        <v>1015</v>
      </c>
      <c r="AF143" s="98">
        <f t="shared" si="43"/>
        <v>975</v>
      </c>
      <c r="AG143" s="98">
        <f t="shared" si="43"/>
        <v>900</v>
      </c>
      <c r="AH143" s="98">
        <f t="shared" si="43"/>
        <v>560</v>
      </c>
      <c r="AI143" s="98">
        <f t="shared" si="43"/>
        <v>330</v>
      </c>
      <c r="AJ143" s="98">
        <f t="shared" si="43"/>
        <v>0</v>
      </c>
      <c r="AK143" s="98">
        <f t="shared" si="43"/>
        <v>0</v>
      </c>
      <c r="AL143" s="98">
        <f t="shared" si="43"/>
        <v>0</v>
      </c>
      <c r="AM143" s="98">
        <f t="shared" si="43"/>
        <v>0</v>
      </c>
      <c r="AN143" s="98">
        <f t="shared" si="43"/>
        <v>0</v>
      </c>
      <c r="AO143" s="98">
        <f t="shared" si="43"/>
        <v>0</v>
      </c>
      <c r="AP143" s="98">
        <f t="shared" si="43"/>
        <v>0</v>
      </c>
      <c r="AQ143" s="98">
        <f t="shared" si="43"/>
        <v>0</v>
      </c>
      <c r="AR143" s="98">
        <f t="shared" si="43"/>
        <v>0</v>
      </c>
      <c r="AS143" s="98">
        <f t="shared" si="43"/>
        <v>0</v>
      </c>
      <c r="AV143" s="101" t="str">
        <f t="shared" si="37"/>
        <v>1.071300</v>
      </c>
      <c r="AW143" s="101">
        <v>1300</v>
      </c>
      <c r="BF143" s="101" t="str">
        <f t="shared" si="38"/>
        <v>2.061300</v>
      </c>
      <c r="BG143" s="101">
        <v>1300</v>
      </c>
      <c r="BI143" s="92">
        <v>75</v>
      </c>
      <c r="BJ143" s="92">
        <v>100</v>
      </c>
      <c r="BK143" s="92">
        <v>150</v>
      </c>
      <c r="BL143" s="92">
        <v>225</v>
      </c>
      <c r="BM143" s="92">
        <v>375</v>
      </c>
      <c r="BN143" s="92">
        <v>630</v>
      </c>
      <c r="BP143" s="101" t="str">
        <f t="shared" si="39"/>
        <v>3.061300</v>
      </c>
      <c r="BQ143" s="101">
        <v>1300</v>
      </c>
      <c r="BS143" s="92">
        <v>70</v>
      </c>
      <c r="BT143" s="92">
        <v>90</v>
      </c>
      <c r="BU143" s="92">
        <v>135</v>
      </c>
      <c r="BV143" s="92">
        <v>205</v>
      </c>
      <c r="BW143" s="92">
        <v>345</v>
      </c>
      <c r="BX143" s="92">
        <v>570</v>
      </c>
    </row>
    <row r="144" spans="1:76">
      <c r="A144" s="95"/>
      <c r="B144" s="96"/>
      <c r="C144" s="95"/>
      <c r="D144" s="95"/>
      <c r="E144" s="95"/>
      <c r="F144" s="95"/>
      <c r="G144" s="95"/>
      <c r="H144" s="95"/>
      <c r="I144" s="95"/>
      <c r="J144" s="95"/>
      <c r="K144" s="95"/>
      <c r="L144" s="95"/>
      <c r="M144" s="95"/>
      <c r="N144" s="95"/>
      <c r="O144" s="95"/>
      <c r="P144" s="95"/>
      <c r="Q144" s="95"/>
      <c r="R144" s="95"/>
      <c r="S144" s="99" t="s">
        <v>74</v>
      </c>
      <c r="T144" s="204" t="s">
        <v>197</v>
      </c>
      <c r="U144" s="98"/>
      <c r="V144" s="98">
        <f t="shared" si="42"/>
        <v>1500</v>
      </c>
      <c r="W144" s="98">
        <f t="shared" si="42"/>
        <v>1500</v>
      </c>
      <c r="X144" s="98">
        <f t="shared" si="42"/>
        <v>1455</v>
      </c>
      <c r="Y144" s="98">
        <f t="shared" si="42"/>
        <v>1410</v>
      </c>
      <c r="Z144" s="98">
        <f t="shared" si="42"/>
        <v>1330</v>
      </c>
      <c r="AA144" s="98">
        <f t="shared" si="42"/>
        <v>1210</v>
      </c>
      <c r="AB144" s="98">
        <f t="shared" si="42"/>
        <v>1175</v>
      </c>
      <c r="AC144" s="98">
        <f t="shared" si="42"/>
        <v>1135</v>
      </c>
      <c r="AD144" s="98">
        <f t="shared" si="42"/>
        <v>1065</v>
      </c>
      <c r="AE144" s="98">
        <f t="shared" si="42"/>
        <v>1015</v>
      </c>
      <c r="AF144" s="98">
        <f t="shared" si="43"/>
        <v>975</v>
      </c>
      <c r="AG144" s="98">
        <f t="shared" si="43"/>
        <v>900</v>
      </c>
      <c r="AH144" s="98">
        <f t="shared" si="43"/>
        <v>630</v>
      </c>
      <c r="AI144" s="98">
        <f t="shared" si="43"/>
        <v>405</v>
      </c>
      <c r="AJ144" s="98">
        <f t="shared" si="43"/>
        <v>315</v>
      </c>
      <c r="AK144" s="98">
        <f t="shared" si="43"/>
        <v>0</v>
      </c>
      <c r="AL144" s="98">
        <f t="shared" si="43"/>
        <v>0</v>
      </c>
      <c r="AM144" s="98">
        <f t="shared" si="43"/>
        <v>0</v>
      </c>
      <c r="AN144" s="98">
        <f t="shared" si="43"/>
        <v>0</v>
      </c>
      <c r="AO144" s="98">
        <f t="shared" si="43"/>
        <v>0</v>
      </c>
      <c r="AP144" s="98">
        <f t="shared" si="43"/>
        <v>0</v>
      </c>
      <c r="AQ144" s="98">
        <f t="shared" si="43"/>
        <v>0</v>
      </c>
      <c r="AR144" s="98">
        <f t="shared" si="43"/>
        <v>0</v>
      </c>
      <c r="AS144" s="98">
        <f t="shared" si="43"/>
        <v>0</v>
      </c>
      <c r="AV144" s="101" t="str">
        <f t="shared" si="37"/>
        <v>1.071350</v>
      </c>
      <c r="AW144" s="101">
        <v>1350</v>
      </c>
      <c r="BF144" s="101" t="str">
        <f t="shared" si="38"/>
        <v>2.061350</v>
      </c>
      <c r="BG144" s="101">
        <v>1350</v>
      </c>
      <c r="BI144" s="92">
        <v>60</v>
      </c>
      <c r="BJ144" s="92">
        <v>80</v>
      </c>
      <c r="BK144" s="92">
        <v>115</v>
      </c>
      <c r="BL144" s="92">
        <v>175</v>
      </c>
      <c r="BM144" s="92">
        <v>290</v>
      </c>
      <c r="BN144" s="92">
        <v>485</v>
      </c>
      <c r="BP144" s="101" t="str">
        <f t="shared" si="39"/>
        <v>3.061350</v>
      </c>
      <c r="BQ144" s="101">
        <v>1350</v>
      </c>
      <c r="BS144" s="92">
        <v>55</v>
      </c>
      <c r="BT144" s="92">
        <v>75</v>
      </c>
      <c r="BU144" s="92">
        <v>110</v>
      </c>
      <c r="BV144" s="92">
        <v>165</v>
      </c>
      <c r="BW144" s="92">
        <v>275</v>
      </c>
      <c r="BX144" s="92">
        <v>455</v>
      </c>
    </row>
    <row r="145" spans="1:76">
      <c r="A145" s="95"/>
      <c r="B145" s="96"/>
      <c r="C145" s="95"/>
      <c r="D145" s="95"/>
      <c r="E145" s="95"/>
      <c r="F145" s="95"/>
      <c r="G145" s="95"/>
      <c r="H145" s="95"/>
      <c r="I145" s="95"/>
      <c r="J145" s="95"/>
      <c r="K145" s="95"/>
      <c r="L145" s="95"/>
      <c r="M145" s="95"/>
      <c r="N145" s="95"/>
      <c r="O145" s="95"/>
      <c r="P145" s="95"/>
      <c r="Q145" s="95"/>
      <c r="R145" s="95"/>
      <c r="S145" s="99" t="s">
        <v>75</v>
      </c>
      <c r="T145" s="204" t="s">
        <v>198</v>
      </c>
      <c r="U145" s="98"/>
      <c r="V145" s="98">
        <f t="shared" si="42"/>
        <v>1500</v>
      </c>
      <c r="W145" s="98">
        <f t="shared" si="42"/>
        <v>1500</v>
      </c>
      <c r="X145" s="98">
        <f t="shared" si="42"/>
        <v>1445</v>
      </c>
      <c r="Y145" s="98">
        <f t="shared" si="42"/>
        <v>1385</v>
      </c>
      <c r="Z145" s="98">
        <f t="shared" si="42"/>
        <v>1330</v>
      </c>
      <c r="AA145" s="98">
        <f t="shared" si="42"/>
        <v>1210</v>
      </c>
      <c r="AB145" s="98">
        <f t="shared" si="42"/>
        <v>1175</v>
      </c>
      <c r="AC145" s="98">
        <f t="shared" si="42"/>
        <v>1135</v>
      </c>
      <c r="AD145" s="98">
        <f t="shared" si="42"/>
        <v>1065</v>
      </c>
      <c r="AE145" s="98">
        <f t="shared" si="42"/>
        <v>1015</v>
      </c>
      <c r="AF145" s="98">
        <f t="shared" si="43"/>
        <v>975</v>
      </c>
      <c r="AG145" s="98">
        <f t="shared" si="43"/>
        <v>900</v>
      </c>
      <c r="AH145" s="98">
        <f t="shared" si="43"/>
        <v>640</v>
      </c>
      <c r="AI145" s="98">
        <f t="shared" si="43"/>
        <v>430</v>
      </c>
      <c r="AJ145" s="98">
        <f t="shared" si="43"/>
        <v>290</v>
      </c>
      <c r="AK145" s="98">
        <f t="shared" si="43"/>
        <v>190</v>
      </c>
      <c r="AL145" s="98">
        <f t="shared" si="43"/>
        <v>130</v>
      </c>
      <c r="AM145" s="98">
        <f t="shared" si="43"/>
        <v>80</v>
      </c>
      <c r="AN145" s="98">
        <f t="shared" si="43"/>
        <v>0</v>
      </c>
      <c r="AO145" s="98">
        <f t="shared" si="43"/>
        <v>0</v>
      </c>
      <c r="AP145" s="98">
        <f t="shared" si="43"/>
        <v>0</v>
      </c>
      <c r="AQ145" s="98">
        <f t="shared" si="43"/>
        <v>0</v>
      </c>
      <c r="AR145" s="98">
        <f t="shared" si="43"/>
        <v>0</v>
      </c>
      <c r="AS145" s="98">
        <f t="shared" si="43"/>
        <v>0</v>
      </c>
      <c r="AV145" s="101" t="str">
        <f t="shared" si="37"/>
        <v>1.071400</v>
      </c>
      <c r="AW145" s="101">
        <v>1400</v>
      </c>
      <c r="BF145" s="101" t="str">
        <f t="shared" si="38"/>
        <v>2.061400</v>
      </c>
      <c r="BG145" s="101">
        <v>1400</v>
      </c>
      <c r="BI145" s="92">
        <v>45</v>
      </c>
      <c r="BJ145" s="92">
        <v>60</v>
      </c>
      <c r="BK145" s="92">
        <v>90</v>
      </c>
      <c r="BL145" s="92">
        <v>135</v>
      </c>
      <c r="BM145" s="92">
        <v>225</v>
      </c>
      <c r="BN145" s="92">
        <v>370</v>
      </c>
      <c r="BP145" s="101" t="str">
        <f t="shared" si="39"/>
        <v>3.061400</v>
      </c>
      <c r="BQ145" s="101">
        <v>1400</v>
      </c>
      <c r="BS145" s="92">
        <v>40</v>
      </c>
      <c r="BT145" s="92">
        <v>50</v>
      </c>
      <c r="BU145" s="92">
        <v>75</v>
      </c>
      <c r="BV145" s="92">
        <v>115</v>
      </c>
      <c r="BW145" s="92">
        <v>190</v>
      </c>
      <c r="BX145" s="92">
        <v>315</v>
      </c>
    </row>
    <row r="146" spans="1:76">
      <c r="A146" s="95"/>
      <c r="B146" s="96"/>
      <c r="C146" s="95"/>
      <c r="D146" s="95"/>
      <c r="E146" s="95"/>
      <c r="F146" s="95"/>
      <c r="G146" s="95"/>
      <c r="H146" s="95"/>
      <c r="I146" s="95"/>
      <c r="J146" s="95"/>
      <c r="K146" s="95"/>
      <c r="L146" s="95"/>
      <c r="M146" s="95"/>
      <c r="N146" s="95"/>
      <c r="O146" s="95"/>
      <c r="P146" s="95"/>
      <c r="Q146" s="95"/>
      <c r="R146" s="95"/>
      <c r="S146" s="99" t="s">
        <v>76</v>
      </c>
      <c r="T146" s="204" t="s">
        <v>76</v>
      </c>
      <c r="U146" s="98"/>
      <c r="V146" s="98">
        <f t="shared" si="42"/>
        <v>1500</v>
      </c>
      <c r="W146" s="98">
        <f t="shared" si="42"/>
        <v>1500</v>
      </c>
      <c r="X146" s="98">
        <f t="shared" si="42"/>
        <v>1455</v>
      </c>
      <c r="Y146" s="98">
        <f t="shared" si="42"/>
        <v>1410</v>
      </c>
      <c r="Z146" s="98">
        <f t="shared" si="42"/>
        <v>1330</v>
      </c>
      <c r="AA146" s="98">
        <f t="shared" si="42"/>
        <v>1210</v>
      </c>
      <c r="AB146" s="98">
        <f t="shared" si="42"/>
        <v>1175</v>
      </c>
      <c r="AC146" s="98">
        <f t="shared" si="42"/>
        <v>1135</v>
      </c>
      <c r="AD146" s="98">
        <f t="shared" si="42"/>
        <v>1065</v>
      </c>
      <c r="AE146" s="98">
        <f t="shared" si="42"/>
        <v>1015</v>
      </c>
      <c r="AF146" s="98">
        <f t="shared" si="43"/>
        <v>975</v>
      </c>
      <c r="AG146" s="98">
        <f t="shared" si="43"/>
        <v>900</v>
      </c>
      <c r="AH146" s="98">
        <f t="shared" si="43"/>
        <v>775</v>
      </c>
      <c r="AI146" s="98">
        <f t="shared" si="43"/>
        <v>535</v>
      </c>
      <c r="AJ146" s="98">
        <f t="shared" si="43"/>
        <v>350</v>
      </c>
      <c r="AK146" s="98">
        <f t="shared" si="43"/>
        <v>220</v>
      </c>
      <c r="AL146" s="98">
        <f t="shared" si="43"/>
        <v>135</v>
      </c>
      <c r="AM146" s="98">
        <f t="shared" si="43"/>
        <v>80</v>
      </c>
      <c r="AN146" s="98">
        <f t="shared" si="43"/>
        <v>0</v>
      </c>
      <c r="AO146" s="98">
        <f t="shared" si="43"/>
        <v>0</v>
      </c>
      <c r="AP146" s="98">
        <f t="shared" si="43"/>
        <v>0</v>
      </c>
      <c r="AQ146" s="98">
        <f t="shared" si="43"/>
        <v>0</v>
      </c>
      <c r="AR146" s="98">
        <f t="shared" si="43"/>
        <v>0</v>
      </c>
      <c r="AS146" s="98">
        <f t="shared" si="43"/>
        <v>0</v>
      </c>
      <c r="AV146" s="101" t="str">
        <f t="shared" si="37"/>
        <v>1.071450</v>
      </c>
      <c r="AW146" s="101">
        <v>1450</v>
      </c>
      <c r="BF146" s="101" t="str">
        <f t="shared" si="38"/>
        <v>2.061450</v>
      </c>
      <c r="BG146" s="101">
        <v>1450</v>
      </c>
      <c r="BI146" s="92">
        <v>35</v>
      </c>
      <c r="BJ146" s="92">
        <v>45</v>
      </c>
      <c r="BK146" s="92">
        <v>70</v>
      </c>
      <c r="BL146" s="92">
        <v>105</v>
      </c>
      <c r="BM146" s="92">
        <v>170</v>
      </c>
      <c r="BN146" s="92">
        <v>285</v>
      </c>
      <c r="BP146" s="101" t="str">
        <f t="shared" si="39"/>
        <v>3.061450</v>
      </c>
      <c r="BQ146" s="101">
        <v>1450</v>
      </c>
      <c r="BS146" s="92">
        <v>35</v>
      </c>
      <c r="BT146" s="92">
        <v>45</v>
      </c>
      <c r="BU146" s="92">
        <v>70</v>
      </c>
      <c r="BV146" s="92">
        <v>105</v>
      </c>
      <c r="BW146" s="92">
        <v>170</v>
      </c>
      <c r="BX146" s="92">
        <v>285</v>
      </c>
    </row>
    <row r="147" spans="1:76">
      <c r="A147" s="95"/>
      <c r="B147" s="96"/>
      <c r="C147" s="95"/>
      <c r="D147" s="95"/>
      <c r="E147" s="95"/>
      <c r="F147" s="95"/>
      <c r="G147" s="95"/>
      <c r="H147" s="95"/>
      <c r="I147" s="95"/>
      <c r="J147" s="95"/>
      <c r="K147" s="95"/>
      <c r="L147" s="95"/>
      <c r="M147" s="95"/>
      <c r="N147" s="95"/>
      <c r="O147" s="95"/>
      <c r="P147" s="95"/>
      <c r="Q147" s="95"/>
      <c r="R147" s="95"/>
      <c r="S147" s="99" t="s">
        <v>187</v>
      </c>
      <c r="T147" s="204" t="s">
        <v>187</v>
      </c>
      <c r="U147" s="98"/>
      <c r="V147" s="98">
        <f t="shared" si="42"/>
        <v>1500</v>
      </c>
      <c r="W147" s="98">
        <f t="shared" si="42"/>
        <v>1500</v>
      </c>
      <c r="X147" s="98">
        <f t="shared" si="42"/>
        <v>1455</v>
      </c>
      <c r="Y147" s="98">
        <f t="shared" si="42"/>
        <v>1410</v>
      </c>
      <c r="Z147" s="98">
        <f t="shared" si="42"/>
        <v>1330</v>
      </c>
      <c r="AA147" s="98">
        <f t="shared" si="42"/>
        <v>1210</v>
      </c>
      <c r="AB147" s="98">
        <f t="shared" si="42"/>
        <v>1175</v>
      </c>
      <c r="AC147" s="98">
        <f t="shared" si="42"/>
        <v>1135</v>
      </c>
      <c r="AD147" s="98">
        <f t="shared" si="42"/>
        <v>1065</v>
      </c>
      <c r="AE147" s="98">
        <f t="shared" si="42"/>
        <v>1015</v>
      </c>
      <c r="AF147" s="98">
        <f t="shared" si="43"/>
        <v>975</v>
      </c>
      <c r="AG147" s="98">
        <f t="shared" si="43"/>
        <v>900</v>
      </c>
      <c r="AH147" s="98">
        <f t="shared" si="43"/>
        <v>560</v>
      </c>
      <c r="AI147" s="98">
        <f t="shared" si="43"/>
        <v>330</v>
      </c>
      <c r="AJ147" s="98">
        <f t="shared" si="43"/>
        <v>330</v>
      </c>
      <c r="AK147" s="98">
        <f t="shared" si="43"/>
        <v>220</v>
      </c>
      <c r="AL147" s="98">
        <f t="shared" si="43"/>
        <v>165</v>
      </c>
      <c r="AM147" s="98">
        <f t="shared" si="43"/>
        <v>90</v>
      </c>
      <c r="AN147" s="98">
        <f t="shared" si="43"/>
        <v>0</v>
      </c>
      <c r="AO147" s="98">
        <f t="shared" si="43"/>
        <v>0</v>
      </c>
      <c r="AP147" s="98">
        <f t="shared" si="43"/>
        <v>0</v>
      </c>
      <c r="AQ147" s="98">
        <f t="shared" si="43"/>
        <v>0</v>
      </c>
      <c r="AR147" s="98">
        <f t="shared" si="43"/>
        <v>0</v>
      </c>
      <c r="AS147" s="98">
        <f t="shared" si="43"/>
        <v>0</v>
      </c>
      <c r="AV147" s="101" t="str">
        <f t="shared" si="37"/>
        <v>1.071500</v>
      </c>
      <c r="AW147" s="101">
        <v>1500</v>
      </c>
      <c r="BF147" s="101" t="str">
        <f t="shared" si="38"/>
        <v>2.061500</v>
      </c>
      <c r="BG147" s="101">
        <v>1500</v>
      </c>
      <c r="BI147" s="92">
        <v>25</v>
      </c>
      <c r="BJ147" s="92">
        <v>35</v>
      </c>
      <c r="BK147" s="92">
        <v>50</v>
      </c>
      <c r="BL147" s="92">
        <v>75</v>
      </c>
      <c r="BM147" s="92">
        <v>130</v>
      </c>
      <c r="BN147" s="92">
        <v>215</v>
      </c>
      <c r="BP147" s="101" t="str">
        <f t="shared" si="39"/>
        <v>3.061500</v>
      </c>
      <c r="BQ147" s="101">
        <v>1500</v>
      </c>
      <c r="BS147" s="92">
        <v>25</v>
      </c>
      <c r="BT147" s="92">
        <v>35</v>
      </c>
      <c r="BU147" s="92">
        <v>55</v>
      </c>
      <c r="BV147" s="92">
        <v>80</v>
      </c>
      <c r="BW147" s="92">
        <v>135</v>
      </c>
      <c r="BX147" s="92">
        <v>230</v>
      </c>
    </row>
    <row r="148" spans="1:76">
      <c r="A148" s="95"/>
      <c r="B148" s="96"/>
      <c r="C148" s="95"/>
      <c r="D148" s="95"/>
      <c r="E148" s="95"/>
      <c r="F148" s="95"/>
      <c r="G148" s="95"/>
      <c r="H148" s="95"/>
      <c r="I148" s="95"/>
      <c r="J148" s="95"/>
      <c r="K148" s="95"/>
      <c r="L148" s="95"/>
      <c r="M148" s="95"/>
      <c r="N148" s="95"/>
      <c r="O148" s="95"/>
      <c r="P148" s="95"/>
      <c r="Q148" s="95"/>
      <c r="R148" s="95"/>
      <c r="S148" s="99" t="s">
        <v>77</v>
      </c>
      <c r="T148" s="204" t="s">
        <v>77</v>
      </c>
      <c r="U148" s="98"/>
      <c r="V148" s="98">
        <f t="shared" si="42"/>
        <v>1500</v>
      </c>
      <c r="W148" s="98">
        <f t="shared" si="42"/>
        <v>1500</v>
      </c>
      <c r="X148" s="98">
        <f t="shared" si="42"/>
        <v>1455</v>
      </c>
      <c r="Y148" s="98">
        <f t="shared" si="42"/>
        <v>1410</v>
      </c>
      <c r="Z148" s="98">
        <f t="shared" si="42"/>
        <v>1330</v>
      </c>
      <c r="AA148" s="98">
        <f t="shared" si="42"/>
        <v>1210</v>
      </c>
      <c r="AB148" s="98">
        <f t="shared" si="42"/>
        <v>1175</v>
      </c>
      <c r="AC148" s="98">
        <f t="shared" si="42"/>
        <v>1135</v>
      </c>
      <c r="AD148" s="98">
        <f t="shared" si="42"/>
        <v>1065</v>
      </c>
      <c r="AE148" s="98">
        <f t="shared" si="42"/>
        <v>1015</v>
      </c>
      <c r="AF148" s="98">
        <f t="shared" si="43"/>
        <v>975</v>
      </c>
      <c r="AG148" s="98">
        <f t="shared" si="43"/>
        <v>745</v>
      </c>
      <c r="AH148" s="98">
        <f t="shared" si="43"/>
        <v>550</v>
      </c>
      <c r="AI148" s="98">
        <f t="shared" si="43"/>
        <v>400</v>
      </c>
      <c r="AJ148" s="98">
        <f t="shared" si="43"/>
        <v>290</v>
      </c>
      <c r="AK148" s="98">
        <f t="shared" si="43"/>
        <v>200</v>
      </c>
      <c r="AL148" s="98">
        <f t="shared" si="43"/>
        <v>125</v>
      </c>
      <c r="AM148" s="98">
        <f t="shared" si="43"/>
        <v>70</v>
      </c>
      <c r="AN148" s="98">
        <f t="shared" si="43"/>
        <v>0</v>
      </c>
      <c r="AO148" s="98">
        <f t="shared" si="43"/>
        <v>0</v>
      </c>
      <c r="AP148" s="98">
        <f t="shared" si="43"/>
        <v>0</v>
      </c>
      <c r="AQ148" s="98">
        <f t="shared" si="43"/>
        <v>0</v>
      </c>
      <c r="AR148" s="98">
        <f t="shared" si="43"/>
        <v>0</v>
      </c>
      <c r="AS148" s="98">
        <f t="shared" si="43"/>
        <v>0</v>
      </c>
      <c r="AU148" s="92">
        <v>1.0900000000000001</v>
      </c>
      <c r="AV148" s="101" t="str">
        <f>AU$148&amp;TEXT(AW148,"0000")</f>
        <v>1.090100</v>
      </c>
      <c r="AW148" s="92">
        <v>100</v>
      </c>
      <c r="AX148" s="92">
        <v>290</v>
      </c>
      <c r="AY148" s="92">
        <v>750</v>
      </c>
      <c r="AZ148" s="202">
        <v>1000</v>
      </c>
      <c r="BA148" s="202">
        <v>1500</v>
      </c>
      <c r="BB148" s="202">
        <v>2250</v>
      </c>
      <c r="BC148" s="202">
        <v>3750</v>
      </c>
      <c r="BD148" s="202">
        <v>6250</v>
      </c>
      <c r="BE148" s="92">
        <v>2.0699999999999998</v>
      </c>
      <c r="BF148" s="101" t="str">
        <f>BE$148&amp;TEXT(BG148,"0000")</f>
        <v>2.070100</v>
      </c>
      <c r="BG148" s="92">
        <v>100</v>
      </c>
      <c r="BH148" s="92">
        <v>275</v>
      </c>
      <c r="BI148" s="92">
        <v>720</v>
      </c>
      <c r="BJ148" s="92">
        <v>960</v>
      </c>
      <c r="BK148" s="202">
        <v>1440</v>
      </c>
      <c r="BL148" s="202">
        <v>2160</v>
      </c>
      <c r="BM148" s="202">
        <v>3600</v>
      </c>
      <c r="BN148" s="202">
        <v>6000</v>
      </c>
      <c r="BO148" s="92">
        <v>3.07</v>
      </c>
      <c r="BP148" s="101" t="str">
        <f>BO$148&amp;TEXT(BQ148,"0000")</f>
        <v>3.070100</v>
      </c>
      <c r="BQ148" s="92">
        <v>100</v>
      </c>
      <c r="BR148" s="92">
        <v>290</v>
      </c>
      <c r="BS148" s="92">
        <v>750</v>
      </c>
      <c r="BT148" s="202">
        <v>1000</v>
      </c>
      <c r="BU148" s="202">
        <v>1500</v>
      </c>
      <c r="BV148" s="202">
        <v>2250</v>
      </c>
      <c r="BW148" s="202">
        <v>3750</v>
      </c>
      <c r="BX148" s="202">
        <v>6250</v>
      </c>
    </row>
    <row r="149" spans="1:76">
      <c r="A149" s="95"/>
      <c r="B149" s="96"/>
      <c r="C149" s="95"/>
      <c r="D149" s="95"/>
      <c r="E149" s="95"/>
      <c r="F149" s="95"/>
      <c r="G149" s="95"/>
      <c r="H149" s="95"/>
      <c r="I149" s="95"/>
      <c r="J149" s="95"/>
      <c r="K149" s="95"/>
      <c r="L149" s="95"/>
      <c r="M149" s="95"/>
      <c r="N149" s="95"/>
      <c r="O149" s="95"/>
      <c r="P149" s="95"/>
      <c r="Q149" s="95"/>
      <c r="R149" s="95"/>
      <c r="S149" s="99" t="s">
        <v>78</v>
      </c>
      <c r="T149" s="204" t="s">
        <v>78</v>
      </c>
      <c r="U149" s="98"/>
      <c r="V149" s="98">
        <f t="shared" si="42"/>
        <v>1500</v>
      </c>
      <c r="W149" s="98">
        <f t="shared" si="42"/>
        <v>1500</v>
      </c>
      <c r="X149" s="98">
        <f t="shared" si="42"/>
        <v>1455</v>
      </c>
      <c r="Y149" s="98">
        <f t="shared" si="42"/>
        <v>1410</v>
      </c>
      <c r="Z149" s="98">
        <f t="shared" si="42"/>
        <v>1330</v>
      </c>
      <c r="AA149" s="98">
        <f t="shared" si="42"/>
        <v>1210</v>
      </c>
      <c r="AB149" s="98">
        <f t="shared" si="42"/>
        <v>1175</v>
      </c>
      <c r="AC149" s="98">
        <f t="shared" si="42"/>
        <v>1135</v>
      </c>
      <c r="AD149" s="98">
        <f t="shared" si="42"/>
        <v>1065</v>
      </c>
      <c r="AE149" s="98">
        <f t="shared" si="42"/>
        <v>1015</v>
      </c>
      <c r="AF149" s="98">
        <f t="shared" si="43"/>
        <v>975</v>
      </c>
      <c r="AG149" s="98">
        <f t="shared" si="43"/>
        <v>900</v>
      </c>
      <c r="AH149" s="98">
        <f t="shared" si="43"/>
        <v>755</v>
      </c>
      <c r="AI149" s="98">
        <f t="shared" si="43"/>
        <v>505</v>
      </c>
      <c r="AJ149" s="98">
        <f t="shared" si="43"/>
        <v>345</v>
      </c>
      <c r="AK149" s="98">
        <f t="shared" si="43"/>
        <v>225</v>
      </c>
      <c r="AL149" s="98">
        <f t="shared" si="43"/>
        <v>150</v>
      </c>
      <c r="AM149" s="98">
        <f t="shared" si="43"/>
        <v>105</v>
      </c>
      <c r="AN149" s="98">
        <f t="shared" si="43"/>
        <v>0</v>
      </c>
      <c r="AO149" s="98">
        <f t="shared" si="43"/>
        <v>0</v>
      </c>
      <c r="AP149" s="98">
        <f t="shared" si="43"/>
        <v>0</v>
      </c>
      <c r="AQ149" s="98">
        <f t="shared" si="43"/>
        <v>0</v>
      </c>
      <c r="AR149" s="98">
        <f t="shared" si="43"/>
        <v>0</v>
      </c>
      <c r="AS149" s="98">
        <f t="shared" si="43"/>
        <v>0</v>
      </c>
      <c r="AV149" s="101" t="str">
        <f t="shared" ref="AV149:AV171" si="44">AU$148&amp;TEXT(AW149,"0000")</f>
        <v>1.090200</v>
      </c>
      <c r="AW149" s="101">
        <v>200</v>
      </c>
      <c r="AX149" s="92">
        <v>260</v>
      </c>
      <c r="AY149" s="92">
        <v>750</v>
      </c>
      <c r="AZ149" s="202">
        <v>1000</v>
      </c>
      <c r="BA149" s="202">
        <v>1500</v>
      </c>
      <c r="BB149" s="202">
        <v>2250</v>
      </c>
      <c r="BC149" s="202">
        <v>3750</v>
      </c>
      <c r="BD149" s="202">
        <v>6250</v>
      </c>
      <c r="BF149" s="101" t="str">
        <f t="shared" ref="BF149:BF171" si="45">BE$148&amp;TEXT(BG149,"0000")</f>
        <v>2.070200</v>
      </c>
      <c r="BG149" s="101">
        <v>200</v>
      </c>
      <c r="BH149" s="92">
        <v>245</v>
      </c>
      <c r="BI149" s="92">
        <v>635</v>
      </c>
      <c r="BJ149" s="92">
        <v>850</v>
      </c>
      <c r="BK149" s="202">
        <v>1270</v>
      </c>
      <c r="BL149" s="202">
        <v>1910</v>
      </c>
      <c r="BM149" s="202">
        <v>3180</v>
      </c>
      <c r="BN149" s="202">
        <v>5300</v>
      </c>
      <c r="BP149" s="101" t="str">
        <f t="shared" ref="BP149:BP171" si="46">BO$148&amp;TEXT(BQ149,"0000")</f>
        <v>3.070200</v>
      </c>
      <c r="BQ149" s="101">
        <v>200</v>
      </c>
      <c r="BR149" s="92">
        <v>260</v>
      </c>
      <c r="BS149" s="92">
        <v>750</v>
      </c>
      <c r="BT149" s="202">
        <v>1000</v>
      </c>
      <c r="BU149" s="202">
        <v>1500</v>
      </c>
      <c r="BV149" s="202">
        <v>2250</v>
      </c>
      <c r="BW149" s="202">
        <v>3750</v>
      </c>
      <c r="BX149" s="202">
        <v>6250</v>
      </c>
    </row>
    <row r="150" spans="1:76">
      <c r="A150" s="95"/>
      <c r="B150" s="96"/>
      <c r="C150" s="95"/>
      <c r="D150" s="95"/>
      <c r="E150" s="95"/>
      <c r="F150" s="95"/>
      <c r="G150" s="95"/>
      <c r="H150" s="95"/>
      <c r="I150" s="95"/>
      <c r="J150" s="95"/>
      <c r="K150" s="95"/>
      <c r="L150" s="95"/>
      <c r="M150" s="95"/>
      <c r="N150" s="95"/>
      <c r="O150" s="95"/>
      <c r="P150" s="95"/>
      <c r="Q150" s="95"/>
      <c r="R150" s="95"/>
      <c r="S150" s="99" t="s">
        <v>191</v>
      </c>
      <c r="T150" s="204" t="s">
        <v>191</v>
      </c>
      <c r="U150" s="98"/>
      <c r="V150" s="98">
        <f t="shared" si="42"/>
        <v>1500</v>
      </c>
      <c r="W150" s="98">
        <f t="shared" si="42"/>
        <v>1500</v>
      </c>
      <c r="X150" s="98">
        <f t="shared" si="42"/>
        <v>1455</v>
      </c>
      <c r="Y150" s="98">
        <f t="shared" si="42"/>
        <v>1410</v>
      </c>
      <c r="Z150" s="98">
        <f t="shared" si="42"/>
        <v>1330</v>
      </c>
      <c r="AA150" s="98">
        <f t="shared" si="42"/>
        <v>1210</v>
      </c>
      <c r="AB150" s="98">
        <f t="shared" si="42"/>
        <v>1175</v>
      </c>
      <c r="AC150" s="98">
        <f t="shared" si="42"/>
        <v>1135</v>
      </c>
      <c r="AD150" s="98">
        <f t="shared" si="42"/>
        <v>1065</v>
      </c>
      <c r="AE150" s="98">
        <f t="shared" si="42"/>
        <v>1015</v>
      </c>
      <c r="AF150" s="98">
        <f t="shared" si="43"/>
        <v>975</v>
      </c>
      <c r="AG150" s="98">
        <f t="shared" si="43"/>
        <v>900</v>
      </c>
      <c r="AH150" s="98">
        <f t="shared" si="43"/>
        <v>775</v>
      </c>
      <c r="AI150" s="98">
        <f t="shared" si="43"/>
        <v>725</v>
      </c>
      <c r="AJ150" s="98">
        <f t="shared" si="43"/>
        <v>720</v>
      </c>
      <c r="AK150" s="98">
        <f t="shared" si="43"/>
        <v>605</v>
      </c>
      <c r="AL150" s="98">
        <f t="shared" si="43"/>
        <v>445</v>
      </c>
      <c r="AM150" s="98">
        <f t="shared" si="43"/>
        <v>290</v>
      </c>
      <c r="AN150" s="98">
        <f t="shared" si="43"/>
        <v>0</v>
      </c>
      <c r="AO150" s="98">
        <f t="shared" si="43"/>
        <v>0</v>
      </c>
      <c r="AP150" s="98">
        <f t="shared" si="43"/>
        <v>0</v>
      </c>
      <c r="AQ150" s="98">
        <f t="shared" si="43"/>
        <v>0</v>
      </c>
      <c r="AR150" s="98">
        <f t="shared" si="43"/>
        <v>0</v>
      </c>
      <c r="AS150" s="98">
        <f t="shared" si="43"/>
        <v>0</v>
      </c>
      <c r="AV150" s="101" t="str">
        <f t="shared" si="44"/>
        <v>1.090300</v>
      </c>
      <c r="AW150" s="101">
        <v>300</v>
      </c>
      <c r="AX150" s="92">
        <v>230</v>
      </c>
      <c r="AY150" s="92">
        <v>720</v>
      </c>
      <c r="AZ150" s="92">
        <v>965</v>
      </c>
      <c r="BA150" s="202">
        <v>1445</v>
      </c>
      <c r="BB150" s="202">
        <v>2165</v>
      </c>
      <c r="BC150" s="202">
        <v>3610</v>
      </c>
      <c r="BD150" s="202">
        <v>6015</v>
      </c>
      <c r="BF150" s="101" t="str">
        <f t="shared" si="45"/>
        <v>2.070300</v>
      </c>
      <c r="BG150" s="101">
        <v>300</v>
      </c>
      <c r="BH150" s="92">
        <v>225</v>
      </c>
      <c r="BI150" s="92">
        <v>580</v>
      </c>
      <c r="BJ150" s="92">
        <v>775</v>
      </c>
      <c r="BK150" s="202">
        <v>1160</v>
      </c>
      <c r="BL150" s="202">
        <v>1740</v>
      </c>
      <c r="BM150" s="202">
        <v>2905</v>
      </c>
      <c r="BN150" s="202">
        <v>4840</v>
      </c>
      <c r="BP150" s="101" t="str">
        <f t="shared" si="46"/>
        <v>3.070300</v>
      </c>
      <c r="BQ150" s="101">
        <v>300</v>
      </c>
      <c r="BR150" s="92">
        <v>230</v>
      </c>
      <c r="BS150" s="92">
        <v>730</v>
      </c>
      <c r="BT150" s="92">
        <v>970</v>
      </c>
      <c r="BU150" s="202">
        <v>1455</v>
      </c>
      <c r="BV150" s="202">
        <v>2185</v>
      </c>
      <c r="BW150" s="202">
        <v>3640</v>
      </c>
      <c r="BX150" s="202">
        <v>6070</v>
      </c>
    </row>
    <row r="151" spans="1:76">
      <c r="A151" s="95"/>
      <c r="B151" s="96"/>
      <c r="C151" s="95"/>
      <c r="D151" s="95"/>
      <c r="E151" s="95"/>
      <c r="F151" s="95"/>
      <c r="G151" s="95"/>
      <c r="H151" s="95"/>
      <c r="I151" s="95"/>
      <c r="J151" s="95"/>
      <c r="K151" s="95"/>
      <c r="L151" s="95"/>
      <c r="M151" s="95"/>
      <c r="N151" s="95"/>
      <c r="O151" s="95"/>
      <c r="P151" s="95"/>
      <c r="Q151" s="95"/>
      <c r="R151" s="95"/>
      <c r="S151" s="99" t="s">
        <v>188</v>
      </c>
      <c r="T151" s="204" t="s">
        <v>188</v>
      </c>
      <c r="U151" s="98"/>
      <c r="V151" s="98">
        <f t="shared" si="42"/>
        <v>1500</v>
      </c>
      <c r="W151" s="98">
        <f t="shared" si="42"/>
        <v>1470</v>
      </c>
      <c r="X151" s="98">
        <f t="shared" si="42"/>
        <v>1400</v>
      </c>
      <c r="Y151" s="98">
        <f t="shared" si="42"/>
        <v>1335</v>
      </c>
      <c r="Z151" s="98">
        <f t="shared" si="42"/>
        <v>1290</v>
      </c>
      <c r="AA151" s="98">
        <f t="shared" si="42"/>
        <v>1210</v>
      </c>
      <c r="AB151" s="98">
        <f t="shared" si="42"/>
        <v>1175</v>
      </c>
      <c r="AC151" s="98">
        <f t="shared" si="42"/>
        <v>1135</v>
      </c>
      <c r="AD151" s="98">
        <f t="shared" si="42"/>
        <v>1065</v>
      </c>
      <c r="AE151" s="98">
        <f t="shared" si="42"/>
        <v>1015</v>
      </c>
      <c r="AF151" s="98">
        <f t="shared" si="43"/>
        <v>975</v>
      </c>
      <c r="AG151" s="98">
        <f t="shared" si="43"/>
        <v>745</v>
      </c>
      <c r="AH151" s="98">
        <f t="shared" si="43"/>
        <v>550</v>
      </c>
      <c r="AI151" s="98">
        <f t="shared" si="43"/>
        <v>400</v>
      </c>
      <c r="AJ151" s="98">
        <f t="shared" si="43"/>
        <v>290</v>
      </c>
      <c r="AK151" s="98">
        <f t="shared" si="43"/>
        <v>190</v>
      </c>
      <c r="AL151" s="98">
        <f t="shared" si="43"/>
        <v>125</v>
      </c>
      <c r="AM151" s="98">
        <f t="shared" si="43"/>
        <v>70</v>
      </c>
      <c r="AN151" s="98">
        <f t="shared" si="43"/>
        <v>0</v>
      </c>
      <c r="AO151" s="98">
        <f t="shared" si="43"/>
        <v>0</v>
      </c>
      <c r="AP151" s="98">
        <f t="shared" si="43"/>
        <v>0</v>
      </c>
      <c r="AQ151" s="98">
        <f t="shared" si="43"/>
        <v>0</v>
      </c>
      <c r="AR151" s="98">
        <f t="shared" si="43"/>
        <v>0</v>
      </c>
      <c r="AS151" s="98">
        <f t="shared" si="43"/>
        <v>0</v>
      </c>
      <c r="AV151" s="101" t="str">
        <f t="shared" si="44"/>
        <v>1.090400</v>
      </c>
      <c r="AW151" s="101">
        <v>400</v>
      </c>
      <c r="AX151" s="92">
        <v>200</v>
      </c>
      <c r="AY151" s="92">
        <v>695</v>
      </c>
      <c r="AZ151" s="92">
        <v>925</v>
      </c>
      <c r="BA151" s="202">
        <v>1385</v>
      </c>
      <c r="BB151" s="202">
        <v>2080</v>
      </c>
      <c r="BC151" s="202">
        <v>3465</v>
      </c>
      <c r="BD151" s="202">
        <v>5775</v>
      </c>
      <c r="BF151" s="101" t="str">
        <f t="shared" si="45"/>
        <v>2.070400</v>
      </c>
      <c r="BG151" s="101">
        <v>400</v>
      </c>
      <c r="BH151" s="92">
        <v>200</v>
      </c>
      <c r="BI151" s="92">
        <v>540</v>
      </c>
      <c r="BJ151" s="92">
        <v>725</v>
      </c>
      <c r="BK151" s="202">
        <v>1085</v>
      </c>
      <c r="BL151" s="202">
        <v>1625</v>
      </c>
      <c r="BM151" s="202">
        <v>2710</v>
      </c>
      <c r="BN151" s="202">
        <v>4520</v>
      </c>
      <c r="BP151" s="101" t="str">
        <f t="shared" si="46"/>
        <v>3.070400</v>
      </c>
      <c r="BQ151" s="101">
        <v>400</v>
      </c>
      <c r="BR151" s="92">
        <v>200</v>
      </c>
      <c r="BS151" s="92">
        <v>705</v>
      </c>
      <c r="BT151" s="92">
        <v>940</v>
      </c>
      <c r="BU151" s="202">
        <v>1410</v>
      </c>
      <c r="BV151" s="202">
        <v>2115</v>
      </c>
      <c r="BW151" s="202">
        <v>3530</v>
      </c>
      <c r="BX151" s="202">
        <v>5880</v>
      </c>
    </row>
    <row r="152" spans="1:76">
      <c r="A152" s="95"/>
      <c r="B152" s="96"/>
      <c r="C152" s="95"/>
      <c r="D152" s="95"/>
      <c r="E152" s="95"/>
      <c r="F152" s="95"/>
      <c r="G152" s="95"/>
      <c r="H152" s="95"/>
      <c r="I152" s="95"/>
      <c r="J152" s="95"/>
      <c r="K152" s="95"/>
      <c r="L152" s="95"/>
      <c r="M152" s="95"/>
      <c r="N152" s="95"/>
      <c r="O152" s="95"/>
      <c r="P152" s="95"/>
      <c r="Q152" s="95"/>
      <c r="R152" s="95"/>
      <c r="S152" s="99" t="s">
        <v>189</v>
      </c>
      <c r="T152" s="204" t="s">
        <v>189</v>
      </c>
      <c r="U152" s="98"/>
      <c r="V152" s="98">
        <f t="shared" si="42"/>
        <v>1500</v>
      </c>
      <c r="W152" s="98">
        <f t="shared" si="42"/>
        <v>1500</v>
      </c>
      <c r="X152" s="98">
        <f t="shared" si="42"/>
        <v>1455</v>
      </c>
      <c r="Y152" s="98">
        <f t="shared" si="42"/>
        <v>1410</v>
      </c>
      <c r="Z152" s="98">
        <f t="shared" si="42"/>
        <v>1330</v>
      </c>
      <c r="AA152" s="98">
        <f t="shared" si="42"/>
        <v>1210</v>
      </c>
      <c r="AB152" s="98">
        <f t="shared" si="42"/>
        <v>1175</v>
      </c>
      <c r="AC152" s="98">
        <f t="shared" si="42"/>
        <v>1135</v>
      </c>
      <c r="AD152" s="98">
        <f t="shared" si="42"/>
        <v>1065</v>
      </c>
      <c r="AE152" s="98">
        <f t="shared" si="42"/>
        <v>1015</v>
      </c>
      <c r="AF152" s="98">
        <f t="shared" si="43"/>
        <v>975</v>
      </c>
      <c r="AG152" s="98">
        <f t="shared" si="43"/>
        <v>900</v>
      </c>
      <c r="AH152" s="98">
        <f t="shared" si="43"/>
        <v>775</v>
      </c>
      <c r="AI152" s="98">
        <f t="shared" si="43"/>
        <v>725</v>
      </c>
      <c r="AJ152" s="98">
        <f t="shared" si="43"/>
        <v>720</v>
      </c>
      <c r="AK152" s="98">
        <f t="shared" si="43"/>
        <v>645</v>
      </c>
      <c r="AL152" s="98">
        <f t="shared" si="43"/>
        <v>550</v>
      </c>
      <c r="AM152" s="98">
        <f t="shared" si="43"/>
        <v>410</v>
      </c>
      <c r="AN152" s="98">
        <f t="shared" si="43"/>
        <v>0</v>
      </c>
      <c r="AO152" s="98">
        <f t="shared" si="43"/>
        <v>0</v>
      </c>
      <c r="AP152" s="98">
        <f t="shared" si="43"/>
        <v>0</v>
      </c>
      <c r="AQ152" s="98">
        <f t="shared" si="43"/>
        <v>0</v>
      </c>
      <c r="AR152" s="98">
        <f t="shared" si="43"/>
        <v>0</v>
      </c>
      <c r="AS152" s="98">
        <f t="shared" si="43"/>
        <v>0</v>
      </c>
      <c r="AV152" s="101" t="str">
        <f t="shared" si="44"/>
        <v>1.090500</v>
      </c>
      <c r="AW152" s="101">
        <v>500</v>
      </c>
      <c r="AX152" s="92">
        <v>170</v>
      </c>
      <c r="AY152" s="92">
        <v>665</v>
      </c>
      <c r="AZ152" s="92">
        <v>885</v>
      </c>
      <c r="BA152" s="202">
        <v>1330</v>
      </c>
      <c r="BB152" s="202">
        <v>1995</v>
      </c>
      <c r="BC152" s="202">
        <v>3325</v>
      </c>
      <c r="BD152" s="202">
        <v>5540</v>
      </c>
      <c r="BF152" s="101" t="str">
        <f t="shared" si="45"/>
        <v>2.070500</v>
      </c>
      <c r="BG152" s="101">
        <v>500</v>
      </c>
      <c r="BH152" s="92">
        <v>170</v>
      </c>
      <c r="BI152" s="92">
        <v>515</v>
      </c>
      <c r="BJ152" s="92">
        <v>685</v>
      </c>
      <c r="BK152" s="202">
        <v>1025</v>
      </c>
      <c r="BL152" s="202">
        <v>1540</v>
      </c>
      <c r="BM152" s="202">
        <v>2570</v>
      </c>
      <c r="BN152" s="202">
        <v>4280</v>
      </c>
      <c r="BP152" s="101" t="str">
        <f t="shared" si="46"/>
        <v>3.070500</v>
      </c>
      <c r="BQ152" s="101">
        <v>500</v>
      </c>
      <c r="BR152" s="92">
        <v>170</v>
      </c>
      <c r="BS152" s="92">
        <v>665</v>
      </c>
      <c r="BT152" s="92">
        <v>885</v>
      </c>
      <c r="BU152" s="202">
        <v>1330</v>
      </c>
      <c r="BV152" s="202">
        <v>1995</v>
      </c>
      <c r="BW152" s="202">
        <v>3325</v>
      </c>
      <c r="BX152" s="202">
        <v>5540</v>
      </c>
    </row>
    <row r="153" spans="1:76">
      <c r="A153" s="95"/>
      <c r="B153" s="96"/>
      <c r="C153" s="95"/>
      <c r="D153" s="95"/>
      <c r="E153" s="95"/>
      <c r="F153" s="95"/>
      <c r="G153" s="95"/>
      <c r="H153" s="95"/>
      <c r="I153" s="95"/>
      <c r="J153" s="95"/>
      <c r="K153" s="95"/>
      <c r="L153" s="95"/>
      <c r="M153" s="95"/>
      <c r="N153" s="95"/>
      <c r="O153" s="95"/>
      <c r="P153" s="95"/>
      <c r="Q153" s="95"/>
      <c r="R153" s="95"/>
      <c r="S153" s="99" t="s">
        <v>79</v>
      </c>
      <c r="T153" s="204" t="s">
        <v>204</v>
      </c>
      <c r="U153" s="98"/>
      <c r="V153" s="98">
        <f t="shared" ref="V153:AE164" si="47">VLOOKUP($T153&amp;TEXT(V$1,"0000"),$BF$4:$BN$339,6)</f>
        <v>1440</v>
      </c>
      <c r="W153" s="98">
        <f t="shared" si="47"/>
        <v>1200</v>
      </c>
      <c r="X153" s="98">
        <f t="shared" si="47"/>
        <v>1075</v>
      </c>
      <c r="Y153" s="98">
        <f t="shared" si="47"/>
        <v>995</v>
      </c>
      <c r="Z153" s="98">
        <f t="shared" si="47"/>
        <v>930</v>
      </c>
      <c r="AA153" s="98">
        <f t="shared" si="47"/>
        <v>885</v>
      </c>
      <c r="AB153" s="98">
        <f t="shared" si="47"/>
        <v>865</v>
      </c>
      <c r="AC153" s="98">
        <f t="shared" si="47"/>
        <v>845</v>
      </c>
      <c r="AD153" s="98">
        <f t="shared" si="47"/>
        <v>825</v>
      </c>
      <c r="AE153" s="98">
        <f t="shared" si="47"/>
        <v>810</v>
      </c>
      <c r="AF153" s="98">
        <f t="shared" ref="AF153:AS164" si="48">VLOOKUP($T153&amp;TEXT(AF$1,"0000"),$BF$4:$BN$339,6)</f>
        <v>790</v>
      </c>
      <c r="AG153" s="98">
        <f t="shared" si="48"/>
        <v>780</v>
      </c>
      <c r="AH153" s="98">
        <f t="shared" si="48"/>
        <v>765</v>
      </c>
      <c r="AI153" s="98">
        <f t="shared" si="48"/>
        <v>710</v>
      </c>
      <c r="AJ153" s="98">
        <f t="shared" si="48"/>
        <v>650</v>
      </c>
      <c r="AK153" s="98">
        <f t="shared" si="48"/>
        <v>515</v>
      </c>
      <c r="AL153" s="98">
        <f t="shared" si="48"/>
        <v>410</v>
      </c>
      <c r="AM153" s="98">
        <f t="shared" si="48"/>
        <v>330</v>
      </c>
      <c r="AN153" s="98">
        <f t="shared" si="48"/>
        <v>265</v>
      </c>
      <c r="AO153" s="98">
        <f t="shared" si="48"/>
        <v>225</v>
      </c>
      <c r="AP153" s="98">
        <f t="shared" si="48"/>
        <v>185</v>
      </c>
      <c r="AQ153" s="98">
        <f t="shared" si="48"/>
        <v>150</v>
      </c>
      <c r="AR153" s="98">
        <f t="shared" si="48"/>
        <v>115</v>
      </c>
      <c r="AS153" s="98">
        <f t="shared" si="48"/>
        <v>85</v>
      </c>
      <c r="AV153" s="101" t="str">
        <f t="shared" si="44"/>
        <v>1.090600</v>
      </c>
      <c r="AW153" s="101">
        <v>600</v>
      </c>
      <c r="AX153" s="92">
        <v>140</v>
      </c>
      <c r="AY153" s="92">
        <v>605</v>
      </c>
      <c r="AZ153" s="92">
        <v>805</v>
      </c>
      <c r="BA153" s="202">
        <v>1210</v>
      </c>
      <c r="BB153" s="202">
        <v>1815</v>
      </c>
      <c r="BC153" s="202">
        <v>3025</v>
      </c>
      <c r="BD153" s="202">
        <v>5040</v>
      </c>
      <c r="BF153" s="101" t="str">
        <f t="shared" si="45"/>
        <v>2.070600</v>
      </c>
      <c r="BG153" s="101">
        <v>600</v>
      </c>
      <c r="BH153" s="92">
        <v>140</v>
      </c>
      <c r="BI153" s="92">
        <v>495</v>
      </c>
      <c r="BJ153" s="92">
        <v>660</v>
      </c>
      <c r="BK153" s="92">
        <v>990</v>
      </c>
      <c r="BL153" s="202">
        <v>1485</v>
      </c>
      <c r="BM153" s="202">
        <v>2470</v>
      </c>
      <c r="BN153" s="202">
        <v>4120</v>
      </c>
      <c r="BP153" s="101" t="str">
        <f t="shared" si="46"/>
        <v>3.070600</v>
      </c>
      <c r="BQ153" s="101">
        <v>600</v>
      </c>
      <c r="BR153" s="92">
        <v>140</v>
      </c>
      <c r="BS153" s="92">
        <v>605</v>
      </c>
      <c r="BT153" s="92">
        <v>805</v>
      </c>
      <c r="BU153" s="202">
        <v>1210</v>
      </c>
      <c r="BV153" s="202">
        <v>1815</v>
      </c>
      <c r="BW153" s="202">
        <v>3025</v>
      </c>
      <c r="BX153" s="202">
        <v>5040</v>
      </c>
    </row>
    <row r="154" spans="1:76">
      <c r="A154" s="95"/>
      <c r="B154" s="96"/>
      <c r="C154" s="95"/>
      <c r="D154" s="95"/>
      <c r="E154" s="95"/>
      <c r="F154" s="95"/>
      <c r="G154" s="95"/>
      <c r="H154" s="95"/>
      <c r="I154" s="95"/>
      <c r="J154" s="95"/>
      <c r="K154" s="95"/>
      <c r="L154" s="95"/>
      <c r="M154" s="95"/>
      <c r="N154" s="95"/>
      <c r="O154" s="95"/>
      <c r="P154" s="95"/>
      <c r="Q154" s="95"/>
      <c r="R154" s="95"/>
      <c r="S154" s="99" t="s">
        <v>80</v>
      </c>
      <c r="T154" s="204" t="s">
        <v>205</v>
      </c>
      <c r="U154" s="98"/>
      <c r="V154" s="98">
        <f t="shared" si="47"/>
        <v>1440</v>
      </c>
      <c r="W154" s="98">
        <f t="shared" si="47"/>
        <v>1240</v>
      </c>
      <c r="X154" s="98">
        <f t="shared" si="47"/>
        <v>1120</v>
      </c>
      <c r="Y154" s="98">
        <f t="shared" si="47"/>
        <v>1025</v>
      </c>
      <c r="Z154" s="98">
        <f t="shared" si="47"/>
        <v>955</v>
      </c>
      <c r="AA154" s="98">
        <f t="shared" si="47"/>
        <v>900</v>
      </c>
      <c r="AB154" s="98">
        <f t="shared" si="47"/>
        <v>885</v>
      </c>
      <c r="AC154" s="98">
        <f t="shared" si="47"/>
        <v>870</v>
      </c>
      <c r="AD154" s="98">
        <f t="shared" si="47"/>
        <v>855</v>
      </c>
      <c r="AE154" s="98">
        <f t="shared" si="47"/>
        <v>845</v>
      </c>
      <c r="AF154" s="98">
        <f t="shared" si="48"/>
        <v>835</v>
      </c>
      <c r="AG154" s="98">
        <f t="shared" si="48"/>
        <v>830</v>
      </c>
      <c r="AH154" s="98">
        <f t="shared" si="48"/>
        <v>775</v>
      </c>
      <c r="AI154" s="98">
        <f t="shared" si="48"/>
        <v>725</v>
      </c>
      <c r="AJ154" s="98">
        <f t="shared" si="48"/>
        <v>720</v>
      </c>
      <c r="AK154" s="98">
        <f t="shared" si="48"/>
        <v>610</v>
      </c>
      <c r="AL154" s="98">
        <f t="shared" si="48"/>
        <v>475</v>
      </c>
      <c r="AM154" s="98">
        <f t="shared" si="48"/>
        <v>370</v>
      </c>
      <c r="AN154" s="98">
        <f t="shared" si="48"/>
        <v>295</v>
      </c>
      <c r="AO154" s="98">
        <f t="shared" si="48"/>
        <v>235</v>
      </c>
      <c r="AP154" s="98">
        <f t="shared" si="48"/>
        <v>190</v>
      </c>
      <c r="AQ154" s="98">
        <f t="shared" si="48"/>
        <v>150</v>
      </c>
      <c r="AR154" s="98">
        <f t="shared" si="48"/>
        <v>115</v>
      </c>
      <c r="AS154" s="98">
        <f t="shared" si="48"/>
        <v>85</v>
      </c>
      <c r="AV154" s="101" t="str">
        <f t="shared" si="44"/>
        <v>1.090650</v>
      </c>
      <c r="AW154" s="101">
        <v>650</v>
      </c>
      <c r="AX154" s="92">
        <v>125</v>
      </c>
      <c r="AY154" s="92">
        <v>590</v>
      </c>
      <c r="AZ154" s="92">
        <v>785</v>
      </c>
      <c r="BA154" s="202">
        <v>1175</v>
      </c>
      <c r="BB154" s="202">
        <v>1765</v>
      </c>
      <c r="BC154" s="202">
        <v>2940</v>
      </c>
      <c r="BD154" s="202">
        <v>4905</v>
      </c>
      <c r="BF154" s="101" t="str">
        <f t="shared" si="45"/>
        <v>2.070650</v>
      </c>
      <c r="BG154" s="101">
        <v>650</v>
      </c>
      <c r="BH154" s="92">
        <v>125</v>
      </c>
      <c r="BI154" s="92">
        <v>485</v>
      </c>
      <c r="BJ154" s="92">
        <v>645</v>
      </c>
      <c r="BK154" s="92">
        <v>970</v>
      </c>
      <c r="BL154" s="202">
        <v>1455</v>
      </c>
      <c r="BM154" s="202">
        <v>2425</v>
      </c>
      <c r="BN154" s="202">
        <v>4040</v>
      </c>
      <c r="BP154" s="101" t="str">
        <f t="shared" si="46"/>
        <v>3.070650</v>
      </c>
      <c r="BQ154" s="101">
        <v>650</v>
      </c>
      <c r="BR154" s="92">
        <v>125</v>
      </c>
      <c r="BS154" s="92">
        <v>590</v>
      </c>
      <c r="BT154" s="92">
        <v>785</v>
      </c>
      <c r="BU154" s="202">
        <v>1175</v>
      </c>
      <c r="BV154" s="202">
        <v>1765</v>
      </c>
      <c r="BW154" s="202">
        <v>2940</v>
      </c>
      <c r="BX154" s="202">
        <v>4905</v>
      </c>
    </row>
    <row r="155" spans="1:76">
      <c r="A155" s="95"/>
      <c r="B155" s="96"/>
      <c r="C155" s="95"/>
      <c r="D155" s="95"/>
      <c r="E155" s="95"/>
      <c r="F155" s="95"/>
      <c r="G155" s="95"/>
      <c r="H155" s="95"/>
      <c r="I155" s="95"/>
      <c r="J155" s="95"/>
      <c r="K155" s="95"/>
      <c r="L155" s="95"/>
      <c r="M155" s="95"/>
      <c r="N155" s="95"/>
      <c r="O155" s="95"/>
      <c r="P155" s="95"/>
      <c r="Q155" s="95"/>
      <c r="R155" s="95"/>
      <c r="S155" s="99" t="s">
        <v>81</v>
      </c>
      <c r="T155" s="204" t="s">
        <v>206</v>
      </c>
      <c r="U155" s="98"/>
      <c r="V155" s="98">
        <f t="shared" si="47"/>
        <v>1200</v>
      </c>
      <c r="W155" s="98">
        <f t="shared" si="47"/>
        <v>1020</v>
      </c>
      <c r="X155" s="98">
        <f t="shared" si="47"/>
        <v>910</v>
      </c>
      <c r="Y155" s="98">
        <f t="shared" si="47"/>
        <v>840</v>
      </c>
      <c r="Z155" s="98">
        <f t="shared" si="47"/>
        <v>785</v>
      </c>
      <c r="AA155" s="98">
        <f t="shared" si="47"/>
        <v>745</v>
      </c>
      <c r="AB155" s="98">
        <f t="shared" si="47"/>
        <v>730</v>
      </c>
      <c r="AC155" s="98">
        <f t="shared" si="47"/>
        <v>720</v>
      </c>
      <c r="AD155" s="98">
        <f t="shared" si="47"/>
        <v>705</v>
      </c>
      <c r="AE155" s="98">
        <f t="shared" si="47"/>
        <v>690</v>
      </c>
      <c r="AF155" s="98">
        <f t="shared" si="48"/>
        <v>675</v>
      </c>
      <c r="AG155" s="98">
        <f t="shared" si="48"/>
        <v>0</v>
      </c>
      <c r="AH155" s="98">
        <f t="shared" si="48"/>
        <v>0</v>
      </c>
      <c r="AI155" s="98">
        <f t="shared" si="48"/>
        <v>0</v>
      </c>
      <c r="AJ155" s="98">
        <f t="shared" si="48"/>
        <v>0</v>
      </c>
      <c r="AK155" s="98">
        <f t="shared" si="48"/>
        <v>0</v>
      </c>
      <c r="AL155" s="98">
        <f t="shared" si="48"/>
        <v>0</v>
      </c>
      <c r="AM155" s="98">
        <f t="shared" si="48"/>
        <v>0</v>
      </c>
      <c r="AN155" s="98">
        <f t="shared" si="48"/>
        <v>0</v>
      </c>
      <c r="AO155" s="98">
        <f t="shared" si="48"/>
        <v>0</v>
      </c>
      <c r="AP155" s="98">
        <f t="shared" si="48"/>
        <v>0</v>
      </c>
      <c r="AQ155" s="98">
        <f t="shared" si="48"/>
        <v>0</v>
      </c>
      <c r="AR155" s="98">
        <f t="shared" si="48"/>
        <v>0</v>
      </c>
      <c r="AS155" s="98">
        <f t="shared" si="48"/>
        <v>0</v>
      </c>
      <c r="AV155" s="101" t="str">
        <f t="shared" si="44"/>
        <v>1.090700</v>
      </c>
      <c r="AW155" s="101">
        <v>700</v>
      </c>
      <c r="AX155" s="92">
        <v>110</v>
      </c>
      <c r="AY155" s="92">
        <v>570</v>
      </c>
      <c r="AZ155" s="92">
        <v>755</v>
      </c>
      <c r="BA155" s="202">
        <v>1135</v>
      </c>
      <c r="BB155" s="202">
        <v>1705</v>
      </c>
      <c r="BC155" s="202">
        <v>2840</v>
      </c>
      <c r="BD155" s="202">
        <v>4730</v>
      </c>
      <c r="BF155" s="101" t="str">
        <f t="shared" si="45"/>
        <v>2.070700</v>
      </c>
      <c r="BG155" s="101">
        <v>700</v>
      </c>
      <c r="BH155" s="92">
        <v>110</v>
      </c>
      <c r="BI155" s="92">
        <v>480</v>
      </c>
      <c r="BJ155" s="92">
        <v>635</v>
      </c>
      <c r="BK155" s="92">
        <v>955</v>
      </c>
      <c r="BL155" s="202">
        <v>1435</v>
      </c>
      <c r="BM155" s="202">
        <v>2390</v>
      </c>
      <c r="BN155" s="202">
        <v>3980</v>
      </c>
      <c r="BP155" s="101" t="str">
        <f t="shared" si="46"/>
        <v>3.070700</v>
      </c>
      <c r="BQ155" s="101">
        <v>700</v>
      </c>
      <c r="BR155" s="92">
        <v>110</v>
      </c>
      <c r="BS155" s="92">
        <v>570</v>
      </c>
      <c r="BT155" s="92">
        <v>755</v>
      </c>
      <c r="BU155" s="202">
        <v>1135</v>
      </c>
      <c r="BV155" s="202">
        <v>1705</v>
      </c>
      <c r="BW155" s="202">
        <v>2840</v>
      </c>
      <c r="BX155" s="202">
        <v>4730</v>
      </c>
    </row>
    <row r="156" spans="1:76">
      <c r="A156" s="95"/>
      <c r="B156" s="96"/>
      <c r="C156" s="95"/>
      <c r="D156" s="95"/>
      <c r="E156" s="95"/>
      <c r="F156" s="95"/>
      <c r="G156" s="95"/>
      <c r="H156" s="95"/>
      <c r="I156" s="95"/>
      <c r="J156" s="95"/>
      <c r="K156" s="95"/>
      <c r="L156" s="95"/>
      <c r="M156" s="95"/>
      <c r="N156" s="95"/>
      <c r="O156" s="95"/>
      <c r="P156" s="95"/>
      <c r="Q156" s="95"/>
      <c r="R156" s="95"/>
      <c r="S156" s="99" t="s">
        <v>82</v>
      </c>
      <c r="T156" s="204" t="s">
        <v>207</v>
      </c>
      <c r="U156" s="98"/>
      <c r="V156" s="98">
        <f t="shared" si="47"/>
        <v>1440</v>
      </c>
      <c r="W156" s="98">
        <f t="shared" si="47"/>
        <v>1295</v>
      </c>
      <c r="X156" s="98">
        <f t="shared" si="47"/>
        <v>1190</v>
      </c>
      <c r="Y156" s="98">
        <f t="shared" si="47"/>
        <v>1105</v>
      </c>
      <c r="Z156" s="98">
        <f t="shared" si="47"/>
        <v>1030</v>
      </c>
      <c r="AA156" s="98">
        <f t="shared" si="47"/>
        <v>975</v>
      </c>
      <c r="AB156" s="98">
        <f t="shared" si="47"/>
        <v>950</v>
      </c>
      <c r="AC156" s="98">
        <f t="shared" si="47"/>
        <v>930</v>
      </c>
      <c r="AD156" s="98">
        <f t="shared" si="47"/>
        <v>915</v>
      </c>
      <c r="AE156" s="98">
        <f t="shared" si="47"/>
        <v>900</v>
      </c>
      <c r="AF156" s="98">
        <f t="shared" si="48"/>
        <v>895</v>
      </c>
      <c r="AG156" s="98">
        <f t="shared" si="48"/>
        <v>885</v>
      </c>
      <c r="AH156" s="98">
        <f t="shared" si="48"/>
        <v>775</v>
      </c>
      <c r="AI156" s="98">
        <f t="shared" si="48"/>
        <v>725</v>
      </c>
      <c r="AJ156" s="98">
        <f t="shared" si="48"/>
        <v>720</v>
      </c>
      <c r="AK156" s="98">
        <f t="shared" si="48"/>
        <v>625</v>
      </c>
      <c r="AL156" s="98">
        <f t="shared" si="48"/>
        <v>475</v>
      </c>
      <c r="AM156" s="98">
        <f t="shared" si="48"/>
        <v>370</v>
      </c>
      <c r="AN156" s="98">
        <f t="shared" si="48"/>
        <v>280</v>
      </c>
      <c r="AO156" s="98">
        <f t="shared" si="48"/>
        <v>220</v>
      </c>
      <c r="AP156" s="98">
        <f t="shared" si="48"/>
        <v>170</v>
      </c>
      <c r="AQ156" s="98">
        <f t="shared" si="48"/>
        <v>130</v>
      </c>
      <c r="AR156" s="98">
        <f t="shared" si="48"/>
        <v>105</v>
      </c>
      <c r="AS156" s="98">
        <f t="shared" si="48"/>
        <v>75</v>
      </c>
      <c r="AV156" s="101" t="str">
        <f t="shared" si="44"/>
        <v>1.090750</v>
      </c>
      <c r="AW156" s="101">
        <v>750</v>
      </c>
      <c r="AX156" s="92">
        <v>95</v>
      </c>
      <c r="AY156" s="92">
        <v>530</v>
      </c>
      <c r="AZ156" s="92">
        <v>710</v>
      </c>
      <c r="BA156" s="202">
        <v>1065</v>
      </c>
      <c r="BB156" s="202">
        <v>1595</v>
      </c>
      <c r="BC156" s="202">
        <v>2660</v>
      </c>
      <c r="BD156" s="202">
        <v>4430</v>
      </c>
      <c r="BF156" s="101" t="str">
        <f t="shared" si="45"/>
        <v>2.070750</v>
      </c>
      <c r="BG156" s="101">
        <v>750</v>
      </c>
      <c r="BH156" s="92">
        <v>95</v>
      </c>
      <c r="BI156" s="92">
        <v>470</v>
      </c>
      <c r="BJ156" s="92">
        <v>625</v>
      </c>
      <c r="BK156" s="92">
        <v>940</v>
      </c>
      <c r="BL156" s="202">
        <v>1410</v>
      </c>
      <c r="BM156" s="202">
        <v>2350</v>
      </c>
      <c r="BN156" s="202">
        <v>3920</v>
      </c>
      <c r="BP156" s="101" t="str">
        <f t="shared" si="46"/>
        <v>3.070750</v>
      </c>
      <c r="BQ156" s="101">
        <v>750</v>
      </c>
      <c r="BR156" s="92">
        <v>95</v>
      </c>
      <c r="BS156" s="92">
        <v>530</v>
      </c>
      <c r="BT156" s="92">
        <v>710</v>
      </c>
      <c r="BU156" s="202">
        <v>1065</v>
      </c>
      <c r="BV156" s="202">
        <v>1595</v>
      </c>
      <c r="BW156" s="202">
        <v>2660</v>
      </c>
      <c r="BX156" s="202">
        <v>4430</v>
      </c>
    </row>
    <row r="157" spans="1:76">
      <c r="A157" s="95"/>
      <c r="B157" s="96"/>
      <c r="C157" s="95"/>
      <c r="D157" s="95"/>
      <c r="E157" s="95"/>
      <c r="F157" s="95"/>
      <c r="G157" s="95"/>
      <c r="H157" s="95"/>
      <c r="I157" s="95"/>
      <c r="J157" s="95"/>
      <c r="K157" s="95"/>
      <c r="L157" s="95"/>
      <c r="M157" s="95"/>
      <c r="N157" s="95"/>
      <c r="O157" s="95"/>
      <c r="P157" s="95"/>
      <c r="Q157" s="95"/>
      <c r="R157" s="95"/>
      <c r="S157" s="99" t="s">
        <v>83</v>
      </c>
      <c r="T157" s="204" t="s">
        <v>208</v>
      </c>
      <c r="U157" s="98"/>
      <c r="V157" s="98">
        <f t="shared" si="47"/>
        <v>1440</v>
      </c>
      <c r="W157" s="98">
        <f t="shared" si="47"/>
        <v>1325</v>
      </c>
      <c r="X157" s="98">
        <f t="shared" si="47"/>
        <v>1235</v>
      </c>
      <c r="Y157" s="98">
        <f t="shared" si="47"/>
        <v>1150</v>
      </c>
      <c r="Z157" s="98">
        <f t="shared" si="47"/>
        <v>1085</v>
      </c>
      <c r="AA157" s="98">
        <f t="shared" si="47"/>
        <v>1030</v>
      </c>
      <c r="AB157" s="98">
        <f t="shared" si="47"/>
        <v>1015</v>
      </c>
      <c r="AC157" s="98">
        <f t="shared" si="47"/>
        <v>995</v>
      </c>
      <c r="AD157" s="98">
        <f t="shared" si="47"/>
        <v>985</v>
      </c>
      <c r="AE157" s="98">
        <f t="shared" si="47"/>
        <v>975</v>
      </c>
      <c r="AF157" s="98">
        <f t="shared" si="48"/>
        <v>970</v>
      </c>
      <c r="AG157" s="98">
        <f t="shared" si="48"/>
        <v>900</v>
      </c>
      <c r="AH157" s="98">
        <f t="shared" si="48"/>
        <v>775</v>
      </c>
      <c r="AI157" s="98">
        <f t="shared" si="48"/>
        <v>725</v>
      </c>
      <c r="AJ157" s="98">
        <f t="shared" si="48"/>
        <v>720</v>
      </c>
      <c r="AK157" s="98">
        <f t="shared" si="48"/>
        <v>645</v>
      </c>
      <c r="AL157" s="98">
        <f t="shared" si="48"/>
        <v>550</v>
      </c>
      <c r="AM157" s="98">
        <f t="shared" si="48"/>
        <v>410</v>
      </c>
      <c r="AN157" s="98">
        <f t="shared" si="48"/>
        <v>365</v>
      </c>
      <c r="AO157" s="98">
        <f t="shared" si="48"/>
        <v>275</v>
      </c>
      <c r="AP157" s="98">
        <f t="shared" si="48"/>
        <v>205</v>
      </c>
      <c r="AQ157" s="98">
        <f t="shared" si="48"/>
        <v>150</v>
      </c>
      <c r="AR157" s="98">
        <f t="shared" si="48"/>
        <v>115</v>
      </c>
      <c r="AS157" s="98">
        <f t="shared" si="48"/>
        <v>85</v>
      </c>
      <c r="AV157" s="101" t="str">
        <f t="shared" si="44"/>
        <v>1.090800</v>
      </c>
      <c r="AW157" s="101">
        <v>800</v>
      </c>
      <c r="AX157" s="92">
        <v>80</v>
      </c>
      <c r="AY157" s="92">
        <v>510</v>
      </c>
      <c r="AZ157" s="92">
        <v>675</v>
      </c>
      <c r="BA157" s="202">
        <v>1015</v>
      </c>
      <c r="BB157" s="202">
        <v>1525</v>
      </c>
      <c r="BC157" s="202">
        <v>2540</v>
      </c>
      <c r="BD157" s="202">
        <v>4230</v>
      </c>
      <c r="BF157" s="101" t="str">
        <f t="shared" si="45"/>
        <v>2.070800</v>
      </c>
      <c r="BG157" s="101">
        <v>800</v>
      </c>
      <c r="BH157" s="92">
        <v>80</v>
      </c>
      <c r="BI157" s="92">
        <v>465</v>
      </c>
      <c r="BJ157" s="92">
        <v>620</v>
      </c>
      <c r="BK157" s="92">
        <v>930</v>
      </c>
      <c r="BL157" s="202">
        <v>1395</v>
      </c>
      <c r="BM157" s="202">
        <v>2330</v>
      </c>
      <c r="BN157" s="202">
        <v>3880</v>
      </c>
      <c r="BP157" s="101" t="str">
        <f t="shared" si="46"/>
        <v>3.070800</v>
      </c>
      <c r="BQ157" s="101">
        <v>800</v>
      </c>
      <c r="BR157" s="92">
        <v>80</v>
      </c>
      <c r="BS157" s="92">
        <v>510</v>
      </c>
      <c r="BT157" s="92">
        <v>675</v>
      </c>
      <c r="BU157" s="202">
        <v>1015</v>
      </c>
      <c r="BV157" s="202">
        <v>1525</v>
      </c>
      <c r="BW157" s="202">
        <v>2540</v>
      </c>
      <c r="BX157" s="202">
        <v>4230</v>
      </c>
    </row>
    <row r="158" spans="1:76">
      <c r="A158" s="95"/>
      <c r="B158" s="96"/>
      <c r="C158" s="95"/>
      <c r="D158" s="95"/>
      <c r="E158" s="95"/>
      <c r="F158" s="95"/>
      <c r="G158" s="95"/>
      <c r="H158" s="95"/>
      <c r="I158" s="95"/>
      <c r="J158" s="95"/>
      <c r="K158" s="95"/>
      <c r="L158" s="95"/>
      <c r="M158" s="95"/>
      <c r="N158" s="95"/>
      <c r="O158" s="95"/>
      <c r="P158" s="95"/>
      <c r="Q158" s="95"/>
      <c r="R158" s="95"/>
      <c r="S158" s="99" t="s">
        <v>84</v>
      </c>
      <c r="T158" s="204" t="s">
        <v>209</v>
      </c>
      <c r="U158" s="98"/>
      <c r="V158" s="98">
        <f t="shared" si="47"/>
        <v>1440</v>
      </c>
      <c r="W158" s="98">
        <f t="shared" si="47"/>
        <v>1260</v>
      </c>
      <c r="X158" s="98">
        <f t="shared" si="47"/>
        <v>1160</v>
      </c>
      <c r="Y158" s="98">
        <f t="shared" si="47"/>
        <v>1090</v>
      </c>
      <c r="Z158" s="98">
        <f t="shared" si="47"/>
        <v>1035</v>
      </c>
      <c r="AA158" s="98">
        <f t="shared" si="47"/>
        <v>1000</v>
      </c>
      <c r="AB158" s="98">
        <f t="shared" si="47"/>
        <v>985</v>
      </c>
      <c r="AC158" s="98">
        <f t="shared" si="47"/>
        <v>970</v>
      </c>
      <c r="AD158" s="98">
        <f t="shared" si="47"/>
        <v>960</v>
      </c>
      <c r="AE158" s="98">
        <f t="shared" si="47"/>
        <v>945</v>
      </c>
      <c r="AF158" s="98">
        <f t="shared" si="48"/>
        <v>930</v>
      </c>
      <c r="AG158" s="98">
        <f t="shared" si="48"/>
        <v>900</v>
      </c>
      <c r="AH158" s="98">
        <f t="shared" si="48"/>
        <v>775</v>
      </c>
      <c r="AI158" s="98">
        <f t="shared" si="48"/>
        <v>725</v>
      </c>
      <c r="AJ158" s="98">
        <f t="shared" si="48"/>
        <v>705</v>
      </c>
      <c r="AK158" s="98">
        <f t="shared" si="48"/>
        <v>520</v>
      </c>
      <c r="AL158" s="98">
        <f t="shared" si="48"/>
        <v>375</v>
      </c>
      <c r="AM158" s="98">
        <f t="shared" si="48"/>
        <v>275</v>
      </c>
      <c r="AN158" s="98">
        <f t="shared" si="48"/>
        <v>205</v>
      </c>
      <c r="AO158" s="98">
        <f t="shared" si="48"/>
        <v>150</v>
      </c>
      <c r="AP158" s="98">
        <f t="shared" si="48"/>
        <v>115</v>
      </c>
      <c r="AQ158" s="98">
        <f t="shared" si="48"/>
        <v>90</v>
      </c>
      <c r="AR158" s="98">
        <f t="shared" si="48"/>
        <v>70</v>
      </c>
      <c r="AS158" s="98">
        <f t="shared" si="48"/>
        <v>50</v>
      </c>
      <c r="AV158" s="101" t="str">
        <f t="shared" si="44"/>
        <v>1.090850</v>
      </c>
      <c r="AW158" s="101">
        <v>850</v>
      </c>
      <c r="AX158" s="92">
        <v>65</v>
      </c>
      <c r="AY158" s="92">
        <v>485</v>
      </c>
      <c r="AZ158" s="92">
        <v>650</v>
      </c>
      <c r="BA158" s="92">
        <v>975</v>
      </c>
      <c r="BB158" s="202">
        <v>1460</v>
      </c>
      <c r="BC158" s="202">
        <v>2435</v>
      </c>
      <c r="BD158" s="202">
        <v>4060</v>
      </c>
      <c r="BF158" s="101" t="str">
        <f t="shared" si="45"/>
        <v>2.070850</v>
      </c>
      <c r="BG158" s="101">
        <v>850</v>
      </c>
      <c r="BH158" s="92">
        <v>65</v>
      </c>
      <c r="BI158" s="92">
        <v>460</v>
      </c>
      <c r="BJ158" s="92">
        <v>610</v>
      </c>
      <c r="BK158" s="92">
        <v>915</v>
      </c>
      <c r="BL158" s="202">
        <v>1375</v>
      </c>
      <c r="BM158" s="202">
        <v>2290</v>
      </c>
      <c r="BN158" s="202">
        <v>3820</v>
      </c>
      <c r="BP158" s="101" t="str">
        <f t="shared" si="46"/>
        <v>3.070850</v>
      </c>
      <c r="BQ158" s="101">
        <v>850</v>
      </c>
    </row>
    <row r="159" spans="1:76">
      <c r="A159" s="95"/>
      <c r="B159" s="96"/>
      <c r="C159" s="95"/>
      <c r="D159" s="95"/>
      <c r="E159" s="95"/>
      <c r="F159" s="95"/>
      <c r="G159" s="95"/>
      <c r="H159" s="95"/>
      <c r="I159" s="95"/>
      <c r="J159" s="95"/>
      <c r="K159" s="95"/>
      <c r="L159" s="95"/>
      <c r="M159" s="95"/>
      <c r="N159" s="95"/>
      <c r="O159" s="95"/>
      <c r="P159" s="95"/>
      <c r="Q159" s="95"/>
      <c r="R159" s="95"/>
      <c r="S159" s="99" t="s">
        <v>85</v>
      </c>
      <c r="T159" s="204" t="s">
        <v>210</v>
      </c>
      <c r="U159" s="98"/>
      <c r="V159" s="98">
        <f t="shared" si="47"/>
        <v>1440</v>
      </c>
      <c r="W159" s="98">
        <f t="shared" si="47"/>
        <v>1270</v>
      </c>
      <c r="X159" s="98">
        <f t="shared" si="47"/>
        <v>1160</v>
      </c>
      <c r="Y159" s="98">
        <f t="shared" si="47"/>
        <v>1085</v>
      </c>
      <c r="Z159" s="98">
        <f t="shared" si="47"/>
        <v>1025</v>
      </c>
      <c r="AA159" s="98">
        <f t="shared" si="47"/>
        <v>990</v>
      </c>
      <c r="AB159" s="98">
        <f t="shared" si="47"/>
        <v>970</v>
      </c>
      <c r="AC159" s="98">
        <f t="shared" si="47"/>
        <v>955</v>
      </c>
      <c r="AD159" s="98">
        <f t="shared" si="47"/>
        <v>940</v>
      </c>
      <c r="AE159" s="98">
        <f t="shared" si="47"/>
        <v>930</v>
      </c>
      <c r="AF159" s="98">
        <f t="shared" si="48"/>
        <v>915</v>
      </c>
      <c r="AG159" s="98">
        <f t="shared" si="48"/>
        <v>900</v>
      </c>
      <c r="AH159" s="98">
        <f t="shared" si="48"/>
        <v>775</v>
      </c>
      <c r="AI159" s="98">
        <f t="shared" si="48"/>
        <v>725</v>
      </c>
      <c r="AJ159" s="98">
        <f t="shared" si="48"/>
        <v>705</v>
      </c>
      <c r="AK159" s="98">
        <f t="shared" si="48"/>
        <v>520</v>
      </c>
      <c r="AL159" s="98">
        <f t="shared" si="48"/>
        <v>375</v>
      </c>
      <c r="AM159" s="98">
        <f t="shared" si="48"/>
        <v>275</v>
      </c>
      <c r="AN159" s="98">
        <f t="shared" si="48"/>
        <v>205</v>
      </c>
      <c r="AO159" s="98">
        <f t="shared" si="48"/>
        <v>150</v>
      </c>
      <c r="AP159" s="98">
        <f t="shared" si="48"/>
        <v>115</v>
      </c>
      <c r="AQ159" s="98">
        <f t="shared" si="48"/>
        <v>90</v>
      </c>
      <c r="AR159" s="98">
        <f t="shared" si="48"/>
        <v>65</v>
      </c>
      <c r="AS159" s="98">
        <f t="shared" si="48"/>
        <v>50</v>
      </c>
      <c r="AV159" s="101" t="str">
        <f t="shared" si="44"/>
        <v>1.090900</v>
      </c>
      <c r="AW159" s="101">
        <v>900</v>
      </c>
      <c r="AX159" s="92">
        <v>50</v>
      </c>
      <c r="AY159" s="92">
        <v>450</v>
      </c>
      <c r="AZ159" s="92">
        <v>600</v>
      </c>
      <c r="BA159" s="92">
        <v>900</v>
      </c>
      <c r="BB159" s="202">
        <v>1350</v>
      </c>
      <c r="BC159" s="202">
        <v>2245</v>
      </c>
      <c r="BD159" s="202">
        <v>3745</v>
      </c>
      <c r="BF159" s="101" t="str">
        <f t="shared" si="45"/>
        <v>2.070900</v>
      </c>
      <c r="BG159" s="101">
        <v>900</v>
      </c>
      <c r="BH159" s="92">
        <v>50</v>
      </c>
      <c r="BI159" s="92">
        <v>450</v>
      </c>
      <c r="BJ159" s="92">
        <v>600</v>
      </c>
      <c r="BK159" s="92">
        <v>900</v>
      </c>
      <c r="BL159" s="202">
        <v>1350</v>
      </c>
      <c r="BM159" s="202">
        <v>2245</v>
      </c>
      <c r="BN159" s="202">
        <v>3745</v>
      </c>
      <c r="BP159" s="101" t="str">
        <f t="shared" si="46"/>
        <v>3.070900</v>
      </c>
      <c r="BQ159" s="101">
        <v>900</v>
      </c>
    </row>
    <row r="160" spans="1:76">
      <c r="A160" s="95"/>
      <c r="B160" s="96"/>
      <c r="C160" s="95"/>
      <c r="D160" s="95"/>
      <c r="E160" s="95"/>
      <c r="F160" s="95"/>
      <c r="G160" s="95"/>
      <c r="H160" s="95"/>
      <c r="I160" s="95"/>
      <c r="J160" s="95"/>
      <c r="K160" s="95"/>
      <c r="L160" s="95"/>
      <c r="M160" s="95"/>
      <c r="N160" s="95"/>
      <c r="O160" s="95"/>
      <c r="P160" s="95"/>
      <c r="Q160" s="95"/>
      <c r="R160" s="95"/>
      <c r="S160" s="99" t="s">
        <v>199</v>
      </c>
      <c r="T160" s="204" t="s">
        <v>211</v>
      </c>
      <c r="U160" s="98"/>
      <c r="V160" s="98">
        <f t="shared" si="47"/>
        <v>1500</v>
      </c>
      <c r="W160" s="98">
        <f t="shared" si="47"/>
        <v>1490</v>
      </c>
      <c r="X160" s="98">
        <f t="shared" si="47"/>
        <v>1335</v>
      </c>
      <c r="Y160" s="98">
        <f t="shared" si="47"/>
        <v>1230</v>
      </c>
      <c r="Z160" s="98">
        <f t="shared" si="47"/>
        <v>1160</v>
      </c>
      <c r="AA160" s="98">
        <f t="shared" si="47"/>
        <v>1115</v>
      </c>
      <c r="AB160" s="98">
        <f t="shared" si="47"/>
        <v>1095</v>
      </c>
      <c r="AC160" s="98">
        <f t="shared" si="47"/>
        <v>1085</v>
      </c>
      <c r="AD160" s="98">
        <f t="shared" si="47"/>
        <v>1065</v>
      </c>
      <c r="AE160" s="98">
        <f t="shared" si="47"/>
        <v>0</v>
      </c>
      <c r="AF160" s="98">
        <f t="shared" si="48"/>
        <v>0</v>
      </c>
      <c r="AG160" s="98">
        <f t="shared" si="48"/>
        <v>0</v>
      </c>
      <c r="AH160" s="98">
        <f t="shared" si="48"/>
        <v>0</v>
      </c>
      <c r="AI160" s="98">
        <f t="shared" si="48"/>
        <v>0</v>
      </c>
      <c r="AJ160" s="98">
        <f t="shared" si="48"/>
        <v>0</v>
      </c>
      <c r="AK160" s="98">
        <f t="shared" si="48"/>
        <v>0</v>
      </c>
      <c r="AL160" s="98">
        <f t="shared" si="48"/>
        <v>0</v>
      </c>
      <c r="AM160" s="98">
        <f t="shared" si="48"/>
        <v>0</v>
      </c>
      <c r="AN160" s="98">
        <f t="shared" si="48"/>
        <v>0</v>
      </c>
      <c r="AO160" s="98">
        <f t="shared" si="48"/>
        <v>0</v>
      </c>
      <c r="AP160" s="98">
        <f t="shared" si="48"/>
        <v>0</v>
      </c>
      <c r="AQ160" s="98">
        <f t="shared" si="48"/>
        <v>0</v>
      </c>
      <c r="AR160" s="98">
        <f t="shared" si="48"/>
        <v>0</v>
      </c>
      <c r="AS160" s="98">
        <f t="shared" si="48"/>
        <v>0</v>
      </c>
      <c r="AV160" s="101" t="str">
        <f t="shared" si="44"/>
        <v>1.090950</v>
      </c>
      <c r="AW160" s="101">
        <v>950</v>
      </c>
      <c r="AX160" s="92">
        <v>35</v>
      </c>
      <c r="AY160" s="92">
        <v>320</v>
      </c>
      <c r="AZ160" s="92">
        <v>425</v>
      </c>
      <c r="BA160" s="92">
        <v>640</v>
      </c>
      <c r="BB160" s="92">
        <v>955</v>
      </c>
      <c r="BC160" s="202">
        <v>1595</v>
      </c>
      <c r="BD160" s="202">
        <v>2655</v>
      </c>
      <c r="BF160" s="101" t="str">
        <f t="shared" si="45"/>
        <v>2.070950</v>
      </c>
      <c r="BG160" s="101">
        <v>950</v>
      </c>
      <c r="BH160" s="92">
        <v>35</v>
      </c>
      <c r="BI160" s="92">
        <v>385</v>
      </c>
      <c r="BJ160" s="92">
        <v>515</v>
      </c>
      <c r="BK160" s="92">
        <v>775</v>
      </c>
      <c r="BL160" s="202">
        <v>1160</v>
      </c>
      <c r="BM160" s="202">
        <v>1930</v>
      </c>
      <c r="BN160" s="202">
        <v>3220</v>
      </c>
      <c r="BP160" s="101" t="str">
        <f t="shared" si="46"/>
        <v>3.070950</v>
      </c>
      <c r="BQ160" s="101">
        <v>950</v>
      </c>
    </row>
    <row r="161" spans="1:76">
      <c r="A161" s="95"/>
      <c r="B161" s="96"/>
      <c r="C161" s="95"/>
      <c r="D161" s="95"/>
      <c r="E161" s="95"/>
      <c r="F161" s="95"/>
      <c r="G161" s="95"/>
      <c r="H161" s="95"/>
      <c r="I161" s="95"/>
      <c r="J161" s="95"/>
      <c r="K161" s="95"/>
      <c r="L161" s="95"/>
      <c r="M161" s="95"/>
      <c r="N161" s="95"/>
      <c r="O161" s="95"/>
      <c r="P161" s="95"/>
      <c r="Q161" s="95"/>
      <c r="R161" s="95"/>
      <c r="S161" s="99" t="s">
        <v>200</v>
      </c>
      <c r="T161" s="204" t="s">
        <v>212</v>
      </c>
      <c r="U161" s="98"/>
      <c r="V161" s="98">
        <f t="shared" si="47"/>
        <v>1440</v>
      </c>
      <c r="W161" s="98">
        <f t="shared" si="47"/>
        <v>1260</v>
      </c>
      <c r="X161" s="98">
        <f t="shared" si="47"/>
        <v>1160</v>
      </c>
      <c r="Y161" s="98">
        <f t="shared" si="47"/>
        <v>1085</v>
      </c>
      <c r="Z161" s="98">
        <f t="shared" si="47"/>
        <v>1025</v>
      </c>
      <c r="AA161" s="98">
        <f t="shared" si="47"/>
        <v>990</v>
      </c>
      <c r="AB161" s="98">
        <f t="shared" si="47"/>
        <v>970</v>
      </c>
      <c r="AC161" s="98">
        <f t="shared" si="47"/>
        <v>955</v>
      </c>
      <c r="AD161" s="98">
        <f t="shared" si="47"/>
        <v>940</v>
      </c>
      <c r="AE161" s="98">
        <f t="shared" si="47"/>
        <v>930</v>
      </c>
      <c r="AF161" s="98">
        <f t="shared" si="48"/>
        <v>915</v>
      </c>
      <c r="AG161" s="98">
        <f t="shared" si="48"/>
        <v>900</v>
      </c>
      <c r="AH161" s="98">
        <f t="shared" si="48"/>
        <v>775</v>
      </c>
      <c r="AI161" s="98">
        <f t="shared" si="48"/>
        <v>680</v>
      </c>
      <c r="AJ161" s="98">
        <f t="shared" si="48"/>
        <v>485</v>
      </c>
      <c r="AK161" s="98">
        <f t="shared" si="48"/>
        <v>345</v>
      </c>
      <c r="AL161" s="98">
        <f t="shared" si="48"/>
        <v>245</v>
      </c>
      <c r="AM161" s="98">
        <f t="shared" si="48"/>
        <v>170</v>
      </c>
      <c r="AN161" s="98">
        <f t="shared" si="48"/>
        <v>105</v>
      </c>
      <c r="AO161" s="98">
        <f t="shared" si="48"/>
        <v>55</v>
      </c>
      <c r="AP161" s="98">
        <f t="shared" si="48"/>
        <v>35</v>
      </c>
      <c r="AQ161" s="98">
        <f t="shared" si="48"/>
        <v>25</v>
      </c>
      <c r="AR161" s="98">
        <f t="shared" si="48"/>
        <v>20</v>
      </c>
      <c r="AS161" s="98">
        <f t="shared" si="48"/>
        <v>15</v>
      </c>
      <c r="AV161" s="101" t="str">
        <f t="shared" si="44"/>
        <v>1.091000</v>
      </c>
      <c r="AW161" s="101">
        <v>1000</v>
      </c>
      <c r="AX161" s="92">
        <v>20</v>
      </c>
      <c r="AY161" s="92">
        <v>215</v>
      </c>
      <c r="AZ161" s="92">
        <v>290</v>
      </c>
      <c r="BA161" s="92">
        <v>430</v>
      </c>
      <c r="BB161" s="92">
        <v>650</v>
      </c>
      <c r="BC161" s="202">
        <v>1080</v>
      </c>
      <c r="BD161" s="202">
        <v>1800</v>
      </c>
      <c r="BF161" s="101" t="str">
        <f t="shared" si="45"/>
        <v>2.071000</v>
      </c>
      <c r="BG161" s="101">
        <v>1000</v>
      </c>
      <c r="BH161" s="92">
        <v>20</v>
      </c>
      <c r="BI161" s="92">
        <v>365</v>
      </c>
      <c r="BJ161" s="92">
        <v>485</v>
      </c>
      <c r="BK161" s="92">
        <v>725</v>
      </c>
      <c r="BL161" s="202">
        <v>1090</v>
      </c>
      <c r="BM161" s="202">
        <v>1820</v>
      </c>
      <c r="BN161" s="202">
        <v>3030</v>
      </c>
      <c r="BP161" s="101" t="str">
        <f t="shared" si="46"/>
        <v>3.071000</v>
      </c>
      <c r="BQ161" s="101">
        <v>1000</v>
      </c>
    </row>
    <row r="162" spans="1:76">
      <c r="A162" s="95"/>
      <c r="B162" s="96"/>
      <c r="C162" s="95"/>
      <c r="D162" s="95"/>
      <c r="E162" s="95"/>
      <c r="F162" s="95"/>
      <c r="G162" s="95"/>
      <c r="H162" s="95"/>
      <c r="I162" s="95"/>
      <c r="J162" s="95"/>
      <c r="K162" s="95"/>
      <c r="L162" s="95"/>
      <c r="M162" s="95"/>
      <c r="N162" s="95"/>
      <c r="O162" s="95"/>
      <c r="P162" s="95"/>
      <c r="Q162" s="95"/>
      <c r="R162" s="95"/>
      <c r="S162" s="99" t="s">
        <v>201</v>
      </c>
      <c r="T162" s="204" t="s">
        <v>201</v>
      </c>
      <c r="U162" s="98"/>
      <c r="V162" s="98">
        <f t="shared" si="47"/>
        <v>1345</v>
      </c>
      <c r="W162" s="98">
        <f t="shared" si="47"/>
        <v>1100</v>
      </c>
      <c r="X162" s="98">
        <f t="shared" si="47"/>
        <v>1015</v>
      </c>
      <c r="Y162" s="98">
        <f t="shared" si="47"/>
        <v>970</v>
      </c>
      <c r="Z162" s="98">
        <f t="shared" si="47"/>
        <v>940</v>
      </c>
      <c r="AA162" s="98">
        <f t="shared" si="47"/>
        <v>910</v>
      </c>
      <c r="AB162" s="98">
        <f t="shared" si="47"/>
        <v>895</v>
      </c>
      <c r="AC162" s="98">
        <f t="shared" si="47"/>
        <v>870</v>
      </c>
      <c r="AD162" s="98">
        <f t="shared" si="47"/>
        <v>845</v>
      </c>
      <c r="AE162" s="98">
        <f t="shared" si="47"/>
        <v>820</v>
      </c>
      <c r="AF162" s="98">
        <f t="shared" si="48"/>
        <v>795</v>
      </c>
      <c r="AG162" s="98">
        <f t="shared" si="48"/>
        <v>770</v>
      </c>
      <c r="AH162" s="98">
        <f t="shared" si="48"/>
        <v>740</v>
      </c>
      <c r="AI162" s="98">
        <f t="shared" si="48"/>
        <v>675</v>
      </c>
      <c r="AJ162" s="98">
        <f t="shared" si="48"/>
        <v>585</v>
      </c>
      <c r="AK162" s="98">
        <f t="shared" si="48"/>
        <v>445</v>
      </c>
      <c r="AL162" s="98">
        <f t="shared" si="48"/>
        <v>345</v>
      </c>
      <c r="AM162" s="98">
        <f t="shared" si="48"/>
        <v>260</v>
      </c>
      <c r="AN162" s="98">
        <f t="shared" si="48"/>
        <v>200</v>
      </c>
      <c r="AO162" s="98">
        <f t="shared" si="48"/>
        <v>160</v>
      </c>
      <c r="AP162" s="98">
        <f t="shared" si="48"/>
        <v>125</v>
      </c>
      <c r="AQ162" s="98">
        <f t="shared" si="48"/>
        <v>90</v>
      </c>
      <c r="AR162" s="98">
        <f t="shared" si="48"/>
        <v>60</v>
      </c>
      <c r="AS162" s="98">
        <f t="shared" si="48"/>
        <v>55</v>
      </c>
      <c r="AV162" s="101" t="str">
        <f t="shared" si="44"/>
        <v>1.091050</v>
      </c>
      <c r="AW162" s="101">
        <v>1050</v>
      </c>
      <c r="AY162" s="92">
        <v>145</v>
      </c>
      <c r="AZ162" s="92">
        <v>190</v>
      </c>
      <c r="BA162" s="92">
        <v>290</v>
      </c>
      <c r="BB162" s="92">
        <v>430</v>
      </c>
      <c r="BC162" s="92">
        <v>720</v>
      </c>
      <c r="BD162" s="202">
        <v>1200</v>
      </c>
      <c r="BF162" s="101" t="str">
        <f t="shared" si="45"/>
        <v>2.071050</v>
      </c>
      <c r="BG162" s="101">
        <v>1050</v>
      </c>
      <c r="BI162" s="92">
        <v>355</v>
      </c>
      <c r="BJ162" s="92">
        <v>470</v>
      </c>
      <c r="BK162" s="92">
        <v>705</v>
      </c>
      <c r="BL162" s="202">
        <v>1060</v>
      </c>
      <c r="BM162" s="202">
        <v>1765</v>
      </c>
      <c r="BN162" s="202">
        <v>2945</v>
      </c>
      <c r="BP162" s="101" t="str">
        <f t="shared" si="46"/>
        <v>3.071050</v>
      </c>
      <c r="BQ162" s="101">
        <v>1050</v>
      </c>
    </row>
    <row r="163" spans="1:76">
      <c r="A163" s="95"/>
      <c r="B163" s="96"/>
      <c r="C163" s="95"/>
      <c r="D163" s="95"/>
      <c r="E163" s="95"/>
      <c r="F163" s="95"/>
      <c r="G163" s="95"/>
      <c r="H163" s="95"/>
      <c r="I163" s="95"/>
      <c r="J163" s="95"/>
      <c r="K163" s="95"/>
      <c r="L163" s="95"/>
      <c r="M163" s="95"/>
      <c r="N163" s="95"/>
      <c r="O163" s="95"/>
      <c r="P163" s="95"/>
      <c r="Q163" s="95"/>
      <c r="R163" s="95"/>
      <c r="S163" s="99" t="s">
        <v>202</v>
      </c>
      <c r="T163" s="204" t="s">
        <v>202</v>
      </c>
      <c r="U163" s="98"/>
      <c r="V163" s="98">
        <f t="shared" si="47"/>
        <v>1440</v>
      </c>
      <c r="W163" s="98">
        <f t="shared" si="47"/>
        <v>1325</v>
      </c>
      <c r="X163" s="98">
        <f t="shared" si="47"/>
        <v>1235</v>
      </c>
      <c r="Y163" s="98">
        <f t="shared" si="47"/>
        <v>1150</v>
      </c>
      <c r="Z163" s="98">
        <f t="shared" si="47"/>
        <v>1085</v>
      </c>
      <c r="AA163" s="98">
        <f t="shared" si="47"/>
        <v>1030</v>
      </c>
      <c r="AB163" s="98">
        <f t="shared" si="47"/>
        <v>1015</v>
      </c>
      <c r="AC163" s="98">
        <f t="shared" si="47"/>
        <v>995</v>
      </c>
      <c r="AD163" s="98">
        <f t="shared" si="47"/>
        <v>985</v>
      </c>
      <c r="AE163" s="98">
        <f t="shared" si="47"/>
        <v>975</v>
      </c>
      <c r="AF163" s="98">
        <f t="shared" si="48"/>
        <v>970</v>
      </c>
      <c r="AG163" s="98">
        <f t="shared" si="48"/>
        <v>900</v>
      </c>
      <c r="AH163" s="98">
        <f t="shared" si="48"/>
        <v>775</v>
      </c>
      <c r="AI163" s="98">
        <f t="shared" si="48"/>
        <v>725</v>
      </c>
      <c r="AJ163" s="98">
        <f t="shared" si="48"/>
        <v>720</v>
      </c>
      <c r="AK163" s="98">
        <f t="shared" si="48"/>
        <v>625</v>
      </c>
      <c r="AL163" s="98">
        <f t="shared" si="48"/>
        <v>420</v>
      </c>
      <c r="AM163" s="98">
        <f t="shared" si="48"/>
        <v>300</v>
      </c>
      <c r="AN163" s="98">
        <f t="shared" si="48"/>
        <v>225</v>
      </c>
      <c r="AO163" s="98">
        <f t="shared" si="48"/>
        <v>150</v>
      </c>
      <c r="AP163" s="98">
        <f t="shared" si="48"/>
        <v>105</v>
      </c>
      <c r="AQ163" s="98">
        <f t="shared" si="48"/>
        <v>80</v>
      </c>
      <c r="AR163" s="98">
        <f t="shared" si="48"/>
        <v>60</v>
      </c>
      <c r="AS163" s="98">
        <f t="shared" si="48"/>
        <v>55</v>
      </c>
      <c r="AV163" s="101" t="str">
        <f t="shared" si="44"/>
        <v>1.091100</v>
      </c>
      <c r="AW163" s="101">
        <v>1100</v>
      </c>
      <c r="AY163" s="92">
        <v>95</v>
      </c>
      <c r="AZ163" s="92">
        <v>130</v>
      </c>
      <c r="BA163" s="92">
        <v>190</v>
      </c>
      <c r="BB163" s="92">
        <v>290</v>
      </c>
      <c r="BC163" s="92">
        <v>480</v>
      </c>
      <c r="BD163" s="92">
        <v>800</v>
      </c>
      <c r="BF163" s="101" t="str">
        <f t="shared" si="45"/>
        <v>2.071100</v>
      </c>
      <c r="BG163" s="101">
        <v>1100</v>
      </c>
      <c r="BI163" s="92">
        <v>260</v>
      </c>
      <c r="BJ163" s="92">
        <v>345</v>
      </c>
      <c r="BK163" s="92">
        <v>520</v>
      </c>
      <c r="BL163" s="92">
        <v>780</v>
      </c>
      <c r="BM163" s="202">
        <v>1305</v>
      </c>
      <c r="BN163" s="202">
        <v>2170</v>
      </c>
      <c r="BP163" s="101" t="str">
        <f t="shared" si="46"/>
        <v>3.071100</v>
      </c>
      <c r="BQ163" s="101">
        <v>1100</v>
      </c>
    </row>
    <row r="164" spans="1:76">
      <c r="A164" s="95"/>
      <c r="B164" s="96"/>
      <c r="C164" s="95"/>
      <c r="D164" s="95"/>
      <c r="E164" s="95"/>
      <c r="F164" s="95"/>
      <c r="G164" s="95"/>
      <c r="H164" s="95"/>
      <c r="I164" s="95"/>
      <c r="J164" s="95"/>
      <c r="K164" s="95"/>
      <c r="L164" s="95"/>
      <c r="M164" s="95"/>
      <c r="N164" s="95"/>
      <c r="O164" s="95"/>
      <c r="P164" s="95"/>
      <c r="Q164" s="95"/>
      <c r="R164" s="95"/>
      <c r="S164" s="99" t="s">
        <v>203</v>
      </c>
      <c r="T164" s="204" t="s">
        <v>203</v>
      </c>
      <c r="U164" s="98"/>
      <c r="V164" s="98">
        <f t="shared" si="47"/>
        <v>1345</v>
      </c>
      <c r="W164" s="98">
        <f t="shared" si="47"/>
        <v>1100</v>
      </c>
      <c r="X164" s="98">
        <f t="shared" si="47"/>
        <v>1015</v>
      </c>
      <c r="Y164" s="98">
        <f t="shared" si="47"/>
        <v>970</v>
      </c>
      <c r="Z164" s="98">
        <f t="shared" si="47"/>
        <v>940</v>
      </c>
      <c r="AA164" s="98">
        <f t="shared" si="47"/>
        <v>910</v>
      </c>
      <c r="AB164" s="98">
        <f t="shared" si="47"/>
        <v>895</v>
      </c>
      <c r="AC164" s="98">
        <f t="shared" si="47"/>
        <v>870</v>
      </c>
      <c r="AD164" s="98">
        <f t="shared" si="47"/>
        <v>845</v>
      </c>
      <c r="AE164" s="98">
        <f t="shared" si="47"/>
        <v>820</v>
      </c>
      <c r="AF164" s="98">
        <f t="shared" si="48"/>
        <v>795</v>
      </c>
      <c r="AG164" s="98">
        <f t="shared" si="48"/>
        <v>770</v>
      </c>
      <c r="AH164" s="98">
        <f t="shared" si="48"/>
        <v>740</v>
      </c>
      <c r="AI164" s="98">
        <f t="shared" si="48"/>
        <v>675</v>
      </c>
      <c r="AJ164" s="98">
        <f t="shared" si="48"/>
        <v>650</v>
      </c>
      <c r="AK164" s="98">
        <f t="shared" si="48"/>
        <v>585</v>
      </c>
      <c r="AL164" s="98">
        <f t="shared" si="48"/>
        <v>500</v>
      </c>
      <c r="AM164" s="98">
        <f t="shared" si="48"/>
        <v>410</v>
      </c>
      <c r="AN164" s="98">
        <f t="shared" si="48"/>
        <v>330</v>
      </c>
      <c r="AO164" s="98">
        <f t="shared" si="48"/>
        <v>240</v>
      </c>
      <c r="AP164" s="98">
        <f t="shared" si="48"/>
        <v>165</v>
      </c>
      <c r="AQ164" s="98">
        <f t="shared" si="48"/>
        <v>110</v>
      </c>
      <c r="AR164" s="98">
        <f t="shared" si="48"/>
        <v>75</v>
      </c>
      <c r="AS164" s="98">
        <f t="shared" si="48"/>
        <v>55</v>
      </c>
      <c r="AV164" s="101" t="str">
        <f t="shared" si="44"/>
        <v>1.091150</v>
      </c>
      <c r="AW164" s="101">
        <v>1150</v>
      </c>
      <c r="AY164" s="92">
        <v>65</v>
      </c>
      <c r="AZ164" s="92">
        <v>85</v>
      </c>
      <c r="BA164" s="92">
        <v>130</v>
      </c>
      <c r="BB164" s="92">
        <v>195</v>
      </c>
      <c r="BC164" s="92">
        <v>325</v>
      </c>
      <c r="BD164" s="92">
        <v>545</v>
      </c>
      <c r="BF164" s="101" t="str">
        <f t="shared" si="45"/>
        <v>2.071150</v>
      </c>
      <c r="BG164" s="101">
        <v>1150</v>
      </c>
      <c r="BI164" s="92">
        <v>190</v>
      </c>
      <c r="BJ164" s="92">
        <v>250</v>
      </c>
      <c r="BK164" s="92">
        <v>375</v>
      </c>
      <c r="BL164" s="92">
        <v>565</v>
      </c>
      <c r="BM164" s="92">
        <v>945</v>
      </c>
      <c r="BN164" s="202">
        <v>1570</v>
      </c>
      <c r="BP164" s="101" t="str">
        <f t="shared" si="46"/>
        <v>3.071150</v>
      </c>
      <c r="BQ164" s="101">
        <v>1150</v>
      </c>
    </row>
    <row r="165" spans="1:76">
      <c r="A165" s="95"/>
      <c r="B165" s="96"/>
      <c r="C165" s="95"/>
      <c r="D165" s="95"/>
      <c r="E165" s="95"/>
      <c r="F165" s="95"/>
      <c r="G165" s="95"/>
      <c r="H165" s="95"/>
      <c r="I165" s="95"/>
      <c r="J165" s="95"/>
      <c r="K165" s="95"/>
      <c r="L165" s="95"/>
      <c r="M165" s="95"/>
      <c r="N165" s="95"/>
      <c r="O165" s="95"/>
      <c r="P165" s="95"/>
      <c r="Q165" s="95"/>
      <c r="R165" s="95"/>
      <c r="S165" s="99" t="s">
        <v>86</v>
      </c>
      <c r="T165" s="204" t="s">
        <v>215</v>
      </c>
      <c r="U165" s="98"/>
      <c r="V165" s="98">
        <f t="shared" ref="V165:AE174" si="49">VLOOKUP($T165&amp;TEXT(V$1,"0000"),$BP$4:$BX$435,6)</f>
        <v>1500</v>
      </c>
      <c r="W165" s="98">
        <f t="shared" si="49"/>
        <v>1485</v>
      </c>
      <c r="X165" s="98">
        <f t="shared" si="49"/>
        <v>1420</v>
      </c>
      <c r="Y165" s="98">
        <f t="shared" si="49"/>
        <v>1365</v>
      </c>
      <c r="Z165" s="98">
        <f t="shared" si="49"/>
        <v>1310</v>
      </c>
      <c r="AA165" s="98">
        <f t="shared" si="49"/>
        <v>1210</v>
      </c>
      <c r="AB165" s="98">
        <f t="shared" si="49"/>
        <v>1175</v>
      </c>
      <c r="AC165" s="98">
        <f t="shared" si="49"/>
        <v>1135</v>
      </c>
      <c r="AD165" s="98">
        <f t="shared" si="49"/>
        <v>1065</v>
      </c>
      <c r="AE165" s="98">
        <f t="shared" si="49"/>
        <v>1015</v>
      </c>
      <c r="AF165" s="98">
        <f t="shared" ref="AF165:AS174" si="50">VLOOKUP($T165&amp;TEXT(AF$1,"0000"),$BP$4:$BX$435,6)</f>
        <v>0</v>
      </c>
      <c r="AG165" s="98">
        <f t="shared" si="50"/>
        <v>0</v>
      </c>
      <c r="AH165" s="98">
        <f t="shared" si="50"/>
        <v>0</v>
      </c>
      <c r="AI165" s="98">
        <f t="shared" si="50"/>
        <v>0</v>
      </c>
      <c r="AJ165" s="98">
        <f t="shared" si="50"/>
        <v>0</v>
      </c>
      <c r="AK165" s="98">
        <f t="shared" si="50"/>
        <v>0</v>
      </c>
      <c r="AL165" s="98">
        <f t="shared" si="50"/>
        <v>0</v>
      </c>
      <c r="AM165" s="98">
        <f t="shared" si="50"/>
        <v>0</v>
      </c>
      <c r="AN165" s="98">
        <f t="shared" si="50"/>
        <v>0</v>
      </c>
      <c r="AO165" s="98">
        <f t="shared" si="50"/>
        <v>0</v>
      </c>
      <c r="AP165" s="98">
        <f t="shared" si="50"/>
        <v>0</v>
      </c>
      <c r="AQ165" s="98">
        <f t="shared" si="50"/>
        <v>0</v>
      </c>
      <c r="AR165" s="98">
        <f t="shared" si="50"/>
        <v>0</v>
      </c>
      <c r="AS165" s="98">
        <f t="shared" si="50"/>
        <v>0</v>
      </c>
      <c r="AV165" s="101" t="str">
        <f t="shared" si="44"/>
        <v>1.091200</v>
      </c>
      <c r="AW165" s="101">
        <v>1200</v>
      </c>
      <c r="AY165" s="92">
        <v>40</v>
      </c>
      <c r="AZ165" s="92">
        <v>55</v>
      </c>
      <c r="BA165" s="92">
        <v>80</v>
      </c>
      <c r="BB165" s="92">
        <v>125</v>
      </c>
      <c r="BC165" s="92">
        <v>205</v>
      </c>
      <c r="BD165" s="92">
        <v>345</v>
      </c>
      <c r="BF165" s="101" t="str">
        <f t="shared" si="45"/>
        <v>2.071200</v>
      </c>
      <c r="BG165" s="101">
        <v>1200</v>
      </c>
      <c r="BI165" s="92">
        <v>135</v>
      </c>
      <c r="BJ165" s="92">
        <v>185</v>
      </c>
      <c r="BK165" s="92">
        <v>275</v>
      </c>
      <c r="BL165" s="92">
        <v>410</v>
      </c>
      <c r="BM165" s="92">
        <v>685</v>
      </c>
      <c r="BN165" s="202">
        <v>1145</v>
      </c>
      <c r="BP165" s="101" t="str">
        <f t="shared" si="46"/>
        <v>3.071200</v>
      </c>
      <c r="BQ165" s="101">
        <v>1200</v>
      </c>
    </row>
    <row r="166" spans="1:76">
      <c r="A166" s="95"/>
      <c r="B166" s="96"/>
      <c r="C166" s="95"/>
      <c r="D166" s="95"/>
      <c r="E166" s="95"/>
      <c r="F166" s="95"/>
      <c r="G166" s="95"/>
      <c r="H166" s="95"/>
      <c r="I166" s="95"/>
      <c r="J166" s="95"/>
      <c r="K166" s="95"/>
      <c r="L166" s="95"/>
      <c r="M166" s="95"/>
      <c r="N166" s="95"/>
      <c r="O166" s="95"/>
      <c r="P166" s="95"/>
      <c r="Q166" s="95"/>
      <c r="R166" s="95"/>
      <c r="S166" s="99" t="s">
        <v>87</v>
      </c>
      <c r="T166" s="204" t="s">
        <v>216</v>
      </c>
      <c r="U166" s="98"/>
      <c r="V166" s="98">
        <f t="shared" si="49"/>
        <v>960</v>
      </c>
      <c r="W166" s="98">
        <f t="shared" si="49"/>
        <v>960</v>
      </c>
      <c r="X166" s="98">
        <f t="shared" si="49"/>
        <v>960</v>
      </c>
      <c r="Y166" s="98">
        <f t="shared" si="49"/>
        <v>960</v>
      </c>
      <c r="Z166" s="98">
        <f t="shared" si="49"/>
        <v>905</v>
      </c>
      <c r="AA166" s="98">
        <f t="shared" si="49"/>
        <v>825</v>
      </c>
      <c r="AB166" s="98">
        <f t="shared" si="49"/>
        <v>0</v>
      </c>
      <c r="AC166" s="98">
        <f t="shared" si="49"/>
        <v>0</v>
      </c>
      <c r="AD166" s="98">
        <f t="shared" si="49"/>
        <v>0</v>
      </c>
      <c r="AE166" s="98">
        <f t="shared" si="49"/>
        <v>0</v>
      </c>
      <c r="AF166" s="98">
        <f t="shared" si="50"/>
        <v>0</v>
      </c>
      <c r="AG166" s="98">
        <f t="shared" si="50"/>
        <v>0</v>
      </c>
      <c r="AH166" s="98">
        <f t="shared" si="50"/>
        <v>0</v>
      </c>
      <c r="AI166" s="98">
        <f t="shared" si="50"/>
        <v>0</v>
      </c>
      <c r="AJ166" s="98">
        <f t="shared" si="50"/>
        <v>0</v>
      </c>
      <c r="AK166" s="98">
        <f t="shared" si="50"/>
        <v>0</v>
      </c>
      <c r="AL166" s="98">
        <f t="shared" si="50"/>
        <v>0</v>
      </c>
      <c r="AM166" s="98">
        <f t="shared" si="50"/>
        <v>0</v>
      </c>
      <c r="AN166" s="98">
        <f t="shared" si="50"/>
        <v>0</v>
      </c>
      <c r="AO166" s="98">
        <f t="shared" si="50"/>
        <v>0</v>
      </c>
      <c r="AP166" s="98">
        <f t="shared" si="50"/>
        <v>0</v>
      </c>
      <c r="AQ166" s="98">
        <f t="shared" si="50"/>
        <v>0</v>
      </c>
      <c r="AR166" s="98">
        <f t="shared" si="50"/>
        <v>0</v>
      </c>
      <c r="AS166" s="98">
        <f t="shared" si="50"/>
        <v>0</v>
      </c>
      <c r="AV166" s="101" t="str">
        <f t="shared" si="44"/>
        <v>1.091250</v>
      </c>
      <c r="AW166" s="101">
        <v>1250</v>
      </c>
      <c r="BF166" s="101" t="str">
        <f t="shared" si="45"/>
        <v>2.071250</v>
      </c>
      <c r="BG166" s="101">
        <v>1250</v>
      </c>
      <c r="BI166" s="92">
        <v>105</v>
      </c>
      <c r="BJ166" s="92">
        <v>135</v>
      </c>
      <c r="BK166" s="92">
        <v>205</v>
      </c>
      <c r="BL166" s="92">
        <v>310</v>
      </c>
      <c r="BM166" s="92">
        <v>515</v>
      </c>
      <c r="BN166" s="92">
        <v>855</v>
      </c>
      <c r="BP166" s="101" t="str">
        <f t="shared" si="46"/>
        <v>3.071250</v>
      </c>
      <c r="BQ166" s="101">
        <v>1250</v>
      </c>
    </row>
    <row r="167" spans="1:76">
      <c r="A167" s="95"/>
      <c r="B167" s="96"/>
      <c r="C167" s="95"/>
      <c r="D167" s="95"/>
      <c r="E167" s="95"/>
      <c r="F167" s="95"/>
      <c r="G167" s="95"/>
      <c r="H167" s="95"/>
      <c r="I167" s="95"/>
      <c r="J167" s="95"/>
      <c r="K167" s="95"/>
      <c r="L167" s="95"/>
      <c r="M167" s="95"/>
      <c r="N167" s="95"/>
      <c r="O167" s="95"/>
      <c r="P167" s="95"/>
      <c r="Q167" s="95"/>
      <c r="R167" s="95"/>
      <c r="S167" s="99" t="s">
        <v>88</v>
      </c>
      <c r="T167" s="204" t="s">
        <v>217</v>
      </c>
      <c r="U167" s="98"/>
      <c r="V167" s="98">
        <f t="shared" si="49"/>
        <v>480</v>
      </c>
      <c r="W167" s="98">
        <f t="shared" si="49"/>
        <v>460</v>
      </c>
      <c r="X167" s="98">
        <f t="shared" si="49"/>
        <v>450</v>
      </c>
      <c r="Y167" s="98">
        <f t="shared" si="49"/>
        <v>450</v>
      </c>
      <c r="Z167" s="98">
        <f t="shared" si="49"/>
        <v>450</v>
      </c>
      <c r="AA167" s="98">
        <f t="shared" si="49"/>
        <v>450</v>
      </c>
      <c r="AB167" s="98">
        <f t="shared" si="49"/>
        <v>445</v>
      </c>
      <c r="AC167" s="98">
        <f t="shared" si="49"/>
        <v>445</v>
      </c>
      <c r="AD167" s="98">
        <f t="shared" si="49"/>
        <v>440</v>
      </c>
      <c r="AE167" s="98">
        <f t="shared" si="49"/>
        <v>430</v>
      </c>
      <c r="AF167" s="98">
        <f t="shared" si="50"/>
        <v>420</v>
      </c>
      <c r="AG167" s="98">
        <f t="shared" si="50"/>
        <v>415</v>
      </c>
      <c r="AH167" s="98">
        <f t="shared" si="50"/>
        <v>395</v>
      </c>
      <c r="AI167" s="98">
        <f t="shared" si="50"/>
        <v>380</v>
      </c>
      <c r="AJ167" s="98">
        <f t="shared" si="50"/>
        <v>165</v>
      </c>
      <c r="AK167" s="98">
        <f t="shared" si="50"/>
        <v>135</v>
      </c>
      <c r="AL167" s="98">
        <f t="shared" si="50"/>
        <v>105</v>
      </c>
      <c r="AM167" s="98">
        <f t="shared" si="50"/>
        <v>80</v>
      </c>
      <c r="AN167" s="98">
        <f t="shared" si="50"/>
        <v>0</v>
      </c>
      <c r="AO167" s="98">
        <f t="shared" si="50"/>
        <v>0</v>
      </c>
      <c r="AP167" s="98">
        <f t="shared" si="50"/>
        <v>0</v>
      </c>
      <c r="AQ167" s="98">
        <f t="shared" si="50"/>
        <v>0</v>
      </c>
      <c r="AR167" s="98">
        <f t="shared" si="50"/>
        <v>0</v>
      </c>
      <c r="AS167" s="98">
        <f t="shared" si="50"/>
        <v>0</v>
      </c>
      <c r="AV167" s="101" t="str">
        <f t="shared" si="44"/>
        <v>1.091300</v>
      </c>
      <c r="AW167" s="101">
        <v>1300</v>
      </c>
      <c r="BF167" s="101" t="str">
        <f t="shared" si="45"/>
        <v>2.071300</v>
      </c>
      <c r="BG167" s="101">
        <v>1300</v>
      </c>
      <c r="BI167" s="92">
        <v>75</v>
      </c>
      <c r="BJ167" s="92">
        <v>100</v>
      </c>
      <c r="BK167" s="92">
        <v>150</v>
      </c>
      <c r="BL167" s="92">
        <v>225</v>
      </c>
      <c r="BM167" s="92">
        <v>375</v>
      </c>
      <c r="BN167" s="92">
        <v>630</v>
      </c>
      <c r="BP167" s="101" t="str">
        <f t="shared" si="46"/>
        <v>3.071300</v>
      </c>
      <c r="BQ167" s="101">
        <v>1300</v>
      </c>
    </row>
    <row r="168" spans="1:76">
      <c r="A168" s="95"/>
      <c r="B168" s="96"/>
      <c r="C168" s="95"/>
      <c r="D168" s="95"/>
      <c r="E168" s="95"/>
      <c r="F168" s="95"/>
      <c r="G168" s="95"/>
      <c r="H168" s="95"/>
      <c r="I168" s="95"/>
      <c r="J168" s="95"/>
      <c r="K168" s="95"/>
      <c r="L168" s="95"/>
      <c r="M168" s="95"/>
      <c r="N168" s="95"/>
      <c r="O168" s="95"/>
      <c r="P168" s="95"/>
      <c r="Q168" s="95"/>
      <c r="R168" s="95"/>
      <c r="S168" s="99" t="s">
        <v>89</v>
      </c>
      <c r="T168" s="204" t="s">
        <v>218</v>
      </c>
      <c r="U168" s="98"/>
      <c r="V168" s="98">
        <f t="shared" si="49"/>
        <v>1200</v>
      </c>
      <c r="W168" s="98">
        <f t="shared" si="49"/>
        <v>1050</v>
      </c>
      <c r="X168" s="98">
        <f t="shared" si="49"/>
        <v>980</v>
      </c>
      <c r="Y168" s="98">
        <f t="shared" si="49"/>
        <v>945</v>
      </c>
      <c r="Z168" s="98">
        <f t="shared" si="49"/>
        <v>945</v>
      </c>
      <c r="AA168" s="98">
        <f t="shared" si="49"/>
        <v>945</v>
      </c>
      <c r="AB168" s="98">
        <f t="shared" si="49"/>
        <v>945</v>
      </c>
      <c r="AC168" s="98">
        <f t="shared" si="49"/>
        <v>940</v>
      </c>
      <c r="AD168" s="98">
        <f t="shared" si="49"/>
        <v>930</v>
      </c>
      <c r="AE168" s="98">
        <f t="shared" si="49"/>
        <v>915</v>
      </c>
      <c r="AF168" s="98">
        <f t="shared" si="50"/>
        <v>755</v>
      </c>
      <c r="AG168" s="98">
        <f t="shared" si="50"/>
        <v>550</v>
      </c>
      <c r="AH168" s="98">
        <f t="shared" si="50"/>
        <v>0</v>
      </c>
      <c r="AI168" s="98">
        <f t="shared" si="50"/>
        <v>0</v>
      </c>
      <c r="AJ168" s="98">
        <f t="shared" si="50"/>
        <v>0</v>
      </c>
      <c r="AK168" s="98">
        <f t="shared" si="50"/>
        <v>0</v>
      </c>
      <c r="AL168" s="98">
        <f t="shared" si="50"/>
        <v>0</v>
      </c>
      <c r="AM168" s="98">
        <f t="shared" si="50"/>
        <v>0</v>
      </c>
      <c r="AN168" s="98">
        <f t="shared" si="50"/>
        <v>0</v>
      </c>
      <c r="AO168" s="98">
        <f t="shared" si="50"/>
        <v>0</v>
      </c>
      <c r="AP168" s="98">
        <f t="shared" si="50"/>
        <v>0</v>
      </c>
      <c r="AQ168" s="98">
        <f t="shared" si="50"/>
        <v>0</v>
      </c>
      <c r="AR168" s="98">
        <f t="shared" si="50"/>
        <v>0</v>
      </c>
      <c r="AS168" s="98">
        <f t="shared" si="50"/>
        <v>0</v>
      </c>
      <c r="AV168" s="101" t="str">
        <f t="shared" si="44"/>
        <v>1.091350</v>
      </c>
      <c r="AW168" s="101">
        <v>1350</v>
      </c>
      <c r="BF168" s="101" t="str">
        <f t="shared" si="45"/>
        <v>2.071350</v>
      </c>
      <c r="BG168" s="101">
        <v>1350</v>
      </c>
      <c r="BI168" s="92">
        <v>60</v>
      </c>
      <c r="BJ168" s="92">
        <v>80</v>
      </c>
      <c r="BK168" s="92">
        <v>115</v>
      </c>
      <c r="BL168" s="92">
        <v>175</v>
      </c>
      <c r="BM168" s="92">
        <v>290</v>
      </c>
      <c r="BN168" s="92">
        <v>485</v>
      </c>
      <c r="BP168" s="101" t="str">
        <f t="shared" si="46"/>
        <v>3.071350</v>
      </c>
      <c r="BQ168" s="101">
        <v>1350</v>
      </c>
    </row>
    <row r="169" spans="1:76">
      <c r="A169" s="95"/>
      <c r="B169" s="96"/>
      <c r="C169" s="95"/>
      <c r="D169" s="95"/>
      <c r="E169" s="95"/>
      <c r="F169" s="95"/>
      <c r="G169" s="95"/>
      <c r="H169" s="95"/>
      <c r="I169" s="95"/>
      <c r="J169" s="95"/>
      <c r="K169" s="95"/>
      <c r="L169" s="95"/>
      <c r="M169" s="95"/>
      <c r="N169" s="95"/>
      <c r="O169" s="95"/>
      <c r="P169" s="95"/>
      <c r="Q169" s="95"/>
      <c r="R169" s="95"/>
      <c r="S169" s="99" t="s">
        <v>90</v>
      </c>
      <c r="T169" s="204" t="s">
        <v>219</v>
      </c>
      <c r="U169" s="98"/>
      <c r="V169" s="98">
        <f t="shared" si="49"/>
        <v>1500</v>
      </c>
      <c r="W169" s="98">
        <f t="shared" si="49"/>
        <v>1500</v>
      </c>
      <c r="X169" s="98">
        <f t="shared" si="49"/>
        <v>1455</v>
      </c>
      <c r="Y169" s="98">
        <f t="shared" si="49"/>
        <v>1410</v>
      </c>
      <c r="Z169" s="98">
        <f t="shared" si="49"/>
        <v>1330</v>
      </c>
      <c r="AA169" s="98">
        <f t="shared" si="49"/>
        <v>1210</v>
      </c>
      <c r="AB169" s="98">
        <f t="shared" si="49"/>
        <v>1175</v>
      </c>
      <c r="AC169" s="98">
        <f t="shared" si="49"/>
        <v>1135</v>
      </c>
      <c r="AD169" s="98">
        <f t="shared" si="49"/>
        <v>1065</v>
      </c>
      <c r="AE169" s="98">
        <f t="shared" si="49"/>
        <v>1015</v>
      </c>
      <c r="AF169" s="98">
        <f t="shared" si="50"/>
        <v>975</v>
      </c>
      <c r="AG169" s="98">
        <f t="shared" si="50"/>
        <v>900</v>
      </c>
      <c r="AH169" s="98">
        <f t="shared" si="50"/>
        <v>725</v>
      </c>
      <c r="AI169" s="98">
        <f t="shared" si="50"/>
        <v>480</v>
      </c>
      <c r="AJ169" s="98">
        <f t="shared" si="50"/>
        <v>310</v>
      </c>
      <c r="AK169" s="98">
        <f t="shared" si="50"/>
        <v>205</v>
      </c>
      <c r="AL169" s="98">
        <f t="shared" si="50"/>
        <v>150</v>
      </c>
      <c r="AM169" s="98">
        <f t="shared" si="50"/>
        <v>135</v>
      </c>
      <c r="AN169" s="98">
        <f t="shared" si="50"/>
        <v>0</v>
      </c>
      <c r="AO169" s="98">
        <f t="shared" si="50"/>
        <v>0</v>
      </c>
      <c r="AP169" s="98">
        <f t="shared" si="50"/>
        <v>0</v>
      </c>
      <c r="AQ169" s="98">
        <f t="shared" si="50"/>
        <v>0</v>
      </c>
      <c r="AR169" s="98">
        <f t="shared" si="50"/>
        <v>0</v>
      </c>
      <c r="AS169" s="98">
        <f t="shared" si="50"/>
        <v>0</v>
      </c>
      <c r="AV169" s="101" t="str">
        <f t="shared" si="44"/>
        <v>1.091400</v>
      </c>
      <c r="AW169" s="101">
        <v>1400</v>
      </c>
      <c r="BF169" s="101" t="str">
        <f t="shared" si="45"/>
        <v>2.071400</v>
      </c>
      <c r="BG169" s="101">
        <v>1400</v>
      </c>
      <c r="BI169" s="92">
        <v>45</v>
      </c>
      <c r="BJ169" s="92">
        <v>60</v>
      </c>
      <c r="BK169" s="92">
        <v>90</v>
      </c>
      <c r="BL169" s="92">
        <v>135</v>
      </c>
      <c r="BM169" s="92">
        <v>225</v>
      </c>
      <c r="BN169" s="92">
        <v>370</v>
      </c>
      <c r="BP169" s="101" t="str">
        <f t="shared" si="46"/>
        <v>3.071400</v>
      </c>
      <c r="BQ169" s="101">
        <v>1400</v>
      </c>
    </row>
    <row r="170" spans="1:76">
      <c r="A170" s="95"/>
      <c r="B170" s="96"/>
      <c r="C170" s="95"/>
      <c r="D170" s="95"/>
      <c r="E170" s="95"/>
      <c r="F170" s="95"/>
      <c r="G170" s="95"/>
      <c r="H170" s="95"/>
      <c r="I170" s="95"/>
      <c r="J170" s="95"/>
      <c r="K170" s="95"/>
      <c r="L170" s="95"/>
      <c r="M170" s="95"/>
      <c r="N170" s="95"/>
      <c r="O170" s="95"/>
      <c r="P170" s="95"/>
      <c r="Q170" s="95"/>
      <c r="R170" s="95"/>
      <c r="S170" s="99" t="s">
        <v>91</v>
      </c>
      <c r="T170" s="204" t="s">
        <v>220</v>
      </c>
      <c r="U170" s="98"/>
      <c r="V170" s="98">
        <f t="shared" si="49"/>
        <v>1440</v>
      </c>
      <c r="W170" s="98">
        <f t="shared" si="49"/>
        <v>1330</v>
      </c>
      <c r="X170" s="98">
        <f t="shared" si="49"/>
        <v>1275</v>
      </c>
      <c r="Y170" s="98">
        <f t="shared" si="49"/>
        <v>1240</v>
      </c>
      <c r="Z170" s="98">
        <f t="shared" si="49"/>
        <v>1205</v>
      </c>
      <c r="AA170" s="98">
        <f t="shared" si="49"/>
        <v>1175</v>
      </c>
      <c r="AB170" s="98">
        <f t="shared" si="49"/>
        <v>1155</v>
      </c>
      <c r="AC170" s="98">
        <f t="shared" si="49"/>
        <v>1135</v>
      </c>
      <c r="AD170" s="98">
        <f t="shared" si="49"/>
        <v>1065</v>
      </c>
      <c r="AE170" s="98">
        <f t="shared" si="49"/>
        <v>1015</v>
      </c>
      <c r="AF170" s="98">
        <f t="shared" si="50"/>
        <v>975</v>
      </c>
      <c r="AG170" s="98">
        <f t="shared" si="50"/>
        <v>900</v>
      </c>
      <c r="AH170" s="98">
        <f t="shared" si="50"/>
        <v>775</v>
      </c>
      <c r="AI170" s="98">
        <f t="shared" si="50"/>
        <v>725</v>
      </c>
      <c r="AJ170" s="98">
        <f t="shared" si="50"/>
        <v>720</v>
      </c>
      <c r="AK170" s="98">
        <f t="shared" si="50"/>
        <v>645</v>
      </c>
      <c r="AL170" s="98">
        <f t="shared" si="50"/>
        <v>550</v>
      </c>
      <c r="AM170" s="98">
        <f t="shared" si="50"/>
        <v>410</v>
      </c>
      <c r="AN170" s="98">
        <f t="shared" si="50"/>
        <v>290</v>
      </c>
      <c r="AO170" s="98">
        <f t="shared" si="50"/>
        <v>135</v>
      </c>
      <c r="AP170" s="98">
        <f t="shared" si="50"/>
        <v>110</v>
      </c>
      <c r="AQ170" s="98">
        <f t="shared" si="50"/>
        <v>75</v>
      </c>
      <c r="AR170" s="98">
        <f t="shared" si="50"/>
        <v>70</v>
      </c>
      <c r="AS170" s="98">
        <f t="shared" si="50"/>
        <v>55</v>
      </c>
      <c r="AV170" s="101" t="str">
        <f t="shared" si="44"/>
        <v>1.091450</v>
      </c>
      <c r="AW170" s="101">
        <v>1450</v>
      </c>
      <c r="BF170" s="101" t="str">
        <f t="shared" si="45"/>
        <v>2.071450</v>
      </c>
      <c r="BG170" s="101">
        <v>1450</v>
      </c>
      <c r="BI170" s="92">
        <v>35</v>
      </c>
      <c r="BJ170" s="92">
        <v>45</v>
      </c>
      <c r="BK170" s="92">
        <v>65</v>
      </c>
      <c r="BL170" s="92">
        <v>100</v>
      </c>
      <c r="BM170" s="92">
        <v>165</v>
      </c>
      <c r="BN170" s="92">
        <v>275</v>
      </c>
      <c r="BP170" s="101" t="str">
        <f t="shared" si="46"/>
        <v>3.071450</v>
      </c>
      <c r="BQ170" s="101">
        <v>1450</v>
      </c>
    </row>
    <row r="171" spans="1:76">
      <c r="A171" s="95"/>
      <c r="B171" s="96"/>
      <c r="C171" s="95"/>
      <c r="D171" s="95"/>
      <c r="E171" s="95"/>
      <c r="F171" s="95"/>
      <c r="G171" s="95"/>
      <c r="H171" s="95"/>
      <c r="I171" s="95"/>
      <c r="J171" s="95"/>
      <c r="K171" s="95"/>
      <c r="L171" s="95"/>
      <c r="M171" s="95"/>
      <c r="N171" s="95"/>
      <c r="O171" s="95"/>
      <c r="P171" s="95"/>
      <c r="Q171" s="95"/>
      <c r="R171" s="95"/>
      <c r="S171" s="99" t="s">
        <v>92</v>
      </c>
      <c r="T171" s="204" t="s">
        <v>221</v>
      </c>
      <c r="U171" s="98"/>
      <c r="V171" s="98">
        <f t="shared" si="49"/>
        <v>1500</v>
      </c>
      <c r="W171" s="98">
        <f t="shared" si="49"/>
        <v>1500</v>
      </c>
      <c r="X171" s="98">
        <f t="shared" si="49"/>
        <v>1455</v>
      </c>
      <c r="Y171" s="98">
        <f t="shared" si="49"/>
        <v>1410</v>
      </c>
      <c r="Z171" s="98">
        <f t="shared" si="49"/>
        <v>1330</v>
      </c>
      <c r="AA171" s="98">
        <f t="shared" si="49"/>
        <v>1210</v>
      </c>
      <c r="AB171" s="98">
        <f t="shared" si="49"/>
        <v>1175</v>
      </c>
      <c r="AC171" s="98">
        <f t="shared" si="49"/>
        <v>1135</v>
      </c>
      <c r="AD171" s="98">
        <f t="shared" si="49"/>
        <v>1065</v>
      </c>
      <c r="AE171" s="98">
        <f t="shared" si="49"/>
        <v>1015</v>
      </c>
      <c r="AF171" s="98">
        <f t="shared" si="50"/>
        <v>0</v>
      </c>
      <c r="AG171" s="98">
        <f t="shared" si="50"/>
        <v>0</v>
      </c>
      <c r="AH171" s="98">
        <f t="shared" si="50"/>
        <v>0</v>
      </c>
      <c r="AI171" s="98">
        <f t="shared" si="50"/>
        <v>0</v>
      </c>
      <c r="AJ171" s="98">
        <f t="shared" si="50"/>
        <v>0</v>
      </c>
      <c r="AK171" s="98">
        <f t="shared" si="50"/>
        <v>0</v>
      </c>
      <c r="AL171" s="98">
        <f t="shared" si="50"/>
        <v>0</v>
      </c>
      <c r="AM171" s="98">
        <f t="shared" si="50"/>
        <v>0</v>
      </c>
      <c r="AN171" s="98">
        <f t="shared" si="50"/>
        <v>0</v>
      </c>
      <c r="AO171" s="98">
        <f t="shared" si="50"/>
        <v>0</v>
      </c>
      <c r="AP171" s="98">
        <f t="shared" si="50"/>
        <v>0</v>
      </c>
      <c r="AQ171" s="98">
        <f t="shared" si="50"/>
        <v>0</v>
      </c>
      <c r="AR171" s="98">
        <f t="shared" si="50"/>
        <v>0</v>
      </c>
      <c r="AS171" s="98">
        <f t="shared" si="50"/>
        <v>0</v>
      </c>
      <c r="AV171" s="101" t="str">
        <f t="shared" si="44"/>
        <v>1.091500</v>
      </c>
      <c r="AW171" s="101">
        <v>1500</v>
      </c>
      <c r="BF171" s="101" t="str">
        <f t="shared" si="45"/>
        <v>2.071500</v>
      </c>
      <c r="BG171" s="101">
        <v>1500</v>
      </c>
      <c r="BI171" s="92">
        <v>25</v>
      </c>
      <c r="BJ171" s="92">
        <v>35</v>
      </c>
      <c r="BK171" s="92">
        <v>50</v>
      </c>
      <c r="BL171" s="92">
        <v>75</v>
      </c>
      <c r="BM171" s="92">
        <v>130</v>
      </c>
      <c r="BN171" s="92">
        <v>215</v>
      </c>
      <c r="BP171" s="101" t="str">
        <f t="shared" si="46"/>
        <v>3.071500</v>
      </c>
      <c r="BQ171" s="101">
        <v>1500</v>
      </c>
    </row>
    <row r="172" spans="1:76">
      <c r="A172" s="95"/>
      <c r="B172" s="96"/>
      <c r="C172" s="95"/>
      <c r="D172" s="95"/>
      <c r="E172" s="95"/>
      <c r="F172" s="95"/>
      <c r="G172" s="95"/>
      <c r="H172" s="95"/>
      <c r="I172" s="95"/>
      <c r="J172" s="95"/>
      <c r="K172" s="95"/>
      <c r="L172" s="95"/>
      <c r="M172" s="95"/>
      <c r="N172" s="95"/>
      <c r="O172" s="95"/>
      <c r="P172" s="95"/>
      <c r="Q172" s="95"/>
      <c r="R172" s="95"/>
      <c r="S172" s="99" t="s">
        <v>93</v>
      </c>
      <c r="T172" s="204" t="s">
        <v>222</v>
      </c>
      <c r="U172" s="98"/>
      <c r="V172" s="98">
        <f t="shared" si="49"/>
        <v>1500</v>
      </c>
      <c r="W172" s="98">
        <f t="shared" si="49"/>
        <v>1500</v>
      </c>
      <c r="X172" s="98">
        <f t="shared" si="49"/>
        <v>1455</v>
      </c>
      <c r="Y172" s="98">
        <f t="shared" si="49"/>
        <v>1395</v>
      </c>
      <c r="Z172" s="98">
        <f t="shared" si="49"/>
        <v>1330</v>
      </c>
      <c r="AA172" s="98">
        <f t="shared" si="49"/>
        <v>1210</v>
      </c>
      <c r="AB172" s="98">
        <f t="shared" si="49"/>
        <v>1175</v>
      </c>
      <c r="AC172" s="98">
        <f t="shared" si="49"/>
        <v>1135</v>
      </c>
      <c r="AD172" s="98">
        <f t="shared" si="49"/>
        <v>1065</v>
      </c>
      <c r="AE172" s="98">
        <f t="shared" si="49"/>
        <v>1015</v>
      </c>
      <c r="AF172" s="98">
        <f t="shared" si="50"/>
        <v>975</v>
      </c>
      <c r="AG172" s="98">
        <f t="shared" si="50"/>
        <v>900</v>
      </c>
      <c r="AH172" s="98">
        <f t="shared" si="50"/>
        <v>775</v>
      </c>
      <c r="AI172" s="98">
        <f t="shared" si="50"/>
        <v>725</v>
      </c>
      <c r="AJ172" s="98">
        <f t="shared" si="50"/>
        <v>720</v>
      </c>
      <c r="AK172" s="98">
        <f t="shared" si="50"/>
        <v>645</v>
      </c>
      <c r="AL172" s="98">
        <f t="shared" si="50"/>
        <v>550</v>
      </c>
      <c r="AM172" s="98">
        <f t="shared" si="50"/>
        <v>410</v>
      </c>
      <c r="AN172" s="98">
        <f t="shared" si="50"/>
        <v>330</v>
      </c>
      <c r="AO172" s="98">
        <f t="shared" si="50"/>
        <v>240</v>
      </c>
      <c r="AP172" s="98">
        <f t="shared" si="50"/>
        <v>0</v>
      </c>
      <c r="AQ172" s="98">
        <f t="shared" si="50"/>
        <v>0</v>
      </c>
      <c r="AR172" s="98">
        <f t="shared" si="50"/>
        <v>0</v>
      </c>
      <c r="AS172" s="98">
        <f t="shared" si="50"/>
        <v>0</v>
      </c>
      <c r="AU172" s="203" t="str">
        <f>TEXT(1.1,"0.00")</f>
        <v>1.10</v>
      </c>
      <c r="AV172" s="101" t="str">
        <f>AU$172&amp;TEXT(AW172,"0000")</f>
        <v>1.100100</v>
      </c>
      <c r="AW172" s="92">
        <v>100</v>
      </c>
      <c r="AX172" s="92">
        <v>290</v>
      </c>
      <c r="AY172" s="92">
        <v>750</v>
      </c>
      <c r="AZ172" s="202">
        <v>1000</v>
      </c>
      <c r="BA172" s="202">
        <v>1500</v>
      </c>
      <c r="BB172" s="202">
        <v>2250</v>
      </c>
      <c r="BC172" s="202">
        <v>3750</v>
      </c>
      <c r="BD172" s="202">
        <v>6250</v>
      </c>
      <c r="BE172" s="92">
        <v>2.08</v>
      </c>
      <c r="BF172" s="101" t="str">
        <f>BE$172&amp;TEXT(BG172,"0000")</f>
        <v>2.080100</v>
      </c>
      <c r="BG172" s="92">
        <v>100</v>
      </c>
      <c r="BH172" s="92">
        <v>290</v>
      </c>
      <c r="BI172" s="92">
        <v>750</v>
      </c>
      <c r="BJ172" s="202">
        <v>1000</v>
      </c>
      <c r="BK172" s="202">
        <v>1500</v>
      </c>
      <c r="BL172" s="202">
        <v>2250</v>
      </c>
      <c r="BM172" s="202">
        <v>3750</v>
      </c>
      <c r="BN172" s="202">
        <v>6250</v>
      </c>
      <c r="BO172" s="92">
        <v>3.08</v>
      </c>
      <c r="BP172" s="101" t="str">
        <f>BO$172&amp;TEXT(BQ172,"0000")</f>
        <v>3.080100</v>
      </c>
      <c r="BQ172" s="92">
        <v>100</v>
      </c>
      <c r="BR172" s="92">
        <v>290</v>
      </c>
      <c r="BS172" s="92">
        <v>750</v>
      </c>
      <c r="BT172" s="202">
        <v>1000</v>
      </c>
      <c r="BU172" s="202">
        <v>1500</v>
      </c>
      <c r="BV172" s="202">
        <v>2250</v>
      </c>
      <c r="BW172" s="202">
        <v>3750</v>
      </c>
      <c r="BX172" s="202">
        <v>6250</v>
      </c>
    </row>
    <row r="173" spans="1:76">
      <c r="A173" s="95"/>
      <c r="B173" s="96"/>
      <c r="C173" s="95"/>
      <c r="D173" s="95"/>
      <c r="E173" s="95"/>
      <c r="F173" s="95"/>
      <c r="G173" s="95"/>
      <c r="H173" s="95"/>
      <c r="I173" s="95"/>
      <c r="J173" s="95"/>
      <c r="K173" s="95"/>
      <c r="L173" s="95"/>
      <c r="M173" s="95"/>
      <c r="N173" s="95"/>
      <c r="O173" s="95"/>
      <c r="P173" s="95"/>
      <c r="Q173" s="95"/>
      <c r="R173" s="95"/>
      <c r="S173" s="99" t="s">
        <v>94</v>
      </c>
      <c r="T173" s="204" t="s">
        <v>223</v>
      </c>
      <c r="U173" s="98"/>
      <c r="V173" s="98">
        <f t="shared" si="49"/>
        <v>1500</v>
      </c>
      <c r="W173" s="98">
        <f t="shared" si="49"/>
        <v>1500</v>
      </c>
      <c r="X173" s="98">
        <f t="shared" si="49"/>
        <v>1380</v>
      </c>
      <c r="Y173" s="98">
        <f t="shared" si="49"/>
        <v>1275</v>
      </c>
      <c r="Z173" s="98">
        <f t="shared" si="49"/>
        <v>1190</v>
      </c>
      <c r="AA173" s="98">
        <f t="shared" si="49"/>
        <v>1130</v>
      </c>
      <c r="AB173" s="98">
        <f t="shared" si="49"/>
        <v>1105</v>
      </c>
      <c r="AC173" s="98">
        <f t="shared" si="49"/>
        <v>1085</v>
      </c>
      <c r="AD173" s="98">
        <f t="shared" si="49"/>
        <v>1065</v>
      </c>
      <c r="AE173" s="98">
        <f t="shared" si="49"/>
        <v>1015</v>
      </c>
      <c r="AF173" s="98">
        <f t="shared" si="50"/>
        <v>975</v>
      </c>
      <c r="AG173" s="98">
        <f t="shared" si="50"/>
        <v>900</v>
      </c>
      <c r="AH173" s="98">
        <f t="shared" si="50"/>
        <v>775</v>
      </c>
      <c r="AI173" s="98">
        <f t="shared" si="50"/>
        <v>725</v>
      </c>
      <c r="AJ173" s="98">
        <f t="shared" si="50"/>
        <v>720</v>
      </c>
      <c r="AK173" s="98">
        <f t="shared" si="50"/>
        <v>645</v>
      </c>
      <c r="AL173" s="98">
        <f t="shared" si="50"/>
        <v>550</v>
      </c>
      <c r="AM173" s="98">
        <f t="shared" si="50"/>
        <v>410</v>
      </c>
      <c r="AN173" s="98">
        <f t="shared" si="50"/>
        <v>365</v>
      </c>
      <c r="AO173" s="98">
        <f t="shared" si="50"/>
        <v>275</v>
      </c>
      <c r="AP173" s="98">
        <f t="shared" si="50"/>
        <v>205</v>
      </c>
      <c r="AQ173" s="98">
        <f t="shared" si="50"/>
        <v>150</v>
      </c>
      <c r="AR173" s="98">
        <f t="shared" si="50"/>
        <v>115</v>
      </c>
      <c r="AS173" s="98">
        <f t="shared" si="50"/>
        <v>85</v>
      </c>
      <c r="AV173" s="101" t="str">
        <f t="shared" ref="AV173:AV195" si="51">AU$172&amp;TEXT(AW173,"0000")</f>
        <v>1.100200</v>
      </c>
      <c r="AW173" s="101">
        <v>200</v>
      </c>
      <c r="AX173" s="92">
        <v>260</v>
      </c>
      <c r="AY173" s="92">
        <v>750</v>
      </c>
      <c r="AZ173" s="202">
        <v>1000</v>
      </c>
      <c r="BA173" s="202">
        <v>1500</v>
      </c>
      <c r="BB173" s="202">
        <v>2250</v>
      </c>
      <c r="BC173" s="202">
        <v>3750</v>
      </c>
      <c r="BD173" s="202">
        <v>6250</v>
      </c>
      <c r="BF173" s="101" t="str">
        <f t="shared" ref="BF173:BF195" si="52">BE$172&amp;TEXT(BG173,"0000")</f>
        <v>2.080200</v>
      </c>
      <c r="BG173" s="101">
        <v>200</v>
      </c>
      <c r="BH173" s="92">
        <v>260</v>
      </c>
      <c r="BI173" s="92">
        <v>745</v>
      </c>
      <c r="BJ173" s="92">
        <v>990</v>
      </c>
      <c r="BK173" s="202">
        <v>1490</v>
      </c>
      <c r="BL173" s="202">
        <v>2230</v>
      </c>
      <c r="BM173" s="202">
        <v>3720</v>
      </c>
      <c r="BN173" s="202">
        <v>6200</v>
      </c>
      <c r="BP173" s="101" t="str">
        <f t="shared" ref="BP173:BP195" si="53">BO$172&amp;TEXT(BQ173,"0000")</f>
        <v>3.080200</v>
      </c>
      <c r="BQ173" s="101">
        <v>200</v>
      </c>
      <c r="BR173" s="92">
        <v>260</v>
      </c>
      <c r="BS173" s="92">
        <v>750</v>
      </c>
      <c r="BT173" s="202">
        <v>1000</v>
      </c>
      <c r="BU173" s="202">
        <v>1500</v>
      </c>
      <c r="BV173" s="202">
        <v>2250</v>
      </c>
      <c r="BW173" s="202">
        <v>3750</v>
      </c>
      <c r="BX173" s="202">
        <v>6250</v>
      </c>
    </row>
    <row r="174" spans="1:76">
      <c r="A174" s="95"/>
      <c r="B174" s="96"/>
      <c r="C174" s="95"/>
      <c r="D174" s="95"/>
      <c r="E174" s="95"/>
      <c r="F174" s="95"/>
      <c r="G174" s="95"/>
      <c r="H174" s="95"/>
      <c r="I174" s="95"/>
      <c r="J174" s="95"/>
      <c r="K174" s="95"/>
      <c r="L174" s="95"/>
      <c r="M174" s="95"/>
      <c r="N174" s="95"/>
      <c r="O174" s="95"/>
      <c r="P174" s="95"/>
      <c r="Q174" s="95"/>
      <c r="R174" s="95"/>
      <c r="S174" s="99" t="s">
        <v>95</v>
      </c>
      <c r="T174" s="204" t="s">
        <v>95</v>
      </c>
      <c r="U174" s="98"/>
      <c r="V174" s="98">
        <f t="shared" si="49"/>
        <v>1500</v>
      </c>
      <c r="W174" s="98">
        <f t="shared" si="49"/>
        <v>1500</v>
      </c>
      <c r="X174" s="98">
        <f t="shared" si="49"/>
        <v>1370</v>
      </c>
      <c r="Y174" s="98">
        <f t="shared" si="49"/>
        <v>1275</v>
      </c>
      <c r="Z174" s="98">
        <f t="shared" si="49"/>
        <v>1235</v>
      </c>
      <c r="AA174" s="98">
        <f t="shared" si="49"/>
        <v>1185</v>
      </c>
      <c r="AB174" s="98">
        <f t="shared" si="49"/>
        <v>1140</v>
      </c>
      <c r="AC174" s="98">
        <f t="shared" si="49"/>
        <v>0</v>
      </c>
      <c r="AD174" s="98">
        <f t="shared" si="49"/>
        <v>0</v>
      </c>
      <c r="AE174" s="98">
        <f t="shared" si="49"/>
        <v>0</v>
      </c>
      <c r="AF174" s="98">
        <f t="shared" si="50"/>
        <v>0</v>
      </c>
      <c r="AG174" s="98">
        <f t="shared" si="50"/>
        <v>0</v>
      </c>
      <c r="AH174" s="98">
        <f t="shared" si="50"/>
        <v>0</v>
      </c>
      <c r="AI174" s="98">
        <f t="shared" si="50"/>
        <v>0</v>
      </c>
      <c r="AJ174" s="98">
        <f t="shared" si="50"/>
        <v>0</v>
      </c>
      <c r="AK174" s="98">
        <f t="shared" si="50"/>
        <v>0</v>
      </c>
      <c r="AL174" s="98">
        <f t="shared" si="50"/>
        <v>0</v>
      </c>
      <c r="AM174" s="98">
        <f t="shared" si="50"/>
        <v>0</v>
      </c>
      <c r="AN174" s="98">
        <f t="shared" si="50"/>
        <v>0</v>
      </c>
      <c r="AO174" s="98">
        <f t="shared" si="50"/>
        <v>0</v>
      </c>
      <c r="AP174" s="98">
        <f t="shared" si="50"/>
        <v>0</v>
      </c>
      <c r="AQ174" s="98">
        <f t="shared" si="50"/>
        <v>0</v>
      </c>
      <c r="AR174" s="98">
        <f t="shared" si="50"/>
        <v>0</v>
      </c>
      <c r="AS174" s="98">
        <f t="shared" si="50"/>
        <v>0</v>
      </c>
      <c r="AV174" s="101" t="str">
        <f t="shared" si="51"/>
        <v>1.100300</v>
      </c>
      <c r="AW174" s="101">
        <v>300</v>
      </c>
      <c r="AX174" s="92">
        <v>230</v>
      </c>
      <c r="AY174" s="92">
        <v>730</v>
      </c>
      <c r="AZ174" s="92">
        <v>970</v>
      </c>
      <c r="BA174" s="202">
        <v>1455</v>
      </c>
      <c r="BB174" s="202">
        <v>2185</v>
      </c>
      <c r="BC174" s="202">
        <v>3640</v>
      </c>
      <c r="BD174" s="202">
        <v>6070</v>
      </c>
      <c r="BF174" s="101" t="str">
        <f t="shared" si="52"/>
        <v>2.080300</v>
      </c>
      <c r="BG174" s="101">
        <v>300</v>
      </c>
      <c r="BH174" s="92">
        <v>230</v>
      </c>
      <c r="BI174" s="92">
        <v>665</v>
      </c>
      <c r="BJ174" s="92">
        <v>890</v>
      </c>
      <c r="BK174" s="202">
        <v>1335</v>
      </c>
      <c r="BL174" s="202">
        <v>2000</v>
      </c>
      <c r="BM174" s="202">
        <v>3335</v>
      </c>
      <c r="BN174" s="202">
        <v>5560</v>
      </c>
      <c r="BP174" s="101" t="str">
        <f t="shared" si="53"/>
        <v>3.080300</v>
      </c>
      <c r="BQ174" s="101">
        <v>300</v>
      </c>
      <c r="BR174" s="92">
        <v>230</v>
      </c>
      <c r="BS174" s="92">
        <v>730</v>
      </c>
      <c r="BT174" s="92">
        <v>970</v>
      </c>
      <c r="BU174" s="202">
        <v>1455</v>
      </c>
      <c r="BV174" s="202">
        <v>2185</v>
      </c>
      <c r="BW174" s="202">
        <v>3640</v>
      </c>
      <c r="BX174" s="202">
        <v>6070</v>
      </c>
    </row>
    <row r="175" spans="1:76">
      <c r="A175" s="95"/>
      <c r="B175" s="96"/>
      <c r="C175" s="95"/>
      <c r="D175" s="95"/>
      <c r="E175" s="95"/>
      <c r="F175" s="95"/>
      <c r="G175" s="95"/>
      <c r="H175" s="95"/>
      <c r="I175" s="95"/>
      <c r="J175" s="95"/>
      <c r="K175" s="95"/>
      <c r="L175" s="95"/>
      <c r="M175" s="95"/>
      <c r="N175" s="95"/>
      <c r="O175" s="95"/>
      <c r="P175" s="95"/>
      <c r="Q175" s="95"/>
      <c r="R175" s="95"/>
      <c r="S175" s="99" t="s">
        <v>96</v>
      </c>
      <c r="T175" s="204" t="s">
        <v>96</v>
      </c>
      <c r="U175" s="98"/>
      <c r="V175" s="98">
        <f t="shared" ref="V175:AE182" si="54">VLOOKUP($T175&amp;TEXT(V$1,"0000"),$BP$4:$BX$435,6)</f>
        <v>1490</v>
      </c>
      <c r="W175" s="98">
        <f t="shared" si="54"/>
        <v>1205</v>
      </c>
      <c r="X175" s="98">
        <f t="shared" si="54"/>
        <v>1090</v>
      </c>
      <c r="Y175" s="98">
        <f t="shared" si="54"/>
        <v>1000</v>
      </c>
      <c r="Z175" s="98">
        <f t="shared" si="54"/>
        <v>910</v>
      </c>
      <c r="AA175" s="98">
        <f t="shared" si="54"/>
        <v>855</v>
      </c>
      <c r="AB175" s="98">
        <f t="shared" si="54"/>
        <v>835</v>
      </c>
      <c r="AC175" s="98">
        <f t="shared" si="54"/>
        <v>820</v>
      </c>
      <c r="AD175" s="98">
        <f t="shared" si="54"/>
        <v>0</v>
      </c>
      <c r="AE175" s="98">
        <f t="shared" si="54"/>
        <v>0</v>
      </c>
      <c r="AF175" s="98">
        <f t="shared" ref="AF175:AS182" si="55">VLOOKUP($T175&amp;TEXT(AF$1,"0000"),$BP$4:$BX$435,6)</f>
        <v>0</v>
      </c>
      <c r="AG175" s="98">
        <f t="shared" si="55"/>
        <v>0</v>
      </c>
      <c r="AH175" s="98">
        <f t="shared" si="55"/>
        <v>0</v>
      </c>
      <c r="AI175" s="98">
        <f t="shared" si="55"/>
        <v>0</v>
      </c>
      <c r="AJ175" s="98">
        <f t="shared" si="55"/>
        <v>0</v>
      </c>
      <c r="AK175" s="98">
        <f t="shared" si="55"/>
        <v>0</v>
      </c>
      <c r="AL175" s="98">
        <f t="shared" si="55"/>
        <v>0</v>
      </c>
      <c r="AM175" s="98">
        <f t="shared" si="55"/>
        <v>0</v>
      </c>
      <c r="AN175" s="98">
        <f t="shared" si="55"/>
        <v>0</v>
      </c>
      <c r="AO175" s="98">
        <f t="shared" si="55"/>
        <v>0</v>
      </c>
      <c r="AP175" s="98">
        <f t="shared" si="55"/>
        <v>0</v>
      </c>
      <c r="AQ175" s="98">
        <f t="shared" si="55"/>
        <v>0</v>
      </c>
      <c r="AR175" s="98">
        <f t="shared" si="55"/>
        <v>0</v>
      </c>
      <c r="AS175" s="98">
        <f t="shared" si="55"/>
        <v>0</v>
      </c>
      <c r="AV175" s="101" t="str">
        <f t="shared" si="51"/>
        <v>1.100400</v>
      </c>
      <c r="AW175" s="101">
        <v>400</v>
      </c>
      <c r="AX175" s="92">
        <v>200</v>
      </c>
      <c r="AY175" s="92">
        <v>705</v>
      </c>
      <c r="AZ175" s="92">
        <v>940</v>
      </c>
      <c r="BA175" s="202">
        <v>1410</v>
      </c>
      <c r="BB175" s="202">
        <v>2115</v>
      </c>
      <c r="BC175" s="202">
        <v>3530</v>
      </c>
      <c r="BD175" s="202">
        <v>5880</v>
      </c>
      <c r="BF175" s="101" t="str">
        <f t="shared" si="52"/>
        <v>2.080400</v>
      </c>
      <c r="BG175" s="101">
        <v>400</v>
      </c>
      <c r="BH175" s="92">
        <v>200</v>
      </c>
      <c r="BI175" s="92">
        <v>615</v>
      </c>
      <c r="BJ175" s="92">
        <v>820</v>
      </c>
      <c r="BK175" s="202">
        <v>1230</v>
      </c>
      <c r="BL175" s="202">
        <v>1845</v>
      </c>
      <c r="BM175" s="202">
        <v>3070</v>
      </c>
      <c r="BN175" s="202">
        <v>5120</v>
      </c>
      <c r="BP175" s="101" t="str">
        <f t="shared" si="53"/>
        <v>3.080400</v>
      </c>
      <c r="BQ175" s="101">
        <v>400</v>
      </c>
      <c r="BR175" s="92">
        <v>200</v>
      </c>
      <c r="BS175" s="92">
        <v>700</v>
      </c>
      <c r="BT175" s="92">
        <v>930</v>
      </c>
      <c r="BU175" s="202">
        <v>1395</v>
      </c>
      <c r="BV175" s="202">
        <v>2095</v>
      </c>
      <c r="BW175" s="202">
        <v>3490</v>
      </c>
      <c r="BX175" s="202">
        <v>5820</v>
      </c>
    </row>
    <row r="176" spans="1:76">
      <c r="A176" s="95"/>
      <c r="B176" s="96"/>
      <c r="C176" s="95"/>
      <c r="D176" s="95"/>
      <c r="E176" s="95"/>
      <c r="F176" s="95"/>
      <c r="G176" s="95"/>
      <c r="H176" s="95"/>
      <c r="I176" s="95"/>
      <c r="J176" s="95"/>
      <c r="K176" s="95"/>
      <c r="L176" s="95"/>
      <c r="M176" s="95"/>
      <c r="N176" s="95"/>
      <c r="O176" s="95"/>
      <c r="P176" s="95"/>
      <c r="Q176" s="95"/>
      <c r="R176" s="95"/>
      <c r="S176" s="99" t="s">
        <v>97</v>
      </c>
      <c r="T176" s="204" t="s">
        <v>97</v>
      </c>
      <c r="U176" s="98"/>
      <c r="V176" s="98">
        <f t="shared" si="54"/>
        <v>1345</v>
      </c>
      <c r="W176" s="98">
        <f t="shared" si="54"/>
        <v>1245</v>
      </c>
      <c r="X176" s="98">
        <f t="shared" si="54"/>
        <v>1165</v>
      </c>
      <c r="Y176" s="98">
        <f t="shared" si="54"/>
        <v>1075</v>
      </c>
      <c r="Z176" s="98">
        <f t="shared" si="54"/>
        <v>1000</v>
      </c>
      <c r="AA176" s="98">
        <f t="shared" si="54"/>
        <v>945</v>
      </c>
      <c r="AB176" s="98">
        <f t="shared" si="54"/>
        <v>920</v>
      </c>
      <c r="AC176" s="98">
        <f t="shared" si="54"/>
        <v>900</v>
      </c>
      <c r="AD176" s="98">
        <f t="shared" si="54"/>
        <v>885</v>
      </c>
      <c r="AE176" s="98">
        <f t="shared" si="54"/>
        <v>865</v>
      </c>
      <c r="AF176" s="98">
        <f t="shared" si="55"/>
        <v>0</v>
      </c>
      <c r="AG176" s="98">
        <f t="shared" si="55"/>
        <v>0</v>
      </c>
      <c r="AH176" s="98">
        <f t="shared" si="55"/>
        <v>0</v>
      </c>
      <c r="AI176" s="98">
        <f t="shared" si="55"/>
        <v>0</v>
      </c>
      <c r="AJ176" s="98">
        <f t="shared" si="55"/>
        <v>0</v>
      </c>
      <c r="AK176" s="98">
        <f t="shared" si="55"/>
        <v>0</v>
      </c>
      <c r="AL176" s="98">
        <f t="shared" si="55"/>
        <v>0</v>
      </c>
      <c r="AM176" s="98">
        <f t="shared" si="55"/>
        <v>0</v>
      </c>
      <c r="AN176" s="98">
        <f t="shared" si="55"/>
        <v>0</v>
      </c>
      <c r="AO176" s="98">
        <f t="shared" si="55"/>
        <v>0</v>
      </c>
      <c r="AP176" s="98">
        <f t="shared" si="55"/>
        <v>0</v>
      </c>
      <c r="AQ176" s="98">
        <f t="shared" si="55"/>
        <v>0</v>
      </c>
      <c r="AR176" s="98">
        <f t="shared" si="55"/>
        <v>0</v>
      </c>
      <c r="AS176" s="98">
        <f t="shared" si="55"/>
        <v>0</v>
      </c>
      <c r="AV176" s="101" t="str">
        <f t="shared" si="51"/>
        <v>1.100500</v>
      </c>
      <c r="AW176" s="101">
        <v>500</v>
      </c>
      <c r="AX176" s="92">
        <v>170</v>
      </c>
      <c r="AY176" s="92">
        <v>665</v>
      </c>
      <c r="AZ176" s="92">
        <v>885</v>
      </c>
      <c r="BA176" s="202">
        <v>1330</v>
      </c>
      <c r="BB176" s="202">
        <v>1995</v>
      </c>
      <c r="BC176" s="202">
        <v>3325</v>
      </c>
      <c r="BD176" s="202">
        <v>5540</v>
      </c>
      <c r="BF176" s="101" t="str">
        <f t="shared" si="52"/>
        <v>2.080500</v>
      </c>
      <c r="BG176" s="101">
        <v>500</v>
      </c>
      <c r="BH176" s="92">
        <v>170</v>
      </c>
      <c r="BI176" s="92">
        <v>580</v>
      </c>
      <c r="BJ176" s="92">
        <v>775</v>
      </c>
      <c r="BK176" s="202">
        <v>1160</v>
      </c>
      <c r="BL176" s="202">
        <v>1740</v>
      </c>
      <c r="BM176" s="202">
        <v>2905</v>
      </c>
      <c r="BN176" s="202">
        <v>4840</v>
      </c>
      <c r="BP176" s="101" t="str">
        <f t="shared" si="53"/>
        <v>3.080500</v>
      </c>
      <c r="BQ176" s="101">
        <v>500</v>
      </c>
      <c r="BR176" s="92">
        <v>170</v>
      </c>
      <c r="BS176" s="92">
        <v>665</v>
      </c>
      <c r="BT176" s="92">
        <v>885</v>
      </c>
      <c r="BU176" s="202">
        <v>1330</v>
      </c>
      <c r="BV176" s="202">
        <v>1995</v>
      </c>
      <c r="BW176" s="202">
        <v>3325</v>
      </c>
      <c r="BX176" s="202">
        <v>5540</v>
      </c>
    </row>
    <row r="177" spans="1:76">
      <c r="A177" s="95"/>
      <c r="B177" s="96"/>
      <c r="C177" s="95"/>
      <c r="D177" s="95"/>
      <c r="E177" s="95"/>
      <c r="F177" s="95"/>
      <c r="G177" s="95"/>
      <c r="H177" s="95"/>
      <c r="I177" s="95"/>
      <c r="J177" s="95"/>
      <c r="K177" s="95"/>
      <c r="L177" s="95"/>
      <c r="M177" s="95"/>
      <c r="N177" s="95"/>
      <c r="O177" s="95"/>
      <c r="P177" s="95"/>
      <c r="Q177" s="95"/>
      <c r="R177" s="95"/>
      <c r="S177" s="99" t="s">
        <v>98</v>
      </c>
      <c r="T177" s="204" t="s">
        <v>98</v>
      </c>
      <c r="U177" s="98"/>
      <c r="V177" s="98">
        <f t="shared" si="54"/>
        <v>1500</v>
      </c>
      <c r="W177" s="98">
        <f t="shared" si="54"/>
        <v>1405</v>
      </c>
      <c r="X177" s="98">
        <f t="shared" si="54"/>
        <v>1330</v>
      </c>
      <c r="Y177" s="98">
        <f t="shared" si="54"/>
        <v>1260</v>
      </c>
      <c r="Z177" s="98">
        <f t="shared" si="54"/>
        <v>1190</v>
      </c>
      <c r="AA177" s="98">
        <f t="shared" si="54"/>
        <v>1125</v>
      </c>
      <c r="AB177" s="98">
        <f t="shared" si="54"/>
        <v>1100</v>
      </c>
      <c r="AC177" s="98">
        <f t="shared" si="54"/>
        <v>1080</v>
      </c>
      <c r="AD177" s="98">
        <f t="shared" si="54"/>
        <v>1065</v>
      </c>
      <c r="AE177" s="98">
        <f t="shared" si="54"/>
        <v>1015</v>
      </c>
      <c r="AF177" s="98">
        <f t="shared" si="55"/>
        <v>0</v>
      </c>
      <c r="AG177" s="98">
        <f t="shared" si="55"/>
        <v>0</v>
      </c>
      <c r="AH177" s="98">
        <f t="shared" si="55"/>
        <v>0</v>
      </c>
      <c r="AI177" s="98">
        <f t="shared" si="55"/>
        <v>0</v>
      </c>
      <c r="AJ177" s="98">
        <f t="shared" si="55"/>
        <v>0</v>
      </c>
      <c r="AK177" s="98">
        <f t="shared" si="55"/>
        <v>0</v>
      </c>
      <c r="AL177" s="98">
        <f t="shared" si="55"/>
        <v>0</v>
      </c>
      <c r="AM177" s="98">
        <f t="shared" si="55"/>
        <v>0</v>
      </c>
      <c r="AN177" s="98">
        <f t="shared" si="55"/>
        <v>0</v>
      </c>
      <c r="AO177" s="98">
        <f t="shared" si="55"/>
        <v>0</v>
      </c>
      <c r="AP177" s="98">
        <f t="shared" si="55"/>
        <v>0</v>
      </c>
      <c r="AQ177" s="98">
        <f t="shared" si="55"/>
        <v>0</v>
      </c>
      <c r="AR177" s="98">
        <f t="shared" si="55"/>
        <v>0</v>
      </c>
      <c r="AS177" s="98">
        <f t="shared" si="55"/>
        <v>0</v>
      </c>
      <c r="AV177" s="101" t="str">
        <f t="shared" si="51"/>
        <v>1.100600</v>
      </c>
      <c r="AW177" s="101">
        <v>600</v>
      </c>
      <c r="AX177" s="92">
        <v>140</v>
      </c>
      <c r="AY177" s="92">
        <v>605</v>
      </c>
      <c r="AZ177" s="92">
        <v>805</v>
      </c>
      <c r="BA177" s="202">
        <v>1210</v>
      </c>
      <c r="BB177" s="202">
        <v>1815</v>
      </c>
      <c r="BC177" s="202">
        <v>3025</v>
      </c>
      <c r="BD177" s="202">
        <v>5040</v>
      </c>
      <c r="BF177" s="101" t="str">
        <f t="shared" si="52"/>
        <v>2.080600</v>
      </c>
      <c r="BG177" s="101">
        <v>600</v>
      </c>
      <c r="BH177" s="92">
        <v>140</v>
      </c>
      <c r="BI177" s="92">
        <v>555</v>
      </c>
      <c r="BJ177" s="92">
        <v>740</v>
      </c>
      <c r="BK177" s="202">
        <v>1115</v>
      </c>
      <c r="BL177" s="202">
        <v>1670</v>
      </c>
      <c r="BM177" s="202">
        <v>2785</v>
      </c>
      <c r="BN177" s="202">
        <v>4640</v>
      </c>
      <c r="BP177" s="101" t="str">
        <f t="shared" si="53"/>
        <v>3.080600</v>
      </c>
      <c r="BQ177" s="101">
        <v>600</v>
      </c>
      <c r="BR177" s="92">
        <v>140</v>
      </c>
      <c r="BS177" s="92">
        <v>605</v>
      </c>
      <c r="BT177" s="92">
        <v>805</v>
      </c>
      <c r="BU177" s="202">
        <v>1210</v>
      </c>
      <c r="BV177" s="202">
        <v>1815</v>
      </c>
      <c r="BW177" s="202">
        <v>3025</v>
      </c>
      <c r="BX177" s="202">
        <v>5040</v>
      </c>
    </row>
    <row r="178" spans="1:76">
      <c r="A178" s="95"/>
      <c r="B178" s="96"/>
      <c r="C178" s="95"/>
      <c r="D178" s="95"/>
      <c r="E178" s="95"/>
      <c r="F178" s="95"/>
      <c r="G178" s="95"/>
      <c r="H178" s="95"/>
      <c r="I178" s="95"/>
      <c r="J178" s="95"/>
      <c r="K178" s="95"/>
      <c r="L178" s="95"/>
      <c r="M178" s="95"/>
      <c r="N178" s="95"/>
      <c r="O178" s="95"/>
      <c r="P178" s="95"/>
      <c r="Q178" s="95"/>
      <c r="R178" s="95"/>
      <c r="S178" s="99" t="s">
        <v>99</v>
      </c>
      <c r="T178" s="204" t="s">
        <v>99</v>
      </c>
      <c r="U178" s="98"/>
      <c r="V178" s="98">
        <f t="shared" si="54"/>
        <v>1440</v>
      </c>
      <c r="W178" s="98">
        <f t="shared" si="54"/>
        <v>1295</v>
      </c>
      <c r="X178" s="98">
        <f t="shared" si="54"/>
        <v>1200</v>
      </c>
      <c r="Y178" s="98">
        <f t="shared" si="54"/>
        <v>1130</v>
      </c>
      <c r="Z178" s="98">
        <f t="shared" si="54"/>
        <v>1075</v>
      </c>
      <c r="AA178" s="98">
        <f t="shared" si="54"/>
        <v>1035</v>
      </c>
      <c r="AB178" s="98">
        <f t="shared" si="54"/>
        <v>1020</v>
      </c>
      <c r="AC178" s="98">
        <f t="shared" si="54"/>
        <v>1015</v>
      </c>
      <c r="AD178" s="98">
        <f t="shared" si="54"/>
        <v>1005</v>
      </c>
      <c r="AE178" s="98">
        <f t="shared" si="54"/>
        <v>1000</v>
      </c>
      <c r="AF178" s="98">
        <f t="shared" si="55"/>
        <v>975</v>
      </c>
      <c r="AG178" s="98">
        <f t="shared" si="55"/>
        <v>900</v>
      </c>
      <c r="AH178" s="98">
        <f t="shared" si="55"/>
        <v>775</v>
      </c>
      <c r="AI178" s="98">
        <f t="shared" si="55"/>
        <v>725</v>
      </c>
      <c r="AJ178" s="98">
        <f t="shared" si="55"/>
        <v>0</v>
      </c>
      <c r="AK178" s="98">
        <f t="shared" si="55"/>
        <v>0</v>
      </c>
      <c r="AL178" s="98">
        <f t="shared" si="55"/>
        <v>0</v>
      </c>
      <c r="AM178" s="98">
        <f t="shared" si="55"/>
        <v>0</v>
      </c>
      <c r="AN178" s="98">
        <f t="shared" si="55"/>
        <v>0</v>
      </c>
      <c r="AO178" s="98">
        <f t="shared" si="55"/>
        <v>0</v>
      </c>
      <c r="AP178" s="98">
        <f t="shared" si="55"/>
        <v>0</v>
      </c>
      <c r="AQ178" s="98">
        <f t="shared" si="55"/>
        <v>0</v>
      </c>
      <c r="AR178" s="98">
        <f t="shared" si="55"/>
        <v>0</v>
      </c>
      <c r="AS178" s="98">
        <f t="shared" si="55"/>
        <v>0</v>
      </c>
      <c r="AV178" s="101" t="str">
        <f t="shared" si="51"/>
        <v>1.100650</v>
      </c>
      <c r="AW178" s="101">
        <v>650</v>
      </c>
      <c r="AX178" s="92">
        <v>125</v>
      </c>
      <c r="AY178" s="92">
        <v>590</v>
      </c>
      <c r="AZ178" s="92">
        <v>785</v>
      </c>
      <c r="BA178" s="202">
        <v>1175</v>
      </c>
      <c r="BB178" s="202">
        <v>1765</v>
      </c>
      <c r="BC178" s="202">
        <v>2940</v>
      </c>
      <c r="BD178" s="202">
        <v>4905</v>
      </c>
      <c r="BF178" s="101" t="str">
        <f t="shared" si="52"/>
        <v>2.080650</v>
      </c>
      <c r="BG178" s="101">
        <v>650</v>
      </c>
      <c r="BH178" s="92">
        <v>125</v>
      </c>
      <c r="BI178" s="92">
        <v>545</v>
      </c>
      <c r="BJ178" s="92">
        <v>730</v>
      </c>
      <c r="BK178" s="202">
        <v>1095</v>
      </c>
      <c r="BL178" s="202">
        <v>1640</v>
      </c>
      <c r="BM178" s="202">
        <v>2735</v>
      </c>
      <c r="BN178" s="202">
        <v>4560</v>
      </c>
      <c r="BP178" s="101" t="str">
        <f t="shared" si="53"/>
        <v>3.080650</v>
      </c>
      <c r="BQ178" s="101">
        <v>650</v>
      </c>
      <c r="BR178" s="92">
        <v>125</v>
      </c>
      <c r="BS178" s="92">
        <v>590</v>
      </c>
      <c r="BT178" s="92">
        <v>785</v>
      </c>
      <c r="BU178" s="202">
        <v>1175</v>
      </c>
      <c r="BV178" s="202">
        <v>1765</v>
      </c>
      <c r="BW178" s="202">
        <v>2940</v>
      </c>
      <c r="BX178" s="202">
        <v>4905</v>
      </c>
    </row>
    <row r="179" spans="1:76">
      <c r="A179" s="95"/>
      <c r="B179" s="96"/>
      <c r="C179" s="95"/>
      <c r="D179" s="95"/>
      <c r="E179" s="95"/>
      <c r="F179" s="95"/>
      <c r="G179" s="95"/>
      <c r="H179" s="95"/>
      <c r="I179" s="95"/>
      <c r="J179" s="95"/>
      <c r="K179" s="95"/>
      <c r="L179" s="95"/>
      <c r="M179" s="95"/>
      <c r="N179" s="95"/>
      <c r="O179" s="95"/>
      <c r="P179" s="95"/>
      <c r="Q179" s="95"/>
      <c r="R179" s="95"/>
      <c r="S179" s="99" t="s">
        <v>100</v>
      </c>
      <c r="T179" s="204" t="s">
        <v>100</v>
      </c>
      <c r="U179" s="98"/>
      <c r="V179" s="98">
        <f t="shared" si="54"/>
        <v>1200</v>
      </c>
      <c r="W179" s="98">
        <f t="shared" si="54"/>
        <v>1105</v>
      </c>
      <c r="X179" s="98">
        <f t="shared" si="54"/>
        <v>1040</v>
      </c>
      <c r="Y179" s="98">
        <f t="shared" si="54"/>
        <v>980</v>
      </c>
      <c r="Z179" s="98">
        <f t="shared" si="54"/>
        <v>925</v>
      </c>
      <c r="AA179" s="98">
        <f t="shared" si="54"/>
        <v>880</v>
      </c>
      <c r="AB179" s="98">
        <f t="shared" si="54"/>
        <v>860</v>
      </c>
      <c r="AC179" s="98">
        <f t="shared" si="54"/>
        <v>835</v>
      </c>
      <c r="AD179" s="98">
        <f t="shared" si="54"/>
        <v>820</v>
      </c>
      <c r="AE179" s="98">
        <f t="shared" si="54"/>
        <v>800</v>
      </c>
      <c r="AF179" s="98">
        <f t="shared" si="55"/>
        <v>785</v>
      </c>
      <c r="AG179" s="98">
        <f t="shared" si="55"/>
        <v>775</v>
      </c>
      <c r="AH179" s="98">
        <f t="shared" si="55"/>
        <v>760</v>
      </c>
      <c r="AI179" s="98">
        <f t="shared" si="55"/>
        <v>725</v>
      </c>
      <c r="AJ179" s="98">
        <f t="shared" si="55"/>
        <v>700</v>
      </c>
      <c r="AK179" s="98">
        <f t="shared" si="55"/>
        <v>645</v>
      </c>
      <c r="AL179" s="98">
        <f t="shared" si="55"/>
        <v>550</v>
      </c>
      <c r="AM179" s="98">
        <f t="shared" si="55"/>
        <v>410</v>
      </c>
      <c r="AN179" s="98">
        <f t="shared" si="55"/>
        <v>365</v>
      </c>
      <c r="AO179" s="98">
        <f t="shared" si="55"/>
        <v>275</v>
      </c>
      <c r="AP179" s="98">
        <f t="shared" si="55"/>
        <v>205</v>
      </c>
      <c r="AQ179" s="98">
        <f t="shared" si="55"/>
        <v>150</v>
      </c>
      <c r="AR179" s="98">
        <f t="shared" si="55"/>
        <v>115</v>
      </c>
      <c r="AS179" s="98">
        <f t="shared" si="55"/>
        <v>85</v>
      </c>
      <c r="AV179" s="101" t="str">
        <f t="shared" si="51"/>
        <v>1.100700</v>
      </c>
      <c r="AW179" s="101">
        <v>700</v>
      </c>
      <c r="AX179" s="92">
        <v>110</v>
      </c>
      <c r="AY179" s="92">
        <v>570</v>
      </c>
      <c r="AZ179" s="92">
        <v>755</v>
      </c>
      <c r="BA179" s="202">
        <v>1135</v>
      </c>
      <c r="BB179" s="202">
        <v>1705</v>
      </c>
      <c r="BC179" s="202">
        <v>2840</v>
      </c>
      <c r="BD179" s="202">
        <v>4730</v>
      </c>
      <c r="BF179" s="101" t="str">
        <f t="shared" si="52"/>
        <v>2.080700</v>
      </c>
      <c r="BG179" s="101">
        <v>700</v>
      </c>
      <c r="BH179" s="92">
        <v>110</v>
      </c>
      <c r="BI179" s="92">
        <v>540</v>
      </c>
      <c r="BJ179" s="92">
        <v>725</v>
      </c>
      <c r="BK179" s="202">
        <v>1085</v>
      </c>
      <c r="BL179" s="202">
        <v>1625</v>
      </c>
      <c r="BM179" s="202">
        <v>2710</v>
      </c>
      <c r="BN179" s="202">
        <v>4520</v>
      </c>
      <c r="BP179" s="101" t="str">
        <f t="shared" si="53"/>
        <v>3.080700</v>
      </c>
      <c r="BQ179" s="101">
        <v>700</v>
      </c>
      <c r="BR179" s="92">
        <v>110</v>
      </c>
      <c r="BS179" s="92">
        <v>570</v>
      </c>
      <c r="BT179" s="92">
        <v>755</v>
      </c>
      <c r="BU179" s="202">
        <v>1135</v>
      </c>
      <c r="BV179" s="202">
        <v>1705</v>
      </c>
      <c r="BW179" s="202">
        <v>2840</v>
      </c>
      <c r="BX179" s="202">
        <v>4730</v>
      </c>
    </row>
    <row r="180" spans="1:76">
      <c r="A180" s="95"/>
      <c r="B180" s="96"/>
      <c r="C180" s="95"/>
      <c r="D180" s="95"/>
      <c r="E180" s="95"/>
      <c r="F180" s="95"/>
      <c r="G180" s="95"/>
      <c r="H180" s="95"/>
      <c r="I180" s="95"/>
      <c r="J180" s="95"/>
      <c r="K180" s="95"/>
      <c r="L180" s="95"/>
      <c r="M180" s="95"/>
      <c r="N180" s="95"/>
      <c r="O180" s="95"/>
      <c r="P180" s="95"/>
      <c r="Q180" s="95"/>
      <c r="R180" s="95"/>
      <c r="S180" s="99" t="s">
        <v>101</v>
      </c>
      <c r="T180" s="204" t="s">
        <v>101</v>
      </c>
      <c r="U180" s="98"/>
      <c r="V180" s="98">
        <f t="shared" si="54"/>
        <v>1440</v>
      </c>
      <c r="W180" s="98">
        <f t="shared" si="54"/>
        <v>1270</v>
      </c>
      <c r="X180" s="98">
        <f t="shared" si="54"/>
        <v>1185</v>
      </c>
      <c r="Y180" s="98">
        <f t="shared" si="54"/>
        <v>1115</v>
      </c>
      <c r="Z180" s="98">
        <f t="shared" si="54"/>
        <v>1055</v>
      </c>
      <c r="AA180" s="98">
        <f t="shared" si="54"/>
        <v>1010</v>
      </c>
      <c r="AB180" s="98">
        <f t="shared" si="54"/>
        <v>990</v>
      </c>
      <c r="AC180" s="98">
        <f t="shared" si="54"/>
        <v>965</v>
      </c>
      <c r="AD180" s="98">
        <f t="shared" si="54"/>
        <v>945</v>
      </c>
      <c r="AE180" s="98">
        <f t="shared" si="54"/>
        <v>925</v>
      </c>
      <c r="AF180" s="98">
        <f t="shared" si="55"/>
        <v>905</v>
      </c>
      <c r="AG180" s="98">
        <f t="shared" si="55"/>
        <v>890</v>
      </c>
      <c r="AH180" s="98">
        <f t="shared" si="55"/>
        <v>775</v>
      </c>
      <c r="AI180" s="98">
        <f t="shared" si="55"/>
        <v>725</v>
      </c>
      <c r="AJ180" s="98">
        <f t="shared" si="55"/>
        <v>685</v>
      </c>
      <c r="AK180" s="98">
        <f t="shared" si="55"/>
        <v>535</v>
      </c>
      <c r="AL180" s="98">
        <f t="shared" si="55"/>
        <v>410</v>
      </c>
      <c r="AM180" s="98">
        <f t="shared" si="55"/>
        <v>320</v>
      </c>
      <c r="AN180" s="98">
        <f t="shared" si="55"/>
        <v>260</v>
      </c>
      <c r="AO180" s="98">
        <f t="shared" si="55"/>
        <v>215</v>
      </c>
      <c r="AP180" s="98">
        <f t="shared" si="55"/>
        <v>165</v>
      </c>
      <c r="AQ180" s="98">
        <f t="shared" si="55"/>
        <v>125</v>
      </c>
      <c r="AR180" s="98">
        <f t="shared" si="55"/>
        <v>105</v>
      </c>
      <c r="AS180" s="98">
        <f t="shared" si="55"/>
        <v>75</v>
      </c>
      <c r="AV180" s="101" t="str">
        <f t="shared" si="51"/>
        <v>1.100750</v>
      </c>
      <c r="AW180" s="101">
        <v>750</v>
      </c>
      <c r="AX180" s="92">
        <v>95</v>
      </c>
      <c r="AY180" s="92">
        <v>530</v>
      </c>
      <c r="AZ180" s="92">
        <v>710</v>
      </c>
      <c r="BA180" s="202">
        <v>1065</v>
      </c>
      <c r="BB180" s="202">
        <v>1595</v>
      </c>
      <c r="BC180" s="202">
        <v>2660</v>
      </c>
      <c r="BD180" s="202">
        <v>4430</v>
      </c>
      <c r="BF180" s="101" t="str">
        <f t="shared" si="52"/>
        <v>2.080750</v>
      </c>
      <c r="BG180" s="101">
        <v>750</v>
      </c>
      <c r="BH180" s="92">
        <v>95</v>
      </c>
      <c r="BI180" s="92">
        <v>530</v>
      </c>
      <c r="BJ180" s="92">
        <v>710</v>
      </c>
      <c r="BK180" s="202">
        <v>1065</v>
      </c>
      <c r="BL180" s="202">
        <v>1595</v>
      </c>
      <c r="BM180" s="202">
        <v>2660</v>
      </c>
      <c r="BN180" s="202">
        <v>4430</v>
      </c>
      <c r="BP180" s="101" t="str">
        <f t="shared" si="53"/>
        <v>3.080750</v>
      </c>
      <c r="BQ180" s="101">
        <v>750</v>
      </c>
      <c r="BR180" s="92">
        <v>95</v>
      </c>
      <c r="BS180" s="92">
        <v>530</v>
      </c>
      <c r="BT180" s="92">
        <v>710</v>
      </c>
      <c r="BU180" s="202">
        <v>1065</v>
      </c>
      <c r="BV180" s="202">
        <v>1595</v>
      </c>
      <c r="BW180" s="202">
        <v>2660</v>
      </c>
      <c r="BX180" s="202">
        <v>4430</v>
      </c>
    </row>
    <row r="181" spans="1:76">
      <c r="A181" s="95"/>
      <c r="B181" s="96"/>
      <c r="C181" s="95"/>
      <c r="D181" s="95"/>
      <c r="E181" s="95"/>
      <c r="F181" s="95"/>
      <c r="G181" s="95"/>
      <c r="H181" s="95"/>
      <c r="I181" s="95"/>
      <c r="J181" s="95"/>
      <c r="K181" s="95"/>
      <c r="L181" s="95"/>
      <c r="M181" s="95"/>
      <c r="N181" s="95"/>
      <c r="O181" s="95"/>
      <c r="P181" s="95"/>
      <c r="Q181" s="95"/>
      <c r="R181" s="95"/>
      <c r="S181" s="99" t="s">
        <v>213</v>
      </c>
      <c r="T181" s="204" t="s">
        <v>213</v>
      </c>
      <c r="U181" s="98"/>
      <c r="V181" s="98">
        <f t="shared" si="54"/>
        <v>1200</v>
      </c>
      <c r="W181" s="98">
        <f t="shared" si="54"/>
        <v>1035</v>
      </c>
      <c r="X181" s="98">
        <f t="shared" si="54"/>
        <v>930</v>
      </c>
      <c r="Y181" s="98">
        <f t="shared" si="54"/>
        <v>845</v>
      </c>
      <c r="Z181" s="98">
        <f t="shared" si="54"/>
        <v>780</v>
      </c>
      <c r="AA181" s="98">
        <f t="shared" si="54"/>
        <v>720</v>
      </c>
      <c r="AB181" s="98">
        <f t="shared" si="54"/>
        <v>0</v>
      </c>
      <c r="AC181" s="98">
        <f t="shared" si="54"/>
        <v>0</v>
      </c>
      <c r="AD181" s="98">
        <f t="shared" si="54"/>
        <v>0</v>
      </c>
      <c r="AE181" s="98">
        <f t="shared" si="54"/>
        <v>0</v>
      </c>
      <c r="AF181" s="98">
        <f t="shared" si="55"/>
        <v>0</v>
      </c>
      <c r="AG181" s="98">
        <f t="shared" si="55"/>
        <v>0</v>
      </c>
      <c r="AH181" s="98">
        <f t="shared" si="55"/>
        <v>0</v>
      </c>
      <c r="AI181" s="98">
        <f t="shared" si="55"/>
        <v>0</v>
      </c>
      <c r="AJ181" s="98">
        <f t="shared" si="55"/>
        <v>0</v>
      </c>
      <c r="AK181" s="98">
        <f t="shared" si="55"/>
        <v>0</v>
      </c>
      <c r="AL181" s="98">
        <f t="shared" si="55"/>
        <v>0</v>
      </c>
      <c r="AM181" s="98">
        <f t="shared" si="55"/>
        <v>0</v>
      </c>
      <c r="AN181" s="98">
        <f t="shared" si="55"/>
        <v>0</v>
      </c>
      <c r="AO181" s="98">
        <f t="shared" si="55"/>
        <v>0</v>
      </c>
      <c r="AP181" s="98">
        <f t="shared" si="55"/>
        <v>0</v>
      </c>
      <c r="AQ181" s="98">
        <f t="shared" si="55"/>
        <v>0</v>
      </c>
      <c r="AR181" s="98">
        <f t="shared" si="55"/>
        <v>0</v>
      </c>
      <c r="AS181" s="98">
        <f t="shared" si="55"/>
        <v>0</v>
      </c>
      <c r="AV181" s="101" t="str">
        <f t="shared" si="51"/>
        <v>1.100800</v>
      </c>
      <c r="AW181" s="101">
        <v>800</v>
      </c>
      <c r="AX181" s="92">
        <v>80</v>
      </c>
      <c r="AY181" s="92">
        <v>510</v>
      </c>
      <c r="AZ181" s="92">
        <v>675</v>
      </c>
      <c r="BA181" s="202">
        <v>1015</v>
      </c>
      <c r="BB181" s="202">
        <v>1525</v>
      </c>
      <c r="BC181" s="202">
        <v>2540</v>
      </c>
      <c r="BD181" s="202">
        <v>4230</v>
      </c>
      <c r="BF181" s="101" t="str">
        <f t="shared" si="52"/>
        <v>2.080800</v>
      </c>
      <c r="BG181" s="101">
        <v>800</v>
      </c>
      <c r="BP181" s="101" t="str">
        <f t="shared" si="53"/>
        <v>3.080800</v>
      </c>
      <c r="BQ181" s="101">
        <v>800</v>
      </c>
      <c r="BR181" s="92">
        <v>80</v>
      </c>
      <c r="BS181" s="92">
        <v>510</v>
      </c>
      <c r="BT181" s="92">
        <v>675</v>
      </c>
      <c r="BU181" s="202">
        <v>1015</v>
      </c>
      <c r="BV181" s="202">
        <v>1525</v>
      </c>
      <c r="BW181" s="202">
        <v>2540</v>
      </c>
      <c r="BX181" s="202">
        <v>4230</v>
      </c>
    </row>
    <row r="182" spans="1:76">
      <c r="A182" s="95"/>
      <c r="B182" s="96"/>
      <c r="C182" s="95"/>
      <c r="D182" s="95"/>
      <c r="E182" s="95"/>
      <c r="F182" s="95"/>
      <c r="G182" s="95"/>
      <c r="H182" s="95"/>
      <c r="I182" s="95"/>
      <c r="J182" s="95"/>
      <c r="K182" s="95"/>
      <c r="L182" s="95"/>
      <c r="M182" s="95"/>
      <c r="N182" s="95"/>
      <c r="O182" s="95"/>
      <c r="P182" s="95"/>
      <c r="Q182" s="95"/>
      <c r="R182" s="95"/>
      <c r="S182" s="99" t="s">
        <v>214</v>
      </c>
      <c r="T182" s="204" t="s">
        <v>214</v>
      </c>
      <c r="U182" s="98"/>
      <c r="V182" s="98">
        <f t="shared" si="54"/>
        <v>1500</v>
      </c>
      <c r="W182" s="98">
        <f t="shared" si="54"/>
        <v>1500</v>
      </c>
      <c r="X182" s="98">
        <f t="shared" si="54"/>
        <v>1455</v>
      </c>
      <c r="Y182" s="98">
        <f t="shared" si="54"/>
        <v>1410</v>
      </c>
      <c r="Z182" s="98">
        <f t="shared" si="54"/>
        <v>1330</v>
      </c>
      <c r="AA182" s="98">
        <f t="shared" si="54"/>
        <v>1210</v>
      </c>
      <c r="AB182" s="98">
        <f t="shared" si="54"/>
        <v>1175</v>
      </c>
      <c r="AC182" s="98">
        <f t="shared" si="54"/>
        <v>1135</v>
      </c>
      <c r="AD182" s="98">
        <f t="shared" si="54"/>
        <v>1065</v>
      </c>
      <c r="AE182" s="98">
        <f t="shared" si="54"/>
        <v>1015</v>
      </c>
      <c r="AF182" s="98">
        <f t="shared" si="55"/>
        <v>975</v>
      </c>
      <c r="AG182" s="98">
        <f t="shared" si="55"/>
        <v>900</v>
      </c>
      <c r="AH182" s="98">
        <f t="shared" si="55"/>
        <v>775</v>
      </c>
      <c r="AI182" s="98">
        <f t="shared" si="55"/>
        <v>725</v>
      </c>
      <c r="AJ182" s="98">
        <f t="shared" si="55"/>
        <v>720</v>
      </c>
      <c r="AK182" s="98">
        <f t="shared" si="55"/>
        <v>645</v>
      </c>
      <c r="AL182" s="98">
        <f t="shared" si="55"/>
        <v>550</v>
      </c>
      <c r="AM182" s="98">
        <f t="shared" si="55"/>
        <v>410</v>
      </c>
      <c r="AN182" s="98">
        <f t="shared" si="55"/>
        <v>365</v>
      </c>
      <c r="AO182" s="98">
        <f t="shared" si="55"/>
        <v>275</v>
      </c>
      <c r="AP182" s="98">
        <f t="shared" si="55"/>
        <v>205</v>
      </c>
      <c r="AQ182" s="98">
        <f t="shared" si="55"/>
        <v>150</v>
      </c>
      <c r="AR182" s="98">
        <f t="shared" si="55"/>
        <v>115</v>
      </c>
      <c r="AS182" s="98">
        <f t="shared" si="55"/>
        <v>85</v>
      </c>
      <c r="AV182" s="101" t="str">
        <f t="shared" si="51"/>
        <v>1.100850</v>
      </c>
      <c r="AW182" s="101">
        <v>850</v>
      </c>
      <c r="AX182" s="92">
        <v>65</v>
      </c>
      <c r="AY182" s="92">
        <v>485</v>
      </c>
      <c r="AZ182" s="92">
        <v>650</v>
      </c>
      <c r="BA182" s="92">
        <v>975</v>
      </c>
      <c r="BB182" s="202">
        <v>1460</v>
      </c>
      <c r="BC182" s="202">
        <v>2435</v>
      </c>
      <c r="BD182" s="202">
        <v>4060</v>
      </c>
      <c r="BF182" s="101" t="str">
        <f t="shared" si="52"/>
        <v>2.080850</v>
      </c>
      <c r="BG182" s="101">
        <v>850</v>
      </c>
      <c r="BP182" s="101" t="str">
        <f t="shared" si="53"/>
        <v>3.080850</v>
      </c>
      <c r="BQ182" s="101">
        <v>850</v>
      </c>
      <c r="BR182" s="92">
        <v>65</v>
      </c>
      <c r="BS182" s="92">
        <v>485</v>
      </c>
      <c r="BT182" s="92">
        <v>650</v>
      </c>
      <c r="BU182" s="92">
        <v>975</v>
      </c>
      <c r="BV182" s="202">
        <v>1460</v>
      </c>
      <c r="BW182" s="202">
        <v>2435</v>
      </c>
      <c r="BX182" s="202">
        <v>4060</v>
      </c>
    </row>
    <row r="183" spans="1:76">
      <c r="A183" s="95"/>
      <c r="B183" s="96"/>
      <c r="C183" s="95"/>
      <c r="D183" s="95"/>
      <c r="E183" s="95"/>
      <c r="F183" s="95"/>
      <c r="G183" s="95"/>
      <c r="H183" s="95"/>
      <c r="I183" s="95"/>
      <c r="J183" s="95"/>
      <c r="K183" s="95"/>
      <c r="L183" s="95"/>
      <c r="M183" s="95"/>
      <c r="N183" s="95"/>
      <c r="O183" s="95"/>
      <c r="P183" s="95"/>
      <c r="Q183" s="95"/>
      <c r="R183" s="95"/>
      <c r="S183" s="99"/>
      <c r="T183" s="98"/>
      <c r="U183" s="98"/>
      <c r="V183" s="117">
        <v>900</v>
      </c>
      <c r="W183" s="98">
        <v>100</v>
      </c>
      <c r="X183" s="98">
        <v>1500</v>
      </c>
      <c r="Y183" s="98"/>
      <c r="Z183" s="98"/>
      <c r="AA183" s="98"/>
      <c r="AB183" s="98"/>
      <c r="AC183" s="98"/>
      <c r="AD183" s="98"/>
      <c r="AE183" s="98"/>
      <c r="AF183" s="98"/>
      <c r="AG183" s="98"/>
      <c r="AH183" s="98"/>
      <c r="AI183" s="98"/>
      <c r="AJ183" s="98"/>
      <c r="AK183" s="98"/>
      <c r="AL183" s="98"/>
      <c r="AM183" s="98"/>
      <c r="AN183" s="98"/>
      <c r="AO183" s="98"/>
      <c r="AP183" s="98"/>
      <c r="AQ183" s="98"/>
      <c r="AR183" s="98"/>
      <c r="AS183" s="98"/>
      <c r="AV183" s="101" t="str">
        <f t="shared" si="51"/>
        <v>1.100900</v>
      </c>
      <c r="AW183" s="101">
        <v>900</v>
      </c>
      <c r="AX183" s="92">
        <v>50</v>
      </c>
      <c r="AY183" s="92">
        <v>450</v>
      </c>
      <c r="AZ183" s="92">
        <v>600</v>
      </c>
      <c r="BA183" s="92">
        <v>900</v>
      </c>
      <c r="BB183" s="202">
        <v>1350</v>
      </c>
      <c r="BC183" s="202">
        <v>2245</v>
      </c>
      <c r="BD183" s="202">
        <v>3745</v>
      </c>
      <c r="BF183" s="101" t="str">
        <f t="shared" si="52"/>
        <v>2.080900</v>
      </c>
      <c r="BG183" s="101">
        <v>900</v>
      </c>
      <c r="BP183" s="101" t="str">
        <f t="shared" si="53"/>
        <v>3.080900</v>
      </c>
      <c r="BQ183" s="101">
        <v>900</v>
      </c>
      <c r="BR183" s="92">
        <v>50</v>
      </c>
      <c r="BS183" s="92">
        <v>450</v>
      </c>
      <c r="BT183" s="92">
        <v>600</v>
      </c>
      <c r="BU183" s="92">
        <v>900</v>
      </c>
      <c r="BV183" s="202">
        <v>1350</v>
      </c>
      <c r="BW183" s="202">
        <v>2245</v>
      </c>
      <c r="BX183" s="202">
        <v>3745</v>
      </c>
    </row>
    <row r="184" spans="1:76">
      <c r="A184" s="95"/>
      <c r="B184" s="96"/>
      <c r="C184" s="95"/>
      <c r="D184" s="95"/>
      <c r="E184" s="95"/>
      <c r="F184" s="95"/>
      <c r="G184" s="95"/>
      <c r="H184" s="95"/>
      <c r="I184" s="95"/>
      <c r="J184" s="95"/>
      <c r="K184" s="95"/>
      <c r="L184" s="95"/>
      <c r="M184" s="95"/>
      <c r="N184" s="95"/>
      <c r="O184" s="95"/>
      <c r="P184" s="95"/>
      <c r="Q184" s="95"/>
      <c r="R184" s="95"/>
      <c r="S184" s="99">
        <v>1.1000000000000001</v>
      </c>
      <c r="T184" s="204" t="s">
        <v>192</v>
      </c>
      <c r="U184" s="98"/>
      <c r="V184" s="98">
        <f t="shared" ref="V184:AE197" si="56">VLOOKUP($T184&amp;TEXT(V$1,"0000"),$AV$4:$BD$339,7)</f>
        <v>2220</v>
      </c>
      <c r="W184" s="98">
        <f t="shared" si="56"/>
        <v>2035</v>
      </c>
      <c r="X184" s="98">
        <f t="shared" si="56"/>
        <v>1965</v>
      </c>
      <c r="Y184" s="98">
        <f t="shared" si="56"/>
        <v>1900</v>
      </c>
      <c r="Z184" s="98">
        <f t="shared" si="56"/>
        <v>1810</v>
      </c>
      <c r="AA184" s="98">
        <f t="shared" si="56"/>
        <v>1705</v>
      </c>
      <c r="AB184" s="98">
        <f t="shared" si="56"/>
        <v>1650</v>
      </c>
      <c r="AC184" s="98">
        <f t="shared" si="56"/>
        <v>1590</v>
      </c>
      <c r="AD184" s="98">
        <f t="shared" si="56"/>
        <v>1520</v>
      </c>
      <c r="AE184" s="98">
        <f t="shared" si="56"/>
        <v>1235</v>
      </c>
      <c r="AF184" s="98">
        <f t="shared" ref="AF184:AS197" si="57">VLOOKUP($T184&amp;TEXT(AF$1,"0000"),$AV$4:$BD$339,7)</f>
        <v>955</v>
      </c>
      <c r="AG184" s="98">
        <f t="shared" si="57"/>
        <v>690</v>
      </c>
      <c r="AH184" s="98">
        <f t="shared" si="57"/>
        <v>410</v>
      </c>
      <c r="AI184" s="98">
        <f t="shared" si="57"/>
        <v>255</v>
      </c>
      <c r="AJ184" s="98">
        <f t="shared" si="57"/>
        <v>0</v>
      </c>
      <c r="AK184" s="98">
        <f t="shared" si="57"/>
        <v>0</v>
      </c>
      <c r="AL184" s="98">
        <f t="shared" si="57"/>
        <v>0</v>
      </c>
      <c r="AM184" s="98">
        <f t="shared" si="57"/>
        <v>0</v>
      </c>
      <c r="AN184" s="98">
        <f t="shared" si="57"/>
        <v>0</v>
      </c>
      <c r="AO184" s="98">
        <f t="shared" si="57"/>
        <v>0</v>
      </c>
      <c r="AP184" s="98">
        <f t="shared" si="57"/>
        <v>0</v>
      </c>
      <c r="AQ184" s="98">
        <f t="shared" si="57"/>
        <v>0</v>
      </c>
      <c r="AR184" s="98">
        <f t="shared" si="57"/>
        <v>0</v>
      </c>
      <c r="AS184" s="98">
        <f t="shared" si="57"/>
        <v>0</v>
      </c>
      <c r="AV184" s="101" t="str">
        <f t="shared" si="51"/>
        <v>1.100950</v>
      </c>
      <c r="AW184" s="101">
        <v>950</v>
      </c>
      <c r="AX184" s="92">
        <v>35</v>
      </c>
      <c r="AY184" s="92">
        <v>385</v>
      </c>
      <c r="AZ184" s="92">
        <v>515</v>
      </c>
      <c r="BA184" s="92">
        <v>775</v>
      </c>
      <c r="BB184" s="202">
        <v>1160</v>
      </c>
      <c r="BC184" s="202">
        <v>1930</v>
      </c>
      <c r="BD184" s="202">
        <v>3220</v>
      </c>
      <c r="BF184" s="101" t="str">
        <f t="shared" si="52"/>
        <v>2.080950</v>
      </c>
      <c r="BG184" s="101">
        <v>950</v>
      </c>
      <c r="BP184" s="101" t="str">
        <f t="shared" si="53"/>
        <v>3.080950</v>
      </c>
      <c r="BQ184" s="101">
        <v>950</v>
      </c>
      <c r="BR184" s="92">
        <v>35</v>
      </c>
      <c r="BS184" s="92">
        <v>385</v>
      </c>
      <c r="BT184" s="92">
        <v>515</v>
      </c>
      <c r="BU184" s="92">
        <v>775</v>
      </c>
      <c r="BV184" s="202">
        <v>1160</v>
      </c>
      <c r="BW184" s="202">
        <v>1930</v>
      </c>
      <c r="BX184" s="202">
        <v>3220</v>
      </c>
    </row>
    <row r="185" spans="1:76">
      <c r="A185" s="95"/>
      <c r="B185" s="96"/>
      <c r="C185" s="95"/>
      <c r="D185" s="95"/>
      <c r="E185" s="95"/>
      <c r="F185" s="95"/>
      <c r="G185" s="95"/>
      <c r="H185" s="95"/>
      <c r="I185" s="95"/>
      <c r="J185" s="95"/>
      <c r="K185" s="95"/>
      <c r="L185" s="95"/>
      <c r="M185" s="95"/>
      <c r="N185" s="95"/>
      <c r="O185" s="95"/>
      <c r="P185" s="95"/>
      <c r="Q185" s="95"/>
      <c r="R185" s="95"/>
      <c r="S185" s="99" t="s">
        <v>70</v>
      </c>
      <c r="T185" s="204" t="s">
        <v>193</v>
      </c>
      <c r="U185" s="98"/>
      <c r="V185" s="98">
        <f t="shared" si="56"/>
        <v>2250</v>
      </c>
      <c r="W185" s="98">
        <f t="shared" si="56"/>
        <v>2250</v>
      </c>
      <c r="X185" s="98">
        <f t="shared" si="56"/>
        <v>2185</v>
      </c>
      <c r="Y185" s="98">
        <f t="shared" si="56"/>
        <v>2110</v>
      </c>
      <c r="Z185" s="98">
        <f t="shared" si="56"/>
        <v>1995</v>
      </c>
      <c r="AA185" s="98">
        <f t="shared" si="56"/>
        <v>1815</v>
      </c>
      <c r="AB185" s="98">
        <f t="shared" si="56"/>
        <v>1765</v>
      </c>
      <c r="AC185" s="98">
        <f t="shared" si="56"/>
        <v>1665</v>
      </c>
      <c r="AD185" s="98">
        <f t="shared" si="56"/>
        <v>1520</v>
      </c>
      <c r="AE185" s="98">
        <f t="shared" si="56"/>
        <v>1235</v>
      </c>
      <c r="AF185" s="98">
        <f t="shared" si="57"/>
        <v>955</v>
      </c>
      <c r="AG185" s="98">
        <f t="shared" si="57"/>
        <v>670</v>
      </c>
      <c r="AH185" s="98">
        <f t="shared" si="57"/>
        <v>410</v>
      </c>
      <c r="AI185" s="98">
        <f t="shared" si="57"/>
        <v>255</v>
      </c>
      <c r="AJ185" s="98">
        <f t="shared" si="57"/>
        <v>0</v>
      </c>
      <c r="AK185" s="98">
        <f t="shared" si="57"/>
        <v>0</v>
      </c>
      <c r="AL185" s="98">
        <f t="shared" si="57"/>
        <v>0</v>
      </c>
      <c r="AM185" s="98">
        <f t="shared" si="57"/>
        <v>0</v>
      </c>
      <c r="AN185" s="98">
        <f t="shared" si="57"/>
        <v>0</v>
      </c>
      <c r="AO185" s="98">
        <f t="shared" si="57"/>
        <v>0</v>
      </c>
      <c r="AP185" s="98">
        <f t="shared" si="57"/>
        <v>0</v>
      </c>
      <c r="AQ185" s="98">
        <f t="shared" si="57"/>
        <v>0</v>
      </c>
      <c r="AR185" s="98">
        <f t="shared" si="57"/>
        <v>0</v>
      </c>
      <c r="AS185" s="98">
        <f t="shared" si="57"/>
        <v>0</v>
      </c>
      <c r="AV185" s="101" t="str">
        <f t="shared" si="51"/>
        <v>1.101000</v>
      </c>
      <c r="AW185" s="101">
        <v>1000</v>
      </c>
      <c r="AX185" s="92">
        <v>20</v>
      </c>
      <c r="AY185" s="92">
        <v>265</v>
      </c>
      <c r="AZ185" s="92">
        <v>355</v>
      </c>
      <c r="BA185" s="92">
        <v>535</v>
      </c>
      <c r="BB185" s="92">
        <v>800</v>
      </c>
      <c r="BC185" s="202">
        <v>1335</v>
      </c>
      <c r="BD185" s="202">
        <v>2230</v>
      </c>
      <c r="BF185" s="101" t="str">
        <f t="shared" si="52"/>
        <v>2.081000</v>
      </c>
      <c r="BG185" s="101">
        <v>1000</v>
      </c>
      <c r="BP185" s="101" t="str">
        <f t="shared" si="53"/>
        <v>3.081000</v>
      </c>
      <c r="BQ185" s="101">
        <v>1000</v>
      </c>
      <c r="BR185" s="92">
        <v>20</v>
      </c>
      <c r="BS185" s="92">
        <v>365</v>
      </c>
      <c r="BT185" s="92">
        <v>485</v>
      </c>
      <c r="BU185" s="92">
        <v>725</v>
      </c>
      <c r="BV185" s="202">
        <v>1090</v>
      </c>
      <c r="BW185" s="202">
        <v>1820</v>
      </c>
      <c r="BX185" s="202">
        <v>3030</v>
      </c>
    </row>
    <row r="186" spans="1:76">
      <c r="A186" s="95"/>
      <c r="B186" s="96"/>
      <c r="C186" s="95"/>
      <c r="D186" s="95"/>
      <c r="E186" s="95"/>
      <c r="F186" s="95"/>
      <c r="G186" s="95"/>
      <c r="H186" s="95"/>
      <c r="I186" s="95"/>
      <c r="J186" s="95"/>
      <c r="K186" s="95"/>
      <c r="L186" s="95"/>
      <c r="M186" s="95"/>
      <c r="N186" s="95"/>
      <c r="O186" s="95"/>
      <c r="P186" s="95"/>
      <c r="Q186" s="95"/>
      <c r="R186" s="95"/>
      <c r="S186" s="99" t="s">
        <v>71</v>
      </c>
      <c r="T186" s="204" t="s">
        <v>194</v>
      </c>
      <c r="U186" s="98"/>
      <c r="V186" s="98">
        <f t="shared" si="56"/>
        <v>2090</v>
      </c>
      <c r="W186" s="98">
        <f t="shared" si="56"/>
        <v>1980</v>
      </c>
      <c r="X186" s="98">
        <f t="shared" si="56"/>
        <v>1915</v>
      </c>
      <c r="Y186" s="98">
        <f t="shared" si="56"/>
        <v>1845</v>
      </c>
      <c r="Z186" s="98">
        <f t="shared" si="56"/>
        <v>1760</v>
      </c>
      <c r="AA186" s="98">
        <f t="shared" si="56"/>
        <v>1655</v>
      </c>
      <c r="AB186" s="98">
        <f t="shared" si="56"/>
        <v>1600</v>
      </c>
      <c r="AC186" s="98">
        <f t="shared" si="56"/>
        <v>1535</v>
      </c>
      <c r="AD186" s="98">
        <f t="shared" si="56"/>
        <v>1430</v>
      </c>
      <c r="AE186" s="98">
        <f t="shared" si="56"/>
        <v>1175</v>
      </c>
      <c r="AF186" s="98">
        <f t="shared" si="57"/>
        <v>895</v>
      </c>
      <c r="AG186" s="98">
        <f t="shared" si="57"/>
        <v>605</v>
      </c>
      <c r="AH186" s="98">
        <f t="shared" si="57"/>
        <v>410</v>
      </c>
      <c r="AI186" s="98">
        <f t="shared" si="57"/>
        <v>255</v>
      </c>
      <c r="AJ186" s="98">
        <f t="shared" si="57"/>
        <v>0</v>
      </c>
      <c r="AK186" s="98">
        <f t="shared" si="57"/>
        <v>0</v>
      </c>
      <c r="AL186" s="98">
        <f t="shared" si="57"/>
        <v>0</v>
      </c>
      <c r="AM186" s="98">
        <f t="shared" si="57"/>
        <v>0</v>
      </c>
      <c r="AN186" s="98">
        <f t="shared" si="57"/>
        <v>0</v>
      </c>
      <c r="AO186" s="98">
        <f t="shared" si="57"/>
        <v>0</v>
      </c>
      <c r="AP186" s="98">
        <f t="shared" si="57"/>
        <v>0</v>
      </c>
      <c r="AQ186" s="98">
        <f t="shared" si="57"/>
        <v>0</v>
      </c>
      <c r="AR186" s="98">
        <f t="shared" si="57"/>
        <v>0</v>
      </c>
      <c r="AS186" s="98">
        <f t="shared" si="57"/>
        <v>0</v>
      </c>
      <c r="AV186" s="101" t="str">
        <f t="shared" si="51"/>
        <v>1.101050</v>
      </c>
      <c r="AW186" s="101">
        <v>1050</v>
      </c>
      <c r="AY186" s="92">
        <v>175</v>
      </c>
      <c r="AZ186" s="92">
        <v>235</v>
      </c>
      <c r="BA186" s="92">
        <v>350</v>
      </c>
      <c r="BB186" s="92">
        <v>525</v>
      </c>
      <c r="BC186" s="92">
        <v>875</v>
      </c>
      <c r="BD186" s="202">
        <v>1455</v>
      </c>
      <c r="BF186" s="101" t="str">
        <f t="shared" si="52"/>
        <v>2.081050</v>
      </c>
      <c r="BG186" s="101">
        <v>1050</v>
      </c>
      <c r="BP186" s="101" t="str">
        <f t="shared" si="53"/>
        <v>3.081050</v>
      </c>
      <c r="BQ186" s="101">
        <v>1050</v>
      </c>
      <c r="BS186" s="92">
        <v>360</v>
      </c>
      <c r="BT186" s="92">
        <v>480</v>
      </c>
      <c r="BU186" s="92">
        <v>720</v>
      </c>
      <c r="BV186" s="202">
        <v>1080</v>
      </c>
      <c r="BW186" s="202">
        <v>1800</v>
      </c>
      <c r="BX186" s="202">
        <v>3000</v>
      </c>
    </row>
    <row r="187" spans="1:76">
      <c r="A187" s="95"/>
      <c r="B187" s="96"/>
      <c r="C187" s="95"/>
      <c r="D187" s="95"/>
      <c r="E187" s="95"/>
      <c r="F187" s="95"/>
      <c r="G187" s="95"/>
      <c r="H187" s="95"/>
      <c r="I187" s="95"/>
      <c r="J187" s="95"/>
      <c r="K187" s="95"/>
      <c r="L187" s="95"/>
      <c r="M187" s="95"/>
      <c r="N187" s="95"/>
      <c r="O187" s="95"/>
      <c r="P187" s="95"/>
      <c r="Q187" s="95"/>
      <c r="R187" s="95"/>
      <c r="S187" s="99" t="s">
        <v>72</v>
      </c>
      <c r="T187" s="204" t="s">
        <v>195</v>
      </c>
      <c r="U187" s="98"/>
      <c r="V187" s="98">
        <f t="shared" si="56"/>
        <v>1850</v>
      </c>
      <c r="W187" s="98">
        <f t="shared" si="56"/>
        <v>1695</v>
      </c>
      <c r="X187" s="98">
        <f t="shared" si="56"/>
        <v>1635</v>
      </c>
      <c r="Y187" s="98">
        <f t="shared" si="56"/>
        <v>1580</v>
      </c>
      <c r="Z187" s="98">
        <f t="shared" si="56"/>
        <v>1505</v>
      </c>
      <c r="AA187" s="98">
        <f t="shared" si="56"/>
        <v>1420</v>
      </c>
      <c r="AB187" s="98">
        <f t="shared" si="56"/>
        <v>1370</v>
      </c>
      <c r="AC187" s="98">
        <f t="shared" si="56"/>
        <v>1325</v>
      </c>
      <c r="AD187" s="98">
        <f t="shared" si="56"/>
        <v>1285</v>
      </c>
      <c r="AE187" s="98">
        <f t="shared" si="56"/>
        <v>1110</v>
      </c>
      <c r="AF187" s="98">
        <f t="shared" si="57"/>
        <v>895</v>
      </c>
      <c r="AG187" s="98">
        <f t="shared" si="57"/>
        <v>515</v>
      </c>
      <c r="AH187" s="98">
        <f t="shared" si="57"/>
        <v>410</v>
      </c>
      <c r="AI187" s="98">
        <f t="shared" si="57"/>
        <v>255</v>
      </c>
      <c r="AJ187" s="98">
        <f t="shared" si="57"/>
        <v>0</v>
      </c>
      <c r="AK187" s="98">
        <f t="shared" si="57"/>
        <v>0</v>
      </c>
      <c r="AL187" s="98">
        <f t="shared" si="57"/>
        <v>0</v>
      </c>
      <c r="AM187" s="98">
        <f t="shared" si="57"/>
        <v>0</v>
      </c>
      <c r="AN187" s="98">
        <f t="shared" si="57"/>
        <v>0</v>
      </c>
      <c r="AO187" s="98">
        <f t="shared" si="57"/>
        <v>0</v>
      </c>
      <c r="AP187" s="98">
        <f t="shared" si="57"/>
        <v>0</v>
      </c>
      <c r="AQ187" s="98">
        <f t="shared" si="57"/>
        <v>0</v>
      </c>
      <c r="AR187" s="98">
        <f t="shared" si="57"/>
        <v>0</v>
      </c>
      <c r="AS187" s="98">
        <f t="shared" si="57"/>
        <v>0</v>
      </c>
      <c r="AV187" s="101" t="str">
        <f t="shared" si="51"/>
        <v>1.101100</v>
      </c>
      <c r="AW187" s="101">
        <v>1100</v>
      </c>
      <c r="AY187" s="92">
        <v>110</v>
      </c>
      <c r="AZ187" s="92">
        <v>145</v>
      </c>
      <c r="BA187" s="92">
        <v>220</v>
      </c>
      <c r="BB187" s="92">
        <v>330</v>
      </c>
      <c r="BC187" s="92">
        <v>550</v>
      </c>
      <c r="BD187" s="92">
        <v>915</v>
      </c>
      <c r="BF187" s="101" t="str">
        <f t="shared" si="52"/>
        <v>2.081100</v>
      </c>
      <c r="BG187" s="101">
        <v>1100</v>
      </c>
      <c r="BP187" s="101" t="str">
        <f t="shared" si="53"/>
        <v>3.081100</v>
      </c>
      <c r="BQ187" s="101">
        <v>1100</v>
      </c>
      <c r="BS187" s="92">
        <v>325</v>
      </c>
      <c r="BT187" s="92">
        <v>430</v>
      </c>
      <c r="BU187" s="92">
        <v>645</v>
      </c>
      <c r="BV187" s="92">
        <v>965</v>
      </c>
      <c r="BW187" s="202">
        <v>1610</v>
      </c>
      <c r="BX187" s="202">
        <v>2685</v>
      </c>
    </row>
    <row r="188" spans="1:76">
      <c r="A188" s="95"/>
      <c r="B188" s="96"/>
      <c r="C188" s="95"/>
      <c r="D188" s="95"/>
      <c r="E188" s="95"/>
      <c r="F188" s="95"/>
      <c r="G188" s="95"/>
      <c r="H188" s="95"/>
      <c r="I188" s="95"/>
      <c r="J188" s="95"/>
      <c r="K188" s="95"/>
      <c r="L188" s="95"/>
      <c r="M188" s="95"/>
      <c r="N188" s="95"/>
      <c r="O188" s="95"/>
      <c r="P188" s="95"/>
      <c r="Q188" s="95"/>
      <c r="R188" s="95"/>
      <c r="S188" s="99" t="s">
        <v>73</v>
      </c>
      <c r="T188" s="204" t="s">
        <v>196</v>
      </c>
      <c r="U188" s="98"/>
      <c r="V188" s="98">
        <f t="shared" si="56"/>
        <v>2090</v>
      </c>
      <c r="W188" s="98">
        <f t="shared" si="56"/>
        <v>2090</v>
      </c>
      <c r="X188" s="98">
        <f t="shared" si="56"/>
        <v>2060</v>
      </c>
      <c r="Y188" s="98">
        <f t="shared" si="56"/>
        <v>1985</v>
      </c>
      <c r="Z188" s="98">
        <f t="shared" si="56"/>
        <v>1925</v>
      </c>
      <c r="AA188" s="98">
        <f t="shared" si="56"/>
        <v>1815</v>
      </c>
      <c r="AB188" s="98">
        <f t="shared" si="56"/>
        <v>1765</v>
      </c>
      <c r="AC188" s="98">
        <f t="shared" si="56"/>
        <v>1705</v>
      </c>
      <c r="AD188" s="98">
        <f t="shared" si="56"/>
        <v>1595</v>
      </c>
      <c r="AE188" s="98">
        <f t="shared" si="56"/>
        <v>1525</v>
      </c>
      <c r="AF188" s="98">
        <f t="shared" si="57"/>
        <v>1460</v>
      </c>
      <c r="AG188" s="98">
        <f t="shared" si="57"/>
        <v>1350</v>
      </c>
      <c r="AH188" s="98">
        <f t="shared" si="57"/>
        <v>845</v>
      </c>
      <c r="AI188" s="98">
        <f t="shared" si="57"/>
        <v>495</v>
      </c>
      <c r="AJ188" s="98">
        <f t="shared" si="57"/>
        <v>0</v>
      </c>
      <c r="AK188" s="98">
        <f t="shared" si="57"/>
        <v>0</v>
      </c>
      <c r="AL188" s="98">
        <f t="shared" si="57"/>
        <v>0</v>
      </c>
      <c r="AM188" s="98">
        <f t="shared" si="57"/>
        <v>0</v>
      </c>
      <c r="AN188" s="98">
        <f t="shared" si="57"/>
        <v>0</v>
      </c>
      <c r="AO188" s="98">
        <f t="shared" si="57"/>
        <v>0</v>
      </c>
      <c r="AP188" s="98">
        <f t="shared" si="57"/>
        <v>0</v>
      </c>
      <c r="AQ188" s="98">
        <f t="shared" si="57"/>
        <v>0</v>
      </c>
      <c r="AR188" s="98">
        <f t="shared" si="57"/>
        <v>0</v>
      </c>
      <c r="AS188" s="98">
        <f t="shared" si="57"/>
        <v>0</v>
      </c>
      <c r="AV188" s="101" t="str">
        <f t="shared" si="51"/>
        <v>1.101150</v>
      </c>
      <c r="AW188" s="101">
        <v>1150</v>
      </c>
      <c r="AY188" s="92">
        <v>70</v>
      </c>
      <c r="AZ188" s="92">
        <v>90</v>
      </c>
      <c r="BA188" s="92">
        <v>135</v>
      </c>
      <c r="BB188" s="92">
        <v>205</v>
      </c>
      <c r="BC188" s="92">
        <v>345</v>
      </c>
      <c r="BD188" s="92">
        <v>570</v>
      </c>
      <c r="BF188" s="101" t="str">
        <f t="shared" si="52"/>
        <v>2.081150</v>
      </c>
      <c r="BG188" s="101">
        <v>1150</v>
      </c>
      <c r="BP188" s="101" t="str">
        <f t="shared" si="53"/>
        <v>3.081150</v>
      </c>
      <c r="BQ188" s="101">
        <v>1150</v>
      </c>
      <c r="BS188" s="92">
        <v>275</v>
      </c>
      <c r="BT188" s="92">
        <v>365</v>
      </c>
      <c r="BU188" s="92">
        <v>550</v>
      </c>
      <c r="BV188" s="92">
        <v>825</v>
      </c>
      <c r="BW188" s="202">
        <v>1370</v>
      </c>
      <c r="BX188" s="202">
        <v>2285</v>
      </c>
    </row>
    <row r="189" spans="1:76">
      <c r="A189" s="95"/>
      <c r="B189" s="96"/>
      <c r="C189" s="95"/>
      <c r="D189" s="95"/>
      <c r="E189" s="95"/>
      <c r="F189" s="95"/>
      <c r="G189" s="95"/>
      <c r="H189" s="95"/>
      <c r="I189" s="95"/>
      <c r="J189" s="95"/>
      <c r="K189" s="95"/>
      <c r="L189" s="95"/>
      <c r="M189" s="95"/>
      <c r="N189" s="95"/>
      <c r="O189" s="95"/>
      <c r="P189" s="95"/>
      <c r="Q189" s="95"/>
      <c r="R189" s="95"/>
      <c r="S189" s="99" t="s">
        <v>74</v>
      </c>
      <c r="T189" s="204" t="s">
        <v>197</v>
      </c>
      <c r="U189" s="98"/>
      <c r="V189" s="98">
        <f t="shared" si="56"/>
        <v>2250</v>
      </c>
      <c r="W189" s="98">
        <f t="shared" si="56"/>
        <v>2250</v>
      </c>
      <c r="X189" s="98">
        <f t="shared" si="56"/>
        <v>2185</v>
      </c>
      <c r="Y189" s="98">
        <f t="shared" si="56"/>
        <v>2115</v>
      </c>
      <c r="Z189" s="98">
        <f t="shared" si="56"/>
        <v>1995</v>
      </c>
      <c r="AA189" s="98">
        <f t="shared" si="56"/>
        <v>1815</v>
      </c>
      <c r="AB189" s="98">
        <f t="shared" si="56"/>
        <v>1765</v>
      </c>
      <c r="AC189" s="98">
        <f t="shared" si="56"/>
        <v>1705</v>
      </c>
      <c r="AD189" s="98">
        <f t="shared" si="56"/>
        <v>1595</v>
      </c>
      <c r="AE189" s="98">
        <f t="shared" si="56"/>
        <v>1525</v>
      </c>
      <c r="AF189" s="98">
        <f t="shared" si="57"/>
        <v>1460</v>
      </c>
      <c r="AG189" s="98">
        <f t="shared" si="57"/>
        <v>1350</v>
      </c>
      <c r="AH189" s="98">
        <f t="shared" si="57"/>
        <v>945</v>
      </c>
      <c r="AI189" s="98">
        <f t="shared" si="57"/>
        <v>605</v>
      </c>
      <c r="AJ189" s="98">
        <f t="shared" si="57"/>
        <v>475</v>
      </c>
      <c r="AK189" s="98">
        <f t="shared" si="57"/>
        <v>0</v>
      </c>
      <c r="AL189" s="98">
        <f t="shared" si="57"/>
        <v>0</v>
      </c>
      <c r="AM189" s="98">
        <f t="shared" si="57"/>
        <v>0</v>
      </c>
      <c r="AN189" s="98">
        <f t="shared" si="57"/>
        <v>0</v>
      </c>
      <c r="AO189" s="98">
        <f t="shared" si="57"/>
        <v>0</v>
      </c>
      <c r="AP189" s="98">
        <f t="shared" si="57"/>
        <v>0</v>
      </c>
      <c r="AQ189" s="98">
        <f t="shared" si="57"/>
        <v>0</v>
      </c>
      <c r="AR189" s="98">
        <f t="shared" si="57"/>
        <v>0</v>
      </c>
      <c r="AS189" s="98">
        <f t="shared" si="57"/>
        <v>0</v>
      </c>
      <c r="AV189" s="101" t="str">
        <f t="shared" si="51"/>
        <v>1.101200</v>
      </c>
      <c r="AW189" s="101">
        <v>1200</v>
      </c>
      <c r="AY189" s="92">
        <v>40</v>
      </c>
      <c r="AZ189" s="92">
        <v>55</v>
      </c>
      <c r="BA189" s="92">
        <v>80</v>
      </c>
      <c r="BB189" s="92">
        <v>125</v>
      </c>
      <c r="BC189" s="92">
        <v>205</v>
      </c>
      <c r="BD189" s="92">
        <v>345</v>
      </c>
      <c r="BF189" s="101" t="str">
        <f t="shared" si="52"/>
        <v>2.081200</v>
      </c>
      <c r="BG189" s="101">
        <v>1200</v>
      </c>
      <c r="BP189" s="101" t="str">
        <f t="shared" si="53"/>
        <v>3.081200</v>
      </c>
      <c r="BQ189" s="101">
        <v>1200</v>
      </c>
      <c r="BS189" s="92">
        <v>205</v>
      </c>
      <c r="BT189" s="92">
        <v>275</v>
      </c>
      <c r="BU189" s="92">
        <v>410</v>
      </c>
      <c r="BV189" s="92">
        <v>615</v>
      </c>
      <c r="BW189" s="202">
        <v>1030</v>
      </c>
      <c r="BX189" s="202">
        <v>1715</v>
      </c>
    </row>
    <row r="190" spans="1:76">
      <c r="A190" s="95"/>
      <c r="B190" s="96"/>
      <c r="C190" s="95"/>
      <c r="D190" s="95"/>
      <c r="E190" s="95"/>
      <c r="F190" s="95"/>
      <c r="G190" s="95"/>
      <c r="H190" s="95"/>
      <c r="I190" s="95"/>
      <c r="J190" s="95"/>
      <c r="K190" s="95"/>
      <c r="L190" s="95"/>
      <c r="M190" s="95"/>
      <c r="N190" s="95"/>
      <c r="O190" s="95"/>
      <c r="P190" s="95"/>
      <c r="Q190" s="95"/>
      <c r="R190" s="95"/>
      <c r="S190" s="99" t="s">
        <v>75</v>
      </c>
      <c r="T190" s="204" t="s">
        <v>198</v>
      </c>
      <c r="U190" s="98"/>
      <c r="V190" s="98">
        <f t="shared" si="56"/>
        <v>2250</v>
      </c>
      <c r="W190" s="98">
        <f t="shared" si="56"/>
        <v>2250</v>
      </c>
      <c r="X190" s="98">
        <f t="shared" si="56"/>
        <v>2165</v>
      </c>
      <c r="Y190" s="98">
        <f t="shared" si="56"/>
        <v>2080</v>
      </c>
      <c r="Z190" s="98">
        <f t="shared" si="56"/>
        <v>1995</v>
      </c>
      <c r="AA190" s="98">
        <f t="shared" si="56"/>
        <v>1815</v>
      </c>
      <c r="AB190" s="98">
        <f t="shared" si="56"/>
        <v>1765</v>
      </c>
      <c r="AC190" s="98">
        <f t="shared" si="56"/>
        <v>1705</v>
      </c>
      <c r="AD190" s="98">
        <f t="shared" si="56"/>
        <v>1595</v>
      </c>
      <c r="AE190" s="98">
        <f t="shared" si="56"/>
        <v>1525</v>
      </c>
      <c r="AF190" s="98">
        <f t="shared" si="57"/>
        <v>1460</v>
      </c>
      <c r="AG190" s="98">
        <f t="shared" si="57"/>
        <v>1350</v>
      </c>
      <c r="AH190" s="98">
        <f t="shared" si="57"/>
        <v>955</v>
      </c>
      <c r="AI190" s="98">
        <f t="shared" si="57"/>
        <v>650</v>
      </c>
      <c r="AJ190" s="98">
        <f t="shared" si="57"/>
        <v>430</v>
      </c>
      <c r="AK190" s="98">
        <f t="shared" si="57"/>
        <v>290</v>
      </c>
      <c r="AL190" s="98">
        <f t="shared" si="57"/>
        <v>195</v>
      </c>
      <c r="AM190" s="98">
        <f t="shared" si="57"/>
        <v>125</v>
      </c>
      <c r="AN190" s="98">
        <f t="shared" si="57"/>
        <v>0</v>
      </c>
      <c r="AO190" s="98">
        <f t="shared" si="57"/>
        <v>0</v>
      </c>
      <c r="AP190" s="98">
        <f t="shared" si="57"/>
        <v>0</v>
      </c>
      <c r="AQ190" s="98">
        <f t="shared" si="57"/>
        <v>0</v>
      </c>
      <c r="AR190" s="98">
        <f t="shared" si="57"/>
        <v>0</v>
      </c>
      <c r="AS190" s="98">
        <f t="shared" si="57"/>
        <v>0</v>
      </c>
      <c r="AV190" s="101" t="str">
        <f t="shared" si="51"/>
        <v>1.101250</v>
      </c>
      <c r="AW190" s="101">
        <v>1250</v>
      </c>
      <c r="BF190" s="101" t="str">
        <f t="shared" si="52"/>
        <v>2.081250</v>
      </c>
      <c r="BG190" s="101">
        <v>1250</v>
      </c>
      <c r="BP190" s="101" t="str">
        <f t="shared" si="53"/>
        <v>3.081250</v>
      </c>
      <c r="BQ190" s="101">
        <v>1250</v>
      </c>
      <c r="BS190" s="92">
        <v>165</v>
      </c>
      <c r="BT190" s="92">
        <v>220</v>
      </c>
      <c r="BU190" s="92">
        <v>330</v>
      </c>
      <c r="BV190" s="92">
        <v>495</v>
      </c>
      <c r="BW190" s="92">
        <v>825</v>
      </c>
      <c r="BX190" s="202">
        <v>1370</v>
      </c>
    </row>
    <row r="191" spans="1:76">
      <c r="A191" s="95"/>
      <c r="B191" s="96"/>
      <c r="C191" s="95"/>
      <c r="D191" s="95"/>
      <c r="E191" s="95"/>
      <c r="F191" s="95"/>
      <c r="G191" s="95"/>
      <c r="H191" s="95"/>
      <c r="I191" s="95"/>
      <c r="J191" s="95"/>
      <c r="K191" s="95"/>
      <c r="L191" s="95"/>
      <c r="M191" s="95"/>
      <c r="N191" s="95"/>
      <c r="O191" s="95"/>
      <c r="P191" s="95"/>
      <c r="Q191" s="95"/>
      <c r="R191" s="95"/>
      <c r="S191" s="99" t="s">
        <v>76</v>
      </c>
      <c r="T191" s="204" t="s">
        <v>76</v>
      </c>
      <c r="U191" s="98"/>
      <c r="V191" s="98">
        <f t="shared" si="56"/>
        <v>2250</v>
      </c>
      <c r="W191" s="98">
        <f t="shared" si="56"/>
        <v>2250</v>
      </c>
      <c r="X191" s="98">
        <f t="shared" si="56"/>
        <v>2185</v>
      </c>
      <c r="Y191" s="98">
        <f t="shared" si="56"/>
        <v>2115</v>
      </c>
      <c r="Z191" s="98">
        <f t="shared" si="56"/>
        <v>1995</v>
      </c>
      <c r="AA191" s="98">
        <f t="shared" si="56"/>
        <v>1815</v>
      </c>
      <c r="AB191" s="98">
        <f t="shared" si="56"/>
        <v>1765</v>
      </c>
      <c r="AC191" s="98">
        <f t="shared" si="56"/>
        <v>1705</v>
      </c>
      <c r="AD191" s="98">
        <f t="shared" si="56"/>
        <v>1595</v>
      </c>
      <c r="AE191" s="98">
        <f t="shared" si="56"/>
        <v>1525</v>
      </c>
      <c r="AF191" s="98">
        <f t="shared" si="57"/>
        <v>1460</v>
      </c>
      <c r="AG191" s="98">
        <f t="shared" si="57"/>
        <v>1350</v>
      </c>
      <c r="AH191" s="98">
        <f t="shared" si="57"/>
        <v>1160</v>
      </c>
      <c r="AI191" s="98">
        <f t="shared" si="57"/>
        <v>800</v>
      </c>
      <c r="AJ191" s="98">
        <f t="shared" si="57"/>
        <v>525</v>
      </c>
      <c r="AK191" s="98">
        <f t="shared" si="57"/>
        <v>330</v>
      </c>
      <c r="AL191" s="98">
        <f t="shared" si="57"/>
        <v>205</v>
      </c>
      <c r="AM191" s="98">
        <f t="shared" si="57"/>
        <v>125</v>
      </c>
      <c r="AN191" s="98">
        <f t="shared" si="57"/>
        <v>0</v>
      </c>
      <c r="AO191" s="98">
        <f t="shared" si="57"/>
        <v>0</v>
      </c>
      <c r="AP191" s="98">
        <f t="shared" si="57"/>
        <v>0</v>
      </c>
      <c r="AQ191" s="98">
        <f t="shared" si="57"/>
        <v>0</v>
      </c>
      <c r="AR191" s="98">
        <f t="shared" si="57"/>
        <v>0</v>
      </c>
      <c r="AS191" s="98">
        <f t="shared" si="57"/>
        <v>0</v>
      </c>
      <c r="AV191" s="101" t="str">
        <f t="shared" si="51"/>
        <v>1.101300</v>
      </c>
      <c r="AW191" s="101">
        <v>1300</v>
      </c>
      <c r="BF191" s="101" t="str">
        <f t="shared" si="52"/>
        <v>2.081300</v>
      </c>
      <c r="BG191" s="101">
        <v>1300</v>
      </c>
      <c r="BP191" s="101" t="str">
        <f t="shared" si="53"/>
        <v>3.081300</v>
      </c>
      <c r="BQ191" s="101">
        <v>1300</v>
      </c>
      <c r="BS191" s="92">
        <v>120</v>
      </c>
      <c r="BT191" s="92">
        <v>160</v>
      </c>
      <c r="BU191" s="92">
        <v>240</v>
      </c>
      <c r="BV191" s="92">
        <v>360</v>
      </c>
      <c r="BW191" s="92">
        <v>600</v>
      </c>
      <c r="BX191" s="202">
        <v>1000</v>
      </c>
    </row>
    <row r="192" spans="1:76">
      <c r="A192" s="95"/>
      <c r="B192" s="96"/>
      <c r="C192" s="95"/>
      <c r="D192" s="95"/>
      <c r="E192" s="95"/>
      <c r="F192" s="95"/>
      <c r="G192" s="95"/>
      <c r="H192" s="95"/>
      <c r="I192" s="95"/>
      <c r="J192" s="95"/>
      <c r="K192" s="95"/>
      <c r="L192" s="95"/>
      <c r="M192" s="95"/>
      <c r="N192" s="95"/>
      <c r="O192" s="95"/>
      <c r="P192" s="95"/>
      <c r="Q192" s="95"/>
      <c r="R192" s="95"/>
      <c r="S192" s="99" t="s">
        <v>187</v>
      </c>
      <c r="T192" s="204" t="s">
        <v>187</v>
      </c>
      <c r="U192" s="98"/>
      <c r="V192" s="98">
        <f t="shared" si="56"/>
        <v>2250</v>
      </c>
      <c r="W192" s="98">
        <f t="shared" si="56"/>
        <v>2250</v>
      </c>
      <c r="X192" s="98">
        <f t="shared" si="56"/>
        <v>2185</v>
      </c>
      <c r="Y192" s="98">
        <f t="shared" si="56"/>
        <v>2115</v>
      </c>
      <c r="Z192" s="98">
        <f t="shared" si="56"/>
        <v>1995</v>
      </c>
      <c r="AA192" s="98">
        <f t="shared" si="56"/>
        <v>1815</v>
      </c>
      <c r="AB192" s="98">
        <f t="shared" si="56"/>
        <v>1765</v>
      </c>
      <c r="AC192" s="98">
        <f t="shared" si="56"/>
        <v>1705</v>
      </c>
      <c r="AD192" s="98">
        <f t="shared" si="56"/>
        <v>1595</v>
      </c>
      <c r="AE192" s="98">
        <f t="shared" si="56"/>
        <v>1525</v>
      </c>
      <c r="AF192" s="98">
        <f t="shared" si="57"/>
        <v>1460</v>
      </c>
      <c r="AG192" s="98">
        <f t="shared" si="57"/>
        <v>1345</v>
      </c>
      <c r="AH192" s="98">
        <f t="shared" si="57"/>
        <v>845</v>
      </c>
      <c r="AI192" s="98">
        <f t="shared" si="57"/>
        <v>495</v>
      </c>
      <c r="AJ192" s="98">
        <f t="shared" si="57"/>
        <v>495</v>
      </c>
      <c r="AK192" s="98">
        <f t="shared" si="57"/>
        <v>330</v>
      </c>
      <c r="AL192" s="98">
        <f t="shared" si="57"/>
        <v>245</v>
      </c>
      <c r="AM192" s="98">
        <f t="shared" si="57"/>
        <v>135</v>
      </c>
      <c r="AN192" s="98">
        <f t="shared" si="57"/>
        <v>0</v>
      </c>
      <c r="AO192" s="98">
        <f t="shared" si="57"/>
        <v>0</v>
      </c>
      <c r="AP192" s="98">
        <f t="shared" si="57"/>
        <v>0</v>
      </c>
      <c r="AQ192" s="98">
        <f t="shared" si="57"/>
        <v>0</v>
      </c>
      <c r="AR192" s="98">
        <f t="shared" si="57"/>
        <v>0</v>
      </c>
      <c r="AS192" s="98">
        <f t="shared" si="57"/>
        <v>0</v>
      </c>
      <c r="AV192" s="101" t="str">
        <f t="shared" si="51"/>
        <v>1.101350</v>
      </c>
      <c r="AW192" s="101">
        <v>1350</v>
      </c>
      <c r="BF192" s="101" t="str">
        <f t="shared" si="52"/>
        <v>2.081350</v>
      </c>
      <c r="BG192" s="101">
        <v>1350</v>
      </c>
      <c r="BP192" s="101" t="str">
        <f t="shared" si="53"/>
        <v>3.081350</v>
      </c>
      <c r="BQ192" s="101">
        <v>1350</v>
      </c>
    </row>
    <row r="193" spans="1:76">
      <c r="A193" s="95"/>
      <c r="B193" s="96"/>
      <c r="C193" s="95"/>
      <c r="D193" s="95"/>
      <c r="E193" s="95"/>
      <c r="F193" s="95"/>
      <c r="G193" s="95"/>
      <c r="H193" s="95"/>
      <c r="I193" s="95"/>
      <c r="J193" s="95"/>
      <c r="K193" s="95"/>
      <c r="L193" s="95"/>
      <c r="M193" s="95"/>
      <c r="N193" s="95"/>
      <c r="O193" s="95"/>
      <c r="P193" s="95"/>
      <c r="Q193" s="95"/>
      <c r="R193" s="95"/>
      <c r="S193" s="99" t="s">
        <v>77</v>
      </c>
      <c r="T193" s="204" t="s">
        <v>77</v>
      </c>
      <c r="U193" s="98"/>
      <c r="V193" s="98">
        <f t="shared" si="56"/>
        <v>2250</v>
      </c>
      <c r="W193" s="98">
        <f t="shared" si="56"/>
        <v>2250</v>
      </c>
      <c r="X193" s="98">
        <f t="shared" si="56"/>
        <v>2185</v>
      </c>
      <c r="Y193" s="98">
        <f t="shared" si="56"/>
        <v>2115</v>
      </c>
      <c r="Z193" s="98">
        <f t="shared" si="56"/>
        <v>1995</v>
      </c>
      <c r="AA193" s="98">
        <f t="shared" si="56"/>
        <v>1815</v>
      </c>
      <c r="AB193" s="98">
        <f t="shared" si="56"/>
        <v>1765</v>
      </c>
      <c r="AC193" s="98">
        <f t="shared" si="56"/>
        <v>1705</v>
      </c>
      <c r="AD193" s="98">
        <f t="shared" si="56"/>
        <v>1595</v>
      </c>
      <c r="AE193" s="98">
        <f t="shared" si="56"/>
        <v>1525</v>
      </c>
      <c r="AF193" s="98">
        <f t="shared" si="57"/>
        <v>1460</v>
      </c>
      <c r="AG193" s="98">
        <f t="shared" si="57"/>
        <v>1120</v>
      </c>
      <c r="AH193" s="98">
        <f t="shared" si="57"/>
        <v>825</v>
      </c>
      <c r="AI193" s="98">
        <f t="shared" si="57"/>
        <v>595</v>
      </c>
      <c r="AJ193" s="98">
        <f t="shared" si="57"/>
        <v>430</v>
      </c>
      <c r="AK193" s="98">
        <f t="shared" si="57"/>
        <v>300</v>
      </c>
      <c r="AL193" s="98">
        <f t="shared" si="57"/>
        <v>185</v>
      </c>
      <c r="AM193" s="98">
        <f t="shared" si="57"/>
        <v>105</v>
      </c>
      <c r="AN193" s="98">
        <f t="shared" si="57"/>
        <v>0</v>
      </c>
      <c r="AO193" s="98">
        <f t="shared" si="57"/>
        <v>0</v>
      </c>
      <c r="AP193" s="98">
        <f t="shared" si="57"/>
        <v>0</v>
      </c>
      <c r="AQ193" s="98">
        <f t="shared" si="57"/>
        <v>0</v>
      </c>
      <c r="AR193" s="98">
        <f t="shared" si="57"/>
        <v>0</v>
      </c>
      <c r="AS193" s="98">
        <f t="shared" si="57"/>
        <v>0</v>
      </c>
      <c r="AV193" s="101" t="str">
        <f t="shared" si="51"/>
        <v>1.101400</v>
      </c>
      <c r="AW193" s="101">
        <v>1400</v>
      </c>
      <c r="BF193" s="101" t="str">
        <f t="shared" si="52"/>
        <v>2.081400</v>
      </c>
      <c r="BG193" s="101">
        <v>1400</v>
      </c>
      <c r="BP193" s="101" t="str">
        <f t="shared" si="53"/>
        <v>3.081400</v>
      </c>
      <c r="BQ193" s="101">
        <v>1400</v>
      </c>
    </row>
    <row r="194" spans="1:76">
      <c r="A194" s="95"/>
      <c r="B194" s="96"/>
      <c r="C194" s="95"/>
      <c r="D194" s="95"/>
      <c r="E194" s="95"/>
      <c r="F194" s="95"/>
      <c r="G194" s="95"/>
      <c r="H194" s="95"/>
      <c r="I194" s="95"/>
      <c r="J194" s="95"/>
      <c r="K194" s="95"/>
      <c r="L194" s="95"/>
      <c r="M194" s="95"/>
      <c r="N194" s="95"/>
      <c r="O194" s="95"/>
      <c r="P194" s="95"/>
      <c r="Q194" s="95"/>
      <c r="R194" s="95"/>
      <c r="S194" s="99" t="s">
        <v>78</v>
      </c>
      <c r="T194" s="204" t="s">
        <v>78</v>
      </c>
      <c r="U194" s="98"/>
      <c r="V194" s="98">
        <f t="shared" si="56"/>
        <v>2250</v>
      </c>
      <c r="W194" s="98">
        <f t="shared" si="56"/>
        <v>2250</v>
      </c>
      <c r="X194" s="98">
        <f t="shared" si="56"/>
        <v>2185</v>
      </c>
      <c r="Y194" s="98">
        <f t="shared" si="56"/>
        <v>2115</v>
      </c>
      <c r="Z194" s="98">
        <f t="shared" si="56"/>
        <v>1995</v>
      </c>
      <c r="AA194" s="98">
        <f t="shared" si="56"/>
        <v>1815</v>
      </c>
      <c r="AB194" s="98">
        <f t="shared" si="56"/>
        <v>1765</v>
      </c>
      <c r="AC194" s="98">
        <f t="shared" si="56"/>
        <v>1705</v>
      </c>
      <c r="AD194" s="98">
        <f t="shared" si="56"/>
        <v>1595</v>
      </c>
      <c r="AE194" s="98">
        <f t="shared" si="56"/>
        <v>1525</v>
      </c>
      <c r="AF194" s="98">
        <f t="shared" si="57"/>
        <v>1460</v>
      </c>
      <c r="AG194" s="98">
        <f t="shared" si="57"/>
        <v>1350</v>
      </c>
      <c r="AH194" s="98">
        <f t="shared" si="57"/>
        <v>1130</v>
      </c>
      <c r="AI194" s="98">
        <f t="shared" si="57"/>
        <v>760</v>
      </c>
      <c r="AJ194" s="98">
        <f t="shared" si="57"/>
        <v>515</v>
      </c>
      <c r="AK194" s="98">
        <f t="shared" si="57"/>
        <v>340</v>
      </c>
      <c r="AL194" s="98">
        <f t="shared" si="57"/>
        <v>225</v>
      </c>
      <c r="AM194" s="98">
        <f t="shared" si="57"/>
        <v>155</v>
      </c>
      <c r="AN194" s="98">
        <f t="shared" si="57"/>
        <v>0</v>
      </c>
      <c r="AO194" s="98">
        <f t="shared" si="57"/>
        <v>0</v>
      </c>
      <c r="AP194" s="98">
        <f t="shared" si="57"/>
        <v>0</v>
      </c>
      <c r="AQ194" s="98">
        <f t="shared" si="57"/>
        <v>0</v>
      </c>
      <c r="AR194" s="98">
        <f t="shared" si="57"/>
        <v>0</v>
      </c>
      <c r="AS194" s="98">
        <f t="shared" si="57"/>
        <v>0</v>
      </c>
      <c r="AV194" s="101" t="str">
        <f t="shared" si="51"/>
        <v>1.101450</v>
      </c>
      <c r="AW194" s="101">
        <v>1450</v>
      </c>
      <c r="BF194" s="101" t="str">
        <f t="shared" si="52"/>
        <v>2.081450</v>
      </c>
      <c r="BG194" s="101">
        <v>1450</v>
      </c>
      <c r="BP194" s="101" t="str">
        <f t="shared" si="53"/>
        <v>3.081450</v>
      </c>
      <c r="BQ194" s="101">
        <v>1450</v>
      </c>
    </row>
    <row r="195" spans="1:76">
      <c r="A195" s="95"/>
      <c r="B195" s="96"/>
      <c r="C195" s="95"/>
      <c r="D195" s="95"/>
      <c r="E195" s="95"/>
      <c r="F195" s="95"/>
      <c r="G195" s="95"/>
      <c r="H195" s="95"/>
      <c r="I195" s="95"/>
      <c r="J195" s="95"/>
      <c r="K195" s="95"/>
      <c r="L195" s="95"/>
      <c r="M195" s="95"/>
      <c r="N195" s="95"/>
      <c r="O195" s="95"/>
      <c r="P195" s="95"/>
      <c r="Q195" s="95"/>
      <c r="R195" s="95"/>
      <c r="S195" s="99" t="s">
        <v>191</v>
      </c>
      <c r="T195" s="204" t="s">
        <v>191</v>
      </c>
      <c r="U195" s="98"/>
      <c r="V195" s="98">
        <f t="shared" si="56"/>
        <v>2250</v>
      </c>
      <c r="W195" s="98">
        <f t="shared" si="56"/>
        <v>2250</v>
      </c>
      <c r="X195" s="98">
        <f t="shared" si="56"/>
        <v>2185</v>
      </c>
      <c r="Y195" s="98">
        <f t="shared" si="56"/>
        <v>2115</v>
      </c>
      <c r="Z195" s="98">
        <f t="shared" si="56"/>
        <v>1995</v>
      </c>
      <c r="AA195" s="98">
        <f t="shared" si="56"/>
        <v>1815</v>
      </c>
      <c r="AB195" s="98">
        <f t="shared" si="56"/>
        <v>1765</v>
      </c>
      <c r="AC195" s="98">
        <f t="shared" si="56"/>
        <v>1705</v>
      </c>
      <c r="AD195" s="98">
        <f t="shared" si="56"/>
        <v>1595</v>
      </c>
      <c r="AE195" s="98">
        <f t="shared" si="56"/>
        <v>1525</v>
      </c>
      <c r="AF195" s="98">
        <f t="shared" si="57"/>
        <v>1460</v>
      </c>
      <c r="AG195" s="98">
        <f t="shared" si="57"/>
        <v>1350</v>
      </c>
      <c r="AH195" s="98">
        <f t="shared" si="57"/>
        <v>1160</v>
      </c>
      <c r="AI195" s="98">
        <f t="shared" si="57"/>
        <v>1090</v>
      </c>
      <c r="AJ195" s="98">
        <f t="shared" si="57"/>
        <v>1080</v>
      </c>
      <c r="AK195" s="98">
        <f t="shared" si="57"/>
        <v>905</v>
      </c>
      <c r="AL195" s="98">
        <f t="shared" si="57"/>
        <v>670</v>
      </c>
      <c r="AM195" s="98">
        <f t="shared" si="57"/>
        <v>430</v>
      </c>
      <c r="AN195" s="98">
        <f t="shared" si="57"/>
        <v>0</v>
      </c>
      <c r="AO195" s="98">
        <f t="shared" si="57"/>
        <v>0</v>
      </c>
      <c r="AP195" s="98">
        <f t="shared" si="57"/>
        <v>0</v>
      </c>
      <c r="AQ195" s="98">
        <f t="shared" si="57"/>
        <v>0</v>
      </c>
      <c r="AR195" s="98">
        <f t="shared" si="57"/>
        <v>0</v>
      </c>
      <c r="AS195" s="98">
        <f t="shared" si="57"/>
        <v>0</v>
      </c>
      <c r="AV195" s="101" t="str">
        <f t="shared" si="51"/>
        <v>1.101500</v>
      </c>
      <c r="AW195" s="101">
        <v>1500</v>
      </c>
      <c r="BF195" s="101" t="str">
        <f t="shared" si="52"/>
        <v>2.081500</v>
      </c>
      <c r="BG195" s="101">
        <v>1500</v>
      </c>
      <c r="BP195" s="101" t="str">
        <f t="shared" si="53"/>
        <v>3.081500</v>
      </c>
      <c r="BQ195" s="101">
        <v>1500</v>
      </c>
    </row>
    <row r="196" spans="1:76">
      <c r="A196" s="95"/>
      <c r="B196" s="96"/>
      <c r="C196" s="95"/>
      <c r="D196" s="95"/>
      <c r="E196" s="95"/>
      <c r="F196" s="95"/>
      <c r="G196" s="95"/>
      <c r="H196" s="95"/>
      <c r="I196" s="95"/>
      <c r="J196" s="95"/>
      <c r="K196" s="95"/>
      <c r="L196" s="95"/>
      <c r="M196" s="95"/>
      <c r="N196" s="95"/>
      <c r="O196" s="95"/>
      <c r="P196" s="95"/>
      <c r="Q196" s="95"/>
      <c r="R196" s="95"/>
      <c r="S196" s="99" t="s">
        <v>188</v>
      </c>
      <c r="T196" s="204" t="s">
        <v>188</v>
      </c>
      <c r="U196" s="98"/>
      <c r="V196" s="98">
        <f t="shared" si="56"/>
        <v>2250</v>
      </c>
      <c r="W196" s="98">
        <f t="shared" si="56"/>
        <v>2210</v>
      </c>
      <c r="X196" s="98">
        <f t="shared" si="56"/>
        <v>2100</v>
      </c>
      <c r="Y196" s="98">
        <f t="shared" si="56"/>
        <v>2005</v>
      </c>
      <c r="Z196" s="98">
        <f t="shared" si="56"/>
        <v>1940</v>
      </c>
      <c r="AA196" s="98">
        <f t="shared" si="56"/>
        <v>1815</v>
      </c>
      <c r="AB196" s="98">
        <f t="shared" si="56"/>
        <v>1765</v>
      </c>
      <c r="AC196" s="98">
        <f t="shared" si="56"/>
        <v>1705</v>
      </c>
      <c r="AD196" s="98">
        <f t="shared" si="56"/>
        <v>1595</v>
      </c>
      <c r="AE196" s="98">
        <f t="shared" si="56"/>
        <v>1525</v>
      </c>
      <c r="AF196" s="98">
        <f t="shared" si="57"/>
        <v>1460</v>
      </c>
      <c r="AG196" s="98">
        <f t="shared" si="57"/>
        <v>1120</v>
      </c>
      <c r="AH196" s="98">
        <f t="shared" si="57"/>
        <v>825</v>
      </c>
      <c r="AI196" s="98">
        <f t="shared" si="57"/>
        <v>595</v>
      </c>
      <c r="AJ196" s="98">
        <f t="shared" si="57"/>
        <v>430</v>
      </c>
      <c r="AK196" s="98">
        <f t="shared" si="57"/>
        <v>290</v>
      </c>
      <c r="AL196" s="98">
        <f t="shared" si="57"/>
        <v>185</v>
      </c>
      <c r="AM196" s="98">
        <f t="shared" si="57"/>
        <v>105</v>
      </c>
      <c r="AN196" s="98">
        <f t="shared" si="57"/>
        <v>0</v>
      </c>
      <c r="AO196" s="98">
        <f t="shared" si="57"/>
        <v>0</v>
      </c>
      <c r="AP196" s="98">
        <f t="shared" si="57"/>
        <v>0</v>
      </c>
      <c r="AQ196" s="98">
        <f t="shared" si="57"/>
        <v>0</v>
      </c>
      <c r="AR196" s="98">
        <f t="shared" si="57"/>
        <v>0</v>
      </c>
      <c r="AS196" s="98">
        <f t="shared" si="57"/>
        <v>0</v>
      </c>
      <c r="AU196" s="92">
        <v>1.1100000000000001</v>
      </c>
      <c r="AV196" s="101" t="str">
        <f>AU$196&amp;TEXT(AW196,"0000")</f>
        <v>1.110100</v>
      </c>
      <c r="AW196" s="92">
        <v>100</v>
      </c>
      <c r="AX196" s="92">
        <v>290</v>
      </c>
      <c r="AY196" s="92">
        <v>750</v>
      </c>
      <c r="AZ196" s="202">
        <v>1000</v>
      </c>
      <c r="BA196" s="202">
        <v>1500</v>
      </c>
      <c r="BB196" s="202">
        <v>2250</v>
      </c>
      <c r="BC196" s="202">
        <v>3750</v>
      </c>
      <c r="BD196" s="202">
        <v>6250</v>
      </c>
      <c r="BE196" s="92">
        <v>2.09</v>
      </c>
      <c r="BF196" s="101" t="str">
        <f>BE$196&amp;TEXT(BG196,"0000")</f>
        <v>2.090100</v>
      </c>
      <c r="BG196" s="92">
        <v>100</v>
      </c>
      <c r="BH196" s="92">
        <v>275</v>
      </c>
      <c r="BI196" s="92">
        <v>720</v>
      </c>
      <c r="BJ196" s="92">
        <v>960</v>
      </c>
      <c r="BK196" s="202">
        <v>1440</v>
      </c>
      <c r="BL196" s="202">
        <v>2160</v>
      </c>
      <c r="BM196" s="202">
        <v>3600</v>
      </c>
      <c r="BN196" s="202">
        <v>6000</v>
      </c>
      <c r="BO196" s="92">
        <v>3.09</v>
      </c>
      <c r="BP196" s="101" t="str">
        <f>BO$196&amp;TEXT(BQ196,"0000")</f>
        <v>3.090100</v>
      </c>
      <c r="BQ196" s="92">
        <v>100</v>
      </c>
      <c r="BR196" s="92">
        <v>290</v>
      </c>
      <c r="BS196" s="92">
        <v>750</v>
      </c>
      <c r="BT196" s="202">
        <v>1000</v>
      </c>
      <c r="BU196" s="202">
        <v>1500</v>
      </c>
      <c r="BV196" s="202">
        <v>2250</v>
      </c>
      <c r="BW196" s="202">
        <v>3750</v>
      </c>
      <c r="BX196" s="202">
        <v>6250</v>
      </c>
    </row>
    <row r="197" spans="1:76">
      <c r="A197" s="95"/>
      <c r="B197" s="96"/>
      <c r="C197" s="95"/>
      <c r="D197" s="95"/>
      <c r="E197" s="95"/>
      <c r="F197" s="95"/>
      <c r="G197" s="95"/>
      <c r="H197" s="95"/>
      <c r="I197" s="95"/>
      <c r="J197" s="95"/>
      <c r="K197" s="95"/>
      <c r="L197" s="95"/>
      <c r="M197" s="95"/>
      <c r="N197" s="95"/>
      <c r="O197" s="95"/>
      <c r="P197" s="95"/>
      <c r="Q197" s="95"/>
      <c r="R197" s="95"/>
      <c r="S197" s="99" t="s">
        <v>189</v>
      </c>
      <c r="T197" s="204" t="s">
        <v>189</v>
      </c>
      <c r="U197" s="98"/>
      <c r="V197" s="98">
        <f t="shared" si="56"/>
        <v>2250</v>
      </c>
      <c r="W197" s="98">
        <f t="shared" si="56"/>
        <v>2250</v>
      </c>
      <c r="X197" s="98">
        <f t="shared" si="56"/>
        <v>2185</v>
      </c>
      <c r="Y197" s="98">
        <f t="shared" si="56"/>
        <v>2115</v>
      </c>
      <c r="Z197" s="98">
        <f t="shared" si="56"/>
        <v>1995</v>
      </c>
      <c r="AA197" s="98">
        <f t="shared" si="56"/>
        <v>1815</v>
      </c>
      <c r="AB197" s="98">
        <f t="shared" si="56"/>
        <v>1765</v>
      </c>
      <c r="AC197" s="98">
        <f t="shared" si="56"/>
        <v>1705</v>
      </c>
      <c r="AD197" s="98">
        <f t="shared" si="56"/>
        <v>1595</v>
      </c>
      <c r="AE197" s="98">
        <f t="shared" si="56"/>
        <v>1525</v>
      </c>
      <c r="AF197" s="98">
        <f t="shared" si="57"/>
        <v>1460</v>
      </c>
      <c r="AG197" s="98">
        <f t="shared" si="57"/>
        <v>1350</v>
      </c>
      <c r="AH197" s="98">
        <f t="shared" si="57"/>
        <v>1160</v>
      </c>
      <c r="AI197" s="98">
        <f t="shared" si="57"/>
        <v>1090</v>
      </c>
      <c r="AJ197" s="98">
        <f t="shared" si="57"/>
        <v>1080</v>
      </c>
      <c r="AK197" s="98">
        <f t="shared" si="57"/>
        <v>965</v>
      </c>
      <c r="AL197" s="98">
        <f t="shared" si="57"/>
        <v>825</v>
      </c>
      <c r="AM197" s="98">
        <f t="shared" si="57"/>
        <v>620</v>
      </c>
      <c r="AN197" s="98">
        <f t="shared" si="57"/>
        <v>0</v>
      </c>
      <c r="AO197" s="98">
        <f t="shared" si="57"/>
        <v>0</v>
      </c>
      <c r="AP197" s="98">
        <f t="shared" si="57"/>
        <v>0</v>
      </c>
      <c r="AQ197" s="98">
        <f t="shared" si="57"/>
        <v>0</v>
      </c>
      <c r="AR197" s="98">
        <f t="shared" si="57"/>
        <v>0</v>
      </c>
      <c r="AS197" s="98">
        <f t="shared" si="57"/>
        <v>0</v>
      </c>
      <c r="AV197" s="101" t="str">
        <f t="shared" ref="AV197:AV219" si="58">AU$196&amp;TEXT(AW197,"0000")</f>
        <v>1.110200</v>
      </c>
      <c r="AW197" s="101">
        <v>200</v>
      </c>
      <c r="AX197" s="92">
        <v>260</v>
      </c>
      <c r="AY197" s="92">
        <v>750</v>
      </c>
      <c r="AZ197" s="202">
        <v>1000</v>
      </c>
      <c r="BA197" s="202">
        <v>1500</v>
      </c>
      <c r="BB197" s="202">
        <v>2250</v>
      </c>
      <c r="BC197" s="202">
        <v>3750</v>
      </c>
      <c r="BD197" s="202">
        <v>6250</v>
      </c>
      <c r="BF197" s="101" t="str">
        <f t="shared" ref="BF197:BF219" si="59">BE$196&amp;TEXT(BG197,"0000")</f>
        <v>2.090200</v>
      </c>
      <c r="BG197" s="101">
        <v>200</v>
      </c>
      <c r="BH197" s="92">
        <v>240</v>
      </c>
      <c r="BI197" s="92">
        <v>630</v>
      </c>
      <c r="BJ197" s="92">
        <v>840</v>
      </c>
      <c r="BK197" s="202">
        <v>1260</v>
      </c>
      <c r="BL197" s="202">
        <v>1895</v>
      </c>
      <c r="BM197" s="202">
        <v>3155</v>
      </c>
      <c r="BN197" s="202">
        <v>5260</v>
      </c>
      <c r="BP197" s="101" t="str">
        <f t="shared" ref="BP197:BP219" si="60">BO$196&amp;TEXT(BQ197,"0000")</f>
        <v>3.090200</v>
      </c>
      <c r="BQ197" s="101">
        <v>200</v>
      </c>
      <c r="BR197" s="92">
        <v>260</v>
      </c>
      <c r="BS197" s="92">
        <v>750</v>
      </c>
      <c r="BT197" s="202">
        <v>1000</v>
      </c>
      <c r="BU197" s="202">
        <v>1500</v>
      </c>
      <c r="BV197" s="202">
        <v>2250</v>
      </c>
      <c r="BW197" s="202">
        <v>3750</v>
      </c>
      <c r="BX197" s="202">
        <v>6250</v>
      </c>
    </row>
    <row r="198" spans="1:76">
      <c r="A198" s="95"/>
      <c r="B198" s="96"/>
      <c r="C198" s="95"/>
      <c r="D198" s="95"/>
      <c r="E198" s="95"/>
      <c r="F198" s="95"/>
      <c r="G198" s="95"/>
      <c r="H198" s="95"/>
      <c r="I198" s="95"/>
      <c r="J198" s="95"/>
      <c r="K198" s="95"/>
      <c r="L198" s="95"/>
      <c r="M198" s="95"/>
      <c r="N198" s="95"/>
      <c r="O198" s="95"/>
      <c r="P198" s="95"/>
      <c r="Q198" s="95"/>
      <c r="R198" s="95"/>
      <c r="S198" s="99" t="s">
        <v>79</v>
      </c>
      <c r="T198" s="204" t="s">
        <v>204</v>
      </c>
      <c r="U198" s="98"/>
      <c r="V198" s="98">
        <f t="shared" ref="V198:AE209" si="61">VLOOKUP($T198&amp;TEXT(V$1,"0000"),$BF$4:$BN$339,7)</f>
        <v>2160</v>
      </c>
      <c r="W198" s="98">
        <f t="shared" si="61"/>
        <v>1800</v>
      </c>
      <c r="X198" s="98">
        <f t="shared" si="61"/>
        <v>1615</v>
      </c>
      <c r="Y198" s="98">
        <f t="shared" si="61"/>
        <v>1490</v>
      </c>
      <c r="Z198" s="98">
        <f t="shared" si="61"/>
        <v>1395</v>
      </c>
      <c r="AA198" s="98">
        <f t="shared" si="61"/>
        <v>1325</v>
      </c>
      <c r="AB198" s="98">
        <f t="shared" si="61"/>
        <v>1295</v>
      </c>
      <c r="AC198" s="98">
        <f t="shared" si="61"/>
        <v>1265</v>
      </c>
      <c r="AD198" s="98">
        <f t="shared" si="61"/>
        <v>1240</v>
      </c>
      <c r="AE198" s="98">
        <f t="shared" si="61"/>
        <v>1215</v>
      </c>
      <c r="AF198" s="98">
        <f t="shared" ref="AF198:AS209" si="62">VLOOKUP($T198&amp;TEXT(AF$1,"0000"),$BF$4:$BN$339,7)</f>
        <v>1190</v>
      </c>
      <c r="AG198" s="98">
        <f t="shared" si="62"/>
        <v>1165</v>
      </c>
      <c r="AH198" s="98">
        <f t="shared" si="62"/>
        <v>1145</v>
      </c>
      <c r="AI198" s="98">
        <f t="shared" si="62"/>
        <v>1065</v>
      </c>
      <c r="AJ198" s="98">
        <f t="shared" si="62"/>
        <v>975</v>
      </c>
      <c r="AK198" s="98">
        <f t="shared" si="62"/>
        <v>770</v>
      </c>
      <c r="AL198" s="98">
        <f t="shared" si="62"/>
        <v>615</v>
      </c>
      <c r="AM198" s="98">
        <f t="shared" si="62"/>
        <v>495</v>
      </c>
      <c r="AN198" s="98">
        <f t="shared" si="62"/>
        <v>400</v>
      </c>
      <c r="AO198" s="98">
        <f t="shared" si="62"/>
        <v>340</v>
      </c>
      <c r="AP198" s="98">
        <f t="shared" si="62"/>
        <v>280</v>
      </c>
      <c r="AQ198" s="98">
        <f t="shared" si="62"/>
        <v>225</v>
      </c>
      <c r="AR198" s="98">
        <f t="shared" si="62"/>
        <v>175</v>
      </c>
      <c r="AS198" s="98">
        <f t="shared" si="62"/>
        <v>125</v>
      </c>
      <c r="AV198" s="101" t="str">
        <f t="shared" si="58"/>
        <v>1.110300</v>
      </c>
      <c r="AW198" s="101">
        <v>300</v>
      </c>
      <c r="AX198" s="92">
        <v>230</v>
      </c>
      <c r="AY198" s="92">
        <v>730</v>
      </c>
      <c r="AZ198" s="92">
        <v>970</v>
      </c>
      <c r="BA198" s="202">
        <v>1455</v>
      </c>
      <c r="BB198" s="202">
        <v>2185</v>
      </c>
      <c r="BC198" s="202">
        <v>3640</v>
      </c>
      <c r="BD198" s="202">
        <v>6070</v>
      </c>
      <c r="BF198" s="101" t="str">
        <f t="shared" si="59"/>
        <v>2.090300</v>
      </c>
      <c r="BG198" s="101">
        <v>300</v>
      </c>
      <c r="BH198" s="92">
        <v>225</v>
      </c>
      <c r="BI198" s="92">
        <v>580</v>
      </c>
      <c r="BJ198" s="92">
        <v>775</v>
      </c>
      <c r="BK198" s="202">
        <v>1160</v>
      </c>
      <c r="BL198" s="202">
        <v>1740</v>
      </c>
      <c r="BM198" s="202">
        <v>2905</v>
      </c>
      <c r="BN198" s="202">
        <v>4840</v>
      </c>
      <c r="BP198" s="101" t="str">
        <f t="shared" si="60"/>
        <v>3.090300</v>
      </c>
      <c r="BQ198" s="101">
        <v>300</v>
      </c>
      <c r="BR198" s="92">
        <v>230</v>
      </c>
      <c r="BS198" s="92">
        <v>690</v>
      </c>
      <c r="BT198" s="92">
        <v>920</v>
      </c>
      <c r="BU198" s="202">
        <v>1380</v>
      </c>
      <c r="BV198" s="202">
        <v>2075</v>
      </c>
      <c r="BW198" s="202">
        <v>3455</v>
      </c>
      <c r="BX198" s="202">
        <v>5760</v>
      </c>
    </row>
    <row r="199" spans="1:76">
      <c r="A199" s="95"/>
      <c r="B199" s="96"/>
      <c r="C199" s="95"/>
      <c r="D199" s="95"/>
      <c r="E199" s="95"/>
      <c r="F199" s="95"/>
      <c r="G199" s="95"/>
      <c r="H199" s="95"/>
      <c r="I199" s="95"/>
      <c r="J199" s="95"/>
      <c r="K199" s="95"/>
      <c r="L199" s="95"/>
      <c r="M199" s="95"/>
      <c r="N199" s="95"/>
      <c r="O199" s="95"/>
      <c r="P199" s="95"/>
      <c r="Q199" s="95"/>
      <c r="R199" s="95"/>
      <c r="S199" s="99" t="s">
        <v>80</v>
      </c>
      <c r="T199" s="204" t="s">
        <v>205</v>
      </c>
      <c r="U199" s="98"/>
      <c r="V199" s="98">
        <f t="shared" si="61"/>
        <v>2160</v>
      </c>
      <c r="W199" s="98">
        <f t="shared" si="61"/>
        <v>1860</v>
      </c>
      <c r="X199" s="98">
        <f t="shared" si="61"/>
        <v>1680</v>
      </c>
      <c r="Y199" s="98">
        <f t="shared" si="61"/>
        <v>1540</v>
      </c>
      <c r="Z199" s="98">
        <f t="shared" si="61"/>
        <v>1435</v>
      </c>
      <c r="AA199" s="98">
        <f t="shared" si="61"/>
        <v>1355</v>
      </c>
      <c r="AB199" s="98">
        <f t="shared" si="61"/>
        <v>1325</v>
      </c>
      <c r="AC199" s="98">
        <f t="shared" si="61"/>
        <v>1305</v>
      </c>
      <c r="AD199" s="98">
        <f t="shared" si="61"/>
        <v>1280</v>
      </c>
      <c r="AE199" s="98">
        <f t="shared" si="61"/>
        <v>1265</v>
      </c>
      <c r="AF199" s="98">
        <f t="shared" si="62"/>
        <v>1255</v>
      </c>
      <c r="AG199" s="98">
        <f t="shared" si="62"/>
        <v>1245</v>
      </c>
      <c r="AH199" s="98">
        <f t="shared" si="62"/>
        <v>1160</v>
      </c>
      <c r="AI199" s="98">
        <f t="shared" si="62"/>
        <v>1090</v>
      </c>
      <c r="AJ199" s="98">
        <f t="shared" si="62"/>
        <v>1080</v>
      </c>
      <c r="AK199" s="98">
        <f t="shared" si="62"/>
        <v>915</v>
      </c>
      <c r="AL199" s="98">
        <f t="shared" si="62"/>
        <v>710</v>
      </c>
      <c r="AM199" s="98">
        <f t="shared" si="62"/>
        <v>555</v>
      </c>
      <c r="AN199" s="98">
        <f t="shared" si="62"/>
        <v>440</v>
      </c>
      <c r="AO199" s="98">
        <f t="shared" si="62"/>
        <v>350</v>
      </c>
      <c r="AP199" s="98">
        <f t="shared" si="62"/>
        <v>290</v>
      </c>
      <c r="AQ199" s="98">
        <f t="shared" si="62"/>
        <v>225</v>
      </c>
      <c r="AR199" s="98">
        <f t="shared" si="62"/>
        <v>175</v>
      </c>
      <c r="AS199" s="98">
        <f t="shared" si="62"/>
        <v>125</v>
      </c>
      <c r="AV199" s="101" t="str">
        <f t="shared" si="58"/>
        <v>1.110400</v>
      </c>
      <c r="AW199" s="101">
        <v>400</v>
      </c>
      <c r="AX199" s="92">
        <v>200</v>
      </c>
      <c r="AY199" s="92">
        <v>705</v>
      </c>
      <c r="AZ199" s="92">
        <v>940</v>
      </c>
      <c r="BA199" s="202">
        <v>1410</v>
      </c>
      <c r="BB199" s="202">
        <v>2115</v>
      </c>
      <c r="BC199" s="202">
        <v>3530</v>
      </c>
      <c r="BD199" s="202">
        <v>5880</v>
      </c>
      <c r="BF199" s="101" t="str">
        <f t="shared" si="59"/>
        <v>2.090400</v>
      </c>
      <c r="BG199" s="101">
        <v>400</v>
      </c>
      <c r="BH199" s="92">
        <v>200</v>
      </c>
      <c r="BI199" s="92">
        <v>540</v>
      </c>
      <c r="BJ199" s="92">
        <v>725</v>
      </c>
      <c r="BK199" s="202">
        <v>1085</v>
      </c>
      <c r="BL199" s="202">
        <v>1625</v>
      </c>
      <c r="BM199" s="202">
        <v>2710</v>
      </c>
      <c r="BN199" s="202">
        <v>4520</v>
      </c>
      <c r="BP199" s="101" t="str">
        <f t="shared" si="60"/>
        <v>3.090400</v>
      </c>
      <c r="BQ199" s="101">
        <v>400</v>
      </c>
      <c r="BR199" s="92">
        <v>200</v>
      </c>
      <c r="BS199" s="92">
        <v>640</v>
      </c>
      <c r="BT199" s="92">
        <v>850</v>
      </c>
      <c r="BU199" s="202">
        <v>1275</v>
      </c>
      <c r="BV199" s="202">
        <v>1915</v>
      </c>
      <c r="BW199" s="202">
        <v>3190</v>
      </c>
      <c r="BX199" s="202">
        <v>5320</v>
      </c>
    </row>
    <row r="200" spans="1:76">
      <c r="A200" s="95"/>
      <c r="B200" s="96"/>
      <c r="C200" s="95"/>
      <c r="D200" s="95"/>
      <c r="E200" s="95"/>
      <c r="F200" s="95"/>
      <c r="G200" s="95"/>
      <c r="H200" s="95"/>
      <c r="I200" s="95"/>
      <c r="J200" s="95"/>
      <c r="K200" s="95"/>
      <c r="L200" s="95"/>
      <c r="M200" s="95"/>
      <c r="N200" s="95"/>
      <c r="O200" s="95"/>
      <c r="P200" s="95"/>
      <c r="Q200" s="95"/>
      <c r="R200" s="95"/>
      <c r="S200" s="99" t="s">
        <v>81</v>
      </c>
      <c r="T200" s="204" t="s">
        <v>206</v>
      </c>
      <c r="U200" s="98"/>
      <c r="V200" s="98">
        <f t="shared" si="61"/>
        <v>1800</v>
      </c>
      <c r="W200" s="98">
        <f t="shared" si="61"/>
        <v>1535</v>
      </c>
      <c r="X200" s="98">
        <f t="shared" si="61"/>
        <v>1370</v>
      </c>
      <c r="Y200" s="98">
        <f t="shared" si="61"/>
        <v>1260</v>
      </c>
      <c r="Z200" s="98">
        <f t="shared" si="61"/>
        <v>1180</v>
      </c>
      <c r="AA200" s="98">
        <f t="shared" si="61"/>
        <v>1115</v>
      </c>
      <c r="AB200" s="98">
        <f t="shared" si="61"/>
        <v>1095</v>
      </c>
      <c r="AC200" s="98">
        <f t="shared" si="61"/>
        <v>1080</v>
      </c>
      <c r="AD200" s="98">
        <f t="shared" si="61"/>
        <v>1060</v>
      </c>
      <c r="AE200" s="98">
        <f t="shared" si="61"/>
        <v>1035</v>
      </c>
      <c r="AF200" s="98">
        <f t="shared" si="62"/>
        <v>1015</v>
      </c>
      <c r="AG200" s="98">
        <f t="shared" si="62"/>
        <v>0</v>
      </c>
      <c r="AH200" s="98">
        <f t="shared" si="62"/>
        <v>0</v>
      </c>
      <c r="AI200" s="98">
        <f t="shared" si="62"/>
        <v>0</v>
      </c>
      <c r="AJ200" s="98">
        <f t="shared" si="62"/>
        <v>0</v>
      </c>
      <c r="AK200" s="98">
        <f t="shared" si="62"/>
        <v>0</v>
      </c>
      <c r="AL200" s="98">
        <f t="shared" si="62"/>
        <v>0</v>
      </c>
      <c r="AM200" s="98">
        <f t="shared" si="62"/>
        <v>0</v>
      </c>
      <c r="AN200" s="98">
        <f t="shared" si="62"/>
        <v>0</v>
      </c>
      <c r="AO200" s="98">
        <f t="shared" si="62"/>
        <v>0</v>
      </c>
      <c r="AP200" s="98">
        <f t="shared" si="62"/>
        <v>0</v>
      </c>
      <c r="AQ200" s="98">
        <f t="shared" si="62"/>
        <v>0</v>
      </c>
      <c r="AR200" s="98">
        <f t="shared" si="62"/>
        <v>0</v>
      </c>
      <c r="AS200" s="98">
        <f t="shared" si="62"/>
        <v>0</v>
      </c>
      <c r="AV200" s="101" t="str">
        <f t="shared" si="58"/>
        <v>1.110500</v>
      </c>
      <c r="AW200" s="101">
        <v>500</v>
      </c>
      <c r="AX200" s="92">
        <v>170</v>
      </c>
      <c r="AY200" s="92">
        <v>665</v>
      </c>
      <c r="AZ200" s="92">
        <v>885</v>
      </c>
      <c r="BA200" s="202">
        <v>1330</v>
      </c>
      <c r="BB200" s="202">
        <v>1995</v>
      </c>
      <c r="BC200" s="202">
        <v>3325</v>
      </c>
      <c r="BD200" s="202">
        <v>5540</v>
      </c>
      <c r="BF200" s="101" t="str">
        <f t="shared" si="59"/>
        <v>2.090500</v>
      </c>
      <c r="BG200" s="101">
        <v>500</v>
      </c>
      <c r="BH200" s="92">
        <v>170</v>
      </c>
      <c r="BI200" s="92">
        <v>515</v>
      </c>
      <c r="BJ200" s="92">
        <v>685</v>
      </c>
      <c r="BK200" s="202">
        <v>1025</v>
      </c>
      <c r="BL200" s="202">
        <v>1540</v>
      </c>
      <c r="BM200" s="202">
        <v>2570</v>
      </c>
      <c r="BN200" s="202">
        <v>4280</v>
      </c>
      <c r="BP200" s="101" t="str">
        <f t="shared" si="60"/>
        <v>3.090500</v>
      </c>
      <c r="BQ200" s="101">
        <v>500</v>
      </c>
      <c r="BR200" s="92">
        <v>170</v>
      </c>
      <c r="BS200" s="92">
        <v>595</v>
      </c>
      <c r="BT200" s="92">
        <v>795</v>
      </c>
      <c r="BU200" s="202">
        <v>1190</v>
      </c>
      <c r="BV200" s="202">
        <v>1785</v>
      </c>
      <c r="BW200" s="202">
        <v>2975</v>
      </c>
      <c r="BX200" s="202">
        <v>4960</v>
      </c>
    </row>
    <row r="201" spans="1:76">
      <c r="A201" s="95"/>
      <c r="B201" s="96"/>
      <c r="C201" s="95"/>
      <c r="D201" s="95"/>
      <c r="E201" s="95"/>
      <c r="F201" s="95"/>
      <c r="G201" s="95"/>
      <c r="H201" s="95"/>
      <c r="I201" s="95"/>
      <c r="J201" s="95"/>
      <c r="K201" s="95"/>
      <c r="L201" s="95"/>
      <c r="M201" s="95"/>
      <c r="N201" s="95"/>
      <c r="O201" s="95"/>
      <c r="P201" s="95"/>
      <c r="Q201" s="95"/>
      <c r="R201" s="95"/>
      <c r="S201" s="99" t="s">
        <v>82</v>
      </c>
      <c r="T201" s="204" t="s">
        <v>207</v>
      </c>
      <c r="U201" s="98"/>
      <c r="V201" s="98">
        <f t="shared" si="61"/>
        <v>2160</v>
      </c>
      <c r="W201" s="98">
        <f t="shared" si="61"/>
        <v>1945</v>
      </c>
      <c r="X201" s="98">
        <f t="shared" si="61"/>
        <v>1785</v>
      </c>
      <c r="Y201" s="98">
        <f t="shared" si="61"/>
        <v>1655</v>
      </c>
      <c r="Z201" s="98">
        <f t="shared" si="61"/>
        <v>1550</v>
      </c>
      <c r="AA201" s="98">
        <f t="shared" si="61"/>
        <v>1460</v>
      </c>
      <c r="AB201" s="98">
        <f t="shared" si="61"/>
        <v>1425</v>
      </c>
      <c r="AC201" s="98">
        <f t="shared" si="61"/>
        <v>1395</v>
      </c>
      <c r="AD201" s="98">
        <f t="shared" si="61"/>
        <v>1375</v>
      </c>
      <c r="AE201" s="98">
        <f t="shared" si="61"/>
        <v>1355</v>
      </c>
      <c r="AF201" s="98">
        <f t="shared" si="62"/>
        <v>1340</v>
      </c>
      <c r="AG201" s="98">
        <f t="shared" si="62"/>
        <v>1325</v>
      </c>
      <c r="AH201" s="98">
        <f t="shared" si="62"/>
        <v>1160</v>
      </c>
      <c r="AI201" s="98">
        <f t="shared" si="62"/>
        <v>1090</v>
      </c>
      <c r="AJ201" s="98">
        <f t="shared" si="62"/>
        <v>1080</v>
      </c>
      <c r="AK201" s="98">
        <f t="shared" si="62"/>
        <v>935</v>
      </c>
      <c r="AL201" s="98">
        <f t="shared" si="62"/>
        <v>710</v>
      </c>
      <c r="AM201" s="98">
        <f t="shared" si="62"/>
        <v>555</v>
      </c>
      <c r="AN201" s="98">
        <f t="shared" si="62"/>
        <v>420</v>
      </c>
      <c r="AO201" s="98">
        <f t="shared" si="62"/>
        <v>330</v>
      </c>
      <c r="AP201" s="98">
        <f t="shared" si="62"/>
        <v>255</v>
      </c>
      <c r="AQ201" s="98">
        <f t="shared" si="62"/>
        <v>195</v>
      </c>
      <c r="AR201" s="98">
        <f t="shared" si="62"/>
        <v>155</v>
      </c>
      <c r="AS201" s="98">
        <f t="shared" si="62"/>
        <v>115</v>
      </c>
      <c r="AV201" s="101" t="str">
        <f t="shared" si="58"/>
        <v>1.110600</v>
      </c>
      <c r="AW201" s="101">
        <v>600</v>
      </c>
      <c r="AX201" s="92">
        <v>140</v>
      </c>
      <c r="AY201" s="92">
        <v>605</v>
      </c>
      <c r="AZ201" s="92">
        <v>805</v>
      </c>
      <c r="BA201" s="202">
        <v>1210</v>
      </c>
      <c r="BB201" s="202">
        <v>1815</v>
      </c>
      <c r="BC201" s="202">
        <v>3025</v>
      </c>
      <c r="BD201" s="202">
        <v>5040</v>
      </c>
      <c r="BF201" s="101" t="str">
        <f t="shared" si="59"/>
        <v>2.090600</v>
      </c>
      <c r="BG201" s="101">
        <v>600</v>
      </c>
      <c r="BH201" s="92">
        <v>140</v>
      </c>
      <c r="BI201" s="92">
        <v>495</v>
      </c>
      <c r="BJ201" s="92">
        <v>660</v>
      </c>
      <c r="BK201" s="92">
        <v>990</v>
      </c>
      <c r="BL201" s="202">
        <v>1485</v>
      </c>
      <c r="BM201" s="202">
        <v>2470</v>
      </c>
      <c r="BN201" s="202">
        <v>4120</v>
      </c>
      <c r="BP201" s="101" t="str">
        <f t="shared" si="60"/>
        <v>3.090600</v>
      </c>
      <c r="BQ201" s="101">
        <v>600</v>
      </c>
      <c r="BR201" s="92">
        <v>140</v>
      </c>
      <c r="BS201" s="92">
        <v>565</v>
      </c>
      <c r="BT201" s="92">
        <v>750</v>
      </c>
      <c r="BU201" s="202">
        <v>1130</v>
      </c>
      <c r="BV201" s="202">
        <v>1690</v>
      </c>
      <c r="BW201" s="202">
        <v>2820</v>
      </c>
      <c r="BX201" s="202">
        <v>4700</v>
      </c>
    </row>
    <row r="202" spans="1:76">
      <c r="A202" s="95"/>
      <c r="B202" s="96"/>
      <c r="C202" s="95"/>
      <c r="D202" s="95"/>
      <c r="E202" s="95"/>
      <c r="F202" s="95"/>
      <c r="G202" s="95"/>
      <c r="H202" s="95"/>
      <c r="I202" s="95"/>
      <c r="J202" s="95"/>
      <c r="K202" s="95"/>
      <c r="L202" s="95"/>
      <c r="M202" s="95"/>
      <c r="N202" s="95"/>
      <c r="O202" s="95"/>
      <c r="P202" s="95"/>
      <c r="Q202" s="95"/>
      <c r="R202" s="95"/>
      <c r="S202" s="99" t="s">
        <v>83</v>
      </c>
      <c r="T202" s="204" t="s">
        <v>208</v>
      </c>
      <c r="U202" s="98"/>
      <c r="V202" s="98">
        <f t="shared" si="61"/>
        <v>2160</v>
      </c>
      <c r="W202" s="98">
        <f t="shared" si="61"/>
        <v>1985</v>
      </c>
      <c r="X202" s="98">
        <f t="shared" si="61"/>
        <v>1850</v>
      </c>
      <c r="Y202" s="98">
        <f t="shared" si="61"/>
        <v>1730</v>
      </c>
      <c r="Z202" s="98">
        <f t="shared" si="61"/>
        <v>1625</v>
      </c>
      <c r="AA202" s="98">
        <f t="shared" si="61"/>
        <v>1550</v>
      </c>
      <c r="AB202" s="98">
        <f t="shared" si="61"/>
        <v>1520</v>
      </c>
      <c r="AC202" s="98">
        <f t="shared" si="61"/>
        <v>1490</v>
      </c>
      <c r="AD202" s="98">
        <f t="shared" si="61"/>
        <v>1475</v>
      </c>
      <c r="AE202" s="98">
        <f t="shared" si="61"/>
        <v>1460</v>
      </c>
      <c r="AF202" s="98">
        <f t="shared" si="62"/>
        <v>1455</v>
      </c>
      <c r="AG202" s="98">
        <f t="shared" si="62"/>
        <v>1350</v>
      </c>
      <c r="AH202" s="98">
        <f t="shared" si="62"/>
        <v>1160</v>
      </c>
      <c r="AI202" s="98">
        <f t="shared" si="62"/>
        <v>1090</v>
      </c>
      <c r="AJ202" s="98">
        <f t="shared" si="62"/>
        <v>1080</v>
      </c>
      <c r="AK202" s="98">
        <f t="shared" si="62"/>
        <v>965</v>
      </c>
      <c r="AL202" s="98">
        <f t="shared" si="62"/>
        <v>825</v>
      </c>
      <c r="AM202" s="98">
        <f t="shared" si="62"/>
        <v>620</v>
      </c>
      <c r="AN202" s="98">
        <f t="shared" si="62"/>
        <v>545</v>
      </c>
      <c r="AO202" s="98">
        <f t="shared" si="62"/>
        <v>410</v>
      </c>
      <c r="AP202" s="98">
        <f t="shared" si="62"/>
        <v>310</v>
      </c>
      <c r="AQ202" s="98">
        <f t="shared" si="62"/>
        <v>225</v>
      </c>
      <c r="AR202" s="98">
        <f t="shared" si="62"/>
        <v>175</v>
      </c>
      <c r="AS202" s="98">
        <f t="shared" si="62"/>
        <v>125</v>
      </c>
      <c r="AV202" s="101" t="str">
        <f t="shared" si="58"/>
        <v>1.110650</v>
      </c>
      <c r="AW202" s="101">
        <v>650</v>
      </c>
      <c r="AX202" s="92">
        <v>125</v>
      </c>
      <c r="AY202" s="92">
        <v>590</v>
      </c>
      <c r="AZ202" s="92">
        <v>785</v>
      </c>
      <c r="BA202" s="202">
        <v>1175</v>
      </c>
      <c r="BB202" s="202">
        <v>1765</v>
      </c>
      <c r="BC202" s="202">
        <v>2940</v>
      </c>
      <c r="BD202" s="202">
        <v>4905</v>
      </c>
      <c r="BF202" s="101" t="str">
        <f t="shared" si="59"/>
        <v>2.090650</v>
      </c>
      <c r="BG202" s="101">
        <v>650</v>
      </c>
      <c r="BH202" s="92">
        <v>125</v>
      </c>
      <c r="BI202" s="92">
        <v>485</v>
      </c>
      <c r="BJ202" s="92">
        <v>645</v>
      </c>
      <c r="BK202" s="92">
        <v>970</v>
      </c>
      <c r="BL202" s="202">
        <v>1455</v>
      </c>
      <c r="BM202" s="202">
        <v>2425</v>
      </c>
      <c r="BN202" s="202">
        <v>4040</v>
      </c>
      <c r="BP202" s="101" t="str">
        <f t="shared" si="60"/>
        <v>3.090650</v>
      </c>
      <c r="BQ202" s="101">
        <v>650</v>
      </c>
      <c r="BR202" s="92">
        <v>125</v>
      </c>
      <c r="BS202" s="92">
        <v>550</v>
      </c>
      <c r="BT202" s="92">
        <v>735</v>
      </c>
      <c r="BU202" s="202">
        <v>1105</v>
      </c>
      <c r="BV202" s="202">
        <v>1655</v>
      </c>
      <c r="BW202" s="202">
        <v>2760</v>
      </c>
      <c r="BX202" s="202">
        <v>4600</v>
      </c>
    </row>
    <row r="203" spans="1:76">
      <c r="A203" s="95"/>
      <c r="B203" s="96"/>
      <c r="C203" s="95"/>
      <c r="D203" s="95"/>
      <c r="E203" s="95"/>
      <c r="F203" s="95"/>
      <c r="G203" s="95"/>
      <c r="H203" s="95"/>
      <c r="I203" s="95"/>
      <c r="J203" s="95"/>
      <c r="K203" s="95"/>
      <c r="L203" s="95"/>
      <c r="M203" s="95"/>
      <c r="N203" s="95"/>
      <c r="O203" s="95"/>
      <c r="P203" s="95"/>
      <c r="Q203" s="95"/>
      <c r="R203" s="95"/>
      <c r="S203" s="99" t="s">
        <v>84</v>
      </c>
      <c r="T203" s="204" t="s">
        <v>209</v>
      </c>
      <c r="U203" s="98"/>
      <c r="V203" s="98">
        <f t="shared" si="61"/>
        <v>2160</v>
      </c>
      <c r="W203" s="98">
        <f t="shared" si="61"/>
        <v>1895</v>
      </c>
      <c r="X203" s="98">
        <f t="shared" si="61"/>
        <v>1740</v>
      </c>
      <c r="Y203" s="98">
        <f t="shared" si="61"/>
        <v>1635</v>
      </c>
      <c r="Z203" s="98">
        <f t="shared" si="61"/>
        <v>1555</v>
      </c>
      <c r="AA203" s="98">
        <f t="shared" si="61"/>
        <v>1500</v>
      </c>
      <c r="AB203" s="98">
        <f t="shared" si="61"/>
        <v>1475</v>
      </c>
      <c r="AC203" s="98">
        <f t="shared" si="61"/>
        <v>1455</v>
      </c>
      <c r="AD203" s="98">
        <f t="shared" si="61"/>
        <v>1440</v>
      </c>
      <c r="AE203" s="98">
        <f t="shared" si="61"/>
        <v>1420</v>
      </c>
      <c r="AF203" s="98">
        <f t="shared" si="62"/>
        <v>1395</v>
      </c>
      <c r="AG203" s="98">
        <f t="shared" si="62"/>
        <v>1350</v>
      </c>
      <c r="AH203" s="98">
        <f t="shared" si="62"/>
        <v>1160</v>
      </c>
      <c r="AI203" s="98">
        <f t="shared" si="62"/>
        <v>1090</v>
      </c>
      <c r="AJ203" s="98">
        <f t="shared" si="62"/>
        <v>1060</v>
      </c>
      <c r="AK203" s="98">
        <f t="shared" si="62"/>
        <v>780</v>
      </c>
      <c r="AL203" s="98">
        <f t="shared" si="62"/>
        <v>565</v>
      </c>
      <c r="AM203" s="98">
        <f t="shared" si="62"/>
        <v>410</v>
      </c>
      <c r="AN203" s="98">
        <f t="shared" si="62"/>
        <v>310</v>
      </c>
      <c r="AO203" s="98">
        <f t="shared" si="62"/>
        <v>225</v>
      </c>
      <c r="AP203" s="98">
        <f t="shared" si="62"/>
        <v>175</v>
      </c>
      <c r="AQ203" s="98">
        <f t="shared" si="62"/>
        <v>135</v>
      </c>
      <c r="AR203" s="98">
        <f t="shared" si="62"/>
        <v>105</v>
      </c>
      <c r="AS203" s="98">
        <f t="shared" si="62"/>
        <v>75</v>
      </c>
      <c r="AV203" s="101" t="str">
        <f t="shared" si="58"/>
        <v>1.110700</v>
      </c>
      <c r="AW203" s="101">
        <v>700</v>
      </c>
      <c r="AX203" s="92">
        <v>110</v>
      </c>
      <c r="AY203" s="92">
        <v>570</v>
      </c>
      <c r="AZ203" s="92">
        <v>755</v>
      </c>
      <c r="BA203" s="202">
        <v>1135</v>
      </c>
      <c r="BB203" s="202">
        <v>1705</v>
      </c>
      <c r="BC203" s="202">
        <v>2840</v>
      </c>
      <c r="BD203" s="202">
        <v>4730</v>
      </c>
      <c r="BF203" s="101" t="str">
        <f t="shared" si="59"/>
        <v>2.090700</v>
      </c>
      <c r="BG203" s="101">
        <v>700</v>
      </c>
      <c r="BH203" s="92">
        <v>110</v>
      </c>
      <c r="BI203" s="92">
        <v>480</v>
      </c>
      <c r="BJ203" s="92">
        <v>635</v>
      </c>
      <c r="BK203" s="92">
        <v>955</v>
      </c>
      <c r="BL203" s="202">
        <v>1435</v>
      </c>
      <c r="BM203" s="202">
        <v>2390</v>
      </c>
      <c r="BN203" s="202">
        <v>3980</v>
      </c>
      <c r="BP203" s="101" t="str">
        <f t="shared" si="60"/>
        <v>3.090700</v>
      </c>
      <c r="BQ203" s="101">
        <v>700</v>
      </c>
      <c r="BR203" s="92">
        <v>110</v>
      </c>
      <c r="BS203" s="92">
        <v>540</v>
      </c>
      <c r="BT203" s="92">
        <v>725</v>
      </c>
      <c r="BU203" s="202">
        <v>1085</v>
      </c>
      <c r="BV203" s="202">
        <v>1625</v>
      </c>
      <c r="BW203" s="202">
        <v>2710</v>
      </c>
      <c r="BX203" s="202">
        <v>4520</v>
      </c>
    </row>
    <row r="204" spans="1:76">
      <c r="A204" s="95"/>
      <c r="B204" s="96"/>
      <c r="C204" s="95"/>
      <c r="D204" s="95"/>
      <c r="E204" s="95"/>
      <c r="F204" s="95"/>
      <c r="G204" s="95"/>
      <c r="H204" s="95"/>
      <c r="I204" s="95"/>
      <c r="J204" s="95"/>
      <c r="K204" s="95"/>
      <c r="L204" s="95"/>
      <c r="M204" s="95"/>
      <c r="N204" s="95"/>
      <c r="O204" s="95"/>
      <c r="P204" s="95"/>
      <c r="Q204" s="95"/>
      <c r="R204" s="95"/>
      <c r="S204" s="99" t="s">
        <v>85</v>
      </c>
      <c r="T204" s="204" t="s">
        <v>210</v>
      </c>
      <c r="U204" s="98"/>
      <c r="V204" s="98">
        <f t="shared" si="61"/>
        <v>2160</v>
      </c>
      <c r="W204" s="98">
        <f t="shared" si="61"/>
        <v>1910</v>
      </c>
      <c r="X204" s="98">
        <f t="shared" si="61"/>
        <v>1740</v>
      </c>
      <c r="Y204" s="98">
        <f t="shared" si="61"/>
        <v>1625</v>
      </c>
      <c r="Z204" s="98">
        <f t="shared" si="61"/>
        <v>1540</v>
      </c>
      <c r="AA204" s="98">
        <f t="shared" si="61"/>
        <v>1485</v>
      </c>
      <c r="AB204" s="98">
        <f t="shared" si="61"/>
        <v>1455</v>
      </c>
      <c r="AC204" s="98">
        <f t="shared" si="61"/>
        <v>1435</v>
      </c>
      <c r="AD204" s="98">
        <f t="shared" si="61"/>
        <v>1410</v>
      </c>
      <c r="AE204" s="98">
        <f t="shared" si="61"/>
        <v>1395</v>
      </c>
      <c r="AF204" s="98">
        <f t="shared" si="62"/>
        <v>1375</v>
      </c>
      <c r="AG204" s="98">
        <f t="shared" si="62"/>
        <v>1350</v>
      </c>
      <c r="AH204" s="98">
        <f t="shared" si="62"/>
        <v>1160</v>
      </c>
      <c r="AI204" s="98">
        <f t="shared" si="62"/>
        <v>1090</v>
      </c>
      <c r="AJ204" s="98">
        <f t="shared" si="62"/>
        <v>1060</v>
      </c>
      <c r="AK204" s="98">
        <f t="shared" si="62"/>
        <v>780</v>
      </c>
      <c r="AL204" s="98">
        <f t="shared" si="62"/>
        <v>565</v>
      </c>
      <c r="AM204" s="98">
        <f t="shared" si="62"/>
        <v>410</v>
      </c>
      <c r="AN204" s="98">
        <f t="shared" si="62"/>
        <v>310</v>
      </c>
      <c r="AO204" s="98">
        <f t="shared" si="62"/>
        <v>225</v>
      </c>
      <c r="AP204" s="98">
        <f t="shared" si="62"/>
        <v>175</v>
      </c>
      <c r="AQ204" s="98">
        <f t="shared" si="62"/>
        <v>135</v>
      </c>
      <c r="AR204" s="98">
        <f t="shared" si="62"/>
        <v>100</v>
      </c>
      <c r="AS204" s="98">
        <f t="shared" si="62"/>
        <v>75</v>
      </c>
      <c r="AV204" s="101" t="str">
        <f t="shared" si="58"/>
        <v>1.110750</v>
      </c>
      <c r="AW204" s="101">
        <v>750</v>
      </c>
      <c r="AX204" s="92">
        <v>95</v>
      </c>
      <c r="AY204" s="92">
        <v>530</v>
      </c>
      <c r="AZ204" s="92">
        <v>710</v>
      </c>
      <c r="BA204" s="202">
        <v>1065</v>
      </c>
      <c r="BB204" s="202">
        <v>1595</v>
      </c>
      <c r="BC204" s="202">
        <v>2660</v>
      </c>
      <c r="BD204" s="202">
        <v>4430</v>
      </c>
      <c r="BF204" s="101" t="str">
        <f t="shared" si="59"/>
        <v>2.090750</v>
      </c>
      <c r="BG204" s="101">
        <v>750</v>
      </c>
      <c r="BH204" s="92">
        <v>95</v>
      </c>
      <c r="BI204" s="92">
        <v>470</v>
      </c>
      <c r="BJ204" s="92">
        <v>625</v>
      </c>
      <c r="BK204" s="92">
        <v>940</v>
      </c>
      <c r="BL204" s="202">
        <v>1410</v>
      </c>
      <c r="BM204" s="202">
        <v>2350</v>
      </c>
      <c r="BN204" s="202">
        <v>3920</v>
      </c>
      <c r="BP204" s="101" t="str">
        <f t="shared" si="60"/>
        <v>3.090750</v>
      </c>
      <c r="BQ204" s="101">
        <v>750</v>
      </c>
      <c r="BR204" s="92">
        <v>95</v>
      </c>
      <c r="BS204" s="92">
        <v>530</v>
      </c>
      <c r="BT204" s="92">
        <v>710</v>
      </c>
      <c r="BU204" s="202">
        <v>1065</v>
      </c>
      <c r="BV204" s="202">
        <v>1595</v>
      </c>
      <c r="BW204" s="202">
        <v>2660</v>
      </c>
      <c r="BX204" s="202">
        <v>4430</v>
      </c>
    </row>
    <row r="205" spans="1:76">
      <c r="A205" s="95"/>
      <c r="B205" s="96"/>
      <c r="C205" s="95"/>
      <c r="D205" s="95"/>
      <c r="E205" s="95"/>
      <c r="F205" s="95"/>
      <c r="G205" s="95"/>
      <c r="H205" s="95"/>
      <c r="I205" s="95"/>
      <c r="J205" s="95"/>
      <c r="K205" s="95"/>
      <c r="L205" s="95"/>
      <c r="M205" s="95"/>
      <c r="N205" s="95"/>
      <c r="O205" s="95"/>
      <c r="P205" s="95"/>
      <c r="Q205" s="95"/>
      <c r="R205" s="95"/>
      <c r="S205" s="99" t="s">
        <v>199</v>
      </c>
      <c r="T205" s="204" t="s">
        <v>211</v>
      </c>
      <c r="U205" s="98"/>
      <c r="V205" s="98">
        <f t="shared" si="61"/>
        <v>2250</v>
      </c>
      <c r="W205" s="98">
        <f t="shared" si="61"/>
        <v>2230</v>
      </c>
      <c r="X205" s="98">
        <f t="shared" si="61"/>
        <v>2000</v>
      </c>
      <c r="Y205" s="98">
        <f t="shared" si="61"/>
        <v>1845</v>
      </c>
      <c r="Z205" s="98">
        <f t="shared" si="61"/>
        <v>1740</v>
      </c>
      <c r="AA205" s="98">
        <f t="shared" si="61"/>
        <v>1670</v>
      </c>
      <c r="AB205" s="98">
        <f t="shared" si="61"/>
        <v>1640</v>
      </c>
      <c r="AC205" s="98">
        <f t="shared" si="61"/>
        <v>1625</v>
      </c>
      <c r="AD205" s="98">
        <f t="shared" si="61"/>
        <v>1595</v>
      </c>
      <c r="AE205" s="98">
        <f t="shared" si="61"/>
        <v>0</v>
      </c>
      <c r="AF205" s="98">
        <f t="shared" si="62"/>
        <v>0</v>
      </c>
      <c r="AG205" s="98">
        <f t="shared" si="62"/>
        <v>0</v>
      </c>
      <c r="AH205" s="98">
        <f t="shared" si="62"/>
        <v>0</v>
      </c>
      <c r="AI205" s="98">
        <f t="shared" si="62"/>
        <v>0</v>
      </c>
      <c r="AJ205" s="98">
        <f t="shared" si="62"/>
        <v>0</v>
      </c>
      <c r="AK205" s="98">
        <f t="shared" si="62"/>
        <v>0</v>
      </c>
      <c r="AL205" s="98">
        <f t="shared" si="62"/>
        <v>0</v>
      </c>
      <c r="AM205" s="98">
        <f t="shared" si="62"/>
        <v>0</v>
      </c>
      <c r="AN205" s="98">
        <f t="shared" si="62"/>
        <v>0</v>
      </c>
      <c r="AO205" s="98">
        <f t="shared" si="62"/>
        <v>0</v>
      </c>
      <c r="AP205" s="98">
        <f t="shared" si="62"/>
        <v>0</v>
      </c>
      <c r="AQ205" s="98">
        <f t="shared" si="62"/>
        <v>0</v>
      </c>
      <c r="AR205" s="98">
        <f t="shared" si="62"/>
        <v>0</v>
      </c>
      <c r="AS205" s="98">
        <f t="shared" si="62"/>
        <v>0</v>
      </c>
      <c r="AV205" s="101" t="str">
        <f t="shared" si="58"/>
        <v>1.110800</v>
      </c>
      <c r="AW205" s="101">
        <v>800</v>
      </c>
      <c r="AX205" s="92">
        <v>80</v>
      </c>
      <c r="AY205" s="92">
        <v>510</v>
      </c>
      <c r="AZ205" s="92">
        <v>675</v>
      </c>
      <c r="BA205" s="202">
        <v>1015</v>
      </c>
      <c r="BB205" s="202">
        <v>1525</v>
      </c>
      <c r="BC205" s="202">
        <v>2540</v>
      </c>
      <c r="BD205" s="202">
        <v>4230</v>
      </c>
      <c r="BF205" s="101" t="str">
        <f t="shared" si="59"/>
        <v>2.090800</v>
      </c>
      <c r="BG205" s="101">
        <v>800</v>
      </c>
      <c r="BH205" s="92">
        <v>80</v>
      </c>
      <c r="BI205" s="92">
        <v>465</v>
      </c>
      <c r="BJ205" s="92">
        <v>620</v>
      </c>
      <c r="BK205" s="92">
        <v>930</v>
      </c>
      <c r="BL205" s="202">
        <v>1395</v>
      </c>
      <c r="BM205" s="202">
        <v>2330</v>
      </c>
      <c r="BN205" s="202">
        <v>3880</v>
      </c>
      <c r="BP205" s="101" t="str">
        <f t="shared" si="60"/>
        <v>3.090800</v>
      </c>
      <c r="BQ205" s="101">
        <v>800</v>
      </c>
      <c r="BR205" s="92">
        <v>80</v>
      </c>
      <c r="BS205" s="92">
        <v>510</v>
      </c>
      <c r="BT205" s="92">
        <v>675</v>
      </c>
      <c r="BU205" s="202">
        <v>1015</v>
      </c>
      <c r="BV205" s="202">
        <v>1525</v>
      </c>
      <c r="BW205" s="202">
        <v>2540</v>
      </c>
      <c r="BX205" s="202">
        <v>4230</v>
      </c>
    </row>
    <row r="206" spans="1:76">
      <c r="A206" s="95"/>
      <c r="B206" s="96"/>
      <c r="C206" s="95"/>
      <c r="D206" s="95"/>
      <c r="E206" s="95"/>
      <c r="F206" s="95"/>
      <c r="G206" s="95"/>
      <c r="H206" s="95"/>
      <c r="I206" s="95"/>
      <c r="J206" s="95"/>
      <c r="K206" s="95"/>
      <c r="L206" s="95"/>
      <c r="M206" s="95"/>
      <c r="N206" s="95"/>
      <c r="O206" s="95"/>
      <c r="P206" s="95"/>
      <c r="Q206" s="95"/>
      <c r="R206" s="95"/>
      <c r="S206" s="99" t="s">
        <v>200</v>
      </c>
      <c r="T206" s="204" t="s">
        <v>212</v>
      </c>
      <c r="U206" s="98"/>
      <c r="V206" s="98">
        <f t="shared" si="61"/>
        <v>2160</v>
      </c>
      <c r="W206" s="98">
        <f t="shared" si="61"/>
        <v>1895</v>
      </c>
      <c r="X206" s="98">
        <f t="shared" si="61"/>
        <v>1740</v>
      </c>
      <c r="Y206" s="98">
        <f t="shared" si="61"/>
        <v>1625</v>
      </c>
      <c r="Z206" s="98">
        <f t="shared" si="61"/>
        <v>1540</v>
      </c>
      <c r="AA206" s="98">
        <f t="shared" si="61"/>
        <v>1485</v>
      </c>
      <c r="AB206" s="98">
        <f t="shared" si="61"/>
        <v>1455</v>
      </c>
      <c r="AC206" s="98">
        <f t="shared" si="61"/>
        <v>1435</v>
      </c>
      <c r="AD206" s="98">
        <f t="shared" si="61"/>
        <v>1410</v>
      </c>
      <c r="AE206" s="98">
        <f t="shared" si="61"/>
        <v>1395</v>
      </c>
      <c r="AF206" s="98">
        <f t="shared" si="62"/>
        <v>1375</v>
      </c>
      <c r="AG206" s="98">
        <f t="shared" si="62"/>
        <v>1350</v>
      </c>
      <c r="AH206" s="98">
        <f t="shared" si="62"/>
        <v>1160</v>
      </c>
      <c r="AI206" s="98">
        <f t="shared" si="62"/>
        <v>1020</v>
      </c>
      <c r="AJ206" s="98">
        <f t="shared" si="62"/>
        <v>730</v>
      </c>
      <c r="AK206" s="98">
        <f t="shared" si="62"/>
        <v>515</v>
      </c>
      <c r="AL206" s="98">
        <f t="shared" si="62"/>
        <v>370</v>
      </c>
      <c r="AM206" s="98">
        <f t="shared" si="62"/>
        <v>255</v>
      </c>
      <c r="AN206" s="98">
        <f t="shared" si="62"/>
        <v>155</v>
      </c>
      <c r="AO206" s="98">
        <f t="shared" si="62"/>
        <v>80</v>
      </c>
      <c r="AP206" s="98">
        <f t="shared" si="62"/>
        <v>50</v>
      </c>
      <c r="AQ206" s="98">
        <f t="shared" si="62"/>
        <v>40</v>
      </c>
      <c r="AR206" s="98">
        <f t="shared" si="62"/>
        <v>30</v>
      </c>
      <c r="AS206" s="98">
        <f t="shared" si="62"/>
        <v>20</v>
      </c>
      <c r="AV206" s="101" t="str">
        <f t="shared" si="58"/>
        <v>1.110850</v>
      </c>
      <c r="AW206" s="101">
        <v>850</v>
      </c>
      <c r="AX206" s="92">
        <v>65</v>
      </c>
      <c r="AY206" s="92">
        <v>485</v>
      </c>
      <c r="AZ206" s="92">
        <v>650</v>
      </c>
      <c r="BA206" s="92">
        <v>975</v>
      </c>
      <c r="BB206" s="202">
        <v>1460</v>
      </c>
      <c r="BC206" s="202">
        <v>2435</v>
      </c>
      <c r="BD206" s="202">
        <v>4060</v>
      </c>
      <c r="BF206" s="101" t="str">
        <f t="shared" si="59"/>
        <v>2.090850</v>
      </c>
      <c r="BG206" s="101">
        <v>850</v>
      </c>
      <c r="BH206" s="92">
        <v>65</v>
      </c>
      <c r="BI206" s="92">
        <v>460</v>
      </c>
      <c r="BJ206" s="92">
        <v>610</v>
      </c>
      <c r="BK206" s="92">
        <v>915</v>
      </c>
      <c r="BL206" s="202">
        <v>1375</v>
      </c>
      <c r="BM206" s="202">
        <v>2290</v>
      </c>
      <c r="BN206" s="202">
        <v>3820</v>
      </c>
      <c r="BP206" s="101" t="str">
        <f t="shared" si="60"/>
        <v>3.090850</v>
      </c>
      <c r="BQ206" s="101">
        <v>850</v>
      </c>
      <c r="BR206" s="92">
        <v>65</v>
      </c>
      <c r="BS206" s="92">
        <v>485</v>
      </c>
      <c r="BT206" s="92">
        <v>650</v>
      </c>
      <c r="BU206" s="92">
        <v>975</v>
      </c>
      <c r="BV206" s="202">
        <v>1460</v>
      </c>
      <c r="BW206" s="202">
        <v>2435</v>
      </c>
      <c r="BX206" s="202">
        <v>4060</v>
      </c>
    </row>
    <row r="207" spans="1:76">
      <c r="A207" s="95"/>
      <c r="B207" s="96"/>
      <c r="C207" s="95"/>
      <c r="D207" s="95"/>
      <c r="E207" s="95"/>
      <c r="F207" s="95"/>
      <c r="G207" s="95"/>
      <c r="H207" s="95"/>
      <c r="I207" s="95"/>
      <c r="J207" s="95"/>
      <c r="K207" s="95"/>
      <c r="L207" s="95"/>
      <c r="M207" s="95"/>
      <c r="N207" s="95"/>
      <c r="O207" s="95"/>
      <c r="P207" s="95"/>
      <c r="Q207" s="95"/>
      <c r="R207" s="95"/>
      <c r="S207" s="99" t="s">
        <v>201</v>
      </c>
      <c r="T207" s="204" t="s">
        <v>201</v>
      </c>
      <c r="U207" s="98"/>
      <c r="V207" s="98">
        <f t="shared" si="61"/>
        <v>2015</v>
      </c>
      <c r="W207" s="98">
        <f t="shared" si="61"/>
        <v>1650</v>
      </c>
      <c r="X207" s="98">
        <f t="shared" si="61"/>
        <v>1520</v>
      </c>
      <c r="Y207" s="98">
        <f t="shared" si="61"/>
        <v>1455</v>
      </c>
      <c r="Z207" s="98">
        <f t="shared" si="61"/>
        <v>1410</v>
      </c>
      <c r="AA207" s="98">
        <f t="shared" si="61"/>
        <v>1370</v>
      </c>
      <c r="AB207" s="98">
        <f t="shared" si="61"/>
        <v>1340</v>
      </c>
      <c r="AC207" s="98">
        <f t="shared" si="61"/>
        <v>1305</v>
      </c>
      <c r="AD207" s="98">
        <f t="shared" si="61"/>
        <v>1265</v>
      </c>
      <c r="AE207" s="98">
        <f t="shared" si="61"/>
        <v>1230</v>
      </c>
      <c r="AF207" s="98">
        <f t="shared" si="62"/>
        <v>1195</v>
      </c>
      <c r="AG207" s="98">
        <f t="shared" si="62"/>
        <v>1150</v>
      </c>
      <c r="AH207" s="98">
        <f t="shared" si="62"/>
        <v>1110</v>
      </c>
      <c r="AI207" s="98">
        <f t="shared" si="62"/>
        <v>1015</v>
      </c>
      <c r="AJ207" s="98">
        <f t="shared" si="62"/>
        <v>875</v>
      </c>
      <c r="AK207" s="98">
        <f t="shared" si="62"/>
        <v>670</v>
      </c>
      <c r="AL207" s="98">
        <f t="shared" si="62"/>
        <v>515</v>
      </c>
      <c r="AM207" s="98">
        <f t="shared" si="62"/>
        <v>390</v>
      </c>
      <c r="AN207" s="98">
        <f t="shared" si="62"/>
        <v>300</v>
      </c>
      <c r="AO207" s="98">
        <f t="shared" si="62"/>
        <v>235</v>
      </c>
      <c r="AP207" s="98">
        <f t="shared" si="62"/>
        <v>185</v>
      </c>
      <c r="AQ207" s="98">
        <f t="shared" si="62"/>
        <v>135</v>
      </c>
      <c r="AR207" s="98">
        <f t="shared" si="62"/>
        <v>95</v>
      </c>
      <c r="AS207" s="98">
        <f t="shared" si="62"/>
        <v>80</v>
      </c>
      <c r="AV207" s="101" t="str">
        <f t="shared" si="58"/>
        <v>1.110900</v>
      </c>
      <c r="AW207" s="101">
        <v>900</v>
      </c>
      <c r="AX207" s="92">
        <v>50</v>
      </c>
      <c r="AY207" s="92">
        <v>450</v>
      </c>
      <c r="AZ207" s="92">
        <v>600</v>
      </c>
      <c r="BA207" s="92">
        <v>900</v>
      </c>
      <c r="BB207" s="202">
        <v>1345</v>
      </c>
      <c r="BC207" s="202">
        <v>2245</v>
      </c>
      <c r="BD207" s="202">
        <v>3745</v>
      </c>
      <c r="BF207" s="101" t="str">
        <f t="shared" si="59"/>
        <v>2.090900</v>
      </c>
      <c r="BG207" s="101">
        <v>900</v>
      </c>
      <c r="BH207" s="92">
        <v>50</v>
      </c>
      <c r="BI207" s="92">
        <v>450</v>
      </c>
      <c r="BJ207" s="92">
        <v>600</v>
      </c>
      <c r="BK207" s="92">
        <v>900</v>
      </c>
      <c r="BL207" s="202">
        <v>1350</v>
      </c>
      <c r="BM207" s="202">
        <v>2245</v>
      </c>
      <c r="BN207" s="202">
        <v>3745</v>
      </c>
      <c r="BP207" s="101" t="str">
        <f t="shared" si="60"/>
        <v>3.090900</v>
      </c>
      <c r="BQ207" s="101">
        <v>900</v>
      </c>
      <c r="BR207" s="92">
        <v>50</v>
      </c>
      <c r="BS207" s="92">
        <v>450</v>
      </c>
      <c r="BT207" s="92">
        <v>600</v>
      </c>
      <c r="BU207" s="92">
        <v>900</v>
      </c>
      <c r="BV207" s="202">
        <v>1350</v>
      </c>
      <c r="BW207" s="202">
        <v>2245</v>
      </c>
      <c r="BX207" s="202">
        <v>3745</v>
      </c>
    </row>
    <row r="208" spans="1:76">
      <c r="A208" s="95"/>
      <c r="B208" s="96"/>
      <c r="C208" s="95"/>
      <c r="D208" s="95"/>
      <c r="E208" s="95"/>
      <c r="F208" s="95"/>
      <c r="G208" s="95"/>
      <c r="H208" s="95"/>
      <c r="I208" s="95"/>
      <c r="J208" s="95"/>
      <c r="K208" s="95"/>
      <c r="L208" s="95"/>
      <c r="M208" s="95"/>
      <c r="N208" s="95"/>
      <c r="O208" s="95"/>
      <c r="P208" s="95"/>
      <c r="Q208" s="95"/>
      <c r="R208" s="95"/>
      <c r="S208" s="99" t="s">
        <v>202</v>
      </c>
      <c r="T208" s="204" t="s">
        <v>202</v>
      </c>
      <c r="U208" s="98"/>
      <c r="V208" s="98">
        <f t="shared" si="61"/>
        <v>2160</v>
      </c>
      <c r="W208" s="98">
        <f t="shared" si="61"/>
        <v>1985</v>
      </c>
      <c r="X208" s="98">
        <f t="shared" si="61"/>
        <v>1850</v>
      </c>
      <c r="Y208" s="98">
        <f t="shared" si="61"/>
        <v>1730</v>
      </c>
      <c r="Z208" s="98">
        <f t="shared" si="61"/>
        <v>1625</v>
      </c>
      <c r="AA208" s="98">
        <f t="shared" si="61"/>
        <v>1550</v>
      </c>
      <c r="AB208" s="98">
        <f t="shared" si="61"/>
        <v>1520</v>
      </c>
      <c r="AC208" s="98">
        <f t="shared" si="61"/>
        <v>1490</v>
      </c>
      <c r="AD208" s="98">
        <f t="shared" si="61"/>
        <v>1475</v>
      </c>
      <c r="AE208" s="98">
        <f t="shared" si="61"/>
        <v>1460</v>
      </c>
      <c r="AF208" s="98">
        <f t="shared" si="62"/>
        <v>1455</v>
      </c>
      <c r="AG208" s="98">
        <f t="shared" si="62"/>
        <v>1350</v>
      </c>
      <c r="AH208" s="98">
        <f t="shared" si="62"/>
        <v>1160</v>
      </c>
      <c r="AI208" s="98">
        <f t="shared" si="62"/>
        <v>1090</v>
      </c>
      <c r="AJ208" s="98">
        <f t="shared" si="62"/>
        <v>1080</v>
      </c>
      <c r="AK208" s="98">
        <f t="shared" si="62"/>
        <v>935</v>
      </c>
      <c r="AL208" s="98">
        <f t="shared" si="62"/>
        <v>625</v>
      </c>
      <c r="AM208" s="98">
        <f t="shared" si="62"/>
        <v>455</v>
      </c>
      <c r="AN208" s="98">
        <f t="shared" si="62"/>
        <v>340</v>
      </c>
      <c r="AO208" s="98">
        <f t="shared" si="62"/>
        <v>225</v>
      </c>
      <c r="AP208" s="98">
        <f t="shared" si="62"/>
        <v>155</v>
      </c>
      <c r="AQ208" s="98">
        <f t="shared" si="62"/>
        <v>125</v>
      </c>
      <c r="AR208" s="98">
        <f t="shared" si="62"/>
        <v>95</v>
      </c>
      <c r="AS208" s="98">
        <f t="shared" si="62"/>
        <v>80</v>
      </c>
      <c r="AV208" s="101" t="str">
        <f t="shared" si="58"/>
        <v>1.110950</v>
      </c>
      <c r="AW208" s="101">
        <v>950</v>
      </c>
      <c r="AX208" s="92">
        <v>35</v>
      </c>
      <c r="AY208" s="92">
        <v>280</v>
      </c>
      <c r="AZ208" s="92">
        <v>375</v>
      </c>
      <c r="BA208" s="92">
        <v>560</v>
      </c>
      <c r="BB208" s="92">
        <v>845</v>
      </c>
      <c r="BC208" s="202">
        <v>1405</v>
      </c>
      <c r="BD208" s="202">
        <v>2345</v>
      </c>
      <c r="BF208" s="101" t="str">
        <f t="shared" si="59"/>
        <v>2.090950</v>
      </c>
      <c r="BG208" s="101">
        <v>950</v>
      </c>
      <c r="BH208" s="92">
        <v>35</v>
      </c>
      <c r="BI208" s="92">
        <v>385</v>
      </c>
      <c r="BJ208" s="92">
        <v>515</v>
      </c>
      <c r="BK208" s="92">
        <v>775</v>
      </c>
      <c r="BL208" s="202">
        <v>1160</v>
      </c>
      <c r="BM208" s="202">
        <v>1930</v>
      </c>
      <c r="BN208" s="202">
        <v>3220</v>
      </c>
      <c r="BP208" s="101" t="str">
        <f t="shared" si="60"/>
        <v>3.090950</v>
      </c>
      <c r="BQ208" s="101">
        <v>950</v>
      </c>
      <c r="BR208" s="92">
        <v>35</v>
      </c>
      <c r="BS208" s="92">
        <v>385</v>
      </c>
      <c r="BT208" s="92">
        <v>515</v>
      </c>
      <c r="BU208" s="92">
        <v>775</v>
      </c>
      <c r="BV208" s="202">
        <v>1160</v>
      </c>
      <c r="BW208" s="202">
        <v>1930</v>
      </c>
      <c r="BX208" s="202">
        <v>3220</v>
      </c>
    </row>
    <row r="209" spans="1:76">
      <c r="A209" s="95"/>
      <c r="B209" s="96"/>
      <c r="C209" s="95"/>
      <c r="D209" s="95"/>
      <c r="E209" s="95"/>
      <c r="F209" s="95"/>
      <c r="G209" s="95"/>
      <c r="H209" s="95"/>
      <c r="I209" s="95"/>
      <c r="J209" s="95"/>
      <c r="K209" s="95"/>
      <c r="L209" s="95"/>
      <c r="M209" s="95"/>
      <c r="N209" s="95"/>
      <c r="O209" s="95"/>
      <c r="P209" s="95"/>
      <c r="Q209" s="95"/>
      <c r="R209" s="95"/>
      <c r="S209" s="99" t="s">
        <v>203</v>
      </c>
      <c r="T209" s="204" t="s">
        <v>203</v>
      </c>
      <c r="U209" s="98"/>
      <c r="V209" s="98">
        <f t="shared" si="61"/>
        <v>2015</v>
      </c>
      <c r="W209" s="98">
        <f t="shared" si="61"/>
        <v>1650</v>
      </c>
      <c r="X209" s="98">
        <f t="shared" si="61"/>
        <v>1520</v>
      </c>
      <c r="Y209" s="98">
        <f t="shared" si="61"/>
        <v>1455</v>
      </c>
      <c r="Z209" s="98">
        <f t="shared" si="61"/>
        <v>1410</v>
      </c>
      <c r="AA209" s="98">
        <f t="shared" si="61"/>
        <v>1370</v>
      </c>
      <c r="AB209" s="98">
        <f t="shared" si="61"/>
        <v>1340</v>
      </c>
      <c r="AC209" s="98">
        <f t="shared" si="61"/>
        <v>1305</v>
      </c>
      <c r="AD209" s="98">
        <f t="shared" si="61"/>
        <v>1265</v>
      </c>
      <c r="AE209" s="98">
        <f t="shared" si="61"/>
        <v>1230</v>
      </c>
      <c r="AF209" s="98">
        <f t="shared" si="62"/>
        <v>1195</v>
      </c>
      <c r="AG209" s="98">
        <f t="shared" si="62"/>
        <v>1150</v>
      </c>
      <c r="AH209" s="98">
        <f t="shared" si="62"/>
        <v>1110</v>
      </c>
      <c r="AI209" s="98">
        <f t="shared" si="62"/>
        <v>1015</v>
      </c>
      <c r="AJ209" s="98">
        <f t="shared" si="62"/>
        <v>975</v>
      </c>
      <c r="AK209" s="98">
        <f t="shared" si="62"/>
        <v>875</v>
      </c>
      <c r="AL209" s="98">
        <f t="shared" si="62"/>
        <v>750</v>
      </c>
      <c r="AM209" s="98">
        <f t="shared" si="62"/>
        <v>615</v>
      </c>
      <c r="AN209" s="98">
        <f t="shared" si="62"/>
        <v>495</v>
      </c>
      <c r="AO209" s="98">
        <f t="shared" si="62"/>
        <v>360</v>
      </c>
      <c r="AP209" s="98">
        <f t="shared" si="62"/>
        <v>245</v>
      </c>
      <c r="AQ209" s="98">
        <f t="shared" si="62"/>
        <v>165</v>
      </c>
      <c r="AR209" s="98">
        <f t="shared" si="62"/>
        <v>115</v>
      </c>
      <c r="AS209" s="98">
        <f t="shared" si="62"/>
        <v>80</v>
      </c>
      <c r="AV209" s="101" t="str">
        <f t="shared" si="58"/>
        <v>1.111000</v>
      </c>
      <c r="AW209" s="101">
        <v>1000</v>
      </c>
      <c r="AX209" s="92">
        <v>20</v>
      </c>
      <c r="AY209" s="92">
        <v>165</v>
      </c>
      <c r="AZ209" s="92">
        <v>220</v>
      </c>
      <c r="BA209" s="92">
        <v>330</v>
      </c>
      <c r="BB209" s="92">
        <v>495</v>
      </c>
      <c r="BC209" s="92">
        <v>825</v>
      </c>
      <c r="BD209" s="202">
        <v>1370</v>
      </c>
      <c r="BF209" s="101" t="str">
        <f t="shared" si="59"/>
        <v>2.091000</v>
      </c>
      <c r="BG209" s="101">
        <v>1000</v>
      </c>
      <c r="BH209" s="92">
        <v>20</v>
      </c>
      <c r="BI209" s="92">
        <v>340</v>
      </c>
      <c r="BJ209" s="92">
        <v>455</v>
      </c>
      <c r="BK209" s="92">
        <v>680</v>
      </c>
      <c r="BL209" s="202">
        <v>1020</v>
      </c>
      <c r="BM209" s="202">
        <v>1695</v>
      </c>
      <c r="BN209" s="202">
        <v>2830</v>
      </c>
      <c r="BP209" s="101" t="str">
        <f t="shared" si="60"/>
        <v>3.091000</v>
      </c>
      <c r="BQ209" s="101">
        <v>1000</v>
      </c>
      <c r="BR209" s="92">
        <v>20</v>
      </c>
      <c r="BS209" s="92">
        <v>365</v>
      </c>
      <c r="BT209" s="92">
        <v>485</v>
      </c>
      <c r="BU209" s="92">
        <v>725</v>
      </c>
      <c r="BV209" s="202">
        <v>1090</v>
      </c>
      <c r="BW209" s="202">
        <v>1820</v>
      </c>
      <c r="BX209" s="202">
        <v>3030</v>
      </c>
    </row>
    <row r="210" spans="1:76">
      <c r="A210" s="95"/>
      <c r="B210" s="96"/>
      <c r="C210" s="95"/>
      <c r="D210" s="95"/>
      <c r="E210" s="95"/>
      <c r="F210" s="95"/>
      <c r="G210" s="95"/>
      <c r="H210" s="95"/>
      <c r="I210" s="95"/>
      <c r="J210" s="95"/>
      <c r="K210" s="95"/>
      <c r="L210" s="95"/>
      <c r="M210" s="95"/>
      <c r="N210" s="95"/>
      <c r="O210" s="95"/>
      <c r="P210" s="95"/>
      <c r="Q210" s="95"/>
      <c r="R210" s="95"/>
      <c r="S210" s="99" t="s">
        <v>86</v>
      </c>
      <c r="T210" s="204" t="s">
        <v>215</v>
      </c>
      <c r="U210" s="98"/>
      <c r="V210" s="98">
        <f t="shared" ref="V210:AE219" si="63">VLOOKUP($T210&amp;TEXT(V$1,"0000"),$BP$4:$BX$435,7)</f>
        <v>2250</v>
      </c>
      <c r="W210" s="98">
        <f t="shared" si="63"/>
        <v>2225</v>
      </c>
      <c r="X210" s="98">
        <f t="shared" si="63"/>
        <v>2130</v>
      </c>
      <c r="Y210" s="98">
        <f t="shared" si="63"/>
        <v>2045</v>
      </c>
      <c r="Z210" s="98">
        <f t="shared" si="63"/>
        <v>1965</v>
      </c>
      <c r="AA210" s="98">
        <f t="shared" si="63"/>
        <v>1815</v>
      </c>
      <c r="AB210" s="98">
        <f t="shared" si="63"/>
        <v>1765</v>
      </c>
      <c r="AC210" s="98">
        <f t="shared" si="63"/>
        <v>1705</v>
      </c>
      <c r="AD210" s="98">
        <f t="shared" si="63"/>
        <v>1595</v>
      </c>
      <c r="AE210" s="98">
        <f t="shared" si="63"/>
        <v>1525</v>
      </c>
      <c r="AF210" s="98">
        <f t="shared" ref="AF210:AS219" si="64">VLOOKUP($T210&amp;TEXT(AF$1,"0000"),$BP$4:$BX$435,7)</f>
        <v>0</v>
      </c>
      <c r="AG210" s="98">
        <f t="shared" si="64"/>
        <v>0</v>
      </c>
      <c r="AH210" s="98">
        <f t="shared" si="64"/>
        <v>0</v>
      </c>
      <c r="AI210" s="98">
        <f t="shared" si="64"/>
        <v>0</v>
      </c>
      <c r="AJ210" s="98">
        <f t="shared" si="64"/>
        <v>0</v>
      </c>
      <c r="AK210" s="98">
        <f t="shared" si="64"/>
        <v>0</v>
      </c>
      <c r="AL210" s="98">
        <f t="shared" si="64"/>
        <v>0</v>
      </c>
      <c r="AM210" s="98">
        <f t="shared" si="64"/>
        <v>0</v>
      </c>
      <c r="AN210" s="98">
        <f t="shared" si="64"/>
        <v>0</v>
      </c>
      <c r="AO210" s="98">
        <f t="shared" si="64"/>
        <v>0</v>
      </c>
      <c r="AP210" s="98">
        <f t="shared" si="64"/>
        <v>0</v>
      </c>
      <c r="AQ210" s="98">
        <f t="shared" si="64"/>
        <v>0</v>
      </c>
      <c r="AR210" s="98">
        <f t="shared" si="64"/>
        <v>0</v>
      </c>
      <c r="AS210" s="98">
        <f t="shared" si="64"/>
        <v>0</v>
      </c>
      <c r="AV210" s="101" t="str">
        <f t="shared" si="58"/>
        <v>1.111050</v>
      </c>
      <c r="AW210" s="101">
        <v>1050</v>
      </c>
      <c r="AY210" s="92">
        <v>165</v>
      </c>
      <c r="AZ210" s="92">
        <v>220</v>
      </c>
      <c r="BA210" s="92">
        <v>330</v>
      </c>
      <c r="BB210" s="92">
        <v>495</v>
      </c>
      <c r="BC210" s="92">
        <v>825</v>
      </c>
      <c r="BD210" s="202">
        <v>1370</v>
      </c>
      <c r="BF210" s="101" t="str">
        <f t="shared" si="59"/>
        <v>2.091050</v>
      </c>
      <c r="BG210" s="101">
        <v>1050</v>
      </c>
      <c r="BI210" s="92">
        <v>245</v>
      </c>
      <c r="BJ210" s="92">
        <v>325</v>
      </c>
      <c r="BK210" s="92">
        <v>485</v>
      </c>
      <c r="BL210" s="92">
        <v>730</v>
      </c>
      <c r="BM210" s="202">
        <v>1215</v>
      </c>
      <c r="BN210" s="202">
        <v>2030</v>
      </c>
      <c r="BP210" s="101" t="str">
        <f t="shared" si="60"/>
        <v>3.091050</v>
      </c>
      <c r="BQ210" s="101">
        <v>1050</v>
      </c>
      <c r="BS210" s="92">
        <v>360</v>
      </c>
      <c r="BT210" s="92">
        <v>480</v>
      </c>
      <c r="BU210" s="92">
        <v>720</v>
      </c>
      <c r="BV210" s="202">
        <v>1080</v>
      </c>
      <c r="BW210" s="202">
        <v>1800</v>
      </c>
      <c r="BX210" s="202">
        <v>3000</v>
      </c>
    </row>
    <row r="211" spans="1:76">
      <c r="A211" s="95"/>
      <c r="B211" s="96"/>
      <c r="C211" s="95"/>
      <c r="D211" s="95"/>
      <c r="E211" s="95"/>
      <c r="F211" s="95"/>
      <c r="G211" s="95"/>
      <c r="H211" s="95"/>
      <c r="I211" s="95"/>
      <c r="J211" s="95"/>
      <c r="K211" s="95"/>
      <c r="L211" s="95"/>
      <c r="M211" s="95"/>
      <c r="N211" s="95"/>
      <c r="O211" s="95"/>
      <c r="P211" s="95"/>
      <c r="Q211" s="95"/>
      <c r="R211" s="95"/>
      <c r="S211" s="99" t="s">
        <v>87</v>
      </c>
      <c r="T211" s="204" t="s">
        <v>216</v>
      </c>
      <c r="U211" s="98"/>
      <c r="V211" s="98">
        <f t="shared" si="63"/>
        <v>1440</v>
      </c>
      <c r="W211" s="98">
        <f t="shared" si="63"/>
        <v>1440</v>
      </c>
      <c r="X211" s="98">
        <f t="shared" si="63"/>
        <v>1440</v>
      </c>
      <c r="Y211" s="98">
        <f t="shared" si="63"/>
        <v>1440</v>
      </c>
      <c r="Z211" s="98">
        <f t="shared" si="63"/>
        <v>1360</v>
      </c>
      <c r="AA211" s="98">
        <f t="shared" si="63"/>
        <v>1240</v>
      </c>
      <c r="AB211" s="98">
        <f t="shared" si="63"/>
        <v>0</v>
      </c>
      <c r="AC211" s="98">
        <f t="shared" si="63"/>
        <v>0</v>
      </c>
      <c r="AD211" s="98">
        <f t="shared" si="63"/>
        <v>0</v>
      </c>
      <c r="AE211" s="98">
        <f t="shared" si="63"/>
        <v>0</v>
      </c>
      <c r="AF211" s="98">
        <f t="shared" si="64"/>
        <v>0</v>
      </c>
      <c r="AG211" s="98">
        <f t="shared" si="64"/>
        <v>0</v>
      </c>
      <c r="AH211" s="98">
        <f t="shared" si="64"/>
        <v>0</v>
      </c>
      <c r="AI211" s="98">
        <f t="shared" si="64"/>
        <v>0</v>
      </c>
      <c r="AJ211" s="98">
        <f t="shared" si="64"/>
        <v>0</v>
      </c>
      <c r="AK211" s="98">
        <f t="shared" si="64"/>
        <v>0</v>
      </c>
      <c r="AL211" s="98">
        <f t="shared" si="64"/>
        <v>0</v>
      </c>
      <c r="AM211" s="98">
        <f t="shared" si="64"/>
        <v>0</v>
      </c>
      <c r="AN211" s="98">
        <f t="shared" si="64"/>
        <v>0</v>
      </c>
      <c r="AO211" s="98">
        <f t="shared" si="64"/>
        <v>0</v>
      </c>
      <c r="AP211" s="98">
        <f t="shared" si="64"/>
        <v>0</v>
      </c>
      <c r="AQ211" s="98">
        <f t="shared" si="64"/>
        <v>0</v>
      </c>
      <c r="AR211" s="98">
        <f t="shared" si="64"/>
        <v>0</v>
      </c>
      <c r="AS211" s="98">
        <f t="shared" si="64"/>
        <v>0</v>
      </c>
      <c r="AV211" s="101" t="str">
        <f t="shared" si="58"/>
        <v>1.111100</v>
      </c>
      <c r="AW211" s="101">
        <v>1100</v>
      </c>
      <c r="AY211" s="92">
        <v>110</v>
      </c>
      <c r="AZ211" s="92">
        <v>145</v>
      </c>
      <c r="BA211" s="92">
        <v>220</v>
      </c>
      <c r="BB211" s="92">
        <v>330</v>
      </c>
      <c r="BC211" s="92">
        <v>550</v>
      </c>
      <c r="BD211" s="92">
        <v>915</v>
      </c>
      <c r="BF211" s="101" t="str">
        <f t="shared" si="59"/>
        <v>2.091100</v>
      </c>
      <c r="BG211" s="101">
        <v>1100</v>
      </c>
      <c r="BI211" s="92">
        <v>170</v>
      </c>
      <c r="BJ211" s="92">
        <v>230</v>
      </c>
      <c r="BK211" s="92">
        <v>345</v>
      </c>
      <c r="BL211" s="92">
        <v>515</v>
      </c>
      <c r="BM211" s="92">
        <v>855</v>
      </c>
      <c r="BN211" s="202">
        <v>1430</v>
      </c>
      <c r="BP211" s="101" t="str">
        <f t="shared" si="60"/>
        <v>3.091100</v>
      </c>
      <c r="BQ211" s="101">
        <v>1100</v>
      </c>
      <c r="BS211" s="92">
        <v>325</v>
      </c>
      <c r="BT211" s="92">
        <v>430</v>
      </c>
      <c r="BU211" s="92">
        <v>645</v>
      </c>
      <c r="BV211" s="92">
        <v>965</v>
      </c>
      <c r="BW211" s="202">
        <v>1610</v>
      </c>
      <c r="BX211" s="202">
        <v>2685</v>
      </c>
    </row>
    <row r="212" spans="1:76">
      <c r="A212" s="95"/>
      <c r="B212" s="96"/>
      <c r="C212" s="95"/>
      <c r="D212" s="95"/>
      <c r="E212" s="95"/>
      <c r="F212" s="95"/>
      <c r="G212" s="95"/>
      <c r="H212" s="95"/>
      <c r="I212" s="95"/>
      <c r="J212" s="95"/>
      <c r="K212" s="95"/>
      <c r="L212" s="95"/>
      <c r="M212" s="95"/>
      <c r="N212" s="95"/>
      <c r="O212" s="95"/>
      <c r="P212" s="95"/>
      <c r="Q212" s="95"/>
      <c r="R212" s="95"/>
      <c r="S212" s="99" t="s">
        <v>88</v>
      </c>
      <c r="T212" s="204" t="s">
        <v>217</v>
      </c>
      <c r="U212" s="98"/>
      <c r="V212" s="98">
        <f t="shared" si="63"/>
        <v>720</v>
      </c>
      <c r="W212" s="98">
        <f t="shared" si="63"/>
        <v>690</v>
      </c>
      <c r="X212" s="98">
        <f t="shared" si="63"/>
        <v>675</v>
      </c>
      <c r="Y212" s="98">
        <f t="shared" si="63"/>
        <v>675</v>
      </c>
      <c r="Z212" s="98">
        <f t="shared" si="63"/>
        <v>675</v>
      </c>
      <c r="AA212" s="98">
        <f t="shared" si="63"/>
        <v>675</v>
      </c>
      <c r="AB212" s="98">
        <f t="shared" si="63"/>
        <v>670</v>
      </c>
      <c r="AC212" s="98">
        <f t="shared" si="63"/>
        <v>670</v>
      </c>
      <c r="AD212" s="98">
        <f t="shared" si="63"/>
        <v>660</v>
      </c>
      <c r="AE212" s="98">
        <f t="shared" si="63"/>
        <v>650</v>
      </c>
      <c r="AF212" s="98">
        <f t="shared" si="64"/>
        <v>635</v>
      </c>
      <c r="AG212" s="98">
        <f t="shared" si="64"/>
        <v>620</v>
      </c>
      <c r="AH212" s="98">
        <f t="shared" si="64"/>
        <v>590</v>
      </c>
      <c r="AI212" s="98">
        <f t="shared" si="64"/>
        <v>570</v>
      </c>
      <c r="AJ212" s="98">
        <f t="shared" si="64"/>
        <v>245</v>
      </c>
      <c r="AK212" s="98">
        <f t="shared" si="64"/>
        <v>205</v>
      </c>
      <c r="AL212" s="98">
        <f t="shared" si="64"/>
        <v>155</v>
      </c>
      <c r="AM212" s="98">
        <f t="shared" si="64"/>
        <v>125</v>
      </c>
      <c r="AN212" s="98">
        <f t="shared" si="64"/>
        <v>0</v>
      </c>
      <c r="AO212" s="98">
        <f t="shared" si="64"/>
        <v>0</v>
      </c>
      <c r="AP212" s="98">
        <f t="shared" si="64"/>
        <v>0</v>
      </c>
      <c r="AQ212" s="98">
        <f t="shared" si="64"/>
        <v>0</v>
      </c>
      <c r="AR212" s="98">
        <f t="shared" si="64"/>
        <v>0</v>
      </c>
      <c r="AS212" s="98">
        <f t="shared" si="64"/>
        <v>0</v>
      </c>
      <c r="AV212" s="101" t="str">
        <f t="shared" si="58"/>
        <v>1.111150</v>
      </c>
      <c r="AW212" s="101">
        <v>1150</v>
      </c>
      <c r="AY212" s="92">
        <v>80</v>
      </c>
      <c r="AZ212" s="92">
        <v>110</v>
      </c>
      <c r="BA212" s="92">
        <v>165</v>
      </c>
      <c r="BB212" s="92">
        <v>245</v>
      </c>
      <c r="BC212" s="92">
        <v>410</v>
      </c>
      <c r="BD212" s="92">
        <v>685</v>
      </c>
      <c r="BF212" s="101" t="str">
        <f t="shared" si="59"/>
        <v>2.091150</v>
      </c>
      <c r="BG212" s="101">
        <v>1150</v>
      </c>
      <c r="BI212" s="92">
        <v>125</v>
      </c>
      <c r="BJ212" s="92">
        <v>165</v>
      </c>
      <c r="BK212" s="92">
        <v>245</v>
      </c>
      <c r="BL212" s="92">
        <v>370</v>
      </c>
      <c r="BM212" s="92">
        <v>615</v>
      </c>
      <c r="BN212" s="202">
        <v>1030</v>
      </c>
      <c r="BP212" s="101" t="str">
        <f t="shared" si="60"/>
        <v>3.091150</v>
      </c>
      <c r="BQ212" s="101">
        <v>1150</v>
      </c>
      <c r="BS212" s="92">
        <v>275</v>
      </c>
      <c r="BT212" s="92">
        <v>365</v>
      </c>
      <c r="BU212" s="92">
        <v>550</v>
      </c>
      <c r="BV212" s="92">
        <v>825</v>
      </c>
      <c r="BW212" s="202">
        <v>1370</v>
      </c>
      <c r="BX212" s="202">
        <v>2285</v>
      </c>
    </row>
    <row r="213" spans="1:76">
      <c r="A213" s="95"/>
      <c r="B213" s="96"/>
      <c r="C213" s="95"/>
      <c r="D213" s="95"/>
      <c r="E213" s="95"/>
      <c r="F213" s="95"/>
      <c r="G213" s="95"/>
      <c r="H213" s="95"/>
      <c r="I213" s="95"/>
      <c r="J213" s="95"/>
      <c r="K213" s="95"/>
      <c r="L213" s="95"/>
      <c r="M213" s="95"/>
      <c r="N213" s="95"/>
      <c r="O213" s="95"/>
      <c r="P213" s="95"/>
      <c r="Q213" s="95"/>
      <c r="R213" s="95"/>
      <c r="S213" s="99" t="s">
        <v>89</v>
      </c>
      <c r="T213" s="204" t="s">
        <v>218</v>
      </c>
      <c r="U213" s="98"/>
      <c r="V213" s="98">
        <f t="shared" si="63"/>
        <v>1800</v>
      </c>
      <c r="W213" s="98">
        <f t="shared" si="63"/>
        <v>1575</v>
      </c>
      <c r="X213" s="98">
        <f t="shared" si="63"/>
        <v>1470</v>
      </c>
      <c r="Y213" s="98">
        <f t="shared" si="63"/>
        <v>1420</v>
      </c>
      <c r="Z213" s="98">
        <f t="shared" si="63"/>
        <v>1420</v>
      </c>
      <c r="AA213" s="98">
        <f t="shared" si="63"/>
        <v>1420</v>
      </c>
      <c r="AB213" s="98">
        <f t="shared" si="63"/>
        <v>1420</v>
      </c>
      <c r="AC213" s="98">
        <f t="shared" si="63"/>
        <v>1410</v>
      </c>
      <c r="AD213" s="98">
        <f t="shared" si="63"/>
        <v>1395</v>
      </c>
      <c r="AE213" s="98">
        <f t="shared" si="63"/>
        <v>1375</v>
      </c>
      <c r="AF213" s="98">
        <f t="shared" si="64"/>
        <v>1130</v>
      </c>
      <c r="AG213" s="98">
        <f t="shared" si="64"/>
        <v>825</v>
      </c>
      <c r="AH213" s="98">
        <f t="shared" si="64"/>
        <v>0</v>
      </c>
      <c r="AI213" s="98">
        <f t="shared" si="64"/>
        <v>0</v>
      </c>
      <c r="AJ213" s="98">
        <f t="shared" si="64"/>
        <v>0</v>
      </c>
      <c r="AK213" s="98">
        <f t="shared" si="64"/>
        <v>0</v>
      </c>
      <c r="AL213" s="98">
        <f t="shared" si="64"/>
        <v>0</v>
      </c>
      <c r="AM213" s="98">
        <f t="shared" si="64"/>
        <v>0</v>
      </c>
      <c r="AN213" s="98">
        <f t="shared" si="64"/>
        <v>0</v>
      </c>
      <c r="AO213" s="98">
        <f t="shared" si="64"/>
        <v>0</v>
      </c>
      <c r="AP213" s="98">
        <f t="shared" si="64"/>
        <v>0</v>
      </c>
      <c r="AQ213" s="98">
        <f t="shared" si="64"/>
        <v>0</v>
      </c>
      <c r="AR213" s="98">
        <f t="shared" si="64"/>
        <v>0</v>
      </c>
      <c r="AS213" s="98">
        <f t="shared" si="64"/>
        <v>0</v>
      </c>
      <c r="AV213" s="101" t="str">
        <f t="shared" si="58"/>
        <v>1.111200</v>
      </c>
      <c r="AW213" s="101">
        <v>1200</v>
      </c>
      <c r="AY213" s="92">
        <v>45</v>
      </c>
      <c r="AZ213" s="92">
        <v>60</v>
      </c>
      <c r="BA213" s="92">
        <v>90</v>
      </c>
      <c r="BB213" s="92">
        <v>135</v>
      </c>
      <c r="BC213" s="92">
        <v>225</v>
      </c>
      <c r="BD213" s="92">
        <v>370</v>
      </c>
      <c r="BF213" s="101" t="str">
        <f t="shared" si="59"/>
        <v>2.091200</v>
      </c>
      <c r="BG213" s="101">
        <v>1200</v>
      </c>
      <c r="BI213" s="92">
        <v>85</v>
      </c>
      <c r="BJ213" s="92">
        <v>115</v>
      </c>
      <c r="BK213" s="92">
        <v>170</v>
      </c>
      <c r="BL213" s="92">
        <v>255</v>
      </c>
      <c r="BM213" s="92">
        <v>430</v>
      </c>
      <c r="BN213" s="92">
        <v>715</v>
      </c>
      <c r="BP213" s="101" t="str">
        <f t="shared" si="60"/>
        <v>3.091200</v>
      </c>
      <c r="BQ213" s="101">
        <v>1200</v>
      </c>
      <c r="BS213" s="92">
        <v>205</v>
      </c>
      <c r="BT213" s="92">
        <v>275</v>
      </c>
      <c r="BU213" s="92">
        <v>410</v>
      </c>
      <c r="BV213" s="92">
        <v>620</v>
      </c>
      <c r="BW213" s="202">
        <v>1030</v>
      </c>
      <c r="BX213" s="202">
        <v>1715</v>
      </c>
    </row>
    <row r="214" spans="1:76">
      <c r="A214" s="95"/>
      <c r="B214" s="96"/>
      <c r="C214" s="95"/>
      <c r="D214" s="95"/>
      <c r="E214" s="95"/>
      <c r="F214" s="95"/>
      <c r="G214" s="95"/>
      <c r="H214" s="95"/>
      <c r="I214" s="95"/>
      <c r="J214" s="95"/>
      <c r="K214" s="95"/>
      <c r="L214" s="95"/>
      <c r="M214" s="95"/>
      <c r="N214" s="95"/>
      <c r="O214" s="95"/>
      <c r="P214" s="95"/>
      <c r="Q214" s="95"/>
      <c r="R214" s="95"/>
      <c r="S214" s="99" t="s">
        <v>90</v>
      </c>
      <c r="T214" s="204" t="s">
        <v>219</v>
      </c>
      <c r="U214" s="98"/>
      <c r="V214" s="98">
        <f t="shared" si="63"/>
        <v>2250</v>
      </c>
      <c r="W214" s="98">
        <f t="shared" si="63"/>
        <v>2250</v>
      </c>
      <c r="X214" s="98">
        <f t="shared" si="63"/>
        <v>2185</v>
      </c>
      <c r="Y214" s="98">
        <f t="shared" si="63"/>
        <v>2115</v>
      </c>
      <c r="Z214" s="98">
        <f t="shared" si="63"/>
        <v>1995</v>
      </c>
      <c r="AA214" s="98">
        <f t="shared" si="63"/>
        <v>1815</v>
      </c>
      <c r="AB214" s="98">
        <f t="shared" si="63"/>
        <v>1765</v>
      </c>
      <c r="AC214" s="98">
        <f t="shared" si="63"/>
        <v>1705</v>
      </c>
      <c r="AD214" s="98">
        <f t="shared" si="63"/>
        <v>1595</v>
      </c>
      <c r="AE214" s="98">
        <f t="shared" si="63"/>
        <v>1525</v>
      </c>
      <c r="AF214" s="98">
        <f t="shared" si="64"/>
        <v>1460</v>
      </c>
      <c r="AG214" s="98">
        <f t="shared" si="64"/>
        <v>1350</v>
      </c>
      <c r="AH214" s="98">
        <f t="shared" si="64"/>
        <v>1090</v>
      </c>
      <c r="AI214" s="98">
        <f t="shared" si="64"/>
        <v>720</v>
      </c>
      <c r="AJ214" s="98">
        <f t="shared" si="64"/>
        <v>465</v>
      </c>
      <c r="AK214" s="98">
        <f t="shared" si="64"/>
        <v>310</v>
      </c>
      <c r="AL214" s="98">
        <f t="shared" si="64"/>
        <v>225</v>
      </c>
      <c r="AM214" s="98">
        <f t="shared" si="64"/>
        <v>205</v>
      </c>
      <c r="AN214" s="98">
        <f t="shared" si="64"/>
        <v>0</v>
      </c>
      <c r="AO214" s="98">
        <f t="shared" si="64"/>
        <v>0</v>
      </c>
      <c r="AP214" s="98">
        <f t="shared" si="64"/>
        <v>0</v>
      </c>
      <c r="AQ214" s="98">
        <f t="shared" si="64"/>
        <v>0</v>
      </c>
      <c r="AR214" s="98">
        <f t="shared" si="64"/>
        <v>0</v>
      </c>
      <c r="AS214" s="98">
        <f t="shared" si="64"/>
        <v>0</v>
      </c>
      <c r="AV214" s="101" t="str">
        <f t="shared" si="58"/>
        <v>1.111250</v>
      </c>
      <c r="AW214" s="101">
        <v>1250</v>
      </c>
      <c r="BF214" s="101" t="str">
        <f t="shared" si="59"/>
        <v>2.091250</v>
      </c>
      <c r="BG214" s="101">
        <v>1250</v>
      </c>
      <c r="BI214" s="92">
        <v>50</v>
      </c>
      <c r="BJ214" s="92">
        <v>70</v>
      </c>
      <c r="BK214" s="92">
        <v>105</v>
      </c>
      <c r="BL214" s="92">
        <v>155</v>
      </c>
      <c r="BM214" s="92">
        <v>255</v>
      </c>
      <c r="BN214" s="92">
        <v>430</v>
      </c>
      <c r="BP214" s="101" t="str">
        <f t="shared" si="60"/>
        <v>3.091250</v>
      </c>
      <c r="BQ214" s="101">
        <v>1250</v>
      </c>
      <c r="BS214" s="92">
        <v>180</v>
      </c>
      <c r="BT214" s="92">
        <v>245</v>
      </c>
      <c r="BU214" s="92">
        <v>365</v>
      </c>
      <c r="BV214" s="92">
        <v>545</v>
      </c>
      <c r="BW214" s="92">
        <v>910</v>
      </c>
      <c r="BX214" s="202">
        <v>1515</v>
      </c>
    </row>
    <row r="215" spans="1:76">
      <c r="A215" s="95"/>
      <c r="B215" s="96"/>
      <c r="C215" s="95"/>
      <c r="D215" s="95"/>
      <c r="E215" s="95"/>
      <c r="F215" s="95"/>
      <c r="G215" s="95"/>
      <c r="H215" s="95"/>
      <c r="I215" s="95"/>
      <c r="J215" s="95"/>
      <c r="K215" s="95"/>
      <c r="L215" s="95"/>
      <c r="M215" s="95"/>
      <c r="N215" s="95"/>
      <c r="O215" s="95"/>
      <c r="P215" s="95"/>
      <c r="Q215" s="95"/>
      <c r="R215" s="95"/>
      <c r="S215" s="99" t="s">
        <v>91</v>
      </c>
      <c r="T215" s="204" t="s">
        <v>220</v>
      </c>
      <c r="U215" s="98"/>
      <c r="V215" s="98">
        <f t="shared" si="63"/>
        <v>2160</v>
      </c>
      <c r="W215" s="98">
        <f t="shared" si="63"/>
        <v>1995</v>
      </c>
      <c r="X215" s="98">
        <f t="shared" si="63"/>
        <v>1915</v>
      </c>
      <c r="Y215" s="98">
        <f t="shared" si="63"/>
        <v>1860</v>
      </c>
      <c r="Z215" s="98">
        <f t="shared" si="63"/>
        <v>1805</v>
      </c>
      <c r="AA215" s="98">
        <f t="shared" si="63"/>
        <v>1765</v>
      </c>
      <c r="AB215" s="98">
        <f t="shared" si="63"/>
        <v>1735</v>
      </c>
      <c r="AC215" s="98">
        <f t="shared" si="63"/>
        <v>1705</v>
      </c>
      <c r="AD215" s="98">
        <f t="shared" si="63"/>
        <v>1595</v>
      </c>
      <c r="AE215" s="98">
        <f t="shared" si="63"/>
        <v>1525</v>
      </c>
      <c r="AF215" s="98">
        <f t="shared" si="64"/>
        <v>1460</v>
      </c>
      <c r="AG215" s="98">
        <f t="shared" si="64"/>
        <v>1350</v>
      </c>
      <c r="AH215" s="98">
        <f t="shared" si="64"/>
        <v>1160</v>
      </c>
      <c r="AI215" s="98">
        <f t="shared" si="64"/>
        <v>1090</v>
      </c>
      <c r="AJ215" s="98">
        <f t="shared" si="64"/>
        <v>1080</v>
      </c>
      <c r="AK215" s="98">
        <f t="shared" si="64"/>
        <v>965</v>
      </c>
      <c r="AL215" s="98">
        <f t="shared" si="64"/>
        <v>825</v>
      </c>
      <c r="AM215" s="98">
        <f t="shared" si="64"/>
        <v>620</v>
      </c>
      <c r="AN215" s="98">
        <f t="shared" si="64"/>
        <v>430</v>
      </c>
      <c r="AO215" s="98">
        <f t="shared" si="64"/>
        <v>205</v>
      </c>
      <c r="AP215" s="98">
        <f t="shared" si="64"/>
        <v>165</v>
      </c>
      <c r="AQ215" s="98">
        <f t="shared" si="64"/>
        <v>115</v>
      </c>
      <c r="AR215" s="98">
        <f t="shared" si="64"/>
        <v>105</v>
      </c>
      <c r="AS215" s="98">
        <f t="shared" si="64"/>
        <v>80</v>
      </c>
      <c r="AV215" s="101" t="str">
        <f t="shared" si="58"/>
        <v>1.111300</v>
      </c>
      <c r="AW215" s="101">
        <v>1300</v>
      </c>
      <c r="BF215" s="101" t="str">
        <f t="shared" si="59"/>
        <v>2.091300</v>
      </c>
      <c r="BG215" s="101">
        <v>1300</v>
      </c>
      <c r="BI215" s="92">
        <v>25</v>
      </c>
      <c r="BJ215" s="92">
        <v>35</v>
      </c>
      <c r="BK215" s="92">
        <v>55</v>
      </c>
      <c r="BL215" s="92">
        <v>80</v>
      </c>
      <c r="BM215" s="92">
        <v>135</v>
      </c>
      <c r="BN215" s="92">
        <v>230</v>
      </c>
      <c r="BP215" s="101" t="str">
        <f t="shared" si="60"/>
        <v>3.091300</v>
      </c>
      <c r="BQ215" s="101">
        <v>1300</v>
      </c>
      <c r="BS215" s="92">
        <v>140</v>
      </c>
      <c r="BT215" s="92">
        <v>185</v>
      </c>
      <c r="BU215" s="92">
        <v>275</v>
      </c>
      <c r="BV215" s="92">
        <v>410</v>
      </c>
      <c r="BW215" s="92">
        <v>685</v>
      </c>
      <c r="BX215" s="202">
        <v>1145</v>
      </c>
    </row>
    <row r="216" spans="1:76">
      <c r="A216" s="95"/>
      <c r="B216" s="96"/>
      <c r="C216" s="95"/>
      <c r="D216" s="95"/>
      <c r="E216" s="95"/>
      <c r="F216" s="95"/>
      <c r="G216" s="95"/>
      <c r="H216" s="95"/>
      <c r="I216" s="95"/>
      <c r="J216" s="95"/>
      <c r="K216" s="95"/>
      <c r="L216" s="95"/>
      <c r="M216" s="95"/>
      <c r="N216" s="95"/>
      <c r="O216" s="95"/>
      <c r="P216" s="95"/>
      <c r="Q216" s="95"/>
      <c r="R216" s="95"/>
      <c r="S216" s="99" t="s">
        <v>92</v>
      </c>
      <c r="T216" s="204" t="s">
        <v>221</v>
      </c>
      <c r="U216" s="98"/>
      <c r="V216" s="98">
        <f t="shared" si="63"/>
        <v>2250</v>
      </c>
      <c r="W216" s="98">
        <f t="shared" si="63"/>
        <v>2250</v>
      </c>
      <c r="X216" s="98">
        <f t="shared" si="63"/>
        <v>2185</v>
      </c>
      <c r="Y216" s="98">
        <f t="shared" si="63"/>
        <v>2115</v>
      </c>
      <c r="Z216" s="98">
        <f t="shared" si="63"/>
        <v>1995</v>
      </c>
      <c r="AA216" s="98">
        <f t="shared" si="63"/>
        <v>1815</v>
      </c>
      <c r="AB216" s="98">
        <f t="shared" si="63"/>
        <v>1765</v>
      </c>
      <c r="AC216" s="98">
        <f t="shared" si="63"/>
        <v>1705</v>
      </c>
      <c r="AD216" s="98">
        <f t="shared" si="63"/>
        <v>1595</v>
      </c>
      <c r="AE216" s="98">
        <f t="shared" si="63"/>
        <v>1525</v>
      </c>
      <c r="AF216" s="98">
        <f t="shared" si="64"/>
        <v>0</v>
      </c>
      <c r="AG216" s="98">
        <f t="shared" si="64"/>
        <v>0</v>
      </c>
      <c r="AH216" s="98">
        <f t="shared" si="64"/>
        <v>0</v>
      </c>
      <c r="AI216" s="98">
        <f t="shared" si="64"/>
        <v>0</v>
      </c>
      <c r="AJ216" s="98">
        <f t="shared" si="64"/>
        <v>0</v>
      </c>
      <c r="AK216" s="98">
        <f t="shared" si="64"/>
        <v>0</v>
      </c>
      <c r="AL216" s="98">
        <f t="shared" si="64"/>
        <v>0</v>
      </c>
      <c r="AM216" s="98">
        <f t="shared" si="64"/>
        <v>0</v>
      </c>
      <c r="AN216" s="98">
        <f t="shared" si="64"/>
        <v>0</v>
      </c>
      <c r="AO216" s="98">
        <f t="shared" si="64"/>
        <v>0</v>
      </c>
      <c r="AP216" s="98">
        <f t="shared" si="64"/>
        <v>0</v>
      </c>
      <c r="AQ216" s="98">
        <f t="shared" si="64"/>
        <v>0</v>
      </c>
      <c r="AR216" s="98">
        <f t="shared" si="64"/>
        <v>0</v>
      </c>
      <c r="AS216" s="98">
        <f t="shared" si="64"/>
        <v>0</v>
      </c>
      <c r="AV216" s="101" t="str">
        <f t="shared" si="58"/>
        <v>1.111350</v>
      </c>
      <c r="AW216" s="101">
        <v>1350</v>
      </c>
      <c r="BF216" s="101" t="str">
        <f t="shared" si="59"/>
        <v>2.091350</v>
      </c>
      <c r="BG216" s="101">
        <v>1350</v>
      </c>
      <c r="BI216" s="92">
        <v>15</v>
      </c>
      <c r="BJ216" s="92">
        <v>25</v>
      </c>
      <c r="BK216" s="92">
        <v>35</v>
      </c>
      <c r="BL216" s="92">
        <v>50</v>
      </c>
      <c r="BM216" s="92">
        <v>85</v>
      </c>
      <c r="BN216" s="92">
        <v>145</v>
      </c>
      <c r="BP216" s="101" t="str">
        <f t="shared" si="60"/>
        <v>3.091350</v>
      </c>
      <c r="BQ216" s="101">
        <v>1350</v>
      </c>
      <c r="BS216" s="92">
        <v>105</v>
      </c>
      <c r="BT216" s="92">
        <v>140</v>
      </c>
      <c r="BU216" s="92">
        <v>205</v>
      </c>
      <c r="BV216" s="92">
        <v>310</v>
      </c>
      <c r="BW216" s="92">
        <v>515</v>
      </c>
      <c r="BX216" s="92">
        <v>860</v>
      </c>
    </row>
    <row r="217" spans="1:76">
      <c r="A217" s="95"/>
      <c r="B217" s="96"/>
      <c r="C217" s="95"/>
      <c r="D217" s="95"/>
      <c r="E217" s="95"/>
      <c r="F217" s="95"/>
      <c r="G217" s="95"/>
      <c r="H217" s="95"/>
      <c r="I217" s="95"/>
      <c r="J217" s="95"/>
      <c r="K217" s="95"/>
      <c r="L217" s="95"/>
      <c r="M217" s="95"/>
      <c r="N217" s="95"/>
      <c r="O217" s="95"/>
      <c r="P217" s="95"/>
      <c r="Q217" s="95"/>
      <c r="R217" s="95"/>
      <c r="S217" s="99" t="s">
        <v>93</v>
      </c>
      <c r="T217" s="204" t="s">
        <v>222</v>
      </c>
      <c r="U217" s="98"/>
      <c r="V217" s="98">
        <f t="shared" si="63"/>
        <v>2250</v>
      </c>
      <c r="W217" s="98">
        <f t="shared" si="63"/>
        <v>2250</v>
      </c>
      <c r="X217" s="98">
        <f t="shared" si="63"/>
        <v>2185</v>
      </c>
      <c r="Y217" s="98">
        <f t="shared" si="63"/>
        <v>2095</v>
      </c>
      <c r="Z217" s="98">
        <f t="shared" si="63"/>
        <v>1995</v>
      </c>
      <c r="AA217" s="98">
        <f t="shared" si="63"/>
        <v>1815</v>
      </c>
      <c r="AB217" s="98">
        <f t="shared" si="63"/>
        <v>1765</v>
      </c>
      <c r="AC217" s="98">
        <f t="shared" si="63"/>
        <v>1705</v>
      </c>
      <c r="AD217" s="98">
        <f t="shared" si="63"/>
        <v>1595</v>
      </c>
      <c r="AE217" s="98">
        <f t="shared" si="63"/>
        <v>1525</v>
      </c>
      <c r="AF217" s="98">
        <f t="shared" si="64"/>
        <v>1460</v>
      </c>
      <c r="AG217" s="98">
        <f t="shared" si="64"/>
        <v>1350</v>
      </c>
      <c r="AH217" s="98">
        <f t="shared" si="64"/>
        <v>1160</v>
      </c>
      <c r="AI217" s="98">
        <f t="shared" si="64"/>
        <v>1090</v>
      </c>
      <c r="AJ217" s="98">
        <f t="shared" si="64"/>
        <v>1080</v>
      </c>
      <c r="AK217" s="98">
        <f t="shared" si="64"/>
        <v>965</v>
      </c>
      <c r="AL217" s="98">
        <f t="shared" si="64"/>
        <v>825</v>
      </c>
      <c r="AM217" s="98">
        <f t="shared" si="64"/>
        <v>615</v>
      </c>
      <c r="AN217" s="98">
        <f t="shared" si="64"/>
        <v>495</v>
      </c>
      <c r="AO217" s="98">
        <f t="shared" si="64"/>
        <v>360</v>
      </c>
      <c r="AP217" s="98">
        <f t="shared" si="64"/>
        <v>0</v>
      </c>
      <c r="AQ217" s="98">
        <f t="shared" si="64"/>
        <v>0</v>
      </c>
      <c r="AR217" s="98">
        <f t="shared" si="64"/>
        <v>0</v>
      </c>
      <c r="AS217" s="98">
        <f t="shared" si="64"/>
        <v>0</v>
      </c>
      <c r="AV217" s="101" t="str">
        <f t="shared" si="58"/>
        <v>1.111400</v>
      </c>
      <c r="AW217" s="101">
        <v>1400</v>
      </c>
      <c r="BF217" s="101" t="str">
        <f t="shared" si="59"/>
        <v>2.091400</v>
      </c>
      <c r="BG217" s="101">
        <v>1400</v>
      </c>
      <c r="BI217" s="92">
        <v>15</v>
      </c>
      <c r="BJ217" s="92">
        <v>20</v>
      </c>
      <c r="BK217" s="92">
        <v>25</v>
      </c>
      <c r="BL217" s="92">
        <v>40</v>
      </c>
      <c r="BM217" s="92">
        <v>70</v>
      </c>
      <c r="BN217" s="92">
        <v>115</v>
      </c>
      <c r="BP217" s="101" t="str">
        <f t="shared" si="60"/>
        <v>3.091400</v>
      </c>
      <c r="BQ217" s="101">
        <v>1400</v>
      </c>
      <c r="BS217" s="92">
        <v>75</v>
      </c>
      <c r="BT217" s="92">
        <v>100</v>
      </c>
      <c r="BU217" s="92">
        <v>150</v>
      </c>
      <c r="BV217" s="92">
        <v>225</v>
      </c>
      <c r="BW217" s="92">
        <v>380</v>
      </c>
      <c r="BX217" s="92">
        <v>630</v>
      </c>
    </row>
    <row r="218" spans="1:76">
      <c r="A218" s="95"/>
      <c r="B218" s="96"/>
      <c r="C218" s="95"/>
      <c r="D218" s="95"/>
      <c r="E218" s="95"/>
      <c r="F218" s="95"/>
      <c r="G218" s="95"/>
      <c r="H218" s="95"/>
      <c r="I218" s="95"/>
      <c r="J218" s="95"/>
      <c r="K218" s="95"/>
      <c r="L218" s="95"/>
      <c r="M218" s="95"/>
      <c r="N218" s="95"/>
      <c r="O218" s="95"/>
      <c r="P218" s="95"/>
      <c r="Q218" s="95"/>
      <c r="R218" s="95"/>
      <c r="S218" s="99" t="s">
        <v>94</v>
      </c>
      <c r="T218" s="204" t="s">
        <v>223</v>
      </c>
      <c r="U218" s="98"/>
      <c r="V218" s="98">
        <f t="shared" si="63"/>
        <v>2250</v>
      </c>
      <c r="W218" s="98">
        <f t="shared" si="63"/>
        <v>2250</v>
      </c>
      <c r="X218" s="98">
        <f t="shared" si="63"/>
        <v>2075</v>
      </c>
      <c r="Y218" s="98">
        <f t="shared" si="63"/>
        <v>1915</v>
      </c>
      <c r="Z218" s="98">
        <f t="shared" si="63"/>
        <v>1785</v>
      </c>
      <c r="AA218" s="98">
        <f t="shared" si="63"/>
        <v>1690</v>
      </c>
      <c r="AB218" s="98">
        <f t="shared" si="63"/>
        <v>1655</v>
      </c>
      <c r="AC218" s="98">
        <f t="shared" si="63"/>
        <v>1625</v>
      </c>
      <c r="AD218" s="98">
        <f t="shared" si="63"/>
        <v>1595</v>
      </c>
      <c r="AE218" s="98">
        <f t="shared" si="63"/>
        <v>1525</v>
      </c>
      <c r="AF218" s="98">
        <f t="shared" si="64"/>
        <v>1460</v>
      </c>
      <c r="AG218" s="98">
        <f t="shared" si="64"/>
        <v>1350</v>
      </c>
      <c r="AH218" s="98">
        <f t="shared" si="64"/>
        <v>1160</v>
      </c>
      <c r="AI218" s="98">
        <f t="shared" si="64"/>
        <v>1090</v>
      </c>
      <c r="AJ218" s="98">
        <f t="shared" si="64"/>
        <v>1080</v>
      </c>
      <c r="AK218" s="98">
        <f t="shared" si="64"/>
        <v>965</v>
      </c>
      <c r="AL218" s="98">
        <f t="shared" si="64"/>
        <v>825</v>
      </c>
      <c r="AM218" s="98">
        <f t="shared" si="64"/>
        <v>620</v>
      </c>
      <c r="AN218" s="98">
        <f t="shared" si="64"/>
        <v>545</v>
      </c>
      <c r="AO218" s="98">
        <f t="shared" si="64"/>
        <v>410</v>
      </c>
      <c r="AP218" s="98">
        <f t="shared" si="64"/>
        <v>310</v>
      </c>
      <c r="AQ218" s="98">
        <f t="shared" si="64"/>
        <v>225</v>
      </c>
      <c r="AR218" s="98">
        <f t="shared" si="64"/>
        <v>175</v>
      </c>
      <c r="AS218" s="98">
        <f t="shared" si="64"/>
        <v>125</v>
      </c>
      <c r="AV218" s="101" t="str">
        <f t="shared" si="58"/>
        <v>1.111450</v>
      </c>
      <c r="AW218" s="101">
        <v>1450</v>
      </c>
      <c r="BF218" s="101" t="str">
        <f t="shared" si="59"/>
        <v>2.091450</v>
      </c>
      <c r="BG218" s="101">
        <v>1450</v>
      </c>
      <c r="BI218" s="92">
        <v>10</v>
      </c>
      <c r="BJ218" s="92">
        <v>15</v>
      </c>
      <c r="BK218" s="92">
        <v>20</v>
      </c>
      <c r="BL218" s="92">
        <v>30</v>
      </c>
      <c r="BM218" s="92">
        <v>50</v>
      </c>
      <c r="BN218" s="92">
        <v>85</v>
      </c>
      <c r="BP218" s="101" t="str">
        <f t="shared" si="60"/>
        <v>3.091450</v>
      </c>
      <c r="BQ218" s="101">
        <v>1450</v>
      </c>
      <c r="BS218" s="92">
        <v>60</v>
      </c>
      <c r="BT218" s="92">
        <v>80</v>
      </c>
      <c r="BU218" s="92">
        <v>115</v>
      </c>
      <c r="BV218" s="92">
        <v>175</v>
      </c>
      <c r="BW218" s="92">
        <v>290</v>
      </c>
      <c r="BX218" s="92">
        <v>485</v>
      </c>
    </row>
    <row r="219" spans="1:76">
      <c r="A219" s="95"/>
      <c r="B219" s="96"/>
      <c r="C219" s="95"/>
      <c r="D219" s="95"/>
      <c r="E219" s="95"/>
      <c r="F219" s="95"/>
      <c r="G219" s="95"/>
      <c r="H219" s="95"/>
      <c r="I219" s="95"/>
      <c r="J219" s="95"/>
      <c r="K219" s="95"/>
      <c r="L219" s="95"/>
      <c r="M219" s="95"/>
      <c r="N219" s="95"/>
      <c r="O219" s="95"/>
      <c r="P219" s="95"/>
      <c r="Q219" s="95"/>
      <c r="R219" s="95"/>
      <c r="S219" s="99" t="s">
        <v>95</v>
      </c>
      <c r="T219" s="204" t="s">
        <v>95</v>
      </c>
      <c r="U219" s="98"/>
      <c r="V219" s="98">
        <f t="shared" si="63"/>
        <v>2250</v>
      </c>
      <c r="W219" s="98">
        <f t="shared" si="63"/>
        <v>2250</v>
      </c>
      <c r="X219" s="98">
        <f t="shared" si="63"/>
        <v>2050</v>
      </c>
      <c r="Y219" s="98">
        <f t="shared" si="63"/>
        <v>1915</v>
      </c>
      <c r="Z219" s="98">
        <f t="shared" si="63"/>
        <v>1850</v>
      </c>
      <c r="AA219" s="98">
        <f t="shared" si="63"/>
        <v>1780</v>
      </c>
      <c r="AB219" s="98">
        <f t="shared" si="63"/>
        <v>1715</v>
      </c>
      <c r="AC219" s="98">
        <f t="shared" si="63"/>
        <v>0</v>
      </c>
      <c r="AD219" s="98">
        <f t="shared" si="63"/>
        <v>0</v>
      </c>
      <c r="AE219" s="98">
        <f t="shared" si="63"/>
        <v>0</v>
      </c>
      <c r="AF219" s="98">
        <f t="shared" si="64"/>
        <v>0</v>
      </c>
      <c r="AG219" s="98">
        <f t="shared" si="64"/>
        <v>0</v>
      </c>
      <c r="AH219" s="98">
        <f t="shared" si="64"/>
        <v>0</v>
      </c>
      <c r="AI219" s="98">
        <f t="shared" si="64"/>
        <v>0</v>
      </c>
      <c r="AJ219" s="98">
        <f t="shared" si="64"/>
        <v>0</v>
      </c>
      <c r="AK219" s="98">
        <f t="shared" si="64"/>
        <v>0</v>
      </c>
      <c r="AL219" s="98">
        <f t="shared" si="64"/>
        <v>0</v>
      </c>
      <c r="AM219" s="98">
        <f t="shared" si="64"/>
        <v>0</v>
      </c>
      <c r="AN219" s="98">
        <f t="shared" si="64"/>
        <v>0</v>
      </c>
      <c r="AO219" s="98">
        <f t="shared" si="64"/>
        <v>0</v>
      </c>
      <c r="AP219" s="98">
        <f t="shared" si="64"/>
        <v>0</v>
      </c>
      <c r="AQ219" s="98">
        <f t="shared" si="64"/>
        <v>0</v>
      </c>
      <c r="AR219" s="98">
        <f t="shared" si="64"/>
        <v>0</v>
      </c>
      <c r="AS219" s="98">
        <f t="shared" si="64"/>
        <v>0</v>
      </c>
      <c r="AV219" s="101" t="str">
        <f t="shared" si="58"/>
        <v>1.111500</v>
      </c>
      <c r="AW219" s="101">
        <v>1500</v>
      </c>
      <c r="BF219" s="101" t="str">
        <f t="shared" si="59"/>
        <v>2.091500</v>
      </c>
      <c r="BG219" s="101">
        <v>1500</v>
      </c>
      <c r="BI219" s="92">
        <v>5</v>
      </c>
      <c r="BJ219" s="92">
        <v>10</v>
      </c>
      <c r="BK219" s="92">
        <v>15</v>
      </c>
      <c r="BL219" s="92">
        <v>20</v>
      </c>
      <c r="BM219" s="92">
        <v>35</v>
      </c>
      <c r="BN219" s="92">
        <v>55</v>
      </c>
      <c r="BP219" s="101" t="str">
        <f t="shared" si="60"/>
        <v>3.091500</v>
      </c>
      <c r="BQ219" s="101">
        <v>1500</v>
      </c>
      <c r="BS219" s="92">
        <v>40</v>
      </c>
      <c r="BT219" s="92">
        <v>55</v>
      </c>
      <c r="BU219" s="92">
        <v>85</v>
      </c>
      <c r="BV219" s="92">
        <v>125</v>
      </c>
      <c r="BW219" s="92">
        <v>205</v>
      </c>
      <c r="BX219" s="92">
        <v>345</v>
      </c>
    </row>
    <row r="220" spans="1:76">
      <c r="A220" s="95"/>
      <c r="B220" s="96"/>
      <c r="C220" s="95"/>
      <c r="D220" s="95"/>
      <c r="E220" s="95"/>
      <c r="F220" s="95"/>
      <c r="G220" s="95"/>
      <c r="H220" s="95"/>
      <c r="I220" s="95"/>
      <c r="J220" s="95"/>
      <c r="K220" s="95"/>
      <c r="L220" s="95"/>
      <c r="M220" s="95"/>
      <c r="N220" s="95"/>
      <c r="O220" s="95"/>
      <c r="P220" s="95"/>
      <c r="Q220" s="95"/>
      <c r="R220" s="95"/>
      <c r="S220" s="99" t="s">
        <v>96</v>
      </c>
      <c r="T220" s="204" t="s">
        <v>96</v>
      </c>
      <c r="U220" s="98"/>
      <c r="V220" s="98">
        <f t="shared" ref="V220:AE227" si="65">VLOOKUP($T220&amp;TEXT(V$1,"0000"),$BP$4:$BX$435,7)</f>
        <v>2230</v>
      </c>
      <c r="W220" s="98">
        <f t="shared" si="65"/>
        <v>1805</v>
      </c>
      <c r="X220" s="98">
        <f t="shared" si="65"/>
        <v>1635</v>
      </c>
      <c r="Y220" s="98">
        <f t="shared" si="65"/>
        <v>1500</v>
      </c>
      <c r="Z220" s="98">
        <f t="shared" si="65"/>
        <v>1370</v>
      </c>
      <c r="AA220" s="98">
        <f t="shared" si="65"/>
        <v>1280</v>
      </c>
      <c r="AB220" s="98">
        <f t="shared" si="65"/>
        <v>1255</v>
      </c>
      <c r="AC220" s="98">
        <f t="shared" si="65"/>
        <v>1230</v>
      </c>
      <c r="AD220" s="98">
        <f t="shared" si="65"/>
        <v>0</v>
      </c>
      <c r="AE220" s="98">
        <f t="shared" si="65"/>
        <v>0</v>
      </c>
      <c r="AF220" s="98">
        <f t="shared" ref="AF220:AS227" si="66">VLOOKUP($T220&amp;TEXT(AF$1,"0000"),$BP$4:$BX$435,7)</f>
        <v>0</v>
      </c>
      <c r="AG220" s="98">
        <f t="shared" si="66"/>
        <v>0</v>
      </c>
      <c r="AH220" s="98">
        <f t="shared" si="66"/>
        <v>0</v>
      </c>
      <c r="AI220" s="98">
        <f t="shared" si="66"/>
        <v>0</v>
      </c>
      <c r="AJ220" s="98">
        <f t="shared" si="66"/>
        <v>0</v>
      </c>
      <c r="AK220" s="98">
        <f t="shared" si="66"/>
        <v>0</v>
      </c>
      <c r="AL220" s="98">
        <f t="shared" si="66"/>
        <v>0</v>
      </c>
      <c r="AM220" s="98">
        <f t="shared" si="66"/>
        <v>0</v>
      </c>
      <c r="AN220" s="98">
        <f t="shared" si="66"/>
        <v>0</v>
      </c>
      <c r="AO220" s="98">
        <f t="shared" si="66"/>
        <v>0</v>
      </c>
      <c r="AP220" s="98">
        <f t="shared" si="66"/>
        <v>0</v>
      </c>
      <c r="AQ220" s="98">
        <f t="shared" si="66"/>
        <v>0</v>
      </c>
      <c r="AR220" s="98">
        <f t="shared" si="66"/>
        <v>0</v>
      </c>
      <c r="AS220" s="98">
        <f t="shared" si="66"/>
        <v>0</v>
      </c>
      <c r="AU220" s="92">
        <v>1.1299999999999999</v>
      </c>
      <c r="AV220" s="101" t="str">
        <f>AU$220&amp;TEXT(AW220,"0000")</f>
        <v>1.130100</v>
      </c>
      <c r="AW220" s="92">
        <v>100</v>
      </c>
      <c r="AX220" s="92">
        <v>290</v>
      </c>
      <c r="AY220" s="92">
        <v>750</v>
      </c>
      <c r="AZ220" s="202">
        <v>1000</v>
      </c>
      <c r="BA220" s="202">
        <v>1500</v>
      </c>
      <c r="BB220" s="202">
        <v>2250</v>
      </c>
      <c r="BC220" s="202">
        <v>3750</v>
      </c>
      <c r="BD220" s="202">
        <v>6250</v>
      </c>
      <c r="BE220" s="203" t="str">
        <f>TEXT(2.1,"0.00")</f>
        <v>2.10</v>
      </c>
      <c r="BF220" s="101" t="str">
        <f>BE$220&amp;TEXT(BG220,"0000")</f>
        <v>2.100100</v>
      </c>
      <c r="BG220" s="92">
        <v>100</v>
      </c>
      <c r="BH220" s="92">
        <v>260</v>
      </c>
      <c r="BI220" s="92">
        <v>670</v>
      </c>
      <c r="BJ220" s="92">
        <v>895</v>
      </c>
      <c r="BK220" s="202">
        <v>1345</v>
      </c>
      <c r="BL220" s="202">
        <v>2015</v>
      </c>
      <c r="BM220" s="202">
        <v>3360</v>
      </c>
      <c r="BN220" s="202">
        <v>5600</v>
      </c>
      <c r="BO220" s="203" t="str">
        <f>TEXT(3.1,"0.00")</f>
        <v>3.10</v>
      </c>
      <c r="BP220" s="101" t="str">
        <f>BO$220&amp;TEXT(BQ220,"0000")</f>
        <v>3.100100</v>
      </c>
      <c r="BQ220" s="92">
        <v>100</v>
      </c>
      <c r="BR220" s="92">
        <v>290</v>
      </c>
      <c r="BS220" s="92">
        <v>750</v>
      </c>
      <c r="BT220" s="202">
        <v>1000</v>
      </c>
      <c r="BU220" s="202">
        <v>1500</v>
      </c>
      <c r="BV220" s="202">
        <v>2250</v>
      </c>
      <c r="BW220" s="202">
        <v>3750</v>
      </c>
      <c r="BX220" s="202">
        <v>6250</v>
      </c>
    </row>
    <row r="221" spans="1:76">
      <c r="A221" s="95"/>
      <c r="B221" s="96"/>
      <c r="C221" s="95"/>
      <c r="D221" s="95"/>
      <c r="E221" s="95"/>
      <c r="F221" s="95"/>
      <c r="G221" s="95"/>
      <c r="H221" s="95"/>
      <c r="I221" s="95"/>
      <c r="J221" s="95"/>
      <c r="K221" s="95"/>
      <c r="L221" s="95"/>
      <c r="M221" s="95"/>
      <c r="N221" s="95"/>
      <c r="O221" s="95"/>
      <c r="P221" s="95"/>
      <c r="Q221" s="95"/>
      <c r="R221" s="95"/>
      <c r="S221" s="99" t="s">
        <v>97</v>
      </c>
      <c r="T221" s="204" t="s">
        <v>97</v>
      </c>
      <c r="U221" s="98"/>
      <c r="V221" s="98">
        <f t="shared" si="65"/>
        <v>2015</v>
      </c>
      <c r="W221" s="98">
        <f t="shared" si="65"/>
        <v>1865</v>
      </c>
      <c r="X221" s="98">
        <f t="shared" si="65"/>
        <v>1750</v>
      </c>
      <c r="Y221" s="98">
        <f t="shared" si="65"/>
        <v>1615</v>
      </c>
      <c r="Z221" s="98">
        <f t="shared" si="65"/>
        <v>1500</v>
      </c>
      <c r="AA221" s="98">
        <f t="shared" si="65"/>
        <v>1420</v>
      </c>
      <c r="AB221" s="98">
        <f t="shared" si="65"/>
        <v>1380</v>
      </c>
      <c r="AC221" s="98">
        <f t="shared" si="65"/>
        <v>1355</v>
      </c>
      <c r="AD221" s="98">
        <f t="shared" si="65"/>
        <v>1325</v>
      </c>
      <c r="AE221" s="98">
        <f t="shared" si="65"/>
        <v>1295</v>
      </c>
      <c r="AF221" s="98">
        <f t="shared" si="66"/>
        <v>0</v>
      </c>
      <c r="AG221" s="98">
        <f t="shared" si="66"/>
        <v>0</v>
      </c>
      <c r="AH221" s="98">
        <f t="shared" si="66"/>
        <v>0</v>
      </c>
      <c r="AI221" s="98">
        <f t="shared" si="66"/>
        <v>0</v>
      </c>
      <c r="AJ221" s="98">
        <f t="shared" si="66"/>
        <v>0</v>
      </c>
      <c r="AK221" s="98">
        <f t="shared" si="66"/>
        <v>0</v>
      </c>
      <c r="AL221" s="98">
        <f t="shared" si="66"/>
        <v>0</v>
      </c>
      <c r="AM221" s="98">
        <f t="shared" si="66"/>
        <v>0</v>
      </c>
      <c r="AN221" s="98">
        <f t="shared" si="66"/>
        <v>0</v>
      </c>
      <c r="AO221" s="98">
        <f t="shared" si="66"/>
        <v>0</v>
      </c>
      <c r="AP221" s="98">
        <f t="shared" si="66"/>
        <v>0</v>
      </c>
      <c r="AQ221" s="98">
        <f t="shared" si="66"/>
        <v>0</v>
      </c>
      <c r="AR221" s="98">
        <f t="shared" si="66"/>
        <v>0</v>
      </c>
      <c r="AS221" s="98">
        <f t="shared" si="66"/>
        <v>0</v>
      </c>
      <c r="AV221" s="101" t="str">
        <f t="shared" ref="AV221:AV243" si="67">AU$220&amp;TEXT(AW221,"0000")</f>
        <v>1.130200</v>
      </c>
      <c r="AW221" s="101">
        <v>200</v>
      </c>
      <c r="AX221" s="92">
        <v>260</v>
      </c>
      <c r="AY221" s="92">
        <v>750</v>
      </c>
      <c r="AZ221" s="202">
        <v>1000</v>
      </c>
      <c r="BA221" s="202">
        <v>1500</v>
      </c>
      <c r="BB221" s="202">
        <v>2250</v>
      </c>
      <c r="BC221" s="202">
        <v>3750</v>
      </c>
      <c r="BD221" s="202">
        <v>6250</v>
      </c>
      <c r="BF221" s="101" t="str">
        <f t="shared" ref="BF221:BF243" si="68">BE$220&amp;TEXT(BG221,"0000")</f>
        <v>2.100200</v>
      </c>
      <c r="BG221" s="101">
        <v>200</v>
      </c>
      <c r="BH221" s="92">
        <v>210</v>
      </c>
      <c r="BI221" s="92">
        <v>550</v>
      </c>
      <c r="BJ221" s="92">
        <v>735</v>
      </c>
      <c r="BK221" s="202">
        <v>1100</v>
      </c>
      <c r="BL221" s="202">
        <v>1650</v>
      </c>
      <c r="BM221" s="202">
        <v>2750</v>
      </c>
      <c r="BN221" s="202">
        <v>4580</v>
      </c>
      <c r="BP221" s="101" t="str">
        <f t="shared" ref="BP221:BP243" si="69">BO$220&amp;TEXT(BQ221,"0000")</f>
        <v>3.100200</v>
      </c>
      <c r="BQ221" s="101">
        <v>200</v>
      </c>
      <c r="BR221" s="92">
        <v>260</v>
      </c>
      <c r="BS221" s="92">
        <v>750</v>
      </c>
      <c r="BT221" s="202">
        <v>1000</v>
      </c>
      <c r="BU221" s="202">
        <v>1500</v>
      </c>
      <c r="BV221" s="202">
        <v>2250</v>
      </c>
      <c r="BW221" s="202">
        <v>3750</v>
      </c>
      <c r="BX221" s="202">
        <v>6250</v>
      </c>
    </row>
    <row r="222" spans="1:76">
      <c r="A222" s="95"/>
      <c r="B222" s="96"/>
      <c r="C222" s="95"/>
      <c r="D222" s="95"/>
      <c r="E222" s="95"/>
      <c r="F222" s="95"/>
      <c r="G222" s="95"/>
      <c r="H222" s="95"/>
      <c r="I222" s="95"/>
      <c r="J222" s="95"/>
      <c r="K222" s="95"/>
      <c r="L222" s="95"/>
      <c r="M222" s="95"/>
      <c r="N222" s="95"/>
      <c r="O222" s="95"/>
      <c r="P222" s="95"/>
      <c r="Q222" s="95"/>
      <c r="R222" s="95"/>
      <c r="S222" s="99" t="s">
        <v>98</v>
      </c>
      <c r="T222" s="204" t="s">
        <v>98</v>
      </c>
      <c r="U222" s="98"/>
      <c r="V222" s="98">
        <f t="shared" si="65"/>
        <v>2250</v>
      </c>
      <c r="W222" s="98">
        <f t="shared" si="65"/>
        <v>2110</v>
      </c>
      <c r="X222" s="98">
        <f t="shared" si="65"/>
        <v>1995</v>
      </c>
      <c r="Y222" s="98">
        <f t="shared" si="65"/>
        <v>1885</v>
      </c>
      <c r="Z222" s="98">
        <f t="shared" si="65"/>
        <v>1785</v>
      </c>
      <c r="AA222" s="98">
        <f t="shared" si="65"/>
        <v>1685</v>
      </c>
      <c r="AB222" s="98">
        <f t="shared" si="65"/>
        <v>1650</v>
      </c>
      <c r="AC222" s="98">
        <f t="shared" si="65"/>
        <v>1620</v>
      </c>
      <c r="AD222" s="98">
        <f t="shared" si="65"/>
        <v>1595</v>
      </c>
      <c r="AE222" s="98">
        <f t="shared" si="65"/>
        <v>1525</v>
      </c>
      <c r="AF222" s="98">
        <f t="shared" si="66"/>
        <v>0</v>
      </c>
      <c r="AG222" s="98">
        <f t="shared" si="66"/>
        <v>0</v>
      </c>
      <c r="AH222" s="98">
        <f t="shared" si="66"/>
        <v>0</v>
      </c>
      <c r="AI222" s="98">
        <f t="shared" si="66"/>
        <v>0</v>
      </c>
      <c r="AJ222" s="98">
        <f t="shared" si="66"/>
        <v>0</v>
      </c>
      <c r="AK222" s="98">
        <f t="shared" si="66"/>
        <v>0</v>
      </c>
      <c r="AL222" s="98">
        <f t="shared" si="66"/>
        <v>0</v>
      </c>
      <c r="AM222" s="98">
        <f t="shared" si="66"/>
        <v>0</v>
      </c>
      <c r="AN222" s="98">
        <f t="shared" si="66"/>
        <v>0</v>
      </c>
      <c r="AO222" s="98">
        <f t="shared" si="66"/>
        <v>0</v>
      </c>
      <c r="AP222" s="98">
        <f t="shared" si="66"/>
        <v>0</v>
      </c>
      <c r="AQ222" s="98">
        <f t="shared" si="66"/>
        <v>0</v>
      </c>
      <c r="AR222" s="98">
        <f t="shared" si="66"/>
        <v>0</v>
      </c>
      <c r="AS222" s="98">
        <f t="shared" si="66"/>
        <v>0</v>
      </c>
      <c r="AV222" s="101" t="str">
        <f t="shared" si="67"/>
        <v>1.130300</v>
      </c>
      <c r="AW222" s="101">
        <v>300</v>
      </c>
      <c r="AX222" s="92">
        <v>230</v>
      </c>
      <c r="AY222" s="92">
        <v>730</v>
      </c>
      <c r="AZ222" s="92">
        <v>970</v>
      </c>
      <c r="BA222" s="202">
        <v>1455</v>
      </c>
      <c r="BB222" s="202">
        <v>2185</v>
      </c>
      <c r="BC222" s="202">
        <v>3640</v>
      </c>
      <c r="BD222" s="202">
        <v>6070</v>
      </c>
      <c r="BF222" s="101" t="str">
        <f t="shared" si="68"/>
        <v>2.100300</v>
      </c>
      <c r="BG222" s="101">
        <v>300</v>
      </c>
      <c r="BH222" s="92">
        <v>195</v>
      </c>
      <c r="BI222" s="92">
        <v>505</v>
      </c>
      <c r="BJ222" s="92">
        <v>675</v>
      </c>
      <c r="BK222" s="202">
        <v>1015</v>
      </c>
      <c r="BL222" s="202">
        <v>1520</v>
      </c>
      <c r="BM222" s="202">
        <v>2530</v>
      </c>
      <c r="BN222" s="202">
        <v>4220</v>
      </c>
      <c r="BP222" s="101" t="str">
        <f t="shared" si="69"/>
        <v>3.100300</v>
      </c>
      <c r="BQ222" s="101">
        <v>300</v>
      </c>
      <c r="BR222" s="92">
        <v>230</v>
      </c>
      <c r="BS222" s="92">
        <v>685</v>
      </c>
      <c r="BT222" s="92">
        <v>910</v>
      </c>
      <c r="BU222" s="202">
        <v>1370</v>
      </c>
      <c r="BV222" s="202">
        <v>2050</v>
      </c>
      <c r="BW222" s="202">
        <v>3420</v>
      </c>
      <c r="BX222" s="202">
        <v>5700</v>
      </c>
    </row>
    <row r="223" spans="1:76">
      <c r="A223" s="95"/>
      <c r="B223" s="96"/>
      <c r="C223" s="95"/>
      <c r="D223" s="95"/>
      <c r="E223" s="95"/>
      <c r="F223" s="95"/>
      <c r="G223" s="95"/>
      <c r="H223" s="95"/>
      <c r="I223" s="95"/>
      <c r="J223" s="95"/>
      <c r="K223" s="95"/>
      <c r="L223" s="95"/>
      <c r="M223" s="95"/>
      <c r="N223" s="95"/>
      <c r="O223" s="95"/>
      <c r="P223" s="95"/>
      <c r="Q223" s="95"/>
      <c r="R223" s="95"/>
      <c r="S223" s="99" t="s">
        <v>99</v>
      </c>
      <c r="T223" s="204" t="s">
        <v>99</v>
      </c>
      <c r="U223" s="98"/>
      <c r="V223" s="98">
        <f t="shared" si="65"/>
        <v>2160</v>
      </c>
      <c r="W223" s="98">
        <f t="shared" si="65"/>
        <v>1945</v>
      </c>
      <c r="X223" s="98">
        <f t="shared" si="65"/>
        <v>1800</v>
      </c>
      <c r="Y223" s="98">
        <f t="shared" si="65"/>
        <v>1690</v>
      </c>
      <c r="Z223" s="98">
        <f t="shared" si="65"/>
        <v>1615</v>
      </c>
      <c r="AA223" s="98">
        <f t="shared" si="65"/>
        <v>1555</v>
      </c>
      <c r="AB223" s="98">
        <f t="shared" si="65"/>
        <v>1535</v>
      </c>
      <c r="AC223" s="98">
        <f t="shared" si="65"/>
        <v>1520</v>
      </c>
      <c r="AD223" s="98">
        <f t="shared" si="65"/>
        <v>1505</v>
      </c>
      <c r="AE223" s="98">
        <f t="shared" si="65"/>
        <v>1500</v>
      </c>
      <c r="AF223" s="98">
        <f t="shared" si="66"/>
        <v>1460</v>
      </c>
      <c r="AG223" s="98">
        <f t="shared" si="66"/>
        <v>1350</v>
      </c>
      <c r="AH223" s="98">
        <f t="shared" si="66"/>
        <v>1160</v>
      </c>
      <c r="AI223" s="98">
        <f t="shared" si="66"/>
        <v>1090</v>
      </c>
      <c r="AJ223" s="98">
        <f t="shared" si="66"/>
        <v>0</v>
      </c>
      <c r="AK223" s="98">
        <f t="shared" si="66"/>
        <v>0</v>
      </c>
      <c r="AL223" s="98">
        <f t="shared" si="66"/>
        <v>0</v>
      </c>
      <c r="AM223" s="98">
        <f t="shared" si="66"/>
        <v>0</v>
      </c>
      <c r="AN223" s="98">
        <f t="shared" si="66"/>
        <v>0</v>
      </c>
      <c r="AO223" s="98">
        <f t="shared" si="66"/>
        <v>0</v>
      </c>
      <c r="AP223" s="98">
        <f t="shared" si="66"/>
        <v>0</v>
      </c>
      <c r="AQ223" s="98">
        <f t="shared" si="66"/>
        <v>0</v>
      </c>
      <c r="AR223" s="98">
        <f t="shared" si="66"/>
        <v>0</v>
      </c>
      <c r="AS223" s="98">
        <f t="shared" si="66"/>
        <v>0</v>
      </c>
      <c r="AV223" s="101" t="str">
        <f t="shared" si="67"/>
        <v>1.130400</v>
      </c>
      <c r="AW223" s="101">
        <v>400</v>
      </c>
      <c r="AX223" s="92">
        <v>200</v>
      </c>
      <c r="AY223" s="92">
        <v>705</v>
      </c>
      <c r="AZ223" s="92">
        <v>940</v>
      </c>
      <c r="BA223" s="202">
        <v>1410</v>
      </c>
      <c r="BB223" s="202">
        <v>2115</v>
      </c>
      <c r="BC223" s="202">
        <v>3530</v>
      </c>
      <c r="BD223" s="202">
        <v>5880</v>
      </c>
      <c r="BF223" s="101" t="str">
        <f t="shared" si="68"/>
        <v>2.100400</v>
      </c>
      <c r="BG223" s="101">
        <v>400</v>
      </c>
      <c r="BH223" s="92">
        <v>185</v>
      </c>
      <c r="BI223" s="92">
        <v>485</v>
      </c>
      <c r="BJ223" s="92">
        <v>645</v>
      </c>
      <c r="BK223" s="92">
        <v>970</v>
      </c>
      <c r="BL223" s="202">
        <v>1455</v>
      </c>
      <c r="BM223" s="202">
        <v>2425</v>
      </c>
      <c r="BN223" s="202">
        <v>4040</v>
      </c>
      <c r="BP223" s="101" t="str">
        <f t="shared" si="69"/>
        <v>3.100400</v>
      </c>
      <c r="BQ223" s="101">
        <v>400</v>
      </c>
      <c r="BR223" s="92">
        <v>200</v>
      </c>
      <c r="BS223" s="92">
        <v>640</v>
      </c>
      <c r="BT223" s="92">
        <v>850</v>
      </c>
      <c r="BU223" s="202">
        <v>1275</v>
      </c>
      <c r="BV223" s="202">
        <v>1915</v>
      </c>
      <c r="BW223" s="202">
        <v>3190</v>
      </c>
      <c r="BX223" s="202">
        <v>5320</v>
      </c>
    </row>
    <row r="224" spans="1:76">
      <c r="A224" s="95"/>
      <c r="B224" s="96"/>
      <c r="C224" s="95"/>
      <c r="D224" s="95"/>
      <c r="E224" s="95"/>
      <c r="F224" s="95"/>
      <c r="G224" s="95"/>
      <c r="H224" s="95"/>
      <c r="I224" s="95"/>
      <c r="J224" s="95"/>
      <c r="K224" s="95"/>
      <c r="L224" s="95"/>
      <c r="M224" s="95"/>
      <c r="N224" s="95"/>
      <c r="O224" s="95"/>
      <c r="P224" s="95"/>
      <c r="Q224" s="95"/>
      <c r="R224" s="95"/>
      <c r="S224" s="99" t="s">
        <v>100</v>
      </c>
      <c r="T224" s="204" t="s">
        <v>100</v>
      </c>
      <c r="U224" s="98"/>
      <c r="V224" s="98">
        <f t="shared" si="65"/>
        <v>1800</v>
      </c>
      <c r="W224" s="98">
        <f t="shared" si="65"/>
        <v>1655</v>
      </c>
      <c r="X224" s="98">
        <f t="shared" si="65"/>
        <v>1560</v>
      </c>
      <c r="Y224" s="98">
        <f t="shared" si="65"/>
        <v>1470</v>
      </c>
      <c r="Z224" s="98">
        <f t="shared" si="65"/>
        <v>1390</v>
      </c>
      <c r="AA224" s="98">
        <f t="shared" si="65"/>
        <v>1320</v>
      </c>
      <c r="AB224" s="98">
        <f t="shared" si="65"/>
        <v>1290</v>
      </c>
      <c r="AC224" s="98">
        <f t="shared" si="65"/>
        <v>1255</v>
      </c>
      <c r="AD224" s="98">
        <f t="shared" si="65"/>
        <v>1230</v>
      </c>
      <c r="AE224" s="98">
        <f t="shared" si="65"/>
        <v>1200</v>
      </c>
      <c r="AF224" s="98">
        <f t="shared" si="66"/>
        <v>1180</v>
      </c>
      <c r="AG224" s="98">
        <f t="shared" si="66"/>
        <v>1160</v>
      </c>
      <c r="AH224" s="98">
        <f t="shared" si="66"/>
        <v>1140</v>
      </c>
      <c r="AI224" s="98">
        <f t="shared" si="66"/>
        <v>1090</v>
      </c>
      <c r="AJ224" s="98">
        <f t="shared" si="66"/>
        <v>1050</v>
      </c>
      <c r="AK224" s="98">
        <f t="shared" si="66"/>
        <v>965</v>
      </c>
      <c r="AL224" s="98">
        <f t="shared" si="66"/>
        <v>825</v>
      </c>
      <c r="AM224" s="98">
        <f t="shared" si="66"/>
        <v>620</v>
      </c>
      <c r="AN224" s="98">
        <f t="shared" si="66"/>
        <v>545</v>
      </c>
      <c r="AO224" s="98">
        <f t="shared" si="66"/>
        <v>410</v>
      </c>
      <c r="AP224" s="98">
        <f t="shared" si="66"/>
        <v>310</v>
      </c>
      <c r="AQ224" s="98">
        <f t="shared" si="66"/>
        <v>225</v>
      </c>
      <c r="AR224" s="98">
        <f t="shared" si="66"/>
        <v>175</v>
      </c>
      <c r="AS224" s="98">
        <f t="shared" si="66"/>
        <v>125</v>
      </c>
      <c r="AV224" s="101" t="str">
        <f t="shared" si="67"/>
        <v>1.130500</v>
      </c>
      <c r="AW224" s="101">
        <v>500</v>
      </c>
      <c r="AX224" s="92">
        <v>170</v>
      </c>
      <c r="AY224" s="92">
        <v>665</v>
      </c>
      <c r="AZ224" s="92">
        <v>885</v>
      </c>
      <c r="BA224" s="202">
        <v>1330</v>
      </c>
      <c r="BB224" s="202">
        <v>1995</v>
      </c>
      <c r="BC224" s="202">
        <v>3325</v>
      </c>
      <c r="BD224" s="202">
        <v>5540</v>
      </c>
      <c r="BF224" s="101" t="str">
        <f t="shared" si="68"/>
        <v>2.100500</v>
      </c>
      <c r="BG224" s="101">
        <v>500</v>
      </c>
      <c r="BH224" s="92">
        <v>170</v>
      </c>
      <c r="BI224" s="92">
        <v>470</v>
      </c>
      <c r="BJ224" s="92">
        <v>625</v>
      </c>
      <c r="BK224" s="92">
        <v>940</v>
      </c>
      <c r="BL224" s="202">
        <v>1410</v>
      </c>
      <c r="BM224" s="202">
        <v>2350</v>
      </c>
      <c r="BN224" s="202">
        <v>3920</v>
      </c>
      <c r="BP224" s="101" t="str">
        <f t="shared" si="69"/>
        <v>3.100500</v>
      </c>
      <c r="BQ224" s="101">
        <v>500</v>
      </c>
      <c r="BR224" s="92">
        <v>170</v>
      </c>
      <c r="BS224" s="92">
        <v>615</v>
      </c>
      <c r="BT224" s="92">
        <v>820</v>
      </c>
      <c r="BU224" s="202">
        <v>1235</v>
      </c>
      <c r="BV224" s="202">
        <v>1850</v>
      </c>
      <c r="BW224" s="202">
        <v>3085</v>
      </c>
      <c r="BX224" s="202">
        <v>5140</v>
      </c>
    </row>
    <row r="225" spans="1:76">
      <c r="A225" s="95"/>
      <c r="B225" s="96"/>
      <c r="C225" s="95"/>
      <c r="D225" s="95"/>
      <c r="E225" s="95"/>
      <c r="F225" s="95"/>
      <c r="G225" s="95"/>
      <c r="H225" s="95"/>
      <c r="I225" s="95"/>
      <c r="J225" s="95"/>
      <c r="K225" s="95"/>
      <c r="L225" s="95"/>
      <c r="M225" s="95"/>
      <c r="N225" s="95"/>
      <c r="O225" s="95"/>
      <c r="P225" s="95"/>
      <c r="Q225" s="95"/>
      <c r="R225" s="95"/>
      <c r="S225" s="99" t="s">
        <v>101</v>
      </c>
      <c r="T225" s="204" t="s">
        <v>101</v>
      </c>
      <c r="U225" s="98"/>
      <c r="V225" s="98">
        <f t="shared" si="65"/>
        <v>2160</v>
      </c>
      <c r="W225" s="98">
        <f t="shared" si="65"/>
        <v>1910</v>
      </c>
      <c r="X225" s="98">
        <f t="shared" si="65"/>
        <v>1780</v>
      </c>
      <c r="Y225" s="98">
        <f t="shared" si="65"/>
        <v>1670</v>
      </c>
      <c r="Z225" s="98">
        <f t="shared" si="65"/>
        <v>1585</v>
      </c>
      <c r="AA225" s="98">
        <f t="shared" si="65"/>
        <v>1510</v>
      </c>
      <c r="AB225" s="98">
        <f t="shared" si="65"/>
        <v>1485</v>
      </c>
      <c r="AC225" s="98">
        <f t="shared" si="65"/>
        <v>1445</v>
      </c>
      <c r="AD225" s="98">
        <f t="shared" si="65"/>
        <v>1420</v>
      </c>
      <c r="AE225" s="98">
        <f t="shared" si="65"/>
        <v>1390</v>
      </c>
      <c r="AF225" s="98">
        <f t="shared" si="66"/>
        <v>1360</v>
      </c>
      <c r="AG225" s="98">
        <f t="shared" si="66"/>
        <v>1330</v>
      </c>
      <c r="AH225" s="98">
        <f t="shared" si="66"/>
        <v>1160</v>
      </c>
      <c r="AI225" s="98">
        <f t="shared" si="66"/>
        <v>1090</v>
      </c>
      <c r="AJ225" s="98">
        <f t="shared" si="66"/>
        <v>1030</v>
      </c>
      <c r="AK225" s="98">
        <f t="shared" si="66"/>
        <v>800</v>
      </c>
      <c r="AL225" s="98">
        <f t="shared" si="66"/>
        <v>615</v>
      </c>
      <c r="AM225" s="98">
        <f t="shared" si="66"/>
        <v>485</v>
      </c>
      <c r="AN225" s="98">
        <f t="shared" si="66"/>
        <v>390</v>
      </c>
      <c r="AO225" s="98">
        <f t="shared" si="66"/>
        <v>320</v>
      </c>
      <c r="AP225" s="98">
        <f t="shared" si="66"/>
        <v>245</v>
      </c>
      <c r="AQ225" s="98">
        <f t="shared" si="66"/>
        <v>185</v>
      </c>
      <c r="AR225" s="98">
        <f t="shared" si="66"/>
        <v>155</v>
      </c>
      <c r="AS225" s="98">
        <f t="shared" si="66"/>
        <v>115</v>
      </c>
      <c r="AV225" s="101" t="str">
        <f t="shared" si="67"/>
        <v>1.130600</v>
      </c>
      <c r="AW225" s="101">
        <v>600</v>
      </c>
      <c r="AX225" s="92">
        <v>140</v>
      </c>
      <c r="AY225" s="92">
        <v>605</v>
      </c>
      <c r="AZ225" s="92">
        <v>805</v>
      </c>
      <c r="BA225" s="202">
        <v>1210</v>
      </c>
      <c r="BB225" s="202">
        <v>1815</v>
      </c>
      <c r="BC225" s="202">
        <v>3025</v>
      </c>
      <c r="BD225" s="202">
        <v>5040</v>
      </c>
      <c r="BF225" s="101" t="str">
        <f t="shared" si="68"/>
        <v>2.100600</v>
      </c>
      <c r="BG225" s="101">
        <v>600</v>
      </c>
      <c r="BH225" s="92">
        <v>140</v>
      </c>
      <c r="BI225" s="92">
        <v>455</v>
      </c>
      <c r="BJ225" s="92">
        <v>610</v>
      </c>
      <c r="BK225" s="92">
        <v>910</v>
      </c>
      <c r="BL225" s="202">
        <v>1370</v>
      </c>
      <c r="BM225" s="202">
        <v>2280</v>
      </c>
      <c r="BN225" s="202">
        <v>3800</v>
      </c>
      <c r="BP225" s="101" t="str">
        <f t="shared" si="69"/>
        <v>3.100600</v>
      </c>
      <c r="BQ225" s="101">
        <v>600</v>
      </c>
      <c r="BR225" s="92">
        <v>140</v>
      </c>
      <c r="BS225" s="92">
        <v>595</v>
      </c>
      <c r="BT225" s="92">
        <v>790</v>
      </c>
      <c r="BU225" s="202">
        <v>1185</v>
      </c>
      <c r="BV225" s="202">
        <v>1780</v>
      </c>
      <c r="BW225" s="202">
        <v>2965</v>
      </c>
      <c r="BX225" s="202">
        <v>4940</v>
      </c>
    </row>
    <row r="226" spans="1:76">
      <c r="A226" s="95"/>
      <c r="B226" s="96"/>
      <c r="C226" s="95"/>
      <c r="D226" s="95"/>
      <c r="E226" s="95"/>
      <c r="F226" s="95"/>
      <c r="G226" s="95"/>
      <c r="H226" s="95"/>
      <c r="I226" s="95"/>
      <c r="J226" s="95"/>
      <c r="K226" s="95"/>
      <c r="L226" s="95"/>
      <c r="M226" s="95"/>
      <c r="N226" s="95"/>
      <c r="O226" s="95"/>
      <c r="P226" s="95"/>
      <c r="Q226" s="95"/>
      <c r="R226" s="95"/>
      <c r="S226" s="99" t="s">
        <v>213</v>
      </c>
      <c r="T226" s="204" t="s">
        <v>213</v>
      </c>
      <c r="U226" s="98"/>
      <c r="V226" s="98">
        <f t="shared" si="65"/>
        <v>1800</v>
      </c>
      <c r="W226" s="98">
        <f t="shared" si="65"/>
        <v>1555</v>
      </c>
      <c r="X226" s="98">
        <f t="shared" si="65"/>
        <v>1395</v>
      </c>
      <c r="Y226" s="98">
        <f t="shared" si="65"/>
        <v>1265</v>
      </c>
      <c r="Z226" s="98">
        <f t="shared" si="65"/>
        <v>1165</v>
      </c>
      <c r="AA226" s="98">
        <f t="shared" si="65"/>
        <v>1080</v>
      </c>
      <c r="AB226" s="98">
        <f t="shared" si="65"/>
        <v>0</v>
      </c>
      <c r="AC226" s="98">
        <f t="shared" si="65"/>
        <v>0</v>
      </c>
      <c r="AD226" s="98">
        <f t="shared" si="65"/>
        <v>0</v>
      </c>
      <c r="AE226" s="98">
        <f t="shared" si="65"/>
        <v>0</v>
      </c>
      <c r="AF226" s="98">
        <f t="shared" si="66"/>
        <v>0</v>
      </c>
      <c r="AG226" s="98">
        <f t="shared" si="66"/>
        <v>0</v>
      </c>
      <c r="AH226" s="98">
        <f t="shared" si="66"/>
        <v>0</v>
      </c>
      <c r="AI226" s="98">
        <f t="shared" si="66"/>
        <v>0</v>
      </c>
      <c r="AJ226" s="98">
        <f t="shared" si="66"/>
        <v>0</v>
      </c>
      <c r="AK226" s="98">
        <f t="shared" si="66"/>
        <v>0</v>
      </c>
      <c r="AL226" s="98">
        <f t="shared" si="66"/>
        <v>0</v>
      </c>
      <c r="AM226" s="98">
        <f t="shared" si="66"/>
        <v>0</v>
      </c>
      <c r="AN226" s="98">
        <f t="shared" si="66"/>
        <v>0</v>
      </c>
      <c r="AO226" s="98">
        <f t="shared" si="66"/>
        <v>0</v>
      </c>
      <c r="AP226" s="98">
        <f t="shared" si="66"/>
        <v>0</v>
      </c>
      <c r="AQ226" s="98">
        <f t="shared" si="66"/>
        <v>0</v>
      </c>
      <c r="AR226" s="98">
        <f t="shared" si="66"/>
        <v>0</v>
      </c>
      <c r="AS226" s="98">
        <f t="shared" si="66"/>
        <v>0</v>
      </c>
      <c r="AV226" s="101" t="str">
        <f t="shared" si="67"/>
        <v>1.130650</v>
      </c>
      <c r="AW226" s="101">
        <v>650</v>
      </c>
      <c r="AX226" s="92">
        <v>125</v>
      </c>
      <c r="AY226" s="92">
        <v>590</v>
      </c>
      <c r="AZ226" s="92">
        <v>785</v>
      </c>
      <c r="BA226" s="202">
        <v>1175</v>
      </c>
      <c r="BB226" s="202">
        <v>1765</v>
      </c>
      <c r="BC226" s="202">
        <v>2940</v>
      </c>
      <c r="BD226" s="202">
        <v>4905</v>
      </c>
      <c r="BF226" s="101" t="str">
        <f t="shared" si="68"/>
        <v>2.100650</v>
      </c>
      <c r="BG226" s="101">
        <v>650</v>
      </c>
      <c r="BH226" s="92">
        <v>125</v>
      </c>
      <c r="BI226" s="92">
        <v>445</v>
      </c>
      <c r="BJ226" s="92">
        <v>595</v>
      </c>
      <c r="BK226" s="92">
        <v>895</v>
      </c>
      <c r="BL226" s="202">
        <v>1340</v>
      </c>
      <c r="BM226" s="202">
        <v>2230</v>
      </c>
      <c r="BN226" s="202">
        <v>3720</v>
      </c>
      <c r="BP226" s="101" t="str">
        <f t="shared" si="69"/>
        <v>3.100650</v>
      </c>
      <c r="BQ226" s="101">
        <v>650</v>
      </c>
      <c r="BR226" s="92">
        <v>125</v>
      </c>
      <c r="BS226" s="92">
        <v>570</v>
      </c>
      <c r="BT226" s="92">
        <v>760</v>
      </c>
      <c r="BU226" s="202">
        <v>1140</v>
      </c>
      <c r="BV226" s="202">
        <v>1715</v>
      </c>
      <c r="BW226" s="202">
        <v>2855</v>
      </c>
      <c r="BX226" s="202">
        <v>4760</v>
      </c>
    </row>
    <row r="227" spans="1:76">
      <c r="A227" s="95"/>
      <c r="B227" s="96"/>
      <c r="C227" s="95"/>
      <c r="D227" s="95"/>
      <c r="E227" s="95"/>
      <c r="F227" s="95"/>
      <c r="G227" s="95"/>
      <c r="H227" s="95"/>
      <c r="I227" s="95"/>
      <c r="J227" s="95"/>
      <c r="K227" s="95"/>
      <c r="L227" s="95"/>
      <c r="M227" s="95"/>
      <c r="N227" s="95"/>
      <c r="O227" s="95"/>
      <c r="P227" s="95"/>
      <c r="Q227" s="95"/>
      <c r="R227" s="95"/>
      <c r="S227" s="99" t="s">
        <v>214</v>
      </c>
      <c r="T227" s="204" t="s">
        <v>214</v>
      </c>
      <c r="U227" s="98"/>
      <c r="V227" s="98">
        <f t="shared" si="65"/>
        <v>2250</v>
      </c>
      <c r="W227" s="98">
        <f t="shared" si="65"/>
        <v>2250</v>
      </c>
      <c r="X227" s="98">
        <f t="shared" si="65"/>
        <v>2185</v>
      </c>
      <c r="Y227" s="98">
        <f t="shared" si="65"/>
        <v>2115</v>
      </c>
      <c r="Z227" s="98">
        <f t="shared" si="65"/>
        <v>1995</v>
      </c>
      <c r="AA227" s="98">
        <f t="shared" si="65"/>
        <v>1815</v>
      </c>
      <c r="AB227" s="98">
        <f t="shared" si="65"/>
        <v>1765</v>
      </c>
      <c r="AC227" s="98">
        <f t="shared" si="65"/>
        <v>1705</v>
      </c>
      <c r="AD227" s="98">
        <f t="shared" si="65"/>
        <v>1595</v>
      </c>
      <c r="AE227" s="98">
        <f t="shared" si="65"/>
        <v>1525</v>
      </c>
      <c r="AF227" s="98">
        <f t="shared" si="66"/>
        <v>1460</v>
      </c>
      <c r="AG227" s="98">
        <f t="shared" si="66"/>
        <v>1350</v>
      </c>
      <c r="AH227" s="98">
        <f t="shared" si="66"/>
        <v>1160</v>
      </c>
      <c r="AI227" s="98">
        <f t="shared" si="66"/>
        <v>1090</v>
      </c>
      <c r="AJ227" s="98">
        <f t="shared" si="66"/>
        <v>1080</v>
      </c>
      <c r="AK227" s="98">
        <f t="shared" si="66"/>
        <v>965</v>
      </c>
      <c r="AL227" s="98">
        <f t="shared" si="66"/>
        <v>825</v>
      </c>
      <c r="AM227" s="98">
        <f t="shared" si="66"/>
        <v>620</v>
      </c>
      <c r="AN227" s="98">
        <f t="shared" si="66"/>
        <v>545</v>
      </c>
      <c r="AO227" s="98">
        <f t="shared" si="66"/>
        <v>410</v>
      </c>
      <c r="AP227" s="98">
        <f t="shared" si="66"/>
        <v>310</v>
      </c>
      <c r="AQ227" s="98">
        <f t="shared" si="66"/>
        <v>225</v>
      </c>
      <c r="AR227" s="98">
        <f t="shared" si="66"/>
        <v>175</v>
      </c>
      <c r="AS227" s="98">
        <f t="shared" si="66"/>
        <v>125</v>
      </c>
      <c r="AV227" s="101" t="str">
        <f t="shared" si="67"/>
        <v>1.130700</v>
      </c>
      <c r="AW227" s="101">
        <v>700</v>
      </c>
      <c r="AX227" s="92">
        <v>110</v>
      </c>
      <c r="AY227" s="92">
        <v>570</v>
      </c>
      <c r="AZ227" s="92">
        <v>755</v>
      </c>
      <c r="BA227" s="202">
        <v>1135</v>
      </c>
      <c r="BB227" s="202">
        <v>1705</v>
      </c>
      <c r="BC227" s="202">
        <v>2840</v>
      </c>
      <c r="BD227" s="202">
        <v>4730</v>
      </c>
      <c r="BF227" s="101" t="str">
        <f t="shared" si="68"/>
        <v>2.100700</v>
      </c>
      <c r="BG227" s="101">
        <v>700</v>
      </c>
      <c r="BH227" s="92">
        <v>110</v>
      </c>
      <c r="BI227" s="92">
        <v>435</v>
      </c>
      <c r="BJ227" s="92">
        <v>580</v>
      </c>
      <c r="BK227" s="92">
        <v>870</v>
      </c>
      <c r="BL227" s="202">
        <v>1305</v>
      </c>
      <c r="BM227" s="202">
        <v>2170</v>
      </c>
      <c r="BN227" s="202">
        <v>3620</v>
      </c>
      <c r="BP227" s="101" t="str">
        <f t="shared" si="69"/>
        <v>3.100700</v>
      </c>
      <c r="BQ227" s="101">
        <v>700</v>
      </c>
    </row>
    <row r="228" spans="1:76">
      <c r="A228" s="95"/>
      <c r="B228" s="96"/>
      <c r="C228" s="95"/>
      <c r="D228" s="95"/>
      <c r="E228" s="95"/>
      <c r="F228" s="95"/>
      <c r="G228" s="95"/>
      <c r="H228" s="95"/>
      <c r="I228" s="95"/>
      <c r="J228" s="95"/>
      <c r="K228" s="95"/>
      <c r="L228" s="95"/>
      <c r="M228" s="95"/>
      <c r="N228" s="95"/>
      <c r="O228" s="95"/>
      <c r="P228" s="95"/>
      <c r="Q228" s="95"/>
      <c r="R228" s="95"/>
      <c r="S228" s="99"/>
      <c r="T228" s="98"/>
      <c r="U228" s="98"/>
      <c r="V228" s="117">
        <v>1500</v>
      </c>
      <c r="W228" s="98">
        <v>100</v>
      </c>
      <c r="X228" s="98">
        <v>1500</v>
      </c>
      <c r="Y228" s="98"/>
      <c r="Z228" s="98"/>
      <c r="AA228" s="98"/>
      <c r="AB228" s="98"/>
      <c r="AC228" s="98"/>
      <c r="AD228" s="98"/>
      <c r="AE228" s="98"/>
      <c r="AF228" s="98"/>
      <c r="AG228" s="98"/>
      <c r="AH228" s="98"/>
      <c r="AI228" s="98"/>
      <c r="AJ228" s="98"/>
      <c r="AK228" s="98"/>
      <c r="AL228" s="98"/>
      <c r="AM228" s="98"/>
      <c r="AN228" s="98"/>
      <c r="AO228" s="98"/>
      <c r="AP228" s="98"/>
      <c r="AQ228" s="98"/>
      <c r="AR228" s="98"/>
      <c r="AS228" s="98"/>
      <c r="AV228" s="101" t="str">
        <f t="shared" si="67"/>
        <v>1.130750</v>
      </c>
      <c r="AW228" s="101">
        <v>750</v>
      </c>
      <c r="AX228" s="92">
        <v>95</v>
      </c>
      <c r="AY228" s="92">
        <v>530</v>
      </c>
      <c r="AZ228" s="92">
        <v>710</v>
      </c>
      <c r="BA228" s="202">
        <v>1065</v>
      </c>
      <c r="BB228" s="202">
        <v>1595</v>
      </c>
      <c r="BC228" s="202">
        <v>2660</v>
      </c>
      <c r="BD228" s="202">
        <v>4430</v>
      </c>
      <c r="BF228" s="101" t="str">
        <f t="shared" si="68"/>
        <v>2.100750</v>
      </c>
      <c r="BG228" s="101">
        <v>750</v>
      </c>
      <c r="BH228" s="92">
        <v>95</v>
      </c>
      <c r="BI228" s="92">
        <v>420</v>
      </c>
      <c r="BJ228" s="92">
        <v>565</v>
      </c>
      <c r="BK228" s="92">
        <v>845</v>
      </c>
      <c r="BL228" s="202">
        <v>1265</v>
      </c>
      <c r="BM228" s="202">
        <v>2110</v>
      </c>
      <c r="BN228" s="202">
        <v>3520</v>
      </c>
      <c r="BP228" s="101" t="str">
        <f t="shared" si="69"/>
        <v>3.100750</v>
      </c>
      <c r="BQ228" s="101">
        <v>750</v>
      </c>
    </row>
    <row r="229" spans="1:76">
      <c r="A229" s="95"/>
      <c r="B229" s="96"/>
      <c r="C229" s="95"/>
      <c r="D229" s="95"/>
      <c r="E229" s="95"/>
      <c r="F229" s="95"/>
      <c r="G229" s="95"/>
      <c r="H229" s="95"/>
      <c r="I229" s="95"/>
      <c r="J229" s="95"/>
      <c r="K229" s="95"/>
      <c r="L229" s="95"/>
      <c r="M229" s="95"/>
      <c r="N229" s="95"/>
      <c r="O229" s="95"/>
      <c r="P229" s="95"/>
      <c r="Q229" s="95"/>
      <c r="R229" s="95"/>
      <c r="S229" s="99">
        <v>1.1000000000000001</v>
      </c>
      <c r="T229" s="204" t="s">
        <v>192</v>
      </c>
      <c r="U229" s="98"/>
      <c r="V229" s="98">
        <f t="shared" ref="V229:AE242" si="70">VLOOKUP($T229&amp;TEXT(V$1,"0000"),$AV$4:$BD$339,8)</f>
        <v>3705</v>
      </c>
      <c r="W229" s="98">
        <f t="shared" si="70"/>
        <v>3395</v>
      </c>
      <c r="X229" s="98">
        <f t="shared" si="70"/>
        <v>3270</v>
      </c>
      <c r="Y229" s="98">
        <f t="shared" si="70"/>
        <v>3170</v>
      </c>
      <c r="Z229" s="98">
        <f t="shared" si="70"/>
        <v>3015</v>
      </c>
      <c r="AA229" s="98">
        <f t="shared" si="70"/>
        <v>2840</v>
      </c>
      <c r="AB229" s="98">
        <f t="shared" si="70"/>
        <v>2745</v>
      </c>
      <c r="AC229" s="98">
        <f t="shared" si="70"/>
        <v>2655</v>
      </c>
      <c r="AD229" s="98">
        <f t="shared" si="70"/>
        <v>2535</v>
      </c>
      <c r="AE229" s="98">
        <f t="shared" si="70"/>
        <v>2055</v>
      </c>
      <c r="AF229" s="98">
        <f t="shared" ref="AF229:AS242" si="71">VLOOKUP($T229&amp;TEXT(AF$1,"0000"),$AV$4:$BD$339,8)</f>
        <v>1595</v>
      </c>
      <c r="AG229" s="98">
        <f t="shared" si="71"/>
        <v>1150</v>
      </c>
      <c r="AH229" s="98">
        <f t="shared" si="71"/>
        <v>685</v>
      </c>
      <c r="AI229" s="98">
        <f t="shared" si="71"/>
        <v>430</v>
      </c>
      <c r="AJ229" s="98">
        <f t="shared" si="71"/>
        <v>0</v>
      </c>
      <c r="AK229" s="98">
        <f t="shared" si="71"/>
        <v>0</v>
      </c>
      <c r="AL229" s="98">
        <f t="shared" si="71"/>
        <v>0</v>
      </c>
      <c r="AM229" s="98">
        <f t="shared" si="71"/>
        <v>0</v>
      </c>
      <c r="AN229" s="98">
        <f t="shared" si="71"/>
        <v>0</v>
      </c>
      <c r="AO229" s="98">
        <f t="shared" si="71"/>
        <v>0</v>
      </c>
      <c r="AP229" s="98">
        <f t="shared" si="71"/>
        <v>0</v>
      </c>
      <c r="AQ229" s="98">
        <f t="shared" si="71"/>
        <v>0</v>
      </c>
      <c r="AR229" s="98">
        <f t="shared" si="71"/>
        <v>0</v>
      </c>
      <c r="AS229" s="98">
        <f t="shared" si="71"/>
        <v>0</v>
      </c>
      <c r="AV229" s="101" t="str">
        <f t="shared" si="67"/>
        <v>1.130800</v>
      </c>
      <c r="AW229" s="101">
        <v>800</v>
      </c>
      <c r="AX229" s="92">
        <v>80</v>
      </c>
      <c r="AY229" s="92">
        <v>510</v>
      </c>
      <c r="AZ229" s="92">
        <v>675</v>
      </c>
      <c r="BA229" s="202">
        <v>1015</v>
      </c>
      <c r="BB229" s="202">
        <v>1525</v>
      </c>
      <c r="BC229" s="202">
        <v>2540</v>
      </c>
      <c r="BD229" s="202">
        <v>4230</v>
      </c>
      <c r="BF229" s="101" t="str">
        <f t="shared" si="68"/>
        <v>2.100800</v>
      </c>
      <c r="BG229" s="101">
        <v>800</v>
      </c>
      <c r="BH229" s="92">
        <v>80</v>
      </c>
      <c r="BI229" s="92">
        <v>410</v>
      </c>
      <c r="BJ229" s="92">
        <v>545</v>
      </c>
      <c r="BK229" s="92">
        <v>820</v>
      </c>
      <c r="BL229" s="202">
        <v>1230</v>
      </c>
      <c r="BM229" s="202">
        <v>2050</v>
      </c>
      <c r="BN229" s="202">
        <v>3420</v>
      </c>
      <c r="BP229" s="101" t="str">
        <f t="shared" si="69"/>
        <v>3.100800</v>
      </c>
      <c r="BQ229" s="101">
        <v>800</v>
      </c>
    </row>
    <row r="230" spans="1:76">
      <c r="A230" s="95"/>
      <c r="B230" s="96"/>
      <c r="C230" s="95"/>
      <c r="D230" s="95"/>
      <c r="E230" s="95"/>
      <c r="F230" s="95"/>
      <c r="G230" s="95"/>
      <c r="H230" s="95"/>
      <c r="I230" s="95"/>
      <c r="J230" s="95"/>
      <c r="K230" s="95"/>
      <c r="L230" s="95"/>
      <c r="M230" s="95"/>
      <c r="N230" s="95"/>
      <c r="O230" s="95"/>
      <c r="P230" s="95"/>
      <c r="Q230" s="95"/>
      <c r="R230" s="95"/>
      <c r="S230" s="99" t="s">
        <v>70</v>
      </c>
      <c r="T230" s="204" t="s">
        <v>193</v>
      </c>
      <c r="U230" s="98"/>
      <c r="V230" s="98">
        <f t="shared" si="70"/>
        <v>3750</v>
      </c>
      <c r="W230" s="98">
        <f t="shared" si="70"/>
        <v>3750</v>
      </c>
      <c r="X230" s="98">
        <f t="shared" si="70"/>
        <v>3640</v>
      </c>
      <c r="Y230" s="98">
        <f t="shared" si="70"/>
        <v>3520</v>
      </c>
      <c r="Z230" s="98">
        <f t="shared" si="70"/>
        <v>3325</v>
      </c>
      <c r="AA230" s="98">
        <f t="shared" si="70"/>
        <v>3025</v>
      </c>
      <c r="AB230" s="98">
        <f t="shared" si="70"/>
        <v>2940</v>
      </c>
      <c r="AC230" s="98">
        <f t="shared" si="70"/>
        <v>2775</v>
      </c>
      <c r="AD230" s="98">
        <f t="shared" si="70"/>
        <v>2535</v>
      </c>
      <c r="AE230" s="98">
        <f t="shared" si="70"/>
        <v>2055</v>
      </c>
      <c r="AF230" s="98">
        <f t="shared" si="71"/>
        <v>1595</v>
      </c>
      <c r="AG230" s="98">
        <f t="shared" si="71"/>
        <v>1115</v>
      </c>
      <c r="AH230" s="98">
        <f t="shared" si="71"/>
        <v>685</v>
      </c>
      <c r="AI230" s="98">
        <f t="shared" si="71"/>
        <v>430</v>
      </c>
      <c r="AJ230" s="98">
        <f t="shared" si="71"/>
        <v>0</v>
      </c>
      <c r="AK230" s="98">
        <f t="shared" si="71"/>
        <v>0</v>
      </c>
      <c r="AL230" s="98">
        <f t="shared" si="71"/>
        <v>0</v>
      </c>
      <c r="AM230" s="98">
        <f t="shared" si="71"/>
        <v>0</v>
      </c>
      <c r="AN230" s="98">
        <f t="shared" si="71"/>
        <v>0</v>
      </c>
      <c r="AO230" s="98">
        <f t="shared" si="71"/>
        <v>0</v>
      </c>
      <c r="AP230" s="98">
        <f t="shared" si="71"/>
        <v>0</v>
      </c>
      <c r="AQ230" s="98">
        <f t="shared" si="71"/>
        <v>0</v>
      </c>
      <c r="AR230" s="98">
        <f t="shared" si="71"/>
        <v>0</v>
      </c>
      <c r="AS230" s="98">
        <f t="shared" si="71"/>
        <v>0</v>
      </c>
      <c r="AV230" s="101" t="str">
        <f t="shared" si="67"/>
        <v>1.130850</v>
      </c>
      <c r="AW230" s="101">
        <v>850</v>
      </c>
      <c r="AX230" s="92">
        <v>65</v>
      </c>
      <c r="AY230" s="92">
        <v>485</v>
      </c>
      <c r="AZ230" s="92">
        <v>650</v>
      </c>
      <c r="BA230" s="92">
        <v>975</v>
      </c>
      <c r="BB230" s="202">
        <v>1460</v>
      </c>
      <c r="BC230" s="202">
        <v>2435</v>
      </c>
      <c r="BD230" s="202">
        <v>4060</v>
      </c>
      <c r="BF230" s="101" t="str">
        <f t="shared" si="68"/>
        <v>2.100850</v>
      </c>
      <c r="BG230" s="101">
        <v>850</v>
      </c>
      <c r="BH230" s="92">
        <v>65</v>
      </c>
      <c r="BI230" s="92">
        <v>400</v>
      </c>
      <c r="BJ230" s="92">
        <v>530</v>
      </c>
      <c r="BK230" s="92">
        <v>795</v>
      </c>
      <c r="BL230" s="202">
        <v>1195</v>
      </c>
      <c r="BM230" s="202">
        <v>1990</v>
      </c>
      <c r="BN230" s="202">
        <v>3320</v>
      </c>
      <c r="BP230" s="101" t="str">
        <f t="shared" si="69"/>
        <v>3.100850</v>
      </c>
      <c r="BQ230" s="101">
        <v>850</v>
      </c>
    </row>
    <row r="231" spans="1:76">
      <c r="A231" s="95"/>
      <c r="B231" s="96"/>
      <c r="C231" s="95"/>
      <c r="D231" s="95"/>
      <c r="E231" s="95"/>
      <c r="F231" s="95"/>
      <c r="G231" s="95"/>
      <c r="H231" s="95"/>
      <c r="I231" s="95"/>
      <c r="J231" s="95"/>
      <c r="K231" s="95"/>
      <c r="L231" s="95"/>
      <c r="M231" s="95"/>
      <c r="N231" s="95"/>
      <c r="O231" s="95"/>
      <c r="P231" s="95"/>
      <c r="Q231" s="95"/>
      <c r="R231" s="95"/>
      <c r="S231" s="99" t="s">
        <v>71</v>
      </c>
      <c r="T231" s="204" t="s">
        <v>194</v>
      </c>
      <c r="U231" s="98"/>
      <c r="V231" s="98">
        <f t="shared" si="70"/>
        <v>3480</v>
      </c>
      <c r="W231" s="98">
        <f t="shared" si="70"/>
        <v>3300</v>
      </c>
      <c r="X231" s="98">
        <f t="shared" si="70"/>
        <v>3190</v>
      </c>
      <c r="Y231" s="98">
        <f t="shared" si="70"/>
        <v>3075</v>
      </c>
      <c r="Z231" s="98">
        <f t="shared" si="70"/>
        <v>2930</v>
      </c>
      <c r="AA231" s="98">
        <f t="shared" si="70"/>
        <v>2755</v>
      </c>
      <c r="AB231" s="98">
        <f t="shared" si="70"/>
        <v>2665</v>
      </c>
      <c r="AC231" s="98">
        <f t="shared" si="70"/>
        <v>2560</v>
      </c>
      <c r="AD231" s="98">
        <f t="shared" si="70"/>
        <v>2385</v>
      </c>
      <c r="AE231" s="98">
        <f t="shared" si="70"/>
        <v>1955</v>
      </c>
      <c r="AF231" s="98">
        <f t="shared" si="71"/>
        <v>1490</v>
      </c>
      <c r="AG231" s="98">
        <f t="shared" si="71"/>
        <v>1010</v>
      </c>
      <c r="AH231" s="98">
        <f t="shared" si="71"/>
        <v>685</v>
      </c>
      <c r="AI231" s="98">
        <f t="shared" si="71"/>
        <v>430</v>
      </c>
      <c r="AJ231" s="98">
        <f t="shared" si="71"/>
        <v>0</v>
      </c>
      <c r="AK231" s="98">
        <f t="shared" si="71"/>
        <v>0</v>
      </c>
      <c r="AL231" s="98">
        <f t="shared" si="71"/>
        <v>0</v>
      </c>
      <c r="AM231" s="98">
        <f t="shared" si="71"/>
        <v>0</v>
      </c>
      <c r="AN231" s="98">
        <f t="shared" si="71"/>
        <v>0</v>
      </c>
      <c r="AO231" s="98">
        <f t="shared" si="71"/>
        <v>0</v>
      </c>
      <c r="AP231" s="98">
        <f t="shared" si="71"/>
        <v>0</v>
      </c>
      <c r="AQ231" s="98">
        <f t="shared" si="71"/>
        <v>0</v>
      </c>
      <c r="AR231" s="98">
        <f t="shared" si="71"/>
        <v>0</v>
      </c>
      <c r="AS231" s="98">
        <f t="shared" si="71"/>
        <v>0</v>
      </c>
      <c r="AV231" s="101" t="str">
        <f t="shared" si="67"/>
        <v>1.130900</v>
      </c>
      <c r="AW231" s="101">
        <v>900</v>
      </c>
      <c r="AX231" s="92">
        <v>50</v>
      </c>
      <c r="AY231" s="92">
        <v>375</v>
      </c>
      <c r="AZ231" s="92">
        <v>500</v>
      </c>
      <c r="BA231" s="92">
        <v>745</v>
      </c>
      <c r="BB231" s="202">
        <v>1120</v>
      </c>
      <c r="BC231" s="202">
        <v>1870</v>
      </c>
      <c r="BD231" s="202">
        <v>3115</v>
      </c>
      <c r="BF231" s="101" t="str">
        <f t="shared" si="68"/>
        <v>2.100900</v>
      </c>
      <c r="BG231" s="101">
        <v>900</v>
      </c>
      <c r="BH231" s="92">
        <v>50</v>
      </c>
      <c r="BI231" s="92">
        <v>385</v>
      </c>
      <c r="BJ231" s="92">
        <v>510</v>
      </c>
      <c r="BK231" s="92">
        <v>770</v>
      </c>
      <c r="BL231" s="202">
        <v>1150</v>
      </c>
      <c r="BM231" s="202">
        <v>1920</v>
      </c>
      <c r="BN231" s="202">
        <v>3200</v>
      </c>
      <c r="BP231" s="101" t="str">
        <f t="shared" si="69"/>
        <v>3.100900</v>
      </c>
      <c r="BQ231" s="101">
        <v>900</v>
      </c>
    </row>
    <row r="232" spans="1:76">
      <c r="A232" s="95"/>
      <c r="B232" s="96"/>
      <c r="C232" s="95"/>
      <c r="D232" s="95"/>
      <c r="E232" s="95"/>
      <c r="F232" s="95"/>
      <c r="G232" s="95"/>
      <c r="H232" s="95"/>
      <c r="I232" s="95"/>
      <c r="J232" s="95"/>
      <c r="K232" s="95"/>
      <c r="L232" s="95"/>
      <c r="M232" s="95"/>
      <c r="N232" s="95"/>
      <c r="O232" s="95"/>
      <c r="P232" s="95"/>
      <c r="Q232" s="95"/>
      <c r="R232" s="95"/>
      <c r="S232" s="99" t="s">
        <v>72</v>
      </c>
      <c r="T232" s="204" t="s">
        <v>195</v>
      </c>
      <c r="U232" s="98"/>
      <c r="V232" s="98">
        <f t="shared" si="70"/>
        <v>3085</v>
      </c>
      <c r="W232" s="98">
        <f t="shared" si="70"/>
        <v>2830</v>
      </c>
      <c r="X232" s="98">
        <f t="shared" si="70"/>
        <v>2725</v>
      </c>
      <c r="Y232" s="98">
        <f t="shared" si="70"/>
        <v>2635</v>
      </c>
      <c r="Z232" s="98">
        <f t="shared" si="70"/>
        <v>2510</v>
      </c>
      <c r="AA232" s="98">
        <f t="shared" si="70"/>
        <v>2365</v>
      </c>
      <c r="AB232" s="98">
        <f t="shared" si="70"/>
        <v>2285</v>
      </c>
      <c r="AC232" s="98">
        <f t="shared" si="70"/>
        <v>2210</v>
      </c>
      <c r="AD232" s="98">
        <f t="shared" si="70"/>
        <v>2140</v>
      </c>
      <c r="AE232" s="98">
        <f t="shared" si="70"/>
        <v>1850</v>
      </c>
      <c r="AF232" s="98">
        <f t="shared" si="71"/>
        <v>1490</v>
      </c>
      <c r="AG232" s="98">
        <f t="shared" si="71"/>
        <v>855</v>
      </c>
      <c r="AH232" s="98">
        <f t="shared" si="71"/>
        <v>685</v>
      </c>
      <c r="AI232" s="98">
        <f t="shared" si="71"/>
        <v>430</v>
      </c>
      <c r="AJ232" s="98">
        <f t="shared" si="71"/>
        <v>0</v>
      </c>
      <c r="AK232" s="98">
        <f t="shared" si="71"/>
        <v>0</v>
      </c>
      <c r="AL232" s="98">
        <f t="shared" si="71"/>
        <v>0</v>
      </c>
      <c r="AM232" s="98">
        <f t="shared" si="71"/>
        <v>0</v>
      </c>
      <c r="AN232" s="98">
        <f t="shared" si="71"/>
        <v>0</v>
      </c>
      <c r="AO232" s="98">
        <f t="shared" si="71"/>
        <v>0</v>
      </c>
      <c r="AP232" s="98">
        <f t="shared" si="71"/>
        <v>0</v>
      </c>
      <c r="AQ232" s="98">
        <f t="shared" si="71"/>
        <v>0</v>
      </c>
      <c r="AR232" s="98">
        <f t="shared" si="71"/>
        <v>0</v>
      </c>
      <c r="AS232" s="98">
        <f t="shared" si="71"/>
        <v>0</v>
      </c>
      <c r="AV232" s="101" t="str">
        <f t="shared" si="67"/>
        <v>1.130950</v>
      </c>
      <c r="AW232" s="101">
        <v>950</v>
      </c>
      <c r="AX232" s="92">
        <v>35</v>
      </c>
      <c r="AY232" s="92">
        <v>275</v>
      </c>
      <c r="AZ232" s="92">
        <v>365</v>
      </c>
      <c r="BA232" s="92">
        <v>550</v>
      </c>
      <c r="BB232" s="92">
        <v>825</v>
      </c>
      <c r="BC232" s="202">
        <v>1370</v>
      </c>
      <c r="BD232" s="202">
        <v>2285</v>
      </c>
      <c r="BF232" s="101" t="str">
        <f t="shared" si="68"/>
        <v>2.100950</v>
      </c>
      <c r="BG232" s="101">
        <v>950</v>
      </c>
      <c r="BH232" s="92">
        <v>35</v>
      </c>
      <c r="BI232" s="92">
        <v>370</v>
      </c>
      <c r="BJ232" s="92">
        <v>495</v>
      </c>
      <c r="BK232" s="92">
        <v>740</v>
      </c>
      <c r="BL232" s="202">
        <v>1110</v>
      </c>
      <c r="BM232" s="202">
        <v>1850</v>
      </c>
      <c r="BN232" s="202">
        <v>3080</v>
      </c>
      <c r="BP232" s="101" t="str">
        <f t="shared" si="69"/>
        <v>3.100950</v>
      </c>
      <c r="BQ232" s="101">
        <v>950</v>
      </c>
    </row>
    <row r="233" spans="1:76">
      <c r="A233" s="95"/>
      <c r="B233" s="96"/>
      <c r="C233" s="95"/>
      <c r="D233" s="95"/>
      <c r="E233" s="95"/>
      <c r="F233" s="95"/>
      <c r="G233" s="95"/>
      <c r="H233" s="95"/>
      <c r="I233" s="95"/>
      <c r="J233" s="95"/>
      <c r="K233" s="95"/>
      <c r="L233" s="95"/>
      <c r="M233" s="95"/>
      <c r="N233" s="95"/>
      <c r="O233" s="95"/>
      <c r="P233" s="95"/>
      <c r="Q233" s="95"/>
      <c r="R233" s="95"/>
      <c r="S233" s="99" t="s">
        <v>73</v>
      </c>
      <c r="T233" s="204" t="s">
        <v>196</v>
      </c>
      <c r="U233" s="98"/>
      <c r="V233" s="98">
        <f t="shared" si="70"/>
        <v>3480</v>
      </c>
      <c r="W233" s="98">
        <f t="shared" si="70"/>
        <v>3480</v>
      </c>
      <c r="X233" s="98">
        <f t="shared" si="70"/>
        <v>3435</v>
      </c>
      <c r="Y233" s="98">
        <f t="shared" si="70"/>
        <v>3310</v>
      </c>
      <c r="Z233" s="98">
        <f t="shared" si="70"/>
        <v>3210</v>
      </c>
      <c r="AA233" s="98">
        <f t="shared" si="70"/>
        <v>3025</v>
      </c>
      <c r="AB233" s="98">
        <f t="shared" si="70"/>
        <v>2940</v>
      </c>
      <c r="AC233" s="98">
        <f t="shared" si="70"/>
        <v>2840</v>
      </c>
      <c r="AD233" s="98">
        <f t="shared" si="70"/>
        <v>2660</v>
      </c>
      <c r="AE233" s="98">
        <f t="shared" si="70"/>
        <v>2540</v>
      </c>
      <c r="AF233" s="98">
        <f t="shared" si="71"/>
        <v>2435</v>
      </c>
      <c r="AG233" s="98">
        <f t="shared" si="71"/>
        <v>2245</v>
      </c>
      <c r="AH233" s="98">
        <f t="shared" si="71"/>
        <v>1405</v>
      </c>
      <c r="AI233" s="98">
        <f t="shared" si="71"/>
        <v>825</v>
      </c>
      <c r="AJ233" s="98">
        <f t="shared" si="71"/>
        <v>0</v>
      </c>
      <c r="AK233" s="98">
        <f t="shared" si="71"/>
        <v>0</v>
      </c>
      <c r="AL233" s="98">
        <f t="shared" si="71"/>
        <v>0</v>
      </c>
      <c r="AM233" s="98">
        <f t="shared" si="71"/>
        <v>0</v>
      </c>
      <c r="AN233" s="98">
        <f t="shared" si="71"/>
        <v>0</v>
      </c>
      <c r="AO233" s="98">
        <f t="shared" si="71"/>
        <v>0</v>
      </c>
      <c r="AP233" s="98">
        <f t="shared" si="71"/>
        <v>0</v>
      </c>
      <c r="AQ233" s="98">
        <f t="shared" si="71"/>
        <v>0</v>
      </c>
      <c r="AR233" s="98">
        <f t="shared" si="71"/>
        <v>0</v>
      </c>
      <c r="AS233" s="98">
        <f t="shared" si="71"/>
        <v>0</v>
      </c>
      <c r="AV233" s="101" t="str">
        <f t="shared" si="67"/>
        <v>1.131000</v>
      </c>
      <c r="AW233" s="101">
        <v>1000</v>
      </c>
      <c r="AX233" s="92">
        <v>20</v>
      </c>
      <c r="AY233" s="92">
        <v>200</v>
      </c>
      <c r="AZ233" s="92">
        <v>265</v>
      </c>
      <c r="BA233" s="92">
        <v>400</v>
      </c>
      <c r="BB233" s="92">
        <v>595</v>
      </c>
      <c r="BC233" s="92">
        <v>995</v>
      </c>
      <c r="BD233" s="202">
        <v>1655</v>
      </c>
      <c r="BF233" s="101" t="str">
        <f t="shared" si="68"/>
        <v>2.101000</v>
      </c>
      <c r="BG233" s="101">
        <v>1000</v>
      </c>
      <c r="BH233" s="92">
        <v>20</v>
      </c>
      <c r="BI233" s="92">
        <v>340</v>
      </c>
      <c r="BJ233" s="92">
        <v>450</v>
      </c>
      <c r="BK233" s="92">
        <v>675</v>
      </c>
      <c r="BL233" s="202">
        <v>1015</v>
      </c>
      <c r="BM233" s="202">
        <v>1690</v>
      </c>
      <c r="BN233" s="202">
        <v>2820</v>
      </c>
      <c r="BP233" s="101" t="str">
        <f t="shared" si="69"/>
        <v>3.101000</v>
      </c>
      <c r="BQ233" s="101">
        <v>1000</v>
      </c>
    </row>
    <row r="234" spans="1:76">
      <c r="A234" s="95"/>
      <c r="B234" s="96"/>
      <c r="C234" s="95"/>
      <c r="D234" s="95"/>
      <c r="E234" s="95"/>
      <c r="F234" s="95"/>
      <c r="G234" s="95"/>
      <c r="H234" s="95"/>
      <c r="I234" s="95"/>
      <c r="J234" s="95"/>
      <c r="K234" s="95"/>
      <c r="L234" s="95"/>
      <c r="M234" s="95"/>
      <c r="N234" s="95"/>
      <c r="O234" s="95"/>
      <c r="P234" s="95"/>
      <c r="Q234" s="95"/>
      <c r="R234" s="95"/>
      <c r="S234" s="99" t="s">
        <v>74</v>
      </c>
      <c r="T234" s="204" t="s">
        <v>197</v>
      </c>
      <c r="U234" s="98"/>
      <c r="V234" s="98">
        <f t="shared" si="70"/>
        <v>3750</v>
      </c>
      <c r="W234" s="98">
        <f t="shared" si="70"/>
        <v>3750</v>
      </c>
      <c r="X234" s="98">
        <f t="shared" si="70"/>
        <v>3640</v>
      </c>
      <c r="Y234" s="98">
        <f t="shared" si="70"/>
        <v>3530</v>
      </c>
      <c r="Z234" s="98">
        <f t="shared" si="70"/>
        <v>3325</v>
      </c>
      <c r="AA234" s="98">
        <f t="shared" si="70"/>
        <v>3025</v>
      </c>
      <c r="AB234" s="98">
        <f t="shared" si="70"/>
        <v>2940</v>
      </c>
      <c r="AC234" s="98">
        <f t="shared" si="70"/>
        <v>2840</v>
      </c>
      <c r="AD234" s="98">
        <f t="shared" si="70"/>
        <v>2660</v>
      </c>
      <c r="AE234" s="98">
        <f t="shared" si="70"/>
        <v>2540</v>
      </c>
      <c r="AF234" s="98">
        <f t="shared" si="71"/>
        <v>2435</v>
      </c>
      <c r="AG234" s="98">
        <f t="shared" si="71"/>
        <v>2245</v>
      </c>
      <c r="AH234" s="98">
        <f t="shared" si="71"/>
        <v>1575</v>
      </c>
      <c r="AI234" s="98">
        <f t="shared" si="71"/>
        <v>1010</v>
      </c>
      <c r="AJ234" s="98">
        <f t="shared" si="71"/>
        <v>790</v>
      </c>
      <c r="AK234" s="98">
        <f t="shared" si="71"/>
        <v>0</v>
      </c>
      <c r="AL234" s="98">
        <f t="shared" si="71"/>
        <v>0</v>
      </c>
      <c r="AM234" s="98">
        <f t="shared" si="71"/>
        <v>0</v>
      </c>
      <c r="AN234" s="98">
        <f t="shared" si="71"/>
        <v>0</v>
      </c>
      <c r="AO234" s="98">
        <f t="shared" si="71"/>
        <v>0</v>
      </c>
      <c r="AP234" s="98">
        <f t="shared" si="71"/>
        <v>0</v>
      </c>
      <c r="AQ234" s="98">
        <f t="shared" si="71"/>
        <v>0</v>
      </c>
      <c r="AR234" s="98">
        <f t="shared" si="71"/>
        <v>0</v>
      </c>
      <c r="AS234" s="98">
        <f t="shared" si="71"/>
        <v>0</v>
      </c>
      <c r="AV234" s="101" t="str">
        <f t="shared" si="67"/>
        <v>1.131050</v>
      </c>
      <c r="AW234" s="101">
        <v>1050</v>
      </c>
      <c r="AY234" s="92">
        <v>145</v>
      </c>
      <c r="AZ234" s="92">
        <v>190</v>
      </c>
      <c r="BA234" s="92">
        <v>290</v>
      </c>
      <c r="BB234" s="92">
        <v>430</v>
      </c>
      <c r="BC234" s="92">
        <v>720</v>
      </c>
      <c r="BD234" s="202">
        <v>1200</v>
      </c>
      <c r="BF234" s="101" t="str">
        <f t="shared" si="68"/>
        <v>2.101050</v>
      </c>
      <c r="BG234" s="101">
        <v>1050</v>
      </c>
      <c r="BI234" s="92">
        <v>290</v>
      </c>
      <c r="BJ234" s="92">
        <v>390</v>
      </c>
      <c r="BK234" s="92">
        <v>585</v>
      </c>
      <c r="BL234" s="92">
        <v>875</v>
      </c>
      <c r="BM234" s="202">
        <v>1455</v>
      </c>
      <c r="BN234" s="202">
        <v>2430</v>
      </c>
      <c r="BP234" s="101" t="str">
        <f t="shared" si="69"/>
        <v>3.101050</v>
      </c>
      <c r="BQ234" s="101">
        <v>1050</v>
      </c>
    </row>
    <row r="235" spans="1:76">
      <c r="A235" s="95"/>
      <c r="B235" s="96"/>
      <c r="C235" s="95"/>
      <c r="D235" s="95"/>
      <c r="E235" s="95"/>
      <c r="F235" s="95"/>
      <c r="G235" s="95"/>
      <c r="H235" s="95"/>
      <c r="I235" s="95"/>
      <c r="J235" s="95"/>
      <c r="K235" s="95"/>
      <c r="L235" s="95"/>
      <c r="M235" s="95"/>
      <c r="N235" s="95"/>
      <c r="O235" s="95"/>
      <c r="P235" s="95"/>
      <c r="Q235" s="95"/>
      <c r="R235" s="95"/>
      <c r="S235" s="99" t="s">
        <v>75</v>
      </c>
      <c r="T235" s="204" t="s">
        <v>198</v>
      </c>
      <c r="U235" s="98"/>
      <c r="V235" s="98">
        <f t="shared" si="70"/>
        <v>3750</v>
      </c>
      <c r="W235" s="98">
        <f t="shared" si="70"/>
        <v>3750</v>
      </c>
      <c r="X235" s="98">
        <f t="shared" si="70"/>
        <v>3610</v>
      </c>
      <c r="Y235" s="98">
        <f t="shared" si="70"/>
        <v>3465</v>
      </c>
      <c r="Z235" s="98">
        <f t="shared" si="70"/>
        <v>3325</v>
      </c>
      <c r="AA235" s="98">
        <f t="shared" si="70"/>
        <v>3025</v>
      </c>
      <c r="AB235" s="98">
        <f t="shared" si="70"/>
        <v>2940</v>
      </c>
      <c r="AC235" s="98">
        <f t="shared" si="70"/>
        <v>2840</v>
      </c>
      <c r="AD235" s="98">
        <f t="shared" si="70"/>
        <v>2660</v>
      </c>
      <c r="AE235" s="98">
        <f t="shared" si="70"/>
        <v>2540</v>
      </c>
      <c r="AF235" s="98">
        <f t="shared" si="71"/>
        <v>2435</v>
      </c>
      <c r="AG235" s="98">
        <f t="shared" si="71"/>
        <v>2245</v>
      </c>
      <c r="AH235" s="98">
        <f t="shared" si="71"/>
        <v>1595</v>
      </c>
      <c r="AI235" s="98">
        <f t="shared" si="71"/>
        <v>1080</v>
      </c>
      <c r="AJ235" s="98">
        <f t="shared" si="71"/>
        <v>720</v>
      </c>
      <c r="AK235" s="98">
        <f t="shared" si="71"/>
        <v>480</v>
      </c>
      <c r="AL235" s="98">
        <f t="shared" si="71"/>
        <v>325</v>
      </c>
      <c r="AM235" s="98">
        <f t="shared" si="71"/>
        <v>205</v>
      </c>
      <c r="AN235" s="98">
        <f t="shared" si="71"/>
        <v>0</v>
      </c>
      <c r="AO235" s="98">
        <f t="shared" si="71"/>
        <v>0</v>
      </c>
      <c r="AP235" s="98">
        <f t="shared" si="71"/>
        <v>0</v>
      </c>
      <c r="AQ235" s="98">
        <f t="shared" si="71"/>
        <v>0</v>
      </c>
      <c r="AR235" s="98">
        <f t="shared" si="71"/>
        <v>0</v>
      </c>
      <c r="AS235" s="98">
        <f t="shared" si="71"/>
        <v>0</v>
      </c>
      <c r="AV235" s="101" t="str">
        <f t="shared" si="67"/>
        <v>1.131100</v>
      </c>
      <c r="AW235" s="101">
        <v>1100</v>
      </c>
      <c r="AY235" s="92">
        <v>100</v>
      </c>
      <c r="AZ235" s="92">
        <v>135</v>
      </c>
      <c r="BA235" s="92">
        <v>200</v>
      </c>
      <c r="BB235" s="92">
        <v>300</v>
      </c>
      <c r="BC235" s="92">
        <v>495</v>
      </c>
      <c r="BD235" s="92">
        <v>830</v>
      </c>
      <c r="BF235" s="101" t="str">
        <f t="shared" si="68"/>
        <v>2.101100</v>
      </c>
      <c r="BG235" s="101">
        <v>1100</v>
      </c>
      <c r="BI235" s="92">
        <v>225</v>
      </c>
      <c r="BJ235" s="92">
        <v>295</v>
      </c>
      <c r="BK235" s="92">
        <v>445</v>
      </c>
      <c r="BL235" s="92">
        <v>670</v>
      </c>
      <c r="BM235" s="202">
        <v>1115</v>
      </c>
      <c r="BN235" s="202">
        <v>1855</v>
      </c>
      <c r="BP235" s="101" t="str">
        <f t="shared" si="69"/>
        <v>3.101100</v>
      </c>
      <c r="BQ235" s="101">
        <v>1100</v>
      </c>
    </row>
    <row r="236" spans="1:76">
      <c r="A236" s="95"/>
      <c r="B236" s="96"/>
      <c r="C236" s="95"/>
      <c r="D236" s="95"/>
      <c r="E236" s="95"/>
      <c r="F236" s="95"/>
      <c r="G236" s="95"/>
      <c r="H236" s="95"/>
      <c r="I236" s="95"/>
      <c r="J236" s="95"/>
      <c r="K236" s="95"/>
      <c r="L236" s="95"/>
      <c r="M236" s="95"/>
      <c r="N236" s="95"/>
      <c r="O236" s="95"/>
      <c r="P236" s="95"/>
      <c r="Q236" s="95"/>
      <c r="R236" s="95"/>
      <c r="S236" s="99" t="s">
        <v>76</v>
      </c>
      <c r="T236" s="204" t="s">
        <v>76</v>
      </c>
      <c r="U236" s="98"/>
      <c r="V236" s="98">
        <f t="shared" si="70"/>
        <v>3750</v>
      </c>
      <c r="W236" s="98">
        <f t="shared" si="70"/>
        <v>3750</v>
      </c>
      <c r="X236" s="98">
        <f t="shared" si="70"/>
        <v>3640</v>
      </c>
      <c r="Y236" s="98">
        <f t="shared" si="70"/>
        <v>3530</v>
      </c>
      <c r="Z236" s="98">
        <f t="shared" si="70"/>
        <v>3325</v>
      </c>
      <c r="AA236" s="98">
        <f t="shared" si="70"/>
        <v>3025</v>
      </c>
      <c r="AB236" s="98">
        <f t="shared" si="70"/>
        <v>2940</v>
      </c>
      <c r="AC236" s="98">
        <f t="shared" si="70"/>
        <v>2840</v>
      </c>
      <c r="AD236" s="98">
        <f t="shared" si="70"/>
        <v>2660</v>
      </c>
      <c r="AE236" s="98">
        <f t="shared" si="70"/>
        <v>2540</v>
      </c>
      <c r="AF236" s="98">
        <f t="shared" si="71"/>
        <v>2435</v>
      </c>
      <c r="AG236" s="98">
        <f t="shared" si="71"/>
        <v>2245</v>
      </c>
      <c r="AH236" s="98">
        <f t="shared" si="71"/>
        <v>1930</v>
      </c>
      <c r="AI236" s="98">
        <f t="shared" si="71"/>
        <v>1335</v>
      </c>
      <c r="AJ236" s="98">
        <f t="shared" si="71"/>
        <v>875</v>
      </c>
      <c r="AK236" s="98">
        <f t="shared" si="71"/>
        <v>550</v>
      </c>
      <c r="AL236" s="98">
        <f t="shared" si="71"/>
        <v>345</v>
      </c>
      <c r="AM236" s="98">
        <f t="shared" si="71"/>
        <v>205</v>
      </c>
      <c r="AN236" s="98">
        <f t="shared" si="71"/>
        <v>0</v>
      </c>
      <c r="AO236" s="98">
        <f t="shared" si="71"/>
        <v>0</v>
      </c>
      <c r="AP236" s="98">
        <f t="shared" si="71"/>
        <v>0</v>
      </c>
      <c r="AQ236" s="98">
        <f t="shared" si="71"/>
        <v>0</v>
      </c>
      <c r="AR236" s="98">
        <f t="shared" si="71"/>
        <v>0</v>
      </c>
      <c r="AS236" s="98">
        <f t="shared" si="71"/>
        <v>0</v>
      </c>
      <c r="AV236" s="101" t="str">
        <f t="shared" si="67"/>
        <v>1.131150</v>
      </c>
      <c r="AW236" s="101">
        <v>1150</v>
      </c>
      <c r="AY236" s="92">
        <v>60</v>
      </c>
      <c r="AZ236" s="92">
        <v>80</v>
      </c>
      <c r="BA236" s="92">
        <v>125</v>
      </c>
      <c r="BB236" s="92">
        <v>185</v>
      </c>
      <c r="BC236" s="92">
        <v>310</v>
      </c>
      <c r="BD236" s="92">
        <v>515</v>
      </c>
      <c r="BF236" s="101" t="str">
        <f t="shared" si="68"/>
        <v>2.101150</v>
      </c>
      <c r="BG236" s="101">
        <v>1150</v>
      </c>
      <c r="BI236" s="92">
        <v>170</v>
      </c>
      <c r="BJ236" s="92">
        <v>230</v>
      </c>
      <c r="BK236" s="92">
        <v>345</v>
      </c>
      <c r="BL236" s="92">
        <v>515</v>
      </c>
      <c r="BM236" s="92">
        <v>855</v>
      </c>
      <c r="BN236" s="202">
        <v>1430</v>
      </c>
      <c r="BP236" s="101" t="str">
        <f t="shared" si="69"/>
        <v>3.101150</v>
      </c>
      <c r="BQ236" s="101">
        <v>1150</v>
      </c>
    </row>
    <row r="237" spans="1:76">
      <c r="A237" s="95"/>
      <c r="B237" s="96"/>
      <c r="C237" s="95"/>
      <c r="D237" s="95"/>
      <c r="E237" s="95"/>
      <c r="F237" s="95"/>
      <c r="G237" s="95"/>
      <c r="H237" s="95"/>
      <c r="I237" s="95"/>
      <c r="J237" s="95"/>
      <c r="K237" s="95"/>
      <c r="L237" s="95"/>
      <c r="M237" s="95"/>
      <c r="N237" s="95"/>
      <c r="O237" s="95"/>
      <c r="P237" s="95"/>
      <c r="Q237" s="95"/>
      <c r="R237" s="95"/>
      <c r="S237" s="99" t="s">
        <v>187</v>
      </c>
      <c r="T237" s="204" t="s">
        <v>187</v>
      </c>
      <c r="U237" s="98"/>
      <c r="V237" s="98">
        <f t="shared" si="70"/>
        <v>3750</v>
      </c>
      <c r="W237" s="98">
        <f t="shared" si="70"/>
        <v>3750</v>
      </c>
      <c r="X237" s="98">
        <f t="shared" si="70"/>
        <v>3640</v>
      </c>
      <c r="Y237" s="98">
        <f t="shared" si="70"/>
        <v>3530</v>
      </c>
      <c r="Z237" s="98">
        <f t="shared" si="70"/>
        <v>3325</v>
      </c>
      <c r="AA237" s="98">
        <f t="shared" si="70"/>
        <v>3025</v>
      </c>
      <c r="AB237" s="98">
        <f t="shared" si="70"/>
        <v>2940</v>
      </c>
      <c r="AC237" s="98">
        <f t="shared" si="70"/>
        <v>2840</v>
      </c>
      <c r="AD237" s="98">
        <f t="shared" si="70"/>
        <v>2660</v>
      </c>
      <c r="AE237" s="98">
        <f t="shared" si="70"/>
        <v>2540</v>
      </c>
      <c r="AF237" s="98">
        <f t="shared" si="71"/>
        <v>2435</v>
      </c>
      <c r="AG237" s="98">
        <f t="shared" si="71"/>
        <v>2245</v>
      </c>
      <c r="AH237" s="98">
        <f t="shared" si="71"/>
        <v>1405</v>
      </c>
      <c r="AI237" s="98">
        <f t="shared" si="71"/>
        <v>825</v>
      </c>
      <c r="AJ237" s="98">
        <f t="shared" si="71"/>
        <v>825</v>
      </c>
      <c r="AK237" s="98">
        <f t="shared" si="71"/>
        <v>550</v>
      </c>
      <c r="AL237" s="98">
        <f t="shared" si="71"/>
        <v>410</v>
      </c>
      <c r="AM237" s="98">
        <f t="shared" si="71"/>
        <v>225</v>
      </c>
      <c r="AN237" s="98">
        <f t="shared" si="71"/>
        <v>0</v>
      </c>
      <c r="AO237" s="98">
        <f t="shared" si="71"/>
        <v>0</v>
      </c>
      <c r="AP237" s="98">
        <f t="shared" si="71"/>
        <v>0</v>
      </c>
      <c r="AQ237" s="98">
        <f t="shared" si="71"/>
        <v>0</v>
      </c>
      <c r="AR237" s="98">
        <f t="shared" si="71"/>
        <v>0</v>
      </c>
      <c r="AS237" s="98">
        <f t="shared" si="71"/>
        <v>0</v>
      </c>
      <c r="AV237" s="101" t="str">
        <f t="shared" si="67"/>
        <v>1.131200</v>
      </c>
      <c r="AW237" s="101">
        <v>1200</v>
      </c>
      <c r="AY237" s="92">
        <v>35</v>
      </c>
      <c r="AZ237" s="92">
        <v>45</v>
      </c>
      <c r="BA237" s="92">
        <v>70</v>
      </c>
      <c r="BB237" s="92">
        <v>105</v>
      </c>
      <c r="BC237" s="92">
        <v>170</v>
      </c>
      <c r="BD237" s="92">
        <v>285</v>
      </c>
      <c r="BF237" s="101" t="str">
        <f t="shared" si="68"/>
        <v>2.101200</v>
      </c>
      <c r="BG237" s="101">
        <v>1200</v>
      </c>
      <c r="BI237" s="92">
        <v>130</v>
      </c>
      <c r="BJ237" s="92">
        <v>175</v>
      </c>
      <c r="BK237" s="92">
        <v>260</v>
      </c>
      <c r="BL237" s="92">
        <v>390</v>
      </c>
      <c r="BM237" s="92">
        <v>650</v>
      </c>
      <c r="BN237" s="202">
        <v>1085</v>
      </c>
      <c r="BP237" s="101" t="str">
        <f t="shared" si="69"/>
        <v>3.101200</v>
      </c>
      <c r="BQ237" s="101">
        <v>1200</v>
      </c>
    </row>
    <row r="238" spans="1:76">
      <c r="A238" s="95"/>
      <c r="B238" s="96"/>
      <c r="C238" s="95"/>
      <c r="D238" s="95"/>
      <c r="E238" s="95"/>
      <c r="F238" s="95"/>
      <c r="G238" s="95"/>
      <c r="H238" s="95"/>
      <c r="I238" s="95"/>
      <c r="J238" s="95"/>
      <c r="K238" s="95"/>
      <c r="L238" s="95"/>
      <c r="M238" s="95"/>
      <c r="N238" s="95"/>
      <c r="O238" s="95"/>
      <c r="P238" s="95"/>
      <c r="Q238" s="95"/>
      <c r="R238" s="95"/>
      <c r="S238" s="99" t="s">
        <v>77</v>
      </c>
      <c r="T238" s="204" t="s">
        <v>77</v>
      </c>
      <c r="U238" s="98"/>
      <c r="V238" s="98">
        <f t="shared" si="70"/>
        <v>3750</v>
      </c>
      <c r="W238" s="98">
        <f t="shared" si="70"/>
        <v>3750</v>
      </c>
      <c r="X238" s="98">
        <f t="shared" si="70"/>
        <v>3640</v>
      </c>
      <c r="Y238" s="98">
        <f t="shared" si="70"/>
        <v>3530</v>
      </c>
      <c r="Z238" s="98">
        <f t="shared" si="70"/>
        <v>3325</v>
      </c>
      <c r="AA238" s="98">
        <f t="shared" si="70"/>
        <v>3025</v>
      </c>
      <c r="AB238" s="98">
        <f t="shared" si="70"/>
        <v>2940</v>
      </c>
      <c r="AC238" s="98">
        <f t="shared" si="70"/>
        <v>2840</v>
      </c>
      <c r="AD238" s="98">
        <f t="shared" si="70"/>
        <v>2660</v>
      </c>
      <c r="AE238" s="98">
        <f t="shared" si="70"/>
        <v>2540</v>
      </c>
      <c r="AF238" s="98">
        <f t="shared" si="71"/>
        <v>2435</v>
      </c>
      <c r="AG238" s="98">
        <f t="shared" si="71"/>
        <v>1870</v>
      </c>
      <c r="AH238" s="98">
        <f t="shared" si="71"/>
        <v>1370</v>
      </c>
      <c r="AI238" s="98">
        <f t="shared" si="71"/>
        <v>995</v>
      </c>
      <c r="AJ238" s="98">
        <f t="shared" si="71"/>
        <v>720</v>
      </c>
      <c r="AK238" s="98">
        <f t="shared" si="71"/>
        <v>495</v>
      </c>
      <c r="AL238" s="98">
        <f t="shared" si="71"/>
        <v>310</v>
      </c>
      <c r="AM238" s="98">
        <f t="shared" si="71"/>
        <v>170</v>
      </c>
      <c r="AN238" s="98">
        <f t="shared" si="71"/>
        <v>0</v>
      </c>
      <c r="AO238" s="98">
        <f t="shared" si="71"/>
        <v>0</v>
      </c>
      <c r="AP238" s="98">
        <f t="shared" si="71"/>
        <v>0</v>
      </c>
      <c r="AQ238" s="98">
        <f t="shared" si="71"/>
        <v>0</v>
      </c>
      <c r="AR238" s="98">
        <f t="shared" si="71"/>
        <v>0</v>
      </c>
      <c r="AS238" s="98">
        <f t="shared" si="71"/>
        <v>0</v>
      </c>
      <c r="AV238" s="101" t="str">
        <f t="shared" si="67"/>
        <v>1.131250</v>
      </c>
      <c r="AW238" s="101">
        <v>1250</v>
      </c>
      <c r="BF238" s="101" t="str">
        <f t="shared" si="68"/>
        <v>2.101250</v>
      </c>
      <c r="BG238" s="101">
        <v>1250</v>
      </c>
      <c r="BI238" s="92">
        <v>100</v>
      </c>
      <c r="BJ238" s="92">
        <v>135</v>
      </c>
      <c r="BK238" s="92">
        <v>200</v>
      </c>
      <c r="BL238" s="92">
        <v>300</v>
      </c>
      <c r="BM238" s="92">
        <v>495</v>
      </c>
      <c r="BN238" s="92">
        <v>830</v>
      </c>
      <c r="BP238" s="101" t="str">
        <f t="shared" si="69"/>
        <v>3.101250</v>
      </c>
      <c r="BQ238" s="101">
        <v>1250</v>
      </c>
    </row>
    <row r="239" spans="1:76">
      <c r="A239" s="95"/>
      <c r="B239" s="96"/>
      <c r="C239" s="95"/>
      <c r="D239" s="95"/>
      <c r="E239" s="95"/>
      <c r="F239" s="95"/>
      <c r="G239" s="95"/>
      <c r="H239" s="95"/>
      <c r="I239" s="95"/>
      <c r="J239" s="95"/>
      <c r="K239" s="95"/>
      <c r="L239" s="95"/>
      <c r="M239" s="95"/>
      <c r="N239" s="95"/>
      <c r="O239" s="95"/>
      <c r="P239" s="95"/>
      <c r="Q239" s="95"/>
      <c r="R239" s="95"/>
      <c r="S239" s="99" t="s">
        <v>78</v>
      </c>
      <c r="T239" s="204" t="s">
        <v>78</v>
      </c>
      <c r="U239" s="98"/>
      <c r="V239" s="98">
        <f t="shared" si="70"/>
        <v>3750</v>
      </c>
      <c r="W239" s="98">
        <f t="shared" si="70"/>
        <v>3750</v>
      </c>
      <c r="X239" s="98">
        <f t="shared" si="70"/>
        <v>3640</v>
      </c>
      <c r="Y239" s="98">
        <f t="shared" si="70"/>
        <v>3530</v>
      </c>
      <c r="Z239" s="98">
        <f t="shared" si="70"/>
        <v>3325</v>
      </c>
      <c r="AA239" s="98">
        <f t="shared" si="70"/>
        <v>3025</v>
      </c>
      <c r="AB239" s="98">
        <f t="shared" si="70"/>
        <v>2940</v>
      </c>
      <c r="AC239" s="98">
        <f t="shared" si="70"/>
        <v>2840</v>
      </c>
      <c r="AD239" s="98">
        <f t="shared" si="70"/>
        <v>2660</v>
      </c>
      <c r="AE239" s="98">
        <f t="shared" si="70"/>
        <v>2540</v>
      </c>
      <c r="AF239" s="98">
        <f t="shared" si="71"/>
        <v>2435</v>
      </c>
      <c r="AG239" s="98">
        <f t="shared" si="71"/>
        <v>2245</v>
      </c>
      <c r="AH239" s="98">
        <f t="shared" si="71"/>
        <v>1885</v>
      </c>
      <c r="AI239" s="98">
        <f t="shared" si="71"/>
        <v>1270</v>
      </c>
      <c r="AJ239" s="98">
        <f t="shared" si="71"/>
        <v>855</v>
      </c>
      <c r="AK239" s="98">
        <f t="shared" si="71"/>
        <v>565</v>
      </c>
      <c r="AL239" s="98">
        <f t="shared" si="71"/>
        <v>375</v>
      </c>
      <c r="AM239" s="98">
        <f t="shared" si="71"/>
        <v>255</v>
      </c>
      <c r="AN239" s="98">
        <f t="shared" si="71"/>
        <v>0</v>
      </c>
      <c r="AO239" s="98">
        <f t="shared" si="71"/>
        <v>0</v>
      </c>
      <c r="AP239" s="98">
        <f t="shared" si="71"/>
        <v>0</v>
      </c>
      <c r="AQ239" s="98">
        <f t="shared" si="71"/>
        <v>0</v>
      </c>
      <c r="AR239" s="98">
        <f t="shared" si="71"/>
        <v>0</v>
      </c>
      <c r="AS239" s="98">
        <f t="shared" si="71"/>
        <v>0</v>
      </c>
      <c r="AV239" s="101" t="str">
        <f t="shared" si="67"/>
        <v>1.131300</v>
      </c>
      <c r="AW239" s="101">
        <v>1300</v>
      </c>
      <c r="BF239" s="101" t="str">
        <f t="shared" si="68"/>
        <v>2.101300</v>
      </c>
      <c r="BG239" s="101">
        <v>1300</v>
      </c>
      <c r="BI239" s="92">
        <v>80</v>
      </c>
      <c r="BJ239" s="92">
        <v>105</v>
      </c>
      <c r="BK239" s="92">
        <v>160</v>
      </c>
      <c r="BL239" s="92">
        <v>235</v>
      </c>
      <c r="BM239" s="92">
        <v>395</v>
      </c>
      <c r="BN239" s="92">
        <v>655</v>
      </c>
      <c r="BP239" s="101" t="str">
        <f t="shared" si="69"/>
        <v>3.101300</v>
      </c>
      <c r="BQ239" s="101">
        <v>1300</v>
      </c>
    </row>
    <row r="240" spans="1:76">
      <c r="A240" s="95"/>
      <c r="B240" s="96"/>
      <c r="C240" s="95"/>
      <c r="D240" s="95"/>
      <c r="E240" s="95"/>
      <c r="F240" s="95"/>
      <c r="G240" s="95"/>
      <c r="H240" s="95"/>
      <c r="I240" s="95"/>
      <c r="J240" s="95"/>
      <c r="K240" s="95"/>
      <c r="L240" s="95"/>
      <c r="M240" s="95"/>
      <c r="N240" s="95"/>
      <c r="O240" s="95"/>
      <c r="P240" s="95"/>
      <c r="Q240" s="95"/>
      <c r="R240" s="95"/>
      <c r="S240" s="99" t="s">
        <v>191</v>
      </c>
      <c r="T240" s="204" t="s">
        <v>191</v>
      </c>
      <c r="U240" s="98"/>
      <c r="V240" s="98">
        <f t="shared" si="70"/>
        <v>3750</v>
      </c>
      <c r="W240" s="98">
        <f t="shared" si="70"/>
        <v>3750</v>
      </c>
      <c r="X240" s="98">
        <f t="shared" si="70"/>
        <v>3640</v>
      </c>
      <c r="Y240" s="98">
        <f t="shared" si="70"/>
        <v>3530</v>
      </c>
      <c r="Z240" s="98">
        <f t="shared" si="70"/>
        <v>3325</v>
      </c>
      <c r="AA240" s="98">
        <f t="shared" si="70"/>
        <v>3025</v>
      </c>
      <c r="AB240" s="98">
        <f t="shared" si="70"/>
        <v>2940</v>
      </c>
      <c r="AC240" s="98">
        <f t="shared" si="70"/>
        <v>2840</v>
      </c>
      <c r="AD240" s="98">
        <f t="shared" si="70"/>
        <v>2660</v>
      </c>
      <c r="AE240" s="98">
        <f t="shared" si="70"/>
        <v>2540</v>
      </c>
      <c r="AF240" s="98">
        <f t="shared" si="71"/>
        <v>2435</v>
      </c>
      <c r="AG240" s="98">
        <f t="shared" si="71"/>
        <v>2245</v>
      </c>
      <c r="AH240" s="98">
        <f t="shared" si="71"/>
        <v>1930</v>
      </c>
      <c r="AI240" s="98">
        <f t="shared" si="71"/>
        <v>1820</v>
      </c>
      <c r="AJ240" s="98">
        <f t="shared" si="71"/>
        <v>1800</v>
      </c>
      <c r="AK240" s="98">
        <f t="shared" si="71"/>
        <v>1510</v>
      </c>
      <c r="AL240" s="98">
        <f t="shared" si="71"/>
        <v>1115</v>
      </c>
      <c r="AM240" s="98">
        <f t="shared" si="71"/>
        <v>720</v>
      </c>
      <c r="AN240" s="98">
        <f t="shared" si="71"/>
        <v>0</v>
      </c>
      <c r="AO240" s="98">
        <f t="shared" si="71"/>
        <v>0</v>
      </c>
      <c r="AP240" s="98">
        <f t="shared" si="71"/>
        <v>0</v>
      </c>
      <c r="AQ240" s="98">
        <f t="shared" si="71"/>
        <v>0</v>
      </c>
      <c r="AR240" s="98">
        <f t="shared" si="71"/>
        <v>0</v>
      </c>
      <c r="AS240" s="98">
        <f t="shared" si="71"/>
        <v>0</v>
      </c>
      <c r="AV240" s="101" t="str">
        <f t="shared" si="67"/>
        <v>1.131350</v>
      </c>
      <c r="AW240" s="101">
        <v>1350</v>
      </c>
      <c r="BF240" s="101" t="str">
        <f t="shared" si="68"/>
        <v>2.101350</v>
      </c>
      <c r="BG240" s="101">
        <v>1350</v>
      </c>
      <c r="BI240" s="92">
        <v>60</v>
      </c>
      <c r="BJ240" s="92">
        <v>80</v>
      </c>
      <c r="BK240" s="92">
        <v>125</v>
      </c>
      <c r="BL240" s="92">
        <v>185</v>
      </c>
      <c r="BM240" s="92">
        <v>310</v>
      </c>
      <c r="BN240" s="92">
        <v>515</v>
      </c>
      <c r="BP240" s="101" t="str">
        <f t="shared" si="69"/>
        <v>3.101350</v>
      </c>
      <c r="BQ240" s="101">
        <v>1350</v>
      </c>
    </row>
    <row r="241" spans="19:76">
      <c r="S241" s="99" t="s">
        <v>188</v>
      </c>
      <c r="T241" s="204" t="s">
        <v>188</v>
      </c>
      <c r="U241" s="98"/>
      <c r="V241" s="98">
        <f t="shared" si="70"/>
        <v>3750</v>
      </c>
      <c r="W241" s="98">
        <f t="shared" si="70"/>
        <v>3680</v>
      </c>
      <c r="X241" s="98">
        <f t="shared" si="70"/>
        <v>3495</v>
      </c>
      <c r="Y241" s="98">
        <f t="shared" si="70"/>
        <v>3345</v>
      </c>
      <c r="Z241" s="98">
        <f t="shared" si="70"/>
        <v>3230</v>
      </c>
      <c r="AA241" s="98">
        <f t="shared" si="70"/>
        <v>3025</v>
      </c>
      <c r="AB241" s="98">
        <f t="shared" si="70"/>
        <v>2940</v>
      </c>
      <c r="AC241" s="98">
        <f t="shared" si="70"/>
        <v>2840</v>
      </c>
      <c r="AD241" s="98">
        <f t="shared" si="70"/>
        <v>2660</v>
      </c>
      <c r="AE241" s="98">
        <f t="shared" si="70"/>
        <v>2540</v>
      </c>
      <c r="AF241" s="98">
        <f t="shared" si="71"/>
        <v>2435</v>
      </c>
      <c r="AG241" s="98">
        <f t="shared" si="71"/>
        <v>1870</v>
      </c>
      <c r="AH241" s="98">
        <f t="shared" si="71"/>
        <v>1370</v>
      </c>
      <c r="AI241" s="98">
        <f t="shared" si="71"/>
        <v>995</v>
      </c>
      <c r="AJ241" s="98">
        <f t="shared" si="71"/>
        <v>720</v>
      </c>
      <c r="AK241" s="98">
        <f t="shared" si="71"/>
        <v>480</v>
      </c>
      <c r="AL241" s="98">
        <f t="shared" si="71"/>
        <v>310</v>
      </c>
      <c r="AM241" s="98">
        <f t="shared" si="71"/>
        <v>170</v>
      </c>
      <c r="AN241" s="98">
        <f t="shared" si="71"/>
        <v>0</v>
      </c>
      <c r="AO241" s="98">
        <f t="shared" si="71"/>
        <v>0</v>
      </c>
      <c r="AP241" s="98">
        <f t="shared" si="71"/>
        <v>0</v>
      </c>
      <c r="AQ241" s="98">
        <f t="shared" si="71"/>
        <v>0</v>
      </c>
      <c r="AR241" s="98">
        <f t="shared" si="71"/>
        <v>0</v>
      </c>
      <c r="AS241" s="98">
        <f t="shared" si="71"/>
        <v>0</v>
      </c>
      <c r="AV241" s="101" t="str">
        <f t="shared" si="67"/>
        <v>1.131400</v>
      </c>
      <c r="AW241" s="101">
        <v>1400</v>
      </c>
      <c r="BF241" s="101" t="str">
        <f t="shared" si="68"/>
        <v>2.101400</v>
      </c>
      <c r="BG241" s="101">
        <v>1400</v>
      </c>
      <c r="BI241" s="92">
        <v>45</v>
      </c>
      <c r="BJ241" s="92">
        <v>60</v>
      </c>
      <c r="BK241" s="92">
        <v>90</v>
      </c>
      <c r="BL241" s="92">
        <v>135</v>
      </c>
      <c r="BM241" s="92">
        <v>225</v>
      </c>
      <c r="BN241" s="92">
        <v>370</v>
      </c>
      <c r="BP241" s="101" t="str">
        <f t="shared" si="69"/>
        <v>3.101400</v>
      </c>
      <c r="BQ241" s="101">
        <v>1400</v>
      </c>
    </row>
    <row r="242" spans="19:76">
      <c r="S242" s="99" t="s">
        <v>189</v>
      </c>
      <c r="T242" s="204" t="s">
        <v>189</v>
      </c>
      <c r="U242" s="98"/>
      <c r="V242" s="98">
        <f t="shared" si="70"/>
        <v>3750</v>
      </c>
      <c r="W242" s="98">
        <f t="shared" si="70"/>
        <v>3750</v>
      </c>
      <c r="X242" s="98">
        <f t="shared" si="70"/>
        <v>3640</v>
      </c>
      <c r="Y242" s="98">
        <f t="shared" si="70"/>
        <v>3530</v>
      </c>
      <c r="Z242" s="98">
        <f t="shared" si="70"/>
        <v>3325</v>
      </c>
      <c r="AA242" s="98">
        <f t="shared" si="70"/>
        <v>3025</v>
      </c>
      <c r="AB242" s="98">
        <f t="shared" si="70"/>
        <v>2940</v>
      </c>
      <c r="AC242" s="98">
        <f t="shared" si="70"/>
        <v>2840</v>
      </c>
      <c r="AD242" s="98">
        <f t="shared" si="70"/>
        <v>2660</v>
      </c>
      <c r="AE242" s="98">
        <f t="shared" si="70"/>
        <v>2540</v>
      </c>
      <c r="AF242" s="98">
        <f t="shared" si="71"/>
        <v>2435</v>
      </c>
      <c r="AG242" s="98">
        <f t="shared" si="71"/>
        <v>2245</v>
      </c>
      <c r="AH242" s="98">
        <f t="shared" si="71"/>
        <v>1930</v>
      </c>
      <c r="AI242" s="98">
        <f t="shared" si="71"/>
        <v>1820</v>
      </c>
      <c r="AJ242" s="98">
        <f t="shared" si="71"/>
        <v>1800</v>
      </c>
      <c r="AK242" s="98">
        <f t="shared" si="71"/>
        <v>1610</v>
      </c>
      <c r="AL242" s="98">
        <f t="shared" si="71"/>
        <v>1370</v>
      </c>
      <c r="AM242" s="98">
        <f t="shared" si="71"/>
        <v>1030</v>
      </c>
      <c r="AN242" s="98">
        <f t="shared" si="71"/>
        <v>0</v>
      </c>
      <c r="AO242" s="98">
        <f t="shared" si="71"/>
        <v>0</v>
      </c>
      <c r="AP242" s="98">
        <f t="shared" si="71"/>
        <v>0</v>
      </c>
      <c r="AQ242" s="98">
        <f t="shared" si="71"/>
        <v>0</v>
      </c>
      <c r="AR242" s="98">
        <f t="shared" si="71"/>
        <v>0</v>
      </c>
      <c r="AS242" s="98">
        <f t="shared" si="71"/>
        <v>0</v>
      </c>
      <c r="AV242" s="101" t="str">
        <f t="shared" si="67"/>
        <v>1.131450</v>
      </c>
      <c r="AW242" s="101">
        <v>1450</v>
      </c>
      <c r="BF242" s="101" t="str">
        <f t="shared" si="68"/>
        <v>2.101450</v>
      </c>
      <c r="BG242" s="101">
        <v>1450</v>
      </c>
      <c r="BI242" s="92">
        <v>30</v>
      </c>
      <c r="BJ242" s="92">
        <v>40</v>
      </c>
      <c r="BK242" s="92">
        <v>60</v>
      </c>
      <c r="BL242" s="92">
        <v>95</v>
      </c>
      <c r="BM242" s="92">
        <v>155</v>
      </c>
      <c r="BN242" s="92">
        <v>255</v>
      </c>
      <c r="BP242" s="101" t="str">
        <f t="shared" si="69"/>
        <v>3.101450</v>
      </c>
      <c r="BQ242" s="101">
        <v>1450</v>
      </c>
    </row>
    <row r="243" spans="19:76">
      <c r="S243" s="99" t="s">
        <v>79</v>
      </c>
      <c r="T243" s="204" t="s">
        <v>204</v>
      </c>
      <c r="U243" s="98"/>
      <c r="V243" s="98">
        <f t="shared" ref="V243:AE254" si="72">VLOOKUP($T243&amp;TEXT(V$1,"0000"),$BF$4:$BN$339,8)</f>
        <v>3600</v>
      </c>
      <c r="W243" s="98">
        <f t="shared" si="72"/>
        <v>3000</v>
      </c>
      <c r="X243" s="98">
        <f t="shared" si="72"/>
        <v>2690</v>
      </c>
      <c r="Y243" s="98">
        <f t="shared" si="72"/>
        <v>2485</v>
      </c>
      <c r="Z243" s="98">
        <f t="shared" si="72"/>
        <v>2330</v>
      </c>
      <c r="AA243" s="98">
        <f t="shared" si="72"/>
        <v>2210</v>
      </c>
      <c r="AB243" s="98">
        <f t="shared" si="72"/>
        <v>2160</v>
      </c>
      <c r="AC243" s="98">
        <f t="shared" si="72"/>
        <v>2110</v>
      </c>
      <c r="AD243" s="98">
        <f t="shared" si="72"/>
        <v>2065</v>
      </c>
      <c r="AE243" s="98">
        <f t="shared" si="72"/>
        <v>2030</v>
      </c>
      <c r="AF243" s="98">
        <f t="shared" ref="AF243:AS254" si="73">VLOOKUP($T243&amp;TEXT(AF$1,"0000"),$BF$4:$BN$339,8)</f>
        <v>1980</v>
      </c>
      <c r="AG243" s="98">
        <f t="shared" si="73"/>
        <v>1945</v>
      </c>
      <c r="AH243" s="98">
        <f t="shared" si="73"/>
        <v>1910</v>
      </c>
      <c r="AI243" s="98">
        <f t="shared" si="73"/>
        <v>1770</v>
      </c>
      <c r="AJ243" s="98">
        <f t="shared" si="73"/>
        <v>1630</v>
      </c>
      <c r="AK243" s="98">
        <f t="shared" si="73"/>
        <v>1285</v>
      </c>
      <c r="AL243" s="98">
        <f t="shared" si="73"/>
        <v>1030</v>
      </c>
      <c r="AM243" s="98">
        <f t="shared" si="73"/>
        <v>825</v>
      </c>
      <c r="AN243" s="98">
        <f t="shared" si="73"/>
        <v>670</v>
      </c>
      <c r="AO243" s="98">
        <f t="shared" si="73"/>
        <v>565</v>
      </c>
      <c r="AP243" s="98">
        <f t="shared" si="73"/>
        <v>465</v>
      </c>
      <c r="AQ243" s="98">
        <f t="shared" si="73"/>
        <v>380</v>
      </c>
      <c r="AR243" s="98">
        <f t="shared" si="73"/>
        <v>290</v>
      </c>
      <c r="AS243" s="98">
        <f t="shared" si="73"/>
        <v>205</v>
      </c>
      <c r="AV243" s="101" t="str">
        <f t="shared" si="67"/>
        <v>1.131500</v>
      </c>
      <c r="AW243" s="101">
        <v>1500</v>
      </c>
      <c r="BF243" s="101" t="str">
        <f t="shared" si="68"/>
        <v>2.101500</v>
      </c>
      <c r="BG243" s="101">
        <v>1500</v>
      </c>
      <c r="BI243" s="92">
        <v>25</v>
      </c>
      <c r="BJ243" s="92">
        <v>35</v>
      </c>
      <c r="BK243" s="92">
        <v>55</v>
      </c>
      <c r="BL243" s="92">
        <v>80</v>
      </c>
      <c r="BM243" s="92">
        <v>135</v>
      </c>
      <c r="BN243" s="92">
        <v>230</v>
      </c>
      <c r="BP243" s="101" t="str">
        <f t="shared" si="69"/>
        <v>3.101500</v>
      </c>
      <c r="BQ243" s="101">
        <v>1500</v>
      </c>
    </row>
    <row r="244" spans="19:76">
      <c r="S244" s="99" t="s">
        <v>80</v>
      </c>
      <c r="T244" s="204" t="s">
        <v>205</v>
      </c>
      <c r="U244" s="98"/>
      <c r="V244" s="98">
        <f t="shared" si="72"/>
        <v>3600</v>
      </c>
      <c r="W244" s="98">
        <f t="shared" si="72"/>
        <v>3095</v>
      </c>
      <c r="X244" s="98">
        <f t="shared" si="72"/>
        <v>2795</v>
      </c>
      <c r="Y244" s="98">
        <f t="shared" si="72"/>
        <v>2570</v>
      </c>
      <c r="Z244" s="98">
        <f t="shared" si="72"/>
        <v>2390</v>
      </c>
      <c r="AA244" s="98">
        <f t="shared" si="72"/>
        <v>2255</v>
      </c>
      <c r="AB244" s="98">
        <f t="shared" si="72"/>
        <v>2210</v>
      </c>
      <c r="AC244" s="98">
        <f t="shared" si="72"/>
        <v>2170</v>
      </c>
      <c r="AD244" s="98">
        <f t="shared" si="72"/>
        <v>2135</v>
      </c>
      <c r="AE244" s="98">
        <f t="shared" si="72"/>
        <v>2110</v>
      </c>
      <c r="AF244" s="98">
        <f t="shared" si="73"/>
        <v>2090</v>
      </c>
      <c r="AG244" s="98">
        <f t="shared" si="73"/>
        <v>2075</v>
      </c>
      <c r="AH244" s="98">
        <f t="shared" si="73"/>
        <v>1930</v>
      </c>
      <c r="AI244" s="98">
        <f t="shared" si="73"/>
        <v>1820</v>
      </c>
      <c r="AJ244" s="98">
        <f t="shared" si="73"/>
        <v>1800</v>
      </c>
      <c r="AK244" s="98">
        <f t="shared" si="73"/>
        <v>1525</v>
      </c>
      <c r="AL244" s="98">
        <f t="shared" si="73"/>
        <v>1185</v>
      </c>
      <c r="AM244" s="98">
        <f t="shared" si="73"/>
        <v>925</v>
      </c>
      <c r="AN244" s="98">
        <f t="shared" si="73"/>
        <v>735</v>
      </c>
      <c r="AO244" s="98">
        <f t="shared" si="73"/>
        <v>585</v>
      </c>
      <c r="AP244" s="98">
        <f t="shared" si="73"/>
        <v>480</v>
      </c>
      <c r="AQ244" s="98">
        <f t="shared" si="73"/>
        <v>380</v>
      </c>
      <c r="AR244" s="98">
        <f t="shared" si="73"/>
        <v>290</v>
      </c>
      <c r="AS244" s="98">
        <f t="shared" si="73"/>
        <v>205</v>
      </c>
      <c r="AU244" s="92">
        <v>1.1399999999999999</v>
      </c>
      <c r="AV244" s="101" t="str">
        <f>AU$244&amp;TEXT(AW244,"0000")</f>
        <v>1.140100</v>
      </c>
      <c r="AW244" s="92">
        <v>100</v>
      </c>
      <c r="AX244" s="92">
        <v>290</v>
      </c>
      <c r="AY244" s="92">
        <v>750</v>
      </c>
      <c r="AZ244" s="202">
        <v>1000</v>
      </c>
      <c r="BA244" s="202">
        <v>1500</v>
      </c>
      <c r="BB244" s="202">
        <v>2250</v>
      </c>
      <c r="BC244" s="202">
        <v>3750</v>
      </c>
      <c r="BD244" s="202">
        <v>6250</v>
      </c>
      <c r="BE244" s="92">
        <v>2.11</v>
      </c>
      <c r="BF244" s="101" t="str">
        <f>BE$244&amp;TEXT(BG244,"0000")</f>
        <v>2.110100</v>
      </c>
      <c r="BG244" s="92">
        <v>100</v>
      </c>
      <c r="BH244" s="92">
        <v>275</v>
      </c>
      <c r="BI244" s="92">
        <v>720</v>
      </c>
      <c r="BJ244" s="92">
        <v>960</v>
      </c>
      <c r="BK244" s="202">
        <v>1440</v>
      </c>
      <c r="BL244" s="202">
        <v>2160</v>
      </c>
      <c r="BM244" s="202">
        <v>3600</v>
      </c>
      <c r="BN244" s="202">
        <v>6000</v>
      </c>
      <c r="BO244" s="92">
        <v>3.11</v>
      </c>
      <c r="BP244" s="101" t="str">
        <f>BO$244&amp;TEXT(BQ244,"0000")</f>
        <v>3.110100</v>
      </c>
      <c r="BQ244" s="92">
        <v>100</v>
      </c>
      <c r="BR244" s="92">
        <v>285</v>
      </c>
      <c r="BS244" s="92">
        <v>745</v>
      </c>
      <c r="BT244" s="92">
        <v>990</v>
      </c>
      <c r="BU244" s="202">
        <v>1490</v>
      </c>
      <c r="BV244" s="202">
        <v>2230</v>
      </c>
      <c r="BW244" s="202">
        <v>3720</v>
      </c>
      <c r="BX244" s="202">
        <v>6200</v>
      </c>
    </row>
    <row r="245" spans="19:76">
      <c r="S245" s="99" t="s">
        <v>81</v>
      </c>
      <c r="T245" s="204" t="s">
        <v>206</v>
      </c>
      <c r="U245" s="98"/>
      <c r="V245" s="98">
        <f t="shared" si="72"/>
        <v>3000</v>
      </c>
      <c r="W245" s="98">
        <f t="shared" si="72"/>
        <v>2555</v>
      </c>
      <c r="X245" s="98">
        <f t="shared" si="72"/>
        <v>2280</v>
      </c>
      <c r="Y245" s="98">
        <f t="shared" si="72"/>
        <v>2100</v>
      </c>
      <c r="Z245" s="98">
        <f t="shared" si="72"/>
        <v>1970</v>
      </c>
      <c r="AA245" s="98">
        <f t="shared" si="72"/>
        <v>1860</v>
      </c>
      <c r="AB245" s="98">
        <f t="shared" si="72"/>
        <v>1825</v>
      </c>
      <c r="AC245" s="98">
        <f t="shared" si="72"/>
        <v>1800</v>
      </c>
      <c r="AD245" s="98">
        <f t="shared" si="72"/>
        <v>1765</v>
      </c>
      <c r="AE245" s="98">
        <f t="shared" si="72"/>
        <v>1730</v>
      </c>
      <c r="AF245" s="98">
        <f t="shared" si="73"/>
        <v>1690</v>
      </c>
      <c r="AG245" s="98">
        <f t="shared" si="73"/>
        <v>0</v>
      </c>
      <c r="AH245" s="98">
        <f t="shared" si="73"/>
        <v>0</v>
      </c>
      <c r="AI245" s="98">
        <f t="shared" si="73"/>
        <v>0</v>
      </c>
      <c r="AJ245" s="98">
        <f t="shared" si="73"/>
        <v>0</v>
      </c>
      <c r="AK245" s="98">
        <f t="shared" si="73"/>
        <v>0</v>
      </c>
      <c r="AL245" s="98">
        <f t="shared" si="73"/>
        <v>0</v>
      </c>
      <c r="AM245" s="98">
        <f t="shared" si="73"/>
        <v>0</v>
      </c>
      <c r="AN245" s="98">
        <f t="shared" si="73"/>
        <v>0</v>
      </c>
      <c r="AO245" s="98">
        <f t="shared" si="73"/>
        <v>0</v>
      </c>
      <c r="AP245" s="98">
        <f t="shared" si="73"/>
        <v>0</v>
      </c>
      <c r="AQ245" s="98">
        <f t="shared" si="73"/>
        <v>0</v>
      </c>
      <c r="AR245" s="98">
        <f t="shared" si="73"/>
        <v>0</v>
      </c>
      <c r="AS245" s="98">
        <f t="shared" si="73"/>
        <v>0</v>
      </c>
      <c r="AV245" s="101" t="str">
        <f t="shared" ref="AV245:AV267" si="74">AU$244&amp;TEXT(AW245,"0000")</f>
        <v>1.140200</v>
      </c>
      <c r="AW245" s="101">
        <v>200</v>
      </c>
      <c r="AX245" s="92">
        <v>260</v>
      </c>
      <c r="AY245" s="92">
        <v>750</v>
      </c>
      <c r="AZ245" s="202">
        <v>1000</v>
      </c>
      <c r="BA245" s="202">
        <v>1500</v>
      </c>
      <c r="BB245" s="202">
        <v>2250</v>
      </c>
      <c r="BC245" s="202">
        <v>3750</v>
      </c>
      <c r="BD245" s="202">
        <v>6250</v>
      </c>
      <c r="BF245" s="101" t="str">
        <f t="shared" ref="BF245:BF267" si="75">BE$244&amp;TEXT(BG245,"0000")</f>
        <v>2.110200</v>
      </c>
      <c r="BG245" s="101">
        <v>200</v>
      </c>
      <c r="BH245" s="92">
        <v>255</v>
      </c>
      <c r="BI245" s="92">
        <v>660</v>
      </c>
      <c r="BJ245" s="92">
        <v>885</v>
      </c>
      <c r="BK245" s="202">
        <v>1325</v>
      </c>
      <c r="BL245" s="202">
        <v>1985</v>
      </c>
      <c r="BM245" s="202">
        <v>3310</v>
      </c>
      <c r="BN245" s="202">
        <v>5520</v>
      </c>
      <c r="BP245" s="101" t="str">
        <f t="shared" ref="BP245:BP267" si="76">BO$244&amp;TEXT(BQ245,"0000")</f>
        <v>3.110200</v>
      </c>
      <c r="BQ245" s="101">
        <v>200</v>
      </c>
      <c r="BR245" s="92">
        <v>230</v>
      </c>
      <c r="BS245" s="92">
        <v>600</v>
      </c>
      <c r="BT245" s="92">
        <v>805</v>
      </c>
      <c r="BU245" s="202">
        <v>1205</v>
      </c>
      <c r="BV245" s="202">
        <v>1805</v>
      </c>
      <c r="BW245" s="202">
        <v>3010</v>
      </c>
      <c r="BX245" s="202">
        <v>5020</v>
      </c>
    </row>
    <row r="246" spans="19:76">
      <c r="S246" s="99" t="s">
        <v>82</v>
      </c>
      <c r="T246" s="204" t="s">
        <v>207</v>
      </c>
      <c r="U246" s="98"/>
      <c r="V246" s="98">
        <f t="shared" si="72"/>
        <v>3600</v>
      </c>
      <c r="W246" s="98">
        <f t="shared" si="72"/>
        <v>3240</v>
      </c>
      <c r="X246" s="98">
        <f t="shared" si="72"/>
        <v>2975</v>
      </c>
      <c r="Y246" s="98">
        <f t="shared" si="72"/>
        <v>2760</v>
      </c>
      <c r="Z246" s="98">
        <f t="shared" si="72"/>
        <v>2580</v>
      </c>
      <c r="AA246" s="98">
        <f t="shared" si="72"/>
        <v>2435</v>
      </c>
      <c r="AB246" s="98">
        <f t="shared" si="72"/>
        <v>2375</v>
      </c>
      <c r="AC246" s="98">
        <f t="shared" si="72"/>
        <v>2330</v>
      </c>
      <c r="AD246" s="98">
        <f t="shared" si="72"/>
        <v>2290</v>
      </c>
      <c r="AE246" s="98">
        <f t="shared" si="72"/>
        <v>2255</v>
      </c>
      <c r="AF246" s="98">
        <f t="shared" si="73"/>
        <v>2230</v>
      </c>
      <c r="AG246" s="98">
        <f t="shared" si="73"/>
        <v>2210</v>
      </c>
      <c r="AH246" s="98">
        <f t="shared" si="73"/>
        <v>1930</v>
      </c>
      <c r="AI246" s="98">
        <f t="shared" si="73"/>
        <v>1820</v>
      </c>
      <c r="AJ246" s="98">
        <f t="shared" si="73"/>
        <v>1800</v>
      </c>
      <c r="AK246" s="98">
        <f t="shared" si="73"/>
        <v>1560</v>
      </c>
      <c r="AL246" s="98">
        <f t="shared" si="73"/>
        <v>1185</v>
      </c>
      <c r="AM246" s="98">
        <f t="shared" si="73"/>
        <v>925</v>
      </c>
      <c r="AN246" s="98">
        <f t="shared" si="73"/>
        <v>705</v>
      </c>
      <c r="AO246" s="98">
        <f t="shared" si="73"/>
        <v>550</v>
      </c>
      <c r="AP246" s="98">
        <f t="shared" si="73"/>
        <v>430</v>
      </c>
      <c r="AQ246" s="98">
        <f t="shared" si="73"/>
        <v>325</v>
      </c>
      <c r="AR246" s="98">
        <f t="shared" si="73"/>
        <v>255</v>
      </c>
      <c r="AS246" s="98">
        <f t="shared" si="73"/>
        <v>190</v>
      </c>
      <c r="AV246" s="101" t="str">
        <f t="shared" si="74"/>
        <v>1.140300</v>
      </c>
      <c r="AW246" s="101">
        <v>300</v>
      </c>
      <c r="AX246" s="92">
        <v>230</v>
      </c>
      <c r="AY246" s="92">
        <v>730</v>
      </c>
      <c r="AZ246" s="92">
        <v>970</v>
      </c>
      <c r="BA246" s="202">
        <v>1455</v>
      </c>
      <c r="BB246" s="202">
        <v>2185</v>
      </c>
      <c r="BC246" s="202">
        <v>3640</v>
      </c>
      <c r="BD246" s="202">
        <v>6070</v>
      </c>
      <c r="BF246" s="101" t="str">
        <f t="shared" si="75"/>
        <v>2.110300</v>
      </c>
      <c r="BG246" s="101">
        <v>300</v>
      </c>
      <c r="BH246" s="92">
        <v>230</v>
      </c>
      <c r="BI246" s="92">
        <v>615</v>
      </c>
      <c r="BJ246" s="92">
        <v>820</v>
      </c>
      <c r="BK246" s="202">
        <v>1235</v>
      </c>
      <c r="BL246" s="202">
        <v>1850</v>
      </c>
      <c r="BM246" s="202">
        <v>3085</v>
      </c>
      <c r="BN246" s="202">
        <v>5140</v>
      </c>
      <c r="BP246" s="101" t="str">
        <f t="shared" si="76"/>
        <v>3.110300</v>
      </c>
      <c r="BQ246" s="101">
        <v>300</v>
      </c>
      <c r="BR246" s="92">
        <v>210</v>
      </c>
      <c r="BS246" s="92">
        <v>545</v>
      </c>
      <c r="BT246" s="92">
        <v>725</v>
      </c>
      <c r="BU246" s="202">
        <v>1090</v>
      </c>
      <c r="BV246" s="202">
        <v>1635</v>
      </c>
      <c r="BW246" s="202">
        <v>2725</v>
      </c>
      <c r="BX246" s="202">
        <v>4540</v>
      </c>
    </row>
    <row r="247" spans="19:76">
      <c r="S247" s="99" t="s">
        <v>83</v>
      </c>
      <c r="T247" s="204" t="s">
        <v>208</v>
      </c>
      <c r="U247" s="98"/>
      <c r="V247" s="98">
        <f t="shared" si="72"/>
        <v>3600</v>
      </c>
      <c r="W247" s="98">
        <f t="shared" si="72"/>
        <v>3310</v>
      </c>
      <c r="X247" s="98">
        <f t="shared" si="72"/>
        <v>3085</v>
      </c>
      <c r="Y247" s="98">
        <f t="shared" si="72"/>
        <v>2880</v>
      </c>
      <c r="Z247" s="98">
        <f t="shared" si="72"/>
        <v>2710</v>
      </c>
      <c r="AA247" s="98">
        <f t="shared" si="72"/>
        <v>2580</v>
      </c>
      <c r="AB247" s="98">
        <f t="shared" si="72"/>
        <v>2530</v>
      </c>
      <c r="AC247" s="98">
        <f t="shared" si="72"/>
        <v>2485</v>
      </c>
      <c r="AD247" s="98">
        <f t="shared" si="72"/>
        <v>2460</v>
      </c>
      <c r="AE247" s="98">
        <f t="shared" si="72"/>
        <v>2435</v>
      </c>
      <c r="AF247" s="98">
        <f t="shared" si="73"/>
        <v>2425</v>
      </c>
      <c r="AG247" s="98">
        <f t="shared" si="73"/>
        <v>2245</v>
      </c>
      <c r="AH247" s="98">
        <f t="shared" si="73"/>
        <v>1930</v>
      </c>
      <c r="AI247" s="98">
        <f t="shared" si="73"/>
        <v>1820</v>
      </c>
      <c r="AJ247" s="98">
        <f t="shared" si="73"/>
        <v>1800</v>
      </c>
      <c r="AK247" s="98">
        <f t="shared" si="73"/>
        <v>1610</v>
      </c>
      <c r="AL247" s="98">
        <f t="shared" si="73"/>
        <v>1370</v>
      </c>
      <c r="AM247" s="98">
        <f t="shared" si="73"/>
        <v>1030</v>
      </c>
      <c r="AN247" s="98">
        <f t="shared" si="73"/>
        <v>910</v>
      </c>
      <c r="AO247" s="98">
        <f t="shared" si="73"/>
        <v>685</v>
      </c>
      <c r="AP247" s="98">
        <f t="shared" si="73"/>
        <v>515</v>
      </c>
      <c r="AQ247" s="98">
        <f t="shared" si="73"/>
        <v>380</v>
      </c>
      <c r="AR247" s="98">
        <f t="shared" si="73"/>
        <v>290</v>
      </c>
      <c r="AS247" s="98">
        <f t="shared" si="73"/>
        <v>205</v>
      </c>
      <c r="AV247" s="101" t="str">
        <f t="shared" si="74"/>
        <v>1.140400</v>
      </c>
      <c r="AW247" s="101">
        <v>400</v>
      </c>
      <c r="AX247" s="92">
        <v>200</v>
      </c>
      <c r="AY247" s="92">
        <v>705</v>
      </c>
      <c r="AZ247" s="92">
        <v>940</v>
      </c>
      <c r="BA247" s="202">
        <v>1410</v>
      </c>
      <c r="BB247" s="202">
        <v>2115</v>
      </c>
      <c r="BC247" s="202">
        <v>3530</v>
      </c>
      <c r="BD247" s="202">
        <v>5880</v>
      </c>
      <c r="BF247" s="101" t="str">
        <f t="shared" si="75"/>
        <v>2.110400</v>
      </c>
      <c r="BG247" s="101">
        <v>400</v>
      </c>
      <c r="BH247" s="92">
        <v>200</v>
      </c>
      <c r="BI247" s="92">
        <v>575</v>
      </c>
      <c r="BJ247" s="92">
        <v>770</v>
      </c>
      <c r="BK247" s="202">
        <v>1150</v>
      </c>
      <c r="BL247" s="202">
        <v>1730</v>
      </c>
      <c r="BM247" s="202">
        <v>2880</v>
      </c>
      <c r="BN247" s="202">
        <v>4800</v>
      </c>
      <c r="BP247" s="101" t="str">
        <f t="shared" si="76"/>
        <v>3.110400</v>
      </c>
      <c r="BQ247" s="101">
        <v>400</v>
      </c>
      <c r="BR247" s="92">
        <v>190</v>
      </c>
      <c r="BS247" s="92">
        <v>500</v>
      </c>
      <c r="BT247" s="92">
        <v>665</v>
      </c>
      <c r="BU247" s="202">
        <v>1000</v>
      </c>
      <c r="BV247" s="202">
        <v>1500</v>
      </c>
      <c r="BW247" s="202">
        <v>2495</v>
      </c>
      <c r="BX247" s="202">
        <v>4160</v>
      </c>
    </row>
    <row r="248" spans="19:76">
      <c r="S248" s="99" t="s">
        <v>84</v>
      </c>
      <c r="T248" s="204" t="s">
        <v>209</v>
      </c>
      <c r="U248" s="98"/>
      <c r="V248" s="98">
        <f t="shared" si="72"/>
        <v>3600</v>
      </c>
      <c r="W248" s="98">
        <f t="shared" si="72"/>
        <v>3155</v>
      </c>
      <c r="X248" s="98">
        <f t="shared" si="72"/>
        <v>2905</v>
      </c>
      <c r="Y248" s="98">
        <f t="shared" si="72"/>
        <v>2725</v>
      </c>
      <c r="Z248" s="98">
        <f t="shared" si="72"/>
        <v>2590</v>
      </c>
      <c r="AA248" s="98">
        <f t="shared" si="72"/>
        <v>2495</v>
      </c>
      <c r="AB248" s="98">
        <f t="shared" si="72"/>
        <v>2460</v>
      </c>
      <c r="AC248" s="98">
        <f t="shared" si="72"/>
        <v>2425</v>
      </c>
      <c r="AD248" s="98">
        <f t="shared" si="72"/>
        <v>2400</v>
      </c>
      <c r="AE248" s="98">
        <f t="shared" si="72"/>
        <v>2365</v>
      </c>
      <c r="AF248" s="98">
        <f t="shared" si="73"/>
        <v>2330</v>
      </c>
      <c r="AG248" s="98">
        <f t="shared" si="73"/>
        <v>2245</v>
      </c>
      <c r="AH248" s="98">
        <f t="shared" si="73"/>
        <v>1930</v>
      </c>
      <c r="AI248" s="98">
        <f t="shared" si="73"/>
        <v>1820</v>
      </c>
      <c r="AJ248" s="98">
        <f t="shared" si="73"/>
        <v>1765</v>
      </c>
      <c r="AK248" s="98">
        <f t="shared" si="73"/>
        <v>1305</v>
      </c>
      <c r="AL248" s="98">
        <f t="shared" si="73"/>
        <v>945</v>
      </c>
      <c r="AM248" s="98">
        <f t="shared" si="73"/>
        <v>685</v>
      </c>
      <c r="AN248" s="98">
        <f t="shared" si="73"/>
        <v>515</v>
      </c>
      <c r="AO248" s="98">
        <f t="shared" si="73"/>
        <v>375</v>
      </c>
      <c r="AP248" s="98">
        <f t="shared" si="73"/>
        <v>290</v>
      </c>
      <c r="AQ248" s="98">
        <f t="shared" si="73"/>
        <v>225</v>
      </c>
      <c r="AR248" s="98">
        <f t="shared" si="73"/>
        <v>170</v>
      </c>
      <c r="AS248" s="98">
        <f t="shared" si="73"/>
        <v>130</v>
      </c>
      <c r="AV248" s="101" t="str">
        <f t="shared" si="74"/>
        <v>1.140500</v>
      </c>
      <c r="AW248" s="101">
        <v>500</v>
      </c>
      <c r="AX248" s="92">
        <v>170</v>
      </c>
      <c r="AY248" s="92">
        <v>665</v>
      </c>
      <c r="AZ248" s="92">
        <v>885</v>
      </c>
      <c r="BA248" s="202">
        <v>1330</v>
      </c>
      <c r="BB248" s="202">
        <v>1995</v>
      </c>
      <c r="BC248" s="202">
        <v>3325</v>
      </c>
      <c r="BD248" s="202">
        <v>5540</v>
      </c>
      <c r="BF248" s="101" t="str">
        <f t="shared" si="75"/>
        <v>2.110500</v>
      </c>
      <c r="BG248" s="101">
        <v>500</v>
      </c>
      <c r="BH248" s="92">
        <v>170</v>
      </c>
      <c r="BI248" s="92">
        <v>540</v>
      </c>
      <c r="BJ248" s="92">
        <v>725</v>
      </c>
      <c r="BK248" s="202">
        <v>1085</v>
      </c>
      <c r="BL248" s="202">
        <v>1625</v>
      </c>
      <c r="BM248" s="202">
        <v>2710</v>
      </c>
      <c r="BN248" s="202">
        <v>4520</v>
      </c>
      <c r="BP248" s="101" t="str">
        <f t="shared" si="76"/>
        <v>3.110500</v>
      </c>
      <c r="BQ248" s="101">
        <v>500</v>
      </c>
      <c r="BR248" s="92">
        <v>170</v>
      </c>
      <c r="BS248" s="92">
        <v>455</v>
      </c>
      <c r="BT248" s="92">
        <v>610</v>
      </c>
      <c r="BU248" s="92">
        <v>910</v>
      </c>
      <c r="BV248" s="202">
        <v>1370</v>
      </c>
      <c r="BW248" s="202">
        <v>2280</v>
      </c>
      <c r="BX248" s="202">
        <v>3800</v>
      </c>
    </row>
    <row r="249" spans="19:76">
      <c r="S249" s="99" t="s">
        <v>85</v>
      </c>
      <c r="T249" s="204" t="s">
        <v>210</v>
      </c>
      <c r="U249" s="98"/>
      <c r="V249" s="98">
        <f t="shared" si="72"/>
        <v>3600</v>
      </c>
      <c r="W249" s="98">
        <f t="shared" si="72"/>
        <v>3180</v>
      </c>
      <c r="X249" s="98">
        <f t="shared" si="72"/>
        <v>2905</v>
      </c>
      <c r="Y249" s="98">
        <f t="shared" si="72"/>
        <v>2710</v>
      </c>
      <c r="Z249" s="98">
        <f t="shared" si="72"/>
        <v>2570</v>
      </c>
      <c r="AA249" s="98">
        <f t="shared" si="72"/>
        <v>2470</v>
      </c>
      <c r="AB249" s="98">
        <f t="shared" si="72"/>
        <v>2425</v>
      </c>
      <c r="AC249" s="98">
        <f t="shared" si="72"/>
        <v>2390</v>
      </c>
      <c r="AD249" s="98">
        <f t="shared" si="72"/>
        <v>2350</v>
      </c>
      <c r="AE249" s="98">
        <f t="shared" si="72"/>
        <v>2330</v>
      </c>
      <c r="AF249" s="98">
        <f t="shared" si="73"/>
        <v>2290</v>
      </c>
      <c r="AG249" s="98">
        <f t="shared" si="73"/>
        <v>2245</v>
      </c>
      <c r="AH249" s="98">
        <f t="shared" si="73"/>
        <v>1930</v>
      </c>
      <c r="AI249" s="98">
        <f t="shared" si="73"/>
        <v>1820</v>
      </c>
      <c r="AJ249" s="98">
        <f t="shared" si="73"/>
        <v>1765</v>
      </c>
      <c r="AK249" s="98">
        <f t="shared" si="73"/>
        <v>1305</v>
      </c>
      <c r="AL249" s="98">
        <f t="shared" si="73"/>
        <v>945</v>
      </c>
      <c r="AM249" s="98">
        <f t="shared" si="73"/>
        <v>685</v>
      </c>
      <c r="AN249" s="98">
        <f t="shared" si="73"/>
        <v>515</v>
      </c>
      <c r="AO249" s="98">
        <f t="shared" si="73"/>
        <v>375</v>
      </c>
      <c r="AP249" s="98">
        <f t="shared" si="73"/>
        <v>290</v>
      </c>
      <c r="AQ249" s="98">
        <f t="shared" si="73"/>
        <v>225</v>
      </c>
      <c r="AR249" s="98">
        <f t="shared" si="73"/>
        <v>165</v>
      </c>
      <c r="AS249" s="98">
        <f t="shared" si="73"/>
        <v>130</v>
      </c>
      <c r="AV249" s="101" t="str">
        <f t="shared" si="74"/>
        <v>1.140600</v>
      </c>
      <c r="AW249" s="101">
        <v>600</v>
      </c>
      <c r="AX249" s="92">
        <v>140</v>
      </c>
      <c r="AY249" s="92">
        <v>605</v>
      </c>
      <c r="AZ249" s="92">
        <v>805</v>
      </c>
      <c r="BA249" s="202">
        <v>1210</v>
      </c>
      <c r="BB249" s="202">
        <v>1815</v>
      </c>
      <c r="BC249" s="202">
        <v>3025</v>
      </c>
      <c r="BD249" s="202">
        <v>5040</v>
      </c>
      <c r="BF249" s="101" t="str">
        <f t="shared" si="75"/>
        <v>2.110600</v>
      </c>
      <c r="BG249" s="101">
        <v>600</v>
      </c>
      <c r="BH249" s="92">
        <v>140</v>
      </c>
      <c r="BI249" s="92">
        <v>515</v>
      </c>
      <c r="BJ249" s="92">
        <v>690</v>
      </c>
      <c r="BK249" s="202">
        <v>1030</v>
      </c>
      <c r="BL249" s="202">
        <v>1550</v>
      </c>
      <c r="BM249" s="202">
        <v>2580</v>
      </c>
      <c r="BN249" s="202">
        <v>4300</v>
      </c>
      <c r="BP249" s="101" t="str">
        <f t="shared" si="76"/>
        <v>3.110600</v>
      </c>
      <c r="BQ249" s="101">
        <v>600</v>
      </c>
      <c r="BR249" s="92">
        <v>140</v>
      </c>
      <c r="BS249" s="92">
        <v>425</v>
      </c>
      <c r="BT249" s="92">
        <v>570</v>
      </c>
      <c r="BU249" s="92">
        <v>855</v>
      </c>
      <c r="BV249" s="202">
        <v>1280</v>
      </c>
      <c r="BW249" s="202">
        <v>2135</v>
      </c>
      <c r="BX249" s="202">
        <v>3560</v>
      </c>
    </row>
    <row r="250" spans="19:76">
      <c r="S250" s="99" t="s">
        <v>199</v>
      </c>
      <c r="T250" s="204" t="s">
        <v>211</v>
      </c>
      <c r="U250" s="98"/>
      <c r="V250" s="98">
        <f t="shared" si="72"/>
        <v>3750</v>
      </c>
      <c r="W250" s="98">
        <f t="shared" si="72"/>
        <v>3720</v>
      </c>
      <c r="X250" s="98">
        <f t="shared" si="72"/>
        <v>3335</v>
      </c>
      <c r="Y250" s="98">
        <f t="shared" si="72"/>
        <v>3070</v>
      </c>
      <c r="Z250" s="98">
        <f t="shared" si="72"/>
        <v>2905</v>
      </c>
      <c r="AA250" s="98">
        <f t="shared" si="72"/>
        <v>2785</v>
      </c>
      <c r="AB250" s="98">
        <f t="shared" si="72"/>
        <v>2735</v>
      </c>
      <c r="AC250" s="98">
        <f t="shared" si="72"/>
        <v>2710</v>
      </c>
      <c r="AD250" s="98">
        <f t="shared" si="72"/>
        <v>2660</v>
      </c>
      <c r="AE250" s="98">
        <f t="shared" si="72"/>
        <v>0</v>
      </c>
      <c r="AF250" s="98">
        <f t="shared" si="73"/>
        <v>0</v>
      </c>
      <c r="AG250" s="98">
        <f t="shared" si="73"/>
        <v>0</v>
      </c>
      <c r="AH250" s="98">
        <f t="shared" si="73"/>
        <v>0</v>
      </c>
      <c r="AI250" s="98">
        <f t="shared" si="73"/>
        <v>0</v>
      </c>
      <c r="AJ250" s="98">
        <f t="shared" si="73"/>
        <v>0</v>
      </c>
      <c r="AK250" s="98">
        <f t="shared" si="73"/>
        <v>0</v>
      </c>
      <c r="AL250" s="98">
        <f t="shared" si="73"/>
        <v>0</v>
      </c>
      <c r="AM250" s="98">
        <f t="shared" si="73"/>
        <v>0</v>
      </c>
      <c r="AN250" s="98">
        <f t="shared" si="73"/>
        <v>0</v>
      </c>
      <c r="AO250" s="98">
        <f t="shared" si="73"/>
        <v>0</v>
      </c>
      <c r="AP250" s="98">
        <f t="shared" si="73"/>
        <v>0</v>
      </c>
      <c r="AQ250" s="98">
        <f t="shared" si="73"/>
        <v>0</v>
      </c>
      <c r="AR250" s="98">
        <f t="shared" si="73"/>
        <v>0</v>
      </c>
      <c r="AS250" s="98">
        <f t="shared" si="73"/>
        <v>0</v>
      </c>
      <c r="AV250" s="101" t="str">
        <f t="shared" si="74"/>
        <v>1.140650</v>
      </c>
      <c r="AW250" s="101">
        <v>650</v>
      </c>
      <c r="AX250" s="92">
        <v>125</v>
      </c>
      <c r="AY250" s="92">
        <v>590</v>
      </c>
      <c r="AZ250" s="92">
        <v>785</v>
      </c>
      <c r="BA250" s="202">
        <v>1175</v>
      </c>
      <c r="BB250" s="202">
        <v>1765</v>
      </c>
      <c r="BC250" s="202">
        <v>2940</v>
      </c>
      <c r="BD250" s="202">
        <v>4905</v>
      </c>
      <c r="BF250" s="101" t="str">
        <f t="shared" si="75"/>
        <v>2.110650</v>
      </c>
      <c r="BG250" s="101">
        <v>650</v>
      </c>
      <c r="BH250" s="92">
        <v>125</v>
      </c>
      <c r="BI250" s="92">
        <v>505</v>
      </c>
      <c r="BJ250" s="92">
        <v>675</v>
      </c>
      <c r="BK250" s="202">
        <v>1015</v>
      </c>
      <c r="BL250" s="202">
        <v>1520</v>
      </c>
      <c r="BM250" s="202">
        <v>2530</v>
      </c>
      <c r="BN250" s="202">
        <v>4220</v>
      </c>
      <c r="BP250" s="101" t="str">
        <f t="shared" si="76"/>
        <v>3.110650</v>
      </c>
      <c r="BQ250" s="101">
        <v>650</v>
      </c>
      <c r="BR250" s="92">
        <v>125</v>
      </c>
      <c r="BS250" s="92">
        <v>420</v>
      </c>
      <c r="BT250" s="92">
        <v>555</v>
      </c>
      <c r="BU250" s="92">
        <v>835</v>
      </c>
      <c r="BV250" s="202">
        <v>1255</v>
      </c>
      <c r="BW250" s="202">
        <v>2090</v>
      </c>
      <c r="BX250" s="202">
        <v>3480</v>
      </c>
    </row>
    <row r="251" spans="19:76">
      <c r="S251" s="99" t="s">
        <v>200</v>
      </c>
      <c r="T251" s="204" t="s">
        <v>212</v>
      </c>
      <c r="U251" s="98"/>
      <c r="V251" s="98">
        <f t="shared" si="72"/>
        <v>3600</v>
      </c>
      <c r="W251" s="98">
        <f t="shared" si="72"/>
        <v>3155</v>
      </c>
      <c r="X251" s="98">
        <f t="shared" si="72"/>
        <v>2905</v>
      </c>
      <c r="Y251" s="98">
        <f t="shared" si="72"/>
        <v>2710</v>
      </c>
      <c r="Z251" s="98">
        <f t="shared" si="72"/>
        <v>2570</v>
      </c>
      <c r="AA251" s="98">
        <f t="shared" si="72"/>
        <v>2470</v>
      </c>
      <c r="AB251" s="98">
        <f t="shared" si="72"/>
        <v>2425</v>
      </c>
      <c r="AC251" s="98">
        <f t="shared" si="72"/>
        <v>2390</v>
      </c>
      <c r="AD251" s="98">
        <f t="shared" si="72"/>
        <v>2350</v>
      </c>
      <c r="AE251" s="98">
        <f t="shared" si="72"/>
        <v>2330</v>
      </c>
      <c r="AF251" s="98">
        <f t="shared" si="73"/>
        <v>2290</v>
      </c>
      <c r="AG251" s="98">
        <f t="shared" si="73"/>
        <v>2245</v>
      </c>
      <c r="AH251" s="98">
        <f t="shared" si="73"/>
        <v>1930</v>
      </c>
      <c r="AI251" s="98">
        <f t="shared" si="73"/>
        <v>1695</v>
      </c>
      <c r="AJ251" s="98">
        <f t="shared" si="73"/>
        <v>1215</v>
      </c>
      <c r="AK251" s="98">
        <f t="shared" si="73"/>
        <v>855</v>
      </c>
      <c r="AL251" s="98">
        <f t="shared" si="73"/>
        <v>615</v>
      </c>
      <c r="AM251" s="98">
        <f t="shared" si="73"/>
        <v>430</v>
      </c>
      <c r="AN251" s="98">
        <f t="shared" si="73"/>
        <v>255</v>
      </c>
      <c r="AO251" s="98">
        <f t="shared" si="73"/>
        <v>135</v>
      </c>
      <c r="AP251" s="98">
        <f t="shared" si="73"/>
        <v>85</v>
      </c>
      <c r="AQ251" s="98">
        <f t="shared" si="73"/>
        <v>70</v>
      </c>
      <c r="AR251" s="98">
        <f t="shared" si="73"/>
        <v>50</v>
      </c>
      <c r="AS251" s="98">
        <f t="shared" si="73"/>
        <v>35</v>
      </c>
      <c r="AV251" s="101" t="str">
        <f t="shared" si="74"/>
        <v>1.140700</v>
      </c>
      <c r="AW251" s="101">
        <v>700</v>
      </c>
      <c r="AX251" s="92">
        <v>110</v>
      </c>
      <c r="AY251" s="92">
        <v>570</v>
      </c>
      <c r="AZ251" s="92">
        <v>755</v>
      </c>
      <c r="BA251" s="202">
        <v>1135</v>
      </c>
      <c r="BB251" s="202">
        <v>1705</v>
      </c>
      <c r="BC251" s="202">
        <v>2840</v>
      </c>
      <c r="BD251" s="202">
        <v>4730</v>
      </c>
      <c r="BF251" s="101" t="str">
        <f t="shared" si="75"/>
        <v>2.110700</v>
      </c>
      <c r="BG251" s="101">
        <v>700</v>
      </c>
      <c r="BH251" s="92">
        <v>110</v>
      </c>
      <c r="BI251" s="92">
        <v>495</v>
      </c>
      <c r="BJ251" s="92">
        <v>660</v>
      </c>
      <c r="BK251" s="92">
        <v>995</v>
      </c>
      <c r="BL251" s="202">
        <v>1490</v>
      </c>
      <c r="BM251" s="202">
        <v>2485</v>
      </c>
      <c r="BN251" s="202">
        <v>4140</v>
      </c>
      <c r="BP251" s="101" t="str">
        <f t="shared" si="76"/>
        <v>3.110700</v>
      </c>
      <c r="BQ251" s="101">
        <v>700</v>
      </c>
      <c r="BR251" s="92">
        <v>110</v>
      </c>
      <c r="BS251" s="92">
        <v>410</v>
      </c>
      <c r="BT251" s="92">
        <v>545</v>
      </c>
      <c r="BU251" s="92">
        <v>820</v>
      </c>
      <c r="BV251" s="202">
        <v>1230</v>
      </c>
      <c r="BW251" s="202">
        <v>2050</v>
      </c>
      <c r="BX251" s="202">
        <v>3420</v>
      </c>
    </row>
    <row r="252" spans="19:76">
      <c r="S252" s="99" t="s">
        <v>201</v>
      </c>
      <c r="T252" s="204" t="s">
        <v>201</v>
      </c>
      <c r="U252" s="98"/>
      <c r="V252" s="98">
        <f t="shared" si="72"/>
        <v>3360</v>
      </c>
      <c r="W252" s="98">
        <f t="shared" si="72"/>
        <v>2750</v>
      </c>
      <c r="X252" s="98">
        <f t="shared" si="72"/>
        <v>2530</v>
      </c>
      <c r="Y252" s="98">
        <f t="shared" si="72"/>
        <v>2425</v>
      </c>
      <c r="Z252" s="98">
        <f t="shared" si="72"/>
        <v>2350</v>
      </c>
      <c r="AA252" s="98">
        <f t="shared" si="72"/>
        <v>2280</v>
      </c>
      <c r="AB252" s="98">
        <f t="shared" si="72"/>
        <v>2230</v>
      </c>
      <c r="AC252" s="98">
        <f t="shared" si="72"/>
        <v>2170</v>
      </c>
      <c r="AD252" s="98">
        <f t="shared" si="72"/>
        <v>2110</v>
      </c>
      <c r="AE252" s="98">
        <f t="shared" si="72"/>
        <v>2050</v>
      </c>
      <c r="AF252" s="98">
        <f t="shared" si="73"/>
        <v>1990</v>
      </c>
      <c r="AG252" s="98">
        <f t="shared" si="73"/>
        <v>1920</v>
      </c>
      <c r="AH252" s="98">
        <f t="shared" si="73"/>
        <v>1850</v>
      </c>
      <c r="AI252" s="98">
        <f t="shared" si="73"/>
        <v>1690</v>
      </c>
      <c r="AJ252" s="98">
        <f t="shared" si="73"/>
        <v>1455</v>
      </c>
      <c r="AK252" s="98">
        <f t="shared" si="73"/>
        <v>1115</v>
      </c>
      <c r="AL252" s="98">
        <f t="shared" si="73"/>
        <v>855</v>
      </c>
      <c r="AM252" s="98">
        <f t="shared" si="73"/>
        <v>650</v>
      </c>
      <c r="AN252" s="98">
        <f t="shared" si="73"/>
        <v>495</v>
      </c>
      <c r="AO252" s="98">
        <f t="shared" si="73"/>
        <v>395</v>
      </c>
      <c r="AP252" s="98">
        <f t="shared" si="73"/>
        <v>310</v>
      </c>
      <c r="AQ252" s="98">
        <f t="shared" si="73"/>
        <v>225</v>
      </c>
      <c r="AR252" s="98">
        <f t="shared" si="73"/>
        <v>155</v>
      </c>
      <c r="AS252" s="98">
        <f t="shared" si="73"/>
        <v>135</v>
      </c>
      <c r="AV252" s="101" t="str">
        <f t="shared" si="74"/>
        <v>1.140750</v>
      </c>
      <c r="AW252" s="101">
        <v>750</v>
      </c>
      <c r="AX252" s="92">
        <v>95</v>
      </c>
      <c r="AY252" s="92">
        <v>530</v>
      </c>
      <c r="AZ252" s="92">
        <v>710</v>
      </c>
      <c r="BA252" s="202">
        <v>1065</v>
      </c>
      <c r="BB252" s="202">
        <v>1595</v>
      </c>
      <c r="BC252" s="202">
        <v>2660</v>
      </c>
      <c r="BD252" s="202">
        <v>4430</v>
      </c>
      <c r="BF252" s="101" t="str">
        <f t="shared" si="75"/>
        <v>2.110750</v>
      </c>
      <c r="BG252" s="101">
        <v>750</v>
      </c>
      <c r="BH252" s="92">
        <v>95</v>
      </c>
      <c r="BI252" s="92">
        <v>490</v>
      </c>
      <c r="BJ252" s="92">
        <v>655</v>
      </c>
      <c r="BK252" s="92">
        <v>985</v>
      </c>
      <c r="BL252" s="202">
        <v>1475</v>
      </c>
      <c r="BM252" s="202">
        <v>2460</v>
      </c>
      <c r="BN252" s="202">
        <v>4100</v>
      </c>
      <c r="BP252" s="101" t="str">
        <f t="shared" si="76"/>
        <v>3.110750</v>
      </c>
      <c r="BQ252" s="101">
        <v>750</v>
      </c>
    </row>
    <row r="253" spans="19:76">
      <c r="S253" s="99" t="s">
        <v>202</v>
      </c>
      <c r="T253" s="204" t="s">
        <v>202</v>
      </c>
      <c r="U253" s="98"/>
      <c r="V253" s="98">
        <f t="shared" si="72"/>
        <v>3600</v>
      </c>
      <c r="W253" s="98">
        <f t="shared" si="72"/>
        <v>3310</v>
      </c>
      <c r="X253" s="98">
        <f t="shared" si="72"/>
        <v>3085</v>
      </c>
      <c r="Y253" s="98">
        <f t="shared" si="72"/>
        <v>2880</v>
      </c>
      <c r="Z253" s="98">
        <f t="shared" si="72"/>
        <v>2710</v>
      </c>
      <c r="AA253" s="98">
        <f t="shared" si="72"/>
        <v>2580</v>
      </c>
      <c r="AB253" s="98">
        <f t="shared" si="72"/>
        <v>2530</v>
      </c>
      <c r="AC253" s="98">
        <f t="shared" si="72"/>
        <v>2485</v>
      </c>
      <c r="AD253" s="98">
        <f t="shared" si="72"/>
        <v>2460</v>
      </c>
      <c r="AE253" s="98">
        <f t="shared" si="72"/>
        <v>2435</v>
      </c>
      <c r="AF253" s="98">
        <f t="shared" si="73"/>
        <v>2425</v>
      </c>
      <c r="AG253" s="98">
        <f t="shared" si="73"/>
        <v>2245</v>
      </c>
      <c r="AH253" s="98">
        <f t="shared" si="73"/>
        <v>1930</v>
      </c>
      <c r="AI253" s="98">
        <f t="shared" si="73"/>
        <v>1820</v>
      </c>
      <c r="AJ253" s="98">
        <f t="shared" si="73"/>
        <v>1800</v>
      </c>
      <c r="AK253" s="98">
        <f t="shared" si="73"/>
        <v>1560</v>
      </c>
      <c r="AL253" s="98">
        <f t="shared" si="73"/>
        <v>1045</v>
      </c>
      <c r="AM253" s="98">
        <f t="shared" si="73"/>
        <v>755</v>
      </c>
      <c r="AN253" s="98">
        <f t="shared" si="73"/>
        <v>565</v>
      </c>
      <c r="AO253" s="98">
        <f t="shared" si="73"/>
        <v>375</v>
      </c>
      <c r="AP253" s="98">
        <f t="shared" si="73"/>
        <v>255</v>
      </c>
      <c r="AQ253" s="98">
        <f t="shared" si="73"/>
        <v>205</v>
      </c>
      <c r="AR253" s="98">
        <f t="shared" si="73"/>
        <v>155</v>
      </c>
      <c r="AS253" s="98">
        <f t="shared" si="73"/>
        <v>135</v>
      </c>
      <c r="AV253" s="101" t="str">
        <f t="shared" si="74"/>
        <v>1.140800</v>
      </c>
      <c r="AW253" s="101">
        <v>800</v>
      </c>
      <c r="AX253" s="92">
        <v>80</v>
      </c>
      <c r="AY253" s="92">
        <v>510</v>
      </c>
      <c r="AZ253" s="92">
        <v>675</v>
      </c>
      <c r="BA253" s="202">
        <v>1015</v>
      </c>
      <c r="BB253" s="202">
        <v>1525</v>
      </c>
      <c r="BC253" s="202">
        <v>2540</v>
      </c>
      <c r="BD253" s="202">
        <v>4230</v>
      </c>
      <c r="BF253" s="101" t="str">
        <f t="shared" si="75"/>
        <v>2.110800</v>
      </c>
      <c r="BG253" s="101">
        <v>800</v>
      </c>
      <c r="BH253" s="92">
        <v>80</v>
      </c>
      <c r="BI253" s="92">
        <v>485</v>
      </c>
      <c r="BJ253" s="92">
        <v>650</v>
      </c>
      <c r="BK253" s="92">
        <v>975</v>
      </c>
      <c r="BL253" s="202">
        <v>1460</v>
      </c>
      <c r="BM253" s="202">
        <v>2435</v>
      </c>
      <c r="BN253" s="202">
        <v>4060</v>
      </c>
      <c r="BP253" s="101" t="str">
        <f t="shared" si="76"/>
        <v>3.110800</v>
      </c>
      <c r="BQ253" s="101">
        <v>800</v>
      </c>
    </row>
    <row r="254" spans="19:76">
      <c r="S254" s="99" t="s">
        <v>203</v>
      </c>
      <c r="T254" s="204" t="s">
        <v>203</v>
      </c>
      <c r="U254" s="98"/>
      <c r="V254" s="98">
        <f t="shared" si="72"/>
        <v>3360</v>
      </c>
      <c r="W254" s="98">
        <f t="shared" si="72"/>
        <v>2750</v>
      </c>
      <c r="X254" s="98">
        <f t="shared" si="72"/>
        <v>2530</v>
      </c>
      <c r="Y254" s="98">
        <f t="shared" si="72"/>
        <v>2425</v>
      </c>
      <c r="Z254" s="98">
        <f t="shared" si="72"/>
        <v>2350</v>
      </c>
      <c r="AA254" s="98">
        <f t="shared" si="72"/>
        <v>2280</v>
      </c>
      <c r="AB254" s="98">
        <f t="shared" si="72"/>
        <v>2230</v>
      </c>
      <c r="AC254" s="98">
        <f t="shared" si="72"/>
        <v>2170</v>
      </c>
      <c r="AD254" s="98">
        <f t="shared" si="72"/>
        <v>2110</v>
      </c>
      <c r="AE254" s="98">
        <f t="shared" si="72"/>
        <v>2050</v>
      </c>
      <c r="AF254" s="98">
        <f t="shared" si="73"/>
        <v>1990</v>
      </c>
      <c r="AG254" s="98">
        <f t="shared" si="73"/>
        <v>1920</v>
      </c>
      <c r="AH254" s="98">
        <f t="shared" si="73"/>
        <v>1850</v>
      </c>
      <c r="AI254" s="98">
        <f t="shared" si="73"/>
        <v>1690</v>
      </c>
      <c r="AJ254" s="98">
        <f t="shared" si="73"/>
        <v>1630</v>
      </c>
      <c r="AK254" s="98">
        <f t="shared" si="73"/>
        <v>1455</v>
      </c>
      <c r="AL254" s="98">
        <f t="shared" si="73"/>
        <v>1250</v>
      </c>
      <c r="AM254" s="98">
        <f t="shared" si="73"/>
        <v>1030</v>
      </c>
      <c r="AN254" s="98">
        <f t="shared" si="73"/>
        <v>825</v>
      </c>
      <c r="AO254" s="98">
        <f t="shared" si="73"/>
        <v>600</v>
      </c>
      <c r="AP254" s="98">
        <f t="shared" si="73"/>
        <v>410</v>
      </c>
      <c r="AQ254" s="98">
        <f t="shared" si="73"/>
        <v>275</v>
      </c>
      <c r="AR254" s="98">
        <f t="shared" si="73"/>
        <v>190</v>
      </c>
      <c r="AS254" s="98">
        <f t="shared" si="73"/>
        <v>135</v>
      </c>
      <c r="AV254" s="101" t="str">
        <f t="shared" si="74"/>
        <v>1.140850</v>
      </c>
      <c r="AW254" s="101">
        <v>850</v>
      </c>
      <c r="AX254" s="92">
        <v>65</v>
      </c>
      <c r="AY254" s="92">
        <v>485</v>
      </c>
      <c r="AZ254" s="92">
        <v>650</v>
      </c>
      <c r="BA254" s="92">
        <v>975</v>
      </c>
      <c r="BB254" s="202">
        <v>1460</v>
      </c>
      <c r="BC254" s="202">
        <v>2435</v>
      </c>
      <c r="BD254" s="202">
        <v>4060</v>
      </c>
      <c r="BF254" s="101" t="str">
        <f t="shared" si="75"/>
        <v>2.110850</v>
      </c>
      <c r="BG254" s="101">
        <v>850</v>
      </c>
      <c r="BH254" s="92">
        <v>65</v>
      </c>
      <c r="BI254" s="92">
        <v>485</v>
      </c>
      <c r="BJ254" s="92">
        <v>645</v>
      </c>
      <c r="BK254" s="92">
        <v>970</v>
      </c>
      <c r="BL254" s="202">
        <v>1455</v>
      </c>
      <c r="BM254" s="202">
        <v>2425</v>
      </c>
      <c r="BN254" s="202">
        <v>4040</v>
      </c>
      <c r="BP254" s="101" t="str">
        <f t="shared" si="76"/>
        <v>3.110850</v>
      </c>
      <c r="BQ254" s="101">
        <v>850</v>
      </c>
    </row>
    <row r="255" spans="19:76">
      <c r="S255" s="99" t="s">
        <v>86</v>
      </c>
      <c r="T255" s="204" t="s">
        <v>215</v>
      </c>
      <c r="U255" s="98"/>
      <c r="V255" s="98">
        <f t="shared" ref="V255:AE264" si="77">VLOOKUP($T255&amp;TEXT(V$1,"0000"),$BP$4:$BX$435,8)</f>
        <v>3750</v>
      </c>
      <c r="W255" s="98">
        <f t="shared" si="77"/>
        <v>3710</v>
      </c>
      <c r="X255" s="98">
        <f t="shared" si="77"/>
        <v>3550</v>
      </c>
      <c r="Y255" s="98">
        <f t="shared" si="77"/>
        <v>3410</v>
      </c>
      <c r="Z255" s="98">
        <f t="shared" si="77"/>
        <v>3275</v>
      </c>
      <c r="AA255" s="98">
        <f t="shared" si="77"/>
        <v>3025</v>
      </c>
      <c r="AB255" s="98">
        <f t="shared" si="77"/>
        <v>2940</v>
      </c>
      <c r="AC255" s="98">
        <f t="shared" si="77"/>
        <v>2840</v>
      </c>
      <c r="AD255" s="98">
        <f t="shared" si="77"/>
        <v>2660</v>
      </c>
      <c r="AE255" s="98">
        <f t="shared" si="77"/>
        <v>2540</v>
      </c>
      <c r="AF255" s="98">
        <f t="shared" ref="AF255:AS264" si="78">VLOOKUP($T255&amp;TEXT(AF$1,"0000"),$BP$4:$BX$435,8)</f>
        <v>0</v>
      </c>
      <c r="AG255" s="98">
        <f t="shared" si="78"/>
        <v>0</v>
      </c>
      <c r="AH255" s="98">
        <f t="shared" si="78"/>
        <v>0</v>
      </c>
      <c r="AI255" s="98">
        <f t="shared" si="78"/>
        <v>0</v>
      </c>
      <c r="AJ255" s="98">
        <f t="shared" si="78"/>
        <v>0</v>
      </c>
      <c r="AK255" s="98">
        <f t="shared" si="78"/>
        <v>0</v>
      </c>
      <c r="AL255" s="98">
        <f t="shared" si="78"/>
        <v>0</v>
      </c>
      <c r="AM255" s="98">
        <f t="shared" si="78"/>
        <v>0</v>
      </c>
      <c r="AN255" s="98">
        <f t="shared" si="78"/>
        <v>0</v>
      </c>
      <c r="AO255" s="98">
        <f t="shared" si="78"/>
        <v>0</v>
      </c>
      <c r="AP255" s="98">
        <f t="shared" si="78"/>
        <v>0</v>
      </c>
      <c r="AQ255" s="98">
        <f t="shared" si="78"/>
        <v>0</v>
      </c>
      <c r="AR255" s="98">
        <f t="shared" si="78"/>
        <v>0</v>
      </c>
      <c r="AS255" s="98">
        <f t="shared" si="78"/>
        <v>0</v>
      </c>
      <c r="AV255" s="101" t="str">
        <f t="shared" si="74"/>
        <v>1.140900</v>
      </c>
      <c r="AW255" s="101">
        <v>900</v>
      </c>
      <c r="AX255" s="92">
        <v>50</v>
      </c>
      <c r="AY255" s="92">
        <v>450</v>
      </c>
      <c r="AZ255" s="92">
        <v>600</v>
      </c>
      <c r="BA255" s="92">
        <v>900</v>
      </c>
      <c r="BB255" s="202">
        <v>1350</v>
      </c>
      <c r="BC255" s="202">
        <v>2245</v>
      </c>
      <c r="BD255" s="202">
        <v>3745</v>
      </c>
      <c r="BF255" s="101" t="str">
        <f t="shared" si="75"/>
        <v>2.110900</v>
      </c>
      <c r="BG255" s="101">
        <v>900</v>
      </c>
      <c r="BH255" s="92">
        <v>50</v>
      </c>
      <c r="BI255" s="92">
        <v>450</v>
      </c>
      <c r="BJ255" s="92">
        <v>600</v>
      </c>
      <c r="BK255" s="92">
        <v>900</v>
      </c>
      <c r="BL255" s="202">
        <v>1350</v>
      </c>
      <c r="BM255" s="202">
        <v>2245</v>
      </c>
      <c r="BN255" s="202">
        <v>3745</v>
      </c>
      <c r="BP255" s="101" t="str">
        <f t="shared" si="76"/>
        <v>3.110900</v>
      </c>
      <c r="BQ255" s="101">
        <v>900</v>
      </c>
    </row>
    <row r="256" spans="19:76">
      <c r="S256" s="99" t="s">
        <v>87</v>
      </c>
      <c r="T256" s="204" t="s">
        <v>216</v>
      </c>
      <c r="U256" s="98"/>
      <c r="V256" s="98">
        <f t="shared" si="77"/>
        <v>2400</v>
      </c>
      <c r="W256" s="98">
        <f t="shared" si="77"/>
        <v>2400</v>
      </c>
      <c r="X256" s="98">
        <f t="shared" si="77"/>
        <v>2400</v>
      </c>
      <c r="Y256" s="98">
        <f t="shared" si="77"/>
        <v>2400</v>
      </c>
      <c r="Z256" s="98">
        <f t="shared" si="77"/>
        <v>2270</v>
      </c>
      <c r="AA256" s="98">
        <f t="shared" si="77"/>
        <v>2065</v>
      </c>
      <c r="AB256" s="98">
        <f t="shared" si="77"/>
        <v>0</v>
      </c>
      <c r="AC256" s="98">
        <f t="shared" si="77"/>
        <v>0</v>
      </c>
      <c r="AD256" s="98">
        <f t="shared" si="77"/>
        <v>0</v>
      </c>
      <c r="AE256" s="98">
        <f t="shared" si="77"/>
        <v>0</v>
      </c>
      <c r="AF256" s="98">
        <f t="shared" si="78"/>
        <v>0</v>
      </c>
      <c r="AG256" s="98">
        <f t="shared" si="78"/>
        <v>0</v>
      </c>
      <c r="AH256" s="98">
        <f t="shared" si="78"/>
        <v>0</v>
      </c>
      <c r="AI256" s="98">
        <f t="shared" si="78"/>
        <v>0</v>
      </c>
      <c r="AJ256" s="98">
        <f t="shared" si="78"/>
        <v>0</v>
      </c>
      <c r="AK256" s="98">
        <f t="shared" si="78"/>
        <v>0</v>
      </c>
      <c r="AL256" s="98">
        <f t="shared" si="78"/>
        <v>0</v>
      </c>
      <c r="AM256" s="98">
        <f t="shared" si="78"/>
        <v>0</v>
      </c>
      <c r="AN256" s="98">
        <f t="shared" si="78"/>
        <v>0</v>
      </c>
      <c r="AO256" s="98">
        <f t="shared" si="78"/>
        <v>0</v>
      </c>
      <c r="AP256" s="98">
        <f t="shared" si="78"/>
        <v>0</v>
      </c>
      <c r="AQ256" s="98">
        <f t="shared" si="78"/>
        <v>0</v>
      </c>
      <c r="AR256" s="98">
        <f t="shared" si="78"/>
        <v>0</v>
      </c>
      <c r="AS256" s="98">
        <f t="shared" si="78"/>
        <v>0</v>
      </c>
      <c r="AV256" s="101" t="str">
        <f t="shared" si="74"/>
        <v>1.140950</v>
      </c>
      <c r="AW256" s="101">
        <v>950</v>
      </c>
      <c r="AX256" s="92">
        <v>35</v>
      </c>
      <c r="AY256" s="92">
        <v>375</v>
      </c>
      <c r="AZ256" s="92">
        <v>505</v>
      </c>
      <c r="BA256" s="92">
        <v>755</v>
      </c>
      <c r="BB256" s="202">
        <v>1130</v>
      </c>
      <c r="BC256" s="202">
        <v>1885</v>
      </c>
      <c r="BD256" s="202">
        <v>3145</v>
      </c>
      <c r="BF256" s="101" t="str">
        <f t="shared" si="75"/>
        <v>2.110950</v>
      </c>
      <c r="BG256" s="101">
        <v>950</v>
      </c>
      <c r="BH256" s="92">
        <v>35</v>
      </c>
      <c r="BI256" s="92">
        <v>385</v>
      </c>
      <c r="BJ256" s="92">
        <v>515</v>
      </c>
      <c r="BK256" s="92">
        <v>775</v>
      </c>
      <c r="BL256" s="202">
        <v>1160</v>
      </c>
      <c r="BM256" s="202">
        <v>1930</v>
      </c>
      <c r="BN256" s="202">
        <v>3220</v>
      </c>
      <c r="BP256" s="101" t="str">
        <f t="shared" si="76"/>
        <v>3.110950</v>
      </c>
      <c r="BQ256" s="101">
        <v>950</v>
      </c>
    </row>
    <row r="257" spans="19:76">
      <c r="S257" s="99" t="s">
        <v>88</v>
      </c>
      <c r="T257" s="204" t="s">
        <v>217</v>
      </c>
      <c r="U257" s="98"/>
      <c r="V257" s="98">
        <f t="shared" si="77"/>
        <v>1200</v>
      </c>
      <c r="W257" s="98">
        <f t="shared" si="77"/>
        <v>1150</v>
      </c>
      <c r="X257" s="98">
        <f t="shared" si="77"/>
        <v>1130</v>
      </c>
      <c r="Y257" s="98">
        <f t="shared" si="77"/>
        <v>1130</v>
      </c>
      <c r="Z257" s="98">
        <f t="shared" si="77"/>
        <v>1130</v>
      </c>
      <c r="AA257" s="98">
        <f t="shared" si="77"/>
        <v>1130</v>
      </c>
      <c r="AB257" s="98">
        <f t="shared" si="77"/>
        <v>1115</v>
      </c>
      <c r="AC257" s="98">
        <f t="shared" si="77"/>
        <v>1115</v>
      </c>
      <c r="AD257" s="98">
        <f t="shared" si="77"/>
        <v>1105</v>
      </c>
      <c r="AE257" s="98">
        <f t="shared" si="77"/>
        <v>1080</v>
      </c>
      <c r="AF257" s="98">
        <f t="shared" si="78"/>
        <v>1055</v>
      </c>
      <c r="AG257" s="98">
        <f t="shared" si="78"/>
        <v>1030</v>
      </c>
      <c r="AH257" s="98">
        <f t="shared" si="78"/>
        <v>985</v>
      </c>
      <c r="AI257" s="98">
        <f t="shared" si="78"/>
        <v>950</v>
      </c>
      <c r="AJ257" s="98">
        <f t="shared" si="78"/>
        <v>410</v>
      </c>
      <c r="AK257" s="98">
        <f t="shared" si="78"/>
        <v>345</v>
      </c>
      <c r="AL257" s="98">
        <f t="shared" si="78"/>
        <v>255</v>
      </c>
      <c r="AM257" s="98">
        <f t="shared" si="78"/>
        <v>205</v>
      </c>
      <c r="AN257" s="98">
        <f t="shared" si="78"/>
        <v>0</v>
      </c>
      <c r="AO257" s="98">
        <f t="shared" si="78"/>
        <v>0</v>
      </c>
      <c r="AP257" s="98">
        <f t="shared" si="78"/>
        <v>0</v>
      </c>
      <c r="AQ257" s="98">
        <f t="shared" si="78"/>
        <v>0</v>
      </c>
      <c r="AR257" s="98">
        <f t="shared" si="78"/>
        <v>0</v>
      </c>
      <c r="AS257" s="98">
        <f t="shared" si="78"/>
        <v>0</v>
      </c>
      <c r="AV257" s="101" t="str">
        <f t="shared" si="74"/>
        <v>1.141000</v>
      </c>
      <c r="AW257" s="101">
        <v>1000</v>
      </c>
      <c r="AX257" s="92">
        <v>20</v>
      </c>
      <c r="AY257" s="92">
        <v>255</v>
      </c>
      <c r="AZ257" s="92">
        <v>340</v>
      </c>
      <c r="BA257" s="92">
        <v>505</v>
      </c>
      <c r="BB257" s="92">
        <v>760</v>
      </c>
      <c r="BC257" s="202">
        <v>1270</v>
      </c>
      <c r="BD257" s="202">
        <v>2115</v>
      </c>
      <c r="BF257" s="101" t="str">
        <f t="shared" si="75"/>
        <v>2.111000</v>
      </c>
      <c r="BG257" s="101">
        <v>1000</v>
      </c>
      <c r="BH257" s="92">
        <v>20</v>
      </c>
      <c r="BI257" s="92">
        <v>365</v>
      </c>
      <c r="BJ257" s="92">
        <v>485</v>
      </c>
      <c r="BK257" s="92">
        <v>725</v>
      </c>
      <c r="BL257" s="202">
        <v>1090</v>
      </c>
      <c r="BM257" s="202">
        <v>1820</v>
      </c>
      <c r="BN257" s="202">
        <v>3030</v>
      </c>
      <c r="BP257" s="101" t="str">
        <f t="shared" si="76"/>
        <v>3.111000</v>
      </c>
      <c r="BQ257" s="101">
        <v>1000</v>
      </c>
    </row>
    <row r="258" spans="19:76">
      <c r="S258" s="99" t="s">
        <v>89</v>
      </c>
      <c r="T258" s="204" t="s">
        <v>218</v>
      </c>
      <c r="U258" s="98"/>
      <c r="V258" s="98">
        <f t="shared" si="77"/>
        <v>3000</v>
      </c>
      <c r="W258" s="98">
        <f t="shared" si="77"/>
        <v>2630</v>
      </c>
      <c r="X258" s="98">
        <f t="shared" si="77"/>
        <v>2450</v>
      </c>
      <c r="Y258" s="98">
        <f t="shared" si="77"/>
        <v>2365</v>
      </c>
      <c r="Z258" s="98">
        <f t="shared" si="77"/>
        <v>2365</v>
      </c>
      <c r="AA258" s="98">
        <f t="shared" si="77"/>
        <v>2365</v>
      </c>
      <c r="AB258" s="98">
        <f t="shared" si="77"/>
        <v>2365</v>
      </c>
      <c r="AC258" s="98">
        <f t="shared" si="77"/>
        <v>2350</v>
      </c>
      <c r="AD258" s="98">
        <f t="shared" si="77"/>
        <v>2330</v>
      </c>
      <c r="AE258" s="98">
        <f t="shared" si="77"/>
        <v>2290</v>
      </c>
      <c r="AF258" s="98">
        <f t="shared" si="78"/>
        <v>1885</v>
      </c>
      <c r="AG258" s="98">
        <f t="shared" si="78"/>
        <v>1370</v>
      </c>
      <c r="AH258" s="98">
        <f t="shared" si="78"/>
        <v>0</v>
      </c>
      <c r="AI258" s="98">
        <f t="shared" si="78"/>
        <v>0</v>
      </c>
      <c r="AJ258" s="98">
        <f t="shared" si="78"/>
        <v>0</v>
      </c>
      <c r="AK258" s="98">
        <f t="shared" si="78"/>
        <v>0</v>
      </c>
      <c r="AL258" s="98">
        <f t="shared" si="78"/>
        <v>0</v>
      </c>
      <c r="AM258" s="98">
        <f t="shared" si="78"/>
        <v>0</v>
      </c>
      <c r="AN258" s="98">
        <f t="shared" si="78"/>
        <v>0</v>
      </c>
      <c r="AO258" s="98">
        <f t="shared" si="78"/>
        <v>0</v>
      </c>
      <c r="AP258" s="98">
        <f t="shared" si="78"/>
        <v>0</v>
      </c>
      <c r="AQ258" s="98">
        <f t="shared" si="78"/>
        <v>0</v>
      </c>
      <c r="AR258" s="98">
        <f t="shared" si="78"/>
        <v>0</v>
      </c>
      <c r="AS258" s="98">
        <f t="shared" si="78"/>
        <v>0</v>
      </c>
      <c r="AV258" s="101" t="str">
        <f t="shared" si="74"/>
        <v>1.141050</v>
      </c>
      <c r="AW258" s="101">
        <v>1050</v>
      </c>
      <c r="AY258" s="92">
        <v>170</v>
      </c>
      <c r="AZ258" s="92">
        <v>230</v>
      </c>
      <c r="BA258" s="92">
        <v>345</v>
      </c>
      <c r="BB258" s="92">
        <v>515</v>
      </c>
      <c r="BC258" s="92">
        <v>855</v>
      </c>
      <c r="BD258" s="202">
        <v>1430</v>
      </c>
      <c r="BF258" s="101" t="str">
        <f t="shared" si="75"/>
        <v>2.111050</v>
      </c>
      <c r="BG258" s="101">
        <v>1050</v>
      </c>
      <c r="BI258" s="92">
        <v>360</v>
      </c>
      <c r="BJ258" s="92">
        <v>480</v>
      </c>
      <c r="BK258" s="92">
        <v>720</v>
      </c>
      <c r="BL258" s="202">
        <v>1080</v>
      </c>
      <c r="BM258" s="202">
        <v>1800</v>
      </c>
      <c r="BN258" s="202">
        <v>3000</v>
      </c>
      <c r="BP258" s="101" t="str">
        <f t="shared" si="76"/>
        <v>3.111050</v>
      </c>
      <c r="BQ258" s="101">
        <v>1050</v>
      </c>
    </row>
    <row r="259" spans="19:76">
      <c r="S259" s="99" t="s">
        <v>90</v>
      </c>
      <c r="T259" s="204" t="s">
        <v>219</v>
      </c>
      <c r="U259" s="98"/>
      <c r="V259" s="98">
        <f t="shared" si="77"/>
        <v>3750</v>
      </c>
      <c r="W259" s="98">
        <f t="shared" si="77"/>
        <v>3750</v>
      </c>
      <c r="X259" s="98">
        <f t="shared" si="77"/>
        <v>3640</v>
      </c>
      <c r="Y259" s="98">
        <f t="shared" si="77"/>
        <v>3530</v>
      </c>
      <c r="Z259" s="98">
        <f t="shared" si="77"/>
        <v>3325</v>
      </c>
      <c r="AA259" s="98">
        <f t="shared" si="77"/>
        <v>3025</v>
      </c>
      <c r="AB259" s="98">
        <f t="shared" si="77"/>
        <v>2940</v>
      </c>
      <c r="AC259" s="98">
        <f t="shared" si="77"/>
        <v>2840</v>
      </c>
      <c r="AD259" s="98">
        <f t="shared" si="77"/>
        <v>2660</v>
      </c>
      <c r="AE259" s="98">
        <f t="shared" si="77"/>
        <v>2540</v>
      </c>
      <c r="AF259" s="98">
        <f t="shared" si="78"/>
        <v>2435</v>
      </c>
      <c r="AG259" s="98">
        <f t="shared" si="78"/>
        <v>2245</v>
      </c>
      <c r="AH259" s="98">
        <f t="shared" si="78"/>
        <v>1815</v>
      </c>
      <c r="AI259" s="98">
        <f t="shared" si="78"/>
        <v>1200</v>
      </c>
      <c r="AJ259" s="98">
        <f t="shared" si="78"/>
        <v>770</v>
      </c>
      <c r="AK259" s="98">
        <f t="shared" si="78"/>
        <v>515</v>
      </c>
      <c r="AL259" s="98">
        <f t="shared" si="78"/>
        <v>375</v>
      </c>
      <c r="AM259" s="98">
        <f t="shared" si="78"/>
        <v>345</v>
      </c>
      <c r="AN259" s="98">
        <f t="shared" si="78"/>
        <v>0</v>
      </c>
      <c r="AO259" s="98">
        <f t="shared" si="78"/>
        <v>0</v>
      </c>
      <c r="AP259" s="98">
        <f t="shared" si="78"/>
        <v>0</v>
      </c>
      <c r="AQ259" s="98">
        <f t="shared" si="78"/>
        <v>0</v>
      </c>
      <c r="AR259" s="98">
        <f t="shared" si="78"/>
        <v>0</v>
      </c>
      <c r="AS259" s="98">
        <f t="shared" si="78"/>
        <v>0</v>
      </c>
      <c r="AV259" s="101" t="str">
        <f t="shared" si="74"/>
        <v>1.141100</v>
      </c>
      <c r="AW259" s="101">
        <v>1100</v>
      </c>
      <c r="AY259" s="92">
        <v>115</v>
      </c>
      <c r="AZ259" s="92">
        <v>150</v>
      </c>
      <c r="BA259" s="92">
        <v>225</v>
      </c>
      <c r="BB259" s="92">
        <v>340</v>
      </c>
      <c r="BC259" s="92">
        <v>565</v>
      </c>
      <c r="BD259" s="92">
        <v>945</v>
      </c>
      <c r="BF259" s="101" t="str">
        <f t="shared" si="75"/>
        <v>2.111100</v>
      </c>
      <c r="BG259" s="101">
        <v>1100</v>
      </c>
      <c r="BI259" s="92">
        <v>310</v>
      </c>
      <c r="BJ259" s="92">
        <v>415</v>
      </c>
      <c r="BK259" s="92">
        <v>625</v>
      </c>
      <c r="BL259" s="92">
        <v>935</v>
      </c>
      <c r="BM259" s="202">
        <v>1560</v>
      </c>
      <c r="BN259" s="202">
        <v>2600</v>
      </c>
      <c r="BP259" s="101" t="str">
        <f t="shared" si="76"/>
        <v>3.111100</v>
      </c>
      <c r="BQ259" s="101">
        <v>1100</v>
      </c>
    </row>
    <row r="260" spans="19:76">
      <c r="S260" s="99" t="s">
        <v>91</v>
      </c>
      <c r="T260" s="204" t="s">
        <v>220</v>
      </c>
      <c r="U260" s="98"/>
      <c r="V260" s="98">
        <f t="shared" si="77"/>
        <v>3600</v>
      </c>
      <c r="W260" s="98">
        <f t="shared" si="77"/>
        <v>3325</v>
      </c>
      <c r="X260" s="98">
        <f t="shared" si="77"/>
        <v>3190</v>
      </c>
      <c r="Y260" s="98">
        <f t="shared" si="77"/>
        <v>3095</v>
      </c>
      <c r="Z260" s="98">
        <f t="shared" si="77"/>
        <v>3010</v>
      </c>
      <c r="AA260" s="98">
        <f t="shared" si="77"/>
        <v>2940</v>
      </c>
      <c r="AB260" s="98">
        <f t="shared" si="77"/>
        <v>2890</v>
      </c>
      <c r="AC260" s="98">
        <f t="shared" si="77"/>
        <v>2840</v>
      </c>
      <c r="AD260" s="98">
        <f t="shared" si="77"/>
        <v>2660</v>
      </c>
      <c r="AE260" s="98">
        <f t="shared" si="77"/>
        <v>2540</v>
      </c>
      <c r="AF260" s="98">
        <f t="shared" si="78"/>
        <v>2435</v>
      </c>
      <c r="AG260" s="98">
        <f t="shared" si="78"/>
        <v>2245</v>
      </c>
      <c r="AH260" s="98">
        <f t="shared" si="78"/>
        <v>1930</v>
      </c>
      <c r="AI260" s="98">
        <f t="shared" si="78"/>
        <v>1820</v>
      </c>
      <c r="AJ260" s="98">
        <f t="shared" si="78"/>
        <v>1800</v>
      </c>
      <c r="AK260" s="98">
        <f t="shared" si="78"/>
        <v>1610</v>
      </c>
      <c r="AL260" s="98">
        <f t="shared" si="78"/>
        <v>1370</v>
      </c>
      <c r="AM260" s="98">
        <f t="shared" si="78"/>
        <v>1030</v>
      </c>
      <c r="AN260" s="98">
        <f t="shared" si="78"/>
        <v>720</v>
      </c>
      <c r="AO260" s="98">
        <f t="shared" si="78"/>
        <v>345</v>
      </c>
      <c r="AP260" s="98">
        <f t="shared" si="78"/>
        <v>275</v>
      </c>
      <c r="AQ260" s="98">
        <f t="shared" si="78"/>
        <v>190</v>
      </c>
      <c r="AR260" s="98">
        <f t="shared" si="78"/>
        <v>170</v>
      </c>
      <c r="AS260" s="98">
        <f t="shared" si="78"/>
        <v>135</v>
      </c>
      <c r="AV260" s="101" t="str">
        <f t="shared" si="74"/>
        <v>1.141150</v>
      </c>
      <c r="AW260" s="101">
        <v>1150</v>
      </c>
      <c r="AY260" s="92">
        <v>75</v>
      </c>
      <c r="AZ260" s="92">
        <v>100</v>
      </c>
      <c r="BA260" s="92">
        <v>150</v>
      </c>
      <c r="BB260" s="92">
        <v>225</v>
      </c>
      <c r="BC260" s="92">
        <v>375</v>
      </c>
      <c r="BD260" s="92">
        <v>630</v>
      </c>
      <c r="BF260" s="101" t="str">
        <f t="shared" si="75"/>
        <v>2.111150</v>
      </c>
      <c r="BG260" s="101">
        <v>1150</v>
      </c>
      <c r="BI260" s="92">
        <v>210</v>
      </c>
      <c r="BJ260" s="92">
        <v>280</v>
      </c>
      <c r="BK260" s="92">
        <v>420</v>
      </c>
      <c r="BL260" s="92">
        <v>625</v>
      </c>
      <c r="BM260" s="202">
        <v>1045</v>
      </c>
      <c r="BN260" s="202">
        <v>1745</v>
      </c>
      <c r="BP260" s="101" t="str">
        <f t="shared" si="76"/>
        <v>3.111150</v>
      </c>
      <c r="BQ260" s="101">
        <v>1150</v>
      </c>
    </row>
    <row r="261" spans="19:76">
      <c r="S261" s="99" t="s">
        <v>92</v>
      </c>
      <c r="T261" s="204" t="s">
        <v>221</v>
      </c>
      <c r="U261" s="98"/>
      <c r="V261" s="98">
        <f t="shared" si="77"/>
        <v>3750</v>
      </c>
      <c r="W261" s="98">
        <f t="shared" si="77"/>
        <v>3750</v>
      </c>
      <c r="X261" s="98">
        <f t="shared" si="77"/>
        <v>3640</v>
      </c>
      <c r="Y261" s="98">
        <f t="shared" si="77"/>
        <v>3530</v>
      </c>
      <c r="Z261" s="98">
        <f t="shared" si="77"/>
        <v>3325</v>
      </c>
      <c r="AA261" s="98">
        <f t="shared" si="77"/>
        <v>3025</v>
      </c>
      <c r="AB261" s="98">
        <f t="shared" si="77"/>
        <v>2940</v>
      </c>
      <c r="AC261" s="98">
        <f t="shared" si="77"/>
        <v>2840</v>
      </c>
      <c r="AD261" s="98">
        <f t="shared" si="77"/>
        <v>2660</v>
      </c>
      <c r="AE261" s="98">
        <f t="shared" si="77"/>
        <v>2540</v>
      </c>
      <c r="AF261" s="98">
        <f t="shared" si="78"/>
        <v>0</v>
      </c>
      <c r="AG261" s="98">
        <f t="shared" si="78"/>
        <v>0</v>
      </c>
      <c r="AH261" s="98">
        <f t="shared" si="78"/>
        <v>0</v>
      </c>
      <c r="AI261" s="98">
        <f t="shared" si="78"/>
        <v>0</v>
      </c>
      <c r="AJ261" s="98">
        <f t="shared" si="78"/>
        <v>0</v>
      </c>
      <c r="AK261" s="98">
        <f t="shared" si="78"/>
        <v>0</v>
      </c>
      <c r="AL261" s="98">
        <f t="shared" si="78"/>
        <v>0</v>
      </c>
      <c r="AM261" s="98">
        <f t="shared" si="78"/>
        <v>0</v>
      </c>
      <c r="AN261" s="98">
        <f t="shared" si="78"/>
        <v>0</v>
      </c>
      <c r="AO261" s="98">
        <f t="shared" si="78"/>
        <v>0</v>
      </c>
      <c r="AP261" s="98">
        <f t="shared" si="78"/>
        <v>0</v>
      </c>
      <c r="AQ261" s="98">
        <f t="shared" si="78"/>
        <v>0</v>
      </c>
      <c r="AR261" s="98">
        <f t="shared" si="78"/>
        <v>0</v>
      </c>
      <c r="AS261" s="98">
        <f t="shared" si="78"/>
        <v>0</v>
      </c>
      <c r="AV261" s="101" t="str">
        <f t="shared" si="74"/>
        <v>1.141200</v>
      </c>
      <c r="AW261" s="101">
        <v>1200</v>
      </c>
      <c r="AY261" s="92">
        <v>50</v>
      </c>
      <c r="AZ261" s="92">
        <v>70</v>
      </c>
      <c r="BA261" s="92">
        <v>105</v>
      </c>
      <c r="BB261" s="92">
        <v>155</v>
      </c>
      <c r="BC261" s="92">
        <v>255</v>
      </c>
      <c r="BD261" s="92">
        <v>430</v>
      </c>
      <c r="BF261" s="101" t="str">
        <f t="shared" si="75"/>
        <v>2.111200</v>
      </c>
      <c r="BG261" s="101">
        <v>1200</v>
      </c>
      <c r="BI261" s="92">
        <v>150</v>
      </c>
      <c r="BJ261" s="92">
        <v>200</v>
      </c>
      <c r="BK261" s="92">
        <v>300</v>
      </c>
      <c r="BL261" s="92">
        <v>455</v>
      </c>
      <c r="BM261" s="92">
        <v>755</v>
      </c>
      <c r="BN261" s="202">
        <v>1255</v>
      </c>
      <c r="BP261" s="101" t="str">
        <f t="shared" si="76"/>
        <v>3.111200</v>
      </c>
      <c r="BQ261" s="101">
        <v>1200</v>
      </c>
    </row>
    <row r="262" spans="19:76">
      <c r="S262" s="99" t="s">
        <v>93</v>
      </c>
      <c r="T262" s="204" t="s">
        <v>222</v>
      </c>
      <c r="U262" s="98"/>
      <c r="V262" s="98">
        <f t="shared" si="77"/>
        <v>3750</v>
      </c>
      <c r="W262" s="98">
        <f t="shared" si="77"/>
        <v>3750</v>
      </c>
      <c r="X262" s="98">
        <f t="shared" si="77"/>
        <v>3640</v>
      </c>
      <c r="Y262" s="98">
        <f t="shared" si="77"/>
        <v>3490</v>
      </c>
      <c r="Z262" s="98">
        <f t="shared" si="77"/>
        <v>3325</v>
      </c>
      <c r="AA262" s="98">
        <f t="shared" si="77"/>
        <v>3025</v>
      </c>
      <c r="AB262" s="98">
        <f t="shared" si="77"/>
        <v>2940</v>
      </c>
      <c r="AC262" s="98">
        <f t="shared" si="77"/>
        <v>2840</v>
      </c>
      <c r="AD262" s="98">
        <f t="shared" si="77"/>
        <v>2660</v>
      </c>
      <c r="AE262" s="98">
        <f t="shared" si="77"/>
        <v>2540</v>
      </c>
      <c r="AF262" s="98">
        <f t="shared" si="78"/>
        <v>2435</v>
      </c>
      <c r="AG262" s="98">
        <f t="shared" si="78"/>
        <v>2245</v>
      </c>
      <c r="AH262" s="98">
        <f t="shared" si="78"/>
        <v>1930</v>
      </c>
      <c r="AI262" s="98">
        <f t="shared" si="78"/>
        <v>1820</v>
      </c>
      <c r="AJ262" s="98">
        <f t="shared" si="78"/>
        <v>1800</v>
      </c>
      <c r="AK262" s="98">
        <f t="shared" si="78"/>
        <v>1610</v>
      </c>
      <c r="AL262" s="98">
        <f t="shared" si="78"/>
        <v>1370</v>
      </c>
      <c r="AM262" s="98">
        <f t="shared" si="78"/>
        <v>1030</v>
      </c>
      <c r="AN262" s="98">
        <f t="shared" si="78"/>
        <v>825</v>
      </c>
      <c r="AO262" s="98">
        <f t="shared" si="78"/>
        <v>600</v>
      </c>
      <c r="AP262" s="98">
        <f t="shared" si="78"/>
        <v>0</v>
      </c>
      <c r="AQ262" s="98">
        <f t="shared" si="78"/>
        <v>0</v>
      </c>
      <c r="AR262" s="98">
        <f t="shared" si="78"/>
        <v>0</v>
      </c>
      <c r="AS262" s="98">
        <f t="shared" si="78"/>
        <v>0</v>
      </c>
      <c r="AV262" s="101" t="str">
        <f t="shared" si="74"/>
        <v>1.141250</v>
      </c>
      <c r="AW262" s="101">
        <v>1250</v>
      </c>
      <c r="BF262" s="101" t="str">
        <f t="shared" si="75"/>
        <v>2.111250</v>
      </c>
      <c r="BG262" s="101">
        <v>1250</v>
      </c>
      <c r="BI262" s="92">
        <v>115</v>
      </c>
      <c r="BJ262" s="92">
        <v>150</v>
      </c>
      <c r="BK262" s="92">
        <v>225</v>
      </c>
      <c r="BL262" s="92">
        <v>340</v>
      </c>
      <c r="BM262" s="92">
        <v>565</v>
      </c>
      <c r="BN262" s="92">
        <v>945</v>
      </c>
      <c r="BP262" s="101" t="str">
        <f t="shared" si="76"/>
        <v>3.111250</v>
      </c>
      <c r="BQ262" s="101">
        <v>1250</v>
      </c>
    </row>
    <row r="263" spans="19:76">
      <c r="S263" s="99" t="s">
        <v>94</v>
      </c>
      <c r="T263" s="204" t="s">
        <v>223</v>
      </c>
      <c r="U263" s="98"/>
      <c r="V263" s="98">
        <f t="shared" si="77"/>
        <v>3750</v>
      </c>
      <c r="W263" s="98">
        <f t="shared" si="77"/>
        <v>3750</v>
      </c>
      <c r="X263" s="98">
        <f t="shared" si="77"/>
        <v>3455</v>
      </c>
      <c r="Y263" s="98">
        <f t="shared" si="77"/>
        <v>3190</v>
      </c>
      <c r="Z263" s="98">
        <f t="shared" si="77"/>
        <v>2975</v>
      </c>
      <c r="AA263" s="98">
        <f t="shared" si="77"/>
        <v>2820</v>
      </c>
      <c r="AB263" s="98">
        <f t="shared" si="77"/>
        <v>2760</v>
      </c>
      <c r="AC263" s="98">
        <f t="shared" si="77"/>
        <v>2710</v>
      </c>
      <c r="AD263" s="98">
        <f t="shared" si="77"/>
        <v>2660</v>
      </c>
      <c r="AE263" s="98">
        <f t="shared" si="77"/>
        <v>2540</v>
      </c>
      <c r="AF263" s="98">
        <f t="shared" si="78"/>
        <v>2435</v>
      </c>
      <c r="AG263" s="98">
        <f t="shared" si="78"/>
        <v>2245</v>
      </c>
      <c r="AH263" s="98">
        <f t="shared" si="78"/>
        <v>1930</v>
      </c>
      <c r="AI263" s="98">
        <f t="shared" si="78"/>
        <v>1820</v>
      </c>
      <c r="AJ263" s="98">
        <f t="shared" si="78"/>
        <v>1800</v>
      </c>
      <c r="AK263" s="98">
        <f t="shared" si="78"/>
        <v>1610</v>
      </c>
      <c r="AL263" s="98">
        <f t="shared" si="78"/>
        <v>1370</v>
      </c>
      <c r="AM263" s="98">
        <f t="shared" si="78"/>
        <v>1030</v>
      </c>
      <c r="AN263" s="98">
        <f t="shared" si="78"/>
        <v>910</v>
      </c>
      <c r="AO263" s="98">
        <f t="shared" si="78"/>
        <v>685</v>
      </c>
      <c r="AP263" s="98">
        <f t="shared" si="78"/>
        <v>515</v>
      </c>
      <c r="AQ263" s="98">
        <f t="shared" si="78"/>
        <v>380</v>
      </c>
      <c r="AR263" s="98">
        <f t="shared" si="78"/>
        <v>290</v>
      </c>
      <c r="AS263" s="98">
        <f t="shared" si="78"/>
        <v>205</v>
      </c>
      <c r="AV263" s="101" t="str">
        <f t="shared" si="74"/>
        <v>1.141300</v>
      </c>
      <c r="AW263" s="101">
        <v>1300</v>
      </c>
      <c r="BF263" s="101" t="str">
        <f t="shared" si="75"/>
        <v>2.111300</v>
      </c>
      <c r="BG263" s="101">
        <v>1300</v>
      </c>
      <c r="BI263" s="92">
        <v>75</v>
      </c>
      <c r="BJ263" s="92">
        <v>100</v>
      </c>
      <c r="BK263" s="92">
        <v>150</v>
      </c>
      <c r="BL263" s="92">
        <v>225</v>
      </c>
      <c r="BM263" s="92">
        <v>375</v>
      </c>
      <c r="BN263" s="92">
        <v>630</v>
      </c>
      <c r="BP263" s="101" t="str">
        <f t="shared" si="76"/>
        <v>3.111300</v>
      </c>
      <c r="BQ263" s="101">
        <v>1300</v>
      </c>
    </row>
    <row r="264" spans="19:76">
      <c r="S264" s="99" t="s">
        <v>95</v>
      </c>
      <c r="T264" s="204" t="s">
        <v>95</v>
      </c>
      <c r="U264" s="98"/>
      <c r="V264" s="98">
        <f t="shared" si="77"/>
        <v>3750</v>
      </c>
      <c r="W264" s="98">
        <f t="shared" si="77"/>
        <v>3750</v>
      </c>
      <c r="X264" s="98">
        <f t="shared" si="77"/>
        <v>3420</v>
      </c>
      <c r="Y264" s="98">
        <f t="shared" si="77"/>
        <v>3190</v>
      </c>
      <c r="Z264" s="98">
        <f t="shared" si="77"/>
        <v>3085</v>
      </c>
      <c r="AA264" s="98">
        <f t="shared" si="77"/>
        <v>2965</v>
      </c>
      <c r="AB264" s="98">
        <f t="shared" si="77"/>
        <v>2855</v>
      </c>
      <c r="AC264" s="98">
        <f t="shared" si="77"/>
        <v>0</v>
      </c>
      <c r="AD264" s="98">
        <f t="shared" si="77"/>
        <v>0</v>
      </c>
      <c r="AE264" s="98">
        <f t="shared" si="77"/>
        <v>0</v>
      </c>
      <c r="AF264" s="98">
        <f t="shared" si="78"/>
        <v>0</v>
      </c>
      <c r="AG264" s="98">
        <f t="shared" si="78"/>
        <v>0</v>
      </c>
      <c r="AH264" s="98">
        <f t="shared" si="78"/>
        <v>0</v>
      </c>
      <c r="AI264" s="98">
        <f t="shared" si="78"/>
        <v>0</v>
      </c>
      <c r="AJ264" s="98">
        <f t="shared" si="78"/>
        <v>0</v>
      </c>
      <c r="AK264" s="98">
        <f t="shared" si="78"/>
        <v>0</v>
      </c>
      <c r="AL264" s="98">
        <f t="shared" si="78"/>
        <v>0</v>
      </c>
      <c r="AM264" s="98">
        <f t="shared" si="78"/>
        <v>0</v>
      </c>
      <c r="AN264" s="98">
        <f t="shared" si="78"/>
        <v>0</v>
      </c>
      <c r="AO264" s="98">
        <f t="shared" si="78"/>
        <v>0</v>
      </c>
      <c r="AP264" s="98">
        <f t="shared" si="78"/>
        <v>0</v>
      </c>
      <c r="AQ264" s="98">
        <f t="shared" si="78"/>
        <v>0</v>
      </c>
      <c r="AR264" s="98">
        <f t="shared" si="78"/>
        <v>0</v>
      </c>
      <c r="AS264" s="98">
        <f t="shared" si="78"/>
        <v>0</v>
      </c>
      <c r="AV264" s="101" t="str">
        <f t="shared" si="74"/>
        <v>1.141350</v>
      </c>
      <c r="AW264" s="101">
        <v>1350</v>
      </c>
      <c r="BF264" s="101" t="str">
        <f t="shared" si="75"/>
        <v>2.111350</v>
      </c>
      <c r="BG264" s="101">
        <v>1350</v>
      </c>
      <c r="BI264" s="92">
        <v>50</v>
      </c>
      <c r="BJ264" s="92">
        <v>70</v>
      </c>
      <c r="BK264" s="92">
        <v>105</v>
      </c>
      <c r="BL264" s="92">
        <v>155</v>
      </c>
      <c r="BM264" s="92">
        <v>255</v>
      </c>
      <c r="BN264" s="92">
        <v>430</v>
      </c>
      <c r="BP264" s="101" t="str">
        <f t="shared" si="76"/>
        <v>3.111350</v>
      </c>
      <c r="BQ264" s="101">
        <v>1350</v>
      </c>
    </row>
    <row r="265" spans="19:76">
      <c r="S265" s="99" t="s">
        <v>96</v>
      </c>
      <c r="T265" s="204" t="s">
        <v>96</v>
      </c>
      <c r="U265" s="98"/>
      <c r="V265" s="98">
        <f t="shared" ref="V265:AE272" si="79">VLOOKUP($T265&amp;TEXT(V$1,"0000"),$BP$4:$BX$435,8)</f>
        <v>3720</v>
      </c>
      <c r="W265" s="98">
        <f t="shared" si="79"/>
        <v>3010</v>
      </c>
      <c r="X265" s="98">
        <f t="shared" si="79"/>
        <v>2725</v>
      </c>
      <c r="Y265" s="98">
        <f t="shared" si="79"/>
        <v>2495</v>
      </c>
      <c r="Z265" s="98">
        <f t="shared" si="79"/>
        <v>2280</v>
      </c>
      <c r="AA265" s="98">
        <f t="shared" si="79"/>
        <v>2135</v>
      </c>
      <c r="AB265" s="98">
        <f t="shared" si="79"/>
        <v>2090</v>
      </c>
      <c r="AC265" s="98">
        <f t="shared" si="79"/>
        <v>2050</v>
      </c>
      <c r="AD265" s="98">
        <f t="shared" si="79"/>
        <v>0</v>
      </c>
      <c r="AE265" s="98">
        <f t="shared" si="79"/>
        <v>0</v>
      </c>
      <c r="AF265" s="98">
        <f t="shared" ref="AF265:AS272" si="80">VLOOKUP($T265&amp;TEXT(AF$1,"0000"),$BP$4:$BX$435,8)</f>
        <v>0</v>
      </c>
      <c r="AG265" s="98">
        <f t="shared" si="80"/>
        <v>0</v>
      </c>
      <c r="AH265" s="98">
        <f t="shared" si="80"/>
        <v>0</v>
      </c>
      <c r="AI265" s="98">
        <f t="shared" si="80"/>
        <v>0</v>
      </c>
      <c r="AJ265" s="98">
        <f t="shared" si="80"/>
        <v>0</v>
      </c>
      <c r="AK265" s="98">
        <f t="shared" si="80"/>
        <v>0</v>
      </c>
      <c r="AL265" s="98">
        <f t="shared" si="80"/>
        <v>0</v>
      </c>
      <c r="AM265" s="98">
        <f t="shared" si="80"/>
        <v>0</v>
      </c>
      <c r="AN265" s="98">
        <f t="shared" si="80"/>
        <v>0</v>
      </c>
      <c r="AO265" s="98">
        <f t="shared" si="80"/>
        <v>0</v>
      </c>
      <c r="AP265" s="98">
        <f t="shared" si="80"/>
        <v>0</v>
      </c>
      <c r="AQ265" s="98">
        <f t="shared" si="80"/>
        <v>0</v>
      </c>
      <c r="AR265" s="98">
        <f t="shared" si="80"/>
        <v>0</v>
      </c>
      <c r="AS265" s="98">
        <f t="shared" si="80"/>
        <v>0</v>
      </c>
      <c r="AV265" s="101" t="str">
        <f t="shared" si="74"/>
        <v>1.141400</v>
      </c>
      <c r="AW265" s="101">
        <v>1400</v>
      </c>
      <c r="BF265" s="101" t="str">
        <f t="shared" si="75"/>
        <v>2.111400</v>
      </c>
      <c r="BG265" s="101">
        <v>1400</v>
      </c>
      <c r="BI265" s="92">
        <v>40</v>
      </c>
      <c r="BJ265" s="92">
        <v>55</v>
      </c>
      <c r="BK265" s="92">
        <v>80</v>
      </c>
      <c r="BL265" s="92">
        <v>125</v>
      </c>
      <c r="BM265" s="92">
        <v>205</v>
      </c>
      <c r="BN265" s="92">
        <v>345</v>
      </c>
      <c r="BP265" s="101" t="str">
        <f t="shared" si="76"/>
        <v>3.111400</v>
      </c>
      <c r="BQ265" s="101">
        <v>1400</v>
      </c>
    </row>
    <row r="266" spans="19:76">
      <c r="S266" s="99" t="s">
        <v>97</v>
      </c>
      <c r="T266" s="204" t="s">
        <v>97</v>
      </c>
      <c r="U266" s="98"/>
      <c r="V266" s="98">
        <f t="shared" si="79"/>
        <v>3360</v>
      </c>
      <c r="W266" s="98">
        <f t="shared" si="79"/>
        <v>3110</v>
      </c>
      <c r="X266" s="98">
        <f t="shared" si="79"/>
        <v>2915</v>
      </c>
      <c r="Y266" s="98">
        <f t="shared" si="79"/>
        <v>2690</v>
      </c>
      <c r="Z266" s="98">
        <f t="shared" si="79"/>
        <v>2495</v>
      </c>
      <c r="AA266" s="98">
        <f t="shared" si="79"/>
        <v>2365</v>
      </c>
      <c r="AB266" s="98">
        <f t="shared" si="79"/>
        <v>2305</v>
      </c>
      <c r="AC266" s="98">
        <f t="shared" si="79"/>
        <v>2255</v>
      </c>
      <c r="AD266" s="98">
        <f t="shared" si="79"/>
        <v>2210</v>
      </c>
      <c r="AE266" s="98">
        <f t="shared" si="79"/>
        <v>2160</v>
      </c>
      <c r="AF266" s="98">
        <f t="shared" si="80"/>
        <v>0</v>
      </c>
      <c r="AG266" s="98">
        <f t="shared" si="80"/>
        <v>0</v>
      </c>
      <c r="AH266" s="98">
        <f t="shared" si="80"/>
        <v>0</v>
      </c>
      <c r="AI266" s="98">
        <f t="shared" si="80"/>
        <v>0</v>
      </c>
      <c r="AJ266" s="98">
        <f t="shared" si="80"/>
        <v>0</v>
      </c>
      <c r="AK266" s="98">
        <f t="shared" si="80"/>
        <v>0</v>
      </c>
      <c r="AL266" s="98">
        <f t="shared" si="80"/>
        <v>0</v>
      </c>
      <c r="AM266" s="98">
        <f t="shared" si="80"/>
        <v>0</v>
      </c>
      <c r="AN266" s="98">
        <f t="shared" si="80"/>
        <v>0</v>
      </c>
      <c r="AO266" s="98">
        <f t="shared" si="80"/>
        <v>0</v>
      </c>
      <c r="AP266" s="98">
        <f t="shared" si="80"/>
        <v>0</v>
      </c>
      <c r="AQ266" s="98">
        <f t="shared" si="80"/>
        <v>0</v>
      </c>
      <c r="AR266" s="98">
        <f t="shared" si="80"/>
        <v>0</v>
      </c>
      <c r="AS266" s="98">
        <f t="shared" si="80"/>
        <v>0</v>
      </c>
      <c r="AV266" s="101" t="str">
        <f t="shared" si="74"/>
        <v>1.141450</v>
      </c>
      <c r="AW266" s="101">
        <v>1450</v>
      </c>
      <c r="BF266" s="101" t="str">
        <f t="shared" si="75"/>
        <v>2.111450</v>
      </c>
      <c r="BG266" s="101">
        <v>1450</v>
      </c>
      <c r="BI266" s="92">
        <v>30</v>
      </c>
      <c r="BJ266" s="92">
        <v>40</v>
      </c>
      <c r="BK266" s="92">
        <v>60</v>
      </c>
      <c r="BL266" s="92">
        <v>95</v>
      </c>
      <c r="BM266" s="92">
        <v>155</v>
      </c>
      <c r="BN266" s="92">
        <v>255</v>
      </c>
      <c r="BP266" s="101" t="str">
        <f t="shared" si="76"/>
        <v>3.111450</v>
      </c>
      <c r="BQ266" s="101">
        <v>1450</v>
      </c>
    </row>
    <row r="267" spans="19:76">
      <c r="S267" s="99" t="s">
        <v>98</v>
      </c>
      <c r="T267" s="204" t="s">
        <v>98</v>
      </c>
      <c r="U267" s="98"/>
      <c r="V267" s="98">
        <f t="shared" si="79"/>
        <v>3750</v>
      </c>
      <c r="W267" s="98">
        <f t="shared" si="79"/>
        <v>3515</v>
      </c>
      <c r="X267" s="98">
        <f t="shared" si="79"/>
        <v>3325</v>
      </c>
      <c r="Y267" s="98">
        <f t="shared" si="79"/>
        <v>3145</v>
      </c>
      <c r="Z267" s="98">
        <f t="shared" si="79"/>
        <v>2975</v>
      </c>
      <c r="AA267" s="98">
        <f t="shared" si="79"/>
        <v>2810</v>
      </c>
      <c r="AB267" s="98">
        <f t="shared" si="79"/>
        <v>2750</v>
      </c>
      <c r="AC267" s="98">
        <f t="shared" si="79"/>
        <v>2700</v>
      </c>
      <c r="AD267" s="98">
        <f t="shared" si="79"/>
        <v>2660</v>
      </c>
      <c r="AE267" s="98">
        <f t="shared" si="79"/>
        <v>2540</v>
      </c>
      <c r="AF267" s="98">
        <f t="shared" si="80"/>
        <v>0</v>
      </c>
      <c r="AG267" s="98">
        <f t="shared" si="80"/>
        <v>0</v>
      </c>
      <c r="AH267" s="98">
        <f t="shared" si="80"/>
        <v>0</v>
      </c>
      <c r="AI267" s="98">
        <f t="shared" si="80"/>
        <v>0</v>
      </c>
      <c r="AJ267" s="98">
        <f t="shared" si="80"/>
        <v>0</v>
      </c>
      <c r="AK267" s="98">
        <f t="shared" si="80"/>
        <v>0</v>
      </c>
      <c r="AL267" s="98">
        <f t="shared" si="80"/>
        <v>0</v>
      </c>
      <c r="AM267" s="98">
        <f t="shared" si="80"/>
        <v>0</v>
      </c>
      <c r="AN267" s="98">
        <f t="shared" si="80"/>
        <v>0</v>
      </c>
      <c r="AO267" s="98">
        <f t="shared" si="80"/>
        <v>0</v>
      </c>
      <c r="AP267" s="98">
        <f t="shared" si="80"/>
        <v>0</v>
      </c>
      <c r="AQ267" s="98">
        <f t="shared" si="80"/>
        <v>0</v>
      </c>
      <c r="AR267" s="98">
        <f t="shared" si="80"/>
        <v>0</v>
      </c>
      <c r="AS267" s="98">
        <f t="shared" si="80"/>
        <v>0</v>
      </c>
      <c r="AV267" s="101" t="str">
        <f t="shared" si="74"/>
        <v>1.141500</v>
      </c>
      <c r="AW267" s="101">
        <v>1500</v>
      </c>
      <c r="BF267" s="101" t="str">
        <f t="shared" si="75"/>
        <v>2.111500</v>
      </c>
      <c r="BG267" s="101">
        <v>1500</v>
      </c>
      <c r="BI267" s="92">
        <v>25</v>
      </c>
      <c r="BJ267" s="92">
        <v>35</v>
      </c>
      <c r="BK267" s="92">
        <v>55</v>
      </c>
      <c r="BL267" s="92">
        <v>80</v>
      </c>
      <c r="BM267" s="92">
        <v>135</v>
      </c>
      <c r="BN267" s="92">
        <v>230</v>
      </c>
      <c r="BP267" s="101" t="str">
        <f t="shared" si="76"/>
        <v>3.111500</v>
      </c>
      <c r="BQ267" s="101">
        <v>1500</v>
      </c>
    </row>
    <row r="268" spans="19:76">
      <c r="S268" s="99" t="s">
        <v>99</v>
      </c>
      <c r="T268" s="204" t="s">
        <v>99</v>
      </c>
      <c r="U268" s="98"/>
      <c r="V268" s="98">
        <f t="shared" si="79"/>
        <v>3600</v>
      </c>
      <c r="W268" s="98">
        <f t="shared" si="79"/>
        <v>3240</v>
      </c>
      <c r="X268" s="98">
        <f t="shared" si="79"/>
        <v>3000</v>
      </c>
      <c r="Y268" s="98">
        <f t="shared" si="79"/>
        <v>2820</v>
      </c>
      <c r="Z268" s="98">
        <f t="shared" si="79"/>
        <v>2690</v>
      </c>
      <c r="AA268" s="98">
        <f t="shared" si="79"/>
        <v>2590</v>
      </c>
      <c r="AB268" s="98">
        <f t="shared" si="79"/>
        <v>2555</v>
      </c>
      <c r="AC268" s="98">
        <f t="shared" si="79"/>
        <v>2530</v>
      </c>
      <c r="AD268" s="98">
        <f t="shared" si="79"/>
        <v>2510</v>
      </c>
      <c r="AE268" s="98">
        <f t="shared" si="79"/>
        <v>2495</v>
      </c>
      <c r="AF268" s="98">
        <f t="shared" si="80"/>
        <v>2435</v>
      </c>
      <c r="AG268" s="98">
        <f t="shared" si="80"/>
        <v>2245</v>
      </c>
      <c r="AH268" s="98">
        <f t="shared" si="80"/>
        <v>1930</v>
      </c>
      <c r="AI268" s="98">
        <f t="shared" si="80"/>
        <v>1820</v>
      </c>
      <c r="AJ268" s="98">
        <f t="shared" si="80"/>
        <v>0</v>
      </c>
      <c r="AK268" s="98">
        <f t="shared" si="80"/>
        <v>0</v>
      </c>
      <c r="AL268" s="98">
        <f t="shared" si="80"/>
        <v>0</v>
      </c>
      <c r="AM268" s="98">
        <f t="shared" si="80"/>
        <v>0</v>
      </c>
      <c r="AN268" s="98">
        <f t="shared" si="80"/>
        <v>0</v>
      </c>
      <c r="AO268" s="98">
        <f t="shared" si="80"/>
        <v>0</v>
      </c>
      <c r="AP268" s="98">
        <f t="shared" si="80"/>
        <v>0</v>
      </c>
      <c r="AQ268" s="98">
        <f t="shared" si="80"/>
        <v>0</v>
      </c>
      <c r="AR268" s="98">
        <f t="shared" si="80"/>
        <v>0</v>
      </c>
      <c r="AS268" s="98">
        <f t="shared" si="80"/>
        <v>0</v>
      </c>
      <c r="AU268" s="92">
        <v>1.1499999999999999</v>
      </c>
      <c r="AV268" s="101" t="str">
        <f>AU$268&amp;TEXT(AW268,"0000")</f>
        <v>1.150100</v>
      </c>
      <c r="AW268" s="92">
        <v>100</v>
      </c>
      <c r="AX268" s="92">
        <v>290</v>
      </c>
      <c r="AY268" s="92">
        <v>750</v>
      </c>
      <c r="AZ268" s="202">
        <v>1000</v>
      </c>
      <c r="BA268" s="202">
        <v>1500</v>
      </c>
      <c r="BB268" s="202">
        <v>2250</v>
      </c>
      <c r="BC268" s="202">
        <v>3750</v>
      </c>
      <c r="BD268" s="202">
        <v>6250</v>
      </c>
      <c r="BE268" s="92">
        <v>2.12</v>
      </c>
      <c r="BF268" s="101" t="str">
        <f>BE$268&amp;TEXT(BG268,"0000")</f>
        <v>2.120100</v>
      </c>
      <c r="BG268" s="92">
        <v>100</v>
      </c>
      <c r="BH268" s="92">
        <v>260</v>
      </c>
      <c r="BI268" s="92">
        <v>670</v>
      </c>
      <c r="BJ268" s="92">
        <v>895</v>
      </c>
      <c r="BK268" s="202">
        <v>1345</v>
      </c>
      <c r="BL268" s="202">
        <v>2015</v>
      </c>
      <c r="BM268" s="202">
        <v>3360</v>
      </c>
      <c r="BN268" s="202">
        <v>5600</v>
      </c>
      <c r="BO268" s="92">
        <v>3.12</v>
      </c>
      <c r="BP268" s="101" t="str">
        <f>BO$268&amp;TEXT(BQ268,"0000")</f>
        <v>3.120100</v>
      </c>
      <c r="BQ268" s="92">
        <v>100</v>
      </c>
      <c r="BR268" s="92">
        <v>260</v>
      </c>
      <c r="BS268" s="92">
        <v>670</v>
      </c>
      <c r="BT268" s="92">
        <v>895</v>
      </c>
      <c r="BU268" s="202">
        <v>1345</v>
      </c>
      <c r="BV268" s="202">
        <v>2015</v>
      </c>
      <c r="BW268" s="202">
        <v>3360</v>
      </c>
      <c r="BX268" s="202">
        <v>5600</v>
      </c>
    </row>
    <row r="269" spans="19:76">
      <c r="S269" s="99" t="s">
        <v>100</v>
      </c>
      <c r="T269" s="204" t="s">
        <v>100</v>
      </c>
      <c r="U269" s="98"/>
      <c r="V269" s="98">
        <f t="shared" si="79"/>
        <v>3000</v>
      </c>
      <c r="W269" s="98">
        <f t="shared" si="79"/>
        <v>2760</v>
      </c>
      <c r="X269" s="98">
        <f t="shared" si="79"/>
        <v>2605</v>
      </c>
      <c r="Y269" s="98">
        <f t="shared" si="79"/>
        <v>2450</v>
      </c>
      <c r="Z269" s="98">
        <f t="shared" si="79"/>
        <v>2315</v>
      </c>
      <c r="AA269" s="98">
        <f t="shared" si="79"/>
        <v>2195</v>
      </c>
      <c r="AB269" s="98">
        <f t="shared" si="79"/>
        <v>2150</v>
      </c>
      <c r="AC269" s="98">
        <f t="shared" si="79"/>
        <v>2090</v>
      </c>
      <c r="AD269" s="98">
        <f t="shared" si="79"/>
        <v>2050</v>
      </c>
      <c r="AE269" s="98">
        <f t="shared" si="79"/>
        <v>2005</v>
      </c>
      <c r="AF269" s="98">
        <f t="shared" si="80"/>
        <v>1970</v>
      </c>
      <c r="AG269" s="98">
        <f t="shared" si="80"/>
        <v>1930</v>
      </c>
      <c r="AH269" s="98">
        <f t="shared" si="80"/>
        <v>1895</v>
      </c>
      <c r="AI269" s="98">
        <f t="shared" si="80"/>
        <v>1820</v>
      </c>
      <c r="AJ269" s="98">
        <f t="shared" si="80"/>
        <v>1750</v>
      </c>
      <c r="AK269" s="98">
        <f t="shared" si="80"/>
        <v>1610</v>
      </c>
      <c r="AL269" s="98">
        <f t="shared" si="80"/>
        <v>1370</v>
      </c>
      <c r="AM269" s="98">
        <f t="shared" si="80"/>
        <v>1030</v>
      </c>
      <c r="AN269" s="98">
        <f t="shared" si="80"/>
        <v>910</v>
      </c>
      <c r="AO269" s="98">
        <f t="shared" si="80"/>
        <v>685</v>
      </c>
      <c r="AP269" s="98">
        <f t="shared" si="80"/>
        <v>515</v>
      </c>
      <c r="AQ269" s="98">
        <f t="shared" si="80"/>
        <v>380</v>
      </c>
      <c r="AR269" s="98">
        <f t="shared" si="80"/>
        <v>290</v>
      </c>
      <c r="AS269" s="98">
        <f t="shared" si="80"/>
        <v>205</v>
      </c>
      <c r="AV269" s="101" t="str">
        <f t="shared" ref="AV269:AV291" si="81">AU$268&amp;TEXT(AW269,"0000")</f>
        <v>1.150200</v>
      </c>
      <c r="AW269" s="101">
        <v>200</v>
      </c>
      <c r="AX269" s="92">
        <v>260</v>
      </c>
      <c r="AY269" s="92">
        <v>750</v>
      </c>
      <c r="AZ269" s="202">
        <v>1000</v>
      </c>
      <c r="BA269" s="202">
        <v>1500</v>
      </c>
      <c r="BB269" s="202">
        <v>2250</v>
      </c>
      <c r="BC269" s="202">
        <v>3750</v>
      </c>
      <c r="BD269" s="202">
        <v>6250</v>
      </c>
      <c r="BF269" s="101" t="str">
        <f t="shared" ref="BF269:BF291" si="82">BE$268&amp;TEXT(BG269,"0000")</f>
        <v>2.120200</v>
      </c>
      <c r="BG269" s="101">
        <v>200</v>
      </c>
      <c r="BH269" s="92">
        <v>210</v>
      </c>
      <c r="BI269" s="92">
        <v>550</v>
      </c>
      <c r="BJ269" s="92">
        <v>735</v>
      </c>
      <c r="BK269" s="202">
        <v>1100</v>
      </c>
      <c r="BL269" s="202">
        <v>1650</v>
      </c>
      <c r="BM269" s="202">
        <v>2750</v>
      </c>
      <c r="BN269" s="202">
        <v>4580</v>
      </c>
      <c r="BP269" s="101" t="str">
        <f t="shared" ref="BP269:BP291" si="83">BO$268&amp;TEXT(BQ269,"0000")</f>
        <v>3.120200</v>
      </c>
      <c r="BQ269" s="101">
        <v>200</v>
      </c>
      <c r="BR269" s="92">
        <v>240</v>
      </c>
      <c r="BS269" s="92">
        <v>620</v>
      </c>
      <c r="BT269" s="92">
        <v>830</v>
      </c>
      <c r="BU269" s="202">
        <v>1245</v>
      </c>
      <c r="BV269" s="202">
        <v>1865</v>
      </c>
      <c r="BW269" s="202">
        <v>3110</v>
      </c>
      <c r="BX269" s="202">
        <v>5180</v>
      </c>
    </row>
    <row r="270" spans="19:76">
      <c r="S270" s="99" t="s">
        <v>101</v>
      </c>
      <c r="T270" s="204" t="s">
        <v>101</v>
      </c>
      <c r="U270" s="98"/>
      <c r="V270" s="98">
        <f t="shared" si="79"/>
        <v>3600</v>
      </c>
      <c r="W270" s="98">
        <f t="shared" si="79"/>
        <v>3180</v>
      </c>
      <c r="X270" s="98">
        <f t="shared" si="79"/>
        <v>2965</v>
      </c>
      <c r="Y270" s="98">
        <f t="shared" si="79"/>
        <v>2785</v>
      </c>
      <c r="Z270" s="98">
        <f t="shared" si="79"/>
        <v>2640</v>
      </c>
      <c r="AA270" s="98">
        <f t="shared" si="79"/>
        <v>2520</v>
      </c>
      <c r="AB270" s="98">
        <f t="shared" si="79"/>
        <v>2470</v>
      </c>
      <c r="AC270" s="98">
        <f t="shared" si="79"/>
        <v>2410</v>
      </c>
      <c r="AD270" s="98">
        <f t="shared" si="79"/>
        <v>2365</v>
      </c>
      <c r="AE270" s="98">
        <f t="shared" si="79"/>
        <v>2315</v>
      </c>
      <c r="AF270" s="98">
        <f t="shared" si="80"/>
        <v>2270</v>
      </c>
      <c r="AG270" s="98">
        <f t="shared" si="80"/>
        <v>2220</v>
      </c>
      <c r="AH270" s="98">
        <f t="shared" si="80"/>
        <v>1930</v>
      </c>
      <c r="AI270" s="98">
        <f t="shared" si="80"/>
        <v>1820</v>
      </c>
      <c r="AJ270" s="98">
        <f t="shared" si="80"/>
        <v>1715</v>
      </c>
      <c r="AK270" s="98">
        <f t="shared" si="80"/>
        <v>1335</v>
      </c>
      <c r="AL270" s="98">
        <f t="shared" si="80"/>
        <v>1030</v>
      </c>
      <c r="AM270" s="98">
        <f t="shared" si="80"/>
        <v>805</v>
      </c>
      <c r="AN270" s="98">
        <f t="shared" si="80"/>
        <v>650</v>
      </c>
      <c r="AO270" s="98">
        <f t="shared" si="80"/>
        <v>530</v>
      </c>
      <c r="AP270" s="98">
        <f t="shared" si="80"/>
        <v>410</v>
      </c>
      <c r="AQ270" s="98">
        <f t="shared" si="80"/>
        <v>310</v>
      </c>
      <c r="AR270" s="98">
        <f t="shared" si="80"/>
        <v>255</v>
      </c>
      <c r="AS270" s="98">
        <f t="shared" si="80"/>
        <v>190</v>
      </c>
      <c r="AV270" s="101" t="str">
        <f t="shared" si="81"/>
        <v>1.150300</v>
      </c>
      <c r="AW270" s="101">
        <v>300</v>
      </c>
      <c r="AX270" s="92">
        <v>230</v>
      </c>
      <c r="AY270" s="92">
        <v>730</v>
      </c>
      <c r="AZ270" s="92">
        <v>970</v>
      </c>
      <c r="BA270" s="202">
        <v>1455</v>
      </c>
      <c r="BB270" s="202">
        <v>2185</v>
      </c>
      <c r="BC270" s="202">
        <v>3640</v>
      </c>
      <c r="BD270" s="202">
        <v>6070</v>
      </c>
      <c r="BF270" s="101" t="str">
        <f t="shared" si="82"/>
        <v>2.120300</v>
      </c>
      <c r="BG270" s="101">
        <v>300</v>
      </c>
      <c r="BH270" s="92">
        <v>195</v>
      </c>
      <c r="BI270" s="92">
        <v>505</v>
      </c>
      <c r="BJ270" s="92">
        <v>675</v>
      </c>
      <c r="BK270" s="202">
        <v>1015</v>
      </c>
      <c r="BL270" s="202">
        <v>1520</v>
      </c>
      <c r="BM270" s="202">
        <v>2530</v>
      </c>
      <c r="BN270" s="202">
        <v>4220</v>
      </c>
      <c r="BP270" s="101" t="str">
        <f t="shared" si="83"/>
        <v>3.120300</v>
      </c>
      <c r="BQ270" s="101">
        <v>300</v>
      </c>
      <c r="BR270" s="92">
        <v>225</v>
      </c>
      <c r="BS270" s="92">
        <v>585</v>
      </c>
      <c r="BT270" s="92">
        <v>780</v>
      </c>
      <c r="BU270" s="202">
        <v>1165</v>
      </c>
      <c r="BV270" s="202">
        <v>1750</v>
      </c>
      <c r="BW270" s="202">
        <v>2915</v>
      </c>
      <c r="BX270" s="202">
        <v>4860</v>
      </c>
    </row>
    <row r="271" spans="19:76">
      <c r="S271" s="99" t="s">
        <v>213</v>
      </c>
      <c r="T271" s="204" t="s">
        <v>213</v>
      </c>
      <c r="U271" s="98"/>
      <c r="V271" s="98">
        <f t="shared" si="79"/>
        <v>3000</v>
      </c>
      <c r="W271" s="98">
        <f t="shared" si="79"/>
        <v>2590</v>
      </c>
      <c r="X271" s="98">
        <f t="shared" si="79"/>
        <v>2330</v>
      </c>
      <c r="Y271" s="98">
        <f t="shared" si="79"/>
        <v>2110</v>
      </c>
      <c r="Z271" s="98">
        <f t="shared" si="79"/>
        <v>1945</v>
      </c>
      <c r="AA271" s="98">
        <f t="shared" si="79"/>
        <v>1800</v>
      </c>
      <c r="AB271" s="98">
        <f t="shared" si="79"/>
        <v>0</v>
      </c>
      <c r="AC271" s="98">
        <f t="shared" si="79"/>
        <v>0</v>
      </c>
      <c r="AD271" s="98">
        <f t="shared" si="79"/>
        <v>0</v>
      </c>
      <c r="AE271" s="98">
        <f t="shared" si="79"/>
        <v>0</v>
      </c>
      <c r="AF271" s="98">
        <f t="shared" si="80"/>
        <v>0</v>
      </c>
      <c r="AG271" s="98">
        <f t="shared" si="80"/>
        <v>0</v>
      </c>
      <c r="AH271" s="98">
        <f t="shared" si="80"/>
        <v>0</v>
      </c>
      <c r="AI271" s="98">
        <f t="shared" si="80"/>
        <v>0</v>
      </c>
      <c r="AJ271" s="98">
        <f t="shared" si="80"/>
        <v>0</v>
      </c>
      <c r="AK271" s="98">
        <f t="shared" si="80"/>
        <v>0</v>
      </c>
      <c r="AL271" s="98">
        <f t="shared" si="80"/>
        <v>0</v>
      </c>
      <c r="AM271" s="98">
        <f t="shared" si="80"/>
        <v>0</v>
      </c>
      <c r="AN271" s="98">
        <f t="shared" si="80"/>
        <v>0</v>
      </c>
      <c r="AO271" s="98">
        <f t="shared" si="80"/>
        <v>0</v>
      </c>
      <c r="AP271" s="98">
        <f t="shared" si="80"/>
        <v>0</v>
      </c>
      <c r="AQ271" s="98">
        <f t="shared" si="80"/>
        <v>0</v>
      </c>
      <c r="AR271" s="98">
        <f t="shared" si="80"/>
        <v>0</v>
      </c>
      <c r="AS271" s="98">
        <f t="shared" si="80"/>
        <v>0</v>
      </c>
      <c r="AV271" s="101" t="str">
        <f t="shared" si="81"/>
        <v>1.150400</v>
      </c>
      <c r="AW271" s="101">
        <v>400</v>
      </c>
      <c r="AX271" s="92">
        <v>200</v>
      </c>
      <c r="AY271" s="92">
        <v>705</v>
      </c>
      <c r="AZ271" s="92">
        <v>940</v>
      </c>
      <c r="BA271" s="202">
        <v>1410</v>
      </c>
      <c r="BB271" s="202">
        <v>2115</v>
      </c>
      <c r="BC271" s="202">
        <v>3530</v>
      </c>
      <c r="BD271" s="202">
        <v>5880</v>
      </c>
      <c r="BF271" s="101" t="str">
        <f t="shared" si="82"/>
        <v>2.120400</v>
      </c>
      <c r="BG271" s="101">
        <v>400</v>
      </c>
      <c r="BH271" s="92">
        <v>185</v>
      </c>
      <c r="BI271" s="92">
        <v>485</v>
      </c>
      <c r="BJ271" s="92">
        <v>645</v>
      </c>
      <c r="BK271" s="92">
        <v>970</v>
      </c>
      <c r="BL271" s="202">
        <v>1455</v>
      </c>
      <c r="BM271" s="202">
        <v>2425</v>
      </c>
      <c r="BN271" s="202">
        <v>4040</v>
      </c>
      <c r="BP271" s="101" t="str">
        <f t="shared" si="83"/>
        <v>3.120400</v>
      </c>
      <c r="BQ271" s="101">
        <v>400</v>
      </c>
      <c r="BR271" s="92">
        <v>200</v>
      </c>
      <c r="BS271" s="92">
        <v>540</v>
      </c>
      <c r="BT271" s="92">
        <v>715</v>
      </c>
      <c r="BU271" s="202">
        <v>1075</v>
      </c>
      <c r="BV271" s="202">
        <v>1615</v>
      </c>
      <c r="BW271" s="202">
        <v>2690</v>
      </c>
      <c r="BX271" s="202">
        <v>4480</v>
      </c>
    </row>
    <row r="272" spans="19:76">
      <c r="S272" s="99" t="s">
        <v>214</v>
      </c>
      <c r="T272" s="204" t="s">
        <v>214</v>
      </c>
      <c r="U272" s="98"/>
      <c r="V272" s="98">
        <f t="shared" si="79"/>
        <v>3750</v>
      </c>
      <c r="W272" s="98">
        <f t="shared" si="79"/>
        <v>3750</v>
      </c>
      <c r="X272" s="98">
        <f t="shared" si="79"/>
        <v>3640</v>
      </c>
      <c r="Y272" s="98">
        <f t="shared" si="79"/>
        <v>3530</v>
      </c>
      <c r="Z272" s="98">
        <f t="shared" si="79"/>
        <v>3325</v>
      </c>
      <c r="AA272" s="98">
        <f t="shared" si="79"/>
        <v>3025</v>
      </c>
      <c r="AB272" s="98">
        <f t="shared" si="79"/>
        <v>2940</v>
      </c>
      <c r="AC272" s="98">
        <f t="shared" si="79"/>
        <v>2840</v>
      </c>
      <c r="AD272" s="98">
        <f t="shared" si="79"/>
        <v>2660</v>
      </c>
      <c r="AE272" s="98">
        <f t="shared" si="79"/>
        <v>2540</v>
      </c>
      <c r="AF272" s="98">
        <f t="shared" si="80"/>
        <v>2435</v>
      </c>
      <c r="AG272" s="98">
        <f t="shared" si="80"/>
        <v>2245</v>
      </c>
      <c r="AH272" s="98">
        <f t="shared" si="80"/>
        <v>1930</v>
      </c>
      <c r="AI272" s="98">
        <f t="shared" si="80"/>
        <v>1820</v>
      </c>
      <c r="AJ272" s="98">
        <f t="shared" si="80"/>
        <v>1800</v>
      </c>
      <c r="AK272" s="98">
        <f t="shared" si="80"/>
        <v>1610</v>
      </c>
      <c r="AL272" s="98">
        <f t="shared" si="80"/>
        <v>1370</v>
      </c>
      <c r="AM272" s="98">
        <f t="shared" si="80"/>
        <v>1030</v>
      </c>
      <c r="AN272" s="98">
        <f t="shared" si="80"/>
        <v>910</v>
      </c>
      <c r="AO272" s="98">
        <f t="shared" si="80"/>
        <v>685</v>
      </c>
      <c r="AP272" s="98">
        <f t="shared" si="80"/>
        <v>515</v>
      </c>
      <c r="AQ272" s="98">
        <f t="shared" si="80"/>
        <v>380</v>
      </c>
      <c r="AR272" s="98">
        <f t="shared" si="80"/>
        <v>290</v>
      </c>
      <c r="AS272" s="98">
        <f t="shared" si="80"/>
        <v>205</v>
      </c>
      <c r="AV272" s="101" t="str">
        <f t="shared" si="81"/>
        <v>1.150500</v>
      </c>
      <c r="AW272" s="101">
        <v>500</v>
      </c>
      <c r="AX272" s="92">
        <v>170</v>
      </c>
      <c r="AY272" s="92">
        <v>665</v>
      </c>
      <c r="AZ272" s="92">
        <v>885</v>
      </c>
      <c r="BA272" s="202">
        <v>1330</v>
      </c>
      <c r="BB272" s="202">
        <v>1995</v>
      </c>
      <c r="BC272" s="202">
        <v>3325</v>
      </c>
      <c r="BD272" s="202">
        <v>5540</v>
      </c>
      <c r="BF272" s="101" t="str">
        <f t="shared" si="82"/>
        <v>2.120500</v>
      </c>
      <c r="BG272" s="101">
        <v>500</v>
      </c>
      <c r="BH272" s="92">
        <v>170</v>
      </c>
      <c r="BI272" s="92">
        <v>470</v>
      </c>
      <c r="BJ272" s="92">
        <v>625</v>
      </c>
      <c r="BK272" s="92">
        <v>940</v>
      </c>
      <c r="BL272" s="202">
        <v>1410</v>
      </c>
      <c r="BM272" s="202">
        <v>2350</v>
      </c>
      <c r="BN272" s="202">
        <v>3920</v>
      </c>
      <c r="BP272" s="101" t="str">
        <f t="shared" si="83"/>
        <v>3.120500</v>
      </c>
      <c r="BQ272" s="101">
        <v>500</v>
      </c>
      <c r="BR272" s="92">
        <v>170</v>
      </c>
      <c r="BS272" s="92">
        <v>500</v>
      </c>
      <c r="BT272" s="92">
        <v>665</v>
      </c>
      <c r="BU272" s="202">
        <v>1000</v>
      </c>
      <c r="BV272" s="202">
        <v>1500</v>
      </c>
      <c r="BW272" s="202">
        <v>2495</v>
      </c>
      <c r="BX272" s="202">
        <v>4160</v>
      </c>
    </row>
    <row r="273" spans="19:76">
      <c r="S273" s="99"/>
      <c r="T273" s="98"/>
      <c r="U273" s="98"/>
      <c r="V273" s="117">
        <v>2500</v>
      </c>
      <c r="W273" s="98">
        <v>100</v>
      </c>
      <c r="X273" s="98">
        <v>1500</v>
      </c>
      <c r="Y273" s="98"/>
      <c r="Z273" s="98"/>
      <c r="AA273" s="98"/>
      <c r="AB273" s="98"/>
      <c r="AC273" s="98"/>
      <c r="AD273" s="98"/>
      <c r="AE273" s="98"/>
      <c r="AF273" s="98"/>
      <c r="AG273" s="98"/>
      <c r="AH273" s="98"/>
      <c r="AI273" s="98"/>
      <c r="AJ273" s="98"/>
      <c r="AK273" s="98"/>
      <c r="AL273" s="98"/>
      <c r="AM273" s="98"/>
      <c r="AN273" s="98"/>
      <c r="AO273" s="98"/>
      <c r="AP273" s="98"/>
      <c r="AQ273" s="98"/>
      <c r="AR273" s="98"/>
      <c r="AS273" s="98"/>
      <c r="AV273" s="101" t="str">
        <f t="shared" si="81"/>
        <v>1.150600</v>
      </c>
      <c r="AW273" s="101">
        <v>600</v>
      </c>
      <c r="AX273" s="92">
        <v>140</v>
      </c>
      <c r="AY273" s="92">
        <v>605</v>
      </c>
      <c r="AZ273" s="92">
        <v>805</v>
      </c>
      <c r="BA273" s="202">
        <v>1210</v>
      </c>
      <c r="BB273" s="202">
        <v>1815</v>
      </c>
      <c r="BC273" s="202">
        <v>3025</v>
      </c>
      <c r="BD273" s="202">
        <v>5040</v>
      </c>
      <c r="BF273" s="101" t="str">
        <f t="shared" si="82"/>
        <v>2.120600</v>
      </c>
      <c r="BG273" s="101">
        <v>600</v>
      </c>
      <c r="BH273" s="92">
        <v>140</v>
      </c>
      <c r="BI273" s="92">
        <v>455</v>
      </c>
      <c r="BJ273" s="92">
        <v>610</v>
      </c>
      <c r="BK273" s="92">
        <v>910</v>
      </c>
      <c r="BL273" s="202">
        <v>1370</v>
      </c>
      <c r="BM273" s="202">
        <v>2280</v>
      </c>
      <c r="BN273" s="202">
        <v>3800</v>
      </c>
      <c r="BP273" s="101" t="str">
        <f t="shared" si="83"/>
        <v>3.120600</v>
      </c>
      <c r="BQ273" s="101">
        <v>600</v>
      </c>
      <c r="BR273" s="92">
        <v>140</v>
      </c>
      <c r="BS273" s="92">
        <v>475</v>
      </c>
      <c r="BT273" s="92">
        <v>630</v>
      </c>
      <c r="BU273" s="92">
        <v>945</v>
      </c>
      <c r="BV273" s="202">
        <v>1420</v>
      </c>
      <c r="BW273" s="202">
        <v>2365</v>
      </c>
      <c r="BX273" s="202">
        <v>3940</v>
      </c>
    </row>
    <row r="274" spans="19:76">
      <c r="S274" s="99">
        <v>1.1000000000000001</v>
      </c>
      <c r="T274" s="204" t="s">
        <v>192</v>
      </c>
      <c r="U274" s="98"/>
      <c r="V274" s="98">
        <f t="shared" ref="V274:AE287" si="84">VLOOKUP($T274&amp;TEXT(V$1,"0000"),$AV$4:$BD$339,9)</f>
        <v>6170</v>
      </c>
      <c r="W274" s="98">
        <f t="shared" si="84"/>
        <v>5655</v>
      </c>
      <c r="X274" s="98">
        <f t="shared" si="84"/>
        <v>5450</v>
      </c>
      <c r="Y274" s="98">
        <f t="shared" si="84"/>
        <v>5280</v>
      </c>
      <c r="Z274" s="98">
        <f t="shared" si="84"/>
        <v>5025</v>
      </c>
      <c r="AA274" s="98">
        <f t="shared" si="84"/>
        <v>4730</v>
      </c>
      <c r="AB274" s="98">
        <f t="shared" si="84"/>
        <v>4575</v>
      </c>
      <c r="AC274" s="98">
        <f t="shared" si="84"/>
        <v>4425</v>
      </c>
      <c r="AD274" s="98">
        <f t="shared" si="84"/>
        <v>4230</v>
      </c>
      <c r="AE274" s="98">
        <f t="shared" si="84"/>
        <v>3430</v>
      </c>
      <c r="AF274" s="98">
        <f t="shared" ref="AF274:AS287" si="85">VLOOKUP($T274&amp;TEXT(AF$1,"0000"),$AV$4:$BD$339,9)</f>
        <v>2655</v>
      </c>
      <c r="AG274" s="98">
        <f t="shared" si="85"/>
        <v>1915</v>
      </c>
      <c r="AH274" s="98">
        <f t="shared" si="85"/>
        <v>1145</v>
      </c>
      <c r="AI274" s="98">
        <f t="shared" si="85"/>
        <v>715</v>
      </c>
      <c r="AJ274" s="98">
        <f t="shared" si="85"/>
        <v>0</v>
      </c>
      <c r="AK274" s="98">
        <f t="shared" si="85"/>
        <v>0</v>
      </c>
      <c r="AL274" s="98">
        <f t="shared" si="85"/>
        <v>0</v>
      </c>
      <c r="AM274" s="98">
        <f t="shared" si="85"/>
        <v>0</v>
      </c>
      <c r="AN274" s="98">
        <f t="shared" si="85"/>
        <v>0</v>
      </c>
      <c r="AO274" s="98">
        <f t="shared" si="85"/>
        <v>0</v>
      </c>
      <c r="AP274" s="98">
        <f t="shared" si="85"/>
        <v>0</v>
      </c>
      <c r="AQ274" s="98">
        <f t="shared" si="85"/>
        <v>0</v>
      </c>
      <c r="AR274" s="98">
        <f t="shared" si="85"/>
        <v>0</v>
      </c>
      <c r="AS274" s="98">
        <f t="shared" si="85"/>
        <v>0</v>
      </c>
      <c r="AV274" s="101" t="str">
        <f t="shared" si="81"/>
        <v>1.150650</v>
      </c>
      <c r="AW274" s="101">
        <v>650</v>
      </c>
      <c r="AX274" s="92">
        <v>125</v>
      </c>
      <c r="AY274" s="92">
        <v>590</v>
      </c>
      <c r="AZ274" s="92">
        <v>785</v>
      </c>
      <c r="BA274" s="202">
        <v>1175</v>
      </c>
      <c r="BB274" s="202">
        <v>1765</v>
      </c>
      <c r="BC274" s="202">
        <v>2940</v>
      </c>
      <c r="BD274" s="202">
        <v>4905</v>
      </c>
      <c r="BF274" s="101" t="str">
        <f t="shared" si="82"/>
        <v>2.120650</v>
      </c>
      <c r="BG274" s="101">
        <v>650</v>
      </c>
      <c r="BH274" s="92">
        <v>125</v>
      </c>
      <c r="BI274" s="92">
        <v>445</v>
      </c>
      <c r="BJ274" s="92">
        <v>595</v>
      </c>
      <c r="BK274" s="92">
        <v>895</v>
      </c>
      <c r="BL274" s="202">
        <v>1340</v>
      </c>
      <c r="BM274" s="202">
        <v>2230</v>
      </c>
      <c r="BN274" s="202">
        <v>3720</v>
      </c>
      <c r="BP274" s="101" t="str">
        <f t="shared" si="83"/>
        <v>3.120650</v>
      </c>
      <c r="BQ274" s="101">
        <v>650</v>
      </c>
      <c r="BR274" s="92">
        <v>125</v>
      </c>
      <c r="BS274" s="92">
        <v>460</v>
      </c>
      <c r="BT274" s="92">
        <v>615</v>
      </c>
      <c r="BU274" s="92">
        <v>920</v>
      </c>
      <c r="BV274" s="202">
        <v>1380</v>
      </c>
      <c r="BW274" s="202">
        <v>2305</v>
      </c>
      <c r="BX274" s="202">
        <v>3840</v>
      </c>
    </row>
    <row r="275" spans="19:76">
      <c r="S275" s="99" t="s">
        <v>70</v>
      </c>
      <c r="T275" s="204" t="s">
        <v>193</v>
      </c>
      <c r="U275" s="98"/>
      <c r="V275" s="98">
        <f t="shared" si="84"/>
        <v>6250</v>
      </c>
      <c r="W275" s="98">
        <f t="shared" si="84"/>
        <v>6250</v>
      </c>
      <c r="X275" s="98">
        <f t="shared" si="84"/>
        <v>6070</v>
      </c>
      <c r="Y275" s="98">
        <f t="shared" si="84"/>
        <v>5865</v>
      </c>
      <c r="Z275" s="98">
        <f t="shared" si="84"/>
        <v>5540</v>
      </c>
      <c r="AA275" s="98">
        <f t="shared" si="84"/>
        <v>5040</v>
      </c>
      <c r="AB275" s="98">
        <f t="shared" si="84"/>
        <v>4905</v>
      </c>
      <c r="AC275" s="98">
        <f t="shared" si="84"/>
        <v>4630</v>
      </c>
      <c r="AD275" s="98">
        <f t="shared" si="84"/>
        <v>4230</v>
      </c>
      <c r="AE275" s="98">
        <f t="shared" si="84"/>
        <v>3430</v>
      </c>
      <c r="AF275" s="98">
        <f t="shared" si="85"/>
        <v>2655</v>
      </c>
      <c r="AG275" s="98">
        <f t="shared" si="85"/>
        <v>1855</v>
      </c>
      <c r="AH275" s="98">
        <f t="shared" si="85"/>
        <v>1145</v>
      </c>
      <c r="AI275" s="98">
        <f t="shared" si="85"/>
        <v>715</v>
      </c>
      <c r="AJ275" s="98">
        <f t="shared" si="85"/>
        <v>0</v>
      </c>
      <c r="AK275" s="98">
        <f t="shared" si="85"/>
        <v>0</v>
      </c>
      <c r="AL275" s="98">
        <f t="shared" si="85"/>
        <v>0</v>
      </c>
      <c r="AM275" s="98">
        <f t="shared" si="85"/>
        <v>0</v>
      </c>
      <c r="AN275" s="98">
        <f t="shared" si="85"/>
        <v>0</v>
      </c>
      <c r="AO275" s="98">
        <f t="shared" si="85"/>
        <v>0</v>
      </c>
      <c r="AP275" s="98">
        <f t="shared" si="85"/>
        <v>0</v>
      </c>
      <c r="AQ275" s="98">
        <f t="shared" si="85"/>
        <v>0</v>
      </c>
      <c r="AR275" s="98">
        <f t="shared" si="85"/>
        <v>0</v>
      </c>
      <c r="AS275" s="98">
        <f t="shared" si="85"/>
        <v>0</v>
      </c>
      <c r="AV275" s="101" t="str">
        <f t="shared" si="81"/>
        <v>1.150700</v>
      </c>
      <c r="AW275" s="101">
        <v>700</v>
      </c>
      <c r="AX275" s="92">
        <v>110</v>
      </c>
      <c r="AY275" s="92">
        <v>570</v>
      </c>
      <c r="AZ275" s="92">
        <v>755</v>
      </c>
      <c r="BA275" s="202">
        <v>1135</v>
      </c>
      <c r="BB275" s="202">
        <v>1705</v>
      </c>
      <c r="BC275" s="202">
        <v>2840</v>
      </c>
      <c r="BD275" s="202">
        <v>4730</v>
      </c>
      <c r="BF275" s="101" t="str">
        <f t="shared" si="82"/>
        <v>2.120700</v>
      </c>
      <c r="BG275" s="101">
        <v>700</v>
      </c>
      <c r="BH275" s="92">
        <v>110</v>
      </c>
      <c r="BI275" s="92">
        <v>435</v>
      </c>
      <c r="BJ275" s="92">
        <v>580</v>
      </c>
      <c r="BK275" s="92">
        <v>870</v>
      </c>
      <c r="BL275" s="202">
        <v>1305</v>
      </c>
      <c r="BM275" s="202">
        <v>2170</v>
      </c>
      <c r="BN275" s="202">
        <v>3620</v>
      </c>
      <c r="BP275" s="101" t="str">
        <f t="shared" si="83"/>
        <v>3.120700</v>
      </c>
      <c r="BQ275" s="101">
        <v>700</v>
      </c>
      <c r="BR275" s="92">
        <v>110</v>
      </c>
      <c r="BS275" s="92">
        <v>450</v>
      </c>
      <c r="BT275" s="92">
        <v>600</v>
      </c>
      <c r="BU275" s="92">
        <v>900</v>
      </c>
      <c r="BV275" s="202">
        <v>1355</v>
      </c>
      <c r="BW275" s="202">
        <v>2255</v>
      </c>
      <c r="BX275" s="202">
        <v>3760</v>
      </c>
    </row>
    <row r="276" spans="19:76">
      <c r="S276" s="99" t="s">
        <v>71</v>
      </c>
      <c r="T276" s="204" t="s">
        <v>194</v>
      </c>
      <c r="U276" s="98"/>
      <c r="V276" s="98">
        <f t="shared" si="84"/>
        <v>5805</v>
      </c>
      <c r="W276" s="98">
        <f t="shared" si="84"/>
        <v>5505</v>
      </c>
      <c r="X276" s="98">
        <f t="shared" si="84"/>
        <v>5315</v>
      </c>
      <c r="Y276" s="98">
        <f t="shared" si="84"/>
        <v>5125</v>
      </c>
      <c r="Z276" s="98">
        <f t="shared" si="84"/>
        <v>4885</v>
      </c>
      <c r="AA276" s="98">
        <f t="shared" si="84"/>
        <v>4595</v>
      </c>
      <c r="AB276" s="98">
        <f t="shared" si="84"/>
        <v>4440</v>
      </c>
      <c r="AC276" s="98">
        <f t="shared" si="84"/>
        <v>4270</v>
      </c>
      <c r="AD276" s="98">
        <f t="shared" si="84"/>
        <v>3970</v>
      </c>
      <c r="AE276" s="98">
        <f t="shared" si="84"/>
        <v>3255</v>
      </c>
      <c r="AF276" s="98">
        <f t="shared" si="85"/>
        <v>2485</v>
      </c>
      <c r="AG276" s="98">
        <f t="shared" si="85"/>
        <v>1685</v>
      </c>
      <c r="AH276" s="98">
        <f t="shared" si="85"/>
        <v>1145</v>
      </c>
      <c r="AI276" s="98">
        <f t="shared" si="85"/>
        <v>715</v>
      </c>
      <c r="AJ276" s="98">
        <f t="shared" si="85"/>
        <v>0</v>
      </c>
      <c r="AK276" s="98">
        <f t="shared" si="85"/>
        <v>0</v>
      </c>
      <c r="AL276" s="98">
        <f t="shared" si="85"/>
        <v>0</v>
      </c>
      <c r="AM276" s="98">
        <f t="shared" si="85"/>
        <v>0</v>
      </c>
      <c r="AN276" s="98">
        <f t="shared" si="85"/>
        <v>0</v>
      </c>
      <c r="AO276" s="98">
        <f t="shared" si="85"/>
        <v>0</v>
      </c>
      <c r="AP276" s="98">
        <f t="shared" si="85"/>
        <v>0</v>
      </c>
      <c r="AQ276" s="98">
        <f t="shared" si="85"/>
        <v>0</v>
      </c>
      <c r="AR276" s="98">
        <f t="shared" si="85"/>
        <v>0</v>
      </c>
      <c r="AS276" s="98">
        <f t="shared" si="85"/>
        <v>0</v>
      </c>
      <c r="AV276" s="101" t="str">
        <f t="shared" si="81"/>
        <v>1.150750</v>
      </c>
      <c r="AW276" s="101">
        <v>750</v>
      </c>
      <c r="AX276" s="92">
        <v>95</v>
      </c>
      <c r="AY276" s="92">
        <v>530</v>
      </c>
      <c r="AZ276" s="92">
        <v>710</v>
      </c>
      <c r="BA276" s="202">
        <v>1065</v>
      </c>
      <c r="BB276" s="202">
        <v>1595</v>
      </c>
      <c r="BC276" s="202">
        <v>2660</v>
      </c>
      <c r="BD276" s="202">
        <v>4430</v>
      </c>
      <c r="BF276" s="101" t="str">
        <f t="shared" si="82"/>
        <v>2.120750</v>
      </c>
      <c r="BG276" s="101">
        <v>750</v>
      </c>
      <c r="BH276" s="92">
        <v>95</v>
      </c>
      <c r="BI276" s="92">
        <v>420</v>
      </c>
      <c r="BJ276" s="92">
        <v>565</v>
      </c>
      <c r="BK276" s="92">
        <v>845</v>
      </c>
      <c r="BL276" s="202">
        <v>1265</v>
      </c>
      <c r="BM276" s="202">
        <v>2110</v>
      </c>
      <c r="BN276" s="202">
        <v>3520</v>
      </c>
      <c r="BP276" s="101" t="str">
        <f t="shared" si="83"/>
        <v>3.120750</v>
      </c>
      <c r="BQ276" s="101">
        <v>750</v>
      </c>
      <c r="BR276" s="92">
        <v>95</v>
      </c>
      <c r="BS276" s="92">
        <v>440</v>
      </c>
      <c r="BT276" s="92">
        <v>590</v>
      </c>
      <c r="BU276" s="92">
        <v>885</v>
      </c>
      <c r="BV276" s="202">
        <v>1325</v>
      </c>
      <c r="BW276" s="202">
        <v>2210</v>
      </c>
      <c r="BX276" s="202">
        <v>3680</v>
      </c>
    </row>
    <row r="277" spans="19:76">
      <c r="S277" s="99" t="s">
        <v>72</v>
      </c>
      <c r="T277" s="204" t="s">
        <v>195</v>
      </c>
      <c r="U277" s="98"/>
      <c r="V277" s="98">
        <f t="shared" si="84"/>
        <v>5145</v>
      </c>
      <c r="W277" s="98">
        <f t="shared" si="84"/>
        <v>4715</v>
      </c>
      <c r="X277" s="98">
        <f t="shared" si="84"/>
        <v>4545</v>
      </c>
      <c r="Y277" s="98">
        <f t="shared" si="84"/>
        <v>4390</v>
      </c>
      <c r="Z277" s="98">
        <f t="shared" si="84"/>
        <v>4185</v>
      </c>
      <c r="AA277" s="98">
        <f t="shared" si="84"/>
        <v>3945</v>
      </c>
      <c r="AB277" s="98">
        <f t="shared" si="84"/>
        <v>3805</v>
      </c>
      <c r="AC277" s="98">
        <f t="shared" si="84"/>
        <v>3685</v>
      </c>
      <c r="AD277" s="98">
        <f t="shared" si="84"/>
        <v>3565</v>
      </c>
      <c r="AE277" s="98">
        <f t="shared" si="84"/>
        <v>3085</v>
      </c>
      <c r="AF277" s="98">
        <f t="shared" si="85"/>
        <v>2485</v>
      </c>
      <c r="AG277" s="98">
        <f t="shared" si="85"/>
        <v>1430</v>
      </c>
      <c r="AH277" s="98">
        <f t="shared" si="85"/>
        <v>1145</v>
      </c>
      <c r="AI277" s="98">
        <f t="shared" si="85"/>
        <v>715</v>
      </c>
      <c r="AJ277" s="98">
        <f t="shared" si="85"/>
        <v>0</v>
      </c>
      <c r="AK277" s="98">
        <f t="shared" si="85"/>
        <v>0</v>
      </c>
      <c r="AL277" s="98">
        <f t="shared" si="85"/>
        <v>0</v>
      </c>
      <c r="AM277" s="98">
        <f t="shared" si="85"/>
        <v>0</v>
      </c>
      <c r="AN277" s="98">
        <f t="shared" si="85"/>
        <v>0</v>
      </c>
      <c r="AO277" s="98">
        <f t="shared" si="85"/>
        <v>0</v>
      </c>
      <c r="AP277" s="98">
        <f t="shared" si="85"/>
        <v>0</v>
      </c>
      <c r="AQ277" s="98">
        <f t="shared" si="85"/>
        <v>0</v>
      </c>
      <c r="AR277" s="98">
        <f t="shared" si="85"/>
        <v>0</v>
      </c>
      <c r="AS277" s="98">
        <f t="shared" si="85"/>
        <v>0</v>
      </c>
      <c r="AV277" s="101" t="str">
        <f t="shared" si="81"/>
        <v>1.150800</v>
      </c>
      <c r="AW277" s="101">
        <v>800</v>
      </c>
      <c r="AX277" s="92">
        <v>80</v>
      </c>
      <c r="AY277" s="92">
        <v>510</v>
      </c>
      <c r="AZ277" s="92">
        <v>675</v>
      </c>
      <c r="BA277" s="202">
        <v>1015</v>
      </c>
      <c r="BB277" s="202">
        <v>1525</v>
      </c>
      <c r="BC277" s="202">
        <v>2540</v>
      </c>
      <c r="BD277" s="202">
        <v>4230</v>
      </c>
      <c r="BF277" s="101" t="str">
        <f t="shared" si="82"/>
        <v>2.120800</v>
      </c>
      <c r="BG277" s="101">
        <v>800</v>
      </c>
      <c r="BH277" s="92">
        <v>80</v>
      </c>
      <c r="BI277" s="92">
        <v>410</v>
      </c>
      <c r="BJ277" s="92">
        <v>545</v>
      </c>
      <c r="BK277" s="92">
        <v>820</v>
      </c>
      <c r="BL277" s="202">
        <v>1230</v>
      </c>
      <c r="BM277" s="202">
        <v>2050</v>
      </c>
      <c r="BN277" s="202">
        <v>3420</v>
      </c>
      <c r="BP277" s="101" t="str">
        <f t="shared" si="83"/>
        <v>3.120800</v>
      </c>
      <c r="BQ277" s="101">
        <v>800</v>
      </c>
      <c r="BR277" s="92">
        <v>80</v>
      </c>
      <c r="BS277" s="92">
        <v>430</v>
      </c>
      <c r="BT277" s="92">
        <v>575</v>
      </c>
      <c r="BU277" s="92">
        <v>865</v>
      </c>
      <c r="BV277" s="202">
        <v>1295</v>
      </c>
      <c r="BW277" s="202">
        <v>2160</v>
      </c>
      <c r="BX277" s="202">
        <v>3600</v>
      </c>
    </row>
    <row r="278" spans="19:76">
      <c r="S278" s="99" t="s">
        <v>73</v>
      </c>
      <c r="T278" s="204" t="s">
        <v>196</v>
      </c>
      <c r="U278" s="98"/>
      <c r="V278" s="98">
        <f t="shared" si="84"/>
        <v>5805</v>
      </c>
      <c r="W278" s="98">
        <f t="shared" si="84"/>
        <v>5805</v>
      </c>
      <c r="X278" s="98">
        <f t="shared" si="84"/>
        <v>5725</v>
      </c>
      <c r="Y278" s="98">
        <f t="shared" si="84"/>
        <v>5520</v>
      </c>
      <c r="Z278" s="98">
        <f t="shared" si="84"/>
        <v>5350</v>
      </c>
      <c r="AA278" s="98">
        <f t="shared" si="84"/>
        <v>5040</v>
      </c>
      <c r="AB278" s="98">
        <f t="shared" si="84"/>
        <v>4905</v>
      </c>
      <c r="AC278" s="98">
        <f t="shared" si="84"/>
        <v>4730</v>
      </c>
      <c r="AD278" s="98">
        <f t="shared" si="84"/>
        <v>4430</v>
      </c>
      <c r="AE278" s="98">
        <f t="shared" si="84"/>
        <v>4230</v>
      </c>
      <c r="AF278" s="98">
        <f t="shared" si="85"/>
        <v>4060</v>
      </c>
      <c r="AG278" s="98">
        <f t="shared" si="85"/>
        <v>3745</v>
      </c>
      <c r="AH278" s="98">
        <f t="shared" si="85"/>
        <v>2345</v>
      </c>
      <c r="AI278" s="98">
        <f t="shared" si="85"/>
        <v>1370</v>
      </c>
      <c r="AJ278" s="98">
        <f t="shared" si="85"/>
        <v>0</v>
      </c>
      <c r="AK278" s="98">
        <f t="shared" si="85"/>
        <v>0</v>
      </c>
      <c r="AL278" s="98">
        <f t="shared" si="85"/>
        <v>0</v>
      </c>
      <c r="AM278" s="98">
        <f t="shared" si="85"/>
        <v>0</v>
      </c>
      <c r="AN278" s="98">
        <f t="shared" si="85"/>
        <v>0</v>
      </c>
      <c r="AO278" s="98">
        <f t="shared" si="85"/>
        <v>0</v>
      </c>
      <c r="AP278" s="98">
        <f t="shared" si="85"/>
        <v>0</v>
      </c>
      <c r="AQ278" s="98">
        <f t="shared" si="85"/>
        <v>0</v>
      </c>
      <c r="AR278" s="98">
        <f t="shared" si="85"/>
        <v>0</v>
      </c>
      <c r="AS278" s="98">
        <f t="shared" si="85"/>
        <v>0</v>
      </c>
      <c r="AV278" s="101" t="str">
        <f t="shared" si="81"/>
        <v>1.150850</v>
      </c>
      <c r="AW278" s="101">
        <v>850</v>
      </c>
      <c r="AX278" s="92">
        <v>65</v>
      </c>
      <c r="AY278" s="92">
        <v>485</v>
      </c>
      <c r="AZ278" s="92">
        <v>650</v>
      </c>
      <c r="BA278" s="92">
        <v>975</v>
      </c>
      <c r="BB278" s="202">
        <v>1460</v>
      </c>
      <c r="BC278" s="202">
        <v>2435</v>
      </c>
      <c r="BD278" s="202">
        <v>4060</v>
      </c>
      <c r="BF278" s="101" t="str">
        <f t="shared" si="82"/>
        <v>2.120850</v>
      </c>
      <c r="BG278" s="101">
        <v>850</v>
      </c>
      <c r="BH278" s="92">
        <v>65</v>
      </c>
      <c r="BI278" s="92">
        <v>400</v>
      </c>
      <c r="BJ278" s="92">
        <v>530</v>
      </c>
      <c r="BK278" s="92">
        <v>795</v>
      </c>
      <c r="BL278" s="202">
        <v>1195</v>
      </c>
      <c r="BM278" s="202">
        <v>1990</v>
      </c>
      <c r="BN278" s="202">
        <v>3320</v>
      </c>
      <c r="BP278" s="101" t="str">
        <f t="shared" si="83"/>
        <v>3.120850</v>
      </c>
      <c r="BQ278" s="101">
        <v>850</v>
      </c>
    </row>
    <row r="279" spans="19:76">
      <c r="S279" s="99" t="s">
        <v>74</v>
      </c>
      <c r="T279" s="204" t="s">
        <v>197</v>
      </c>
      <c r="U279" s="98"/>
      <c r="V279" s="98">
        <f t="shared" si="84"/>
        <v>6250</v>
      </c>
      <c r="W279" s="98">
        <f t="shared" si="84"/>
        <v>6250</v>
      </c>
      <c r="X279" s="98">
        <f t="shared" si="84"/>
        <v>6070</v>
      </c>
      <c r="Y279" s="98">
        <f t="shared" si="84"/>
        <v>5880</v>
      </c>
      <c r="Z279" s="98">
        <f t="shared" si="84"/>
        <v>5540</v>
      </c>
      <c r="AA279" s="98">
        <f t="shared" si="84"/>
        <v>5040</v>
      </c>
      <c r="AB279" s="98">
        <f t="shared" si="84"/>
        <v>4905</v>
      </c>
      <c r="AC279" s="98">
        <f t="shared" si="84"/>
        <v>4730</v>
      </c>
      <c r="AD279" s="98">
        <f t="shared" si="84"/>
        <v>4430</v>
      </c>
      <c r="AE279" s="98">
        <f t="shared" si="84"/>
        <v>4230</v>
      </c>
      <c r="AF279" s="98">
        <f t="shared" si="85"/>
        <v>4060</v>
      </c>
      <c r="AG279" s="98">
        <f t="shared" si="85"/>
        <v>3745</v>
      </c>
      <c r="AH279" s="98">
        <f t="shared" si="85"/>
        <v>2630</v>
      </c>
      <c r="AI279" s="98">
        <f t="shared" si="85"/>
        <v>1685</v>
      </c>
      <c r="AJ279" s="98">
        <f t="shared" si="85"/>
        <v>1315</v>
      </c>
      <c r="AK279" s="98">
        <f t="shared" si="85"/>
        <v>0</v>
      </c>
      <c r="AL279" s="98">
        <f t="shared" si="85"/>
        <v>0</v>
      </c>
      <c r="AM279" s="98">
        <f t="shared" si="85"/>
        <v>0</v>
      </c>
      <c r="AN279" s="98">
        <f t="shared" si="85"/>
        <v>0</v>
      </c>
      <c r="AO279" s="98">
        <f t="shared" si="85"/>
        <v>0</v>
      </c>
      <c r="AP279" s="98">
        <f t="shared" si="85"/>
        <v>0</v>
      </c>
      <c r="AQ279" s="98">
        <f t="shared" si="85"/>
        <v>0</v>
      </c>
      <c r="AR279" s="98">
        <f t="shared" si="85"/>
        <v>0</v>
      </c>
      <c r="AS279" s="98">
        <f t="shared" si="85"/>
        <v>0</v>
      </c>
      <c r="AV279" s="101" t="str">
        <f t="shared" si="81"/>
        <v>1.150900</v>
      </c>
      <c r="AW279" s="101">
        <v>900</v>
      </c>
      <c r="AX279" s="92">
        <v>50</v>
      </c>
      <c r="AY279" s="92">
        <v>450</v>
      </c>
      <c r="AZ279" s="92">
        <v>600</v>
      </c>
      <c r="BA279" s="92">
        <v>900</v>
      </c>
      <c r="BB279" s="202">
        <v>1350</v>
      </c>
      <c r="BC279" s="202">
        <v>2245</v>
      </c>
      <c r="BD279" s="202">
        <v>3745</v>
      </c>
      <c r="BF279" s="101" t="str">
        <f t="shared" si="82"/>
        <v>2.120900</v>
      </c>
      <c r="BG279" s="101">
        <v>900</v>
      </c>
      <c r="BH279" s="92">
        <v>50</v>
      </c>
      <c r="BI279" s="92">
        <v>385</v>
      </c>
      <c r="BJ279" s="92">
        <v>510</v>
      </c>
      <c r="BK279" s="92">
        <v>770</v>
      </c>
      <c r="BL279" s="202">
        <v>1150</v>
      </c>
      <c r="BM279" s="202">
        <v>1920</v>
      </c>
      <c r="BN279" s="202">
        <v>3200</v>
      </c>
      <c r="BP279" s="101" t="str">
        <f t="shared" si="83"/>
        <v>3.120900</v>
      </c>
      <c r="BQ279" s="101">
        <v>900</v>
      </c>
    </row>
    <row r="280" spans="19:76">
      <c r="S280" s="99" t="s">
        <v>75</v>
      </c>
      <c r="T280" s="204" t="s">
        <v>198</v>
      </c>
      <c r="U280" s="98"/>
      <c r="V280" s="98">
        <f t="shared" si="84"/>
        <v>6250</v>
      </c>
      <c r="W280" s="98">
        <f t="shared" si="84"/>
        <v>6250</v>
      </c>
      <c r="X280" s="98">
        <f t="shared" si="84"/>
        <v>6015</v>
      </c>
      <c r="Y280" s="98">
        <f t="shared" si="84"/>
        <v>5775</v>
      </c>
      <c r="Z280" s="98">
        <f t="shared" si="84"/>
        <v>5540</v>
      </c>
      <c r="AA280" s="98">
        <f t="shared" si="84"/>
        <v>5040</v>
      </c>
      <c r="AB280" s="98">
        <f t="shared" si="84"/>
        <v>4905</v>
      </c>
      <c r="AC280" s="98">
        <f t="shared" si="84"/>
        <v>4730</v>
      </c>
      <c r="AD280" s="98">
        <f t="shared" si="84"/>
        <v>4430</v>
      </c>
      <c r="AE280" s="98">
        <f t="shared" si="84"/>
        <v>4230</v>
      </c>
      <c r="AF280" s="98">
        <f t="shared" si="85"/>
        <v>4060</v>
      </c>
      <c r="AG280" s="98">
        <f t="shared" si="85"/>
        <v>3745</v>
      </c>
      <c r="AH280" s="98">
        <f t="shared" si="85"/>
        <v>2655</v>
      </c>
      <c r="AI280" s="98">
        <f t="shared" si="85"/>
        <v>1800</v>
      </c>
      <c r="AJ280" s="98">
        <f t="shared" si="85"/>
        <v>1200</v>
      </c>
      <c r="AK280" s="98">
        <f t="shared" si="85"/>
        <v>800</v>
      </c>
      <c r="AL280" s="98">
        <f t="shared" si="85"/>
        <v>545</v>
      </c>
      <c r="AM280" s="98">
        <f t="shared" si="85"/>
        <v>345</v>
      </c>
      <c r="AN280" s="98">
        <f t="shared" si="85"/>
        <v>0</v>
      </c>
      <c r="AO280" s="98">
        <f t="shared" si="85"/>
        <v>0</v>
      </c>
      <c r="AP280" s="98">
        <f t="shared" si="85"/>
        <v>0</v>
      </c>
      <c r="AQ280" s="98">
        <f t="shared" si="85"/>
        <v>0</v>
      </c>
      <c r="AR280" s="98">
        <f t="shared" si="85"/>
        <v>0</v>
      </c>
      <c r="AS280" s="98">
        <f t="shared" si="85"/>
        <v>0</v>
      </c>
      <c r="AV280" s="101" t="str">
        <f t="shared" si="81"/>
        <v>1.150950</v>
      </c>
      <c r="AW280" s="101">
        <v>950</v>
      </c>
      <c r="AX280" s="92">
        <v>35</v>
      </c>
      <c r="AY280" s="92">
        <v>385</v>
      </c>
      <c r="AZ280" s="92">
        <v>515</v>
      </c>
      <c r="BA280" s="92">
        <v>775</v>
      </c>
      <c r="BB280" s="202">
        <v>1160</v>
      </c>
      <c r="BC280" s="202">
        <v>1930</v>
      </c>
      <c r="BD280" s="202">
        <v>3220</v>
      </c>
      <c r="BF280" s="101" t="str">
        <f t="shared" si="82"/>
        <v>2.120950</v>
      </c>
      <c r="BG280" s="101">
        <v>950</v>
      </c>
      <c r="BH280" s="92">
        <v>35</v>
      </c>
      <c r="BI280" s="92">
        <v>370</v>
      </c>
      <c r="BJ280" s="92">
        <v>495</v>
      </c>
      <c r="BK280" s="92">
        <v>740</v>
      </c>
      <c r="BL280" s="202">
        <v>1110</v>
      </c>
      <c r="BM280" s="202">
        <v>1850</v>
      </c>
      <c r="BN280" s="202">
        <v>3080</v>
      </c>
      <c r="BP280" s="101" t="str">
        <f t="shared" si="83"/>
        <v>3.120950</v>
      </c>
      <c r="BQ280" s="101">
        <v>950</v>
      </c>
    </row>
    <row r="281" spans="19:76">
      <c r="S281" s="99" t="s">
        <v>76</v>
      </c>
      <c r="T281" s="204" t="s">
        <v>76</v>
      </c>
      <c r="U281" s="98"/>
      <c r="V281" s="98">
        <f t="shared" si="84"/>
        <v>6250</v>
      </c>
      <c r="W281" s="98">
        <f t="shared" si="84"/>
        <v>6250</v>
      </c>
      <c r="X281" s="98">
        <f t="shared" si="84"/>
        <v>6070</v>
      </c>
      <c r="Y281" s="98">
        <f t="shared" si="84"/>
        <v>5880</v>
      </c>
      <c r="Z281" s="98">
        <f t="shared" si="84"/>
        <v>5540</v>
      </c>
      <c r="AA281" s="98">
        <f t="shared" si="84"/>
        <v>5040</v>
      </c>
      <c r="AB281" s="98">
        <f t="shared" si="84"/>
        <v>4905</v>
      </c>
      <c r="AC281" s="98">
        <f t="shared" si="84"/>
        <v>4730</v>
      </c>
      <c r="AD281" s="98">
        <f t="shared" si="84"/>
        <v>4430</v>
      </c>
      <c r="AE281" s="98">
        <f t="shared" si="84"/>
        <v>4230</v>
      </c>
      <c r="AF281" s="98">
        <f t="shared" si="85"/>
        <v>4060</v>
      </c>
      <c r="AG281" s="98">
        <f t="shared" si="85"/>
        <v>3745</v>
      </c>
      <c r="AH281" s="98">
        <f t="shared" si="85"/>
        <v>3220</v>
      </c>
      <c r="AI281" s="98">
        <f t="shared" si="85"/>
        <v>2230</v>
      </c>
      <c r="AJ281" s="98">
        <f t="shared" si="85"/>
        <v>1455</v>
      </c>
      <c r="AK281" s="98">
        <f t="shared" si="85"/>
        <v>915</v>
      </c>
      <c r="AL281" s="98">
        <f t="shared" si="85"/>
        <v>570</v>
      </c>
      <c r="AM281" s="98">
        <f t="shared" si="85"/>
        <v>345</v>
      </c>
      <c r="AN281" s="98">
        <f t="shared" si="85"/>
        <v>0</v>
      </c>
      <c r="AO281" s="98">
        <f t="shared" si="85"/>
        <v>0</v>
      </c>
      <c r="AP281" s="98">
        <f t="shared" si="85"/>
        <v>0</v>
      </c>
      <c r="AQ281" s="98">
        <f t="shared" si="85"/>
        <v>0</v>
      </c>
      <c r="AR281" s="98">
        <f t="shared" si="85"/>
        <v>0</v>
      </c>
      <c r="AS281" s="98">
        <f t="shared" si="85"/>
        <v>0</v>
      </c>
      <c r="AV281" s="101" t="str">
        <f t="shared" si="81"/>
        <v>1.151000</v>
      </c>
      <c r="AW281" s="101">
        <v>1000</v>
      </c>
      <c r="AX281" s="92">
        <v>20</v>
      </c>
      <c r="AY281" s="92">
        <v>365</v>
      </c>
      <c r="AZ281" s="92">
        <v>485</v>
      </c>
      <c r="BA281" s="92">
        <v>725</v>
      </c>
      <c r="BB281" s="202">
        <v>1090</v>
      </c>
      <c r="BC281" s="202">
        <v>1820</v>
      </c>
      <c r="BD281" s="202">
        <v>3030</v>
      </c>
      <c r="BF281" s="101" t="str">
        <f t="shared" si="82"/>
        <v>2.121000</v>
      </c>
      <c r="BG281" s="101">
        <v>1000</v>
      </c>
      <c r="BH281" s="92">
        <v>20</v>
      </c>
      <c r="BI281" s="92">
        <v>340</v>
      </c>
      <c r="BJ281" s="92">
        <v>450</v>
      </c>
      <c r="BK281" s="92">
        <v>675</v>
      </c>
      <c r="BL281" s="202">
        <v>1015</v>
      </c>
      <c r="BM281" s="202">
        <v>1690</v>
      </c>
      <c r="BN281" s="202">
        <v>2820</v>
      </c>
      <c r="BP281" s="101" t="str">
        <f t="shared" si="83"/>
        <v>3.121000</v>
      </c>
      <c r="BQ281" s="101">
        <v>1000</v>
      </c>
    </row>
    <row r="282" spans="19:76">
      <c r="S282" s="99" t="s">
        <v>187</v>
      </c>
      <c r="T282" s="204" t="s">
        <v>187</v>
      </c>
      <c r="U282" s="98"/>
      <c r="V282" s="98">
        <f t="shared" si="84"/>
        <v>6250</v>
      </c>
      <c r="W282" s="98">
        <f t="shared" si="84"/>
        <v>6250</v>
      </c>
      <c r="X282" s="98">
        <f t="shared" si="84"/>
        <v>6070</v>
      </c>
      <c r="Y282" s="98">
        <f t="shared" si="84"/>
        <v>5880</v>
      </c>
      <c r="Z282" s="98">
        <f t="shared" si="84"/>
        <v>5540</v>
      </c>
      <c r="AA282" s="98">
        <f t="shared" si="84"/>
        <v>5040</v>
      </c>
      <c r="AB282" s="98">
        <f t="shared" si="84"/>
        <v>4905</v>
      </c>
      <c r="AC282" s="98">
        <f t="shared" si="84"/>
        <v>4730</v>
      </c>
      <c r="AD282" s="98">
        <f t="shared" si="84"/>
        <v>4430</v>
      </c>
      <c r="AE282" s="98">
        <f t="shared" si="84"/>
        <v>4230</v>
      </c>
      <c r="AF282" s="98">
        <f t="shared" si="85"/>
        <v>4060</v>
      </c>
      <c r="AG282" s="98">
        <f t="shared" si="85"/>
        <v>3745</v>
      </c>
      <c r="AH282" s="98">
        <f t="shared" si="85"/>
        <v>2345</v>
      </c>
      <c r="AI282" s="98">
        <f t="shared" si="85"/>
        <v>1370</v>
      </c>
      <c r="AJ282" s="98">
        <f t="shared" si="85"/>
        <v>1370</v>
      </c>
      <c r="AK282" s="98">
        <f t="shared" si="85"/>
        <v>915</v>
      </c>
      <c r="AL282" s="98">
        <f t="shared" si="85"/>
        <v>685</v>
      </c>
      <c r="AM282" s="98">
        <f t="shared" si="85"/>
        <v>370</v>
      </c>
      <c r="AN282" s="98">
        <f t="shared" si="85"/>
        <v>0</v>
      </c>
      <c r="AO282" s="98">
        <f t="shared" si="85"/>
        <v>0</v>
      </c>
      <c r="AP282" s="98">
        <f t="shared" si="85"/>
        <v>0</v>
      </c>
      <c r="AQ282" s="98">
        <f t="shared" si="85"/>
        <v>0</v>
      </c>
      <c r="AR282" s="98">
        <f t="shared" si="85"/>
        <v>0</v>
      </c>
      <c r="AS282" s="98">
        <f t="shared" si="85"/>
        <v>0</v>
      </c>
      <c r="AV282" s="101" t="str">
        <f t="shared" si="81"/>
        <v>1.151050</v>
      </c>
      <c r="AW282" s="101">
        <v>1050</v>
      </c>
      <c r="AY282" s="92">
        <v>360</v>
      </c>
      <c r="AZ282" s="92">
        <v>480</v>
      </c>
      <c r="BA282" s="92">
        <v>720</v>
      </c>
      <c r="BB282" s="202">
        <v>1080</v>
      </c>
      <c r="BC282" s="202">
        <v>1800</v>
      </c>
      <c r="BD282" s="202">
        <v>3000</v>
      </c>
      <c r="BF282" s="101" t="str">
        <f t="shared" si="82"/>
        <v>2.121050</v>
      </c>
      <c r="BG282" s="101">
        <v>1050</v>
      </c>
      <c r="BI282" s="92">
        <v>325</v>
      </c>
      <c r="BJ282" s="92">
        <v>435</v>
      </c>
      <c r="BK282" s="92">
        <v>650</v>
      </c>
      <c r="BL282" s="92">
        <v>975</v>
      </c>
      <c r="BM282" s="202">
        <v>1630</v>
      </c>
      <c r="BN282" s="202">
        <v>2715</v>
      </c>
      <c r="BP282" s="101" t="str">
        <f t="shared" si="83"/>
        <v>3.121050</v>
      </c>
      <c r="BQ282" s="101">
        <v>1050</v>
      </c>
    </row>
    <row r="283" spans="19:76">
      <c r="S283" s="99" t="s">
        <v>77</v>
      </c>
      <c r="T283" s="204" t="s">
        <v>77</v>
      </c>
      <c r="U283" s="98"/>
      <c r="V283" s="98">
        <f t="shared" si="84"/>
        <v>6250</v>
      </c>
      <c r="W283" s="98">
        <f t="shared" si="84"/>
        <v>6250</v>
      </c>
      <c r="X283" s="98">
        <f t="shared" si="84"/>
        <v>6070</v>
      </c>
      <c r="Y283" s="98">
        <f t="shared" si="84"/>
        <v>5880</v>
      </c>
      <c r="Z283" s="98">
        <f t="shared" si="84"/>
        <v>5540</v>
      </c>
      <c r="AA283" s="98">
        <f t="shared" si="84"/>
        <v>5040</v>
      </c>
      <c r="AB283" s="98">
        <f t="shared" si="84"/>
        <v>4905</v>
      </c>
      <c r="AC283" s="98">
        <f t="shared" si="84"/>
        <v>4730</v>
      </c>
      <c r="AD283" s="98">
        <f t="shared" si="84"/>
        <v>4430</v>
      </c>
      <c r="AE283" s="98">
        <f t="shared" si="84"/>
        <v>4230</v>
      </c>
      <c r="AF283" s="98">
        <f t="shared" si="85"/>
        <v>4060</v>
      </c>
      <c r="AG283" s="98">
        <f t="shared" si="85"/>
        <v>3115</v>
      </c>
      <c r="AH283" s="98">
        <f t="shared" si="85"/>
        <v>2285</v>
      </c>
      <c r="AI283" s="98">
        <f t="shared" si="85"/>
        <v>1655</v>
      </c>
      <c r="AJ283" s="98">
        <f t="shared" si="85"/>
        <v>1200</v>
      </c>
      <c r="AK283" s="98">
        <f t="shared" si="85"/>
        <v>830</v>
      </c>
      <c r="AL283" s="98">
        <f t="shared" si="85"/>
        <v>515</v>
      </c>
      <c r="AM283" s="98">
        <f t="shared" si="85"/>
        <v>285</v>
      </c>
      <c r="AN283" s="98">
        <f t="shared" si="85"/>
        <v>0</v>
      </c>
      <c r="AO283" s="98">
        <f t="shared" si="85"/>
        <v>0</v>
      </c>
      <c r="AP283" s="98">
        <f t="shared" si="85"/>
        <v>0</v>
      </c>
      <c r="AQ283" s="98">
        <f t="shared" si="85"/>
        <v>0</v>
      </c>
      <c r="AR283" s="98">
        <f t="shared" si="85"/>
        <v>0</v>
      </c>
      <c r="AS283" s="98">
        <f t="shared" si="85"/>
        <v>0</v>
      </c>
      <c r="AV283" s="101" t="str">
        <f t="shared" si="81"/>
        <v>1.151100</v>
      </c>
      <c r="AW283" s="101">
        <v>1100</v>
      </c>
      <c r="AY283" s="92">
        <v>300</v>
      </c>
      <c r="AZ283" s="92">
        <v>400</v>
      </c>
      <c r="BA283" s="92">
        <v>605</v>
      </c>
      <c r="BB283" s="92">
        <v>905</v>
      </c>
      <c r="BC283" s="202">
        <v>1510</v>
      </c>
      <c r="BD283" s="202">
        <v>2515</v>
      </c>
      <c r="BF283" s="101" t="str">
        <f t="shared" si="82"/>
        <v>2.121100</v>
      </c>
      <c r="BG283" s="101">
        <v>1100</v>
      </c>
      <c r="BI283" s="92">
        <v>290</v>
      </c>
      <c r="BJ283" s="92">
        <v>390</v>
      </c>
      <c r="BK283" s="92">
        <v>585</v>
      </c>
      <c r="BL283" s="92">
        <v>875</v>
      </c>
      <c r="BM283" s="202">
        <v>1455</v>
      </c>
      <c r="BN283" s="202">
        <v>2430</v>
      </c>
      <c r="BP283" s="101" t="str">
        <f t="shared" si="83"/>
        <v>3.121100</v>
      </c>
      <c r="BQ283" s="101">
        <v>1100</v>
      </c>
    </row>
    <row r="284" spans="19:76">
      <c r="S284" s="99" t="s">
        <v>78</v>
      </c>
      <c r="T284" s="204" t="s">
        <v>78</v>
      </c>
      <c r="U284" s="98"/>
      <c r="V284" s="98">
        <f t="shared" si="84"/>
        <v>6250</v>
      </c>
      <c r="W284" s="98">
        <f t="shared" si="84"/>
        <v>6250</v>
      </c>
      <c r="X284" s="98">
        <f t="shared" si="84"/>
        <v>6070</v>
      </c>
      <c r="Y284" s="98">
        <f t="shared" si="84"/>
        <v>5880</v>
      </c>
      <c r="Z284" s="98">
        <f t="shared" si="84"/>
        <v>5540</v>
      </c>
      <c r="AA284" s="98">
        <f t="shared" si="84"/>
        <v>5040</v>
      </c>
      <c r="AB284" s="98">
        <f t="shared" si="84"/>
        <v>4905</v>
      </c>
      <c r="AC284" s="98">
        <f t="shared" si="84"/>
        <v>4730</v>
      </c>
      <c r="AD284" s="98">
        <f t="shared" si="84"/>
        <v>4430</v>
      </c>
      <c r="AE284" s="98">
        <f t="shared" si="84"/>
        <v>4230</v>
      </c>
      <c r="AF284" s="98">
        <f t="shared" si="85"/>
        <v>4060</v>
      </c>
      <c r="AG284" s="98">
        <f t="shared" si="85"/>
        <v>3745</v>
      </c>
      <c r="AH284" s="98">
        <f t="shared" si="85"/>
        <v>3145</v>
      </c>
      <c r="AI284" s="98">
        <f t="shared" si="85"/>
        <v>2115</v>
      </c>
      <c r="AJ284" s="98">
        <f t="shared" si="85"/>
        <v>1430</v>
      </c>
      <c r="AK284" s="98">
        <f t="shared" si="85"/>
        <v>945</v>
      </c>
      <c r="AL284" s="98">
        <f t="shared" si="85"/>
        <v>630</v>
      </c>
      <c r="AM284" s="98">
        <f t="shared" si="85"/>
        <v>430</v>
      </c>
      <c r="AN284" s="98">
        <f t="shared" si="85"/>
        <v>0</v>
      </c>
      <c r="AO284" s="98">
        <f t="shared" si="85"/>
        <v>0</v>
      </c>
      <c r="AP284" s="98">
        <f t="shared" si="85"/>
        <v>0</v>
      </c>
      <c r="AQ284" s="98">
        <f t="shared" si="85"/>
        <v>0</v>
      </c>
      <c r="AR284" s="98">
        <f t="shared" si="85"/>
        <v>0</v>
      </c>
      <c r="AS284" s="98">
        <f t="shared" si="85"/>
        <v>0</v>
      </c>
      <c r="AV284" s="101" t="str">
        <f t="shared" si="81"/>
        <v>1.151150</v>
      </c>
      <c r="AW284" s="101">
        <v>1150</v>
      </c>
      <c r="AY284" s="92">
        <v>225</v>
      </c>
      <c r="AZ284" s="92">
        <v>295</v>
      </c>
      <c r="BA284" s="92">
        <v>445</v>
      </c>
      <c r="BB284" s="92">
        <v>670</v>
      </c>
      <c r="BC284" s="202">
        <v>1115</v>
      </c>
      <c r="BD284" s="202">
        <v>1855</v>
      </c>
      <c r="BF284" s="101" t="str">
        <f t="shared" si="82"/>
        <v>2.121150</v>
      </c>
      <c r="BG284" s="101">
        <v>1150</v>
      </c>
      <c r="BI284" s="92">
        <v>250</v>
      </c>
      <c r="BJ284" s="92">
        <v>335</v>
      </c>
      <c r="BK284" s="92">
        <v>500</v>
      </c>
      <c r="BL284" s="92">
        <v>750</v>
      </c>
      <c r="BM284" s="202">
        <v>1250</v>
      </c>
      <c r="BN284" s="202">
        <v>2085</v>
      </c>
      <c r="BP284" s="101" t="str">
        <f t="shared" si="83"/>
        <v>3.121150</v>
      </c>
      <c r="BQ284" s="101">
        <v>1150</v>
      </c>
    </row>
    <row r="285" spans="19:76">
      <c r="S285" s="99" t="s">
        <v>191</v>
      </c>
      <c r="T285" s="204" t="s">
        <v>191</v>
      </c>
      <c r="U285" s="98"/>
      <c r="V285" s="98">
        <f t="shared" si="84"/>
        <v>6250</v>
      </c>
      <c r="W285" s="98">
        <f t="shared" si="84"/>
        <v>6250</v>
      </c>
      <c r="X285" s="98">
        <f t="shared" si="84"/>
        <v>6070</v>
      </c>
      <c r="Y285" s="98">
        <f t="shared" si="84"/>
        <v>5880</v>
      </c>
      <c r="Z285" s="98">
        <f t="shared" si="84"/>
        <v>5540</v>
      </c>
      <c r="AA285" s="98">
        <f t="shared" si="84"/>
        <v>5040</v>
      </c>
      <c r="AB285" s="98">
        <f t="shared" si="84"/>
        <v>4905</v>
      </c>
      <c r="AC285" s="98">
        <f t="shared" si="84"/>
        <v>4730</v>
      </c>
      <c r="AD285" s="98">
        <f t="shared" si="84"/>
        <v>4430</v>
      </c>
      <c r="AE285" s="98">
        <f t="shared" si="84"/>
        <v>4230</v>
      </c>
      <c r="AF285" s="98">
        <f t="shared" si="85"/>
        <v>4060</v>
      </c>
      <c r="AG285" s="98">
        <f t="shared" si="85"/>
        <v>3745</v>
      </c>
      <c r="AH285" s="98">
        <f t="shared" si="85"/>
        <v>3220</v>
      </c>
      <c r="AI285" s="98">
        <f t="shared" si="85"/>
        <v>3030</v>
      </c>
      <c r="AJ285" s="98">
        <f t="shared" si="85"/>
        <v>3000</v>
      </c>
      <c r="AK285" s="98">
        <f t="shared" si="85"/>
        <v>2515</v>
      </c>
      <c r="AL285" s="98">
        <f t="shared" si="85"/>
        <v>1855</v>
      </c>
      <c r="AM285" s="98">
        <f t="shared" si="85"/>
        <v>1200</v>
      </c>
      <c r="AN285" s="98">
        <f t="shared" si="85"/>
        <v>0</v>
      </c>
      <c r="AO285" s="98">
        <f t="shared" si="85"/>
        <v>0</v>
      </c>
      <c r="AP285" s="98">
        <f t="shared" si="85"/>
        <v>0</v>
      </c>
      <c r="AQ285" s="98">
        <f t="shared" si="85"/>
        <v>0</v>
      </c>
      <c r="AR285" s="98">
        <f t="shared" si="85"/>
        <v>0</v>
      </c>
      <c r="AS285" s="98">
        <f t="shared" si="85"/>
        <v>0</v>
      </c>
      <c r="AV285" s="101" t="str">
        <f t="shared" si="81"/>
        <v>1.151200</v>
      </c>
      <c r="AW285" s="101">
        <v>1200</v>
      </c>
      <c r="AY285" s="92">
        <v>145</v>
      </c>
      <c r="AZ285" s="92">
        <v>190</v>
      </c>
      <c r="BA285" s="92">
        <v>290</v>
      </c>
      <c r="BB285" s="92">
        <v>430</v>
      </c>
      <c r="BC285" s="92">
        <v>720</v>
      </c>
      <c r="BD285" s="202">
        <v>1200</v>
      </c>
      <c r="BF285" s="101" t="str">
        <f t="shared" si="82"/>
        <v>2.121200</v>
      </c>
      <c r="BG285" s="101">
        <v>1200</v>
      </c>
      <c r="BI285" s="92">
        <v>205</v>
      </c>
      <c r="BJ285" s="92">
        <v>275</v>
      </c>
      <c r="BK285" s="92">
        <v>410</v>
      </c>
      <c r="BL285" s="92">
        <v>615</v>
      </c>
      <c r="BM285" s="202">
        <v>1030</v>
      </c>
      <c r="BN285" s="202">
        <v>1715</v>
      </c>
      <c r="BP285" s="101" t="str">
        <f t="shared" si="83"/>
        <v>3.121200</v>
      </c>
      <c r="BQ285" s="101">
        <v>1200</v>
      </c>
    </row>
    <row r="286" spans="19:76">
      <c r="S286" s="99" t="s">
        <v>188</v>
      </c>
      <c r="T286" s="204" t="s">
        <v>188</v>
      </c>
      <c r="U286" s="98"/>
      <c r="V286" s="98">
        <f t="shared" si="84"/>
        <v>6250</v>
      </c>
      <c r="W286" s="98">
        <f t="shared" si="84"/>
        <v>6135</v>
      </c>
      <c r="X286" s="98">
        <f t="shared" si="84"/>
        <v>5830</v>
      </c>
      <c r="Y286" s="98">
        <f t="shared" si="84"/>
        <v>5570</v>
      </c>
      <c r="Z286" s="98">
        <f t="shared" si="84"/>
        <v>5385</v>
      </c>
      <c r="AA286" s="98">
        <f t="shared" si="84"/>
        <v>5040</v>
      </c>
      <c r="AB286" s="98">
        <f t="shared" si="84"/>
        <v>4905</v>
      </c>
      <c r="AC286" s="98">
        <f t="shared" si="84"/>
        <v>4730</v>
      </c>
      <c r="AD286" s="98">
        <f t="shared" si="84"/>
        <v>4430</v>
      </c>
      <c r="AE286" s="98">
        <f t="shared" si="84"/>
        <v>4230</v>
      </c>
      <c r="AF286" s="98">
        <f t="shared" si="85"/>
        <v>4060</v>
      </c>
      <c r="AG286" s="98">
        <f t="shared" si="85"/>
        <v>3115</v>
      </c>
      <c r="AH286" s="98">
        <f t="shared" si="85"/>
        <v>2285</v>
      </c>
      <c r="AI286" s="98">
        <f t="shared" si="85"/>
        <v>1655</v>
      </c>
      <c r="AJ286" s="98">
        <f t="shared" si="85"/>
        <v>1200</v>
      </c>
      <c r="AK286" s="98">
        <f t="shared" si="85"/>
        <v>800</v>
      </c>
      <c r="AL286" s="98">
        <f t="shared" si="85"/>
        <v>515</v>
      </c>
      <c r="AM286" s="98">
        <f t="shared" si="85"/>
        <v>285</v>
      </c>
      <c r="AN286" s="98">
        <f t="shared" si="85"/>
        <v>0</v>
      </c>
      <c r="AO286" s="98">
        <f t="shared" si="85"/>
        <v>0</v>
      </c>
      <c r="AP286" s="98">
        <f t="shared" si="85"/>
        <v>0</v>
      </c>
      <c r="AQ286" s="98">
        <f t="shared" si="85"/>
        <v>0</v>
      </c>
      <c r="AR286" s="98">
        <f t="shared" si="85"/>
        <v>0</v>
      </c>
      <c r="AS286" s="98">
        <f t="shared" si="85"/>
        <v>0</v>
      </c>
      <c r="AV286" s="101" t="str">
        <f t="shared" si="81"/>
        <v>1.151250</v>
      </c>
      <c r="AW286" s="101">
        <v>1250</v>
      </c>
      <c r="BF286" s="101" t="str">
        <f t="shared" si="82"/>
        <v>2.121250</v>
      </c>
      <c r="BG286" s="101">
        <v>1250</v>
      </c>
      <c r="BI286" s="92">
        <v>165</v>
      </c>
      <c r="BJ286" s="92">
        <v>220</v>
      </c>
      <c r="BK286" s="92">
        <v>330</v>
      </c>
      <c r="BL286" s="92">
        <v>495</v>
      </c>
      <c r="BM286" s="92">
        <v>825</v>
      </c>
      <c r="BN286" s="202">
        <v>1370</v>
      </c>
      <c r="BP286" s="101" t="str">
        <f t="shared" si="83"/>
        <v>3.121250</v>
      </c>
      <c r="BQ286" s="101">
        <v>1250</v>
      </c>
    </row>
    <row r="287" spans="19:76">
      <c r="S287" s="99" t="s">
        <v>189</v>
      </c>
      <c r="T287" s="204" t="s">
        <v>189</v>
      </c>
      <c r="U287" s="98"/>
      <c r="V287" s="98">
        <f t="shared" si="84"/>
        <v>6250</v>
      </c>
      <c r="W287" s="98">
        <f t="shared" si="84"/>
        <v>6250</v>
      </c>
      <c r="X287" s="98">
        <f t="shared" si="84"/>
        <v>6070</v>
      </c>
      <c r="Y287" s="98">
        <f t="shared" si="84"/>
        <v>5880</v>
      </c>
      <c r="Z287" s="98">
        <f t="shared" si="84"/>
        <v>5540</v>
      </c>
      <c r="AA287" s="98">
        <f t="shared" si="84"/>
        <v>5040</v>
      </c>
      <c r="AB287" s="98">
        <f t="shared" si="84"/>
        <v>4905</v>
      </c>
      <c r="AC287" s="98">
        <f t="shared" si="84"/>
        <v>4730</v>
      </c>
      <c r="AD287" s="98">
        <f t="shared" si="84"/>
        <v>4430</v>
      </c>
      <c r="AE287" s="98">
        <f t="shared" si="84"/>
        <v>4230</v>
      </c>
      <c r="AF287" s="98">
        <f t="shared" si="85"/>
        <v>4060</v>
      </c>
      <c r="AG287" s="98">
        <f t="shared" si="85"/>
        <v>3745</v>
      </c>
      <c r="AH287" s="98">
        <f t="shared" si="85"/>
        <v>3220</v>
      </c>
      <c r="AI287" s="98">
        <f t="shared" si="85"/>
        <v>3030</v>
      </c>
      <c r="AJ287" s="98">
        <f t="shared" si="85"/>
        <v>3000</v>
      </c>
      <c r="AK287" s="98">
        <f t="shared" si="85"/>
        <v>2685</v>
      </c>
      <c r="AL287" s="98">
        <f t="shared" si="85"/>
        <v>2285</v>
      </c>
      <c r="AM287" s="98">
        <f t="shared" si="85"/>
        <v>1715</v>
      </c>
      <c r="AN287" s="98">
        <f t="shared" si="85"/>
        <v>0</v>
      </c>
      <c r="AO287" s="98">
        <f t="shared" si="85"/>
        <v>0</v>
      </c>
      <c r="AP287" s="98">
        <f t="shared" si="85"/>
        <v>0</v>
      </c>
      <c r="AQ287" s="98">
        <f t="shared" si="85"/>
        <v>0</v>
      </c>
      <c r="AR287" s="98">
        <f t="shared" si="85"/>
        <v>0</v>
      </c>
      <c r="AS287" s="98">
        <f t="shared" si="85"/>
        <v>0</v>
      </c>
      <c r="AV287" s="101" t="str">
        <f t="shared" si="81"/>
        <v>1.151300</v>
      </c>
      <c r="AW287" s="101">
        <v>1300</v>
      </c>
      <c r="BF287" s="101" t="str">
        <f t="shared" si="82"/>
        <v>2.121300</v>
      </c>
      <c r="BG287" s="101">
        <v>1300</v>
      </c>
      <c r="BI287" s="92">
        <v>120</v>
      </c>
      <c r="BJ287" s="92">
        <v>160</v>
      </c>
      <c r="BK287" s="92">
        <v>240</v>
      </c>
      <c r="BL287" s="92">
        <v>360</v>
      </c>
      <c r="BM287" s="92">
        <v>600</v>
      </c>
      <c r="BN287" s="202">
        <v>1000</v>
      </c>
      <c r="BP287" s="101" t="str">
        <f t="shared" si="83"/>
        <v>3.121300</v>
      </c>
      <c r="BQ287" s="101">
        <v>1300</v>
      </c>
    </row>
    <row r="288" spans="19:76">
      <c r="S288" s="99" t="s">
        <v>79</v>
      </c>
      <c r="T288" s="204" t="s">
        <v>204</v>
      </c>
      <c r="U288" s="98"/>
      <c r="V288" s="98">
        <f t="shared" ref="V288:AE299" si="86">VLOOKUP($T288&amp;TEXT(V$1,"0000"),$BF$4:$BN$339,9)</f>
        <v>6000</v>
      </c>
      <c r="W288" s="98">
        <f t="shared" si="86"/>
        <v>5000</v>
      </c>
      <c r="X288" s="98">
        <f t="shared" si="86"/>
        <v>4480</v>
      </c>
      <c r="Y288" s="98">
        <f t="shared" si="86"/>
        <v>4140</v>
      </c>
      <c r="Z288" s="98">
        <f t="shared" si="86"/>
        <v>3880</v>
      </c>
      <c r="AA288" s="98">
        <f t="shared" si="86"/>
        <v>3680</v>
      </c>
      <c r="AB288" s="98">
        <f t="shared" si="86"/>
        <v>3600</v>
      </c>
      <c r="AC288" s="98">
        <f t="shared" si="86"/>
        <v>3520</v>
      </c>
      <c r="AD288" s="98">
        <f t="shared" si="86"/>
        <v>3440</v>
      </c>
      <c r="AE288" s="98">
        <f t="shared" si="86"/>
        <v>3380</v>
      </c>
      <c r="AF288" s="98">
        <f t="shared" ref="AF288:AS299" si="87">VLOOKUP($T288&amp;TEXT(AF$1,"0000"),$BF$4:$BN$339,9)</f>
        <v>3300</v>
      </c>
      <c r="AG288" s="98">
        <f t="shared" si="87"/>
        <v>3240</v>
      </c>
      <c r="AH288" s="98">
        <f t="shared" si="87"/>
        <v>3180</v>
      </c>
      <c r="AI288" s="98">
        <f t="shared" si="87"/>
        <v>2950</v>
      </c>
      <c r="AJ288" s="98">
        <f t="shared" si="87"/>
        <v>2715</v>
      </c>
      <c r="AK288" s="98">
        <f t="shared" si="87"/>
        <v>2145</v>
      </c>
      <c r="AL288" s="98">
        <f t="shared" si="87"/>
        <v>1715</v>
      </c>
      <c r="AM288" s="98">
        <f t="shared" si="87"/>
        <v>1370</v>
      </c>
      <c r="AN288" s="98">
        <f t="shared" si="87"/>
        <v>1115</v>
      </c>
      <c r="AO288" s="98">
        <f t="shared" si="87"/>
        <v>945</v>
      </c>
      <c r="AP288" s="98">
        <f t="shared" si="87"/>
        <v>770</v>
      </c>
      <c r="AQ288" s="98">
        <f t="shared" si="87"/>
        <v>630</v>
      </c>
      <c r="AR288" s="98">
        <f t="shared" si="87"/>
        <v>485</v>
      </c>
      <c r="AS288" s="98">
        <f t="shared" si="87"/>
        <v>345</v>
      </c>
      <c r="AV288" s="101" t="str">
        <f t="shared" si="81"/>
        <v>1.151350</v>
      </c>
      <c r="AW288" s="101">
        <v>1350</v>
      </c>
      <c r="BF288" s="101" t="str">
        <f t="shared" si="82"/>
        <v>2.121350</v>
      </c>
      <c r="BG288" s="101">
        <v>1350</v>
      </c>
      <c r="BI288" s="92">
        <v>80</v>
      </c>
      <c r="BJ288" s="92">
        <v>110</v>
      </c>
      <c r="BK288" s="92">
        <v>165</v>
      </c>
      <c r="BL288" s="92">
        <v>245</v>
      </c>
      <c r="BM288" s="92">
        <v>410</v>
      </c>
      <c r="BN288" s="92">
        <v>685</v>
      </c>
      <c r="BP288" s="101" t="str">
        <f t="shared" si="83"/>
        <v>3.121350</v>
      </c>
      <c r="BQ288" s="101">
        <v>1350</v>
      </c>
    </row>
    <row r="289" spans="19:76">
      <c r="S289" s="99" t="s">
        <v>80</v>
      </c>
      <c r="T289" s="204" t="s">
        <v>205</v>
      </c>
      <c r="U289" s="98"/>
      <c r="V289" s="98">
        <f t="shared" si="86"/>
        <v>6000</v>
      </c>
      <c r="W289" s="98">
        <f t="shared" si="86"/>
        <v>5160</v>
      </c>
      <c r="X289" s="98">
        <f t="shared" si="86"/>
        <v>4660</v>
      </c>
      <c r="Y289" s="98">
        <f t="shared" si="86"/>
        <v>4280</v>
      </c>
      <c r="Z289" s="98">
        <f t="shared" si="86"/>
        <v>3980</v>
      </c>
      <c r="AA289" s="98">
        <f t="shared" si="86"/>
        <v>3760</v>
      </c>
      <c r="AB289" s="98">
        <f t="shared" si="86"/>
        <v>3680</v>
      </c>
      <c r="AC289" s="98">
        <f t="shared" si="86"/>
        <v>3620</v>
      </c>
      <c r="AD289" s="98">
        <f t="shared" si="86"/>
        <v>3560</v>
      </c>
      <c r="AE289" s="98">
        <f t="shared" si="86"/>
        <v>3520</v>
      </c>
      <c r="AF289" s="98">
        <f t="shared" si="87"/>
        <v>3480</v>
      </c>
      <c r="AG289" s="98">
        <f t="shared" si="87"/>
        <v>3460</v>
      </c>
      <c r="AH289" s="98">
        <f t="shared" si="87"/>
        <v>3220</v>
      </c>
      <c r="AI289" s="98">
        <f t="shared" si="87"/>
        <v>3030</v>
      </c>
      <c r="AJ289" s="98">
        <f t="shared" si="87"/>
        <v>3000</v>
      </c>
      <c r="AK289" s="98">
        <f t="shared" si="87"/>
        <v>2545</v>
      </c>
      <c r="AL289" s="98">
        <f t="shared" si="87"/>
        <v>1970</v>
      </c>
      <c r="AM289" s="98">
        <f t="shared" si="87"/>
        <v>1545</v>
      </c>
      <c r="AN289" s="98">
        <f t="shared" si="87"/>
        <v>1230</v>
      </c>
      <c r="AO289" s="98">
        <f t="shared" si="87"/>
        <v>970</v>
      </c>
      <c r="AP289" s="98">
        <f t="shared" si="87"/>
        <v>800</v>
      </c>
      <c r="AQ289" s="98">
        <f t="shared" si="87"/>
        <v>630</v>
      </c>
      <c r="AR289" s="98">
        <f t="shared" si="87"/>
        <v>485</v>
      </c>
      <c r="AS289" s="98">
        <f t="shared" si="87"/>
        <v>345</v>
      </c>
      <c r="AV289" s="101" t="str">
        <f t="shared" si="81"/>
        <v>1.151400</v>
      </c>
      <c r="AW289" s="101">
        <v>1400</v>
      </c>
      <c r="BF289" s="101" t="str">
        <f t="shared" si="82"/>
        <v>2.121400</v>
      </c>
      <c r="BG289" s="101">
        <v>1400</v>
      </c>
      <c r="BI289" s="92">
        <v>55</v>
      </c>
      <c r="BJ289" s="92">
        <v>75</v>
      </c>
      <c r="BK289" s="92">
        <v>110</v>
      </c>
      <c r="BL289" s="92">
        <v>165</v>
      </c>
      <c r="BM289" s="92">
        <v>275</v>
      </c>
      <c r="BN289" s="92">
        <v>455</v>
      </c>
      <c r="BP289" s="101" t="str">
        <f t="shared" si="83"/>
        <v>3.121400</v>
      </c>
      <c r="BQ289" s="101">
        <v>1400</v>
      </c>
    </row>
    <row r="290" spans="19:76">
      <c r="S290" s="99" t="s">
        <v>81</v>
      </c>
      <c r="T290" s="204" t="s">
        <v>206</v>
      </c>
      <c r="U290" s="98"/>
      <c r="V290" s="98">
        <f t="shared" si="86"/>
        <v>5000</v>
      </c>
      <c r="W290" s="98">
        <f t="shared" si="86"/>
        <v>4260</v>
      </c>
      <c r="X290" s="98">
        <f t="shared" si="86"/>
        <v>3800</v>
      </c>
      <c r="Y290" s="98">
        <f t="shared" si="86"/>
        <v>3500</v>
      </c>
      <c r="Z290" s="98">
        <f t="shared" si="86"/>
        <v>3280</v>
      </c>
      <c r="AA290" s="98">
        <f t="shared" si="86"/>
        <v>3100</v>
      </c>
      <c r="AB290" s="98">
        <f t="shared" si="86"/>
        <v>3040</v>
      </c>
      <c r="AC290" s="98">
        <f t="shared" si="86"/>
        <v>3000</v>
      </c>
      <c r="AD290" s="98">
        <f t="shared" si="86"/>
        <v>2940</v>
      </c>
      <c r="AE290" s="98">
        <f t="shared" si="86"/>
        <v>2880</v>
      </c>
      <c r="AF290" s="98">
        <f t="shared" si="87"/>
        <v>2820</v>
      </c>
      <c r="AG290" s="98">
        <f t="shared" si="87"/>
        <v>0</v>
      </c>
      <c r="AH290" s="98">
        <f t="shared" si="87"/>
        <v>0</v>
      </c>
      <c r="AI290" s="98">
        <f t="shared" si="87"/>
        <v>0</v>
      </c>
      <c r="AJ290" s="98">
        <f t="shared" si="87"/>
        <v>0</v>
      </c>
      <c r="AK290" s="98">
        <f t="shared" si="87"/>
        <v>0</v>
      </c>
      <c r="AL290" s="98">
        <f t="shared" si="87"/>
        <v>0</v>
      </c>
      <c r="AM290" s="98">
        <f t="shared" si="87"/>
        <v>0</v>
      </c>
      <c r="AN290" s="98">
        <f t="shared" si="87"/>
        <v>0</v>
      </c>
      <c r="AO290" s="98">
        <f t="shared" si="87"/>
        <v>0</v>
      </c>
      <c r="AP290" s="98">
        <f t="shared" si="87"/>
        <v>0</v>
      </c>
      <c r="AQ290" s="98">
        <f t="shared" si="87"/>
        <v>0</v>
      </c>
      <c r="AR290" s="98">
        <f t="shared" si="87"/>
        <v>0</v>
      </c>
      <c r="AS290" s="98">
        <f t="shared" si="87"/>
        <v>0</v>
      </c>
      <c r="AV290" s="101" t="str">
        <f t="shared" si="81"/>
        <v>1.151450</v>
      </c>
      <c r="AW290" s="101">
        <v>1450</v>
      </c>
      <c r="BF290" s="101" t="str">
        <f t="shared" si="82"/>
        <v>2.121450</v>
      </c>
      <c r="BG290" s="101">
        <v>1450</v>
      </c>
      <c r="BI290" s="92">
        <v>40</v>
      </c>
      <c r="BJ290" s="92">
        <v>50</v>
      </c>
      <c r="BK290" s="92">
        <v>75</v>
      </c>
      <c r="BL290" s="92">
        <v>115</v>
      </c>
      <c r="BM290" s="92">
        <v>190</v>
      </c>
      <c r="BN290" s="92">
        <v>315</v>
      </c>
      <c r="BP290" s="101" t="str">
        <f t="shared" si="83"/>
        <v>3.121450</v>
      </c>
      <c r="BQ290" s="101">
        <v>1450</v>
      </c>
    </row>
    <row r="291" spans="19:76">
      <c r="S291" s="99" t="s">
        <v>82</v>
      </c>
      <c r="T291" s="204" t="s">
        <v>207</v>
      </c>
      <c r="U291" s="98"/>
      <c r="V291" s="98">
        <f t="shared" si="86"/>
        <v>6000</v>
      </c>
      <c r="W291" s="98">
        <f t="shared" si="86"/>
        <v>5400</v>
      </c>
      <c r="X291" s="98">
        <f t="shared" si="86"/>
        <v>4960</v>
      </c>
      <c r="Y291" s="98">
        <f t="shared" si="86"/>
        <v>4600</v>
      </c>
      <c r="Z291" s="98">
        <f t="shared" si="86"/>
        <v>4300</v>
      </c>
      <c r="AA291" s="98">
        <f t="shared" si="86"/>
        <v>4060</v>
      </c>
      <c r="AB291" s="98">
        <f t="shared" si="86"/>
        <v>3960</v>
      </c>
      <c r="AC291" s="98">
        <f t="shared" si="86"/>
        <v>3880</v>
      </c>
      <c r="AD291" s="98">
        <f t="shared" si="86"/>
        <v>3820</v>
      </c>
      <c r="AE291" s="98">
        <f t="shared" si="86"/>
        <v>3760</v>
      </c>
      <c r="AF291" s="98">
        <f t="shared" si="87"/>
        <v>3720</v>
      </c>
      <c r="AG291" s="98">
        <f t="shared" si="87"/>
        <v>3680</v>
      </c>
      <c r="AH291" s="98">
        <f t="shared" si="87"/>
        <v>3220</v>
      </c>
      <c r="AI291" s="98">
        <f t="shared" si="87"/>
        <v>3030</v>
      </c>
      <c r="AJ291" s="98">
        <f t="shared" si="87"/>
        <v>3000</v>
      </c>
      <c r="AK291" s="98">
        <f t="shared" si="87"/>
        <v>2600</v>
      </c>
      <c r="AL291" s="98">
        <f t="shared" si="87"/>
        <v>1970</v>
      </c>
      <c r="AM291" s="98">
        <f t="shared" si="87"/>
        <v>1545</v>
      </c>
      <c r="AN291" s="98">
        <f t="shared" si="87"/>
        <v>1170</v>
      </c>
      <c r="AO291" s="98">
        <f t="shared" si="87"/>
        <v>915</v>
      </c>
      <c r="AP291" s="98">
        <f t="shared" si="87"/>
        <v>715</v>
      </c>
      <c r="AQ291" s="98">
        <f t="shared" si="87"/>
        <v>545</v>
      </c>
      <c r="AR291" s="98">
        <f t="shared" si="87"/>
        <v>430</v>
      </c>
      <c r="AS291" s="98">
        <f t="shared" si="87"/>
        <v>315</v>
      </c>
      <c r="AV291" s="101" t="str">
        <f t="shared" si="81"/>
        <v>1.151500</v>
      </c>
      <c r="AW291" s="101">
        <v>1500</v>
      </c>
      <c r="BF291" s="101" t="str">
        <f t="shared" si="82"/>
        <v>2.121500</v>
      </c>
      <c r="BG291" s="101">
        <v>1500</v>
      </c>
      <c r="BI291" s="92">
        <v>25</v>
      </c>
      <c r="BJ291" s="92">
        <v>35</v>
      </c>
      <c r="BK291" s="92">
        <v>55</v>
      </c>
      <c r="BL291" s="92">
        <v>80</v>
      </c>
      <c r="BM291" s="92">
        <v>135</v>
      </c>
      <c r="BN291" s="92">
        <v>230</v>
      </c>
      <c r="BP291" s="101" t="str">
        <f t="shared" si="83"/>
        <v>3.121500</v>
      </c>
      <c r="BQ291" s="101">
        <v>1500</v>
      </c>
    </row>
    <row r="292" spans="19:76">
      <c r="S292" s="99" t="s">
        <v>83</v>
      </c>
      <c r="T292" s="204" t="s">
        <v>208</v>
      </c>
      <c r="U292" s="98"/>
      <c r="V292" s="98">
        <f t="shared" si="86"/>
        <v>6000</v>
      </c>
      <c r="W292" s="98">
        <f t="shared" si="86"/>
        <v>5520</v>
      </c>
      <c r="X292" s="98">
        <f t="shared" si="86"/>
        <v>5140</v>
      </c>
      <c r="Y292" s="98">
        <f t="shared" si="86"/>
        <v>4800</v>
      </c>
      <c r="Z292" s="98">
        <f t="shared" si="86"/>
        <v>4520</v>
      </c>
      <c r="AA292" s="98">
        <f t="shared" si="86"/>
        <v>4300</v>
      </c>
      <c r="AB292" s="98">
        <f t="shared" si="86"/>
        <v>4220</v>
      </c>
      <c r="AC292" s="98">
        <f t="shared" si="86"/>
        <v>4140</v>
      </c>
      <c r="AD292" s="98">
        <f t="shared" si="86"/>
        <v>4100</v>
      </c>
      <c r="AE292" s="98">
        <f t="shared" si="86"/>
        <v>4060</v>
      </c>
      <c r="AF292" s="98">
        <f t="shared" si="87"/>
        <v>4040</v>
      </c>
      <c r="AG292" s="98">
        <f t="shared" si="87"/>
        <v>3745</v>
      </c>
      <c r="AH292" s="98">
        <f t="shared" si="87"/>
        <v>3220</v>
      </c>
      <c r="AI292" s="98">
        <f t="shared" si="87"/>
        <v>3030</v>
      </c>
      <c r="AJ292" s="98">
        <f t="shared" si="87"/>
        <v>3000</v>
      </c>
      <c r="AK292" s="98">
        <f t="shared" si="87"/>
        <v>2685</v>
      </c>
      <c r="AL292" s="98">
        <f t="shared" si="87"/>
        <v>2285</v>
      </c>
      <c r="AM292" s="98">
        <f t="shared" si="87"/>
        <v>1715</v>
      </c>
      <c r="AN292" s="98">
        <f t="shared" si="87"/>
        <v>1515</v>
      </c>
      <c r="AO292" s="98">
        <f t="shared" si="87"/>
        <v>1145</v>
      </c>
      <c r="AP292" s="98">
        <f t="shared" si="87"/>
        <v>860</v>
      </c>
      <c r="AQ292" s="98">
        <f t="shared" si="87"/>
        <v>630</v>
      </c>
      <c r="AR292" s="98">
        <f t="shared" si="87"/>
        <v>485</v>
      </c>
      <c r="AS292" s="98">
        <f t="shared" si="87"/>
        <v>345</v>
      </c>
      <c r="AU292" s="92">
        <v>1.17</v>
      </c>
      <c r="AV292" s="101" t="str">
        <f>AU$292&amp;TEXT(AW292,"0000")</f>
        <v>1.170100</v>
      </c>
      <c r="AW292" s="92">
        <v>100</v>
      </c>
      <c r="AX292" s="92">
        <v>290</v>
      </c>
      <c r="AY292" s="92">
        <v>750</v>
      </c>
      <c r="AZ292" s="202">
        <v>1000</v>
      </c>
      <c r="BA292" s="202">
        <v>1500</v>
      </c>
      <c r="BB292" s="202">
        <v>2250</v>
      </c>
      <c r="BC292" s="202">
        <v>3750</v>
      </c>
      <c r="BD292" s="202">
        <v>6250</v>
      </c>
      <c r="BO292" s="92">
        <v>3.13</v>
      </c>
      <c r="BP292" s="101" t="str">
        <f>BO$292&amp;TEXT(BQ292,"0000")</f>
        <v>3.130100</v>
      </c>
      <c r="BQ292" s="92">
        <v>100</v>
      </c>
      <c r="BR292" s="92">
        <v>290</v>
      </c>
      <c r="BS292" s="92">
        <v>750</v>
      </c>
      <c r="BT292" s="202">
        <v>1000</v>
      </c>
      <c r="BU292" s="202">
        <v>1500</v>
      </c>
      <c r="BV292" s="202">
        <v>2250</v>
      </c>
      <c r="BW292" s="202">
        <v>3750</v>
      </c>
      <c r="BX292" s="202">
        <v>6250</v>
      </c>
    </row>
    <row r="293" spans="19:76">
      <c r="S293" s="99" t="s">
        <v>84</v>
      </c>
      <c r="T293" s="204" t="s">
        <v>209</v>
      </c>
      <c r="U293" s="98"/>
      <c r="V293" s="98">
        <f t="shared" si="86"/>
        <v>6000</v>
      </c>
      <c r="W293" s="98">
        <f t="shared" si="86"/>
        <v>5260</v>
      </c>
      <c r="X293" s="98">
        <f t="shared" si="86"/>
        <v>4840</v>
      </c>
      <c r="Y293" s="98">
        <f t="shared" si="86"/>
        <v>4540</v>
      </c>
      <c r="Z293" s="98">
        <f t="shared" si="86"/>
        <v>4320</v>
      </c>
      <c r="AA293" s="98">
        <f t="shared" si="86"/>
        <v>4160</v>
      </c>
      <c r="AB293" s="98">
        <f t="shared" si="86"/>
        <v>4100</v>
      </c>
      <c r="AC293" s="98">
        <f t="shared" si="86"/>
        <v>4040</v>
      </c>
      <c r="AD293" s="98">
        <f t="shared" si="86"/>
        <v>4000</v>
      </c>
      <c r="AE293" s="98">
        <f t="shared" si="86"/>
        <v>3940</v>
      </c>
      <c r="AF293" s="98">
        <f t="shared" si="87"/>
        <v>3880</v>
      </c>
      <c r="AG293" s="98">
        <f t="shared" si="87"/>
        <v>3745</v>
      </c>
      <c r="AH293" s="98">
        <f t="shared" si="87"/>
        <v>3220</v>
      </c>
      <c r="AI293" s="98">
        <f t="shared" si="87"/>
        <v>3030</v>
      </c>
      <c r="AJ293" s="98">
        <f t="shared" si="87"/>
        <v>2945</v>
      </c>
      <c r="AK293" s="98">
        <f t="shared" si="87"/>
        <v>2170</v>
      </c>
      <c r="AL293" s="98">
        <f t="shared" si="87"/>
        <v>1570</v>
      </c>
      <c r="AM293" s="98">
        <f t="shared" si="87"/>
        <v>1145</v>
      </c>
      <c r="AN293" s="98">
        <f t="shared" si="87"/>
        <v>855</v>
      </c>
      <c r="AO293" s="98">
        <f t="shared" si="87"/>
        <v>630</v>
      </c>
      <c r="AP293" s="98">
        <f t="shared" si="87"/>
        <v>485</v>
      </c>
      <c r="AQ293" s="98">
        <f t="shared" si="87"/>
        <v>370</v>
      </c>
      <c r="AR293" s="98">
        <f t="shared" si="87"/>
        <v>285</v>
      </c>
      <c r="AS293" s="98">
        <f t="shared" si="87"/>
        <v>215</v>
      </c>
      <c r="AV293" s="101" t="str">
        <f t="shared" ref="AV293:AV315" si="88">AU$292&amp;TEXT(AW293,"0000")</f>
        <v>1.170200</v>
      </c>
      <c r="AW293" s="101">
        <v>200</v>
      </c>
      <c r="AX293" s="92">
        <v>260</v>
      </c>
      <c r="AY293" s="92">
        <v>735</v>
      </c>
      <c r="AZ293" s="92">
        <v>980</v>
      </c>
      <c r="BA293" s="202">
        <v>1470</v>
      </c>
      <c r="BB293" s="202">
        <v>2210</v>
      </c>
      <c r="BC293" s="202">
        <v>3680</v>
      </c>
      <c r="BD293" s="202">
        <v>6135</v>
      </c>
      <c r="BP293" s="101" t="str">
        <f t="shared" ref="BP293:BP315" si="89">BO$292&amp;TEXT(BQ293,"0000")</f>
        <v>3.130200</v>
      </c>
      <c r="BQ293" s="101">
        <v>200</v>
      </c>
      <c r="BR293" s="92">
        <v>260</v>
      </c>
      <c r="BS293" s="92">
        <v>705</v>
      </c>
      <c r="BT293" s="92">
        <v>940</v>
      </c>
      <c r="BU293" s="202">
        <v>1405</v>
      </c>
      <c r="BV293" s="202">
        <v>2110</v>
      </c>
      <c r="BW293" s="202">
        <v>3515</v>
      </c>
      <c r="BX293" s="202">
        <v>5860</v>
      </c>
    </row>
    <row r="294" spans="19:76">
      <c r="S294" s="99" t="s">
        <v>85</v>
      </c>
      <c r="T294" s="204" t="s">
        <v>210</v>
      </c>
      <c r="U294" s="98"/>
      <c r="V294" s="98">
        <f t="shared" si="86"/>
        <v>6000</v>
      </c>
      <c r="W294" s="98">
        <f t="shared" si="86"/>
        <v>5300</v>
      </c>
      <c r="X294" s="98">
        <f t="shared" si="86"/>
        <v>4840</v>
      </c>
      <c r="Y294" s="98">
        <f t="shared" si="86"/>
        <v>4520</v>
      </c>
      <c r="Z294" s="98">
        <f t="shared" si="86"/>
        <v>4280</v>
      </c>
      <c r="AA294" s="98">
        <f t="shared" si="86"/>
        <v>4120</v>
      </c>
      <c r="AB294" s="98">
        <f t="shared" si="86"/>
        <v>4040</v>
      </c>
      <c r="AC294" s="98">
        <f t="shared" si="86"/>
        <v>3980</v>
      </c>
      <c r="AD294" s="98">
        <f t="shared" si="86"/>
        <v>3920</v>
      </c>
      <c r="AE294" s="98">
        <f t="shared" si="86"/>
        <v>3880</v>
      </c>
      <c r="AF294" s="98">
        <f t="shared" si="87"/>
        <v>3820</v>
      </c>
      <c r="AG294" s="98">
        <f t="shared" si="87"/>
        <v>3745</v>
      </c>
      <c r="AH294" s="98">
        <f t="shared" si="87"/>
        <v>3220</v>
      </c>
      <c r="AI294" s="98">
        <f t="shared" si="87"/>
        <v>3030</v>
      </c>
      <c r="AJ294" s="98">
        <f t="shared" si="87"/>
        <v>2945</v>
      </c>
      <c r="AK294" s="98">
        <f t="shared" si="87"/>
        <v>2170</v>
      </c>
      <c r="AL294" s="98">
        <f t="shared" si="87"/>
        <v>1570</v>
      </c>
      <c r="AM294" s="98">
        <f t="shared" si="87"/>
        <v>1145</v>
      </c>
      <c r="AN294" s="98">
        <f t="shared" si="87"/>
        <v>855</v>
      </c>
      <c r="AO294" s="98">
        <f t="shared" si="87"/>
        <v>630</v>
      </c>
      <c r="AP294" s="98">
        <f t="shared" si="87"/>
        <v>485</v>
      </c>
      <c r="AQ294" s="98">
        <f t="shared" si="87"/>
        <v>370</v>
      </c>
      <c r="AR294" s="98">
        <f t="shared" si="87"/>
        <v>275</v>
      </c>
      <c r="AS294" s="98">
        <f t="shared" si="87"/>
        <v>215</v>
      </c>
      <c r="AV294" s="101" t="str">
        <f t="shared" si="88"/>
        <v>1.170300</v>
      </c>
      <c r="AW294" s="101">
        <v>300</v>
      </c>
      <c r="AX294" s="92">
        <v>230</v>
      </c>
      <c r="AY294" s="92">
        <v>700</v>
      </c>
      <c r="AZ294" s="92">
        <v>935</v>
      </c>
      <c r="BA294" s="202">
        <v>1400</v>
      </c>
      <c r="BB294" s="202">
        <v>2100</v>
      </c>
      <c r="BC294" s="202">
        <v>3495</v>
      </c>
      <c r="BD294" s="202">
        <v>5830</v>
      </c>
      <c r="BP294" s="101" t="str">
        <f t="shared" si="89"/>
        <v>3.130300</v>
      </c>
      <c r="BQ294" s="101">
        <v>300</v>
      </c>
      <c r="BR294" s="92">
        <v>230</v>
      </c>
      <c r="BS294" s="92">
        <v>665</v>
      </c>
      <c r="BT294" s="92">
        <v>885</v>
      </c>
      <c r="BU294" s="202">
        <v>1330</v>
      </c>
      <c r="BV294" s="202">
        <v>1995</v>
      </c>
      <c r="BW294" s="202">
        <v>3325</v>
      </c>
      <c r="BX294" s="202">
        <v>5540</v>
      </c>
    </row>
    <row r="295" spans="19:76">
      <c r="S295" s="99" t="s">
        <v>199</v>
      </c>
      <c r="T295" s="204" t="s">
        <v>211</v>
      </c>
      <c r="U295" s="98"/>
      <c r="V295" s="98">
        <f t="shared" si="86"/>
        <v>6250</v>
      </c>
      <c r="W295" s="98">
        <f t="shared" si="86"/>
        <v>6200</v>
      </c>
      <c r="X295" s="98">
        <f t="shared" si="86"/>
        <v>5560</v>
      </c>
      <c r="Y295" s="98">
        <f t="shared" si="86"/>
        <v>5120</v>
      </c>
      <c r="Z295" s="98">
        <f t="shared" si="86"/>
        <v>4840</v>
      </c>
      <c r="AA295" s="98">
        <f t="shared" si="86"/>
        <v>4640</v>
      </c>
      <c r="AB295" s="98">
        <f t="shared" si="86"/>
        <v>4560</v>
      </c>
      <c r="AC295" s="98">
        <f t="shared" si="86"/>
        <v>4520</v>
      </c>
      <c r="AD295" s="98">
        <f t="shared" si="86"/>
        <v>4430</v>
      </c>
      <c r="AE295" s="98">
        <f t="shared" si="86"/>
        <v>0</v>
      </c>
      <c r="AF295" s="98">
        <f t="shared" si="87"/>
        <v>0</v>
      </c>
      <c r="AG295" s="98">
        <f t="shared" si="87"/>
        <v>0</v>
      </c>
      <c r="AH295" s="98">
        <f t="shared" si="87"/>
        <v>0</v>
      </c>
      <c r="AI295" s="98">
        <f t="shared" si="87"/>
        <v>0</v>
      </c>
      <c r="AJ295" s="98">
        <f t="shared" si="87"/>
        <v>0</v>
      </c>
      <c r="AK295" s="98">
        <f t="shared" si="87"/>
        <v>0</v>
      </c>
      <c r="AL295" s="98">
        <f t="shared" si="87"/>
        <v>0</v>
      </c>
      <c r="AM295" s="98">
        <f t="shared" si="87"/>
        <v>0</v>
      </c>
      <c r="AN295" s="98">
        <f t="shared" si="87"/>
        <v>0</v>
      </c>
      <c r="AO295" s="98">
        <f t="shared" si="87"/>
        <v>0</v>
      </c>
      <c r="AP295" s="98">
        <f t="shared" si="87"/>
        <v>0</v>
      </c>
      <c r="AQ295" s="98">
        <f t="shared" si="87"/>
        <v>0</v>
      </c>
      <c r="AR295" s="98">
        <f t="shared" si="87"/>
        <v>0</v>
      </c>
      <c r="AS295" s="98">
        <f t="shared" si="87"/>
        <v>0</v>
      </c>
      <c r="AV295" s="101" t="str">
        <f t="shared" si="88"/>
        <v>1.170400</v>
      </c>
      <c r="AW295" s="101">
        <v>400</v>
      </c>
      <c r="AX295" s="92">
        <v>200</v>
      </c>
      <c r="AY295" s="92">
        <v>670</v>
      </c>
      <c r="AZ295" s="92">
        <v>890</v>
      </c>
      <c r="BA295" s="202">
        <v>1335</v>
      </c>
      <c r="BB295" s="202">
        <v>2005</v>
      </c>
      <c r="BC295" s="202">
        <v>3345</v>
      </c>
      <c r="BD295" s="202">
        <v>5570</v>
      </c>
      <c r="BP295" s="101" t="str">
        <f t="shared" si="89"/>
        <v>3.130400</v>
      </c>
      <c r="BQ295" s="101">
        <v>400</v>
      </c>
      <c r="BR295" s="92">
        <v>200</v>
      </c>
      <c r="BS295" s="92">
        <v>630</v>
      </c>
      <c r="BT295" s="92">
        <v>840</v>
      </c>
      <c r="BU295" s="202">
        <v>1260</v>
      </c>
      <c r="BV295" s="202">
        <v>1885</v>
      </c>
      <c r="BW295" s="202">
        <v>3145</v>
      </c>
      <c r="BX295" s="202">
        <v>5240</v>
      </c>
    </row>
    <row r="296" spans="19:76">
      <c r="S296" s="99" t="s">
        <v>200</v>
      </c>
      <c r="T296" s="204" t="s">
        <v>212</v>
      </c>
      <c r="U296" s="98"/>
      <c r="V296" s="98">
        <f t="shared" si="86"/>
        <v>6000</v>
      </c>
      <c r="W296" s="98">
        <f t="shared" si="86"/>
        <v>5260</v>
      </c>
      <c r="X296" s="98">
        <f t="shared" si="86"/>
        <v>4840</v>
      </c>
      <c r="Y296" s="98">
        <f t="shared" si="86"/>
        <v>4520</v>
      </c>
      <c r="Z296" s="98">
        <f t="shared" si="86"/>
        <v>4280</v>
      </c>
      <c r="AA296" s="98">
        <f t="shared" si="86"/>
        <v>4120</v>
      </c>
      <c r="AB296" s="98">
        <f t="shared" si="86"/>
        <v>4040</v>
      </c>
      <c r="AC296" s="98">
        <f t="shared" si="86"/>
        <v>3980</v>
      </c>
      <c r="AD296" s="98">
        <f t="shared" si="86"/>
        <v>3920</v>
      </c>
      <c r="AE296" s="98">
        <f t="shared" si="86"/>
        <v>3880</v>
      </c>
      <c r="AF296" s="98">
        <f t="shared" si="87"/>
        <v>3820</v>
      </c>
      <c r="AG296" s="98">
        <f t="shared" si="87"/>
        <v>3745</v>
      </c>
      <c r="AH296" s="98">
        <f t="shared" si="87"/>
        <v>3220</v>
      </c>
      <c r="AI296" s="98">
        <f t="shared" si="87"/>
        <v>2830</v>
      </c>
      <c r="AJ296" s="98">
        <f t="shared" si="87"/>
        <v>2030</v>
      </c>
      <c r="AK296" s="98">
        <f t="shared" si="87"/>
        <v>1430</v>
      </c>
      <c r="AL296" s="98">
        <f t="shared" si="87"/>
        <v>1030</v>
      </c>
      <c r="AM296" s="98">
        <f t="shared" si="87"/>
        <v>715</v>
      </c>
      <c r="AN296" s="98">
        <f t="shared" si="87"/>
        <v>430</v>
      </c>
      <c r="AO296" s="98">
        <f t="shared" si="87"/>
        <v>230</v>
      </c>
      <c r="AP296" s="98">
        <f t="shared" si="87"/>
        <v>145</v>
      </c>
      <c r="AQ296" s="98">
        <f t="shared" si="87"/>
        <v>115</v>
      </c>
      <c r="AR296" s="98">
        <f t="shared" si="87"/>
        <v>85</v>
      </c>
      <c r="AS296" s="98">
        <f t="shared" si="87"/>
        <v>55</v>
      </c>
      <c r="AV296" s="101" t="str">
        <f t="shared" si="88"/>
        <v>1.170500</v>
      </c>
      <c r="AW296" s="101">
        <v>500</v>
      </c>
      <c r="AX296" s="92">
        <v>170</v>
      </c>
      <c r="AY296" s="92">
        <v>645</v>
      </c>
      <c r="AZ296" s="92">
        <v>860</v>
      </c>
      <c r="BA296" s="202">
        <v>1290</v>
      </c>
      <c r="BB296" s="202">
        <v>1940</v>
      </c>
      <c r="BC296" s="202">
        <v>3230</v>
      </c>
      <c r="BD296" s="202">
        <v>5385</v>
      </c>
      <c r="BP296" s="101" t="str">
        <f t="shared" si="89"/>
        <v>3.130500</v>
      </c>
      <c r="BQ296" s="101">
        <v>500</v>
      </c>
      <c r="BR296" s="92">
        <v>170</v>
      </c>
      <c r="BS296" s="92">
        <v>595</v>
      </c>
      <c r="BT296" s="92">
        <v>795</v>
      </c>
      <c r="BU296" s="202">
        <v>1190</v>
      </c>
      <c r="BV296" s="202">
        <v>1785</v>
      </c>
      <c r="BW296" s="202">
        <v>2975</v>
      </c>
      <c r="BX296" s="202">
        <v>4960</v>
      </c>
    </row>
    <row r="297" spans="19:76">
      <c r="S297" s="99" t="s">
        <v>201</v>
      </c>
      <c r="T297" s="204" t="s">
        <v>201</v>
      </c>
      <c r="U297" s="98"/>
      <c r="V297" s="98">
        <f t="shared" si="86"/>
        <v>5600</v>
      </c>
      <c r="W297" s="98">
        <f t="shared" si="86"/>
        <v>4580</v>
      </c>
      <c r="X297" s="98">
        <f t="shared" si="86"/>
        <v>4220</v>
      </c>
      <c r="Y297" s="98">
        <f t="shared" si="86"/>
        <v>4040</v>
      </c>
      <c r="Z297" s="98">
        <f t="shared" si="86"/>
        <v>3920</v>
      </c>
      <c r="AA297" s="98">
        <f t="shared" si="86"/>
        <v>3800</v>
      </c>
      <c r="AB297" s="98">
        <f t="shared" si="86"/>
        <v>3720</v>
      </c>
      <c r="AC297" s="98">
        <f t="shared" si="86"/>
        <v>3620</v>
      </c>
      <c r="AD297" s="98">
        <f t="shared" si="86"/>
        <v>3520</v>
      </c>
      <c r="AE297" s="98">
        <f t="shared" si="86"/>
        <v>3420</v>
      </c>
      <c r="AF297" s="98">
        <f t="shared" si="87"/>
        <v>3320</v>
      </c>
      <c r="AG297" s="98">
        <f t="shared" si="87"/>
        <v>3200</v>
      </c>
      <c r="AH297" s="98">
        <f t="shared" si="87"/>
        <v>3080</v>
      </c>
      <c r="AI297" s="98">
        <f t="shared" si="87"/>
        <v>2820</v>
      </c>
      <c r="AJ297" s="98">
        <f t="shared" si="87"/>
        <v>2430</v>
      </c>
      <c r="AK297" s="98">
        <f t="shared" si="87"/>
        <v>1855</v>
      </c>
      <c r="AL297" s="98">
        <f t="shared" si="87"/>
        <v>1430</v>
      </c>
      <c r="AM297" s="98">
        <f t="shared" si="87"/>
        <v>1085</v>
      </c>
      <c r="AN297" s="98">
        <f t="shared" si="87"/>
        <v>830</v>
      </c>
      <c r="AO297" s="98">
        <f t="shared" si="87"/>
        <v>655</v>
      </c>
      <c r="AP297" s="98">
        <f t="shared" si="87"/>
        <v>515</v>
      </c>
      <c r="AQ297" s="98">
        <f t="shared" si="87"/>
        <v>370</v>
      </c>
      <c r="AR297" s="98">
        <f t="shared" si="87"/>
        <v>255</v>
      </c>
      <c r="AS297" s="98">
        <f t="shared" si="87"/>
        <v>230</v>
      </c>
      <c r="AV297" s="101" t="str">
        <f t="shared" si="88"/>
        <v>1.170600</v>
      </c>
      <c r="AW297" s="101">
        <v>600</v>
      </c>
      <c r="AX297" s="92">
        <v>140</v>
      </c>
      <c r="AY297" s="92">
        <v>605</v>
      </c>
      <c r="AZ297" s="92">
        <v>805</v>
      </c>
      <c r="BA297" s="202">
        <v>1210</v>
      </c>
      <c r="BB297" s="202">
        <v>1815</v>
      </c>
      <c r="BC297" s="202">
        <v>3025</v>
      </c>
      <c r="BD297" s="202">
        <v>5040</v>
      </c>
      <c r="BP297" s="101" t="str">
        <f t="shared" si="89"/>
        <v>3.130600</v>
      </c>
      <c r="BQ297" s="101">
        <v>600</v>
      </c>
      <c r="BR297" s="92">
        <v>140</v>
      </c>
      <c r="BS297" s="92">
        <v>560</v>
      </c>
      <c r="BT297" s="92">
        <v>750</v>
      </c>
      <c r="BU297" s="202">
        <v>1125</v>
      </c>
      <c r="BV297" s="202">
        <v>1685</v>
      </c>
      <c r="BW297" s="202">
        <v>2810</v>
      </c>
      <c r="BX297" s="202">
        <v>4680</v>
      </c>
    </row>
    <row r="298" spans="19:76">
      <c r="S298" s="99" t="s">
        <v>202</v>
      </c>
      <c r="T298" s="204" t="s">
        <v>202</v>
      </c>
      <c r="U298" s="98"/>
      <c r="V298" s="98">
        <f t="shared" si="86"/>
        <v>6000</v>
      </c>
      <c r="W298" s="98">
        <f t="shared" si="86"/>
        <v>5520</v>
      </c>
      <c r="X298" s="98">
        <f t="shared" si="86"/>
        <v>5140</v>
      </c>
      <c r="Y298" s="98">
        <f t="shared" si="86"/>
        <v>4800</v>
      </c>
      <c r="Z298" s="98">
        <f t="shared" si="86"/>
        <v>4520</v>
      </c>
      <c r="AA298" s="98">
        <f t="shared" si="86"/>
        <v>4300</v>
      </c>
      <c r="AB298" s="98">
        <f t="shared" si="86"/>
        <v>4220</v>
      </c>
      <c r="AC298" s="98">
        <f t="shared" si="86"/>
        <v>4140</v>
      </c>
      <c r="AD298" s="98">
        <f t="shared" si="86"/>
        <v>4100</v>
      </c>
      <c r="AE298" s="98">
        <f t="shared" si="86"/>
        <v>4060</v>
      </c>
      <c r="AF298" s="98">
        <f t="shared" si="87"/>
        <v>4040</v>
      </c>
      <c r="AG298" s="98">
        <f t="shared" si="87"/>
        <v>3745</v>
      </c>
      <c r="AH298" s="98">
        <f t="shared" si="87"/>
        <v>3220</v>
      </c>
      <c r="AI298" s="98">
        <f t="shared" si="87"/>
        <v>3030</v>
      </c>
      <c r="AJ298" s="98">
        <f t="shared" si="87"/>
        <v>3000</v>
      </c>
      <c r="AK298" s="98">
        <f t="shared" si="87"/>
        <v>2600</v>
      </c>
      <c r="AL298" s="98">
        <f t="shared" si="87"/>
        <v>1745</v>
      </c>
      <c r="AM298" s="98">
        <f t="shared" si="87"/>
        <v>1255</v>
      </c>
      <c r="AN298" s="98">
        <f t="shared" si="87"/>
        <v>945</v>
      </c>
      <c r="AO298" s="98">
        <f t="shared" si="87"/>
        <v>630</v>
      </c>
      <c r="AP298" s="98">
        <f t="shared" si="87"/>
        <v>430</v>
      </c>
      <c r="AQ298" s="98">
        <f t="shared" si="87"/>
        <v>345</v>
      </c>
      <c r="AR298" s="98">
        <f t="shared" si="87"/>
        <v>255</v>
      </c>
      <c r="AS298" s="98">
        <f t="shared" si="87"/>
        <v>230</v>
      </c>
      <c r="AV298" s="101" t="str">
        <f t="shared" si="88"/>
        <v>1.170650</v>
      </c>
      <c r="AW298" s="101">
        <v>650</v>
      </c>
      <c r="AX298" s="92">
        <v>125</v>
      </c>
      <c r="AY298" s="92">
        <v>590</v>
      </c>
      <c r="AZ298" s="92">
        <v>785</v>
      </c>
      <c r="BA298" s="202">
        <v>1175</v>
      </c>
      <c r="BB298" s="202">
        <v>1765</v>
      </c>
      <c r="BC298" s="202">
        <v>2940</v>
      </c>
      <c r="BD298" s="202">
        <v>4905</v>
      </c>
      <c r="BP298" s="101" t="str">
        <f t="shared" si="89"/>
        <v>3.130650</v>
      </c>
      <c r="BQ298" s="101">
        <v>650</v>
      </c>
      <c r="BR298" s="92">
        <v>125</v>
      </c>
      <c r="BS298" s="92">
        <v>550</v>
      </c>
      <c r="BT298" s="92">
        <v>735</v>
      </c>
      <c r="BU298" s="202">
        <v>1100</v>
      </c>
      <c r="BV298" s="202">
        <v>1650</v>
      </c>
      <c r="BW298" s="202">
        <v>2750</v>
      </c>
      <c r="BX298" s="202">
        <v>4580</v>
      </c>
    </row>
    <row r="299" spans="19:76">
      <c r="S299" s="99" t="s">
        <v>203</v>
      </c>
      <c r="T299" s="204" t="s">
        <v>203</v>
      </c>
      <c r="U299" s="98"/>
      <c r="V299" s="98">
        <f t="shared" si="86"/>
        <v>5600</v>
      </c>
      <c r="W299" s="98">
        <f t="shared" si="86"/>
        <v>4580</v>
      </c>
      <c r="X299" s="98">
        <f t="shared" si="86"/>
        <v>4220</v>
      </c>
      <c r="Y299" s="98">
        <f t="shared" si="86"/>
        <v>4040</v>
      </c>
      <c r="Z299" s="98">
        <f t="shared" si="86"/>
        <v>3920</v>
      </c>
      <c r="AA299" s="98">
        <f t="shared" si="86"/>
        <v>3800</v>
      </c>
      <c r="AB299" s="98">
        <f t="shared" si="86"/>
        <v>3720</v>
      </c>
      <c r="AC299" s="98">
        <f t="shared" si="86"/>
        <v>3620</v>
      </c>
      <c r="AD299" s="98">
        <f t="shared" si="86"/>
        <v>3520</v>
      </c>
      <c r="AE299" s="98">
        <f t="shared" si="86"/>
        <v>3420</v>
      </c>
      <c r="AF299" s="98">
        <f t="shared" si="87"/>
        <v>3320</v>
      </c>
      <c r="AG299" s="98">
        <f t="shared" si="87"/>
        <v>3200</v>
      </c>
      <c r="AH299" s="98">
        <f t="shared" si="87"/>
        <v>3080</v>
      </c>
      <c r="AI299" s="98">
        <f t="shared" si="87"/>
        <v>2820</v>
      </c>
      <c r="AJ299" s="98">
        <f t="shared" si="87"/>
        <v>2715</v>
      </c>
      <c r="AK299" s="98">
        <f t="shared" si="87"/>
        <v>2430</v>
      </c>
      <c r="AL299" s="98">
        <f t="shared" si="87"/>
        <v>2085</v>
      </c>
      <c r="AM299" s="98">
        <f t="shared" si="87"/>
        <v>1715</v>
      </c>
      <c r="AN299" s="98">
        <f t="shared" si="87"/>
        <v>1370</v>
      </c>
      <c r="AO299" s="98">
        <f t="shared" si="87"/>
        <v>1000</v>
      </c>
      <c r="AP299" s="98">
        <f t="shared" si="87"/>
        <v>685</v>
      </c>
      <c r="AQ299" s="98">
        <f t="shared" si="87"/>
        <v>455</v>
      </c>
      <c r="AR299" s="98">
        <f t="shared" si="87"/>
        <v>315</v>
      </c>
      <c r="AS299" s="98">
        <f t="shared" si="87"/>
        <v>230</v>
      </c>
      <c r="AV299" s="101" t="str">
        <f t="shared" si="88"/>
        <v>1.170700</v>
      </c>
      <c r="AW299" s="101">
        <v>700</v>
      </c>
      <c r="AX299" s="92">
        <v>110</v>
      </c>
      <c r="AY299" s="92">
        <v>570</v>
      </c>
      <c r="AZ299" s="92">
        <v>755</v>
      </c>
      <c r="BA299" s="202">
        <v>1135</v>
      </c>
      <c r="BB299" s="202">
        <v>1705</v>
      </c>
      <c r="BC299" s="202">
        <v>2840</v>
      </c>
      <c r="BD299" s="202">
        <v>4730</v>
      </c>
      <c r="BP299" s="101" t="str">
        <f t="shared" si="89"/>
        <v>3.130700</v>
      </c>
      <c r="BQ299" s="101">
        <v>700</v>
      </c>
      <c r="BR299" s="92">
        <v>110</v>
      </c>
      <c r="BS299" s="92">
        <v>540</v>
      </c>
      <c r="BT299" s="92">
        <v>720</v>
      </c>
      <c r="BU299" s="202">
        <v>1080</v>
      </c>
      <c r="BV299" s="202">
        <v>1620</v>
      </c>
      <c r="BW299" s="202">
        <v>2700</v>
      </c>
      <c r="BX299" s="202">
        <v>4500</v>
      </c>
    </row>
    <row r="300" spans="19:76">
      <c r="S300" s="99" t="s">
        <v>86</v>
      </c>
      <c r="T300" s="204" t="s">
        <v>215</v>
      </c>
      <c r="U300" s="98"/>
      <c r="V300" s="98">
        <f t="shared" ref="V300:AE309" si="90">VLOOKUP($T300&amp;TEXT(V$1,"0000"),$BP$4:$BX$435,9)</f>
        <v>6250</v>
      </c>
      <c r="W300" s="98">
        <f t="shared" si="90"/>
        <v>6180</v>
      </c>
      <c r="X300" s="98">
        <f t="shared" si="90"/>
        <v>5920</v>
      </c>
      <c r="Y300" s="98">
        <f t="shared" si="90"/>
        <v>5680</v>
      </c>
      <c r="Z300" s="98">
        <f t="shared" si="90"/>
        <v>5460</v>
      </c>
      <c r="AA300" s="98">
        <f t="shared" si="90"/>
        <v>5040</v>
      </c>
      <c r="AB300" s="98">
        <f t="shared" si="90"/>
        <v>4905</v>
      </c>
      <c r="AC300" s="98">
        <f t="shared" si="90"/>
        <v>4730</v>
      </c>
      <c r="AD300" s="98">
        <f t="shared" si="90"/>
        <v>4430</v>
      </c>
      <c r="AE300" s="98">
        <f t="shared" si="90"/>
        <v>4230</v>
      </c>
      <c r="AF300" s="98">
        <f t="shared" ref="AF300:AS309" si="91">VLOOKUP($T300&amp;TEXT(AF$1,"0000"),$BP$4:$BX$435,9)</f>
        <v>0</v>
      </c>
      <c r="AG300" s="98">
        <f t="shared" si="91"/>
        <v>0</v>
      </c>
      <c r="AH300" s="98">
        <f t="shared" si="91"/>
        <v>0</v>
      </c>
      <c r="AI300" s="98">
        <f t="shared" si="91"/>
        <v>0</v>
      </c>
      <c r="AJ300" s="98">
        <f t="shared" si="91"/>
        <v>0</v>
      </c>
      <c r="AK300" s="98">
        <f t="shared" si="91"/>
        <v>0</v>
      </c>
      <c r="AL300" s="98">
        <f t="shared" si="91"/>
        <v>0</v>
      </c>
      <c r="AM300" s="98">
        <f t="shared" si="91"/>
        <v>0</v>
      </c>
      <c r="AN300" s="98">
        <f t="shared" si="91"/>
        <v>0</v>
      </c>
      <c r="AO300" s="98">
        <f t="shared" si="91"/>
        <v>0</v>
      </c>
      <c r="AP300" s="98">
        <f t="shared" si="91"/>
        <v>0</v>
      </c>
      <c r="AQ300" s="98">
        <f t="shared" si="91"/>
        <v>0</v>
      </c>
      <c r="AR300" s="98">
        <f t="shared" si="91"/>
        <v>0</v>
      </c>
      <c r="AS300" s="98">
        <f t="shared" si="91"/>
        <v>0</v>
      </c>
      <c r="AV300" s="101" t="str">
        <f t="shared" si="88"/>
        <v>1.170750</v>
      </c>
      <c r="AW300" s="101">
        <v>750</v>
      </c>
      <c r="AX300" s="92">
        <v>95</v>
      </c>
      <c r="AY300" s="92">
        <v>530</v>
      </c>
      <c r="AZ300" s="92">
        <v>710</v>
      </c>
      <c r="BA300" s="202">
        <v>1065</v>
      </c>
      <c r="BB300" s="202">
        <v>1595</v>
      </c>
      <c r="BC300" s="202">
        <v>2660</v>
      </c>
      <c r="BD300" s="202">
        <v>4430</v>
      </c>
      <c r="BP300" s="101" t="str">
        <f t="shared" si="89"/>
        <v>3.130750</v>
      </c>
      <c r="BQ300" s="101">
        <v>750</v>
      </c>
      <c r="BR300" s="92">
        <v>95</v>
      </c>
      <c r="BS300" s="92">
        <v>530</v>
      </c>
      <c r="BT300" s="92">
        <v>710</v>
      </c>
      <c r="BU300" s="202">
        <v>1065</v>
      </c>
      <c r="BV300" s="202">
        <v>1595</v>
      </c>
      <c r="BW300" s="202">
        <v>2660</v>
      </c>
      <c r="BX300" s="202">
        <v>4430</v>
      </c>
    </row>
    <row r="301" spans="19:76">
      <c r="S301" s="99" t="s">
        <v>87</v>
      </c>
      <c r="T301" s="204" t="s">
        <v>216</v>
      </c>
      <c r="U301" s="98"/>
      <c r="V301" s="98">
        <f t="shared" si="90"/>
        <v>4000</v>
      </c>
      <c r="W301" s="98">
        <f t="shared" si="90"/>
        <v>4000</v>
      </c>
      <c r="X301" s="98">
        <f t="shared" si="90"/>
        <v>4000</v>
      </c>
      <c r="Y301" s="98">
        <f t="shared" si="90"/>
        <v>4000</v>
      </c>
      <c r="Z301" s="98">
        <f t="shared" si="90"/>
        <v>3780</v>
      </c>
      <c r="AA301" s="98">
        <f t="shared" si="90"/>
        <v>3440</v>
      </c>
      <c r="AB301" s="98">
        <f t="shared" si="90"/>
        <v>0</v>
      </c>
      <c r="AC301" s="98">
        <f t="shared" si="90"/>
        <v>0</v>
      </c>
      <c r="AD301" s="98">
        <f t="shared" si="90"/>
        <v>0</v>
      </c>
      <c r="AE301" s="98">
        <f t="shared" si="90"/>
        <v>0</v>
      </c>
      <c r="AF301" s="98">
        <f t="shared" si="91"/>
        <v>0</v>
      </c>
      <c r="AG301" s="98">
        <f t="shared" si="91"/>
        <v>0</v>
      </c>
      <c r="AH301" s="98">
        <f t="shared" si="91"/>
        <v>0</v>
      </c>
      <c r="AI301" s="98">
        <f t="shared" si="91"/>
        <v>0</v>
      </c>
      <c r="AJ301" s="98">
        <f t="shared" si="91"/>
        <v>0</v>
      </c>
      <c r="AK301" s="98">
        <f t="shared" si="91"/>
        <v>0</v>
      </c>
      <c r="AL301" s="98">
        <f t="shared" si="91"/>
        <v>0</v>
      </c>
      <c r="AM301" s="98">
        <f t="shared" si="91"/>
        <v>0</v>
      </c>
      <c r="AN301" s="98">
        <f t="shared" si="91"/>
        <v>0</v>
      </c>
      <c r="AO301" s="98">
        <f t="shared" si="91"/>
        <v>0</v>
      </c>
      <c r="AP301" s="98">
        <f t="shared" si="91"/>
        <v>0</v>
      </c>
      <c r="AQ301" s="98">
        <f t="shared" si="91"/>
        <v>0</v>
      </c>
      <c r="AR301" s="98">
        <f t="shared" si="91"/>
        <v>0</v>
      </c>
      <c r="AS301" s="98">
        <f t="shared" si="91"/>
        <v>0</v>
      </c>
      <c r="AV301" s="101" t="str">
        <f t="shared" si="88"/>
        <v>1.170800</v>
      </c>
      <c r="AW301" s="101">
        <v>800</v>
      </c>
      <c r="AX301" s="92">
        <v>80</v>
      </c>
      <c r="AY301" s="92">
        <v>510</v>
      </c>
      <c r="AZ301" s="92">
        <v>675</v>
      </c>
      <c r="BA301" s="202">
        <v>1015</v>
      </c>
      <c r="BB301" s="202">
        <v>1525</v>
      </c>
      <c r="BC301" s="202">
        <v>2540</v>
      </c>
      <c r="BD301" s="202">
        <v>4230</v>
      </c>
      <c r="BP301" s="101" t="str">
        <f t="shared" si="89"/>
        <v>3.130800</v>
      </c>
      <c r="BQ301" s="101">
        <v>800</v>
      </c>
      <c r="BR301" s="92">
        <v>80</v>
      </c>
      <c r="BS301" s="92">
        <v>510</v>
      </c>
      <c r="BT301" s="92">
        <v>675</v>
      </c>
      <c r="BU301" s="202">
        <v>1015</v>
      </c>
      <c r="BV301" s="202">
        <v>1525</v>
      </c>
      <c r="BW301" s="202">
        <v>2540</v>
      </c>
      <c r="BX301" s="202">
        <v>4230</v>
      </c>
    </row>
    <row r="302" spans="19:76">
      <c r="S302" s="99" t="s">
        <v>88</v>
      </c>
      <c r="T302" s="204" t="s">
        <v>217</v>
      </c>
      <c r="U302" s="98"/>
      <c r="V302" s="98">
        <f t="shared" si="90"/>
        <v>2000</v>
      </c>
      <c r="W302" s="98">
        <f t="shared" si="90"/>
        <v>1920</v>
      </c>
      <c r="X302" s="98">
        <f t="shared" si="90"/>
        <v>1880</v>
      </c>
      <c r="Y302" s="98">
        <f t="shared" si="90"/>
        <v>1880</v>
      </c>
      <c r="Z302" s="98">
        <f t="shared" si="90"/>
        <v>1880</v>
      </c>
      <c r="AA302" s="98">
        <f t="shared" si="90"/>
        <v>1880</v>
      </c>
      <c r="AB302" s="98">
        <f t="shared" si="90"/>
        <v>1860</v>
      </c>
      <c r="AC302" s="98">
        <f t="shared" si="90"/>
        <v>1860</v>
      </c>
      <c r="AD302" s="98">
        <f t="shared" si="90"/>
        <v>1840</v>
      </c>
      <c r="AE302" s="98">
        <f t="shared" si="90"/>
        <v>1800</v>
      </c>
      <c r="AF302" s="98">
        <f t="shared" si="91"/>
        <v>1760</v>
      </c>
      <c r="AG302" s="98">
        <f t="shared" si="91"/>
        <v>1720</v>
      </c>
      <c r="AH302" s="98">
        <f t="shared" si="91"/>
        <v>1640</v>
      </c>
      <c r="AI302" s="98">
        <f t="shared" si="91"/>
        <v>1580</v>
      </c>
      <c r="AJ302" s="98">
        <f t="shared" si="91"/>
        <v>685</v>
      </c>
      <c r="AK302" s="98">
        <f t="shared" si="91"/>
        <v>570</v>
      </c>
      <c r="AL302" s="98">
        <f t="shared" si="91"/>
        <v>430</v>
      </c>
      <c r="AM302" s="98">
        <f t="shared" si="91"/>
        <v>345</v>
      </c>
      <c r="AN302" s="98">
        <f t="shared" si="91"/>
        <v>0</v>
      </c>
      <c r="AO302" s="98">
        <f t="shared" si="91"/>
        <v>0</v>
      </c>
      <c r="AP302" s="98">
        <f t="shared" si="91"/>
        <v>0</v>
      </c>
      <c r="AQ302" s="98">
        <f t="shared" si="91"/>
        <v>0</v>
      </c>
      <c r="AR302" s="98">
        <f t="shared" si="91"/>
        <v>0</v>
      </c>
      <c r="AS302" s="98">
        <f t="shared" si="91"/>
        <v>0</v>
      </c>
      <c r="AV302" s="101" t="str">
        <f t="shared" si="88"/>
        <v>1.170850</v>
      </c>
      <c r="AW302" s="101">
        <v>850</v>
      </c>
      <c r="AX302" s="92">
        <v>65</v>
      </c>
      <c r="AY302" s="92">
        <v>485</v>
      </c>
      <c r="AZ302" s="92">
        <v>650</v>
      </c>
      <c r="BA302" s="92">
        <v>975</v>
      </c>
      <c r="BB302" s="202">
        <v>1460</v>
      </c>
      <c r="BC302" s="202">
        <v>2435</v>
      </c>
      <c r="BD302" s="202">
        <v>4060</v>
      </c>
      <c r="BP302" s="101" t="str">
        <f t="shared" si="89"/>
        <v>3.130850</v>
      </c>
      <c r="BQ302" s="101">
        <v>850</v>
      </c>
    </row>
    <row r="303" spans="19:76">
      <c r="S303" s="99" t="s">
        <v>89</v>
      </c>
      <c r="T303" s="204" t="s">
        <v>218</v>
      </c>
      <c r="U303" s="98"/>
      <c r="V303" s="98">
        <f t="shared" si="90"/>
        <v>5000</v>
      </c>
      <c r="W303" s="98">
        <f t="shared" si="90"/>
        <v>4380</v>
      </c>
      <c r="X303" s="98">
        <f t="shared" si="90"/>
        <v>4080</v>
      </c>
      <c r="Y303" s="98">
        <f t="shared" si="90"/>
        <v>3940</v>
      </c>
      <c r="Z303" s="98">
        <f t="shared" si="90"/>
        <v>3940</v>
      </c>
      <c r="AA303" s="98">
        <f t="shared" si="90"/>
        <v>3940</v>
      </c>
      <c r="AB303" s="98">
        <f t="shared" si="90"/>
        <v>3940</v>
      </c>
      <c r="AC303" s="98">
        <f t="shared" si="90"/>
        <v>3920</v>
      </c>
      <c r="AD303" s="98">
        <f t="shared" si="90"/>
        <v>3880</v>
      </c>
      <c r="AE303" s="98">
        <f t="shared" si="90"/>
        <v>3820</v>
      </c>
      <c r="AF303" s="98">
        <f t="shared" si="91"/>
        <v>3145</v>
      </c>
      <c r="AG303" s="98">
        <f t="shared" si="91"/>
        <v>2285</v>
      </c>
      <c r="AH303" s="98">
        <f t="shared" si="91"/>
        <v>0</v>
      </c>
      <c r="AI303" s="98">
        <f t="shared" si="91"/>
        <v>0</v>
      </c>
      <c r="AJ303" s="98">
        <f t="shared" si="91"/>
        <v>0</v>
      </c>
      <c r="AK303" s="98">
        <f t="shared" si="91"/>
        <v>0</v>
      </c>
      <c r="AL303" s="98">
        <f t="shared" si="91"/>
        <v>0</v>
      </c>
      <c r="AM303" s="98">
        <f t="shared" si="91"/>
        <v>0</v>
      </c>
      <c r="AN303" s="98">
        <f t="shared" si="91"/>
        <v>0</v>
      </c>
      <c r="AO303" s="98">
        <f t="shared" si="91"/>
        <v>0</v>
      </c>
      <c r="AP303" s="98">
        <f t="shared" si="91"/>
        <v>0</v>
      </c>
      <c r="AQ303" s="98">
        <f t="shared" si="91"/>
        <v>0</v>
      </c>
      <c r="AR303" s="98">
        <f t="shared" si="91"/>
        <v>0</v>
      </c>
      <c r="AS303" s="98">
        <f t="shared" si="91"/>
        <v>0</v>
      </c>
      <c r="AV303" s="101" t="str">
        <f t="shared" si="88"/>
        <v>1.170900</v>
      </c>
      <c r="AW303" s="101">
        <v>900</v>
      </c>
      <c r="AX303" s="92">
        <v>50</v>
      </c>
      <c r="AY303" s="92">
        <v>375</v>
      </c>
      <c r="AZ303" s="92">
        <v>500</v>
      </c>
      <c r="BA303" s="92">
        <v>745</v>
      </c>
      <c r="BB303" s="202">
        <v>1120</v>
      </c>
      <c r="BC303" s="202">
        <v>1870</v>
      </c>
      <c r="BD303" s="202">
        <v>3115</v>
      </c>
      <c r="BP303" s="101" t="str">
        <f t="shared" si="89"/>
        <v>3.130900</v>
      </c>
      <c r="BQ303" s="101">
        <v>900</v>
      </c>
    </row>
    <row r="304" spans="19:76">
      <c r="S304" s="99" t="s">
        <v>90</v>
      </c>
      <c r="T304" s="204" t="s">
        <v>219</v>
      </c>
      <c r="U304" s="98"/>
      <c r="V304" s="98">
        <f t="shared" si="90"/>
        <v>6250</v>
      </c>
      <c r="W304" s="98">
        <f t="shared" si="90"/>
        <v>6250</v>
      </c>
      <c r="X304" s="98">
        <f t="shared" si="90"/>
        <v>6070</v>
      </c>
      <c r="Y304" s="98">
        <f t="shared" si="90"/>
        <v>5880</v>
      </c>
      <c r="Z304" s="98">
        <f t="shared" si="90"/>
        <v>5540</v>
      </c>
      <c r="AA304" s="98">
        <f t="shared" si="90"/>
        <v>5040</v>
      </c>
      <c r="AB304" s="98">
        <f t="shared" si="90"/>
        <v>4905</v>
      </c>
      <c r="AC304" s="98">
        <f t="shared" si="90"/>
        <v>4730</v>
      </c>
      <c r="AD304" s="98">
        <f t="shared" si="90"/>
        <v>4430</v>
      </c>
      <c r="AE304" s="98">
        <f t="shared" si="90"/>
        <v>4230</v>
      </c>
      <c r="AF304" s="98">
        <f t="shared" si="91"/>
        <v>4060</v>
      </c>
      <c r="AG304" s="98">
        <f t="shared" si="91"/>
        <v>3745</v>
      </c>
      <c r="AH304" s="98">
        <f t="shared" si="91"/>
        <v>3030</v>
      </c>
      <c r="AI304" s="98">
        <f t="shared" si="91"/>
        <v>2000</v>
      </c>
      <c r="AJ304" s="98">
        <f t="shared" si="91"/>
        <v>1285</v>
      </c>
      <c r="AK304" s="98">
        <f t="shared" si="91"/>
        <v>855</v>
      </c>
      <c r="AL304" s="98">
        <f t="shared" si="91"/>
        <v>630</v>
      </c>
      <c r="AM304" s="98">
        <f t="shared" si="91"/>
        <v>570</v>
      </c>
      <c r="AN304" s="98">
        <f t="shared" si="91"/>
        <v>0</v>
      </c>
      <c r="AO304" s="98">
        <f t="shared" si="91"/>
        <v>0</v>
      </c>
      <c r="AP304" s="98">
        <f t="shared" si="91"/>
        <v>0</v>
      </c>
      <c r="AQ304" s="98">
        <f t="shared" si="91"/>
        <v>0</v>
      </c>
      <c r="AR304" s="98">
        <f t="shared" si="91"/>
        <v>0</v>
      </c>
      <c r="AS304" s="98">
        <f t="shared" si="91"/>
        <v>0</v>
      </c>
      <c r="AV304" s="101" t="str">
        <f t="shared" si="88"/>
        <v>1.170950</v>
      </c>
      <c r="AW304" s="101">
        <v>950</v>
      </c>
      <c r="AX304" s="92">
        <v>35</v>
      </c>
      <c r="AY304" s="92">
        <v>275</v>
      </c>
      <c r="AZ304" s="92">
        <v>365</v>
      </c>
      <c r="BA304" s="92">
        <v>550</v>
      </c>
      <c r="BB304" s="92">
        <v>825</v>
      </c>
      <c r="BC304" s="202">
        <v>1370</v>
      </c>
      <c r="BD304" s="202">
        <v>2285</v>
      </c>
      <c r="BP304" s="101" t="str">
        <f t="shared" si="89"/>
        <v>3.130950</v>
      </c>
      <c r="BQ304" s="101">
        <v>950</v>
      </c>
    </row>
    <row r="305" spans="19:76">
      <c r="S305" s="99" t="s">
        <v>91</v>
      </c>
      <c r="T305" s="204" t="s">
        <v>220</v>
      </c>
      <c r="U305" s="98"/>
      <c r="V305" s="98">
        <f t="shared" si="90"/>
        <v>6000</v>
      </c>
      <c r="W305" s="98">
        <f t="shared" si="90"/>
        <v>5540</v>
      </c>
      <c r="X305" s="98">
        <f t="shared" si="90"/>
        <v>5320</v>
      </c>
      <c r="Y305" s="98">
        <f t="shared" si="90"/>
        <v>5160</v>
      </c>
      <c r="Z305" s="98">
        <f t="shared" si="90"/>
        <v>5020</v>
      </c>
      <c r="AA305" s="98">
        <f t="shared" si="90"/>
        <v>4900</v>
      </c>
      <c r="AB305" s="98">
        <f t="shared" si="90"/>
        <v>4820</v>
      </c>
      <c r="AC305" s="98">
        <f t="shared" si="90"/>
        <v>4730</v>
      </c>
      <c r="AD305" s="98">
        <f t="shared" si="90"/>
        <v>4430</v>
      </c>
      <c r="AE305" s="98">
        <f t="shared" si="90"/>
        <v>4230</v>
      </c>
      <c r="AF305" s="98">
        <f t="shared" si="91"/>
        <v>4060</v>
      </c>
      <c r="AG305" s="98">
        <f t="shared" si="91"/>
        <v>3745</v>
      </c>
      <c r="AH305" s="98">
        <f t="shared" si="91"/>
        <v>3220</v>
      </c>
      <c r="AI305" s="98">
        <f t="shared" si="91"/>
        <v>3030</v>
      </c>
      <c r="AJ305" s="98">
        <f t="shared" si="91"/>
        <v>3000</v>
      </c>
      <c r="AK305" s="98">
        <f t="shared" si="91"/>
        <v>2685</v>
      </c>
      <c r="AL305" s="98">
        <f t="shared" si="91"/>
        <v>2285</v>
      </c>
      <c r="AM305" s="98">
        <f t="shared" si="91"/>
        <v>1715</v>
      </c>
      <c r="AN305" s="98">
        <f t="shared" si="91"/>
        <v>1200</v>
      </c>
      <c r="AO305" s="98">
        <f t="shared" si="91"/>
        <v>570</v>
      </c>
      <c r="AP305" s="98">
        <f t="shared" si="91"/>
        <v>455</v>
      </c>
      <c r="AQ305" s="98">
        <f t="shared" si="91"/>
        <v>315</v>
      </c>
      <c r="AR305" s="98">
        <f t="shared" si="91"/>
        <v>285</v>
      </c>
      <c r="AS305" s="98">
        <f t="shared" si="91"/>
        <v>230</v>
      </c>
      <c r="AV305" s="101" t="str">
        <f t="shared" si="88"/>
        <v>1.171000</v>
      </c>
      <c r="AW305" s="101">
        <v>1000</v>
      </c>
      <c r="AX305" s="92">
        <v>20</v>
      </c>
      <c r="AY305" s="92">
        <v>200</v>
      </c>
      <c r="AZ305" s="92">
        <v>265</v>
      </c>
      <c r="BA305" s="92">
        <v>400</v>
      </c>
      <c r="BB305" s="92">
        <v>595</v>
      </c>
      <c r="BC305" s="92">
        <v>995</v>
      </c>
      <c r="BD305" s="202">
        <v>1655</v>
      </c>
      <c r="BP305" s="101" t="str">
        <f t="shared" si="89"/>
        <v>3.131000</v>
      </c>
      <c r="BQ305" s="101">
        <v>1000</v>
      </c>
    </row>
    <row r="306" spans="19:76">
      <c r="S306" s="99" t="s">
        <v>92</v>
      </c>
      <c r="T306" s="204" t="s">
        <v>221</v>
      </c>
      <c r="U306" s="98"/>
      <c r="V306" s="98">
        <f t="shared" si="90"/>
        <v>6250</v>
      </c>
      <c r="W306" s="98">
        <f t="shared" si="90"/>
        <v>6250</v>
      </c>
      <c r="X306" s="98">
        <f t="shared" si="90"/>
        <v>6070</v>
      </c>
      <c r="Y306" s="98">
        <f t="shared" si="90"/>
        <v>5880</v>
      </c>
      <c r="Z306" s="98">
        <f t="shared" si="90"/>
        <v>5540</v>
      </c>
      <c r="AA306" s="98">
        <f t="shared" si="90"/>
        <v>5040</v>
      </c>
      <c r="AB306" s="98">
        <f t="shared" si="90"/>
        <v>4905</v>
      </c>
      <c r="AC306" s="98">
        <f t="shared" si="90"/>
        <v>4730</v>
      </c>
      <c r="AD306" s="98">
        <f t="shared" si="90"/>
        <v>4430</v>
      </c>
      <c r="AE306" s="98">
        <f t="shared" si="90"/>
        <v>4230</v>
      </c>
      <c r="AF306" s="98">
        <f t="shared" si="91"/>
        <v>0</v>
      </c>
      <c r="AG306" s="98">
        <f t="shared" si="91"/>
        <v>0</v>
      </c>
      <c r="AH306" s="98">
        <f t="shared" si="91"/>
        <v>0</v>
      </c>
      <c r="AI306" s="98">
        <f t="shared" si="91"/>
        <v>0</v>
      </c>
      <c r="AJ306" s="98">
        <f t="shared" si="91"/>
        <v>0</v>
      </c>
      <c r="AK306" s="98">
        <f t="shared" si="91"/>
        <v>0</v>
      </c>
      <c r="AL306" s="98">
        <f t="shared" si="91"/>
        <v>0</v>
      </c>
      <c r="AM306" s="98">
        <f t="shared" si="91"/>
        <v>0</v>
      </c>
      <c r="AN306" s="98">
        <f t="shared" si="91"/>
        <v>0</v>
      </c>
      <c r="AO306" s="98">
        <f t="shared" si="91"/>
        <v>0</v>
      </c>
      <c r="AP306" s="98">
        <f t="shared" si="91"/>
        <v>0</v>
      </c>
      <c r="AQ306" s="98">
        <f t="shared" si="91"/>
        <v>0</v>
      </c>
      <c r="AR306" s="98">
        <f t="shared" si="91"/>
        <v>0</v>
      </c>
      <c r="AS306" s="98">
        <f t="shared" si="91"/>
        <v>0</v>
      </c>
      <c r="AV306" s="101" t="str">
        <f t="shared" si="88"/>
        <v>1.171050</v>
      </c>
      <c r="AW306" s="101">
        <v>1050</v>
      </c>
      <c r="AY306" s="92">
        <v>145</v>
      </c>
      <c r="AZ306" s="92">
        <v>190</v>
      </c>
      <c r="BA306" s="92">
        <v>290</v>
      </c>
      <c r="BB306" s="92">
        <v>430</v>
      </c>
      <c r="BC306" s="92">
        <v>720</v>
      </c>
      <c r="BD306" s="202">
        <v>1200</v>
      </c>
      <c r="BP306" s="101" t="str">
        <f t="shared" si="89"/>
        <v>3.131050</v>
      </c>
      <c r="BQ306" s="101">
        <v>1050</v>
      </c>
    </row>
    <row r="307" spans="19:76">
      <c r="S307" s="99" t="s">
        <v>93</v>
      </c>
      <c r="T307" s="204" t="s">
        <v>222</v>
      </c>
      <c r="U307" s="98"/>
      <c r="V307" s="98">
        <f t="shared" si="90"/>
        <v>6250</v>
      </c>
      <c r="W307" s="98">
        <f t="shared" si="90"/>
        <v>6250</v>
      </c>
      <c r="X307" s="98">
        <f t="shared" si="90"/>
        <v>6070</v>
      </c>
      <c r="Y307" s="98">
        <f t="shared" si="90"/>
        <v>5820</v>
      </c>
      <c r="Z307" s="98">
        <f t="shared" si="90"/>
        <v>5540</v>
      </c>
      <c r="AA307" s="98">
        <f t="shared" si="90"/>
        <v>5040</v>
      </c>
      <c r="AB307" s="98">
        <f t="shared" si="90"/>
        <v>4905</v>
      </c>
      <c r="AC307" s="98">
        <f t="shared" si="90"/>
        <v>4730</v>
      </c>
      <c r="AD307" s="98">
        <f t="shared" si="90"/>
        <v>4430</v>
      </c>
      <c r="AE307" s="98">
        <f t="shared" si="90"/>
        <v>4230</v>
      </c>
      <c r="AF307" s="98">
        <f t="shared" si="91"/>
        <v>4060</v>
      </c>
      <c r="AG307" s="98">
        <f t="shared" si="91"/>
        <v>3745</v>
      </c>
      <c r="AH307" s="98">
        <f t="shared" si="91"/>
        <v>3220</v>
      </c>
      <c r="AI307" s="98">
        <f t="shared" si="91"/>
        <v>3030</v>
      </c>
      <c r="AJ307" s="98">
        <f t="shared" si="91"/>
        <v>3000</v>
      </c>
      <c r="AK307" s="98">
        <f t="shared" si="91"/>
        <v>2685</v>
      </c>
      <c r="AL307" s="98">
        <f t="shared" si="91"/>
        <v>2285</v>
      </c>
      <c r="AM307" s="98">
        <f t="shared" si="91"/>
        <v>1715</v>
      </c>
      <c r="AN307" s="98">
        <f t="shared" si="91"/>
        <v>1370</v>
      </c>
      <c r="AO307" s="98">
        <f t="shared" si="91"/>
        <v>1000</v>
      </c>
      <c r="AP307" s="98">
        <f t="shared" si="91"/>
        <v>0</v>
      </c>
      <c r="AQ307" s="98">
        <f t="shared" si="91"/>
        <v>0</v>
      </c>
      <c r="AR307" s="98">
        <f t="shared" si="91"/>
        <v>0</v>
      </c>
      <c r="AS307" s="98">
        <f t="shared" si="91"/>
        <v>0</v>
      </c>
      <c r="AV307" s="101" t="str">
        <f t="shared" si="88"/>
        <v>1.171100</v>
      </c>
      <c r="AW307" s="101">
        <v>1100</v>
      </c>
      <c r="AY307" s="92">
        <v>95</v>
      </c>
      <c r="AZ307" s="92">
        <v>130</v>
      </c>
      <c r="BA307" s="92">
        <v>190</v>
      </c>
      <c r="BB307" s="92">
        <v>290</v>
      </c>
      <c r="BC307" s="92">
        <v>480</v>
      </c>
      <c r="BD307" s="92">
        <v>800</v>
      </c>
      <c r="BP307" s="101" t="str">
        <f t="shared" si="89"/>
        <v>3.131100</v>
      </c>
      <c r="BQ307" s="101">
        <v>1100</v>
      </c>
    </row>
    <row r="308" spans="19:76">
      <c r="S308" s="99" t="s">
        <v>94</v>
      </c>
      <c r="T308" s="204" t="s">
        <v>223</v>
      </c>
      <c r="U308" s="98"/>
      <c r="V308" s="98">
        <f t="shared" si="90"/>
        <v>6250</v>
      </c>
      <c r="W308" s="98">
        <f t="shared" si="90"/>
        <v>6250</v>
      </c>
      <c r="X308" s="98">
        <f t="shared" si="90"/>
        <v>5760</v>
      </c>
      <c r="Y308" s="98">
        <f t="shared" si="90"/>
        <v>5320</v>
      </c>
      <c r="Z308" s="98">
        <f t="shared" si="90"/>
        <v>4960</v>
      </c>
      <c r="AA308" s="98">
        <f t="shared" si="90"/>
        <v>4700</v>
      </c>
      <c r="AB308" s="98">
        <f t="shared" si="90"/>
        <v>4600</v>
      </c>
      <c r="AC308" s="98">
        <f t="shared" si="90"/>
        <v>4520</v>
      </c>
      <c r="AD308" s="98">
        <f t="shared" si="90"/>
        <v>4430</v>
      </c>
      <c r="AE308" s="98">
        <f t="shared" si="90"/>
        <v>4230</v>
      </c>
      <c r="AF308" s="98">
        <f t="shared" si="91"/>
        <v>4060</v>
      </c>
      <c r="AG308" s="98">
        <f t="shared" si="91"/>
        <v>3745</v>
      </c>
      <c r="AH308" s="98">
        <f t="shared" si="91"/>
        <v>3220</v>
      </c>
      <c r="AI308" s="98">
        <f t="shared" si="91"/>
        <v>3030</v>
      </c>
      <c r="AJ308" s="98">
        <f t="shared" si="91"/>
        <v>3000</v>
      </c>
      <c r="AK308" s="98">
        <f t="shared" si="91"/>
        <v>2685</v>
      </c>
      <c r="AL308" s="98">
        <f t="shared" si="91"/>
        <v>2285</v>
      </c>
      <c r="AM308" s="98">
        <f t="shared" si="91"/>
        <v>1715</v>
      </c>
      <c r="AN308" s="98">
        <f t="shared" si="91"/>
        <v>1515</v>
      </c>
      <c r="AO308" s="98">
        <f t="shared" si="91"/>
        <v>1145</v>
      </c>
      <c r="AP308" s="98">
        <f t="shared" si="91"/>
        <v>860</v>
      </c>
      <c r="AQ308" s="98">
        <f t="shared" si="91"/>
        <v>630</v>
      </c>
      <c r="AR308" s="98">
        <f t="shared" si="91"/>
        <v>485</v>
      </c>
      <c r="AS308" s="98">
        <f t="shared" si="91"/>
        <v>345</v>
      </c>
      <c r="AV308" s="101" t="str">
        <f t="shared" si="88"/>
        <v>1.171150</v>
      </c>
      <c r="AW308" s="101">
        <v>1150</v>
      </c>
      <c r="AY308" s="92">
        <v>60</v>
      </c>
      <c r="AZ308" s="92">
        <v>80</v>
      </c>
      <c r="BA308" s="92">
        <v>125</v>
      </c>
      <c r="BB308" s="92">
        <v>185</v>
      </c>
      <c r="BC308" s="92">
        <v>310</v>
      </c>
      <c r="BD308" s="92">
        <v>515</v>
      </c>
      <c r="BP308" s="101" t="str">
        <f t="shared" si="89"/>
        <v>3.131150</v>
      </c>
      <c r="BQ308" s="101">
        <v>1150</v>
      </c>
    </row>
    <row r="309" spans="19:76">
      <c r="S309" s="99" t="s">
        <v>95</v>
      </c>
      <c r="T309" s="204" t="s">
        <v>95</v>
      </c>
      <c r="U309" s="98"/>
      <c r="V309" s="98">
        <f t="shared" si="90"/>
        <v>6250</v>
      </c>
      <c r="W309" s="98">
        <f t="shared" si="90"/>
        <v>6250</v>
      </c>
      <c r="X309" s="98">
        <f t="shared" si="90"/>
        <v>5700</v>
      </c>
      <c r="Y309" s="98">
        <f t="shared" si="90"/>
        <v>5320</v>
      </c>
      <c r="Z309" s="98">
        <f t="shared" si="90"/>
        <v>5140</v>
      </c>
      <c r="AA309" s="98">
        <f t="shared" si="90"/>
        <v>4940</v>
      </c>
      <c r="AB309" s="98">
        <f t="shared" si="90"/>
        <v>4760</v>
      </c>
      <c r="AC309" s="98">
        <f t="shared" si="90"/>
        <v>0</v>
      </c>
      <c r="AD309" s="98">
        <f t="shared" si="90"/>
        <v>0</v>
      </c>
      <c r="AE309" s="98">
        <f t="shared" si="90"/>
        <v>0</v>
      </c>
      <c r="AF309" s="98">
        <f t="shared" si="91"/>
        <v>0</v>
      </c>
      <c r="AG309" s="98">
        <f t="shared" si="91"/>
        <v>0</v>
      </c>
      <c r="AH309" s="98">
        <f t="shared" si="91"/>
        <v>0</v>
      </c>
      <c r="AI309" s="98">
        <f t="shared" si="91"/>
        <v>0</v>
      </c>
      <c r="AJ309" s="98">
        <f t="shared" si="91"/>
        <v>0</v>
      </c>
      <c r="AK309" s="98">
        <f t="shared" si="91"/>
        <v>0</v>
      </c>
      <c r="AL309" s="98">
        <f t="shared" si="91"/>
        <v>0</v>
      </c>
      <c r="AM309" s="98">
        <f t="shared" si="91"/>
        <v>0</v>
      </c>
      <c r="AN309" s="98">
        <f t="shared" si="91"/>
        <v>0</v>
      </c>
      <c r="AO309" s="98">
        <f t="shared" si="91"/>
        <v>0</v>
      </c>
      <c r="AP309" s="98">
        <f t="shared" si="91"/>
        <v>0</v>
      </c>
      <c r="AQ309" s="98">
        <f t="shared" si="91"/>
        <v>0</v>
      </c>
      <c r="AR309" s="98">
        <f t="shared" si="91"/>
        <v>0</v>
      </c>
      <c r="AS309" s="98">
        <f t="shared" si="91"/>
        <v>0</v>
      </c>
      <c r="AV309" s="101" t="str">
        <f t="shared" si="88"/>
        <v>1.171200</v>
      </c>
      <c r="AW309" s="101">
        <v>1200</v>
      </c>
      <c r="AY309" s="92">
        <v>35</v>
      </c>
      <c r="AZ309" s="92">
        <v>45</v>
      </c>
      <c r="BA309" s="92">
        <v>70</v>
      </c>
      <c r="BB309" s="92">
        <v>105</v>
      </c>
      <c r="BC309" s="92">
        <v>170</v>
      </c>
      <c r="BD309" s="92">
        <v>285</v>
      </c>
      <c r="BP309" s="101" t="str">
        <f t="shared" si="89"/>
        <v>3.131200</v>
      </c>
      <c r="BQ309" s="101">
        <v>1200</v>
      </c>
    </row>
    <row r="310" spans="19:76">
      <c r="S310" s="99" t="s">
        <v>96</v>
      </c>
      <c r="T310" s="204" t="s">
        <v>96</v>
      </c>
      <c r="U310" s="98"/>
      <c r="V310" s="98">
        <f t="shared" ref="V310:AE317" si="92">VLOOKUP($T310&amp;TEXT(V$1,"0000"),$BP$4:$BX$435,9)</f>
        <v>6200</v>
      </c>
      <c r="W310" s="98">
        <f t="shared" si="92"/>
        <v>5020</v>
      </c>
      <c r="X310" s="98">
        <f t="shared" si="92"/>
        <v>4540</v>
      </c>
      <c r="Y310" s="98">
        <f t="shared" si="92"/>
        <v>4160</v>
      </c>
      <c r="Z310" s="98">
        <f t="shared" si="92"/>
        <v>3800</v>
      </c>
      <c r="AA310" s="98">
        <f t="shared" si="92"/>
        <v>3560</v>
      </c>
      <c r="AB310" s="98">
        <f t="shared" si="92"/>
        <v>3480</v>
      </c>
      <c r="AC310" s="98">
        <f t="shared" si="92"/>
        <v>3420</v>
      </c>
      <c r="AD310" s="98">
        <f t="shared" si="92"/>
        <v>0</v>
      </c>
      <c r="AE310" s="98">
        <f t="shared" si="92"/>
        <v>0</v>
      </c>
      <c r="AF310" s="98">
        <f t="shared" ref="AF310:AS317" si="93">VLOOKUP($T310&amp;TEXT(AF$1,"0000"),$BP$4:$BX$435,9)</f>
        <v>0</v>
      </c>
      <c r="AG310" s="98">
        <f t="shared" si="93"/>
        <v>0</v>
      </c>
      <c r="AH310" s="98">
        <f t="shared" si="93"/>
        <v>0</v>
      </c>
      <c r="AI310" s="98">
        <f t="shared" si="93"/>
        <v>0</v>
      </c>
      <c r="AJ310" s="98">
        <f t="shared" si="93"/>
        <v>0</v>
      </c>
      <c r="AK310" s="98">
        <f t="shared" si="93"/>
        <v>0</v>
      </c>
      <c r="AL310" s="98">
        <f t="shared" si="93"/>
        <v>0</v>
      </c>
      <c r="AM310" s="98">
        <f t="shared" si="93"/>
        <v>0</v>
      </c>
      <c r="AN310" s="98">
        <f t="shared" si="93"/>
        <v>0</v>
      </c>
      <c r="AO310" s="98">
        <f t="shared" si="93"/>
        <v>0</v>
      </c>
      <c r="AP310" s="98">
        <f t="shared" si="93"/>
        <v>0</v>
      </c>
      <c r="AQ310" s="98">
        <f t="shared" si="93"/>
        <v>0</v>
      </c>
      <c r="AR310" s="98">
        <f t="shared" si="93"/>
        <v>0</v>
      </c>
      <c r="AS310" s="98">
        <f t="shared" si="93"/>
        <v>0</v>
      </c>
      <c r="AV310" s="101" t="str">
        <f t="shared" si="88"/>
        <v>1.171250</v>
      </c>
      <c r="AW310" s="101">
        <v>1250</v>
      </c>
      <c r="BP310" s="101" t="str">
        <f t="shared" si="89"/>
        <v>3.131250</v>
      </c>
      <c r="BQ310" s="101">
        <v>1250</v>
      </c>
    </row>
    <row r="311" spans="19:76">
      <c r="S311" s="99" t="s">
        <v>97</v>
      </c>
      <c r="T311" s="204" t="s">
        <v>97</v>
      </c>
      <c r="U311" s="98"/>
      <c r="V311" s="98">
        <f t="shared" si="92"/>
        <v>5600</v>
      </c>
      <c r="W311" s="98">
        <f t="shared" si="92"/>
        <v>5180</v>
      </c>
      <c r="X311" s="98">
        <f t="shared" si="92"/>
        <v>4860</v>
      </c>
      <c r="Y311" s="98">
        <f t="shared" si="92"/>
        <v>4480</v>
      </c>
      <c r="Z311" s="98">
        <f t="shared" si="92"/>
        <v>4160</v>
      </c>
      <c r="AA311" s="98">
        <f t="shared" si="92"/>
        <v>3940</v>
      </c>
      <c r="AB311" s="98">
        <f t="shared" si="92"/>
        <v>3840</v>
      </c>
      <c r="AC311" s="98">
        <f t="shared" si="92"/>
        <v>3760</v>
      </c>
      <c r="AD311" s="98">
        <f t="shared" si="92"/>
        <v>3680</v>
      </c>
      <c r="AE311" s="98">
        <f t="shared" si="92"/>
        <v>3600</v>
      </c>
      <c r="AF311" s="98">
        <f t="shared" si="93"/>
        <v>0</v>
      </c>
      <c r="AG311" s="98">
        <f t="shared" si="93"/>
        <v>0</v>
      </c>
      <c r="AH311" s="98">
        <f t="shared" si="93"/>
        <v>0</v>
      </c>
      <c r="AI311" s="98">
        <f t="shared" si="93"/>
        <v>0</v>
      </c>
      <c r="AJ311" s="98">
        <f t="shared" si="93"/>
        <v>0</v>
      </c>
      <c r="AK311" s="98">
        <f t="shared" si="93"/>
        <v>0</v>
      </c>
      <c r="AL311" s="98">
        <f t="shared" si="93"/>
        <v>0</v>
      </c>
      <c r="AM311" s="98">
        <f t="shared" si="93"/>
        <v>0</v>
      </c>
      <c r="AN311" s="98">
        <f t="shared" si="93"/>
        <v>0</v>
      </c>
      <c r="AO311" s="98">
        <f t="shared" si="93"/>
        <v>0</v>
      </c>
      <c r="AP311" s="98">
        <f t="shared" si="93"/>
        <v>0</v>
      </c>
      <c r="AQ311" s="98">
        <f t="shared" si="93"/>
        <v>0</v>
      </c>
      <c r="AR311" s="98">
        <f t="shared" si="93"/>
        <v>0</v>
      </c>
      <c r="AS311" s="98">
        <f t="shared" si="93"/>
        <v>0</v>
      </c>
      <c r="AV311" s="101" t="str">
        <f t="shared" si="88"/>
        <v>1.171300</v>
      </c>
      <c r="AW311" s="101">
        <v>1300</v>
      </c>
      <c r="BP311" s="101" t="str">
        <f t="shared" si="89"/>
        <v>3.131300</v>
      </c>
      <c r="BQ311" s="101">
        <v>1300</v>
      </c>
    </row>
    <row r="312" spans="19:76">
      <c r="S312" s="99" t="s">
        <v>98</v>
      </c>
      <c r="T312" s="204" t="s">
        <v>98</v>
      </c>
      <c r="U312" s="98"/>
      <c r="V312" s="98">
        <f t="shared" si="92"/>
        <v>6250</v>
      </c>
      <c r="W312" s="98">
        <f t="shared" si="92"/>
        <v>5860</v>
      </c>
      <c r="X312" s="98">
        <f t="shared" si="92"/>
        <v>5540</v>
      </c>
      <c r="Y312" s="98">
        <f t="shared" si="92"/>
        <v>5240</v>
      </c>
      <c r="Z312" s="98">
        <f t="shared" si="92"/>
        <v>4960</v>
      </c>
      <c r="AA312" s="98">
        <f t="shared" si="92"/>
        <v>4680</v>
      </c>
      <c r="AB312" s="98">
        <f t="shared" si="92"/>
        <v>4580</v>
      </c>
      <c r="AC312" s="98">
        <f t="shared" si="92"/>
        <v>4500</v>
      </c>
      <c r="AD312" s="98">
        <f t="shared" si="92"/>
        <v>4430</v>
      </c>
      <c r="AE312" s="98">
        <f t="shared" si="92"/>
        <v>4230</v>
      </c>
      <c r="AF312" s="98">
        <f t="shared" si="93"/>
        <v>0</v>
      </c>
      <c r="AG312" s="98">
        <f t="shared" si="93"/>
        <v>0</v>
      </c>
      <c r="AH312" s="98">
        <f t="shared" si="93"/>
        <v>0</v>
      </c>
      <c r="AI312" s="98">
        <f t="shared" si="93"/>
        <v>0</v>
      </c>
      <c r="AJ312" s="98">
        <f t="shared" si="93"/>
        <v>0</v>
      </c>
      <c r="AK312" s="98">
        <f t="shared" si="93"/>
        <v>0</v>
      </c>
      <c r="AL312" s="98">
        <f t="shared" si="93"/>
        <v>0</v>
      </c>
      <c r="AM312" s="98">
        <f t="shared" si="93"/>
        <v>0</v>
      </c>
      <c r="AN312" s="98">
        <f t="shared" si="93"/>
        <v>0</v>
      </c>
      <c r="AO312" s="98">
        <f t="shared" si="93"/>
        <v>0</v>
      </c>
      <c r="AP312" s="98">
        <f t="shared" si="93"/>
        <v>0</v>
      </c>
      <c r="AQ312" s="98">
        <f t="shared" si="93"/>
        <v>0</v>
      </c>
      <c r="AR312" s="98">
        <f t="shared" si="93"/>
        <v>0</v>
      </c>
      <c r="AS312" s="98">
        <f t="shared" si="93"/>
        <v>0</v>
      </c>
      <c r="AV312" s="101" t="str">
        <f t="shared" si="88"/>
        <v>1.171350</v>
      </c>
      <c r="AW312" s="101">
        <v>1350</v>
      </c>
      <c r="BP312" s="101" t="str">
        <f t="shared" si="89"/>
        <v>3.131350</v>
      </c>
      <c r="BQ312" s="101">
        <v>1350</v>
      </c>
    </row>
    <row r="313" spans="19:76">
      <c r="S313" s="99" t="s">
        <v>99</v>
      </c>
      <c r="T313" s="204" t="s">
        <v>99</v>
      </c>
      <c r="U313" s="98"/>
      <c r="V313" s="98">
        <f t="shared" si="92"/>
        <v>6000</v>
      </c>
      <c r="W313" s="98">
        <f t="shared" si="92"/>
        <v>5400</v>
      </c>
      <c r="X313" s="98">
        <f t="shared" si="92"/>
        <v>5000</v>
      </c>
      <c r="Y313" s="98">
        <f t="shared" si="92"/>
        <v>4700</v>
      </c>
      <c r="Z313" s="98">
        <f t="shared" si="92"/>
        <v>4480</v>
      </c>
      <c r="AA313" s="98">
        <f t="shared" si="92"/>
        <v>4320</v>
      </c>
      <c r="AB313" s="98">
        <f t="shared" si="92"/>
        <v>4260</v>
      </c>
      <c r="AC313" s="98">
        <f t="shared" si="92"/>
        <v>4220</v>
      </c>
      <c r="AD313" s="98">
        <f t="shared" si="92"/>
        <v>4180</v>
      </c>
      <c r="AE313" s="98">
        <f t="shared" si="92"/>
        <v>4160</v>
      </c>
      <c r="AF313" s="98">
        <f t="shared" si="93"/>
        <v>4060</v>
      </c>
      <c r="AG313" s="98">
        <f t="shared" si="93"/>
        <v>3745</v>
      </c>
      <c r="AH313" s="98">
        <f t="shared" si="93"/>
        <v>3220</v>
      </c>
      <c r="AI313" s="98">
        <f t="shared" si="93"/>
        <v>3030</v>
      </c>
      <c r="AJ313" s="98">
        <f t="shared" si="93"/>
        <v>0</v>
      </c>
      <c r="AK313" s="98">
        <f t="shared" si="93"/>
        <v>0</v>
      </c>
      <c r="AL313" s="98">
        <f t="shared" si="93"/>
        <v>0</v>
      </c>
      <c r="AM313" s="98">
        <f t="shared" si="93"/>
        <v>0</v>
      </c>
      <c r="AN313" s="98">
        <f t="shared" si="93"/>
        <v>0</v>
      </c>
      <c r="AO313" s="98">
        <f t="shared" si="93"/>
        <v>0</v>
      </c>
      <c r="AP313" s="98">
        <f t="shared" si="93"/>
        <v>0</v>
      </c>
      <c r="AQ313" s="98">
        <f t="shared" si="93"/>
        <v>0</v>
      </c>
      <c r="AR313" s="98">
        <f t="shared" si="93"/>
        <v>0</v>
      </c>
      <c r="AS313" s="98">
        <f t="shared" si="93"/>
        <v>0</v>
      </c>
      <c r="AV313" s="101" t="str">
        <f t="shared" si="88"/>
        <v>1.171400</v>
      </c>
      <c r="AW313" s="101">
        <v>1400</v>
      </c>
      <c r="BP313" s="101" t="str">
        <f t="shared" si="89"/>
        <v>3.131400</v>
      </c>
      <c r="BQ313" s="101">
        <v>1400</v>
      </c>
    </row>
    <row r="314" spans="19:76">
      <c r="S314" s="99" t="s">
        <v>100</v>
      </c>
      <c r="T314" s="204" t="s">
        <v>100</v>
      </c>
      <c r="U314" s="98"/>
      <c r="V314" s="98">
        <f t="shared" si="92"/>
        <v>5000</v>
      </c>
      <c r="W314" s="98">
        <f t="shared" si="92"/>
        <v>4600</v>
      </c>
      <c r="X314" s="98">
        <f t="shared" si="92"/>
        <v>4340</v>
      </c>
      <c r="Y314" s="98">
        <f t="shared" si="92"/>
        <v>4080</v>
      </c>
      <c r="Z314" s="98">
        <f t="shared" si="92"/>
        <v>3860</v>
      </c>
      <c r="AA314" s="98">
        <f t="shared" si="92"/>
        <v>3660</v>
      </c>
      <c r="AB314" s="98">
        <f t="shared" si="92"/>
        <v>3580</v>
      </c>
      <c r="AC314" s="98">
        <f t="shared" si="92"/>
        <v>3480</v>
      </c>
      <c r="AD314" s="98">
        <f t="shared" si="92"/>
        <v>3420</v>
      </c>
      <c r="AE314" s="98">
        <f t="shared" si="92"/>
        <v>3340</v>
      </c>
      <c r="AF314" s="98">
        <f t="shared" si="93"/>
        <v>3280</v>
      </c>
      <c r="AG314" s="98">
        <f t="shared" si="93"/>
        <v>3220</v>
      </c>
      <c r="AH314" s="98">
        <f t="shared" si="93"/>
        <v>3160</v>
      </c>
      <c r="AI314" s="98">
        <f t="shared" si="93"/>
        <v>3030</v>
      </c>
      <c r="AJ314" s="98">
        <f t="shared" si="93"/>
        <v>2915</v>
      </c>
      <c r="AK314" s="98">
        <f t="shared" si="93"/>
        <v>2685</v>
      </c>
      <c r="AL314" s="98">
        <f t="shared" si="93"/>
        <v>2285</v>
      </c>
      <c r="AM314" s="98">
        <f t="shared" si="93"/>
        <v>1715</v>
      </c>
      <c r="AN314" s="98">
        <f t="shared" si="93"/>
        <v>1515</v>
      </c>
      <c r="AO314" s="98">
        <f t="shared" si="93"/>
        <v>1145</v>
      </c>
      <c r="AP314" s="98">
        <f t="shared" si="93"/>
        <v>860</v>
      </c>
      <c r="AQ314" s="98">
        <f t="shared" si="93"/>
        <v>630</v>
      </c>
      <c r="AR314" s="98">
        <f t="shared" si="93"/>
        <v>485</v>
      </c>
      <c r="AS314" s="98">
        <f t="shared" si="93"/>
        <v>345</v>
      </c>
      <c r="AV314" s="101" t="str">
        <f t="shared" si="88"/>
        <v>1.171450</v>
      </c>
      <c r="AW314" s="101">
        <v>1450</v>
      </c>
      <c r="BP314" s="101" t="str">
        <f t="shared" si="89"/>
        <v>3.131450</v>
      </c>
      <c r="BQ314" s="101">
        <v>1450</v>
      </c>
    </row>
    <row r="315" spans="19:76">
      <c r="S315" s="99" t="s">
        <v>101</v>
      </c>
      <c r="T315" s="204" t="s">
        <v>101</v>
      </c>
      <c r="U315" s="98"/>
      <c r="V315" s="98">
        <f t="shared" si="92"/>
        <v>6000</v>
      </c>
      <c r="W315" s="98">
        <f t="shared" si="92"/>
        <v>5300</v>
      </c>
      <c r="X315" s="98">
        <f t="shared" si="92"/>
        <v>4940</v>
      </c>
      <c r="Y315" s="98">
        <f t="shared" si="92"/>
        <v>4640</v>
      </c>
      <c r="Z315" s="98">
        <f t="shared" si="92"/>
        <v>4400</v>
      </c>
      <c r="AA315" s="98">
        <f t="shared" si="92"/>
        <v>4200</v>
      </c>
      <c r="AB315" s="98">
        <f t="shared" si="92"/>
        <v>4120</v>
      </c>
      <c r="AC315" s="98">
        <f t="shared" si="92"/>
        <v>4020</v>
      </c>
      <c r="AD315" s="98">
        <f t="shared" si="92"/>
        <v>3940</v>
      </c>
      <c r="AE315" s="98">
        <f t="shared" si="92"/>
        <v>3860</v>
      </c>
      <c r="AF315" s="98">
        <f t="shared" si="93"/>
        <v>3780</v>
      </c>
      <c r="AG315" s="98">
        <f t="shared" si="93"/>
        <v>3700</v>
      </c>
      <c r="AH315" s="98">
        <f t="shared" si="93"/>
        <v>3220</v>
      </c>
      <c r="AI315" s="98">
        <f t="shared" si="93"/>
        <v>3030</v>
      </c>
      <c r="AJ315" s="98">
        <f t="shared" si="93"/>
        <v>2855</v>
      </c>
      <c r="AK315" s="98">
        <f t="shared" si="93"/>
        <v>2230</v>
      </c>
      <c r="AL315" s="98">
        <f t="shared" si="93"/>
        <v>1715</v>
      </c>
      <c r="AM315" s="98">
        <f t="shared" si="93"/>
        <v>1345</v>
      </c>
      <c r="AN315" s="98">
        <f t="shared" si="93"/>
        <v>1085</v>
      </c>
      <c r="AO315" s="98">
        <f t="shared" si="93"/>
        <v>885</v>
      </c>
      <c r="AP315" s="98">
        <f t="shared" si="93"/>
        <v>685</v>
      </c>
      <c r="AQ315" s="98">
        <f t="shared" si="93"/>
        <v>515</v>
      </c>
      <c r="AR315" s="98">
        <f t="shared" si="93"/>
        <v>430</v>
      </c>
      <c r="AS315" s="98">
        <f t="shared" si="93"/>
        <v>315</v>
      </c>
      <c r="AV315" s="101" t="str">
        <f t="shared" si="88"/>
        <v>1.171500</v>
      </c>
      <c r="AW315" s="101">
        <v>1500</v>
      </c>
      <c r="BP315" s="101" t="str">
        <f t="shared" si="89"/>
        <v>3.131500</v>
      </c>
      <c r="BQ315" s="101">
        <v>1500</v>
      </c>
    </row>
    <row r="316" spans="19:76">
      <c r="S316" s="99" t="s">
        <v>213</v>
      </c>
      <c r="T316" s="204" t="s">
        <v>213</v>
      </c>
      <c r="U316" s="98"/>
      <c r="V316" s="98">
        <f t="shared" si="92"/>
        <v>5000</v>
      </c>
      <c r="W316" s="98">
        <f t="shared" si="92"/>
        <v>4320</v>
      </c>
      <c r="X316" s="98">
        <f t="shared" si="92"/>
        <v>3880</v>
      </c>
      <c r="Y316" s="98">
        <f t="shared" si="92"/>
        <v>3520</v>
      </c>
      <c r="Z316" s="98">
        <f t="shared" si="92"/>
        <v>3240</v>
      </c>
      <c r="AA316" s="98">
        <f t="shared" si="92"/>
        <v>3000</v>
      </c>
      <c r="AB316" s="98">
        <f t="shared" si="92"/>
        <v>0</v>
      </c>
      <c r="AC316" s="98">
        <f t="shared" si="92"/>
        <v>0</v>
      </c>
      <c r="AD316" s="98">
        <f t="shared" si="92"/>
        <v>0</v>
      </c>
      <c r="AE316" s="98">
        <f t="shared" si="92"/>
        <v>0</v>
      </c>
      <c r="AF316" s="98">
        <f t="shared" si="93"/>
        <v>0</v>
      </c>
      <c r="AG316" s="98">
        <f t="shared" si="93"/>
        <v>0</v>
      </c>
      <c r="AH316" s="98">
        <f t="shared" si="93"/>
        <v>0</v>
      </c>
      <c r="AI316" s="98">
        <f t="shared" si="93"/>
        <v>0</v>
      </c>
      <c r="AJ316" s="98">
        <f t="shared" si="93"/>
        <v>0</v>
      </c>
      <c r="AK316" s="98">
        <f t="shared" si="93"/>
        <v>0</v>
      </c>
      <c r="AL316" s="98">
        <f t="shared" si="93"/>
        <v>0</v>
      </c>
      <c r="AM316" s="98">
        <f t="shared" si="93"/>
        <v>0</v>
      </c>
      <c r="AN316" s="98">
        <f t="shared" si="93"/>
        <v>0</v>
      </c>
      <c r="AO316" s="98">
        <f t="shared" si="93"/>
        <v>0</v>
      </c>
      <c r="AP316" s="98">
        <f t="shared" si="93"/>
        <v>0</v>
      </c>
      <c r="AQ316" s="98">
        <f t="shared" si="93"/>
        <v>0</v>
      </c>
      <c r="AR316" s="98">
        <f t="shared" si="93"/>
        <v>0</v>
      </c>
      <c r="AS316" s="98">
        <f t="shared" si="93"/>
        <v>0</v>
      </c>
      <c r="AU316" s="92">
        <v>1.18</v>
      </c>
      <c r="AV316" s="101" t="str">
        <f>AU$316&amp;TEXT(AW316,"0000")</f>
        <v>1.180100</v>
      </c>
      <c r="AW316" s="92">
        <v>100</v>
      </c>
      <c r="AX316" s="92">
        <v>290</v>
      </c>
      <c r="AY316" s="92">
        <v>750</v>
      </c>
      <c r="AZ316" s="202">
        <v>1000</v>
      </c>
      <c r="BA316" s="202">
        <v>1500</v>
      </c>
      <c r="BB316" s="202">
        <v>2250</v>
      </c>
      <c r="BC316" s="202">
        <v>3750</v>
      </c>
      <c r="BD316" s="202">
        <v>6250</v>
      </c>
      <c r="BO316" s="92">
        <v>3.14</v>
      </c>
      <c r="BP316" s="101" t="str">
        <f t="shared" ref="BP316:BP339" si="94">BO$316&amp;TEXT(BQ316,"0000")</f>
        <v>3.140100</v>
      </c>
      <c r="BQ316" s="92">
        <v>100</v>
      </c>
      <c r="BR316" s="92">
        <v>275</v>
      </c>
      <c r="BS316" s="92">
        <v>720</v>
      </c>
      <c r="BT316" s="92">
        <v>960</v>
      </c>
      <c r="BU316" s="202">
        <v>1440</v>
      </c>
      <c r="BV316" s="202">
        <v>2160</v>
      </c>
      <c r="BW316" s="202">
        <v>3600</v>
      </c>
      <c r="BX316" s="202">
        <v>6000</v>
      </c>
    </row>
    <row r="317" spans="19:76">
      <c r="S317" s="99" t="s">
        <v>214</v>
      </c>
      <c r="T317" s="204" t="s">
        <v>214</v>
      </c>
      <c r="U317" s="98"/>
      <c r="V317" s="98">
        <f t="shared" si="92"/>
        <v>6250</v>
      </c>
      <c r="W317" s="98">
        <f t="shared" si="92"/>
        <v>6250</v>
      </c>
      <c r="X317" s="98">
        <f t="shared" si="92"/>
        <v>6070</v>
      </c>
      <c r="Y317" s="98">
        <f t="shared" si="92"/>
        <v>5880</v>
      </c>
      <c r="Z317" s="98">
        <f t="shared" si="92"/>
        <v>5540</v>
      </c>
      <c r="AA317" s="98">
        <f t="shared" si="92"/>
        <v>5040</v>
      </c>
      <c r="AB317" s="98">
        <f t="shared" si="92"/>
        <v>4905</v>
      </c>
      <c r="AC317" s="98">
        <f t="shared" si="92"/>
        <v>4730</v>
      </c>
      <c r="AD317" s="98">
        <f t="shared" si="92"/>
        <v>4430</v>
      </c>
      <c r="AE317" s="98">
        <f t="shared" si="92"/>
        <v>4230</v>
      </c>
      <c r="AF317" s="98">
        <f t="shared" si="93"/>
        <v>4060</v>
      </c>
      <c r="AG317" s="98">
        <f t="shared" si="93"/>
        <v>3745</v>
      </c>
      <c r="AH317" s="98">
        <f t="shared" si="93"/>
        <v>3220</v>
      </c>
      <c r="AI317" s="98">
        <f t="shared" si="93"/>
        <v>3030</v>
      </c>
      <c r="AJ317" s="98">
        <f t="shared" si="93"/>
        <v>3000</v>
      </c>
      <c r="AK317" s="98">
        <f t="shared" si="93"/>
        <v>2685</v>
      </c>
      <c r="AL317" s="98">
        <f t="shared" si="93"/>
        <v>2285</v>
      </c>
      <c r="AM317" s="98">
        <f t="shared" si="93"/>
        <v>1715</v>
      </c>
      <c r="AN317" s="98">
        <f t="shared" si="93"/>
        <v>1515</v>
      </c>
      <c r="AO317" s="98">
        <f t="shared" si="93"/>
        <v>1145</v>
      </c>
      <c r="AP317" s="98">
        <f t="shared" si="93"/>
        <v>860</v>
      </c>
      <c r="AQ317" s="98">
        <f t="shared" si="93"/>
        <v>630</v>
      </c>
      <c r="AR317" s="98">
        <f t="shared" si="93"/>
        <v>485</v>
      </c>
      <c r="AS317" s="98">
        <f t="shared" si="93"/>
        <v>345</v>
      </c>
      <c r="AV317" s="101" t="str">
        <f t="shared" ref="AV317:AV339" si="95">AU$316&amp;TEXT(AW317,"0000")</f>
        <v>1.180200</v>
      </c>
      <c r="AW317" s="101">
        <v>200</v>
      </c>
      <c r="AX317" s="92">
        <v>260</v>
      </c>
      <c r="AY317" s="92">
        <v>750</v>
      </c>
      <c r="AZ317" s="202">
        <v>1000</v>
      </c>
      <c r="BA317" s="202">
        <v>1500</v>
      </c>
      <c r="BB317" s="202">
        <v>2250</v>
      </c>
      <c r="BC317" s="202">
        <v>3750</v>
      </c>
      <c r="BD317" s="202">
        <v>6250</v>
      </c>
      <c r="BP317" s="101" t="str">
        <f t="shared" si="94"/>
        <v>3.140200</v>
      </c>
      <c r="BQ317" s="101">
        <v>200</v>
      </c>
      <c r="BR317" s="92">
        <v>250</v>
      </c>
      <c r="BS317" s="92">
        <v>650</v>
      </c>
      <c r="BT317" s="92">
        <v>865</v>
      </c>
      <c r="BU317" s="202">
        <v>1295</v>
      </c>
      <c r="BV317" s="202">
        <v>1945</v>
      </c>
      <c r="BW317" s="202">
        <v>3240</v>
      </c>
      <c r="BX317" s="202">
        <v>5400</v>
      </c>
    </row>
    <row r="318" spans="19:76">
      <c r="AV318" s="101" t="str">
        <f t="shared" si="95"/>
        <v>1.180300</v>
      </c>
      <c r="AW318" s="101">
        <v>300</v>
      </c>
      <c r="AX318" s="92">
        <v>230</v>
      </c>
      <c r="AY318" s="92">
        <v>730</v>
      </c>
      <c r="AZ318" s="92">
        <v>970</v>
      </c>
      <c r="BA318" s="202">
        <v>1455</v>
      </c>
      <c r="BB318" s="202">
        <v>2185</v>
      </c>
      <c r="BC318" s="202">
        <v>3640</v>
      </c>
      <c r="BD318" s="202">
        <v>6070</v>
      </c>
      <c r="BP318" s="101" t="str">
        <f t="shared" si="94"/>
        <v>3.140300</v>
      </c>
      <c r="BQ318" s="101">
        <v>300</v>
      </c>
      <c r="BR318" s="92">
        <v>230</v>
      </c>
      <c r="BS318" s="92">
        <v>600</v>
      </c>
      <c r="BT318" s="92">
        <v>800</v>
      </c>
      <c r="BU318" s="202">
        <v>1200</v>
      </c>
      <c r="BV318" s="202">
        <v>1800</v>
      </c>
      <c r="BW318" s="202">
        <v>3000</v>
      </c>
      <c r="BX318" s="202">
        <v>5000</v>
      </c>
    </row>
    <row r="319" spans="19:76">
      <c r="AV319" s="101" t="str">
        <f t="shared" si="95"/>
        <v>1.180400</v>
      </c>
      <c r="AW319" s="101">
        <v>400</v>
      </c>
      <c r="AX319" s="92">
        <v>200</v>
      </c>
      <c r="AY319" s="92">
        <v>705</v>
      </c>
      <c r="AZ319" s="92">
        <v>940</v>
      </c>
      <c r="BA319" s="202">
        <v>1410</v>
      </c>
      <c r="BB319" s="202">
        <v>2115</v>
      </c>
      <c r="BC319" s="202">
        <v>3530</v>
      </c>
      <c r="BD319" s="202">
        <v>5880</v>
      </c>
      <c r="BP319" s="101" t="str">
        <f t="shared" si="94"/>
        <v>3.140400</v>
      </c>
      <c r="BQ319" s="101">
        <v>400</v>
      </c>
      <c r="BR319" s="92">
        <v>200</v>
      </c>
      <c r="BS319" s="92">
        <v>565</v>
      </c>
      <c r="BT319" s="92">
        <v>750</v>
      </c>
      <c r="BU319" s="202">
        <v>1130</v>
      </c>
      <c r="BV319" s="202">
        <v>1690</v>
      </c>
      <c r="BW319" s="202">
        <v>2820</v>
      </c>
      <c r="BX319" s="202">
        <v>4700</v>
      </c>
    </row>
    <row r="320" spans="19:76">
      <c r="AV320" s="101" t="str">
        <f t="shared" si="95"/>
        <v>1.180500</v>
      </c>
      <c r="AW320" s="101">
        <v>500</v>
      </c>
      <c r="AX320" s="92">
        <v>170</v>
      </c>
      <c r="AY320" s="92">
        <v>665</v>
      </c>
      <c r="AZ320" s="92">
        <v>885</v>
      </c>
      <c r="BA320" s="202">
        <v>1330</v>
      </c>
      <c r="BB320" s="202">
        <v>1995</v>
      </c>
      <c r="BC320" s="202">
        <v>3325</v>
      </c>
      <c r="BD320" s="202">
        <v>5540</v>
      </c>
      <c r="BP320" s="101" t="str">
        <f t="shared" si="94"/>
        <v>3.140500</v>
      </c>
      <c r="BQ320" s="101">
        <v>500</v>
      </c>
      <c r="BR320" s="92">
        <v>170</v>
      </c>
      <c r="BS320" s="92">
        <v>540</v>
      </c>
      <c r="BT320" s="92">
        <v>715</v>
      </c>
      <c r="BU320" s="202">
        <v>1075</v>
      </c>
      <c r="BV320" s="202">
        <v>1615</v>
      </c>
      <c r="BW320" s="202">
        <v>2690</v>
      </c>
      <c r="BX320" s="202">
        <v>4480</v>
      </c>
    </row>
    <row r="321" spans="48:76">
      <c r="AV321" s="101" t="str">
        <f t="shared" si="95"/>
        <v>1.180600</v>
      </c>
      <c r="AW321" s="101">
        <v>600</v>
      </c>
      <c r="AX321" s="92">
        <v>140</v>
      </c>
      <c r="AY321" s="92">
        <v>605</v>
      </c>
      <c r="AZ321" s="92">
        <v>805</v>
      </c>
      <c r="BA321" s="202">
        <v>1210</v>
      </c>
      <c r="BB321" s="202">
        <v>1815</v>
      </c>
      <c r="BC321" s="202">
        <v>3025</v>
      </c>
      <c r="BD321" s="202">
        <v>5040</v>
      </c>
      <c r="BP321" s="101" t="str">
        <f t="shared" si="94"/>
        <v>3.140600</v>
      </c>
      <c r="BQ321" s="101">
        <v>600</v>
      </c>
      <c r="BR321" s="92">
        <v>140</v>
      </c>
      <c r="BS321" s="92">
        <v>520</v>
      </c>
      <c r="BT321" s="92">
        <v>690</v>
      </c>
      <c r="BU321" s="202">
        <v>1035</v>
      </c>
      <c r="BV321" s="202">
        <v>1555</v>
      </c>
      <c r="BW321" s="202">
        <v>2590</v>
      </c>
      <c r="BX321" s="202">
        <v>4320</v>
      </c>
    </row>
    <row r="322" spans="48:76">
      <c r="AV322" s="101" t="str">
        <f t="shared" si="95"/>
        <v>1.180650</v>
      </c>
      <c r="AW322" s="101">
        <v>650</v>
      </c>
      <c r="AX322" s="92">
        <v>125</v>
      </c>
      <c r="AY322" s="92">
        <v>590</v>
      </c>
      <c r="AZ322" s="92">
        <v>785</v>
      </c>
      <c r="BA322" s="202">
        <v>1175</v>
      </c>
      <c r="BB322" s="202">
        <v>1765</v>
      </c>
      <c r="BC322" s="202">
        <v>2940</v>
      </c>
      <c r="BD322" s="202">
        <v>4905</v>
      </c>
      <c r="BP322" s="101" t="str">
        <f t="shared" si="94"/>
        <v>3.140650</v>
      </c>
      <c r="BQ322" s="101">
        <v>650</v>
      </c>
      <c r="BR322" s="92">
        <v>125</v>
      </c>
      <c r="BS322" s="92">
        <v>510</v>
      </c>
      <c r="BT322" s="92">
        <v>680</v>
      </c>
      <c r="BU322" s="202">
        <v>1020</v>
      </c>
      <c r="BV322" s="202">
        <v>1535</v>
      </c>
      <c r="BW322" s="202">
        <v>2555</v>
      </c>
      <c r="BX322" s="202">
        <v>4260</v>
      </c>
    </row>
    <row r="323" spans="48:76">
      <c r="AV323" s="101" t="str">
        <f t="shared" si="95"/>
        <v>1.180700</v>
      </c>
      <c r="AW323" s="101">
        <v>700</v>
      </c>
      <c r="AX323" s="92">
        <v>110</v>
      </c>
      <c r="AY323" s="92">
        <v>570</v>
      </c>
      <c r="AZ323" s="92">
        <v>755</v>
      </c>
      <c r="BA323" s="202">
        <v>1135</v>
      </c>
      <c r="BB323" s="202">
        <v>1705</v>
      </c>
      <c r="BC323" s="202">
        <v>2840</v>
      </c>
      <c r="BD323" s="202">
        <v>4730</v>
      </c>
      <c r="BP323" s="101" t="str">
        <f t="shared" si="94"/>
        <v>3.140700</v>
      </c>
      <c r="BQ323" s="101">
        <v>700</v>
      </c>
      <c r="BR323" s="92">
        <v>110</v>
      </c>
      <c r="BS323" s="92">
        <v>505</v>
      </c>
      <c r="BT323" s="92">
        <v>675</v>
      </c>
      <c r="BU323" s="202">
        <v>1015</v>
      </c>
      <c r="BV323" s="202">
        <v>1520</v>
      </c>
      <c r="BW323" s="202">
        <v>2530</v>
      </c>
      <c r="BX323" s="202">
        <v>4220</v>
      </c>
    </row>
    <row r="324" spans="48:76">
      <c r="AV324" s="101" t="str">
        <f t="shared" si="95"/>
        <v>1.180750</v>
      </c>
      <c r="AW324" s="101">
        <v>750</v>
      </c>
      <c r="AX324" s="92">
        <v>95</v>
      </c>
      <c r="AY324" s="92">
        <v>530</v>
      </c>
      <c r="AZ324" s="92">
        <v>710</v>
      </c>
      <c r="BA324" s="202">
        <v>1065</v>
      </c>
      <c r="BB324" s="202">
        <v>1595</v>
      </c>
      <c r="BC324" s="202">
        <v>2660</v>
      </c>
      <c r="BD324" s="202">
        <v>4430</v>
      </c>
      <c r="BP324" s="101" t="str">
        <f t="shared" si="94"/>
        <v>3.140750</v>
      </c>
      <c r="BQ324" s="101">
        <v>750</v>
      </c>
      <c r="BR324" s="92">
        <v>95</v>
      </c>
      <c r="BS324" s="92">
        <v>500</v>
      </c>
      <c r="BT324" s="92">
        <v>670</v>
      </c>
      <c r="BU324" s="202">
        <v>1005</v>
      </c>
      <c r="BV324" s="202">
        <v>1505</v>
      </c>
      <c r="BW324" s="202">
        <v>2510</v>
      </c>
      <c r="BX324" s="202">
        <v>4180</v>
      </c>
    </row>
    <row r="325" spans="48:76">
      <c r="AV325" s="101" t="str">
        <f t="shared" si="95"/>
        <v>1.180800</v>
      </c>
      <c r="AW325" s="101">
        <v>800</v>
      </c>
      <c r="AX325" s="92">
        <v>80</v>
      </c>
      <c r="AY325" s="92">
        <v>510</v>
      </c>
      <c r="AZ325" s="92">
        <v>675</v>
      </c>
      <c r="BA325" s="202">
        <v>1015</v>
      </c>
      <c r="BB325" s="202">
        <v>1525</v>
      </c>
      <c r="BC325" s="202">
        <v>2540</v>
      </c>
      <c r="BD325" s="202">
        <v>4230</v>
      </c>
      <c r="BP325" s="101" t="str">
        <f t="shared" si="94"/>
        <v>3.140800</v>
      </c>
      <c r="BQ325" s="101">
        <v>800</v>
      </c>
      <c r="BR325" s="92">
        <v>80</v>
      </c>
      <c r="BS325" s="92">
        <v>500</v>
      </c>
      <c r="BT325" s="92">
        <v>665</v>
      </c>
      <c r="BU325" s="202">
        <v>1000</v>
      </c>
      <c r="BV325" s="202">
        <v>1500</v>
      </c>
      <c r="BW325" s="202">
        <v>2495</v>
      </c>
      <c r="BX325" s="202">
        <v>4160</v>
      </c>
    </row>
    <row r="326" spans="48:76">
      <c r="AV326" s="101" t="str">
        <f t="shared" si="95"/>
        <v>1.180850</v>
      </c>
      <c r="AW326" s="101">
        <v>850</v>
      </c>
      <c r="AX326" s="92">
        <v>65</v>
      </c>
      <c r="AY326" s="92">
        <v>485</v>
      </c>
      <c r="AZ326" s="92">
        <v>650</v>
      </c>
      <c r="BA326" s="92">
        <v>975</v>
      </c>
      <c r="BB326" s="202">
        <v>1460</v>
      </c>
      <c r="BC326" s="202">
        <v>2435</v>
      </c>
      <c r="BD326" s="202">
        <v>4060</v>
      </c>
      <c r="BP326" s="101" t="str">
        <f t="shared" si="94"/>
        <v>3.140850</v>
      </c>
      <c r="BQ326" s="101">
        <v>850</v>
      </c>
      <c r="BR326" s="92">
        <v>65</v>
      </c>
      <c r="BS326" s="92">
        <v>485</v>
      </c>
      <c r="BT326" s="92">
        <v>650</v>
      </c>
      <c r="BU326" s="92">
        <v>975</v>
      </c>
      <c r="BV326" s="202">
        <v>1460</v>
      </c>
      <c r="BW326" s="202">
        <v>2435</v>
      </c>
      <c r="BX326" s="202">
        <v>4060</v>
      </c>
    </row>
    <row r="327" spans="48:76">
      <c r="AV327" s="101" t="str">
        <f t="shared" si="95"/>
        <v>1.180900</v>
      </c>
      <c r="AW327" s="101">
        <v>900</v>
      </c>
      <c r="AX327" s="92">
        <v>50</v>
      </c>
      <c r="AY327" s="92">
        <v>450</v>
      </c>
      <c r="AZ327" s="92">
        <v>600</v>
      </c>
      <c r="BA327" s="92">
        <v>900</v>
      </c>
      <c r="BB327" s="202">
        <v>1350</v>
      </c>
      <c r="BC327" s="202">
        <v>2245</v>
      </c>
      <c r="BD327" s="202">
        <v>3745</v>
      </c>
      <c r="BP327" s="101" t="str">
        <f t="shared" si="94"/>
        <v>3.140900</v>
      </c>
      <c r="BQ327" s="101">
        <v>900</v>
      </c>
      <c r="BR327" s="92">
        <v>50</v>
      </c>
      <c r="BS327" s="92">
        <v>450</v>
      </c>
      <c r="BT327" s="92">
        <v>600</v>
      </c>
      <c r="BU327" s="92">
        <v>900</v>
      </c>
      <c r="BV327" s="202">
        <v>1350</v>
      </c>
      <c r="BW327" s="202">
        <v>2245</v>
      </c>
      <c r="BX327" s="202">
        <v>3745</v>
      </c>
    </row>
    <row r="328" spans="48:76">
      <c r="AV328" s="101" t="str">
        <f t="shared" si="95"/>
        <v>1.180950</v>
      </c>
      <c r="AW328" s="101">
        <v>950</v>
      </c>
      <c r="AX328" s="92">
        <v>35</v>
      </c>
      <c r="AY328" s="92">
        <v>385</v>
      </c>
      <c r="AZ328" s="92">
        <v>515</v>
      </c>
      <c r="BA328" s="92">
        <v>775</v>
      </c>
      <c r="BB328" s="202">
        <v>1160</v>
      </c>
      <c r="BC328" s="202">
        <v>1930</v>
      </c>
      <c r="BD328" s="202">
        <v>3220</v>
      </c>
      <c r="BP328" s="101" t="str">
        <f t="shared" si="94"/>
        <v>3.140950</v>
      </c>
      <c r="BQ328" s="101">
        <v>950</v>
      </c>
      <c r="BR328" s="92">
        <v>35</v>
      </c>
      <c r="BS328" s="92">
        <v>385</v>
      </c>
      <c r="BT328" s="92">
        <v>515</v>
      </c>
      <c r="BU328" s="92">
        <v>775</v>
      </c>
      <c r="BV328" s="202">
        <v>1160</v>
      </c>
      <c r="BW328" s="202">
        <v>1930</v>
      </c>
      <c r="BX328" s="202">
        <v>3220</v>
      </c>
    </row>
    <row r="329" spans="48:76">
      <c r="AV329" s="101" t="str">
        <f t="shared" si="95"/>
        <v>1.181000</v>
      </c>
      <c r="AW329" s="101">
        <v>1000</v>
      </c>
      <c r="AX329" s="92">
        <v>20</v>
      </c>
      <c r="AY329" s="92">
        <v>365</v>
      </c>
      <c r="AZ329" s="92">
        <v>485</v>
      </c>
      <c r="BA329" s="92">
        <v>725</v>
      </c>
      <c r="BB329" s="202">
        <v>1090</v>
      </c>
      <c r="BC329" s="202">
        <v>1820</v>
      </c>
      <c r="BD329" s="202">
        <v>3030</v>
      </c>
      <c r="BP329" s="101" t="str">
        <f t="shared" si="94"/>
        <v>3.141000</v>
      </c>
      <c r="BQ329" s="101">
        <v>1000</v>
      </c>
      <c r="BR329" s="92">
        <v>20</v>
      </c>
      <c r="BS329" s="92">
        <v>365</v>
      </c>
      <c r="BT329" s="92">
        <v>485</v>
      </c>
      <c r="BU329" s="92">
        <v>725</v>
      </c>
      <c r="BV329" s="202">
        <v>1090</v>
      </c>
      <c r="BW329" s="202">
        <v>1820</v>
      </c>
      <c r="BX329" s="202">
        <v>3030</v>
      </c>
    </row>
    <row r="330" spans="48:76">
      <c r="AV330" s="101" t="str">
        <f t="shared" si="95"/>
        <v>1.181050</v>
      </c>
      <c r="AW330" s="101">
        <v>1050</v>
      </c>
      <c r="AX330" s="92">
        <v>20</v>
      </c>
      <c r="AY330" s="92">
        <v>360</v>
      </c>
      <c r="AZ330" s="92">
        <v>480</v>
      </c>
      <c r="BA330" s="92">
        <v>720</v>
      </c>
      <c r="BB330" s="202">
        <v>1080</v>
      </c>
      <c r="BC330" s="202">
        <v>1800</v>
      </c>
      <c r="BD330" s="202">
        <v>3000</v>
      </c>
      <c r="BP330" s="101" t="str">
        <f t="shared" si="94"/>
        <v>3.141050</v>
      </c>
      <c r="BQ330" s="101">
        <v>1050</v>
      </c>
    </row>
    <row r="331" spans="48:76">
      <c r="AV331" s="101" t="str">
        <f t="shared" si="95"/>
        <v>1.181100</v>
      </c>
      <c r="AW331" s="101">
        <v>1100</v>
      </c>
      <c r="AX331" s="92">
        <v>20</v>
      </c>
      <c r="AY331" s="92">
        <v>325</v>
      </c>
      <c r="AZ331" s="92">
        <v>430</v>
      </c>
      <c r="BA331" s="92">
        <v>645</v>
      </c>
      <c r="BB331" s="92">
        <v>965</v>
      </c>
      <c r="BC331" s="202">
        <v>1610</v>
      </c>
      <c r="BD331" s="202">
        <v>2685</v>
      </c>
      <c r="BP331" s="101" t="str">
        <f t="shared" si="94"/>
        <v>3.141100</v>
      </c>
      <c r="BQ331" s="101">
        <v>1100</v>
      </c>
    </row>
    <row r="332" spans="48:76">
      <c r="AV332" s="101" t="str">
        <f t="shared" si="95"/>
        <v>1.181150</v>
      </c>
      <c r="AW332" s="101">
        <v>1150</v>
      </c>
      <c r="AX332" s="92">
        <v>20</v>
      </c>
      <c r="AY332" s="92">
        <v>275</v>
      </c>
      <c r="AZ332" s="92">
        <v>365</v>
      </c>
      <c r="BA332" s="92">
        <v>550</v>
      </c>
      <c r="BB332" s="92">
        <v>825</v>
      </c>
      <c r="BC332" s="202">
        <v>1370</v>
      </c>
      <c r="BD332" s="202">
        <v>2285</v>
      </c>
      <c r="BP332" s="101" t="str">
        <f t="shared" si="94"/>
        <v>3.141150</v>
      </c>
      <c r="BQ332" s="101">
        <v>1150</v>
      </c>
    </row>
    <row r="333" spans="48:76">
      <c r="AV333" s="101" t="str">
        <f t="shared" si="95"/>
        <v>1.181200</v>
      </c>
      <c r="AW333" s="101">
        <v>1200</v>
      </c>
      <c r="AX333" s="92">
        <v>20</v>
      </c>
      <c r="AY333" s="92">
        <v>205</v>
      </c>
      <c r="AZ333" s="92">
        <v>275</v>
      </c>
      <c r="BA333" s="92">
        <v>410</v>
      </c>
      <c r="BB333" s="92">
        <v>620</v>
      </c>
      <c r="BC333" s="202">
        <v>1030</v>
      </c>
      <c r="BD333" s="202">
        <v>1715</v>
      </c>
      <c r="BP333" s="101" t="str">
        <f t="shared" si="94"/>
        <v>3.141200</v>
      </c>
      <c r="BQ333" s="101">
        <v>1200</v>
      </c>
    </row>
    <row r="334" spans="48:76">
      <c r="AV334" s="101" t="str">
        <f t="shared" si="95"/>
        <v>1.181250</v>
      </c>
      <c r="AW334" s="101">
        <v>1250</v>
      </c>
      <c r="BP334" s="101" t="str">
        <f t="shared" si="94"/>
        <v>3.141250</v>
      </c>
      <c r="BQ334" s="101">
        <v>1250</v>
      </c>
    </row>
    <row r="335" spans="48:76">
      <c r="AV335" s="101" t="str">
        <f t="shared" si="95"/>
        <v>1.181300</v>
      </c>
      <c r="AW335" s="101">
        <v>1300</v>
      </c>
      <c r="BP335" s="101" t="str">
        <f t="shared" si="94"/>
        <v>3.141300</v>
      </c>
      <c r="BQ335" s="101">
        <v>1300</v>
      </c>
    </row>
    <row r="336" spans="48:76">
      <c r="AV336" s="101" t="str">
        <f t="shared" si="95"/>
        <v>1.181350</v>
      </c>
      <c r="AW336" s="101">
        <v>1350</v>
      </c>
      <c r="BP336" s="101" t="str">
        <f t="shared" si="94"/>
        <v>3.141350</v>
      </c>
      <c r="BQ336" s="101">
        <v>1350</v>
      </c>
    </row>
    <row r="337" spans="48:76">
      <c r="AV337" s="101" t="str">
        <f t="shared" si="95"/>
        <v>1.181400</v>
      </c>
      <c r="AW337" s="101">
        <v>1400</v>
      </c>
      <c r="BP337" s="101" t="str">
        <f t="shared" si="94"/>
        <v>3.141400</v>
      </c>
      <c r="BQ337" s="101">
        <v>1400</v>
      </c>
    </row>
    <row r="338" spans="48:76">
      <c r="AV338" s="101" t="str">
        <f t="shared" si="95"/>
        <v>1.181450</v>
      </c>
      <c r="AW338" s="101">
        <v>1450</v>
      </c>
      <c r="BP338" s="101" t="str">
        <f t="shared" si="94"/>
        <v>3.141450</v>
      </c>
      <c r="BQ338" s="101">
        <v>1450</v>
      </c>
    </row>
    <row r="339" spans="48:76">
      <c r="AV339" s="101" t="str">
        <f t="shared" si="95"/>
        <v>1.181500</v>
      </c>
      <c r="AW339" s="101">
        <v>1500</v>
      </c>
      <c r="BP339" s="101" t="str">
        <f t="shared" si="94"/>
        <v>3.141500</v>
      </c>
      <c r="BQ339" s="101">
        <v>1500</v>
      </c>
    </row>
    <row r="340" spans="48:76">
      <c r="BO340" s="92">
        <v>3.15</v>
      </c>
      <c r="BP340" s="101" t="str">
        <f t="shared" ref="BP340:BP363" si="96">BO$340&amp;TEXT(BQ340,"0000")</f>
        <v>3.150100</v>
      </c>
      <c r="BQ340" s="92">
        <v>100</v>
      </c>
      <c r="BR340" s="92">
        <v>230</v>
      </c>
      <c r="BS340" s="92">
        <v>600</v>
      </c>
      <c r="BT340" s="92">
        <v>800</v>
      </c>
      <c r="BU340" s="202">
        <v>1200</v>
      </c>
      <c r="BV340" s="202">
        <v>1800</v>
      </c>
      <c r="BW340" s="202">
        <v>3000</v>
      </c>
      <c r="BX340" s="202">
        <v>5000</v>
      </c>
    </row>
    <row r="341" spans="48:76">
      <c r="BP341" s="101" t="str">
        <f t="shared" si="96"/>
        <v>3.150200</v>
      </c>
      <c r="BQ341" s="101">
        <v>200</v>
      </c>
      <c r="BR341" s="92">
        <v>210</v>
      </c>
      <c r="BS341" s="92">
        <v>550</v>
      </c>
      <c r="BT341" s="92">
        <v>735</v>
      </c>
      <c r="BU341" s="202">
        <v>1105</v>
      </c>
      <c r="BV341" s="202">
        <v>1655</v>
      </c>
      <c r="BW341" s="202">
        <v>2760</v>
      </c>
      <c r="BX341" s="202">
        <v>4600</v>
      </c>
    </row>
    <row r="342" spans="48:76">
      <c r="BP342" s="101" t="str">
        <f t="shared" si="96"/>
        <v>3.150300</v>
      </c>
      <c r="BQ342" s="101">
        <v>300</v>
      </c>
      <c r="BR342" s="92">
        <v>200</v>
      </c>
      <c r="BS342" s="92">
        <v>520</v>
      </c>
      <c r="BT342" s="92">
        <v>695</v>
      </c>
      <c r="BU342" s="202">
        <v>1040</v>
      </c>
      <c r="BV342" s="202">
        <v>1560</v>
      </c>
      <c r="BW342" s="202">
        <v>2605</v>
      </c>
      <c r="BX342" s="202">
        <v>4340</v>
      </c>
    </row>
    <row r="343" spans="48:76">
      <c r="BP343" s="101" t="str">
        <f t="shared" si="96"/>
        <v>3.150400</v>
      </c>
      <c r="BQ343" s="101">
        <v>400</v>
      </c>
      <c r="BR343" s="92">
        <v>190</v>
      </c>
      <c r="BS343" s="92">
        <v>490</v>
      </c>
      <c r="BT343" s="92">
        <v>655</v>
      </c>
      <c r="BU343" s="92">
        <v>980</v>
      </c>
      <c r="BV343" s="202">
        <v>1470</v>
      </c>
      <c r="BW343" s="202">
        <v>2450</v>
      </c>
      <c r="BX343" s="202">
        <v>4080</v>
      </c>
    </row>
    <row r="344" spans="48:76">
      <c r="BP344" s="101" t="str">
        <f t="shared" si="96"/>
        <v>3.150500</v>
      </c>
      <c r="BQ344" s="101">
        <v>500</v>
      </c>
      <c r="BR344" s="92">
        <v>170</v>
      </c>
      <c r="BS344" s="92">
        <v>465</v>
      </c>
      <c r="BT344" s="92">
        <v>620</v>
      </c>
      <c r="BU344" s="92">
        <v>925</v>
      </c>
      <c r="BV344" s="202">
        <v>1390</v>
      </c>
      <c r="BW344" s="202">
        <v>2315</v>
      </c>
      <c r="BX344" s="202">
        <v>3860</v>
      </c>
    </row>
    <row r="345" spans="48:76">
      <c r="BP345" s="101" t="str">
        <f t="shared" si="96"/>
        <v>3.150600</v>
      </c>
      <c r="BQ345" s="101">
        <v>600</v>
      </c>
      <c r="BR345" s="92">
        <v>140</v>
      </c>
      <c r="BS345" s="92">
        <v>440</v>
      </c>
      <c r="BT345" s="92">
        <v>585</v>
      </c>
      <c r="BU345" s="92">
        <v>880</v>
      </c>
      <c r="BV345" s="202">
        <v>1320</v>
      </c>
      <c r="BW345" s="202">
        <v>2195</v>
      </c>
      <c r="BX345" s="202">
        <v>3660</v>
      </c>
    </row>
    <row r="346" spans="48:76">
      <c r="BP346" s="101" t="str">
        <f t="shared" si="96"/>
        <v>3.150650</v>
      </c>
      <c r="BQ346" s="101">
        <v>650</v>
      </c>
      <c r="BR346" s="92">
        <v>125</v>
      </c>
      <c r="BS346" s="92">
        <v>430</v>
      </c>
      <c r="BT346" s="92">
        <v>575</v>
      </c>
      <c r="BU346" s="92">
        <v>860</v>
      </c>
      <c r="BV346" s="202">
        <v>1290</v>
      </c>
      <c r="BW346" s="202">
        <v>2150</v>
      </c>
      <c r="BX346" s="202">
        <v>3580</v>
      </c>
    </row>
    <row r="347" spans="48:76">
      <c r="BP347" s="101" t="str">
        <f t="shared" si="96"/>
        <v>3.150700</v>
      </c>
      <c r="BQ347" s="101">
        <v>700</v>
      </c>
      <c r="BR347" s="92">
        <v>110</v>
      </c>
      <c r="BS347" s="92">
        <v>420</v>
      </c>
      <c r="BT347" s="92">
        <v>555</v>
      </c>
      <c r="BU347" s="92">
        <v>835</v>
      </c>
      <c r="BV347" s="202">
        <v>1255</v>
      </c>
      <c r="BW347" s="202">
        <v>2090</v>
      </c>
      <c r="BX347" s="202">
        <v>3480</v>
      </c>
    </row>
    <row r="348" spans="48:76">
      <c r="BP348" s="101" t="str">
        <f t="shared" si="96"/>
        <v>3.150750</v>
      </c>
      <c r="BQ348" s="101">
        <v>750</v>
      </c>
      <c r="BR348" s="92">
        <v>95</v>
      </c>
      <c r="BS348" s="92">
        <v>410</v>
      </c>
      <c r="BT348" s="92">
        <v>545</v>
      </c>
      <c r="BU348" s="92">
        <v>820</v>
      </c>
      <c r="BV348" s="202">
        <v>1230</v>
      </c>
      <c r="BW348" s="202">
        <v>2050</v>
      </c>
      <c r="BX348" s="202">
        <v>3420</v>
      </c>
    </row>
    <row r="349" spans="48:76">
      <c r="BP349" s="101" t="str">
        <f t="shared" si="96"/>
        <v>3.150800</v>
      </c>
      <c r="BQ349" s="101">
        <v>800</v>
      </c>
      <c r="BR349" s="92">
        <v>80</v>
      </c>
      <c r="BS349" s="92">
        <v>400</v>
      </c>
      <c r="BT349" s="92">
        <v>535</v>
      </c>
      <c r="BU349" s="92">
        <v>800</v>
      </c>
      <c r="BV349" s="202">
        <v>1200</v>
      </c>
      <c r="BW349" s="202">
        <v>2005</v>
      </c>
      <c r="BX349" s="202">
        <v>3340</v>
      </c>
    </row>
    <row r="350" spans="48:76">
      <c r="BP350" s="101" t="str">
        <f t="shared" si="96"/>
        <v>3.150850</v>
      </c>
      <c r="BQ350" s="101">
        <v>850</v>
      </c>
      <c r="BR350" s="92">
        <v>65</v>
      </c>
      <c r="BS350" s="92">
        <v>395</v>
      </c>
      <c r="BT350" s="92">
        <v>525</v>
      </c>
      <c r="BU350" s="92">
        <v>785</v>
      </c>
      <c r="BV350" s="202">
        <v>1180</v>
      </c>
      <c r="BW350" s="202">
        <v>1970</v>
      </c>
      <c r="BX350" s="202">
        <v>3280</v>
      </c>
    </row>
    <row r="351" spans="48:76">
      <c r="BP351" s="101" t="str">
        <f t="shared" si="96"/>
        <v>3.150900</v>
      </c>
      <c r="BQ351" s="101">
        <v>900</v>
      </c>
      <c r="BR351" s="92">
        <v>50</v>
      </c>
      <c r="BS351" s="92">
        <v>385</v>
      </c>
      <c r="BT351" s="92">
        <v>515</v>
      </c>
      <c r="BU351" s="92">
        <v>775</v>
      </c>
      <c r="BV351" s="202">
        <v>1160</v>
      </c>
      <c r="BW351" s="202">
        <v>1930</v>
      </c>
      <c r="BX351" s="202">
        <v>3220</v>
      </c>
    </row>
    <row r="352" spans="48:76">
      <c r="BP352" s="101" t="str">
        <f t="shared" si="96"/>
        <v>3.150950</v>
      </c>
      <c r="BQ352" s="101">
        <v>950</v>
      </c>
      <c r="BR352" s="92">
        <v>35</v>
      </c>
      <c r="BS352" s="92">
        <v>380</v>
      </c>
      <c r="BT352" s="92">
        <v>505</v>
      </c>
      <c r="BU352" s="92">
        <v>760</v>
      </c>
      <c r="BV352" s="202">
        <v>1140</v>
      </c>
      <c r="BW352" s="202">
        <v>1895</v>
      </c>
      <c r="BX352" s="202">
        <v>3160</v>
      </c>
    </row>
    <row r="353" spans="67:76">
      <c r="BP353" s="101" t="str">
        <f t="shared" si="96"/>
        <v>3.151000</v>
      </c>
      <c r="BQ353" s="101">
        <v>1000</v>
      </c>
      <c r="BR353" s="92">
        <v>20</v>
      </c>
      <c r="BS353" s="92">
        <v>365</v>
      </c>
      <c r="BT353" s="92">
        <v>485</v>
      </c>
      <c r="BU353" s="92">
        <v>725</v>
      </c>
      <c r="BV353" s="202">
        <v>1090</v>
      </c>
      <c r="BW353" s="202">
        <v>1820</v>
      </c>
      <c r="BX353" s="202">
        <v>3030</v>
      </c>
    </row>
    <row r="354" spans="67:76">
      <c r="BP354" s="101" t="str">
        <f t="shared" si="96"/>
        <v>3.151050</v>
      </c>
      <c r="BQ354" s="101">
        <v>1050</v>
      </c>
      <c r="BS354" s="92">
        <v>350</v>
      </c>
      <c r="BT354" s="92">
        <v>465</v>
      </c>
      <c r="BU354" s="92">
        <v>700</v>
      </c>
      <c r="BV354" s="202">
        <v>1050</v>
      </c>
      <c r="BW354" s="202">
        <v>1750</v>
      </c>
      <c r="BX354" s="202">
        <v>2915</v>
      </c>
    </row>
    <row r="355" spans="67:76">
      <c r="BP355" s="101" t="str">
        <f t="shared" si="96"/>
        <v>3.151100</v>
      </c>
      <c r="BQ355" s="101">
        <v>1100</v>
      </c>
      <c r="BS355" s="92">
        <v>325</v>
      </c>
      <c r="BT355" s="92">
        <v>430</v>
      </c>
      <c r="BU355" s="92">
        <v>645</v>
      </c>
      <c r="BV355" s="92">
        <v>965</v>
      </c>
      <c r="BW355" s="202">
        <v>1610</v>
      </c>
      <c r="BX355" s="202">
        <v>2685</v>
      </c>
    </row>
    <row r="356" spans="67:76">
      <c r="BP356" s="101" t="str">
        <f t="shared" si="96"/>
        <v>3.151150</v>
      </c>
      <c r="BQ356" s="101">
        <v>1150</v>
      </c>
      <c r="BS356" s="92">
        <v>275</v>
      </c>
      <c r="BT356" s="92">
        <v>365</v>
      </c>
      <c r="BU356" s="92">
        <v>550</v>
      </c>
      <c r="BV356" s="92">
        <v>825</v>
      </c>
      <c r="BW356" s="202">
        <v>1370</v>
      </c>
      <c r="BX356" s="202">
        <v>2285</v>
      </c>
    </row>
    <row r="357" spans="67:76">
      <c r="BP357" s="101" t="str">
        <f t="shared" si="96"/>
        <v>3.151200</v>
      </c>
      <c r="BQ357" s="101">
        <v>1200</v>
      </c>
      <c r="BS357" s="92">
        <v>205</v>
      </c>
      <c r="BT357" s="92">
        <v>275</v>
      </c>
      <c r="BU357" s="92">
        <v>410</v>
      </c>
      <c r="BV357" s="92">
        <v>620</v>
      </c>
      <c r="BW357" s="202">
        <v>1030</v>
      </c>
      <c r="BX357" s="202">
        <v>1715</v>
      </c>
    </row>
    <row r="358" spans="67:76">
      <c r="BP358" s="101" t="str">
        <f t="shared" si="96"/>
        <v>3.151250</v>
      </c>
      <c r="BQ358" s="101">
        <v>1250</v>
      </c>
      <c r="BS358" s="92">
        <v>180</v>
      </c>
      <c r="BT358" s="92">
        <v>245</v>
      </c>
      <c r="BU358" s="92">
        <v>365</v>
      </c>
      <c r="BV358" s="92">
        <v>545</v>
      </c>
      <c r="BW358" s="92">
        <v>910</v>
      </c>
      <c r="BX358" s="202">
        <v>1515</v>
      </c>
    </row>
    <row r="359" spans="67:76">
      <c r="BP359" s="101" t="str">
        <f t="shared" si="96"/>
        <v>3.151300</v>
      </c>
      <c r="BQ359" s="101">
        <v>1300</v>
      </c>
      <c r="BS359" s="92">
        <v>140</v>
      </c>
      <c r="BT359" s="92">
        <v>185</v>
      </c>
      <c r="BU359" s="92">
        <v>275</v>
      </c>
      <c r="BV359" s="92">
        <v>410</v>
      </c>
      <c r="BW359" s="92">
        <v>685</v>
      </c>
      <c r="BX359" s="202">
        <v>1145</v>
      </c>
    </row>
    <row r="360" spans="67:76">
      <c r="BP360" s="101" t="str">
        <f t="shared" si="96"/>
        <v>3.151350</v>
      </c>
      <c r="BQ360" s="101">
        <v>1350</v>
      </c>
      <c r="BS360" s="92">
        <v>105</v>
      </c>
      <c r="BT360" s="92">
        <v>140</v>
      </c>
      <c r="BU360" s="92">
        <v>205</v>
      </c>
      <c r="BV360" s="92">
        <v>310</v>
      </c>
      <c r="BW360" s="92">
        <v>515</v>
      </c>
      <c r="BX360" s="92">
        <v>860</v>
      </c>
    </row>
    <row r="361" spans="67:76">
      <c r="BP361" s="101" t="str">
        <f t="shared" si="96"/>
        <v>3.151400</v>
      </c>
      <c r="BQ361" s="101">
        <v>1400</v>
      </c>
      <c r="BS361" s="92">
        <v>75</v>
      </c>
      <c r="BT361" s="92">
        <v>100</v>
      </c>
      <c r="BU361" s="92">
        <v>150</v>
      </c>
      <c r="BV361" s="92">
        <v>225</v>
      </c>
      <c r="BW361" s="92">
        <v>380</v>
      </c>
      <c r="BX361" s="92">
        <v>630</v>
      </c>
    </row>
    <row r="362" spans="67:76">
      <c r="BP362" s="101" t="str">
        <f t="shared" si="96"/>
        <v>3.151450</v>
      </c>
      <c r="BQ362" s="101">
        <v>1450</v>
      </c>
      <c r="BS362" s="92">
        <v>60</v>
      </c>
      <c r="BT362" s="92">
        <v>80</v>
      </c>
      <c r="BU362" s="92">
        <v>115</v>
      </c>
      <c r="BV362" s="92">
        <v>175</v>
      </c>
      <c r="BW362" s="92">
        <v>290</v>
      </c>
      <c r="BX362" s="92">
        <v>485</v>
      </c>
    </row>
    <row r="363" spans="67:76">
      <c r="BP363" s="101" t="str">
        <f t="shared" si="96"/>
        <v>3.151500</v>
      </c>
      <c r="BQ363" s="101">
        <v>1500</v>
      </c>
      <c r="BS363" s="92">
        <v>40</v>
      </c>
      <c r="BT363" s="92">
        <v>55</v>
      </c>
      <c r="BU363" s="92">
        <v>85</v>
      </c>
      <c r="BV363" s="92">
        <v>125</v>
      </c>
      <c r="BW363" s="92">
        <v>205</v>
      </c>
      <c r="BX363" s="92">
        <v>345</v>
      </c>
    </row>
    <row r="364" spans="67:76">
      <c r="BO364" s="92">
        <v>3.16</v>
      </c>
      <c r="BP364" s="101" t="str">
        <f t="shared" ref="BP364:BP387" si="97">BO$364&amp;TEXT(BQ364,"0000")</f>
        <v>3.160100</v>
      </c>
      <c r="BQ364" s="92">
        <v>100</v>
      </c>
      <c r="BR364" s="92">
        <v>275</v>
      </c>
      <c r="BS364" s="92">
        <v>720</v>
      </c>
      <c r="BT364" s="92">
        <v>960</v>
      </c>
      <c r="BU364" s="202">
        <v>1440</v>
      </c>
      <c r="BV364" s="202">
        <v>2160</v>
      </c>
      <c r="BW364" s="202">
        <v>3600</v>
      </c>
      <c r="BX364" s="202">
        <v>6000</v>
      </c>
    </row>
    <row r="365" spans="67:76">
      <c r="BP365" s="101" t="str">
        <f t="shared" si="97"/>
        <v>3.160200</v>
      </c>
      <c r="BQ365" s="101">
        <v>200</v>
      </c>
      <c r="BR365" s="92">
        <v>245</v>
      </c>
      <c r="BS365" s="92">
        <v>635</v>
      </c>
      <c r="BT365" s="92">
        <v>850</v>
      </c>
      <c r="BU365" s="202">
        <v>1270</v>
      </c>
      <c r="BV365" s="202">
        <v>1910</v>
      </c>
      <c r="BW365" s="202">
        <v>3180</v>
      </c>
      <c r="BX365" s="202">
        <v>5300</v>
      </c>
    </row>
    <row r="366" spans="67:76">
      <c r="BP366" s="101" t="str">
        <f t="shared" si="97"/>
        <v>3.160300</v>
      </c>
      <c r="BQ366" s="101">
        <v>300</v>
      </c>
      <c r="BR366" s="92">
        <v>225</v>
      </c>
      <c r="BS366" s="92">
        <v>595</v>
      </c>
      <c r="BT366" s="92">
        <v>790</v>
      </c>
      <c r="BU366" s="202">
        <v>1185</v>
      </c>
      <c r="BV366" s="202">
        <v>1780</v>
      </c>
      <c r="BW366" s="202">
        <v>2965</v>
      </c>
      <c r="BX366" s="202">
        <v>4940</v>
      </c>
    </row>
    <row r="367" spans="67:76">
      <c r="BP367" s="101" t="str">
        <f t="shared" si="97"/>
        <v>3.160400</v>
      </c>
      <c r="BQ367" s="101">
        <v>400</v>
      </c>
      <c r="BR367" s="92">
        <v>200</v>
      </c>
      <c r="BS367" s="92">
        <v>555</v>
      </c>
      <c r="BT367" s="92">
        <v>740</v>
      </c>
      <c r="BU367" s="202">
        <v>1115</v>
      </c>
      <c r="BV367" s="202">
        <v>1670</v>
      </c>
      <c r="BW367" s="202">
        <v>2785</v>
      </c>
      <c r="BX367" s="202">
        <v>4640</v>
      </c>
    </row>
    <row r="368" spans="67:76">
      <c r="BP368" s="101" t="str">
        <f t="shared" si="97"/>
        <v>3.160500</v>
      </c>
      <c r="BQ368" s="101">
        <v>500</v>
      </c>
      <c r="BR368" s="92">
        <v>170</v>
      </c>
      <c r="BS368" s="92">
        <v>530</v>
      </c>
      <c r="BT368" s="92">
        <v>705</v>
      </c>
      <c r="BU368" s="202">
        <v>1055</v>
      </c>
      <c r="BV368" s="202">
        <v>1585</v>
      </c>
      <c r="BW368" s="202">
        <v>2640</v>
      </c>
      <c r="BX368" s="202">
        <v>4400</v>
      </c>
    </row>
    <row r="369" spans="68:76">
      <c r="BP369" s="101" t="str">
        <f t="shared" si="97"/>
        <v>3.160600</v>
      </c>
      <c r="BQ369" s="101">
        <v>600</v>
      </c>
      <c r="BR369" s="92">
        <v>140</v>
      </c>
      <c r="BS369" s="92">
        <v>505</v>
      </c>
      <c r="BT369" s="92">
        <v>670</v>
      </c>
      <c r="BU369" s="202">
        <v>1010</v>
      </c>
      <c r="BV369" s="202">
        <v>1510</v>
      </c>
      <c r="BW369" s="202">
        <v>2520</v>
      </c>
      <c r="BX369" s="202">
        <v>4200</v>
      </c>
    </row>
    <row r="370" spans="68:76">
      <c r="BP370" s="101" t="str">
        <f t="shared" si="97"/>
        <v>3.160650</v>
      </c>
      <c r="BQ370" s="101">
        <v>650</v>
      </c>
      <c r="BR370" s="92">
        <v>125</v>
      </c>
      <c r="BS370" s="92">
        <v>495</v>
      </c>
      <c r="BT370" s="92">
        <v>660</v>
      </c>
      <c r="BU370" s="92">
        <v>990</v>
      </c>
      <c r="BV370" s="202">
        <v>1485</v>
      </c>
      <c r="BW370" s="202">
        <v>2470</v>
      </c>
      <c r="BX370" s="202">
        <v>4120</v>
      </c>
    </row>
    <row r="371" spans="68:76">
      <c r="BP371" s="101" t="str">
        <f t="shared" si="97"/>
        <v>3.160700</v>
      </c>
      <c r="BQ371" s="101">
        <v>700</v>
      </c>
      <c r="BR371" s="92">
        <v>110</v>
      </c>
      <c r="BS371" s="92">
        <v>480</v>
      </c>
      <c r="BT371" s="92">
        <v>645</v>
      </c>
      <c r="BU371" s="92">
        <v>965</v>
      </c>
      <c r="BV371" s="202">
        <v>1445</v>
      </c>
      <c r="BW371" s="202">
        <v>2410</v>
      </c>
      <c r="BX371" s="202">
        <v>4020</v>
      </c>
    </row>
    <row r="372" spans="68:76">
      <c r="BP372" s="101" t="str">
        <f t="shared" si="97"/>
        <v>3.160750</v>
      </c>
      <c r="BQ372" s="101">
        <v>750</v>
      </c>
      <c r="BR372" s="92">
        <v>95</v>
      </c>
      <c r="BS372" s="92">
        <v>475</v>
      </c>
      <c r="BT372" s="92">
        <v>630</v>
      </c>
      <c r="BU372" s="92">
        <v>945</v>
      </c>
      <c r="BV372" s="202">
        <v>1420</v>
      </c>
      <c r="BW372" s="202">
        <v>2365</v>
      </c>
      <c r="BX372" s="202">
        <v>3940</v>
      </c>
    </row>
    <row r="373" spans="68:76">
      <c r="BP373" s="101" t="str">
        <f t="shared" si="97"/>
        <v>3.160800</v>
      </c>
      <c r="BQ373" s="101">
        <v>800</v>
      </c>
      <c r="BR373" s="92">
        <v>80</v>
      </c>
      <c r="BS373" s="92">
        <v>465</v>
      </c>
      <c r="BT373" s="92">
        <v>620</v>
      </c>
      <c r="BU373" s="92">
        <v>925</v>
      </c>
      <c r="BV373" s="202">
        <v>1390</v>
      </c>
      <c r="BW373" s="202">
        <v>2315</v>
      </c>
      <c r="BX373" s="202">
        <v>3860</v>
      </c>
    </row>
    <row r="374" spans="68:76">
      <c r="BP374" s="101" t="str">
        <f t="shared" si="97"/>
        <v>3.160850</v>
      </c>
      <c r="BQ374" s="101">
        <v>850</v>
      </c>
      <c r="BR374" s="92">
        <v>65</v>
      </c>
      <c r="BS374" s="92">
        <v>455</v>
      </c>
      <c r="BT374" s="92">
        <v>605</v>
      </c>
      <c r="BU374" s="92">
        <v>905</v>
      </c>
      <c r="BV374" s="202">
        <v>1360</v>
      </c>
      <c r="BW374" s="202">
        <v>2270</v>
      </c>
      <c r="BX374" s="202">
        <v>3780</v>
      </c>
    </row>
    <row r="375" spans="68:76">
      <c r="BP375" s="101" t="str">
        <f t="shared" si="97"/>
        <v>3.160900</v>
      </c>
      <c r="BQ375" s="101">
        <v>900</v>
      </c>
      <c r="BR375" s="92">
        <v>50</v>
      </c>
      <c r="BS375" s="92">
        <v>445</v>
      </c>
      <c r="BT375" s="92">
        <v>590</v>
      </c>
      <c r="BU375" s="92">
        <v>890</v>
      </c>
      <c r="BV375" s="202">
        <v>1330</v>
      </c>
      <c r="BW375" s="202">
        <v>2220</v>
      </c>
      <c r="BX375" s="202">
        <v>3700</v>
      </c>
    </row>
    <row r="376" spans="68:76">
      <c r="BP376" s="101" t="str">
        <f t="shared" si="97"/>
        <v>3.160950</v>
      </c>
      <c r="BQ376" s="101">
        <v>950</v>
      </c>
      <c r="BR376" s="92">
        <v>35</v>
      </c>
      <c r="BS376" s="92">
        <v>385</v>
      </c>
      <c r="BT376" s="92">
        <v>515</v>
      </c>
      <c r="BU376" s="92">
        <v>775</v>
      </c>
      <c r="BV376" s="202">
        <v>1160</v>
      </c>
      <c r="BW376" s="202">
        <v>1930</v>
      </c>
      <c r="BX376" s="202">
        <v>3220</v>
      </c>
    </row>
    <row r="377" spans="68:76">
      <c r="BP377" s="101" t="str">
        <f t="shared" si="97"/>
        <v>3.161000</v>
      </c>
      <c r="BQ377" s="101">
        <v>1000</v>
      </c>
      <c r="BR377" s="92">
        <v>20</v>
      </c>
      <c r="BS377" s="92">
        <v>365</v>
      </c>
      <c r="BT377" s="92">
        <v>485</v>
      </c>
      <c r="BU377" s="92">
        <v>725</v>
      </c>
      <c r="BV377" s="202">
        <v>1090</v>
      </c>
      <c r="BW377" s="202">
        <v>1820</v>
      </c>
      <c r="BX377" s="202">
        <v>3030</v>
      </c>
    </row>
    <row r="378" spans="68:76">
      <c r="BP378" s="101" t="str">
        <f t="shared" si="97"/>
        <v>3.161050</v>
      </c>
      <c r="BQ378" s="101">
        <v>1050</v>
      </c>
      <c r="BS378" s="92">
        <v>345</v>
      </c>
      <c r="BT378" s="92">
        <v>455</v>
      </c>
      <c r="BU378" s="92">
        <v>685</v>
      </c>
      <c r="BV378" s="202">
        <v>1030</v>
      </c>
      <c r="BW378" s="202">
        <v>1715</v>
      </c>
      <c r="BX378" s="202">
        <v>2855</v>
      </c>
    </row>
    <row r="379" spans="68:76">
      <c r="BP379" s="101" t="str">
        <f t="shared" si="97"/>
        <v>3.161100</v>
      </c>
      <c r="BQ379" s="101">
        <v>1100</v>
      </c>
      <c r="BS379" s="92">
        <v>265</v>
      </c>
      <c r="BT379" s="92">
        <v>355</v>
      </c>
      <c r="BU379" s="92">
        <v>535</v>
      </c>
      <c r="BV379" s="92">
        <v>800</v>
      </c>
      <c r="BW379" s="202">
        <v>1335</v>
      </c>
      <c r="BX379" s="202">
        <v>2230</v>
      </c>
    </row>
    <row r="380" spans="68:76">
      <c r="BP380" s="101" t="str">
        <f t="shared" si="97"/>
        <v>3.161150</v>
      </c>
      <c r="BQ380" s="101">
        <v>1150</v>
      </c>
      <c r="BS380" s="92">
        <v>205</v>
      </c>
      <c r="BT380" s="92">
        <v>275</v>
      </c>
      <c r="BU380" s="92">
        <v>410</v>
      </c>
      <c r="BV380" s="92">
        <v>615</v>
      </c>
      <c r="BW380" s="202">
        <v>1030</v>
      </c>
      <c r="BX380" s="202">
        <v>1715</v>
      </c>
    </row>
    <row r="381" spans="68:76">
      <c r="BP381" s="101" t="str">
        <f t="shared" si="97"/>
        <v>3.161200</v>
      </c>
      <c r="BQ381" s="101">
        <v>1200</v>
      </c>
      <c r="BS381" s="92">
        <v>160</v>
      </c>
      <c r="BT381" s="92">
        <v>215</v>
      </c>
      <c r="BU381" s="92">
        <v>320</v>
      </c>
      <c r="BV381" s="92">
        <v>485</v>
      </c>
      <c r="BW381" s="92">
        <v>805</v>
      </c>
      <c r="BX381" s="202">
        <v>1345</v>
      </c>
    </row>
    <row r="382" spans="68:76">
      <c r="BP382" s="101" t="str">
        <f t="shared" si="97"/>
        <v>3.161250</v>
      </c>
      <c r="BQ382" s="101">
        <v>1250</v>
      </c>
      <c r="BS382" s="92">
        <v>130</v>
      </c>
      <c r="BT382" s="92">
        <v>175</v>
      </c>
      <c r="BU382" s="92">
        <v>260</v>
      </c>
      <c r="BV382" s="92">
        <v>390</v>
      </c>
      <c r="BW382" s="92">
        <v>650</v>
      </c>
      <c r="BX382" s="202">
        <v>1085</v>
      </c>
    </row>
    <row r="383" spans="68:76">
      <c r="BP383" s="101" t="str">
        <f t="shared" si="97"/>
        <v>3.161300</v>
      </c>
      <c r="BQ383" s="101">
        <v>1300</v>
      </c>
      <c r="BS383" s="92">
        <v>105</v>
      </c>
      <c r="BT383" s="92">
        <v>140</v>
      </c>
      <c r="BU383" s="92">
        <v>215</v>
      </c>
      <c r="BV383" s="92">
        <v>320</v>
      </c>
      <c r="BW383" s="92">
        <v>530</v>
      </c>
      <c r="BX383" s="92">
        <v>885</v>
      </c>
    </row>
    <row r="384" spans="68:76">
      <c r="BP384" s="101" t="str">
        <f t="shared" si="97"/>
        <v>3.161350</v>
      </c>
      <c r="BQ384" s="101">
        <v>1350</v>
      </c>
      <c r="BS384" s="92">
        <v>80</v>
      </c>
      <c r="BT384" s="92">
        <v>110</v>
      </c>
      <c r="BU384" s="92">
        <v>165</v>
      </c>
      <c r="BV384" s="92">
        <v>245</v>
      </c>
      <c r="BW384" s="92">
        <v>410</v>
      </c>
      <c r="BX384" s="92">
        <v>685</v>
      </c>
    </row>
    <row r="385" spans="67:76">
      <c r="BP385" s="101" t="str">
        <f t="shared" si="97"/>
        <v>3.161400</v>
      </c>
      <c r="BQ385" s="101">
        <v>1400</v>
      </c>
      <c r="BS385" s="92">
        <v>60</v>
      </c>
      <c r="BT385" s="92">
        <v>80</v>
      </c>
      <c r="BU385" s="92">
        <v>125</v>
      </c>
      <c r="BV385" s="92">
        <v>185</v>
      </c>
      <c r="BW385" s="92">
        <v>310</v>
      </c>
      <c r="BX385" s="92">
        <v>515</v>
      </c>
    </row>
    <row r="386" spans="67:76">
      <c r="BP386" s="101" t="str">
        <f t="shared" si="97"/>
        <v>3.161450</v>
      </c>
      <c r="BQ386" s="101">
        <v>1450</v>
      </c>
      <c r="BS386" s="92">
        <v>50</v>
      </c>
      <c r="BT386" s="92">
        <v>70</v>
      </c>
      <c r="BU386" s="92">
        <v>105</v>
      </c>
      <c r="BV386" s="92">
        <v>155</v>
      </c>
      <c r="BW386" s="92">
        <v>255</v>
      </c>
      <c r="BX386" s="92">
        <v>430</v>
      </c>
    </row>
    <row r="387" spans="67:76">
      <c r="BP387" s="101" t="str">
        <f t="shared" si="97"/>
        <v>3.161500</v>
      </c>
      <c r="BQ387" s="101">
        <v>1500</v>
      </c>
      <c r="BS387" s="92">
        <v>40</v>
      </c>
      <c r="BT387" s="92">
        <v>50</v>
      </c>
      <c r="BU387" s="92">
        <v>75</v>
      </c>
      <c r="BV387" s="92">
        <v>115</v>
      </c>
      <c r="BW387" s="92">
        <v>190</v>
      </c>
      <c r="BX387" s="92">
        <v>315</v>
      </c>
    </row>
    <row r="388" spans="67:76">
      <c r="BO388" s="92">
        <v>3.17</v>
      </c>
      <c r="BP388" s="101" t="str">
        <f t="shared" ref="BP388:BP411" si="98">BO$388&amp;TEXT(BQ388,"0000")</f>
        <v>3.170100</v>
      </c>
      <c r="BQ388" s="92">
        <v>100</v>
      </c>
      <c r="BR388" s="92">
        <v>230</v>
      </c>
      <c r="BS388" s="92">
        <v>600</v>
      </c>
      <c r="BT388" s="92">
        <v>800</v>
      </c>
      <c r="BU388" s="202">
        <v>1200</v>
      </c>
      <c r="BV388" s="202">
        <v>1800</v>
      </c>
      <c r="BW388" s="202">
        <v>3000</v>
      </c>
      <c r="BX388" s="202">
        <v>5000</v>
      </c>
    </row>
    <row r="389" spans="67:76">
      <c r="BP389" s="101" t="str">
        <f t="shared" si="98"/>
        <v>3.170200</v>
      </c>
      <c r="BQ389" s="101">
        <v>200</v>
      </c>
      <c r="BR389" s="92">
        <v>200</v>
      </c>
      <c r="BS389" s="92">
        <v>520</v>
      </c>
      <c r="BT389" s="92">
        <v>690</v>
      </c>
      <c r="BU389" s="202">
        <v>1035</v>
      </c>
      <c r="BV389" s="202">
        <v>1555</v>
      </c>
      <c r="BW389" s="202">
        <v>2590</v>
      </c>
      <c r="BX389" s="202">
        <v>4320</v>
      </c>
    </row>
    <row r="390" spans="67:76">
      <c r="BP390" s="101" t="str">
        <f t="shared" si="98"/>
        <v>3.170300</v>
      </c>
      <c r="BQ390" s="101">
        <v>300</v>
      </c>
      <c r="BR390" s="92">
        <v>180</v>
      </c>
      <c r="BS390" s="92">
        <v>465</v>
      </c>
      <c r="BT390" s="92">
        <v>620</v>
      </c>
      <c r="BU390" s="92">
        <v>930</v>
      </c>
      <c r="BV390" s="202">
        <v>1395</v>
      </c>
      <c r="BW390" s="202">
        <v>2330</v>
      </c>
      <c r="BX390" s="202">
        <v>3880</v>
      </c>
    </row>
    <row r="391" spans="67:76">
      <c r="BP391" s="101" t="str">
        <f t="shared" si="98"/>
        <v>3.170400</v>
      </c>
      <c r="BQ391" s="101">
        <v>400</v>
      </c>
      <c r="BR391" s="92">
        <v>160</v>
      </c>
      <c r="BS391" s="92">
        <v>420</v>
      </c>
      <c r="BT391" s="92">
        <v>565</v>
      </c>
      <c r="BU391" s="92">
        <v>845</v>
      </c>
      <c r="BV391" s="202">
        <v>1265</v>
      </c>
      <c r="BW391" s="202">
        <v>2110</v>
      </c>
      <c r="BX391" s="202">
        <v>3520</v>
      </c>
    </row>
    <row r="392" spans="67:76">
      <c r="BP392" s="101" t="str">
        <f t="shared" si="98"/>
        <v>3.170500</v>
      </c>
      <c r="BQ392" s="101">
        <v>500</v>
      </c>
      <c r="BR392" s="92">
        <v>150</v>
      </c>
      <c r="BS392" s="92">
        <v>390</v>
      </c>
      <c r="BT392" s="92">
        <v>520</v>
      </c>
      <c r="BU392" s="92">
        <v>780</v>
      </c>
      <c r="BV392" s="202">
        <v>1165</v>
      </c>
      <c r="BW392" s="202">
        <v>1945</v>
      </c>
      <c r="BX392" s="202">
        <v>3240</v>
      </c>
    </row>
    <row r="393" spans="67:76">
      <c r="BP393" s="101" t="str">
        <f t="shared" si="98"/>
        <v>3.170600</v>
      </c>
      <c r="BQ393" s="101">
        <v>600</v>
      </c>
      <c r="BR393" s="92">
        <v>140</v>
      </c>
      <c r="BS393" s="92">
        <v>360</v>
      </c>
      <c r="BT393" s="92">
        <v>480</v>
      </c>
      <c r="BU393" s="92">
        <v>720</v>
      </c>
      <c r="BV393" s="202">
        <v>1080</v>
      </c>
      <c r="BW393" s="202">
        <v>1800</v>
      </c>
      <c r="BX393" s="202">
        <v>3000</v>
      </c>
    </row>
    <row r="394" spans="67:76">
      <c r="BP394" s="101" t="str">
        <f t="shared" si="98"/>
        <v>3.170650</v>
      </c>
      <c r="BQ394" s="101">
        <v>650</v>
      </c>
    </row>
    <row r="395" spans="67:76">
      <c r="BP395" s="101" t="str">
        <f t="shared" si="98"/>
        <v>3.170700</v>
      </c>
      <c r="BQ395" s="101">
        <v>700</v>
      </c>
    </row>
    <row r="396" spans="67:76">
      <c r="BP396" s="101" t="str">
        <f t="shared" si="98"/>
        <v>3.170750</v>
      </c>
      <c r="BQ396" s="101">
        <v>750</v>
      </c>
    </row>
    <row r="397" spans="67:76">
      <c r="BP397" s="101" t="str">
        <f t="shared" si="98"/>
        <v>3.170800</v>
      </c>
      <c r="BQ397" s="101">
        <v>800</v>
      </c>
    </row>
    <row r="398" spans="67:76">
      <c r="BP398" s="101" t="str">
        <f t="shared" si="98"/>
        <v>3.170850</v>
      </c>
      <c r="BQ398" s="101">
        <v>850</v>
      </c>
    </row>
    <row r="399" spans="67:76">
      <c r="BP399" s="101" t="str">
        <f t="shared" si="98"/>
        <v>3.170900</v>
      </c>
      <c r="BQ399" s="101">
        <v>900</v>
      </c>
    </row>
    <row r="400" spans="67:76">
      <c r="BP400" s="101" t="str">
        <f t="shared" si="98"/>
        <v>3.170950</v>
      </c>
      <c r="BQ400" s="101">
        <v>950</v>
      </c>
    </row>
    <row r="401" spans="67:76">
      <c r="BP401" s="101" t="str">
        <f t="shared" si="98"/>
        <v>3.171000</v>
      </c>
      <c r="BQ401" s="101">
        <v>1000</v>
      </c>
    </row>
    <row r="402" spans="67:76">
      <c r="BP402" s="101" t="str">
        <f t="shared" si="98"/>
        <v>3.171050</v>
      </c>
      <c r="BQ402" s="101">
        <v>1050</v>
      </c>
    </row>
    <row r="403" spans="67:76">
      <c r="BP403" s="101" t="str">
        <f t="shared" si="98"/>
        <v>3.171100</v>
      </c>
      <c r="BQ403" s="101">
        <v>1100</v>
      </c>
    </row>
    <row r="404" spans="67:76">
      <c r="BP404" s="101" t="str">
        <f t="shared" si="98"/>
        <v>3.171150</v>
      </c>
      <c r="BQ404" s="101">
        <v>1150</v>
      </c>
    </row>
    <row r="405" spans="67:76">
      <c r="BP405" s="101" t="str">
        <f t="shared" si="98"/>
        <v>3.171200</v>
      </c>
      <c r="BQ405" s="101">
        <v>1200</v>
      </c>
    </row>
    <row r="406" spans="67:76">
      <c r="BP406" s="101" t="str">
        <f t="shared" si="98"/>
        <v>3.171250</v>
      </c>
      <c r="BQ406" s="101">
        <v>1250</v>
      </c>
    </row>
    <row r="407" spans="67:76">
      <c r="BP407" s="101" t="str">
        <f t="shared" si="98"/>
        <v>3.171300</v>
      </c>
      <c r="BQ407" s="101">
        <v>1300</v>
      </c>
    </row>
    <row r="408" spans="67:76">
      <c r="BP408" s="101" t="str">
        <f t="shared" si="98"/>
        <v>3.171350</v>
      </c>
      <c r="BQ408" s="101">
        <v>1350</v>
      </c>
    </row>
    <row r="409" spans="67:76">
      <c r="BP409" s="101" t="str">
        <f t="shared" si="98"/>
        <v>3.171400</v>
      </c>
      <c r="BQ409" s="101">
        <v>1400</v>
      </c>
    </row>
    <row r="410" spans="67:76">
      <c r="BP410" s="101" t="str">
        <f t="shared" si="98"/>
        <v>3.171450</v>
      </c>
      <c r="BQ410" s="101">
        <v>1450</v>
      </c>
    </row>
    <row r="411" spans="67:76">
      <c r="BP411" s="101" t="str">
        <f t="shared" si="98"/>
        <v>3.171500</v>
      </c>
      <c r="BQ411" s="101">
        <v>1500</v>
      </c>
    </row>
    <row r="412" spans="67:76">
      <c r="BO412" s="92">
        <v>3.19</v>
      </c>
      <c r="BP412" s="101" t="str">
        <f>BO$412&amp;TEXT(BQ412,"0000")</f>
        <v>3.190100</v>
      </c>
      <c r="BQ412" s="92">
        <v>100</v>
      </c>
      <c r="BR412" s="92">
        <v>290</v>
      </c>
      <c r="BS412" s="92">
        <v>750</v>
      </c>
      <c r="BT412" s="202">
        <v>1000</v>
      </c>
      <c r="BU412" s="202">
        <v>1500</v>
      </c>
      <c r="BV412" s="202">
        <v>2250</v>
      </c>
      <c r="BW412" s="202">
        <v>3750</v>
      </c>
      <c r="BX412" s="202">
        <v>6250</v>
      </c>
    </row>
    <row r="413" spans="67:76">
      <c r="BP413" s="101" t="str">
        <f t="shared" ref="BP413:BP435" si="99">BO$412&amp;TEXT(BQ413,"0000")</f>
        <v>3.190200</v>
      </c>
      <c r="BQ413" s="92">
        <v>200</v>
      </c>
      <c r="BR413" s="92">
        <v>260</v>
      </c>
      <c r="BS413" s="92">
        <v>750</v>
      </c>
      <c r="BT413" s="202">
        <v>1000</v>
      </c>
      <c r="BU413" s="202">
        <v>1500</v>
      </c>
      <c r="BV413" s="202">
        <v>2250</v>
      </c>
      <c r="BW413" s="202">
        <v>3750</v>
      </c>
      <c r="BX413" s="202">
        <v>6250</v>
      </c>
    </row>
    <row r="414" spans="67:76">
      <c r="BP414" s="101" t="str">
        <f t="shared" si="99"/>
        <v>3.190300</v>
      </c>
      <c r="BQ414" s="92">
        <v>300</v>
      </c>
      <c r="BR414" s="92">
        <v>230</v>
      </c>
      <c r="BS414" s="92">
        <v>730</v>
      </c>
      <c r="BT414" s="92">
        <v>970</v>
      </c>
      <c r="BU414" s="202">
        <v>1455</v>
      </c>
      <c r="BV414" s="202">
        <v>2185</v>
      </c>
      <c r="BW414" s="202">
        <v>3640</v>
      </c>
      <c r="BX414" s="202">
        <v>6070</v>
      </c>
    </row>
    <row r="415" spans="67:76">
      <c r="BP415" s="101" t="str">
        <f t="shared" si="99"/>
        <v>3.190400</v>
      </c>
      <c r="BQ415" s="92">
        <v>400</v>
      </c>
      <c r="BR415" s="92">
        <v>200</v>
      </c>
      <c r="BS415" s="92">
        <v>705</v>
      </c>
      <c r="BT415" s="92">
        <v>940</v>
      </c>
      <c r="BU415" s="202">
        <v>1410</v>
      </c>
      <c r="BV415" s="202">
        <v>2115</v>
      </c>
      <c r="BW415" s="202">
        <v>3530</v>
      </c>
      <c r="BX415" s="202">
        <v>5880</v>
      </c>
    </row>
    <row r="416" spans="67:76">
      <c r="BP416" s="101" t="str">
        <f t="shared" si="99"/>
        <v>3.190500</v>
      </c>
      <c r="BQ416" s="92">
        <v>500</v>
      </c>
      <c r="BR416" s="92">
        <v>170</v>
      </c>
      <c r="BS416" s="92">
        <v>665</v>
      </c>
      <c r="BT416" s="92">
        <v>885</v>
      </c>
      <c r="BU416" s="202">
        <v>1330</v>
      </c>
      <c r="BV416" s="202">
        <v>1995</v>
      </c>
      <c r="BW416" s="202">
        <v>3325</v>
      </c>
      <c r="BX416" s="202">
        <v>5540</v>
      </c>
    </row>
    <row r="417" spans="68:76">
      <c r="BP417" s="101" t="str">
        <f t="shared" si="99"/>
        <v>3.190600</v>
      </c>
      <c r="BQ417" s="92">
        <v>600</v>
      </c>
      <c r="BR417" s="92">
        <v>140</v>
      </c>
      <c r="BS417" s="92">
        <v>605</v>
      </c>
      <c r="BT417" s="92">
        <v>805</v>
      </c>
      <c r="BU417" s="202">
        <v>1210</v>
      </c>
      <c r="BV417" s="202">
        <v>1815</v>
      </c>
      <c r="BW417" s="202">
        <v>3025</v>
      </c>
      <c r="BX417" s="202">
        <v>5040</v>
      </c>
    </row>
    <row r="418" spans="68:76">
      <c r="BP418" s="101" t="str">
        <f t="shared" si="99"/>
        <v>3.190650</v>
      </c>
      <c r="BQ418" s="92">
        <v>650</v>
      </c>
      <c r="BR418" s="92">
        <v>125</v>
      </c>
      <c r="BS418" s="92">
        <v>590</v>
      </c>
      <c r="BT418" s="92">
        <v>785</v>
      </c>
      <c r="BU418" s="202">
        <v>1175</v>
      </c>
      <c r="BV418" s="202">
        <v>1765</v>
      </c>
      <c r="BW418" s="202">
        <v>2940</v>
      </c>
      <c r="BX418" s="202">
        <v>4905</v>
      </c>
    </row>
    <row r="419" spans="68:76">
      <c r="BP419" s="101" t="str">
        <f t="shared" si="99"/>
        <v>3.190700</v>
      </c>
      <c r="BQ419" s="92">
        <v>700</v>
      </c>
      <c r="BR419" s="92">
        <v>110</v>
      </c>
      <c r="BS419" s="92">
        <v>570</v>
      </c>
      <c r="BT419" s="92">
        <v>755</v>
      </c>
      <c r="BU419" s="202">
        <v>1135</v>
      </c>
      <c r="BV419" s="202">
        <v>1705</v>
      </c>
      <c r="BW419" s="202">
        <v>2840</v>
      </c>
      <c r="BX419" s="202">
        <v>4730</v>
      </c>
    </row>
    <row r="420" spans="68:76">
      <c r="BP420" s="101" t="str">
        <f t="shared" si="99"/>
        <v>3.190750</v>
      </c>
      <c r="BQ420" s="92">
        <v>750</v>
      </c>
      <c r="BR420" s="92">
        <v>95</v>
      </c>
      <c r="BS420" s="92">
        <v>530</v>
      </c>
      <c r="BT420" s="92">
        <v>710</v>
      </c>
      <c r="BU420" s="202">
        <v>1065</v>
      </c>
      <c r="BV420" s="202">
        <v>1595</v>
      </c>
      <c r="BW420" s="202">
        <v>2660</v>
      </c>
      <c r="BX420" s="202">
        <v>4430</v>
      </c>
    </row>
    <row r="421" spans="68:76">
      <c r="BP421" s="101" t="str">
        <f t="shared" si="99"/>
        <v>3.190800</v>
      </c>
      <c r="BQ421" s="92">
        <v>800</v>
      </c>
      <c r="BR421" s="92">
        <v>80</v>
      </c>
      <c r="BS421" s="92">
        <v>510</v>
      </c>
      <c r="BT421" s="92">
        <v>675</v>
      </c>
      <c r="BU421" s="202">
        <v>1015</v>
      </c>
      <c r="BV421" s="202">
        <v>1525</v>
      </c>
      <c r="BW421" s="202">
        <v>2540</v>
      </c>
      <c r="BX421" s="202">
        <v>4230</v>
      </c>
    </row>
    <row r="422" spans="68:76">
      <c r="BP422" s="101" t="str">
        <f t="shared" si="99"/>
        <v>3.190850</v>
      </c>
      <c r="BQ422" s="92">
        <v>850</v>
      </c>
      <c r="BR422" s="92">
        <v>65</v>
      </c>
      <c r="BS422" s="92">
        <v>485</v>
      </c>
      <c r="BT422" s="92">
        <v>650</v>
      </c>
      <c r="BU422" s="92">
        <v>975</v>
      </c>
      <c r="BV422" s="202">
        <v>1460</v>
      </c>
      <c r="BW422" s="202">
        <v>2435</v>
      </c>
      <c r="BX422" s="202">
        <v>4060</v>
      </c>
    </row>
    <row r="423" spans="68:76">
      <c r="BP423" s="101" t="str">
        <f t="shared" si="99"/>
        <v>3.190900</v>
      </c>
      <c r="BQ423" s="92">
        <v>900</v>
      </c>
      <c r="BR423" s="92">
        <v>50</v>
      </c>
      <c r="BS423" s="92">
        <v>450</v>
      </c>
      <c r="BT423" s="92">
        <v>600</v>
      </c>
      <c r="BU423" s="92">
        <v>900</v>
      </c>
      <c r="BV423" s="202">
        <v>1350</v>
      </c>
      <c r="BW423" s="202">
        <v>2245</v>
      </c>
      <c r="BX423" s="202">
        <v>3745</v>
      </c>
    </row>
    <row r="424" spans="68:76">
      <c r="BP424" s="101" t="str">
        <f t="shared" si="99"/>
        <v>3.190950</v>
      </c>
      <c r="BQ424" s="92">
        <v>950</v>
      </c>
      <c r="BR424" s="92">
        <v>35</v>
      </c>
      <c r="BS424" s="92">
        <v>385</v>
      </c>
      <c r="BT424" s="92">
        <v>515</v>
      </c>
      <c r="BU424" s="92">
        <v>775</v>
      </c>
      <c r="BV424" s="202">
        <v>1160</v>
      </c>
      <c r="BW424" s="202">
        <v>1930</v>
      </c>
      <c r="BX424" s="202">
        <v>3220</v>
      </c>
    </row>
    <row r="425" spans="68:76">
      <c r="BP425" s="101" t="str">
        <f t="shared" si="99"/>
        <v>3.191000</v>
      </c>
      <c r="BQ425" s="202">
        <v>1000</v>
      </c>
      <c r="BR425" s="92">
        <v>20</v>
      </c>
      <c r="BS425" s="92">
        <v>365</v>
      </c>
      <c r="BT425" s="92">
        <v>485</v>
      </c>
      <c r="BU425" s="92">
        <v>725</v>
      </c>
      <c r="BV425" s="202">
        <v>1090</v>
      </c>
      <c r="BW425" s="202">
        <v>1820</v>
      </c>
      <c r="BX425" s="202">
        <v>3030</v>
      </c>
    </row>
    <row r="426" spans="68:76">
      <c r="BP426" s="101" t="str">
        <f t="shared" si="99"/>
        <v>3.191050</v>
      </c>
      <c r="BQ426" s="202">
        <v>1050</v>
      </c>
      <c r="BR426" s="92">
        <v>20</v>
      </c>
      <c r="BS426" s="92">
        <v>360</v>
      </c>
      <c r="BT426" s="92">
        <v>480</v>
      </c>
      <c r="BU426" s="92">
        <v>720</v>
      </c>
      <c r="BV426" s="202">
        <v>1080</v>
      </c>
      <c r="BW426" s="202">
        <v>1800</v>
      </c>
      <c r="BX426" s="202">
        <v>3000</v>
      </c>
    </row>
    <row r="427" spans="68:76">
      <c r="BP427" s="101" t="str">
        <f t="shared" si="99"/>
        <v>3.191100</v>
      </c>
      <c r="BQ427" s="202">
        <v>1100</v>
      </c>
      <c r="BR427" s="92">
        <v>20</v>
      </c>
      <c r="BS427" s="92">
        <v>325</v>
      </c>
      <c r="BT427" s="92">
        <v>430</v>
      </c>
      <c r="BU427" s="92">
        <v>645</v>
      </c>
      <c r="BV427" s="92">
        <v>965</v>
      </c>
      <c r="BW427" s="202">
        <v>1610</v>
      </c>
      <c r="BX427" s="202">
        <v>2685</v>
      </c>
    </row>
    <row r="428" spans="68:76">
      <c r="BP428" s="101" t="str">
        <f t="shared" si="99"/>
        <v>3.191150</v>
      </c>
      <c r="BQ428" s="202">
        <v>1150</v>
      </c>
      <c r="BR428" s="92">
        <v>20</v>
      </c>
      <c r="BS428" s="92">
        <v>275</v>
      </c>
      <c r="BT428" s="92">
        <v>365</v>
      </c>
      <c r="BU428" s="92">
        <v>550</v>
      </c>
      <c r="BV428" s="92">
        <v>825</v>
      </c>
      <c r="BW428" s="202">
        <v>1370</v>
      </c>
      <c r="BX428" s="202">
        <v>2285</v>
      </c>
    </row>
    <row r="429" spans="68:76">
      <c r="BP429" s="101" t="str">
        <f t="shared" si="99"/>
        <v>3.191200</v>
      </c>
      <c r="BQ429" s="202">
        <v>1200</v>
      </c>
      <c r="BR429" s="92">
        <v>20</v>
      </c>
      <c r="BS429" s="92">
        <v>205</v>
      </c>
      <c r="BT429" s="92">
        <v>275</v>
      </c>
      <c r="BU429" s="92">
        <v>410</v>
      </c>
      <c r="BV429" s="92">
        <v>620</v>
      </c>
      <c r="BW429" s="202">
        <v>1030</v>
      </c>
      <c r="BX429" s="202">
        <v>1715</v>
      </c>
    </row>
    <row r="430" spans="68:76">
      <c r="BP430" s="101" t="str">
        <f t="shared" si="99"/>
        <v>3.191250</v>
      </c>
      <c r="BQ430" s="202">
        <v>1250</v>
      </c>
      <c r="BR430" s="92">
        <v>20</v>
      </c>
      <c r="BS430" s="92">
        <v>180</v>
      </c>
      <c r="BT430" s="92">
        <v>245</v>
      </c>
      <c r="BU430" s="92">
        <v>365</v>
      </c>
      <c r="BV430" s="92">
        <v>545</v>
      </c>
      <c r="BW430" s="92">
        <v>910</v>
      </c>
      <c r="BX430" s="202">
        <v>1515</v>
      </c>
    </row>
    <row r="431" spans="68:76">
      <c r="BP431" s="101" t="str">
        <f t="shared" si="99"/>
        <v>3.191300</v>
      </c>
      <c r="BQ431" s="202">
        <v>1300</v>
      </c>
      <c r="BR431" s="92">
        <v>20</v>
      </c>
      <c r="BS431" s="92">
        <v>140</v>
      </c>
      <c r="BT431" s="92">
        <v>185</v>
      </c>
      <c r="BU431" s="92">
        <v>275</v>
      </c>
      <c r="BV431" s="92">
        <v>410</v>
      </c>
      <c r="BW431" s="92">
        <v>685</v>
      </c>
      <c r="BX431" s="202">
        <v>1145</v>
      </c>
    </row>
    <row r="432" spans="68:76">
      <c r="BP432" s="101" t="str">
        <f t="shared" si="99"/>
        <v>3.191350</v>
      </c>
      <c r="BQ432" s="202">
        <v>1350</v>
      </c>
      <c r="BR432" s="92">
        <v>20</v>
      </c>
      <c r="BS432" s="92">
        <v>105</v>
      </c>
      <c r="BT432" s="92">
        <v>140</v>
      </c>
      <c r="BU432" s="92">
        <v>205</v>
      </c>
      <c r="BV432" s="92">
        <v>310</v>
      </c>
      <c r="BW432" s="92">
        <v>515</v>
      </c>
      <c r="BX432" s="92">
        <v>860</v>
      </c>
    </row>
    <row r="433" spans="68:76">
      <c r="BP433" s="101" t="str">
        <f t="shared" si="99"/>
        <v>3.191400</v>
      </c>
      <c r="BQ433" s="202">
        <v>1400</v>
      </c>
      <c r="BR433" s="92">
        <v>20</v>
      </c>
      <c r="BS433" s="92">
        <v>75</v>
      </c>
      <c r="BT433" s="92">
        <v>100</v>
      </c>
      <c r="BU433" s="92">
        <v>150</v>
      </c>
      <c r="BV433" s="92">
        <v>225</v>
      </c>
      <c r="BW433" s="92">
        <v>380</v>
      </c>
      <c r="BX433" s="92">
        <v>630</v>
      </c>
    </row>
    <row r="434" spans="68:76">
      <c r="BP434" s="101" t="str">
        <f t="shared" si="99"/>
        <v>3.191450</v>
      </c>
      <c r="BQ434" s="202">
        <v>1450</v>
      </c>
      <c r="BR434" s="92">
        <v>20</v>
      </c>
      <c r="BS434" s="92">
        <v>60</v>
      </c>
      <c r="BT434" s="92">
        <v>80</v>
      </c>
      <c r="BU434" s="92">
        <v>115</v>
      </c>
      <c r="BV434" s="92">
        <v>175</v>
      </c>
      <c r="BW434" s="92">
        <v>290</v>
      </c>
      <c r="BX434" s="92">
        <v>485</v>
      </c>
    </row>
    <row r="435" spans="68:76">
      <c r="BP435" s="101" t="str">
        <f t="shared" si="99"/>
        <v>3.191500</v>
      </c>
      <c r="BQ435" s="202">
        <v>1500</v>
      </c>
      <c r="BR435" s="92">
        <v>20</v>
      </c>
      <c r="BS435" s="92">
        <v>40</v>
      </c>
      <c r="BT435" s="92">
        <v>55</v>
      </c>
      <c r="BU435" s="92">
        <v>85</v>
      </c>
      <c r="BV435" s="92">
        <v>125</v>
      </c>
      <c r="BW435" s="92">
        <v>205</v>
      </c>
      <c r="BX435" s="92">
        <v>345</v>
      </c>
    </row>
  </sheetData>
  <sheetProtection password="8C51" sheet="1" objects="1" scenarios="1" selectLockedCells="1" selectUnlockedCells="1"/>
  <mergeCells count="2">
    <mergeCell ref="S1:U1"/>
    <mergeCell ref="S3:U3"/>
  </mergeCells>
  <pageMargins left="0.23622047244094491" right="0.23622047244094491" top="0.74803149606299213" bottom="0.74803149606299213" header="0.31496062992125984" footer="0.31496062992125984"/>
  <pageSetup paperSize="9" orientation="landscape"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B105"/>
  <sheetViews>
    <sheetView workbookViewId="0">
      <selection activeCell="D3" sqref="D3"/>
    </sheetView>
  </sheetViews>
  <sheetFormatPr defaultRowHeight="13.2"/>
  <cols>
    <col min="1" max="16384" width="8.88671875" style="92"/>
  </cols>
  <sheetData>
    <row r="1" spans="1:21">
      <c r="A1" s="93" t="s">
        <v>115</v>
      </c>
      <c r="F1" s="93" t="s">
        <v>116</v>
      </c>
    </row>
    <row r="2" spans="1:21">
      <c r="A2" s="116" t="s">
        <v>117</v>
      </c>
      <c r="D2" s="94">
        <f>'Rating Data'!A2*1000+'Low Stress Type Gasket'!AL9*10</f>
        <v>150015</v>
      </c>
      <c r="E2" s="94"/>
      <c r="F2" s="94" t="s">
        <v>118</v>
      </c>
    </row>
    <row r="3" spans="1:21">
      <c r="A3" s="115" t="s">
        <v>119</v>
      </c>
      <c r="B3" s="105" t="s">
        <v>120</v>
      </c>
      <c r="C3" s="105" t="s">
        <v>121</v>
      </c>
      <c r="D3" s="105" t="s">
        <v>124</v>
      </c>
      <c r="E3" s="106" t="s">
        <v>122</v>
      </c>
      <c r="F3" s="106" t="s">
        <v>155</v>
      </c>
      <c r="G3" s="106" t="s">
        <v>42</v>
      </c>
      <c r="H3" s="107" t="s">
        <v>123</v>
      </c>
      <c r="J3" s="201"/>
      <c r="K3" s="201"/>
    </row>
    <row r="4" spans="1:21">
      <c r="A4" s="108">
        <v>150010</v>
      </c>
      <c r="B4" s="109">
        <v>4</v>
      </c>
      <c r="C4" s="109">
        <v>0.5</v>
      </c>
      <c r="D4" s="109">
        <v>81.3</v>
      </c>
      <c r="E4" s="109">
        <v>39.799999999999997</v>
      </c>
      <c r="F4" s="109">
        <v>79.400000000000006</v>
      </c>
      <c r="G4" s="109">
        <v>7.9</v>
      </c>
      <c r="H4" s="110">
        <v>5.0082432049572034</v>
      </c>
      <c r="J4" s="109"/>
      <c r="K4" s="109"/>
    </row>
    <row r="5" spans="1:21">
      <c r="A5" s="108">
        <v>150015</v>
      </c>
      <c r="B5" s="109">
        <v>4</v>
      </c>
      <c r="C5" s="109">
        <v>0.5</v>
      </c>
      <c r="D5" s="109">
        <v>81.3</v>
      </c>
      <c r="E5" s="109">
        <v>62</v>
      </c>
      <c r="F5" s="109">
        <v>98.4</v>
      </c>
      <c r="G5" s="109">
        <v>7.9500000000000028</v>
      </c>
      <c r="H5" s="110">
        <v>5.024067077577687</v>
      </c>
      <c r="J5" s="109"/>
      <c r="K5" s="109"/>
      <c r="N5" s="142"/>
      <c r="U5" s="101"/>
    </row>
    <row r="6" spans="1:21">
      <c r="A6" s="108">
        <v>150020</v>
      </c>
      <c r="B6" s="109">
        <v>4</v>
      </c>
      <c r="C6" s="109">
        <v>0.625</v>
      </c>
      <c r="D6" s="109">
        <v>130</v>
      </c>
      <c r="E6" s="109">
        <v>77.900000000000006</v>
      </c>
      <c r="F6" s="109">
        <v>120.6</v>
      </c>
      <c r="G6" s="109">
        <v>7.8999999999999986</v>
      </c>
      <c r="H6" s="110">
        <v>5.0082432049572025</v>
      </c>
      <c r="J6" s="109"/>
      <c r="K6" s="109"/>
      <c r="U6" s="101"/>
    </row>
    <row r="7" spans="1:21">
      <c r="A7" s="108">
        <v>150030</v>
      </c>
      <c r="B7" s="109">
        <v>4</v>
      </c>
      <c r="C7" s="109">
        <v>0.625</v>
      </c>
      <c r="D7" s="109">
        <v>130</v>
      </c>
      <c r="E7" s="109">
        <v>111.2</v>
      </c>
      <c r="F7" s="109">
        <v>152.4</v>
      </c>
      <c r="G7" s="109">
        <v>9.5500000000000043</v>
      </c>
      <c r="H7" s="110">
        <v>4.78</v>
      </c>
      <c r="J7" s="109"/>
      <c r="K7" s="109"/>
      <c r="U7" s="101"/>
    </row>
    <row r="8" spans="1:21">
      <c r="A8" s="108">
        <v>150040</v>
      </c>
      <c r="B8" s="109">
        <v>8</v>
      </c>
      <c r="C8" s="109">
        <v>0.625</v>
      </c>
      <c r="D8" s="109">
        <v>130</v>
      </c>
      <c r="E8" s="109">
        <v>138.19999999999999</v>
      </c>
      <c r="F8" s="109">
        <v>190.5</v>
      </c>
      <c r="G8" s="109">
        <v>11.099999999999994</v>
      </c>
      <c r="H8" s="110">
        <v>5.6</v>
      </c>
      <c r="J8" s="109"/>
      <c r="K8" s="109"/>
      <c r="U8" s="101"/>
    </row>
    <row r="9" spans="1:21">
      <c r="A9" s="108">
        <v>150060</v>
      </c>
      <c r="B9" s="109">
        <v>8</v>
      </c>
      <c r="C9" s="109">
        <v>0.75</v>
      </c>
      <c r="D9" s="109">
        <v>195</v>
      </c>
      <c r="E9" s="109">
        <v>196.5</v>
      </c>
      <c r="F9" s="109">
        <v>241.3</v>
      </c>
      <c r="G9" s="109">
        <v>13.5</v>
      </c>
      <c r="H9" s="110">
        <v>6.55</v>
      </c>
      <c r="J9" s="109"/>
      <c r="K9" s="109"/>
      <c r="U9" s="101"/>
    </row>
    <row r="10" spans="1:21">
      <c r="A10" s="108">
        <v>150080</v>
      </c>
      <c r="B10" s="109">
        <v>8</v>
      </c>
      <c r="C10" s="109">
        <v>0.75</v>
      </c>
      <c r="D10" s="109">
        <v>195</v>
      </c>
      <c r="E10" s="109">
        <v>249.8</v>
      </c>
      <c r="F10" s="109">
        <v>298.39999999999998</v>
      </c>
      <c r="G10" s="109">
        <v>15.049999999999997</v>
      </c>
      <c r="H10" s="111">
        <v>6.94</v>
      </c>
      <c r="J10" s="109"/>
      <c r="K10" s="109"/>
      <c r="U10" s="101"/>
    </row>
    <row r="11" spans="1:21">
      <c r="A11" s="108">
        <v>150100</v>
      </c>
      <c r="B11" s="109">
        <v>12</v>
      </c>
      <c r="C11" s="109">
        <v>0.875</v>
      </c>
      <c r="D11" s="109">
        <v>270</v>
      </c>
      <c r="E11" s="109">
        <v>303.7</v>
      </c>
      <c r="F11" s="109">
        <v>362</v>
      </c>
      <c r="G11" s="109">
        <v>15.099999999999994</v>
      </c>
      <c r="H11" s="110">
        <v>6.9242703586731782</v>
      </c>
      <c r="J11" s="109"/>
      <c r="K11" s="109"/>
      <c r="U11" s="101"/>
    </row>
    <row r="12" spans="1:21">
      <c r="A12" s="108">
        <v>150120</v>
      </c>
      <c r="B12" s="109">
        <v>12</v>
      </c>
      <c r="C12" s="109">
        <v>0.875</v>
      </c>
      <c r="D12" s="109">
        <v>270</v>
      </c>
      <c r="E12" s="109">
        <v>359.8</v>
      </c>
      <c r="F12" s="109">
        <v>431.8</v>
      </c>
      <c r="G12" s="109">
        <v>17.5</v>
      </c>
      <c r="H12" s="110">
        <v>7.43</v>
      </c>
      <c r="J12" s="109"/>
      <c r="K12" s="109"/>
      <c r="U12" s="101"/>
    </row>
    <row r="13" spans="1:21">
      <c r="A13" s="108">
        <v>150140</v>
      </c>
      <c r="B13" s="109">
        <v>12</v>
      </c>
      <c r="C13" s="109">
        <v>1</v>
      </c>
      <c r="D13" s="109">
        <v>392</v>
      </c>
      <c r="E13" s="109">
        <v>391.5</v>
      </c>
      <c r="F13" s="109">
        <v>476.2</v>
      </c>
      <c r="G13" s="109">
        <v>14.300000000000011</v>
      </c>
      <c r="H13" s="110">
        <v>7.43</v>
      </c>
      <c r="J13" s="109"/>
      <c r="K13" s="109"/>
      <c r="U13" s="101"/>
    </row>
    <row r="14" spans="1:21">
      <c r="A14" s="108">
        <v>150160</v>
      </c>
      <c r="B14" s="109">
        <v>16</v>
      </c>
      <c r="C14" s="109">
        <v>1</v>
      </c>
      <c r="D14" s="109">
        <v>392</v>
      </c>
      <c r="E14" s="109">
        <v>447.4</v>
      </c>
      <c r="F14" s="109">
        <v>539.79999999999995</v>
      </c>
      <c r="G14" s="109">
        <v>17.449999999999989</v>
      </c>
      <c r="H14" s="110">
        <v>8.09</v>
      </c>
      <c r="J14" s="109"/>
      <c r="K14" s="109"/>
    </row>
    <row r="15" spans="1:21">
      <c r="A15" s="108">
        <v>150180</v>
      </c>
      <c r="B15" s="109">
        <v>16</v>
      </c>
      <c r="C15" s="109">
        <v>1.125</v>
      </c>
      <c r="D15" s="109">
        <v>470</v>
      </c>
      <c r="E15" s="109">
        <v>508.9</v>
      </c>
      <c r="F15" s="109">
        <v>577.79999999999995</v>
      </c>
      <c r="G15" s="109">
        <v>23.000000000000028</v>
      </c>
      <c r="H15" s="110">
        <v>9.1199999999999992</v>
      </c>
      <c r="J15" s="109"/>
      <c r="K15" s="109"/>
    </row>
    <row r="16" spans="1:21">
      <c r="A16" s="108">
        <v>150200</v>
      </c>
      <c r="B16" s="109">
        <v>20</v>
      </c>
      <c r="C16" s="109">
        <v>1.125</v>
      </c>
      <c r="D16" s="109">
        <v>470</v>
      </c>
      <c r="E16" s="109">
        <v>559.6</v>
      </c>
      <c r="F16" s="109">
        <v>635</v>
      </c>
      <c r="G16" s="109">
        <v>23</v>
      </c>
      <c r="H16" s="110">
        <v>9.1199999999999992</v>
      </c>
      <c r="J16" s="109"/>
      <c r="K16" s="109"/>
    </row>
    <row r="17" spans="1:15">
      <c r="A17" s="108">
        <v>150220</v>
      </c>
      <c r="B17" s="109">
        <v>20</v>
      </c>
      <c r="C17" s="109">
        <v>1.25</v>
      </c>
      <c r="D17" s="109">
        <v>600</v>
      </c>
      <c r="E17" s="109">
        <v>0</v>
      </c>
      <c r="F17" s="109"/>
      <c r="G17" s="109"/>
      <c r="H17" s="110">
        <v>10</v>
      </c>
      <c r="J17" s="109"/>
      <c r="K17" s="109"/>
    </row>
    <row r="18" spans="1:15">
      <c r="A18" s="112">
        <v>150240</v>
      </c>
      <c r="B18" s="109">
        <v>20</v>
      </c>
      <c r="C18" s="109">
        <v>1.25</v>
      </c>
      <c r="D18" s="109">
        <v>600</v>
      </c>
      <c r="E18" s="109">
        <v>666.7</v>
      </c>
      <c r="F18" s="109">
        <v>749.3</v>
      </c>
      <c r="G18" s="109">
        <v>25.399999999999977</v>
      </c>
      <c r="H18" s="110">
        <v>9.5299999999999994</v>
      </c>
      <c r="J18" s="109"/>
      <c r="K18" s="109"/>
    </row>
    <row r="19" spans="1:15">
      <c r="A19" s="108">
        <v>300010</v>
      </c>
      <c r="B19" s="109">
        <v>4</v>
      </c>
      <c r="C19" s="109">
        <v>0.625</v>
      </c>
      <c r="D19" s="109">
        <v>130</v>
      </c>
      <c r="E19" s="109">
        <v>39.799999999999997</v>
      </c>
      <c r="F19" s="109">
        <v>88.9</v>
      </c>
      <c r="G19" s="109">
        <v>7.9</v>
      </c>
      <c r="H19" s="110">
        <v>5.0082432049572034</v>
      </c>
      <c r="J19" s="109"/>
      <c r="K19" s="109"/>
    </row>
    <row r="20" spans="1:15">
      <c r="A20" s="108">
        <v>300015</v>
      </c>
      <c r="B20" s="109">
        <v>4</v>
      </c>
      <c r="C20" s="109">
        <v>0.75</v>
      </c>
      <c r="D20" s="109">
        <v>195</v>
      </c>
      <c r="E20" s="109">
        <v>62</v>
      </c>
      <c r="F20" s="109">
        <v>114.3</v>
      </c>
      <c r="G20" s="109">
        <v>7.9500000000000028</v>
      </c>
      <c r="H20" s="110">
        <v>5.024067077577687</v>
      </c>
      <c r="J20" s="109"/>
      <c r="K20" s="109"/>
      <c r="O20" s="141"/>
    </row>
    <row r="21" spans="1:15">
      <c r="A21" s="108">
        <v>300020</v>
      </c>
      <c r="B21" s="109">
        <v>8</v>
      </c>
      <c r="C21" s="109">
        <v>0.625</v>
      </c>
      <c r="D21" s="109">
        <v>130</v>
      </c>
      <c r="E21" s="109">
        <v>77.900000000000006</v>
      </c>
      <c r="F21" s="109">
        <v>127</v>
      </c>
      <c r="G21" s="109">
        <v>7.8999999999999986</v>
      </c>
      <c r="H21" s="110">
        <v>5.0082432049572025</v>
      </c>
      <c r="J21" s="109"/>
      <c r="K21" s="109"/>
    </row>
    <row r="22" spans="1:15">
      <c r="A22" s="108">
        <v>300030</v>
      </c>
      <c r="B22" s="109">
        <v>8</v>
      </c>
      <c r="C22" s="109">
        <v>0.75</v>
      </c>
      <c r="D22" s="109">
        <v>195</v>
      </c>
      <c r="E22" s="109">
        <v>111.2</v>
      </c>
      <c r="F22" s="109">
        <v>168.3</v>
      </c>
      <c r="G22" s="109">
        <v>9.5500000000000043</v>
      </c>
      <c r="H22" s="110">
        <v>5.5064734631159364</v>
      </c>
      <c r="J22" s="109"/>
      <c r="K22" s="109"/>
    </row>
    <row r="23" spans="1:15">
      <c r="A23" s="108">
        <v>300040</v>
      </c>
      <c r="B23" s="109">
        <v>8</v>
      </c>
      <c r="C23" s="109">
        <v>0.75</v>
      </c>
      <c r="D23" s="109">
        <v>195</v>
      </c>
      <c r="E23" s="109">
        <v>138.19999999999999</v>
      </c>
      <c r="F23" s="109">
        <v>200</v>
      </c>
      <c r="G23" s="109">
        <v>11.099999999999994</v>
      </c>
      <c r="H23" s="110">
        <v>5.9365393959780963</v>
      </c>
      <c r="J23" s="109"/>
      <c r="K23" s="109"/>
    </row>
    <row r="24" spans="1:15">
      <c r="A24" s="108">
        <v>300060</v>
      </c>
      <c r="B24" s="109">
        <v>12</v>
      </c>
      <c r="C24" s="109">
        <v>0.75</v>
      </c>
      <c r="D24" s="109">
        <v>195</v>
      </c>
      <c r="E24" s="109">
        <v>196.5</v>
      </c>
      <c r="F24" s="109">
        <v>269.89999999999998</v>
      </c>
      <c r="G24" s="109">
        <v>13.5</v>
      </c>
      <c r="H24" s="110">
        <v>6.5469458528385589</v>
      </c>
      <c r="J24" s="109"/>
      <c r="K24" s="109"/>
    </row>
    <row r="25" spans="1:15">
      <c r="A25" s="108">
        <v>300080</v>
      </c>
      <c r="B25" s="109">
        <v>12</v>
      </c>
      <c r="C25" s="109">
        <v>0.875</v>
      </c>
      <c r="D25" s="109">
        <v>270</v>
      </c>
      <c r="E25" s="109">
        <v>249.8</v>
      </c>
      <c r="F25" s="109">
        <v>330.2</v>
      </c>
      <c r="G25" s="109">
        <v>15.049999999999997</v>
      </c>
      <c r="H25" s="110">
        <v>6.9125791134713239</v>
      </c>
    </row>
    <row r="26" spans="1:15">
      <c r="A26" s="108">
        <v>300100</v>
      </c>
      <c r="B26" s="109">
        <v>16</v>
      </c>
      <c r="C26" s="109">
        <v>1</v>
      </c>
      <c r="D26" s="109">
        <v>392</v>
      </c>
      <c r="E26" s="109">
        <v>303.7</v>
      </c>
      <c r="F26" s="109">
        <v>387.4</v>
      </c>
      <c r="G26" s="109">
        <v>15.099999999999994</v>
      </c>
      <c r="H26" s="110">
        <v>6.9240522817205816</v>
      </c>
    </row>
    <row r="27" spans="1:15">
      <c r="A27" s="108">
        <v>300120</v>
      </c>
      <c r="B27" s="109">
        <v>16</v>
      </c>
      <c r="C27" s="109">
        <v>1.125</v>
      </c>
      <c r="D27" s="109">
        <v>470</v>
      </c>
      <c r="E27" s="109">
        <v>359.8</v>
      </c>
      <c r="F27" s="109">
        <v>450.9</v>
      </c>
      <c r="G27" s="109">
        <v>17.5</v>
      </c>
      <c r="H27" s="110">
        <v>7.454025757937786</v>
      </c>
    </row>
    <row r="28" spans="1:15">
      <c r="A28" s="108">
        <v>300140</v>
      </c>
      <c r="B28" s="109">
        <v>20</v>
      </c>
      <c r="C28" s="109">
        <v>1.125</v>
      </c>
      <c r="D28" s="109">
        <v>470</v>
      </c>
      <c r="E28" s="109">
        <v>391.5</v>
      </c>
      <c r="F28" s="109">
        <v>514.4</v>
      </c>
      <c r="G28" s="109">
        <v>14.300000000000011</v>
      </c>
      <c r="H28" s="110">
        <v>6.7381377249207395</v>
      </c>
    </row>
    <row r="29" spans="1:15">
      <c r="A29" s="108">
        <v>300160</v>
      </c>
      <c r="B29" s="109">
        <v>20</v>
      </c>
      <c r="C29" s="109">
        <v>1.25</v>
      </c>
      <c r="D29" s="109">
        <v>600</v>
      </c>
      <c r="E29" s="109">
        <v>447.4</v>
      </c>
      <c r="F29" s="109">
        <v>571.5</v>
      </c>
      <c r="G29" s="109">
        <v>17.449999999999989</v>
      </c>
      <c r="H29" s="110">
        <v>7.4433695326780578</v>
      </c>
    </row>
    <row r="30" spans="1:15">
      <c r="A30" s="108">
        <v>300180</v>
      </c>
      <c r="B30" s="109">
        <v>24</v>
      </c>
      <c r="C30" s="109">
        <v>1.25</v>
      </c>
      <c r="D30" s="109">
        <v>600</v>
      </c>
      <c r="E30" s="109">
        <v>508.9</v>
      </c>
      <c r="F30" s="109">
        <v>628.70000000000005</v>
      </c>
      <c r="G30" s="109">
        <v>23.000000000000028</v>
      </c>
      <c r="H30" s="110">
        <v>8.5454666344208547</v>
      </c>
    </row>
    <row r="31" spans="1:15">
      <c r="A31" s="108">
        <v>300200</v>
      </c>
      <c r="B31" s="109">
        <v>24</v>
      </c>
      <c r="C31" s="109">
        <v>1.25</v>
      </c>
      <c r="D31" s="109">
        <v>600</v>
      </c>
      <c r="E31" s="109">
        <v>559.6</v>
      </c>
      <c r="F31" s="109">
        <v>685.8</v>
      </c>
      <c r="G31" s="109">
        <v>23</v>
      </c>
      <c r="H31" s="110">
        <v>8.5454666344208494</v>
      </c>
    </row>
    <row r="32" spans="1:15">
      <c r="A32" s="108">
        <v>300220</v>
      </c>
      <c r="B32" s="109">
        <v>24</v>
      </c>
      <c r="C32" s="109">
        <v>1.5</v>
      </c>
      <c r="D32" s="109">
        <v>907</v>
      </c>
      <c r="E32" s="109">
        <v>0</v>
      </c>
      <c r="F32" s="109">
        <v>0</v>
      </c>
      <c r="G32" s="109"/>
      <c r="H32" s="110">
        <v>25</v>
      </c>
    </row>
    <row r="33" spans="1:28">
      <c r="A33" s="108">
        <v>300240</v>
      </c>
      <c r="B33" s="109">
        <v>24</v>
      </c>
      <c r="C33" s="109">
        <v>1.5</v>
      </c>
      <c r="D33" s="109">
        <v>907</v>
      </c>
      <c r="E33" s="109">
        <v>666.7</v>
      </c>
      <c r="F33" s="109">
        <v>812.8</v>
      </c>
      <c r="G33" s="109">
        <v>25.399999999999977</v>
      </c>
      <c r="H33" s="110">
        <v>8.9802561210691501</v>
      </c>
      <c r="O33" s="141"/>
    </row>
    <row r="34" spans="1:28">
      <c r="A34" s="108">
        <v>400010</v>
      </c>
      <c r="B34" s="109">
        <v>4</v>
      </c>
      <c r="C34" s="109">
        <v>0.625</v>
      </c>
      <c r="D34" s="109">
        <v>130</v>
      </c>
      <c r="E34" s="109">
        <v>39.799999999999997</v>
      </c>
      <c r="G34" s="109">
        <v>7.9</v>
      </c>
      <c r="H34" s="110">
        <v>5.0082432049572034</v>
      </c>
    </row>
    <row r="35" spans="1:28">
      <c r="A35" s="108">
        <v>400015</v>
      </c>
      <c r="B35" s="109">
        <v>4</v>
      </c>
      <c r="C35" s="109">
        <v>0.75</v>
      </c>
      <c r="D35" s="109">
        <v>195</v>
      </c>
      <c r="E35" s="109">
        <v>62</v>
      </c>
      <c r="G35" s="109">
        <v>7.9500000000000028</v>
      </c>
      <c r="H35" s="110">
        <v>5.024067077577687</v>
      </c>
    </row>
    <row r="36" spans="1:28">
      <c r="A36" s="108">
        <v>400020</v>
      </c>
      <c r="B36" s="109">
        <v>8</v>
      </c>
      <c r="C36" s="109">
        <v>0.625</v>
      </c>
      <c r="D36" s="109">
        <v>130</v>
      </c>
      <c r="E36" s="109">
        <v>77.900000000000006</v>
      </c>
      <c r="G36" s="109">
        <v>7.8999999999999986</v>
      </c>
      <c r="H36" s="110">
        <v>5.0082432049572025</v>
      </c>
    </row>
    <row r="37" spans="1:28">
      <c r="A37" s="108">
        <v>400030</v>
      </c>
      <c r="B37" s="109">
        <v>8</v>
      </c>
      <c r="C37" s="109">
        <v>0.75</v>
      </c>
      <c r="D37" s="109">
        <v>195</v>
      </c>
      <c r="E37" s="109">
        <v>111.2</v>
      </c>
      <c r="G37" s="109">
        <v>9.5500000000000043</v>
      </c>
      <c r="H37" s="110">
        <v>5.5064734631159364</v>
      </c>
    </row>
    <row r="38" spans="1:28">
      <c r="A38" s="108">
        <v>400040</v>
      </c>
      <c r="B38" s="109">
        <v>8</v>
      </c>
      <c r="C38" s="109">
        <v>0.875</v>
      </c>
      <c r="D38" s="109">
        <v>270</v>
      </c>
      <c r="E38" s="109">
        <v>135.9</v>
      </c>
      <c r="G38" s="109">
        <v>14.249999999999993</v>
      </c>
      <c r="H38" s="110">
        <v>6.7263474486529446</v>
      </c>
    </row>
    <row r="39" spans="1:28">
      <c r="A39" s="108">
        <v>400060</v>
      </c>
      <c r="B39" s="109">
        <v>12</v>
      </c>
      <c r="C39" s="109">
        <v>0.875</v>
      </c>
      <c r="D39" s="109">
        <v>270</v>
      </c>
      <c r="E39" s="109">
        <v>194.7</v>
      </c>
      <c r="G39" s="109">
        <v>17.5</v>
      </c>
      <c r="H39" s="110">
        <v>7.454025757937786</v>
      </c>
    </row>
    <row r="40" spans="1:28">
      <c r="A40" s="108">
        <v>400080</v>
      </c>
      <c r="B40" s="109">
        <v>12</v>
      </c>
      <c r="C40" s="109">
        <v>1</v>
      </c>
      <c r="D40" s="109">
        <v>392</v>
      </c>
      <c r="E40" s="109">
        <v>248.1</v>
      </c>
      <c r="G40" s="109">
        <v>19.049999999999997</v>
      </c>
      <c r="H40" s="110">
        <v>7.7771299333365898</v>
      </c>
    </row>
    <row r="41" spans="1:28">
      <c r="A41" s="108">
        <v>400100</v>
      </c>
      <c r="B41" s="109">
        <v>16</v>
      </c>
      <c r="C41" s="109">
        <v>1.125</v>
      </c>
      <c r="D41" s="109">
        <v>470</v>
      </c>
      <c r="E41" s="109">
        <v>301</v>
      </c>
      <c r="G41" s="109">
        <v>21.449999999999989</v>
      </c>
      <c r="H41" s="110">
        <v>8.2524996213268604</v>
      </c>
    </row>
    <row r="42" spans="1:28">
      <c r="A42" s="108">
        <v>400120</v>
      </c>
      <c r="B42" s="109">
        <v>16</v>
      </c>
      <c r="C42" s="109">
        <v>1.25</v>
      </c>
      <c r="D42" s="109">
        <v>600</v>
      </c>
      <c r="E42" s="109">
        <v>357.3</v>
      </c>
      <c r="G42" s="109">
        <v>23.849999999999994</v>
      </c>
      <c r="H42" s="110">
        <v>8.7019394389986413</v>
      </c>
    </row>
    <row r="43" spans="1:28">
      <c r="A43" s="108">
        <v>400140</v>
      </c>
      <c r="B43" s="109">
        <v>20</v>
      </c>
      <c r="C43" s="109">
        <v>1.25</v>
      </c>
      <c r="D43" s="109">
        <v>600</v>
      </c>
      <c r="E43" s="109">
        <v>389.6</v>
      </c>
      <c r="G43" s="109">
        <v>19.050000000000011</v>
      </c>
      <c r="H43" s="110">
        <v>7.7771299333365924</v>
      </c>
    </row>
    <row r="44" spans="1:28">
      <c r="A44" s="108">
        <v>400160</v>
      </c>
      <c r="B44" s="109">
        <v>20</v>
      </c>
      <c r="C44" s="109">
        <v>1.375</v>
      </c>
      <c r="D44" s="109">
        <v>745</v>
      </c>
      <c r="E44" s="109">
        <v>445.6</v>
      </c>
      <c r="G44" s="109">
        <v>22.199999999999989</v>
      </c>
      <c r="H44" s="110">
        <v>8.3955345273544051</v>
      </c>
      <c r="AB44" s="141"/>
    </row>
    <row r="45" spans="1:28">
      <c r="A45" s="108">
        <v>400180</v>
      </c>
      <c r="B45" s="109">
        <v>24</v>
      </c>
      <c r="C45" s="109">
        <v>1.375</v>
      </c>
      <c r="D45" s="109">
        <v>745</v>
      </c>
      <c r="E45" s="109">
        <v>508</v>
      </c>
      <c r="G45" s="109">
        <v>25.400000000000034</v>
      </c>
      <c r="H45" s="110">
        <v>8.9802561210691589</v>
      </c>
      <c r="S45" s="141"/>
      <c r="Y45" s="141"/>
    </row>
    <row r="46" spans="1:28">
      <c r="A46" s="108">
        <v>400200</v>
      </c>
      <c r="B46" s="109">
        <v>24</v>
      </c>
      <c r="C46" s="109">
        <v>1.5</v>
      </c>
      <c r="D46" s="109">
        <v>907</v>
      </c>
      <c r="E46" s="109">
        <v>558.79999999999995</v>
      </c>
      <c r="G46" s="109">
        <v>25.399999999999977</v>
      </c>
      <c r="H46" s="110">
        <v>8.9802561210691501</v>
      </c>
    </row>
    <row r="47" spans="1:28">
      <c r="A47" s="108">
        <v>400220</v>
      </c>
      <c r="B47" s="109">
        <v>0</v>
      </c>
      <c r="C47" s="109">
        <v>0</v>
      </c>
      <c r="D47" s="109">
        <v>0</v>
      </c>
      <c r="E47" s="109">
        <v>0</v>
      </c>
      <c r="F47" s="92">
        <v>0</v>
      </c>
      <c r="G47" s="109"/>
      <c r="H47" s="110">
        <v>40</v>
      </c>
    </row>
    <row r="48" spans="1:28">
      <c r="A48" s="108">
        <v>400240</v>
      </c>
      <c r="B48" s="109">
        <v>24</v>
      </c>
      <c r="C48" s="109">
        <v>1.75</v>
      </c>
      <c r="D48" s="109">
        <v>1277</v>
      </c>
      <c r="E48" s="109">
        <v>666.7</v>
      </c>
      <c r="G48" s="109">
        <v>25.399999999999977</v>
      </c>
      <c r="H48" s="110">
        <v>8.9802561210691501</v>
      </c>
    </row>
    <row r="49" spans="1:8">
      <c r="A49" s="108">
        <v>600010</v>
      </c>
      <c r="B49" s="109">
        <v>4</v>
      </c>
      <c r="C49" s="109">
        <v>0.625</v>
      </c>
      <c r="D49" s="109">
        <v>130</v>
      </c>
      <c r="E49" s="109">
        <v>39.799999999999997</v>
      </c>
      <c r="F49" s="109">
        <v>88.9</v>
      </c>
      <c r="G49" s="109">
        <v>7.9</v>
      </c>
      <c r="H49" s="110">
        <v>5.0082432049572034</v>
      </c>
    </row>
    <row r="50" spans="1:8">
      <c r="A50" s="108">
        <v>600015</v>
      </c>
      <c r="B50" s="109">
        <v>4</v>
      </c>
      <c r="C50" s="109">
        <v>0.75</v>
      </c>
      <c r="D50" s="109">
        <v>195</v>
      </c>
      <c r="E50" s="109">
        <v>62</v>
      </c>
      <c r="F50" s="109">
        <v>114.3</v>
      </c>
      <c r="G50" s="109">
        <v>7.9500000000000028</v>
      </c>
      <c r="H50" s="110">
        <v>5.024067077577687</v>
      </c>
    </row>
    <row r="51" spans="1:8">
      <c r="A51" s="108">
        <v>600020</v>
      </c>
      <c r="B51" s="109">
        <v>8</v>
      </c>
      <c r="C51" s="109">
        <v>0.625</v>
      </c>
      <c r="D51" s="109">
        <v>130</v>
      </c>
      <c r="E51" s="109">
        <v>77.900000000000006</v>
      </c>
      <c r="F51" s="109">
        <v>127</v>
      </c>
      <c r="G51" s="109">
        <v>7.8999999999999986</v>
      </c>
      <c r="H51" s="110">
        <v>5.0082432049572025</v>
      </c>
    </row>
    <row r="52" spans="1:8">
      <c r="A52" s="108">
        <v>600030</v>
      </c>
      <c r="B52" s="109">
        <v>8</v>
      </c>
      <c r="C52" s="109">
        <v>0.75</v>
      </c>
      <c r="D52" s="109">
        <v>195</v>
      </c>
      <c r="E52" s="109">
        <v>111.2</v>
      </c>
      <c r="F52" s="109">
        <v>168.3</v>
      </c>
      <c r="G52" s="109">
        <v>9.5500000000000043</v>
      </c>
      <c r="H52" s="110">
        <v>5.5064734631159364</v>
      </c>
    </row>
    <row r="53" spans="1:8">
      <c r="A53" s="108">
        <v>600040</v>
      </c>
      <c r="B53" s="109">
        <v>8</v>
      </c>
      <c r="C53" s="109">
        <v>0.875</v>
      </c>
      <c r="D53" s="109">
        <v>270</v>
      </c>
      <c r="E53" s="109">
        <v>135.9</v>
      </c>
      <c r="F53" s="109">
        <v>215.9</v>
      </c>
      <c r="G53" s="109">
        <v>14.249999999999993</v>
      </c>
      <c r="H53" s="110">
        <v>6.7263474486529446</v>
      </c>
    </row>
    <row r="54" spans="1:8">
      <c r="A54" s="108">
        <v>600060</v>
      </c>
      <c r="B54" s="109">
        <v>12</v>
      </c>
      <c r="C54" s="109">
        <v>1</v>
      </c>
      <c r="D54" s="109">
        <v>392</v>
      </c>
      <c r="E54" s="109">
        <v>194.7</v>
      </c>
      <c r="F54" s="109">
        <v>292.10000000000002</v>
      </c>
      <c r="G54" s="109">
        <v>17.5</v>
      </c>
      <c r="H54" s="110">
        <v>7.454025757937786</v>
      </c>
    </row>
    <row r="55" spans="1:8">
      <c r="A55" s="108">
        <v>600080</v>
      </c>
      <c r="B55" s="109">
        <v>12</v>
      </c>
      <c r="C55" s="109">
        <v>1.125</v>
      </c>
      <c r="D55" s="109">
        <v>470</v>
      </c>
      <c r="E55" s="109">
        <v>248.1</v>
      </c>
      <c r="F55" s="109">
        <v>349.3</v>
      </c>
      <c r="G55" s="109">
        <v>19.049999999999997</v>
      </c>
      <c r="H55" s="110">
        <v>7.7771299333365898</v>
      </c>
    </row>
    <row r="56" spans="1:8">
      <c r="A56" s="108">
        <v>600100</v>
      </c>
      <c r="B56" s="109">
        <v>16</v>
      </c>
      <c r="C56" s="109">
        <v>1.25</v>
      </c>
      <c r="D56" s="109">
        <v>600</v>
      </c>
      <c r="E56" s="109">
        <v>301</v>
      </c>
      <c r="F56" s="109">
        <v>431.8</v>
      </c>
      <c r="G56" s="109">
        <v>21.449999999999989</v>
      </c>
      <c r="H56" s="110">
        <v>8.2524996213268604</v>
      </c>
    </row>
    <row r="57" spans="1:8">
      <c r="A57" s="108">
        <v>600120</v>
      </c>
      <c r="B57" s="109">
        <v>20</v>
      </c>
      <c r="C57" s="109">
        <v>1.25</v>
      </c>
      <c r="D57" s="109">
        <v>600</v>
      </c>
      <c r="E57" s="109">
        <v>357.3</v>
      </c>
      <c r="F57" s="109">
        <v>489</v>
      </c>
      <c r="G57" s="109">
        <v>23.849999999999994</v>
      </c>
      <c r="H57" s="110">
        <v>8.7019394389986413</v>
      </c>
    </row>
    <row r="58" spans="1:8">
      <c r="A58" s="108">
        <v>600140</v>
      </c>
      <c r="B58" s="109">
        <v>20</v>
      </c>
      <c r="C58" s="109">
        <v>1.375</v>
      </c>
      <c r="D58" s="109">
        <v>745</v>
      </c>
      <c r="E58" s="109">
        <v>389.6</v>
      </c>
      <c r="F58" s="109">
        <v>527.1</v>
      </c>
      <c r="G58" s="109">
        <v>19.050000000000011</v>
      </c>
      <c r="H58" s="110">
        <v>7.7771299333365924</v>
      </c>
    </row>
    <row r="59" spans="1:8">
      <c r="A59" s="108">
        <v>600160</v>
      </c>
      <c r="B59" s="109">
        <v>20</v>
      </c>
      <c r="C59" s="109">
        <v>1.5</v>
      </c>
      <c r="D59" s="109">
        <v>907</v>
      </c>
      <c r="E59" s="109">
        <v>445.6</v>
      </c>
      <c r="F59" s="109">
        <v>603.29999999999995</v>
      </c>
      <c r="G59" s="109">
        <v>22.199999999999989</v>
      </c>
      <c r="H59" s="110">
        <v>8.3955345273544051</v>
      </c>
    </row>
    <row r="60" spans="1:8">
      <c r="A60" s="108">
        <v>600180</v>
      </c>
      <c r="B60" s="109">
        <v>20</v>
      </c>
      <c r="C60" s="109">
        <v>1.625</v>
      </c>
      <c r="D60" s="109">
        <v>1084</v>
      </c>
      <c r="E60" s="109">
        <v>508</v>
      </c>
      <c r="F60" s="109">
        <v>654.1</v>
      </c>
      <c r="G60" s="109">
        <v>25.400000000000034</v>
      </c>
      <c r="H60" s="110">
        <v>8.9802561210691589</v>
      </c>
    </row>
    <row r="61" spans="1:8">
      <c r="A61" s="108">
        <v>600200</v>
      </c>
      <c r="B61" s="109">
        <v>24</v>
      </c>
      <c r="C61" s="109">
        <v>1.625</v>
      </c>
      <c r="D61" s="109">
        <v>1084</v>
      </c>
      <c r="E61" s="109">
        <v>558.79999999999995</v>
      </c>
      <c r="F61" s="109">
        <v>723.9</v>
      </c>
      <c r="G61" s="109">
        <v>25.399999999999977</v>
      </c>
      <c r="H61" s="110">
        <v>8.9802561210691501</v>
      </c>
    </row>
    <row r="62" spans="1:8">
      <c r="A62" s="108">
        <v>600220</v>
      </c>
      <c r="B62" s="109">
        <v>24</v>
      </c>
      <c r="C62" s="109">
        <v>1.75</v>
      </c>
      <c r="D62" s="109">
        <v>1277</v>
      </c>
      <c r="E62" s="109">
        <v>0</v>
      </c>
      <c r="F62" s="109">
        <v>0</v>
      </c>
      <c r="G62" s="109"/>
      <c r="H62" s="110">
        <v>55</v>
      </c>
    </row>
    <row r="63" spans="1:8">
      <c r="A63" s="108">
        <v>600240</v>
      </c>
      <c r="B63" s="109">
        <v>24</v>
      </c>
      <c r="C63" s="109">
        <v>1.875</v>
      </c>
      <c r="D63" s="109">
        <v>1486</v>
      </c>
      <c r="E63" s="109">
        <v>666.7</v>
      </c>
      <c r="F63" s="109">
        <v>838.2</v>
      </c>
      <c r="G63" s="109">
        <v>25.399999999999977</v>
      </c>
      <c r="H63" s="110">
        <v>8.9802561210691501</v>
      </c>
    </row>
    <row r="64" spans="1:8">
      <c r="A64" s="108">
        <v>900010</v>
      </c>
      <c r="B64" s="109">
        <v>4</v>
      </c>
      <c r="C64" s="109">
        <v>0.875</v>
      </c>
      <c r="D64" s="109">
        <v>270</v>
      </c>
      <c r="E64" s="109">
        <v>39.799999999999997</v>
      </c>
      <c r="F64" s="109">
        <v>101.6</v>
      </c>
      <c r="G64" s="109">
        <v>7.9</v>
      </c>
      <c r="H64" s="110">
        <v>5.0082432049572034</v>
      </c>
    </row>
    <row r="65" spans="1:15">
      <c r="A65" s="108">
        <v>900015</v>
      </c>
      <c r="B65" s="109">
        <v>4</v>
      </c>
      <c r="C65" s="109">
        <v>1</v>
      </c>
      <c r="D65" s="109">
        <v>392</v>
      </c>
      <c r="E65" s="109">
        <v>58.9</v>
      </c>
      <c r="F65" s="109">
        <v>123.8</v>
      </c>
      <c r="G65" s="109">
        <v>11.150000000000002</v>
      </c>
      <c r="H65" s="110">
        <v>5.9498949570559647</v>
      </c>
    </row>
    <row r="66" spans="1:15">
      <c r="A66" s="108">
        <v>900020</v>
      </c>
      <c r="B66" s="109">
        <v>8</v>
      </c>
      <c r="C66" s="109">
        <v>0.875</v>
      </c>
      <c r="D66" s="109">
        <v>270</v>
      </c>
      <c r="E66" s="109">
        <v>72.8</v>
      </c>
      <c r="F66" s="109">
        <v>165.1</v>
      </c>
      <c r="G66" s="109">
        <v>13.5</v>
      </c>
      <c r="H66" s="110">
        <v>6.5469458528385589</v>
      </c>
    </row>
    <row r="67" spans="1:15">
      <c r="A67" s="108">
        <v>900030</v>
      </c>
      <c r="B67" s="109">
        <v>8</v>
      </c>
      <c r="C67" s="109">
        <v>0.875</v>
      </c>
      <c r="D67" s="109">
        <v>270</v>
      </c>
      <c r="E67" s="109">
        <v>108</v>
      </c>
      <c r="F67" s="109">
        <v>190.5</v>
      </c>
      <c r="G67" s="109">
        <v>12.700000000000003</v>
      </c>
      <c r="H67" s="110">
        <v>6.35</v>
      </c>
    </row>
    <row r="68" spans="1:15">
      <c r="A68" s="108">
        <v>900040</v>
      </c>
      <c r="B68" s="109">
        <v>8</v>
      </c>
      <c r="C68" s="109">
        <v>1.125</v>
      </c>
      <c r="D68" s="109">
        <v>470</v>
      </c>
      <c r="E68" s="109">
        <v>135.9</v>
      </c>
      <c r="F68" s="109">
        <v>235</v>
      </c>
      <c r="G68" s="109">
        <v>14.249999999999993</v>
      </c>
      <c r="H68" s="110">
        <v>6.7263474486529446</v>
      </c>
    </row>
    <row r="69" spans="1:15">
      <c r="A69" s="108">
        <v>900060</v>
      </c>
      <c r="B69" s="109">
        <v>12</v>
      </c>
      <c r="C69" s="109">
        <v>1.125</v>
      </c>
      <c r="D69" s="109">
        <v>470</v>
      </c>
      <c r="E69" s="109">
        <v>194.7</v>
      </c>
      <c r="F69" s="109">
        <v>317.5</v>
      </c>
      <c r="G69" s="109">
        <v>17.5</v>
      </c>
      <c r="H69" s="110">
        <v>7.454025757937786</v>
      </c>
    </row>
    <row r="70" spans="1:15">
      <c r="A70" s="108">
        <v>900080</v>
      </c>
      <c r="B70" s="109">
        <v>12</v>
      </c>
      <c r="C70" s="109">
        <v>1.375</v>
      </c>
      <c r="D70" s="109">
        <v>745</v>
      </c>
      <c r="E70" s="109">
        <v>248.1</v>
      </c>
      <c r="F70" s="109">
        <v>393.7</v>
      </c>
      <c r="G70" s="109">
        <v>17.449999999999989</v>
      </c>
      <c r="H70" s="110">
        <v>7.4433695326780578</v>
      </c>
    </row>
    <row r="71" spans="1:15">
      <c r="A71" s="108">
        <v>900100</v>
      </c>
      <c r="B71" s="109">
        <v>16</v>
      </c>
      <c r="C71" s="109">
        <v>1.375</v>
      </c>
      <c r="D71" s="109">
        <v>745</v>
      </c>
      <c r="E71" s="109">
        <v>301</v>
      </c>
      <c r="F71" s="109">
        <v>469.9</v>
      </c>
      <c r="G71" s="109">
        <v>17.5</v>
      </c>
      <c r="H71" s="110">
        <v>7.454025757937786</v>
      </c>
    </row>
    <row r="72" spans="1:15">
      <c r="A72" s="108">
        <v>900120</v>
      </c>
      <c r="B72" s="109">
        <v>20</v>
      </c>
      <c r="C72" s="109">
        <v>1.375</v>
      </c>
      <c r="D72" s="109">
        <v>745</v>
      </c>
      <c r="E72" s="109">
        <v>357.3</v>
      </c>
      <c r="F72" s="109">
        <v>533.4</v>
      </c>
      <c r="G72" s="109">
        <v>22.200000000000017</v>
      </c>
      <c r="H72" s="110">
        <v>8.3955345273544104</v>
      </c>
    </row>
    <row r="73" spans="1:15">
      <c r="A73" s="108">
        <v>900140</v>
      </c>
      <c r="B73" s="109">
        <v>20</v>
      </c>
      <c r="C73" s="109">
        <v>1.5</v>
      </c>
      <c r="D73" s="109">
        <v>907</v>
      </c>
      <c r="E73" s="109">
        <v>389.6</v>
      </c>
      <c r="F73" s="109">
        <v>558.79999999999995</v>
      </c>
      <c r="G73" s="109">
        <v>47.649999999999977</v>
      </c>
      <c r="H73" s="110">
        <v>12.299949186886908</v>
      </c>
    </row>
    <row r="74" spans="1:15">
      <c r="A74" s="108">
        <v>900160</v>
      </c>
      <c r="B74" s="109">
        <v>20</v>
      </c>
      <c r="C74" s="109">
        <v>1.625</v>
      </c>
      <c r="D74" s="109">
        <v>1084</v>
      </c>
      <c r="E74" s="109">
        <v>445.6</v>
      </c>
      <c r="F74" s="109">
        <v>616</v>
      </c>
      <c r="G74" s="109">
        <v>50.799999999999983</v>
      </c>
      <c r="H74" s="110">
        <v>12.699999999999996</v>
      </c>
    </row>
    <row r="75" spans="1:15">
      <c r="A75" s="108">
        <v>900180</v>
      </c>
      <c r="B75" s="109">
        <v>20</v>
      </c>
      <c r="C75" s="109">
        <v>1.875</v>
      </c>
      <c r="D75" s="109">
        <v>1486</v>
      </c>
      <c r="E75" s="109">
        <v>501.6</v>
      </c>
      <c r="F75" s="109">
        <v>685.8</v>
      </c>
      <c r="G75" s="109">
        <v>42.849999999999966</v>
      </c>
      <c r="H75" s="110">
        <v>11.663993741424928</v>
      </c>
    </row>
    <row r="76" spans="1:15">
      <c r="A76" s="108">
        <v>900200</v>
      </c>
      <c r="B76" s="109">
        <v>20</v>
      </c>
      <c r="C76" s="109">
        <v>2</v>
      </c>
      <c r="D76" s="109">
        <v>1711</v>
      </c>
      <c r="E76" s="109">
        <v>553.5</v>
      </c>
      <c r="F76" s="109">
        <v>749.3</v>
      </c>
      <c r="G76" s="109">
        <v>42.849999999999966</v>
      </c>
      <c r="H76" s="110">
        <v>11.663993741424928</v>
      </c>
    </row>
    <row r="77" spans="1:15">
      <c r="A77" s="108">
        <v>900220</v>
      </c>
      <c r="B77" s="109">
        <v>0</v>
      </c>
      <c r="C77" s="109">
        <v>0</v>
      </c>
      <c r="D77" s="109">
        <v>0</v>
      </c>
      <c r="E77" s="109">
        <v>0</v>
      </c>
      <c r="F77" s="109">
        <v>0</v>
      </c>
      <c r="G77" s="109"/>
      <c r="H77" s="110">
        <v>70</v>
      </c>
    </row>
    <row r="78" spans="1:15">
      <c r="A78" s="108">
        <v>900240</v>
      </c>
      <c r="B78" s="109">
        <v>20</v>
      </c>
      <c r="C78" s="109">
        <v>2.5</v>
      </c>
      <c r="D78" s="109">
        <v>2769</v>
      </c>
      <c r="E78" s="109">
        <v>661.5</v>
      </c>
      <c r="F78" s="109">
        <v>901.7</v>
      </c>
      <c r="G78" s="109">
        <v>44.449999999999989</v>
      </c>
      <c r="H78" s="110">
        <v>11.879762203007262</v>
      </c>
      <c r="O78" s="141"/>
    </row>
    <row r="79" spans="1:15">
      <c r="A79" s="108">
        <v>1500010</v>
      </c>
      <c r="B79" s="109">
        <v>4</v>
      </c>
      <c r="C79" s="109">
        <v>0.875</v>
      </c>
      <c r="D79" s="109">
        <v>270</v>
      </c>
      <c r="E79" s="109">
        <v>50.8</v>
      </c>
      <c r="F79" s="109">
        <v>101.6</v>
      </c>
      <c r="G79" s="109">
        <v>7.9</v>
      </c>
      <c r="H79" s="110">
        <v>5.0082432049572034</v>
      </c>
    </row>
    <row r="80" spans="1:15">
      <c r="A80" s="108">
        <v>1500015</v>
      </c>
      <c r="B80" s="109">
        <v>4</v>
      </c>
      <c r="C80" s="109">
        <v>1</v>
      </c>
      <c r="D80" s="109">
        <v>392</v>
      </c>
      <c r="E80" s="109">
        <v>68.3</v>
      </c>
      <c r="F80" s="109">
        <v>123.8</v>
      </c>
      <c r="G80" s="109">
        <v>11.150000000000002</v>
      </c>
      <c r="H80" s="110">
        <v>5.9498949570559647</v>
      </c>
    </row>
    <row r="81" spans="1:22">
      <c r="A81" s="108">
        <v>1500020</v>
      </c>
      <c r="B81" s="109">
        <v>8</v>
      </c>
      <c r="C81" s="109">
        <v>0.875</v>
      </c>
      <c r="D81" s="109">
        <v>270</v>
      </c>
      <c r="E81" s="109">
        <v>95.3</v>
      </c>
      <c r="F81" s="109">
        <v>165.1</v>
      </c>
      <c r="G81" s="109">
        <v>13.5</v>
      </c>
      <c r="H81" s="110">
        <v>6.5469458528385589</v>
      </c>
    </row>
    <row r="82" spans="1:22">
      <c r="A82" s="108">
        <v>1500030</v>
      </c>
      <c r="B82" s="109">
        <v>8</v>
      </c>
      <c r="C82" s="109">
        <v>1.125</v>
      </c>
      <c r="D82" s="109">
        <v>470</v>
      </c>
      <c r="E82" s="109">
        <v>136.5</v>
      </c>
      <c r="F82" s="109">
        <v>203.2</v>
      </c>
      <c r="G82" s="109">
        <v>14.300000000000004</v>
      </c>
      <c r="H82" s="110">
        <v>6.7381377249207377</v>
      </c>
    </row>
    <row r="83" spans="1:22">
      <c r="A83" s="108">
        <v>1500040</v>
      </c>
      <c r="B83" s="109">
        <v>8</v>
      </c>
      <c r="C83" s="109">
        <v>1.25</v>
      </c>
      <c r="D83" s="109">
        <v>600</v>
      </c>
      <c r="E83" s="109">
        <v>161.9</v>
      </c>
      <c r="F83" s="109">
        <v>241.3</v>
      </c>
      <c r="G83" s="109">
        <v>15.849999999999994</v>
      </c>
      <c r="H83" s="110">
        <v>7.093923456029108</v>
      </c>
    </row>
    <row r="84" spans="1:22">
      <c r="A84" s="108">
        <v>1500060</v>
      </c>
      <c r="B84" s="109">
        <v>12</v>
      </c>
      <c r="C84" s="109">
        <v>1.375</v>
      </c>
      <c r="D84" s="109">
        <v>745</v>
      </c>
      <c r="E84" s="109">
        <v>211.2</v>
      </c>
      <c r="F84" s="109">
        <v>317.5</v>
      </c>
      <c r="G84" s="109">
        <v>19.049999999999997</v>
      </c>
      <c r="H84" s="110">
        <v>7.7771299333365898</v>
      </c>
    </row>
    <row r="85" spans="1:22">
      <c r="A85" s="108">
        <v>1500080</v>
      </c>
      <c r="B85" s="109">
        <v>12</v>
      </c>
      <c r="C85" s="109">
        <v>1.625</v>
      </c>
      <c r="D85" s="109">
        <v>1084</v>
      </c>
      <c r="E85" s="109">
        <v>269.89999999999998</v>
      </c>
      <c r="F85" s="109">
        <v>393.7</v>
      </c>
      <c r="G85" s="109">
        <v>20.649999999999991</v>
      </c>
      <c r="H85" s="110">
        <v>8.0971445584230466</v>
      </c>
    </row>
    <row r="86" spans="1:22">
      <c r="A86" s="108">
        <v>1500100</v>
      </c>
      <c r="B86" s="109">
        <v>12</v>
      </c>
      <c r="C86" s="109">
        <v>1.875</v>
      </c>
      <c r="D86" s="109">
        <v>1486</v>
      </c>
      <c r="E86" s="109">
        <v>323.89999999999998</v>
      </c>
      <c r="F86" s="109">
        <v>482.6</v>
      </c>
      <c r="G86" s="109">
        <v>22.25</v>
      </c>
      <c r="H86" s="110">
        <v>8.4049836406741427</v>
      </c>
    </row>
    <row r="87" spans="1:22">
      <c r="A87" s="108">
        <v>1500120</v>
      </c>
      <c r="B87" s="109">
        <v>16</v>
      </c>
      <c r="C87" s="109">
        <v>2</v>
      </c>
      <c r="D87" s="109">
        <v>1711</v>
      </c>
      <c r="E87" s="109">
        <v>381</v>
      </c>
      <c r="F87" s="109">
        <v>571.5</v>
      </c>
      <c r="G87" s="109">
        <v>22.200000000000017</v>
      </c>
      <c r="H87" s="110">
        <v>8.3955345273544104</v>
      </c>
    </row>
    <row r="88" spans="1:22">
      <c r="A88" s="108">
        <v>1500140</v>
      </c>
      <c r="B88" s="109">
        <v>16</v>
      </c>
      <c r="C88" s="109">
        <v>2.25</v>
      </c>
      <c r="D88" s="109">
        <v>2208</v>
      </c>
      <c r="E88" s="109">
        <v>419.1</v>
      </c>
      <c r="F88" s="109">
        <v>635</v>
      </c>
      <c r="G88" s="109">
        <v>44.449999999999989</v>
      </c>
      <c r="H88" s="110">
        <v>11.879762203007262</v>
      </c>
    </row>
    <row r="89" spans="1:22">
      <c r="A89" s="108">
        <v>1500160</v>
      </c>
      <c r="B89" s="109">
        <v>16</v>
      </c>
      <c r="C89" s="109">
        <v>2.5</v>
      </c>
      <c r="D89" s="109">
        <v>2769</v>
      </c>
      <c r="E89" s="109">
        <v>469.9</v>
      </c>
      <c r="F89" s="109">
        <v>704.9</v>
      </c>
      <c r="G89" s="109">
        <v>54</v>
      </c>
      <c r="H89" s="110">
        <v>13.093891705677118</v>
      </c>
    </row>
    <row r="90" spans="1:22">
      <c r="A90" s="108">
        <v>1500180</v>
      </c>
      <c r="B90" s="109">
        <v>16</v>
      </c>
      <c r="C90" s="109">
        <v>2.75</v>
      </c>
      <c r="D90" s="109">
        <v>3393</v>
      </c>
      <c r="E90" s="109">
        <v>533.4</v>
      </c>
      <c r="F90" s="109">
        <v>774.7</v>
      </c>
      <c r="G90" s="109">
        <v>42.849999999999966</v>
      </c>
      <c r="H90" s="110">
        <v>11.663993741424928</v>
      </c>
      <c r="Q90" s="141"/>
      <c r="S90" s="141"/>
      <c r="V90" s="141"/>
    </row>
    <row r="91" spans="1:22">
      <c r="A91" s="108">
        <v>1500200</v>
      </c>
      <c r="B91" s="109">
        <v>16</v>
      </c>
      <c r="C91" s="109">
        <v>3</v>
      </c>
      <c r="D91" s="109">
        <v>4080</v>
      </c>
      <c r="E91" s="109">
        <v>584.20000000000005</v>
      </c>
      <c r="F91" s="109">
        <v>831.9</v>
      </c>
      <c r="G91" s="109">
        <v>46</v>
      </c>
      <c r="H91" s="110">
        <v>12.085114811204733</v>
      </c>
    </row>
    <row r="92" spans="1:22">
      <c r="A92" s="108">
        <v>1500220</v>
      </c>
      <c r="B92" s="109">
        <v>0</v>
      </c>
      <c r="C92" s="109">
        <v>0</v>
      </c>
      <c r="D92" s="109">
        <v>0</v>
      </c>
      <c r="E92" s="109">
        <v>0</v>
      </c>
      <c r="F92" s="109">
        <v>0</v>
      </c>
      <c r="G92" s="109"/>
      <c r="H92" s="110">
        <v>0</v>
      </c>
    </row>
    <row r="93" spans="1:22">
      <c r="A93" s="108">
        <v>1500240</v>
      </c>
      <c r="B93" s="109">
        <v>16</v>
      </c>
      <c r="C93" s="109">
        <v>3.5</v>
      </c>
      <c r="D93" s="109">
        <v>5645</v>
      </c>
      <c r="E93" s="109">
        <v>692.2</v>
      </c>
      <c r="F93" s="109">
        <v>990.6</v>
      </c>
      <c r="G93" s="109">
        <v>50.800000000000011</v>
      </c>
      <c r="H93" s="110">
        <v>12.7</v>
      </c>
    </row>
    <row r="94" spans="1:22">
      <c r="A94" s="108">
        <v>2500010</v>
      </c>
      <c r="B94" s="109">
        <v>4</v>
      </c>
      <c r="C94" s="109">
        <v>0.875</v>
      </c>
      <c r="D94" s="109">
        <v>270</v>
      </c>
      <c r="E94" s="109">
        <v>60.3</v>
      </c>
      <c r="F94" s="109">
        <v>108</v>
      </c>
      <c r="G94" s="109">
        <v>7.9</v>
      </c>
      <c r="H94" s="110">
        <v>5.0082432049572034</v>
      </c>
    </row>
    <row r="95" spans="1:22">
      <c r="A95" s="108">
        <v>2500015</v>
      </c>
      <c r="B95" s="109">
        <v>4</v>
      </c>
      <c r="C95" s="109">
        <v>1.125</v>
      </c>
      <c r="D95" s="109">
        <v>470</v>
      </c>
      <c r="E95" s="109">
        <v>82.6</v>
      </c>
      <c r="F95" s="109">
        <v>146.1</v>
      </c>
      <c r="G95" s="109">
        <v>11.150000000000002</v>
      </c>
      <c r="H95" s="110">
        <v>5.9498949570559647</v>
      </c>
    </row>
    <row r="96" spans="1:22">
      <c r="A96" s="108">
        <v>2500020</v>
      </c>
      <c r="B96" s="109">
        <v>8</v>
      </c>
      <c r="C96" s="109">
        <v>1</v>
      </c>
      <c r="D96" s="109">
        <v>392</v>
      </c>
      <c r="E96" s="109">
        <v>101.6</v>
      </c>
      <c r="F96" s="109">
        <v>171.5</v>
      </c>
      <c r="G96" s="109">
        <v>13.5</v>
      </c>
      <c r="H96" s="110">
        <v>6.5469458528385589</v>
      </c>
    </row>
    <row r="97" spans="1:8">
      <c r="A97" s="108">
        <v>2500030</v>
      </c>
      <c r="B97" s="109">
        <v>8</v>
      </c>
      <c r="C97" s="109">
        <v>1.25</v>
      </c>
      <c r="D97" s="109">
        <v>600</v>
      </c>
      <c r="E97" s="109">
        <v>127</v>
      </c>
      <c r="F97" s="109">
        <v>228.6</v>
      </c>
      <c r="G97" s="109">
        <v>14.300000000000004</v>
      </c>
      <c r="H97" s="110">
        <v>6.7381377249207377</v>
      </c>
    </row>
    <row r="98" spans="1:8">
      <c r="A98" s="108">
        <v>2500040</v>
      </c>
      <c r="B98" s="109">
        <v>8</v>
      </c>
      <c r="C98" s="109">
        <v>1.5</v>
      </c>
      <c r="D98" s="109">
        <v>907</v>
      </c>
      <c r="E98" s="109">
        <v>157.19999999999999</v>
      </c>
      <c r="F98" s="109">
        <v>273.10000000000002</v>
      </c>
      <c r="G98" s="109">
        <v>15.849999999999994</v>
      </c>
      <c r="H98" s="110">
        <v>7.093923456029108</v>
      </c>
    </row>
    <row r="99" spans="1:8">
      <c r="A99" s="108">
        <v>2500060</v>
      </c>
      <c r="B99" s="109">
        <v>8</v>
      </c>
      <c r="C99" s="109">
        <v>2</v>
      </c>
      <c r="D99" s="109">
        <v>1711</v>
      </c>
      <c r="E99" s="109">
        <v>228.6</v>
      </c>
      <c r="F99" s="109">
        <v>368.3</v>
      </c>
      <c r="G99" s="109">
        <v>19.049999999999997</v>
      </c>
      <c r="H99" s="110">
        <v>7.7771299333365898</v>
      </c>
    </row>
    <row r="100" spans="1:8">
      <c r="A100" s="108">
        <v>2500080</v>
      </c>
      <c r="B100" s="109">
        <v>12</v>
      </c>
      <c r="C100" s="109">
        <v>2</v>
      </c>
      <c r="D100" s="109">
        <v>1711</v>
      </c>
      <c r="E100" s="109">
        <v>279.39999999999998</v>
      </c>
      <c r="F100" s="109">
        <v>438.2</v>
      </c>
      <c r="G100" s="109">
        <v>20.649999999999991</v>
      </c>
      <c r="H100" s="110">
        <v>8.0971445584230466</v>
      </c>
    </row>
    <row r="101" spans="1:8">
      <c r="A101" s="108">
        <v>2500100</v>
      </c>
      <c r="B101" s="109">
        <v>12</v>
      </c>
      <c r="C101" s="109">
        <v>2.5</v>
      </c>
      <c r="D101" s="109">
        <v>2769</v>
      </c>
      <c r="E101" s="109">
        <v>342.9</v>
      </c>
      <c r="F101" s="109">
        <v>539.79999999999995</v>
      </c>
      <c r="G101" s="109">
        <v>20.650000000000006</v>
      </c>
      <c r="H101" s="110">
        <v>8.0971445584230501</v>
      </c>
    </row>
    <row r="102" spans="1:8">
      <c r="A102" s="113">
        <v>2500120</v>
      </c>
      <c r="B102" s="114">
        <v>12</v>
      </c>
      <c r="C102" s="114">
        <v>2.75</v>
      </c>
      <c r="D102" s="114">
        <v>3393</v>
      </c>
      <c r="E102" s="114">
        <v>406.4</v>
      </c>
      <c r="F102" s="114">
        <v>619.1</v>
      </c>
      <c r="G102" s="114">
        <v>25.400000000000006</v>
      </c>
      <c r="H102" s="199">
        <v>8.9802561210691536</v>
      </c>
    </row>
    <row r="103" spans="1:8">
      <c r="B103" s="92" t="s">
        <v>125</v>
      </c>
    </row>
    <row r="104" spans="1:8">
      <c r="B104" s="92" t="s">
        <v>126</v>
      </c>
    </row>
    <row r="105" spans="1:8">
      <c r="B105" s="92" t="s">
        <v>127</v>
      </c>
    </row>
  </sheetData>
  <sheetProtection selectLockedCells="1" selectUnlockedCells="1"/>
  <pageMargins left="0.75" right="0.75" top="1" bottom="1" header="0.5" footer="0.5"/>
  <pageSetup paperSize="9" orientation="portrait" horizontalDpi="0"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9</vt:i4>
      </vt:variant>
    </vt:vector>
  </HeadingPairs>
  <TitlesOfParts>
    <vt:vector size="28" baseType="lpstr">
      <vt:lpstr>Notes</vt:lpstr>
      <vt:lpstr>Low Stress Type Gasket</vt:lpstr>
      <vt:lpstr>Flanges</vt:lpstr>
      <vt:lpstr>Case 1</vt:lpstr>
      <vt:lpstr>Case 2</vt:lpstr>
      <vt:lpstr>Case 3</vt:lpstr>
      <vt:lpstr>Case 4</vt:lpstr>
      <vt:lpstr>Case 5</vt:lpstr>
      <vt:lpstr>Case 6</vt:lpstr>
      <vt:lpstr>Case 7</vt:lpstr>
      <vt:lpstr>Case 8</vt:lpstr>
      <vt:lpstr>Case 9</vt:lpstr>
      <vt:lpstr>Case 10</vt:lpstr>
      <vt:lpstr>Case 11</vt:lpstr>
      <vt:lpstr>Case 12</vt:lpstr>
      <vt:lpstr>Pipe Schedules</vt:lpstr>
      <vt:lpstr>Pipe Classes</vt:lpstr>
      <vt:lpstr>Rating Data</vt:lpstr>
      <vt:lpstr>Bolt &amp; Gasket Data</vt:lpstr>
      <vt:lpstr>__key1</vt:lpstr>
      <vt:lpstr>area_lu</vt:lpstr>
      <vt:lpstr>bolt_lu</vt:lpstr>
      <vt:lpstr>'Low Stress Type Gasket'!Print_Area</vt:lpstr>
      <vt:lpstr>'Rating Data'!Print_Area</vt:lpstr>
      <vt:lpstr>'Rating Data'!Print_Titles</vt:lpstr>
      <vt:lpstr>prtg2</vt:lpstr>
      <vt:lpstr>prtga2</vt:lpstr>
      <vt:lpstr>tdf</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Clive N Westwood</dc:creator>
  <cp:lastModifiedBy>Clive N Westwood</cp:lastModifiedBy>
  <cp:lastPrinted>2013-11-22T09:38:26Z</cp:lastPrinted>
  <dcterms:created xsi:type="dcterms:W3CDTF">2012-11-12T10:06:10Z</dcterms:created>
  <dcterms:modified xsi:type="dcterms:W3CDTF">2013-11-22T10:35:36Z</dcterms:modified>
</cp:coreProperties>
</file>