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360" yWindow="30" windowWidth="19035" windowHeight="14565"/>
  </bookViews>
  <sheets>
    <sheet name="Flange Leakage" sheetId="8" r:id="rId1"/>
    <sheet name="NC-3658.3" sheetId="3" state="hidden" r:id="rId2"/>
    <sheet name="Scratch" sheetId="6" state="hidden" r:id="rId3"/>
    <sheet name="Scratch (2)" sheetId="7" state="hidden" r:id="rId4"/>
    <sheet name="Scratch (2a)" sheetId="9" state="hidden" r:id="rId5"/>
    <sheet name="Flange Data" sheetId="1" state="hidden" r:id="rId6"/>
    <sheet name="Bolt Data" sheetId="2" state="hidden" r:id="rId7"/>
    <sheet name="Material Data" sheetId="4" state="hidden" r:id="rId8"/>
    <sheet name="Spec Data" sheetId="5" state="hidden" r:id="rId9"/>
  </sheets>
  <definedNames>
    <definedName name="_xlnm.Print_Area" localSheetId="1">'NC-3658.3'!$B$2:$AK$30</definedName>
  </definedNames>
  <calcPr calcId="125725"/>
</workbook>
</file>

<file path=xl/calcChain.xml><?xml version="1.0" encoding="utf-8"?>
<calcChain xmlns="http://schemas.openxmlformats.org/spreadsheetml/2006/main">
  <c r="B4" i="9"/>
  <c r="B3"/>
  <c r="B2"/>
  <c r="B4" i="7"/>
  <c r="B20" s="1"/>
  <c r="B2"/>
  <c r="B3"/>
  <c r="B7" s="1"/>
  <c r="B10" s="1"/>
  <c r="B20" i="9"/>
  <c r="B36"/>
  <c r="B37" s="1"/>
  <c r="J23" i="1"/>
  <c r="B4" i="6"/>
  <c r="B20" s="1"/>
  <c r="B3"/>
  <c r="B36" s="1"/>
  <c r="B2"/>
  <c r="C5" i="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16"/>
  <c r="A15"/>
  <c r="A14"/>
  <c r="A12"/>
  <c r="A11"/>
  <c r="A10"/>
  <c r="A9"/>
  <c r="A8"/>
  <c r="A7"/>
  <c r="A6"/>
  <c r="A5"/>
  <c r="J22" i="1"/>
  <c r="J21"/>
  <c r="J19"/>
  <c r="J6"/>
  <c r="J7"/>
  <c r="J5"/>
  <c r="B36" i="7" l="1"/>
  <c r="B37" s="1"/>
  <c r="L27" i="8"/>
  <c r="B22" i="9"/>
  <c r="B23" s="1"/>
  <c r="B21"/>
  <c r="B24" s="1"/>
  <c r="B7"/>
  <c r="B10" s="1"/>
  <c r="B13" s="1"/>
  <c r="B15" s="1"/>
  <c r="B6"/>
  <c r="B8"/>
  <c r="B22" i="7"/>
  <c r="B23" s="1"/>
  <c r="B21"/>
  <c r="B24" s="1"/>
  <c r="B13"/>
  <c r="B12"/>
  <c r="L33" i="8" s="1"/>
  <c r="B6" i="7"/>
  <c r="L29" i="8" s="1"/>
  <c r="B8" i="7"/>
  <c r="L31" i="8" s="1"/>
  <c r="B11" i="7"/>
  <c r="L42" i="8" s="1"/>
  <c r="B6" i="6"/>
  <c r="B18" s="1"/>
  <c r="B8"/>
  <c r="T17" i="3" s="1"/>
  <c r="B7" i="6"/>
  <c r="B37"/>
  <c r="B29" i="3" s="1"/>
  <c r="B21" i="6"/>
  <c r="B24" s="1"/>
  <c r="B22"/>
  <c r="B23" s="1"/>
  <c r="G16" i="1"/>
  <c r="G6"/>
  <c r="G7"/>
  <c r="G5"/>
  <c r="D18"/>
  <c r="D17"/>
  <c r="D15"/>
  <c r="D16"/>
  <c r="D14"/>
  <c r="D10"/>
  <c r="D11"/>
  <c r="D12"/>
  <c r="D13"/>
  <c r="D9"/>
  <c r="D5"/>
  <c r="D6"/>
  <c r="D7"/>
  <c r="D8"/>
  <c r="D4"/>
  <c r="B15" i="7" l="1"/>
  <c r="B16" s="1"/>
  <c r="L40" i="8" s="1"/>
  <c r="L35"/>
  <c r="B27" i="9"/>
  <c r="B26"/>
  <c r="B18"/>
  <c r="B11"/>
  <c r="B12"/>
  <c r="B16" s="1"/>
  <c r="B27" i="7"/>
  <c r="B26"/>
  <c r="B18"/>
  <c r="L44" i="8" s="1"/>
  <c r="H17" i="3"/>
  <c r="B26" i="6"/>
  <c r="T21" i="3"/>
  <c r="B27" i="6"/>
  <c r="AF17" i="3"/>
  <c r="B10" i="6"/>
  <c r="B28" i="9" l="1"/>
  <c r="B28" i="7"/>
  <c r="L46" i="8" s="1"/>
  <c r="B28" i="6"/>
  <c r="T23" i="3" s="1"/>
  <c r="B11" i="6"/>
  <c r="H19" i="3" s="1"/>
  <c r="B12" i="6"/>
  <c r="T19" i="3" s="1"/>
  <c r="B13" i="6"/>
  <c r="B30" i="9" l="1"/>
  <c r="B31" s="1"/>
  <c r="B33" s="1"/>
  <c r="B34" s="1"/>
  <c r="L48" i="8"/>
  <c r="B30" i="7"/>
  <c r="B31" s="1"/>
  <c r="B33" s="1"/>
  <c r="B34" s="1"/>
  <c r="L53" i="8" s="1"/>
  <c r="B30" i="6"/>
  <c r="B31" s="1"/>
  <c r="AF23" i="3" s="1"/>
  <c r="AF19"/>
  <c r="B15" i="6"/>
  <c r="B16" s="1"/>
  <c r="AF21" i="3" s="1"/>
  <c r="B33" i="6" l="1"/>
  <c r="B34" s="1"/>
  <c r="Z26" i="3" s="1"/>
</calcChain>
</file>

<file path=xl/sharedStrings.xml><?xml version="1.0" encoding="utf-8"?>
<sst xmlns="http://schemas.openxmlformats.org/spreadsheetml/2006/main" count="455" uniqueCount="165">
  <si>
    <t>NPS</t>
  </si>
  <si>
    <t>150#</t>
  </si>
  <si>
    <t>W</t>
  </si>
  <si>
    <t>Bolt Circle Diameter</t>
  </si>
  <si>
    <t>No. Bolts</t>
  </si>
  <si>
    <t>Bolt Dia</t>
  </si>
  <si>
    <t>In</t>
  </si>
  <si>
    <t>½</t>
  </si>
  <si>
    <t>¾</t>
  </si>
  <si>
    <t>1¼</t>
  </si>
  <si>
    <t>1½</t>
  </si>
  <si>
    <t>2½</t>
  </si>
  <si>
    <t>3½</t>
  </si>
  <si>
    <t>300#</t>
  </si>
  <si>
    <t>600#</t>
  </si>
  <si>
    <t>1500#</t>
  </si>
  <si>
    <t>2500#</t>
  </si>
  <si>
    <t>UNC Bolts</t>
  </si>
  <si>
    <t>Nominal Size</t>
  </si>
  <si>
    <t>Section at Minor Diameter</t>
  </si>
  <si>
    <t>sq in</t>
  </si>
  <si>
    <t>in</t>
  </si>
  <si>
    <t>sq mm</t>
  </si>
  <si>
    <t>Material</t>
  </si>
  <si>
    <t>Yield Strength (Mpa) at Temperature (°C)</t>
  </si>
  <si>
    <t>Spec</t>
  </si>
  <si>
    <t>Rating</t>
  </si>
  <si>
    <t>Note</t>
  </si>
  <si>
    <t>D1A</t>
  </si>
  <si>
    <t>D3A</t>
  </si>
  <si>
    <t>D3B</t>
  </si>
  <si>
    <t>D6A</t>
  </si>
  <si>
    <t>S1A</t>
  </si>
  <si>
    <t>S1B</t>
  </si>
  <si>
    <t>S3A</t>
  </si>
  <si>
    <t>S6A</t>
  </si>
  <si>
    <t>S6B</t>
  </si>
  <si>
    <t>S15A</t>
  </si>
  <si>
    <t>S25B</t>
  </si>
  <si>
    <t>Allowable Flange Bending Moment Calculation to NC-3658.3</t>
  </si>
  <si>
    <t>Stress Calculation No</t>
  </si>
  <si>
    <t>Analyst</t>
  </si>
  <si>
    <t>Date</t>
  </si>
  <si>
    <t>Flange Size</t>
  </si>
  <si>
    <t>Piping Material Class</t>
  </si>
  <si>
    <t>Design Temperature</t>
  </si>
  <si>
    <t>Flange Rating</t>
  </si>
  <si>
    <t>Flange Material</t>
  </si>
  <si>
    <t>Total Bolt Area</t>
  </si>
  <si>
    <t>Data Validation</t>
  </si>
  <si>
    <t>Temperature</t>
  </si>
  <si>
    <t>Bolt Area</t>
  </si>
  <si>
    <t>Gap</t>
  </si>
  <si>
    <t>Material Factor</t>
  </si>
  <si>
    <t>Offset</t>
  </si>
  <si>
    <t>Yield/250</t>
  </si>
  <si>
    <t>Flange Material Factor</t>
  </si>
  <si>
    <t>Bolt Diameter</t>
  </si>
  <si>
    <t>Yield Temp Pos 1</t>
  </si>
  <si>
    <t>Yield Temp Pos 2</t>
  </si>
  <si>
    <t>Base Yield Temp</t>
  </si>
  <si>
    <t>Difference</t>
  </si>
  <si>
    <t>Yield 1</t>
  </si>
  <si>
    <t>Yield 2</t>
  </si>
  <si>
    <t>Interpolated Yield</t>
  </si>
  <si>
    <t>Allowable Nmm</t>
  </si>
  <si>
    <t>Allowable Nm</t>
  </si>
  <si>
    <t>Nota</t>
  </si>
  <si>
    <t>Flange NPS</t>
  </si>
  <si>
    <t>Material Group</t>
  </si>
  <si>
    <t>Yield at Ambient</t>
  </si>
  <si>
    <t>Flange Material Group</t>
  </si>
  <si>
    <r>
      <t>Maximum Allowable Bending Moment M</t>
    </r>
    <r>
      <rPr>
        <i/>
        <vertAlign val="subscript"/>
        <sz val="11"/>
        <color theme="1"/>
        <rFont val="Calibri"/>
        <family val="2"/>
        <scheme val="minor"/>
      </rPr>
      <t xml:space="preserve">fs </t>
    </r>
    <r>
      <rPr>
        <sz val="11"/>
        <color theme="1"/>
        <rFont val="Calibri"/>
        <family val="2"/>
        <scheme val="minor"/>
      </rPr>
      <t>at Max Design Temperature</t>
    </r>
  </si>
  <si>
    <t>Revision</t>
  </si>
  <si>
    <t>Checker</t>
  </si>
  <si>
    <t>Yield Strength at Ambient Temperature and Below</t>
  </si>
  <si>
    <t>Yield Strength at Maximum Design Temperature</t>
  </si>
  <si>
    <t>Refer to ASME Section III, Division 1 - NC (2009b)</t>
  </si>
  <si>
    <t>W - mm</t>
  </si>
  <si>
    <t>B16.5 2009</t>
  </si>
  <si>
    <t>ASME II Part D (Metric 2011)</t>
  </si>
  <si>
    <t>A1A</t>
  </si>
  <si>
    <t>A1B</t>
  </si>
  <si>
    <t>A3A</t>
  </si>
  <si>
    <t>A3B</t>
  </si>
  <si>
    <t>A15A</t>
  </si>
  <si>
    <t>B1A</t>
  </si>
  <si>
    <t>B3A</t>
  </si>
  <si>
    <t>B6A</t>
  </si>
  <si>
    <t>B6B</t>
  </si>
  <si>
    <t>B9A</t>
  </si>
  <si>
    <t>B15A</t>
  </si>
  <si>
    <t>B25A</t>
  </si>
  <si>
    <t>D6B</t>
  </si>
  <si>
    <t>D9B</t>
  </si>
  <si>
    <t>D15B</t>
  </si>
  <si>
    <t>D25B</t>
  </si>
  <si>
    <t>G1C</t>
  </si>
  <si>
    <t>S1C</t>
  </si>
  <si>
    <t>S3B</t>
  </si>
  <si>
    <t>S9A</t>
  </si>
  <si>
    <t>T1A</t>
  </si>
  <si>
    <t>X1A</t>
  </si>
  <si>
    <t>900#</t>
  </si>
  <si>
    <t>A105N</t>
  </si>
  <si>
    <t>A350 Gr LF2 Cl 1</t>
  </si>
  <si>
    <t>A182 Gr F316/316L</t>
  </si>
  <si>
    <t>A182 F53 UNS S32750</t>
  </si>
  <si>
    <t>A182 F51</t>
  </si>
  <si>
    <t>B381 F2</t>
  </si>
  <si>
    <t>Ithaca - FPF1 Project</t>
  </si>
  <si>
    <t>S1D</t>
  </si>
  <si>
    <t>D15C</t>
  </si>
  <si>
    <t>S3C</t>
  </si>
  <si>
    <t>S25A</t>
  </si>
  <si>
    <t>S100B</t>
  </si>
  <si>
    <t>A182 F53 UNS S32751</t>
  </si>
  <si>
    <t>API10000</t>
  </si>
  <si>
    <t>API 10,000 SPEC FLANGES</t>
  </si>
  <si>
    <t>NC-3658.3 FLANGE LEAKAGE CALC</t>
  </si>
  <si>
    <t>REVISION</t>
  </si>
  <si>
    <t>0</t>
  </si>
  <si>
    <t>DOC. NO.:</t>
  </si>
  <si>
    <t>DATE</t>
  </si>
  <si>
    <t>PAGE</t>
  </si>
  <si>
    <t>BY</t>
  </si>
  <si>
    <t>JOB NO. ;</t>
  </si>
  <si>
    <t>CHECK</t>
  </si>
  <si>
    <t>FOR:</t>
  </si>
  <si>
    <t>APPROVED</t>
  </si>
  <si>
    <t>LOCATION</t>
  </si>
  <si>
    <t>CALCULATION NO.:</t>
  </si>
  <si>
    <t>INPUT DATA</t>
  </si>
  <si>
    <t>(Select from list)</t>
  </si>
  <si>
    <t>Flange size (NB)</t>
  </si>
  <si>
    <t>Operating Temperature</t>
  </si>
  <si>
    <t>°C</t>
  </si>
  <si>
    <t>FLANGE DATA</t>
  </si>
  <si>
    <t>Number of Bolts</t>
  </si>
  <si>
    <t>Bolt Diameter.</t>
  </si>
  <si>
    <t>CAESAR II INPUT</t>
  </si>
  <si>
    <t>Ab</t>
  </si>
  <si>
    <t>mm²</t>
  </si>
  <si>
    <t>C</t>
  </si>
  <si>
    <t>mm</t>
  </si>
  <si>
    <t>Flange Yield Strength</t>
  </si>
  <si>
    <t>SYC</t>
  </si>
  <si>
    <t>MPa</t>
  </si>
  <si>
    <t>SY1</t>
  </si>
  <si>
    <t>SY2</t>
  </si>
  <si>
    <t>ALLOWABLE BENDING MOMENT</t>
  </si>
  <si>
    <r>
      <t xml:space="preserve">Mfs </t>
    </r>
    <r>
      <rPr>
        <sz val="9"/>
        <rFont val="Calibri"/>
        <family val="2"/>
      </rPr>
      <t xml:space="preserve">≤ </t>
    </r>
    <r>
      <rPr>
        <sz val="9"/>
        <rFont val="Arial"/>
        <family val="2"/>
      </rPr>
      <t>21.7(Sy/250).C.Ab</t>
    </r>
  </si>
  <si>
    <t>Nm</t>
  </si>
  <si>
    <t>Notes</t>
  </si>
  <si>
    <t>The value of Sy/250 must not be taken as greater than unity</t>
  </si>
  <si>
    <t>Applicable only where bolting material has an S value at 38°C of 138 Mpa or greater</t>
  </si>
  <si>
    <t/>
  </si>
  <si>
    <t>JU 11805 D</t>
  </si>
  <si>
    <t>ITHACA ENERGY</t>
  </si>
  <si>
    <t>STELLA AREA</t>
  </si>
  <si>
    <t>KK</t>
  </si>
  <si>
    <t>SB</t>
  </si>
  <si>
    <t>MSV</t>
  </si>
  <si>
    <t>FPF1-065A</t>
  </si>
  <si>
    <t>FPF1-065A-REV2</t>
  </si>
</sst>
</file>

<file path=xl/styles.xml><?xml version="1.0" encoding="utf-8"?>
<styleSheet xmlns="http://schemas.openxmlformats.org/spreadsheetml/2006/main">
  <numFmts count="8">
    <numFmt numFmtId="164" formatCode="0&quot; mm²&quot;"/>
    <numFmt numFmtId="165" formatCode="0.000&quot;''&quot;"/>
    <numFmt numFmtId="166" formatCode="0.0&quot; mm&quot;"/>
    <numFmt numFmtId="167" formatCode="0&quot;°C&quot;"/>
    <numFmt numFmtId="168" formatCode="0.0&quot; MPa&quot;"/>
    <numFmt numFmtId="169" formatCode="#,##0&quot; Nm&quot;"/>
    <numFmt numFmtId="170" formatCode="0.000"/>
    <numFmt numFmtId="171" formatCode="0.0"/>
  </numFmts>
  <fonts count="2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9"/>
      <color rgb="FF0066FF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u/>
      <sz val="12"/>
      <name val="Arial"/>
      <family val="2"/>
    </font>
    <font>
      <sz val="9"/>
      <name val="Arial"/>
      <family val="2"/>
    </font>
    <font>
      <b/>
      <sz val="9"/>
      <color rgb="FF0000FF"/>
      <name val="Arial"/>
      <family val="2"/>
    </font>
    <font>
      <b/>
      <sz val="10"/>
      <color rgb="FF0000FF"/>
      <name val="MS Sans Serif"/>
      <family val="2"/>
    </font>
    <font>
      <b/>
      <sz val="8"/>
      <color rgb="FF0000FF"/>
      <name val="Arial"/>
      <family val="2"/>
    </font>
    <font>
      <sz val="10"/>
      <name val="Times New Roman"/>
      <family val="1"/>
    </font>
    <font>
      <b/>
      <i/>
      <sz val="12"/>
      <name val="Arial"/>
      <family val="2"/>
    </font>
    <font>
      <sz val="12"/>
      <color rgb="FFFF0000"/>
      <name val="Arial"/>
      <family val="2"/>
    </font>
    <font>
      <sz val="6"/>
      <name val="Arial"/>
      <family val="2"/>
    </font>
    <font>
      <b/>
      <u/>
      <sz val="14"/>
      <name val="Arial"/>
      <family val="2"/>
    </font>
    <font>
      <sz val="9"/>
      <color rgb="FFFF0000"/>
      <name val="Arial"/>
      <family val="2"/>
    </font>
    <font>
      <b/>
      <i/>
      <sz val="9"/>
      <name val="Arial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5" fillId="0" borderId="0"/>
    <xf numFmtId="0" fontId="10" fillId="0" borderId="0"/>
    <xf numFmtId="0" fontId="10" fillId="0" borderId="0"/>
  </cellStyleXfs>
  <cellXfs count="15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" fontId="9" fillId="0" borderId="0" xfId="2" applyNumberFormat="1" applyFont="1" applyFill="1" applyBorder="1" applyAlignment="1" applyProtection="1"/>
    <xf numFmtId="1" fontId="10" fillId="0" borderId="0" xfId="2" applyNumberFormat="1" applyFill="1" applyBorder="1" applyAlignment="1" applyProtection="1"/>
    <xf numFmtId="1" fontId="21" fillId="0" borderId="0" xfId="0" applyNumberFormat="1" applyFont="1" applyFill="1" applyBorder="1" applyAlignment="1" applyProtection="1">
      <alignment horizontal="center" vertical="center"/>
    </xf>
    <xf numFmtId="0" fontId="5" fillId="0" borderId="10" xfId="1" applyBorder="1" applyProtection="1"/>
    <xf numFmtId="0" fontId="5" fillId="0" borderId="11" xfId="1" applyBorder="1" applyProtection="1"/>
    <xf numFmtId="0" fontId="5" fillId="0" borderId="12" xfId="1" applyBorder="1" applyProtection="1"/>
    <xf numFmtId="0" fontId="5" fillId="0" borderId="13" xfId="1" applyBorder="1" applyProtection="1"/>
    <xf numFmtId="0" fontId="5" fillId="0" borderId="0" xfId="1" applyBorder="1" applyProtection="1"/>
    <xf numFmtId="0" fontId="5" fillId="0" borderId="14" xfId="1" applyBorder="1" applyProtection="1"/>
    <xf numFmtId="0" fontId="5" fillId="0" borderId="15" xfId="1" applyBorder="1" applyProtection="1"/>
    <xf numFmtId="0" fontId="5" fillId="0" borderId="16" xfId="1" applyBorder="1" applyProtection="1"/>
    <xf numFmtId="0" fontId="5" fillId="0" borderId="17" xfId="1" applyBorder="1" applyProtection="1"/>
    <xf numFmtId="0" fontId="7" fillId="0" borderId="18" xfId="1" applyFont="1" applyBorder="1" applyProtection="1"/>
    <xf numFmtId="0" fontId="7" fillId="0" borderId="19" xfId="1" applyFont="1" applyBorder="1" applyProtection="1"/>
    <xf numFmtId="0" fontId="7" fillId="0" borderId="20" xfId="1" applyFont="1" applyBorder="1" applyProtection="1"/>
    <xf numFmtId="0" fontId="7" fillId="0" borderId="0" xfId="1" applyFont="1" applyBorder="1" applyAlignment="1" applyProtection="1">
      <alignment vertical="center"/>
    </xf>
    <xf numFmtId="0" fontId="5" fillId="0" borderId="0" xfId="1" applyBorder="1" applyAlignment="1" applyProtection="1">
      <alignment vertical="center"/>
    </xf>
    <xf numFmtId="0" fontId="7" fillId="0" borderId="0" xfId="1" applyFont="1" applyBorder="1" applyAlignment="1" applyProtection="1">
      <alignment horizontal="left" vertical="center"/>
    </xf>
    <xf numFmtId="0" fontId="8" fillId="0" borderId="14" xfId="1" applyFont="1" applyBorder="1" applyAlignment="1" applyProtection="1"/>
    <xf numFmtId="0" fontId="9" fillId="0" borderId="0" xfId="1" applyFont="1" applyBorder="1" applyProtection="1"/>
    <xf numFmtId="0" fontId="9" fillId="0" borderId="13" xfId="2" applyFont="1" applyFill="1" applyBorder="1" applyProtection="1"/>
    <xf numFmtId="0" fontId="11" fillId="0" borderId="0" xfId="2" applyFont="1" applyFill="1" applyBorder="1" applyProtection="1"/>
    <xf numFmtId="0" fontId="9" fillId="0" borderId="0" xfId="2" applyFont="1" applyFill="1" applyBorder="1" applyProtection="1"/>
    <xf numFmtId="0" fontId="9" fillId="0" borderId="14" xfId="2" applyFont="1" applyFill="1" applyBorder="1" applyProtection="1"/>
    <xf numFmtId="0" fontId="14" fillId="0" borderId="0" xfId="2" applyFont="1" applyFill="1" applyBorder="1" applyAlignment="1" applyProtection="1"/>
    <xf numFmtId="0" fontId="12" fillId="0" borderId="0" xfId="2" applyFont="1" applyFill="1" applyBorder="1" applyProtection="1"/>
    <xf numFmtId="0" fontId="9" fillId="0" borderId="0" xfId="2" applyFont="1" applyFill="1" applyBorder="1" applyAlignment="1" applyProtection="1"/>
    <xf numFmtId="0" fontId="10" fillId="0" borderId="0" xfId="2" applyFill="1" applyBorder="1" applyAlignment="1" applyProtection="1"/>
    <xf numFmtId="0" fontId="12" fillId="0" borderId="0" xfId="2" applyFont="1" applyFill="1" applyBorder="1" applyAlignment="1" applyProtection="1">
      <alignment horizontal="left"/>
    </xf>
    <xf numFmtId="0" fontId="13" fillId="0" borderId="0" xfId="2" applyFont="1" applyFill="1" applyBorder="1" applyAlignment="1" applyProtection="1"/>
    <xf numFmtId="2" fontId="9" fillId="0" borderId="0" xfId="2" applyNumberFormat="1" applyFont="1" applyFill="1" applyBorder="1" applyAlignment="1" applyProtection="1"/>
    <xf numFmtId="0" fontId="12" fillId="0" borderId="0" xfId="2" quotePrefix="1" applyFont="1" applyFill="1" applyBorder="1" applyAlignment="1" applyProtection="1">
      <alignment horizontal="left"/>
    </xf>
    <xf numFmtId="0" fontId="10" fillId="0" borderId="0" xfId="2" applyFill="1" applyBorder="1" applyProtection="1"/>
    <xf numFmtId="0" fontId="15" fillId="0" borderId="0" xfId="2" applyFont="1" applyFill="1" applyBorder="1" applyAlignment="1" applyProtection="1"/>
    <xf numFmtId="1" fontId="15" fillId="0" borderId="0" xfId="2" applyNumberFormat="1" applyFont="1" applyFill="1" applyBorder="1" applyAlignment="1" applyProtection="1"/>
    <xf numFmtId="1" fontId="14" fillId="0" borderId="0" xfId="2" applyNumberFormat="1" applyFont="1" applyFill="1" applyBorder="1" applyAlignment="1" applyProtection="1"/>
    <xf numFmtId="0" fontId="16" fillId="0" borderId="0" xfId="2" quotePrefix="1" applyNumberFormat="1" applyFont="1" applyFill="1" applyBorder="1" applyProtection="1"/>
    <xf numFmtId="1" fontId="12" fillId="0" borderId="0" xfId="2" applyNumberFormat="1" applyFont="1" applyFill="1" applyBorder="1" applyAlignment="1" applyProtection="1"/>
    <xf numFmtId="0" fontId="5" fillId="0" borderId="0" xfId="1" applyFont="1" applyProtection="1"/>
    <xf numFmtId="0" fontId="17" fillId="0" borderId="0" xfId="2" applyFont="1" applyFill="1" applyBorder="1" applyProtection="1"/>
    <xf numFmtId="0" fontId="22" fillId="0" borderId="0" xfId="2" applyFont="1" applyFill="1" applyBorder="1" applyProtection="1"/>
    <xf numFmtId="0" fontId="12" fillId="0" borderId="0" xfId="2" quotePrefix="1" applyFont="1" applyFill="1" applyBorder="1" applyProtection="1"/>
    <xf numFmtId="1" fontId="12" fillId="0" borderId="0" xfId="3" applyNumberFormat="1" applyFont="1" applyFill="1" applyBorder="1" applyAlignment="1" applyProtection="1"/>
    <xf numFmtId="1" fontId="12" fillId="0" borderId="0" xfId="1" applyNumberFormat="1" applyFont="1" applyFill="1" applyBorder="1" applyAlignment="1" applyProtection="1"/>
    <xf numFmtId="0" fontId="9" fillId="0" borderId="15" xfId="2" applyFont="1" applyFill="1" applyBorder="1" applyProtection="1"/>
    <xf numFmtId="0" fontId="9" fillId="0" borderId="16" xfId="2" applyFont="1" applyFill="1" applyBorder="1" applyProtection="1"/>
    <xf numFmtId="0" fontId="5" fillId="0" borderId="16" xfId="1" applyFill="1" applyBorder="1" applyProtection="1"/>
    <xf numFmtId="0" fontId="18" fillId="0" borderId="16" xfId="2" applyFont="1" applyFill="1" applyBorder="1" applyAlignment="1" applyProtection="1">
      <alignment vertical="center"/>
    </xf>
    <xf numFmtId="0" fontId="9" fillId="0" borderId="17" xfId="2" applyFont="1" applyFill="1" applyBorder="1" applyProtection="1"/>
    <xf numFmtId="0" fontId="19" fillId="0" borderId="0" xfId="1" applyFont="1" applyProtection="1"/>
    <xf numFmtId="1" fontId="21" fillId="5" borderId="18" xfId="0" applyNumberFormat="1" applyFont="1" applyFill="1" applyBorder="1" applyAlignment="1" applyProtection="1">
      <alignment horizontal="center" vertical="center"/>
    </xf>
    <xf numFmtId="1" fontId="21" fillId="5" borderId="19" xfId="0" applyNumberFormat="1" applyFont="1" applyFill="1" applyBorder="1" applyAlignment="1" applyProtection="1">
      <alignment horizontal="center" vertical="center"/>
    </xf>
    <xf numFmtId="1" fontId="21" fillId="5" borderId="20" xfId="0" applyNumberFormat="1" applyFont="1" applyFill="1" applyBorder="1" applyAlignment="1" applyProtection="1">
      <alignment horizontal="center" vertical="center"/>
    </xf>
    <xf numFmtId="165" fontId="21" fillId="5" borderId="18" xfId="0" applyNumberFormat="1" applyFont="1" applyFill="1" applyBorder="1" applyAlignment="1" applyProtection="1">
      <alignment horizontal="center" vertical="center"/>
    </xf>
    <xf numFmtId="165" fontId="21" fillId="5" borderId="19" xfId="0" applyNumberFormat="1" applyFont="1" applyFill="1" applyBorder="1" applyAlignment="1" applyProtection="1">
      <alignment horizontal="center" vertical="center"/>
    </xf>
    <xf numFmtId="165" fontId="21" fillId="5" borderId="20" xfId="0" applyNumberFormat="1" applyFont="1" applyFill="1" applyBorder="1" applyAlignment="1" applyProtection="1">
      <alignment horizontal="center" vertical="center"/>
    </xf>
    <xf numFmtId="2" fontId="21" fillId="5" borderId="18" xfId="0" applyNumberFormat="1" applyFont="1" applyFill="1" applyBorder="1" applyAlignment="1" applyProtection="1">
      <alignment horizontal="center" vertical="center"/>
    </xf>
    <xf numFmtId="2" fontId="21" fillId="5" borderId="19" xfId="0" applyNumberFormat="1" applyFont="1" applyFill="1" applyBorder="1" applyAlignment="1" applyProtection="1">
      <alignment horizontal="center" vertical="center"/>
    </xf>
    <xf numFmtId="2" fontId="21" fillId="5" borderId="20" xfId="0" applyNumberFormat="1" applyFont="1" applyFill="1" applyBorder="1" applyAlignment="1" applyProtection="1">
      <alignment horizontal="center" vertical="center"/>
    </xf>
    <xf numFmtId="0" fontId="20" fillId="0" borderId="0" xfId="2" applyFont="1" applyFill="1" applyBorder="1" applyAlignment="1" applyProtection="1">
      <alignment horizontal="left" vertical="center"/>
    </xf>
    <xf numFmtId="0" fontId="12" fillId="4" borderId="18" xfId="1" applyFont="1" applyFill="1" applyBorder="1" applyAlignment="1" applyProtection="1">
      <alignment horizontal="center" vertical="center"/>
      <protection locked="0"/>
    </xf>
    <xf numFmtId="0" fontId="12" fillId="4" borderId="19" xfId="1" applyFont="1" applyFill="1" applyBorder="1" applyAlignment="1" applyProtection="1">
      <alignment horizontal="center" vertical="center"/>
      <protection locked="0"/>
    </xf>
    <xf numFmtId="0" fontId="12" fillId="4" borderId="20" xfId="1" applyFont="1" applyFill="1" applyBorder="1" applyAlignment="1" applyProtection="1">
      <alignment horizontal="center" vertical="center"/>
      <protection locked="0"/>
    </xf>
    <xf numFmtId="171" fontId="21" fillId="5" borderId="18" xfId="0" applyNumberFormat="1" applyFont="1" applyFill="1" applyBorder="1" applyAlignment="1" applyProtection="1">
      <alignment horizontal="center" vertical="center"/>
    </xf>
    <xf numFmtId="171" fontId="21" fillId="5" borderId="19" xfId="0" applyNumberFormat="1" applyFont="1" applyFill="1" applyBorder="1" applyAlignment="1" applyProtection="1">
      <alignment horizontal="center" vertical="center"/>
    </xf>
    <xf numFmtId="171" fontId="21" fillId="5" borderId="20" xfId="0" applyNumberFormat="1" applyFont="1" applyFill="1" applyBorder="1" applyAlignment="1" applyProtection="1">
      <alignment horizontal="center" vertical="center"/>
    </xf>
    <xf numFmtId="0" fontId="7" fillId="4" borderId="18" xfId="1" applyFont="1" applyFill="1" applyBorder="1" applyAlignment="1" applyProtection="1">
      <alignment horizontal="center"/>
      <protection locked="0"/>
    </xf>
    <xf numFmtId="0" fontId="7" fillId="4" borderId="19" xfId="1" applyFont="1" applyFill="1" applyBorder="1" applyAlignment="1" applyProtection="1">
      <alignment horizontal="center"/>
      <protection locked="0"/>
    </xf>
    <xf numFmtId="0" fontId="7" fillId="4" borderId="20" xfId="1" applyFont="1" applyFill="1" applyBorder="1" applyAlignment="1" applyProtection="1">
      <alignment horizontal="center"/>
      <protection locked="0"/>
    </xf>
    <xf numFmtId="0" fontId="5" fillId="0" borderId="22" xfId="1" applyBorder="1" applyAlignment="1" applyProtection="1">
      <alignment horizontal="center"/>
      <protection locked="0"/>
    </xf>
    <xf numFmtId="0" fontId="6" fillId="0" borderId="10" xfId="1" applyFont="1" applyBorder="1" applyAlignment="1" applyProtection="1">
      <alignment horizontal="center" vertical="center"/>
    </xf>
    <xf numFmtId="0" fontId="6" fillId="0" borderId="11" xfId="1" applyFont="1" applyBorder="1" applyAlignment="1" applyProtection="1">
      <alignment horizontal="center" vertical="center"/>
    </xf>
    <xf numFmtId="0" fontId="6" fillId="0" borderId="12" xfId="1" applyFont="1" applyBorder="1" applyAlignment="1" applyProtection="1">
      <alignment horizontal="center" vertical="center"/>
    </xf>
    <xf numFmtId="0" fontId="6" fillId="0" borderId="13" xfId="1" applyFont="1" applyBorder="1" applyAlignment="1" applyProtection="1">
      <alignment horizontal="center" vertical="center"/>
    </xf>
    <xf numFmtId="0" fontId="6" fillId="0" borderId="0" xfId="1" applyFont="1" applyBorder="1" applyAlignment="1" applyProtection="1">
      <alignment horizontal="center" vertical="center"/>
    </xf>
    <xf numFmtId="0" fontId="6" fillId="0" borderId="14" xfId="1" applyFont="1" applyBorder="1" applyAlignment="1" applyProtection="1">
      <alignment horizontal="center" vertical="center"/>
    </xf>
    <xf numFmtId="0" fontId="6" fillId="0" borderId="15" xfId="1" applyFont="1" applyBorder="1" applyAlignment="1" applyProtection="1">
      <alignment horizontal="center" vertical="center"/>
    </xf>
    <xf numFmtId="0" fontId="6" fillId="0" borderId="16" xfId="1" applyFont="1" applyBorder="1" applyAlignment="1" applyProtection="1">
      <alignment horizontal="center" vertical="center"/>
    </xf>
    <xf numFmtId="0" fontId="6" fillId="0" borderId="17" xfId="1" applyFont="1" applyBorder="1" applyAlignment="1" applyProtection="1">
      <alignment horizontal="center" vertical="center"/>
    </xf>
    <xf numFmtId="0" fontId="7" fillId="0" borderId="18" xfId="1" quotePrefix="1" applyFont="1" applyBorder="1" applyAlignment="1" applyProtection="1">
      <alignment horizontal="center" vertical="center"/>
    </xf>
    <xf numFmtId="0" fontId="7" fillId="0" borderId="19" xfId="1" applyFont="1" applyBorder="1" applyAlignment="1" applyProtection="1">
      <alignment horizontal="center" vertical="center"/>
    </xf>
    <xf numFmtId="0" fontId="7" fillId="0" borderId="20" xfId="1" applyFont="1" applyBorder="1" applyAlignment="1" applyProtection="1">
      <alignment horizontal="center" vertical="center"/>
    </xf>
    <xf numFmtId="0" fontId="7" fillId="0" borderId="18" xfId="1" applyFont="1" applyBorder="1" applyAlignment="1" applyProtection="1">
      <alignment horizontal="center" vertical="center"/>
    </xf>
    <xf numFmtId="0" fontId="5" fillId="0" borderId="21" xfId="1" applyBorder="1" applyAlignment="1" applyProtection="1">
      <alignment horizontal="center"/>
      <protection locked="0"/>
    </xf>
    <xf numFmtId="168" fontId="0" fillId="3" borderId="1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8" xfId="0" applyNumberFormat="1" applyBorder="1" applyAlignment="1">
      <alignment horizontal="center" vertical="center" wrapText="1"/>
    </xf>
    <xf numFmtId="169" fontId="0" fillId="0" borderId="9" xfId="0" applyNumberFormat="1" applyBorder="1" applyAlignment="1">
      <alignment horizontal="center" vertical="center" wrapText="1"/>
    </xf>
    <xf numFmtId="170" fontId="0" fillId="3" borderId="1" xfId="0" applyNumberFormat="1" applyFill="1" applyBorder="1" applyAlignment="1">
      <alignment horizontal="center" vertical="center" wrapText="1"/>
    </xf>
    <xf numFmtId="170" fontId="0" fillId="3" borderId="6" xfId="0" applyNumberFormat="1" applyFill="1" applyBorder="1" applyAlignment="1">
      <alignment horizontal="center" vertical="center" wrapText="1"/>
    </xf>
    <xf numFmtId="170" fontId="0" fillId="3" borderId="8" xfId="0" applyNumberFormat="1" applyFill="1" applyBorder="1" applyAlignment="1">
      <alignment horizontal="center" vertical="center" wrapText="1"/>
    </xf>
    <xf numFmtId="170" fontId="0" fillId="3" borderId="9" xfId="0" applyNumberFormat="1" applyFill="1" applyBorder="1" applyAlignment="1">
      <alignment horizontal="center" vertical="center" wrapText="1"/>
    </xf>
    <xf numFmtId="168" fontId="0" fillId="3" borderId="8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7" fontId="0" fillId="2" borderId="3" xfId="0" applyNumberFormat="1" applyFill="1" applyBorder="1" applyAlignment="1" applyProtection="1">
      <alignment horizontal="center" vertical="center" wrapText="1"/>
      <protection locked="0"/>
    </xf>
    <xf numFmtId="167" fontId="0" fillId="2" borderId="4" xfId="0" applyNumberFormat="1" applyFill="1" applyBorder="1" applyAlignment="1" applyProtection="1">
      <alignment horizontal="center" vertical="center" wrapText="1"/>
      <protection locked="0"/>
    </xf>
    <xf numFmtId="167" fontId="0" fillId="2" borderId="8" xfId="0" applyNumberFormat="1" applyFill="1" applyBorder="1" applyAlignment="1" applyProtection="1">
      <alignment horizontal="center" vertical="center" wrapText="1"/>
      <protection locked="0"/>
    </xf>
    <xf numFmtId="167" fontId="0" fillId="2" borderId="9" xfId="0" applyNumberForma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4" fontId="7" fillId="4" borderId="18" xfId="1" applyNumberFormat="1" applyFont="1" applyFill="1" applyBorder="1" applyAlignment="1" applyProtection="1">
      <alignment horizontal="center"/>
      <protection locked="0"/>
    </xf>
  </cellXfs>
  <cellStyles count="4">
    <cellStyle name="Normal" xfId="0" builtinId="0"/>
    <cellStyle name="Normal 2" xfId="1"/>
    <cellStyle name="Normal_Sheet1" xfId="2"/>
    <cellStyle name="Normal_TRUNNION" xfId="3"/>
  </cellStyles>
  <dxfs count="0"/>
  <tableStyles count="0" defaultTableStyle="TableStyleMedium9" defaultPivotStyle="PivotStyleLight16"/>
  <colors>
    <mruColors>
      <color rgb="FFCCECFF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AM64"/>
  <sheetViews>
    <sheetView tabSelected="1" workbookViewId="0">
      <selection activeCell="AA11" sqref="AA11:AF11"/>
    </sheetView>
  </sheetViews>
  <sheetFormatPr defaultColWidth="0" defaultRowHeight="15" zeroHeight="1"/>
  <cols>
    <col min="1" max="35" width="2.7109375" customWidth="1"/>
    <col min="36" max="39" width="0" hidden="1" customWidth="1"/>
    <col min="40" max="16384" width="9.140625" hidden="1"/>
  </cols>
  <sheetData>
    <row r="1" spans="1:39">
      <c r="A1" s="16"/>
      <c r="B1" s="17"/>
      <c r="C1" s="17"/>
      <c r="D1" s="17"/>
      <c r="E1" s="17"/>
      <c r="F1" s="17"/>
      <c r="G1" s="17"/>
      <c r="H1" s="17"/>
      <c r="I1" s="17"/>
      <c r="J1" s="17"/>
      <c r="K1" s="18"/>
      <c r="L1" s="83" t="s">
        <v>119</v>
      </c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5"/>
      <c r="AI1" s="11"/>
    </row>
    <row r="2" spans="1:39">
      <c r="A2" s="19"/>
      <c r="B2" s="20"/>
      <c r="C2" s="20"/>
      <c r="D2" s="20"/>
      <c r="E2" s="20"/>
      <c r="F2" s="20"/>
      <c r="G2" s="20"/>
      <c r="H2" s="20"/>
      <c r="I2" s="20"/>
      <c r="J2" s="20"/>
      <c r="K2" s="21"/>
      <c r="L2" s="86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8"/>
      <c r="AI2" s="11"/>
    </row>
    <row r="3" spans="1:39" ht="15.75" thickBo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  <c r="L3" s="89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"/>
    </row>
    <row r="4" spans="1:39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8"/>
      <c r="AI4" s="11"/>
    </row>
    <row r="5" spans="1:39">
      <c r="A5" s="19"/>
      <c r="B5" s="25" t="s">
        <v>120</v>
      </c>
      <c r="C5" s="26"/>
      <c r="D5" s="26"/>
      <c r="E5" s="27"/>
      <c r="F5" s="92" t="s">
        <v>121</v>
      </c>
      <c r="G5" s="93"/>
      <c r="H5" s="94"/>
      <c r="I5" s="95">
        <v>1</v>
      </c>
      <c r="J5" s="93"/>
      <c r="K5" s="94"/>
      <c r="L5" s="95">
        <v>2</v>
      </c>
      <c r="M5" s="93"/>
      <c r="N5" s="94"/>
      <c r="O5" s="95">
        <v>3</v>
      </c>
      <c r="P5" s="93"/>
      <c r="Q5" s="94"/>
      <c r="R5" s="95">
        <v>4</v>
      </c>
      <c r="S5" s="93"/>
      <c r="T5" s="94"/>
      <c r="U5" s="20"/>
      <c r="V5" s="28" t="s">
        <v>122</v>
      </c>
      <c r="W5" s="29"/>
      <c r="X5" s="29"/>
      <c r="Y5" s="29"/>
      <c r="Z5" s="96" t="s">
        <v>163</v>
      </c>
      <c r="AA5" s="96"/>
      <c r="AB5" s="96"/>
      <c r="AC5" s="96"/>
      <c r="AD5" s="96"/>
      <c r="AE5" s="96"/>
      <c r="AF5" s="96"/>
      <c r="AG5" s="96"/>
      <c r="AH5" s="21"/>
      <c r="AI5" s="11"/>
    </row>
    <row r="6" spans="1:39">
      <c r="A6" s="19"/>
      <c r="B6" s="25" t="s">
        <v>123</v>
      </c>
      <c r="C6" s="26"/>
      <c r="D6" s="26"/>
      <c r="E6" s="27"/>
      <c r="F6" s="79"/>
      <c r="G6" s="80"/>
      <c r="H6" s="81"/>
      <c r="I6" s="150">
        <v>41345</v>
      </c>
      <c r="J6" s="80"/>
      <c r="K6" s="81"/>
      <c r="L6" s="150">
        <v>41730</v>
      </c>
      <c r="M6" s="80"/>
      <c r="N6" s="81"/>
      <c r="O6" s="79"/>
      <c r="P6" s="80"/>
      <c r="Q6" s="81"/>
      <c r="R6" s="79"/>
      <c r="S6" s="80"/>
      <c r="T6" s="81"/>
      <c r="U6" s="20"/>
      <c r="V6" s="28" t="s">
        <v>124</v>
      </c>
      <c r="W6" s="29"/>
      <c r="X6" s="29"/>
      <c r="Y6" s="29"/>
      <c r="Z6" s="82">
        <v>1</v>
      </c>
      <c r="AA6" s="82"/>
      <c r="AB6" s="82"/>
      <c r="AC6" s="82"/>
      <c r="AD6" s="82"/>
      <c r="AE6" s="82"/>
      <c r="AF6" s="82"/>
      <c r="AG6" s="82"/>
      <c r="AH6" s="21"/>
      <c r="AI6" s="11"/>
    </row>
    <row r="7" spans="1:39">
      <c r="A7" s="19"/>
      <c r="B7" s="25" t="s">
        <v>125</v>
      </c>
      <c r="C7" s="26"/>
      <c r="D7" s="26"/>
      <c r="E7" s="27"/>
      <c r="F7" s="79"/>
      <c r="G7" s="80"/>
      <c r="H7" s="81"/>
      <c r="I7" s="79" t="s">
        <v>162</v>
      </c>
      <c r="J7" s="80"/>
      <c r="K7" s="81"/>
      <c r="L7" s="79" t="s">
        <v>162</v>
      </c>
      <c r="M7" s="80"/>
      <c r="N7" s="81"/>
      <c r="O7" s="79"/>
      <c r="P7" s="80"/>
      <c r="Q7" s="81"/>
      <c r="R7" s="79"/>
      <c r="S7" s="80"/>
      <c r="T7" s="81"/>
      <c r="U7" s="20"/>
      <c r="V7" s="30" t="s">
        <v>126</v>
      </c>
      <c r="W7" s="29"/>
      <c r="X7" s="29"/>
      <c r="Y7" s="29"/>
      <c r="Z7" s="82" t="s">
        <v>157</v>
      </c>
      <c r="AA7" s="82"/>
      <c r="AB7" s="82"/>
      <c r="AC7" s="82"/>
      <c r="AD7" s="82"/>
      <c r="AE7" s="82"/>
      <c r="AF7" s="82"/>
      <c r="AG7" s="82"/>
      <c r="AH7" s="21"/>
      <c r="AI7" s="11"/>
    </row>
    <row r="8" spans="1:39">
      <c r="A8" s="19"/>
      <c r="B8" s="25" t="s">
        <v>127</v>
      </c>
      <c r="C8" s="26"/>
      <c r="D8" s="26"/>
      <c r="E8" s="27"/>
      <c r="F8" s="79"/>
      <c r="G8" s="80"/>
      <c r="H8" s="81"/>
      <c r="I8" s="79" t="s">
        <v>160</v>
      </c>
      <c r="J8" s="80"/>
      <c r="K8" s="81"/>
      <c r="L8" s="79" t="s">
        <v>160</v>
      </c>
      <c r="M8" s="80"/>
      <c r="N8" s="81"/>
      <c r="O8" s="79"/>
      <c r="P8" s="80"/>
      <c r="Q8" s="81"/>
      <c r="R8" s="79"/>
      <c r="S8" s="80"/>
      <c r="T8" s="81"/>
      <c r="U8" s="20"/>
      <c r="V8" s="28" t="s">
        <v>128</v>
      </c>
      <c r="W8" s="29"/>
      <c r="X8" s="29"/>
      <c r="Y8" s="29"/>
      <c r="Z8" s="82" t="s">
        <v>158</v>
      </c>
      <c r="AA8" s="82"/>
      <c r="AB8" s="82"/>
      <c r="AC8" s="82"/>
      <c r="AD8" s="82"/>
      <c r="AE8" s="82"/>
      <c r="AF8" s="82"/>
      <c r="AG8" s="82"/>
      <c r="AH8" s="21"/>
      <c r="AI8" s="11"/>
      <c r="AL8" s="9" t="s">
        <v>49</v>
      </c>
      <c r="AM8" s="9"/>
    </row>
    <row r="9" spans="1:39">
      <c r="A9" s="19"/>
      <c r="B9" s="25" t="s">
        <v>129</v>
      </c>
      <c r="C9" s="26"/>
      <c r="D9" s="26"/>
      <c r="E9" s="27"/>
      <c r="F9" s="79"/>
      <c r="G9" s="80"/>
      <c r="H9" s="81"/>
      <c r="I9" s="79" t="s">
        <v>161</v>
      </c>
      <c r="J9" s="80"/>
      <c r="K9" s="81"/>
      <c r="L9" s="79" t="s">
        <v>161</v>
      </c>
      <c r="M9" s="80"/>
      <c r="N9" s="81"/>
      <c r="O9" s="79"/>
      <c r="P9" s="80"/>
      <c r="Q9" s="81"/>
      <c r="R9" s="79"/>
      <c r="S9" s="80"/>
      <c r="T9" s="81"/>
      <c r="U9" s="20"/>
      <c r="V9" s="28" t="s">
        <v>130</v>
      </c>
      <c r="W9" s="29"/>
      <c r="X9" s="29"/>
      <c r="Y9" s="29"/>
      <c r="Z9" s="82" t="s">
        <v>159</v>
      </c>
      <c r="AA9" s="82"/>
      <c r="AB9" s="82"/>
      <c r="AC9" s="82"/>
      <c r="AD9" s="82"/>
      <c r="AE9" s="82"/>
      <c r="AF9" s="82"/>
      <c r="AG9" s="82"/>
      <c r="AH9" s="31"/>
      <c r="AI9" s="11"/>
      <c r="AL9" s="10" t="s">
        <v>7</v>
      </c>
      <c r="AM9" s="9" t="s">
        <v>81</v>
      </c>
    </row>
    <row r="10" spans="1:39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32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1"/>
      <c r="AI10" s="11"/>
      <c r="AL10" s="10" t="s">
        <v>8</v>
      </c>
      <c r="AM10" s="9" t="s">
        <v>82</v>
      </c>
    </row>
    <row r="11" spans="1:39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8" t="s">
        <v>131</v>
      </c>
      <c r="W11" s="20"/>
      <c r="X11" s="20"/>
      <c r="Y11" s="20"/>
      <c r="Z11" s="20"/>
      <c r="AA11" s="79" t="s">
        <v>164</v>
      </c>
      <c r="AB11" s="80"/>
      <c r="AC11" s="80"/>
      <c r="AD11" s="80"/>
      <c r="AE11" s="80"/>
      <c r="AF11" s="81"/>
      <c r="AG11" s="20"/>
      <c r="AH11" s="21"/>
      <c r="AI11" s="11"/>
      <c r="AL11" s="10">
        <v>1</v>
      </c>
      <c r="AM11" s="9" t="s">
        <v>83</v>
      </c>
    </row>
    <row r="12" spans="1:39" ht="15.75">
      <c r="A12" s="33"/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6"/>
      <c r="AI12" s="11"/>
      <c r="AL12" s="10" t="s">
        <v>9</v>
      </c>
      <c r="AM12" s="9" t="s">
        <v>84</v>
      </c>
    </row>
    <row r="13" spans="1:39">
      <c r="A13" s="33"/>
      <c r="B13" s="72" t="s">
        <v>132</v>
      </c>
      <c r="C13" s="72"/>
      <c r="D13" s="72"/>
      <c r="E13" s="72"/>
      <c r="F13" s="72"/>
      <c r="G13" s="72"/>
      <c r="H13" s="72"/>
      <c r="I13" s="72"/>
      <c r="J13" s="72"/>
      <c r="K13" s="72"/>
      <c r="L13" s="37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5"/>
      <c r="Y13" s="35"/>
      <c r="Z13" s="35"/>
      <c r="AA13" s="35"/>
      <c r="AB13" s="35"/>
      <c r="AC13" s="39"/>
      <c r="AD13" s="39"/>
      <c r="AE13" s="40"/>
      <c r="AF13" s="38"/>
      <c r="AG13" s="38"/>
      <c r="AH13" s="36"/>
      <c r="AI13" s="11"/>
      <c r="AL13" s="10" t="s">
        <v>10</v>
      </c>
      <c r="AM13" s="9" t="s">
        <v>85</v>
      </c>
    </row>
    <row r="14" spans="1:39">
      <c r="A14" s="33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5"/>
      <c r="Y14" s="35"/>
      <c r="Z14" s="35"/>
      <c r="AA14" s="35"/>
      <c r="AB14" s="35"/>
      <c r="AC14" s="39"/>
      <c r="AD14" s="39"/>
      <c r="AE14" s="39"/>
      <c r="AF14" s="38"/>
      <c r="AG14" s="38"/>
      <c r="AH14" s="36"/>
      <c r="AI14" s="11"/>
      <c r="AL14" s="10">
        <v>2</v>
      </c>
      <c r="AM14" s="9" t="s">
        <v>86</v>
      </c>
    </row>
    <row r="15" spans="1:39">
      <c r="A15" s="33"/>
      <c r="B15" s="38"/>
      <c r="C15" s="41"/>
      <c r="D15" s="38"/>
      <c r="E15" s="38"/>
      <c r="F15" s="38"/>
      <c r="G15" s="38"/>
      <c r="H15" s="38"/>
      <c r="I15" s="38"/>
      <c r="J15" s="42"/>
      <c r="K15" s="37"/>
      <c r="L15" s="37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5"/>
      <c r="Y15" s="35"/>
      <c r="Z15" s="35"/>
      <c r="AA15" s="35"/>
      <c r="AB15" s="35"/>
      <c r="AC15" s="43"/>
      <c r="AD15" s="43"/>
      <c r="AE15" s="43"/>
      <c r="AF15" s="38"/>
      <c r="AG15" s="38"/>
      <c r="AH15" s="36"/>
      <c r="AI15" s="11"/>
      <c r="AL15" s="10" t="s">
        <v>11</v>
      </c>
      <c r="AM15" s="9" t="s">
        <v>87</v>
      </c>
    </row>
    <row r="16" spans="1:39">
      <c r="A16" s="33"/>
      <c r="B16" s="38" t="s">
        <v>44</v>
      </c>
      <c r="C16" s="41"/>
      <c r="D16" s="38"/>
      <c r="E16" s="38"/>
      <c r="F16" s="38"/>
      <c r="G16" s="38"/>
      <c r="H16" s="38"/>
      <c r="I16" s="11"/>
      <c r="J16" s="11"/>
      <c r="K16" s="11"/>
      <c r="L16" s="73" t="s">
        <v>112</v>
      </c>
      <c r="M16" s="74"/>
      <c r="N16" s="75"/>
      <c r="O16" s="37"/>
      <c r="P16" s="38" t="s">
        <v>133</v>
      </c>
      <c r="Q16" s="38"/>
      <c r="R16" s="38"/>
      <c r="S16" s="38"/>
      <c r="T16" s="38"/>
      <c r="U16" s="11"/>
      <c r="V16" s="11"/>
      <c r="W16" s="11"/>
      <c r="X16" s="11"/>
      <c r="Y16" s="11"/>
      <c r="Z16" s="11"/>
      <c r="AA16" s="11"/>
      <c r="AB16" s="35"/>
      <c r="AC16" s="39"/>
      <c r="AD16" s="39"/>
      <c r="AE16" s="40"/>
      <c r="AF16" s="38"/>
      <c r="AG16" s="38"/>
      <c r="AH16" s="36"/>
      <c r="AI16" s="11"/>
      <c r="AL16" s="10">
        <v>3</v>
      </c>
      <c r="AM16" s="9" t="s">
        <v>88</v>
      </c>
    </row>
    <row r="17" spans="1:39">
      <c r="A17" s="33"/>
      <c r="B17" s="38"/>
      <c r="C17" s="41"/>
      <c r="D17" s="38"/>
      <c r="E17" s="38"/>
      <c r="F17" s="38"/>
      <c r="G17" s="38"/>
      <c r="H17" s="38"/>
      <c r="I17" s="11"/>
      <c r="J17" s="11"/>
      <c r="K17" s="11"/>
      <c r="L17" s="38"/>
      <c r="M17" s="42"/>
      <c r="N17" s="37"/>
      <c r="O17" s="37"/>
      <c r="P17" s="38"/>
      <c r="Q17" s="38"/>
      <c r="R17" s="38"/>
      <c r="S17" s="38"/>
      <c r="T17" s="38"/>
      <c r="U17" s="11"/>
      <c r="V17" s="11"/>
      <c r="W17" s="11"/>
      <c r="X17" s="11"/>
      <c r="Y17" s="11"/>
      <c r="Z17" s="11"/>
      <c r="AA17" s="11"/>
      <c r="AB17" s="35"/>
      <c r="AC17" s="39"/>
      <c r="AD17" s="39"/>
      <c r="AE17" s="39"/>
      <c r="AF17" s="38"/>
      <c r="AG17" s="38"/>
      <c r="AH17" s="36"/>
      <c r="AI17" s="11"/>
      <c r="AL17" s="10" t="s">
        <v>12</v>
      </c>
      <c r="AM17" s="9" t="s">
        <v>89</v>
      </c>
    </row>
    <row r="18" spans="1:39">
      <c r="A18" s="33"/>
      <c r="B18" s="38" t="s">
        <v>134</v>
      </c>
      <c r="C18" s="44"/>
      <c r="D18" s="38"/>
      <c r="E18" s="38"/>
      <c r="F18" s="38"/>
      <c r="G18" s="38"/>
      <c r="H18" s="38"/>
      <c r="I18" s="11"/>
      <c r="J18" s="11"/>
      <c r="K18" s="11"/>
      <c r="L18" s="73">
        <v>3</v>
      </c>
      <c r="M18" s="74"/>
      <c r="N18" s="75"/>
      <c r="O18" s="37"/>
      <c r="P18" s="38" t="s">
        <v>133</v>
      </c>
      <c r="Q18" s="38"/>
      <c r="R18" s="45"/>
      <c r="S18" s="45"/>
      <c r="T18" s="38"/>
      <c r="U18" s="11"/>
      <c r="V18" s="11"/>
      <c r="W18" s="11"/>
      <c r="X18" s="11"/>
      <c r="Y18" s="11"/>
      <c r="Z18" s="11"/>
      <c r="AA18" s="11"/>
      <c r="AB18" s="35"/>
      <c r="AC18" s="46"/>
      <c r="AD18" s="46"/>
      <c r="AE18" s="46"/>
      <c r="AF18" s="38"/>
      <c r="AG18" s="38"/>
      <c r="AH18" s="36"/>
      <c r="AI18" s="11"/>
      <c r="AL18" s="10">
        <v>4</v>
      </c>
      <c r="AM18" s="9" t="s">
        <v>90</v>
      </c>
    </row>
    <row r="19" spans="1:39">
      <c r="A19" s="33"/>
      <c r="B19" s="38"/>
      <c r="C19" s="44"/>
      <c r="D19" s="38"/>
      <c r="E19" s="38"/>
      <c r="F19" s="38"/>
      <c r="G19" s="38"/>
      <c r="H19" s="38"/>
      <c r="I19" s="11"/>
      <c r="J19" s="11"/>
      <c r="K19" s="11"/>
      <c r="L19" s="38"/>
      <c r="M19" s="42"/>
      <c r="N19" s="37"/>
      <c r="O19" s="37"/>
      <c r="P19" s="38"/>
      <c r="Q19" s="38"/>
      <c r="R19" s="38"/>
      <c r="S19" s="38"/>
      <c r="T19" s="45"/>
      <c r="U19" s="11"/>
      <c r="V19" s="11"/>
      <c r="W19" s="11"/>
      <c r="X19" s="11"/>
      <c r="Y19" s="11"/>
      <c r="Z19" s="11"/>
      <c r="AA19" s="11"/>
      <c r="AB19" s="35"/>
      <c r="AC19" s="46"/>
      <c r="AD19" s="37"/>
      <c r="AE19" s="37"/>
      <c r="AF19" s="38"/>
      <c r="AG19" s="38"/>
      <c r="AH19" s="36"/>
      <c r="AI19" s="11"/>
      <c r="AL19" s="10">
        <v>5</v>
      </c>
      <c r="AM19" s="9" t="s">
        <v>91</v>
      </c>
    </row>
    <row r="20" spans="1:39">
      <c r="A20" s="33"/>
      <c r="B20" s="38" t="s">
        <v>135</v>
      </c>
      <c r="C20" s="44"/>
      <c r="D20" s="38"/>
      <c r="E20" s="38"/>
      <c r="F20" s="38"/>
      <c r="G20" s="38"/>
      <c r="H20" s="38"/>
      <c r="I20" s="11"/>
      <c r="J20" s="11"/>
      <c r="K20" s="11"/>
      <c r="L20" s="73">
        <v>50</v>
      </c>
      <c r="M20" s="74"/>
      <c r="N20" s="75"/>
      <c r="O20" s="37"/>
      <c r="P20" s="38" t="s">
        <v>136</v>
      </c>
      <c r="Q20" s="38"/>
      <c r="R20" s="38"/>
      <c r="S20" s="38"/>
      <c r="T20" s="38"/>
      <c r="U20" s="11"/>
      <c r="V20" s="11"/>
      <c r="W20" s="11"/>
      <c r="X20" s="11"/>
      <c r="Y20" s="11"/>
      <c r="Z20" s="11"/>
      <c r="AA20" s="11"/>
      <c r="AB20" s="35"/>
      <c r="AC20" s="46"/>
      <c r="AD20" s="37"/>
      <c r="AE20" s="37"/>
      <c r="AF20" s="38"/>
      <c r="AG20" s="38"/>
      <c r="AH20" s="36"/>
      <c r="AI20" s="11"/>
      <c r="AL20" s="10">
        <v>6</v>
      </c>
      <c r="AM20" s="9" t="s">
        <v>92</v>
      </c>
    </row>
    <row r="21" spans="1:39">
      <c r="A21" s="3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38"/>
      <c r="R21" s="38"/>
      <c r="S21" s="38"/>
      <c r="T21" s="38"/>
      <c r="U21" s="11"/>
      <c r="V21" s="11"/>
      <c r="W21" s="11"/>
      <c r="X21" s="11"/>
      <c r="Y21" s="11"/>
      <c r="Z21" s="11"/>
      <c r="AA21" s="11"/>
      <c r="AB21" s="35"/>
      <c r="AC21" s="47"/>
      <c r="AD21" s="48"/>
      <c r="AE21" s="48"/>
      <c r="AF21" s="38"/>
      <c r="AG21" s="38"/>
      <c r="AH21" s="36"/>
      <c r="AI21" s="11"/>
      <c r="AL21" s="10">
        <v>8</v>
      </c>
      <c r="AM21" s="9" t="s">
        <v>28</v>
      </c>
    </row>
    <row r="22" spans="1:39">
      <c r="A22" s="33"/>
      <c r="B22" s="38" t="s">
        <v>45</v>
      </c>
      <c r="C22" s="44"/>
      <c r="D22" s="38"/>
      <c r="E22" s="38"/>
      <c r="F22" s="38"/>
      <c r="G22" s="38"/>
      <c r="H22" s="38"/>
      <c r="I22" s="11"/>
      <c r="J22" s="11"/>
      <c r="K22" s="11"/>
      <c r="L22" s="73">
        <v>60</v>
      </c>
      <c r="M22" s="74"/>
      <c r="N22" s="75"/>
      <c r="O22" s="37"/>
      <c r="P22" s="38" t="s">
        <v>136</v>
      </c>
      <c r="Q22" s="38"/>
      <c r="R22" s="38"/>
      <c r="S22" s="38"/>
      <c r="T22" s="38"/>
      <c r="U22" s="11"/>
      <c r="V22" s="11"/>
      <c r="W22" s="11"/>
      <c r="X22" s="11"/>
      <c r="Y22" s="11"/>
      <c r="Z22" s="11"/>
      <c r="AA22" s="11"/>
      <c r="AB22" s="35"/>
      <c r="AC22" s="13"/>
      <c r="AD22" s="13"/>
      <c r="AE22" s="13"/>
      <c r="AF22" s="38"/>
      <c r="AG22" s="38"/>
      <c r="AH22" s="36"/>
      <c r="AI22" s="11"/>
      <c r="AL22" s="10">
        <v>10</v>
      </c>
      <c r="AM22" s="9" t="s">
        <v>29</v>
      </c>
    </row>
    <row r="23" spans="1:39">
      <c r="A23" s="33"/>
      <c r="B23" s="38"/>
      <c r="C23" s="38"/>
      <c r="D23" s="38"/>
      <c r="E23" s="38"/>
      <c r="F23" s="38"/>
      <c r="G23" s="38"/>
      <c r="H23" s="38"/>
      <c r="I23" s="38"/>
      <c r="J23" s="42"/>
      <c r="K23" s="37"/>
      <c r="L23" s="37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5"/>
      <c r="Y23" s="35"/>
      <c r="Z23" s="35"/>
      <c r="AA23" s="35"/>
      <c r="AB23" s="35"/>
      <c r="AC23" s="13"/>
      <c r="AD23" s="13"/>
      <c r="AE23" s="13"/>
      <c r="AF23" s="38"/>
      <c r="AG23" s="38"/>
      <c r="AH23" s="36"/>
      <c r="AI23" s="11"/>
      <c r="AL23" s="10">
        <v>12</v>
      </c>
      <c r="AM23" s="9" t="s">
        <v>30</v>
      </c>
    </row>
    <row r="24" spans="1:39">
      <c r="A24" s="33"/>
      <c r="B24" s="72" t="s">
        <v>137</v>
      </c>
      <c r="C24" s="72"/>
      <c r="D24" s="72"/>
      <c r="E24" s="72"/>
      <c r="F24" s="72"/>
      <c r="G24" s="72"/>
      <c r="H24" s="72"/>
      <c r="I24" s="72"/>
      <c r="J24" s="72"/>
      <c r="K24" s="72"/>
      <c r="L24" s="37"/>
      <c r="M24" s="49"/>
      <c r="N24" s="11"/>
      <c r="O24" s="11"/>
      <c r="P24" s="11"/>
      <c r="Q24" s="11"/>
      <c r="R24" s="11"/>
      <c r="S24" s="11"/>
      <c r="T24" s="38"/>
      <c r="U24" s="38"/>
      <c r="V24" s="38"/>
      <c r="W24" s="38"/>
      <c r="X24" s="35"/>
      <c r="Y24" s="35"/>
      <c r="Z24" s="35"/>
      <c r="AA24" s="35"/>
      <c r="AB24" s="35"/>
      <c r="AC24" s="13"/>
      <c r="AD24" s="14"/>
      <c r="AE24" s="14"/>
      <c r="AF24" s="38"/>
      <c r="AG24" s="38"/>
      <c r="AH24" s="36"/>
      <c r="AI24" s="11"/>
      <c r="AL24" s="10">
        <v>14</v>
      </c>
      <c r="AM24" s="9" t="s">
        <v>31</v>
      </c>
    </row>
    <row r="25" spans="1:39">
      <c r="A25" s="33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6"/>
      <c r="AI25" s="11"/>
      <c r="AL25" s="10">
        <v>16</v>
      </c>
      <c r="AM25" s="9" t="s">
        <v>93</v>
      </c>
    </row>
    <row r="26" spans="1:39">
      <c r="A26" s="33"/>
      <c r="B26" s="38"/>
      <c r="C26" s="38"/>
      <c r="D26" s="38"/>
      <c r="E26" s="38"/>
      <c r="F26" s="38"/>
      <c r="G26" s="38"/>
      <c r="H26" s="38"/>
      <c r="I26" s="38"/>
      <c r="J26" s="50"/>
      <c r="K26" s="50"/>
      <c r="L26" s="50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6"/>
      <c r="AI26" s="11"/>
      <c r="AL26" s="10">
        <v>18</v>
      </c>
      <c r="AM26" s="9" t="s">
        <v>94</v>
      </c>
    </row>
    <row r="27" spans="1:39">
      <c r="A27" s="33"/>
      <c r="B27" s="38" t="s">
        <v>46</v>
      </c>
      <c r="C27" s="44"/>
      <c r="D27" s="38"/>
      <c r="E27" s="38"/>
      <c r="F27" s="38"/>
      <c r="G27" s="38"/>
      <c r="H27" s="38"/>
      <c r="I27" s="38"/>
      <c r="J27" s="11"/>
      <c r="K27" s="11"/>
      <c r="L27" s="69" t="str">
        <f>'Scratch (2)'!B7</f>
        <v>1500#</v>
      </c>
      <c r="M27" s="70"/>
      <c r="N27" s="71"/>
      <c r="O27" s="38"/>
      <c r="P27" s="38"/>
      <c r="Q27" s="38"/>
      <c r="R27" s="38"/>
      <c r="S27" s="38"/>
      <c r="T27" s="38"/>
      <c r="U27" s="38"/>
      <c r="V27" s="11"/>
      <c r="W27" s="11"/>
      <c r="X27" s="11"/>
      <c r="Y27" s="11"/>
      <c r="Z27" s="11"/>
      <c r="AA27" s="11"/>
      <c r="AB27" s="11"/>
      <c r="AC27" s="11"/>
      <c r="AD27" s="11"/>
      <c r="AE27" s="35"/>
      <c r="AF27" s="35"/>
      <c r="AG27" s="35"/>
      <c r="AH27" s="36"/>
      <c r="AI27" s="11"/>
      <c r="AL27" s="10">
        <v>20</v>
      </c>
      <c r="AM27" s="9" t="s">
        <v>95</v>
      </c>
    </row>
    <row r="28" spans="1:39">
      <c r="A28" s="33"/>
      <c r="B28" s="38"/>
      <c r="C28" s="38"/>
      <c r="D28" s="38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35"/>
      <c r="AF28" s="35"/>
      <c r="AG28" s="35"/>
      <c r="AH28" s="36"/>
      <c r="AI28" s="11"/>
      <c r="AL28" s="10">
        <v>24</v>
      </c>
      <c r="AM28" s="9" t="s">
        <v>112</v>
      </c>
    </row>
    <row r="29" spans="1:39">
      <c r="A29" s="33"/>
      <c r="B29" s="51" t="s">
        <v>47</v>
      </c>
      <c r="C29" s="11"/>
      <c r="D29" s="11"/>
      <c r="E29" s="11"/>
      <c r="F29" s="11"/>
      <c r="G29" s="11"/>
      <c r="H29" s="11"/>
      <c r="I29" s="11"/>
      <c r="J29" s="11"/>
      <c r="K29" s="11"/>
      <c r="L29" s="69" t="str">
        <f>'Scratch (2)'!B6</f>
        <v>A350 Gr LF2 Cl 1</v>
      </c>
      <c r="M29" s="70"/>
      <c r="N29" s="70"/>
      <c r="O29" s="70"/>
      <c r="P29" s="70"/>
      <c r="Q29" s="70"/>
      <c r="R29" s="70"/>
      <c r="S29" s="70"/>
      <c r="T29" s="7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35"/>
      <c r="AF29" s="35"/>
      <c r="AG29" s="35"/>
      <c r="AH29" s="36"/>
      <c r="AI29" s="11"/>
      <c r="AL29" s="9"/>
      <c r="AM29" s="9" t="s">
        <v>96</v>
      </c>
    </row>
    <row r="30" spans="1:39">
      <c r="A30" s="3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35"/>
      <c r="AF30" s="35"/>
      <c r="AG30" s="35"/>
      <c r="AH30" s="36"/>
      <c r="AI30" s="11"/>
      <c r="AL30" s="9"/>
      <c r="AM30" s="9" t="s">
        <v>97</v>
      </c>
    </row>
    <row r="31" spans="1:39">
      <c r="A31" s="33"/>
      <c r="B31" s="51" t="s">
        <v>69</v>
      </c>
      <c r="C31" s="11"/>
      <c r="D31" s="11"/>
      <c r="E31" s="11"/>
      <c r="F31" s="11"/>
      <c r="G31" s="11"/>
      <c r="H31" s="11"/>
      <c r="I31" s="11"/>
      <c r="J31" s="11"/>
      <c r="K31" s="11"/>
      <c r="L31" s="76">
        <f>'Scratch (2)'!B8</f>
        <v>1.1000000000000001</v>
      </c>
      <c r="M31" s="77"/>
      <c r="N31" s="78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35"/>
      <c r="AF31" s="35"/>
      <c r="AG31" s="35"/>
      <c r="AH31" s="36"/>
      <c r="AI31" s="11"/>
      <c r="AL31" s="9"/>
      <c r="AM31" s="9" t="s">
        <v>32</v>
      </c>
    </row>
    <row r="32" spans="1:39">
      <c r="A32" s="3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35"/>
      <c r="AF32" s="35"/>
      <c r="AG32" s="35"/>
      <c r="AH32" s="36"/>
      <c r="AI32" s="11"/>
      <c r="AL32" s="9"/>
      <c r="AM32" s="9" t="s">
        <v>33</v>
      </c>
    </row>
    <row r="33" spans="1:39">
      <c r="A33" s="33"/>
      <c r="B33" s="38" t="s">
        <v>138</v>
      </c>
      <c r="C33" s="38"/>
      <c r="D33" s="38"/>
      <c r="E33" s="11"/>
      <c r="F33" s="11"/>
      <c r="G33" s="11"/>
      <c r="H33" s="11"/>
      <c r="I33" s="11"/>
      <c r="J33" s="11"/>
      <c r="K33" s="11"/>
      <c r="L33" s="63">
        <f>'Scratch (2)'!B12</f>
        <v>8</v>
      </c>
      <c r="M33" s="64"/>
      <c r="N33" s="65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35"/>
      <c r="AF33" s="35"/>
      <c r="AG33" s="35"/>
      <c r="AH33" s="36"/>
      <c r="AI33" s="11"/>
      <c r="AL33" s="9"/>
      <c r="AM33" s="9" t="s">
        <v>98</v>
      </c>
    </row>
    <row r="34" spans="1:39">
      <c r="A34" s="33"/>
      <c r="B34" s="38"/>
      <c r="C34" s="38"/>
      <c r="D34" s="38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35"/>
      <c r="AF34" s="35"/>
      <c r="AG34" s="35"/>
      <c r="AH34" s="36"/>
      <c r="AI34" s="11"/>
      <c r="AL34" s="9"/>
      <c r="AM34" s="9" t="s">
        <v>111</v>
      </c>
    </row>
    <row r="35" spans="1:39">
      <c r="A35" s="33"/>
      <c r="B35" s="38" t="s">
        <v>139</v>
      </c>
      <c r="C35" s="50"/>
      <c r="D35" s="50"/>
      <c r="E35" s="11"/>
      <c r="F35" s="11"/>
      <c r="G35" s="11"/>
      <c r="H35" s="11"/>
      <c r="I35" s="11"/>
      <c r="J35" s="11"/>
      <c r="K35" s="11"/>
      <c r="L35" s="66">
        <f>'Scratch (2)'!B13</f>
        <v>1.125</v>
      </c>
      <c r="M35" s="67"/>
      <c r="N35" s="68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35"/>
      <c r="AF35" s="35"/>
      <c r="AG35" s="35"/>
      <c r="AH35" s="36"/>
      <c r="AI35" s="11"/>
      <c r="AL35" s="9"/>
      <c r="AM35" s="9" t="s">
        <v>34</v>
      </c>
    </row>
    <row r="36" spans="1:39">
      <c r="A36" s="33"/>
      <c r="B36" s="38"/>
      <c r="C36" s="50"/>
      <c r="D36" s="5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38"/>
      <c r="X36" s="38"/>
      <c r="Y36" s="38"/>
      <c r="Z36" s="35"/>
      <c r="AA36" s="35"/>
      <c r="AB36" s="35"/>
      <c r="AC36" s="35"/>
      <c r="AD36" s="35"/>
      <c r="AE36" s="35"/>
      <c r="AF36" s="35"/>
      <c r="AG36" s="35"/>
      <c r="AH36" s="36"/>
      <c r="AI36" s="11"/>
      <c r="AL36" s="9"/>
      <c r="AM36" s="9" t="s">
        <v>99</v>
      </c>
    </row>
    <row r="37" spans="1:39">
      <c r="A37" s="33"/>
      <c r="B37" s="72" t="s">
        <v>140</v>
      </c>
      <c r="C37" s="72"/>
      <c r="D37" s="72"/>
      <c r="E37" s="72"/>
      <c r="F37" s="72"/>
      <c r="G37" s="72"/>
      <c r="H37" s="72"/>
      <c r="I37" s="72"/>
      <c r="J37" s="72"/>
      <c r="K37" s="72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38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6"/>
      <c r="AI37" s="11"/>
      <c r="AL37" s="9"/>
      <c r="AM37" s="9" t="s">
        <v>113</v>
      </c>
    </row>
    <row r="38" spans="1:39">
      <c r="A38" s="33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38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6"/>
      <c r="AI38" s="11"/>
      <c r="AL38" s="9"/>
      <c r="AM38" s="9" t="s">
        <v>35</v>
      </c>
    </row>
    <row r="39" spans="1:39">
      <c r="A39" s="33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5"/>
      <c r="P39" s="35"/>
      <c r="Q39" s="38"/>
      <c r="R39" s="38"/>
      <c r="S39" s="38"/>
      <c r="T39" s="38"/>
      <c r="U39" s="38"/>
      <c r="V39" s="38"/>
      <c r="W39" s="38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6"/>
      <c r="AI39" s="11"/>
      <c r="AL39" s="9"/>
      <c r="AM39" s="9" t="s">
        <v>36</v>
      </c>
    </row>
    <row r="40" spans="1:39">
      <c r="A40" s="33"/>
      <c r="B40" s="38" t="s">
        <v>51</v>
      </c>
      <c r="C40" s="38"/>
      <c r="D40" s="38"/>
      <c r="E40" s="38"/>
      <c r="F40" s="38"/>
      <c r="G40" s="38"/>
      <c r="H40" s="38"/>
      <c r="I40" s="38" t="s">
        <v>141</v>
      </c>
      <c r="J40" s="38"/>
      <c r="K40" s="38"/>
      <c r="L40" s="76">
        <f>'Scratch (2)'!B16</f>
        <v>3576.7670399999997</v>
      </c>
      <c r="M40" s="77"/>
      <c r="N40" s="78"/>
      <c r="O40" s="35"/>
      <c r="P40" s="38" t="s">
        <v>142</v>
      </c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5"/>
      <c r="AH40" s="36"/>
      <c r="AI40" s="11"/>
      <c r="AL40" s="9"/>
      <c r="AM40" s="9" t="s">
        <v>100</v>
      </c>
    </row>
    <row r="41" spans="1:39">
      <c r="A41" s="33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5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5"/>
      <c r="AH41" s="36"/>
      <c r="AI41" s="11"/>
      <c r="AL41" s="9"/>
      <c r="AM41" s="9" t="s">
        <v>37</v>
      </c>
    </row>
    <row r="42" spans="1:39">
      <c r="A42" s="33"/>
      <c r="B42" s="38" t="s">
        <v>3</v>
      </c>
      <c r="C42" s="38"/>
      <c r="D42" s="38"/>
      <c r="E42" s="38"/>
      <c r="F42" s="38"/>
      <c r="G42" s="38"/>
      <c r="H42" s="38"/>
      <c r="I42" s="38" t="s">
        <v>143</v>
      </c>
      <c r="J42" s="38"/>
      <c r="K42" s="38"/>
      <c r="L42" s="76">
        <f>'Scratch (2)'!B11</f>
        <v>203.2</v>
      </c>
      <c r="M42" s="77"/>
      <c r="N42" s="78"/>
      <c r="O42" s="35"/>
      <c r="P42" s="38" t="s">
        <v>144</v>
      </c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5"/>
      <c r="AH42" s="36"/>
      <c r="AI42" s="11"/>
      <c r="AL42" s="9"/>
      <c r="AM42" s="9" t="s">
        <v>114</v>
      </c>
    </row>
    <row r="43" spans="1:39" ht="15.75">
      <c r="A43" s="33"/>
      <c r="B43" s="52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5"/>
      <c r="P43" s="38"/>
      <c r="Q43" s="53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5"/>
      <c r="AH43" s="36"/>
      <c r="AI43" s="11"/>
      <c r="AL43" s="9"/>
      <c r="AM43" s="9" t="s">
        <v>38</v>
      </c>
    </row>
    <row r="44" spans="1:39">
      <c r="A44" s="33"/>
      <c r="B44" s="38" t="s">
        <v>145</v>
      </c>
      <c r="C44" s="38"/>
      <c r="D44" s="38"/>
      <c r="E44" s="50"/>
      <c r="F44" s="50"/>
      <c r="G44" s="50"/>
      <c r="H44" s="38"/>
      <c r="I44" s="38" t="s">
        <v>146</v>
      </c>
      <c r="J44" s="38"/>
      <c r="K44" s="38"/>
      <c r="L44" s="76">
        <f>'Scratch (2)'!B18</f>
        <v>248</v>
      </c>
      <c r="M44" s="77"/>
      <c r="N44" s="78"/>
      <c r="O44" s="35"/>
      <c r="P44" s="54" t="s">
        <v>147</v>
      </c>
      <c r="Q44" s="38"/>
      <c r="R44" s="38"/>
      <c r="S44" s="50"/>
      <c r="T44" s="50"/>
      <c r="U44" s="50"/>
      <c r="V44" s="50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5"/>
      <c r="AH44" s="36"/>
      <c r="AI44" s="11"/>
      <c r="AL44" s="9"/>
      <c r="AM44" s="9" t="s">
        <v>115</v>
      </c>
    </row>
    <row r="45" spans="1:39">
      <c r="A45" s="33"/>
      <c r="B45" s="38"/>
      <c r="C45" s="38"/>
      <c r="D45" s="38"/>
      <c r="E45" s="50"/>
      <c r="F45" s="50"/>
      <c r="G45" s="50"/>
      <c r="H45" s="38"/>
      <c r="I45" s="38"/>
      <c r="J45" s="38"/>
      <c r="K45" s="38"/>
      <c r="L45" s="38"/>
      <c r="M45" s="38"/>
      <c r="N45" s="38"/>
      <c r="O45" s="35"/>
      <c r="P45" s="38"/>
      <c r="Q45" s="38"/>
      <c r="R45" s="38"/>
      <c r="S45" s="50"/>
      <c r="T45" s="50"/>
      <c r="U45" s="50"/>
      <c r="V45" s="50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5"/>
      <c r="AH45" s="36"/>
      <c r="AI45" s="11"/>
      <c r="AL45" s="9"/>
      <c r="AM45" s="9" t="s">
        <v>101</v>
      </c>
    </row>
    <row r="46" spans="1:39">
      <c r="A46" s="33"/>
      <c r="B46" s="38" t="s">
        <v>145</v>
      </c>
      <c r="C46" s="38"/>
      <c r="D46" s="38"/>
      <c r="E46" s="50"/>
      <c r="F46" s="50"/>
      <c r="G46" s="50"/>
      <c r="H46" s="38"/>
      <c r="I46" s="38" t="s">
        <v>148</v>
      </c>
      <c r="J46" s="38"/>
      <c r="K46" s="38"/>
      <c r="L46" s="76">
        <f ca="1">'Scratch (2)'!B28</f>
        <v>242</v>
      </c>
      <c r="M46" s="77"/>
      <c r="N46" s="78"/>
      <c r="O46" s="35"/>
      <c r="P46" s="54" t="s">
        <v>147</v>
      </c>
      <c r="Q46" s="38"/>
      <c r="R46" s="38"/>
      <c r="S46" s="55"/>
      <c r="T46" s="55"/>
      <c r="U46" s="55"/>
      <c r="V46" s="55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5"/>
      <c r="AH46" s="36"/>
      <c r="AI46" s="11"/>
      <c r="AL46" s="9"/>
      <c r="AM46" s="9" t="s">
        <v>102</v>
      </c>
    </row>
    <row r="47" spans="1:39">
      <c r="A47" s="33"/>
      <c r="B47" s="38"/>
      <c r="C47" s="38"/>
      <c r="D47" s="38"/>
      <c r="E47" s="50"/>
      <c r="F47" s="50"/>
      <c r="G47" s="50"/>
      <c r="H47" s="38"/>
      <c r="I47" s="38"/>
      <c r="J47" s="38"/>
      <c r="K47" s="38"/>
      <c r="L47" s="38"/>
      <c r="M47" s="38"/>
      <c r="N47" s="38"/>
      <c r="O47" s="35"/>
      <c r="P47" s="38"/>
      <c r="Q47" s="38"/>
      <c r="R47" s="38"/>
      <c r="S47" s="56"/>
      <c r="T47" s="56"/>
      <c r="U47" s="56"/>
      <c r="V47" s="56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5"/>
      <c r="AH47" s="36"/>
      <c r="AI47" s="11"/>
      <c r="AL47" s="9"/>
      <c r="AM47" s="9"/>
    </row>
    <row r="48" spans="1:39">
      <c r="A48" s="33"/>
      <c r="B48" s="38" t="s">
        <v>145</v>
      </c>
      <c r="C48" s="38"/>
      <c r="D48" s="38"/>
      <c r="E48" s="38"/>
      <c r="F48" s="38"/>
      <c r="G48" s="38"/>
      <c r="H48" s="38"/>
      <c r="I48" s="38" t="s">
        <v>149</v>
      </c>
      <c r="J48" s="38"/>
      <c r="K48" s="38"/>
      <c r="L48" s="76">
        <f ca="1">'Scratch (2a)'!B28</f>
        <v>236</v>
      </c>
      <c r="M48" s="77"/>
      <c r="N48" s="78"/>
      <c r="O48" s="38"/>
      <c r="P48" s="54" t="s">
        <v>147</v>
      </c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6"/>
      <c r="AI48" s="11"/>
      <c r="AL48" s="9"/>
      <c r="AM48" s="9"/>
    </row>
    <row r="49" spans="1:39">
      <c r="A49" s="33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6"/>
      <c r="AL49" s="9"/>
      <c r="AM49" s="9"/>
    </row>
    <row r="50" spans="1:39">
      <c r="A50" s="33"/>
      <c r="B50" s="72" t="s">
        <v>150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6"/>
      <c r="AL50" s="9"/>
      <c r="AM50" s="9"/>
    </row>
    <row r="51" spans="1:39">
      <c r="A51" s="33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6"/>
      <c r="AL51" s="9"/>
      <c r="AM51" s="9"/>
    </row>
    <row r="52" spans="1:39">
      <c r="A52" s="33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6"/>
      <c r="AL52" s="9"/>
      <c r="AM52" s="9"/>
    </row>
    <row r="53" spans="1:39">
      <c r="A53" s="33"/>
      <c r="B53" s="54" t="s">
        <v>151</v>
      </c>
      <c r="C53" s="38"/>
      <c r="D53" s="38"/>
      <c r="E53" s="38"/>
      <c r="F53" s="38"/>
      <c r="G53" s="38"/>
      <c r="H53" s="38"/>
      <c r="I53" s="38"/>
      <c r="J53" s="38"/>
      <c r="K53" s="38"/>
      <c r="L53" s="63">
        <f ca="1">MIN('Scratch (2)'!B34,'Scratch (2a)'!B34)</f>
        <v>14888.333436073572</v>
      </c>
      <c r="M53" s="64"/>
      <c r="N53" s="64"/>
      <c r="O53" s="64"/>
      <c r="P53" s="64"/>
      <c r="Q53" s="65"/>
      <c r="R53" s="38"/>
      <c r="S53" s="38" t="s">
        <v>152</v>
      </c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6"/>
    </row>
    <row r="54" spans="1:39">
      <c r="A54" s="33"/>
      <c r="B54" s="54"/>
      <c r="C54" s="38"/>
      <c r="D54" s="38"/>
      <c r="E54" s="38"/>
      <c r="F54" s="38"/>
      <c r="G54" s="38"/>
      <c r="H54" s="38"/>
      <c r="I54" s="38"/>
      <c r="J54" s="38"/>
      <c r="K54" s="38"/>
      <c r="L54" s="15"/>
      <c r="M54" s="15"/>
      <c r="N54" s="15"/>
      <c r="O54" s="15"/>
      <c r="P54" s="15"/>
      <c r="Q54" s="15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6"/>
    </row>
    <row r="55" spans="1:39">
      <c r="A55" s="33"/>
      <c r="B55" s="54"/>
      <c r="C55" s="38"/>
      <c r="D55" s="38"/>
      <c r="E55" s="38"/>
      <c r="F55" s="38"/>
      <c r="G55" s="38"/>
      <c r="H55" s="38"/>
      <c r="I55" s="38"/>
      <c r="J55" s="38"/>
      <c r="K55" s="38"/>
      <c r="L55" s="15"/>
      <c r="M55" s="15"/>
      <c r="N55" s="15"/>
      <c r="O55" s="15"/>
      <c r="P55" s="15"/>
      <c r="Q55" s="15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6"/>
    </row>
    <row r="56" spans="1:39">
      <c r="A56" s="33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6"/>
    </row>
    <row r="57" spans="1:39">
      <c r="A57" s="33"/>
      <c r="B57" s="38" t="s">
        <v>153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6"/>
    </row>
    <row r="58" spans="1:39">
      <c r="A58" s="33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6"/>
    </row>
    <row r="59" spans="1:39">
      <c r="A59" s="33"/>
      <c r="B59" s="38" t="s">
        <v>154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6"/>
    </row>
    <row r="60" spans="1:39">
      <c r="A60" s="33"/>
      <c r="B60" s="38" t="s">
        <v>155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6"/>
    </row>
    <row r="61" spans="1:39">
      <c r="A61" s="33"/>
      <c r="B61" s="41" t="s">
        <v>156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6"/>
    </row>
    <row r="62" spans="1:39">
      <c r="A62" s="33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6"/>
    </row>
    <row r="63" spans="1:39" ht="15.75" thickBot="1">
      <c r="A63" s="57"/>
      <c r="B63" s="58"/>
      <c r="C63" s="59"/>
      <c r="D63" s="58"/>
      <c r="E63" s="59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60"/>
      <c r="X63" s="60"/>
      <c r="Y63" s="60"/>
      <c r="Z63" s="60"/>
      <c r="AA63" s="60"/>
      <c r="AB63" s="60"/>
      <c r="AC63" s="60"/>
      <c r="AD63" s="60"/>
      <c r="AE63" s="60"/>
      <c r="AF63" s="58"/>
      <c r="AG63" s="58"/>
      <c r="AH63" s="61"/>
    </row>
    <row r="64" spans="1:39">
      <c r="A64" s="62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</sheetData>
  <mergeCells count="51">
    <mergeCell ref="Z6:AG6"/>
    <mergeCell ref="L1:AH3"/>
    <mergeCell ref="F5:H5"/>
    <mergeCell ref="I5:K5"/>
    <mergeCell ref="L5:N5"/>
    <mergeCell ref="O5:Q5"/>
    <mergeCell ref="R5:T5"/>
    <mergeCell ref="Z5:AG5"/>
    <mergeCell ref="F6:H6"/>
    <mergeCell ref="I6:K6"/>
    <mergeCell ref="L6:N6"/>
    <mergeCell ref="O6:Q6"/>
    <mergeCell ref="R6:T6"/>
    <mergeCell ref="Z8:AG8"/>
    <mergeCell ref="F7:H7"/>
    <mergeCell ref="I7:K7"/>
    <mergeCell ref="L7:N7"/>
    <mergeCell ref="O7:Q7"/>
    <mergeCell ref="R7:T7"/>
    <mergeCell ref="Z7:AG7"/>
    <mergeCell ref="F8:H8"/>
    <mergeCell ref="I8:K8"/>
    <mergeCell ref="L8:N8"/>
    <mergeCell ref="O8:Q8"/>
    <mergeCell ref="R8:T8"/>
    <mergeCell ref="L40:N40"/>
    <mergeCell ref="L27:N27"/>
    <mergeCell ref="L31:N31"/>
    <mergeCell ref="AA11:AF11"/>
    <mergeCell ref="F9:H9"/>
    <mergeCell ref="I9:K9"/>
    <mergeCell ref="L9:N9"/>
    <mergeCell ref="O9:Q9"/>
    <mergeCell ref="R9:T9"/>
    <mergeCell ref="Z9:AG9"/>
    <mergeCell ref="L53:Q53"/>
    <mergeCell ref="L35:N35"/>
    <mergeCell ref="L33:N33"/>
    <mergeCell ref="L29:T29"/>
    <mergeCell ref="B13:K14"/>
    <mergeCell ref="L16:N16"/>
    <mergeCell ref="L18:N18"/>
    <mergeCell ref="L22:N22"/>
    <mergeCell ref="B24:K25"/>
    <mergeCell ref="L20:N20"/>
    <mergeCell ref="B37:K38"/>
    <mergeCell ref="B50:T51"/>
    <mergeCell ref="L48:N48"/>
    <mergeCell ref="L46:N46"/>
    <mergeCell ref="L44:N44"/>
    <mergeCell ref="L42:N42"/>
  </mergeCells>
  <dataValidations count="2">
    <dataValidation type="list" allowBlank="1" showInputMessage="1" showErrorMessage="1" sqref="L16:N16">
      <formula1>$AM$9:$AM$46</formula1>
    </dataValidation>
    <dataValidation type="list" allowBlank="1" showInputMessage="1" showErrorMessage="1" sqref="L18:N18">
      <formula1>$AL$9:$AL$28</formula1>
    </dataValidation>
  </dataValidations>
  <pageMargins left="0.7" right="0.7" top="0.75" bottom="0.7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B1:BL40"/>
  <sheetViews>
    <sheetView workbookViewId="0">
      <selection activeCell="BA2" sqref="BA2:BB46"/>
    </sheetView>
  </sheetViews>
  <sheetFormatPr defaultColWidth="9.140625" defaultRowHeight="15"/>
  <cols>
    <col min="1" max="52" width="2.85546875" customWidth="1"/>
    <col min="53" max="54" width="2.85546875" style="4" customWidth="1"/>
    <col min="55" max="104" width="2.85546875" customWidth="1"/>
  </cols>
  <sheetData>
    <row r="1" spans="2:64" ht="15.75" thickBot="1"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</row>
    <row r="2" spans="2:64" ht="15" customHeight="1">
      <c r="B2" s="123" t="s">
        <v>110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5"/>
      <c r="AX2" s="9"/>
      <c r="AY2" s="9"/>
      <c r="AZ2" s="9"/>
      <c r="BA2" s="4" t="s">
        <v>49</v>
      </c>
      <c r="BC2" s="9"/>
      <c r="BD2" s="9"/>
      <c r="BE2" s="9"/>
      <c r="BF2" s="9"/>
      <c r="BG2" s="9"/>
      <c r="BH2" s="9"/>
      <c r="BI2" s="9"/>
      <c r="BJ2" s="9"/>
      <c r="BK2" s="9"/>
      <c r="BL2" s="9"/>
    </row>
    <row r="3" spans="2:64" ht="15" customHeight="1">
      <c r="B3" s="126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8"/>
      <c r="AX3" s="9"/>
      <c r="AY3" s="9"/>
      <c r="AZ3" s="9"/>
      <c r="BA3" s="5" t="s">
        <v>7</v>
      </c>
      <c r="BB3" s="4" t="s">
        <v>81</v>
      </c>
      <c r="BC3" s="9"/>
      <c r="BD3" s="9"/>
      <c r="BE3" s="9"/>
      <c r="BF3" s="9"/>
      <c r="BG3" s="9"/>
      <c r="BH3" s="9"/>
      <c r="BI3" s="9"/>
      <c r="BJ3" s="9"/>
      <c r="BK3" s="9"/>
      <c r="BL3" s="9"/>
    </row>
    <row r="4" spans="2:64" ht="15" customHeight="1">
      <c r="B4" s="126" t="s">
        <v>39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8"/>
      <c r="AX4" s="9"/>
      <c r="AY4" s="9"/>
      <c r="AZ4" s="9"/>
      <c r="BA4" s="5" t="s">
        <v>8</v>
      </c>
      <c r="BB4" s="4" t="s">
        <v>82</v>
      </c>
      <c r="BC4" s="9"/>
      <c r="BD4" s="9"/>
      <c r="BE4" s="9"/>
      <c r="BF4" s="9"/>
      <c r="BG4" s="9"/>
      <c r="BH4" s="9"/>
      <c r="BI4" s="9"/>
      <c r="BJ4" s="9"/>
      <c r="BK4" s="9"/>
      <c r="BL4" s="9"/>
    </row>
    <row r="5" spans="2:64" ht="15" customHeight="1">
      <c r="B5" s="126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8"/>
      <c r="AX5" s="9"/>
      <c r="AY5" s="9"/>
      <c r="AZ5" s="9"/>
      <c r="BA5" s="5">
        <v>1</v>
      </c>
      <c r="BB5" s="4" t="s">
        <v>83</v>
      </c>
      <c r="BC5" s="9"/>
      <c r="BD5" s="9"/>
      <c r="BE5" s="9"/>
      <c r="BF5" s="9"/>
      <c r="BG5" s="9"/>
      <c r="BH5" s="9"/>
      <c r="BI5" s="9"/>
      <c r="BJ5" s="9"/>
      <c r="BK5" s="9"/>
      <c r="BL5" s="9"/>
    </row>
    <row r="6" spans="2:64">
      <c r="B6" s="129" t="s">
        <v>77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1"/>
      <c r="AX6" s="9"/>
      <c r="AY6" s="9"/>
      <c r="AZ6" s="9"/>
      <c r="BA6" s="5" t="s">
        <v>9</v>
      </c>
      <c r="BB6" s="4" t="s">
        <v>84</v>
      </c>
      <c r="BC6" s="9"/>
      <c r="BD6" s="9"/>
      <c r="BE6" s="9"/>
      <c r="BF6" s="9"/>
      <c r="BG6" s="9"/>
      <c r="BH6" s="9"/>
      <c r="BI6" s="9"/>
      <c r="BJ6" s="9"/>
      <c r="BK6" s="9"/>
      <c r="BL6" s="9"/>
    </row>
    <row r="7" spans="2:64" ht="15.75" thickBot="1"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4"/>
      <c r="AX7" s="9"/>
      <c r="AY7" s="9"/>
      <c r="AZ7" s="9"/>
      <c r="BA7" s="5" t="s">
        <v>10</v>
      </c>
      <c r="BB7" s="4" t="s">
        <v>85</v>
      </c>
      <c r="BC7" s="9"/>
      <c r="BD7" s="9"/>
      <c r="BE7" s="9"/>
      <c r="BF7" s="9"/>
      <c r="BG7" s="9"/>
      <c r="BH7" s="9"/>
      <c r="BI7" s="9"/>
      <c r="BJ7" s="9"/>
      <c r="BK7" s="9"/>
      <c r="BL7" s="9"/>
    </row>
    <row r="8" spans="2:64" ht="15.75" thickBot="1">
      <c r="AX8" s="9"/>
      <c r="AY8" s="9"/>
      <c r="AZ8" s="9"/>
      <c r="BA8" s="5">
        <v>2</v>
      </c>
      <c r="BB8" s="4" t="s">
        <v>86</v>
      </c>
      <c r="BC8" s="9"/>
      <c r="BD8" s="9"/>
      <c r="BE8" s="9"/>
      <c r="BF8" s="9"/>
      <c r="BG8" s="9"/>
      <c r="BH8" s="9"/>
      <c r="BI8" s="9"/>
      <c r="BJ8" s="9"/>
      <c r="BK8" s="9"/>
      <c r="BL8" s="9"/>
    </row>
    <row r="9" spans="2:64">
      <c r="B9" s="141" t="s">
        <v>40</v>
      </c>
      <c r="C9" s="142"/>
      <c r="D9" s="142"/>
      <c r="E9" s="142"/>
      <c r="F9" s="142"/>
      <c r="G9" s="142"/>
      <c r="H9" s="142"/>
      <c r="I9" s="142"/>
      <c r="J9" s="139"/>
      <c r="K9" s="139"/>
      <c r="L9" s="139"/>
      <c r="M9" s="139"/>
      <c r="N9" s="139"/>
      <c r="O9" s="139"/>
      <c r="P9" s="139"/>
      <c r="Q9" s="139"/>
      <c r="R9" s="142" t="s">
        <v>41</v>
      </c>
      <c r="S9" s="142"/>
      <c r="T9" s="142"/>
      <c r="U9" s="142"/>
      <c r="V9" s="142"/>
      <c r="W9" s="139"/>
      <c r="X9" s="139"/>
      <c r="Y9" s="139"/>
      <c r="Z9" s="139"/>
      <c r="AA9" s="139"/>
      <c r="AB9" s="142" t="s">
        <v>42</v>
      </c>
      <c r="AC9" s="142"/>
      <c r="AD9" s="142"/>
      <c r="AE9" s="142"/>
      <c r="AF9" s="142"/>
      <c r="AG9" s="139"/>
      <c r="AH9" s="139"/>
      <c r="AI9" s="139"/>
      <c r="AJ9" s="139"/>
      <c r="AK9" s="143"/>
      <c r="AX9" s="9"/>
      <c r="AY9" s="9"/>
      <c r="AZ9" s="9"/>
      <c r="BA9" s="5" t="s">
        <v>11</v>
      </c>
      <c r="BB9" s="4" t="s">
        <v>87</v>
      </c>
      <c r="BC9" s="9"/>
      <c r="BD9" s="9"/>
      <c r="BE9" s="9"/>
      <c r="BF9" s="9"/>
      <c r="BG9" s="9"/>
      <c r="BH9" s="9"/>
      <c r="BI9" s="9"/>
      <c r="BJ9" s="9"/>
      <c r="BK9" s="9"/>
      <c r="BL9" s="9"/>
    </row>
    <row r="10" spans="2:64">
      <c r="B10" s="129"/>
      <c r="C10" s="130"/>
      <c r="D10" s="130"/>
      <c r="E10" s="130"/>
      <c r="F10" s="130"/>
      <c r="G10" s="130"/>
      <c r="H10" s="130"/>
      <c r="I10" s="130"/>
      <c r="J10" s="140"/>
      <c r="K10" s="140"/>
      <c r="L10" s="140"/>
      <c r="M10" s="140"/>
      <c r="N10" s="140"/>
      <c r="O10" s="140"/>
      <c r="P10" s="140"/>
      <c r="Q10" s="140"/>
      <c r="R10" s="130"/>
      <c r="S10" s="130"/>
      <c r="T10" s="130"/>
      <c r="U10" s="130"/>
      <c r="V10" s="130"/>
      <c r="W10" s="140"/>
      <c r="X10" s="140"/>
      <c r="Y10" s="140"/>
      <c r="Z10" s="140"/>
      <c r="AA10" s="140"/>
      <c r="AB10" s="130"/>
      <c r="AC10" s="130"/>
      <c r="AD10" s="130"/>
      <c r="AE10" s="130"/>
      <c r="AF10" s="130"/>
      <c r="AG10" s="140"/>
      <c r="AH10" s="140"/>
      <c r="AI10" s="140"/>
      <c r="AJ10" s="140"/>
      <c r="AK10" s="144"/>
      <c r="AX10" s="9"/>
      <c r="AY10" s="9"/>
      <c r="AZ10" s="9"/>
      <c r="BA10" s="5">
        <v>3</v>
      </c>
      <c r="BB10" s="4" t="s">
        <v>88</v>
      </c>
      <c r="BC10" s="9"/>
      <c r="BD10" s="9"/>
      <c r="BE10" s="9"/>
      <c r="BF10" s="9"/>
      <c r="BG10" s="9"/>
      <c r="BH10" s="9"/>
      <c r="BI10" s="9"/>
      <c r="BJ10" s="9"/>
      <c r="BK10" s="9"/>
      <c r="BL10" s="9"/>
    </row>
    <row r="11" spans="2:64">
      <c r="B11" s="129" t="s">
        <v>73</v>
      </c>
      <c r="C11" s="130"/>
      <c r="D11" s="130"/>
      <c r="E11" s="130"/>
      <c r="F11" s="130"/>
      <c r="G11" s="130"/>
      <c r="H11" s="130"/>
      <c r="I11" s="130"/>
      <c r="J11" s="140"/>
      <c r="K11" s="140"/>
      <c r="L11" s="140"/>
      <c r="M11" s="140"/>
      <c r="N11" s="140"/>
      <c r="O11" s="140"/>
      <c r="P11" s="140"/>
      <c r="Q11" s="140"/>
      <c r="R11" s="130" t="s">
        <v>74</v>
      </c>
      <c r="S11" s="130"/>
      <c r="T11" s="130"/>
      <c r="U11" s="130"/>
      <c r="V11" s="130"/>
      <c r="W11" s="140"/>
      <c r="X11" s="140"/>
      <c r="Y11" s="140"/>
      <c r="Z11" s="140"/>
      <c r="AA11" s="140"/>
      <c r="AB11" s="130" t="s">
        <v>42</v>
      </c>
      <c r="AC11" s="130"/>
      <c r="AD11" s="130"/>
      <c r="AE11" s="130"/>
      <c r="AF11" s="130"/>
      <c r="AG11" s="140"/>
      <c r="AH11" s="140"/>
      <c r="AI11" s="140"/>
      <c r="AJ11" s="140"/>
      <c r="AK11" s="144"/>
      <c r="AX11" s="9"/>
      <c r="AY11" s="9"/>
      <c r="AZ11" s="9"/>
      <c r="BA11" s="5" t="s">
        <v>12</v>
      </c>
      <c r="BB11" s="4" t="s">
        <v>89</v>
      </c>
      <c r="BC11" s="9"/>
      <c r="BD11" s="9"/>
      <c r="BE11" s="9"/>
      <c r="BF11" s="9"/>
      <c r="BG11" s="9"/>
      <c r="BH11" s="9"/>
      <c r="BI11" s="9"/>
      <c r="BJ11" s="9"/>
      <c r="BK11" s="9"/>
      <c r="BL11" s="9"/>
    </row>
    <row r="12" spans="2:64" ht="15.75" thickBot="1">
      <c r="B12" s="132"/>
      <c r="C12" s="133"/>
      <c r="D12" s="133"/>
      <c r="E12" s="133"/>
      <c r="F12" s="133"/>
      <c r="G12" s="133"/>
      <c r="H12" s="133"/>
      <c r="I12" s="133"/>
      <c r="J12" s="147"/>
      <c r="K12" s="147"/>
      <c r="L12" s="147"/>
      <c r="M12" s="147"/>
      <c r="N12" s="147"/>
      <c r="O12" s="147"/>
      <c r="P12" s="147"/>
      <c r="Q12" s="147"/>
      <c r="R12" s="133"/>
      <c r="S12" s="133"/>
      <c r="T12" s="133"/>
      <c r="U12" s="133"/>
      <c r="V12" s="133"/>
      <c r="W12" s="147"/>
      <c r="X12" s="147"/>
      <c r="Y12" s="147"/>
      <c r="Z12" s="147"/>
      <c r="AA12" s="147"/>
      <c r="AB12" s="133"/>
      <c r="AC12" s="133"/>
      <c r="AD12" s="133"/>
      <c r="AE12" s="133"/>
      <c r="AF12" s="133"/>
      <c r="AG12" s="147"/>
      <c r="AH12" s="147"/>
      <c r="AI12" s="147"/>
      <c r="AJ12" s="147"/>
      <c r="AK12" s="148"/>
      <c r="AX12" s="9"/>
      <c r="AY12" s="9"/>
      <c r="AZ12" s="9"/>
      <c r="BA12" s="5">
        <v>4</v>
      </c>
      <c r="BB12" s="4" t="s">
        <v>90</v>
      </c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2:64" ht="15.75" thickBot="1">
      <c r="AX13" s="9"/>
      <c r="AY13" s="9"/>
      <c r="AZ13" s="9"/>
      <c r="BA13" s="5">
        <v>5</v>
      </c>
      <c r="BB13" s="4" t="s">
        <v>91</v>
      </c>
      <c r="BC13" s="9"/>
      <c r="BD13" s="9"/>
      <c r="BE13" s="9"/>
      <c r="BF13" s="9"/>
      <c r="BG13" s="9"/>
      <c r="BH13" s="9"/>
      <c r="BI13" s="9"/>
      <c r="BJ13" s="9"/>
      <c r="BK13" s="9"/>
      <c r="BL13" s="9"/>
    </row>
    <row r="14" spans="2:64">
      <c r="B14" s="100" t="s">
        <v>68</v>
      </c>
      <c r="C14" s="101"/>
      <c r="D14" s="101"/>
      <c r="E14" s="101"/>
      <c r="F14" s="101"/>
      <c r="G14" s="101"/>
      <c r="H14" s="145">
        <v>12</v>
      </c>
      <c r="I14" s="145"/>
      <c r="J14" s="145"/>
      <c r="K14" s="145"/>
      <c r="L14" s="145"/>
      <c r="M14" s="145"/>
      <c r="N14" s="101" t="s">
        <v>44</v>
      </c>
      <c r="O14" s="101"/>
      <c r="P14" s="101"/>
      <c r="Q14" s="101"/>
      <c r="R14" s="101"/>
      <c r="S14" s="101"/>
      <c r="T14" s="145" t="s">
        <v>38</v>
      </c>
      <c r="U14" s="145"/>
      <c r="V14" s="145"/>
      <c r="W14" s="145"/>
      <c r="X14" s="145"/>
      <c r="Y14" s="145"/>
      <c r="Z14" s="101" t="s">
        <v>45</v>
      </c>
      <c r="AA14" s="101"/>
      <c r="AB14" s="101"/>
      <c r="AC14" s="101"/>
      <c r="AD14" s="101"/>
      <c r="AE14" s="101"/>
      <c r="AF14" s="135">
        <v>200</v>
      </c>
      <c r="AG14" s="135"/>
      <c r="AH14" s="135"/>
      <c r="AI14" s="135"/>
      <c r="AJ14" s="135"/>
      <c r="AK14" s="136"/>
      <c r="AX14" s="9"/>
      <c r="AY14" s="9"/>
      <c r="AZ14" s="9"/>
      <c r="BA14" s="5">
        <v>6</v>
      </c>
      <c r="BB14" s="4" t="s">
        <v>92</v>
      </c>
      <c r="BC14" s="9"/>
      <c r="BD14" s="9"/>
      <c r="BE14" s="9"/>
      <c r="BF14" s="9"/>
      <c r="BG14" s="9"/>
      <c r="BH14" s="9"/>
      <c r="BI14" s="9"/>
      <c r="BJ14" s="9"/>
      <c r="BK14" s="9"/>
      <c r="BL14" s="9"/>
    </row>
    <row r="15" spans="2:64" ht="15" customHeight="1" thickBot="1">
      <c r="B15" s="107"/>
      <c r="C15" s="108"/>
      <c r="D15" s="108"/>
      <c r="E15" s="108"/>
      <c r="F15" s="108"/>
      <c r="G15" s="108"/>
      <c r="H15" s="146"/>
      <c r="I15" s="146"/>
      <c r="J15" s="146"/>
      <c r="K15" s="146"/>
      <c r="L15" s="146"/>
      <c r="M15" s="146"/>
      <c r="N15" s="108"/>
      <c r="O15" s="108"/>
      <c r="P15" s="108"/>
      <c r="Q15" s="108"/>
      <c r="R15" s="108"/>
      <c r="S15" s="108"/>
      <c r="T15" s="146"/>
      <c r="U15" s="146"/>
      <c r="V15" s="146"/>
      <c r="W15" s="146"/>
      <c r="X15" s="146"/>
      <c r="Y15" s="146"/>
      <c r="Z15" s="108"/>
      <c r="AA15" s="108"/>
      <c r="AB15" s="108"/>
      <c r="AC15" s="108"/>
      <c r="AD15" s="108"/>
      <c r="AE15" s="108"/>
      <c r="AF15" s="137"/>
      <c r="AG15" s="137"/>
      <c r="AH15" s="137"/>
      <c r="AI15" s="137"/>
      <c r="AJ15" s="137"/>
      <c r="AK15" s="138"/>
      <c r="AX15" s="9"/>
      <c r="AY15" s="9"/>
      <c r="AZ15" s="9"/>
      <c r="BA15" s="5">
        <v>8</v>
      </c>
      <c r="BB15" s="4" t="s">
        <v>28</v>
      </c>
      <c r="BC15" s="9"/>
      <c r="BD15" s="9"/>
      <c r="BE15" s="9"/>
      <c r="BF15" s="9"/>
      <c r="BG15" s="9"/>
      <c r="BH15" s="9"/>
      <c r="BI15" s="9"/>
      <c r="BJ15" s="9"/>
      <c r="BK15" s="9"/>
      <c r="BL15" s="9"/>
    </row>
    <row r="16" spans="2:64" ht="15.75" thickBot="1">
      <c r="AX16" s="9"/>
      <c r="AY16" s="9"/>
      <c r="AZ16" s="9"/>
      <c r="BA16" s="5">
        <v>10</v>
      </c>
      <c r="BB16" s="4" t="s">
        <v>29</v>
      </c>
      <c r="BC16" s="9"/>
      <c r="BD16" s="9"/>
      <c r="BE16" s="9"/>
      <c r="BF16" s="9"/>
      <c r="BG16" s="9"/>
      <c r="BH16" s="9"/>
      <c r="BI16" s="9"/>
      <c r="BJ16" s="9"/>
      <c r="BK16" s="9"/>
      <c r="BL16" s="9"/>
    </row>
    <row r="17" spans="2:64" ht="15" customHeight="1">
      <c r="B17" s="100" t="s">
        <v>47</v>
      </c>
      <c r="C17" s="101"/>
      <c r="D17" s="101"/>
      <c r="E17" s="101"/>
      <c r="F17" s="101"/>
      <c r="G17" s="101"/>
      <c r="H17" s="118" t="str">
        <f>Scratch!B6</f>
        <v>A182 F53 UNS S32750</v>
      </c>
      <c r="I17" s="118"/>
      <c r="J17" s="118"/>
      <c r="K17" s="118"/>
      <c r="L17" s="118"/>
      <c r="M17" s="118"/>
      <c r="N17" s="101" t="s">
        <v>71</v>
      </c>
      <c r="O17" s="101"/>
      <c r="P17" s="101"/>
      <c r="Q17" s="101"/>
      <c r="R17" s="101"/>
      <c r="S17" s="101"/>
      <c r="T17" s="118">
        <f>Scratch!B8</f>
        <v>2.8</v>
      </c>
      <c r="U17" s="118"/>
      <c r="V17" s="118"/>
      <c r="W17" s="118"/>
      <c r="X17" s="118"/>
      <c r="Y17" s="118"/>
      <c r="Z17" s="101" t="s">
        <v>46</v>
      </c>
      <c r="AA17" s="101"/>
      <c r="AB17" s="101"/>
      <c r="AC17" s="101"/>
      <c r="AD17" s="101"/>
      <c r="AE17" s="101"/>
      <c r="AF17" s="118" t="str">
        <f>Scratch!B7</f>
        <v>2500#</v>
      </c>
      <c r="AG17" s="118"/>
      <c r="AH17" s="118"/>
      <c r="AI17" s="118"/>
      <c r="AJ17" s="118"/>
      <c r="AK17" s="119"/>
      <c r="AX17" s="9"/>
      <c r="AY17" s="9"/>
      <c r="AZ17" s="9"/>
      <c r="BA17" s="5">
        <v>12</v>
      </c>
      <c r="BB17" s="4" t="s">
        <v>30</v>
      </c>
      <c r="BC17" s="9"/>
      <c r="BD17" s="9"/>
      <c r="BE17" s="9"/>
      <c r="BF17" s="9"/>
      <c r="BG17" s="9"/>
      <c r="BH17" s="9"/>
      <c r="BI17" s="9"/>
      <c r="BJ17" s="9"/>
      <c r="BK17" s="9"/>
      <c r="BL17" s="9"/>
    </row>
    <row r="18" spans="2:64">
      <c r="B18" s="98"/>
      <c r="C18" s="99"/>
      <c r="D18" s="99"/>
      <c r="E18" s="99"/>
      <c r="F18" s="99"/>
      <c r="G18" s="99"/>
      <c r="H18" s="120"/>
      <c r="I18" s="120"/>
      <c r="J18" s="120"/>
      <c r="K18" s="120"/>
      <c r="L18" s="120"/>
      <c r="M18" s="120"/>
      <c r="N18" s="99"/>
      <c r="O18" s="99"/>
      <c r="P18" s="99"/>
      <c r="Q18" s="99"/>
      <c r="R18" s="99"/>
      <c r="S18" s="99"/>
      <c r="T18" s="120"/>
      <c r="U18" s="120"/>
      <c r="V18" s="120"/>
      <c r="W18" s="120"/>
      <c r="X18" s="120"/>
      <c r="Y18" s="120"/>
      <c r="Z18" s="99"/>
      <c r="AA18" s="99"/>
      <c r="AB18" s="99"/>
      <c r="AC18" s="99"/>
      <c r="AD18" s="99"/>
      <c r="AE18" s="99"/>
      <c r="AF18" s="120"/>
      <c r="AG18" s="120"/>
      <c r="AH18" s="120"/>
      <c r="AI18" s="120"/>
      <c r="AJ18" s="120"/>
      <c r="AK18" s="121"/>
      <c r="AX18" s="9"/>
      <c r="AY18" s="9"/>
      <c r="AZ18" s="9"/>
      <c r="BA18" s="5">
        <v>14</v>
      </c>
      <c r="BB18" s="4" t="s">
        <v>31</v>
      </c>
      <c r="BC18" s="9"/>
      <c r="BD18" s="9"/>
      <c r="BE18" s="9"/>
      <c r="BF18" s="9"/>
      <c r="BG18" s="9"/>
      <c r="BH18" s="9"/>
      <c r="BI18" s="9"/>
      <c r="BJ18" s="9"/>
      <c r="BK18" s="9"/>
      <c r="BL18" s="9"/>
    </row>
    <row r="19" spans="2:64" ht="15" customHeight="1">
      <c r="B19" s="98" t="s">
        <v>3</v>
      </c>
      <c r="C19" s="99"/>
      <c r="D19" s="99"/>
      <c r="E19" s="99"/>
      <c r="F19" s="99"/>
      <c r="G19" s="99"/>
      <c r="H19" s="122">
        <f>Scratch!B11</f>
        <v>619.1</v>
      </c>
      <c r="I19" s="122"/>
      <c r="J19" s="122"/>
      <c r="K19" s="122"/>
      <c r="L19" s="122"/>
      <c r="M19" s="122"/>
      <c r="N19" s="99" t="s">
        <v>4</v>
      </c>
      <c r="O19" s="99"/>
      <c r="P19" s="99"/>
      <c r="Q19" s="99"/>
      <c r="R19" s="99"/>
      <c r="S19" s="99"/>
      <c r="T19" s="120">
        <f>Scratch!B12</f>
        <v>12</v>
      </c>
      <c r="U19" s="120"/>
      <c r="V19" s="120"/>
      <c r="W19" s="120"/>
      <c r="X19" s="120"/>
      <c r="Y19" s="120"/>
      <c r="Z19" s="99" t="s">
        <v>57</v>
      </c>
      <c r="AA19" s="99"/>
      <c r="AB19" s="99"/>
      <c r="AC19" s="99"/>
      <c r="AD19" s="99"/>
      <c r="AE19" s="99"/>
      <c r="AF19" s="103">
        <f>Scratch!B13</f>
        <v>2.75</v>
      </c>
      <c r="AG19" s="103"/>
      <c r="AH19" s="103"/>
      <c r="AI19" s="103"/>
      <c r="AJ19" s="103"/>
      <c r="AK19" s="104"/>
      <c r="AX19" s="9"/>
      <c r="AY19" s="9"/>
      <c r="AZ19" s="9"/>
      <c r="BA19" s="5">
        <v>16</v>
      </c>
      <c r="BB19" s="4" t="s">
        <v>93</v>
      </c>
      <c r="BC19" s="9"/>
      <c r="BD19" s="9"/>
      <c r="BE19" s="9"/>
      <c r="BF19" s="9"/>
      <c r="BG19" s="9"/>
      <c r="BH19" s="9"/>
      <c r="BI19" s="9"/>
      <c r="BJ19" s="9"/>
      <c r="BK19" s="9"/>
      <c r="BL19" s="9"/>
    </row>
    <row r="20" spans="2:64">
      <c r="B20" s="98"/>
      <c r="C20" s="99"/>
      <c r="D20" s="99"/>
      <c r="E20" s="99"/>
      <c r="F20" s="99"/>
      <c r="G20" s="99"/>
      <c r="H20" s="122"/>
      <c r="I20" s="122"/>
      <c r="J20" s="122"/>
      <c r="K20" s="122"/>
      <c r="L20" s="122"/>
      <c r="M20" s="122"/>
      <c r="N20" s="99"/>
      <c r="O20" s="99"/>
      <c r="P20" s="99"/>
      <c r="Q20" s="99"/>
      <c r="R20" s="99"/>
      <c r="S20" s="99"/>
      <c r="T20" s="120"/>
      <c r="U20" s="120"/>
      <c r="V20" s="120"/>
      <c r="W20" s="120"/>
      <c r="X20" s="120"/>
      <c r="Y20" s="120"/>
      <c r="Z20" s="99"/>
      <c r="AA20" s="99"/>
      <c r="AB20" s="99"/>
      <c r="AC20" s="99"/>
      <c r="AD20" s="99"/>
      <c r="AE20" s="99"/>
      <c r="AF20" s="103"/>
      <c r="AG20" s="103"/>
      <c r="AH20" s="103"/>
      <c r="AI20" s="103"/>
      <c r="AJ20" s="103"/>
      <c r="AK20" s="104"/>
      <c r="AX20" s="9"/>
      <c r="AY20" s="9"/>
      <c r="AZ20" s="9"/>
      <c r="BA20" s="5">
        <v>18</v>
      </c>
      <c r="BB20" s="4" t="s">
        <v>94</v>
      </c>
      <c r="BC20" s="9"/>
      <c r="BD20" s="9"/>
      <c r="BE20" s="9"/>
      <c r="BF20" s="9"/>
      <c r="BG20" s="9"/>
      <c r="BH20" s="9"/>
      <c r="BI20" s="9"/>
      <c r="BJ20" s="9"/>
      <c r="BK20" s="9"/>
      <c r="BL20" s="9"/>
    </row>
    <row r="21" spans="2:64">
      <c r="B21" s="98" t="s">
        <v>75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7">
        <f>Scratch!B18</f>
        <v>552</v>
      </c>
      <c r="U21" s="97"/>
      <c r="V21" s="97"/>
      <c r="W21" s="97"/>
      <c r="X21" s="97"/>
      <c r="Y21" s="97"/>
      <c r="Z21" s="99" t="s">
        <v>48</v>
      </c>
      <c r="AA21" s="99"/>
      <c r="AB21" s="99"/>
      <c r="AC21" s="99"/>
      <c r="AD21" s="99"/>
      <c r="AE21" s="99"/>
      <c r="AF21" s="105">
        <f>Scratch!B16</f>
        <v>35767.670400000003</v>
      </c>
      <c r="AG21" s="105"/>
      <c r="AH21" s="105"/>
      <c r="AI21" s="105"/>
      <c r="AJ21" s="105"/>
      <c r="AK21" s="106"/>
      <c r="AX21" s="9"/>
      <c r="AY21" s="9"/>
      <c r="AZ21" s="9"/>
      <c r="BA21" s="5">
        <v>20</v>
      </c>
      <c r="BB21" s="4" t="s">
        <v>95</v>
      </c>
      <c r="BC21" s="9"/>
      <c r="BD21" s="9"/>
      <c r="BE21" s="9"/>
      <c r="BF21" s="9"/>
      <c r="BG21" s="9"/>
      <c r="BH21" s="9"/>
      <c r="BI21" s="9"/>
      <c r="BJ21" s="9"/>
      <c r="BK21" s="9"/>
      <c r="BL21" s="9"/>
    </row>
    <row r="22" spans="2:64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7"/>
      <c r="U22" s="97"/>
      <c r="V22" s="97"/>
      <c r="W22" s="97"/>
      <c r="X22" s="97"/>
      <c r="Y22" s="97"/>
      <c r="Z22" s="99"/>
      <c r="AA22" s="99"/>
      <c r="AB22" s="99"/>
      <c r="AC22" s="99"/>
      <c r="AD22" s="99"/>
      <c r="AE22" s="99"/>
      <c r="AF22" s="105"/>
      <c r="AG22" s="105"/>
      <c r="AH22" s="105"/>
      <c r="AI22" s="105"/>
      <c r="AJ22" s="105"/>
      <c r="AK22" s="106"/>
      <c r="AL22" s="7"/>
      <c r="AM22" s="7"/>
      <c r="AN22" s="7"/>
      <c r="AX22" s="9"/>
      <c r="AY22" s="9"/>
      <c r="AZ22" s="9"/>
      <c r="BA22" s="5">
        <v>24</v>
      </c>
      <c r="BB22" s="4" t="s">
        <v>112</v>
      </c>
      <c r="BC22" s="9"/>
      <c r="BD22" s="9"/>
      <c r="BE22" s="9"/>
      <c r="BF22" s="9"/>
      <c r="BG22" s="9"/>
      <c r="BH22" s="9"/>
      <c r="BI22" s="9"/>
      <c r="BJ22" s="9"/>
      <c r="BK22" s="9"/>
      <c r="BL22" s="9"/>
    </row>
    <row r="23" spans="2:64">
      <c r="B23" s="98" t="s">
        <v>76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7">
        <f ca="1">Scratch!B28</f>
        <v>420</v>
      </c>
      <c r="U23" s="97"/>
      <c r="V23" s="97"/>
      <c r="W23" s="97"/>
      <c r="X23" s="97"/>
      <c r="Y23" s="97"/>
      <c r="Z23" s="99" t="s">
        <v>56</v>
      </c>
      <c r="AA23" s="99"/>
      <c r="AB23" s="99"/>
      <c r="AC23" s="99"/>
      <c r="AD23" s="99"/>
      <c r="AE23" s="99"/>
      <c r="AF23" s="113">
        <f ca="1">Scratch!B31</f>
        <v>1</v>
      </c>
      <c r="AG23" s="113"/>
      <c r="AH23" s="113"/>
      <c r="AI23" s="113"/>
      <c r="AJ23" s="113"/>
      <c r="AK23" s="114"/>
      <c r="AX23" s="9"/>
      <c r="AY23" s="9"/>
      <c r="AZ23" s="9"/>
      <c r="BB23" s="4" t="s">
        <v>96</v>
      </c>
      <c r="BC23" s="9"/>
      <c r="BD23" s="9"/>
      <c r="BE23" s="9"/>
      <c r="BF23" s="9"/>
      <c r="BG23" s="9"/>
      <c r="BH23" s="9"/>
      <c r="BI23" s="9"/>
      <c r="BJ23" s="9"/>
      <c r="BK23" s="9"/>
      <c r="BL23" s="9"/>
    </row>
    <row r="24" spans="2:64" ht="15.75" thickBot="1"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17"/>
      <c r="U24" s="117"/>
      <c r="V24" s="117"/>
      <c r="W24" s="117"/>
      <c r="X24" s="117"/>
      <c r="Y24" s="117"/>
      <c r="Z24" s="108"/>
      <c r="AA24" s="108"/>
      <c r="AB24" s="108"/>
      <c r="AC24" s="108"/>
      <c r="AD24" s="108"/>
      <c r="AE24" s="108"/>
      <c r="AF24" s="115"/>
      <c r="AG24" s="115"/>
      <c r="AH24" s="115"/>
      <c r="AI24" s="115"/>
      <c r="AJ24" s="115"/>
      <c r="AK24" s="116"/>
      <c r="AX24" s="9"/>
      <c r="AY24" s="9"/>
      <c r="AZ24" s="9"/>
      <c r="BB24" s="4" t="s">
        <v>97</v>
      </c>
      <c r="BC24" s="9"/>
      <c r="BD24" s="9"/>
      <c r="BE24" s="9"/>
      <c r="BF24" s="9"/>
      <c r="BG24" s="9"/>
      <c r="BH24" s="9"/>
      <c r="BI24" s="9"/>
      <c r="BJ24" s="9"/>
      <c r="BK24" s="9"/>
      <c r="BL24" s="9"/>
    </row>
    <row r="25" spans="2:64" ht="15.75" thickBo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X25" s="9"/>
      <c r="AY25" s="9"/>
      <c r="AZ25" s="9"/>
      <c r="BB25" s="4" t="s">
        <v>32</v>
      </c>
      <c r="BC25" s="9"/>
      <c r="BD25" s="9"/>
      <c r="BE25" s="9"/>
      <c r="BF25" s="9"/>
      <c r="BG25" s="9"/>
      <c r="BH25" s="9"/>
      <c r="BI25" s="9"/>
      <c r="BJ25" s="9"/>
      <c r="BK25" s="9"/>
      <c r="BL25" s="9"/>
    </row>
    <row r="26" spans="2:64">
      <c r="B26" s="100" t="s">
        <v>72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9">
        <f ca="1">Scratch!B34</f>
        <v>480519.69495868799</v>
      </c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10"/>
      <c r="AX26" s="9"/>
      <c r="AY26" s="9"/>
      <c r="AZ26" s="9"/>
      <c r="BB26" s="4" t="s">
        <v>33</v>
      </c>
      <c r="BC26" s="9"/>
      <c r="BD26" s="9"/>
      <c r="BE26" s="9"/>
      <c r="BF26" s="9"/>
      <c r="BG26" s="9"/>
      <c r="BH26" s="9"/>
      <c r="BI26" s="9"/>
      <c r="BJ26" s="9"/>
      <c r="BK26" s="9"/>
      <c r="BL26" s="9"/>
    </row>
    <row r="27" spans="2:64" ht="15.75" thickBot="1"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2"/>
      <c r="AX27" s="9"/>
      <c r="AY27" s="9"/>
      <c r="AZ27" s="9"/>
      <c r="BB27" s="4" t="s">
        <v>98</v>
      </c>
      <c r="BD27" s="9"/>
      <c r="BE27" s="9"/>
      <c r="BF27" s="9"/>
      <c r="BG27" s="9"/>
      <c r="BH27" s="9"/>
      <c r="BI27" s="9"/>
      <c r="BJ27" s="9"/>
      <c r="BK27" s="9"/>
      <c r="BL27" s="9"/>
    </row>
    <row r="28" spans="2:64">
      <c r="AX28" s="9"/>
      <c r="AY28" s="9"/>
      <c r="AZ28" s="9"/>
      <c r="BB28" s="4" t="s">
        <v>111</v>
      </c>
      <c r="BC28" s="9"/>
      <c r="BD28" s="9"/>
      <c r="BE28" s="9"/>
      <c r="BF28" s="9"/>
      <c r="BG28" s="9"/>
      <c r="BH28" s="9"/>
      <c r="BI28" s="9"/>
      <c r="BJ28" s="9"/>
      <c r="BK28" s="9"/>
      <c r="BL28" s="9"/>
    </row>
    <row r="29" spans="2:64">
      <c r="B29" s="102" t="str">
        <f>Scratch!B37</f>
        <v/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X29" s="9"/>
      <c r="AY29" s="9"/>
      <c r="AZ29" s="9"/>
      <c r="BB29" s="4" t="s">
        <v>34</v>
      </c>
      <c r="BC29" s="9"/>
      <c r="BD29" s="9"/>
      <c r="BE29" s="9"/>
      <c r="BF29" s="9"/>
      <c r="BG29" s="9"/>
      <c r="BH29" s="9"/>
      <c r="BI29" s="9"/>
      <c r="BJ29" s="9"/>
      <c r="BK29" s="9"/>
      <c r="BL29" s="9"/>
    </row>
    <row r="30" spans="2:64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X30" s="9"/>
      <c r="AY30" s="9"/>
      <c r="AZ30" s="9"/>
      <c r="BB30" s="4" t="s">
        <v>99</v>
      </c>
      <c r="BC30" s="9"/>
      <c r="BD30" s="9"/>
      <c r="BE30" s="9"/>
      <c r="BF30" s="9"/>
      <c r="BG30" s="9"/>
      <c r="BH30" s="9"/>
      <c r="BI30" s="9"/>
      <c r="BJ30" s="9"/>
      <c r="BK30" s="9"/>
      <c r="BL30" s="9"/>
    </row>
    <row r="31" spans="2:64">
      <c r="AX31" s="9"/>
      <c r="AY31" s="9"/>
      <c r="AZ31" s="9"/>
      <c r="BB31" s="4" t="s">
        <v>113</v>
      </c>
      <c r="BC31" s="9"/>
      <c r="BD31" s="9"/>
      <c r="BE31" s="9"/>
      <c r="BF31" s="9"/>
      <c r="BG31" s="9"/>
      <c r="BH31" s="9"/>
      <c r="BI31" s="9"/>
      <c r="BJ31" s="9"/>
      <c r="BK31" s="9"/>
      <c r="BL31" s="9"/>
    </row>
    <row r="32" spans="2:64">
      <c r="AX32" s="9"/>
      <c r="AY32" s="9"/>
      <c r="AZ32" s="9"/>
      <c r="BB32" s="4" t="s">
        <v>35</v>
      </c>
      <c r="BC32" s="9"/>
      <c r="BD32" s="9"/>
      <c r="BE32" s="9"/>
      <c r="BF32" s="9"/>
      <c r="BG32" s="9"/>
      <c r="BH32" s="9"/>
      <c r="BI32" s="9"/>
      <c r="BJ32" s="9"/>
      <c r="BK32" s="9"/>
      <c r="BL32" s="9"/>
    </row>
    <row r="33" spans="50:64">
      <c r="AX33" s="9"/>
      <c r="AY33" s="9"/>
      <c r="AZ33" s="9"/>
      <c r="BB33" s="4" t="s">
        <v>36</v>
      </c>
      <c r="BC33" s="9"/>
      <c r="BD33" s="9"/>
      <c r="BE33" s="9"/>
      <c r="BF33" s="9"/>
      <c r="BG33" s="9"/>
      <c r="BH33" s="9"/>
      <c r="BI33" s="9"/>
      <c r="BJ33" s="9"/>
      <c r="BK33" s="9"/>
      <c r="BL33" s="9"/>
    </row>
    <row r="34" spans="50:64">
      <c r="AX34" s="9"/>
      <c r="AY34" s="9"/>
      <c r="AZ34" s="9"/>
      <c r="BB34" s="4" t="s">
        <v>100</v>
      </c>
      <c r="BC34" s="9"/>
      <c r="BD34" s="9"/>
      <c r="BE34" s="9"/>
      <c r="BF34" s="9"/>
      <c r="BG34" s="9"/>
      <c r="BH34" s="9"/>
      <c r="BI34" s="9"/>
      <c r="BJ34" s="9"/>
      <c r="BK34" s="9"/>
      <c r="BL34" s="9"/>
    </row>
    <row r="35" spans="50:64">
      <c r="AX35" s="9"/>
      <c r="AY35" s="9"/>
      <c r="AZ35" s="9"/>
      <c r="BB35" s="4" t="s">
        <v>37</v>
      </c>
      <c r="BC35" s="9"/>
      <c r="BD35" s="9"/>
      <c r="BE35" s="9"/>
      <c r="BF35" s="9"/>
      <c r="BG35" s="9"/>
      <c r="BH35" s="9"/>
      <c r="BI35" s="9"/>
      <c r="BJ35" s="9"/>
      <c r="BK35" s="9"/>
      <c r="BL35" s="9"/>
    </row>
    <row r="36" spans="50:64">
      <c r="AX36" s="9"/>
      <c r="AY36" s="9"/>
      <c r="AZ36" s="9"/>
      <c r="BB36" s="4" t="s">
        <v>114</v>
      </c>
      <c r="BC36" s="9"/>
      <c r="BD36" s="9"/>
      <c r="BE36" s="9"/>
      <c r="BF36" s="9"/>
      <c r="BG36" s="9"/>
      <c r="BH36" s="9"/>
      <c r="BI36" s="9"/>
      <c r="BJ36" s="9"/>
      <c r="BK36" s="9"/>
      <c r="BL36" s="9"/>
    </row>
    <row r="37" spans="50:64">
      <c r="AX37" s="9"/>
      <c r="AY37" s="9"/>
      <c r="AZ37" s="9"/>
      <c r="BB37" s="4" t="s">
        <v>38</v>
      </c>
      <c r="BC37" s="9"/>
      <c r="BD37" s="9"/>
      <c r="BE37" s="9"/>
      <c r="BF37" s="9"/>
      <c r="BG37" s="9"/>
      <c r="BH37" s="9"/>
      <c r="BI37" s="9"/>
      <c r="BJ37" s="9"/>
      <c r="BK37" s="9"/>
      <c r="BL37" s="9"/>
    </row>
    <row r="38" spans="50:64">
      <c r="AX38" s="9"/>
      <c r="AY38" s="9"/>
      <c r="AZ38" s="9"/>
      <c r="BB38" s="4" t="s">
        <v>115</v>
      </c>
      <c r="BC38" s="9"/>
      <c r="BD38" s="9"/>
      <c r="BE38" s="9"/>
      <c r="BF38" s="9"/>
      <c r="BG38" s="9"/>
      <c r="BH38" s="9"/>
      <c r="BI38" s="9"/>
      <c r="BJ38" s="9"/>
      <c r="BK38" s="9"/>
      <c r="BL38" s="9"/>
    </row>
    <row r="39" spans="50:64">
      <c r="AX39" s="9"/>
      <c r="AY39" s="9"/>
      <c r="AZ39" s="9"/>
      <c r="BB39" s="4" t="s">
        <v>101</v>
      </c>
      <c r="BC39" s="9"/>
      <c r="BD39" s="9"/>
      <c r="BE39" s="9"/>
      <c r="BF39" s="9"/>
      <c r="BG39" s="9"/>
      <c r="BH39" s="9"/>
      <c r="BI39" s="9"/>
      <c r="BJ39" s="9"/>
      <c r="BK39" s="9"/>
      <c r="BL39" s="9"/>
    </row>
    <row r="40" spans="50:64">
      <c r="BB40" s="4" t="s">
        <v>102</v>
      </c>
    </row>
  </sheetData>
  <sheetProtection selectLockedCells="1"/>
  <mergeCells count="44">
    <mergeCell ref="J11:Q12"/>
    <mergeCell ref="R11:V12"/>
    <mergeCell ref="W11:AA12"/>
    <mergeCell ref="AB11:AF12"/>
    <mergeCell ref="AG11:AK12"/>
    <mergeCell ref="B2:AK3"/>
    <mergeCell ref="B4:AK5"/>
    <mergeCell ref="B6:AK7"/>
    <mergeCell ref="AF14:AK15"/>
    <mergeCell ref="J9:Q10"/>
    <mergeCell ref="B9:I10"/>
    <mergeCell ref="W9:AA10"/>
    <mergeCell ref="R9:V10"/>
    <mergeCell ref="AB9:AF10"/>
    <mergeCell ref="AG9:AK10"/>
    <mergeCell ref="B14:G15"/>
    <mergeCell ref="H14:M15"/>
    <mergeCell ref="N14:S15"/>
    <mergeCell ref="T14:Y15"/>
    <mergeCell ref="Z14:AE15"/>
    <mergeCell ref="B11:I12"/>
    <mergeCell ref="B19:G20"/>
    <mergeCell ref="H19:M20"/>
    <mergeCell ref="N19:S20"/>
    <mergeCell ref="T19:Y20"/>
    <mergeCell ref="H17:M18"/>
    <mergeCell ref="N17:S18"/>
    <mergeCell ref="T17:Y18"/>
    <mergeCell ref="T21:Y22"/>
    <mergeCell ref="B21:S22"/>
    <mergeCell ref="B17:G18"/>
    <mergeCell ref="B29:AK30"/>
    <mergeCell ref="Z19:AE20"/>
    <mergeCell ref="AF19:AK20"/>
    <mergeCell ref="Z21:AE22"/>
    <mergeCell ref="AF21:AK22"/>
    <mergeCell ref="B26:Y27"/>
    <mergeCell ref="Z26:AK27"/>
    <mergeCell ref="Z23:AE24"/>
    <mergeCell ref="AF23:AK24"/>
    <mergeCell ref="B23:S24"/>
    <mergeCell ref="T23:Y24"/>
    <mergeCell ref="Z17:AE18"/>
    <mergeCell ref="AF17:AK18"/>
  </mergeCells>
  <dataValidations count="2">
    <dataValidation type="list" allowBlank="1" showInputMessage="1" showErrorMessage="1" sqref="H14:M15">
      <formula1>$BA$3:$BA$22</formula1>
    </dataValidation>
    <dataValidation type="list" allowBlank="1" showInputMessage="1" showErrorMessage="1" sqref="T14:Y15">
      <formula1>$BB$3:$BB$40</formula1>
    </dataValidation>
  </dataValidation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J37"/>
  <sheetViews>
    <sheetView workbookViewId="0">
      <selection activeCell="A49" sqref="A49"/>
    </sheetView>
  </sheetViews>
  <sheetFormatPr defaultRowHeight="15"/>
  <cols>
    <col min="1" max="1" width="17.28515625" bestFit="1" customWidth="1"/>
  </cols>
  <sheetData>
    <row r="1" spans="1:10">
      <c r="I1">
        <v>-200</v>
      </c>
      <c r="J1">
        <v>0</v>
      </c>
    </row>
    <row r="2" spans="1:10">
      <c r="A2" s="2" t="s">
        <v>43</v>
      </c>
      <c r="B2">
        <f>'NC-3658.3'!H14</f>
        <v>12</v>
      </c>
      <c r="F2" t="s">
        <v>1</v>
      </c>
      <c r="G2">
        <v>0</v>
      </c>
      <c r="I2">
        <v>-30</v>
      </c>
      <c r="J2">
        <v>1</v>
      </c>
    </row>
    <row r="3" spans="1:10">
      <c r="A3" s="2" t="s">
        <v>25</v>
      </c>
      <c r="B3" t="str">
        <f>'NC-3658.3'!T14</f>
        <v>S25B</v>
      </c>
      <c r="F3" t="s">
        <v>13</v>
      </c>
      <c r="G3">
        <v>3</v>
      </c>
      <c r="I3">
        <v>40</v>
      </c>
      <c r="J3">
        <v>2</v>
      </c>
    </row>
    <row r="4" spans="1:10">
      <c r="A4" s="2" t="s">
        <v>50</v>
      </c>
      <c r="B4">
        <f>'NC-3658.3'!AF14</f>
        <v>200</v>
      </c>
      <c r="F4" t="s">
        <v>14</v>
      </c>
      <c r="G4">
        <v>6</v>
      </c>
      <c r="I4">
        <v>65</v>
      </c>
      <c r="J4">
        <v>3</v>
      </c>
    </row>
    <row r="5" spans="1:10">
      <c r="A5" s="2"/>
      <c r="F5" t="s">
        <v>103</v>
      </c>
      <c r="G5">
        <v>9</v>
      </c>
      <c r="I5">
        <v>100</v>
      </c>
      <c r="J5">
        <v>4</v>
      </c>
    </row>
    <row r="6" spans="1:10">
      <c r="A6" s="2" t="s">
        <v>23</v>
      </c>
      <c r="B6" t="str">
        <f>VLOOKUP(B3,'Spec Data'!A2:B39,2,FALSE)</f>
        <v>A182 F53 UNS S32750</v>
      </c>
      <c r="F6" t="s">
        <v>15</v>
      </c>
      <c r="G6">
        <v>12</v>
      </c>
      <c r="I6">
        <v>125</v>
      </c>
      <c r="J6">
        <v>5</v>
      </c>
    </row>
    <row r="7" spans="1:10">
      <c r="A7" s="2" t="s">
        <v>26</v>
      </c>
      <c r="B7" t="str">
        <f>VLOOKUP(B3,'Spec Data'!A2:C39,3,FALSE)</f>
        <v>2500#</v>
      </c>
      <c r="F7" t="s">
        <v>16</v>
      </c>
      <c r="G7">
        <v>15</v>
      </c>
      <c r="I7">
        <v>150</v>
      </c>
      <c r="J7">
        <v>6</v>
      </c>
    </row>
    <row r="8" spans="1:10">
      <c r="A8" s="6" t="s">
        <v>69</v>
      </c>
      <c r="B8">
        <f>VLOOKUP(B3,'Spec Data'!A2:E39,5,FALSE)</f>
        <v>2.8</v>
      </c>
      <c r="I8">
        <v>175</v>
      </c>
      <c r="J8">
        <v>7</v>
      </c>
    </row>
    <row r="9" spans="1:10">
      <c r="A9" s="2"/>
      <c r="I9">
        <v>200</v>
      </c>
      <c r="J9">
        <v>8</v>
      </c>
    </row>
    <row r="10" spans="1:10">
      <c r="A10" s="2" t="s">
        <v>54</v>
      </c>
      <c r="B10">
        <f>VLOOKUP(B7,F2:G7,2,FALSE)</f>
        <v>15</v>
      </c>
      <c r="I10">
        <v>225</v>
      </c>
      <c r="J10">
        <v>9</v>
      </c>
    </row>
    <row r="11" spans="1:10">
      <c r="A11" s="2" t="s">
        <v>2</v>
      </c>
      <c r="B11">
        <f>VLOOKUP(B2,'Flange Data'!A4:S23,B10+2,FALSE)</f>
        <v>619.1</v>
      </c>
      <c r="I11">
        <v>250</v>
      </c>
      <c r="J11">
        <v>10</v>
      </c>
    </row>
    <row r="12" spans="1:10">
      <c r="A12" s="2" t="s">
        <v>4</v>
      </c>
      <c r="B12">
        <f>VLOOKUP(B2,'Flange Data'!A4:S23,B10+3,FALSE)</f>
        <v>12</v>
      </c>
      <c r="I12">
        <v>275</v>
      </c>
      <c r="J12">
        <v>11</v>
      </c>
    </row>
    <row r="13" spans="1:10">
      <c r="A13" s="2" t="s">
        <v>5</v>
      </c>
      <c r="B13">
        <f>VLOOKUP(B2,'Flange Data'!A4:S23,B10+4,FALSE)</f>
        <v>2.75</v>
      </c>
      <c r="I13">
        <v>300</v>
      </c>
      <c r="J13">
        <v>12</v>
      </c>
    </row>
    <row r="14" spans="1:10">
      <c r="A14" s="2"/>
      <c r="I14">
        <v>325</v>
      </c>
      <c r="J14">
        <v>13</v>
      </c>
    </row>
    <row r="15" spans="1:10">
      <c r="A15" s="2" t="s">
        <v>51</v>
      </c>
      <c r="B15">
        <f>VLOOKUP(B13,'Bolt Data'!A4:C27,3,FALSE)</f>
        <v>2980.6392000000001</v>
      </c>
      <c r="I15">
        <v>350</v>
      </c>
      <c r="J15">
        <v>14</v>
      </c>
    </row>
    <row r="16" spans="1:10">
      <c r="A16" s="2" t="s">
        <v>48</v>
      </c>
      <c r="B16">
        <f>B15*B12</f>
        <v>35767.670400000003</v>
      </c>
      <c r="I16">
        <v>375</v>
      </c>
      <c r="J16">
        <v>15</v>
      </c>
    </row>
    <row r="17" spans="1:10">
      <c r="A17" s="6"/>
      <c r="I17">
        <v>400</v>
      </c>
      <c r="J17">
        <v>16</v>
      </c>
    </row>
    <row r="18" spans="1:10">
      <c r="A18" s="6" t="s">
        <v>70</v>
      </c>
      <c r="B18">
        <f>VLOOKUP(B6,'Material Data'!A3:V8,2,FALSE)</f>
        <v>552</v>
      </c>
      <c r="I18">
        <v>425</v>
      </c>
      <c r="J18">
        <v>17</v>
      </c>
    </row>
    <row r="19" spans="1:10">
      <c r="A19" s="2"/>
      <c r="I19">
        <v>450</v>
      </c>
      <c r="J19">
        <v>18</v>
      </c>
    </row>
    <row r="20" spans="1:10">
      <c r="A20" s="2" t="s">
        <v>58</v>
      </c>
      <c r="B20">
        <f>VLOOKUP(B4,I1:J22,2,TRUE)</f>
        <v>8</v>
      </c>
      <c r="I20">
        <v>475</v>
      </c>
      <c r="J20">
        <v>19</v>
      </c>
    </row>
    <row r="21" spans="1:10">
      <c r="A21" s="2" t="s">
        <v>59</v>
      </c>
      <c r="B21">
        <f>B20+1</f>
        <v>9</v>
      </c>
      <c r="I21">
        <v>500</v>
      </c>
      <c r="J21">
        <v>20</v>
      </c>
    </row>
    <row r="22" spans="1:10">
      <c r="A22" s="2" t="s">
        <v>60</v>
      </c>
      <c r="B22">
        <f ca="1">OFFSET(I1,B20,0)</f>
        <v>200</v>
      </c>
      <c r="I22">
        <v>525</v>
      </c>
      <c r="J22">
        <v>21</v>
      </c>
    </row>
    <row r="23" spans="1:10">
      <c r="A23" s="2" t="s">
        <v>52</v>
      </c>
      <c r="B23">
        <f ca="1">B4-B22</f>
        <v>0</v>
      </c>
    </row>
    <row r="24" spans="1:10">
      <c r="A24" s="2" t="s">
        <v>61</v>
      </c>
      <c r="B24">
        <f ca="1">OFFSET(I1,B21,0)-OFFSET(I1,B20,0)</f>
        <v>25</v>
      </c>
    </row>
    <row r="25" spans="1:10">
      <c r="A25" s="2"/>
    </row>
    <row r="26" spans="1:10">
      <c r="A26" s="2" t="s">
        <v>62</v>
      </c>
      <c r="B26">
        <f>VLOOKUP(B6,'Material Data'!A3:V8,B20+1,FALSE)</f>
        <v>420</v>
      </c>
    </row>
    <row r="27" spans="1:10">
      <c r="A27" s="2" t="s">
        <v>63</v>
      </c>
      <c r="B27">
        <f>VLOOKUP(B6,'Material Data'!A3:V8,B21+1,FALSE)</f>
        <v>411</v>
      </c>
    </row>
    <row r="28" spans="1:10">
      <c r="A28" s="2" t="s">
        <v>64</v>
      </c>
      <c r="B28">
        <f ca="1">IF(B20=0,B27,B26-(B23/B24)*(B26-B27))</f>
        <v>420</v>
      </c>
    </row>
    <row r="29" spans="1:10">
      <c r="A29" s="2"/>
    </row>
    <row r="30" spans="1:10">
      <c r="A30" s="2" t="s">
        <v>55</v>
      </c>
      <c r="B30">
        <f ca="1">B28/250</f>
        <v>1.68</v>
      </c>
    </row>
    <row r="31" spans="1:10">
      <c r="A31" s="2" t="s">
        <v>53</v>
      </c>
      <c r="B31">
        <f ca="1">IF(B30&gt;1,1,B30)</f>
        <v>1</v>
      </c>
    </row>
    <row r="32" spans="1:10">
      <c r="A32" s="2"/>
    </row>
    <row r="33" spans="1:2">
      <c r="A33" s="2" t="s">
        <v>65</v>
      </c>
      <c r="B33">
        <f ca="1">21.7*B31*B11*B16</f>
        <v>480519694.95868802</v>
      </c>
    </row>
    <row r="34" spans="1:2">
      <c r="A34" s="2" t="s">
        <v>66</v>
      </c>
      <c r="B34">
        <f ca="1">B33/1000</f>
        <v>480519.69495868799</v>
      </c>
    </row>
    <row r="35" spans="1:2">
      <c r="A35" s="2"/>
    </row>
    <row r="36" spans="1:2">
      <c r="A36" s="2" t="s">
        <v>27</v>
      </c>
      <c r="B36">
        <f>VLOOKUP(B3,'Spec Data'!A2:D39,4,FALSE)</f>
        <v>0</v>
      </c>
    </row>
    <row r="37" spans="1:2">
      <c r="A37" s="2" t="s">
        <v>67</v>
      </c>
      <c r="B37" t="str">
        <f>IF(B36&gt;0,B36,"")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J37"/>
  <sheetViews>
    <sheetView workbookViewId="0">
      <selection activeCell="A49" sqref="A49"/>
    </sheetView>
  </sheetViews>
  <sheetFormatPr defaultRowHeight="15"/>
  <cols>
    <col min="1" max="1" width="17.28515625" bestFit="1" customWidth="1"/>
  </cols>
  <sheetData>
    <row r="1" spans="1:10">
      <c r="I1">
        <v>-200</v>
      </c>
      <c r="J1">
        <v>0</v>
      </c>
    </row>
    <row r="2" spans="1:10">
      <c r="A2" s="8" t="s">
        <v>43</v>
      </c>
      <c r="B2">
        <f>'Flange Leakage'!L18</f>
        <v>3</v>
      </c>
      <c r="F2" t="s">
        <v>1</v>
      </c>
      <c r="G2">
        <v>0</v>
      </c>
      <c r="I2">
        <v>-30</v>
      </c>
      <c r="J2">
        <v>1</v>
      </c>
    </row>
    <row r="3" spans="1:10">
      <c r="A3" s="8" t="s">
        <v>25</v>
      </c>
      <c r="B3" t="str">
        <f>'Flange Leakage'!L16</f>
        <v>D15C</v>
      </c>
      <c r="F3" t="s">
        <v>13</v>
      </c>
      <c r="G3">
        <v>3</v>
      </c>
      <c r="I3">
        <v>40</v>
      </c>
      <c r="J3">
        <v>2</v>
      </c>
    </row>
    <row r="4" spans="1:10">
      <c r="A4" s="8" t="s">
        <v>50</v>
      </c>
      <c r="B4">
        <f>'Flange Leakage'!L20</f>
        <v>50</v>
      </c>
      <c r="F4" t="s">
        <v>14</v>
      </c>
      <c r="G4">
        <v>6</v>
      </c>
      <c r="I4">
        <v>65</v>
      </c>
      <c r="J4">
        <v>3</v>
      </c>
    </row>
    <row r="5" spans="1:10">
      <c r="A5" s="8"/>
      <c r="F5" t="s">
        <v>103</v>
      </c>
      <c r="G5">
        <v>9</v>
      </c>
      <c r="I5">
        <v>100</v>
      </c>
      <c r="J5">
        <v>4</v>
      </c>
    </row>
    <row r="6" spans="1:10">
      <c r="A6" s="8" t="s">
        <v>23</v>
      </c>
      <c r="B6" t="str">
        <f>VLOOKUP(B3,'Spec Data'!A2:B39,2,FALSE)</f>
        <v>A350 Gr LF2 Cl 1</v>
      </c>
      <c r="F6" t="s">
        <v>15</v>
      </c>
      <c r="G6">
        <v>12</v>
      </c>
      <c r="I6">
        <v>125</v>
      </c>
      <c r="J6">
        <v>5</v>
      </c>
    </row>
    <row r="7" spans="1:10">
      <c r="A7" s="8" t="s">
        <v>26</v>
      </c>
      <c r="B7" t="str">
        <f>VLOOKUP(B3,'Spec Data'!A2:C39,3,FALSE)</f>
        <v>1500#</v>
      </c>
      <c r="F7" t="s">
        <v>16</v>
      </c>
      <c r="G7">
        <v>15</v>
      </c>
      <c r="I7">
        <v>150</v>
      </c>
      <c r="J7">
        <v>6</v>
      </c>
    </row>
    <row r="8" spans="1:10">
      <c r="A8" s="8" t="s">
        <v>69</v>
      </c>
      <c r="B8">
        <f>VLOOKUP(B3,'Spec Data'!A2:E39,5,FALSE)</f>
        <v>1.1000000000000001</v>
      </c>
      <c r="I8">
        <v>175</v>
      </c>
      <c r="J8">
        <v>7</v>
      </c>
    </row>
    <row r="9" spans="1:10">
      <c r="A9" s="8"/>
      <c r="I9">
        <v>200</v>
      </c>
      <c r="J9">
        <v>8</v>
      </c>
    </row>
    <row r="10" spans="1:10">
      <c r="A10" s="8" t="s">
        <v>54</v>
      </c>
      <c r="B10">
        <f>VLOOKUP(B7,F2:G7,2,FALSE)</f>
        <v>12</v>
      </c>
      <c r="I10">
        <v>225</v>
      </c>
      <c r="J10">
        <v>9</v>
      </c>
    </row>
    <row r="11" spans="1:10">
      <c r="A11" s="8" t="s">
        <v>2</v>
      </c>
      <c r="B11">
        <f>VLOOKUP(B2,'Flange Data'!A4:S23,B10+2,FALSE)</f>
        <v>203.2</v>
      </c>
      <c r="I11">
        <v>250</v>
      </c>
      <c r="J11">
        <v>10</v>
      </c>
    </row>
    <row r="12" spans="1:10">
      <c r="A12" s="8" t="s">
        <v>4</v>
      </c>
      <c r="B12">
        <f>VLOOKUP(B2,'Flange Data'!A4:S23,B10+3,FALSE)</f>
        <v>8</v>
      </c>
      <c r="I12">
        <v>275</v>
      </c>
      <c r="J12">
        <v>11</v>
      </c>
    </row>
    <row r="13" spans="1:10">
      <c r="A13" s="8" t="s">
        <v>5</v>
      </c>
      <c r="B13">
        <f>VLOOKUP(B2,'Flange Data'!A4:S23,B10+4,FALSE)</f>
        <v>1.125</v>
      </c>
      <c r="I13">
        <v>300</v>
      </c>
      <c r="J13">
        <v>12</v>
      </c>
    </row>
    <row r="14" spans="1:10">
      <c r="A14" s="8"/>
      <c r="I14">
        <v>325</v>
      </c>
      <c r="J14">
        <v>13</v>
      </c>
    </row>
    <row r="15" spans="1:10">
      <c r="A15" s="8" t="s">
        <v>51</v>
      </c>
      <c r="B15">
        <f>VLOOKUP(B13,'Bolt Data'!A4:C27,3,FALSE)</f>
        <v>447.09587999999997</v>
      </c>
      <c r="I15">
        <v>350</v>
      </c>
      <c r="J15">
        <v>14</v>
      </c>
    </row>
    <row r="16" spans="1:10">
      <c r="A16" s="8" t="s">
        <v>48</v>
      </c>
      <c r="B16">
        <f>B15*B12</f>
        <v>3576.7670399999997</v>
      </c>
      <c r="I16">
        <v>375</v>
      </c>
      <c r="J16">
        <v>15</v>
      </c>
    </row>
    <row r="17" spans="1:10">
      <c r="A17" s="8"/>
      <c r="I17">
        <v>400</v>
      </c>
      <c r="J17">
        <v>16</v>
      </c>
    </row>
    <row r="18" spans="1:10">
      <c r="A18" s="8" t="s">
        <v>70</v>
      </c>
      <c r="B18">
        <f>VLOOKUP(B6,'Material Data'!A3:V8,2,FALSE)</f>
        <v>248</v>
      </c>
      <c r="I18">
        <v>425</v>
      </c>
      <c r="J18">
        <v>17</v>
      </c>
    </row>
    <row r="19" spans="1:10">
      <c r="A19" s="8"/>
      <c r="I19">
        <v>450</v>
      </c>
      <c r="J19">
        <v>18</v>
      </c>
    </row>
    <row r="20" spans="1:10">
      <c r="A20" s="8" t="s">
        <v>58</v>
      </c>
      <c r="B20">
        <f>VLOOKUP(B4,I1:J22,2,TRUE)</f>
        <v>2</v>
      </c>
      <c r="I20">
        <v>475</v>
      </c>
      <c r="J20">
        <v>19</v>
      </c>
    </row>
    <row r="21" spans="1:10">
      <c r="A21" s="8" t="s">
        <v>59</v>
      </c>
      <c r="B21">
        <f>B20+1</f>
        <v>3</v>
      </c>
      <c r="I21">
        <v>500</v>
      </c>
      <c r="J21">
        <v>20</v>
      </c>
    </row>
    <row r="22" spans="1:10">
      <c r="A22" s="8" t="s">
        <v>60</v>
      </c>
      <c r="B22">
        <f ca="1">OFFSET(I1,B20,0)</f>
        <v>40</v>
      </c>
      <c r="I22">
        <v>525</v>
      </c>
      <c r="J22">
        <v>21</v>
      </c>
    </row>
    <row r="23" spans="1:10">
      <c r="A23" s="8" t="s">
        <v>52</v>
      </c>
      <c r="B23">
        <f ca="1">B4-B22</f>
        <v>10</v>
      </c>
    </row>
    <row r="24" spans="1:10">
      <c r="A24" s="8" t="s">
        <v>61</v>
      </c>
      <c r="B24">
        <f ca="1">OFFSET(I1,B21,0)-OFFSET(I1,B20,0)</f>
        <v>25</v>
      </c>
    </row>
    <row r="25" spans="1:10">
      <c r="A25" s="8"/>
    </row>
    <row r="26" spans="1:10">
      <c r="A26" s="8" t="s">
        <v>62</v>
      </c>
      <c r="B26">
        <f>VLOOKUP(B6,'Material Data'!A3:V8,B20+1,FALSE)</f>
        <v>248</v>
      </c>
    </row>
    <row r="27" spans="1:10">
      <c r="A27" s="8" t="s">
        <v>63</v>
      </c>
      <c r="B27">
        <f>VLOOKUP(B6,'Material Data'!A3:V8,B21+1,FALSE)</f>
        <v>233</v>
      </c>
    </row>
    <row r="28" spans="1:10">
      <c r="A28" s="8" t="s">
        <v>64</v>
      </c>
      <c r="B28">
        <f ca="1">IF(B20=0,B27,B26-(B23/B24)*(B26-B27))</f>
        <v>242</v>
      </c>
    </row>
    <row r="29" spans="1:10">
      <c r="A29" s="8"/>
    </row>
    <row r="30" spans="1:10">
      <c r="A30" s="8" t="s">
        <v>55</v>
      </c>
      <c r="B30">
        <f ca="1">B28/250</f>
        <v>0.96799999999999997</v>
      </c>
    </row>
    <row r="31" spans="1:10">
      <c r="A31" s="8" t="s">
        <v>53</v>
      </c>
      <c r="B31">
        <f ca="1">IF(B30&gt;1,1,B30)</f>
        <v>0.96799999999999997</v>
      </c>
    </row>
    <row r="32" spans="1:10">
      <c r="A32" s="8"/>
    </row>
    <row r="33" spans="1:2">
      <c r="A33" s="8" t="s">
        <v>65</v>
      </c>
      <c r="B33">
        <f ca="1">21.7*B31*B11*B16</f>
        <v>15266850.387838151</v>
      </c>
    </row>
    <row r="34" spans="1:2">
      <c r="A34" s="8" t="s">
        <v>66</v>
      </c>
      <c r="B34">
        <f ca="1">B33/1000</f>
        <v>15266.850387838151</v>
      </c>
    </row>
    <row r="35" spans="1:2">
      <c r="A35" s="8"/>
    </row>
    <row r="36" spans="1:2">
      <c r="A36" s="8" t="s">
        <v>27</v>
      </c>
      <c r="B36">
        <f>VLOOKUP(B3,'Spec Data'!A2:D39,4,FALSE)</f>
        <v>0</v>
      </c>
    </row>
    <row r="37" spans="1:2">
      <c r="A37" s="8" t="s">
        <v>67</v>
      </c>
      <c r="B37" t="str">
        <f>IF(B36&gt;0,B36,"")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J37"/>
  <sheetViews>
    <sheetView workbookViewId="0">
      <selection activeCell="A49" sqref="A49"/>
    </sheetView>
  </sheetViews>
  <sheetFormatPr defaultRowHeight="15"/>
  <cols>
    <col min="1" max="1" width="17.28515625" style="11" bestFit="1" customWidth="1"/>
    <col min="2" max="16384" width="9.140625" style="11"/>
  </cols>
  <sheetData>
    <row r="1" spans="1:10">
      <c r="I1" s="11">
        <v>-200</v>
      </c>
      <c r="J1" s="11">
        <v>0</v>
      </c>
    </row>
    <row r="2" spans="1:10">
      <c r="A2" s="12" t="s">
        <v>43</v>
      </c>
      <c r="B2" s="11">
        <f>'Flange Leakage'!L18</f>
        <v>3</v>
      </c>
      <c r="F2" s="11" t="s">
        <v>1</v>
      </c>
      <c r="G2" s="11">
        <v>0</v>
      </c>
      <c r="I2" s="11">
        <v>-30</v>
      </c>
      <c r="J2" s="11">
        <v>1</v>
      </c>
    </row>
    <row r="3" spans="1:10">
      <c r="A3" s="12" t="s">
        <v>25</v>
      </c>
      <c r="B3" s="11" t="str">
        <f>'Flange Leakage'!L16</f>
        <v>D15C</v>
      </c>
      <c r="F3" s="11" t="s">
        <v>13</v>
      </c>
      <c r="G3" s="11">
        <v>3</v>
      </c>
      <c r="I3" s="11">
        <v>40</v>
      </c>
      <c r="J3" s="11">
        <v>2</v>
      </c>
    </row>
    <row r="4" spans="1:10">
      <c r="A4" s="12" t="s">
        <v>50</v>
      </c>
      <c r="B4" s="11">
        <f>'Flange Leakage'!L22</f>
        <v>60</v>
      </c>
      <c r="F4" s="11" t="s">
        <v>14</v>
      </c>
      <c r="G4" s="11">
        <v>6</v>
      </c>
      <c r="I4" s="11">
        <v>65</v>
      </c>
      <c r="J4" s="11">
        <v>3</v>
      </c>
    </row>
    <row r="5" spans="1:10">
      <c r="A5" s="12"/>
      <c r="F5" s="11" t="s">
        <v>103</v>
      </c>
      <c r="G5" s="11">
        <v>9</v>
      </c>
      <c r="I5" s="11">
        <v>100</v>
      </c>
      <c r="J5" s="11">
        <v>4</v>
      </c>
    </row>
    <row r="6" spans="1:10">
      <c r="A6" s="12" t="s">
        <v>23</v>
      </c>
      <c r="B6" s="11" t="str">
        <f>VLOOKUP(B3,'Spec Data'!A2:B39,2,FALSE)</f>
        <v>A350 Gr LF2 Cl 1</v>
      </c>
      <c r="F6" s="11" t="s">
        <v>15</v>
      </c>
      <c r="G6" s="11">
        <v>12</v>
      </c>
      <c r="I6" s="11">
        <v>125</v>
      </c>
      <c r="J6" s="11">
        <v>5</v>
      </c>
    </row>
    <row r="7" spans="1:10">
      <c r="A7" s="12" t="s">
        <v>26</v>
      </c>
      <c r="B7" s="11" t="str">
        <f>VLOOKUP(B3,'Spec Data'!A2:C39,3,FALSE)</f>
        <v>1500#</v>
      </c>
      <c r="F7" s="11" t="s">
        <v>16</v>
      </c>
      <c r="G7" s="11">
        <v>15</v>
      </c>
      <c r="I7" s="11">
        <v>150</v>
      </c>
      <c r="J7" s="11">
        <v>6</v>
      </c>
    </row>
    <row r="8" spans="1:10">
      <c r="A8" s="12" t="s">
        <v>69</v>
      </c>
      <c r="B8" s="11">
        <f>VLOOKUP(B3,'Spec Data'!A2:E39,5,FALSE)</f>
        <v>1.1000000000000001</v>
      </c>
      <c r="I8" s="11">
        <v>175</v>
      </c>
      <c r="J8" s="11">
        <v>7</v>
      </c>
    </row>
    <row r="9" spans="1:10">
      <c r="A9" s="12"/>
      <c r="I9" s="11">
        <v>200</v>
      </c>
      <c r="J9" s="11">
        <v>8</v>
      </c>
    </row>
    <row r="10" spans="1:10">
      <c r="A10" s="12" t="s">
        <v>54</v>
      </c>
      <c r="B10" s="11">
        <f>VLOOKUP(B7,F2:G7,2,FALSE)</f>
        <v>12</v>
      </c>
      <c r="I10" s="11">
        <v>225</v>
      </c>
      <c r="J10" s="11">
        <v>9</v>
      </c>
    </row>
    <row r="11" spans="1:10">
      <c r="A11" s="12" t="s">
        <v>2</v>
      </c>
      <c r="B11" s="11">
        <f>VLOOKUP(B2,'Flange Data'!A4:S23,B10+2,FALSE)</f>
        <v>203.2</v>
      </c>
      <c r="I11" s="11">
        <v>250</v>
      </c>
      <c r="J11" s="11">
        <v>10</v>
      </c>
    </row>
    <row r="12" spans="1:10">
      <c r="A12" s="12" t="s">
        <v>4</v>
      </c>
      <c r="B12" s="11">
        <f>VLOOKUP(B2,'Flange Data'!A4:S23,B10+3,FALSE)</f>
        <v>8</v>
      </c>
      <c r="I12" s="11">
        <v>275</v>
      </c>
      <c r="J12" s="11">
        <v>11</v>
      </c>
    </row>
    <row r="13" spans="1:10">
      <c r="A13" s="12" t="s">
        <v>5</v>
      </c>
      <c r="B13" s="11">
        <f>VLOOKUP(B2,'Flange Data'!A4:S23,B10+4,FALSE)</f>
        <v>1.125</v>
      </c>
      <c r="I13" s="11">
        <v>300</v>
      </c>
      <c r="J13" s="11">
        <v>12</v>
      </c>
    </row>
    <row r="14" spans="1:10">
      <c r="A14" s="12"/>
      <c r="I14" s="11">
        <v>325</v>
      </c>
      <c r="J14" s="11">
        <v>13</v>
      </c>
    </row>
    <row r="15" spans="1:10">
      <c r="A15" s="12" t="s">
        <v>51</v>
      </c>
      <c r="B15" s="11">
        <f>VLOOKUP(B13,'Bolt Data'!A4:C27,3,FALSE)</f>
        <v>447.09587999999997</v>
      </c>
      <c r="I15" s="11">
        <v>350</v>
      </c>
      <c r="J15" s="11">
        <v>14</v>
      </c>
    </row>
    <row r="16" spans="1:10">
      <c r="A16" s="12" t="s">
        <v>48</v>
      </c>
      <c r="B16" s="11">
        <f>B15*B12</f>
        <v>3576.7670399999997</v>
      </c>
      <c r="I16" s="11">
        <v>375</v>
      </c>
      <c r="J16" s="11">
        <v>15</v>
      </c>
    </row>
    <row r="17" spans="1:10">
      <c r="A17" s="12"/>
      <c r="I17" s="11">
        <v>400</v>
      </c>
      <c r="J17" s="11">
        <v>16</v>
      </c>
    </row>
    <row r="18" spans="1:10">
      <c r="A18" s="12" t="s">
        <v>70</v>
      </c>
      <c r="B18" s="11">
        <f>VLOOKUP(B6,'Material Data'!A3:V8,2,FALSE)</f>
        <v>248</v>
      </c>
      <c r="I18" s="11">
        <v>425</v>
      </c>
      <c r="J18" s="11">
        <v>17</v>
      </c>
    </row>
    <row r="19" spans="1:10">
      <c r="A19" s="12"/>
      <c r="I19" s="11">
        <v>450</v>
      </c>
      <c r="J19" s="11">
        <v>18</v>
      </c>
    </row>
    <row r="20" spans="1:10">
      <c r="A20" s="12" t="s">
        <v>58</v>
      </c>
      <c r="B20" s="11">
        <f>VLOOKUP(B4,I1:J22,2,TRUE)</f>
        <v>2</v>
      </c>
      <c r="I20" s="11">
        <v>475</v>
      </c>
      <c r="J20" s="11">
        <v>19</v>
      </c>
    </row>
    <row r="21" spans="1:10">
      <c r="A21" s="12" t="s">
        <v>59</v>
      </c>
      <c r="B21" s="11">
        <f>B20+1</f>
        <v>3</v>
      </c>
      <c r="I21" s="11">
        <v>500</v>
      </c>
      <c r="J21" s="11">
        <v>20</v>
      </c>
    </row>
    <row r="22" spans="1:10">
      <c r="A22" s="12" t="s">
        <v>60</v>
      </c>
      <c r="B22" s="11">
        <f ca="1">OFFSET(I1,B20,0)</f>
        <v>40</v>
      </c>
      <c r="I22" s="11">
        <v>525</v>
      </c>
      <c r="J22" s="11">
        <v>21</v>
      </c>
    </row>
    <row r="23" spans="1:10">
      <c r="A23" s="12" t="s">
        <v>52</v>
      </c>
      <c r="B23" s="11">
        <f ca="1">B4-B22</f>
        <v>20</v>
      </c>
    </row>
    <row r="24" spans="1:10">
      <c r="A24" s="12" t="s">
        <v>61</v>
      </c>
      <c r="B24" s="11">
        <f ca="1">OFFSET(I1,B21,0)-OFFSET(I1,B20,0)</f>
        <v>25</v>
      </c>
    </row>
    <row r="25" spans="1:10">
      <c r="A25" s="12"/>
    </row>
    <row r="26" spans="1:10">
      <c r="A26" s="12" t="s">
        <v>62</v>
      </c>
      <c r="B26" s="11">
        <f>VLOOKUP(B6,'Material Data'!A3:V8,B20+1,FALSE)</f>
        <v>248</v>
      </c>
    </row>
    <row r="27" spans="1:10">
      <c r="A27" s="12" t="s">
        <v>63</v>
      </c>
      <c r="B27" s="11">
        <f>VLOOKUP(B6,'Material Data'!A3:V8,B21+1,FALSE)</f>
        <v>233</v>
      </c>
    </row>
    <row r="28" spans="1:10">
      <c r="A28" s="12" t="s">
        <v>64</v>
      </c>
      <c r="B28" s="11">
        <f ca="1">IF(B20=0,B27,B26-(B23/B24)*(B26-B27))</f>
        <v>236</v>
      </c>
    </row>
    <row r="29" spans="1:10">
      <c r="A29" s="12"/>
    </row>
    <row r="30" spans="1:10">
      <c r="A30" s="12" t="s">
        <v>55</v>
      </c>
      <c r="B30" s="11">
        <f ca="1">B28/250</f>
        <v>0.94399999999999995</v>
      </c>
    </row>
    <row r="31" spans="1:10">
      <c r="A31" s="12" t="s">
        <v>53</v>
      </c>
      <c r="B31" s="11">
        <f ca="1">IF(B30&gt;1,1,B30)</f>
        <v>0.94399999999999995</v>
      </c>
    </row>
    <row r="32" spans="1:10">
      <c r="A32" s="12"/>
    </row>
    <row r="33" spans="1:2">
      <c r="A33" s="12" t="s">
        <v>65</v>
      </c>
      <c r="B33" s="11">
        <f ca="1">21.7*B31*B11*B16</f>
        <v>14888333.436073571</v>
      </c>
    </row>
    <row r="34" spans="1:2">
      <c r="A34" s="12" t="s">
        <v>66</v>
      </c>
      <c r="B34" s="11">
        <f ca="1">B33/1000</f>
        <v>14888.333436073572</v>
      </c>
    </row>
    <row r="35" spans="1:2">
      <c r="A35" s="12"/>
    </row>
    <row r="36" spans="1:2">
      <c r="A36" s="12" t="s">
        <v>27</v>
      </c>
      <c r="B36" s="11">
        <f>VLOOKUP(B3,'Spec Data'!A2:D39,4,FALSE)</f>
        <v>0</v>
      </c>
    </row>
    <row r="37" spans="1:2">
      <c r="A37" s="12" t="s">
        <v>67</v>
      </c>
      <c r="B37" s="11" t="str">
        <f>IF(B36&gt;0,B36,"")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S27"/>
  <sheetViews>
    <sheetView workbookViewId="0">
      <selection activeCell="M24" sqref="M24"/>
    </sheetView>
  </sheetViews>
  <sheetFormatPr defaultRowHeight="15"/>
  <sheetData>
    <row r="1" spans="1:19">
      <c r="B1" s="149" t="s">
        <v>1</v>
      </c>
      <c r="C1" s="149"/>
      <c r="D1" s="149"/>
      <c r="E1" s="149" t="s">
        <v>13</v>
      </c>
      <c r="F1" s="149"/>
      <c r="G1" s="149"/>
      <c r="H1" s="149" t="s">
        <v>14</v>
      </c>
      <c r="I1" s="149"/>
      <c r="J1" s="149"/>
      <c r="K1" s="149" t="s">
        <v>103</v>
      </c>
      <c r="L1" s="149"/>
      <c r="M1" s="149"/>
      <c r="N1" s="149" t="s">
        <v>15</v>
      </c>
      <c r="O1" s="149"/>
      <c r="P1" s="149"/>
      <c r="Q1" s="149" t="s">
        <v>16</v>
      </c>
      <c r="R1" s="149"/>
      <c r="S1" s="149"/>
    </row>
    <row r="2" spans="1:19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3</v>
      </c>
      <c r="I2" t="s">
        <v>4</v>
      </c>
      <c r="J2" t="s">
        <v>5</v>
      </c>
      <c r="K2" t="s">
        <v>3</v>
      </c>
      <c r="L2" t="s">
        <v>4</v>
      </c>
      <c r="M2" t="s">
        <v>5</v>
      </c>
      <c r="N2" t="s">
        <v>3</v>
      </c>
      <c r="O2" t="s">
        <v>4</v>
      </c>
      <c r="P2" t="s">
        <v>5</v>
      </c>
      <c r="Q2" t="s">
        <v>3</v>
      </c>
      <c r="R2" t="s">
        <v>4</v>
      </c>
      <c r="S2" t="s">
        <v>5</v>
      </c>
    </row>
    <row r="3" spans="1:19">
      <c r="A3" t="s">
        <v>0</v>
      </c>
      <c r="B3" t="s">
        <v>78</v>
      </c>
      <c r="D3" t="s">
        <v>6</v>
      </c>
      <c r="E3" t="s">
        <v>78</v>
      </c>
      <c r="G3" t="s">
        <v>6</v>
      </c>
      <c r="H3" t="s">
        <v>78</v>
      </c>
      <c r="J3" t="s">
        <v>6</v>
      </c>
      <c r="K3" t="s">
        <v>78</v>
      </c>
      <c r="M3" t="s">
        <v>6</v>
      </c>
      <c r="N3" t="s">
        <v>78</v>
      </c>
      <c r="P3" t="s">
        <v>6</v>
      </c>
      <c r="Q3" t="s">
        <v>78</v>
      </c>
      <c r="S3" t="s">
        <v>6</v>
      </c>
    </row>
    <row r="4" spans="1:19">
      <c r="A4" s="1" t="s">
        <v>7</v>
      </c>
      <c r="B4">
        <v>60.3</v>
      </c>
      <c r="C4">
        <v>4</v>
      </c>
      <c r="D4">
        <f>1/2</f>
        <v>0.5</v>
      </c>
      <c r="E4">
        <v>66.7</v>
      </c>
      <c r="F4">
        <v>4</v>
      </c>
      <c r="G4">
        <v>0.5</v>
      </c>
      <c r="H4">
        <v>66.7</v>
      </c>
      <c r="I4">
        <v>4</v>
      </c>
      <c r="J4">
        <v>0.5</v>
      </c>
      <c r="K4">
        <v>82.6</v>
      </c>
      <c r="L4">
        <v>4</v>
      </c>
      <c r="M4">
        <v>0.75</v>
      </c>
      <c r="N4">
        <v>82.6</v>
      </c>
      <c r="O4">
        <v>4</v>
      </c>
      <c r="P4">
        <v>0.75</v>
      </c>
      <c r="Q4">
        <v>88.9</v>
      </c>
      <c r="R4">
        <v>4</v>
      </c>
      <c r="S4">
        <v>0.75</v>
      </c>
    </row>
    <row r="5" spans="1:19">
      <c r="A5" s="1" t="s">
        <v>8</v>
      </c>
      <c r="B5">
        <v>69.900000000000006</v>
      </c>
      <c r="C5">
        <v>4</v>
      </c>
      <c r="D5">
        <f t="shared" ref="D5:D8" si="0">1/2</f>
        <v>0.5</v>
      </c>
      <c r="E5">
        <v>82.6</v>
      </c>
      <c r="F5">
        <v>4</v>
      </c>
      <c r="G5">
        <f>5/8</f>
        <v>0.625</v>
      </c>
      <c r="H5">
        <v>82.6</v>
      </c>
      <c r="I5">
        <v>4</v>
      </c>
      <c r="J5">
        <f>5/8</f>
        <v>0.625</v>
      </c>
      <c r="K5">
        <v>88.9</v>
      </c>
      <c r="L5">
        <v>4</v>
      </c>
      <c r="M5">
        <v>0.75</v>
      </c>
      <c r="N5">
        <v>88.9</v>
      </c>
      <c r="O5">
        <v>4</v>
      </c>
      <c r="P5">
        <v>0.75</v>
      </c>
      <c r="Q5">
        <v>95.2</v>
      </c>
      <c r="R5">
        <v>4</v>
      </c>
      <c r="S5">
        <v>0.75</v>
      </c>
    </row>
    <row r="6" spans="1:19">
      <c r="A6" s="1">
        <v>1</v>
      </c>
      <c r="B6">
        <v>79.400000000000006</v>
      </c>
      <c r="C6">
        <v>4</v>
      </c>
      <c r="D6">
        <f t="shared" si="0"/>
        <v>0.5</v>
      </c>
      <c r="E6">
        <v>88.9</v>
      </c>
      <c r="F6">
        <v>4</v>
      </c>
      <c r="G6">
        <f t="shared" ref="G6:G7" si="1">5/8</f>
        <v>0.625</v>
      </c>
      <c r="H6">
        <v>88.9</v>
      </c>
      <c r="I6">
        <v>4</v>
      </c>
      <c r="J6">
        <f t="shared" ref="J6:J7" si="2">5/8</f>
        <v>0.625</v>
      </c>
      <c r="K6">
        <v>101.6</v>
      </c>
      <c r="L6">
        <v>4</v>
      </c>
      <c r="M6">
        <v>0.875</v>
      </c>
      <c r="N6">
        <v>101.6</v>
      </c>
      <c r="O6">
        <v>4</v>
      </c>
      <c r="P6">
        <v>0.875</v>
      </c>
      <c r="Q6">
        <v>108</v>
      </c>
      <c r="R6">
        <v>4</v>
      </c>
      <c r="S6">
        <v>0.875</v>
      </c>
    </row>
    <row r="7" spans="1:19">
      <c r="A7" s="1" t="s">
        <v>9</v>
      </c>
      <c r="B7">
        <v>88.9</v>
      </c>
      <c r="C7">
        <v>4</v>
      </c>
      <c r="D7">
        <f t="shared" si="0"/>
        <v>0.5</v>
      </c>
      <c r="E7">
        <v>98.4</v>
      </c>
      <c r="F7">
        <v>4</v>
      </c>
      <c r="G7">
        <f t="shared" si="1"/>
        <v>0.625</v>
      </c>
      <c r="H7">
        <v>98.4</v>
      </c>
      <c r="I7">
        <v>4</v>
      </c>
      <c r="J7">
        <f t="shared" si="2"/>
        <v>0.625</v>
      </c>
      <c r="K7">
        <v>111.1</v>
      </c>
      <c r="L7">
        <v>4</v>
      </c>
      <c r="M7">
        <v>0.875</v>
      </c>
      <c r="N7">
        <v>111.1</v>
      </c>
      <c r="O7">
        <v>4</v>
      </c>
      <c r="P7">
        <v>0.875</v>
      </c>
      <c r="Q7">
        <v>130.19999999999999</v>
      </c>
      <c r="R7">
        <v>4</v>
      </c>
      <c r="S7">
        <v>1</v>
      </c>
    </row>
    <row r="8" spans="1:19">
      <c r="A8" s="1" t="s">
        <v>10</v>
      </c>
      <c r="B8">
        <v>98.4</v>
      </c>
      <c r="C8">
        <v>4</v>
      </c>
      <c r="D8">
        <f t="shared" si="0"/>
        <v>0.5</v>
      </c>
      <c r="E8">
        <v>114.3</v>
      </c>
      <c r="F8">
        <v>4</v>
      </c>
      <c r="G8">
        <v>0.75</v>
      </c>
      <c r="H8">
        <v>114.3</v>
      </c>
      <c r="I8">
        <v>4</v>
      </c>
      <c r="J8">
        <v>0.75</v>
      </c>
      <c r="K8">
        <v>123.8</v>
      </c>
      <c r="L8">
        <v>4</v>
      </c>
      <c r="M8">
        <v>1</v>
      </c>
      <c r="N8">
        <v>123.8</v>
      </c>
      <c r="O8">
        <v>4</v>
      </c>
      <c r="P8">
        <v>1</v>
      </c>
      <c r="Q8">
        <v>146</v>
      </c>
      <c r="R8">
        <v>4</v>
      </c>
      <c r="S8">
        <v>1.125</v>
      </c>
    </row>
    <row r="9" spans="1:19">
      <c r="A9" s="1">
        <v>2</v>
      </c>
      <c r="B9">
        <v>120.7</v>
      </c>
      <c r="C9">
        <v>4</v>
      </c>
      <c r="D9">
        <f>5/8</f>
        <v>0.625</v>
      </c>
      <c r="E9">
        <v>127</v>
      </c>
      <c r="F9">
        <v>8</v>
      </c>
      <c r="G9">
        <v>0.625</v>
      </c>
      <c r="H9">
        <v>127</v>
      </c>
      <c r="I9">
        <v>8</v>
      </c>
      <c r="J9">
        <v>0.625</v>
      </c>
      <c r="K9">
        <v>165.1</v>
      </c>
      <c r="L9">
        <v>8</v>
      </c>
      <c r="M9">
        <v>0.875</v>
      </c>
      <c r="N9">
        <v>165.1</v>
      </c>
      <c r="O9">
        <v>8</v>
      </c>
      <c r="P9">
        <v>0.875</v>
      </c>
      <c r="Q9">
        <v>171.4</v>
      </c>
      <c r="R9">
        <v>8</v>
      </c>
      <c r="S9">
        <v>1</v>
      </c>
    </row>
    <row r="10" spans="1:19">
      <c r="A10" s="1" t="s">
        <v>11</v>
      </c>
      <c r="B10">
        <v>139.69999999999999</v>
      </c>
      <c r="C10">
        <v>4</v>
      </c>
      <c r="D10">
        <f t="shared" ref="D10:D13" si="3">5/8</f>
        <v>0.625</v>
      </c>
      <c r="E10">
        <v>149.19999999999999</v>
      </c>
      <c r="F10">
        <v>8</v>
      </c>
      <c r="G10">
        <v>0.75</v>
      </c>
      <c r="H10">
        <v>149.19999999999999</v>
      </c>
      <c r="I10">
        <v>8</v>
      </c>
      <c r="J10">
        <v>0.75</v>
      </c>
      <c r="K10">
        <v>190.5</v>
      </c>
      <c r="L10">
        <v>8</v>
      </c>
      <c r="M10">
        <v>1</v>
      </c>
      <c r="N10">
        <v>190.5</v>
      </c>
      <c r="O10">
        <v>8</v>
      </c>
      <c r="P10">
        <v>1</v>
      </c>
      <c r="Q10">
        <v>196.8</v>
      </c>
      <c r="R10">
        <v>8</v>
      </c>
      <c r="S10">
        <v>1.125</v>
      </c>
    </row>
    <row r="11" spans="1:19">
      <c r="A11" s="1">
        <v>3</v>
      </c>
      <c r="B11">
        <v>152.4</v>
      </c>
      <c r="C11">
        <v>4</v>
      </c>
      <c r="D11">
        <f t="shared" si="3"/>
        <v>0.625</v>
      </c>
      <c r="E11">
        <v>168.3</v>
      </c>
      <c r="F11">
        <v>8</v>
      </c>
      <c r="G11">
        <v>0.75</v>
      </c>
      <c r="H11">
        <v>168.3</v>
      </c>
      <c r="I11">
        <v>8</v>
      </c>
      <c r="J11">
        <v>0.75</v>
      </c>
      <c r="K11">
        <v>190.5</v>
      </c>
      <c r="L11">
        <v>8</v>
      </c>
      <c r="M11">
        <v>0.875</v>
      </c>
      <c r="N11">
        <v>203.2</v>
      </c>
      <c r="O11">
        <v>8</v>
      </c>
      <c r="P11">
        <v>1.125</v>
      </c>
      <c r="Q11">
        <v>228.6</v>
      </c>
      <c r="R11">
        <v>8</v>
      </c>
      <c r="S11">
        <v>1.25</v>
      </c>
    </row>
    <row r="12" spans="1:19">
      <c r="A12" s="1" t="s">
        <v>12</v>
      </c>
      <c r="B12">
        <v>177.8</v>
      </c>
      <c r="C12">
        <v>8</v>
      </c>
      <c r="D12">
        <f t="shared" si="3"/>
        <v>0.625</v>
      </c>
      <c r="E12">
        <v>184.2</v>
      </c>
      <c r="F12">
        <v>8</v>
      </c>
      <c r="G12">
        <v>0.75</v>
      </c>
      <c r="H12">
        <v>184.2</v>
      </c>
      <c r="I12">
        <v>8</v>
      </c>
      <c r="J12">
        <v>0.875</v>
      </c>
    </row>
    <row r="13" spans="1:19">
      <c r="A13" s="1">
        <v>4</v>
      </c>
      <c r="B13">
        <v>190.5</v>
      </c>
      <c r="C13">
        <v>8</v>
      </c>
      <c r="D13">
        <f t="shared" si="3"/>
        <v>0.625</v>
      </c>
      <c r="E13">
        <v>200</v>
      </c>
      <c r="F13">
        <v>8</v>
      </c>
      <c r="G13">
        <v>0.75</v>
      </c>
      <c r="H13">
        <v>215.9</v>
      </c>
      <c r="I13">
        <v>8</v>
      </c>
      <c r="J13">
        <v>0.875</v>
      </c>
      <c r="K13">
        <v>235</v>
      </c>
      <c r="L13">
        <v>8</v>
      </c>
      <c r="M13">
        <v>1.125</v>
      </c>
      <c r="N13">
        <v>241.3</v>
      </c>
      <c r="O13">
        <v>8</v>
      </c>
      <c r="P13">
        <v>1.25</v>
      </c>
      <c r="Q13">
        <v>273</v>
      </c>
      <c r="R13">
        <v>8</v>
      </c>
      <c r="S13">
        <v>1.5</v>
      </c>
    </row>
    <row r="14" spans="1:19">
      <c r="A14" s="1">
        <v>5</v>
      </c>
      <c r="B14">
        <v>215.9</v>
      </c>
      <c r="C14">
        <v>8</v>
      </c>
      <c r="D14">
        <f>3/4</f>
        <v>0.75</v>
      </c>
      <c r="E14">
        <v>235</v>
      </c>
      <c r="F14">
        <v>8</v>
      </c>
      <c r="G14">
        <v>0.75</v>
      </c>
      <c r="H14">
        <v>266.7</v>
      </c>
      <c r="I14">
        <v>8</v>
      </c>
      <c r="J14">
        <v>1</v>
      </c>
      <c r="K14">
        <v>279.39999999999998</v>
      </c>
      <c r="L14">
        <v>8</v>
      </c>
      <c r="M14">
        <v>1.25</v>
      </c>
      <c r="N14">
        <v>292.10000000000002</v>
      </c>
      <c r="O14">
        <v>8</v>
      </c>
      <c r="P14">
        <v>1.5</v>
      </c>
      <c r="Q14">
        <v>323.8</v>
      </c>
      <c r="R14">
        <v>8</v>
      </c>
      <c r="S14">
        <v>1.75</v>
      </c>
    </row>
    <row r="15" spans="1:19">
      <c r="A15" s="1">
        <v>6</v>
      </c>
      <c r="B15">
        <v>241.3</v>
      </c>
      <c r="C15">
        <v>8</v>
      </c>
      <c r="D15">
        <f t="shared" ref="D15:D16" si="4">3/4</f>
        <v>0.75</v>
      </c>
      <c r="E15">
        <v>269.89999999999998</v>
      </c>
      <c r="F15">
        <v>12</v>
      </c>
      <c r="G15">
        <v>0.75</v>
      </c>
      <c r="H15">
        <v>292.10000000000002</v>
      </c>
      <c r="I15">
        <v>12</v>
      </c>
      <c r="J15">
        <v>1</v>
      </c>
      <c r="K15">
        <v>317.5</v>
      </c>
      <c r="L15">
        <v>12</v>
      </c>
      <c r="M15">
        <v>1.125</v>
      </c>
      <c r="N15">
        <v>317.5</v>
      </c>
      <c r="O15">
        <v>12</v>
      </c>
      <c r="P15">
        <v>1.375</v>
      </c>
      <c r="Q15">
        <v>368.3</v>
      </c>
      <c r="R15">
        <v>8</v>
      </c>
      <c r="S15">
        <v>2</v>
      </c>
    </row>
    <row r="16" spans="1:19">
      <c r="A16" s="1">
        <v>8</v>
      </c>
      <c r="B16">
        <v>298.5</v>
      </c>
      <c r="C16">
        <v>8</v>
      </c>
      <c r="D16">
        <f t="shared" si="4"/>
        <v>0.75</v>
      </c>
      <c r="E16">
        <v>330.2</v>
      </c>
      <c r="F16">
        <v>12</v>
      </c>
      <c r="G16">
        <f>7/8</f>
        <v>0.875</v>
      </c>
      <c r="H16">
        <v>349.2</v>
      </c>
      <c r="I16">
        <v>12</v>
      </c>
      <c r="J16">
        <v>1.125</v>
      </c>
      <c r="K16">
        <v>393.7</v>
      </c>
      <c r="L16">
        <v>12</v>
      </c>
      <c r="M16">
        <v>1.375</v>
      </c>
      <c r="N16">
        <v>393.7</v>
      </c>
      <c r="O16">
        <v>12</v>
      </c>
      <c r="P16">
        <v>1.625</v>
      </c>
      <c r="Q16">
        <v>438.2</v>
      </c>
      <c r="R16">
        <v>12</v>
      </c>
      <c r="S16">
        <v>2</v>
      </c>
    </row>
    <row r="17" spans="1:19">
      <c r="A17" s="1">
        <v>10</v>
      </c>
      <c r="B17">
        <v>362</v>
      </c>
      <c r="C17">
        <v>12</v>
      </c>
      <c r="D17">
        <f>7/8</f>
        <v>0.875</v>
      </c>
      <c r="E17">
        <v>387.4</v>
      </c>
      <c r="F17">
        <v>16</v>
      </c>
      <c r="G17">
        <v>1</v>
      </c>
      <c r="H17">
        <v>431.8</v>
      </c>
      <c r="I17">
        <v>16</v>
      </c>
      <c r="J17">
        <v>1.25</v>
      </c>
      <c r="K17">
        <v>469.9</v>
      </c>
      <c r="L17">
        <v>16</v>
      </c>
      <c r="M17">
        <v>1.375</v>
      </c>
      <c r="N17">
        <v>482.6</v>
      </c>
      <c r="O17">
        <v>12</v>
      </c>
      <c r="P17">
        <v>1.875</v>
      </c>
      <c r="Q17">
        <v>539.79999999999995</v>
      </c>
      <c r="R17">
        <v>12</v>
      </c>
      <c r="S17">
        <v>2.5</v>
      </c>
    </row>
    <row r="18" spans="1:19">
      <c r="A18" s="1">
        <v>12</v>
      </c>
      <c r="B18">
        <v>431.8</v>
      </c>
      <c r="C18">
        <v>12</v>
      </c>
      <c r="D18">
        <f>7/8</f>
        <v>0.875</v>
      </c>
      <c r="E18">
        <v>450.8</v>
      </c>
      <c r="F18">
        <v>16</v>
      </c>
      <c r="G18">
        <v>1.125</v>
      </c>
      <c r="H18">
        <v>489</v>
      </c>
      <c r="I18">
        <v>20</v>
      </c>
      <c r="J18">
        <v>1.25</v>
      </c>
      <c r="K18">
        <v>533.4</v>
      </c>
      <c r="L18">
        <v>20</v>
      </c>
      <c r="M18">
        <v>1.375</v>
      </c>
      <c r="N18">
        <v>571.5</v>
      </c>
      <c r="O18">
        <v>16</v>
      </c>
      <c r="P18">
        <v>2</v>
      </c>
      <c r="Q18">
        <v>619.1</v>
      </c>
      <c r="R18">
        <v>12</v>
      </c>
      <c r="S18">
        <v>2.75</v>
      </c>
    </row>
    <row r="19" spans="1:19">
      <c r="A19" s="1">
        <v>14</v>
      </c>
      <c r="B19">
        <v>476.3</v>
      </c>
      <c r="C19">
        <v>12</v>
      </c>
      <c r="D19">
        <v>1</v>
      </c>
      <c r="E19">
        <v>514.4</v>
      </c>
      <c r="F19">
        <v>20</v>
      </c>
      <c r="G19">
        <v>1.125</v>
      </c>
      <c r="H19">
        <v>527</v>
      </c>
      <c r="I19">
        <v>20</v>
      </c>
      <c r="J19">
        <f>11/8</f>
        <v>1.375</v>
      </c>
      <c r="K19">
        <v>558.79999999999995</v>
      </c>
      <c r="L19">
        <v>20</v>
      </c>
      <c r="M19">
        <v>1.5</v>
      </c>
      <c r="N19">
        <v>635</v>
      </c>
      <c r="O19">
        <v>16</v>
      </c>
      <c r="P19">
        <v>2.25</v>
      </c>
    </row>
    <row r="20" spans="1:19">
      <c r="A20" s="1">
        <v>16</v>
      </c>
      <c r="B20">
        <v>539.79999999999995</v>
      </c>
      <c r="C20">
        <v>16</v>
      </c>
      <c r="D20">
        <v>1</v>
      </c>
      <c r="E20">
        <v>571.5</v>
      </c>
      <c r="F20">
        <v>20</v>
      </c>
      <c r="G20">
        <v>1.25</v>
      </c>
      <c r="H20">
        <v>603</v>
      </c>
      <c r="I20">
        <v>20</v>
      </c>
      <c r="J20">
        <v>1.5</v>
      </c>
      <c r="K20">
        <v>616</v>
      </c>
      <c r="L20">
        <v>20</v>
      </c>
      <c r="M20">
        <v>1.625</v>
      </c>
      <c r="N20">
        <v>704.8</v>
      </c>
      <c r="O20">
        <v>16</v>
      </c>
      <c r="P20">
        <v>2.5</v>
      </c>
    </row>
    <row r="21" spans="1:19">
      <c r="A21" s="1">
        <v>18</v>
      </c>
      <c r="B21">
        <v>577.9</v>
      </c>
      <c r="C21">
        <v>16</v>
      </c>
      <c r="D21">
        <v>1.125</v>
      </c>
      <c r="E21">
        <v>628.6</v>
      </c>
      <c r="F21">
        <v>24</v>
      </c>
      <c r="G21">
        <v>1.25</v>
      </c>
      <c r="H21">
        <v>654</v>
      </c>
      <c r="I21">
        <v>20</v>
      </c>
      <c r="J21">
        <f>13/8</f>
        <v>1.625</v>
      </c>
      <c r="K21">
        <v>685.8</v>
      </c>
      <c r="L21">
        <v>20</v>
      </c>
      <c r="M21">
        <v>1.875</v>
      </c>
      <c r="N21">
        <v>774.7</v>
      </c>
      <c r="O21">
        <v>16</v>
      </c>
      <c r="P21">
        <v>2.75</v>
      </c>
    </row>
    <row r="22" spans="1:19">
      <c r="A22" s="1">
        <v>20</v>
      </c>
      <c r="B22">
        <v>635</v>
      </c>
      <c r="C22">
        <v>20</v>
      </c>
      <c r="D22">
        <v>1.125</v>
      </c>
      <c r="E22">
        <v>685.8</v>
      </c>
      <c r="F22">
        <v>24</v>
      </c>
      <c r="G22">
        <v>1.25</v>
      </c>
      <c r="H22">
        <v>723.9</v>
      </c>
      <c r="I22">
        <v>24</v>
      </c>
      <c r="J22">
        <f t="shared" ref="J22" si="5">13/8</f>
        <v>1.625</v>
      </c>
      <c r="K22">
        <v>749.8</v>
      </c>
      <c r="L22">
        <v>20</v>
      </c>
      <c r="M22">
        <v>2</v>
      </c>
      <c r="N22">
        <v>831.8</v>
      </c>
      <c r="O22">
        <v>16</v>
      </c>
      <c r="P22">
        <v>3</v>
      </c>
    </row>
    <row r="23" spans="1:19">
      <c r="A23" s="1">
        <v>24</v>
      </c>
      <c r="B23">
        <v>749.3</v>
      </c>
      <c r="C23">
        <v>20</v>
      </c>
      <c r="D23">
        <v>1.25</v>
      </c>
      <c r="E23">
        <v>812.8</v>
      </c>
      <c r="F23">
        <v>24</v>
      </c>
      <c r="G23">
        <v>1.5</v>
      </c>
      <c r="H23">
        <v>838.2</v>
      </c>
      <c r="I23">
        <v>24</v>
      </c>
      <c r="J23">
        <f>15/8</f>
        <v>1.875</v>
      </c>
      <c r="K23">
        <v>901.7</v>
      </c>
      <c r="L23">
        <v>20</v>
      </c>
      <c r="M23">
        <v>2.5</v>
      </c>
      <c r="N23">
        <v>990.6</v>
      </c>
      <c r="O23">
        <v>16</v>
      </c>
      <c r="P23">
        <v>3.5</v>
      </c>
    </row>
    <row r="27" spans="1:19">
      <c r="A27" t="s">
        <v>79</v>
      </c>
    </row>
  </sheetData>
  <mergeCells count="6">
    <mergeCell ref="B1:D1"/>
    <mergeCell ref="E1:G1"/>
    <mergeCell ref="H1:J1"/>
    <mergeCell ref="N1:P1"/>
    <mergeCell ref="Q1:S1"/>
    <mergeCell ref="K1:M1"/>
  </mergeCells>
  <pageMargins left="0.7" right="0.7" top="0.75" bottom="0.75" header="0.3" footer="0.3"/>
  <pageSetup paperSize="9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C27"/>
  <sheetViews>
    <sheetView workbookViewId="0">
      <selection activeCell="C2" sqref="C2"/>
    </sheetView>
  </sheetViews>
  <sheetFormatPr defaultRowHeight="15"/>
  <sheetData>
    <row r="1" spans="1:3">
      <c r="A1" t="s">
        <v>17</v>
      </c>
    </row>
    <row r="2" spans="1:3">
      <c r="A2" t="s">
        <v>18</v>
      </c>
      <c r="B2" t="s">
        <v>19</v>
      </c>
    </row>
    <row r="3" spans="1:3">
      <c r="A3" t="s">
        <v>21</v>
      </c>
      <c r="B3" t="s">
        <v>20</v>
      </c>
      <c r="C3" t="s">
        <v>22</v>
      </c>
    </row>
    <row r="4" spans="1:3">
      <c r="A4">
        <v>0.25</v>
      </c>
      <c r="B4">
        <v>2.69E-2</v>
      </c>
      <c r="C4">
        <f>B4*(25.4^2)</f>
        <v>17.354803999999998</v>
      </c>
    </row>
    <row r="5" spans="1:3">
      <c r="A5">
        <f>5/16</f>
        <v>0.3125</v>
      </c>
      <c r="B5">
        <v>4.5400000000000003E-2</v>
      </c>
      <c r="C5">
        <f t="shared" ref="C5:C27" si="0">B5*(25.4^2)</f>
        <v>29.290264000000001</v>
      </c>
    </row>
    <row r="6" spans="1:3">
      <c r="A6">
        <f>3/8</f>
        <v>0.375</v>
      </c>
      <c r="B6">
        <v>6.7799999999999999E-2</v>
      </c>
      <c r="C6">
        <f t="shared" si="0"/>
        <v>43.741847999999997</v>
      </c>
    </row>
    <row r="7" spans="1:3">
      <c r="A7">
        <f>7/16</f>
        <v>0.4375</v>
      </c>
      <c r="B7">
        <v>9.3299999999999994E-2</v>
      </c>
      <c r="C7">
        <f t="shared" si="0"/>
        <v>60.19342799999999</v>
      </c>
    </row>
    <row r="8" spans="1:3">
      <c r="A8">
        <f>1/2</f>
        <v>0.5</v>
      </c>
      <c r="B8">
        <v>0.12570000000000001</v>
      </c>
      <c r="C8">
        <f t="shared" si="0"/>
        <v>81.096611999999993</v>
      </c>
    </row>
    <row r="9" spans="1:3">
      <c r="A9">
        <f>9/16</f>
        <v>0.5625</v>
      </c>
      <c r="B9">
        <v>0.16200000000000001</v>
      </c>
      <c r="C9">
        <f t="shared" si="0"/>
        <v>104.51591999999999</v>
      </c>
    </row>
    <row r="10" spans="1:3">
      <c r="A10">
        <f>5/8</f>
        <v>0.625</v>
      </c>
      <c r="B10">
        <v>0.20200000000000001</v>
      </c>
      <c r="C10">
        <f t="shared" si="0"/>
        <v>130.32231999999999</v>
      </c>
    </row>
    <row r="11" spans="1:3">
      <c r="A11">
        <f>3/4</f>
        <v>0.75</v>
      </c>
      <c r="B11">
        <v>0.30199999999999999</v>
      </c>
      <c r="C11">
        <f t="shared" si="0"/>
        <v>194.83831999999998</v>
      </c>
    </row>
    <row r="12" spans="1:3">
      <c r="A12">
        <f>7/8</f>
        <v>0.875</v>
      </c>
      <c r="B12">
        <v>0.41899999999999998</v>
      </c>
      <c r="C12">
        <f t="shared" si="0"/>
        <v>270.32203999999996</v>
      </c>
    </row>
    <row r="13" spans="1:3">
      <c r="A13">
        <v>1</v>
      </c>
      <c r="B13">
        <v>0.55100000000000005</v>
      </c>
      <c r="C13">
        <f t="shared" si="0"/>
        <v>355.48316</v>
      </c>
    </row>
    <row r="14" spans="1:3">
      <c r="A14">
        <f>9/8</f>
        <v>1.125</v>
      </c>
      <c r="B14">
        <v>0.69299999999999995</v>
      </c>
      <c r="C14">
        <f t="shared" si="0"/>
        <v>447.09587999999997</v>
      </c>
    </row>
    <row r="15" spans="1:3">
      <c r="A15">
        <f>1.25</f>
        <v>1.25</v>
      </c>
      <c r="B15">
        <v>0.89</v>
      </c>
      <c r="C15">
        <f t="shared" si="0"/>
        <v>574.19240000000002</v>
      </c>
    </row>
    <row r="16" spans="1:3">
      <c r="A16">
        <f>11/8</f>
        <v>1.375</v>
      </c>
      <c r="B16">
        <v>1.054</v>
      </c>
      <c r="C16">
        <f t="shared" si="0"/>
        <v>679.99864000000002</v>
      </c>
    </row>
    <row r="17" spans="1:3">
      <c r="A17">
        <v>1.5</v>
      </c>
      <c r="B17">
        <v>1.294</v>
      </c>
      <c r="C17">
        <f t="shared" si="0"/>
        <v>834.83704</v>
      </c>
    </row>
    <row r="18" spans="1:3">
      <c r="A18">
        <v>1.75</v>
      </c>
      <c r="B18">
        <v>1.74</v>
      </c>
      <c r="C18">
        <f t="shared" si="0"/>
        <v>1122.5783999999999</v>
      </c>
    </row>
    <row r="19" spans="1:3">
      <c r="A19">
        <v>2</v>
      </c>
      <c r="B19">
        <v>2.2999999999999998</v>
      </c>
      <c r="C19">
        <f t="shared" si="0"/>
        <v>1483.8679999999997</v>
      </c>
    </row>
    <row r="20" spans="1:3">
      <c r="A20">
        <v>2.25</v>
      </c>
      <c r="B20">
        <v>3.02</v>
      </c>
      <c r="C20">
        <f t="shared" si="0"/>
        <v>1948.3832</v>
      </c>
    </row>
    <row r="21" spans="1:3">
      <c r="A21">
        <v>2.5</v>
      </c>
      <c r="B21">
        <v>3.72</v>
      </c>
      <c r="C21">
        <f t="shared" si="0"/>
        <v>2399.9951999999998</v>
      </c>
    </row>
    <row r="22" spans="1:3">
      <c r="A22">
        <v>2.75</v>
      </c>
      <c r="B22">
        <v>4.62</v>
      </c>
      <c r="C22">
        <f t="shared" si="0"/>
        <v>2980.6392000000001</v>
      </c>
    </row>
    <row r="23" spans="1:3">
      <c r="A23">
        <v>3</v>
      </c>
      <c r="B23">
        <v>5.62</v>
      </c>
      <c r="C23">
        <f t="shared" si="0"/>
        <v>3625.7991999999999</v>
      </c>
    </row>
    <row r="24" spans="1:3">
      <c r="A24">
        <v>3.25</v>
      </c>
      <c r="B24">
        <v>6.72</v>
      </c>
      <c r="C24">
        <f t="shared" si="0"/>
        <v>4335.4751999999999</v>
      </c>
    </row>
    <row r="25" spans="1:3">
      <c r="A25">
        <v>3.5</v>
      </c>
      <c r="B25">
        <v>7.92</v>
      </c>
      <c r="C25">
        <f t="shared" si="0"/>
        <v>5109.6671999999999</v>
      </c>
    </row>
    <row r="26" spans="1:3">
      <c r="A26">
        <v>3.75</v>
      </c>
      <c r="B26">
        <v>9.2100000000000009</v>
      </c>
      <c r="C26">
        <f t="shared" si="0"/>
        <v>5941.9236000000001</v>
      </c>
    </row>
    <row r="27" spans="1:3">
      <c r="A27">
        <v>4</v>
      </c>
      <c r="B27">
        <v>10.61</v>
      </c>
      <c r="C27">
        <f t="shared" si="0"/>
        <v>6845.1475999999993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V14"/>
  <sheetViews>
    <sheetView workbookViewId="0">
      <selection activeCell="A49" sqref="A49"/>
    </sheetView>
  </sheetViews>
  <sheetFormatPr defaultRowHeight="15"/>
  <cols>
    <col min="1" max="1" width="18.28515625" customWidth="1"/>
  </cols>
  <sheetData>
    <row r="1" spans="1:22">
      <c r="B1" t="s">
        <v>24</v>
      </c>
    </row>
    <row r="2" spans="1:22">
      <c r="A2" t="s">
        <v>23</v>
      </c>
      <c r="B2">
        <v>-30</v>
      </c>
      <c r="C2">
        <v>40</v>
      </c>
      <c r="D2">
        <v>65</v>
      </c>
      <c r="E2">
        <v>100</v>
      </c>
      <c r="F2">
        <v>125</v>
      </c>
      <c r="G2">
        <v>150</v>
      </c>
      <c r="H2">
        <v>175</v>
      </c>
      <c r="I2">
        <v>200</v>
      </c>
      <c r="J2">
        <v>225</v>
      </c>
      <c r="K2">
        <v>250</v>
      </c>
      <c r="L2">
        <v>275</v>
      </c>
      <c r="M2">
        <v>300</v>
      </c>
      <c r="N2">
        <v>325</v>
      </c>
      <c r="O2">
        <v>350</v>
      </c>
      <c r="P2">
        <v>375</v>
      </c>
      <c r="Q2">
        <v>400</v>
      </c>
      <c r="R2">
        <v>425</v>
      </c>
      <c r="S2">
        <v>450</v>
      </c>
      <c r="T2">
        <v>475</v>
      </c>
      <c r="U2">
        <v>500</v>
      </c>
      <c r="V2">
        <v>525</v>
      </c>
    </row>
    <row r="3" spans="1:22">
      <c r="A3" t="s">
        <v>104</v>
      </c>
      <c r="B3">
        <v>248</v>
      </c>
      <c r="C3">
        <v>248</v>
      </c>
      <c r="D3">
        <v>233</v>
      </c>
      <c r="E3">
        <v>227</v>
      </c>
      <c r="F3">
        <v>223</v>
      </c>
      <c r="G3">
        <v>219</v>
      </c>
      <c r="H3">
        <v>216</v>
      </c>
      <c r="I3">
        <v>213</v>
      </c>
      <c r="J3">
        <v>209</v>
      </c>
      <c r="K3">
        <v>204</v>
      </c>
      <c r="L3">
        <v>199</v>
      </c>
      <c r="M3">
        <v>194</v>
      </c>
      <c r="N3">
        <v>188</v>
      </c>
      <c r="O3">
        <v>183</v>
      </c>
      <c r="P3">
        <v>177</v>
      </c>
      <c r="Q3">
        <v>171</v>
      </c>
      <c r="R3">
        <v>166</v>
      </c>
      <c r="S3">
        <v>162</v>
      </c>
      <c r="T3">
        <v>158</v>
      </c>
      <c r="U3">
        <v>154</v>
      </c>
      <c r="V3">
        <v>150</v>
      </c>
    </row>
    <row r="4" spans="1:22">
      <c r="A4" t="s">
        <v>105</v>
      </c>
      <c r="B4">
        <v>248</v>
      </c>
      <c r="C4">
        <v>248</v>
      </c>
      <c r="D4">
        <v>233</v>
      </c>
      <c r="E4">
        <v>227</v>
      </c>
      <c r="F4">
        <v>223</v>
      </c>
      <c r="G4">
        <v>219</v>
      </c>
      <c r="H4">
        <v>216</v>
      </c>
      <c r="I4">
        <v>213</v>
      </c>
      <c r="J4">
        <v>209</v>
      </c>
      <c r="K4">
        <v>204</v>
      </c>
      <c r="L4">
        <v>199</v>
      </c>
      <c r="M4">
        <v>194</v>
      </c>
      <c r="N4">
        <v>188</v>
      </c>
      <c r="O4">
        <v>183</v>
      </c>
      <c r="P4">
        <v>177</v>
      </c>
      <c r="Q4">
        <v>171</v>
      </c>
      <c r="R4">
        <v>166</v>
      </c>
      <c r="S4">
        <v>162</v>
      </c>
      <c r="T4">
        <v>158</v>
      </c>
      <c r="U4">
        <v>154</v>
      </c>
      <c r="V4">
        <v>150</v>
      </c>
    </row>
    <row r="5" spans="1:22">
      <c r="A5" t="s">
        <v>108</v>
      </c>
      <c r="B5">
        <v>448</v>
      </c>
      <c r="C5">
        <v>448</v>
      </c>
      <c r="D5">
        <v>418</v>
      </c>
      <c r="E5">
        <v>395</v>
      </c>
      <c r="F5">
        <v>381</v>
      </c>
      <c r="G5">
        <v>370</v>
      </c>
      <c r="H5">
        <v>361</v>
      </c>
      <c r="I5">
        <v>354</v>
      </c>
      <c r="J5">
        <v>349</v>
      </c>
      <c r="K5">
        <v>344</v>
      </c>
      <c r="L5">
        <v>339</v>
      </c>
      <c r="M5">
        <v>334</v>
      </c>
      <c r="N5">
        <v>328</v>
      </c>
      <c r="O5">
        <v>322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107</v>
      </c>
      <c r="B6">
        <v>552</v>
      </c>
      <c r="C6">
        <v>552</v>
      </c>
      <c r="D6">
        <v>511</v>
      </c>
      <c r="E6">
        <v>481</v>
      </c>
      <c r="F6">
        <v>462</v>
      </c>
      <c r="G6">
        <v>445</v>
      </c>
      <c r="H6">
        <v>432</v>
      </c>
      <c r="I6">
        <v>420</v>
      </c>
      <c r="J6">
        <v>411</v>
      </c>
      <c r="K6">
        <v>404</v>
      </c>
      <c r="L6">
        <v>399</v>
      </c>
      <c r="M6">
        <v>396</v>
      </c>
      <c r="N6">
        <v>394</v>
      </c>
      <c r="O6">
        <v>393</v>
      </c>
      <c r="P6">
        <v>393</v>
      </c>
      <c r="Q6">
        <v>393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106</v>
      </c>
      <c r="B7">
        <v>207</v>
      </c>
      <c r="C7">
        <v>207</v>
      </c>
      <c r="D7">
        <v>189</v>
      </c>
      <c r="E7">
        <v>176</v>
      </c>
      <c r="F7">
        <v>168</v>
      </c>
      <c r="G7">
        <v>161</v>
      </c>
      <c r="H7">
        <v>154</v>
      </c>
      <c r="I7">
        <v>148</v>
      </c>
      <c r="J7">
        <v>144</v>
      </c>
      <c r="K7">
        <v>139</v>
      </c>
      <c r="L7">
        <v>136</v>
      </c>
      <c r="M7">
        <v>132</v>
      </c>
      <c r="N7">
        <v>129</v>
      </c>
      <c r="O7">
        <v>127</v>
      </c>
      <c r="P7">
        <v>125</v>
      </c>
      <c r="Q7">
        <v>123</v>
      </c>
      <c r="R7">
        <v>122</v>
      </c>
      <c r="S7">
        <v>121</v>
      </c>
      <c r="T7">
        <v>120</v>
      </c>
      <c r="U7">
        <v>118</v>
      </c>
      <c r="V7">
        <v>117</v>
      </c>
    </row>
    <row r="8" spans="1:22">
      <c r="A8" t="s">
        <v>109</v>
      </c>
      <c r="B8">
        <v>276</v>
      </c>
      <c r="C8">
        <v>276</v>
      </c>
      <c r="D8">
        <v>238</v>
      </c>
      <c r="E8">
        <v>213</v>
      </c>
      <c r="F8">
        <v>194</v>
      </c>
      <c r="G8">
        <v>176</v>
      </c>
      <c r="H8">
        <v>157</v>
      </c>
      <c r="I8">
        <v>138</v>
      </c>
      <c r="J8">
        <v>121</v>
      </c>
      <c r="K8">
        <v>108</v>
      </c>
      <c r="L8">
        <v>93.3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14" spans="1:22">
      <c r="A14" t="s">
        <v>80</v>
      </c>
    </row>
  </sheetData>
  <pageMargins left="0.7" right="0.7" top="0.75" bottom="0.75" header="0.3" footer="0.3"/>
  <pageSetup paperSize="9" scale="62" fitToHeight="0" orientation="landscape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E39"/>
  <sheetViews>
    <sheetView topLeftCell="A4" workbookViewId="0">
      <selection activeCell="A49" sqref="A49"/>
    </sheetView>
  </sheetViews>
  <sheetFormatPr defaultRowHeight="15"/>
  <cols>
    <col min="2" max="2" width="25.28515625" customWidth="1"/>
  </cols>
  <sheetData>
    <row r="1" spans="1:5">
      <c r="A1" t="s">
        <v>25</v>
      </c>
      <c r="B1" t="s">
        <v>23</v>
      </c>
      <c r="C1" t="s">
        <v>26</v>
      </c>
      <c r="D1" t="s">
        <v>27</v>
      </c>
      <c r="E1" t="s">
        <v>69</v>
      </c>
    </row>
    <row r="2" spans="1:5">
      <c r="A2" t="s">
        <v>81</v>
      </c>
      <c r="B2" t="s">
        <v>104</v>
      </c>
      <c r="C2" t="s">
        <v>1</v>
      </c>
      <c r="E2">
        <v>1.1000000000000001</v>
      </c>
    </row>
    <row r="3" spans="1:5">
      <c r="A3" t="s">
        <v>82</v>
      </c>
      <c r="B3" t="s">
        <v>104</v>
      </c>
      <c r="C3" t="s">
        <v>1</v>
      </c>
      <c r="E3">
        <v>1.1000000000000001</v>
      </c>
    </row>
    <row r="4" spans="1:5">
      <c r="A4" t="s">
        <v>83</v>
      </c>
      <c r="B4" t="s">
        <v>104</v>
      </c>
      <c r="C4" t="s">
        <v>13</v>
      </c>
      <c r="E4">
        <v>1.1000000000000001</v>
      </c>
    </row>
    <row r="5" spans="1:5">
      <c r="A5" t="s">
        <v>84</v>
      </c>
      <c r="B5" t="s">
        <v>104</v>
      </c>
      <c r="C5" t="s">
        <v>13</v>
      </c>
      <c r="E5">
        <v>1.1000000000000001</v>
      </c>
    </row>
    <row r="6" spans="1:5">
      <c r="A6" t="s">
        <v>85</v>
      </c>
      <c r="B6" t="s">
        <v>104</v>
      </c>
      <c r="C6" t="s">
        <v>15</v>
      </c>
      <c r="E6">
        <v>1.1000000000000001</v>
      </c>
    </row>
    <row r="7" spans="1:5">
      <c r="A7" t="s">
        <v>86</v>
      </c>
      <c r="B7" t="s">
        <v>104</v>
      </c>
      <c r="C7" t="s">
        <v>1</v>
      </c>
      <c r="E7">
        <v>1.1000000000000001</v>
      </c>
    </row>
    <row r="8" spans="1:5">
      <c r="A8" t="s">
        <v>87</v>
      </c>
      <c r="B8" t="s">
        <v>104</v>
      </c>
      <c r="C8" t="s">
        <v>13</v>
      </c>
      <c r="E8">
        <v>1.1000000000000001</v>
      </c>
    </row>
    <row r="9" spans="1:5">
      <c r="A9" t="s">
        <v>88</v>
      </c>
      <c r="B9" t="s">
        <v>104</v>
      </c>
      <c r="C9" t="s">
        <v>14</v>
      </c>
      <c r="E9">
        <v>1.1000000000000001</v>
      </c>
    </row>
    <row r="10" spans="1:5">
      <c r="A10" t="s">
        <v>89</v>
      </c>
      <c r="B10" t="s">
        <v>104</v>
      </c>
      <c r="C10" t="s">
        <v>14</v>
      </c>
      <c r="E10">
        <v>1.1000000000000001</v>
      </c>
    </row>
    <row r="11" spans="1:5">
      <c r="A11" t="s">
        <v>90</v>
      </c>
      <c r="B11" t="s">
        <v>104</v>
      </c>
      <c r="C11" t="s">
        <v>103</v>
      </c>
      <c r="E11">
        <v>1.1000000000000001</v>
      </c>
    </row>
    <row r="12" spans="1:5">
      <c r="A12" t="s">
        <v>91</v>
      </c>
      <c r="B12" t="s">
        <v>104</v>
      </c>
      <c r="C12" t="s">
        <v>15</v>
      </c>
      <c r="E12">
        <v>1.1000000000000001</v>
      </c>
    </row>
    <row r="13" spans="1:5">
      <c r="A13" t="s">
        <v>92</v>
      </c>
      <c r="B13" t="s">
        <v>104</v>
      </c>
      <c r="C13" t="s">
        <v>16</v>
      </c>
      <c r="E13">
        <v>1.1000000000000001</v>
      </c>
    </row>
    <row r="14" spans="1:5">
      <c r="A14" t="s">
        <v>28</v>
      </c>
      <c r="B14" t="s">
        <v>105</v>
      </c>
      <c r="C14" t="s">
        <v>1</v>
      </c>
      <c r="E14">
        <v>1.1000000000000001</v>
      </c>
    </row>
    <row r="15" spans="1:5">
      <c r="A15" t="s">
        <v>29</v>
      </c>
      <c r="B15" t="s">
        <v>105</v>
      </c>
      <c r="C15" t="s">
        <v>13</v>
      </c>
      <c r="E15">
        <v>1.1000000000000001</v>
      </c>
    </row>
    <row r="16" spans="1:5">
      <c r="A16" t="s">
        <v>30</v>
      </c>
      <c r="B16" t="s">
        <v>105</v>
      </c>
      <c r="C16" t="s">
        <v>13</v>
      </c>
      <c r="E16">
        <v>1.1000000000000001</v>
      </c>
    </row>
    <row r="17" spans="1:5">
      <c r="A17" t="s">
        <v>31</v>
      </c>
      <c r="B17" t="s">
        <v>105</v>
      </c>
      <c r="C17" t="s">
        <v>14</v>
      </c>
      <c r="E17">
        <v>1.1000000000000001</v>
      </c>
    </row>
    <row r="18" spans="1:5">
      <c r="A18" t="s">
        <v>93</v>
      </c>
      <c r="B18" t="s">
        <v>105</v>
      </c>
      <c r="C18" t="s">
        <v>14</v>
      </c>
      <c r="E18">
        <v>1.1000000000000001</v>
      </c>
    </row>
    <row r="19" spans="1:5">
      <c r="A19" t="s">
        <v>94</v>
      </c>
      <c r="B19" t="s">
        <v>105</v>
      </c>
      <c r="C19" t="s">
        <v>103</v>
      </c>
      <c r="E19">
        <v>1.1000000000000001</v>
      </c>
    </row>
    <row r="20" spans="1:5">
      <c r="A20" t="s">
        <v>95</v>
      </c>
      <c r="B20" t="s">
        <v>105</v>
      </c>
      <c r="C20" t="s">
        <v>15</v>
      </c>
      <c r="E20">
        <v>1.1000000000000001</v>
      </c>
    </row>
    <row r="21" spans="1:5">
      <c r="A21" t="s">
        <v>112</v>
      </c>
      <c r="B21" s="11" t="s">
        <v>105</v>
      </c>
      <c r="C21" t="s">
        <v>15</v>
      </c>
      <c r="E21">
        <v>1.1000000000000001</v>
      </c>
    </row>
    <row r="22" spans="1:5">
      <c r="A22" t="s">
        <v>96</v>
      </c>
      <c r="B22" t="s">
        <v>105</v>
      </c>
      <c r="C22" t="s">
        <v>16</v>
      </c>
      <c r="E22">
        <v>1.1000000000000001</v>
      </c>
    </row>
    <row r="23" spans="1:5">
      <c r="A23" t="s">
        <v>97</v>
      </c>
      <c r="B23" t="s">
        <v>104</v>
      </c>
      <c r="C23" t="s">
        <v>1</v>
      </c>
      <c r="E23">
        <v>1.1000000000000001</v>
      </c>
    </row>
    <row r="24" spans="1:5">
      <c r="A24" t="s">
        <v>32</v>
      </c>
      <c r="B24" t="s">
        <v>106</v>
      </c>
      <c r="C24" t="s">
        <v>1</v>
      </c>
      <c r="E24">
        <v>2.2000000000000002</v>
      </c>
    </row>
    <row r="25" spans="1:5">
      <c r="A25" t="s">
        <v>33</v>
      </c>
      <c r="B25" t="s">
        <v>107</v>
      </c>
      <c r="C25" t="s">
        <v>1</v>
      </c>
      <c r="E25">
        <v>2.8</v>
      </c>
    </row>
    <row r="26" spans="1:5">
      <c r="A26" t="s">
        <v>98</v>
      </c>
      <c r="B26" t="s">
        <v>108</v>
      </c>
      <c r="C26" t="s">
        <v>1</v>
      </c>
      <c r="E26">
        <v>2.8</v>
      </c>
    </row>
    <row r="27" spans="1:5">
      <c r="A27" t="s">
        <v>111</v>
      </c>
      <c r="B27" t="s">
        <v>106</v>
      </c>
      <c r="C27" t="s">
        <v>1</v>
      </c>
      <c r="E27">
        <v>2.2000000000000002</v>
      </c>
    </row>
    <row r="28" spans="1:5">
      <c r="A28" t="s">
        <v>34</v>
      </c>
      <c r="B28" t="s">
        <v>106</v>
      </c>
      <c r="C28" t="s">
        <v>13</v>
      </c>
      <c r="E28">
        <v>2.2000000000000002</v>
      </c>
    </row>
    <row r="29" spans="1:5">
      <c r="A29" t="s">
        <v>99</v>
      </c>
      <c r="B29" t="s">
        <v>107</v>
      </c>
      <c r="C29" t="s">
        <v>13</v>
      </c>
      <c r="E29">
        <v>2.8</v>
      </c>
    </row>
    <row r="30" spans="1:5">
      <c r="A30" t="s">
        <v>113</v>
      </c>
      <c r="B30" t="s">
        <v>108</v>
      </c>
      <c r="C30" t="s">
        <v>13</v>
      </c>
      <c r="E30">
        <v>2.8</v>
      </c>
    </row>
    <row r="31" spans="1:5">
      <c r="A31" t="s">
        <v>35</v>
      </c>
      <c r="B31" t="s">
        <v>106</v>
      </c>
      <c r="C31" t="s">
        <v>14</v>
      </c>
      <c r="E31">
        <v>2.2000000000000002</v>
      </c>
    </row>
    <row r="32" spans="1:5">
      <c r="A32" t="s">
        <v>36</v>
      </c>
      <c r="B32" t="s">
        <v>107</v>
      </c>
      <c r="C32" t="s">
        <v>14</v>
      </c>
      <c r="E32">
        <v>2.8</v>
      </c>
    </row>
    <row r="33" spans="1:5">
      <c r="A33" t="s">
        <v>100</v>
      </c>
      <c r="B33" t="s">
        <v>106</v>
      </c>
      <c r="C33" t="s">
        <v>103</v>
      </c>
      <c r="E33">
        <v>2.2000000000000002</v>
      </c>
    </row>
    <row r="34" spans="1:5">
      <c r="A34" t="s">
        <v>37</v>
      </c>
      <c r="B34" t="s">
        <v>106</v>
      </c>
      <c r="C34" t="s">
        <v>15</v>
      </c>
      <c r="E34">
        <v>2.2000000000000002</v>
      </c>
    </row>
    <row r="35" spans="1:5">
      <c r="A35" t="s">
        <v>114</v>
      </c>
      <c r="B35" t="s">
        <v>106</v>
      </c>
      <c r="C35" t="s">
        <v>16</v>
      </c>
      <c r="E35">
        <v>2.2000000000000002</v>
      </c>
    </row>
    <row r="36" spans="1:5">
      <c r="A36" t="s">
        <v>38</v>
      </c>
      <c r="B36" t="s">
        <v>107</v>
      </c>
      <c r="C36" t="s">
        <v>16</v>
      </c>
      <c r="E36">
        <v>2.8</v>
      </c>
    </row>
    <row r="37" spans="1:5">
      <c r="A37" t="s">
        <v>115</v>
      </c>
      <c r="B37" t="s">
        <v>116</v>
      </c>
      <c r="C37" t="s">
        <v>117</v>
      </c>
      <c r="D37" t="s">
        <v>118</v>
      </c>
      <c r="E37">
        <v>2.8</v>
      </c>
    </row>
    <row r="38" spans="1:5">
      <c r="A38" t="s">
        <v>101</v>
      </c>
      <c r="B38" t="s">
        <v>109</v>
      </c>
      <c r="C38" t="s">
        <v>1</v>
      </c>
    </row>
    <row r="39" spans="1:5">
      <c r="A39" t="s">
        <v>102</v>
      </c>
      <c r="B39" t="s">
        <v>104</v>
      </c>
      <c r="C39" t="s">
        <v>1</v>
      </c>
      <c r="E39">
        <v>1.1000000000000001</v>
      </c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Flange Leakage</vt:lpstr>
      <vt:lpstr>NC-3658.3</vt:lpstr>
      <vt:lpstr>Scratch</vt:lpstr>
      <vt:lpstr>Scratch (2)</vt:lpstr>
      <vt:lpstr>Scratch (2a)</vt:lpstr>
      <vt:lpstr>Flange Data</vt:lpstr>
      <vt:lpstr>Bolt Data</vt:lpstr>
      <vt:lpstr>Material Data</vt:lpstr>
      <vt:lpstr>Spec Data</vt:lpstr>
      <vt:lpstr>'NC-3658.3'!Print_Area</vt:lpstr>
    </vt:vector>
  </TitlesOfParts>
  <Company>Mustang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j1beede</dc:creator>
  <cp:lastModifiedBy>gowtham.jayaprakash</cp:lastModifiedBy>
  <cp:lastPrinted>2014-03-14T08:16:01Z</cp:lastPrinted>
  <dcterms:created xsi:type="dcterms:W3CDTF">2012-01-12T11:37:01Z</dcterms:created>
  <dcterms:modified xsi:type="dcterms:W3CDTF">2014-05-09T11:23:10Z</dcterms:modified>
</cp:coreProperties>
</file>