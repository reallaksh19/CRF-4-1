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theme/theme1.xml" ContentType="application/vnd.openxmlformats-officedocument.theme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odule1" sheetId="1" state="hidden" r:id="rId6"/>
    <sheet name="P6-Nomenclature" sheetId="2" state="visible" r:id="rId7"/>
    <sheet name="App A- Dry Gas Calc " sheetId="3" state="visible" r:id="rId8"/>
    <sheet name="AppB- Liquid or Multiphase Calc" sheetId="4" state="visible" r:id="rId9"/>
    <sheet name="APPC- Liquid or Multiphase Open" sheetId="5" state="visible" r:id="rId10"/>
  </sheets>
  <externalReferences>
    <externalReference r:id="rId1"/>
  </externalReferences>
  <definedNames>
    <definedName name="_Table1_In1" localSheetId="1" hidden="1">#REF!</definedName>
    <definedName name="_Table2_In1" localSheetId="1" hidden="1">#REF!</definedName>
    <definedName name="a" localSheetId="1">'[1]High Frequency Acoustic Excit.'!#REF!</definedName>
    <definedName name="B" localSheetId="1">'[1]High Frequency Acoustic Excit.'!#REF!</definedName>
    <definedName name="_xlnm.Print_Area" localSheetId="1">'P6-Nomenclature'!$B$1:$AN$51</definedName>
    <definedName name="s" localSheetId="1">'[1]High Frequency Acoustic Excit.'!#REF!</definedName>
    <definedName name="Z_F302B859_9C14_40B8_A8C5_DD6CAA83CE4D_.wvu.PrintArea" localSheetId="1" hidden="1">'P6-Nomenclature'!$B$1:$AN$51</definedName>
    <definedName name="_Table1_In1" localSheetId="2" hidden="1">#REF!</definedName>
    <definedName name="_Table2_In1" localSheetId="2" hidden="1">#REF!</definedName>
    <definedName name="a" localSheetId="2">'[1]High Frequency Acoustic Excit.'!#REF!</definedName>
    <definedName name="B" localSheetId="2">'[1]High Frequency Acoustic Excit.'!#REF!</definedName>
    <definedName name="_xlnm.Print_Area" localSheetId="2">'App A- Dry Gas Calc '!$B$1:$AN$52</definedName>
    <definedName name="s" localSheetId="2">'[1]High Frequency Acoustic Excit.'!#REF!</definedName>
    <definedName name="Z_F302B859_9C14_40B8_A8C5_DD6CAA83CE4D_.wvu.PrintArea" localSheetId="2" hidden="1">'App A- Dry Gas Calc '!$B$1:$AN$52</definedName>
    <definedName name="_Table1_In1" localSheetId="3" hidden="1">#REF!</definedName>
    <definedName name="_Table2_In1" localSheetId="3" hidden="1">#REF!</definedName>
    <definedName name="a" localSheetId="3">'[1]High Frequency Acoustic Excit.'!#REF!</definedName>
    <definedName name="B" localSheetId="3">'[1]High Frequency Acoustic Excit.'!#REF!</definedName>
    <definedName name="_xlnm.Print_Area" localSheetId="3">'AppB- Liquid or Multiphase Calc'!$B$1:$AN$51</definedName>
    <definedName name="s" localSheetId="3">'[1]High Frequency Acoustic Excit.'!#REF!</definedName>
    <definedName name="Z_F302B859_9C14_40B8_A8C5_DD6CAA83CE4D_.wvu.PrintArea" localSheetId="3" hidden="1">'AppB- Liquid or Multiphase Calc'!$B$1:$AN$58</definedName>
    <definedName name="_Table1_In1" localSheetId="4" hidden="1">#REF!</definedName>
    <definedName name="_Table2_In1" localSheetId="4" hidden="1">#REF!</definedName>
    <definedName name="a" localSheetId="4">'[1]High Frequency Acoustic Excit.'!#REF!</definedName>
    <definedName name="B" localSheetId="4">'[1]High Frequency Acoustic Excit.'!#REF!</definedName>
    <definedName name="_xlnm.Print_Area" localSheetId="4">'APPC- Liquid or Multiphase Open'!$B$1:$AN$52</definedName>
    <definedName name="s" localSheetId="4">'[1]High Frequency Acoustic Excit.'!#REF!</definedName>
    <definedName name="Z_F302B859_9C14_40B8_A8C5_DD6CAA83CE4D_.wvu.PrintArea" localSheetId="4" hidden="1">'APPC- Liquid or Multiphase Open'!$B$1:$AN$52</definedName>
    <definedName name="_app1">IF(ISBLANK(#REF!),"",#REF!)</definedName>
    <definedName name="_app2">IF(ISBLANK(#REF!),"",#REF!)</definedName>
    <definedName name="_app3">IF(ISBLANK(#REF!),"",#REF!)</definedName>
    <definedName name="_chk1">IF(ISBLANK(#REF!),"",#REF!)</definedName>
    <definedName name="_chk2">IF(ISBLANK(#REF!),"",#REF!)</definedName>
    <definedName name="_chk3">IF(ISBLANK(#REF!),"",#REF!)</definedName>
    <definedName name="_rev1">IF(ISBLANK(#REF!),"",#REF!)</definedName>
    <definedName name="_rev2">IF(ISBLANK(#REF!),"",#REF!)</definedName>
    <definedName name="_rev3">IF(ISBLANK(#REF!),"",#REF!)</definedName>
    <definedName name="_Table1_In1" hidden="1">#REF!</definedName>
    <definedName name="_Table2_In1" hidden="1">#REF!</definedName>
    <definedName name="a">'[1]High Frequency Acoustic Excit.'!#REF!</definedName>
    <definedName name="B">'[1]High Frequency Acoustic Excit.'!#REF!</definedName>
    <definedName name="Calc_No">IF(ISBLANK(#REF!),"",#REF!)</definedName>
    <definedName name="calc_title">IF(ISBLANK(#REF!),"",#REF!)</definedName>
    <definedName name="customer">IF(ISBLANK(#REF!),"",#REF!)</definedName>
    <definedName name="date1">IF(ISBLANK(#REF!),"",#REF!)</definedName>
    <definedName name="date2">IF(ISBLANK(#REF!),"",#REF!)</definedName>
    <definedName name="date3">IF(ISBLANK(#REF!),"",#REF!)</definedName>
    <definedName name="desc1">IF(ISBLANK(#REF!),"",#REF!)</definedName>
    <definedName name="desc2">IF(ISBLANK(#REF!),"",#REF!)</definedName>
    <definedName name="desc3">IF(ISBLANK(#REF!),"",#REF!)</definedName>
    <definedName name="Dext">'[1]High Frequency Acoustic Excit.'!$D$15</definedName>
    <definedName name="disclaimer">#REF!</definedName>
    <definedName name="elec_file">IF(ISBLANK(#REF!),"",#REF!)</definedName>
    <definedName name="num_pages">IF(ISBLANK(#REF!),"",#REF!)</definedName>
    <definedName name="orig1">IF(ISBLANK(#REF!),"",#REF!)</definedName>
    <definedName name="orig2">IF(ISBLANK(#REF!),"",#REF!)</definedName>
    <definedName name="orig3">IF(ISBLANK(#REF!),"",#REF!)</definedName>
    <definedName name="Phase_CTR">IF(ISBLANK(#REF!),"",#REF!)</definedName>
    <definedName name="proj_file">IF(ISBLANK(#REF!),"",#REF!)</definedName>
    <definedName name="Proj_No">IF(ISBLANK(#REF!),"",#REF!)</definedName>
    <definedName name="proj_title">IF(ISBLANK(#REF!),"",#REF!)</definedName>
    <definedName name="s">'[1]High Frequency Acoustic Excit.'!#REF!</definedName>
    <definedName name="T">'[1]High Frequency Acoustic Excit.'!$D$16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tc={00DC00F8-0078-4830-A330-005600B700F4}</author>
    <author>tc={000B009E-004C-44D7-B9F1-000B008D00B5}</author>
    <author>tc={00E5002C-0039-408D-9DDD-001200EE0049}</author>
  </authors>
  <commentList>
    <comment ref="AF20" authorId="0" xr:uid="{00DC00F8-0078-4830-A330-005600B700F4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If the Pipe Schedule is unknown, please select manually input and manually enter external Diameter and pipe wall thickness of the Main Line.
</t>
        </r>
      </text>
    </comment>
    <comment ref="AF23" authorId="1" xr:uid="{000B009E-004C-44D7-B9F1-000B008D00B5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User can manually enter the external diameter, by selecting the option "Manual Input" for the pipe schedule. 
</t>
        </r>
      </text>
    </comment>
    <comment ref="AF24" authorId="2" xr:uid="{00E5002C-0039-408D-9DDD-001200EE0049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User can manually enter the pipe wall thickness, by selecting the option "Manual Input" for the pipe schedule.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tc={001F0090-001A-4133-927F-0068005C00AF}</author>
    <author>tc={0020007F-00DE-464F-A2D8-008E002A004C}</author>
    <author>tc={008400ED-000A-4389-9DD6-000800040066}</author>
    <author>tc={009C0096-0032-4B30-A2E3-00DF006500AA}</author>
    <author>tc={00EC0079-0084-48B6-BE55-0020001E00A7}</author>
    <author>tc={00AC0057-003E-4B2F-95FE-005B00D60051}</author>
  </authors>
  <commentList>
    <comment ref="AF14" authorId="0" xr:uid="{001F0090-001A-4133-927F-0068005C00AF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If the fluid is multiphase, please enter in the mixed density, this can be calculated using the following formula:
Density = (Mass flow of Vapor + Mass Flow of Liquid) / (Volume flow Vapor + Volume flow of Liquid)
</t>
        </r>
      </text>
    </comment>
    <comment ref="AF17" authorId="1" xr:uid="{0020007F-00DE-464F-A2D8-008E002A004C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If the Pipe Schedule is unknown, please select manually input and manually enter external Diameter and pipe wall thickness of the Main Line.
</t>
        </r>
      </text>
    </comment>
    <comment ref="AF20" authorId="2" xr:uid="{008400ED-000A-4389-9DD6-000800040066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User can manually enter the external diameter, by selecting the option "Manual Input" for the pipe schedule. 
</t>
        </r>
      </text>
    </comment>
    <comment ref="AF21" authorId="3" xr:uid="{009C0096-0032-4B30-A2E3-00DF006500AA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User can manually enter the pipe wall thickness, by selecting the option "Manual Input" for the pipe schedule. 
</t>
        </r>
      </text>
    </comment>
    <comment ref="AF29" authorId="4" xr:uid="{00EC0079-0084-48B6-BE55-0020001E00A7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If the type and /or closing time of the valve are not known then assume a globe valve and a valve closing type of 1 second per inch of pipe diameter.
</t>
        </r>
      </text>
    </comment>
    <comment ref="AF34" authorId="5" xr:uid="{00AC0057-003E-4B2F-95FE-005B00D60051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Unless the user specifies user input, please do not modify these cells, as they are calculated based on the support type.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tc={00470039-0033-4FD7-A59F-00250085007F}</author>
    <author>tc={00DF00E7-004A-4C89-8B6C-009600F8006D}</author>
    <author>tc={00C80072-00FF-4A49-A492-00CC0050003A}</author>
    <author>tc={000800AB-00E0-4FBA-B9AD-00660083006B}</author>
  </authors>
  <commentList>
    <comment ref="AF15" authorId="0" xr:uid="{00470039-0033-4FD7-A59F-00250085007F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If the fluid is multiphase, please enter in the mixed density, this can be calculated using the following formula:
Density = (Mass flow of Vapor + Mass Flow of Liquid) / (Volume flow of Vapor + Volume flow of Liquid)
</t>
        </r>
      </text>
    </comment>
    <comment ref="AF19" authorId="1" xr:uid="{00DF00E7-004A-4C89-8B6C-009600F8006D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If the Pipe Schedule is unknown, please select manually input and manually enter external Diameter and pipe wall thickness of the Main Line.
</t>
        </r>
      </text>
    </comment>
    <comment ref="AF20" authorId="2" xr:uid="{00C80072-00FF-4A49-A492-00CC0050003A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User can manually enter the external diameter, by selecting the option "Manual Input" for the pipe schedule. 
</t>
        </r>
      </text>
    </comment>
    <comment ref="AF21" authorId="3" xr:uid="{000800AB-00E0-4FBA-B9AD-00660083006B}">
      <text>
        <r>
          <rPr>
            <b/>
            <sz val="9"/>
            <rFont val="Tahoma"/>
          </rPr>
          <t xml:space="preserve">Aslan, Robert (London):</t>
        </r>
        <r>
          <rPr>
            <sz val="9"/>
            <rFont val="Tahoma"/>
          </rPr>
          <t xml:space="preserve">
User can manually enter the pipe wall thickness, by selecting the option "Manual Input" for the pipe schedule. 
</t>
        </r>
      </text>
    </comment>
  </commentList>
</comments>
</file>

<file path=xl/sharedStrings.xml><?xml version="1.0" encoding="utf-8"?>
<sst xmlns="http://schemas.openxmlformats.org/spreadsheetml/2006/main" count="179" uniqueCount="179">
  <si>
    <t xml:space="preserve">Calculation Sheet</t>
  </si>
  <si>
    <t>Customer</t>
  </si>
  <si>
    <t xml:space="preserve">Project Title</t>
  </si>
  <si>
    <t xml:space="preserve">Calculation Title</t>
  </si>
  <si>
    <t>Phase/CTR</t>
  </si>
  <si>
    <t xml:space="preserve">Elec File Location</t>
  </si>
  <si>
    <t>Page</t>
  </si>
  <si>
    <t>of</t>
  </si>
  <si>
    <t>Rev</t>
  </si>
  <si>
    <t>Date</t>
  </si>
  <si>
    <t>By</t>
  </si>
  <si>
    <t>Checked</t>
  </si>
  <si>
    <t xml:space="preserve">The objective of this calculation is to determine the main line likelihood of failure (LOF) for vibration induced fatigue due to surge/momentum changes due to valve operation for….</t>
  </si>
  <si>
    <t>c</t>
  </si>
  <si>
    <t xml:space="preserve">Speed of sound</t>
  </si>
  <si>
    <t>m/s</t>
  </si>
  <si>
    <r>
      <t>D</t>
    </r>
    <r>
      <rPr>
        <vertAlign val="subscript"/>
        <sz val="10"/>
        <rFont val="Calibri"/>
      </rPr>
      <t>ext</t>
    </r>
  </si>
  <si>
    <t xml:space="preserve">External Diameter of Main Line</t>
  </si>
  <si>
    <t>mm</t>
  </si>
  <si>
    <r>
      <rPr>
        <sz val="10"/>
        <rFont val="Calibri"/>
      </rPr>
      <t>D</t>
    </r>
    <r>
      <rPr>
        <vertAlign val="subscript"/>
        <sz val="10"/>
        <rFont val="Calibri"/>
      </rPr>
      <t>ext</t>
    </r>
  </si>
  <si>
    <t xml:space="preserve">External Diameter of Branch</t>
  </si>
  <si>
    <r>
      <t>D</t>
    </r>
    <r>
      <rPr>
        <vertAlign val="subscript"/>
        <sz val="10"/>
        <rFont val="Calibri"/>
      </rPr>
      <t>int</t>
    </r>
  </si>
  <si>
    <t xml:space="preserve">Internal Diameter of Main Line</t>
  </si>
  <si>
    <r>
      <t>E</t>
    </r>
    <r>
      <rPr>
        <vertAlign val="subscript"/>
        <sz val="10"/>
        <rFont val="Calibri"/>
      </rPr>
      <t>ml</t>
    </r>
  </si>
  <si>
    <t xml:space="preserve">Young Modulus of the main line material</t>
  </si>
  <si>
    <r>
      <t>N/m</t>
    </r>
    <r>
      <rPr>
        <vertAlign val="superscript"/>
        <sz val="10"/>
        <rFont val="Calibri"/>
      </rPr>
      <t>2</t>
    </r>
  </si>
  <si>
    <r>
      <t>F</t>
    </r>
    <r>
      <rPr>
        <vertAlign val="subscript"/>
        <sz val="10"/>
        <rFont val="Calibri"/>
      </rPr>
      <t>lim</t>
    </r>
  </si>
  <si>
    <t xml:space="preserve">Limit Force</t>
  </si>
  <si>
    <t>kN</t>
  </si>
  <si>
    <r>
      <t>F</t>
    </r>
    <r>
      <rPr>
        <vertAlign val="subscript"/>
        <sz val="10"/>
        <rFont val="Calibri"/>
      </rPr>
      <t>max</t>
    </r>
  </si>
  <si>
    <t xml:space="preserve">Peak Force</t>
  </si>
  <si>
    <t>K</t>
  </si>
  <si>
    <t xml:space="preserve">Fluid bulk modulus</t>
  </si>
  <si>
    <r>
      <t>L</t>
    </r>
    <r>
      <rPr>
        <vertAlign val="subscript"/>
        <sz val="10"/>
        <rFont val="Calibri"/>
      </rPr>
      <t>dis</t>
    </r>
  </si>
  <si>
    <t xml:space="preserve">Distance between Source and Welded Discontinuity</t>
  </si>
  <si>
    <t>m</t>
  </si>
  <si>
    <r>
      <t>L</t>
    </r>
    <r>
      <rPr>
        <vertAlign val="subscript"/>
        <sz val="10"/>
        <rFont val="Calibri"/>
      </rPr>
      <t>up</t>
    </r>
  </si>
  <si>
    <t xml:space="preserve">Upstream pipe length </t>
  </si>
  <si>
    <t>Mw</t>
  </si>
  <si>
    <t xml:space="preserve">Molecular Weight</t>
  </si>
  <si>
    <t>g/mol</t>
  </si>
  <si>
    <r>
      <t>P</t>
    </r>
    <r>
      <rPr>
        <vertAlign val="subscript"/>
        <sz val="10"/>
        <rFont val="Calibri"/>
      </rPr>
      <t>1</t>
    </r>
  </si>
  <si>
    <t xml:space="preserve">Upstream static Pressure</t>
  </si>
  <si>
    <t>Pa(absolute)</t>
  </si>
  <si>
    <r>
      <t>P</t>
    </r>
    <r>
      <rPr>
        <vertAlign val="subscript"/>
        <sz val="10"/>
        <rFont val="Calibri"/>
      </rPr>
      <t>des</t>
    </r>
  </si>
  <si>
    <t xml:space="preserve">Piping design pressure</t>
  </si>
  <si>
    <r>
      <t>P</t>
    </r>
    <r>
      <rPr>
        <vertAlign val="subscript"/>
        <sz val="10"/>
        <rFont val="Calibri"/>
      </rPr>
      <t>shut-in</t>
    </r>
  </si>
  <si>
    <t xml:space="preserve">Pump head at zero flow</t>
  </si>
  <si>
    <t>R</t>
  </si>
  <si>
    <t xml:space="preserve">Universal Gas Constant</t>
  </si>
  <si>
    <r>
      <t xml:space="preserve">L.Pa. K</t>
    </r>
    <r>
      <rPr>
        <vertAlign val="superscript"/>
        <sz val="10"/>
        <rFont val="Calibri"/>
      </rPr>
      <t>-1</t>
    </r>
    <r>
      <rPr>
        <sz val="10"/>
        <rFont val="Calibri"/>
      </rPr>
      <t>mol</t>
    </r>
    <r>
      <rPr>
        <vertAlign val="superscript"/>
        <sz val="10"/>
        <rFont val="Calibri"/>
      </rPr>
      <t>-1</t>
    </r>
  </si>
  <si>
    <t>T</t>
  </si>
  <si>
    <t xml:space="preserve">Wall Thickness</t>
  </si>
  <si>
    <t xml:space="preserve">Actual pipe wall thickness</t>
  </si>
  <si>
    <r>
      <t>T</t>
    </r>
    <r>
      <rPr>
        <vertAlign val="subscript"/>
        <sz val="10"/>
        <rFont val="Calibri"/>
      </rPr>
      <t>close</t>
    </r>
  </si>
  <si>
    <t xml:space="preserve">Valve closing time</t>
  </si>
  <si>
    <t>sec</t>
  </si>
  <si>
    <t>Te</t>
  </si>
  <si>
    <t xml:space="preserve">Upstream Temperature</t>
  </si>
  <si>
    <t>W</t>
  </si>
  <si>
    <t xml:space="preserve">Mass Flowrate</t>
  </si>
  <si>
    <t>kg/s</t>
  </si>
  <si>
    <t>ΔP</t>
  </si>
  <si>
    <t xml:space="preserve">Static pressure drop</t>
  </si>
  <si>
    <t>Pa</t>
  </si>
  <si>
    <t>θ</t>
  </si>
  <si>
    <t xml:space="preserve">Correction factor for the pipe support</t>
  </si>
  <si>
    <t>ϒ</t>
  </si>
  <si>
    <r>
      <t xml:space="preserve">Ratio of Specific Heat Capacities (C</t>
    </r>
    <r>
      <rPr>
        <vertAlign val="subscript"/>
        <sz val="10"/>
        <rFont val="Calibri"/>
      </rPr>
      <t>p</t>
    </r>
    <r>
      <rPr>
        <sz val="10"/>
        <rFont val="Calibri"/>
      </rPr>
      <t>/C</t>
    </r>
    <r>
      <rPr>
        <vertAlign val="subscript"/>
        <sz val="10"/>
        <rFont val="Calibri"/>
      </rPr>
      <t>v</t>
    </r>
    <r>
      <rPr>
        <sz val="10"/>
        <rFont val="Calibri"/>
      </rPr>
      <t>)</t>
    </r>
  </si>
  <si>
    <t>φ</t>
  </si>
  <si>
    <t xml:space="preserve">Function defining the flow area as a function of time</t>
  </si>
  <si>
    <t>1/sec</t>
  </si>
  <si>
    <t>Ψ</t>
  </si>
  <si>
    <t xml:space="preserve">Actual pipe wall thickness/Schedule 40 pipe wall thickness</t>
  </si>
  <si>
    <t xml:space="preserve">APPENDIX - A Dry Gas Rapid Valve Opening </t>
  </si>
  <si>
    <t xml:space="preserve">CASE I</t>
  </si>
  <si>
    <t xml:space="preserve">CASE II</t>
  </si>
  <si>
    <t xml:space="preserve">CASE III</t>
  </si>
  <si>
    <t xml:space="preserve">Input Data</t>
  </si>
  <si>
    <t xml:space="preserve">Line/Unit Number</t>
  </si>
  <si>
    <t/>
  </si>
  <si>
    <t xml:space="preserve">Mass Flow Rate (Kg/s) W</t>
  </si>
  <si>
    <r>
      <t xml:space="preserve">Ratio of Specific Heat Capacities (C</t>
    </r>
    <r>
      <rPr>
        <vertAlign val="subscript"/>
        <sz val="10"/>
        <rFont val="Calibri"/>
      </rPr>
      <t>p</t>
    </r>
    <r>
      <rPr>
        <sz val="10"/>
        <rFont val="Calibri"/>
      </rPr>
      <t>/C</t>
    </r>
    <r>
      <rPr>
        <vertAlign val="subscript"/>
        <sz val="10"/>
        <rFont val="Calibri"/>
      </rPr>
      <t>v</t>
    </r>
    <r>
      <rPr>
        <sz val="10"/>
        <rFont val="Calibri"/>
      </rPr>
      <t xml:space="preserve">) ϒ</t>
    </r>
  </si>
  <si>
    <t xml:space="preserve">Upstream Temperature (K) Te</t>
  </si>
  <si>
    <t xml:space="preserve">Molecular Weight (g/mol), mW </t>
  </si>
  <si>
    <t xml:space="preserve">Nominal Pipe Diameter (mm)</t>
  </si>
  <si>
    <t xml:space="preserve">Pipe Schedule</t>
  </si>
  <si>
    <t>Std</t>
  </si>
  <si>
    <t xml:space="preserve">Sch 40</t>
  </si>
  <si>
    <t xml:space="preserve">Sch 80</t>
  </si>
  <si>
    <r>
      <t xml:space="preserve">External Main Line Diameter (mm) D</t>
    </r>
    <r>
      <rPr>
        <vertAlign val="subscript"/>
        <sz val="10"/>
        <rFont val="Calibri"/>
      </rPr>
      <t>ext</t>
    </r>
    <r>
      <rPr>
        <sz val="10"/>
        <rFont val="Calibri"/>
      </rPr>
      <t xml:space="preserve"> </t>
    </r>
  </si>
  <si>
    <t xml:space="preserve">Actual Pipe Wall Thickness (mm) T</t>
  </si>
  <si>
    <t>Ref</t>
  </si>
  <si>
    <t xml:space="preserve">Size mm</t>
  </si>
  <si>
    <t xml:space="preserve">Sch 5</t>
  </si>
  <si>
    <t xml:space="preserve">Sch 10</t>
  </si>
  <si>
    <t xml:space="preserve">Sch 20</t>
  </si>
  <si>
    <t xml:space="preserve">Sch 30</t>
  </si>
  <si>
    <t xml:space="preserve">Sch 60</t>
  </si>
  <si>
    <t xml:space="preserve">Sch 100</t>
  </si>
  <si>
    <t xml:space="preserve">Sch 120</t>
  </si>
  <si>
    <t xml:space="preserve">Sch 140</t>
  </si>
  <si>
    <t xml:space="preserve">Sch 160</t>
  </si>
  <si>
    <t>STD</t>
  </si>
  <si>
    <t>XS</t>
  </si>
  <si>
    <t>XXS</t>
  </si>
  <si>
    <r>
      <t xml:space="preserve">Manually Enter External Main Line Diameter D</t>
    </r>
    <r>
      <rPr>
        <vertAlign val="subscript"/>
        <sz val="10"/>
        <rFont val="Calibri"/>
      </rPr>
      <t xml:space="preserve">ext  </t>
    </r>
    <r>
      <rPr>
        <sz val="10"/>
        <rFont val="Calibri"/>
      </rPr>
      <t>(mm)</t>
    </r>
  </si>
  <si>
    <t xml:space="preserve">Manually Enter Actual Pipe Wall Thickness (mm) T</t>
  </si>
  <si>
    <t xml:space="preserve">Manual Input</t>
  </si>
  <si>
    <t>OD</t>
  </si>
  <si>
    <t>SCH</t>
  </si>
  <si>
    <t>W.T.</t>
  </si>
  <si>
    <t>I.D.</t>
  </si>
  <si>
    <r>
      <t xml:space="preserve">Internal Main Line Diameter (mm) D</t>
    </r>
    <r>
      <rPr>
        <vertAlign val="subscript"/>
        <sz val="10"/>
        <rFont val="Calibri"/>
      </rPr>
      <t>int</t>
    </r>
  </si>
  <si>
    <t xml:space="preserve">Schedule 40 Pipe Wall Thickness (mm)</t>
  </si>
  <si>
    <t xml:space="preserve">Support Type</t>
  </si>
  <si>
    <t xml:space="preserve">Medium Stiff</t>
  </si>
  <si>
    <t xml:space="preserve">Support Correction Factor θ </t>
  </si>
  <si>
    <t xml:space="preserve">Input Check</t>
  </si>
  <si>
    <t>Calculation</t>
  </si>
  <si>
    <r>
      <t xml:space="preserve">Peak Force (kN) F</t>
    </r>
    <r>
      <rPr>
        <vertAlign val="subscript"/>
        <sz val="10"/>
        <rFont val="Calibri"/>
      </rPr>
      <t>max</t>
    </r>
  </si>
  <si>
    <t xml:space="preserve">Thickness Ratio Ψ</t>
  </si>
  <si>
    <t xml:space="preserve">User Input</t>
  </si>
  <si>
    <r>
      <t xml:space="preserve">Limit Force (kN) F</t>
    </r>
    <r>
      <rPr>
        <vertAlign val="subscript"/>
        <sz val="10"/>
        <rFont val="Calibri"/>
      </rPr>
      <t>lim</t>
    </r>
  </si>
  <si>
    <t>Stiff</t>
  </si>
  <si>
    <t xml:space="preserve">Likelihood of Failure (L.O.F.)</t>
  </si>
  <si>
    <t>Medium</t>
  </si>
  <si>
    <t>Flexible</t>
  </si>
  <si>
    <t>n/a</t>
  </si>
  <si>
    <t xml:space="preserve">APPENDIX - B Liquid Multiphase Valve Closure</t>
  </si>
  <si>
    <t xml:space="preserve">CASE IV</t>
  </si>
  <si>
    <t xml:space="preserve">CASE V</t>
  </si>
  <si>
    <t xml:space="preserve">CASE VI</t>
  </si>
  <si>
    <t>Inputs</t>
  </si>
  <si>
    <r>
      <t xml:space="preserve">Fluid density (Kg/m</t>
    </r>
    <r>
      <rPr>
        <vertAlign val="superscript"/>
        <sz val="10"/>
        <rFont val="Calibri"/>
      </rPr>
      <t>3</t>
    </r>
    <r>
      <rPr>
        <sz val="10"/>
        <rFont val="Calibri"/>
      </rPr>
      <t xml:space="preserve">) ρ</t>
    </r>
  </si>
  <si>
    <t xml:space="preserve">Mass Flow Kg/s W</t>
  </si>
  <si>
    <r>
      <t xml:space="preserve">External Main Line Diameter (mm) D</t>
    </r>
    <r>
      <rPr>
        <vertAlign val="subscript"/>
        <sz val="10"/>
        <rFont val="Calibri"/>
      </rPr>
      <t>ex</t>
    </r>
    <r>
      <rPr>
        <sz val="10"/>
        <rFont val="Calibri"/>
      </rPr>
      <t xml:space="preserve"> </t>
    </r>
  </si>
  <si>
    <t>Yes</t>
  </si>
  <si>
    <t xml:space="preserve">Valve Closing Time (sec) </t>
  </si>
  <si>
    <t>No</t>
  </si>
  <si>
    <r>
      <t xml:space="preserve">Upstream static pressure (Pa) P</t>
    </r>
    <r>
      <rPr>
        <vertAlign val="subscript"/>
        <sz val="10"/>
        <rFont val="Calibri"/>
      </rPr>
      <t>1</t>
    </r>
  </si>
  <si>
    <t>Unkown</t>
  </si>
  <si>
    <r>
      <t xml:space="preserve">Fluid bulk modulus (N/m</t>
    </r>
    <r>
      <rPr>
        <vertAlign val="superscript"/>
        <sz val="10"/>
        <rFont val="Calibri"/>
      </rPr>
      <t>2</t>
    </r>
    <r>
      <rPr>
        <sz val="10"/>
        <rFont val="Calibri"/>
      </rPr>
      <t xml:space="preserve">) K</t>
    </r>
  </si>
  <si>
    <t xml:space="preserve">full bore ball</t>
  </si>
  <si>
    <r>
      <t xml:space="preserve">Young Modulus of the main line material (N/m</t>
    </r>
    <r>
      <rPr>
        <vertAlign val="superscript"/>
        <sz val="10"/>
        <rFont val="Calibri"/>
      </rPr>
      <t>2</t>
    </r>
    <r>
      <rPr>
        <sz val="10"/>
        <rFont val="Calibri"/>
      </rPr>
      <t xml:space="preserve">) E</t>
    </r>
    <r>
      <rPr>
        <vertAlign val="subscript"/>
        <sz val="10"/>
        <rFont val="Calibri"/>
      </rPr>
      <t>ml</t>
    </r>
  </si>
  <si>
    <t xml:space="preserve">reduced bore ball</t>
  </si>
  <si>
    <r>
      <t xml:space="preserve">Upstream pipe length (m) L</t>
    </r>
    <r>
      <rPr>
        <vertAlign val="subscript"/>
        <sz val="10"/>
        <rFont val="Calibri"/>
      </rPr>
      <t>up</t>
    </r>
  </si>
  <si>
    <t>Butterfly</t>
  </si>
  <si>
    <t xml:space="preserve">Valve Type</t>
  </si>
  <si>
    <t>Gate</t>
  </si>
  <si>
    <t>Globe</t>
  </si>
  <si>
    <t xml:space="preserve">Is the Valve downstream of a pump</t>
  </si>
  <si>
    <r>
      <t xml:space="preserve">Design pressure of piping (Pa) P</t>
    </r>
    <r>
      <rPr>
        <vertAlign val="subscript"/>
        <sz val="10"/>
        <rFont val="Calibri"/>
      </rPr>
      <t>des</t>
    </r>
  </si>
  <si>
    <r>
      <t xml:space="preserve">Pump Shut in pressure (Pa), P</t>
    </r>
    <r>
      <rPr>
        <vertAlign val="subscript"/>
        <sz val="10"/>
        <rFont val="Calibri"/>
      </rPr>
      <t>shut-in</t>
    </r>
  </si>
  <si>
    <t xml:space="preserve">Support type</t>
  </si>
  <si>
    <t xml:space="preserve">Speed of sounds (m/s) c</t>
  </si>
  <si>
    <t xml:space="preserve">Velocity (m/s) v </t>
  </si>
  <si>
    <r>
      <t xml:space="preserve">Maximum pressure surge (Pa) P</t>
    </r>
    <r>
      <rPr>
        <vertAlign val="subscript"/>
        <sz val="10"/>
        <rFont val="Calibri"/>
      </rPr>
      <t>max</t>
    </r>
  </si>
  <si>
    <r>
      <t xml:space="preserve">Maximum force (kN) F</t>
    </r>
    <r>
      <rPr>
        <vertAlign val="subscript"/>
        <sz val="10"/>
        <rFont val="Calibri"/>
      </rPr>
      <t>max</t>
    </r>
    <r>
      <rPr>
        <sz val="10"/>
        <rFont val="Calibri"/>
      </rPr>
      <t xml:space="preserve"> </t>
    </r>
  </si>
  <si>
    <t xml:space="preserve">φ (1/s)</t>
  </si>
  <si>
    <t>Ω</t>
  </si>
  <si>
    <r>
      <t xml:space="preserve">Peak pressure surge (Pa) P</t>
    </r>
    <r>
      <rPr>
        <vertAlign val="subscript"/>
        <sz val="10"/>
        <rFont val="Calibri"/>
      </rPr>
      <t>surge</t>
    </r>
    <r>
      <rPr>
        <sz val="10"/>
        <rFont val="Calibri"/>
      </rPr>
      <t xml:space="preserve"> </t>
    </r>
  </si>
  <si>
    <r>
      <t xml:space="preserve">Taking into account shut-in of pump P</t>
    </r>
    <r>
      <rPr>
        <vertAlign val="subscript"/>
        <sz val="10"/>
        <rFont val="Calibri"/>
      </rPr>
      <t xml:space="preserve">total </t>
    </r>
    <r>
      <rPr>
        <sz val="10"/>
        <rFont val="Calibri"/>
      </rPr>
      <t>(Pa)</t>
    </r>
  </si>
  <si>
    <r>
      <t xml:space="preserve">Limit force (kN) F</t>
    </r>
    <r>
      <rPr>
        <vertAlign val="subscript"/>
        <sz val="10"/>
        <rFont val="Calibri"/>
      </rPr>
      <t>lim</t>
    </r>
  </si>
  <si>
    <t xml:space="preserve">ASME B36.10 - 2000 :  Welded and Seamless Wrought Steel Pipe</t>
  </si>
  <si>
    <t xml:space="preserve">APP C - Liquid or Multiphase Valve Opening</t>
  </si>
  <si>
    <t xml:space="preserve">CASE VII</t>
  </si>
  <si>
    <t xml:space="preserve">CASE VIII</t>
  </si>
  <si>
    <t xml:space="preserve">CASE IX</t>
  </si>
  <si>
    <t xml:space="preserve">Data For Line Sizing:</t>
  </si>
  <si>
    <r>
      <t xml:space="preserve">Fluid Density (Kg/m</t>
    </r>
    <r>
      <rPr>
        <vertAlign val="superscript"/>
        <sz val="10"/>
        <rFont val="Calibri"/>
      </rPr>
      <t>3</t>
    </r>
    <r>
      <rPr>
        <sz val="10"/>
        <rFont val="Calibri"/>
      </rPr>
      <t xml:space="preserve">) ρ</t>
    </r>
  </si>
  <si>
    <t xml:space="preserve">ASME B36.10 Table 1 - Dimensions and Weights of Welded and Seamless Wrought Steel Pipe</t>
  </si>
  <si>
    <t xml:space="preserve">Static pressure drop (Pa)</t>
  </si>
  <si>
    <t xml:space="preserve">Nominal Diameter</t>
  </si>
  <si>
    <t>inches</t>
  </si>
  <si>
    <t xml:space="preserve">Manually Enter Actual Pipe Wall Thickness T (mm)</t>
  </si>
  <si>
    <t>N/A</t>
  </si>
  <si>
    <t xml:space="preserve">Support Correction Factor (θ) </t>
  </si>
  <si>
    <t xml:space="preserve">Thickness Ratio (Ψ)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</si>
</sst>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\ "/>
    <numFmt numFmtId="165" formatCode="[$-C09]dd\-mmm\-yy;@"/>
    <numFmt numFmtId="166" formatCode="0.0"/>
    <numFmt numFmtId="167" formatCode="0.000"/>
    <numFmt numFmtId="168" formatCode="0.0E+00"/>
    <numFmt numFmtId="169" formatCode="0.00000"/>
  </numFmts>
  <fonts count="25">
    <font>
      <sz val="10.000000"/>
      <color theme="1"/>
      <name val="Arial"/>
    </font>
    <font>
      <sz val="10.000000"/>
      <name val="Arial"/>
    </font>
    <font>
      <b/>
      <sz val="14.000000"/>
      <name val="Calibri"/>
    </font>
    <font>
      <b/>
      <sz val="8.000000"/>
      <name val="Arial"/>
    </font>
    <font>
      <b/>
      <sz val="10.000000"/>
      <name val="Calibri"/>
    </font>
    <font>
      <sz val="10.000000"/>
      <name val="Calibri"/>
    </font>
    <font>
      <i/>
      <sz val="8.000000"/>
      <name val="Times New Roman"/>
    </font>
    <font>
      <sz val="8.000000"/>
      <name val="Calibri"/>
    </font>
    <font>
      <sz val="9.000000"/>
      <name val="Calibri"/>
    </font>
    <font>
      <b/>
      <sz val="12.000000"/>
      <name val="Calibri"/>
    </font>
    <font>
      <vertAlign val="subscript"/>
      <sz val="10.000000"/>
      <name val="Calibri"/>
    </font>
    <font>
      <sz val="6.000000"/>
      <name val="Calibri"/>
    </font>
    <font>
      <b/>
      <sz val="10.000000"/>
      <color indexed="2"/>
      <name val="Calibri"/>
    </font>
    <font>
      <b/>
      <i/>
      <sz val="10.000000"/>
      <name val="Calibri"/>
    </font>
    <font>
      <sz val="12.000000"/>
      <name val="Times New Roman"/>
    </font>
    <font>
      <sz val="12.000000"/>
      <color indexed="2"/>
      <name val="Times New Roman"/>
    </font>
    <font>
      <b/>
      <sz val="12.000000"/>
      <name val="Times New Roman"/>
    </font>
    <font>
      <b/>
      <sz val="12.000000"/>
      <color indexed="2"/>
      <name val="Times New Roman"/>
    </font>
    <font>
      <b/>
      <sz val="10.000000"/>
      <name val="Times New Roman"/>
    </font>
    <font>
      <sz val="10.000000"/>
      <color indexed="2"/>
      <name val="Calibri"/>
    </font>
    <font>
      <sz val="12.000000"/>
      <color indexed="4"/>
      <name val="Times New Roman"/>
    </font>
    <font>
      <sz val="8.000000"/>
      <color indexed="2"/>
      <name val="Calibri"/>
    </font>
    <font>
      <sz val="6.000000"/>
      <name val="Arial"/>
    </font>
    <font>
      <b/>
      <u/>
      <sz val="12.000000"/>
      <name val="Helv"/>
    </font>
    <font>
      <b/>
      <sz val="13.000000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26"/>
      </patternFill>
    </fill>
    <fill>
      <patternFill patternType="solid">
        <fgColor theme="3" tint="0.79998168889431442"/>
      </patternFill>
    </fill>
    <fill>
      <patternFill patternType="solid">
        <fgColor theme="0" tint="-0.34998626667073579"/>
      </patternFill>
    </fill>
    <fill>
      <patternFill patternType="solid">
        <fgColor theme="0"/>
      </patternFill>
    </fill>
  </fills>
  <borders count="6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double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</cellStyleXfs>
  <cellXfs count="262">
    <xf fontId="0" fillId="0" borderId="0" numFmtId="0" xfId="0"/>
    <xf fontId="0" fillId="0" borderId="0" numFmtId="0" xfId="0" applyProtection="1">
      <protection locked="0"/>
    </xf>
    <xf fontId="0" fillId="2" borderId="0" numFmtId="0" xfId="0" applyFill="1" applyProtection="1">
      <protection locked="0"/>
    </xf>
    <xf fontId="2" fillId="0" borderId="1" numFmtId="0" xfId="0" applyFont="1" applyBorder="1" applyAlignment="1">
      <alignment horizontal="center" vertical="center"/>
    </xf>
    <xf fontId="0" fillId="2" borderId="0" numFmtId="0" xfId="0" applyFill="1"/>
    <xf fontId="3" fillId="0" borderId="0" numFmtId="0" xfId="0" applyFont="1" applyProtection="1">
      <protection locked="0"/>
    </xf>
    <xf fontId="4" fillId="2" borderId="2" numFmtId="0" xfId="0" applyFont="1" applyFill="1" applyBorder="1" applyAlignment="1">
      <alignment vertical="top"/>
    </xf>
    <xf fontId="4" fillId="2" borderId="3" numFmtId="0" xfId="0" applyFont="1" applyFill="1" applyBorder="1" applyAlignment="1">
      <alignment vertical="top"/>
    </xf>
    <xf fontId="5" fillId="2" borderId="3" numFmtId="164" xfId="0" applyNumberFormat="1" applyFont="1" applyFill="1" applyBorder="1" applyAlignment="1">
      <alignment horizontal="left" vertical="top"/>
    </xf>
    <xf fontId="4" fillId="2" borderId="3" numFmtId="0" xfId="0" applyFont="1" applyFill="1" applyBorder="1" applyAlignment="1">
      <alignment horizontal="left" vertical="top"/>
    </xf>
    <xf fontId="5" fillId="2" borderId="3" numFmtId="0" xfId="0" applyFont="1" applyFill="1" applyBorder="1" applyAlignment="1">
      <alignment horizontal="center" vertical="top"/>
    </xf>
    <xf fontId="5" fillId="2" borderId="4" numFmtId="0" xfId="0" applyFont="1" applyFill="1" applyBorder="1" applyAlignment="1">
      <alignment horizontal="center" vertical="top"/>
    </xf>
    <xf fontId="6" fillId="2" borderId="0" numFmtId="0" xfId="0" applyFont="1" applyFill="1" applyAlignment="1" applyProtection="1">
      <alignment horizontal="center" wrapText="1"/>
      <protection hidden="1"/>
    </xf>
    <xf fontId="3" fillId="2" borderId="0" numFmtId="0" xfId="0" applyFont="1" applyFill="1" applyProtection="1">
      <protection locked="0"/>
    </xf>
    <xf fontId="4" fillId="2" borderId="5" numFmtId="0" xfId="0" applyFont="1" applyFill="1" applyBorder="1" applyAlignment="1">
      <alignment vertical="top"/>
    </xf>
    <xf fontId="4" fillId="2" borderId="0" numFmtId="0" xfId="0" applyFont="1" applyFill="1" applyAlignment="1">
      <alignment vertical="top"/>
    </xf>
    <xf fontId="5" fillId="2" borderId="0" numFmtId="164" xfId="0" applyNumberFormat="1" applyFont="1" applyFill="1" applyAlignment="1">
      <alignment horizontal="left" vertical="top"/>
    </xf>
    <xf fontId="4" fillId="2" borderId="0" numFmtId="0" xfId="0" applyFont="1" applyFill="1" applyAlignment="1">
      <alignment horizontal="left" vertical="top"/>
    </xf>
    <xf fontId="5" fillId="2" borderId="0" numFmtId="0" xfId="0" applyFont="1" applyFill="1" applyAlignment="1">
      <alignment horizontal="center" vertical="top"/>
    </xf>
    <xf fontId="5" fillId="2" borderId="6" numFmtId="0" xfId="0" applyFont="1" applyFill="1" applyBorder="1" applyAlignment="1">
      <alignment horizontal="center" vertical="top"/>
    </xf>
    <xf fontId="4" fillId="2" borderId="5" numFmtId="0" xfId="0" applyFont="1" applyFill="1" applyBorder="1" applyAlignment="1">
      <alignment horizontal="left" vertical="top"/>
    </xf>
    <xf fontId="7" fillId="2" borderId="0" numFmtId="0" xfId="0" applyFont="1" applyFill="1" applyAlignment="1">
      <alignment horizontal="left" vertical="top"/>
    </xf>
    <xf fontId="7" fillId="2" borderId="0" numFmtId="0" xfId="0" applyFont="1" applyFill="1" applyAlignment="1">
      <alignment horizontal="left" vertical="top" wrapText="1"/>
    </xf>
    <xf fontId="7" fillId="2" borderId="6" numFmtId="0" xfId="0" applyFont="1" applyFill="1" applyBorder="1" applyAlignment="1">
      <alignment horizontal="left" vertical="top" wrapText="1"/>
    </xf>
    <xf fontId="3" fillId="0" borderId="0" numFmtId="0" xfId="0" applyFont="1"/>
    <xf fontId="4" fillId="2" borderId="7" numFmtId="0" xfId="0" applyFont="1" applyFill="1" applyBorder="1" applyAlignment="1">
      <alignment horizontal="left" vertical="top"/>
    </xf>
    <xf fontId="4" fillId="2" borderId="1" numFmtId="0" xfId="0" applyFont="1" applyFill="1" applyBorder="1" applyAlignment="1">
      <alignment horizontal="left" vertical="top"/>
    </xf>
    <xf fontId="5" fillId="0" borderId="1" numFmtId="164" xfId="0" applyNumberFormat="1" applyFont="1" applyBorder="1" applyAlignment="1">
      <alignment horizontal="left" vertical="top"/>
    </xf>
    <xf fontId="4" fillId="2" borderId="1" numFmtId="0" xfId="0" applyFont="1" applyFill="1" applyBorder="1" applyAlignment="1">
      <alignment horizontal="center" vertical="top"/>
    </xf>
    <xf fontId="5" fillId="3" borderId="1" numFmtId="0" xfId="0" applyFont="1" applyFill="1" applyBorder="1" applyAlignment="1">
      <alignment horizontal="center" vertical="top"/>
    </xf>
    <xf fontId="5" fillId="2" borderId="1" numFmtId="0" xfId="0" applyFont="1" applyFill="1" applyBorder="1" applyAlignment="1">
      <alignment horizontal="center" vertical="top"/>
    </xf>
    <xf fontId="5" fillId="2" borderId="8" numFmtId="0" xfId="0" applyFont="1" applyFill="1" applyBorder="1" applyAlignment="1">
      <alignment horizontal="center" vertical="top"/>
    </xf>
    <xf fontId="3" fillId="2" borderId="0" numFmtId="0" xfId="0" applyFont="1" applyFill="1"/>
    <xf fontId="4" fillId="0" borderId="9" numFmtId="0" xfId="0" applyFont="1" applyBorder="1" applyAlignment="1">
      <alignment horizontal="center" vertical="center"/>
    </xf>
    <xf fontId="4" fillId="0" borderId="10" numFmtId="0" xfId="0" applyFont="1" applyBorder="1" applyAlignment="1">
      <alignment horizontal="center" vertical="center"/>
    </xf>
    <xf fontId="4" fillId="0" borderId="11" numFmtId="0" xfId="0" applyFont="1" applyBorder="1" applyAlignment="1">
      <alignment horizontal="center" vertical="center"/>
    </xf>
    <xf fontId="4" fillId="0" borderId="12" numFmtId="0" xfId="0" applyFont="1" applyBorder="1" applyAlignment="1">
      <alignment horizontal="center" vertical="center"/>
    </xf>
    <xf fontId="1" fillId="2" borderId="0" numFmtId="0" xfId="0" applyFont="1" applyFill="1" applyAlignment="1">
      <alignment vertical="center"/>
    </xf>
    <xf fontId="8" fillId="2" borderId="9" numFmtId="0" xfId="0" applyFont="1" applyFill="1" applyBorder="1" applyAlignment="1">
      <alignment horizontal="center" vertical="center"/>
    </xf>
    <xf fontId="8" fillId="2" borderId="10" numFmtId="0" xfId="0" applyFont="1" applyFill="1" applyBorder="1" applyAlignment="1">
      <alignment horizontal="center" vertical="center"/>
    </xf>
    <xf fontId="8" fillId="2" borderId="9" numFmtId="165" xfId="0" applyNumberFormat="1" applyFont="1" applyFill="1" applyBorder="1" applyAlignment="1">
      <alignment horizontal="center" vertical="center"/>
    </xf>
    <xf fontId="8" fillId="2" borderId="11" numFmtId="165" xfId="0" applyNumberFormat="1" applyFont="1" applyFill="1" applyBorder="1" applyAlignment="1">
      <alignment horizontal="center" vertical="center"/>
    </xf>
    <xf fontId="8" fillId="2" borderId="7" numFmtId="0" xfId="0" applyFont="1" applyFill="1" applyBorder="1" applyAlignment="1">
      <alignment horizontal="center" vertical="center"/>
    </xf>
    <xf fontId="8" fillId="2" borderId="1" numFmtId="0" xfId="0" applyFont="1" applyFill="1" applyBorder="1" applyAlignment="1">
      <alignment horizontal="center" vertical="center"/>
    </xf>
    <xf fontId="8" fillId="2" borderId="8" numFmtId="0" xfId="0" applyFont="1" applyFill="1" applyBorder="1" applyAlignment="1">
      <alignment horizontal="center" vertical="center"/>
    </xf>
    <xf fontId="8" fillId="2" borderId="11" numFmtId="0" xfId="0" applyFont="1" applyFill="1" applyBorder="1" applyAlignment="1">
      <alignment horizontal="center" vertical="center"/>
    </xf>
    <xf fontId="8" fillId="2" borderId="12" numFmtId="0" xfId="0" applyFont="1" applyFill="1" applyBorder="1" applyAlignment="1">
      <alignment horizontal="center" vertical="center"/>
    </xf>
    <xf fontId="5" fillId="0" borderId="2" numFmtId="0" xfId="0" applyFont="1" applyBorder="1" applyAlignment="1" applyProtection="1">
      <alignment vertical="top"/>
      <protection locked="0"/>
    </xf>
    <xf fontId="5" fillId="0" borderId="3" numFmtId="0" xfId="0" applyFont="1" applyBorder="1" applyAlignment="1" applyProtection="1">
      <alignment vertical="top"/>
      <protection locked="0"/>
    </xf>
    <xf fontId="5" fillId="0" borderId="4" numFmtId="0" xfId="0" applyFont="1" applyBorder="1" applyAlignment="1" applyProtection="1">
      <alignment vertical="top"/>
      <protection locked="0"/>
    </xf>
    <xf fontId="5" fillId="0" borderId="5" numFmtId="0" xfId="0" applyFont="1" applyBorder="1" applyAlignment="1" applyProtection="1">
      <alignment vertical="top"/>
      <protection locked="0"/>
    </xf>
    <xf fontId="9" fillId="0" borderId="0" numFmtId="0" xfId="0" applyFont="1" applyAlignment="1" applyProtection="1">
      <alignment horizontal="center" vertical="top"/>
      <protection locked="0"/>
    </xf>
    <xf fontId="5" fillId="0" borderId="0" numFmtId="0" xfId="0" applyFont="1" applyAlignment="1" applyProtection="1">
      <alignment vertical="top"/>
      <protection locked="0"/>
    </xf>
    <xf fontId="9" fillId="0" borderId="0" numFmtId="0" xfId="0" applyFont="1" applyAlignment="1" applyProtection="1">
      <alignment vertical="top"/>
      <protection locked="0"/>
    </xf>
    <xf fontId="5" fillId="0" borderId="6" numFmtId="0" xfId="0" applyFont="1" applyBorder="1" applyAlignment="1" applyProtection="1">
      <alignment vertical="top"/>
      <protection locked="0"/>
    </xf>
    <xf fontId="5" fillId="0" borderId="0" numFmtId="0" xfId="1" applyFont="1" applyProtection="1">
      <protection locked="0"/>
    </xf>
    <xf fontId="10" fillId="0" borderId="0" numFmtId="0" xfId="1" applyFont="1" applyProtection="1">
      <protection locked="0"/>
    </xf>
    <xf fontId="0" fillId="0" borderId="0" numFmtId="0" xfId="0" applyAlignment="1" applyProtection="1">
      <alignment wrapText="1"/>
      <protection locked="0"/>
    </xf>
    <xf fontId="11" fillId="2" borderId="3" numFmtId="0" xfId="0" applyFont="1" applyFill="1" applyBorder="1" applyAlignment="1" applyProtection="1">
      <alignment horizontal="center" wrapText="1"/>
      <protection locked="0"/>
    </xf>
    <xf fontId="9" fillId="0" borderId="5" numFmtId="0" xfId="0" applyFont="1" applyBorder="1" applyAlignment="1" applyProtection="1">
      <alignment horizontal="center" vertical="top"/>
      <protection locked="0"/>
    </xf>
    <xf fontId="9" fillId="0" borderId="6" numFmtId="0" xfId="0" applyFont="1" applyBorder="1" applyAlignment="1" applyProtection="1">
      <alignment horizontal="center" vertical="top"/>
      <protection locked="0"/>
    </xf>
    <xf fontId="12" fillId="0" borderId="0" numFmtId="0" xfId="0" applyFont="1" applyAlignment="1" applyProtection="1">
      <alignment horizontal="center" vertical="top"/>
      <protection locked="0"/>
    </xf>
    <xf fontId="12" fillId="0" borderId="6" numFmtId="0" xfId="0" applyFont="1" applyBorder="1" applyAlignment="1" applyProtection="1">
      <alignment horizontal="center" vertical="top"/>
      <protection locked="0"/>
    </xf>
    <xf fontId="5" fillId="0" borderId="13" numFmtId="0" xfId="0" applyFont="1" applyBorder="1" applyAlignment="1" applyProtection="1">
      <alignment horizontal="left" vertical="top"/>
      <protection locked="0"/>
    </xf>
    <xf fontId="5" fillId="0" borderId="14" numFmtId="0" xfId="0" applyFont="1" applyBorder="1" applyAlignment="1" applyProtection="1">
      <alignment horizontal="left" vertical="top"/>
      <protection locked="0"/>
    </xf>
    <xf fontId="5" fillId="0" borderId="15" numFmtId="0" xfId="0" applyFont="1" applyBorder="1" applyAlignment="1" applyProtection="1">
      <alignment horizontal="left" vertical="top"/>
      <protection locked="0"/>
    </xf>
    <xf fontId="9" fillId="3" borderId="13" numFmtId="0" xfId="0" applyFont="1" applyFill="1" applyBorder="1" applyAlignment="1" applyProtection="1">
      <alignment horizontal="center" vertical="top"/>
      <protection locked="0"/>
    </xf>
    <xf fontId="9" fillId="3" borderId="14" numFmtId="0" xfId="0" applyFont="1" applyFill="1" applyBorder="1" applyAlignment="1" applyProtection="1">
      <alignment horizontal="center" vertical="top"/>
      <protection locked="0"/>
    </xf>
    <xf fontId="9" fillId="3" borderId="16" numFmtId="0" xfId="0" applyFont="1" applyFill="1" applyBorder="1" applyAlignment="1" applyProtection="1">
      <alignment horizontal="center" vertical="top"/>
      <protection locked="0"/>
    </xf>
    <xf fontId="13" fillId="0" borderId="13" numFmtId="0" xfId="0" applyFont="1" applyBorder="1" applyAlignment="1" applyProtection="1">
      <alignment horizontal="center" vertical="top"/>
      <protection locked="0"/>
    </xf>
    <xf fontId="13" fillId="0" borderId="14" numFmtId="0" xfId="0" applyFont="1" applyBorder="1" applyAlignment="1" applyProtection="1">
      <alignment horizontal="center" vertical="top"/>
      <protection locked="0"/>
    </xf>
    <xf fontId="13" fillId="0" borderId="16" numFmtId="0" xfId="0" applyFont="1" applyBorder="1" applyAlignment="1" applyProtection="1">
      <alignment horizontal="center" vertical="top"/>
      <protection locked="0"/>
    </xf>
    <xf fontId="5" fillId="0" borderId="17" numFmtId="0" xfId="0" applyFont="1" applyBorder="1" applyAlignment="1" applyProtection="1">
      <alignment horizontal="left" vertical="top"/>
      <protection locked="0"/>
    </xf>
    <xf fontId="5" fillId="0" borderId="18" numFmtId="0" xfId="0" applyFont="1" applyBorder="1" applyAlignment="1" applyProtection="1">
      <alignment horizontal="left" vertical="top"/>
      <protection locked="0"/>
    </xf>
    <xf fontId="5" fillId="0" borderId="19" numFmtId="0" xfId="0" applyFont="1" applyBorder="1" applyAlignment="1" applyProtection="1">
      <alignment horizontal="left" vertical="top"/>
      <protection locked="0"/>
    </xf>
    <xf fontId="4" fillId="3" borderId="17" numFmtId="0" xfId="0" applyFont="1" applyFill="1" applyBorder="1" applyAlignment="1" applyProtection="1" quotePrefix="1">
      <alignment horizontal="center" vertical="top"/>
      <protection locked="0"/>
    </xf>
    <xf fontId="4" fillId="3" borderId="18" numFmtId="0" xfId="0" applyFont="1" applyFill="1" applyBorder="1" applyAlignment="1" applyProtection="1">
      <alignment horizontal="center" vertical="top"/>
      <protection locked="0"/>
    </xf>
    <xf fontId="4" fillId="3" borderId="20" numFmtId="0" xfId="0" applyFont="1" applyFill="1" applyBorder="1" applyAlignment="1" applyProtection="1">
      <alignment horizontal="center" vertical="top"/>
      <protection locked="0"/>
    </xf>
    <xf fontId="5" fillId="0" borderId="21" numFmtId="0" xfId="0" applyFont="1" applyBorder="1" applyAlignment="1" applyProtection="1">
      <alignment horizontal="left" vertical="top"/>
      <protection locked="0"/>
    </xf>
    <xf fontId="5" fillId="0" borderId="22" numFmtId="0" xfId="0" applyFont="1" applyBorder="1" applyAlignment="1" applyProtection="1">
      <alignment horizontal="left" vertical="top"/>
      <protection locked="0"/>
    </xf>
    <xf fontId="5" fillId="0" borderId="9" numFmtId="0" xfId="0" applyFont="1" applyBorder="1" applyAlignment="1" applyProtection="1">
      <alignment horizontal="left" vertical="top"/>
      <protection locked="0"/>
    </xf>
    <xf fontId="4" fillId="3" borderId="21" numFmtId="2" xfId="0" applyNumberFormat="1" applyFont="1" applyFill="1" applyBorder="1" applyAlignment="1" applyProtection="1">
      <alignment horizontal="center" vertical="top"/>
      <protection locked="0"/>
    </xf>
    <xf fontId="4" fillId="3" borderId="22" numFmtId="2" xfId="0" applyNumberFormat="1" applyFont="1" applyFill="1" applyBorder="1" applyAlignment="1" applyProtection="1">
      <alignment horizontal="center" vertical="top"/>
      <protection locked="0"/>
    </xf>
    <xf fontId="4" fillId="3" borderId="23" numFmtId="2" xfId="0" applyNumberFormat="1" applyFont="1" applyFill="1" applyBorder="1" applyAlignment="1" applyProtection="1">
      <alignment horizontal="center" vertical="top"/>
      <protection locked="0"/>
    </xf>
    <xf fontId="4" fillId="3" borderId="21" numFmtId="1" xfId="0" applyNumberFormat="1" applyFont="1" applyFill="1" applyBorder="1" applyAlignment="1" applyProtection="1">
      <alignment horizontal="center" vertical="top"/>
      <protection locked="0"/>
    </xf>
    <xf fontId="4" fillId="3" borderId="22" numFmtId="1" xfId="0" applyNumberFormat="1" applyFont="1" applyFill="1" applyBorder="1" applyAlignment="1" applyProtection="1">
      <alignment horizontal="center" vertical="top"/>
      <protection locked="0"/>
    </xf>
    <xf fontId="4" fillId="3" borderId="23" numFmtId="1" xfId="0" applyNumberFormat="1" applyFont="1" applyFill="1" applyBorder="1" applyAlignment="1" applyProtection="1">
      <alignment horizontal="center" vertical="top"/>
      <protection locked="0"/>
    </xf>
    <xf fontId="4" fillId="3" borderId="21" numFmtId="0" xfId="0" applyFont="1" applyFill="1" applyBorder="1" applyAlignment="1" applyProtection="1">
      <alignment horizontal="center" vertical="top"/>
      <protection locked="0"/>
    </xf>
    <xf fontId="4" fillId="3" borderId="22" numFmtId="0" xfId="0" applyFont="1" applyFill="1" applyBorder="1" applyAlignment="1" applyProtection="1">
      <alignment horizontal="center" vertical="top"/>
      <protection locked="0"/>
    </xf>
    <xf fontId="4" fillId="3" borderId="23" numFmtId="0" xfId="0" applyFont="1" applyFill="1" applyBorder="1" applyAlignment="1" applyProtection="1">
      <alignment horizontal="center" vertical="top"/>
      <protection locked="0"/>
    </xf>
    <xf fontId="4" fillId="4" borderId="21" numFmtId="166" xfId="0" applyNumberFormat="1" applyFont="1" applyFill="1" applyBorder="1" applyAlignment="1">
      <alignment horizontal="center" vertical="top"/>
    </xf>
    <xf fontId="4" fillId="4" borderId="22" numFmtId="166" xfId="0" applyNumberFormat="1" applyFont="1" applyFill="1" applyBorder="1" applyAlignment="1">
      <alignment horizontal="center" vertical="top"/>
    </xf>
    <xf fontId="4" fillId="4" borderId="23" numFmtId="166" xfId="0" applyNumberFormat="1" applyFont="1" applyFill="1" applyBorder="1" applyAlignment="1">
      <alignment horizontal="center" vertical="top"/>
    </xf>
    <xf fontId="4" fillId="4" borderId="21" numFmtId="2" xfId="0" applyNumberFormat="1" applyFont="1" applyFill="1" applyBorder="1" applyAlignment="1">
      <alignment horizontal="center" vertical="top"/>
    </xf>
    <xf fontId="4" fillId="4" borderId="22" numFmtId="2" xfId="0" applyNumberFormat="1" applyFont="1" applyFill="1" applyBorder="1" applyAlignment="1">
      <alignment horizontal="center" vertical="top"/>
    </xf>
    <xf fontId="4" fillId="4" borderId="23" numFmtId="2" xfId="0" applyNumberFormat="1" applyFont="1" applyFill="1" applyBorder="1" applyAlignment="1">
      <alignment horizontal="center" vertical="top"/>
    </xf>
    <xf fontId="0" fillId="2" borderId="0" numFmtId="0" xfId="0" applyFill="1" applyAlignment="1" applyProtection="1">
      <alignment horizontal="right"/>
      <protection locked="0"/>
    </xf>
    <xf fontId="14" fillId="3" borderId="0" numFmtId="0" xfId="0" applyFont="1" applyFill="1" applyAlignment="1">
      <alignment vertical="center"/>
    </xf>
    <xf fontId="15" fillId="3" borderId="0" numFmtId="0" xfId="0" applyFont="1" applyFill="1" applyAlignment="1">
      <alignment horizontal="right" vertical="center"/>
    </xf>
    <xf fontId="15" fillId="3" borderId="0" numFmtId="0" xfId="0" applyFont="1" applyFill="1" applyAlignment="1">
      <alignment vertical="center"/>
    </xf>
    <xf fontId="15" fillId="3" borderId="0" numFmtId="0" xfId="0" applyFont="1" applyFill="1" applyAlignment="1">
      <alignment horizontal="center" vertical="center"/>
    </xf>
    <xf fontId="14" fillId="3" borderId="24" numFmtId="0" xfId="0" applyFont="1" applyFill="1" applyBorder="1" applyAlignment="1">
      <alignment vertical="center"/>
    </xf>
    <xf fontId="5" fillId="0" borderId="25" numFmtId="0" xfId="0" applyFont="1" applyBorder="1" applyAlignment="1" applyProtection="1">
      <alignment vertical="top"/>
      <protection locked="0"/>
    </xf>
    <xf fontId="5" fillId="0" borderId="11" numFmtId="0" xfId="0" applyFont="1" applyBorder="1" applyAlignment="1" applyProtection="1">
      <alignment vertical="top"/>
      <protection locked="0"/>
    </xf>
    <xf fontId="4" fillId="5" borderId="25" numFmtId="166" xfId="0" applyNumberFormat="1" applyFont="1" applyFill="1" applyBorder="1" applyAlignment="1" applyProtection="1">
      <alignment horizontal="center" vertical="top"/>
      <protection locked="0"/>
    </xf>
    <xf fontId="4" fillId="5" borderId="11" numFmtId="166" xfId="0" applyNumberFormat="1" applyFont="1" applyFill="1" applyBorder="1" applyAlignment="1" applyProtection="1">
      <alignment horizontal="center" vertical="top"/>
      <protection locked="0"/>
    </xf>
    <xf fontId="4" fillId="5" borderId="26" numFmtId="166" xfId="0" applyNumberFormat="1" applyFont="1" applyFill="1" applyBorder="1" applyAlignment="1" applyProtection="1">
      <alignment horizontal="center" vertical="top"/>
      <protection locked="0"/>
    </xf>
    <xf fontId="4" fillId="5" borderId="25" numFmtId="2" xfId="0" applyNumberFormat="1" applyFont="1" applyFill="1" applyBorder="1" applyAlignment="1" applyProtection="1">
      <alignment horizontal="center" vertical="top"/>
      <protection locked="0"/>
    </xf>
    <xf fontId="4" fillId="5" borderId="11" numFmtId="2" xfId="0" applyNumberFormat="1" applyFont="1" applyFill="1" applyBorder="1" applyAlignment="1" applyProtection="1">
      <alignment horizontal="center" vertical="top"/>
      <protection locked="0"/>
    </xf>
    <xf fontId="4" fillId="5" borderId="26" numFmtId="2" xfId="0" applyNumberFormat="1" applyFont="1" applyFill="1" applyBorder="1" applyAlignment="1" applyProtection="1">
      <alignment horizontal="center" vertical="top"/>
      <protection locked="0"/>
    </xf>
    <xf fontId="16" fillId="3" borderId="0" numFmtId="0" xfId="0" applyFont="1" applyFill="1" applyAlignment="1">
      <alignment horizontal="right" vertical="center"/>
    </xf>
    <xf fontId="17" fillId="3" borderId="0" numFmtId="0" xfId="0" applyFont="1" applyFill="1" applyAlignment="1">
      <alignment horizontal="right" vertical="center"/>
    </xf>
    <xf fontId="16" fillId="3" borderId="24" numFmtId="0" xfId="0" applyFont="1" applyFill="1" applyBorder="1" applyAlignment="1">
      <alignment horizontal="right" vertical="center"/>
    </xf>
    <xf fontId="18" fillId="3" borderId="0" numFmtId="0" xfId="0" applyFont="1" applyFill="1" applyAlignment="1">
      <alignment horizontal="right" vertical="center"/>
    </xf>
    <xf fontId="14" fillId="3" borderId="0" numFmtId="167" xfId="0" applyNumberFormat="1" applyFont="1" applyFill="1" applyAlignment="1">
      <alignment horizontal="right" vertical="center"/>
    </xf>
    <xf fontId="14" fillId="3" borderId="0" numFmtId="0" xfId="0" applyFont="1" applyFill="1" applyAlignment="1">
      <alignment horizontal="right" vertical="center"/>
    </xf>
    <xf fontId="14" fillId="3" borderId="24" numFmtId="0" xfId="0" applyFont="1" applyFill="1" applyBorder="1" applyAlignment="1">
      <alignment horizontal="right" vertical="center"/>
    </xf>
    <xf fontId="16" fillId="3" borderId="0" numFmtId="0" xfId="0" applyFont="1" applyFill="1" applyAlignment="1">
      <alignment vertical="center"/>
    </xf>
    <xf fontId="18" fillId="3" borderId="0" numFmtId="0" xfId="0" applyFont="1" applyFill="1" applyAlignment="1">
      <alignment vertical="center"/>
    </xf>
    <xf fontId="14" fillId="3" borderId="0" numFmtId="167" xfId="0" applyNumberFormat="1" applyFont="1" applyFill="1" applyAlignment="1">
      <alignment vertical="center"/>
    </xf>
    <xf fontId="14" fillId="3" borderId="0" numFmtId="0" xfId="0" applyFont="1" applyFill="1" applyAlignment="1" quotePrefix="1">
      <alignment horizontal="left" vertical="center"/>
    </xf>
    <xf fontId="14" fillId="3" borderId="24" numFmtId="167" xfId="0" applyNumberFormat="1" applyFont="1" applyFill="1" applyBorder="1" applyAlignment="1">
      <alignment horizontal="right" vertical="center"/>
    </xf>
    <xf fontId="5" fillId="0" borderId="27" numFmtId="0" xfId="0" applyFont="1" applyBorder="1" applyAlignment="1" applyProtection="1">
      <alignment horizontal="left" vertical="top"/>
      <protection locked="0"/>
    </xf>
    <xf fontId="5" fillId="0" borderId="28" numFmtId="0" xfId="0" applyFont="1" applyBorder="1" applyAlignment="1" applyProtection="1">
      <alignment horizontal="left" vertical="top"/>
      <protection locked="0"/>
    </xf>
    <xf fontId="5" fillId="0" borderId="2" numFmtId="0" xfId="0" applyFont="1" applyBorder="1" applyAlignment="1" applyProtection="1">
      <alignment horizontal="left" vertical="top"/>
      <protection locked="0"/>
    </xf>
    <xf fontId="4" fillId="4" borderId="27" numFmtId="0" xfId="0" applyFont="1" applyFill="1" applyBorder="1" applyAlignment="1">
      <alignment horizontal="center" vertical="top"/>
    </xf>
    <xf fontId="4" fillId="4" borderId="28" numFmtId="0" xfId="0" applyFont="1" applyFill="1" applyBorder="1" applyAlignment="1">
      <alignment horizontal="center" vertical="top"/>
    </xf>
    <xf fontId="4" fillId="4" borderId="29" numFmtId="0" xfId="0" applyFont="1" applyFill="1" applyBorder="1" applyAlignment="1">
      <alignment horizontal="center" vertical="top"/>
    </xf>
    <xf fontId="5" fillId="0" borderId="28" numFmtId="0" xfId="0" applyFont="1" applyBorder="1" applyAlignment="1" applyProtection="1">
      <alignment horizontal="left" vertical="center"/>
      <protection locked="0"/>
    </xf>
    <xf fontId="5" fillId="0" borderId="2" numFmtId="0" xfId="0" applyFont="1" applyBorder="1" applyAlignment="1" applyProtection="1">
      <alignment horizontal="left" vertical="center"/>
      <protection locked="0"/>
    </xf>
    <xf fontId="19" fillId="6" borderId="30" numFmtId="0" xfId="0" applyFont="1" applyFill="1" applyBorder="1" applyAlignment="1">
      <alignment horizontal="center" vertical="center" wrapText="1"/>
    </xf>
    <xf fontId="19" fillId="6" borderId="31" numFmtId="0" xfId="0" applyFont="1" applyFill="1" applyBorder="1" applyAlignment="1">
      <alignment horizontal="center" vertical="center" wrapText="1"/>
    </xf>
    <xf fontId="19" fillId="6" borderId="32" numFmtId="0" xfId="0" applyFont="1" applyFill="1" applyBorder="1" applyAlignment="1">
      <alignment horizontal="center" vertical="center" wrapText="1"/>
    </xf>
    <xf fontId="14" fillId="3" borderId="24" numFmtId="167" xfId="0" applyNumberFormat="1" applyFont="1" applyFill="1" applyBorder="1" applyAlignment="1">
      <alignment vertical="center"/>
    </xf>
    <xf fontId="13" fillId="0" borderId="33" numFmtId="0" xfId="0" applyFont="1" applyBorder="1" applyAlignment="1" applyProtection="1">
      <alignment horizontal="center" vertical="top"/>
      <protection locked="0"/>
    </xf>
    <xf fontId="5" fillId="0" borderId="34" numFmtId="0" xfId="0" applyFont="1" applyBorder="1" applyAlignment="1" applyProtection="1">
      <alignment horizontal="center" vertical="top"/>
      <protection locked="0"/>
    </xf>
    <xf fontId="5" fillId="0" borderId="35" numFmtId="0" xfId="0" applyFont="1" applyBorder="1" applyAlignment="1" applyProtection="1">
      <alignment horizontal="center" vertical="top"/>
      <protection locked="0"/>
    </xf>
    <xf fontId="5" fillId="0" borderId="20" numFmtId="0" xfId="0" applyFont="1" applyBorder="1" applyAlignment="1" applyProtection="1">
      <alignment horizontal="left" vertical="top"/>
      <protection locked="0"/>
    </xf>
    <xf fontId="4" fillId="4" borderId="17" numFmtId="2" xfId="0" applyNumberFormat="1" applyFont="1" applyFill="1" applyBorder="1" applyAlignment="1">
      <alignment horizontal="center" vertical="top"/>
    </xf>
    <xf fontId="4" fillId="4" borderId="18" numFmtId="2" xfId="0" applyNumberFormat="1" applyFont="1" applyFill="1" applyBorder="1" applyAlignment="1">
      <alignment horizontal="center" vertical="top"/>
    </xf>
    <xf fontId="4" fillId="4" borderId="20" numFmtId="2" xfId="0" applyNumberFormat="1" applyFont="1" applyFill="1" applyBorder="1" applyAlignment="1">
      <alignment horizontal="center" vertical="top"/>
    </xf>
    <xf fontId="1" fillId="0" borderId="0" numFmtId="0" xfId="0" applyFont="1"/>
    <xf fontId="5" fillId="0" borderId="23" numFmtId="0" xfId="0" applyFont="1" applyBorder="1" applyAlignment="1" applyProtection="1">
      <alignment horizontal="left" vertical="top"/>
      <protection locked="0"/>
    </xf>
    <xf fontId="1" fillId="2" borderId="0" numFmtId="0" xfId="0" applyFont="1" applyFill="1" applyProtection="1">
      <protection locked="0"/>
    </xf>
    <xf fontId="4" fillId="0" borderId="30" numFmtId="0" xfId="0" applyFont="1" applyBorder="1" applyAlignment="1" applyProtection="1">
      <alignment horizontal="left" vertical="top"/>
      <protection locked="0"/>
    </xf>
    <xf fontId="4" fillId="0" borderId="31" numFmtId="0" xfId="0" applyFont="1" applyBorder="1" applyAlignment="1" applyProtection="1">
      <alignment horizontal="left" vertical="top"/>
      <protection locked="0"/>
    </xf>
    <xf fontId="4" fillId="0" borderId="32" numFmtId="0" xfId="0" applyFont="1" applyBorder="1" applyAlignment="1" applyProtection="1">
      <alignment horizontal="left" vertical="top"/>
      <protection locked="0"/>
    </xf>
    <xf fontId="4" fillId="4" borderId="30" numFmtId="2" xfId="0" applyNumberFormat="1" applyFont="1" applyFill="1" applyBorder="1" applyAlignment="1">
      <alignment horizontal="center" vertical="top"/>
    </xf>
    <xf fontId="4" fillId="4" borderId="31" numFmtId="2" xfId="0" applyNumberFormat="1" applyFont="1" applyFill="1" applyBorder="1" applyAlignment="1">
      <alignment horizontal="center" vertical="top"/>
    </xf>
    <xf fontId="4" fillId="4" borderId="32" numFmtId="2" xfId="0" applyNumberFormat="1" applyFont="1" applyFill="1" applyBorder="1" applyAlignment="1">
      <alignment horizontal="center" vertical="top"/>
    </xf>
    <xf fontId="20" fillId="3" borderId="0" numFmtId="0" xfId="0" applyFont="1" applyFill="1" applyAlignment="1">
      <alignment vertical="center"/>
    </xf>
    <xf fontId="16" fillId="3" borderId="36" numFmtId="0" xfId="0" applyFont="1" applyFill="1" applyBorder="1" applyAlignment="1">
      <alignment vertical="center"/>
    </xf>
    <xf fontId="18" fillId="3" borderId="36" numFmtId="0" xfId="0" applyFont="1" applyFill="1" applyBorder="1" applyAlignment="1">
      <alignment vertical="center"/>
    </xf>
    <xf fontId="15" fillId="3" borderId="36" numFmtId="0" xfId="0" applyFont="1" applyFill="1" applyBorder="1" applyAlignment="1">
      <alignment horizontal="right" vertical="center"/>
    </xf>
    <xf fontId="14" fillId="3" borderId="36" numFmtId="167" xfId="0" applyNumberFormat="1" applyFont="1" applyFill="1" applyBorder="1" applyAlignment="1">
      <alignment vertical="center"/>
    </xf>
    <xf fontId="14" fillId="3" borderId="36" numFmtId="0" xfId="0" applyFont="1" applyFill="1" applyBorder="1" applyAlignment="1">
      <alignment vertical="center"/>
    </xf>
    <xf fontId="14" fillId="3" borderId="37" numFmtId="0" xfId="0" applyFont="1" applyFill="1" applyBorder="1" applyAlignment="1">
      <alignment vertical="center"/>
    </xf>
    <xf fontId="14" fillId="3" borderId="0" numFmtId="0" xfId="0" applyFont="1" applyFill="1" applyAlignment="1">
      <alignment horizontal="left" vertical="center"/>
    </xf>
    <xf fontId="12" fillId="0" borderId="36" numFmtId="0" xfId="0" applyFont="1" applyBorder="1" applyAlignment="1" applyProtection="1">
      <alignment horizontal="center" vertical="top"/>
      <protection locked="0"/>
    </xf>
    <xf fontId="5" fillId="0" borderId="38" numFmtId="0" xfId="0" applyFont="1" applyBorder="1" applyAlignment="1" applyProtection="1">
      <alignment horizontal="center" vertical="top"/>
      <protection locked="0"/>
    </xf>
    <xf fontId="5" fillId="0" borderId="39" numFmtId="0" xfId="0" applyFont="1" applyBorder="1" applyAlignment="1" applyProtection="1">
      <alignment horizontal="center" vertical="top"/>
      <protection locked="0"/>
    </xf>
    <xf fontId="5" fillId="0" borderId="40" numFmtId="0" xfId="0" applyFont="1" applyBorder="1" applyAlignment="1" applyProtection="1">
      <alignment horizontal="center" vertical="top"/>
      <protection locked="0"/>
    </xf>
    <xf fontId="9" fillId="3" borderId="38" numFmtId="0" xfId="0" applyFont="1" applyFill="1" applyBorder="1" applyAlignment="1" applyProtection="1">
      <alignment horizontal="center" vertical="top"/>
      <protection locked="0"/>
    </xf>
    <xf fontId="9" fillId="3" borderId="39" numFmtId="0" xfId="0" applyFont="1" applyFill="1" applyBorder="1" applyAlignment="1" applyProtection="1">
      <alignment horizontal="center" vertical="top"/>
      <protection locked="0"/>
    </xf>
    <xf fontId="9" fillId="3" borderId="40" numFmtId="0" xfId="0" applyFont="1" applyFill="1" applyBorder="1" applyAlignment="1" applyProtection="1">
      <alignment horizontal="center" vertical="top"/>
      <protection locked="0"/>
    </xf>
    <xf fontId="13" fillId="0" borderId="5" numFmtId="0" xfId="0" applyFont="1" applyBorder="1" applyAlignment="1" applyProtection="1">
      <alignment vertical="top"/>
      <protection locked="0"/>
    </xf>
    <xf fontId="13" fillId="0" borderId="38" numFmtId="0" xfId="0" applyFont="1" applyBorder="1" applyAlignment="1" applyProtection="1">
      <alignment horizontal="center" vertical="top"/>
      <protection locked="0"/>
    </xf>
    <xf fontId="13" fillId="0" borderId="39" numFmtId="0" xfId="0" applyFont="1" applyBorder="1" applyAlignment="1" applyProtection="1">
      <alignment horizontal="center" vertical="top"/>
      <protection locked="0"/>
    </xf>
    <xf fontId="13" fillId="0" borderId="40" numFmtId="0" xfId="0" applyFont="1" applyBorder="1" applyAlignment="1" applyProtection="1">
      <alignment horizontal="center" vertical="top"/>
      <protection locked="0"/>
    </xf>
    <xf fontId="4" fillId="3" borderId="41" numFmtId="0" xfId="0" applyFont="1" applyFill="1" applyBorder="1" applyAlignment="1" applyProtection="1" quotePrefix="1">
      <alignment horizontal="center" vertical="top"/>
      <protection locked="0"/>
    </xf>
    <xf fontId="4" fillId="3" borderId="18" numFmtId="0" xfId="0" applyFont="1" applyFill="1" applyBorder="1" applyAlignment="1" applyProtection="1" quotePrefix="1">
      <alignment horizontal="center" vertical="top"/>
      <protection locked="0"/>
    </xf>
    <xf fontId="4" fillId="3" borderId="10" numFmtId="166" xfId="0" applyNumberFormat="1" applyFont="1" applyFill="1" applyBorder="1" applyAlignment="1" applyProtection="1">
      <alignment horizontal="center" vertical="top"/>
      <protection locked="0"/>
    </xf>
    <xf fontId="4" fillId="3" borderId="22" numFmtId="166" xfId="0" applyNumberFormat="1" applyFont="1" applyFill="1" applyBorder="1" applyAlignment="1" applyProtection="1">
      <alignment horizontal="center" vertical="top"/>
      <protection locked="0"/>
    </xf>
    <xf fontId="4" fillId="3" borderId="23" numFmtId="166" xfId="0" applyNumberFormat="1" applyFont="1" applyFill="1" applyBorder="1" applyAlignment="1" applyProtection="1">
      <alignment horizontal="center" vertical="top"/>
      <protection locked="0"/>
    </xf>
    <xf fontId="4" fillId="3" borderId="10" numFmtId="2" xfId="0" applyNumberFormat="1" applyFont="1" applyFill="1" applyBorder="1" applyAlignment="1" applyProtection="1">
      <alignment horizontal="center" vertical="top"/>
      <protection locked="0"/>
    </xf>
    <xf fontId="4" fillId="3" borderId="10" numFmtId="0" xfId="0" applyFont="1" applyFill="1" applyBorder="1" applyAlignment="1" applyProtection="1">
      <alignment horizontal="center" vertical="top"/>
      <protection locked="0"/>
    </xf>
    <xf fontId="4" fillId="4" borderId="10" numFmtId="166" xfId="0" applyNumberFormat="1" applyFont="1" applyFill="1" applyBorder="1" applyAlignment="1">
      <alignment horizontal="center" vertical="top"/>
    </xf>
    <xf fontId="4" fillId="4" borderId="10" numFmtId="2" xfId="0" applyNumberFormat="1" applyFont="1" applyFill="1" applyBorder="1" applyAlignment="1">
      <alignment horizontal="center" vertical="top"/>
    </xf>
    <xf fontId="5" fillId="0" borderId="26" numFmtId="0" xfId="0" applyFont="1" applyBorder="1" applyAlignment="1" applyProtection="1">
      <alignment vertical="top"/>
      <protection locked="0"/>
    </xf>
    <xf fontId="4" fillId="5" borderId="10" numFmtId="166" xfId="0" applyNumberFormat="1" applyFont="1" applyFill="1" applyBorder="1" applyAlignment="1" applyProtection="1">
      <alignment horizontal="center" vertical="top"/>
      <protection locked="0"/>
    </xf>
    <xf fontId="4" fillId="5" borderId="9" numFmtId="166" xfId="0" applyNumberFormat="1" applyFont="1" applyFill="1" applyBorder="1" applyAlignment="1" applyProtection="1">
      <alignment horizontal="center" vertical="top"/>
      <protection locked="0"/>
    </xf>
    <xf fontId="4" fillId="5" borderId="10" numFmtId="2" xfId="0" applyNumberFormat="1" applyFont="1" applyFill="1" applyBorder="1" applyAlignment="1" applyProtection="1">
      <alignment horizontal="center" vertical="top"/>
      <protection locked="0"/>
    </xf>
    <xf fontId="4" fillId="5" borderId="9" numFmtId="2" xfId="0" applyNumberFormat="1" applyFont="1" applyFill="1" applyBorder="1" applyAlignment="1" applyProtection="1">
      <alignment horizontal="center" vertical="top"/>
      <protection locked="0"/>
    </xf>
    <xf fontId="1" fillId="2" borderId="0" numFmtId="0" xfId="0" applyFont="1" applyFill="1" applyAlignment="1" applyProtection="1">
      <alignment horizontal="right"/>
      <protection locked="0"/>
    </xf>
    <xf fontId="4" fillId="3" borderId="10" numFmtId="1" xfId="0" applyNumberFormat="1" applyFont="1" applyFill="1" applyBorder="1" applyAlignment="1" applyProtection="1">
      <alignment horizontal="center" vertical="top"/>
      <protection locked="0"/>
    </xf>
    <xf fontId="4" fillId="3" borderId="10" numFmtId="11" xfId="0" applyNumberFormat="1" applyFont="1" applyFill="1" applyBorder="1" applyAlignment="1" applyProtection="1">
      <alignment horizontal="center" vertical="top"/>
      <protection locked="0"/>
    </xf>
    <xf fontId="4" fillId="3" borderId="22" numFmtId="11" xfId="0" applyNumberFormat="1" applyFont="1" applyFill="1" applyBorder="1" applyAlignment="1" applyProtection="1">
      <alignment horizontal="center" vertical="top"/>
      <protection locked="0"/>
    </xf>
    <xf fontId="4" fillId="3" borderId="23" numFmtId="11" xfId="0" applyNumberFormat="1" applyFont="1" applyFill="1" applyBorder="1" applyAlignment="1" applyProtection="1">
      <alignment horizontal="center" vertical="top"/>
      <protection locked="0"/>
    </xf>
    <xf fontId="4" fillId="3" borderId="10" numFmtId="168" xfId="0" applyNumberFormat="1" applyFont="1" applyFill="1" applyBorder="1" applyAlignment="1" applyProtection="1">
      <alignment horizontal="center" vertical="top"/>
      <protection locked="0"/>
    </xf>
    <xf fontId="4" fillId="3" borderId="22" numFmtId="168" xfId="0" applyNumberFormat="1" applyFont="1" applyFill="1" applyBorder="1" applyAlignment="1" applyProtection="1">
      <alignment horizontal="center" vertical="top"/>
      <protection locked="0"/>
    </xf>
    <xf fontId="4" fillId="3" borderId="23" numFmtId="168" xfId="0" applyNumberFormat="1" applyFont="1" applyFill="1" applyBorder="1" applyAlignment="1" applyProtection="1">
      <alignment horizontal="center" vertical="top"/>
      <protection locked="0"/>
    </xf>
    <xf fontId="5" fillId="3" borderId="10" numFmtId="0" xfId="0" applyFont="1" applyFill="1" applyBorder="1" applyAlignment="1" applyProtection="1">
      <alignment horizontal="center" vertical="top"/>
      <protection locked="0"/>
    </xf>
    <xf fontId="5" fillId="3" borderId="22" numFmtId="0" xfId="0" applyFont="1" applyFill="1" applyBorder="1" applyAlignment="1" applyProtection="1">
      <alignment horizontal="center" vertical="top"/>
      <protection locked="0"/>
    </xf>
    <xf fontId="5" fillId="3" borderId="23" numFmtId="0" xfId="0" applyFont="1" applyFill="1" applyBorder="1" applyAlignment="1" applyProtection="1">
      <alignment horizontal="center" vertical="top"/>
      <protection locked="0"/>
    </xf>
    <xf fontId="5" fillId="0" borderId="29" numFmtId="0" xfId="0" applyFont="1" applyBorder="1" applyAlignment="1" applyProtection="1">
      <alignment horizontal="left" vertical="top"/>
      <protection locked="0"/>
    </xf>
    <xf fontId="4" fillId="4" borderId="4" numFmtId="0" xfId="0" applyFont="1" applyFill="1" applyBorder="1" applyAlignment="1">
      <alignment horizontal="center" vertical="top"/>
    </xf>
    <xf fontId="5" fillId="0" borderId="42" numFmtId="0" xfId="0" applyFont="1" applyBorder="1" applyAlignment="1" applyProtection="1">
      <alignment horizontal="left" vertical="center"/>
      <protection locked="0"/>
    </xf>
    <xf fontId="5" fillId="0" borderId="3" numFmtId="0" xfId="0" applyFont="1" applyBorder="1" applyAlignment="1" applyProtection="1">
      <alignment horizontal="left" vertical="center"/>
      <protection locked="0"/>
    </xf>
    <xf fontId="5" fillId="0" borderId="4" numFmtId="0" xfId="0" applyFont="1" applyBorder="1" applyAlignment="1" applyProtection="1">
      <alignment horizontal="left" vertical="center"/>
      <protection locked="0"/>
    </xf>
    <xf fontId="21" fillId="6" borderId="22" numFmtId="0" xfId="0" applyFont="1" applyFill="1" applyBorder="1" applyAlignment="1">
      <alignment horizontal="center" vertical="center" wrapText="1"/>
    </xf>
    <xf fontId="5" fillId="0" borderId="43" numFmtId="0" xfId="0" applyFont="1" applyBorder="1" applyAlignment="1" applyProtection="1">
      <alignment horizontal="left" vertical="center"/>
      <protection locked="0"/>
    </xf>
    <xf fontId="5" fillId="0" borderId="0" numFmtId="0" xfId="0" applyFont="1" applyAlignment="1" applyProtection="1">
      <alignment horizontal="left" vertical="center"/>
      <protection locked="0"/>
    </xf>
    <xf fontId="5" fillId="0" borderId="6" numFmtId="0" xfId="0" applyFont="1" applyBorder="1" applyAlignment="1" applyProtection="1">
      <alignment horizontal="left" vertical="center"/>
      <protection locked="0"/>
    </xf>
    <xf fontId="5" fillId="0" borderId="44" numFmtId="0" xfId="0" applyFont="1" applyBorder="1" applyAlignment="1" applyProtection="1">
      <alignment horizontal="left" vertical="center"/>
      <protection locked="0"/>
    </xf>
    <xf fontId="5" fillId="0" borderId="36" numFmtId="0" xfId="0" applyFont="1" applyBorder="1" applyAlignment="1" applyProtection="1">
      <alignment horizontal="left" vertical="center"/>
      <protection locked="0"/>
    </xf>
    <xf fontId="5" fillId="0" borderId="45" numFmtId="0" xfId="0" applyFont="1" applyBorder="1" applyAlignment="1" applyProtection="1">
      <alignment horizontal="left" vertical="center"/>
      <protection locked="0"/>
    </xf>
    <xf fontId="21" fillId="6" borderId="31" numFmtId="0" xfId="0" applyFont="1" applyFill="1" applyBorder="1" applyAlignment="1">
      <alignment horizontal="center" vertical="center" wrapText="1"/>
    </xf>
    <xf fontId="4" fillId="4" borderId="17" numFmtId="166" xfId="0" applyNumberFormat="1" applyFont="1" applyFill="1" applyBorder="1" applyAlignment="1">
      <alignment horizontal="center"/>
    </xf>
    <xf fontId="4" fillId="4" borderId="18" numFmtId="166" xfId="0" applyNumberFormat="1" applyFont="1" applyFill="1" applyBorder="1" applyAlignment="1">
      <alignment horizontal="center"/>
    </xf>
    <xf fontId="4" fillId="4" borderId="20" numFmtId="166" xfId="0" applyNumberFormat="1" applyFont="1" applyFill="1" applyBorder="1" applyAlignment="1">
      <alignment horizontal="center"/>
    </xf>
    <xf fontId="4" fillId="4" borderId="21" numFmtId="167" xfId="0" applyNumberFormat="1" applyFont="1" applyFill="1" applyBorder="1" applyAlignment="1">
      <alignment horizontal="center" vertical="top"/>
    </xf>
    <xf fontId="4" fillId="4" borderId="22" numFmtId="167" xfId="0" applyNumberFormat="1" applyFont="1" applyFill="1" applyBorder="1" applyAlignment="1">
      <alignment horizontal="center" vertical="top"/>
    </xf>
    <xf fontId="4" fillId="4" borderId="23" numFmtId="167" xfId="0" applyNumberFormat="1" applyFont="1" applyFill="1" applyBorder="1" applyAlignment="1">
      <alignment horizontal="center" vertical="top"/>
    </xf>
    <xf fontId="4" fillId="4" borderId="21" numFmtId="1" xfId="0" applyNumberFormat="1" applyFont="1" applyFill="1" applyBorder="1" applyAlignment="1">
      <alignment horizontal="center" vertical="top"/>
    </xf>
    <xf fontId="4" fillId="4" borderId="22" numFmtId="1" xfId="0" applyNumberFormat="1" applyFont="1" applyFill="1" applyBorder="1" applyAlignment="1">
      <alignment horizontal="center" vertical="top"/>
    </xf>
    <xf fontId="4" fillId="4" borderId="23" numFmtId="1" xfId="0" applyNumberFormat="1" applyFont="1" applyFill="1" applyBorder="1" applyAlignment="1">
      <alignment horizontal="center" vertical="top"/>
    </xf>
    <xf fontId="4" fillId="4" borderId="21" numFmtId="167" xfId="0" applyNumberFormat="1" applyFont="1" applyFill="1" applyBorder="1" applyAlignment="1">
      <alignment horizontal="center" vertical="top" wrapText="1"/>
    </xf>
    <xf fontId="4" fillId="4" borderId="22" numFmtId="167" xfId="0" applyNumberFormat="1" applyFont="1" applyFill="1" applyBorder="1" applyAlignment="1">
      <alignment horizontal="center" vertical="top" wrapText="1"/>
    </xf>
    <xf fontId="4" fillId="4" borderId="23" numFmtId="167" xfId="0" applyNumberFormat="1" applyFont="1" applyFill="1" applyBorder="1" applyAlignment="1">
      <alignment horizontal="center" vertical="top" wrapText="1"/>
    </xf>
    <xf fontId="4" fillId="4" borderId="21" numFmtId="169" xfId="0" applyNumberFormat="1" applyFont="1" applyFill="1" applyBorder="1" applyAlignment="1">
      <alignment horizontal="center" vertical="top"/>
    </xf>
    <xf fontId="4" fillId="4" borderId="22" numFmtId="169" xfId="0" applyNumberFormat="1" applyFont="1" applyFill="1" applyBorder="1" applyAlignment="1">
      <alignment horizontal="center" vertical="top"/>
    </xf>
    <xf fontId="4" fillId="4" borderId="23" numFmtId="169" xfId="0" applyNumberFormat="1" applyFont="1" applyFill="1" applyBorder="1" applyAlignment="1">
      <alignment horizontal="center" vertical="top"/>
    </xf>
    <xf fontId="12" fillId="4" borderId="46" numFmtId="2" xfId="0" applyNumberFormat="1" applyFont="1" applyFill="1" applyBorder="1" applyAlignment="1">
      <alignment horizontal="center" vertical="top" wrapText="1"/>
    </xf>
    <xf fontId="12" fillId="4" borderId="47" numFmtId="2" xfId="0" applyNumberFormat="1" applyFont="1" applyFill="1" applyBorder="1" applyAlignment="1">
      <alignment horizontal="center" vertical="top" wrapText="1"/>
    </xf>
    <xf fontId="12" fillId="4" borderId="48" numFmtId="2" xfId="0" applyNumberFormat="1" applyFont="1" applyFill="1" applyBorder="1" applyAlignment="1">
      <alignment horizontal="center" vertical="top" wrapText="1"/>
    </xf>
    <xf fontId="11" fillId="2" borderId="0" numFmtId="0" xfId="0" applyFont="1" applyFill="1" applyAlignment="1" applyProtection="1">
      <alignment horizontal="center" wrapText="1"/>
      <protection locked="0"/>
    </xf>
    <xf fontId="1" fillId="0" borderId="0" numFmtId="0" xfId="0" applyFont="1" applyAlignment="1" applyProtection="1">
      <alignment vertical="top"/>
      <protection locked="0"/>
    </xf>
    <xf fontId="22" fillId="2" borderId="0" numFmtId="0" xfId="0" applyFont="1" applyFill="1" applyAlignment="1" applyProtection="1">
      <alignment horizontal="center" wrapText="1"/>
      <protection locked="0"/>
    </xf>
    <xf fontId="23" fillId="0" borderId="0" numFmtId="0" xfId="0" applyFont="1"/>
    <xf fontId="24" fillId="0" borderId="36" numFmtId="0" xfId="0" applyFont="1" applyBorder="1" applyAlignment="1" applyProtection="1">
      <alignment horizontal="center" vertical="top"/>
      <protection locked="0"/>
    </xf>
    <xf fontId="4" fillId="0" borderId="49" numFmtId="0" xfId="0" applyFont="1" applyBorder="1" applyAlignment="1" applyProtection="1">
      <alignment horizontal="center" vertical="top"/>
      <protection locked="0"/>
    </xf>
    <xf fontId="4" fillId="0" borderId="50" numFmtId="0" xfId="0" applyFont="1" applyBorder="1" applyAlignment="1" applyProtection="1">
      <alignment horizontal="center" vertical="top"/>
      <protection locked="0"/>
    </xf>
    <xf fontId="4" fillId="0" borderId="51" numFmtId="0" xfId="0" applyFont="1" applyBorder="1" applyAlignment="1" applyProtection="1">
      <alignment horizontal="center" vertical="top"/>
      <protection locked="0"/>
    </xf>
    <xf fontId="14" fillId="3" borderId="52" numFmtId="0" xfId="0" applyFont="1" applyFill="1" applyBorder="1" applyAlignment="1">
      <alignment vertical="center"/>
    </xf>
    <xf fontId="14" fillId="3" borderId="53" numFmtId="0" xfId="0" applyFont="1" applyFill="1" applyBorder="1" applyAlignment="1">
      <alignment horizontal="left" vertical="center"/>
    </xf>
    <xf fontId="14" fillId="3" borderId="53" numFmtId="0" xfId="0" applyFont="1" applyFill="1" applyBorder="1" applyAlignment="1">
      <alignment vertical="center"/>
    </xf>
    <xf fontId="14" fillId="3" borderId="54" numFmtId="0" xfId="0" applyFont="1" applyFill="1" applyBorder="1" applyAlignment="1">
      <alignment vertical="center"/>
    </xf>
    <xf fontId="13" fillId="0" borderId="21" numFmtId="0" xfId="0" applyFont="1" applyBorder="1" applyAlignment="1" applyProtection="1">
      <alignment horizontal="center" vertical="top"/>
      <protection locked="0"/>
    </xf>
    <xf fontId="13" fillId="0" borderId="22" numFmtId="0" xfId="0" applyFont="1" applyBorder="1" applyAlignment="1" applyProtection="1">
      <alignment horizontal="center" vertical="top"/>
      <protection locked="0"/>
    </xf>
    <xf fontId="13" fillId="0" borderId="28" numFmtId="0" xfId="0" applyFont="1" applyBorder="1" applyAlignment="1" applyProtection="1">
      <alignment horizontal="center" vertical="top"/>
      <protection locked="0"/>
    </xf>
    <xf fontId="13" fillId="0" borderId="29" numFmtId="0" xfId="0" applyFont="1" applyBorder="1" applyAlignment="1" applyProtection="1">
      <alignment horizontal="center" vertical="top"/>
      <protection locked="0"/>
    </xf>
    <xf fontId="14" fillId="3" borderId="43" numFmtId="0" xfId="0" applyFont="1" applyFill="1" applyBorder="1" applyAlignment="1">
      <alignment vertical="center"/>
    </xf>
    <xf fontId="4" fillId="3" borderId="21" numFmtId="166" xfId="0" applyNumberFormat="1" applyFont="1" applyFill="1" applyBorder="1" applyAlignment="1" applyProtection="1">
      <alignment horizontal="center" vertical="top"/>
      <protection locked="0"/>
    </xf>
    <xf fontId="0" fillId="3" borderId="43" numFmtId="0" xfId="0" applyFill="1" applyBorder="1"/>
    <xf fontId="0" fillId="3" borderId="0" numFmtId="0" xfId="0" applyFill="1"/>
    <xf fontId="14" fillId="3" borderId="43" numFmtId="0" xfId="0" applyFont="1" applyFill="1" applyBorder="1" applyAlignment="1">
      <alignment horizontal="right" vertical="center"/>
    </xf>
    <xf fontId="16" fillId="3" borderId="43" numFmtId="0" xfId="0" applyFont="1" applyFill="1" applyBorder="1" applyAlignment="1">
      <alignment horizontal="center" vertical="center"/>
    </xf>
    <xf fontId="16" fillId="3" borderId="43" numFmtId="0" xfId="0" applyFont="1" applyFill="1" applyBorder="1" applyAlignment="1" quotePrefix="1">
      <alignment horizontal="right" vertical="center"/>
    </xf>
    <xf fontId="5" fillId="0" borderId="46" numFmtId="0" xfId="0" applyFont="1" applyBorder="1" applyAlignment="1" applyProtection="1">
      <alignment horizontal="left" vertical="center"/>
      <protection locked="0"/>
    </xf>
    <xf fontId="5" fillId="0" borderId="47" numFmtId="0" xfId="0" applyFont="1" applyBorder="1" applyAlignment="1" applyProtection="1">
      <alignment horizontal="left" vertical="center"/>
      <protection locked="0"/>
    </xf>
    <xf fontId="5" fillId="0" borderId="55" numFmtId="0" xfId="0" applyFont="1" applyBorder="1" applyAlignment="1" applyProtection="1">
      <alignment horizontal="left" vertical="center"/>
      <protection locked="0"/>
    </xf>
    <xf fontId="12" fillId="6" borderId="31" numFmtId="0" xfId="0" applyFont="1" applyFill="1" applyBorder="1" applyAlignment="1">
      <alignment horizontal="center" vertical="top" wrapText="1"/>
    </xf>
    <xf fontId="13" fillId="0" borderId="56" numFmtId="0" xfId="0" applyFont="1" applyBorder="1" applyAlignment="1" applyProtection="1">
      <alignment horizontal="center" vertical="top"/>
      <protection locked="0"/>
    </xf>
    <xf fontId="13" fillId="0" borderId="57" numFmtId="0" xfId="0" applyFont="1" applyBorder="1" applyAlignment="1" applyProtection="1">
      <alignment horizontal="center" vertical="top"/>
      <protection locked="0"/>
    </xf>
    <xf fontId="13" fillId="0" borderId="58" numFmtId="0" xfId="0" applyFont="1" applyBorder="1" applyAlignment="1" applyProtection="1">
      <alignment horizontal="center" vertical="top"/>
      <protection locked="0"/>
    </xf>
    <xf fontId="13" fillId="0" borderId="59" numFmtId="0" xfId="0" applyFont="1" applyBorder="1" applyAlignment="1" applyProtection="1">
      <alignment horizontal="center" vertical="top"/>
      <protection locked="0"/>
    </xf>
    <xf fontId="16" fillId="3" borderId="43" numFmtId="0" xfId="0" applyFont="1" applyFill="1" applyBorder="1" applyAlignment="1">
      <alignment vertical="center"/>
    </xf>
    <xf fontId="4" fillId="0" borderId="60" numFmtId="0" xfId="0" applyFont="1" applyBorder="1" applyAlignment="1" applyProtection="1">
      <alignment horizontal="left" vertical="top"/>
      <protection locked="0"/>
    </xf>
    <xf fontId="4" fillId="4" borderId="30" numFmtId="166" xfId="0" applyNumberFormat="1" applyFont="1" applyFill="1" applyBorder="1" applyAlignment="1">
      <alignment horizontal="center" vertical="top"/>
    </xf>
    <xf fontId="4" fillId="4" borderId="31" numFmtId="166" xfId="0" applyNumberFormat="1" applyFont="1" applyFill="1" applyBorder="1" applyAlignment="1">
      <alignment horizontal="center" vertical="top"/>
    </xf>
    <xf fontId="4" fillId="4" borderId="32" numFmtId="166" xfId="0" applyNumberFormat="1" applyFont="1" applyFill="1" applyBorder="1" applyAlignment="1">
      <alignment horizontal="center" vertical="top"/>
    </xf>
    <xf fontId="16" fillId="3" borderId="44" numFmtId="0" xfId="0" applyFon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5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customXml" Target="../customXml/item1.xml"/><Relationship  Id="rId4" Type="http://schemas.openxmlformats.org/officeDocument/2006/relationships/customXml" Target="../customXml/item2.xml"/><Relationship  Id="rId5" Type="http://schemas.openxmlformats.org/officeDocument/2006/relationships/customXml" Target="../customXml/item3.xml"/><Relationship  Id="rId6" Type="http://schemas.openxmlformats.org/officeDocument/2006/relationships/worksheet" Target="worksheets/sheet1.xml"/><Relationship  Id="rId7" Type="http://schemas.openxmlformats.org/officeDocument/2006/relationships/worksheet" Target="worksheets/sheet2.xml"/><Relationship  Id="rId8" Type="http://schemas.openxmlformats.org/officeDocument/2006/relationships/worksheet" Target="worksheets/sheet3.xml"/><Relationship  Id="rId9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66675</xdr:colOff>
      <xdr:row>0</xdr:row>
      <xdr:rowOff>159194</xdr:rowOff>
    </xdr:from>
    <xdr:to>
      <xdr:col>10</xdr:col>
      <xdr:colOff>144780</xdr:colOff>
      <xdr:row>0</xdr:row>
      <xdr:rowOff>554545</xdr:rowOff>
    </xdr:to>
    <xdr:pic>
      <xdr:nvPicPr>
        <xdr:cNvPr id="3" name="Picture 2"/>
        <xdr:cNvPicPr/>
      </xdr:nvPicPr>
      <xdr:blipFill rotWithShape="1">
        <a:blip r:embed="rId1"/>
        <a:stretch/>
      </xdr:blipFill>
      <xdr:spPr bwMode="auto">
        <a:xfrm>
          <a:off x="118969" y="159194"/>
          <a:ext cx="1691752" cy="3953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41413</xdr:colOff>
      <xdr:row>0</xdr:row>
      <xdr:rowOff>138616</xdr:rowOff>
    </xdr:from>
    <xdr:to>
      <xdr:col>10</xdr:col>
      <xdr:colOff>97155</xdr:colOff>
      <xdr:row>0</xdr:row>
      <xdr:rowOff>528741</xdr:rowOff>
    </xdr:to>
    <xdr:pic>
      <xdr:nvPicPr>
        <xdr:cNvPr id="3" name="Picture 2"/>
        <xdr:cNvPicPr/>
      </xdr:nvPicPr>
      <xdr:blipFill rotWithShape="1">
        <a:blip r:embed="rId1"/>
        <a:stretch/>
      </xdr:blipFill>
      <xdr:spPr bwMode="auto">
        <a:xfrm>
          <a:off x="93707" y="138616"/>
          <a:ext cx="1669389" cy="39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107674</xdr:colOff>
      <xdr:row>0</xdr:row>
      <xdr:rowOff>155181</xdr:rowOff>
    </xdr:from>
    <xdr:to>
      <xdr:col>10</xdr:col>
      <xdr:colOff>163416</xdr:colOff>
      <xdr:row>0</xdr:row>
      <xdr:rowOff>545306</xdr:rowOff>
    </xdr:to>
    <xdr:pic>
      <xdr:nvPicPr>
        <xdr:cNvPr id="3" name="Picture 2"/>
        <xdr:cNvPicPr/>
      </xdr:nvPicPr>
      <xdr:blipFill rotWithShape="1">
        <a:blip r:embed="rId1"/>
        <a:stretch/>
      </xdr:blipFill>
      <xdr:spPr bwMode="auto">
        <a:xfrm>
          <a:off x="159968" y="155181"/>
          <a:ext cx="1669389" cy="39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57979</xdr:colOff>
      <xdr:row>0</xdr:row>
      <xdr:rowOff>155181</xdr:rowOff>
    </xdr:from>
    <xdr:to>
      <xdr:col>10</xdr:col>
      <xdr:colOff>113720</xdr:colOff>
      <xdr:row>0</xdr:row>
      <xdr:rowOff>545306</xdr:rowOff>
    </xdr:to>
    <xdr:pic>
      <xdr:nvPicPr>
        <xdr:cNvPr id="3" name="Picture 2"/>
        <xdr:cNvPicPr/>
      </xdr:nvPicPr>
      <xdr:blipFill rotWithShape="1">
        <a:blip r:embed="rId1"/>
        <a:stretch/>
      </xdr:blipFill>
      <xdr:spPr bwMode="auto">
        <a:xfrm>
          <a:off x="110273" y="155181"/>
          <a:ext cx="1669389" cy="39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http://teams-wst.worleyparsons.com/Process/Acoustic%20Induced%20Vibration%20(Jan%206th%202016)/Copy%20of%20Avoidance%20of%20Vibration%20Induced%20Fatigue%20Failure%20in%20Process%20Pipework%2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litative Assessment"/>
      <sheetName val="Pulsation Flow Induced Excit."/>
      <sheetName val="Pulsation Notes"/>
      <sheetName val="High Frequency Acoustic Excit."/>
      <sheetName val="High Freq. Notes"/>
      <sheetName val="Cavitation and Flashing"/>
      <sheetName val="Cavitation and Flashing Notes"/>
      <sheetName val="Surge-Momentum Changes"/>
      <sheetName val="Surge-Momentum Changes Notes"/>
      <sheetName val="Flow Induced Turbulence"/>
      <sheetName val="Flow Induced Turbulence Notes"/>
    </sheetNames>
    <sheetDataSet>
      <sheetData sheetId="0" refreshError="1"/>
      <sheetData sheetId="1" refreshError="1"/>
      <sheetData sheetId="2" refreshError="1"/>
      <sheetData sheetId="3">
        <row r="15">
          <cell r="D15">
            <v>168.3</v>
          </cell>
        </row>
        <row r="16">
          <cell r="D16">
            <v>7.11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lan, Robert (London)" id="{C6C9279F-6EEC-636D-99CA-02F9A7A9605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20" personId="{C6C9279F-6EEC-636D-99CA-02F9A7A9605F}" id="{00DC00F8-0078-4830-A330-005600B700F4}" done="0">
    <text xml:space="preserve">If the Pipe Schedule is unknown, please select manually input and manually enter external Diameter and pipe wall thickness of the Main Line.
</text>
  </threadedComment>
  <threadedComment ref="AF23" personId="{C6C9279F-6EEC-636D-99CA-02F9A7A9605F}" id="{000B009E-004C-44D7-B9F1-000B008D00B5}" done="0">
    <text xml:space="preserve">User can manually enter the external diameter, by selecting the option "Manual Input" for the pipe schedule. 
</text>
  </threadedComment>
  <threadedComment ref="AF24" personId="{C6C9279F-6EEC-636D-99CA-02F9A7A9605F}" id="{00E5002C-0039-408D-9DDD-001200EE0049}" done="0">
    <text xml:space="preserve">User can manually enter the pipe wall thickness, by selecting the option "Manual Input" for the pipe schedule.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F14" personId="{C6C9279F-6EEC-636D-99CA-02F9A7A9605F}" id="{001F0090-001A-4133-927F-0068005C00AF}" done="0">
    <text xml:space="preserve">If the fluid is multiphase, please enter in the mixed density, this can be calculated using the following formula:
Density = (Mass flow of Vapor + Mass Flow of Liquid) / (Volume flow Vapor + Volume flow of Liquid)
</text>
  </threadedComment>
  <threadedComment ref="AF17" personId="{C6C9279F-6EEC-636D-99CA-02F9A7A9605F}" id="{0020007F-00DE-464F-A2D8-008E002A004C}" done="0">
    <text xml:space="preserve">If the Pipe Schedule is unknown, please select manually input and manually enter external Diameter and pipe wall thickness of the Main Line.
</text>
  </threadedComment>
  <threadedComment ref="AF20" personId="{C6C9279F-6EEC-636D-99CA-02F9A7A9605F}" id="{008400ED-000A-4389-9DD6-000800040066}" done="0">
    <text xml:space="preserve">User can manually enter the external diameter, by selecting the option "Manual Input" for the pipe schedule. 
</text>
  </threadedComment>
  <threadedComment ref="AF21" personId="{C6C9279F-6EEC-636D-99CA-02F9A7A9605F}" id="{009C0096-0032-4B30-A2E3-00DF006500AA}" done="0">
    <text xml:space="preserve">User can manually enter the pipe wall thickness, by selecting the option "Manual Input" for the pipe schedule. 
</text>
  </threadedComment>
  <threadedComment ref="AF29" personId="{C6C9279F-6EEC-636D-99CA-02F9A7A9605F}" id="{00EC0079-0084-48B6-BE55-0020001E00A7}" done="0">
    <text xml:space="preserve">If the type and /or closing time of the valve are not known then assume a globe valve and a valve closing type of 1 second per inch of pipe diameter.
</text>
  </threadedComment>
  <threadedComment ref="AF34" personId="{C6C9279F-6EEC-636D-99CA-02F9A7A9605F}" id="{00AC0057-003E-4B2F-95FE-005B00D60051}" done="0">
    <text xml:space="preserve">Unless the user specifies user input, please do not modify these cells, as they are calculated based on the support type.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F15" personId="{C6C9279F-6EEC-636D-99CA-02F9A7A9605F}" id="{00470039-0033-4FD7-A59F-00250085007F}" done="0">
    <text xml:space="preserve">If the fluid is multiphase, please enter in the mixed density, this can be calculated using the following formula:
Density = (Mass flow of Vapor + Mass Flow of Liquid) / (Volume flow of Vapor + Volume flow of Liquid)
</text>
  </threadedComment>
  <threadedComment ref="AF19" personId="{C6C9279F-6EEC-636D-99CA-02F9A7A9605F}" id="{00DF00E7-004A-4C89-8B6C-009600F8006D}" done="0">
    <text xml:space="preserve">If the Pipe Schedule is unknown, please select manually input and manually enter external Diameter and pipe wall thickness of the Main Line.
</text>
  </threadedComment>
  <threadedComment ref="AF20" personId="{C6C9279F-6EEC-636D-99CA-02F9A7A9605F}" id="{00C80072-00FF-4A49-A492-00CC0050003A}" done="0">
    <text xml:space="preserve">User can manually enter the external diameter, by selecting the option "Manual Input" for the pipe schedule. 
</text>
  </threadedComment>
  <threadedComment ref="AF21" personId="{C6C9279F-6EEC-636D-99CA-02F9A7A9605F}" id="{000800AB-00E0-4FBA-B9AD-00660083006B}" done="0">
    <text xml:space="preserve">User can manually enter the pipe wall thickness, by selecting the option "Manual Input" for the pipe schedule. 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3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drawing" Target="../drawings/drawing4.xml"/><Relationship 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3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2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70C0"/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9.1796875" defaultRowHeight="12.75"/>
  <cols>
    <col customWidth="1" min="1" max="1" style="1" width="0.7265625"/>
    <col customWidth="1" min="2" max="39" style="1" width="2.54296875"/>
    <col customWidth="1" min="40" max="40" style="2" width="2.54296875"/>
    <col customWidth="1" min="41" max="41" style="2" width="21.26953125"/>
    <col min="42" max="43" style="2" width="9.1796875"/>
    <col min="44" max="16384" style="1" width="9.1796875"/>
  </cols>
  <sheetData>
    <row r="1" s="0" customFormat="1" ht="60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4"/>
      <c r="AQ1" s="4"/>
    </row>
    <row r="2" s="5" customFormat="1" ht="15" customHeight="1">
      <c r="B2" s="6" t="s">
        <v>1</v>
      </c>
      <c r="C2" s="7"/>
      <c r="D2" s="7"/>
      <c r="E2" s="7"/>
      <c r="F2" s="7"/>
      <c r="G2" s="7"/>
      <c r="H2" s="7"/>
      <c r="I2" s="8" t="e">
        <f>customer</f>
        <v>#REF!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 t="e">
        <f>#REF!</f>
        <v>#REF!</v>
      </c>
      <c r="AB2" s="9"/>
      <c r="AC2" s="9"/>
      <c r="AD2" s="9"/>
      <c r="AE2" s="10" t="e">
        <f>Proj_No</f>
        <v>#REF!</v>
      </c>
      <c r="AF2" s="10"/>
      <c r="AG2" s="10"/>
      <c r="AH2" s="10"/>
      <c r="AI2" s="10"/>
      <c r="AJ2" s="10"/>
      <c r="AK2" s="10"/>
      <c r="AL2" s="10"/>
      <c r="AM2" s="10"/>
      <c r="AN2" s="11"/>
      <c r="AO2" s="12"/>
      <c r="AP2" s="13"/>
      <c r="AQ2" s="13"/>
    </row>
    <row r="3" s="5" customFormat="1" ht="15" customHeight="1">
      <c r="B3" s="14" t="s">
        <v>2</v>
      </c>
      <c r="C3" s="15"/>
      <c r="D3" s="15"/>
      <c r="E3" s="15"/>
      <c r="F3" s="15"/>
      <c r="G3" s="15"/>
      <c r="H3" s="15"/>
      <c r="I3" s="16" t="e">
        <f>proj_title</f>
        <v>#REF!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 t="e">
        <f>#REF!</f>
        <v>#REF!</v>
      </c>
      <c r="AB3" s="17"/>
      <c r="AC3" s="17"/>
      <c r="AD3" s="17"/>
      <c r="AE3" s="18" t="e">
        <f>Calc_No</f>
        <v>#REF!</v>
      </c>
      <c r="AF3" s="18"/>
      <c r="AG3" s="18"/>
      <c r="AH3" s="18"/>
      <c r="AI3" s="18"/>
      <c r="AJ3" s="18"/>
      <c r="AK3" s="18"/>
      <c r="AL3" s="18"/>
      <c r="AM3" s="18"/>
      <c r="AN3" s="19"/>
      <c r="AO3" s="12"/>
      <c r="AP3" s="13"/>
      <c r="AQ3" s="13"/>
    </row>
    <row r="4" s="5" customFormat="1" ht="15" customHeight="1">
      <c r="B4" s="20" t="s">
        <v>3</v>
      </c>
      <c r="C4" s="17"/>
      <c r="D4" s="17"/>
      <c r="E4" s="17"/>
      <c r="F4" s="17"/>
      <c r="G4" s="17"/>
      <c r="H4" s="15"/>
      <c r="I4" s="21" t="e">
        <f>calc_title</f>
        <v>#REF!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17" t="s">
        <v>4</v>
      </c>
      <c r="AB4" s="17"/>
      <c r="AC4" s="17"/>
      <c r="AD4" s="17"/>
      <c r="AE4" s="18" t="e">
        <f>Phase_CTR</f>
        <v>#REF!</v>
      </c>
      <c r="AF4" s="18"/>
      <c r="AG4" s="18"/>
      <c r="AH4" s="18"/>
      <c r="AI4" s="18"/>
      <c r="AJ4" s="18"/>
      <c r="AK4" s="18"/>
      <c r="AL4" s="18"/>
      <c r="AM4" s="18"/>
      <c r="AN4" s="19"/>
      <c r="AO4" s="12"/>
      <c r="AP4" s="13"/>
      <c r="AQ4" s="13"/>
    </row>
    <row r="5" s="5" customFormat="1" ht="22.5" customHeight="1">
      <c r="B5" s="20" t="s">
        <v>5</v>
      </c>
      <c r="C5" s="17"/>
      <c r="D5" s="17"/>
      <c r="E5" s="17"/>
      <c r="F5" s="17"/>
      <c r="G5" s="17"/>
      <c r="H5" s="17"/>
      <c r="I5" s="22" t="e">
        <f ca="1">elec_file</f>
        <v>#REF!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3"/>
      <c r="AO5" s="13"/>
      <c r="AP5" s="13"/>
      <c r="AQ5" s="13"/>
    </row>
    <row r="6" s="24" customFormat="1" ht="15" customHeight="1">
      <c r="B6" s="25"/>
      <c r="C6" s="26"/>
      <c r="D6" s="26"/>
      <c r="E6" s="26"/>
      <c r="F6" s="26"/>
      <c r="G6" s="26"/>
      <c r="H6" s="26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8" t="s">
        <v>6</v>
      </c>
      <c r="AE6" s="28"/>
      <c r="AF6" s="28"/>
      <c r="AG6" s="29">
        <v>6</v>
      </c>
      <c r="AH6" s="29"/>
      <c r="AI6" s="29"/>
      <c r="AJ6" s="28" t="s">
        <v>7</v>
      </c>
      <c r="AK6" s="28"/>
      <c r="AL6" s="30" t="e">
        <f>num_pages</f>
        <v>#REF!</v>
      </c>
      <c r="AM6" s="30"/>
      <c r="AN6" s="31"/>
      <c r="AO6" s="32"/>
      <c r="AP6" s="32"/>
      <c r="AQ6" s="32"/>
    </row>
    <row r="7" s="0" customFormat="1" ht="15" customHeight="1">
      <c r="B7" s="33" t="s">
        <v>8</v>
      </c>
      <c r="C7" s="34"/>
      <c r="D7" s="33" t="s">
        <v>9</v>
      </c>
      <c r="E7" s="35"/>
      <c r="F7" s="35"/>
      <c r="G7" s="33" t="s">
        <v>10</v>
      </c>
      <c r="H7" s="35"/>
      <c r="I7" s="35"/>
      <c r="J7" s="34"/>
      <c r="K7" s="33" t="s">
        <v>11</v>
      </c>
      <c r="L7" s="35"/>
      <c r="M7" s="35"/>
      <c r="N7" s="36"/>
      <c r="O7" s="35" t="s">
        <v>8</v>
      </c>
      <c r="P7" s="34"/>
      <c r="Q7" s="33" t="s">
        <v>9</v>
      </c>
      <c r="R7" s="35"/>
      <c r="S7" s="35"/>
      <c r="T7" s="33" t="s">
        <v>10</v>
      </c>
      <c r="U7" s="35"/>
      <c r="V7" s="35"/>
      <c r="W7" s="34"/>
      <c r="X7" s="33" t="s">
        <v>11</v>
      </c>
      <c r="Y7" s="35"/>
      <c r="Z7" s="35"/>
      <c r="AA7" s="36"/>
      <c r="AB7" s="35" t="s">
        <v>8</v>
      </c>
      <c r="AC7" s="34"/>
      <c r="AD7" s="33" t="s">
        <v>9</v>
      </c>
      <c r="AE7" s="35"/>
      <c r="AF7" s="35"/>
      <c r="AG7" s="33" t="s">
        <v>10</v>
      </c>
      <c r="AH7" s="35"/>
      <c r="AI7" s="35"/>
      <c r="AJ7" s="34"/>
      <c r="AK7" s="33" t="s">
        <v>11</v>
      </c>
      <c r="AL7" s="35"/>
      <c r="AM7" s="35"/>
      <c r="AN7" s="34"/>
      <c r="AO7" s="4"/>
      <c r="AP7" s="4"/>
      <c r="AQ7" s="4"/>
    </row>
    <row r="8" s="37" customFormat="1" ht="15" customHeight="1">
      <c r="A8" s="37" t="s">
        <v>12</v>
      </c>
      <c r="B8" s="38" t="e">
        <f>_rev1</f>
        <v>#REF!</v>
      </c>
      <c r="C8" s="39"/>
      <c r="D8" s="40" t="e">
        <f>date1</f>
        <v>#REF!</v>
      </c>
      <c r="E8" s="41"/>
      <c r="F8" s="41"/>
      <c r="G8" s="42" t="e">
        <f>orig1</f>
        <v>#REF!</v>
      </c>
      <c r="H8" s="43"/>
      <c r="I8" s="43"/>
      <c r="J8" s="44"/>
      <c r="K8" s="38" t="e">
        <f>_chk1</f>
        <v>#REF!</v>
      </c>
      <c r="L8" s="45"/>
      <c r="M8" s="45"/>
      <c r="N8" s="46"/>
      <c r="O8" s="45" t="e">
        <f>_rev2</f>
        <v>#REF!</v>
      </c>
      <c r="P8" s="39"/>
      <c r="Q8" s="40" t="e">
        <f>date2</f>
        <v>#REF!</v>
      </c>
      <c r="R8" s="41"/>
      <c r="S8" s="41"/>
      <c r="T8" s="42" t="e">
        <f>orig2</f>
        <v>#REF!</v>
      </c>
      <c r="U8" s="43"/>
      <c r="V8" s="43"/>
      <c r="W8" s="44"/>
      <c r="X8" s="38" t="e">
        <f>_chk2</f>
        <v>#REF!</v>
      </c>
      <c r="Y8" s="45"/>
      <c r="Z8" s="45"/>
      <c r="AA8" s="46"/>
      <c r="AB8" s="45" t="e">
        <f>_rev3</f>
        <v>#REF!</v>
      </c>
      <c r="AC8" s="39"/>
      <c r="AD8" s="40" t="e">
        <f>date3</f>
        <v>#REF!</v>
      </c>
      <c r="AE8" s="41"/>
      <c r="AF8" s="41"/>
      <c r="AG8" s="42" t="e">
        <f>orig3</f>
        <v>#REF!</v>
      </c>
      <c r="AH8" s="43"/>
      <c r="AI8" s="43"/>
      <c r="AJ8" s="44"/>
      <c r="AK8" s="38" t="e">
        <f>_chk3</f>
        <v>#REF!</v>
      </c>
      <c r="AL8" s="45"/>
      <c r="AM8" s="45"/>
      <c r="AN8" s="39"/>
      <c r="AO8" s="37"/>
      <c r="AP8" s="37"/>
      <c r="AQ8" s="37"/>
      <c r="AR8" s="37"/>
      <c r="AS8" s="37"/>
      <c r="AT8" s="37"/>
      <c r="AU8" s="37"/>
      <c r="AV8" s="37"/>
      <c r="AW8" s="37"/>
    </row>
    <row r="9" ht="14.9" customHeight="1"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9"/>
      <c r="AO9" s="13"/>
      <c r="AP9" s="13"/>
      <c r="AQ9" s="13"/>
      <c r="AR9" s="2"/>
    </row>
    <row r="10" ht="14.9" customHeight="1">
      <c r="B10" s="50"/>
      <c r="C10" s="51" t="e">
        <f>#REF!</f>
        <v>#REF!</v>
      </c>
      <c r="D10" s="51"/>
      <c r="E10" s="52"/>
      <c r="F10" s="53" t="e">
        <f>#REF!</f>
        <v>#REF!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4"/>
      <c r="AO10" s="13"/>
      <c r="AP10" s="13"/>
      <c r="AQ10" s="13"/>
      <c r="AR10" s="2"/>
    </row>
    <row r="11" ht="14.9" customHeight="1">
      <c r="B11" s="50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4"/>
      <c r="AO11" s="13"/>
      <c r="AP11" s="13"/>
      <c r="AR11" s="2"/>
    </row>
    <row r="12" ht="14.9" customHeight="1">
      <c r="B12" s="50"/>
      <c r="C12" s="52" t="s">
        <v>13</v>
      </c>
      <c r="D12" s="52"/>
      <c r="E12" s="52"/>
      <c r="F12" s="52"/>
      <c r="G12" s="52" t="s">
        <v>14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 t="s">
        <v>15</v>
      </c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4"/>
      <c r="AR12" s="2"/>
    </row>
    <row r="13" ht="14.9" customHeight="1">
      <c r="B13" s="50"/>
      <c r="C13" s="55" t="s">
        <v>16</v>
      </c>
      <c r="D13" s="55"/>
      <c r="E13" s="55"/>
      <c r="F13" s="55"/>
      <c r="G13" s="55" t="s">
        <v>17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 t="s">
        <v>18</v>
      </c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4"/>
      <c r="AR13" s="2"/>
    </row>
    <row r="14" ht="14.9" customHeight="1">
      <c r="B14" s="50"/>
      <c r="C14" s="56" t="s">
        <v>19</v>
      </c>
      <c r="D14" s="55"/>
      <c r="E14" s="55"/>
      <c r="F14" s="55"/>
      <c r="G14" s="55" t="s">
        <v>20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 t="s">
        <v>18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4"/>
      <c r="AR14" s="2"/>
    </row>
    <row r="15" ht="14.9" customHeight="1">
      <c r="B15" s="50"/>
      <c r="C15" s="55" t="s">
        <v>21</v>
      </c>
      <c r="D15" s="55"/>
      <c r="E15" s="55"/>
      <c r="F15" s="55"/>
      <c r="G15" s="55" t="s">
        <v>22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 t="s">
        <v>18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4"/>
      <c r="AR15" s="2"/>
    </row>
    <row r="16" ht="14.9" customHeight="1">
      <c r="B16" s="50"/>
      <c r="C16" s="52" t="s">
        <v>23</v>
      </c>
      <c r="D16" s="52"/>
      <c r="E16" s="52"/>
      <c r="F16" s="52"/>
      <c r="G16" s="52" t="s">
        <v>24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 t="s">
        <v>25</v>
      </c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4"/>
      <c r="AR16" s="2"/>
    </row>
    <row r="17" ht="14.9" customHeight="1">
      <c r="B17" s="50"/>
      <c r="C17" s="52" t="s">
        <v>26</v>
      </c>
      <c r="D17" s="52"/>
      <c r="E17" s="52"/>
      <c r="F17" s="52"/>
      <c r="G17" s="52" t="s">
        <v>27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 t="s">
        <v>28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4"/>
      <c r="AR17" s="2"/>
    </row>
    <row r="18" ht="14.9" customHeight="1">
      <c r="B18" s="50"/>
      <c r="C18" s="52" t="s">
        <v>29</v>
      </c>
      <c r="D18" s="52"/>
      <c r="E18" s="52"/>
      <c r="F18" s="52"/>
      <c r="G18" s="52" t="s">
        <v>30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 t="s">
        <v>28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4"/>
      <c r="AR18" s="2"/>
    </row>
    <row r="19" ht="14.9" customHeight="1">
      <c r="B19" s="50"/>
      <c r="C19" s="52" t="s">
        <v>31</v>
      </c>
      <c r="D19" s="52"/>
      <c r="E19" s="52"/>
      <c r="F19" s="52"/>
      <c r="G19" s="52" t="s">
        <v>32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 t="s">
        <v>25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4"/>
      <c r="AR19" s="2"/>
    </row>
    <row r="20" ht="14.9" customHeight="1">
      <c r="B20" s="50"/>
      <c r="C20" s="55" t="s">
        <v>33</v>
      </c>
      <c r="D20" s="55"/>
      <c r="E20" s="55"/>
      <c r="F20" s="55"/>
      <c r="G20" s="55" t="s">
        <v>34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 t="s">
        <v>35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4"/>
      <c r="AR20" s="2"/>
    </row>
    <row r="21" ht="14.9" customHeight="1">
      <c r="A21" s="57"/>
      <c r="B21" s="50"/>
      <c r="C21" s="52" t="s">
        <v>36</v>
      </c>
      <c r="D21" s="52"/>
      <c r="E21" s="52"/>
      <c r="F21" s="52"/>
      <c r="G21" s="52" t="s">
        <v>37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 t="s">
        <v>35</v>
      </c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4"/>
      <c r="AR21" s="2"/>
    </row>
    <row r="22" ht="14.9" customHeight="1">
      <c r="B22" s="50"/>
      <c r="C22" s="55" t="s">
        <v>38</v>
      </c>
      <c r="D22" s="55"/>
      <c r="E22" s="55"/>
      <c r="F22" s="55"/>
      <c r="G22" s="55" t="s">
        <v>39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 t="s">
        <v>40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4"/>
      <c r="AR22" s="2"/>
    </row>
    <row r="23" ht="14.9" customHeight="1">
      <c r="B23" s="50"/>
      <c r="C23" s="55" t="s">
        <v>41</v>
      </c>
      <c r="D23" s="55"/>
      <c r="E23" s="55"/>
      <c r="F23" s="55"/>
      <c r="G23" s="55" t="s">
        <v>42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 t="s">
        <v>43</v>
      </c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4"/>
      <c r="AR23" s="2"/>
    </row>
    <row r="24" ht="14.9" customHeight="1">
      <c r="B24" s="50"/>
      <c r="C24" s="52" t="s">
        <v>44</v>
      </c>
      <c r="D24" s="52"/>
      <c r="E24" s="52"/>
      <c r="F24" s="52"/>
      <c r="G24" s="52" t="s">
        <v>45</v>
      </c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5" t="s">
        <v>43</v>
      </c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4"/>
      <c r="AR24" s="2"/>
    </row>
    <row r="25" ht="14.9" customHeight="1">
      <c r="B25" s="50"/>
      <c r="C25" s="52" t="s">
        <v>46</v>
      </c>
      <c r="D25" s="52"/>
      <c r="E25" s="52"/>
      <c r="F25" s="52"/>
      <c r="G25" s="52" t="s">
        <v>47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5" t="s">
        <v>43</v>
      </c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4"/>
      <c r="AR25" s="2"/>
    </row>
    <row r="26" ht="14.9" customHeight="1">
      <c r="B26" s="50"/>
      <c r="C26" s="52" t="s">
        <v>48</v>
      </c>
      <c r="D26" s="52"/>
      <c r="E26" s="52"/>
      <c r="F26" s="52"/>
      <c r="G26" s="52" t="s">
        <v>49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 t="s">
        <v>50</v>
      </c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4"/>
      <c r="AR26" s="2"/>
    </row>
    <row r="27" ht="14.9" customHeight="1">
      <c r="B27" s="50"/>
      <c r="C27" s="55" t="s">
        <v>51</v>
      </c>
      <c r="D27" s="55"/>
      <c r="E27" s="55"/>
      <c r="F27" s="55"/>
      <c r="G27" s="55" t="s">
        <v>52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 t="s">
        <v>18</v>
      </c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4"/>
      <c r="AR27" s="2"/>
    </row>
    <row r="28" ht="14.9" customHeight="1">
      <c r="B28" s="50"/>
      <c r="C28" s="52" t="s">
        <v>51</v>
      </c>
      <c r="D28" s="52"/>
      <c r="E28" s="52"/>
      <c r="F28" s="52"/>
      <c r="G28" s="52" t="s">
        <v>53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 t="s">
        <v>18</v>
      </c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4"/>
      <c r="AR28" s="2"/>
    </row>
    <row r="29" ht="14.9" customHeight="1">
      <c r="B29" s="50"/>
      <c r="C29" s="52" t="s">
        <v>54</v>
      </c>
      <c r="D29" s="52"/>
      <c r="E29" s="52"/>
      <c r="F29" s="52"/>
      <c r="G29" s="52" t="s">
        <v>55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 t="s">
        <v>56</v>
      </c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4"/>
      <c r="AR29" s="2"/>
    </row>
    <row r="30" ht="14.9" customHeight="1">
      <c r="B30" s="50"/>
      <c r="C30" s="55" t="s">
        <v>57</v>
      </c>
      <c r="D30" s="55"/>
      <c r="E30" s="55"/>
      <c r="F30" s="55"/>
      <c r="G30" s="55" t="s">
        <v>58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 t="s">
        <v>31</v>
      </c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4"/>
      <c r="AR30" s="2"/>
    </row>
    <row r="31" ht="14.9" customHeight="1">
      <c r="B31" s="50"/>
      <c r="C31" s="55" t="s">
        <v>59</v>
      </c>
      <c r="D31" s="55"/>
      <c r="E31" s="55"/>
      <c r="F31" s="55"/>
      <c r="G31" s="55" t="s">
        <v>60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 t="s">
        <v>61</v>
      </c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4"/>
      <c r="AR31" s="2"/>
    </row>
    <row r="32" ht="14.9" customHeight="1">
      <c r="B32" s="50"/>
      <c r="C32" s="52" t="s">
        <v>62</v>
      </c>
      <c r="D32" s="52"/>
      <c r="E32" s="52"/>
      <c r="F32" s="52"/>
      <c r="G32" s="52" t="s">
        <v>63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 t="s">
        <v>64</v>
      </c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4"/>
      <c r="AR32" s="2"/>
    </row>
    <row r="33" ht="14.9" customHeight="1">
      <c r="B33" s="50"/>
      <c r="C33" s="52" t="s">
        <v>65</v>
      </c>
      <c r="D33" s="52"/>
      <c r="E33" s="52"/>
      <c r="F33" s="52"/>
      <c r="G33" s="52" t="s">
        <v>66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4"/>
      <c r="AR33" s="2"/>
    </row>
    <row r="34" ht="14.9" customHeight="1">
      <c r="B34" s="50"/>
      <c r="C34" s="52" t="s">
        <v>67</v>
      </c>
      <c r="D34" s="52"/>
      <c r="E34" s="52"/>
      <c r="F34" s="52"/>
      <c r="G34" s="52" t="s">
        <v>68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4"/>
      <c r="AR34" s="2"/>
    </row>
    <row r="35" ht="14.9" customHeight="1">
      <c r="B35" s="50"/>
      <c r="C35" s="52" t="s">
        <v>69</v>
      </c>
      <c r="D35" s="52"/>
      <c r="E35" s="52"/>
      <c r="F35" s="52"/>
      <c r="G35" s="52" t="s">
        <v>70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 t="s">
        <v>71</v>
      </c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4"/>
      <c r="AR35" s="2"/>
    </row>
    <row r="36" ht="14.9" customHeight="1">
      <c r="B36" s="50"/>
      <c r="C36" s="52" t="s">
        <v>72</v>
      </c>
      <c r="D36" s="52"/>
      <c r="E36" s="52"/>
      <c r="F36" s="52"/>
      <c r="G36" s="52" t="s">
        <v>73</v>
      </c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4"/>
      <c r="AR36" s="2"/>
    </row>
    <row r="37" ht="14.9" customHeight="1">
      <c r="B37" s="50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4"/>
      <c r="AR37" s="2"/>
    </row>
    <row r="38" ht="14.9" customHeight="1">
      <c r="B38" s="50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4"/>
      <c r="AR38" s="2"/>
    </row>
    <row r="39" ht="14.9" customHeight="1">
      <c r="B39" s="50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4"/>
      <c r="AR39" s="2"/>
    </row>
    <row r="40" ht="14.9" customHeight="1">
      <c r="B40" s="50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4"/>
      <c r="AR40" s="2"/>
    </row>
    <row r="41" ht="14.9" customHeight="1">
      <c r="B41" s="50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4"/>
      <c r="AR41" s="2"/>
    </row>
    <row r="42" ht="14.9" customHeight="1">
      <c r="B42" s="50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4"/>
      <c r="AR42" s="2"/>
    </row>
    <row r="43" ht="14.9" customHeight="1">
      <c r="B43" s="50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4"/>
      <c r="AR43" s="2"/>
    </row>
    <row r="44" ht="14.9" customHeight="1">
      <c r="B44" s="50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4"/>
      <c r="AR44" s="2"/>
    </row>
    <row r="45" ht="14.9" customHeight="1">
      <c r="B45" s="50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4"/>
      <c r="AR45" s="2"/>
    </row>
    <row r="46" ht="14.9" customHeight="1">
      <c r="B46" s="5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4"/>
      <c r="AR46" s="2"/>
    </row>
    <row r="47" ht="14.9" customHeight="1">
      <c r="B47" s="50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4"/>
      <c r="AR47" s="2"/>
    </row>
    <row r="48" ht="14.9" customHeight="1">
      <c r="B48" s="50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4"/>
      <c r="AR48" s="2"/>
    </row>
    <row r="49" ht="14.9" customHeight="1">
      <c r="B49" s="50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4"/>
      <c r="AR49" s="2"/>
    </row>
    <row r="50" ht="14.9" customHeight="1">
      <c r="B50" s="5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4"/>
      <c r="AR50" s="2"/>
    </row>
    <row r="51" s="2" customFormat="1" ht="36" customHeight="1">
      <c r="B51" s="58" t="e">
        <f>disclaimer</f>
        <v>#REF!</v>
      </c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R51" s="1"/>
      <c r="AS51" s="1"/>
      <c r="AT51" s="1"/>
      <c r="AU51" s="1"/>
      <c r="AV51" s="1"/>
      <c r="AW51" s="1"/>
    </row>
    <row r="52" s="2" customFormat="1">
      <c r="AR52" s="1"/>
      <c r="AS52" s="1"/>
      <c r="AT52" s="1"/>
      <c r="AU52" s="1"/>
      <c r="AV52" s="1"/>
      <c r="AW52" s="1"/>
    </row>
    <row r="53" s="2" customFormat="1">
      <c r="AR53" s="1"/>
      <c r="AS53" s="1"/>
      <c r="AT53" s="1"/>
      <c r="AU53" s="1"/>
      <c r="AV53" s="1"/>
      <c r="AW53" s="1"/>
    </row>
    <row r="54" s="2" customFormat="1">
      <c r="AR54" s="1"/>
      <c r="AS54" s="1"/>
      <c r="AT54" s="1"/>
      <c r="AU54" s="1"/>
      <c r="AV54" s="1"/>
      <c r="AW54" s="1"/>
    </row>
    <row r="55" s="2" customFormat="1">
      <c r="AR55" s="1"/>
      <c r="AS55" s="1"/>
      <c r="AT55" s="1"/>
      <c r="AU55" s="1"/>
      <c r="AV55" s="1"/>
      <c r="AW55" s="1"/>
    </row>
    <row r="56" s="2" customFormat="1">
      <c r="AR56" s="1"/>
      <c r="AS56" s="1"/>
      <c r="AT56" s="1"/>
      <c r="AU56" s="1"/>
      <c r="AV56" s="1"/>
      <c r="AW56" s="1"/>
    </row>
    <row r="57" s="2" customFormat="1">
      <c r="AR57" s="1"/>
      <c r="AS57" s="1"/>
      <c r="AT57" s="1"/>
      <c r="AU57" s="1"/>
      <c r="AV57" s="1"/>
      <c r="AW57" s="1"/>
    </row>
    <row r="58" s="2" customFormat="1">
      <c r="AR58" s="1"/>
      <c r="AS58" s="1"/>
      <c r="AT58" s="1"/>
      <c r="AU58" s="1"/>
      <c r="AV58" s="1"/>
      <c r="AW58" s="1"/>
    </row>
    <row r="59" s="2" customFormat="1">
      <c r="AR59" s="1"/>
      <c r="AS59" s="1"/>
      <c r="AT59" s="1"/>
      <c r="AU59" s="1"/>
      <c r="AV59" s="1"/>
      <c r="AW59" s="1"/>
    </row>
    <row r="60" s="2" customFormat="1">
      <c r="AR60" s="1"/>
      <c r="AS60" s="1"/>
      <c r="AT60" s="1"/>
      <c r="AU60" s="1"/>
      <c r="AV60" s="1"/>
      <c r="AW60" s="1"/>
    </row>
    <row r="61" s="2" customFormat="1">
      <c r="AR61" s="1"/>
      <c r="AS61" s="1"/>
      <c r="AT61" s="1"/>
      <c r="AU61" s="1"/>
      <c r="AV61" s="1"/>
      <c r="AW61" s="1"/>
    </row>
    <row r="62" s="2" customFormat="1">
      <c r="AR62" s="1"/>
      <c r="AS62" s="1"/>
      <c r="AT62" s="1"/>
      <c r="AU62" s="1"/>
      <c r="AV62" s="1"/>
      <c r="AW62" s="1"/>
    </row>
    <row r="63" s="2" customFormat="1">
      <c r="AR63" s="1"/>
      <c r="AS63" s="1"/>
      <c r="AT63" s="1"/>
      <c r="AU63" s="1"/>
      <c r="AV63" s="1"/>
      <c r="AW63" s="1"/>
    </row>
    <row r="64" s="2" customFormat="1">
      <c r="AR64" s="1"/>
      <c r="AS64" s="1"/>
      <c r="AT64" s="1"/>
      <c r="AU64" s="1"/>
      <c r="AV64" s="1"/>
      <c r="AW64" s="1"/>
    </row>
    <row r="65" s="2" customFormat="1">
      <c r="AR65" s="1"/>
      <c r="AS65" s="1"/>
      <c r="AT65" s="1"/>
      <c r="AU65" s="1"/>
      <c r="AV65" s="1"/>
      <c r="AW65" s="1"/>
    </row>
    <row r="66" s="2" customFormat="1">
      <c r="AR66" s="1"/>
      <c r="AS66" s="1"/>
      <c r="AT66" s="1"/>
      <c r="AU66" s="1"/>
      <c r="AV66" s="1"/>
      <c r="AW66" s="1"/>
    </row>
    <row r="67" s="2" customFormat="1">
      <c r="AR67" s="1"/>
      <c r="AS67" s="1"/>
      <c r="AT67" s="1"/>
      <c r="AU67" s="1"/>
      <c r="AV67" s="1"/>
      <c r="AW67" s="1"/>
    </row>
    <row r="68" s="2" customFormat="1">
      <c r="AR68" s="1"/>
      <c r="AS68" s="1"/>
      <c r="AT68" s="1"/>
      <c r="AU68" s="1"/>
      <c r="AV68" s="1"/>
      <c r="AW68" s="1"/>
    </row>
    <row r="69" s="2" customFormat="1">
      <c r="AR69" s="1"/>
      <c r="AS69" s="1"/>
      <c r="AT69" s="1"/>
      <c r="AU69" s="1"/>
      <c r="AV69" s="1"/>
      <c r="AW69" s="1"/>
    </row>
    <row r="70" s="2" customFormat="1">
      <c r="AR70" s="1"/>
      <c r="AS70" s="1"/>
      <c r="AT70" s="1"/>
      <c r="AU70" s="1"/>
      <c r="AV70" s="1"/>
      <c r="AW70" s="1"/>
    </row>
    <row r="71" s="2" customFormat="1">
      <c r="AR71" s="1"/>
      <c r="AS71" s="1"/>
      <c r="AT71" s="1"/>
      <c r="AU71" s="1"/>
      <c r="AV71" s="1"/>
      <c r="AW71" s="1"/>
    </row>
    <row r="72" s="2" customFormat="1">
      <c r="AR72" s="1"/>
      <c r="AS72" s="1"/>
      <c r="AT72" s="1"/>
      <c r="AU72" s="1"/>
      <c r="AV72" s="1"/>
      <c r="AW72" s="1"/>
    </row>
    <row r="73" s="2" customFormat="1">
      <c r="AR73" s="1"/>
      <c r="AS73" s="1"/>
      <c r="AT73" s="1"/>
      <c r="AU73" s="1"/>
      <c r="AV73" s="1"/>
      <c r="AW73" s="1"/>
    </row>
  </sheetData>
  <sortState ref="C12:AH36">
    <sortCondition ref="C12:C36"/>
  </sortState>
  <mergeCells count="47">
    <mergeCell ref="B1:AN1"/>
    <mergeCell ref="B2:G2"/>
    <mergeCell ref="I2:Z2"/>
    <mergeCell ref="AA2:AD2"/>
    <mergeCell ref="AE2:AN2"/>
    <mergeCell ref="B3:G3"/>
    <mergeCell ref="I3:Z3"/>
    <mergeCell ref="AA3:AD3"/>
    <mergeCell ref="AE3:AN3"/>
    <mergeCell ref="B4:G4"/>
    <mergeCell ref="I4:Z4"/>
    <mergeCell ref="AA4:AD4"/>
    <mergeCell ref="AE4:AN4"/>
    <mergeCell ref="B5:H5"/>
    <mergeCell ref="I5:AN5"/>
    <mergeCell ref="B6:I6"/>
    <mergeCell ref="J6:AC6"/>
    <mergeCell ref="AD6:AF6"/>
    <mergeCell ref="AG6:AI6"/>
    <mergeCell ref="AJ6:AK6"/>
    <mergeCell ref="AL6:AN6"/>
    <mergeCell ref="B7:C7"/>
    <mergeCell ref="D7:F7"/>
    <mergeCell ref="G7:J7"/>
    <mergeCell ref="K7:N7"/>
    <mergeCell ref="O7:P7"/>
    <mergeCell ref="Q7:S7"/>
    <mergeCell ref="T7:W7"/>
    <mergeCell ref="X7:AA7"/>
    <mergeCell ref="AB7:AC7"/>
    <mergeCell ref="AD7:AF7"/>
    <mergeCell ref="AG7:AJ7"/>
    <mergeCell ref="AK7:AN7"/>
    <mergeCell ref="B8:C8"/>
    <mergeCell ref="D8:F8"/>
    <mergeCell ref="G8:J8"/>
    <mergeCell ref="K8:N8"/>
    <mergeCell ref="O8:P8"/>
    <mergeCell ref="Q8:S8"/>
    <mergeCell ref="T8:W8"/>
    <mergeCell ref="X8:AA8"/>
    <mergeCell ref="AB8:AC8"/>
    <mergeCell ref="AD8:AF8"/>
    <mergeCell ref="AG8:AJ8"/>
    <mergeCell ref="AK8:AN8"/>
    <mergeCell ref="C10:D10"/>
    <mergeCell ref="B51:AN51"/>
  </mergeCells>
  <printOptions headings="0" gridLines="0"/>
  <pageMargins left="0.78740157480314987" right="0.19685039370078697" top="0.39370078740157494" bottom="0.62" header="0.19685039370078697" footer="0.19685039370078697"/>
  <pageSetup paperSize="9" scale="93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&amp;L&amp;"Calibri,Regular"&amp;11Copyright 2019, Worley
&amp;F&amp;R&amp;"Calibri,Regular"&amp;11Rev. 0, 01 December 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70C0"/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9.1796875" defaultRowHeight="12.5"/>
  <cols>
    <col customWidth="1" min="1" max="1" style="1" width="0.7265625"/>
    <col customWidth="1" min="2" max="13" style="1" width="2.54296875"/>
    <col customWidth="1" min="14" max="14" style="1" width="2.81640625"/>
    <col customWidth="1" min="15" max="15" style="1" width="3.1796875"/>
    <col customWidth="1" min="16" max="16" style="1" width="2.54296875"/>
    <col customWidth="1" min="17" max="17" style="1" width="2.81640625"/>
    <col customWidth="1" min="18" max="18" style="1" width="2.7265625"/>
    <col customWidth="1" min="19" max="19" style="1" width="3"/>
    <col customWidth="1" min="20" max="39" style="1" width="2.54296875"/>
    <col customWidth="1" min="40" max="40" style="2" width="2.54296875"/>
    <col customWidth="1" hidden="1" min="41" max="41" style="2" width="21.26953125"/>
    <col customWidth="1" hidden="1" min="42" max="43" style="2" width="9.1796875"/>
    <col customWidth="1" hidden="1" min="44" max="89" style="1" width="9.1796875"/>
    <col customWidth="1" min="90" max="90" style="1" width="9.1796875"/>
    <col min="91" max="16384" style="1" width="9.1796875"/>
  </cols>
  <sheetData>
    <row r="1" s="0" customFormat="1" ht="60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4"/>
      <c r="AQ1" s="4"/>
    </row>
    <row r="2" s="5" customFormat="1" ht="15" customHeight="1">
      <c r="B2" s="6" t="s">
        <v>1</v>
      </c>
      <c r="C2" s="7"/>
      <c r="D2" s="7"/>
      <c r="E2" s="7"/>
      <c r="F2" s="7"/>
      <c r="G2" s="7"/>
      <c r="H2" s="7"/>
      <c r="I2" s="8" t="e">
        <f>customer</f>
        <v>#REF!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 t="e">
        <f>#REF!</f>
        <v>#REF!</v>
      </c>
      <c r="AB2" s="9"/>
      <c r="AC2" s="9"/>
      <c r="AD2" s="9"/>
      <c r="AE2" s="10" t="e">
        <f>Proj_No</f>
        <v>#REF!</v>
      </c>
      <c r="AF2" s="10"/>
      <c r="AG2" s="10"/>
      <c r="AH2" s="10"/>
      <c r="AI2" s="10"/>
      <c r="AJ2" s="10"/>
      <c r="AK2" s="10"/>
      <c r="AL2" s="10"/>
      <c r="AM2" s="10"/>
      <c r="AN2" s="11"/>
      <c r="AO2" s="12"/>
      <c r="AP2" s="13"/>
      <c r="AQ2" s="13"/>
    </row>
    <row r="3" s="5" customFormat="1" ht="15" customHeight="1">
      <c r="B3" s="14" t="s">
        <v>2</v>
      </c>
      <c r="C3" s="15"/>
      <c r="D3" s="15"/>
      <c r="E3" s="15"/>
      <c r="F3" s="15"/>
      <c r="G3" s="15"/>
      <c r="H3" s="15"/>
      <c r="I3" s="16" t="e">
        <f>proj_title</f>
        <v>#REF!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 t="e">
        <f>#REF!</f>
        <v>#REF!</v>
      </c>
      <c r="AB3" s="17"/>
      <c r="AC3" s="17"/>
      <c r="AD3" s="17"/>
      <c r="AE3" s="18" t="e">
        <f>Calc_No</f>
        <v>#REF!</v>
      </c>
      <c r="AF3" s="18"/>
      <c r="AG3" s="18"/>
      <c r="AH3" s="18"/>
      <c r="AI3" s="18"/>
      <c r="AJ3" s="18"/>
      <c r="AK3" s="18"/>
      <c r="AL3" s="18"/>
      <c r="AM3" s="18"/>
      <c r="AN3" s="19"/>
      <c r="AO3" s="12"/>
      <c r="AP3" s="13"/>
      <c r="AQ3" s="13"/>
    </row>
    <row r="4" s="5" customFormat="1" ht="15" customHeight="1">
      <c r="B4" s="20" t="s">
        <v>3</v>
      </c>
      <c r="C4" s="17"/>
      <c r="D4" s="17"/>
      <c r="E4" s="17"/>
      <c r="F4" s="17"/>
      <c r="G4" s="17"/>
      <c r="H4" s="15"/>
      <c r="I4" s="21" t="e">
        <f>calc_title</f>
        <v>#REF!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17" t="s">
        <v>4</v>
      </c>
      <c r="AB4" s="17"/>
      <c r="AC4" s="17"/>
      <c r="AD4" s="17"/>
      <c r="AE4" s="18" t="e">
        <f>Phase_CTR</f>
        <v>#REF!</v>
      </c>
      <c r="AF4" s="18"/>
      <c r="AG4" s="18"/>
      <c r="AH4" s="18"/>
      <c r="AI4" s="18"/>
      <c r="AJ4" s="18"/>
      <c r="AK4" s="18"/>
      <c r="AL4" s="18"/>
      <c r="AM4" s="18"/>
      <c r="AN4" s="19"/>
      <c r="AO4" s="12"/>
      <c r="AP4" s="13"/>
      <c r="AQ4" s="13"/>
    </row>
    <row r="5" s="5" customFormat="1" ht="22.5" customHeight="1">
      <c r="B5" s="20" t="s">
        <v>5</v>
      </c>
      <c r="C5" s="17"/>
      <c r="D5" s="17"/>
      <c r="E5" s="17"/>
      <c r="F5" s="17"/>
      <c r="G5" s="17"/>
      <c r="H5" s="17"/>
      <c r="I5" s="22" t="e">
        <f ca="1">elec_file</f>
        <v>#REF!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3"/>
      <c r="AO5" s="13"/>
      <c r="AP5" s="13"/>
      <c r="AQ5" s="13"/>
    </row>
    <row r="6" s="24" customFormat="1" ht="15" customHeight="1">
      <c r="B6" s="25"/>
      <c r="C6" s="26"/>
      <c r="D6" s="26"/>
      <c r="E6" s="26"/>
      <c r="F6" s="26"/>
      <c r="G6" s="26"/>
      <c r="H6" s="26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8" t="s">
        <v>6</v>
      </c>
      <c r="AE6" s="28"/>
      <c r="AF6" s="28"/>
      <c r="AG6" s="29">
        <v>1</v>
      </c>
      <c r="AH6" s="29"/>
      <c r="AI6" s="29"/>
      <c r="AJ6" s="28" t="s">
        <v>7</v>
      </c>
      <c r="AK6" s="28"/>
      <c r="AL6" s="30" t="e">
        <f>#REF!</f>
        <v>#REF!</v>
      </c>
      <c r="AM6" s="30"/>
      <c r="AN6" s="31"/>
      <c r="AO6" s="32"/>
      <c r="AP6" s="32"/>
      <c r="AQ6" s="32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</row>
    <row r="7" s="0" customFormat="1" ht="15" customHeight="1">
      <c r="B7" s="33" t="s">
        <v>8</v>
      </c>
      <c r="C7" s="34"/>
      <c r="D7" s="33" t="s">
        <v>9</v>
      </c>
      <c r="E7" s="35"/>
      <c r="F7" s="35"/>
      <c r="G7" s="33" t="s">
        <v>10</v>
      </c>
      <c r="H7" s="35"/>
      <c r="I7" s="35"/>
      <c r="J7" s="34"/>
      <c r="K7" s="33" t="s">
        <v>11</v>
      </c>
      <c r="L7" s="35"/>
      <c r="M7" s="35"/>
      <c r="N7" s="36"/>
      <c r="O7" s="35" t="s">
        <v>8</v>
      </c>
      <c r="P7" s="34"/>
      <c r="Q7" s="33" t="s">
        <v>9</v>
      </c>
      <c r="R7" s="35"/>
      <c r="S7" s="35"/>
      <c r="T7" s="33" t="s">
        <v>10</v>
      </c>
      <c r="U7" s="35"/>
      <c r="V7" s="35"/>
      <c r="W7" s="34"/>
      <c r="X7" s="33" t="s">
        <v>11</v>
      </c>
      <c r="Y7" s="35"/>
      <c r="Z7" s="35"/>
      <c r="AA7" s="36"/>
      <c r="AB7" s="35" t="s">
        <v>8</v>
      </c>
      <c r="AC7" s="34"/>
      <c r="AD7" s="33" t="s">
        <v>9</v>
      </c>
      <c r="AE7" s="35"/>
      <c r="AF7" s="35"/>
      <c r="AG7" s="33" t="s">
        <v>10</v>
      </c>
      <c r="AH7" s="35"/>
      <c r="AI7" s="35"/>
      <c r="AJ7" s="34"/>
      <c r="AK7" s="33" t="s">
        <v>11</v>
      </c>
      <c r="AL7" s="35"/>
      <c r="AM7" s="35"/>
      <c r="AN7" s="34"/>
      <c r="AO7" s="4"/>
      <c r="AP7" s="4"/>
      <c r="AQ7" s="4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</row>
    <row r="8" s="37" customFormat="1" ht="15" customHeight="1">
      <c r="A8" s="37" t="s">
        <v>12</v>
      </c>
      <c r="B8" s="38" t="e">
        <f>_rev1</f>
        <v>#REF!</v>
      </c>
      <c r="C8" s="39"/>
      <c r="D8" s="40" t="e">
        <f>date1</f>
        <v>#REF!</v>
      </c>
      <c r="E8" s="41"/>
      <c r="F8" s="41"/>
      <c r="G8" s="42" t="e">
        <f>orig1</f>
        <v>#REF!</v>
      </c>
      <c r="H8" s="43"/>
      <c r="I8" s="43"/>
      <c r="J8" s="44"/>
      <c r="K8" s="38" t="e">
        <f>_chk1</f>
        <v>#REF!</v>
      </c>
      <c r="L8" s="45"/>
      <c r="M8" s="45"/>
      <c r="N8" s="46"/>
      <c r="O8" s="45" t="e">
        <f>_rev2</f>
        <v>#REF!</v>
      </c>
      <c r="P8" s="39"/>
      <c r="Q8" s="40" t="e">
        <f>date2</f>
        <v>#REF!</v>
      </c>
      <c r="R8" s="41"/>
      <c r="S8" s="41"/>
      <c r="T8" s="42" t="e">
        <f>orig2</f>
        <v>#REF!</v>
      </c>
      <c r="U8" s="43"/>
      <c r="V8" s="43"/>
      <c r="W8" s="44"/>
      <c r="X8" s="38" t="e">
        <f>_chk2</f>
        <v>#REF!</v>
      </c>
      <c r="Y8" s="45"/>
      <c r="Z8" s="45"/>
      <c r="AA8" s="46"/>
      <c r="AB8" s="45" t="e">
        <f>_rev3</f>
        <v>#REF!</v>
      </c>
      <c r="AC8" s="39"/>
      <c r="AD8" s="40" t="e">
        <f>date3</f>
        <v>#REF!</v>
      </c>
      <c r="AE8" s="41"/>
      <c r="AF8" s="41"/>
      <c r="AG8" s="42" t="e">
        <f>orig3</f>
        <v>#REF!</v>
      </c>
      <c r="AH8" s="43"/>
      <c r="AI8" s="43"/>
      <c r="AJ8" s="44"/>
      <c r="AK8" s="38" t="e">
        <f>_chk3</f>
        <v>#REF!</v>
      </c>
      <c r="AL8" s="45"/>
      <c r="AM8" s="45"/>
      <c r="AN8" s="39"/>
      <c r="AO8" s="37"/>
      <c r="AP8" s="37"/>
      <c r="AQ8" s="37"/>
      <c r="AR8" s="37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</row>
    <row r="9" ht="14.9" customHeight="1"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9"/>
      <c r="AO9" s="13"/>
      <c r="AP9" s="13"/>
      <c r="AQ9" s="13"/>
      <c r="AR9" s="2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</row>
    <row r="10" ht="14.9" customHeight="1">
      <c r="B10" s="59" t="s">
        <v>74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60"/>
      <c r="AO10" s="13"/>
      <c r="AP10" s="13"/>
      <c r="AQ10" s="13"/>
      <c r="AR10" s="2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</row>
    <row r="11" ht="14.9" customHeight="1">
      <c r="B11" s="5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2"/>
      <c r="AO11" s="13"/>
      <c r="AP11" s="13"/>
      <c r="AQ11" s="13"/>
      <c r="AR11" s="2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</row>
    <row r="12" ht="14.9" customHeight="1">
      <c r="B12" s="50"/>
      <c r="C12" s="63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6" t="s">
        <v>75</v>
      </c>
      <c r="U12" s="67"/>
      <c r="V12" s="67"/>
      <c r="W12" s="67"/>
      <c r="X12" s="67"/>
      <c r="Y12" s="68"/>
      <c r="Z12" s="66" t="s">
        <v>76</v>
      </c>
      <c r="AA12" s="67"/>
      <c r="AB12" s="67"/>
      <c r="AC12" s="67"/>
      <c r="AD12" s="67"/>
      <c r="AE12" s="68"/>
      <c r="AF12" s="66" t="s">
        <v>77</v>
      </c>
      <c r="AG12" s="67"/>
      <c r="AH12" s="67"/>
      <c r="AI12" s="67"/>
      <c r="AJ12" s="67"/>
      <c r="AK12" s="68"/>
      <c r="AL12" s="52"/>
      <c r="AM12" s="52"/>
      <c r="AN12" s="54"/>
      <c r="AO12" s="13"/>
      <c r="AP12" s="13"/>
      <c r="AR12" s="2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</row>
    <row r="13" ht="14.9" customHeight="1">
      <c r="B13" s="50"/>
      <c r="C13" s="69" t="s">
        <v>78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1"/>
      <c r="AL13" s="52"/>
      <c r="AM13" s="52"/>
      <c r="AN13" s="54"/>
      <c r="AO13" s="13"/>
      <c r="AP13" s="13"/>
      <c r="AR13" s="2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</row>
    <row r="14" ht="14.9" customHeight="1">
      <c r="B14" s="50"/>
      <c r="C14" s="72" t="s">
        <v>79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4"/>
      <c r="T14" s="75" t="s">
        <v>80</v>
      </c>
      <c r="U14" s="76"/>
      <c r="V14" s="76"/>
      <c r="W14" s="76"/>
      <c r="X14" s="76"/>
      <c r="Y14" s="77"/>
      <c r="Z14" s="75" t="s">
        <v>80</v>
      </c>
      <c r="AA14" s="76"/>
      <c r="AB14" s="76"/>
      <c r="AC14" s="76"/>
      <c r="AD14" s="76"/>
      <c r="AE14" s="77"/>
      <c r="AF14" s="75" t="s">
        <v>80</v>
      </c>
      <c r="AG14" s="76"/>
      <c r="AH14" s="76"/>
      <c r="AI14" s="76"/>
      <c r="AJ14" s="76"/>
      <c r="AK14" s="77"/>
      <c r="AL14" s="52"/>
      <c r="AM14" s="52"/>
      <c r="AN14" s="54"/>
      <c r="AO14" s="13"/>
      <c r="AP14" s="13"/>
      <c r="AR14" s="2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</row>
    <row r="15" ht="14.9" customHeight="1">
      <c r="B15" s="50"/>
      <c r="C15" s="78" t="s">
        <v>81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80"/>
      <c r="T15" s="81">
        <v>14.859999999999999</v>
      </c>
      <c r="U15" s="82"/>
      <c r="V15" s="82"/>
      <c r="W15" s="82"/>
      <c r="X15" s="82"/>
      <c r="Y15" s="83"/>
      <c r="Z15" s="81">
        <v>14.859999999999999</v>
      </c>
      <c r="AA15" s="82"/>
      <c r="AB15" s="82"/>
      <c r="AC15" s="82"/>
      <c r="AD15" s="82"/>
      <c r="AE15" s="83"/>
      <c r="AF15" s="81">
        <v>14.859999999999999</v>
      </c>
      <c r="AG15" s="82"/>
      <c r="AH15" s="82"/>
      <c r="AI15" s="82"/>
      <c r="AJ15" s="82"/>
      <c r="AK15" s="83"/>
      <c r="AL15" s="52"/>
      <c r="AM15" s="52"/>
      <c r="AN15" s="54"/>
      <c r="AR15" s="2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</row>
    <row r="16" ht="14.9" customHeight="1">
      <c r="B16" s="50"/>
      <c r="C16" s="78" t="s">
        <v>82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80"/>
      <c r="T16" s="81">
        <v>1.3300000000000001</v>
      </c>
      <c r="U16" s="82"/>
      <c r="V16" s="82"/>
      <c r="W16" s="82"/>
      <c r="X16" s="82"/>
      <c r="Y16" s="83"/>
      <c r="Z16" s="81">
        <v>1.3300000000000001</v>
      </c>
      <c r="AA16" s="82"/>
      <c r="AB16" s="82"/>
      <c r="AC16" s="82"/>
      <c r="AD16" s="82"/>
      <c r="AE16" s="83"/>
      <c r="AF16" s="81">
        <v>1.3300000000000001</v>
      </c>
      <c r="AG16" s="82"/>
      <c r="AH16" s="82"/>
      <c r="AI16" s="82"/>
      <c r="AJ16" s="82"/>
      <c r="AK16" s="83"/>
      <c r="AL16" s="52"/>
      <c r="AM16" s="52"/>
      <c r="AN16" s="54"/>
      <c r="AR16" s="2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</row>
    <row r="17" ht="14.9" customHeight="1">
      <c r="B17" s="50"/>
      <c r="C17" s="78" t="s">
        <v>83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80"/>
      <c r="T17" s="84">
        <v>410</v>
      </c>
      <c r="U17" s="85"/>
      <c r="V17" s="85"/>
      <c r="W17" s="85"/>
      <c r="X17" s="85"/>
      <c r="Y17" s="86"/>
      <c r="Z17" s="84">
        <v>410</v>
      </c>
      <c r="AA17" s="85"/>
      <c r="AB17" s="85"/>
      <c r="AC17" s="85"/>
      <c r="AD17" s="85"/>
      <c r="AE17" s="86"/>
      <c r="AF17" s="84">
        <v>410</v>
      </c>
      <c r="AG17" s="85"/>
      <c r="AH17" s="85"/>
      <c r="AI17" s="85"/>
      <c r="AJ17" s="85"/>
      <c r="AK17" s="86"/>
      <c r="AL17" s="52"/>
      <c r="AM17" s="52"/>
      <c r="AN17" s="54"/>
      <c r="AR17" s="2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</row>
    <row r="18" ht="14.9" customHeight="1">
      <c r="B18" s="50"/>
      <c r="C18" s="78" t="s">
        <v>84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80"/>
      <c r="T18" s="81">
        <v>21.75</v>
      </c>
      <c r="U18" s="82"/>
      <c r="V18" s="82"/>
      <c r="W18" s="82"/>
      <c r="X18" s="82"/>
      <c r="Y18" s="83"/>
      <c r="Z18" s="81">
        <v>21.75</v>
      </c>
      <c r="AA18" s="82"/>
      <c r="AB18" s="82"/>
      <c r="AC18" s="82"/>
      <c r="AD18" s="82"/>
      <c r="AE18" s="83"/>
      <c r="AF18" s="81">
        <v>21.75</v>
      </c>
      <c r="AG18" s="82"/>
      <c r="AH18" s="82"/>
      <c r="AI18" s="82"/>
      <c r="AJ18" s="82"/>
      <c r="AK18" s="83"/>
      <c r="AL18" s="52"/>
      <c r="AM18" s="52"/>
      <c r="AN18" s="54"/>
      <c r="AR18" s="2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</row>
    <row r="19" ht="14.9" customHeight="1">
      <c r="B19" s="50"/>
      <c r="C19" s="78" t="s">
        <v>85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  <c r="T19" s="87">
        <v>100</v>
      </c>
      <c r="U19" s="88"/>
      <c r="V19" s="88"/>
      <c r="W19" s="88"/>
      <c r="X19" s="88"/>
      <c r="Y19" s="89"/>
      <c r="Z19" s="87">
        <v>100</v>
      </c>
      <c r="AA19" s="88"/>
      <c r="AB19" s="88"/>
      <c r="AC19" s="88"/>
      <c r="AD19" s="88"/>
      <c r="AE19" s="89"/>
      <c r="AF19" s="87">
        <v>100</v>
      </c>
      <c r="AG19" s="88"/>
      <c r="AH19" s="88"/>
      <c r="AI19" s="88"/>
      <c r="AJ19" s="88"/>
      <c r="AK19" s="89"/>
      <c r="AL19" s="52"/>
      <c r="AM19" s="52"/>
      <c r="AN19" s="54"/>
      <c r="AR19" s="2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</row>
    <row r="20" ht="14.9" customHeight="1">
      <c r="B20" s="50"/>
      <c r="C20" s="78" t="s">
        <v>86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  <c r="T20" s="87" t="s">
        <v>87</v>
      </c>
      <c r="U20" s="88"/>
      <c r="V20" s="88"/>
      <c r="W20" s="88"/>
      <c r="X20" s="88"/>
      <c r="Y20" s="89"/>
      <c r="Z20" s="87" t="s">
        <v>88</v>
      </c>
      <c r="AA20" s="88"/>
      <c r="AB20" s="88"/>
      <c r="AC20" s="88"/>
      <c r="AD20" s="88"/>
      <c r="AE20" s="89"/>
      <c r="AF20" s="87" t="s">
        <v>89</v>
      </c>
      <c r="AG20" s="88"/>
      <c r="AH20" s="88"/>
      <c r="AI20" s="88"/>
      <c r="AJ20" s="88"/>
      <c r="AK20" s="89"/>
      <c r="AL20" s="52"/>
      <c r="AM20" s="52"/>
      <c r="AN20" s="54"/>
      <c r="AR20" s="2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</row>
    <row r="21" ht="14.9" customHeight="1">
      <c r="B21" s="50"/>
      <c r="C21" s="78" t="s">
        <v>90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  <c r="T21" s="90">
        <f>IF(T20="Manual Input","-",INDEX($AT$25:$AU$57,MATCH(T19,$AT$25:$AT$57,0),2))</f>
        <v>114.3</v>
      </c>
      <c r="U21" s="91"/>
      <c r="V21" s="91"/>
      <c r="W21" s="91"/>
      <c r="X21" s="91"/>
      <c r="Y21" s="92"/>
      <c r="Z21" s="90">
        <f>IF(Z20="Manual Input","-",INDEX($AT$25:$AU$57,MATCH(Z19,$AT$25:$AT$57,0),2))</f>
        <v>114.3</v>
      </c>
      <c r="AA21" s="91"/>
      <c r="AB21" s="91"/>
      <c r="AC21" s="91"/>
      <c r="AD21" s="91"/>
      <c r="AE21" s="92"/>
      <c r="AF21" s="90">
        <f>IF(AF20="Manual Input","-",INDEX($AT$25:$AU$57,MATCH(AF19,$AT$25:$AT$57,0),2))</f>
        <v>114.3</v>
      </c>
      <c r="AG21" s="91"/>
      <c r="AH21" s="91"/>
      <c r="AI21" s="91"/>
      <c r="AJ21" s="91"/>
      <c r="AK21" s="92"/>
      <c r="AL21" s="52"/>
      <c r="AM21" s="52"/>
      <c r="AN21" s="54"/>
      <c r="AR21" s="2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</row>
    <row r="22" ht="14.9" customHeight="1">
      <c r="A22" s="57"/>
      <c r="B22" s="50"/>
      <c r="C22" s="78" t="s">
        <v>91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/>
      <c r="T22" s="93">
        <f>IF(T20="manual Input","-",((INDEX($AV$25:$CK$57, MATCH(T19, $AT$25:$AT$57,0), MATCH(T20,$AV$22:$CK$22, 0)+1))*25.4))</f>
        <v>6.0198</v>
      </c>
      <c r="U22" s="94"/>
      <c r="V22" s="94"/>
      <c r="W22" s="94"/>
      <c r="X22" s="94"/>
      <c r="Y22" s="95"/>
      <c r="Z22" s="93">
        <f>IF(Z20="manual Input","-",((INDEX($AV$25:$CK$57, MATCH(Z19, $AT$25:$AT$57,0), MATCH(Z20,$AV$22:$CK$22, 0)+1))*25.4))</f>
        <v>6.0198</v>
      </c>
      <c r="AA22" s="94"/>
      <c r="AB22" s="94"/>
      <c r="AC22" s="94"/>
      <c r="AD22" s="94"/>
      <c r="AE22" s="95"/>
      <c r="AF22" s="93">
        <f>IF(AF20="manual Input","-",((INDEX($AV$25:$CK$57, MATCH(AF19, $AT$25:$AT$57,0), MATCH(AF20,$AV$22:$CK$22, 0)+1))*25.4))</f>
        <v>8.5597999999999992</v>
      </c>
      <c r="AG22" s="94"/>
      <c r="AH22" s="94"/>
      <c r="AI22" s="94"/>
      <c r="AJ22" s="94"/>
      <c r="AK22" s="95"/>
      <c r="AL22" s="52"/>
      <c r="AM22" s="52"/>
      <c r="AN22" s="54"/>
      <c r="AR22" s="96" t="s">
        <v>92</v>
      </c>
      <c r="AS22" s="5"/>
      <c r="AT22" s="97" t="s">
        <v>93</v>
      </c>
      <c r="AU22" s="97"/>
      <c r="AV22" s="98" t="s">
        <v>94</v>
      </c>
      <c r="AW22" s="97"/>
      <c r="AX22" s="97"/>
      <c r="AY22" s="98" t="s">
        <v>95</v>
      </c>
      <c r="AZ22" s="97"/>
      <c r="BA22" s="97"/>
      <c r="BB22" s="99" t="s">
        <v>96</v>
      </c>
      <c r="BC22" s="97"/>
      <c r="BD22" s="97"/>
      <c r="BE22" s="99" t="s">
        <v>97</v>
      </c>
      <c r="BF22" s="97"/>
      <c r="BG22" s="97"/>
      <c r="BH22" s="98" t="s">
        <v>88</v>
      </c>
      <c r="BI22" s="97"/>
      <c r="BJ22" s="97"/>
      <c r="BK22" s="100" t="s">
        <v>98</v>
      </c>
      <c r="BL22" s="97"/>
      <c r="BM22" s="97"/>
      <c r="BN22" s="98" t="s">
        <v>89</v>
      </c>
      <c r="BO22" s="97"/>
      <c r="BP22" s="97"/>
      <c r="BQ22" s="99" t="s">
        <v>99</v>
      </c>
      <c r="BR22" s="97"/>
      <c r="BS22" s="97"/>
      <c r="BT22" s="99" t="s">
        <v>100</v>
      </c>
      <c r="BU22" s="97"/>
      <c r="BV22" s="97"/>
      <c r="BW22" s="99" t="s">
        <v>101</v>
      </c>
      <c r="BX22" s="97"/>
      <c r="BY22" s="97"/>
      <c r="BZ22" s="99" t="s">
        <v>102</v>
      </c>
      <c r="CA22" s="97"/>
      <c r="CB22" s="97"/>
      <c r="CC22" s="98" t="s">
        <v>103</v>
      </c>
      <c r="CD22" s="97"/>
      <c r="CE22" s="97"/>
      <c r="CF22" s="98" t="s">
        <v>104</v>
      </c>
      <c r="CG22" s="97"/>
      <c r="CH22" s="97"/>
      <c r="CI22" s="98" t="s">
        <v>105</v>
      </c>
      <c r="CJ22" s="97"/>
      <c r="CK22" s="101"/>
    </row>
    <row r="23" ht="14.9" customHeight="1">
      <c r="B23" s="50"/>
      <c r="C23" s="102" t="s">
        <v>106</v>
      </c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4"/>
      <c r="U23" s="105"/>
      <c r="V23" s="105"/>
      <c r="W23" s="105"/>
      <c r="X23" s="105"/>
      <c r="Y23" s="106"/>
      <c r="Z23" s="104"/>
      <c r="AA23" s="105"/>
      <c r="AB23" s="105"/>
      <c r="AC23" s="105"/>
      <c r="AD23" s="105"/>
      <c r="AE23" s="106"/>
      <c r="AF23" s="104"/>
      <c r="AG23" s="105"/>
      <c r="AH23" s="105"/>
      <c r="AI23" s="105"/>
      <c r="AJ23" s="105"/>
      <c r="AK23" s="106"/>
      <c r="AL23" s="52"/>
      <c r="AM23" s="52"/>
      <c r="AN23" s="54"/>
      <c r="AR23" s="96"/>
      <c r="AS23" s="5"/>
      <c r="AT23" s="97"/>
      <c r="AU23" s="97"/>
      <c r="AV23" s="98"/>
      <c r="AW23" s="97"/>
      <c r="AX23" s="97"/>
      <c r="AY23" s="98"/>
      <c r="AZ23" s="97"/>
      <c r="BA23" s="97"/>
      <c r="BB23" s="99"/>
      <c r="BC23" s="97"/>
      <c r="BD23" s="97"/>
      <c r="BE23" s="99"/>
      <c r="BF23" s="97"/>
      <c r="BG23" s="97"/>
      <c r="BH23" s="98"/>
      <c r="BI23" s="97"/>
      <c r="BJ23" s="97"/>
      <c r="BK23" s="100"/>
      <c r="BL23" s="97"/>
      <c r="BM23" s="97"/>
      <c r="BN23" s="98"/>
      <c r="BO23" s="97"/>
      <c r="BP23" s="97"/>
      <c r="BQ23" s="99"/>
      <c r="BR23" s="97"/>
      <c r="BS23" s="97"/>
      <c r="BT23" s="99"/>
      <c r="BU23" s="97"/>
      <c r="BV23" s="97"/>
      <c r="BW23" s="99"/>
      <c r="BX23" s="97"/>
      <c r="BY23" s="97"/>
      <c r="BZ23" s="99"/>
      <c r="CA23" s="97"/>
      <c r="CB23" s="97"/>
      <c r="CC23" s="98"/>
      <c r="CD23" s="97"/>
      <c r="CE23" s="97"/>
      <c r="CF23" s="98"/>
      <c r="CG23" s="97"/>
      <c r="CH23" s="97"/>
      <c r="CI23" s="98"/>
      <c r="CJ23" s="97"/>
      <c r="CK23" s="101"/>
    </row>
    <row r="24" ht="14.9" customHeight="1">
      <c r="B24" s="50"/>
      <c r="C24" s="102" t="s">
        <v>107</v>
      </c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7"/>
      <c r="U24" s="108"/>
      <c r="V24" s="108"/>
      <c r="W24" s="108"/>
      <c r="X24" s="108"/>
      <c r="Y24" s="109"/>
      <c r="Z24" s="107"/>
      <c r="AA24" s="108"/>
      <c r="AB24" s="108"/>
      <c r="AC24" s="108"/>
      <c r="AD24" s="108"/>
      <c r="AE24" s="109"/>
      <c r="AF24" s="107"/>
      <c r="AG24" s="108"/>
      <c r="AH24" s="108"/>
      <c r="AI24" s="108"/>
      <c r="AJ24" s="108"/>
      <c r="AK24" s="109"/>
      <c r="AL24" s="52"/>
      <c r="AM24" s="52"/>
      <c r="AN24" s="54"/>
      <c r="AR24" s="96">
        <v>1</v>
      </c>
      <c r="AS24" s="5"/>
      <c r="AT24" s="110" t="s">
        <v>108</v>
      </c>
      <c r="AU24" s="110" t="s">
        <v>109</v>
      </c>
      <c r="AV24" s="111" t="s">
        <v>110</v>
      </c>
      <c r="AW24" s="110" t="s">
        <v>111</v>
      </c>
      <c r="AX24" s="110" t="s">
        <v>112</v>
      </c>
      <c r="AY24" s="111" t="s">
        <v>110</v>
      </c>
      <c r="AZ24" s="110" t="s">
        <v>111</v>
      </c>
      <c r="BA24" s="110" t="s">
        <v>112</v>
      </c>
      <c r="BB24" s="111" t="s">
        <v>110</v>
      </c>
      <c r="BC24" s="110" t="s">
        <v>111</v>
      </c>
      <c r="BD24" s="110" t="s">
        <v>112</v>
      </c>
      <c r="BE24" s="111" t="s">
        <v>110</v>
      </c>
      <c r="BF24" s="110" t="s">
        <v>111</v>
      </c>
      <c r="BG24" s="110" t="s">
        <v>112</v>
      </c>
      <c r="BH24" s="111" t="s">
        <v>110</v>
      </c>
      <c r="BI24" s="110" t="s">
        <v>111</v>
      </c>
      <c r="BJ24" s="110" t="s">
        <v>112</v>
      </c>
      <c r="BK24" s="111" t="s">
        <v>110</v>
      </c>
      <c r="BL24" s="110" t="s">
        <v>111</v>
      </c>
      <c r="BM24" s="110" t="s">
        <v>112</v>
      </c>
      <c r="BN24" s="111" t="s">
        <v>110</v>
      </c>
      <c r="BO24" s="110" t="s">
        <v>111</v>
      </c>
      <c r="BP24" s="110" t="s">
        <v>112</v>
      </c>
      <c r="BQ24" s="111" t="s">
        <v>110</v>
      </c>
      <c r="BR24" s="110" t="s">
        <v>111</v>
      </c>
      <c r="BS24" s="110" t="s">
        <v>112</v>
      </c>
      <c r="BT24" s="111" t="s">
        <v>110</v>
      </c>
      <c r="BU24" s="110" t="s">
        <v>111</v>
      </c>
      <c r="BV24" s="110" t="s">
        <v>112</v>
      </c>
      <c r="BW24" s="111" t="s">
        <v>110</v>
      </c>
      <c r="BX24" s="110" t="s">
        <v>111</v>
      </c>
      <c r="BY24" s="110" t="s">
        <v>112</v>
      </c>
      <c r="BZ24" s="111" t="s">
        <v>110</v>
      </c>
      <c r="CA24" s="110" t="s">
        <v>111</v>
      </c>
      <c r="CB24" s="110" t="s">
        <v>112</v>
      </c>
      <c r="CC24" s="111" t="s">
        <v>110</v>
      </c>
      <c r="CD24" s="110" t="s">
        <v>111</v>
      </c>
      <c r="CE24" s="110" t="s">
        <v>112</v>
      </c>
      <c r="CF24" s="111" t="s">
        <v>110</v>
      </c>
      <c r="CG24" s="110" t="s">
        <v>111</v>
      </c>
      <c r="CH24" s="110" t="s">
        <v>112</v>
      </c>
      <c r="CI24" s="111" t="s">
        <v>110</v>
      </c>
      <c r="CJ24" s="110" t="s">
        <v>111</v>
      </c>
      <c r="CK24" s="112" t="s">
        <v>112</v>
      </c>
    </row>
    <row r="25" ht="14.9" customHeight="1">
      <c r="B25" s="50"/>
      <c r="C25" s="78" t="s">
        <v>113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  <c r="T25" s="93">
        <f>IF(T20="Manual Input",(T23-(2*T24)),(T21-(2*T22)))</f>
        <v>102.2604</v>
      </c>
      <c r="U25" s="94"/>
      <c r="V25" s="94"/>
      <c r="W25" s="94"/>
      <c r="X25" s="94"/>
      <c r="Y25" s="95"/>
      <c r="Z25" s="93">
        <f>IF(Z20="Manual Input",(Z23-(2*Z24)),(Z21-(2*Z22)))</f>
        <v>102.2604</v>
      </c>
      <c r="AA25" s="94"/>
      <c r="AB25" s="94"/>
      <c r="AC25" s="94"/>
      <c r="AD25" s="94"/>
      <c r="AE25" s="95"/>
      <c r="AF25" s="93">
        <f>IF(AF20="Manual Input",(AF23-(2*AF24)),(AF21-(2*AF22)))</f>
        <v>97.180399999999992</v>
      </c>
      <c r="AG25" s="94"/>
      <c r="AH25" s="94"/>
      <c r="AI25" s="94"/>
      <c r="AJ25" s="94"/>
      <c r="AK25" s="95"/>
      <c r="AL25" s="52"/>
      <c r="AM25" s="52"/>
      <c r="AN25" s="54"/>
      <c r="AR25" s="2">
        <v>4</v>
      </c>
      <c r="AS25" s="5"/>
      <c r="AT25" s="110">
        <v>10</v>
      </c>
      <c r="AU25" s="113">
        <v>17.149999999999999</v>
      </c>
      <c r="AV25" s="98"/>
      <c r="AW25" s="114"/>
      <c r="AX25" s="114"/>
      <c r="AY25" s="98" t="s">
        <v>95</v>
      </c>
      <c r="AZ25" s="114">
        <v>6.5000000000000002e-002</v>
      </c>
      <c r="BA25" s="114">
        <v>0.54500000000000004</v>
      </c>
      <c r="BB25" s="98"/>
      <c r="BC25" s="115"/>
      <c r="BD25" s="115"/>
      <c r="BE25" s="98"/>
      <c r="BF25" s="115"/>
      <c r="BG25" s="115"/>
      <c r="BH25" s="98" t="s">
        <v>88</v>
      </c>
      <c r="BI25" s="114">
        <v>9.0999999999999998e-002</v>
      </c>
      <c r="BJ25" s="114">
        <v>0.49299999999999999</v>
      </c>
      <c r="BK25" s="98"/>
      <c r="BL25" s="115"/>
      <c r="BM25" s="115"/>
      <c r="BN25" s="98" t="s">
        <v>89</v>
      </c>
      <c r="BO25" s="114">
        <v>0.126</v>
      </c>
      <c r="BP25" s="114">
        <v>0.42499999999999999</v>
      </c>
      <c r="BQ25" s="98"/>
      <c r="BR25" s="115"/>
      <c r="BS25" s="115"/>
      <c r="BT25" s="98"/>
      <c r="BU25" s="115"/>
      <c r="BV25" s="115"/>
      <c r="BW25" s="98"/>
      <c r="BX25" s="115"/>
      <c r="BY25" s="115"/>
      <c r="BZ25" s="98"/>
      <c r="CA25" s="115"/>
      <c r="CB25" s="115"/>
      <c r="CC25" s="98" t="s">
        <v>103</v>
      </c>
      <c r="CD25" s="114">
        <v>9.0999999999999998e-002</v>
      </c>
      <c r="CE25" s="114">
        <v>0.49299999999999999</v>
      </c>
      <c r="CF25" s="98" t="s">
        <v>104</v>
      </c>
      <c r="CG25" s="114">
        <v>0.126</v>
      </c>
      <c r="CH25" s="114">
        <v>0.42299999999999999</v>
      </c>
      <c r="CI25" s="98"/>
      <c r="CJ25" s="115"/>
      <c r="CK25" s="116"/>
    </row>
    <row r="26" ht="14.9" customHeight="1">
      <c r="B26" s="50"/>
      <c r="C26" s="78" t="s">
        <v>114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  <c r="T26" s="93">
        <f>(INDEX($AT$25:$BI$57,MATCH(T19,$AT$25:$AT$57,0),16))*25.4</f>
        <v>6.0198</v>
      </c>
      <c r="U26" s="94"/>
      <c r="V26" s="94"/>
      <c r="W26" s="94"/>
      <c r="X26" s="94"/>
      <c r="Y26" s="95"/>
      <c r="Z26" s="93">
        <f>(INDEX($AT$25:$BI$57,MATCH(Z19,$AT$25:$AT$57,0),16))*25.4</f>
        <v>6.0198</v>
      </c>
      <c r="AA26" s="94"/>
      <c r="AB26" s="94"/>
      <c r="AC26" s="94"/>
      <c r="AD26" s="94"/>
      <c r="AE26" s="95"/>
      <c r="AF26" s="93">
        <f>(INDEX($AT$25:$BI$57,MATCH(AF19,$AT$25:$AT$57,0),16))*25.4</f>
        <v>6.0198</v>
      </c>
      <c r="AG26" s="94"/>
      <c r="AH26" s="94"/>
      <c r="AI26" s="94"/>
      <c r="AJ26" s="94"/>
      <c r="AK26" s="95"/>
      <c r="AL26" s="52"/>
      <c r="AM26" s="52"/>
      <c r="AN26" s="54"/>
      <c r="AR26" s="96">
        <v>5</v>
      </c>
      <c r="AS26" s="5"/>
      <c r="AT26" s="117">
        <v>15</v>
      </c>
      <c r="AU26" s="118">
        <v>21.34</v>
      </c>
      <c r="AV26" s="98"/>
      <c r="AW26" s="119"/>
      <c r="AX26" s="119"/>
      <c r="AY26" s="98" t="s">
        <v>95</v>
      </c>
      <c r="AZ26" s="119">
        <v>6.5000000000000002e-002</v>
      </c>
      <c r="BA26" s="119">
        <v>0.67400000000000004</v>
      </c>
      <c r="BB26" s="99"/>
      <c r="BC26" s="97"/>
      <c r="BD26" s="97"/>
      <c r="BE26" s="99"/>
      <c r="BF26" s="97"/>
      <c r="BG26" s="97"/>
      <c r="BH26" s="98" t="s">
        <v>88</v>
      </c>
      <c r="BI26" s="119">
        <v>0.109</v>
      </c>
      <c r="BJ26" s="119">
        <v>0.622</v>
      </c>
      <c r="BK26" s="99"/>
      <c r="BL26" s="97"/>
      <c r="BM26" s="97"/>
      <c r="BN26" s="98" t="s">
        <v>89</v>
      </c>
      <c r="BO26" s="119">
        <v>0.14699999999999999</v>
      </c>
      <c r="BP26" s="119">
        <v>0.54600000000000004</v>
      </c>
      <c r="BQ26" s="99"/>
      <c r="BR26" s="97"/>
      <c r="BS26" s="97"/>
      <c r="BT26" s="99"/>
      <c r="BU26" s="120"/>
      <c r="BV26" s="97"/>
      <c r="BW26" s="99"/>
      <c r="BX26" s="97"/>
      <c r="BY26" s="97"/>
      <c r="BZ26" s="99" t="s">
        <v>102</v>
      </c>
      <c r="CA26" s="114">
        <v>0.188</v>
      </c>
      <c r="CB26" s="114">
        <v>0.46400000000000002</v>
      </c>
      <c r="CC26" s="98" t="s">
        <v>103</v>
      </c>
      <c r="CD26" s="119">
        <v>0.109</v>
      </c>
      <c r="CE26" s="119">
        <v>0.622</v>
      </c>
      <c r="CF26" s="98" t="s">
        <v>104</v>
      </c>
      <c r="CG26" s="119">
        <v>0.14699999999999999</v>
      </c>
      <c r="CH26" s="119">
        <v>0.54600000000000004</v>
      </c>
      <c r="CI26" s="98" t="s">
        <v>105</v>
      </c>
      <c r="CJ26" s="114">
        <v>0.29399999999999998</v>
      </c>
      <c r="CK26" s="121">
        <v>0.252</v>
      </c>
    </row>
    <row r="27" ht="14.9" customHeight="1">
      <c r="B27" s="50"/>
      <c r="C27" s="78" t="s">
        <v>115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0"/>
      <c r="T27" s="87" t="s">
        <v>116</v>
      </c>
      <c r="U27" s="88"/>
      <c r="V27" s="88"/>
      <c r="W27" s="88"/>
      <c r="X27" s="88"/>
      <c r="Y27" s="89"/>
      <c r="Z27" s="87" t="s">
        <v>116</v>
      </c>
      <c r="AA27" s="88"/>
      <c r="AB27" s="88"/>
      <c r="AC27" s="88"/>
      <c r="AD27" s="88"/>
      <c r="AE27" s="89"/>
      <c r="AF27" s="87" t="s">
        <v>116</v>
      </c>
      <c r="AG27" s="88"/>
      <c r="AH27" s="88"/>
      <c r="AI27" s="88"/>
      <c r="AJ27" s="88"/>
      <c r="AK27" s="89"/>
      <c r="AL27" s="52"/>
      <c r="AM27" s="52"/>
      <c r="AN27" s="54"/>
      <c r="AO27" s="2" t="e">
        <f>IF(Z20="manual input","",(VLOOKUP(Z20,AT25:AU57,2)))</f>
        <v>#N/A</v>
      </c>
      <c r="AR27" s="2">
        <v>6</v>
      </c>
      <c r="AS27" s="5"/>
      <c r="AT27" s="117">
        <v>20</v>
      </c>
      <c r="AU27" s="118">
        <v>26.670000000000002</v>
      </c>
      <c r="AV27" s="98" t="s">
        <v>94</v>
      </c>
      <c r="AW27" s="119">
        <v>6.5000000000000002e-002</v>
      </c>
      <c r="AX27" s="119">
        <v>0.92000000000000004</v>
      </c>
      <c r="AY27" s="98" t="s">
        <v>95</v>
      </c>
      <c r="AZ27" s="119">
        <v>8.3000000000000004e-002</v>
      </c>
      <c r="BA27" s="119">
        <v>0.88400000000000001</v>
      </c>
      <c r="BB27" s="99"/>
      <c r="BC27" s="97"/>
      <c r="BD27" s="97"/>
      <c r="BE27" s="99"/>
      <c r="BF27" s="97"/>
      <c r="BG27" s="97"/>
      <c r="BH27" s="98" t="s">
        <v>88</v>
      </c>
      <c r="BI27" s="119">
        <v>0.113</v>
      </c>
      <c r="BJ27" s="119">
        <v>0.82399999999999995</v>
      </c>
      <c r="BK27" s="99"/>
      <c r="BL27" s="97"/>
      <c r="BM27" s="97"/>
      <c r="BN27" s="98" t="s">
        <v>89</v>
      </c>
      <c r="BO27" s="119">
        <v>0.154</v>
      </c>
      <c r="BP27" s="119">
        <v>0.74199999999999999</v>
      </c>
      <c r="BQ27" s="99"/>
      <c r="BR27" s="97"/>
      <c r="BS27" s="97"/>
      <c r="BT27" s="99"/>
      <c r="BU27" s="97"/>
      <c r="BV27" s="97"/>
      <c r="BW27" s="99"/>
      <c r="BX27" s="97"/>
      <c r="BY27" s="97"/>
      <c r="BZ27" s="99" t="s">
        <v>102</v>
      </c>
      <c r="CA27" s="114">
        <v>0.219</v>
      </c>
      <c r="CB27" s="114">
        <v>0.61199999999999999</v>
      </c>
      <c r="CC27" s="98" t="s">
        <v>103</v>
      </c>
      <c r="CD27" s="119">
        <v>0.113</v>
      </c>
      <c r="CE27" s="119">
        <v>0.82399999999999995</v>
      </c>
      <c r="CF27" s="98" t="s">
        <v>104</v>
      </c>
      <c r="CG27" s="119">
        <v>0.154</v>
      </c>
      <c r="CH27" s="119">
        <v>0.74199999999999999</v>
      </c>
      <c r="CI27" s="98" t="s">
        <v>105</v>
      </c>
      <c r="CJ27" s="114">
        <v>0.308</v>
      </c>
      <c r="CK27" s="121">
        <v>0.434</v>
      </c>
    </row>
    <row r="28" ht="14.9" customHeight="1">
      <c r="B28" s="50"/>
      <c r="C28" s="122" t="s">
        <v>117</v>
      </c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4"/>
      <c r="T28" s="125">
        <f>IF(T27="user input","",INDEX($AO$33:$AP$36,MATCH(T27,$AP$33:$AP$36,0),1))</f>
        <v>2</v>
      </c>
      <c r="U28" s="126"/>
      <c r="V28" s="126"/>
      <c r="W28" s="126"/>
      <c r="X28" s="126"/>
      <c r="Y28" s="127"/>
      <c r="Z28" s="125">
        <f>IF(Z27="user input","",INDEX($AO$33:$AP$36,MATCH(Z27,$AP$33:$AP$36,0),1))</f>
        <v>2</v>
      </c>
      <c r="AA28" s="126"/>
      <c r="AB28" s="126"/>
      <c r="AC28" s="126"/>
      <c r="AD28" s="126"/>
      <c r="AE28" s="127"/>
      <c r="AF28" s="125">
        <f>IF(AF27="user input","",INDEX($AO$33:$AP$36,MATCH(AF27,$AP$33:$AP$36,0),1))</f>
        <v>2</v>
      </c>
      <c r="AG28" s="126"/>
      <c r="AH28" s="126"/>
      <c r="AI28" s="126"/>
      <c r="AJ28" s="126"/>
      <c r="AK28" s="127"/>
      <c r="AL28" s="52"/>
      <c r="AM28" s="52"/>
      <c r="AN28" s="54"/>
      <c r="AR28" s="96">
        <v>7</v>
      </c>
      <c r="AS28" s="5"/>
      <c r="AT28" s="117">
        <v>25</v>
      </c>
      <c r="AU28" s="118">
        <v>33.399999999999999</v>
      </c>
      <c r="AV28" s="98" t="s">
        <v>94</v>
      </c>
      <c r="AW28" s="119">
        <v>6.5000000000000002e-002</v>
      </c>
      <c r="AX28" s="119">
        <v>1.1850000000000001</v>
      </c>
      <c r="AY28" s="98" t="s">
        <v>95</v>
      </c>
      <c r="AZ28" s="119">
        <v>0.109</v>
      </c>
      <c r="BA28" s="119">
        <v>1.097</v>
      </c>
      <c r="BB28" s="99"/>
      <c r="BC28" s="97"/>
      <c r="BD28" s="97"/>
      <c r="BE28" s="99"/>
      <c r="BF28" s="97"/>
      <c r="BG28" s="97"/>
      <c r="BH28" s="98" t="s">
        <v>88</v>
      </c>
      <c r="BI28" s="119">
        <v>0.13300000000000001</v>
      </c>
      <c r="BJ28" s="119">
        <v>1.0489999999999999</v>
      </c>
      <c r="BK28" s="99"/>
      <c r="BL28" s="97"/>
      <c r="BM28" s="97"/>
      <c r="BN28" s="98" t="s">
        <v>89</v>
      </c>
      <c r="BO28" s="119">
        <v>0.17899999999999999</v>
      </c>
      <c r="BP28" s="119">
        <v>0.95700000000000007</v>
      </c>
      <c r="BQ28" s="99"/>
      <c r="BR28" s="97"/>
      <c r="BS28" s="97"/>
      <c r="BT28" s="99"/>
      <c r="BU28" s="97"/>
      <c r="BV28" s="97"/>
      <c r="BW28" s="99"/>
      <c r="BX28" s="97"/>
      <c r="BY28" s="97"/>
      <c r="BZ28" s="99" t="s">
        <v>102</v>
      </c>
      <c r="CA28" s="114">
        <v>0.25</v>
      </c>
      <c r="CB28" s="114">
        <v>0.81499999999999995</v>
      </c>
      <c r="CC28" s="98" t="s">
        <v>103</v>
      </c>
      <c r="CD28" s="119">
        <v>0.13300000000000001</v>
      </c>
      <c r="CE28" s="119">
        <v>1.0489999999999999</v>
      </c>
      <c r="CF28" s="98" t="s">
        <v>104</v>
      </c>
      <c r="CG28" s="119">
        <v>0.17899999999999999</v>
      </c>
      <c r="CH28" s="119">
        <v>0.95700000000000007</v>
      </c>
      <c r="CI28" s="98" t="s">
        <v>105</v>
      </c>
      <c r="CJ28" s="114">
        <v>0.35799999999999998</v>
      </c>
      <c r="CK28" s="121">
        <v>0.59899999999999998</v>
      </c>
    </row>
    <row r="29" ht="44.25" customHeight="1">
      <c r="B29" s="50"/>
      <c r="C29" s="128" t="s">
        <v>118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9"/>
      <c r="T29" s="130" t="str">
        <f>IF(T25&lt;0,"Input Error: Invalid Pipe Wall Thickness",IF(T22=0,"Input Error: Invalid Pipe Schedule","Inputs Ok"))</f>
        <v xml:space="preserve">Inputs Ok</v>
      </c>
      <c r="U29" s="131"/>
      <c r="V29" s="131"/>
      <c r="W29" s="131"/>
      <c r="X29" s="131"/>
      <c r="Y29" s="132"/>
      <c r="Z29" s="130" t="str">
        <f>IF(Z25&lt;0,"Input Error: Invalid Pipe Wall Thickness",IF(Z22=0,"Input Error: Invalid Pipe Schedule","Inputs Ok"))</f>
        <v xml:space="preserve">Inputs Ok</v>
      </c>
      <c r="AA29" s="131"/>
      <c r="AB29" s="131"/>
      <c r="AC29" s="131"/>
      <c r="AD29" s="131"/>
      <c r="AE29" s="132"/>
      <c r="AF29" s="130" t="str">
        <f>IF(AF25&lt;0,"Input Error: Invalid Pipe Wall Thickness",IF(AF22=0,"Input Error: Invalid Pipe Schedule","Inputs Ok"))</f>
        <v xml:space="preserve">Inputs Ok</v>
      </c>
      <c r="AG29" s="131"/>
      <c r="AH29" s="131"/>
      <c r="AI29" s="131"/>
      <c r="AJ29" s="131"/>
      <c r="AK29" s="132"/>
      <c r="AL29" s="52"/>
      <c r="AM29" s="52"/>
      <c r="AN29" s="54"/>
      <c r="AR29" s="2">
        <v>8</v>
      </c>
      <c r="AS29" s="5"/>
      <c r="AT29" s="117">
        <v>32</v>
      </c>
      <c r="AU29" s="118">
        <v>42.159999999999997</v>
      </c>
      <c r="AV29" s="98" t="s">
        <v>94</v>
      </c>
      <c r="AW29" s="119">
        <v>6.5000000000000002e-002</v>
      </c>
      <c r="AX29" s="119">
        <v>1.53</v>
      </c>
      <c r="AY29" s="98" t="s">
        <v>95</v>
      </c>
      <c r="AZ29" s="119">
        <v>0.109</v>
      </c>
      <c r="BA29" s="119">
        <v>1.4419999999999999</v>
      </c>
      <c r="BB29" s="99"/>
      <c r="BC29" s="97"/>
      <c r="BD29" s="97"/>
      <c r="BE29" s="99"/>
      <c r="BF29" s="97"/>
      <c r="BG29" s="97"/>
      <c r="BH29" s="98" t="s">
        <v>88</v>
      </c>
      <c r="BI29" s="119">
        <v>0.14000000000000001</v>
      </c>
      <c r="BJ29" s="119">
        <v>1.3799999999999999</v>
      </c>
      <c r="BK29" s="99"/>
      <c r="BL29" s="97"/>
      <c r="BM29" s="97"/>
      <c r="BN29" s="98" t="s">
        <v>89</v>
      </c>
      <c r="BO29" s="119">
        <v>0.191</v>
      </c>
      <c r="BP29" s="119">
        <v>1.278</v>
      </c>
      <c r="BQ29" s="99"/>
      <c r="BR29" s="97"/>
      <c r="BS29" s="97"/>
      <c r="BT29" s="99"/>
      <c r="BU29" s="97"/>
      <c r="BV29" s="97"/>
      <c r="BW29" s="99"/>
      <c r="BX29" s="97"/>
      <c r="BY29" s="97"/>
      <c r="BZ29" s="99" t="s">
        <v>102</v>
      </c>
      <c r="CA29" s="119">
        <v>0.25</v>
      </c>
      <c r="CB29" s="119">
        <v>1.1599999999999999</v>
      </c>
      <c r="CC29" s="98" t="s">
        <v>103</v>
      </c>
      <c r="CD29" s="119">
        <v>0.14000000000000001</v>
      </c>
      <c r="CE29" s="119">
        <v>1.3799999999999999</v>
      </c>
      <c r="CF29" s="98" t="s">
        <v>104</v>
      </c>
      <c r="CG29" s="119">
        <v>0.191</v>
      </c>
      <c r="CH29" s="119">
        <v>1.278</v>
      </c>
      <c r="CI29" s="98" t="s">
        <v>105</v>
      </c>
      <c r="CJ29" s="119">
        <v>0.38200000000000001</v>
      </c>
      <c r="CK29" s="133">
        <v>0.89600000000000002</v>
      </c>
    </row>
    <row r="30" ht="14.9" customHeight="1">
      <c r="B30" s="50"/>
      <c r="C30" s="134" t="s">
        <v>119</v>
      </c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6"/>
      <c r="AL30" s="52"/>
      <c r="AM30" s="52"/>
      <c r="AN30" s="54"/>
      <c r="AR30" s="96">
        <v>9</v>
      </c>
      <c r="AS30" s="5"/>
      <c r="AT30" s="117">
        <v>40</v>
      </c>
      <c r="AU30" s="118">
        <v>48.259999999999998</v>
      </c>
      <c r="AV30" s="98" t="s">
        <v>94</v>
      </c>
      <c r="AW30" s="119">
        <v>6.5000000000000002e-002</v>
      </c>
      <c r="AX30" s="119">
        <v>1.77</v>
      </c>
      <c r="AY30" s="98" t="s">
        <v>95</v>
      </c>
      <c r="AZ30" s="119">
        <v>0.109</v>
      </c>
      <c r="BA30" s="119">
        <v>1.6819999999999999</v>
      </c>
      <c r="BB30" s="99"/>
      <c r="BC30" s="97"/>
      <c r="BD30" s="97"/>
      <c r="BE30" s="99"/>
      <c r="BF30" s="97"/>
      <c r="BG30" s="97"/>
      <c r="BH30" s="98" t="s">
        <v>88</v>
      </c>
      <c r="BI30" s="119">
        <v>0.14499999999999999</v>
      </c>
      <c r="BJ30" s="119">
        <v>1.6100000000000001</v>
      </c>
      <c r="BK30" s="99"/>
      <c r="BL30" s="97"/>
      <c r="BM30" s="97"/>
      <c r="BN30" s="98" t="s">
        <v>89</v>
      </c>
      <c r="BO30" s="119">
        <v>0.20000000000000001</v>
      </c>
      <c r="BP30" s="119">
        <v>1.5</v>
      </c>
      <c r="BQ30" s="99"/>
      <c r="BR30" s="97"/>
      <c r="BS30" s="97"/>
      <c r="BT30" s="99"/>
      <c r="BU30" s="97"/>
      <c r="BV30" s="97"/>
      <c r="BW30" s="99"/>
      <c r="BX30" s="97"/>
      <c r="BY30" s="97"/>
      <c r="BZ30" s="99" t="s">
        <v>102</v>
      </c>
      <c r="CA30" s="119">
        <v>0.28100000000000003</v>
      </c>
      <c r="CB30" s="119">
        <v>1.3380000000000001</v>
      </c>
      <c r="CC30" s="98" t="s">
        <v>103</v>
      </c>
      <c r="CD30" s="119">
        <v>0.14499999999999999</v>
      </c>
      <c r="CE30" s="119">
        <v>1.6100000000000001</v>
      </c>
      <c r="CF30" s="98" t="s">
        <v>104</v>
      </c>
      <c r="CG30" s="119">
        <v>0.20000000000000001</v>
      </c>
      <c r="CH30" s="119">
        <v>1.5</v>
      </c>
      <c r="CI30" s="98" t="s">
        <v>105</v>
      </c>
      <c r="CJ30" s="119">
        <v>0.40000000000000002</v>
      </c>
      <c r="CK30" s="133">
        <v>1.1000000000000001</v>
      </c>
    </row>
    <row r="31" ht="14.9" customHeight="1">
      <c r="B31" s="50"/>
      <c r="C31" s="72" t="s">
        <v>120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137"/>
      <c r="T31" s="138">
        <f>IF(T29="Inputs Ok",(T15/1000)*(((2*T16*8314*T17)/((T16+1)*T18))^0.5),"-")</f>
        <v>6.2856323459324486</v>
      </c>
      <c r="U31" s="139"/>
      <c r="V31" s="139"/>
      <c r="W31" s="139"/>
      <c r="X31" s="139"/>
      <c r="Y31" s="140"/>
      <c r="Z31" s="138">
        <f>IF(Z29="Inputs Ok",(Z15/1000)*(((2*Z16*8314*Z17)/((Z16+1)*Z18))^0.5),"-")</f>
        <v>6.2856323459324486</v>
      </c>
      <c r="AA31" s="139"/>
      <c r="AB31" s="139"/>
      <c r="AC31" s="139"/>
      <c r="AD31" s="139"/>
      <c r="AE31" s="140"/>
      <c r="AF31" s="138">
        <f>IF(AF29="Inputs Ok",(AF15/1000)*(((2*AF16*8314*AF17)/((AF16+1)*AF18))^0.5),"-")</f>
        <v>6.2856323459324486</v>
      </c>
      <c r="AG31" s="139"/>
      <c r="AH31" s="139"/>
      <c r="AI31" s="139"/>
      <c r="AJ31" s="139"/>
      <c r="AK31" s="140"/>
      <c r="AL31" s="52"/>
      <c r="AM31" s="52"/>
      <c r="AN31" s="54"/>
      <c r="AR31" s="141">
        <v>10</v>
      </c>
      <c r="AS31" s="5"/>
      <c r="AT31" s="117">
        <v>50</v>
      </c>
      <c r="AU31" s="118">
        <v>60.329999999999998</v>
      </c>
      <c r="AV31" s="98">
        <v>5</v>
      </c>
      <c r="AW31" s="119">
        <v>6.5000000000000002e-002</v>
      </c>
      <c r="AX31" s="119">
        <v>2.2450000000000001</v>
      </c>
      <c r="AY31" s="98" t="s">
        <v>95</v>
      </c>
      <c r="AZ31" s="119">
        <v>0.109</v>
      </c>
      <c r="BA31" s="119">
        <v>2.157</v>
      </c>
      <c r="BB31" s="99"/>
      <c r="BC31" s="97"/>
      <c r="BD31" s="97"/>
      <c r="BE31" s="99"/>
      <c r="BF31" s="97"/>
      <c r="BG31" s="97"/>
      <c r="BH31" s="99">
        <v>40</v>
      </c>
      <c r="BI31" s="119">
        <v>0.154</v>
      </c>
      <c r="BJ31" s="119">
        <v>2.0670000000000002</v>
      </c>
      <c r="BK31" s="99"/>
      <c r="BL31" s="97"/>
      <c r="BM31" s="97"/>
      <c r="BN31" s="98">
        <v>80</v>
      </c>
      <c r="BO31" s="119">
        <v>0.218</v>
      </c>
      <c r="BP31" s="119">
        <v>1.9390000000000001</v>
      </c>
      <c r="BQ31" s="99"/>
      <c r="BR31" s="97"/>
      <c r="BS31" s="97"/>
      <c r="BT31" s="99"/>
      <c r="BU31" s="97"/>
      <c r="BV31" s="97"/>
      <c r="BW31" s="99"/>
      <c r="BX31" s="97"/>
      <c r="BY31" s="97"/>
      <c r="BZ31" s="99">
        <v>160</v>
      </c>
      <c r="CA31" s="119">
        <v>0.34399999999999997</v>
      </c>
      <c r="CB31" s="119">
        <v>1.6870000000000001</v>
      </c>
      <c r="CC31" s="98" t="s">
        <v>103</v>
      </c>
      <c r="CD31" s="119">
        <v>0.154</v>
      </c>
      <c r="CE31" s="119">
        <v>2.0670000000000002</v>
      </c>
      <c r="CF31" s="98" t="s">
        <v>104</v>
      </c>
      <c r="CG31" s="119">
        <v>0.218</v>
      </c>
      <c r="CH31" s="119">
        <v>1.9390000000000001</v>
      </c>
      <c r="CI31" s="98" t="s">
        <v>105</v>
      </c>
      <c r="CJ31" s="119">
        <v>0.436</v>
      </c>
      <c r="CK31" s="133">
        <v>1.5029999999999999</v>
      </c>
    </row>
    <row r="32" ht="14.9" customHeight="1">
      <c r="B32" s="50"/>
      <c r="C32" s="78" t="s">
        <v>121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142"/>
      <c r="T32" s="93">
        <f>IF(T29="Inputs OK",(IF(T20="Manual Input",(T24/T26),(T22/T26))),"-")</f>
        <v>1</v>
      </c>
      <c r="U32" s="94"/>
      <c r="V32" s="94"/>
      <c r="W32" s="94"/>
      <c r="X32" s="94"/>
      <c r="Y32" s="95"/>
      <c r="Z32" s="93">
        <f>IF(Z29="Inputs OK",(IF(Z20="Manual Input",(Z24/Z26),(Z22/Z26))),"-")</f>
        <v>1</v>
      </c>
      <c r="AA32" s="94"/>
      <c r="AB32" s="94"/>
      <c r="AC32" s="94"/>
      <c r="AD32" s="94"/>
      <c r="AE32" s="95"/>
      <c r="AF32" s="93">
        <f>IF(AF29="Inputs OK",(IF(AF20="Manual Input",(AF24/AF26),(AF22/AF26))),"-")</f>
        <v>1.4219409282700421</v>
      </c>
      <c r="AG32" s="94"/>
      <c r="AH32" s="94"/>
      <c r="AI32" s="94"/>
      <c r="AJ32" s="94"/>
      <c r="AK32" s="95"/>
      <c r="AL32" s="52"/>
      <c r="AM32" s="52"/>
      <c r="AN32" s="54"/>
      <c r="AP32" s="143" t="s">
        <v>122</v>
      </c>
      <c r="AR32" s="96">
        <v>11</v>
      </c>
      <c r="AS32" s="5"/>
      <c r="AT32" s="117">
        <v>65</v>
      </c>
      <c r="AU32" s="118">
        <v>73.019999999999996</v>
      </c>
      <c r="AV32" s="98" t="s">
        <v>94</v>
      </c>
      <c r="AW32" s="119">
        <v>8.3000000000000004e-002</v>
      </c>
      <c r="AX32" s="119">
        <v>2.7090000000000001</v>
      </c>
      <c r="AY32" s="98" t="s">
        <v>95</v>
      </c>
      <c r="AZ32" s="119">
        <v>0.12</v>
      </c>
      <c r="BA32" s="119">
        <v>2.6349999999999998</v>
      </c>
      <c r="BB32" s="99"/>
      <c r="BC32" s="97"/>
      <c r="BD32" s="97"/>
      <c r="BE32" s="99"/>
      <c r="BF32" s="97"/>
      <c r="BG32" s="97"/>
      <c r="BH32" s="98" t="s">
        <v>88</v>
      </c>
      <c r="BI32" s="119">
        <v>0.20300000000000001</v>
      </c>
      <c r="BJ32" s="119">
        <v>2.4689999999999999</v>
      </c>
      <c r="BK32" s="99"/>
      <c r="BL32" s="97"/>
      <c r="BM32" s="97"/>
      <c r="BN32" s="98" t="s">
        <v>89</v>
      </c>
      <c r="BO32" s="114">
        <v>0.27600000000000002</v>
      </c>
      <c r="BP32" s="114">
        <v>2.323</v>
      </c>
      <c r="BQ32" s="99"/>
      <c r="BR32" s="97"/>
      <c r="BS32" s="97"/>
      <c r="BT32" s="99"/>
      <c r="BU32" s="97"/>
      <c r="BV32" s="97"/>
      <c r="BW32" s="99"/>
      <c r="BX32" s="97"/>
      <c r="BY32" s="97"/>
      <c r="BZ32" s="99" t="s">
        <v>102</v>
      </c>
      <c r="CA32" s="119">
        <v>0.375</v>
      </c>
      <c r="CB32" s="119">
        <v>2.125</v>
      </c>
      <c r="CC32" s="98" t="s">
        <v>103</v>
      </c>
      <c r="CD32" s="114">
        <v>0.20300000000000001</v>
      </c>
      <c r="CE32" s="114">
        <v>2.4689999999999999</v>
      </c>
      <c r="CF32" s="98" t="s">
        <v>104</v>
      </c>
      <c r="CG32" s="114">
        <v>0.27600000000000002</v>
      </c>
      <c r="CH32" s="114">
        <v>2.323</v>
      </c>
      <c r="CI32" s="98" t="s">
        <v>105</v>
      </c>
      <c r="CJ32" s="119">
        <v>0.55200000000000005</v>
      </c>
      <c r="CK32" s="133">
        <v>1.7709999999999999</v>
      </c>
    </row>
    <row r="33" ht="14.9" customHeight="1">
      <c r="B33" s="50"/>
      <c r="C33" s="78" t="s">
        <v>123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142"/>
      <c r="T33" s="93">
        <f>IF(T29="Inputs OK",(IF(T20="Manual Input",((16.8*T32^3)-(1.81*T32^2)+(525*T32)+25.3)*T23*T28*PI()*((T25^2)/(4*10^9)),((16.8*T32^3)-(1.81*T32^2)+(525*T32)+25.3)*T21*T28*PI()*((T25^2)/(4*10^9)))),"-")</f>
        <v>1.0613347513992295</v>
      </c>
      <c r="U33" s="94"/>
      <c r="V33" s="94"/>
      <c r="W33" s="94"/>
      <c r="X33" s="94"/>
      <c r="Y33" s="95"/>
      <c r="Z33" s="93">
        <f>IF(Z29="Inputs OK",(IF(Z20="Manual Input",((16.8*Z32^3)-(1.81*Z32^2)+(525*Z32)+25.3)*Z23*Z28*PI()*((Z25^2)/(4*10^9)),((16.8*Z32^3)-(1.81*Z32^2)+(525*Z32)+25.3)*Z21*Z28*PI()*((Z25^2)/(4*10^9)))),"-")</f>
        <v>1.0613347513992295</v>
      </c>
      <c r="AA33" s="94"/>
      <c r="AB33" s="94"/>
      <c r="AC33" s="94"/>
      <c r="AD33" s="94"/>
      <c r="AE33" s="95"/>
      <c r="AF33" s="93">
        <f>IF(AF29="Inputs OK",(IF(AF20="Manual Input",((16.8*AF32^3)-(1.81*AF32^2)+(525*AF32)+25.3)*AF23*AF28*PI()*((AF25^2)/(4*10^9)),((16.8*AF32^3)-(1.81*AF32^2)+(525*AF32)+25.3)*AF21*AF28*PI()*((AF25^2)/(4*10^9)))),"-")</f>
        <v>1.3843899116879474</v>
      </c>
      <c r="AG33" s="94"/>
      <c r="AH33" s="94"/>
      <c r="AI33" s="94"/>
      <c r="AJ33" s="94"/>
      <c r="AK33" s="95"/>
      <c r="AL33" s="52"/>
      <c r="AM33" s="52"/>
      <c r="AN33" s="54"/>
      <c r="AO33" s="2">
        <v>4</v>
      </c>
      <c r="AP33" s="143" t="s">
        <v>124</v>
      </c>
      <c r="AR33" s="2">
        <v>12</v>
      </c>
      <c r="AS33" s="5"/>
      <c r="AT33" s="117">
        <v>80</v>
      </c>
      <c r="AU33" s="118">
        <v>88.900000000000006</v>
      </c>
      <c r="AV33" s="98" t="s">
        <v>94</v>
      </c>
      <c r="AW33" s="119">
        <v>8.3000000000000004e-002</v>
      </c>
      <c r="AX33" s="119">
        <v>3.3340000000000001</v>
      </c>
      <c r="AY33" s="98" t="s">
        <v>95</v>
      </c>
      <c r="AZ33" s="119">
        <v>0.12</v>
      </c>
      <c r="BA33" s="119">
        <v>3.2599999999999998</v>
      </c>
      <c r="BB33" s="99"/>
      <c r="BC33" s="97"/>
      <c r="BD33" s="97"/>
      <c r="BE33" s="99"/>
      <c r="BF33" s="97"/>
      <c r="BG33" s="97"/>
      <c r="BH33" s="98" t="s">
        <v>88</v>
      </c>
      <c r="BI33" s="119">
        <v>0.216</v>
      </c>
      <c r="BJ33" s="119">
        <v>3.0680000000000001</v>
      </c>
      <c r="BK33" s="99"/>
      <c r="BL33" s="97"/>
      <c r="BM33" s="97"/>
      <c r="BN33" s="98" t="s">
        <v>89</v>
      </c>
      <c r="BO33" s="114">
        <v>0.29999999999999999</v>
      </c>
      <c r="BP33" s="114">
        <v>2.8999999999999999</v>
      </c>
      <c r="BQ33" s="99"/>
      <c r="BR33" s="97"/>
      <c r="BS33" s="97"/>
      <c r="BT33" s="99"/>
      <c r="BU33" s="97"/>
      <c r="BV33" s="97"/>
      <c r="BW33" s="99"/>
      <c r="BX33" s="97"/>
      <c r="BY33" s="97"/>
      <c r="BZ33" s="99" t="s">
        <v>102</v>
      </c>
      <c r="CA33" s="119">
        <v>0.438</v>
      </c>
      <c r="CB33" s="119">
        <v>2.6240000000000001</v>
      </c>
      <c r="CC33" s="98" t="s">
        <v>103</v>
      </c>
      <c r="CD33" s="114">
        <v>0.216</v>
      </c>
      <c r="CE33" s="114">
        <v>3.0680000000000001</v>
      </c>
      <c r="CF33" s="98" t="s">
        <v>104</v>
      </c>
      <c r="CG33" s="114">
        <v>0.29999999999999999</v>
      </c>
      <c r="CH33" s="114">
        <v>2.8999999999999999</v>
      </c>
      <c r="CI33" s="98" t="s">
        <v>105</v>
      </c>
      <c r="CJ33" s="119">
        <v>0.59999999999999998</v>
      </c>
      <c r="CK33" s="133">
        <v>2.2999999999999998</v>
      </c>
    </row>
    <row r="34" ht="14.9" customHeight="1">
      <c r="B34" s="50"/>
      <c r="C34" s="144" t="s">
        <v>125</v>
      </c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6"/>
      <c r="T34" s="147">
        <f>IF(T29="Inputs Ok",(T31/T33),"Input Error")</f>
        <v>5.9223843727397725</v>
      </c>
      <c r="U34" s="148"/>
      <c r="V34" s="148"/>
      <c r="W34" s="148"/>
      <c r="X34" s="148"/>
      <c r="Y34" s="149"/>
      <c r="Z34" s="147">
        <f>IF(Z29="Inputs Ok",(Z31/Z33),"Input Error")</f>
        <v>5.9223843727397725</v>
      </c>
      <c r="AA34" s="148"/>
      <c r="AB34" s="148"/>
      <c r="AC34" s="148"/>
      <c r="AD34" s="148"/>
      <c r="AE34" s="149"/>
      <c r="AF34" s="147">
        <f>IF(AF29="Inputs Ok",(AF31/AF33),"Input Error")</f>
        <v>4.5403627206937349</v>
      </c>
      <c r="AG34" s="148"/>
      <c r="AH34" s="148"/>
      <c r="AI34" s="148"/>
      <c r="AJ34" s="148"/>
      <c r="AK34" s="149"/>
      <c r="AL34" s="52"/>
      <c r="AM34" s="52"/>
      <c r="AN34" s="54"/>
      <c r="AO34" s="2">
        <v>2</v>
      </c>
      <c r="AP34" s="143" t="s">
        <v>116</v>
      </c>
      <c r="AR34" s="96">
        <v>13</v>
      </c>
      <c r="AS34" s="5"/>
      <c r="AT34" s="117">
        <v>90</v>
      </c>
      <c r="AU34" s="118">
        <v>101.59999999999999</v>
      </c>
      <c r="AV34" s="98" t="s">
        <v>94</v>
      </c>
      <c r="AW34" s="119">
        <v>8.3000000000000004e-002</v>
      </c>
      <c r="AX34" s="119">
        <v>3.8340000000000001</v>
      </c>
      <c r="AY34" s="98" t="s">
        <v>95</v>
      </c>
      <c r="AZ34" s="119">
        <v>0.12</v>
      </c>
      <c r="BA34" s="119">
        <v>3.7599999999999998</v>
      </c>
      <c r="BB34" s="99"/>
      <c r="BC34" s="97"/>
      <c r="BD34" s="97"/>
      <c r="BE34" s="99"/>
      <c r="BF34" s="97"/>
      <c r="BG34" s="97"/>
      <c r="BH34" s="98" t="s">
        <v>88</v>
      </c>
      <c r="BI34" s="119">
        <v>0.22600000000000001</v>
      </c>
      <c r="BJ34" s="119">
        <v>3.548</v>
      </c>
      <c r="BK34" s="99"/>
      <c r="BL34" s="97"/>
      <c r="BM34" s="97"/>
      <c r="BN34" s="98" t="s">
        <v>89</v>
      </c>
      <c r="BO34" s="114">
        <v>0.318</v>
      </c>
      <c r="BP34" s="114">
        <v>3.3639999999999999</v>
      </c>
      <c r="BQ34" s="99"/>
      <c r="BR34" s="97"/>
      <c r="BS34" s="97"/>
      <c r="BT34" s="99"/>
      <c r="BU34" s="97"/>
      <c r="BV34" s="97"/>
      <c r="BW34" s="99"/>
      <c r="BX34" s="97"/>
      <c r="BY34" s="97"/>
      <c r="BZ34" s="99" t="s">
        <v>102</v>
      </c>
      <c r="CA34" s="119"/>
      <c r="CB34" s="119"/>
      <c r="CC34" s="98" t="s">
        <v>103</v>
      </c>
      <c r="CD34" s="114">
        <v>0.22600000000000001</v>
      </c>
      <c r="CE34" s="114">
        <v>3.548</v>
      </c>
      <c r="CF34" s="98" t="s">
        <v>104</v>
      </c>
      <c r="CG34" s="114">
        <v>0.318</v>
      </c>
      <c r="CH34" s="114">
        <v>3.3639999999999999</v>
      </c>
      <c r="CI34" s="98"/>
      <c r="CJ34" s="119"/>
      <c r="CK34" s="133"/>
    </row>
    <row r="35" ht="14.9" customHeight="1">
      <c r="B35" s="50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4"/>
      <c r="AO35" s="2">
        <v>1</v>
      </c>
      <c r="AP35" s="143" t="s">
        <v>126</v>
      </c>
      <c r="AR35" s="2">
        <v>14</v>
      </c>
      <c r="AS35" s="5"/>
      <c r="AT35" s="117">
        <v>100</v>
      </c>
      <c r="AU35" s="118">
        <v>114.3</v>
      </c>
      <c r="AV35" s="98" t="s">
        <v>94</v>
      </c>
      <c r="AW35" s="119">
        <v>8.3000000000000004e-002</v>
      </c>
      <c r="AX35" s="119">
        <v>4.3339999999999996</v>
      </c>
      <c r="AY35" s="98" t="s">
        <v>95</v>
      </c>
      <c r="AZ35" s="119">
        <v>0.12</v>
      </c>
      <c r="BA35" s="119">
        <v>4.2599999999999998</v>
      </c>
      <c r="BB35" s="99"/>
      <c r="BC35" s="97"/>
      <c r="BD35" s="97"/>
      <c r="BE35" s="99"/>
      <c r="BF35" s="97"/>
      <c r="BG35" s="97"/>
      <c r="BH35" s="98" t="s">
        <v>88</v>
      </c>
      <c r="BI35" s="119">
        <v>0.23700000000000002</v>
      </c>
      <c r="BJ35" s="119">
        <v>4.0259999999999998</v>
      </c>
      <c r="BK35" s="99"/>
      <c r="BL35" s="97"/>
      <c r="BM35" s="97"/>
      <c r="BN35" s="98" t="s">
        <v>89</v>
      </c>
      <c r="BO35" s="119">
        <v>0.33700000000000002</v>
      </c>
      <c r="BP35" s="119">
        <v>3.8260000000000001</v>
      </c>
      <c r="BQ35" s="99"/>
      <c r="BR35" s="97"/>
      <c r="BS35" s="97"/>
      <c r="BT35" s="99" t="s">
        <v>100</v>
      </c>
      <c r="BU35" s="114">
        <v>0.438</v>
      </c>
      <c r="BV35" s="114">
        <v>3.6240000000000001</v>
      </c>
      <c r="BW35" s="99"/>
      <c r="BX35" s="97"/>
      <c r="BY35" s="97"/>
      <c r="BZ35" s="99" t="s">
        <v>102</v>
      </c>
      <c r="CA35" s="114">
        <v>0.53100000000000003</v>
      </c>
      <c r="CB35" s="114">
        <v>3.4380000000000002</v>
      </c>
      <c r="CC35" s="98" t="s">
        <v>103</v>
      </c>
      <c r="CD35" s="119">
        <v>0.23700000000000002</v>
      </c>
      <c r="CE35" s="119">
        <v>4.0259999999999998</v>
      </c>
      <c r="CF35" s="98" t="s">
        <v>104</v>
      </c>
      <c r="CG35" s="119">
        <v>0.33700000000000002</v>
      </c>
      <c r="CH35" s="119">
        <v>3.8260000000000001</v>
      </c>
      <c r="CI35" s="98" t="s">
        <v>105</v>
      </c>
      <c r="CJ35" s="114">
        <v>0.67400000000000004</v>
      </c>
      <c r="CK35" s="121">
        <v>3.1520000000000001</v>
      </c>
    </row>
    <row r="36" ht="14.9" customHeight="1">
      <c r="B36" s="50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4"/>
      <c r="AO36" s="2">
        <v>0.5</v>
      </c>
      <c r="AP36" s="2" t="s">
        <v>127</v>
      </c>
      <c r="AR36" s="96">
        <v>15</v>
      </c>
      <c r="AS36" s="5"/>
      <c r="AT36" s="117">
        <v>125</v>
      </c>
      <c r="AU36" s="118">
        <v>141.30000000000001</v>
      </c>
      <c r="AV36" s="98" t="s">
        <v>94</v>
      </c>
      <c r="AW36" s="119">
        <v>0.109</v>
      </c>
      <c r="AX36" s="119">
        <v>5.3449999999999998</v>
      </c>
      <c r="AY36" s="98" t="s">
        <v>95</v>
      </c>
      <c r="AZ36" s="119">
        <v>0.13400000000000001</v>
      </c>
      <c r="BA36" s="119">
        <v>5.2949999999999999</v>
      </c>
      <c r="BB36" s="99"/>
      <c r="BC36" s="97"/>
      <c r="BD36" s="97"/>
      <c r="BE36" s="99"/>
      <c r="BF36" s="97"/>
      <c r="BG36" s="97"/>
      <c r="BH36" s="98" t="s">
        <v>88</v>
      </c>
      <c r="BI36" s="119">
        <v>0.25800000000000001</v>
      </c>
      <c r="BJ36" s="119">
        <v>5.0469999999999997</v>
      </c>
      <c r="BK36" s="99"/>
      <c r="BL36" s="97"/>
      <c r="BM36" s="97"/>
      <c r="BN36" s="98" t="s">
        <v>89</v>
      </c>
      <c r="BO36" s="119">
        <v>0.375</v>
      </c>
      <c r="BP36" s="119">
        <v>4.8129999999999997</v>
      </c>
      <c r="BQ36" s="99"/>
      <c r="BR36" s="97"/>
      <c r="BS36" s="97"/>
      <c r="BT36" s="99" t="s">
        <v>100</v>
      </c>
      <c r="BU36" s="114">
        <v>0.5</v>
      </c>
      <c r="BV36" s="114">
        <v>4.5629999999999997</v>
      </c>
      <c r="BW36" s="99"/>
      <c r="BX36" s="97"/>
      <c r="BY36" s="97"/>
      <c r="BZ36" s="99" t="s">
        <v>102</v>
      </c>
      <c r="CA36" s="114">
        <v>0.625</v>
      </c>
      <c r="CB36" s="114">
        <v>4.3129999999999997</v>
      </c>
      <c r="CC36" s="98" t="s">
        <v>103</v>
      </c>
      <c r="CD36" s="119">
        <v>0.25800000000000001</v>
      </c>
      <c r="CE36" s="119">
        <v>5.0469999999999997</v>
      </c>
      <c r="CF36" s="98" t="s">
        <v>104</v>
      </c>
      <c r="CG36" s="119">
        <v>0.375</v>
      </c>
      <c r="CH36" s="119">
        <v>4.8129999999999997</v>
      </c>
      <c r="CI36" s="98" t="s">
        <v>105</v>
      </c>
      <c r="CJ36" s="114">
        <v>0.75</v>
      </c>
      <c r="CK36" s="121">
        <v>4.0629999999999997</v>
      </c>
    </row>
    <row r="37" ht="14.9" customHeight="1">
      <c r="B37" s="50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4"/>
      <c r="AR37" s="2">
        <v>16</v>
      </c>
      <c r="AS37" s="5"/>
      <c r="AT37" s="117">
        <v>150</v>
      </c>
      <c r="AU37" s="118">
        <v>168.30000000000001</v>
      </c>
      <c r="AV37" s="98" t="s">
        <v>94</v>
      </c>
      <c r="AW37" s="119">
        <v>0.109</v>
      </c>
      <c r="AX37" s="119">
        <v>6.407</v>
      </c>
      <c r="AY37" s="98" t="s">
        <v>95</v>
      </c>
      <c r="AZ37" s="119">
        <v>0.13400000000000001</v>
      </c>
      <c r="BA37" s="119">
        <v>6.3570000000000002</v>
      </c>
      <c r="BB37" s="99"/>
      <c r="BC37" s="97"/>
      <c r="BD37" s="97"/>
      <c r="BE37" s="99"/>
      <c r="BF37" s="97"/>
      <c r="BG37" s="97"/>
      <c r="BH37" s="98" t="s">
        <v>88</v>
      </c>
      <c r="BI37" s="119">
        <v>0.28000000000000003</v>
      </c>
      <c r="BJ37" s="119">
        <v>6.0650000000000004</v>
      </c>
      <c r="BK37" s="99"/>
      <c r="BL37" s="97"/>
      <c r="BM37" s="97"/>
      <c r="BN37" s="98" t="s">
        <v>89</v>
      </c>
      <c r="BO37" s="119">
        <v>0.432</v>
      </c>
      <c r="BP37" s="119">
        <v>5.7610000000000001</v>
      </c>
      <c r="BQ37" s="99"/>
      <c r="BR37" s="97"/>
      <c r="BS37" s="97"/>
      <c r="BT37" s="99" t="s">
        <v>100</v>
      </c>
      <c r="BU37" s="114">
        <v>0.56200000000000006</v>
      </c>
      <c r="BV37" s="114">
        <v>5.5010000000000003</v>
      </c>
      <c r="BW37" s="99"/>
      <c r="BX37" s="97"/>
      <c r="BY37" s="97"/>
      <c r="BZ37" s="99" t="s">
        <v>102</v>
      </c>
      <c r="CA37" s="114">
        <v>0.71899999999999997</v>
      </c>
      <c r="CB37" s="114">
        <v>5.1870000000000003</v>
      </c>
      <c r="CC37" s="98" t="s">
        <v>103</v>
      </c>
      <c r="CD37" s="119">
        <v>0.28000000000000003</v>
      </c>
      <c r="CE37" s="119">
        <v>6.0650000000000004</v>
      </c>
      <c r="CF37" s="98" t="s">
        <v>104</v>
      </c>
      <c r="CG37" s="119">
        <v>0.432</v>
      </c>
      <c r="CH37" s="119">
        <v>5.7610000000000001</v>
      </c>
      <c r="CI37" s="98" t="s">
        <v>105</v>
      </c>
      <c r="CJ37" s="114">
        <v>0.86399999999999999</v>
      </c>
      <c r="CK37" s="121">
        <v>4.8970000000000002</v>
      </c>
    </row>
    <row r="38" ht="14.9" customHeight="1">
      <c r="B38" s="50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4"/>
      <c r="AR38" s="96">
        <v>17</v>
      </c>
      <c r="AS38" s="5"/>
      <c r="AT38" s="117">
        <v>200</v>
      </c>
      <c r="AU38" s="118">
        <v>219.09999999999999</v>
      </c>
      <c r="AV38" s="98" t="s">
        <v>94</v>
      </c>
      <c r="AW38" s="119">
        <v>0.109</v>
      </c>
      <c r="AX38" s="119">
        <v>8.407</v>
      </c>
      <c r="AY38" s="98" t="s">
        <v>95</v>
      </c>
      <c r="AZ38" s="119">
        <v>0.14799999999999999</v>
      </c>
      <c r="BA38" s="119">
        <v>8.3290000000000006</v>
      </c>
      <c r="BB38" s="99" t="s">
        <v>96</v>
      </c>
      <c r="BC38" s="114">
        <v>0.25</v>
      </c>
      <c r="BD38" s="114">
        <v>8.125</v>
      </c>
      <c r="BE38" s="99" t="s">
        <v>97</v>
      </c>
      <c r="BF38" s="114">
        <v>0.27700000000000002</v>
      </c>
      <c r="BG38" s="114">
        <v>8.0709999999999997</v>
      </c>
      <c r="BH38" s="98" t="s">
        <v>88</v>
      </c>
      <c r="BI38" s="114">
        <v>0.32200000000000001</v>
      </c>
      <c r="BJ38" s="114">
        <v>7.9809999999999999</v>
      </c>
      <c r="BK38" s="100" t="s">
        <v>98</v>
      </c>
      <c r="BL38" s="114">
        <v>0.40600000000000003</v>
      </c>
      <c r="BM38" s="114">
        <v>7.8129999999999997</v>
      </c>
      <c r="BN38" s="98" t="s">
        <v>89</v>
      </c>
      <c r="BO38" s="119">
        <v>0.5</v>
      </c>
      <c r="BP38" s="119">
        <v>7.625</v>
      </c>
      <c r="BQ38" s="99" t="s">
        <v>99</v>
      </c>
      <c r="BR38" s="114">
        <v>0.59399999999999997</v>
      </c>
      <c r="BS38" s="114">
        <v>7.4370000000000003</v>
      </c>
      <c r="BT38" s="99" t="s">
        <v>100</v>
      </c>
      <c r="BU38" s="119">
        <v>0.71899999999999997</v>
      </c>
      <c r="BV38" s="119">
        <v>7.1870000000000003</v>
      </c>
      <c r="BW38" s="99" t="s">
        <v>101</v>
      </c>
      <c r="BX38" s="114">
        <v>0.81200000000000006</v>
      </c>
      <c r="BY38" s="114">
        <v>7.0010000000000003</v>
      </c>
      <c r="BZ38" s="99" t="s">
        <v>102</v>
      </c>
      <c r="CA38" s="119">
        <v>0.90600000000000003</v>
      </c>
      <c r="CB38" s="119">
        <v>6.8129999999999997</v>
      </c>
      <c r="CC38" s="98" t="s">
        <v>103</v>
      </c>
      <c r="CD38" s="119">
        <v>0.32200000000000001</v>
      </c>
      <c r="CE38" s="119">
        <v>7.9809999999999999</v>
      </c>
      <c r="CF38" s="98" t="s">
        <v>104</v>
      </c>
      <c r="CG38" s="119">
        <v>0.5</v>
      </c>
      <c r="CH38" s="119">
        <v>7.625</v>
      </c>
      <c r="CI38" s="98" t="s">
        <v>105</v>
      </c>
      <c r="CJ38" s="119">
        <v>0.875</v>
      </c>
      <c r="CK38" s="133">
        <v>6.875</v>
      </c>
    </row>
    <row r="39" ht="14.9" customHeight="1">
      <c r="B39" s="50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4"/>
      <c r="AR39" s="2">
        <v>18</v>
      </c>
      <c r="AS39" s="5"/>
      <c r="AT39" s="117">
        <v>250</v>
      </c>
      <c r="AU39" s="118">
        <v>273.05000000000001</v>
      </c>
      <c r="AV39" s="98" t="s">
        <v>94</v>
      </c>
      <c r="AW39" s="119">
        <v>0.13400000000000001</v>
      </c>
      <c r="AX39" s="119">
        <v>10.481999999999999</v>
      </c>
      <c r="AY39" s="98" t="s">
        <v>95</v>
      </c>
      <c r="AZ39" s="119">
        <v>0.16500000000000001</v>
      </c>
      <c r="BA39" s="119">
        <v>10.42</v>
      </c>
      <c r="BB39" s="99" t="s">
        <v>96</v>
      </c>
      <c r="BC39" s="114">
        <v>0.25</v>
      </c>
      <c r="BD39" s="114">
        <v>10.25</v>
      </c>
      <c r="BE39" s="99" t="s">
        <v>97</v>
      </c>
      <c r="BF39" s="114">
        <v>0.307</v>
      </c>
      <c r="BG39" s="114">
        <v>10.135999999999999</v>
      </c>
      <c r="BH39" s="98" t="s">
        <v>88</v>
      </c>
      <c r="BI39" s="114">
        <v>0.36499999999999999</v>
      </c>
      <c r="BJ39" s="114">
        <v>10.02</v>
      </c>
      <c r="BK39" s="100" t="s">
        <v>98</v>
      </c>
      <c r="BL39" s="114">
        <v>0.5</v>
      </c>
      <c r="BM39" s="114">
        <v>9.75</v>
      </c>
      <c r="BN39" s="98" t="s">
        <v>89</v>
      </c>
      <c r="BO39" s="119">
        <v>0.59399999999999997</v>
      </c>
      <c r="BP39" s="119">
        <v>9.5619999999999994</v>
      </c>
      <c r="BQ39" s="99" t="s">
        <v>99</v>
      </c>
      <c r="BR39" s="114">
        <v>0.71899999999999997</v>
      </c>
      <c r="BS39" s="114">
        <v>9.3119999999999994</v>
      </c>
      <c r="BT39" s="99" t="s">
        <v>100</v>
      </c>
      <c r="BU39" s="119">
        <v>0.84399999999999997</v>
      </c>
      <c r="BV39" s="119">
        <v>9.0619999999999994</v>
      </c>
      <c r="BW39" s="99" t="s">
        <v>101</v>
      </c>
      <c r="BX39" s="114">
        <v>1</v>
      </c>
      <c r="BY39" s="114">
        <v>8.75</v>
      </c>
      <c r="BZ39" s="99" t="s">
        <v>102</v>
      </c>
      <c r="CA39" s="119">
        <v>1.125</v>
      </c>
      <c r="CB39" s="119">
        <v>8.5</v>
      </c>
      <c r="CC39" s="98" t="s">
        <v>103</v>
      </c>
      <c r="CD39" s="119">
        <v>0.36499999999999999</v>
      </c>
      <c r="CE39" s="119">
        <v>10.02</v>
      </c>
      <c r="CF39" s="98" t="s">
        <v>104</v>
      </c>
      <c r="CG39" s="119">
        <v>0.5</v>
      </c>
      <c r="CH39" s="119">
        <v>9.75</v>
      </c>
      <c r="CI39" s="98" t="s">
        <v>105</v>
      </c>
      <c r="CJ39" s="119">
        <v>1</v>
      </c>
      <c r="CK39" s="133">
        <v>8.75</v>
      </c>
    </row>
    <row r="40" ht="14.9" customHeight="1">
      <c r="B40" s="50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4"/>
      <c r="AR40" s="96">
        <v>19</v>
      </c>
      <c r="AS40" s="5"/>
      <c r="AT40" s="117">
        <v>300</v>
      </c>
      <c r="AU40" s="118">
        <v>323.85000000000002</v>
      </c>
      <c r="AV40" s="98" t="s">
        <v>94</v>
      </c>
      <c r="AW40" s="119">
        <v>0.156</v>
      </c>
      <c r="AX40" s="119">
        <v>12.438000000000001</v>
      </c>
      <c r="AY40" s="98" t="s">
        <v>95</v>
      </c>
      <c r="AZ40" s="119">
        <v>0.17999999999999999</v>
      </c>
      <c r="BA40" s="119">
        <v>12.390000000000001</v>
      </c>
      <c r="BB40" s="99" t="s">
        <v>96</v>
      </c>
      <c r="BC40" s="114">
        <v>0.25</v>
      </c>
      <c r="BD40" s="114">
        <v>12.25</v>
      </c>
      <c r="BE40" s="99" t="s">
        <v>97</v>
      </c>
      <c r="BF40" s="114">
        <v>0.33000000000000002</v>
      </c>
      <c r="BG40" s="114">
        <v>12.09</v>
      </c>
      <c r="BH40" s="98" t="s">
        <v>88</v>
      </c>
      <c r="BI40" s="114">
        <v>0.40600000000000003</v>
      </c>
      <c r="BJ40" s="114">
        <v>11.938000000000001</v>
      </c>
      <c r="BK40" s="100" t="s">
        <v>98</v>
      </c>
      <c r="BL40" s="114">
        <v>0.56200000000000006</v>
      </c>
      <c r="BM40" s="114">
        <v>11.625999999999999</v>
      </c>
      <c r="BN40" s="98" t="s">
        <v>89</v>
      </c>
      <c r="BO40" s="119">
        <v>0.68800000000000006</v>
      </c>
      <c r="BP40" s="119">
        <v>11.374000000000001</v>
      </c>
      <c r="BQ40" s="99" t="s">
        <v>99</v>
      </c>
      <c r="BR40" s="114">
        <v>0.84399999999999997</v>
      </c>
      <c r="BS40" s="114">
        <v>11.061999999999999</v>
      </c>
      <c r="BT40" s="99" t="s">
        <v>100</v>
      </c>
      <c r="BU40" s="119">
        <v>1</v>
      </c>
      <c r="BV40" s="119">
        <v>10.75</v>
      </c>
      <c r="BW40" s="99" t="s">
        <v>101</v>
      </c>
      <c r="BX40" s="114">
        <v>1.125</v>
      </c>
      <c r="BY40" s="114">
        <v>10.5</v>
      </c>
      <c r="BZ40" s="99" t="s">
        <v>102</v>
      </c>
      <c r="CA40" s="119">
        <v>1.3120000000000001</v>
      </c>
      <c r="CB40" s="119">
        <v>10.125999999999999</v>
      </c>
      <c r="CC40" s="98" t="s">
        <v>103</v>
      </c>
      <c r="CD40" s="119">
        <v>0.375</v>
      </c>
      <c r="CE40" s="119">
        <v>12</v>
      </c>
      <c r="CF40" s="98" t="s">
        <v>104</v>
      </c>
      <c r="CG40" s="119">
        <v>0.5</v>
      </c>
      <c r="CH40" s="119">
        <v>11.75</v>
      </c>
      <c r="CI40" s="98" t="s">
        <v>105</v>
      </c>
      <c r="CJ40" s="119">
        <v>1</v>
      </c>
      <c r="CK40" s="133">
        <v>10.75</v>
      </c>
    </row>
    <row r="41" ht="14.9" customHeight="1">
      <c r="B41" s="50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4"/>
      <c r="AR41" s="2">
        <v>20</v>
      </c>
      <c r="AS41" s="5"/>
      <c r="AT41" s="117">
        <v>350</v>
      </c>
      <c r="AU41" s="118">
        <v>355.60000000000002</v>
      </c>
      <c r="AV41" s="98" t="s">
        <v>94</v>
      </c>
      <c r="AW41" s="119">
        <v>0.156</v>
      </c>
      <c r="AX41" s="119">
        <v>13.688000000000001</v>
      </c>
      <c r="AY41" s="98" t="s">
        <v>95</v>
      </c>
      <c r="AZ41" s="119">
        <v>0.25</v>
      </c>
      <c r="BA41" s="119">
        <v>13.5</v>
      </c>
      <c r="BB41" s="99" t="s">
        <v>96</v>
      </c>
      <c r="BC41" s="119">
        <v>0.312</v>
      </c>
      <c r="BD41" s="119">
        <v>13.375999999999999</v>
      </c>
      <c r="BE41" s="99" t="s">
        <v>97</v>
      </c>
      <c r="BF41" s="119">
        <v>0.375</v>
      </c>
      <c r="BG41" s="119">
        <v>13.25</v>
      </c>
      <c r="BH41" s="98" t="s">
        <v>88</v>
      </c>
      <c r="BI41" s="119">
        <v>0.438</v>
      </c>
      <c r="BJ41" s="119">
        <v>13.124000000000001</v>
      </c>
      <c r="BK41" s="100" t="s">
        <v>98</v>
      </c>
      <c r="BL41" s="119">
        <v>0.59399999999999997</v>
      </c>
      <c r="BM41" s="119">
        <v>12.811999999999999</v>
      </c>
      <c r="BN41" s="98" t="s">
        <v>89</v>
      </c>
      <c r="BO41" s="114">
        <v>0.75</v>
      </c>
      <c r="BP41" s="114">
        <v>12.5</v>
      </c>
      <c r="BQ41" s="99" t="s">
        <v>99</v>
      </c>
      <c r="BR41" s="119">
        <v>0.93799999999999994</v>
      </c>
      <c r="BS41" s="119">
        <v>12.124000000000001</v>
      </c>
      <c r="BT41" s="99" t="s">
        <v>100</v>
      </c>
      <c r="BU41" s="119">
        <v>1.0940000000000001</v>
      </c>
      <c r="BV41" s="119">
        <v>11.811999999999999</v>
      </c>
      <c r="BW41" s="99" t="s">
        <v>101</v>
      </c>
      <c r="BX41" s="119">
        <v>1.25</v>
      </c>
      <c r="BY41" s="119">
        <v>11.5</v>
      </c>
      <c r="BZ41" s="99" t="s">
        <v>102</v>
      </c>
      <c r="CA41" s="119">
        <v>1.4059999999999999</v>
      </c>
      <c r="CB41" s="119">
        <v>11.188000000000001</v>
      </c>
      <c r="CC41" s="98" t="s">
        <v>103</v>
      </c>
      <c r="CD41" s="114">
        <v>0.375</v>
      </c>
      <c r="CE41" s="114">
        <v>13.25</v>
      </c>
      <c r="CF41" s="98" t="s">
        <v>104</v>
      </c>
      <c r="CG41" s="114">
        <v>0.5</v>
      </c>
      <c r="CH41" s="114">
        <v>13</v>
      </c>
      <c r="CI41" s="115"/>
      <c r="CJ41" s="97"/>
      <c r="CK41" s="101"/>
    </row>
    <row r="42" ht="14.9" customHeight="1">
      <c r="B42" s="50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4"/>
      <c r="AR42" s="2">
        <v>22</v>
      </c>
      <c r="AS42" s="5"/>
      <c r="AT42" s="117">
        <v>450</v>
      </c>
      <c r="AU42" s="118">
        <v>457.19999999999999</v>
      </c>
      <c r="AV42" s="98" t="s">
        <v>94</v>
      </c>
      <c r="AW42" s="119">
        <v>0.16500000000000001</v>
      </c>
      <c r="AX42" s="119">
        <v>17.670000000000002</v>
      </c>
      <c r="AY42" s="98" t="s">
        <v>95</v>
      </c>
      <c r="AZ42" s="119">
        <v>0.25</v>
      </c>
      <c r="BA42" s="119">
        <v>17.5</v>
      </c>
      <c r="BB42" s="99" t="s">
        <v>96</v>
      </c>
      <c r="BC42" s="119">
        <v>0.312</v>
      </c>
      <c r="BD42" s="119">
        <v>17.376000000000001</v>
      </c>
      <c r="BE42" s="99" t="s">
        <v>97</v>
      </c>
      <c r="BF42" s="119">
        <v>0.438</v>
      </c>
      <c r="BG42" s="119">
        <v>17.123999999999999</v>
      </c>
      <c r="BH42" s="98" t="s">
        <v>88</v>
      </c>
      <c r="BI42" s="119">
        <v>0.56200000000000006</v>
      </c>
      <c r="BJ42" s="119">
        <v>16.876000000000001</v>
      </c>
      <c r="BK42" s="100" t="s">
        <v>98</v>
      </c>
      <c r="BL42" s="119">
        <v>0.75</v>
      </c>
      <c r="BM42" s="119">
        <v>16.5</v>
      </c>
      <c r="BN42" s="98" t="s">
        <v>89</v>
      </c>
      <c r="BO42" s="114">
        <v>0.93800000000000006</v>
      </c>
      <c r="BP42" s="114">
        <v>16.123999999999999</v>
      </c>
      <c r="BQ42" s="99" t="s">
        <v>99</v>
      </c>
      <c r="BR42" s="119">
        <v>1.1559999999999999</v>
      </c>
      <c r="BS42" s="119">
        <v>15.688000000000001</v>
      </c>
      <c r="BT42" s="99" t="s">
        <v>100</v>
      </c>
      <c r="BU42" s="119">
        <v>1.375</v>
      </c>
      <c r="BV42" s="119">
        <v>15.25</v>
      </c>
      <c r="BW42" s="99" t="s">
        <v>101</v>
      </c>
      <c r="BX42" s="119">
        <v>1.5620000000000001</v>
      </c>
      <c r="BY42" s="119">
        <v>14.875999999999999</v>
      </c>
      <c r="BZ42" s="99" t="s">
        <v>102</v>
      </c>
      <c r="CA42" s="119">
        <v>1.7809999999999999</v>
      </c>
      <c r="CB42" s="119">
        <v>14.438000000000001</v>
      </c>
      <c r="CC42" s="98" t="s">
        <v>103</v>
      </c>
      <c r="CD42" s="114">
        <v>0.375</v>
      </c>
      <c r="CE42" s="114">
        <v>17.25</v>
      </c>
      <c r="CF42" s="98" t="s">
        <v>104</v>
      </c>
      <c r="CG42" s="114">
        <v>0.5</v>
      </c>
      <c r="CH42" s="114">
        <v>17</v>
      </c>
      <c r="CI42" s="115"/>
      <c r="CJ42" s="97"/>
      <c r="CK42" s="101"/>
    </row>
    <row r="43" ht="14.9" customHeight="1">
      <c r="B43" s="50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4"/>
      <c r="AR43" s="96">
        <v>23</v>
      </c>
      <c r="AS43" s="5"/>
      <c r="AT43" s="117">
        <v>500</v>
      </c>
      <c r="AU43" s="118">
        <v>508</v>
      </c>
      <c r="AV43" s="98" t="s">
        <v>94</v>
      </c>
      <c r="AW43" s="119">
        <v>0.188</v>
      </c>
      <c r="AX43" s="119">
        <v>19.623999999999999</v>
      </c>
      <c r="AY43" s="98" t="s">
        <v>95</v>
      </c>
      <c r="AZ43" s="119">
        <v>0.25</v>
      </c>
      <c r="BA43" s="119">
        <v>19.5</v>
      </c>
      <c r="BB43" s="99" t="s">
        <v>96</v>
      </c>
      <c r="BC43" s="119">
        <v>0.375</v>
      </c>
      <c r="BD43" s="119">
        <v>19.25</v>
      </c>
      <c r="BE43" s="99" t="s">
        <v>97</v>
      </c>
      <c r="BF43" s="119">
        <v>0.5</v>
      </c>
      <c r="BG43" s="119">
        <v>19</v>
      </c>
      <c r="BH43" s="98" t="s">
        <v>88</v>
      </c>
      <c r="BI43" s="119">
        <v>0.59399999999999997</v>
      </c>
      <c r="BJ43" s="119">
        <v>18.812000000000001</v>
      </c>
      <c r="BK43" s="100" t="s">
        <v>98</v>
      </c>
      <c r="BL43" s="119">
        <v>0.81200000000000006</v>
      </c>
      <c r="BM43" s="119">
        <v>18.376000000000001</v>
      </c>
      <c r="BN43" s="98" t="s">
        <v>89</v>
      </c>
      <c r="BO43" s="119">
        <v>1.0309999999999999</v>
      </c>
      <c r="BP43" s="119">
        <v>17.937999999999999</v>
      </c>
      <c r="BQ43" s="99" t="s">
        <v>99</v>
      </c>
      <c r="BR43" s="119">
        <v>1.2809999999999999</v>
      </c>
      <c r="BS43" s="119">
        <v>17.437999999999999</v>
      </c>
      <c r="BT43" s="99" t="s">
        <v>100</v>
      </c>
      <c r="BU43" s="114">
        <v>1.5</v>
      </c>
      <c r="BV43" s="114">
        <v>17</v>
      </c>
      <c r="BW43" s="99" t="s">
        <v>101</v>
      </c>
      <c r="BX43" s="119">
        <v>1.75</v>
      </c>
      <c r="BY43" s="119">
        <v>16.5</v>
      </c>
      <c r="BZ43" s="99" t="s">
        <v>102</v>
      </c>
      <c r="CA43" s="114">
        <v>1.9690000000000001</v>
      </c>
      <c r="CB43" s="114">
        <v>16.062000000000001</v>
      </c>
      <c r="CC43" s="98" t="s">
        <v>103</v>
      </c>
      <c r="CD43" s="119">
        <v>0.375</v>
      </c>
      <c r="CE43" s="119">
        <v>19.25</v>
      </c>
      <c r="CF43" s="98" t="s">
        <v>104</v>
      </c>
      <c r="CG43" s="119">
        <v>0.5</v>
      </c>
      <c r="CH43" s="119">
        <v>19</v>
      </c>
      <c r="CI43" s="115"/>
      <c r="CJ43" s="97"/>
      <c r="CK43" s="101"/>
    </row>
    <row r="44" ht="14.9" customHeight="1">
      <c r="B44" s="50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4"/>
      <c r="AR44" s="2">
        <v>24</v>
      </c>
      <c r="AS44" s="5"/>
      <c r="AT44" s="117">
        <v>550</v>
      </c>
      <c r="AU44" s="118">
        <v>558.79999999999995</v>
      </c>
      <c r="AV44" s="98" t="s">
        <v>94</v>
      </c>
      <c r="AW44" s="119">
        <v>0.188</v>
      </c>
      <c r="AX44" s="119">
        <v>21.623999999999999</v>
      </c>
      <c r="AY44" s="98" t="s">
        <v>95</v>
      </c>
      <c r="AZ44" s="119">
        <v>0.25</v>
      </c>
      <c r="BA44" s="119">
        <v>23.5</v>
      </c>
      <c r="BB44" s="99" t="s">
        <v>96</v>
      </c>
      <c r="BC44" s="119">
        <v>0.375</v>
      </c>
      <c r="BD44" s="119">
        <v>21.25</v>
      </c>
      <c r="BE44" s="99" t="s">
        <v>97</v>
      </c>
      <c r="BF44" s="119">
        <v>0.5</v>
      </c>
      <c r="BG44" s="119">
        <v>21</v>
      </c>
      <c r="BH44" s="98" t="s">
        <v>88</v>
      </c>
      <c r="BI44" s="119"/>
      <c r="BJ44" s="119"/>
      <c r="BK44" s="100" t="s">
        <v>98</v>
      </c>
      <c r="BL44" s="119">
        <v>0.875</v>
      </c>
      <c r="BM44" s="119">
        <v>20.25</v>
      </c>
      <c r="BN44" s="98" t="s">
        <v>89</v>
      </c>
      <c r="BO44" s="119">
        <v>1.125</v>
      </c>
      <c r="BP44" s="119">
        <v>19.75</v>
      </c>
      <c r="BQ44" s="99" t="s">
        <v>99</v>
      </c>
      <c r="BR44" s="119">
        <v>1.375</v>
      </c>
      <c r="BS44" s="119">
        <v>19.25</v>
      </c>
      <c r="BT44" s="99" t="s">
        <v>100</v>
      </c>
      <c r="BU44" s="114">
        <v>1.625</v>
      </c>
      <c r="BV44" s="114">
        <v>18.75</v>
      </c>
      <c r="BW44" s="99" t="s">
        <v>101</v>
      </c>
      <c r="BX44" s="119">
        <v>1.875</v>
      </c>
      <c r="BY44" s="119">
        <v>20.125</v>
      </c>
      <c r="BZ44" s="99" t="s">
        <v>102</v>
      </c>
      <c r="CA44" s="114">
        <v>2.125</v>
      </c>
      <c r="CB44" s="114">
        <v>17.75</v>
      </c>
      <c r="CC44" s="98" t="s">
        <v>103</v>
      </c>
      <c r="CD44" s="114">
        <v>0.375</v>
      </c>
      <c r="CE44" s="114">
        <v>21.25</v>
      </c>
      <c r="CF44" s="98" t="s">
        <v>104</v>
      </c>
      <c r="CG44" s="114">
        <v>0.5</v>
      </c>
      <c r="CH44" s="114">
        <v>21</v>
      </c>
      <c r="CI44" s="115"/>
      <c r="CJ44" s="97"/>
      <c r="CK44" s="101"/>
    </row>
    <row r="45" ht="14.9" customHeight="1">
      <c r="B45" s="50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4"/>
      <c r="AR45" s="96">
        <v>25</v>
      </c>
      <c r="AS45" s="5"/>
      <c r="AT45" s="117">
        <v>600</v>
      </c>
      <c r="AU45" s="118">
        <v>609.60000000000002</v>
      </c>
      <c r="AV45" s="98" t="s">
        <v>94</v>
      </c>
      <c r="AW45" s="119">
        <v>0.218</v>
      </c>
      <c r="AX45" s="119">
        <v>23.564</v>
      </c>
      <c r="AY45" s="98" t="s">
        <v>95</v>
      </c>
      <c r="AZ45" s="119">
        <v>0.25</v>
      </c>
      <c r="BA45" s="119">
        <v>23.5</v>
      </c>
      <c r="BB45" s="99" t="s">
        <v>96</v>
      </c>
      <c r="BC45" s="119">
        <v>0.375</v>
      </c>
      <c r="BD45" s="119">
        <v>23.25</v>
      </c>
      <c r="BE45" s="99" t="s">
        <v>97</v>
      </c>
      <c r="BF45" s="119">
        <v>0.56200000000000006</v>
      </c>
      <c r="BG45" s="119">
        <v>22.876000000000001</v>
      </c>
      <c r="BH45" s="98" t="s">
        <v>88</v>
      </c>
      <c r="BI45" s="119">
        <v>0.68800000000000006</v>
      </c>
      <c r="BJ45" s="119">
        <v>22.623999999999999</v>
      </c>
      <c r="BK45" s="100" t="s">
        <v>98</v>
      </c>
      <c r="BL45" s="119">
        <v>0.96899999999999997</v>
      </c>
      <c r="BM45" s="119">
        <v>22.062000000000001</v>
      </c>
      <c r="BN45" s="98" t="s">
        <v>89</v>
      </c>
      <c r="BO45" s="119">
        <v>1.2190000000000001</v>
      </c>
      <c r="BP45" s="119">
        <v>21.562000000000001</v>
      </c>
      <c r="BQ45" s="99" t="s">
        <v>99</v>
      </c>
      <c r="BR45" s="119">
        <v>1.5309999999999999</v>
      </c>
      <c r="BS45" s="119">
        <v>20.937999999999999</v>
      </c>
      <c r="BT45" s="99" t="s">
        <v>100</v>
      </c>
      <c r="BU45" s="114">
        <v>1.8120000000000001</v>
      </c>
      <c r="BV45" s="114">
        <v>20.376000000000001</v>
      </c>
      <c r="BW45" s="99" t="s">
        <v>101</v>
      </c>
      <c r="BX45" s="119">
        <v>2.0619999999999998</v>
      </c>
      <c r="BY45" s="119">
        <v>19.876000000000001</v>
      </c>
      <c r="BZ45" s="99" t="s">
        <v>102</v>
      </c>
      <c r="CA45" s="114">
        <v>2.3439999999999999</v>
      </c>
      <c r="CB45" s="114">
        <v>19.312000000000001</v>
      </c>
      <c r="CC45" s="98" t="s">
        <v>103</v>
      </c>
      <c r="CD45" s="114">
        <v>0.375</v>
      </c>
      <c r="CE45" s="114">
        <v>23.25</v>
      </c>
      <c r="CF45" s="98" t="s">
        <v>104</v>
      </c>
      <c r="CG45" s="114">
        <v>0.5</v>
      </c>
      <c r="CH45" s="114">
        <v>23</v>
      </c>
      <c r="CI45" s="115"/>
      <c r="CJ45" s="97"/>
      <c r="CK45" s="101"/>
    </row>
    <row r="46" ht="14.9" customHeight="1">
      <c r="B46" s="5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4"/>
      <c r="AR46" s="2">
        <v>26</v>
      </c>
      <c r="AS46" s="5"/>
      <c r="AT46" s="117">
        <v>650</v>
      </c>
      <c r="AU46" s="118">
        <v>660.39999999999998</v>
      </c>
      <c r="AV46" s="98"/>
      <c r="AW46" s="119"/>
      <c r="AX46" s="119"/>
      <c r="AY46" s="98" t="s">
        <v>95</v>
      </c>
      <c r="AZ46" s="119">
        <v>0.312</v>
      </c>
      <c r="BA46" s="119">
        <v>25.376000000000001</v>
      </c>
      <c r="BB46" s="99" t="s">
        <v>96</v>
      </c>
      <c r="BC46" s="119">
        <v>0.5</v>
      </c>
      <c r="BD46" s="119">
        <v>25</v>
      </c>
      <c r="BE46" s="99" t="s">
        <v>97</v>
      </c>
      <c r="BF46" s="119"/>
      <c r="BG46" s="119"/>
      <c r="BH46" s="99"/>
      <c r="BI46" s="119"/>
      <c r="BJ46" s="119"/>
      <c r="BK46" s="99"/>
      <c r="BL46" s="97"/>
      <c r="BM46" s="97"/>
      <c r="BN46" s="97"/>
      <c r="BO46" s="97"/>
      <c r="BP46" s="97"/>
      <c r="BQ46" s="97"/>
      <c r="BR46" s="97"/>
      <c r="BS46" s="97"/>
      <c r="BT46" s="97"/>
      <c r="BU46" s="120"/>
      <c r="BV46" s="97"/>
      <c r="BW46" s="97"/>
      <c r="BX46" s="97"/>
      <c r="BY46" s="97"/>
      <c r="BZ46" s="97"/>
      <c r="CA46" s="119"/>
      <c r="CB46" s="119"/>
      <c r="CC46" s="98" t="s">
        <v>103</v>
      </c>
      <c r="CD46" s="114">
        <v>0.375</v>
      </c>
      <c r="CE46" s="114">
        <v>25.25</v>
      </c>
      <c r="CF46" s="98" t="s">
        <v>104</v>
      </c>
      <c r="CG46" s="114">
        <v>0.5</v>
      </c>
      <c r="CH46" s="114">
        <v>25</v>
      </c>
      <c r="CI46" s="115"/>
      <c r="CJ46" s="97"/>
      <c r="CK46" s="101"/>
    </row>
    <row r="47" ht="14.9" customHeight="1">
      <c r="B47" s="50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4"/>
      <c r="AR47" s="96">
        <v>27</v>
      </c>
      <c r="AS47" s="5"/>
      <c r="AT47" s="117">
        <v>700</v>
      </c>
      <c r="AU47" s="118">
        <v>711.20000000000005</v>
      </c>
      <c r="AV47" s="98"/>
      <c r="AW47" s="119"/>
      <c r="AX47" s="119"/>
      <c r="AY47" s="98" t="s">
        <v>95</v>
      </c>
      <c r="AZ47" s="119">
        <v>0.312</v>
      </c>
      <c r="BA47" s="119">
        <v>27.376000000000001</v>
      </c>
      <c r="BB47" s="99" t="s">
        <v>96</v>
      </c>
      <c r="BC47" s="119">
        <v>0.5</v>
      </c>
      <c r="BD47" s="119">
        <v>27</v>
      </c>
      <c r="BE47" s="99" t="s">
        <v>97</v>
      </c>
      <c r="BF47" s="119">
        <v>0.625</v>
      </c>
      <c r="BG47" s="119">
        <v>26.75</v>
      </c>
      <c r="BH47" s="99"/>
      <c r="BI47" s="119"/>
      <c r="BJ47" s="119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120"/>
      <c r="BV47" s="97"/>
      <c r="BW47" s="97"/>
      <c r="BX47" s="97"/>
      <c r="BY47" s="97"/>
      <c r="BZ47" s="97"/>
      <c r="CA47" s="120"/>
      <c r="CB47" s="97"/>
      <c r="CC47" s="98" t="s">
        <v>103</v>
      </c>
      <c r="CD47" s="119">
        <v>0.375</v>
      </c>
      <c r="CE47" s="119">
        <v>27.25</v>
      </c>
      <c r="CF47" s="98" t="s">
        <v>104</v>
      </c>
      <c r="CG47" s="119">
        <v>0.5</v>
      </c>
      <c r="CH47" s="119">
        <v>27</v>
      </c>
      <c r="CI47" s="115"/>
      <c r="CJ47" s="97"/>
      <c r="CK47" s="101"/>
    </row>
    <row r="48" ht="14.9" customHeight="1">
      <c r="B48" s="50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4"/>
      <c r="AR48" s="2">
        <v>28</v>
      </c>
      <c r="AS48" s="5"/>
      <c r="AT48" s="117">
        <v>750</v>
      </c>
      <c r="AU48" s="118">
        <v>762</v>
      </c>
      <c r="AV48" s="98" t="s">
        <v>94</v>
      </c>
      <c r="AW48" s="119">
        <v>0.25</v>
      </c>
      <c r="AX48" s="119">
        <v>29.5</v>
      </c>
      <c r="AY48" s="98" t="s">
        <v>95</v>
      </c>
      <c r="AZ48" s="119">
        <v>0.312</v>
      </c>
      <c r="BA48" s="119">
        <v>29.376000000000001</v>
      </c>
      <c r="BB48" s="99" t="s">
        <v>96</v>
      </c>
      <c r="BC48" s="119">
        <v>0.5</v>
      </c>
      <c r="BD48" s="119">
        <v>29</v>
      </c>
      <c r="BE48" s="99" t="s">
        <v>97</v>
      </c>
      <c r="BF48" s="119">
        <v>0.625</v>
      </c>
      <c r="BG48" s="119">
        <v>28.75</v>
      </c>
      <c r="BH48" s="99"/>
      <c r="BI48" s="119"/>
      <c r="BJ48" s="119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120"/>
      <c r="BV48" s="97"/>
      <c r="BW48" s="97"/>
      <c r="BX48" s="97"/>
      <c r="BY48" s="97"/>
      <c r="BZ48" s="97"/>
      <c r="CA48" s="120"/>
      <c r="CB48" s="97"/>
      <c r="CC48" s="98" t="s">
        <v>103</v>
      </c>
      <c r="CD48" s="119">
        <v>0.375</v>
      </c>
      <c r="CE48" s="119">
        <v>29.25</v>
      </c>
      <c r="CF48" s="98" t="s">
        <v>104</v>
      </c>
      <c r="CG48" s="119">
        <v>0.5</v>
      </c>
      <c r="CH48" s="119">
        <v>29</v>
      </c>
      <c r="CI48" s="115"/>
      <c r="CJ48" s="97"/>
      <c r="CK48" s="101"/>
    </row>
    <row r="49" ht="14.9" customHeight="1">
      <c r="B49" s="50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4"/>
      <c r="AR49" s="96">
        <v>29</v>
      </c>
      <c r="AS49" s="5"/>
      <c r="AT49" s="117">
        <v>800</v>
      </c>
      <c r="AU49" s="118">
        <v>812.79999999999995</v>
      </c>
      <c r="AV49" s="98"/>
      <c r="AW49" s="119"/>
      <c r="AX49" s="119"/>
      <c r="AY49" s="98" t="s">
        <v>95</v>
      </c>
      <c r="AZ49" s="119">
        <v>0.312</v>
      </c>
      <c r="BA49" s="119">
        <v>31.376000000000001</v>
      </c>
      <c r="BB49" s="99" t="s">
        <v>96</v>
      </c>
      <c r="BC49" s="119">
        <v>0.5</v>
      </c>
      <c r="BD49" s="119">
        <v>31</v>
      </c>
      <c r="BE49" s="99" t="s">
        <v>97</v>
      </c>
      <c r="BF49" s="119">
        <v>0.625</v>
      </c>
      <c r="BG49" s="119">
        <v>30.75</v>
      </c>
      <c r="BH49" s="98" t="s">
        <v>88</v>
      </c>
      <c r="BI49" s="119">
        <v>0.68800000000000006</v>
      </c>
      <c r="BJ49" s="119">
        <v>30.623999999999999</v>
      </c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120"/>
      <c r="BV49" s="97"/>
      <c r="BW49" s="97"/>
      <c r="BX49" s="97"/>
      <c r="BY49" s="97"/>
      <c r="BZ49" s="97"/>
      <c r="CA49" s="120"/>
      <c r="CB49" s="97"/>
      <c r="CC49" s="98" t="s">
        <v>103</v>
      </c>
      <c r="CD49" s="119">
        <v>0.375</v>
      </c>
      <c r="CE49" s="119">
        <v>31.25</v>
      </c>
      <c r="CF49" s="98" t="s">
        <v>104</v>
      </c>
      <c r="CG49" s="119">
        <v>0.5</v>
      </c>
      <c r="CH49" s="119">
        <v>31</v>
      </c>
      <c r="CI49" s="115"/>
      <c r="CJ49" s="97"/>
      <c r="CK49" s="101"/>
    </row>
    <row r="50" ht="14.9" customHeight="1">
      <c r="B50" s="5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4"/>
      <c r="AR50" s="2">
        <v>30</v>
      </c>
      <c r="AS50" s="5"/>
      <c r="AT50" s="117">
        <v>850</v>
      </c>
      <c r="AU50" s="118">
        <v>863.60000000000002</v>
      </c>
      <c r="AV50" s="98"/>
      <c r="AW50" s="119"/>
      <c r="AX50" s="119"/>
      <c r="AY50" s="98" t="s">
        <v>95</v>
      </c>
      <c r="AZ50" s="119">
        <v>0.312</v>
      </c>
      <c r="BA50" s="119">
        <v>33.375999999999998</v>
      </c>
      <c r="BB50" s="99" t="s">
        <v>96</v>
      </c>
      <c r="BC50" s="119">
        <v>0.5</v>
      </c>
      <c r="BD50" s="119">
        <v>33</v>
      </c>
      <c r="BE50" s="99" t="s">
        <v>97</v>
      </c>
      <c r="BF50" s="119">
        <v>0.625</v>
      </c>
      <c r="BG50" s="119">
        <v>32.75</v>
      </c>
      <c r="BH50" s="98" t="s">
        <v>88</v>
      </c>
      <c r="BI50" s="119">
        <v>0.68800000000000006</v>
      </c>
      <c r="BJ50" s="119">
        <v>32.624000000000002</v>
      </c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120"/>
      <c r="BV50" s="97"/>
      <c r="BW50" s="97"/>
      <c r="BX50" s="97"/>
      <c r="BY50" s="97"/>
      <c r="BZ50" s="97"/>
      <c r="CA50" s="120"/>
      <c r="CB50" s="97"/>
      <c r="CC50" s="98" t="s">
        <v>103</v>
      </c>
      <c r="CD50" s="119">
        <v>0.375</v>
      </c>
      <c r="CE50" s="119">
        <v>33.25</v>
      </c>
      <c r="CF50" s="98" t="s">
        <v>104</v>
      </c>
      <c r="CG50" s="119">
        <v>0.5</v>
      </c>
      <c r="CH50" s="119">
        <v>33</v>
      </c>
      <c r="CI50" s="115"/>
      <c r="CJ50" s="97"/>
      <c r="CK50" s="101"/>
    </row>
    <row r="51" ht="15.75" customHeight="1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4"/>
      <c r="AR51" s="96">
        <v>31</v>
      </c>
      <c r="AS51" s="5"/>
      <c r="AT51" s="117">
        <v>900</v>
      </c>
      <c r="AU51" s="118">
        <v>914.39999999999998</v>
      </c>
      <c r="AV51" s="98"/>
      <c r="AW51" s="119"/>
      <c r="AX51" s="119"/>
      <c r="AY51" s="98" t="s">
        <v>95</v>
      </c>
      <c r="AZ51" s="119">
        <v>0.312</v>
      </c>
      <c r="BA51" s="119">
        <v>35.375999999999998</v>
      </c>
      <c r="BB51" s="99" t="s">
        <v>96</v>
      </c>
      <c r="BC51" s="119">
        <v>0.5</v>
      </c>
      <c r="BD51" s="119">
        <v>35</v>
      </c>
      <c r="BE51" s="99" t="s">
        <v>97</v>
      </c>
      <c r="BF51" s="119">
        <v>0.625</v>
      </c>
      <c r="BG51" s="119">
        <v>34.75</v>
      </c>
      <c r="BH51" s="98" t="s">
        <v>88</v>
      </c>
      <c r="BI51" s="119">
        <v>0.75</v>
      </c>
      <c r="BJ51" s="119">
        <v>34.5</v>
      </c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120"/>
      <c r="BV51" s="97"/>
      <c r="BW51" s="97"/>
      <c r="BX51" s="97"/>
      <c r="BY51" s="97"/>
      <c r="BZ51" s="97"/>
      <c r="CA51" s="120"/>
      <c r="CB51" s="97"/>
      <c r="CC51" s="98" t="s">
        <v>103</v>
      </c>
      <c r="CD51" s="119">
        <v>0.375</v>
      </c>
      <c r="CE51" s="119">
        <v>35.25</v>
      </c>
      <c r="CF51" s="98" t="s">
        <v>104</v>
      </c>
      <c r="CG51" s="119">
        <v>0.5</v>
      </c>
      <c r="CH51" s="119">
        <v>35</v>
      </c>
      <c r="CI51" s="115"/>
      <c r="CJ51" s="97"/>
      <c r="CK51" s="101"/>
    </row>
    <row r="52" ht="39.75" customHeight="1">
      <c r="B52" s="58" t="e">
        <f>disclaimer</f>
        <v>#REF!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R52" s="2">
        <v>32</v>
      </c>
      <c r="AS52" s="5"/>
      <c r="AT52" s="117">
        <v>950</v>
      </c>
      <c r="AU52" s="118">
        <v>965.20000000000005</v>
      </c>
      <c r="AV52" s="98"/>
      <c r="AW52" s="119"/>
      <c r="AX52" s="119"/>
      <c r="AY52" s="97"/>
      <c r="AZ52" s="119"/>
      <c r="BA52" s="119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120"/>
      <c r="BV52" s="97"/>
      <c r="BW52" s="97"/>
      <c r="BX52" s="97"/>
      <c r="BY52" s="97"/>
      <c r="BZ52" s="97"/>
      <c r="CA52" s="120"/>
      <c r="CB52" s="97"/>
      <c r="CC52" s="98" t="s">
        <v>103</v>
      </c>
      <c r="CD52" s="119">
        <v>0.375</v>
      </c>
      <c r="CE52" s="119">
        <v>37.25</v>
      </c>
      <c r="CF52" s="98" t="s">
        <v>104</v>
      </c>
      <c r="CG52" s="119">
        <v>0.5</v>
      </c>
      <c r="CH52" s="119">
        <v>37</v>
      </c>
      <c r="CI52" s="115"/>
      <c r="CJ52" s="97"/>
      <c r="CK52" s="101"/>
    </row>
    <row r="53" ht="41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R53" s="96">
        <v>33</v>
      </c>
      <c r="AS53" s="5"/>
      <c r="AT53" s="117">
        <v>1000</v>
      </c>
      <c r="AU53" s="118">
        <v>1016</v>
      </c>
      <c r="AV53" s="98"/>
      <c r="AW53" s="119"/>
      <c r="AX53" s="119"/>
      <c r="AY53" s="97"/>
      <c r="AZ53" s="119"/>
      <c r="BA53" s="119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120"/>
      <c r="BV53" s="97"/>
      <c r="BW53" s="97"/>
      <c r="BX53" s="97"/>
      <c r="BY53" s="97"/>
      <c r="BZ53" s="97"/>
      <c r="CA53" s="120"/>
      <c r="CB53" s="97"/>
      <c r="CC53" s="98" t="s">
        <v>103</v>
      </c>
      <c r="CD53" s="114">
        <v>0.375</v>
      </c>
      <c r="CE53" s="114">
        <v>39.25</v>
      </c>
      <c r="CF53" s="98" t="s">
        <v>104</v>
      </c>
      <c r="CG53" s="114">
        <v>0.5</v>
      </c>
      <c r="CH53" s="114">
        <v>39</v>
      </c>
      <c r="CI53" s="115"/>
      <c r="CJ53" s="97"/>
      <c r="CK53" s="101"/>
    </row>
    <row r="54" ht="14.9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R54" s="2">
        <v>34</v>
      </c>
      <c r="AS54" s="5"/>
      <c r="AT54" s="117">
        <v>1050</v>
      </c>
      <c r="AU54" s="118">
        <v>1066.8</v>
      </c>
      <c r="AV54" s="98"/>
      <c r="AW54" s="119"/>
      <c r="AX54" s="119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150"/>
      <c r="BJ54" s="97"/>
      <c r="BK54" s="97"/>
      <c r="BL54" s="97"/>
      <c r="BM54" s="97"/>
      <c r="BN54" s="97"/>
      <c r="BO54" s="97"/>
      <c r="BP54" s="150"/>
      <c r="BQ54" s="150"/>
      <c r="BR54" s="150"/>
      <c r="BS54" s="150"/>
      <c r="BT54" s="97"/>
      <c r="BU54" s="97"/>
      <c r="BV54" s="97"/>
      <c r="BW54" s="97"/>
      <c r="BX54" s="97"/>
      <c r="BY54" s="97"/>
      <c r="BZ54" s="150"/>
      <c r="CA54" s="97"/>
      <c r="CB54" s="97"/>
      <c r="CC54" s="98" t="s">
        <v>103</v>
      </c>
      <c r="CD54" s="114">
        <v>0.375</v>
      </c>
      <c r="CE54" s="114">
        <v>41.25</v>
      </c>
      <c r="CF54" s="98" t="s">
        <v>104</v>
      </c>
      <c r="CG54" s="114">
        <v>0.5</v>
      </c>
      <c r="CH54" s="114">
        <v>41</v>
      </c>
      <c r="CI54" s="115"/>
      <c r="CJ54" s="97"/>
      <c r="CK54" s="101"/>
    </row>
    <row r="55" ht="36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R55" s="96">
        <v>35</v>
      </c>
      <c r="AS55" s="5"/>
      <c r="AT55" s="110">
        <v>1100</v>
      </c>
      <c r="AU55" s="113">
        <v>1117.5999999999999</v>
      </c>
      <c r="AV55" s="98"/>
      <c r="AW55" s="114"/>
      <c r="AX55" s="114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98" t="s">
        <v>103</v>
      </c>
      <c r="CD55" s="114">
        <v>0.375</v>
      </c>
      <c r="CE55" s="114">
        <v>43.25</v>
      </c>
      <c r="CF55" s="98" t="s">
        <v>104</v>
      </c>
      <c r="CG55" s="114">
        <v>0.5</v>
      </c>
      <c r="CH55" s="114">
        <v>43</v>
      </c>
      <c r="CI55" s="115"/>
      <c r="CJ55" s="115"/>
      <c r="CK55" s="116"/>
      <c r="CL55" s="2"/>
    </row>
    <row r="56" s="2" customFormat="1" ht="37.5" customHeight="1">
      <c r="AR56" s="2">
        <v>36</v>
      </c>
      <c r="AS56" s="5"/>
      <c r="AT56" s="117">
        <v>1150</v>
      </c>
      <c r="AU56" s="118">
        <v>1168.4000000000001</v>
      </c>
      <c r="AV56" s="98"/>
      <c r="AW56" s="119"/>
      <c r="AX56" s="119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120"/>
      <c r="BV56" s="97"/>
      <c r="BW56" s="97"/>
      <c r="BX56" s="97"/>
      <c r="BY56" s="97"/>
      <c r="BZ56" s="97"/>
      <c r="CA56" s="97"/>
      <c r="CB56" s="97"/>
      <c r="CC56" s="98" t="s">
        <v>103</v>
      </c>
      <c r="CD56" s="119">
        <v>0.375</v>
      </c>
      <c r="CE56" s="119">
        <v>45.25</v>
      </c>
      <c r="CF56" s="98" t="s">
        <v>104</v>
      </c>
      <c r="CG56" s="119">
        <v>0.5</v>
      </c>
      <c r="CH56" s="119">
        <v>45</v>
      </c>
      <c r="CI56" s="97"/>
      <c r="CJ56" s="97"/>
      <c r="CK56" s="101"/>
    </row>
    <row r="57" s="2" customFormat="1" ht="36" customHeight="1">
      <c r="AR57" s="96">
        <v>37</v>
      </c>
      <c r="AS57" s="5"/>
      <c r="AT57" s="151">
        <v>1200</v>
      </c>
      <c r="AU57" s="152">
        <v>1219.2</v>
      </c>
      <c r="AV57" s="153"/>
      <c r="AW57" s="154"/>
      <c r="AX57" s="154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3" t="s">
        <v>103</v>
      </c>
      <c r="CD57" s="154">
        <v>0.375</v>
      </c>
      <c r="CE57" s="154">
        <v>47.25</v>
      </c>
      <c r="CF57" s="153" t="s">
        <v>104</v>
      </c>
      <c r="CG57" s="154">
        <v>0.5</v>
      </c>
      <c r="CH57" s="154">
        <v>47</v>
      </c>
      <c r="CI57" s="155"/>
      <c r="CJ57" s="155"/>
      <c r="CK57" s="156"/>
    </row>
    <row r="58" s="2" customFormat="1">
      <c r="AR58" s="1"/>
      <c r="AS58" s="1"/>
      <c r="AT58" s="1"/>
      <c r="AU58" s="1"/>
      <c r="AV58" s="1"/>
      <c r="AW58" s="1"/>
      <c r="AX58" s="1"/>
    </row>
    <row r="59" s="2" customFormat="1">
      <c r="AR59" s="1"/>
      <c r="AS59" s="1"/>
      <c r="AT59" s="1"/>
      <c r="AU59" s="1"/>
      <c r="AV59" s="1"/>
      <c r="AW59" s="1"/>
      <c r="AX59" s="1"/>
    </row>
    <row r="60" s="2" customFormat="1">
      <c r="AR60" s="1"/>
      <c r="AS60" s="1"/>
      <c r="AT60" s="1"/>
      <c r="AU60" s="1"/>
      <c r="AV60" s="1"/>
      <c r="AW60" s="1"/>
      <c r="AX60" s="1"/>
    </row>
    <row r="61" s="2" customFormat="1">
      <c r="AR61" s="1"/>
      <c r="AS61" s="1"/>
      <c r="AT61" s="1"/>
      <c r="AU61" s="1"/>
      <c r="AV61" s="1"/>
      <c r="AW61" s="1"/>
      <c r="AX61" s="1"/>
    </row>
    <row r="62" s="2" customFormat="1" ht="15.5">
      <c r="AR62" s="1"/>
      <c r="AS62" s="1"/>
      <c r="AT62" s="1"/>
      <c r="AU62" s="1"/>
      <c r="AV62" s="1"/>
      <c r="AW62" s="97">
        <v>1</v>
      </c>
      <c r="AX62" s="97" t="s">
        <v>108</v>
      </c>
      <c r="AY62" s="157" t="s">
        <v>128</v>
      </c>
    </row>
    <row r="63" s="2" customFormat="1" ht="15.5">
      <c r="AR63" s="1"/>
      <c r="AS63" s="1"/>
      <c r="AT63" s="1"/>
      <c r="AU63" s="1"/>
      <c r="AV63" s="1"/>
      <c r="AW63" s="97">
        <v>2</v>
      </c>
      <c r="AX63" s="97" t="s">
        <v>94</v>
      </c>
      <c r="AY63" s="157">
        <v>5</v>
      </c>
    </row>
    <row r="64" s="2" customFormat="1" ht="15.5">
      <c r="AR64" s="1"/>
      <c r="AS64" s="1"/>
      <c r="AT64" s="1"/>
      <c r="AU64" s="1"/>
      <c r="AV64" s="1"/>
      <c r="AW64" s="97">
        <v>3</v>
      </c>
      <c r="AX64" s="97" t="s">
        <v>95</v>
      </c>
      <c r="AY64" s="157">
        <v>10</v>
      </c>
    </row>
    <row r="65" s="2" customFormat="1" ht="15.5">
      <c r="AR65" s="1"/>
      <c r="AS65" s="1"/>
      <c r="AT65" s="1"/>
      <c r="AU65" s="1"/>
      <c r="AV65" s="1"/>
      <c r="AW65" s="97">
        <v>4</v>
      </c>
      <c r="AX65" s="97" t="s">
        <v>96</v>
      </c>
      <c r="AY65" s="157">
        <v>20</v>
      </c>
    </row>
    <row r="66" s="2" customFormat="1" ht="15.5">
      <c r="AR66" s="1"/>
      <c r="AS66" s="1"/>
      <c r="AT66" s="1"/>
      <c r="AU66" s="1"/>
      <c r="AV66" s="1"/>
      <c r="AW66" s="97">
        <v>5</v>
      </c>
      <c r="AX66" s="97" t="s">
        <v>97</v>
      </c>
      <c r="AY66" s="157">
        <v>30</v>
      </c>
    </row>
    <row r="67" s="2" customFormat="1" ht="15.5">
      <c r="AR67" s="1"/>
      <c r="AS67" s="1"/>
      <c r="AT67" s="1"/>
      <c r="AU67" s="1"/>
      <c r="AV67" s="1"/>
      <c r="AW67" s="97">
        <v>6</v>
      </c>
      <c r="AX67" s="97" t="s">
        <v>88</v>
      </c>
      <c r="AY67" s="157">
        <v>40</v>
      </c>
    </row>
    <row r="68" s="2" customFormat="1" ht="15.5">
      <c r="AR68" s="1"/>
      <c r="AS68" s="1"/>
      <c r="AT68" s="1"/>
      <c r="AU68" s="1"/>
      <c r="AV68" s="1"/>
      <c r="AW68" s="97">
        <v>7</v>
      </c>
      <c r="AX68" s="97" t="s">
        <v>89</v>
      </c>
      <c r="AY68" s="157">
        <v>80</v>
      </c>
    </row>
    <row r="69" s="2" customFormat="1" ht="15.5">
      <c r="AR69" s="1"/>
      <c r="AS69" s="1"/>
      <c r="AT69" s="1"/>
      <c r="AU69" s="1"/>
      <c r="AV69" s="1"/>
      <c r="AW69" s="97">
        <v>8</v>
      </c>
      <c r="AX69" s="97" t="s">
        <v>99</v>
      </c>
      <c r="AY69" s="157">
        <v>100</v>
      </c>
    </row>
    <row r="70" s="2" customFormat="1" ht="15.5">
      <c r="AR70" s="1"/>
      <c r="AS70" s="1"/>
      <c r="AT70" s="1"/>
      <c r="AU70" s="1"/>
      <c r="AV70" s="1"/>
      <c r="AW70" s="97">
        <v>9</v>
      </c>
      <c r="AX70" s="97" t="s">
        <v>100</v>
      </c>
      <c r="AY70" s="157">
        <v>120</v>
      </c>
    </row>
    <row r="71" s="2" customFormat="1" ht="15.5">
      <c r="AR71" s="1"/>
      <c r="AS71" s="1"/>
      <c r="AT71" s="1"/>
      <c r="AU71" s="1"/>
      <c r="AV71" s="1"/>
      <c r="AW71" s="97">
        <v>10</v>
      </c>
      <c r="AX71" s="97" t="s">
        <v>101</v>
      </c>
      <c r="AY71" s="157">
        <v>140</v>
      </c>
    </row>
    <row r="72" s="2" customFormat="1" ht="15.5">
      <c r="AR72" s="1"/>
      <c r="AS72" s="1"/>
      <c r="AT72" s="1"/>
      <c r="AU72" s="1"/>
      <c r="AV72" s="1"/>
      <c r="AW72" s="97">
        <v>11</v>
      </c>
      <c r="AX72" s="97" t="s">
        <v>102</v>
      </c>
      <c r="AY72" s="157">
        <v>160</v>
      </c>
    </row>
    <row r="73" s="2" customFormat="1" ht="15.5">
      <c r="AR73" s="1"/>
      <c r="AS73" s="1"/>
      <c r="AT73" s="1"/>
      <c r="AU73" s="1"/>
      <c r="AV73" s="1"/>
      <c r="AW73" s="97">
        <v>12</v>
      </c>
      <c r="AX73" s="97" t="s">
        <v>87</v>
      </c>
      <c r="AY73" s="157" t="s">
        <v>103</v>
      </c>
    </row>
    <row r="74" s="2" customFormat="1" ht="15.5">
      <c r="AR74" s="1"/>
      <c r="AS74" s="1"/>
      <c r="AT74" s="1"/>
      <c r="AU74" s="1"/>
      <c r="AV74" s="1"/>
      <c r="AW74" s="97">
        <v>13</v>
      </c>
      <c r="AX74" s="97" t="s">
        <v>104</v>
      </c>
      <c r="AY74" s="157" t="s">
        <v>104</v>
      </c>
    </row>
    <row r="75" s="2" customFormat="1" ht="15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R75" s="1"/>
      <c r="AS75" s="1"/>
      <c r="AT75" s="1"/>
      <c r="AU75" s="1"/>
      <c r="AV75" s="1"/>
      <c r="AW75" s="97">
        <v>14</v>
      </c>
      <c r="AX75" s="97" t="s">
        <v>105</v>
      </c>
      <c r="AY75" s="157" t="s">
        <v>105</v>
      </c>
    </row>
    <row r="76" s="2" customForma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R76" s="1"/>
      <c r="AS76" s="1"/>
      <c r="AT76" s="1"/>
      <c r="AU76" s="1"/>
      <c r="AV76" s="1"/>
      <c r="AW76" s="1"/>
      <c r="AX76" s="1"/>
    </row>
    <row r="77" s="2" customForma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R77" s="1"/>
      <c r="AS77" s="1"/>
      <c r="AT77" s="1"/>
      <c r="AU77" s="1"/>
      <c r="AV77" s="1"/>
      <c r="AW77" s="1"/>
      <c r="AX77" s="1"/>
    </row>
    <row r="78" s="2" customForma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</row>
    <row r="79" s="2" customForma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</sheetData>
  <mergeCells count="134">
    <mergeCell ref="B10:AN10"/>
    <mergeCell ref="C12:S12"/>
    <mergeCell ref="C14:S14"/>
    <mergeCell ref="C15:S15"/>
    <mergeCell ref="C16:S16"/>
    <mergeCell ref="AF17:AK17"/>
    <mergeCell ref="T12:Y12"/>
    <mergeCell ref="C11:AN11"/>
    <mergeCell ref="Z12:AE12"/>
    <mergeCell ref="AF12:AK12"/>
    <mergeCell ref="T15:Y15"/>
    <mergeCell ref="Z15:AE15"/>
    <mergeCell ref="AF15:AK15"/>
    <mergeCell ref="T16:Y16"/>
    <mergeCell ref="Z16:AE16"/>
    <mergeCell ref="T29:Y29"/>
    <mergeCell ref="Z29:AE29"/>
    <mergeCell ref="AF29:AK29"/>
    <mergeCell ref="Z24:AE24"/>
    <mergeCell ref="Z25:AE25"/>
    <mergeCell ref="AF24:AK24"/>
    <mergeCell ref="AF25:AK25"/>
    <mergeCell ref="C23:S23"/>
    <mergeCell ref="T23:Y23"/>
    <mergeCell ref="Z23:AE23"/>
    <mergeCell ref="AF23:AK23"/>
    <mergeCell ref="C24:S24"/>
    <mergeCell ref="AF27:AK27"/>
    <mergeCell ref="T22:Y22"/>
    <mergeCell ref="Z22:AE22"/>
    <mergeCell ref="AF22:AK22"/>
    <mergeCell ref="T25:Y25"/>
    <mergeCell ref="T28:Y28"/>
    <mergeCell ref="Z28:AE28"/>
    <mergeCell ref="AF28:AK28"/>
    <mergeCell ref="T24:Y24"/>
    <mergeCell ref="T27:Y27"/>
    <mergeCell ref="Z27:AE27"/>
    <mergeCell ref="B52:AN52"/>
    <mergeCell ref="T14:Y14"/>
    <mergeCell ref="Z14:AE14"/>
    <mergeCell ref="AF14:AK14"/>
    <mergeCell ref="T17:Y17"/>
    <mergeCell ref="Z17:AE17"/>
    <mergeCell ref="T20:Y20"/>
    <mergeCell ref="Z20:AE20"/>
    <mergeCell ref="AF20:AK20"/>
    <mergeCell ref="T21:Y21"/>
    <mergeCell ref="Z21:AE21"/>
    <mergeCell ref="AF21:AK21"/>
    <mergeCell ref="T18:Y18"/>
    <mergeCell ref="Z18:AE18"/>
    <mergeCell ref="AF18:AK18"/>
    <mergeCell ref="T19:Y19"/>
    <mergeCell ref="Z19:AE19"/>
    <mergeCell ref="AF19:AK19"/>
    <mergeCell ref="T26:Y26"/>
    <mergeCell ref="Z26:AE26"/>
    <mergeCell ref="AF26:AK26"/>
    <mergeCell ref="T31:Y31"/>
    <mergeCell ref="Z31:AE31"/>
    <mergeCell ref="AF31:AK31"/>
    <mergeCell ref="X7:AA7"/>
    <mergeCell ref="AB7:AC7"/>
    <mergeCell ref="AD7:AF7"/>
    <mergeCell ref="AG7:AJ7"/>
    <mergeCell ref="AK7:AN7"/>
    <mergeCell ref="C13:AK13"/>
    <mergeCell ref="T8:W8"/>
    <mergeCell ref="X8:AA8"/>
    <mergeCell ref="AB8:AC8"/>
    <mergeCell ref="AD8:AF8"/>
    <mergeCell ref="AG8:AJ8"/>
    <mergeCell ref="AK8:AN8"/>
    <mergeCell ref="B8:C8"/>
    <mergeCell ref="D8:F8"/>
    <mergeCell ref="G8:J8"/>
    <mergeCell ref="B7:C7"/>
    <mergeCell ref="D7:F7"/>
    <mergeCell ref="G7:J7"/>
    <mergeCell ref="K7:N7"/>
    <mergeCell ref="O7:P7"/>
    <mergeCell ref="Q7:S7"/>
    <mergeCell ref="K8:N8"/>
    <mergeCell ref="O8:P8"/>
    <mergeCell ref="Q8:S8"/>
    <mergeCell ref="AF33:AK33"/>
    <mergeCell ref="B1:AN1"/>
    <mergeCell ref="B2:G2"/>
    <mergeCell ref="I2:Z2"/>
    <mergeCell ref="AA2:AD2"/>
    <mergeCell ref="AE2:AN2"/>
    <mergeCell ref="B3:G3"/>
    <mergeCell ref="I3:Z3"/>
    <mergeCell ref="AA3:AD3"/>
    <mergeCell ref="AE3:AN3"/>
    <mergeCell ref="B6:I6"/>
    <mergeCell ref="J6:AC6"/>
    <mergeCell ref="AD6:AF6"/>
    <mergeCell ref="AG6:AI6"/>
    <mergeCell ref="AJ6:AK6"/>
    <mergeCell ref="AL6:AN6"/>
    <mergeCell ref="B4:G4"/>
    <mergeCell ref="I4:Z4"/>
    <mergeCell ref="AA4:AD4"/>
    <mergeCell ref="AE4:AN4"/>
    <mergeCell ref="B5:H5"/>
    <mergeCell ref="I5:AN5"/>
    <mergeCell ref="AF16:AK16"/>
    <mergeCell ref="T7:W7"/>
    <mergeCell ref="C34:S34"/>
    <mergeCell ref="C17:S17"/>
    <mergeCell ref="C18:S18"/>
    <mergeCell ref="C19:S19"/>
    <mergeCell ref="C20:S20"/>
    <mergeCell ref="C21:S21"/>
    <mergeCell ref="C22:S22"/>
    <mergeCell ref="C25:S25"/>
    <mergeCell ref="C26:S26"/>
    <mergeCell ref="C27:S27"/>
    <mergeCell ref="C29:S29"/>
    <mergeCell ref="C28:S28"/>
    <mergeCell ref="C30:AK30"/>
    <mergeCell ref="C31:S31"/>
    <mergeCell ref="C32:S32"/>
    <mergeCell ref="C33:S33"/>
    <mergeCell ref="T34:Y34"/>
    <mergeCell ref="Z34:AE34"/>
    <mergeCell ref="AF34:AK34"/>
    <mergeCell ref="T32:Y32"/>
    <mergeCell ref="Z32:AE32"/>
    <mergeCell ref="AF32:AK32"/>
    <mergeCell ref="T33:Y33"/>
    <mergeCell ref="Z33:AE33"/>
  </mergeCells>
  <printOptions headings="0" gridLines="0"/>
  <pageMargins left="0.78740157480314987" right="0.19685039370078697" top="0.39370078740157494" bottom="0.62" header="0.19685039370078697" footer="0.19685039370078697"/>
  <pageSetup paperSize="9" scale="88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&amp;L&amp;"Calibri,Regular"&amp;11Copyright 2019, Worley
&amp;F&amp;R&amp;"Calibri,Regular"&amp;11Rev. 0, 01 December 2019</oddFooter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03400F1-00B7-4059-B68A-0067000200A0}">
            <xm:f>$T$20="Manual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T23:Y23</xm:sqref>
        </x14:conditionalFormatting>
        <x14:conditionalFormatting xmlns:xm="http://schemas.microsoft.com/office/excel/2006/main">
          <x14:cfRule type="expression" priority="7" id="{00760041-00C1-47AC-A443-00D4007A00C4}">
            <xm:f>$T$20="Manual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T24:Y24</xm:sqref>
        </x14:conditionalFormatting>
        <x14:conditionalFormatting xmlns:xm="http://schemas.microsoft.com/office/excel/2006/main">
          <x14:cfRule type="expression" priority="6" id="{006F0016-007B-4F27-A341-00D700DC00E6}">
            <xm:f>$Z$20="Manual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Z23:AE24</xm:sqref>
        </x14:conditionalFormatting>
        <x14:conditionalFormatting xmlns:xm="http://schemas.microsoft.com/office/excel/2006/main">
          <x14:cfRule type="expression" priority="4" id="{00810079-00B7-4AAD-810B-001600710019}">
            <xm:f>$AF$20="Manual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AF23:AK24</xm:sqref>
        </x14:conditionalFormatting>
        <x14:conditionalFormatting xmlns:xm="http://schemas.microsoft.com/office/excel/2006/main">
          <x14:cfRule type="expression" priority="3" id="{00240017-00BB-44A7-9900-009E00B400B2}">
            <xm:f>$T$20="Manual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T21:Y22</xm:sqref>
        </x14:conditionalFormatting>
        <x14:conditionalFormatting xmlns:xm="http://schemas.microsoft.com/office/excel/2006/main">
          <x14:cfRule type="expression" priority="2" id="{006300C3-00C2-4481-ACD2-005E00D600CD}">
            <xm:f>$Z$20="Manual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Z21:AE22</xm:sqref>
        </x14:conditionalFormatting>
        <x14:conditionalFormatting xmlns:xm="http://schemas.microsoft.com/office/excel/2006/main">
          <x14:cfRule type="expression" priority="1" id="{005C00F2-0079-452D-8D05-00A9003A00C9}">
            <xm:f>$AF$20="Manual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AF21:AK22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1">
        <x14:dataValidation xr:uid="{00C4003E-0082-4B9E-9170-00B800FA00C8}" type="list" allowBlank="1" errorStyle="stop" imeMode="noControl" operator="between" showDropDown="0" showErrorMessage="1" showInputMessage="1">
          <x14:formula1>
            <xm:f>$AP$32:$AP$36</xm:f>
          </x14:formula1>
          <xm:sqref>T27:AK27</xm:sqref>
        </x14:dataValidation>
        <x14:dataValidation xr:uid="{006100E4-00F3-4D4E-A1C4-002600600030}" type="list" allowBlank="1" errorStyle="stop" imeMode="noControl" operator="between" showDropDown="0" showErrorMessage="1" showInputMessage="1">
          <x14:formula1>
            <xm:f>$AX$62:$AX$75</xm:f>
          </x14:formula1>
          <xm:sqref>T20:AK20</xm:sqref>
        </x14:dataValidation>
        <x14:dataValidation xr:uid="{008F0045-00D8-46B9-8DFF-0072006E002D}" type="list" allowBlank="1" errorStyle="stop" imeMode="noControl" operator="between" showDropDown="0" showErrorMessage="1" showInputMessage="1">
          <x14:formula1>
            <xm:f>$AT$25:$AT$57</xm:f>
          </x14:formula1>
          <xm:sqref>T19:AK19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70C0"/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9.1796875" defaultRowHeight="12.5"/>
  <cols>
    <col customWidth="1" min="1" max="1" style="1" width="0.7265625"/>
    <col customWidth="1" min="2" max="15" style="1" width="2.54296875"/>
    <col customWidth="1" min="16" max="18" style="1" width="2.81640625"/>
    <col customWidth="1" min="19" max="19" style="1" width="3.1796875"/>
    <col customWidth="1" min="20" max="39" style="1" width="2.54296875"/>
    <col customWidth="1" min="40" max="40" style="2" width="2.54296875"/>
    <col customWidth="1" hidden="1" min="41" max="41" style="2" width="21.26953125"/>
    <col customWidth="1" hidden="1" min="42" max="43" style="2" width="0"/>
    <col customWidth="1" hidden="1" min="44" max="89" style="1" width="0"/>
    <col min="90" max="16384" style="1" width="9.1796875"/>
  </cols>
  <sheetData>
    <row r="1" s="0" customFormat="1" ht="60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4"/>
      <c r="AQ1" s="4"/>
    </row>
    <row r="2" s="5" customFormat="1" ht="15" customHeight="1">
      <c r="B2" s="6" t="s">
        <v>1</v>
      </c>
      <c r="C2" s="7"/>
      <c r="D2" s="7"/>
      <c r="E2" s="7"/>
      <c r="F2" s="7"/>
      <c r="G2" s="7"/>
      <c r="H2" s="7"/>
      <c r="I2" s="8" t="e">
        <f>customer</f>
        <v>#REF!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 t="e">
        <f>#REF!</f>
        <v>#REF!</v>
      </c>
      <c r="AB2" s="9"/>
      <c r="AC2" s="9"/>
      <c r="AD2" s="9"/>
      <c r="AE2" s="10" t="e">
        <f>Proj_No</f>
        <v>#REF!</v>
      </c>
      <c r="AF2" s="10"/>
      <c r="AG2" s="10"/>
      <c r="AH2" s="10"/>
      <c r="AI2" s="10"/>
      <c r="AJ2" s="10"/>
      <c r="AK2" s="10"/>
      <c r="AL2" s="10"/>
      <c r="AM2" s="10"/>
      <c r="AN2" s="11"/>
      <c r="AO2" s="12"/>
      <c r="AP2" s="13"/>
      <c r="AQ2" s="13"/>
    </row>
    <row r="3" s="5" customFormat="1" ht="15" customHeight="1">
      <c r="B3" s="14" t="s">
        <v>2</v>
      </c>
      <c r="C3" s="15"/>
      <c r="D3" s="15"/>
      <c r="E3" s="15"/>
      <c r="F3" s="15"/>
      <c r="G3" s="15"/>
      <c r="H3" s="15"/>
      <c r="I3" s="16" t="e">
        <f>proj_title</f>
        <v>#REF!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 t="e">
        <f>#REF!</f>
        <v>#REF!</v>
      </c>
      <c r="AB3" s="17"/>
      <c r="AC3" s="17"/>
      <c r="AD3" s="17"/>
      <c r="AE3" s="18" t="e">
        <f>Calc_No</f>
        <v>#REF!</v>
      </c>
      <c r="AF3" s="18"/>
      <c r="AG3" s="18"/>
      <c r="AH3" s="18"/>
      <c r="AI3" s="18"/>
      <c r="AJ3" s="18"/>
      <c r="AK3" s="18"/>
      <c r="AL3" s="18"/>
      <c r="AM3" s="18"/>
      <c r="AN3" s="19"/>
      <c r="AO3" s="12"/>
      <c r="AP3" s="13"/>
      <c r="AQ3" s="13"/>
    </row>
    <row r="4" s="5" customFormat="1" ht="15" customHeight="1">
      <c r="B4" s="20" t="s">
        <v>3</v>
      </c>
      <c r="C4" s="17"/>
      <c r="D4" s="17"/>
      <c r="E4" s="17"/>
      <c r="F4" s="17"/>
      <c r="G4" s="17"/>
      <c r="H4" s="15"/>
      <c r="I4" s="21" t="e">
        <f>calc_title</f>
        <v>#REF!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17" t="s">
        <v>4</v>
      </c>
      <c r="AB4" s="17"/>
      <c r="AC4" s="17"/>
      <c r="AD4" s="17"/>
      <c r="AE4" s="18" t="e">
        <f>Phase_CTR</f>
        <v>#REF!</v>
      </c>
      <c r="AF4" s="18"/>
      <c r="AG4" s="18"/>
      <c r="AH4" s="18"/>
      <c r="AI4" s="18"/>
      <c r="AJ4" s="18"/>
      <c r="AK4" s="18"/>
      <c r="AL4" s="18"/>
      <c r="AM4" s="18"/>
      <c r="AN4" s="19"/>
      <c r="AO4" s="12"/>
      <c r="AP4" s="13"/>
      <c r="AQ4" s="13"/>
    </row>
    <row r="5" s="5" customFormat="1" ht="22.5" customHeight="1">
      <c r="B5" s="20" t="s">
        <v>5</v>
      </c>
      <c r="C5" s="17"/>
      <c r="D5" s="17"/>
      <c r="E5" s="17"/>
      <c r="F5" s="17"/>
      <c r="G5" s="17"/>
      <c r="H5" s="17"/>
      <c r="I5" s="22" t="e">
        <f ca="1">elec_file</f>
        <v>#REF!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3"/>
      <c r="AO5" s="13"/>
      <c r="AP5" s="13"/>
      <c r="AQ5" s="13"/>
    </row>
    <row r="6" s="24" customFormat="1" ht="15" customHeight="1">
      <c r="B6" s="25"/>
      <c r="C6" s="26"/>
      <c r="D6" s="26"/>
      <c r="E6" s="26"/>
      <c r="F6" s="26"/>
      <c r="G6" s="26"/>
      <c r="H6" s="26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8" t="s">
        <v>6</v>
      </c>
      <c r="AE6" s="28"/>
      <c r="AF6" s="28"/>
      <c r="AG6" s="29">
        <v>1</v>
      </c>
      <c r="AH6" s="29"/>
      <c r="AI6" s="29"/>
      <c r="AJ6" s="28" t="s">
        <v>7</v>
      </c>
      <c r="AK6" s="28"/>
      <c r="AL6" s="30" t="e">
        <f>#REF!</f>
        <v>#REF!</v>
      </c>
      <c r="AM6" s="30"/>
      <c r="AN6" s="31"/>
      <c r="AO6" s="32"/>
      <c r="AP6" s="32"/>
      <c r="AQ6" s="32"/>
    </row>
    <row r="7" s="0" customFormat="1" ht="15" customHeight="1">
      <c r="B7" s="33" t="s">
        <v>8</v>
      </c>
      <c r="C7" s="34"/>
      <c r="D7" s="33" t="s">
        <v>9</v>
      </c>
      <c r="E7" s="35"/>
      <c r="F7" s="35"/>
      <c r="G7" s="33" t="s">
        <v>10</v>
      </c>
      <c r="H7" s="35"/>
      <c r="I7" s="35"/>
      <c r="J7" s="34"/>
      <c r="K7" s="33" t="s">
        <v>11</v>
      </c>
      <c r="L7" s="35"/>
      <c r="M7" s="35"/>
      <c r="N7" s="36"/>
      <c r="O7" s="35" t="s">
        <v>8</v>
      </c>
      <c r="P7" s="34"/>
      <c r="Q7" s="33" t="s">
        <v>9</v>
      </c>
      <c r="R7" s="35"/>
      <c r="S7" s="35"/>
      <c r="T7" s="33" t="s">
        <v>10</v>
      </c>
      <c r="U7" s="35"/>
      <c r="V7" s="35"/>
      <c r="W7" s="34"/>
      <c r="X7" s="33" t="s">
        <v>11</v>
      </c>
      <c r="Y7" s="35"/>
      <c r="Z7" s="35"/>
      <c r="AA7" s="36"/>
      <c r="AB7" s="35" t="s">
        <v>8</v>
      </c>
      <c r="AC7" s="34"/>
      <c r="AD7" s="33" t="s">
        <v>9</v>
      </c>
      <c r="AE7" s="35"/>
      <c r="AF7" s="35"/>
      <c r="AG7" s="33" t="s">
        <v>10</v>
      </c>
      <c r="AH7" s="35"/>
      <c r="AI7" s="35"/>
      <c r="AJ7" s="34"/>
      <c r="AK7" s="33" t="s">
        <v>11</v>
      </c>
      <c r="AL7" s="35"/>
      <c r="AM7" s="35"/>
      <c r="AN7" s="34"/>
      <c r="AO7" s="4"/>
      <c r="AP7" s="4"/>
      <c r="AQ7" s="4"/>
    </row>
    <row r="8" s="37" customFormat="1" ht="15" customHeight="1">
      <c r="A8" s="37" t="s">
        <v>12</v>
      </c>
      <c r="B8" s="38" t="e">
        <f>_rev1</f>
        <v>#REF!</v>
      </c>
      <c r="C8" s="39"/>
      <c r="D8" s="40" t="e">
        <f>date1</f>
        <v>#REF!</v>
      </c>
      <c r="E8" s="41"/>
      <c r="F8" s="41"/>
      <c r="G8" s="42" t="e">
        <f>orig1</f>
        <v>#REF!</v>
      </c>
      <c r="H8" s="43"/>
      <c r="I8" s="43"/>
      <c r="J8" s="44"/>
      <c r="K8" s="38" t="e">
        <f>_chk1</f>
        <v>#REF!</v>
      </c>
      <c r="L8" s="45"/>
      <c r="M8" s="45"/>
      <c r="N8" s="46"/>
      <c r="O8" s="45" t="e">
        <f>_rev2</f>
        <v>#REF!</v>
      </c>
      <c r="P8" s="39"/>
      <c r="Q8" s="40" t="e">
        <f>date2</f>
        <v>#REF!</v>
      </c>
      <c r="R8" s="41"/>
      <c r="S8" s="41"/>
      <c r="T8" s="42" t="e">
        <f>orig2</f>
        <v>#REF!</v>
      </c>
      <c r="U8" s="43"/>
      <c r="V8" s="43"/>
      <c r="W8" s="44"/>
      <c r="X8" s="38" t="e">
        <f>_chk2</f>
        <v>#REF!</v>
      </c>
      <c r="Y8" s="45"/>
      <c r="Z8" s="45"/>
      <c r="AA8" s="46"/>
      <c r="AB8" s="45" t="e">
        <f>_rev3</f>
        <v>#REF!</v>
      </c>
      <c r="AC8" s="39"/>
      <c r="AD8" s="40" t="e">
        <f>date3</f>
        <v>#REF!</v>
      </c>
      <c r="AE8" s="41"/>
      <c r="AF8" s="41"/>
      <c r="AG8" s="42" t="e">
        <f>orig3</f>
        <v>#REF!</v>
      </c>
      <c r="AH8" s="43"/>
      <c r="AI8" s="43"/>
      <c r="AJ8" s="44"/>
      <c r="AK8" s="38" t="e">
        <f>_chk3</f>
        <v>#REF!</v>
      </c>
      <c r="AL8" s="45"/>
      <c r="AM8" s="45"/>
      <c r="AN8" s="39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</row>
    <row r="9" ht="14.9" customHeight="1">
      <c r="B9" s="59" t="s">
        <v>129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60"/>
      <c r="AO9" s="13"/>
      <c r="AP9" s="13"/>
      <c r="AQ9" s="13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</row>
    <row r="10" ht="14.9" customHeight="1">
      <c r="B10" s="50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52"/>
      <c r="AM10" s="52"/>
      <c r="AN10" s="54"/>
      <c r="AO10" s="13"/>
      <c r="AP10" s="13"/>
      <c r="AQ10" s="13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</row>
    <row r="11" ht="14.9" customHeight="1">
      <c r="B11" s="50"/>
      <c r="C11" s="159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1"/>
      <c r="T11" s="162" t="s">
        <v>130</v>
      </c>
      <c r="U11" s="163"/>
      <c r="V11" s="163"/>
      <c r="W11" s="163"/>
      <c r="X11" s="163"/>
      <c r="Y11" s="164"/>
      <c r="Z11" s="162" t="s">
        <v>131</v>
      </c>
      <c r="AA11" s="163"/>
      <c r="AB11" s="163"/>
      <c r="AC11" s="163"/>
      <c r="AD11" s="163"/>
      <c r="AE11" s="164"/>
      <c r="AF11" s="162" t="s">
        <v>132</v>
      </c>
      <c r="AG11" s="163"/>
      <c r="AH11" s="163"/>
      <c r="AI11" s="163"/>
      <c r="AJ11" s="163"/>
      <c r="AK11" s="164"/>
      <c r="AL11" s="52"/>
      <c r="AM11" s="52"/>
      <c r="AN11" s="54"/>
      <c r="AO11" s="13"/>
      <c r="AP11" s="13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</row>
    <row r="12" ht="14.9" customHeight="1">
      <c r="B12" s="165"/>
      <c r="C12" s="166" t="s">
        <v>133</v>
      </c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8"/>
      <c r="AL12" s="52"/>
      <c r="AM12" s="52"/>
      <c r="AN12" s="54"/>
      <c r="AO12" s="13"/>
      <c r="AP12" s="13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</row>
    <row r="13" ht="14.9" customHeight="1">
      <c r="B13" s="50"/>
      <c r="C13" s="72" t="s">
        <v>79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137"/>
      <c r="T13" s="169" t="s">
        <v>80</v>
      </c>
      <c r="U13" s="76"/>
      <c r="V13" s="76"/>
      <c r="W13" s="76"/>
      <c r="X13" s="76"/>
      <c r="Y13" s="76"/>
      <c r="Z13" s="170" t="s">
        <v>80</v>
      </c>
      <c r="AA13" s="76"/>
      <c r="AB13" s="76"/>
      <c r="AC13" s="76"/>
      <c r="AD13" s="76"/>
      <c r="AE13" s="76"/>
      <c r="AF13" s="170" t="s">
        <v>80</v>
      </c>
      <c r="AG13" s="76"/>
      <c r="AH13" s="76"/>
      <c r="AI13" s="76"/>
      <c r="AJ13" s="76"/>
      <c r="AK13" s="77"/>
      <c r="AL13" s="52"/>
      <c r="AM13" s="52"/>
      <c r="AN13" s="54"/>
      <c r="AO13" s="13"/>
      <c r="AP13" s="13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</row>
    <row r="14" ht="14.9" customHeight="1">
      <c r="B14" s="50"/>
      <c r="C14" s="78" t="s">
        <v>134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142"/>
      <c r="T14" s="171">
        <v>1064.4000000000001</v>
      </c>
      <c r="U14" s="172"/>
      <c r="V14" s="172"/>
      <c r="W14" s="172"/>
      <c r="X14" s="172"/>
      <c r="Y14" s="172"/>
      <c r="Z14" s="172">
        <v>1064.4000000000001</v>
      </c>
      <c r="AA14" s="172"/>
      <c r="AB14" s="172"/>
      <c r="AC14" s="172"/>
      <c r="AD14" s="172"/>
      <c r="AE14" s="172"/>
      <c r="AF14" s="172">
        <v>1064.4000000000001</v>
      </c>
      <c r="AG14" s="172"/>
      <c r="AH14" s="172"/>
      <c r="AI14" s="172"/>
      <c r="AJ14" s="172"/>
      <c r="AK14" s="173"/>
      <c r="AL14" s="52"/>
      <c r="AM14" s="52"/>
      <c r="AN14" s="54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</row>
    <row r="15" ht="14.9" customHeight="1">
      <c r="B15" s="50"/>
      <c r="C15" s="78" t="s">
        <v>135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142"/>
      <c r="T15" s="174">
        <v>102.63</v>
      </c>
      <c r="U15" s="82"/>
      <c r="V15" s="82"/>
      <c r="W15" s="82"/>
      <c r="X15" s="82"/>
      <c r="Y15" s="82"/>
      <c r="Z15" s="82">
        <v>102.63</v>
      </c>
      <c r="AA15" s="82"/>
      <c r="AB15" s="82"/>
      <c r="AC15" s="82"/>
      <c r="AD15" s="82"/>
      <c r="AE15" s="82"/>
      <c r="AF15" s="82">
        <v>102.63</v>
      </c>
      <c r="AG15" s="82"/>
      <c r="AH15" s="82"/>
      <c r="AI15" s="82"/>
      <c r="AJ15" s="82"/>
      <c r="AK15" s="83"/>
      <c r="AL15" s="52"/>
      <c r="AM15" s="52"/>
      <c r="AN15" s="54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</row>
    <row r="16" ht="14.9" customHeight="1">
      <c r="B16" s="50"/>
      <c r="C16" s="78" t="s">
        <v>85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142"/>
      <c r="T16" s="175">
        <v>200</v>
      </c>
      <c r="U16" s="88"/>
      <c r="V16" s="88"/>
      <c r="W16" s="88"/>
      <c r="X16" s="88"/>
      <c r="Y16" s="88"/>
      <c r="Z16" s="88">
        <v>200</v>
      </c>
      <c r="AA16" s="88"/>
      <c r="AB16" s="88"/>
      <c r="AC16" s="88"/>
      <c r="AD16" s="88"/>
      <c r="AE16" s="88"/>
      <c r="AF16" s="88">
        <v>200</v>
      </c>
      <c r="AG16" s="88"/>
      <c r="AH16" s="88"/>
      <c r="AI16" s="88"/>
      <c r="AJ16" s="88"/>
      <c r="AK16" s="89"/>
      <c r="AL16" s="52"/>
      <c r="AM16" s="52"/>
      <c r="AN16" s="54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</row>
    <row r="17" ht="14.9" customHeight="1">
      <c r="B17" s="50"/>
      <c r="C17" s="78" t="s">
        <v>86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142"/>
      <c r="T17" s="175" t="s">
        <v>96</v>
      </c>
      <c r="U17" s="88"/>
      <c r="V17" s="88"/>
      <c r="W17" s="88"/>
      <c r="X17" s="88"/>
      <c r="Y17" s="88"/>
      <c r="Z17" s="88" t="s">
        <v>101</v>
      </c>
      <c r="AA17" s="88"/>
      <c r="AB17" s="88"/>
      <c r="AC17" s="88"/>
      <c r="AD17" s="88"/>
      <c r="AE17" s="88"/>
      <c r="AF17" s="88" t="s">
        <v>101</v>
      </c>
      <c r="AG17" s="88"/>
      <c r="AH17" s="88"/>
      <c r="AI17" s="88"/>
      <c r="AJ17" s="88"/>
      <c r="AK17" s="89"/>
      <c r="AL17" s="52"/>
      <c r="AM17" s="52"/>
      <c r="AN17" s="54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</row>
    <row r="18" ht="14.9" customHeight="1">
      <c r="B18" s="50"/>
      <c r="C18" s="78" t="s">
        <v>136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142"/>
      <c r="T18" s="176">
        <f>IF(T17="Manual Input","-",INDEX($AT$24:$AU$57,MATCH(T16,$AT$24:$AT$57,0),2))</f>
        <v>219.09999999999999</v>
      </c>
      <c r="U18" s="91"/>
      <c r="V18" s="91"/>
      <c r="W18" s="91"/>
      <c r="X18" s="91"/>
      <c r="Y18" s="91"/>
      <c r="Z18" s="176">
        <f>IF(Z17="Manual Input","-",INDEX($AT$24:$AU$57,MATCH(Z16,$AT$24:$AT$57,0),2))</f>
        <v>219.09999999999999</v>
      </c>
      <c r="AA18" s="91"/>
      <c r="AB18" s="91"/>
      <c r="AC18" s="91"/>
      <c r="AD18" s="91"/>
      <c r="AE18" s="91"/>
      <c r="AF18" s="176">
        <f>IF(AF17="Manual Input","-",INDEX($AT$24:$AU$57,MATCH(AF16,$AT$24:$AT$57,0),2))</f>
        <v>219.09999999999999</v>
      </c>
      <c r="AG18" s="91"/>
      <c r="AH18" s="91"/>
      <c r="AI18" s="91"/>
      <c r="AJ18" s="91"/>
      <c r="AK18" s="92"/>
      <c r="AL18" s="52"/>
      <c r="AM18" s="52"/>
      <c r="AN18" s="54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</row>
    <row r="19" ht="14.9" customHeight="1">
      <c r="B19" s="50"/>
      <c r="C19" s="78" t="s">
        <v>91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142"/>
      <c r="T19" s="177">
        <f>IF(T17="Manual Input","-",((INDEX($AV$24:$CK$57, MATCH(T16, $AT$24:$AT$57,0), MATCH(T17,$AV$21:$CK$21, 0)+1))*25.4))</f>
        <v>6.3499999999999996</v>
      </c>
      <c r="U19" s="94"/>
      <c r="V19" s="94"/>
      <c r="W19" s="94"/>
      <c r="X19" s="94"/>
      <c r="Y19" s="94"/>
      <c r="Z19" s="177">
        <f>IF(Z17="Manual Input","-",((INDEX($AV$24:$CK$57, MATCH(Z16, $AT$24:$AT$57,0), MATCH(Z17,$AV$21:$CK$21, 0)+1))*25.4))</f>
        <v>20.6248</v>
      </c>
      <c r="AA19" s="94"/>
      <c r="AB19" s="94"/>
      <c r="AC19" s="94"/>
      <c r="AD19" s="94"/>
      <c r="AE19" s="94"/>
      <c r="AF19" s="177">
        <f>IF(AF17="Manual Input","-",((INDEX($AV$24:$CK$57, MATCH(AF16, $AT$24:$AT$57,0), MATCH(AF17,$AV$21:$CK$21, 0)+1))*25.4))</f>
        <v>20.6248</v>
      </c>
      <c r="AG19" s="94"/>
      <c r="AH19" s="94"/>
      <c r="AI19" s="94"/>
      <c r="AJ19" s="94"/>
      <c r="AK19" s="95"/>
      <c r="AL19" s="52"/>
      <c r="AM19" s="52"/>
      <c r="AN19" s="54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</row>
    <row r="20" ht="14.9" customHeight="1">
      <c r="B20" s="50"/>
      <c r="C20" s="102" t="s">
        <v>106</v>
      </c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78"/>
      <c r="T20" s="104"/>
      <c r="U20" s="105"/>
      <c r="V20" s="105"/>
      <c r="W20" s="105"/>
      <c r="X20" s="105"/>
      <c r="Y20" s="179"/>
      <c r="Z20" s="105"/>
      <c r="AA20" s="105"/>
      <c r="AB20" s="105"/>
      <c r="AC20" s="105"/>
      <c r="AD20" s="105"/>
      <c r="AE20" s="105"/>
      <c r="AF20" s="180"/>
      <c r="AG20" s="105"/>
      <c r="AH20" s="105"/>
      <c r="AI20" s="105"/>
      <c r="AJ20" s="105"/>
      <c r="AK20" s="106"/>
      <c r="AL20" s="52"/>
      <c r="AM20" s="52"/>
      <c r="AN20" s="54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</row>
    <row r="21" ht="14.9" customHeight="1">
      <c r="A21" s="57"/>
      <c r="B21" s="50"/>
      <c r="C21" s="102" t="s">
        <v>107</v>
      </c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78"/>
      <c r="T21" s="107"/>
      <c r="U21" s="108"/>
      <c r="V21" s="108"/>
      <c r="W21" s="108"/>
      <c r="X21" s="108"/>
      <c r="Y21" s="181"/>
      <c r="Z21" s="108"/>
      <c r="AA21" s="108"/>
      <c r="AB21" s="108"/>
      <c r="AC21" s="108"/>
      <c r="AD21" s="108"/>
      <c r="AE21" s="108"/>
      <c r="AF21" s="182"/>
      <c r="AG21" s="108"/>
      <c r="AH21" s="108"/>
      <c r="AI21" s="108"/>
      <c r="AJ21" s="108"/>
      <c r="AK21" s="109"/>
      <c r="AL21" s="52"/>
      <c r="AM21" s="52"/>
      <c r="AN21" s="54"/>
      <c r="AR21" s="32"/>
      <c r="AS21" s="32"/>
      <c r="AT21" s="97" t="s">
        <v>93</v>
      </c>
      <c r="AU21" s="97"/>
      <c r="AV21" s="98" t="s">
        <v>94</v>
      </c>
      <c r="AW21" s="97"/>
      <c r="AX21" s="97"/>
      <c r="AY21" s="98" t="s">
        <v>95</v>
      </c>
      <c r="AZ21" s="97"/>
      <c r="BA21" s="97"/>
      <c r="BB21" s="99" t="s">
        <v>96</v>
      </c>
      <c r="BC21" s="97"/>
      <c r="BD21" s="97"/>
      <c r="BE21" s="99" t="s">
        <v>97</v>
      </c>
      <c r="BF21" s="97"/>
      <c r="BG21" s="97"/>
      <c r="BH21" s="98" t="s">
        <v>88</v>
      </c>
      <c r="BI21" s="97"/>
      <c r="BJ21" s="97"/>
      <c r="BK21" s="100" t="s">
        <v>98</v>
      </c>
      <c r="BL21" s="97"/>
      <c r="BM21" s="97"/>
      <c r="BN21" s="98" t="s">
        <v>89</v>
      </c>
      <c r="BO21" s="97"/>
      <c r="BP21" s="97"/>
      <c r="BQ21" s="99" t="s">
        <v>99</v>
      </c>
      <c r="BR21" s="97"/>
      <c r="BS21" s="97"/>
      <c r="BT21" s="99" t="s">
        <v>100</v>
      </c>
      <c r="BU21" s="97"/>
      <c r="BV21" s="97"/>
      <c r="BW21" s="99" t="s">
        <v>101</v>
      </c>
      <c r="BX21" s="97"/>
      <c r="BY21" s="97"/>
      <c r="BZ21" s="99" t="s">
        <v>102</v>
      </c>
      <c r="CA21" s="97"/>
      <c r="CB21" s="97"/>
      <c r="CC21" s="98" t="s">
        <v>103</v>
      </c>
      <c r="CD21" s="97"/>
      <c r="CE21" s="97"/>
      <c r="CF21" s="98" t="s">
        <v>104</v>
      </c>
      <c r="CG21" s="97"/>
      <c r="CH21" s="97"/>
      <c r="CI21" s="98" t="s">
        <v>105</v>
      </c>
      <c r="CJ21" s="97"/>
      <c r="CK21" s="101"/>
      <c r="CL21" s="32"/>
    </row>
    <row r="22" ht="14.9" customHeight="1">
      <c r="B22" s="50"/>
      <c r="C22" s="78" t="s">
        <v>113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142"/>
      <c r="T22" s="177">
        <f>IF(T17="Manual Input",(T20-(2*T21)),(T18-(2*T19)))</f>
        <v>206.40000000000001</v>
      </c>
      <c r="U22" s="94"/>
      <c r="V22" s="94"/>
      <c r="W22" s="94"/>
      <c r="X22" s="94"/>
      <c r="Y22" s="94"/>
      <c r="Z22" s="177">
        <f>IF(Z17="Manual Input",(Z20-(2*Z21)),(Z18-(2*Z19)))</f>
        <v>177.85039999999998</v>
      </c>
      <c r="AA22" s="94"/>
      <c r="AB22" s="94"/>
      <c r="AC22" s="94"/>
      <c r="AD22" s="94"/>
      <c r="AE22" s="94"/>
      <c r="AF22" s="177">
        <f>IF(AF17="Manual Input",(AF20-(2*AF21)),(AF18-(2*AF19)))</f>
        <v>177.85039999999998</v>
      </c>
      <c r="AG22" s="94"/>
      <c r="AH22" s="94"/>
      <c r="AI22" s="94"/>
      <c r="AJ22" s="94"/>
      <c r="AK22" s="95"/>
      <c r="AL22" s="52"/>
      <c r="AM22" s="52"/>
      <c r="AN22" s="54"/>
      <c r="AR22" s="32"/>
      <c r="AS22" s="32"/>
      <c r="AT22" s="97"/>
      <c r="AU22" s="97"/>
      <c r="AV22" s="98"/>
      <c r="AW22" s="97"/>
      <c r="AX22" s="97"/>
      <c r="AY22" s="98"/>
      <c r="AZ22" s="97"/>
      <c r="BA22" s="97"/>
      <c r="BB22" s="99"/>
      <c r="BC22" s="97"/>
      <c r="BD22" s="97"/>
      <c r="BE22" s="99"/>
      <c r="BF22" s="97"/>
      <c r="BG22" s="97"/>
      <c r="BH22" s="98"/>
      <c r="BI22" s="97"/>
      <c r="BJ22" s="97"/>
      <c r="BK22" s="100"/>
      <c r="BL22" s="97"/>
      <c r="BM22" s="97"/>
      <c r="BN22" s="98"/>
      <c r="BO22" s="97"/>
      <c r="BP22" s="97"/>
      <c r="BQ22" s="99"/>
      <c r="BR22" s="97"/>
      <c r="BS22" s="97"/>
      <c r="BT22" s="99"/>
      <c r="BU22" s="97"/>
      <c r="BV22" s="97"/>
      <c r="BW22" s="99"/>
      <c r="BX22" s="97"/>
      <c r="BY22" s="97"/>
      <c r="BZ22" s="99"/>
      <c r="CA22" s="97"/>
      <c r="CB22" s="97"/>
      <c r="CC22" s="98"/>
      <c r="CD22" s="97"/>
      <c r="CE22" s="97"/>
      <c r="CF22" s="98"/>
      <c r="CG22" s="97"/>
      <c r="CH22" s="97"/>
      <c r="CI22" s="98"/>
      <c r="CJ22" s="97"/>
      <c r="CK22" s="101"/>
      <c r="CL22" s="32"/>
    </row>
    <row r="23" ht="14.9" customHeight="1">
      <c r="B23" s="50"/>
      <c r="C23" s="78" t="s">
        <v>114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142"/>
      <c r="T23" s="177">
        <f>(INDEX($AT$22:$BI$67,MATCH(T16,$AT$22:$AT$67,0),16))*25.4</f>
        <v>8.178799999999999</v>
      </c>
      <c r="U23" s="94"/>
      <c r="V23" s="94"/>
      <c r="W23" s="94"/>
      <c r="X23" s="94"/>
      <c r="Y23" s="94"/>
      <c r="Z23" s="94">
        <f>(INDEX($AT$22:$BI$67,MATCH(Z16,$AT$22:$AT$67,0),16))*25.4</f>
        <v>8.178799999999999</v>
      </c>
      <c r="AA23" s="94"/>
      <c r="AB23" s="94"/>
      <c r="AC23" s="94"/>
      <c r="AD23" s="94"/>
      <c r="AE23" s="94"/>
      <c r="AF23" s="94">
        <f>(INDEX($AT$22:$BI$67,MATCH(AF16,$AT$22:$AT$67,0),16))*25.4</f>
        <v>8.178799999999999</v>
      </c>
      <c r="AG23" s="94"/>
      <c r="AH23" s="94"/>
      <c r="AI23" s="94"/>
      <c r="AJ23" s="94"/>
      <c r="AK23" s="95"/>
      <c r="AL23" s="52"/>
      <c r="AM23" s="52"/>
      <c r="AN23" s="54"/>
      <c r="AO23" s="183" t="s">
        <v>137</v>
      </c>
      <c r="AR23" s="32"/>
      <c r="AS23" s="32"/>
      <c r="AT23" s="110" t="s">
        <v>108</v>
      </c>
      <c r="AU23" s="110" t="s">
        <v>109</v>
      </c>
      <c r="AV23" s="111" t="s">
        <v>110</v>
      </c>
      <c r="AW23" s="110" t="s">
        <v>111</v>
      </c>
      <c r="AX23" s="110" t="s">
        <v>112</v>
      </c>
      <c r="AY23" s="111" t="s">
        <v>110</v>
      </c>
      <c r="AZ23" s="110" t="s">
        <v>111</v>
      </c>
      <c r="BA23" s="110" t="s">
        <v>112</v>
      </c>
      <c r="BB23" s="111" t="s">
        <v>110</v>
      </c>
      <c r="BC23" s="110" t="s">
        <v>111</v>
      </c>
      <c r="BD23" s="110" t="s">
        <v>112</v>
      </c>
      <c r="BE23" s="111" t="s">
        <v>110</v>
      </c>
      <c r="BF23" s="110" t="s">
        <v>111</v>
      </c>
      <c r="BG23" s="110" t="s">
        <v>112</v>
      </c>
      <c r="BH23" s="111" t="s">
        <v>110</v>
      </c>
      <c r="BI23" s="110" t="s">
        <v>111</v>
      </c>
      <c r="BJ23" s="110" t="s">
        <v>112</v>
      </c>
      <c r="BK23" s="111" t="s">
        <v>110</v>
      </c>
      <c r="BL23" s="110" t="s">
        <v>111</v>
      </c>
      <c r="BM23" s="110" t="s">
        <v>112</v>
      </c>
      <c r="BN23" s="111" t="s">
        <v>110</v>
      </c>
      <c r="BO23" s="110" t="s">
        <v>111</v>
      </c>
      <c r="BP23" s="110" t="s">
        <v>112</v>
      </c>
      <c r="BQ23" s="111" t="s">
        <v>110</v>
      </c>
      <c r="BR23" s="110" t="s">
        <v>111</v>
      </c>
      <c r="BS23" s="110" t="s">
        <v>112</v>
      </c>
      <c r="BT23" s="111" t="s">
        <v>110</v>
      </c>
      <c r="BU23" s="110" t="s">
        <v>111</v>
      </c>
      <c r="BV23" s="110" t="s">
        <v>112</v>
      </c>
      <c r="BW23" s="111" t="s">
        <v>110</v>
      </c>
      <c r="BX23" s="110" t="s">
        <v>111</v>
      </c>
      <c r="BY23" s="110" t="s">
        <v>112</v>
      </c>
      <c r="BZ23" s="111" t="s">
        <v>110</v>
      </c>
      <c r="CA23" s="110" t="s">
        <v>111</v>
      </c>
      <c r="CB23" s="110" t="s">
        <v>112</v>
      </c>
      <c r="CC23" s="111" t="s">
        <v>110</v>
      </c>
      <c r="CD23" s="110" t="s">
        <v>111</v>
      </c>
      <c r="CE23" s="110" t="s">
        <v>112</v>
      </c>
      <c r="CF23" s="111" t="s">
        <v>110</v>
      </c>
      <c r="CG23" s="110" t="s">
        <v>111</v>
      </c>
      <c r="CH23" s="110" t="s">
        <v>112</v>
      </c>
      <c r="CI23" s="111" t="s">
        <v>110</v>
      </c>
      <c r="CJ23" s="110" t="s">
        <v>111</v>
      </c>
      <c r="CK23" s="112" t="s">
        <v>112</v>
      </c>
      <c r="CL23" s="32"/>
    </row>
    <row r="24" ht="14.9" customHeight="1">
      <c r="B24" s="50"/>
      <c r="C24" s="78" t="s">
        <v>138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142"/>
      <c r="T24" s="171">
        <v>8</v>
      </c>
      <c r="U24" s="172"/>
      <c r="V24" s="172"/>
      <c r="W24" s="172"/>
      <c r="X24" s="172"/>
      <c r="Y24" s="172"/>
      <c r="Z24" s="172">
        <v>8</v>
      </c>
      <c r="AA24" s="172"/>
      <c r="AB24" s="172"/>
      <c r="AC24" s="172"/>
      <c r="AD24" s="172"/>
      <c r="AE24" s="172"/>
      <c r="AF24" s="172">
        <v>8</v>
      </c>
      <c r="AG24" s="172"/>
      <c r="AH24" s="172"/>
      <c r="AI24" s="172"/>
      <c r="AJ24" s="172"/>
      <c r="AK24" s="173"/>
      <c r="AL24" s="52"/>
      <c r="AM24" s="52"/>
      <c r="AN24" s="54"/>
      <c r="AO24" s="183" t="s">
        <v>139</v>
      </c>
      <c r="AR24" s="32"/>
      <c r="AS24" s="32"/>
      <c r="AT24" s="110">
        <v>10</v>
      </c>
      <c r="AU24" s="113">
        <v>17.149999999999999</v>
      </c>
      <c r="AV24" s="98"/>
      <c r="AW24" s="114"/>
      <c r="AX24" s="114"/>
      <c r="AY24" s="98" t="s">
        <v>95</v>
      </c>
      <c r="AZ24" s="114">
        <v>6.5000000000000002e-002</v>
      </c>
      <c r="BA24" s="114">
        <v>0.54500000000000004</v>
      </c>
      <c r="BB24" s="98"/>
      <c r="BC24" s="115"/>
      <c r="BD24" s="115"/>
      <c r="BE24" s="98"/>
      <c r="BF24" s="115"/>
      <c r="BG24" s="115"/>
      <c r="BH24" s="98" t="s">
        <v>88</v>
      </c>
      <c r="BI24" s="114">
        <v>9.0999999999999998e-002</v>
      </c>
      <c r="BJ24" s="114">
        <v>0.49299999999999999</v>
      </c>
      <c r="BK24" s="98"/>
      <c r="BL24" s="115"/>
      <c r="BM24" s="115"/>
      <c r="BN24" s="98" t="s">
        <v>89</v>
      </c>
      <c r="BO24" s="114">
        <v>0.126</v>
      </c>
      <c r="BP24" s="114">
        <v>0.42499999999999999</v>
      </c>
      <c r="BQ24" s="98"/>
      <c r="BR24" s="115"/>
      <c r="BS24" s="115"/>
      <c r="BT24" s="98"/>
      <c r="BU24" s="115"/>
      <c r="BV24" s="115"/>
      <c r="BW24" s="98"/>
      <c r="BX24" s="115"/>
      <c r="BY24" s="115"/>
      <c r="BZ24" s="98"/>
      <c r="CA24" s="115"/>
      <c r="CB24" s="115"/>
      <c r="CC24" s="98" t="s">
        <v>103</v>
      </c>
      <c r="CD24" s="114">
        <v>9.0999999999999998e-002</v>
      </c>
      <c r="CE24" s="114">
        <v>0.49299999999999999</v>
      </c>
      <c r="CF24" s="98" t="s">
        <v>104</v>
      </c>
      <c r="CG24" s="114">
        <v>0.126</v>
      </c>
      <c r="CH24" s="114">
        <v>0.42299999999999999</v>
      </c>
      <c r="CI24" s="98"/>
      <c r="CJ24" s="115"/>
      <c r="CK24" s="116"/>
      <c r="CL24" s="32"/>
    </row>
    <row r="25" ht="14.9" customHeight="1">
      <c r="B25" s="50"/>
      <c r="C25" s="78" t="s">
        <v>140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142"/>
      <c r="T25" s="184">
        <v>21950000</v>
      </c>
      <c r="U25" s="85"/>
      <c r="V25" s="85"/>
      <c r="W25" s="85"/>
      <c r="X25" s="85"/>
      <c r="Y25" s="85"/>
      <c r="Z25" s="85">
        <v>21950000</v>
      </c>
      <c r="AA25" s="85"/>
      <c r="AB25" s="85"/>
      <c r="AC25" s="85"/>
      <c r="AD25" s="85"/>
      <c r="AE25" s="85"/>
      <c r="AF25" s="85">
        <v>21950000</v>
      </c>
      <c r="AG25" s="85"/>
      <c r="AH25" s="85"/>
      <c r="AI25" s="85"/>
      <c r="AJ25" s="85"/>
      <c r="AK25" s="86"/>
      <c r="AL25" s="52"/>
      <c r="AM25" s="52"/>
      <c r="AN25" s="54"/>
      <c r="AR25" s="32"/>
      <c r="AS25" s="32" t="s">
        <v>141</v>
      </c>
      <c r="AT25" s="117">
        <v>15</v>
      </c>
      <c r="AU25" s="118">
        <v>21.34</v>
      </c>
      <c r="AV25" s="98"/>
      <c r="AW25" s="119"/>
      <c r="AX25" s="119"/>
      <c r="AY25" s="98" t="s">
        <v>95</v>
      </c>
      <c r="AZ25" s="119">
        <v>6.5000000000000002e-002</v>
      </c>
      <c r="BA25" s="119">
        <v>0.67400000000000004</v>
      </c>
      <c r="BB25" s="99"/>
      <c r="BC25" s="97"/>
      <c r="BD25" s="97"/>
      <c r="BE25" s="99"/>
      <c r="BF25" s="97"/>
      <c r="BG25" s="97"/>
      <c r="BH25" s="98" t="s">
        <v>88</v>
      </c>
      <c r="BI25" s="119">
        <v>0.109</v>
      </c>
      <c r="BJ25" s="119">
        <v>0.622</v>
      </c>
      <c r="BK25" s="99"/>
      <c r="BL25" s="97"/>
      <c r="BM25" s="97"/>
      <c r="BN25" s="98" t="s">
        <v>89</v>
      </c>
      <c r="BO25" s="119">
        <v>0.14699999999999999</v>
      </c>
      <c r="BP25" s="119">
        <v>0.54600000000000004</v>
      </c>
      <c r="BQ25" s="99"/>
      <c r="BR25" s="97"/>
      <c r="BS25" s="97"/>
      <c r="BT25" s="99"/>
      <c r="BU25" s="120"/>
      <c r="BV25" s="97"/>
      <c r="BW25" s="99"/>
      <c r="BX25" s="97"/>
      <c r="BY25" s="97"/>
      <c r="BZ25" s="99" t="s">
        <v>102</v>
      </c>
      <c r="CA25" s="114">
        <v>0.188</v>
      </c>
      <c r="CB25" s="114">
        <v>0.46400000000000002</v>
      </c>
      <c r="CC25" s="98" t="s">
        <v>103</v>
      </c>
      <c r="CD25" s="119">
        <v>0.109</v>
      </c>
      <c r="CE25" s="119">
        <v>0.622</v>
      </c>
      <c r="CF25" s="98" t="s">
        <v>104</v>
      </c>
      <c r="CG25" s="119">
        <v>0.14699999999999999</v>
      </c>
      <c r="CH25" s="119">
        <v>0.54600000000000004</v>
      </c>
      <c r="CI25" s="98" t="s">
        <v>105</v>
      </c>
      <c r="CJ25" s="114">
        <v>0.29399999999999998</v>
      </c>
      <c r="CK25" s="121">
        <v>0.252</v>
      </c>
      <c r="CL25" s="32"/>
    </row>
    <row r="26" ht="14.9" customHeight="1">
      <c r="B26" s="50"/>
      <c r="C26" s="78" t="s">
        <v>142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142"/>
      <c r="T26" s="185">
        <f>2.34*10^9</f>
        <v>2340000000</v>
      </c>
      <c r="U26" s="186"/>
      <c r="V26" s="186"/>
      <c r="W26" s="186"/>
      <c r="X26" s="186"/>
      <c r="Y26" s="186"/>
      <c r="Z26" s="186">
        <f>2.34*10^9</f>
        <v>2340000000</v>
      </c>
      <c r="AA26" s="186"/>
      <c r="AB26" s="186"/>
      <c r="AC26" s="186"/>
      <c r="AD26" s="186"/>
      <c r="AE26" s="186"/>
      <c r="AF26" s="186">
        <f>2.34*10^9</f>
        <v>2340000000</v>
      </c>
      <c r="AG26" s="186"/>
      <c r="AH26" s="186"/>
      <c r="AI26" s="186"/>
      <c r="AJ26" s="186"/>
      <c r="AK26" s="187"/>
      <c r="AL26" s="52"/>
      <c r="AM26" s="52"/>
      <c r="AN26" s="54"/>
      <c r="AR26" s="32"/>
      <c r="AS26" s="32" t="s">
        <v>143</v>
      </c>
      <c r="AT26" s="117">
        <v>20</v>
      </c>
      <c r="AU26" s="118">
        <v>26.670000000000002</v>
      </c>
      <c r="AV26" s="98" t="s">
        <v>94</v>
      </c>
      <c r="AW26" s="119">
        <v>6.5000000000000002e-002</v>
      </c>
      <c r="AX26" s="119">
        <v>0.92000000000000004</v>
      </c>
      <c r="AY26" s="98" t="s">
        <v>95</v>
      </c>
      <c r="AZ26" s="119">
        <v>8.3000000000000004e-002</v>
      </c>
      <c r="BA26" s="119">
        <v>0.88400000000000001</v>
      </c>
      <c r="BB26" s="99"/>
      <c r="BC26" s="97"/>
      <c r="BD26" s="97"/>
      <c r="BE26" s="99"/>
      <c r="BF26" s="97"/>
      <c r="BG26" s="97"/>
      <c r="BH26" s="98" t="s">
        <v>88</v>
      </c>
      <c r="BI26" s="119">
        <v>0.113</v>
      </c>
      <c r="BJ26" s="119">
        <v>0.82399999999999995</v>
      </c>
      <c r="BK26" s="99"/>
      <c r="BL26" s="97"/>
      <c r="BM26" s="97"/>
      <c r="BN26" s="98" t="s">
        <v>89</v>
      </c>
      <c r="BO26" s="119">
        <v>0.154</v>
      </c>
      <c r="BP26" s="119">
        <v>0.74199999999999999</v>
      </c>
      <c r="BQ26" s="99"/>
      <c r="BR26" s="97"/>
      <c r="BS26" s="97"/>
      <c r="BT26" s="99"/>
      <c r="BU26" s="97"/>
      <c r="BV26" s="97"/>
      <c r="BW26" s="99"/>
      <c r="BX26" s="97"/>
      <c r="BY26" s="97"/>
      <c r="BZ26" s="99" t="s">
        <v>102</v>
      </c>
      <c r="CA26" s="114">
        <v>0.219</v>
      </c>
      <c r="CB26" s="114">
        <v>0.61199999999999999</v>
      </c>
      <c r="CC26" s="98" t="s">
        <v>103</v>
      </c>
      <c r="CD26" s="119">
        <v>0.113</v>
      </c>
      <c r="CE26" s="119">
        <v>0.82399999999999995</v>
      </c>
      <c r="CF26" s="98" t="s">
        <v>104</v>
      </c>
      <c r="CG26" s="119">
        <v>0.154</v>
      </c>
      <c r="CH26" s="119">
        <v>0.74199999999999999</v>
      </c>
      <c r="CI26" s="98" t="s">
        <v>105</v>
      </c>
      <c r="CJ26" s="114">
        <v>0.308</v>
      </c>
      <c r="CK26" s="121">
        <v>0.434</v>
      </c>
      <c r="CL26" s="32"/>
    </row>
    <row r="27" ht="14.9" customHeight="1">
      <c r="B27" s="50"/>
      <c r="C27" s="78" t="s">
        <v>144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142"/>
      <c r="T27" s="188">
        <f>18*10^10</f>
        <v>180000000000</v>
      </c>
      <c r="U27" s="189"/>
      <c r="V27" s="189"/>
      <c r="W27" s="189"/>
      <c r="X27" s="189"/>
      <c r="Y27" s="189"/>
      <c r="Z27" s="189">
        <f>18*10^10</f>
        <v>180000000000</v>
      </c>
      <c r="AA27" s="189"/>
      <c r="AB27" s="189"/>
      <c r="AC27" s="189"/>
      <c r="AD27" s="189"/>
      <c r="AE27" s="189"/>
      <c r="AF27" s="189">
        <f>18*10^10</f>
        <v>180000000000</v>
      </c>
      <c r="AG27" s="189"/>
      <c r="AH27" s="189"/>
      <c r="AI27" s="189"/>
      <c r="AJ27" s="189"/>
      <c r="AK27" s="190"/>
      <c r="AL27" s="52"/>
      <c r="AM27" s="52"/>
      <c r="AN27" s="54"/>
      <c r="AR27" s="32"/>
      <c r="AS27" s="32" t="s">
        <v>145</v>
      </c>
      <c r="AT27" s="117">
        <v>25</v>
      </c>
      <c r="AU27" s="118">
        <v>33.399999999999999</v>
      </c>
      <c r="AV27" s="98" t="s">
        <v>94</v>
      </c>
      <c r="AW27" s="119">
        <v>6.5000000000000002e-002</v>
      </c>
      <c r="AX27" s="119">
        <v>1.1850000000000001</v>
      </c>
      <c r="AY27" s="98" t="s">
        <v>95</v>
      </c>
      <c r="AZ27" s="119">
        <v>0.109</v>
      </c>
      <c r="BA27" s="119">
        <v>1.097</v>
      </c>
      <c r="BB27" s="99"/>
      <c r="BC27" s="97"/>
      <c r="BD27" s="97"/>
      <c r="BE27" s="99"/>
      <c r="BF27" s="97"/>
      <c r="BG27" s="97"/>
      <c r="BH27" s="98" t="s">
        <v>88</v>
      </c>
      <c r="BI27" s="119">
        <v>0.13300000000000001</v>
      </c>
      <c r="BJ27" s="119">
        <v>1.0489999999999999</v>
      </c>
      <c r="BK27" s="99"/>
      <c r="BL27" s="97"/>
      <c r="BM27" s="97"/>
      <c r="BN27" s="98" t="s">
        <v>89</v>
      </c>
      <c r="BO27" s="119">
        <v>0.17899999999999999</v>
      </c>
      <c r="BP27" s="119">
        <v>0.95700000000000007</v>
      </c>
      <c r="BQ27" s="99"/>
      <c r="BR27" s="97"/>
      <c r="BS27" s="97"/>
      <c r="BT27" s="99"/>
      <c r="BU27" s="97"/>
      <c r="BV27" s="97"/>
      <c r="BW27" s="99"/>
      <c r="BX27" s="97"/>
      <c r="BY27" s="97"/>
      <c r="BZ27" s="99" t="s">
        <v>102</v>
      </c>
      <c r="CA27" s="114">
        <v>0.25</v>
      </c>
      <c r="CB27" s="114">
        <v>0.81499999999999995</v>
      </c>
      <c r="CC27" s="98" t="s">
        <v>103</v>
      </c>
      <c r="CD27" s="119">
        <v>0.13300000000000001</v>
      </c>
      <c r="CE27" s="119">
        <v>1.0489999999999999</v>
      </c>
      <c r="CF27" s="98" t="s">
        <v>104</v>
      </c>
      <c r="CG27" s="119">
        <v>0.17899999999999999</v>
      </c>
      <c r="CH27" s="119">
        <v>0.95700000000000007</v>
      </c>
      <c r="CI27" s="98" t="s">
        <v>105</v>
      </c>
      <c r="CJ27" s="114">
        <v>0.35799999999999998</v>
      </c>
      <c r="CK27" s="121">
        <v>0.59899999999999998</v>
      </c>
      <c r="CL27" s="32"/>
    </row>
    <row r="28" ht="14.9" customHeight="1">
      <c r="B28" s="50"/>
      <c r="C28" s="78" t="s">
        <v>146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142"/>
      <c r="T28" s="171">
        <v>10</v>
      </c>
      <c r="U28" s="172"/>
      <c r="V28" s="172"/>
      <c r="W28" s="172"/>
      <c r="X28" s="172"/>
      <c r="Y28" s="172"/>
      <c r="Z28" s="172">
        <v>10</v>
      </c>
      <c r="AA28" s="172"/>
      <c r="AB28" s="172"/>
      <c r="AC28" s="172"/>
      <c r="AD28" s="172"/>
      <c r="AE28" s="172"/>
      <c r="AF28" s="172">
        <v>10</v>
      </c>
      <c r="AG28" s="172"/>
      <c r="AH28" s="172"/>
      <c r="AI28" s="172"/>
      <c r="AJ28" s="172"/>
      <c r="AK28" s="173"/>
      <c r="AL28" s="52"/>
      <c r="AM28" s="52"/>
      <c r="AN28" s="54"/>
      <c r="AR28" s="32"/>
      <c r="AS28" s="32" t="s">
        <v>147</v>
      </c>
      <c r="AT28" s="117">
        <v>32</v>
      </c>
      <c r="AU28" s="118">
        <v>42.159999999999997</v>
      </c>
      <c r="AV28" s="98" t="s">
        <v>94</v>
      </c>
      <c r="AW28" s="119">
        <v>6.5000000000000002e-002</v>
      </c>
      <c r="AX28" s="119">
        <v>1.53</v>
      </c>
      <c r="AY28" s="98" t="s">
        <v>95</v>
      </c>
      <c r="AZ28" s="119">
        <v>0.109</v>
      </c>
      <c r="BA28" s="119">
        <v>1.4419999999999999</v>
      </c>
      <c r="BB28" s="99"/>
      <c r="BC28" s="97"/>
      <c r="BD28" s="97"/>
      <c r="BE28" s="99"/>
      <c r="BF28" s="97"/>
      <c r="BG28" s="97"/>
      <c r="BH28" s="98" t="s">
        <v>88</v>
      </c>
      <c r="BI28" s="119">
        <v>0.14000000000000001</v>
      </c>
      <c r="BJ28" s="119">
        <v>1.3799999999999999</v>
      </c>
      <c r="BK28" s="99"/>
      <c r="BL28" s="97"/>
      <c r="BM28" s="97"/>
      <c r="BN28" s="98" t="s">
        <v>89</v>
      </c>
      <c r="BO28" s="119">
        <v>0.191</v>
      </c>
      <c r="BP28" s="119">
        <v>1.278</v>
      </c>
      <c r="BQ28" s="99"/>
      <c r="BR28" s="97"/>
      <c r="BS28" s="97"/>
      <c r="BT28" s="99"/>
      <c r="BU28" s="97"/>
      <c r="BV28" s="97"/>
      <c r="BW28" s="99"/>
      <c r="BX28" s="97"/>
      <c r="BY28" s="97"/>
      <c r="BZ28" s="99" t="s">
        <v>102</v>
      </c>
      <c r="CA28" s="119">
        <v>0.25</v>
      </c>
      <c r="CB28" s="119">
        <v>1.1599999999999999</v>
      </c>
      <c r="CC28" s="98" t="s">
        <v>103</v>
      </c>
      <c r="CD28" s="119">
        <v>0.14000000000000001</v>
      </c>
      <c r="CE28" s="119">
        <v>1.3799999999999999</v>
      </c>
      <c r="CF28" s="98" t="s">
        <v>104</v>
      </c>
      <c r="CG28" s="119">
        <v>0.191</v>
      </c>
      <c r="CH28" s="119">
        <v>1.278</v>
      </c>
      <c r="CI28" s="98" t="s">
        <v>105</v>
      </c>
      <c r="CJ28" s="119">
        <v>0.38200000000000001</v>
      </c>
      <c r="CK28" s="133">
        <v>0.89600000000000002</v>
      </c>
      <c r="CL28" s="32"/>
    </row>
    <row r="29" ht="14.9" customHeight="1">
      <c r="B29" s="50"/>
      <c r="C29" s="78" t="s">
        <v>148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142"/>
      <c r="T29" s="191" t="s">
        <v>147</v>
      </c>
      <c r="U29" s="192"/>
      <c r="V29" s="192"/>
      <c r="W29" s="192"/>
      <c r="X29" s="192"/>
      <c r="Y29" s="192"/>
      <c r="Z29" s="192" t="s">
        <v>149</v>
      </c>
      <c r="AA29" s="192"/>
      <c r="AB29" s="192"/>
      <c r="AC29" s="192"/>
      <c r="AD29" s="192"/>
      <c r="AE29" s="192"/>
      <c r="AF29" s="192" t="s">
        <v>150</v>
      </c>
      <c r="AG29" s="192"/>
      <c r="AH29" s="192"/>
      <c r="AI29" s="192"/>
      <c r="AJ29" s="192"/>
      <c r="AK29" s="193"/>
      <c r="AL29" s="52"/>
      <c r="AM29" s="52"/>
      <c r="AN29" s="54"/>
      <c r="AR29" s="32"/>
      <c r="AS29" s="32" t="s">
        <v>150</v>
      </c>
      <c r="AT29" s="117">
        <v>40</v>
      </c>
      <c r="AU29" s="118">
        <v>48.259999999999998</v>
      </c>
      <c r="AV29" s="98" t="s">
        <v>94</v>
      </c>
      <c r="AW29" s="119">
        <v>6.5000000000000002e-002</v>
      </c>
      <c r="AX29" s="119">
        <v>1.77</v>
      </c>
      <c r="AY29" s="98" t="s">
        <v>95</v>
      </c>
      <c r="AZ29" s="119">
        <v>0.109</v>
      </c>
      <c r="BA29" s="119">
        <v>1.6819999999999999</v>
      </c>
      <c r="BB29" s="99"/>
      <c r="BC29" s="97"/>
      <c r="BD29" s="97"/>
      <c r="BE29" s="99"/>
      <c r="BF29" s="97"/>
      <c r="BG29" s="97"/>
      <c r="BH29" s="98" t="s">
        <v>88</v>
      </c>
      <c r="BI29" s="119">
        <v>0.14499999999999999</v>
      </c>
      <c r="BJ29" s="119">
        <v>1.6100000000000001</v>
      </c>
      <c r="BK29" s="99"/>
      <c r="BL29" s="97"/>
      <c r="BM29" s="97"/>
      <c r="BN29" s="98" t="s">
        <v>89</v>
      </c>
      <c r="BO29" s="119">
        <v>0.20000000000000001</v>
      </c>
      <c r="BP29" s="119">
        <v>1.5</v>
      </c>
      <c r="BQ29" s="99"/>
      <c r="BR29" s="97"/>
      <c r="BS29" s="97"/>
      <c r="BT29" s="99"/>
      <c r="BU29" s="97"/>
      <c r="BV29" s="97"/>
      <c r="BW29" s="99"/>
      <c r="BX29" s="97"/>
      <c r="BY29" s="97"/>
      <c r="BZ29" s="99" t="s">
        <v>102</v>
      </c>
      <c r="CA29" s="119">
        <v>0.28100000000000003</v>
      </c>
      <c r="CB29" s="119">
        <v>1.3380000000000001</v>
      </c>
      <c r="CC29" s="98" t="s">
        <v>103</v>
      </c>
      <c r="CD29" s="119">
        <v>0.14499999999999999</v>
      </c>
      <c r="CE29" s="119">
        <v>1.6100000000000001</v>
      </c>
      <c r="CF29" s="98" t="s">
        <v>104</v>
      </c>
      <c r="CG29" s="119">
        <v>0.20000000000000001</v>
      </c>
      <c r="CH29" s="119">
        <v>1.5</v>
      </c>
      <c r="CI29" s="98" t="s">
        <v>105</v>
      </c>
      <c r="CJ29" s="119">
        <v>0.40000000000000002</v>
      </c>
      <c r="CK29" s="133">
        <v>1.1000000000000001</v>
      </c>
      <c r="CL29" s="32"/>
    </row>
    <row r="30" ht="14.9" customHeight="1">
      <c r="B30" s="50"/>
      <c r="C30" s="78" t="s">
        <v>151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142"/>
      <c r="T30" s="175" t="s">
        <v>137</v>
      </c>
      <c r="U30" s="88"/>
      <c r="V30" s="88"/>
      <c r="W30" s="88"/>
      <c r="X30" s="88"/>
      <c r="Y30" s="88"/>
      <c r="Z30" s="88" t="s">
        <v>137</v>
      </c>
      <c r="AA30" s="88"/>
      <c r="AB30" s="88"/>
      <c r="AC30" s="88"/>
      <c r="AD30" s="88"/>
      <c r="AE30" s="88"/>
      <c r="AF30" s="88" t="s">
        <v>139</v>
      </c>
      <c r="AG30" s="88"/>
      <c r="AH30" s="88"/>
      <c r="AI30" s="88"/>
      <c r="AJ30" s="88"/>
      <c r="AK30" s="89"/>
      <c r="AL30" s="52"/>
      <c r="AM30" s="52"/>
      <c r="AN30" s="54"/>
      <c r="AR30" s="32"/>
      <c r="AS30" s="32" t="s">
        <v>149</v>
      </c>
      <c r="AT30" s="117">
        <v>50</v>
      </c>
      <c r="AU30" s="118">
        <v>60.329999999999998</v>
      </c>
      <c r="AV30" s="98" t="s">
        <v>94</v>
      </c>
      <c r="AW30" s="119">
        <v>6.5000000000000002e-002</v>
      </c>
      <c r="AX30" s="119">
        <v>2.2450000000000001</v>
      </c>
      <c r="AY30" s="98" t="s">
        <v>95</v>
      </c>
      <c r="AZ30" s="119">
        <v>0.109</v>
      </c>
      <c r="BA30" s="119">
        <v>2.157</v>
      </c>
      <c r="BB30" s="99"/>
      <c r="BC30" s="97"/>
      <c r="BD30" s="97"/>
      <c r="BE30" s="99"/>
      <c r="BF30" s="97"/>
      <c r="BG30" s="97"/>
      <c r="BH30" s="98" t="s">
        <v>88</v>
      </c>
      <c r="BI30" s="119">
        <v>0.154</v>
      </c>
      <c r="BJ30" s="119">
        <v>2.0670000000000002</v>
      </c>
      <c r="BK30" s="99"/>
      <c r="BL30" s="97"/>
      <c r="BM30" s="97"/>
      <c r="BN30" s="98" t="s">
        <v>89</v>
      </c>
      <c r="BO30" s="119">
        <v>0.218</v>
      </c>
      <c r="BP30" s="119">
        <v>1.9390000000000001</v>
      </c>
      <c r="BQ30" s="99"/>
      <c r="BR30" s="97"/>
      <c r="BS30" s="97"/>
      <c r="BT30" s="99"/>
      <c r="BU30" s="97"/>
      <c r="BV30" s="97"/>
      <c r="BW30" s="99"/>
      <c r="BX30" s="97"/>
      <c r="BY30" s="97"/>
      <c r="BZ30" s="99" t="s">
        <v>102</v>
      </c>
      <c r="CA30" s="119">
        <v>0.34399999999999997</v>
      </c>
      <c r="CB30" s="119">
        <v>1.6870000000000001</v>
      </c>
      <c r="CC30" s="98" t="s">
        <v>103</v>
      </c>
      <c r="CD30" s="119">
        <v>0.154</v>
      </c>
      <c r="CE30" s="119">
        <v>2.0670000000000002</v>
      </c>
      <c r="CF30" s="98" t="s">
        <v>104</v>
      </c>
      <c r="CG30" s="119">
        <v>0.218</v>
      </c>
      <c r="CH30" s="119">
        <v>1.9390000000000001</v>
      </c>
      <c r="CI30" s="98" t="s">
        <v>105</v>
      </c>
      <c r="CJ30" s="119">
        <v>0.436</v>
      </c>
      <c r="CK30" s="133">
        <v>1.5029999999999999</v>
      </c>
      <c r="CL30" s="32"/>
    </row>
    <row r="31" ht="14.9" customHeight="1">
      <c r="B31" s="50"/>
      <c r="C31" s="78" t="s">
        <v>152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142"/>
      <c r="T31" s="184">
        <v>43100000</v>
      </c>
      <c r="U31" s="85"/>
      <c r="V31" s="85"/>
      <c r="W31" s="85"/>
      <c r="X31" s="85"/>
      <c r="Y31" s="85"/>
      <c r="Z31" s="85">
        <v>43100000</v>
      </c>
      <c r="AA31" s="85"/>
      <c r="AB31" s="85"/>
      <c r="AC31" s="85"/>
      <c r="AD31" s="85"/>
      <c r="AE31" s="85"/>
      <c r="AF31" s="85">
        <v>43100000</v>
      </c>
      <c r="AG31" s="85"/>
      <c r="AH31" s="85"/>
      <c r="AI31" s="85"/>
      <c r="AJ31" s="85"/>
      <c r="AK31" s="86"/>
      <c r="AL31" s="52"/>
      <c r="AM31" s="52"/>
      <c r="AN31" s="54"/>
      <c r="AR31" s="32"/>
      <c r="AS31" s="32"/>
      <c r="AT31" s="117">
        <v>65</v>
      </c>
      <c r="AU31" s="118">
        <v>73.019999999999996</v>
      </c>
      <c r="AV31" s="98" t="s">
        <v>94</v>
      </c>
      <c r="AW31" s="119">
        <v>8.3000000000000004e-002</v>
      </c>
      <c r="AX31" s="119">
        <v>2.7090000000000001</v>
      </c>
      <c r="AY31" s="98" t="s">
        <v>95</v>
      </c>
      <c r="AZ31" s="119">
        <v>0.12</v>
      </c>
      <c r="BA31" s="119">
        <v>2.6349999999999998</v>
      </c>
      <c r="BB31" s="99"/>
      <c r="BC31" s="97"/>
      <c r="BD31" s="97"/>
      <c r="BE31" s="99"/>
      <c r="BF31" s="97"/>
      <c r="BG31" s="97"/>
      <c r="BH31" s="98" t="s">
        <v>88</v>
      </c>
      <c r="BI31" s="119">
        <v>0.20300000000000001</v>
      </c>
      <c r="BJ31" s="119">
        <v>2.4689999999999999</v>
      </c>
      <c r="BK31" s="99"/>
      <c r="BL31" s="97"/>
      <c r="BM31" s="97"/>
      <c r="BN31" s="98" t="s">
        <v>89</v>
      </c>
      <c r="BO31" s="114">
        <v>0.27600000000000002</v>
      </c>
      <c r="BP31" s="114">
        <v>2.323</v>
      </c>
      <c r="BQ31" s="99"/>
      <c r="BR31" s="97"/>
      <c r="BS31" s="97"/>
      <c r="BT31" s="99"/>
      <c r="BU31" s="97"/>
      <c r="BV31" s="97"/>
      <c r="BW31" s="99"/>
      <c r="BX31" s="97"/>
      <c r="BY31" s="97"/>
      <c r="BZ31" s="99" t="s">
        <v>102</v>
      </c>
      <c r="CA31" s="119">
        <v>0.375</v>
      </c>
      <c r="CB31" s="119">
        <v>2.125</v>
      </c>
      <c r="CC31" s="98" t="s">
        <v>103</v>
      </c>
      <c r="CD31" s="114">
        <v>0.20300000000000001</v>
      </c>
      <c r="CE31" s="114">
        <v>2.4689999999999999</v>
      </c>
      <c r="CF31" s="98" t="s">
        <v>104</v>
      </c>
      <c r="CG31" s="114">
        <v>0.27600000000000002</v>
      </c>
      <c r="CH31" s="114">
        <v>2.323</v>
      </c>
      <c r="CI31" s="98" t="s">
        <v>105</v>
      </c>
      <c r="CJ31" s="119">
        <v>0.55200000000000005</v>
      </c>
      <c r="CK31" s="133">
        <v>1.7709999999999999</v>
      </c>
      <c r="CL31" s="32"/>
    </row>
    <row r="32" ht="14.9" customHeight="1">
      <c r="B32" s="50"/>
      <c r="C32" s="78" t="s">
        <v>153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142"/>
      <c r="T32" s="184">
        <v>40400000</v>
      </c>
      <c r="U32" s="85"/>
      <c r="V32" s="85"/>
      <c r="W32" s="85"/>
      <c r="X32" s="85"/>
      <c r="Y32" s="85"/>
      <c r="Z32" s="85">
        <v>40400000</v>
      </c>
      <c r="AA32" s="85"/>
      <c r="AB32" s="85"/>
      <c r="AC32" s="85"/>
      <c r="AD32" s="85"/>
      <c r="AE32" s="85"/>
      <c r="AF32" s="85">
        <v>40400000</v>
      </c>
      <c r="AG32" s="85"/>
      <c r="AH32" s="85"/>
      <c r="AI32" s="85"/>
      <c r="AJ32" s="85"/>
      <c r="AK32" s="86"/>
      <c r="AL32" s="52"/>
      <c r="AM32" s="52"/>
      <c r="AN32" s="54"/>
      <c r="AR32" s="32"/>
      <c r="AS32" s="32"/>
      <c r="AT32" s="117">
        <v>80</v>
      </c>
      <c r="AU32" s="118">
        <v>88.900000000000006</v>
      </c>
      <c r="AV32" s="98" t="s">
        <v>94</v>
      </c>
      <c r="AW32" s="119">
        <v>8.3000000000000004e-002</v>
      </c>
      <c r="AX32" s="119">
        <v>3.3340000000000001</v>
      </c>
      <c r="AY32" s="98" t="s">
        <v>95</v>
      </c>
      <c r="AZ32" s="119">
        <v>0.12</v>
      </c>
      <c r="BA32" s="119">
        <v>3.2599999999999998</v>
      </c>
      <c r="BB32" s="99"/>
      <c r="BC32" s="97"/>
      <c r="BD32" s="97"/>
      <c r="BE32" s="99"/>
      <c r="BF32" s="97"/>
      <c r="BG32" s="97"/>
      <c r="BH32" s="98" t="s">
        <v>88</v>
      </c>
      <c r="BI32" s="119">
        <v>0.216</v>
      </c>
      <c r="BJ32" s="119">
        <v>3.0680000000000001</v>
      </c>
      <c r="BK32" s="99"/>
      <c r="BL32" s="97"/>
      <c r="BM32" s="97"/>
      <c r="BN32" s="98" t="s">
        <v>89</v>
      </c>
      <c r="BO32" s="114">
        <v>0.29999999999999999</v>
      </c>
      <c r="BP32" s="114">
        <v>2.8999999999999999</v>
      </c>
      <c r="BQ32" s="99"/>
      <c r="BR32" s="97"/>
      <c r="BS32" s="97"/>
      <c r="BT32" s="99"/>
      <c r="BU32" s="97"/>
      <c r="BV32" s="97"/>
      <c r="BW32" s="99"/>
      <c r="BX32" s="97"/>
      <c r="BY32" s="97"/>
      <c r="BZ32" s="99" t="s">
        <v>102</v>
      </c>
      <c r="CA32" s="119">
        <v>0.438</v>
      </c>
      <c r="CB32" s="119">
        <v>2.6240000000000001</v>
      </c>
      <c r="CC32" s="98" t="s">
        <v>103</v>
      </c>
      <c r="CD32" s="114">
        <v>0.216</v>
      </c>
      <c r="CE32" s="114">
        <v>3.0680000000000001</v>
      </c>
      <c r="CF32" s="98" t="s">
        <v>104</v>
      </c>
      <c r="CG32" s="114">
        <v>0.29999999999999999</v>
      </c>
      <c r="CH32" s="114">
        <v>2.8999999999999999</v>
      </c>
      <c r="CI32" s="98" t="s">
        <v>105</v>
      </c>
      <c r="CJ32" s="119">
        <v>0.59999999999999998</v>
      </c>
      <c r="CK32" s="133">
        <v>2.2999999999999998</v>
      </c>
      <c r="CL32" s="32"/>
    </row>
    <row r="33" ht="14.9" customHeight="1">
      <c r="B33" s="50"/>
      <c r="C33" s="78" t="s">
        <v>154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142"/>
      <c r="T33" s="175" t="s">
        <v>116</v>
      </c>
      <c r="U33" s="88"/>
      <c r="V33" s="88"/>
      <c r="W33" s="88"/>
      <c r="X33" s="88"/>
      <c r="Y33" s="88"/>
      <c r="Z33" s="88" t="s">
        <v>116</v>
      </c>
      <c r="AA33" s="88"/>
      <c r="AB33" s="88"/>
      <c r="AC33" s="88"/>
      <c r="AD33" s="88"/>
      <c r="AE33" s="88"/>
      <c r="AF33" s="88" t="s">
        <v>116</v>
      </c>
      <c r="AG33" s="88"/>
      <c r="AH33" s="88"/>
      <c r="AI33" s="88"/>
      <c r="AJ33" s="88"/>
      <c r="AK33" s="89"/>
      <c r="AL33" s="52"/>
      <c r="AM33" s="52"/>
      <c r="AN33" s="54"/>
      <c r="AR33" s="32"/>
      <c r="AS33" s="32"/>
      <c r="AT33" s="117">
        <v>90</v>
      </c>
      <c r="AU33" s="118">
        <v>101.59999999999999</v>
      </c>
      <c r="AV33" s="98" t="s">
        <v>94</v>
      </c>
      <c r="AW33" s="119">
        <v>8.3000000000000004e-002</v>
      </c>
      <c r="AX33" s="119">
        <v>3.8340000000000001</v>
      </c>
      <c r="AY33" s="98" t="s">
        <v>95</v>
      </c>
      <c r="AZ33" s="119">
        <v>0.12</v>
      </c>
      <c r="BA33" s="119">
        <v>3.7599999999999998</v>
      </c>
      <c r="BB33" s="99"/>
      <c r="BC33" s="97"/>
      <c r="BD33" s="97"/>
      <c r="BE33" s="99"/>
      <c r="BF33" s="97"/>
      <c r="BG33" s="97"/>
      <c r="BH33" s="98" t="s">
        <v>88</v>
      </c>
      <c r="BI33" s="119">
        <v>0.22600000000000001</v>
      </c>
      <c r="BJ33" s="119">
        <v>3.548</v>
      </c>
      <c r="BK33" s="99"/>
      <c r="BL33" s="97"/>
      <c r="BM33" s="97"/>
      <c r="BN33" s="98" t="s">
        <v>89</v>
      </c>
      <c r="BO33" s="114">
        <v>0.318</v>
      </c>
      <c r="BP33" s="114">
        <v>3.3639999999999999</v>
      </c>
      <c r="BQ33" s="99"/>
      <c r="BR33" s="97"/>
      <c r="BS33" s="97"/>
      <c r="BT33" s="99"/>
      <c r="BU33" s="97"/>
      <c r="BV33" s="97"/>
      <c r="BW33" s="99"/>
      <c r="BX33" s="97"/>
      <c r="BY33" s="97"/>
      <c r="BZ33" s="99" t="s">
        <v>102</v>
      </c>
      <c r="CA33" s="119"/>
      <c r="CB33" s="119"/>
      <c r="CC33" s="98" t="s">
        <v>103</v>
      </c>
      <c r="CD33" s="114">
        <v>0.22600000000000001</v>
      </c>
      <c r="CE33" s="114">
        <v>3.548</v>
      </c>
      <c r="CF33" s="98" t="s">
        <v>104</v>
      </c>
      <c r="CG33" s="114">
        <v>0.318</v>
      </c>
      <c r="CH33" s="114">
        <v>3.3639999999999999</v>
      </c>
      <c r="CI33" s="98"/>
      <c r="CJ33" s="119"/>
      <c r="CK33" s="133"/>
      <c r="CL33" s="32"/>
    </row>
    <row r="34" ht="14.9" customHeight="1">
      <c r="B34" s="50"/>
      <c r="C34" s="122" t="s">
        <v>65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94"/>
      <c r="T34" s="195">
        <f>IF(T33="Stiff",4,IF(T33="Medium Stiff",2,IF(T33="Medium",1,IF(T33="Flexible",0.5,""))))</f>
        <v>2</v>
      </c>
      <c r="U34" s="126"/>
      <c r="V34" s="126"/>
      <c r="W34" s="126"/>
      <c r="X34" s="126"/>
      <c r="Y34" s="126"/>
      <c r="Z34" s="126">
        <f>IF(Z33="Stiff",4,IF(Z33="Medium Stiff",2,IF(Z33="Medium",1,IF(Z33="Flexible",0.5,""))))</f>
        <v>2</v>
      </c>
      <c r="AA34" s="126"/>
      <c r="AB34" s="126"/>
      <c r="AC34" s="126"/>
      <c r="AD34" s="126"/>
      <c r="AE34" s="126"/>
      <c r="AF34" s="126">
        <f>IF(AF33="Stiff",4,IF(AF33="Medium Stiff",2,IF(AF33="Medium",1,IF(AF33="Flexible",0.5,""))))</f>
        <v>2</v>
      </c>
      <c r="AG34" s="126"/>
      <c r="AH34" s="126"/>
      <c r="AI34" s="126"/>
      <c r="AJ34" s="126"/>
      <c r="AK34" s="127"/>
      <c r="AL34" s="52"/>
      <c r="AM34" s="52"/>
      <c r="AN34" s="54"/>
      <c r="AR34" s="32"/>
      <c r="AS34" s="32"/>
      <c r="AT34" s="117">
        <v>100</v>
      </c>
      <c r="AU34" s="118">
        <v>114.3</v>
      </c>
      <c r="AV34" s="98" t="s">
        <v>94</v>
      </c>
      <c r="AW34" s="119">
        <v>8.3000000000000004e-002</v>
      </c>
      <c r="AX34" s="119">
        <v>4.3339999999999996</v>
      </c>
      <c r="AY34" s="98" t="s">
        <v>95</v>
      </c>
      <c r="AZ34" s="119">
        <v>0.12</v>
      </c>
      <c r="BA34" s="119">
        <v>4.2599999999999998</v>
      </c>
      <c r="BB34" s="99"/>
      <c r="BC34" s="97"/>
      <c r="BD34" s="97"/>
      <c r="BE34" s="99"/>
      <c r="BF34" s="97"/>
      <c r="BG34" s="97"/>
      <c r="BH34" s="98" t="s">
        <v>88</v>
      </c>
      <c r="BI34" s="119">
        <v>0.23700000000000002</v>
      </c>
      <c r="BJ34" s="119">
        <v>4.0259999999999998</v>
      </c>
      <c r="BK34" s="99"/>
      <c r="BL34" s="97"/>
      <c r="BM34" s="97"/>
      <c r="BN34" s="98" t="s">
        <v>89</v>
      </c>
      <c r="BO34" s="119">
        <v>0.33700000000000002</v>
      </c>
      <c r="BP34" s="119">
        <v>3.8260000000000001</v>
      </c>
      <c r="BQ34" s="99"/>
      <c r="BR34" s="97"/>
      <c r="BS34" s="97"/>
      <c r="BT34" s="99" t="s">
        <v>100</v>
      </c>
      <c r="BU34" s="114">
        <v>0.438</v>
      </c>
      <c r="BV34" s="114">
        <v>3.6240000000000001</v>
      </c>
      <c r="BW34" s="99"/>
      <c r="BX34" s="97"/>
      <c r="BY34" s="97"/>
      <c r="BZ34" s="99" t="s">
        <v>102</v>
      </c>
      <c r="CA34" s="114">
        <v>0.53100000000000003</v>
      </c>
      <c r="CB34" s="114">
        <v>3.4380000000000002</v>
      </c>
      <c r="CC34" s="98" t="s">
        <v>103</v>
      </c>
      <c r="CD34" s="119">
        <v>0.23700000000000002</v>
      </c>
      <c r="CE34" s="119">
        <v>4.0259999999999998</v>
      </c>
      <c r="CF34" s="98" t="s">
        <v>104</v>
      </c>
      <c r="CG34" s="119">
        <v>0.33700000000000002</v>
      </c>
      <c r="CH34" s="119">
        <v>3.8260000000000001</v>
      </c>
      <c r="CI34" s="98" t="s">
        <v>105</v>
      </c>
      <c r="CJ34" s="114">
        <v>0.67400000000000004</v>
      </c>
      <c r="CK34" s="121">
        <v>3.1520000000000001</v>
      </c>
      <c r="CL34" s="32"/>
    </row>
    <row r="35" ht="14.9" customHeight="1">
      <c r="B35" s="50"/>
      <c r="C35" s="196" t="s">
        <v>118</v>
      </c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8"/>
      <c r="T35" s="199" t="str">
        <f>IF(T32&gt;T31,"Error Pump Shut-in exceeds piping design pressure",IF(T25&gt;T31,"Error upstream pressure exceeds piping design pressure",IF(T22&lt;0,"Input Error, Invalid Pipe Wall Thickness",IF(T19=0,"Input Error Invalid Pipe Schedule","Inputs Ok"))))</f>
        <v xml:space="preserve">Inputs Ok</v>
      </c>
      <c r="U35" s="199"/>
      <c r="V35" s="199"/>
      <c r="W35" s="199"/>
      <c r="X35" s="199"/>
      <c r="Y35" s="199"/>
      <c r="Z35" s="199" t="str">
        <f>IF(Z32&gt;Z31,"Error Pump Shut-in exceeds piping design pressure",IF(Z25&gt;Z31,"Error upstream pressure exceeds piping design pressure",IF(Z22&lt;0,"Input Error, Invalid Pipe Wall Thickness",IF(Z19=0,"Input Error Invalid Pipe Schedule","Inputs Ok"))))</f>
        <v xml:space="preserve">Inputs Ok</v>
      </c>
      <c r="AA35" s="199"/>
      <c r="AB35" s="199"/>
      <c r="AC35" s="199"/>
      <c r="AD35" s="199"/>
      <c r="AE35" s="199"/>
      <c r="AF35" s="199" t="str">
        <f>IF(AF32&gt;AF31,"Error Pump Shut-in exceeds piping design pressure",IF(AF25&gt;AF31,"Error upstream pressure exceeds piping design pressure",IF(AF22&lt;0,"Input Error, Invalid Pipe Wall Thickness",IF(AF19=0,"Input Error Invalid Pipe Schedule","Inputs Ok"))))</f>
        <v xml:space="preserve">Inputs Ok</v>
      </c>
      <c r="AG35" s="199"/>
      <c r="AH35" s="199"/>
      <c r="AI35" s="199"/>
      <c r="AJ35" s="199"/>
      <c r="AK35" s="199"/>
      <c r="AL35" s="52"/>
      <c r="AM35" s="52"/>
      <c r="AN35" s="54"/>
      <c r="AR35" s="32"/>
      <c r="AS35" s="32"/>
      <c r="AT35" s="117"/>
      <c r="AU35" s="118"/>
      <c r="AV35" s="98"/>
      <c r="AW35" s="119"/>
      <c r="AX35" s="119"/>
      <c r="AY35" s="98"/>
      <c r="AZ35" s="119"/>
      <c r="BA35" s="119"/>
      <c r="BB35" s="99"/>
      <c r="BC35" s="97"/>
      <c r="BD35" s="97"/>
      <c r="BE35" s="99"/>
      <c r="BF35" s="97"/>
      <c r="BG35" s="97"/>
      <c r="BH35" s="98"/>
      <c r="BI35" s="119"/>
      <c r="BJ35" s="119"/>
      <c r="BK35" s="99"/>
      <c r="BL35" s="97"/>
      <c r="BM35" s="97"/>
      <c r="BN35" s="98"/>
      <c r="BO35" s="119"/>
      <c r="BP35" s="119"/>
      <c r="BQ35" s="99"/>
      <c r="BR35" s="97"/>
      <c r="BS35" s="97"/>
      <c r="BT35" s="99"/>
      <c r="BU35" s="114"/>
      <c r="BV35" s="114"/>
      <c r="BW35" s="99"/>
      <c r="BX35" s="97"/>
      <c r="BY35" s="97"/>
      <c r="BZ35" s="99"/>
      <c r="CA35" s="114"/>
      <c r="CB35" s="114"/>
      <c r="CC35" s="98"/>
      <c r="CD35" s="119"/>
      <c r="CE35" s="119"/>
      <c r="CF35" s="98"/>
      <c r="CG35" s="119"/>
      <c r="CH35" s="119"/>
      <c r="CI35" s="98"/>
      <c r="CJ35" s="114"/>
      <c r="CK35" s="121"/>
      <c r="CL35" s="32"/>
    </row>
    <row r="36" ht="14.9" customHeight="1">
      <c r="B36" s="50"/>
      <c r="C36" s="200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2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52"/>
      <c r="AM36" s="52"/>
      <c r="AN36" s="54"/>
      <c r="AR36" s="32"/>
      <c r="AS36" s="32"/>
      <c r="AT36" s="117">
        <v>125</v>
      </c>
      <c r="AU36" s="118">
        <v>141.30000000000001</v>
      </c>
      <c r="AV36" s="98" t="s">
        <v>94</v>
      </c>
      <c r="AW36" s="119">
        <v>0.109</v>
      </c>
      <c r="AX36" s="119">
        <v>5.3449999999999998</v>
      </c>
      <c r="AY36" s="98" t="s">
        <v>95</v>
      </c>
      <c r="AZ36" s="119">
        <v>0.13400000000000001</v>
      </c>
      <c r="BA36" s="119">
        <v>5.2949999999999999</v>
      </c>
      <c r="BB36" s="99"/>
      <c r="BC36" s="97"/>
      <c r="BD36" s="97"/>
      <c r="BE36" s="99"/>
      <c r="BF36" s="97"/>
      <c r="BG36" s="97"/>
      <c r="BH36" s="98" t="s">
        <v>88</v>
      </c>
      <c r="BI36" s="119">
        <v>0.25800000000000001</v>
      </c>
      <c r="BJ36" s="119">
        <v>5.0469999999999997</v>
      </c>
      <c r="BK36" s="99"/>
      <c r="BL36" s="97"/>
      <c r="BM36" s="97"/>
      <c r="BN36" s="98" t="s">
        <v>89</v>
      </c>
      <c r="BO36" s="119">
        <v>0.375</v>
      </c>
      <c r="BP36" s="119">
        <v>4.8129999999999997</v>
      </c>
      <c r="BQ36" s="99"/>
      <c r="BR36" s="97"/>
      <c r="BS36" s="97"/>
      <c r="BT36" s="99" t="s">
        <v>100</v>
      </c>
      <c r="BU36" s="114">
        <v>0.5</v>
      </c>
      <c r="BV36" s="114">
        <v>4.5629999999999997</v>
      </c>
      <c r="BW36" s="99"/>
      <c r="BX36" s="97"/>
      <c r="BY36" s="97"/>
      <c r="BZ36" s="99" t="s">
        <v>102</v>
      </c>
      <c r="CA36" s="114">
        <v>0.625</v>
      </c>
      <c r="CB36" s="114">
        <v>4.3129999999999997</v>
      </c>
      <c r="CC36" s="98" t="s">
        <v>103</v>
      </c>
      <c r="CD36" s="119">
        <v>0.25800000000000001</v>
      </c>
      <c r="CE36" s="119">
        <v>5.0469999999999997</v>
      </c>
      <c r="CF36" s="98" t="s">
        <v>104</v>
      </c>
      <c r="CG36" s="119">
        <v>0.375</v>
      </c>
      <c r="CH36" s="119">
        <v>4.8129999999999997</v>
      </c>
      <c r="CI36" s="98" t="s">
        <v>105</v>
      </c>
      <c r="CJ36" s="114">
        <v>0.75</v>
      </c>
      <c r="CK36" s="121">
        <v>4.0629999999999997</v>
      </c>
      <c r="CL36" s="32"/>
    </row>
    <row r="37" ht="14.9" customHeight="1">
      <c r="B37" s="50"/>
      <c r="C37" s="203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5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52"/>
      <c r="AM37" s="52"/>
      <c r="AN37" s="54"/>
      <c r="AR37" s="32"/>
      <c r="AS37" s="32"/>
      <c r="AT37" s="117">
        <v>150</v>
      </c>
      <c r="AU37" s="118">
        <v>168.30000000000001</v>
      </c>
      <c r="AV37" s="98" t="s">
        <v>94</v>
      </c>
      <c r="AW37" s="119">
        <v>0.109</v>
      </c>
      <c r="AX37" s="119">
        <v>6.407</v>
      </c>
      <c r="AY37" s="98" t="s">
        <v>95</v>
      </c>
      <c r="AZ37" s="119">
        <v>0.13400000000000001</v>
      </c>
      <c r="BA37" s="119">
        <v>6.3570000000000002</v>
      </c>
      <c r="BB37" s="99"/>
      <c r="BC37" s="97"/>
      <c r="BD37" s="97"/>
      <c r="BE37" s="99"/>
      <c r="BF37" s="97"/>
      <c r="BG37" s="97"/>
      <c r="BH37" s="98" t="s">
        <v>88</v>
      </c>
      <c r="BI37" s="119">
        <v>0.28000000000000003</v>
      </c>
      <c r="BJ37" s="119">
        <v>6.0650000000000004</v>
      </c>
      <c r="BK37" s="99"/>
      <c r="BL37" s="97"/>
      <c r="BM37" s="97"/>
      <c r="BN37" s="98" t="s">
        <v>89</v>
      </c>
      <c r="BO37" s="119">
        <v>0.432</v>
      </c>
      <c r="BP37" s="119">
        <v>5.7610000000000001</v>
      </c>
      <c r="BQ37" s="99"/>
      <c r="BR37" s="97"/>
      <c r="BS37" s="97"/>
      <c r="BT37" s="99" t="s">
        <v>100</v>
      </c>
      <c r="BU37" s="114">
        <v>0.56200000000000006</v>
      </c>
      <c r="BV37" s="114">
        <v>5.5010000000000003</v>
      </c>
      <c r="BW37" s="99"/>
      <c r="BX37" s="97"/>
      <c r="BY37" s="97"/>
      <c r="BZ37" s="99" t="s">
        <v>102</v>
      </c>
      <c r="CA37" s="114">
        <v>0.71899999999999997</v>
      </c>
      <c r="CB37" s="114">
        <v>5.1870000000000003</v>
      </c>
      <c r="CC37" s="98" t="s">
        <v>103</v>
      </c>
      <c r="CD37" s="119">
        <v>0.28000000000000003</v>
      </c>
      <c r="CE37" s="119">
        <v>6.0650000000000004</v>
      </c>
      <c r="CF37" s="98" t="s">
        <v>104</v>
      </c>
      <c r="CG37" s="119">
        <v>0.432</v>
      </c>
      <c r="CH37" s="119">
        <v>5.7610000000000001</v>
      </c>
      <c r="CI37" s="98" t="s">
        <v>105</v>
      </c>
      <c r="CJ37" s="114">
        <v>0.86399999999999999</v>
      </c>
      <c r="CK37" s="121">
        <v>4.8970000000000002</v>
      </c>
      <c r="CL37" s="32"/>
    </row>
    <row r="38" ht="14.9" customHeight="1">
      <c r="B38" s="50"/>
      <c r="C38" s="166" t="s">
        <v>119</v>
      </c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8"/>
      <c r="AL38" s="52"/>
      <c r="AM38" s="52"/>
      <c r="AN38" s="54"/>
      <c r="AR38" s="32"/>
      <c r="AS38" s="32"/>
      <c r="AT38" s="117">
        <v>200</v>
      </c>
      <c r="AU38" s="118">
        <v>219.09999999999999</v>
      </c>
      <c r="AV38" s="98" t="s">
        <v>94</v>
      </c>
      <c r="AW38" s="119">
        <v>0.109</v>
      </c>
      <c r="AX38" s="119">
        <v>8.407</v>
      </c>
      <c r="AY38" s="98" t="s">
        <v>95</v>
      </c>
      <c r="AZ38" s="119">
        <v>0.14799999999999999</v>
      </c>
      <c r="BA38" s="119">
        <v>8.3290000000000006</v>
      </c>
      <c r="BB38" s="99" t="s">
        <v>96</v>
      </c>
      <c r="BC38" s="114">
        <v>0.25</v>
      </c>
      <c r="BD38" s="114">
        <v>8.125</v>
      </c>
      <c r="BE38" s="99" t="s">
        <v>97</v>
      </c>
      <c r="BF38" s="114">
        <v>0.27700000000000002</v>
      </c>
      <c r="BG38" s="114">
        <v>8.0709999999999997</v>
      </c>
      <c r="BH38" s="98" t="s">
        <v>88</v>
      </c>
      <c r="BI38" s="114">
        <v>0.32200000000000001</v>
      </c>
      <c r="BJ38" s="114">
        <v>7.9809999999999999</v>
      </c>
      <c r="BK38" s="100" t="s">
        <v>98</v>
      </c>
      <c r="BL38" s="114">
        <v>0.40600000000000003</v>
      </c>
      <c r="BM38" s="114">
        <v>7.8129999999999997</v>
      </c>
      <c r="BN38" s="98" t="s">
        <v>89</v>
      </c>
      <c r="BO38" s="119">
        <v>0.5</v>
      </c>
      <c r="BP38" s="119">
        <v>7.625</v>
      </c>
      <c r="BQ38" s="99" t="s">
        <v>99</v>
      </c>
      <c r="BR38" s="114">
        <v>0.59399999999999997</v>
      </c>
      <c r="BS38" s="114">
        <v>7.4370000000000003</v>
      </c>
      <c r="BT38" s="99" t="s">
        <v>100</v>
      </c>
      <c r="BU38" s="119">
        <v>0.71899999999999997</v>
      </c>
      <c r="BV38" s="119">
        <v>7.1870000000000003</v>
      </c>
      <c r="BW38" s="99" t="s">
        <v>101</v>
      </c>
      <c r="BX38" s="114">
        <v>0.81200000000000006</v>
      </c>
      <c r="BY38" s="114">
        <v>7.0010000000000003</v>
      </c>
      <c r="BZ38" s="99" t="s">
        <v>102</v>
      </c>
      <c r="CA38" s="119">
        <v>0.90600000000000003</v>
      </c>
      <c r="CB38" s="119">
        <v>6.8129999999999997</v>
      </c>
      <c r="CC38" s="98" t="s">
        <v>103</v>
      </c>
      <c r="CD38" s="119">
        <v>0.32200000000000001</v>
      </c>
      <c r="CE38" s="119">
        <v>7.9809999999999999</v>
      </c>
      <c r="CF38" s="98" t="s">
        <v>104</v>
      </c>
      <c r="CG38" s="119">
        <v>0.5</v>
      </c>
      <c r="CH38" s="119">
        <v>7.625</v>
      </c>
      <c r="CI38" s="98" t="s">
        <v>105</v>
      </c>
      <c r="CJ38" s="119">
        <v>0.875</v>
      </c>
      <c r="CK38" s="133">
        <v>6.875</v>
      </c>
      <c r="CL38" s="32"/>
    </row>
    <row r="39" ht="14.9" customHeight="1">
      <c r="B39" s="50"/>
      <c r="C39" s="72" t="s">
        <v>155</v>
      </c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137"/>
      <c r="T39" s="207">
        <f>IF(T35="Inputs Ok",(IF(T17="Manual Input",1/((T14*((1/T26)+(T20/(1000*T21*T27))))^0.5),1/((T14*((1/T26)+(T18/(1000*T19*T27))))^0.5))),"-")</f>
        <v>1482.375115647842</v>
      </c>
      <c r="U39" s="208"/>
      <c r="V39" s="208"/>
      <c r="W39" s="208"/>
      <c r="X39" s="208"/>
      <c r="Y39" s="209"/>
      <c r="Z39" s="207">
        <f>IF(Z35="Inputs Ok",(IF(Z17="Manual Input",1/((Z14*((1/Z26)+(Z20/(1000*Z21*Z27))))^0.5),1/((Z14*((1/Z26)+(Z18/(1000*Z19*Z27))))^0.5))),"-")</f>
        <v>1482.6051680332394</v>
      </c>
      <c r="AA39" s="208"/>
      <c r="AB39" s="208"/>
      <c r="AC39" s="208"/>
      <c r="AD39" s="208"/>
      <c r="AE39" s="209"/>
      <c r="AF39" s="207">
        <f>IF(AF35="Inputs Ok",(IF(AF17="Manual Input",1/((AF14*((1/AF26)+(AF20/(1000*AF21*AF27))))^0.5),1/((AF14*((1/AF26)+(AF18/(1000*AF19*AF27))))^0.5))),"-")</f>
        <v>1482.6051680332394</v>
      </c>
      <c r="AG39" s="208"/>
      <c r="AH39" s="208"/>
      <c r="AI39" s="208"/>
      <c r="AJ39" s="208"/>
      <c r="AK39" s="209"/>
      <c r="AL39" s="52"/>
      <c r="AM39" s="52"/>
      <c r="AN39" s="54"/>
      <c r="AR39" s="32"/>
      <c r="AS39" s="32"/>
      <c r="AT39" s="117">
        <v>250</v>
      </c>
      <c r="AU39" s="118">
        <v>273.05000000000001</v>
      </c>
      <c r="AV39" s="98" t="s">
        <v>94</v>
      </c>
      <c r="AW39" s="119">
        <v>0.13400000000000001</v>
      </c>
      <c r="AX39" s="119">
        <v>10.481999999999999</v>
      </c>
      <c r="AY39" s="98" t="s">
        <v>95</v>
      </c>
      <c r="AZ39" s="119">
        <v>0.16500000000000001</v>
      </c>
      <c r="BA39" s="119">
        <v>10.42</v>
      </c>
      <c r="BB39" s="99" t="s">
        <v>96</v>
      </c>
      <c r="BC39" s="114">
        <v>0.25</v>
      </c>
      <c r="BD39" s="114">
        <v>10.25</v>
      </c>
      <c r="BE39" s="99" t="s">
        <v>97</v>
      </c>
      <c r="BF39" s="114">
        <v>0.307</v>
      </c>
      <c r="BG39" s="114">
        <v>10.135999999999999</v>
      </c>
      <c r="BH39" s="98" t="s">
        <v>88</v>
      </c>
      <c r="BI39" s="114">
        <v>0.36499999999999999</v>
      </c>
      <c r="BJ39" s="114">
        <v>10.02</v>
      </c>
      <c r="BK39" s="100" t="s">
        <v>98</v>
      </c>
      <c r="BL39" s="114">
        <v>0.5</v>
      </c>
      <c r="BM39" s="114">
        <v>9.75</v>
      </c>
      <c r="BN39" s="98" t="s">
        <v>89</v>
      </c>
      <c r="BO39" s="119">
        <v>0.59399999999999997</v>
      </c>
      <c r="BP39" s="119">
        <v>9.5619999999999994</v>
      </c>
      <c r="BQ39" s="99" t="s">
        <v>99</v>
      </c>
      <c r="BR39" s="114">
        <v>0.71899999999999997</v>
      </c>
      <c r="BS39" s="114">
        <v>9.3119999999999994</v>
      </c>
      <c r="BT39" s="99" t="s">
        <v>100</v>
      </c>
      <c r="BU39" s="119">
        <v>0.84399999999999997</v>
      </c>
      <c r="BV39" s="119">
        <v>9.0619999999999994</v>
      </c>
      <c r="BW39" s="99" t="s">
        <v>101</v>
      </c>
      <c r="BX39" s="114">
        <v>1</v>
      </c>
      <c r="BY39" s="114">
        <v>8.75</v>
      </c>
      <c r="BZ39" s="99" t="s">
        <v>102</v>
      </c>
      <c r="CA39" s="119">
        <v>1.125</v>
      </c>
      <c r="CB39" s="119">
        <v>8.5</v>
      </c>
      <c r="CC39" s="98" t="s">
        <v>103</v>
      </c>
      <c r="CD39" s="119">
        <v>0.36499999999999999</v>
      </c>
      <c r="CE39" s="119">
        <v>10.02</v>
      </c>
      <c r="CF39" s="98" t="s">
        <v>104</v>
      </c>
      <c r="CG39" s="119">
        <v>0.5</v>
      </c>
      <c r="CH39" s="119">
        <v>9.75</v>
      </c>
      <c r="CI39" s="98" t="s">
        <v>105</v>
      </c>
      <c r="CJ39" s="119">
        <v>1</v>
      </c>
      <c r="CK39" s="133">
        <v>8.75</v>
      </c>
      <c r="CL39" s="32"/>
    </row>
    <row r="40" ht="14.9" customHeight="1">
      <c r="B40" s="50"/>
      <c r="C40" s="78" t="s">
        <v>156</v>
      </c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142"/>
      <c r="T40" s="210">
        <f>IF(T35="Inputs Ok",((T15/T14)/((PI()/4)*((T22/1000)^2))),"-")</f>
        <v>2.8817758381026173</v>
      </c>
      <c r="U40" s="211"/>
      <c r="V40" s="211"/>
      <c r="W40" s="211"/>
      <c r="X40" s="211"/>
      <c r="Y40" s="212"/>
      <c r="Z40" s="210">
        <f>IF(Z35="Inputs Ok",((Z15/Z14)/((PI()/4)*((Z22/1000)^2))),"-")</f>
        <v>3.881234553170835</v>
      </c>
      <c r="AA40" s="211"/>
      <c r="AB40" s="211"/>
      <c r="AC40" s="211"/>
      <c r="AD40" s="211"/>
      <c r="AE40" s="212"/>
      <c r="AF40" s="210">
        <f>IF(AF35="Inputs Ok",((AF15/AF14)/((PI()/4)*((AF22/1000)^2))),"-")</f>
        <v>3.881234553170835</v>
      </c>
      <c r="AG40" s="211"/>
      <c r="AH40" s="211"/>
      <c r="AI40" s="211"/>
      <c r="AJ40" s="211"/>
      <c r="AK40" s="212"/>
      <c r="AL40" s="52"/>
      <c r="AM40" s="52"/>
      <c r="AN40" s="54"/>
      <c r="AR40" s="32"/>
      <c r="AS40" s="32"/>
      <c r="AT40" s="117">
        <v>300</v>
      </c>
      <c r="AU40" s="118">
        <v>323.85000000000002</v>
      </c>
      <c r="AV40" s="98" t="s">
        <v>94</v>
      </c>
      <c r="AW40" s="119">
        <v>0.156</v>
      </c>
      <c r="AX40" s="119">
        <v>12.438000000000001</v>
      </c>
      <c r="AY40" s="98" t="s">
        <v>95</v>
      </c>
      <c r="AZ40" s="119">
        <v>0.17999999999999999</v>
      </c>
      <c r="BA40" s="119">
        <v>12.390000000000001</v>
      </c>
      <c r="BB40" s="99" t="s">
        <v>96</v>
      </c>
      <c r="BC40" s="114">
        <v>0.25</v>
      </c>
      <c r="BD40" s="114">
        <v>12.25</v>
      </c>
      <c r="BE40" s="99" t="s">
        <v>97</v>
      </c>
      <c r="BF40" s="114">
        <v>0.33000000000000002</v>
      </c>
      <c r="BG40" s="114">
        <v>12.09</v>
      </c>
      <c r="BH40" s="98" t="s">
        <v>88</v>
      </c>
      <c r="BI40" s="114">
        <v>0.40600000000000003</v>
      </c>
      <c r="BJ40" s="114">
        <v>11.938000000000001</v>
      </c>
      <c r="BK40" s="100" t="s">
        <v>98</v>
      </c>
      <c r="BL40" s="114">
        <v>0.56200000000000006</v>
      </c>
      <c r="BM40" s="114">
        <v>11.625999999999999</v>
      </c>
      <c r="BN40" s="98" t="s">
        <v>89</v>
      </c>
      <c r="BO40" s="119">
        <v>0.68800000000000006</v>
      </c>
      <c r="BP40" s="119">
        <v>11.374000000000001</v>
      </c>
      <c r="BQ40" s="99" t="s">
        <v>99</v>
      </c>
      <c r="BR40" s="114">
        <v>0.84399999999999997</v>
      </c>
      <c r="BS40" s="114">
        <v>11.061999999999999</v>
      </c>
      <c r="BT40" s="99" t="s">
        <v>100</v>
      </c>
      <c r="BU40" s="119">
        <v>1</v>
      </c>
      <c r="BV40" s="119">
        <v>10.75</v>
      </c>
      <c r="BW40" s="99" t="s">
        <v>101</v>
      </c>
      <c r="BX40" s="114">
        <v>1.125</v>
      </c>
      <c r="BY40" s="114">
        <v>10.5</v>
      </c>
      <c r="BZ40" s="99" t="s">
        <v>102</v>
      </c>
      <c r="CA40" s="119">
        <v>1.3120000000000001</v>
      </c>
      <c r="CB40" s="119">
        <v>10.125999999999999</v>
      </c>
      <c r="CC40" s="98" t="s">
        <v>103</v>
      </c>
      <c r="CD40" s="119">
        <v>0.375</v>
      </c>
      <c r="CE40" s="119">
        <v>12</v>
      </c>
      <c r="CF40" s="98" t="s">
        <v>104</v>
      </c>
      <c r="CG40" s="119">
        <v>0.5</v>
      </c>
      <c r="CH40" s="119">
        <v>11.75</v>
      </c>
      <c r="CI40" s="98" t="s">
        <v>105</v>
      </c>
      <c r="CJ40" s="119">
        <v>1</v>
      </c>
      <c r="CK40" s="133">
        <v>10.75</v>
      </c>
      <c r="CL40" s="32"/>
    </row>
    <row r="41" ht="14.9" customHeight="1">
      <c r="B41" s="50"/>
      <c r="C41" s="78" t="s">
        <v>157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142"/>
      <c r="T41" s="213">
        <f>IF(T35="Inputs Ok",T14*T40*T39,"-")</f>
        <v>4546981.399036861</v>
      </c>
      <c r="U41" s="214"/>
      <c r="V41" s="214"/>
      <c r="W41" s="214"/>
      <c r="X41" s="214"/>
      <c r="Y41" s="215"/>
      <c r="Z41" s="213">
        <f>IF(Z35="Inputs Ok",Z14*Z40*Z39,"-")</f>
        <v>6124917.8002833501</v>
      </c>
      <c r="AA41" s="214"/>
      <c r="AB41" s="214"/>
      <c r="AC41" s="214"/>
      <c r="AD41" s="214"/>
      <c r="AE41" s="215"/>
      <c r="AF41" s="213">
        <f>IF(AF35="Inputs Ok",AF14*AF40*AF39,"-")</f>
        <v>6124917.8002833501</v>
      </c>
      <c r="AG41" s="214"/>
      <c r="AH41" s="214"/>
      <c r="AI41" s="214"/>
      <c r="AJ41" s="214"/>
      <c r="AK41" s="215"/>
      <c r="AL41" s="52"/>
      <c r="AM41" s="52"/>
      <c r="AN41" s="54"/>
      <c r="AR41" s="32"/>
      <c r="AS41" s="32"/>
      <c r="AT41" s="117">
        <v>350</v>
      </c>
      <c r="AU41" s="118">
        <v>355.60000000000002</v>
      </c>
      <c r="AV41" s="98" t="s">
        <v>94</v>
      </c>
      <c r="AW41" s="119">
        <v>0.156</v>
      </c>
      <c r="AX41" s="119">
        <v>13.688000000000001</v>
      </c>
      <c r="AY41" s="98" t="s">
        <v>95</v>
      </c>
      <c r="AZ41" s="119">
        <v>0.25</v>
      </c>
      <c r="BA41" s="119">
        <v>13.5</v>
      </c>
      <c r="BB41" s="99" t="s">
        <v>96</v>
      </c>
      <c r="BC41" s="119">
        <v>0.312</v>
      </c>
      <c r="BD41" s="119">
        <v>13.375999999999999</v>
      </c>
      <c r="BE41" s="99" t="s">
        <v>97</v>
      </c>
      <c r="BF41" s="119">
        <v>0.375</v>
      </c>
      <c r="BG41" s="119">
        <v>13.25</v>
      </c>
      <c r="BH41" s="98" t="s">
        <v>88</v>
      </c>
      <c r="BI41" s="119">
        <v>0.438</v>
      </c>
      <c r="BJ41" s="119">
        <v>13.124000000000001</v>
      </c>
      <c r="BK41" s="100" t="s">
        <v>98</v>
      </c>
      <c r="BL41" s="119">
        <v>0.59399999999999997</v>
      </c>
      <c r="BM41" s="119">
        <v>12.811999999999999</v>
      </c>
      <c r="BN41" s="98" t="s">
        <v>89</v>
      </c>
      <c r="BO41" s="114">
        <v>0.75</v>
      </c>
      <c r="BP41" s="114">
        <v>12.5</v>
      </c>
      <c r="BQ41" s="99" t="s">
        <v>99</v>
      </c>
      <c r="BR41" s="119">
        <v>0.93799999999999994</v>
      </c>
      <c r="BS41" s="119">
        <v>12.124000000000001</v>
      </c>
      <c r="BT41" s="99" t="s">
        <v>100</v>
      </c>
      <c r="BU41" s="119">
        <v>1.0940000000000001</v>
      </c>
      <c r="BV41" s="119">
        <v>11.811999999999999</v>
      </c>
      <c r="BW41" s="99" t="s">
        <v>101</v>
      </c>
      <c r="BX41" s="119">
        <v>1.25</v>
      </c>
      <c r="BY41" s="119">
        <v>11.5</v>
      </c>
      <c r="BZ41" s="99" t="s">
        <v>102</v>
      </c>
      <c r="CA41" s="119">
        <v>1.4059999999999999</v>
      </c>
      <c r="CB41" s="119">
        <v>11.188000000000001</v>
      </c>
      <c r="CC41" s="98" t="s">
        <v>103</v>
      </c>
      <c r="CD41" s="114">
        <v>0.375</v>
      </c>
      <c r="CE41" s="114">
        <v>13.25</v>
      </c>
      <c r="CF41" s="98" t="s">
        <v>104</v>
      </c>
      <c r="CG41" s="114">
        <v>0.5</v>
      </c>
      <c r="CH41" s="114">
        <v>13</v>
      </c>
      <c r="CI41" s="115"/>
      <c r="CJ41" s="97"/>
      <c r="CK41" s="101"/>
      <c r="CL41" s="32"/>
    </row>
    <row r="42" ht="14.9" customHeight="1">
      <c r="B42" s="50"/>
      <c r="C42" s="78" t="s">
        <v>158</v>
      </c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142"/>
      <c r="T42" s="90">
        <f>IF(T35="Inputs Ok",(T14*T39*T40*PI()*((T22^2)/(4*10^9))),"-")</f>
        <v>152.136158118938</v>
      </c>
      <c r="U42" s="91"/>
      <c r="V42" s="91"/>
      <c r="W42" s="91"/>
      <c r="X42" s="91"/>
      <c r="Y42" s="92"/>
      <c r="Z42" s="90">
        <f>IF(Z35="Inputs Ok",(Z14*Z39*Z40*PI()*((Z22^2)/(4*10^9))),"-")</f>
        <v>152.15976839525135</v>
      </c>
      <c r="AA42" s="91"/>
      <c r="AB42" s="91"/>
      <c r="AC42" s="91"/>
      <c r="AD42" s="91"/>
      <c r="AE42" s="92"/>
      <c r="AF42" s="90">
        <f>IF(AF35="Inputs Ok",(AF14*AF39*AF40*PI()*((AF22^2)/(4*10^9))),"-")</f>
        <v>152.15976839525135</v>
      </c>
      <c r="AG42" s="91"/>
      <c r="AH42" s="91"/>
      <c r="AI42" s="91"/>
      <c r="AJ42" s="91"/>
      <c r="AK42" s="92"/>
      <c r="AL42" s="52"/>
      <c r="AM42" s="52"/>
      <c r="AN42" s="54"/>
      <c r="AR42" s="32"/>
      <c r="AS42" s="32"/>
      <c r="AT42" s="117">
        <v>450</v>
      </c>
      <c r="AU42" s="118">
        <v>457.19999999999999</v>
      </c>
      <c r="AV42" s="98" t="s">
        <v>94</v>
      </c>
      <c r="AW42" s="119">
        <v>0.16500000000000001</v>
      </c>
      <c r="AX42" s="119">
        <v>17.670000000000002</v>
      </c>
      <c r="AY42" s="98" t="s">
        <v>95</v>
      </c>
      <c r="AZ42" s="119">
        <v>0.25</v>
      </c>
      <c r="BA42" s="119">
        <v>17.5</v>
      </c>
      <c r="BB42" s="99" t="s">
        <v>96</v>
      </c>
      <c r="BC42" s="119">
        <v>0.312</v>
      </c>
      <c r="BD42" s="119">
        <v>17.376000000000001</v>
      </c>
      <c r="BE42" s="99" t="s">
        <v>97</v>
      </c>
      <c r="BF42" s="119">
        <v>0.438</v>
      </c>
      <c r="BG42" s="119">
        <v>17.123999999999999</v>
      </c>
      <c r="BH42" s="98" t="s">
        <v>88</v>
      </c>
      <c r="BI42" s="119">
        <v>0.56200000000000006</v>
      </c>
      <c r="BJ42" s="119">
        <v>16.876000000000001</v>
      </c>
      <c r="BK42" s="100" t="s">
        <v>98</v>
      </c>
      <c r="BL42" s="119">
        <v>0.75</v>
      </c>
      <c r="BM42" s="119">
        <v>16.5</v>
      </c>
      <c r="BN42" s="98" t="s">
        <v>89</v>
      </c>
      <c r="BO42" s="114">
        <v>0.93800000000000006</v>
      </c>
      <c r="BP42" s="114">
        <v>16.123999999999999</v>
      </c>
      <c r="BQ42" s="99" t="s">
        <v>99</v>
      </c>
      <c r="BR42" s="119">
        <v>1.1559999999999999</v>
      </c>
      <c r="BS42" s="119">
        <v>15.688000000000001</v>
      </c>
      <c r="BT42" s="99" t="s">
        <v>100</v>
      </c>
      <c r="BU42" s="119">
        <v>1.375</v>
      </c>
      <c r="BV42" s="119">
        <v>15.25</v>
      </c>
      <c r="BW42" s="99" t="s">
        <v>101</v>
      </c>
      <c r="BX42" s="119">
        <v>1.5620000000000001</v>
      </c>
      <c r="BY42" s="119">
        <v>14.875999999999999</v>
      </c>
      <c r="BZ42" s="99" t="s">
        <v>102</v>
      </c>
      <c r="CA42" s="119">
        <v>1.7809999999999999</v>
      </c>
      <c r="CB42" s="119">
        <v>14.438000000000001</v>
      </c>
      <c r="CC42" s="98" t="s">
        <v>103</v>
      </c>
      <c r="CD42" s="114">
        <v>0.375</v>
      </c>
      <c r="CE42" s="114">
        <v>17.25</v>
      </c>
      <c r="CF42" s="98" t="s">
        <v>104</v>
      </c>
      <c r="CG42" s="114">
        <v>0.5</v>
      </c>
      <c r="CH42" s="114">
        <v>17</v>
      </c>
      <c r="CI42" s="115"/>
      <c r="CJ42" s="97"/>
      <c r="CK42" s="101"/>
      <c r="CL42" s="32"/>
    </row>
    <row r="43" ht="14.9" customHeight="1">
      <c r="B43" s="50"/>
      <c r="C43" s="78" t="s">
        <v>159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142"/>
      <c r="T43" s="216">
        <f>IF(T35="Inputs Ok",(IF(T28&gt;100,"-",IF(T42&lt;1,"-",IF(T29="full bore ball",((-1.281/T24)-0.27),IF(T29="Reduced bore ball",((-1.268/T24)-0.362),IF(T29="Butterfly",((-2.877/T24)-0.275),IF(T29="Globe",((-2.266/T24)-0.32),IF(T29="Gate",((-3.41/T24)-0.315),0)))))))),"-")</f>
        <v>-0.63462499999999999</v>
      </c>
      <c r="U43" s="217"/>
      <c r="V43" s="217"/>
      <c r="W43" s="217"/>
      <c r="X43" s="217"/>
      <c r="Y43" s="218"/>
      <c r="Z43" s="216">
        <f>IF(Z35="Inputs Ok",(IF(Z28&gt;100,"-",IF(Z42&lt;1,"-",IF(Z29="full bore ball",((-1.281/Z24)-0.27),IF(Z29="Reduced bore ball",((-1.268/Z24)-0.362),IF(Z29="Butterfly",((-2.877/Z24)-0.275),IF(Z29="Globe",((-2.266/Z24)-0.32),IF(Z29="Gate",((-3.41/Z24)-0.315),0)))))))),"-")</f>
        <v>-0.74124999999999996</v>
      </c>
      <c r="AA43" s="217"/>
      <c r="AB43" s="217"/>
      <c r="AC43" s="217"/>
      <c r="AD43" s="217"/>
      <c r="AE43" s="218"/>
      <c r="AF43" s="216">
        <f>IF(AF35="Inputs Ok",(IF(AF28&gt;100,"-",IF(AF42&lt;1,"-",IF(AF29="full bore ball",((-1.281/AF24)-0.27),IF(AF29="Reduced bore ball",((-1.268/AF24)-0.362),IF(AF29="Butterfly",((-2.877/AF24)-0.275),IF(AF29="Globe",((-2.266/AF24)-0.32),IF(AF29="Gate",((-3.41/AF24)-0.315),0)))))))),"-")</f>
        <v>-0.60325000000000006</v>
      </c>
      <c r="AG43" s="217"/>
      <c r="AH43" s="217"/>
      <c r="AI43" s="217"/>
      <c r="AJ43" s="217"/>
      <c r="AK43" s="218"/>
      <c r="AL43" s="52"/>
      <c r="AM43" s="52"/>
      <c r="AN43" s="54"/>
      <c r="AP43" s="143"/>
      <c r="AR43" s="32"/>
      <c r="AS43" s="32"/>
      <c r="AT43" s="117">
        <v>500</v>
      </c>
      <c r="AU43" s="118">
        <v>508</v>
      </c>
      <c r="AV43" s="98" t="s">
        <v>94</v>
      </c>
      <c r="AW43" s="119">
        <v>0.188</v>
      </c>
      <c r="AX43" s="119">
        <v>19.623999999999999</v>
      </c>
      <c r="AY43" s="98" t="s">
        <v>95</v>
      </c>
      <c r="AZ43" s="119">
        <v>0.25</v>
      </c>
      <c r="BA43" s="119">
        <v>19.5</v>
      </c>
      <c r="BB43" s="99" t="s">
        <v>96</v>
      </c>
      <c r="BC43" s="119">
        <v>0.375</v>
      </c>
      <c r="BD43" s="119">
        <v>19.25</v>
      </c>
      <c r="BE43" s="99" t="s">
        <v>97</v>
      </c>
      <c r="BF43" s="119">
        <v>0.5</v>
      </c>
      <c r="BG43" s="119">
        <v>19</v>
      </c>
      <c r="BH43" s="98" t="s">
        <v>88</v>
      </c>
      <c r="BI43" s="119">
        <v>0.59399999999999997</v>
      </c>
      <c r="BJ43" s="119">
        <v>18.812000000000001</v>
      </c>
      <c r="BK43" s="100" t="s">
        <v>98</v>
      </c>
      <c r="BL43" s="119">
        <v>0.81200000000000006</v>
      </c>
      <c r="BM43" s="119">
        <v>18.376000000000001</v>
      </c>
      <c r="BN43" s="98" t="s">
        <v>89</v>
      </c>
      <c r="BO43" s="119">
        <v>1.0309999999999999</v>
      </c>
      <c r="BP43" s="119">
        <v>17.937999999999999</v>
      </c>
      <c r="BQ43" s="99" t="s">
        <v>99</v>
      </c>
      <c r="BR43" s="119">
        <v>1.2809999999999999</v>
      </c>
      <c r="BS43" s="119">
        <v>17.437999999999999</v>
      </c>
      <c r="BT43" s="99" t="s">
        <v>100</v>
      </c>
      <c r="BU43" s="114">
        <v>1.5</v>
      </c>
      <c r="BV43" s="114">
        <v>17</v>
      </c>
      <c r="BW43" s="99" t="s">
        <v>101</v>
      </c>
      <c r="BX43" s="119">
        <v>1.75</v>
      </c>
      <c r="BY43" s="119">
        <v>16.5</v>
      </c>
      <c r="BZ43" s="99" t="s">
        <v>102</v>
      </c>
      <c r="CA43" s="114">
        <v>1.9690000000000001</v>
      </c>
      <c r="CB43" s="114">
        <v>16.062000000000001</v>
      </c>
      <c r="CC43" s="98" t="s">
        <v>103</v>
      </c>
      <c r="CD43" s="119">
        <v>0.375</v>
      </c>
      <c r="CE43" s="119">
        <v>19.25</v>
      </c>
      <c r="CF43" s="98" t="s">
        <v>104</v>
      </c>
      <c r="CG43" s="119">
        <v>0.5</v>
      </c>
      <c r="CH43" s="119">
        <v>19</v>
      </c>
      <c r="CI43" s="115"/>
      <c r="CJ43" s="97"/>
      <c r="CK43" s="101"/>
      <c r="CL43" s="32"/>
    </row>
    <row r="44" ht="14.9" customHeight="1">
      <c r="B44" s="50"/>
      <c r="C44" s="78" t="s">
        <v>160</v>
      </c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142"/>
      <c r="T44" s="219">
        <f>IF(T35="Inputs Ok",(IF(T28&gt;100,"-",IF(T42&lt;1,"-",(T14*T40*T28*T43)/T25))), "-")</f>
        <v>-8.8684498291241544e-004</v>
      </c>
      <c r="U44" s="220"/>
      <c r="V44" s="220"/>
      <c r="W44" s="220"/>
      <c r="X44" s="220"/>
      <c r="Y44" s="221"/>
      <c r="Z44" s="219">
        <f>IF(Z35="Inputs Ok",(IF(Z28&gt;100,"-",IF(Z42&lt;1,"-",(Z14*Z40*Z28*Z43)/Z25))), "-")</f>
        <v>-1.3950987087860234e-003</v>
      </c>
      <c r="AA44" s="220"/>
      <c r="AB44" s="220"/>
      <c r="AC44" s="220"/>
      <c r="AD44" s="220"/>
      <c r="AE44" s="221"/>
      <c r="AF44" s="219">
        <f>IF(AF35="Inputs Ok",(IF(AF28&gt;100,"-",IF(AF42&lt;1,"-",(AF14*AF40*AF28*AF43)/AF25))), "-")</f>
        <v>-1.1353703825634652e-003</v>
      </c>
      <c r="AG44" s="220"/>
      <c r="AH44" s="220"/>
      <c r="AI44" s="220"/>
      <c r="AJ44" s="220"/>
      <c r="AK44" s="221"/>
      <c r="AL44" s="52"/>
      <c r="AM44" s="52"/>
      <c r="AN44" s="54"/>
      <c r="AO44" s="2">
        <v>4</v>
      </c>
      <c r="AP44" s="143" t="s">
        <v>124</v>
      </c>
      <c r="AR44" s="32"/>
      <c r="AS44" s="32"/>
      <c r="AT44" s="117">
        <v>550</v>
      </c>
      <c r="AU44" s="118">
        <v>558.79999999999995</v>
      </c>
      <c r="AV44" s="98" t="s">
        <v>94</v>
      </c>
      <c r="AW44" s="119">
        <v>0.188</v>
      </c>
      <c r="AX44" s="119">
        <v>21.623999999999999</v>
      </c>
      <c r="AY44" s="98" t="s">
        <v>95</v>
      </c>
      <c r="AZ44" s="119">
        <v>0.25</v>
      </c>
      <c r="BA44" s="119">
        <v>23.5</v>
      </c>
      <c r="BB44" s="99" t="s">
        <v>96</v>
      </c>
      <c r="BC44" s="119">
        <v>0.375</v>
      </c>
      <c r="BD44" s="119">
        <v>21.25</v>
      </c>
      <c r="BE44" s="99" t="s">
        <v>97</v>
      </c>
      <c r="BF44" s="119">
        <v>0.5</v>
      </c>
      <c r="BG44" s="119">
        <v>21</v>
      </c>
      <c r="BH44" s="98" t="s">
        <v>88</v>
      </c>
      <c r="BI44" s="119"/>
      <c r="BJ44" s="119"/>
      <c r="BK44" s="100" t="s">
        <v>98</v>
      </c>
      <c r="BL44" s="119">
        <v>0.875</v>
      </c>
      <c r="BM44" s="119">
        <v>20.25</v>
      </c>
      <c r="BN44" s="98" t="s">
        <v>89</v>
      </c>
      <c r="BO44" s="119">
        <v>1.125</v>
      </c>
      <c r="BP44" s="119">
        <v>19.75</v>
      </c>
      <c r="BQ44" s="99" t="s">
        <v>99</v>
      </c>
      <c r="BR44" s="119">
        <v>1.375</v>
      </c>
      <c r="BS44" s="119">
        <v>19.25</v>
      </c>
      <c r="BT44" s="99" t="s">
        <v>100</v>
      </c>
      <c r="BU44" s="114">
        <v>1.625</v>
      </c>
      <c r="BV44" s="114">
        <v>18.75</v>
      </c>
      <c r="BW44" s="99" t="s">
        <v>101</v>
      </c>
      <c r="BX44" s="119">
        <v>1.875</v>
      </c>
      <c r="BY44" s="119">
        <v>20.125</v>
      </c>
      <c r="BZ44" s="99" t="s">
        <v>102</v>
      </c>
      <c r="CA44" s="114">
        <v>2.125</v>
      </c>
      <c r="CB44" s="114">
        <v>17.75</v>
      </c>
      <c r="CC44" s="98" t="s">
        <v>103</v>
      </c>
      <c r="CD44" s="114">
        <v>0.375</v>
      </c>
      <c r="CE44" s="114">
        <v>21.25</v>
      </c>
      <c r="CF44" s="98" t="s">
        <v>104</v>
      </c>
      <c r="CG44" s="114">
        <v>0.5</v>
      </c>
      <c r="CH44" s="114">
        <v>21</v>
      </c>
      <c r="CI44" s="115"/>
      <c r="CJ44" s="97"/>
      <c r="CK44" s="101"/>
      <c r="CL44" s="32"/>
    </row>
    <row r="45" ht="14.9" customHeight="1">
      <c r="B45" s="50"/>
      <c r="C45" s="78" t="s">
        <v>161</v>
      </c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142"/>
      <c r="T45" s="213">
        <f>IF(T35="Inputs Ok",(IF(T28&gt;100,"-",IF(T42&lt;1,"-",T25*(((T44^2)/2)+(T44^2)*(((1/4)+(1/(T44^2)))^0.5))))),"-")</f>
        <v>19474.881060598625</v>
      </c>
      <c r="U45" s="214"/>
      <c r="V45" s="214"/>
      <c r="W45" s="214"/>
      <c r="X45" s="214"/>
      <c r="Y45" s="215"/>
      <c r="Z45" s="213">
        <f>IF(Z35="Inputs Ok",(IF(Z28&gt;100,"-",IF(Z42&lt;1,"-",Z25*(((Z44^2)/2)+(Z44^2)*(((1/4)+(1/(Z44^2)))^0.5))))),"-")</f>
        <v>30643.784754874701</v>
      </c>
      <c r="AA45" s="214"/>
      <c r="AB45" s="214"/>
      <c r="AC45" s="214"/>
      <c r="AD45" s="214"/>
      <c r="AE45" s="215"/>
      <c r="AF45" s="213">
        <f>IF(AF35="Inputs Ok",(IF(AF28&gt;100,"-",IF(AF42&lt;1,"-",AF25*(((AF44^2)/2)+(AF44^2)*(((1/4)+(1/(AF44^2)))^0.5))))),"-")</f>
        <v>24935.531411244367</v>
      </c>
      <c r="AG45" s="214"/>
      <c r="AH45" s="214"/>
      <c r="AI45" s="214"/>
      <c r="AJ45" s="214"/>
      <c r="AK45" s="215"/>
      <c r="AL45" s="52"/>
      <c r="AM45" s="52"/>
      <c r="AN45" s="54"/>
      <c r="AO45" s="2">
        <v>2</v>
      </c>
      <c r="AP45" s="143" t="s">
        <v>116</v>
      </c>
      <c r="AR45" s="32"/>
      <c r="AS45" s="32"/>
      <c r="AT45" s="117">
        <v>600</v>
      </c>
      <c r="AU45" s="118">
        <v>609.60000000000002</v>
      </c>
      <c r="AV45" s="98" t="s">
        <v>94</v>
      </c>
      <c r="AW45" s="119">
        <v>0.218</v>
      </c>
      <c r="AX45" s="119">
        <v>23.564</v>
      </c>
      <c r="AY45" s="98" t="s">
        <v>95</v>
      </c>
      <c r="AZ45" s="119">
        <v>0.25</v>
      </c>
      <c r="BA45" s="119">
        <v>23.5</v>
      </c>
      <c r="BB45" s="99" t="s">
        <v>96</v>
      </c>
      <c r="BC45" s="119">
        <v>0.375</v>
      </c>
      <c r="BD45" s="119">
        <v>23.25</v>
      </c>
      <c r="BE45" s="99" t="s">
        <v>97</v>
      </c>
      <c r="BF45" s="119">
        <v>0.56200000000000006</v>
      </c>
      <c r="BG45" s="119">
        <v>22.876000000000001</v>
      </c>
      <c r="BH45" s="98" t="s">
        <v>88</v>
      </c>
      <c r="BI45" s="119">
        <v>0.68800000000000006</v>
      </c>
      <c r="BJ45" s="119">
        <v>22.623999999999999</v>
      </c>
      <c r="BK45" s="100" t="s">
        <v>98</v>
      </c>
      <c r="BL45" s="119">
        <v>0.96899999999999997</v>
      </c>
      <c r="BM45" s="119">
        <v>22.062000000000001</v>
      </c>
      <c r="BN45" s="98" t="s">
        <v>89</v>
      </c>
      <c r="BO45" s="119">
        <v>1.2190000000000001</v>
      </c>
      <c r="BP45" s="119">
        <v>21.562000000000001</v>
      </c>
      <c r="BQ45" s="99" t="s">
        <v>99</v>
      </c>
      <c r="BR45" s="119">
        <v>1.5309999999999999</v>
      </c>
      <c r="BS45" s="119">
        <v>20.937999999999999</v>
      </c>
      <c r="BT45" s="99" t="s">
        <v>100</v>
      </c>
      <c r="BU45" s="114">
        <v>1.8120000000000001</v>
      </c>
      <c r="BV45" s="114">
        <v>20.376000000000001</v>
      </c>
      <c r="BW45" s="99" t="s">
        <v>101</v>
      </c>
      <c r="BX45" s="119">
        <v>2.0619999999999998</v>
      </c>
      <c r="BY45" s="119">
        <v>19.876000000000001</v>
      </c>
      <c r="BZ45" s="99" t="s">
        <v>102</v>
      </c>
      <c r="CA45" s="114">
        <v>2.3439999999999999</v>
      </c>
      <c r="CB45" s="114">
        <v>19.312000000000001</v>
      </c>
      <c r="CC45" s="98" t="s">
        <v>103</v>
      </c>
      <c r="CD45" s="114">
        <v>0.375</v>
      </c>
      <c r="CE45" s="114">
        <v>23.25</v>
      </c>
      <c r="CF45" s="98" t="s">
        <v>104</v>
      </c>
      <c r="CG45" s="114">
        <v>0.5</v>
      </c>
      <c r="CH45" s="114">
        <v>23</v>
      </c>
      <c r="CI45" s="115"/>
      <c r="CJ45" s="97"/>
      <c r="CK45" s="101"/>
      <c r="CL45" s="32"/>
    </row>
    <row r="46" ht="14.9" customHeight="1">
      <c r="B46" s="50"/>
      <c r="C46" s="78" t="s">
        <v>162</v>
      </c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142"/>
      <c r="T46" s="213">
        <f>IF(T35="Inputs Ok",(IF(T28&gt;100,"-",IF(T42&lt;1,"-",IF(T30="Yes",(T45+T32-T25),("-"))))),"-")</f>
        <v>18469474.8810606</v>
      </c>
      <c r="U46" s="214"/>
      <c r="V46" s="214"/>
      <c r="W46" s="214"/>
      <c r="X46" s="214"/>
      <c r="Y46" s="215"/>
      <c r="Z46" s="213">
        <f>IF(Z35="Inputs Ok",(IF(Z28&gt;100,"-",IF(Z42&lt;1,"-",IF(Z30="Yes",(Z45+Z32-Z25),("-"))))),"-")</f>
        <v>18480643.784754872</v>
      </c>
      <c r="AA46" s="214"/>
      <c r="AB46" s="214"/>
      <c r="AC46" s="214"/>
      <c r="AD46" s="214"/>
      <c r="AE46" s="215"/>
      <c r="AF46" s="213" t="str">
        <f>IF(AF35="Inputs Ok",(IF(AF28&gt;100,"-",IF(AF42&lt;1,"-",IF(AF30="Yes",(AF45+AF32-AF25),("-"))))),"-")</f>
        <v>-</v>
      </c>
      <c r="AG46" s="214"/>
      <c r="AH46" s="214"/>
      <c r="AI46" s="214"/>
      <c r="AJ46" s="214"/>
      <c r="AK46" s="215"/>
      <c r="AL46" s="52"/>
      <c r="AM46" s="52"/>
      <c r="AN46" s="54"/>
      <c r="AO46" s="2">
        <v>1</v>
      </c>
      <c r="AP46" s="143" t="s">
        <v>126</v>
      </c>
      <c r="AR46" s="32"/>
      <c r="AS46" s="32"/>
      <c r="AT46" s="117">
        <v>650</v>
      </c>
      <c r="AU46" s="118">
        <v>660.39999999999998</v>
      </c>
      <c r="AV46" s="98"/>
      <c r="AW46" s="119"/>
      <c r="AX46" s="119"/>
      <c r="AY46" s="98" t="s">
        <v>95</v>
      </c>
      <c r="AZ46" s="119">
        <v>0.312</v>
      </c>
      <c r="BA46" s="119">
        <v>25.376000000000001</v>
      </c>
      <c r="BB46" s="99" t="s">
        <v>96</v>
      </c>
      <c r="BC46" s="119">
        <v>0.5</v>
      </c>
      <c r="BD46" s="119">
        <v>25</v>
      </c>
      <c r="BE46" s="99" t="s">
        <v>97</v>
      </c>
      <c r="BF46" s="119"/>
      <c r="BG46" s="119"/>
      <c r="BH46" s="99"/>
      <c r="BI46" s="119"/>
      <c r="BJ46" s="119"/>
      <c r="BK46" s="99"/>
      <c r="BL46" s="97"/>
      <c r="BM46" s="97"/>
      <c r="BN46" s="97"/>
      <c r="BO46" s="97"/>
      <c r="BP46" s="97"/>
      <c r="BQ46" s="97"/>
      <c r="BR46" s="97"/>
      <c r="BS46" s="97"/>
      <c r="BT46" s="97"/>
      <c r="BU46" s="120"/>
      <c r="BV46" s="97"/>
      <c r="BW46" s="97"/>
      <c r="BX46" s="97"/>
      <c r="BY46" s="97"/>
      <c r="BZ46" s="97"/>
      <c r="CA46" s="119"/>
      <c r="CB46" s="119"/>
      <c r="CC46" s="98" t="s">
        <v>103</v>
      </c>
      <c r="CD46" s="114">
        <v>0.375</v>
      </c>
      <c r="CE46" s="114">
        <v>25.25</v>
      </c>
      <c r="CF46" s="98" t="s">
        <v>104</v>
      </c>
      <c r="CG46" s="114">
        <v>0.5</v>
      </c>
      <c r="CH46" s="114">
        <v>25</v>
      </c>
      <c r="CI46" s="115"/>
      <c r="CJ46" s="97"/>
      <c r="CK46" s="101"/>
      <c r="CL46" s="32"/>
    </row>
    <row r="47" ht="14.9" customHeight="1">
      <c r="B47" s="50"/>
      <c r="C47" s="78" t="s">
        <v>158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142"/>
      <c r="T47" s="93">
        <f>IF(T35="Inputs Ok",(IF(T28&gt;100,"-",IF(T42&lt;1,"-",IF(T30="No",((T45*PI()*((T22^2)/(4*10^9)))),IF(T46&gt;T31,"-",((T45*PI()*((T22^2)/(4*10^9))))))))),"-")</f>
        <v>0.65160450953468363</v>
      </c>
      <c r="U47" s="94"/>
      <c r="V47" s="94"/>
      <c r="W47" s="94"/>
      <c r="X47" s="94"/>
      <c r="Y47" s="95"/>
      <c r="Z47" s="93">
        <f>IF(Z35="Inputs Ok",(IF(Z28&gt;100,"-",IF(Z42&lt;1,"-",IF(Z30="No",((Z45*PI()*((Z22^2)/(4*10^9)))),IF(Z46&gt;Z31,"-",((Z45*PI()*((Z22^2)/(4*10^9))))))))),"-")</f>
        <v>0.76127571717614895</v>
      </c>
      <c r="AA47" s="94"/>
      <c r="AB47" s="94"/>
      <c r="AC47" s="94"/>
      <c r="AD47" s="94"/>
      <c r="AE47" s="95"/>
      <c r="AF47" s="93">
        <f>IF(AF35="Inputs Ok",(IF(AF28&gt;100,"-",IF(AF42&lt;1,"-",IF(AF30="No",((AF45*PI()*((AF22^2)/(4*10^9)))),IF(AF46&gt;AF31,"-",((AF45*PI()*((AF22^2)/(4*10^9))))))))),"-")</f>
        <v>0.619467037446924</v>
      </c>
      <c r="AG47" s="94"/>
      <c r="AH47" s="94"/>
      <c r="AI47" s="94"/>
      <c r="AJ47" s="94"/>
      <c r="AK47" s="95"/>
      <c r="AL47" s="52"/>
      <c r="AM47" s="52"/>
      <c r="AN47" s="54"/>
      <c r="AO47" s="2">
        <v>0.5</v>
      </c>
      <c r="AP47" s="2" t="s">
        <v>127</v>
      </c>
      <c r="AR47" s="32"/>
      <c r="AS47" s="32"/>
      <c r="AT47" s="117">
        <v>700</v>
      </c>
      <c r="AU47" s="118">
        <v>711.20000000000005</v>
      </c>
      <c r="AV47" s="98"/>
      <c r="AW47" s="119"/>
      <c r="AX47" s="119"/>
      <c r="AY47" s="98" t="s">
        <v>95</v>
      </c>
      <c r="AZ47" s="119">
        <v>0.312</v>
      </c>
      <c r="BA47" s="119">
        <v>27.376000000000001</v>
      </c>
      <c r="BB47" s="99" t="s">
        <v>96</v>
      </c>
      <c r="BC47" s="119">
        <v>0.5</v>
      </c>
      <c r="BD47" s="119">
        <v>27</v>
      </c>
      <c r="BE47" s="99" t="s">
        <v>97</v>
      </c>
      <c r="BF47" s="119">
        <v>0.625</v>
      </c>
      <c r="BG47" s="119">
        <v>26.75</v>
      </c>
      <c r="BH47" s="99"/>
      <c r="BI47" s="119"/>
      <c r="BJ47" s="119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120"/>
      <c r="BV47" s="97"/>
      <c r="BW47" s="97"/>
      <c r="BX47" s="97"/>
      <c r="BY47" s="97"/>
      <c r="BZ47" s="97"/>
      <c r="CA47" s="120"/>
      <c r="CB47" s="97"/>
      <c r="CC47" s="98" t="s">
        <v>103</v>
      </c>
      <c r="CD47" s="119">
        <v>0.375</v>
      </c>
      <c r="CE47" s="119">
        <v>27.25</v>
      </c>
      <c r="CF47" s="98" t="s">
        <v>104</v>
      </c>
      <c r="CG47" s="119">
        <v>0.5</v>
      </c>
      <c r="CH47" s="119">
        <v>27</v>
      </c>
      <c r="CI47" s="115"/>
      <c r="CJ47" s="97"/>
      <c r="CK47" s="101"/>
      <c r="CL47" s="32"/>
    </row>
    <row r="48" ht="14.9" customHeight="1">
      <c r="B48" s="50"/>
      <c r="C48" s="78" t="s">
        <v>72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142"/>
      <c r="T48" s="93">
        <f>IF(T35="Inputs Ok",(IF(T28&gt;100,"-",IF(T42&lt;1,"-",IF(AND(T30="Yes",T46&gt;T31),"-",IF(T17="Manual Input",(T21/T23),T19/T23))))),"-")</f>
        <v>0.77639751552795033</v>
      </c>
      <c r="U48" s="94"/>
      <c r="V48" s="94"/>
      <c r="W48" s="94"/>
      <c r="X48" s="94"/>
      <c r="Y48" s="95"/>
      <c r="Z48" s="93">
        <f>IF(Z35="Inputs Ok",(IF(Z28&gt;100,"-",IF(Z42&lt;1,"-",IF(AND(Z30="Yes",Z46&gt;Z31),"-",IF(Z17="Manual Input",(Z21/Z23),Z19/Z23))))),"-")</f>
        <v>2.5217391304347831</v>
      </c>
      <c r="AA48" s="94"/>
      <c r="AB48" s="94"/>
      <c r="AC48" s="94"/>
      <c r="AD48" s="94"/>
      <c r="AE48" s="95"/>
      <c r="AF48" s="93">
        <f>IF(AF35="Inputs Ok",(IF(AF28&gt;100,"-",IF(AF42&lt;1,"-",IF(AND(AF30="Yes",AF46&gt;AF31),"-",IF(AF17="Manual Input",(AF21/AF23),AF19/AF23))))),"-")</f>
        <v>2.5217391304347831</v>
      </c>
      <c r="AG48" s="94"/>
      <c r="AH48" s="94"/>
      <c r="AI48" s="94"/>
      <c r="AJ48" s="94"/>
      <c r="AK48" s="95"/>
      <c r="AL48" s="52"/>
      <c r="AM48" s="52"/>
      <c r="AN48" s="54"/>
      <c r="AR48" s="32"/>
      <c r="AS48" s="32"/>
      <c r="AT48" s="117">
        <v>750</v>
      </c>
      <c r="AU48" s="118">
        <v>762</v>
      </c>
      <c r="AV48" s="98" t="s">
        <v>94</v>
      </c>
      <c r="AW48" s="119">
        <v>0.25</v>
      </c>
      <c r="AX48" s="119">
        <v>29.5</v>
      </c>
      <c r="AY48" s="98" t="s">
        <v>95</v>
      </c>
      <c r="AZ48" s="119">
        <v>0.312</v>
      </c>
      <c r="BA48" s="119">
        <v>29.376000000000001</v>
      </c>
      <c r="BB48" s="99" t="s">
        <v>96</v>
      </c>
      <c r="BC48" s="119">
        <v>0.5</v>
      </c>
      <c r="BD48" s="119">
        <v>29</v>
      </c>
      <c r="BE48" s="99" t="s">
        <v>97</v>
      </c>
      <c r="BF48" s="119">
        <v>0.625</v>
      </c>
      <c r="BG48" s="119">
        <v>28.75</v>
      </c>
      <c r="BH48" s="99"/>
      <c r="BI48" s="119"/>
      <c r="BJ48" s="119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120"/>
      <c r="BV48" s="97"/>
      <c r="BW48" s="97"/>
      <c r="BX48" s="97"/>
      <c r="BY48" s="97"/>
      <c r="BZ48" s="97"/>
      <c r="CA48" s="120"/>
      <c r="CB48" s="97"/>
      <c r="CC48" s="98" t="s">
        <v>103</v>
      </c>
      <c r="CD48" s="119">
        <v>0.375</v>
      </c>
      <c r="CE48" s="119">
        <v>29.25</v>
      </c>
      <c r="CF48" s="98" t="s">
        <v>104</v>
      </c>
      <c r="CG48" s="119">
        <v>0.5</v>
      </c>
      <c r="CH48" s="119">
        <v>29</v>
      </c>
      <c r="CI48" s="115"/>
      <c r="CJ48" s="97"/>
      <c r="CK48" s="101"/>
      <c r="CL48" s="32"/>
    </row>
    <row r="49" ht="14.9" customHeight="1">
      <c r="B49" s="50"/>
      <c r="C49" s="78" t="s">
        <v>163</v>
      </c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142"/>
      <c r="T49" s="93">
        <f>IF(T35="Inputs Ok",(IF(T28&gt;100,"-",IF(T42&lt;1,"-",IF(AND(T30="Yes",T46&gt;T31),"-",IF(T17="Manual Input",((16.8*T48^3)-(1.81*T48^2)+(525*T48)+25.3)*T20*T34*PI()*((T22^2)/(4*10^9)),((16.8*T48^3)-(1.81*T48^2)+(525*T48)+25.3)*T18*T34*PI()*((T22^2)/(4*10^9))))))),"-")</f>
        <v>6.4464186791661717</v>
      </c>
      <c r="U49" s="94"/>
      <c r="V49" s="94"/>
      <c r="W49" s="94"/>
      <c r="X49" s="94"/>
      <c r="Y49" s="95"/>
      <c r="Z49" s="93">
        <f>IF(Z35="Inputs Ok",(IF(Z28&gt;100,"-",IF(Z42&lt;1,"-",IF(AND(Z30="Yes",Z46&gt;Z31),"-",IF(Z17="Manual Input",((16.8*Z48^3)-(1.81*Z48^2)+(525*Z48)+25.3)*Z20*Z34*PI()*((Z22^2)/(4*10^9)),((16.8*Z48^3)-(1.81*Z48^2)+(525*Z48)+25.3)*Z18*Z34*PI()*((Z22^2)/(4*10^9))))))),"-")</f>
        <v>17.495150551485093</v>
      </c>
      <c r="AA49" s="94"/>
      <c r="AB49" s="94"/>
      <c r="AC49" s="94"/>
      <c r="AD49" s="94"/>
      <c r="AE49" s="95"/>
      <c r="AF49" s="93">
        <f>IF(AF35="Inputs Ok",(IF(AF28&gt;100,"-",IF(AF42&lt;1,"-",IF(AND(AF30="Yes",AF46&gt;AF31),"-",IF(AF17="Manual Input",((16.8*AF48^3)-(1.81*AF48^2)+(525*AF48)+25.3)*AF20*AF34*PI()*((AF22^2)/(4*10^9)),((16.8*AF48^3)-(1.81*AF48^2)+(525*AF48)+25.3)*AF18*AF34*PI()*((AF22^2)/(4*10^9))))))),"-")</f>
        <v>17.495150551485093</v>
      </c>
      <c r="AG49" s="94"/>
      <c r="AH49" s="94"/>
      <c r="AI49" s="94"/>
      <c r="AJ49" s="94"/>
      <c r="AK49" s="95"/>
      <c r="AL49" s="52"/>
      <c r="AM49" s="52"/>
      <c r="AN49" s="54"/>
      <c r="AR49" s="32"/>
      <c r="AS49" s="32"/>
      <c r="AT49" s="117">
        <v>800</v>
      </c>
      <c r="AU49" s="118">
        <v>812.79999999999995</v>
      </c>
      <c r="AV49" s="98"/>
      <c r="AW49" s="119"/>
      <c r="AX49" s="119"/>
      <c r="AY49" s="98" t="s">
        <v>95</v>
      </c>
      <c r="AZ49" s="119">
        <v>0.312</v>
      </c>
      <c r="BA49" s="119">
        <v>31.376000000000001</v>
      </c>
      <c r="BB49" s="99" t="s">
        <v>96</v>
      </c>
      <c r="BC49" s="119">
        <v>0.5</v>
      </c>
      <c r="BD49" s="119">
        <v>31</v>
      </c>
      <c r="BE49" s="99" t="s">
        <v>97</v>
      </c>
      <c r="BF49" s="119">
        <v>0.625</v>
      </c>
      <c r="BG49" s="119">
        <v>30.75</v>
      </c>
      <c r="BH49" s="98" t="s">
        <v>88</v>
      </c>
      <c r="BI49" s="119">
        <v>0.68800000000000006</v>
      </c>
      <c r="BJ49" s="119">
        <v>30.623999999999999</v>
      </c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120"/>
      <c r="BV49" s="97"/>
      <c r="BW49" s="97"/>
      <c r="BX49" s="97"/>
      <c r="BY49" s="97"/>
      <c r="BZ49" s="97"/>
      <c r="CA49" s="120"/>
      <c r="CB49" s="97"/>
      <c r="CC49" s="98" t="s">
        <v>103</v>
      </c>
      <c r="CD49" s="119">
        <v>0.375</v>
      </c>
      <c r="CE49" s="119">
        <v>31.25</v>
      </c>
      <c r="CF49" s="98" t="s">
        <v>104</v>
      </c>
      <c r="CG49" s="119">
        <v>0.5</v>
      </c>
      <c r="CH49" s="119">
        <v>31</v>
      </c>
      <c r="CI49" s="115"/>
      <c r="CJ49" s="97"/>
      <c r="CK49" s="101"/>
      <c r="CL49" s="32"/>
    </row>
    <row r="50" ht="44.25" customHeight="1">
      <c r="B50" s="50"/>
      <c r="C50" s="144" t="s">
        <v>125</v>
      </c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6"/>
      <c r="T50" s="222">
        <f>IF(T35="Inputs Ok",(IF(T28&gt;100,"Lup&gt;100m detailed surge analysis",IF(T42&lt;1,"Fmax &lt; 1 kN LOF=0.0",IF(AND(T30="Yes",T46&gt;T31),"Ptotal&gt;Pdes detailed surge analysis",T47/T49)))),"Input Error")</f>
        <v>0.10108007902753333</v>
      </c>
      <c r="U50" s="223"/>
      <c r="V50" s="223"/>
      <c r="W50" s="223"/>
      <c r="X50" s="223"/>
      <c r="Y50" s="224"/>
      <c r="Z50" s="222">
        <f>IF(Z35="Inputs Ok",(IF(Z28&gt;100,"Lup&gt;100m detailed surge analysis",IF(Z42&lt;1,"Fmax &lt; 1 kN LOF=0.0",IF(AND(Z30="Yes",Z46&gt;Z31),"Ptotal&gt;Pdes detailed surge analysis",Z47/Z49)))),"Input Error")</f>
        <v>4.3513527645038033e-002</v>
      </c>
      <c r="AA50" s="223"/>
      <c r="AB50" s="223"/>
      <c r="AC50" s="223"/>
      <c r="AD50" s="223"/>
      <c r="AE50" s="224"/>
      <c r="AF50" s="222">
        <f>IF(AF35="Inputs Ok",(IF(AF28&gt;100,"Lup&gt;100m detailed surge analysis",IF(AF42&lt;1,"Fmax &lt; 1 kN LOF=0.0",IF(AND(AF30="Yes",AF46&gt;AF31),"Ptotal&gt;Pdes detailed surge analysis",AF47/AF49)))),"Input Error")</f>
        <v>3.5407928364145455e-002</v>
      </c>
      <c r="AG50" s="223"/>
      <c r="AH50" s="223"/>
      <c r="AI50" s="223"/>
      <c r="AJ50" s="223"/>
      <c r="AK50" s="224"/>
      <c r="AL50" s="52"/>
      <c r="AM50" s="52"/>
      <c r="AN50" s="54"/>
      <c r="AR50" s="32"/>
      <c r="AS50" s="32"/>
      <c r="AT50" s="117">
        <v>850</v>
      </c>
      <c r="AU50" s="118">
        <v>863.60000000000002</v>
      </c>
      <c r="AV50" s="98"/>
      <c r="AW50" s="119"/>
      <c r="AX50" s="119"/>
      <c r="AY50" s="98" t="s">
        <v>95</v>
      </c>
      <c r="AZ50" s="119">
        <v>0.312</v>
      </c>
      <c r="BA50" s="119">
        <v>33.375999999999998</v>
      </c>
      <c r="BB50" s="99" t="s">
        <v>96</v>
      </c>
      <c r="BC50" s="119">
        <v>0.5</v>
      </c>
      <c r="BD50" s="119">
        <v>33</v>
      </c>
      <c r="BE50" s="99" t="s">
        <v>97</v>
      </c>
      <c r="BF50" s="119">
        <v>0.625</v>
      </c>
      <c r="BG50" s="119">
        <v>32.75</v>
      </c>
      <c r="BH50" s="98" t="s">
        <v>88</v>
      </c>
      <c r="BI50" s="119">
        <v>0.68800000000000006</v>
      </c>
      <c r="BJ50" s="119">
        <v>32.624000000000002</v>
      </c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120"/>
      <c r="BV50" s="97"/>
      <c r="BW50" s="97"/>
      <c r="BX50" s="97"/>
      <c r="BY50" s="97"/>
      <c r="BZ50" s="97"/>
      <c r="CA50" s="120"/>
      <c r="CB50" s="97"/>
      <c r="CC50" s="98" t="s">
        <v>103</v>
      </c>
      <c r="CD50" s="119">
        <v>0.375</v>
      </c>
      <c r="CE50" s="119">
        <v>33.25</v>
      </c>
      <c r="CF50" s="98" t="s">
        <v>104</v>
      </c>
      <c r="CG50" s="119">
        <v>0.5</v>
      </c>
      <c r="CH50" s="119">
        <v>33</v>
      </c>
      <c r="CI50" s="115"/>
      <c r="CJ50" s="97"/>
      <c r="CK50" s="101"/>
      <c r="CL50" s="32"/>
    </row>
    <row r="51" ht="38.25" customHeight="1">
      <c r="B51" s="58" t="e">
        <f>disclaimer</f>
        <v>#REF!</v>
      </c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58"/>
      <c r="AM51" s="58"/>
      <c r="AN51" s="58"/>
      <c r="AR51" s="32"/>
      <c r="AS51" s="32"/>
      <c r="AT51" s="117">
        <v>900</v>
      </c>
      <c r="AU51" s="118">
        <v>914.39999999999998</v>
      </c>
      <c r="AV51" s="98"/>
      <c r="AW51" s="119"/>
      <c r="AX51" s="119"/>
      <c r="AY51" s="98" t="s">
        <v>95</v>
      </c>
      <c r="AZ51" s="119">
        <v>0.312</v>
      </c>
      <c r="BA51" s="119">
        <v>35.375999999999998</v>
      </c>
      <c r="BB51" s="99" t="s">
        <v>96</v>
      </c>
      <c r="BC51" s="119">
        <v>0.5</v>
      </c>
      <c r="BD51" s="119">
        <v>35</v>
      </c>
      <c r="BE51" s="99" t="s">
        <v>97</v>
      </c>
      <c r="BF51" s="119">
        <v>0.625</v>
      </c>
      <c r="BG51" s="119">
        <v>34.75</v>
      </c>
      <c r="BH51" s="98" t="s">
        <v>88</v>
      </c>
      <c r="BI51" s="119">
        <v>0.75</v>
      </c>
      <c r="BJ51" s="119">
        <v>34.5</v>
      </c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120"/>
      <c r="BV51" s="97"/>
      <c r="BW51" s="97"/>
      <c r="BX51" s="97"/>
      <c r="BY51" s="97"/>
      <c r="BZ51" s="97"/>
      <c r="CA51" s="120"/>
      <c r="CB51" s="97"/>
      <c r="CC51" s="98" t="s">
        <v>103</v>
      </c>
      <c r="CD51" s="119">
        <v>0.375</v>
      </c>
      <c r="CE51" s="119">
        <v>35.25</v>
      </c>
      <c r="CF51" s="98" t="s">
        <v>104</v>
      </c>
      <c r="CG51" s="119">
        <v>0.5</v>
      </c>
      <c r="CH51" s="119">
        <v>35</v>
      </c>
      <c r="CI51" s="115"/>
      <c r="CJ51" s="97"/>
      <c r="CK51" s="101"/>
      <c r="CL51" s="32"/>
    </row>
    <row r="52" ht="14.9" customHeight="1">
      <c r="B52" s="2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26"/>
      <c r="AR52" s="32"/>
      <c r="AS52" s="32"/>
      <c r="AT52" s="117">
        <v>950</v>
      </c>
      <c r="AU52" s="118">
        <v>965.20000000000005</v>
      </c>
      <c r="AV52" s="98"/>
      <c r="AW52" s="119"/>
      <c r="AX52" s="119"/>
      <c r="AY52" s="97"/>
      <c r="AZ52" s="119"/>
      <c r="BA52" s="119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120"/>
      <c r="BV52" s="97"/>
      <c r="BW52" s="97"/>
      <c r="BX52" s="97"/>
      <c r="BY52" s="97"/>
      <c r="BZ52" s="97"/>
      <c r="CA52" s="120"/>
      <c r="CB52" s="97"/>
      <c r="CC52" s="98" t="s">
        <v>103</v>
      </c>
      <c r="CD52" s="119">
        <v>0.375</v>
      </c>
      <c r="CE52" s="119">
        <v>37.25</v>
      </c>
      <c r="CF52" s="98" t="s">
        <v>104</v>
      </c>
      <c r="CG52" s="119">
        <v>0.5</v>
      </c>
      <c r="CH52" s="119">
        <v>37</v>
      </c>
      <c r="CI52" s="115"/>
      <c r="CJ52" s="97"/>
      <c r="CK52" s="101"/>
      <c r="CL52" s="32"/>
    </row>
    <row r="53" ht="42" customHeight="1">
      <c r="B53" s="22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26"/>
      <c r="AR53" s="32"/>
      <c r="AS53" s="32"/>
      <c r="AT53" s="117">
        <v>1000</v>
      </c>
      <c r="AU53" s="118">
        <v>1016</v>
      </c>
      <c r="AV53" s="98"/>
      <c r="AW53" s="119"/>
      <c r="AX53" s="119"/>
      <c r="AY53" s="97"/>
      <c r="AZ53" s="119"/>
      <c r="BA53" s="119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120"/>
      <c r="BV53" s="97"/>
      <c r="BW53" s="97"/>
      <c r="BX53" s="97"/>
      <c r="BY53" s="97"/>
      <c r="BZ53" s="97"/>
      <c r="CA53" s="120"/>
      <c r="CB53" s="97"/>
      <c r="CC53" s="98" t="s">
        <v>103</v>
      </c>
      <c r="CD53" s="114">
        <v>0.375</v>
      </c>
      <c r="CE53" s="114">
        <v>39.25</v>
      </c>
      <c r="CF53" s="98" t="s">
        <v>104</v>
      </c>
      <c r="CG53" s="114">
        <v>0.5</v>
      </c>
      <c r="CH53" s="114">
        <v>39</v>
      </c>
      <c r="CI53" s="115"/>
      <c r="CJ53" s="97"/>
      <c r="CK53" s="101"/>
      <c r="CL53" s="32"/>
    </row>
    <row r="54" ht="39.75" customHeight="1">
      <c r="B54" s="22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26"/>
      <c r="AR54" s="32"/>
      <c r="AS54" s="32"/>
      <c r="AT54" s="117">
        <v>1050</v>
      </c>
      <c r="AU54" s="118">
        <v>1066.8</v>
      </c>
      <c r="AV54" s="98"/>
      <c r="AW54" s="119"/>
      <c r="AX54" s="119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150"/>
      <c r="BJ54" s="97"/>
      <c r="BK54" s="97"/>
      <c r="BL54" s="97"/>
      <c r="BM54" s="97"/>
      <c r="BN54" s="97"/>
      <c r="BO54" s="97"/>
      <c r="BP54" s="150"/>
      <c r="BQ54" s="150"/>
      <c r="BR54" s="150"/>
      <c r="BS54" s="150"/>
      <c r="BT54" s="97"/>
      <c r="BU54" s="97"/>
      <c r="BV54" s="97"/>
      <c r="BW54" s="97"/>
      <c r="BX54" s="97"/>
      <c r="BY54" s="97"/>
      <c r="BZ54" s="150"/>
      <c r="CA54" s="97"/>
      <c r="CB54" s="97"/>
      <c r="CC54" s="98" t="s">
        <v>103</v>
      </c>
      <c r="CD54" s="114">
        <v>0.375</v>
      </c>
      <c r="CE54" s="114">
        <v>41.25</v>
      </c>
      <c r="CF54" s="98" t="s">
        <v>104</v>
      </c>
      <c r="CG54" s="114">
        <v>0.5</v>
      </c>
      <c r="CH54" s="114">
        <v>41</v>
      </c>
      <c r="CI54" s="115"/>
      <c r="CJ54" s="97"/>
      <c r="CK54" s="101"/>
      <c r="CL54" s="32"/>
    </row>
    <row r="55" ht="40.5" customHeight="1">
      <c r="B55" s="22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26"/>
      <c r="AR55" s="32"/>
      <c r="AS55" s="32"/>
      <c r="AT55" s="110">
        <v>1100</v>
      </c>
      <c r="AU55" s="113">
        <v>1117.5999999999999</v>
      </c>
      <c r="AV55" s="98"/>
      <c r="AW55" s="114"/>
      <c r="AX55" s="114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98" t="s">
        <v>103</v>
      </c>
      <c r="CD55" s="114">
        <v>0.375</v>
      </c>
      <c r="CE55" s="114">
        <v>43.25</v>
      </c>
      <c r="CF55" s="98" t="s">
        <v>104</v>
      </c>
      <c r="CG55" s="114">
        <v>0.5</v>
      </c>
      <c r="CH55" s="114">
        <v>43</v>
      </c>
      <c r="CI55" s="115"/>
      <c r="CJ55" s="115"/>
      <c r="CK55" s="116"/>
      <c r="CL55" s="32"/>
    </row>
    <row r="56" ht="40.5" customHeight="1">
      <c r="B56" s="22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26"/>
      <c r="AR56" s="32">
        <f>IF(AS25="Unkown",1,0)</f>
        <v>1</v>
      </c>
      <c r="AS56" s="32"/>
      <c r="AT56" s="117">
        <v>1150</v>
      </c>
      <c r="AU56" s="118">
        <v>1168.4000000000001</v>
      </c>
      <c r="AV56" s="98"/>
      <c r="AW56" s="119"/>
      <c r="AX56" s="119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120"/>
      <c r="BV56" s="97"/>
      <c r="BW56" s="97"/>
      <c r="BX56" s="97"/>
      <c r="BY56" s="97"/>
      <c r="BZ56" s="97"/>
      <c r="CA56" s="97"/>
      <c r="CB56" s="97"/>
      <c r="CC56" s="98" t="s">
        <v>103</v>
      </c>
      <c r="CD56" s="119">
        <v>0.375</v>
      </c>
      <c r="CE56" s="119">
        <v>45.25</v>
      </c>
      <c r="CF56" s="98" t="s">
        <v>104</v>
      </c>
      <c r="CG56" s="119">
        <v>0.5</v>
      </c>
      <c r="CH56" s="119">
        <v>45</v>
      </c>
      <c r="CI56" s="97"/>
      <c r="CJ56" s="97"/>
      <c r="CK56" s="101"/>
      <c r="CL56" s="32"/>
    </row>
    <row r="57" ht="14.9" customHeight="1">
      <c r="B57" s="22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26"/>
      <c r="AR57" s="32"/>
      <c r="AS57" s="32"/>
      <c r="AT57" s="151">
        <v>1200</v>
      </c>
      <c r="AU57" s="152">
        <v>1219.2</v>
      </c>
      <c r="AV57" s="153"/>
      <c r="AW57" s="154"/>
      <c r="AX57" s="154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3" t="s">
        <v>103</v>
      </c>
      <c r="CD57" s="154">
        <v>0.375</v>
      </c>
      <c r="CE57" s="154">
        <v>47.25</v>
      </c>
      <c r="CF57" s="153" t="s">
        <v>104</v>
      </c>
      <c r="CG57" s="154">
        <v>0.5</v>
      </c>
      <c r="CH57" s="154">
        <v>47</v>
      </c>
      <c r="CI57" s="155"/>
      <c r="CJ57" s="155"/>
      <c r="CK57" s="156"/>
      <c r="CL57" s="32"/>
    </row>
    <row r="58" ht="39.75" customHeight="1">
      <c r="B58" s="22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27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</row>
    <row r="59" ht="14.9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</row>
    <row r="60" ht="14.9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</row>
    <row r="61" ht="37.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</row>
    <row r="62" ht="41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</row>
    <row r="63" ht="14.9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</row>
    <row r="64" ht="14.9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</row>
    <row r="65" ht="14.9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</row>
    <row r="66" ht="14.9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</row>
    <row r="67" ht="14.9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</row>
    <row r="68" ht="14.9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</row>
    <row r="69" ht="14.9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</row>
    <row r="70" ht="14.9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</row>
    <row r="71" ht="14.9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</row>
    <row r="72" ht="14.9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</row>
    <row r="73" s="2" customFormat="1" ht="14.9" customHeight="1"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</row>
    <row r="74" s="2" customFormat="1" ht="36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R74" s="32"/>
      <c r="AS74" s="32"/>
      <c r="AT74" s="32"/>
      <c r="AU74" s="32"/>
      <c r="AV74" s="32"/>
      <c r="AW74" s="32"/>
      <c r="AX74" s="32" t="s">
        <v>108</v>
      </c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</row>
    <row r="75" s="2" customFormat="1" ht="36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R75" s="32"/>
      <c r="AS75" s="32"/>
      <c r="AT75" s="32"/>
      <c r="AU75" s="32"/>
      <c r="AV75" s="32"/>
      <c r="AW75" s="32"/>
      <c r="AX75" s="32" t="s">
        <v>95</v>
      </c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</row>
    <row r="76" s="2" customFormat="1" ht="15.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R76" s="32"/>
      <c r="AS76" s="32"/>
      <c r="AT76" s="1"/>
      <c r="AU76" s="1"/>
      <c r="AV76" s="1"/>
      <c r="AW76" s="97">
        <v>4</v>
      </c>
      <c r="AX76" s="97" t="s">
        <v>96</v>
      </c>
      <c r="AY76" s="157">
        <v>20</v>
      </c>
      <c r="CL76" s="32"/>
    </row>
    <row r="77" s="2" customFormat="1" ht="15.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R77" s="32"/>
      <c r="AS77" s="32"/>
      <c r="AT77" s="1"/>
      <c r="AU77" s="1"/>
      <c r="AV77" s="1"/>
      <c r="AW77" s="97">
        <v>5</v>
      </c>
      <c r="AX77" s="97" t="s">
        <v>97</v>
      </c>
      <c r="AY77" s="157">
        <v>30</v>
      </c>
      <c r="CL77" s="32"/>
    </row>
    <row r="78" s="2" customFormat="1" ht="15.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R78" s="32"/>
      <c r="AS78" s="32"/>
      <c r="AT78" s="1"/>
      <c r="AU78" s="1"/>
      <c r="AV78" s="1"/>
      <c r="AW78" s="97">
        <v>6</v>
      </c>
      <c r="AX78" s="97" t="s">
        <v>88</v>
      </c>
      <c r="AY78" s="157">
        <v>40</v>
      </c>
      <c r="CL78" s="32"/>
    </row>
    <row r="79" s="2" customFormat="1" ht="15.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R79" s="32"/>
      <c r="AS79" s="32"/>
      <c r="AT79" s="1"/>
      <c r="AU79" s="1"/>
      <c r="AV79" s="1"/>
      <c r="AW79" s="97">
        <v>7</v>
      </c>
      <c r="AX79" s="97" t="s">
        <v>89</v>
      </c>
      <c r="AY79" s="157">
        <v>80</v>
      </c>
      <c r="CL79" s="32"/>
    </row>
    <row r="80" s="2" customFormat="1" ht="15.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R80" s="32"/>
      <c r="AS80" s="32"/>
      <c r="AT80" s="1"/>
      <c r="AU80" s="1"/>
      <c r="AV80" s="1"/>
      <c r="AW80" s="97">
        <v>8</v>
      </c>
      <c r="AX80" s="97" t="s">
        <v>99</v>
      </c>
      <c r="AY80" s="157">
        <v>100</v>
      </c>
      <c r="CL80" s="32"/>
    </row>
    <row r="81" s="2" customFormat="1" ht="15.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R81" s="32"/>
      <c r="AS81" s="1"/>
      <c r="AT81" s="1"/>
      <c r="AU81" s="1"/>
      <c r="AV81" s="1"/>
      <c r="AW81" s="97">
        <v>9</v>
      </c>
      <c r="AX81" s="97" t="s">
        <v>100</v>
      </c>
      <c r="AY81" s="157">
        <v>120</v>
      </c>
      <c r="CL81" s="32"/>
    </row>
    <row r="82" s="2" customFormat="1" ht="15.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R82" s="32"/>
      <c r="AS82" s="1"/>
      <c r="AT82" s="1"/>
      <c r="AU82" s="1"/>
      <c r="AV82" s="1"/>
      <c r="AW82" s="97">
        <v>10</v>
      </c>
      <c r="AX82" s="97" t="s">
        <v>101</v>
      </c>
      <c r="AY82" s="157">
        <v>140</v>
      </c>
      <c r="CL82" s="32"/>
    </row>
    <row r="83" s="2" customFormat="1" ht="15.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R83" s="32"/>
      <c r="AS83" s="1"/>
      <c r="AT83" s="1"/>
      <c r="AU83" s="1"/>
      <c r="AV83" s="1"/>
      <c r="AW83" s="97">
        <v>11</v>
      </c>
      <c r="AX83" s="97" t="s">
        <v>102</v>
      </c>
      <c r="AY83" s="157">
        <v>160</v>
      </c>
      <c r="CL83" s="32"/>
    </row>
    <row r="84" s="2" customFormat="1" ht="15.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R84" s="32"/>
      <c r="AS84" s="1"/>
      <c r="AT84" s="1"/>
      <c r="AU84" s="1"/>
      <c r="AV84" s="1"/>
      <c r="AW84" s="97">
        <v>12</v>
      </c>
      <c r="AX84" s="97" t="s">
        <v>87</v>
      </c>
      <c r="AY84" s="157" t="s">
        <v>103</v>
      </c>
      <c r="CL84" s="32"/>
    </row>
    <row r="85" s="2" customFormat="1" ht="15.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R85" s="1"/>
      <c r="AS85" s="1"/>
      <c r="AT85" s="1"/>
      <c r="AU85" s="1"/>
      <c r="AV85" s="1"/>
      <c r="AW85" s="97">
        <v>13</v>
      </c>
      <c r="AX85" s="97" t="s">
        <v>104</v>
      </c>
      <c r="AY85" s="157" t="s">
        <v>104</v>
      </c>
    </row>
    <row r="86" s="2" customFormat="1" ht="15.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R86" s="1"/>
      <c r="AS86" s="1"/>
      <c r="AT86" s="1"/>
      <c r="AU86" s="1"/>
      <c r="AV86" s="1"/>
      <c r="AW86" s="97">
        <v>14</v>
      </c>
      <c r="AX86" s="97" t="s">
        <v>105</v>
      </c>
      <c r="AY86" s="157" t="s">
        <v>105</v>
      </c>
    </row>
    <row r="87" s="2" customForma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R87" s="1"/>
      <c r="AS87" s="1"/>
      <c r="AT87" s="1"/>
      <c r="AU87" s="1"/>
      <c r="AV87" s="1"/>
      <c r="AW87" s="1"/>
      <c r="AX87" s="1"/>
    </row>
    <row r="88" s="2" customForma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R88" s="1"/>
      <c r="AS88" s="1"/>
      <c r="AT88" s="1"/>
      <c r="AU88" s="1"/>
      <c r="AV88" s="1"/>
      <c r="AW88" s="1"/>
      <c r="AX88" s="1"/>
    </row>
    <row r="89" s="2" customForma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</row>
    <row r="90" s="2" customForma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</row>
    <row r="91" s="2" customForma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</row>
    <row r="92" s="2" customForma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</row>
    <row r="93" s="2" customForma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</row>
    <row r="94" s="2" customForma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  <row r="95" s="2" customForma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</row>
    <row r="96" s="2" customForma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</row>
    <row r="97" s="2" customForma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</row>
  </sheetData>
  <mergeCells count="194">
    <mergeCell ref="C35:S37"/>
    <mergeCell ref="C20:S20"/>
    <mergeCell ref="C21:S21"/>
    <mergeCell ref="T20:Y20"/>
    <mergeCell ref="T21:Y21"/>
    <mergeCell ref="Z20:AE20"/>
    <mergeCell ref="Z21:AE21"/>
    <mergeCell ref="AF20:AK20"/>
    <mergeCell ref="AF21:AK21"/>
    <mergeCell ref="AF24:AK24"/>
    <mergeCell ref="T25:Y25"/>
    <mergeCell ref="Z25:AE25"/>
    <mergeCell ref="AF25:AK25"/>
    <mergeCell ref="T22:Y22"/>
    <mergeCell ref="Z22:AE22"/>
    <mergeCell ref="AF22:AK22"/>
    <mergeCell ref="T23:Y23"/>
    <mergeCell ref="Z23:AE23"/>
    <mergeCell ref="AF23:AK23"/>
    <mergeCell ref="B51:AN51"/>
    <mergeCell ref="Z49:AE49"/>
    <mergeCell ref="AF49:AK49"/>
    <mergeCell ref="T50:Y50"/>
    <mergeCell ref="Z50:AE50"/>
    <mergeCell ref="AF50:AK50"/>
    <mergeCell ref="Z46:AE46"/>
    <mergeCell ref="AF46:AK46"/>
    <mergeCell ref="T47:Y47"/>
    <mergeCell ref="Z47:AE47"/>
    <mergeCell ref="AF47:AK47"/>
    <mergeCell ref="T48:Y48"/>
    <mergeCell ref="Z48:AE48"/>
    <mergeCell ref="AF48:AK48"/>
    <mergeCell ref="T46:Y46"/>
    <mergeCell ref="T49:Y49"/>
    <mergeCell ref="C48:S48"/>
    <mergeCell ref="C46:S46"/>
    <mergeCell ref="C47:S47"/>
    <mergeCell ref="AF13:AK13"/>
    <mergeCell ref="T17:Y17"/>
    <mergeCell ref="Z13:AE13"/>
    <mergeCell ref="C50:S50"/>
    <mergeCell ref="C49:S49"/>
    <mergeCell ref="T28:Y28"/>
    <mergeCell ref="Z28:AE28"/>
    <mergeCell ref="AF28:AK28"/>
    <mergeCell ref="T29:Y29"/>
    <mergeCell ref="Z29:AE29"/>
    <mergeCell ref="AF29:AK29"/>
    <mergeCell ref="T26:Y26"/>
    <mergeCell ref="Z26:AE26"/>
    <mergeCell ref="AF26:AK26"/>
    <mergeCell ref="T27:Y27"/>
    <mergeCell ref="Z27:AE27"/>
    <mergeCell ref="AF27:AK27"/>
    <mergeCell ref="C41:S41"/>
    <mergeCell ref="C42:S42"/>
    <mergeCell ref="T35:Y37"/>
    <mergeCell ref="Z35:AE37"/>
    <mergeCell ref="AF35:AK37"/>
    <mergeCell ref="C43:S43"/>
    <mergeCell ref="C44:S44"/>
    <mergeCell ref="Q8:S8"/>
    <mergeCell ref="T41:Y41"/>
    <mergeCell ref="Z41:AE41"/>
    <mergeCell ref="T40:Y40"/>
    <mergeCell ref="Z40:AE40"/>
    <mergeCell ref="AF40:AK40"/>
    <mergeCell ref="AF41:AK41"/>
    <mergeCell ref="T30:Y30"/>
    <mergeCell ref="Z30:AE30"/>
    <mergeCell ref="Z34:AE34"/>
    <mergeCell ref="T34:Y34"/>
    <mergeCell ref="AF34:AK34"/>
    <mergeCell ref="T39:Y39"/>
    <mergeCell ref="Z39:AE39"/>
    <mergeCell ref="AF39:AK39"/>
    <mergeCell ref="AF30:AK30"/>
    <mergeCell ref="T31:Y31"/>
    <mergeCell ref="Z31:AE31"/>
    <mergeCell ref="AF31:AK31"/>
    <mergeCell ref="T33:Y33"/>
    <mergeCell ref="Z33:AE33"/>
    <mergeCell ref="AF33:AK33"/>
    <mergeCell ref="AF15:AK15"/>
    <mergeCell ref="T16:Y16"/>
    <mergeCell ref="X7:AA7"/>
    <mergeCell ref="C11:S11"/>
    <mergeCell ref="C10:AK10"/>
    <mergeCell ref="AB7:AC7"/>
    <mergeCell ref="AD7:AF7"/>
    <mergeCell ref="AG7:AJ7"/>
    <mergeCell ref="AK7:AN7"/>
    <mergeCell ref="B7:C7"/>
    <mergeCell ref="D7:F7"/>
    <mergeCell ref="G7:J7"/>
    <mergeCell ref="K7:N7"/>
    <mergeCell ref="O7:P7"/>
    <mergeCell ref="Q7:S7"/>
    <mergeCell ref="T8:W8"/>
    <mergeCell ref="X8:AA8"/>
    <mergeCell ref="AB8:AC8"/>
    <mergeCell ref="AD8:AF8"/>
    <mergeCell ref="AG8:AJ8"/>
    <mergeCell ref="AK8:AN8"/>
    <mergeCell ref="B8:C8"/>
    <mergeCell ref="D8:F8"/>
    <mergeCell ref="G8:J8"/>
    <mergeCell ref="K8:N8"/>
    <mergeCell ref="O8:P8"/>
    <mergeCell ref="B1:AN1"/>
    <mergeCell ref="B2:G2"/>
    <mergeCell ref="I2:Z2"/>
    <mergeCell ref="AA2:AD2"/>
    <mergeCell ref="AE2:AN2"/>
    <mergeCell ref="B3:G3"/>
    <mergeCell ref="I3:Z3"/>
    <mergeCell ref="AA3:AD3"/>
    <mergeCell ref="AE3:AN3"/>
    <mergeCell ref="B6:I6"/>
    <mergeCell ref="J6:AC6"/>
    <mergeCell ref="AD6:AF6"/>
    <mergeCell ref="AG6:AI6"/>
    <mergeCell ref="AJ6:AK6"/>
    <mergeCell ref="AL6:AN6"/>
    <mergeCell ref="B4:G4"/>
    <mergeCell ref="I4:Z4"/>
    <mergeCell ref="AA4:AD4"/>
    <mergeCell ref="AE4:AN4"/>
    <mergeCell ref="B5:H5"/>
    <mergeCell ref="I5:AN5"/>
    <mergeCell ref="T7:W7"/>
    <mergeCell ref="T14:Y14"/>
    <mergeCell ref="Z14:AE14"/>
    <mergeCell ref="AF14:AK14"/>
    <mergeCell ref="T15:Y15"/>
    <mergeCell ref="Z15:AE15"/>
    <mergeCell ref="C38:AK38"/>
    <mergeCell ref="C14:S14"/>
    <mergeCell ref="C13:S13"/>
    <mergeCell ref="C15:S15"/>
    <mergeCell ref="C16:S16"/>
    <mergeCell ref="C17:S17"/>
    <mergeCell ref="C18:S18"/>
    <mergeCell ref="C19:S19"/>
    <mergeCell ref="C32:S32"/>
    <mergeCell ref="C33:S33"/>
    <mergeCell ref="C34:S34"/>
    <mergeCell ref="T18:Y18"/>
    <mergeCell ref="Z18:AE18"/>
    <mergeCell ref="AF18:AK18"/>
    <mergeCell ref="T19:Y19"/>
    <mergeCell ref="Z19:AE19"/>
    <mergeCell ref="AF19:AK19"/>
    <mergeCell ref="T13:Y13"/>
    <mergeCell ref="B9:AN9"/>
    <mergeCell ref="T32:Y32"/>
    <mergeCell ref="Z32:AE32"/>
    <mergeCell ref="AF32:AK32"/>
    <mergeCell ref="C22:S22"/>
    <mergeCell ref="C23:S23"/>
    <mergeCell ref="C24:S24"/>
    <mergeCell ref="C25:S25"/>
    <mergeCell ref="C26:S26"/>
    <mergeCell ref="C27:S27"/>
    <mergeCell ref="C28:S28"/>
    <mergeCell ref="C29:S29"/>
    <mergeCell ref="C30:S30"/>
    <mergeCell ref="C31:S31"/>
    <mergeCell ref="C12:AK12"/>
    <mergeCell ref="Z11:AE11"/>
    <mergeCell ref="AF11:AK11"/>
    <mergeCell ref="Z17:AE17"/>
    <mergeCell ref="AF17:AK17"/>
    <mergeCell ref="Z16:AE16"/>
    <mergeCell ref="AF16:AK16"/>
    <mergeCell ref="T11:Y11"/>
    <mergeCell ref="T24:Y24"/>
    <mergeCell ref="Z24:AE24"/>
    <mergeCell ref="C39:S39"/>
    <mergeCell ref="AF43:AK43"/>
    <mergeCell ref="T44:Y44"/>
    <mergeCell ref="Z44:AE44"/>
    <mergeCell ref="AF44:AK44"/>
    <mergeCell ref="T45:Y45"/>
    <mergeCell ref="Z45:AE45"/>
    <mergeCell ref="AF45:AK45"/>
    <mergeCell ref="T42:Y42"/>
    <mergeCell ref="Z42:AE42"/>
    <mergeCell ref="AF42:AK42"/>
    <mergeCell ref="T43:Y43"/>
    <mergeCell ref="Z43:AE43"/>
    <mergeCell ref="C40:S40"/>
    <mergeCell ref="C45:S45"/>
  </mergeCells>
  <printOptions headings="0" gridLines="0"/>
  <pageMargins left="0.78740157480314987" right="0.19685039370078697" top="0.39370078740157494" bottom="0.62" header="0.19685039370078697" footer="0.19685039370078697"/>
  <pageSetup paperSize="9" scale="89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&amp;L&amp;"Calibri,Regular"&amp;11Copyright 2019, Worley
&amp;F&amp;R&amp;"Calibri,Regular"&amp;11Rev. 0, 01 December 2019</oddFooter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BC0069-00AD-41E0-B6F8-00810057002C}">
            <xm:f>$T$17="Manual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T20:Y21</xm:sqref>
        </x14:conditionalFormatting>
        <x14:conditionalFormatting xmlns:xm="http://schemas.microsoft.com/office/excel/2006/main">
          <x14:cfRule type="expression" priority="5" id="{00EC0077-00E6-4CC7-86D8-001900030061}">
            <xm:f>$Z$17="Manual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Z20:AE21</xm:sqref>
        </x14:conditionalFormatting>
        <x14:conditionalFormatting xmlns:xm="http://schemas.microsoft.com/office/excel/2006/main">
          <x14:cfRule type="expression" priority="4" id="{0035003E-0067-4FF7-B99B-0067008F0043}">
            <xm:f>$AF$17="Manual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AF20:AK21</xm:sqref>
        </x14:conditionalFormatting>
        <x14:conditionalFormatting xmlns:xm="http://schemas.microsoft.com/office/excel/2006/main">
          <x14:cfRule type="expression" priority="3" id="{004300B0-000B-44FD-B594-007A00CA000B}">
            <xm:f>$T$17="Manual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T18:Y19</xm:sqref>
        </x14:conditionalFormatting>
        <x14:conditionalFormatting xmlns:xm="http://schemas.microsoft.com/office/excel/2006/main">
          <x14:cfRule type="expression" priority="2" id="{00D50061-0021-4CE9-B3E7-00C500B90038}">
            <xm:f>$Z$17="Manual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Z18:AE19</xm:sqref>
        </x14:conditionalFormatting>
        <x14:conditionalFormatting xmlns:xm="http://schemas.microsoft.com/office/excel/2006/main">
          <x14:cfRule type="expression" priority="1" id="{003F000C-00EB-46CF-B90C-00A10014000E}">
            <xm:f>$AF$17="Manual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AF18:AK19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1">
        <x14:dataValidation xr:uid="{00E6000F-001E-464A-9D50-00C900C70012}" type="list" allowBlank="1" errorStyle="stop" imeMode="noControl" operator="between" showDropDown="0" showErrorMessage="1" showInputMessage="1">
          <x14:formula1>
            <xm:f>$AO$23:$AO$24</xm:f>
          </x14:formula1>
          <xm:sqref>T30:AK30</xm:sqref>
        </x14:dataValidation>
        <x14:dataValidation xr:uid="{00C700EA-0064-49F4-A558-00DC0073008F}" type="list" allowBlank="1" errorStyle="stop" imeMode="noControl" operator="between" showDropDown="0" showErrorMessage="1" showInputMessage="1">
          <x14:formula1>
            <xm:f>$AX$74:$AX$86</xm:f>
          </x14:formula1>
          <xm:sqref>T17:AK17</xm:sqref>
        </x14:dataValidation>
        <x14:dataValidation xr:uid="{00F100C3-00DD-41EF-AA94-00DF00EA0015}" type="list" allowBlank="1" errorStyle="stop" imeMode="noControl" operator="between" showDropDown="0" showErrorMessage="1" showInputMessage="1">
          <x14:formula1>
            <xm:f>$AP$44:$AP$47</xm:f>
          </x14:formula1>
          <xm:sqref>T33:AK33</xm:sqref>
        </x14:dataValidation>
        <x14:dataValidation xr:uid="{000600E5-0099-4660-93D1-00B800B600F5}" type="list" allowBlank="1" errorStyle="stop" imeMode="noControl" operator="between" showDropDown="0" showErrorMessage="1" showInputMessage="1">
          <x14:formula1>
            <xm:f>$AS$26:$AS$30</xm:f>
          </x14:formula1>
          <xm:sqref>T29:AK29</xm:sqref>
        </x14:dataValidation>
        <x14:dataValidation xr:uid="{00BD003D-0020-4DEE-9DAA-00B4009300C6}" type="list" allowBlank="1" errorStyle="stop" imeMode="noControl" operator="between" showDropDown="0" showErrorMessage="1" showInputMessage="1">
          <x14:formula1>
            <xm:f>$AT$24:$AT$57</xm:f>
          </x14:formula1>
          <xm:sqref>T16:AK16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70C0"/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9.1796875" defaultRowHeight="12.5"/>
  <cols>
    <col customWidth="1" min="1" max="1" style="1" width="0.7265625"/>
    <col customWidth="1" min="2" max="17" style="1" width="2.54296875"/>
    <col customWidth="1" min="18" max="18" style="1" width="3"/>
    <col customWidth="1" min="19" max="35" style="1" width="2.54296875"/>
    <col customWidth="1" min="36" max="36" style="1" width="2.7265625"/>
    <col customWidth="1" min="37" max="37" style="1" width="3"/>
    <col customWidth="1" min="38" max="39" style="1" width="2.54296875"/>
    <col customWidth="1" min="40" max="40" style="2" width="2.54296875"/>
    <col customWidth="1" hidden="1" min="41" max="41" style="2" width="21.26953125"/>
    <col customWidth="1" hidden="1" min="42" max="43" style="2" width="0"/>
    <col customWidth="1" hidden="1" min="44" max="89" style="1" width="0"/>
    <col min="90" max="16384" style="1" width="9.1796875"/>
  </cols>
  <sheetData>
    <row r="1" s="0" customFormat="1" ht="60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4"/>
      <c r="AQ1" s="4"/>
    </row>
    <row r="2" s="5" customFormat="1" ht="15" customHeight="1">
      <c r="B2" s="6" t="s">
        <v>1</v>
      </c>
      <c r="C2" s="7"/>
      <c r="D2" s="7"/>
      <c r="E2" s="7"/>
      <c r="F2" s="7"/>
      <c r="G2" s="7"/>
      <c r="H2" s="7"/>
      <c r="I2" s="8" t="e">
        <f>customer</f>
        <v>#REF!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 t="e">
        <f>#REF!</f>
        <v>#REF!</v>
      </c>
      <c r="AB2" s="9"/>
      <c r="AC2" s="9"/>
      <c r="AD2" s="9"/>
      <c r="AE2" s="10" t="e">
        <f>Proj_No</f>
        <v>#REF!</v>
      </c>
      <c r="AF2" s="10"/>
      <c r="AG2" s="10"/>
      <c r="AH2" s="10"/>
      <c r="AI2" s="10"/>
      <c r="AJ2" s="10"/>
      <c r="AK2" s="10"/>
      <c r="AL2" s="10"/>
      <c r="AM2" s="10"/>
      <c r="AN2" s="11"/>
      <c r="AO2" s="12"/>
      <c r="AP2" s="13"/>
      <c r="AQ2" s="13"/>
    </row>
    <row r="3" s="5" customFormat="1" ht="15" customHeight="1">
      <c r="B3" s="14" t="s">
        <v>2</v>
      </c>
      <c r="C3" s="15"/>
      <c r="D3" s="15"/>
      <c r="E3" s="15"/>
      <c r="F3" s="15"/>
      <c r="G3" s="15"/>
      <c r="H3" s="15"/>
      <c r="I3" s="16" t="e">
        <f>proj_title</f>
        <v>#REF!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 t="e">
        <f>#REF!</f>
        <v>#REF!</v>
      </c>
      <c r="AB3" s="17"/>
      <c r="AC3" s="17"/>
      <c r="AD3" s="17"/>
      <c r="AE3" s="18" t="e">
        <f>Calc_No</f>
        <v>#REF!</v>
      </c>
      <c r="AF3" s="18"/>
      <c r="AG3" s="18"/>
      <c r="AH3" s="18"/>
      <c r="AI3" s="18"/>
      <c r="AJ3" s="18"/>
      <c r="AK3" s="18"/>
      <c r="AL3" s="18"/>
      <c r="AM3" s="18"/>
      <c r="AN3" s="19"/>
      <c r="AO3" s="12"/>
      <c r="AP3" s="13"/>
      <c r="AQ3" s="13"/>
    </row>
    <row r="4" s="5" customFormat="1" ht="15" customHeight="1">
      <c r="B4" s="20" t="s">
        <v>3</v>
      </c>
      <c r="C4" s="17"/>
      <c r="D4" s="17"/>
      <c r="E4" s="17"/>
      <c r="F4" s="17"/>
      <c r="G4" s="17"/>
      <c r="H4" s="15"/>
      <c r="I4" s="21" t="e">
        <f>calc_title</f>
        <v>#REF!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17" t="s">
        <v>4</v>
      </c>
      <c r="AB4" s="17"/>
      <c r="AC4" s="17"/>
      <c r="AD4" s="17"/>
      <c r="AE4" s="18" t="e">
        <f>Phase_CTR</f>
        <v>#REF!</v>
      </c>
      <c r="AF4" s="18"/>
      <c r="AG4" s="18"/>
      <c r="AH4" s="18"/>
      <c r="AI4" s="18"/>
      <c r="AJ4" s="18"/>
      <c r="AK4" s="18"/>
      <c r="AL4" s="18"/>
      <c r="AM4" s="18"/>
      <c r="AN4" s="19"/>
      <c r="AO4" s="12"/>
      <c r="AP4" s="13"/>
      <c r="AQ4" s="13"/>
    </row>
    <row r="5" s="5" customFormat="1" ht="22.5" customHeight="1">
      <c r="B5" s="20" t="s">
        <v>5</v>
      </c>
      <c r="C5" s="17"/>
      <c r="D5" s="17"/>
      <c r="E5" s="17"/>
      <c r="F5" s="17"/>
      <c r="G5" s="17"/>
      <c r="H5" s="17"/>
      <c r="I5" s="22" t="e">
        <f ca="1">elec_file</f>
        <v>#REF!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3"/>
      <c r="AO5" s="13"/>
      <c r="AP5" s="13"/>
      <c r="AQ5" s="13"/>
    </row>
    <row r="6" s="24" customFormat="1" ht="15" customHeight="1">
      <c r="B6" s="25"/>
      <c r="C6" s="26"/>
      <c r="D6" s="26"/>
      <c r="E6" s="26"/>
      <c r="F6" s="26"/>
      <c r="G6" s="26"/>
      <c r="H6" s="26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8" t="s">
        <v>6</v>
      </c>
      <c r="AE6" s="28"/>
      <c r="AF6" s="28"/>
      <c r="AG6" s="29">
        <v>1</v>
      </c>
      <c r="AH6" s="29"/>
      <c r="AI6" s="29"/>
      <c r="AJ6" s="28" t="s">
        <v>7</v>
      </c>
      <c r="AK6" s="28"/>
      <c r="AL6" s="30" t="e">
        <f>#REF!</f>
        <v>#REF!</v>
      </c>
      <c r="AM6" s="30"/>
      <c r="AN6" s="31"/>
      <c r="AO6" s="32"/>
      <c r="AP6" s="32"/>
      <c r="AQ6" s="32"/>
    </row>
    <row r="7" s="0" customFormat="1" ht="15" customHeight="1">
      <c r="B7" s="33" t="s">
        <v>8</v>
      </c>
      <c r="C7" s="34"/>
      <c r="D7" s="33" t="s">
        <v>9</v>
      </c>
      <c r="E7" s="35"/>
      <c r="F7" s="35"/>
      <c r="G7" s="33" t="s">
        <v>10</v>
      </c>
      <c r="H7" s="35"/>
      <c r="I7" s="35"/>
      <c r="J7" s="34"/>
      <c r="K7" s="33" t="s">
        <v>11</v>
      </c>
      <c r="L7" s="35"/>
      <c r="M7" s="35"/>
      <c r="N7" s="36"/>
      <c r="O7" s="35" t="s">
        <v>8</v>
      </c>
      <c r="P7" s="34"/>
      <c r="Q7" s="33" t="s">
        <v>9</v>
      </c>
      <c r="R7" s="35"/>
      <c r="S7" s="35"/>
      <c r="T7" s="33" t="s">
        <v>10</v>
      </c>
      <c r="U7" s="35"/>
      <c r="V7" s="35"/>
      <c r="W7" s="34"/>
      <c r="X7" s="33" t="s">
        <v>11</v>
      </c>
      <c r="Y7" s="35"/>
      <c r="Z7" s="35"/>
      <c r="AA7" s="36"/>
      <c r="AB7" s="35" t="s">
        <v>8</v>
      </c>
      <c r="AC7" s="34"/>
      <c r="AD7" s="33" t="s">
        <v>9</v>
      </c>
      <c r="AE7" s="35"/>
      <c r="AF7" s="35"/>
      <c r="AG7" s="33" t="s">
        <v>10</v>
      </c>
      <c r="AH7" s="35"/>
      <c r="AI7" s="35"/>
      <c r="AJ7" s="34"/>
      <c r="AK7" s="33" t="s">
        <v>11</v>
      </c>
      <c r="AL7" s="35"/>
      <c r="AM7" s="35"/>
      <c r="AN7" s="34"/>
      <c r="AO7" s="4"/>
      <c r="AP7" s="4"/>
      <c r="AQ7" s="4"/>
    </row>
    <row r="8" s="37" customFormat="1" ht="15" customHeight="1">
      <c r="A8" s="37" t="s">
        <v>12</v>
      </c>
      <c r="B8" s="38" t="e">
        <f>_rev1</f>
        <v>#REF!</v>
      </c>
      <c r="C8" s="39"/>
      <c r="D8" s="40" t="e">
        <f>date1</f>
        <v>#REF!</v>
      </c>
      <c r="E8" s="41"/>
      <c r="F8" s="41"/>
      <c r="G8" s="42" t="e">
        <f>orig1</f>
        <v>#REF!</v>
      </c>
      <c r="H8" s="43"/>
      <c r="I8" s="43"/>
      <c r="J8" s="44"/>
      <c r="K8" s="38" t="e">
        <f>_chk1</f>
        <v>#REF!</v>
      </c>
      <c r="L8" s="45"/>
      <c r="M8" s="45"/>
      <c r="N8" s="46"/>
      <c r="O8" s="45" t="e">
        <f>_rev2</f>
        <v>#REF!</v>
      </c>
      <c r="P8" s="39"/>
      <c r="Q8" s="40" t="e">
        <f>date2</f>
        <v>#REF!</v>
      </c>
      <c r="R8" s="41"/>
      <c r="S8" s="41"/>
      <c r="T8" s="42" t="e">
        <f>orig2</f>
        <v>#REF!</v>
      </c>
      <c r="U8" s="43"/>
      <c r="V8" s="43"/>
      <c r="W8" s="44"/>
      <c r="X8" s="38" t="e">
        <f>_chk2</f>
        <v>#REF!</v>
      </c>
      <c r="Y8" s="45"/>
      <c r="Z8" s="45"/>
      <c r="AA8" s="46"/>
      <c r="AB8" s="45" t="e">
        <f>_rev3</f>
        <v>#REF!</v>
      </c>
      <c r="AC8" s="39"/>
      <c r="AD8" s="40" t="e">
        <f>date3</f>
        <v>#REF!</v>
      </c>
      <c r="AE8" s="41"/>
      <c r="AF8" s="41"/>
      <c r="AG8" s="42" t="e">
        <f>orig3</f>
        <v>#REF!</v>
      </c>
      <c r="AH8" s="43"/>
      <c r="AI8" s="43"/>
      <c r="AJ8" s="44"/>
      <c r="AK8" s="38" t="e">
        <f>_chk3</f>
        <v>#REF!</v>
      </c>
      <c r="AL8" s="45"/>
      <c r="AM8" s="45"/>
      <c r="AN8" s="39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</row>
    <row r="9" ht="14.9" customHeight="1"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9"/>
      <c r="AO9" s="13"/>
      <c r="AP9" s="13"/>
      <c r="AQ9" s="13"/>
      <c r="AR9" s="2"/>
      <c r="AS9" s="228" t="s">
        <v>164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</row>
    <row r="10" ht="14.9" customHeight="1">
      <c r="B10" s="59" t="s">
        <v>165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60"/>
      <c r="AO10" s="13"/>
      <c r="AP10" s="13"/>
      <c r="AQ10" s="13"/>
      <c r="AR10" s="2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</row>
    <row r="11" ht="14.9" customHeight="1">
      <c r="B11" s="50"/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52"/>
      <c r="AM11" s="52"/>
      <c r="AN11" s="54"/>
      <c r="AO11" s="13"/>
      <c r="AP11" s="13"/>
      <c r="AQ11" s="13"/>
      <c r="AR11" s="2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ht="14.9" customHeight="1">
      <c r="B12" s="50"/>
      <c r="C12" s="230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2"/>
      <c r="T12" s="66" t="s">
        <v>166</v>
      </c>
      <c r="U12" s="67"/>
      <c r="V12" s="67"/>
      <c r="W12" s="67"/>
      <c r="X12" s="67"/>
      <c r="Y12" s="68"/>
      <c r="Z12" s="66" t="s">
        <v>167</v>
      </c>
      <c r="AA12" s="67"/>
      <c r="AB12" s="67"/>
      <c r="AC12" s="67"/>
      <c r="AD12" s="67"/>
      <c r="AE12" s="68"/>
      <c r="AF12" s="66" t="s">
        <v>168</v>
      </c>
      <c r="AG12" s="67"/>
      <c r="AH12" s="67"/>
      <c r="AI12" s="67"/>
      <c r="AJ12" s="67"/>
      <c r="AK12" s="68"/>
      <c r="AL12" s="52"/>
      <c r="AM12" s="52"/>
      <c r="AN12" s="54"/>
      <c r="AO12" s="13"/>
      <c r="AP12" s="13"/>
      <c r="AR12" s="2"/>
      <c r="AS12" s="233"/>
      <c r="AT12" s="234" t="s">
        <v>169</v>
      </c>
      <c r="AU12" s="234"/>
      <c r="AV12" s="234"/>
      <c r="AW12" s="234"/>
      <c r="AX12" s="234"/>
      <c r="AY12" s="234"/>
      <c r="AZ12" s="234"/>
      <c r="BA12" s="234"/>
      <c r="BB12" s="234"/>
      <c r="BC12" s="234"/>
      <c r="BD12" s="234"/>
      <c r="BE12" s="235"/>
      <c r="BF12" s="235"/>
      <c r="BG12" s="234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  <c r="CI12" s="235"/>
      <c r="CJ12" s="235"/>
      <c r="CK12" s="236"/>
    </row>
    <row r="13" ht="14.9" customHeight="1">
      <c r="B13" s="50"/>
      <c r="C13" s="237" t="s">
        <v>78</v>
      </c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40"/>
      <c r="AL13" s="52"/>
      <c r="AM13" s="52"/>
      <c r="AN13" s="54"/>
      <c r="AO13" s="13"/>
      <c r="AP13" s="13"/>
      <c r="AR13" s="2"/>
      <c r="AS13" s="241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97"/>
      <c r="BF13" s="97"/>
      <c r="BG13" s="15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101"/>
    </row>
    <row r="14" ht="14.9" customHeight="1">
      <c r="B14" s="50"/>
      <c r="C14" s="78" t="s">
        <v>79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80"/>
      <c r="T14" s="75" t="s">
        <v>80</v>
      </c>
      <c r="U14" s="76"/>
      <c r="V14" s="76"/>
      <c r="W14" s="76"/>
      <c r="X14" s="76"/>
      <c r="Y14" s="77"/>
      <c r="Z14" s="169" t="s">
        <v>80</v>
      </c>
      <c r="AA14" s="76"/>
      <c r="AB14" s="76"/>
      <c r="AC14" s="76"/>
      <c r="AD14" s="76"/>
      <c r="AE14" s="77"/>
      <c r="AF14" s="75" t="s">
        <v>80</v>
      </c>
      <c r="AG14" s="76"/>
      <c r="AH14" s="76"/>
      <c r="AI14" s="76"/>
      <c r="AJ14" s="76"/>
      <c r="AK14" s="77"/>
      <c r="AL14" s="52"/>
      <c r="AM14" s="52"/>
      <c r="AN14" s="54"/>
      <c r="AO14" s="13"/>
      <c r="AP14" s="13"/>
      <c r="AR14" s="2"/>
      <c r="AS14" s="241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97"/>
      <c r="BF14" s="97"/>
      <c r="BG14" s="15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101"/>
    </row>
    <row r="15" ht="14.9" customHeight="1">
      <c r="B15" s="50"/>
      <c r="C15" s="78" t="s">
        <v>170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80"/>
      <c r="T15" s="242">
        <v>1109</v>
      </c>
      <c r="U15" s="172"/>
      <c r="V15" s="172"/>
      <c r="W15" s="172"/>
      <c r="X15" s="172"/>
      <c r="Y15" s="173"/>
      <c r="Z15" s="171">
        <v>1109</v>
      </c>
      <c r="AA15" s="172"/>
      <c r="AB15" s="172"/>
      <c r="AC15" s="172"/>
      <c r="AD15" s="172"/>
      <c r="AE15" s="173"/>
      <c r="AF15" s="242">
        <v>1109</v>
      </c>
      <c r="AG15" s="172"/>
      <c r="AH15" s="172"/>
      <c r="AI15" s="172"/>
      <c r="AJ15" s="172"/>
      <c r="AK15" s="173"/>
      <c r="AL15" s="52"/>
      <c r="AM15" s="52"/>
      <c r="AN15" s="54"/>
      <c r="AO15" s="13"/>
      <c r="AP15" s="13"/>
      <c r="AR15" s="2"/>
      <c r="AS15" s="241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97"/>
      <c r="BF15" s="97"/>
      <c r="BG15" s="15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101"/>
    </row>
    <row r="16" ht="14.9" customHeight="1">
      <c r="B16" s="50"/>
      <c r="C16" s="78" t="s">
        <v>81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80"/>
      <c r="T16" s="81">
        <v>30.800000000000001</v>
      </c>
      <c r="U16" s="82"/>
      <c r="V16" s="82"/>
      <c r="W16" s="82"/>
      <c r="X16" s="82"/>
      <c r="Y16" s="83"/>
      <c r="Z16" s="174">
        <v>30.800000000000001</v>
      </c>
      <c r="AA16" s="82"/>
      <c r="AB16" s="82"/>
      <c r="AC16" s="82"/>
      <c r="AD16" s="82"/>
      <c r="AE16" s="83"/>
      <c r="AF16" s="81">
        <v>30.800000000000001</v>
      </c>
      <c r="AG16" s="82"/>
      <c r="AH16" s="82"/>
      <c r="AI16" s="82"/>
      <c r="AJ16" s="82"/>
      <c r="AK16" s="83"/>
      <c r="AL16" s="52"/>
      <c r="AM16" s="52"/>
      <c r="AN16" s="54"/>
      <c r="AR16" s="2"/>
      <c r="AS16" s="241"/>
      <c r="AT16" s="117" t="s">
        <v>171</v>
      </c>
      <c r="AU16" s="11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101"/>
    </row>
    <row r="17" ht="14.9" customHeight="1">
      <c r="B17" s="50"/>
      <c r="C17" s="78" t="s">
        <v>172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80"/>
      <c r="T17" s="84">
        <v>34000000</v>
      </c>
      <c r="U17" s="85"/>
      <c r="V17" s="85"/>
      <c r="W17" s="85"/>
      <c r="X17" s="85"/>
      <c r="Y17" s="86"/>
      <c r="Z17" s="184">
        <v>34000000</v>
      </c>
      <c r="AA17" s="85"/>
      <c r="AB17" s="85"/>
      <c r="AC17" s="85"/>
      <c r="AD17" s="85"/>
      <c r="AE17" s="86"/>
      <c r="AF17" s="84">
        <v>34000000</v>
      </c>
      <c r="AG17" s="85"/>
      <c r="AH17" s="85"/>
      <c r="AI17" s="85"/>
      <c r="AJ17" s="85"/>
      <c r="AK17" s="86"/>
      <c r="AL17" s="52"/>
      <c r="AM17" s="52"/>
      <c r="AN17" s="54"/>
      <c r="AR17" s="2"/>
      <c r="AS17" s="243"/>
      <c r="AT17" s="244"/>
      <c r="AU17" s="244"/>
      <c r="AV17" s="115"/>
      <c r="AW17" s="115"/>
      <c r="AX17" s="115"/>
      <c r="AY17" s="115"/>
      <c r="AZ17" s="115"/>
      <c r="BA17" s="115"/>
      <c r="BB17" s="115"/>
      <c r="BC17" s="115"/>
      <c r="BD17" s="115"/>
      <c r="BE17" s="97"/>
      <c r="BF17" s="97"/>
      <c r="BG17" s="115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K17" s="101"/>
    </row>
    <row r="18" ht="14.9" customHeight="1">
      <c r="B18" s="50"/>
      <c r="C18" s="78" t="s">
        <v>85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80"/>
      <c r="T18" s="87">
        <v>80</v>
      </c>
      <c r="U18" s="88"/>
      <c r="V18" s="88"/>
      <c r="W18" s="88"/>
      <c r="X18" s="88"/>
      <c r="Y18" s="89"/>
      <c r="Z18" s="175">
        <v>80</v>
      </c>
      <c r="AA18" s="88"/>
      <c r="AB18" s="88"/>
      <c r="AC18" s="88"/>
      <c r="AD18" s="88"/>
      <c r="AE18" s="89"/>
      <c r="AF18" s="87">
        <v>80</v>
      </c>
      <c r="AG18" s="88"/>
      <c r="AH18" s="88"/>
      <c r="AI18" s="88"/>
      <c r="AJ18" s="88"/>
      <c r="AK18" s="89"/>
      <c r="AL18" s="52"/>
      <c r="AM18" s="52"/>
      <c r="AN18" s="54"/>
      <c r="AR18" s="2"/>
      <c r="AS18" s="245" t="s">
        <v>173</v>
      </c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5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101"/>
    </row>
    <row r="19" ht="14.9" customHeight="1">
      <c r="B19" s="50"/>
      <c r="C19" s="78" t="s">
        <v>86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  <c r="T19" s="87" t="s">
        <v>104</v>
      </c>
      <c r="U19" s="88"/>
      <c r="V19" s="88"/>
      <c r="W19" s="88"/>
      <c r="X19" s="88"/>
      <c r="Y19" s="89"/>
      <c r="Z19" s="175" t="s">
        <v>104</v>
      </c>
      <c r="AA19" s="88"/>
      <c r="AB19" s="88"/>
      <c r="AC19" s="88"/>
      <c r="AD19" s="88"/>
      <c r="AE19" s="89"/>
      <c r="AF19" s="87" t="s">
        <v>104</v>
      </c>
      <c r="AG19" s="88"/>
      <c r="AH19" s="88"/>
      <c r="AI19" s="88"/>
      <c r="AJ19" s="88"/>
      <c r="AK19" s="89"/>
      <c r="AL19" s="52"/>
      <c r="AM19" s="52"/>
      <c r="AN19" s="54"/>
      <c r="AR19" s="2"/>
      <c r="AS19" s="245" t="s">
        <v>174</v>
      </c>
      <c r="AT19" s="115" t="s">
        <v>18</v>
      </c>
      <c r="AU19" s="115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15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101"/>
    </row>
    <row r="20" ht="14.9" customHeight="1">
      <c r="B20" s="50"/>
      <c r="C20" s="78" t="s">
        <v>90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  <c r="T20" s="90">
        <f>IF(T19="manual input","-",INDEX($AT$26:$AU$57,MATCH(T18,$AT$26:$AT$57,0),2))</f>
        <v>88.900000000000006</v>
      </c>
      <c r="U20" s="91"/>
      <c r="V20" s="91"/>
      <c r="W20" s="91"/>
      <c r="X20" s="91"/>
      <c r="Y20" s="92"/>
      <c r="Z20" s="176">
        <f>IF(Z19="manual input","-",INDEX($AT$26:$AU$57,MATCH(Z18,$AT$26:$AT$57,0),2))</f>
        <v>88.900000000000006</v>
      </c>
      <c r="AA20" s="91"/>
      <c r="AB20" s="91"/>
      <c r="AC20" s="91"/>
      <c r="AD20" s="91"/>
      <c r="AE20" s="92"/>
      <c r="AF20" s="90">
        <f>IF(AF19="manual input","-",INDEX($AT$26:$AU$57,MATCH(AF18,$AT$26:$AT$57,0),2))</f>
        <v>88.900000000000006</v>
      </c>
      <c r="AG20" s="91"/>
      <c r="AH20" s="91"/>
      <c r="AI20" s="91"/>
      <c r="AJ20" s="91"/>
      <c r="AK20" s="92"/>
      <c r="AL20" s="52"/>
      <c r="AM20" s="52"/>
      <c r="AN20" s="54"/>
      <c r="AR20" s="2"/>
      <c r="AS20" s="245"/>
      <c r="AT20" s="115"/>
      <c r="AU20" s="115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15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101"/>
    </row>
    <row r="21" ht="14.9" customHeight="1">
      <c r="B21" s="50"/>
      <c r="C21" s="78" t="s">
        <v>91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  <c r="T21" s="93">
        <f>(IF(T19="manual input","-",(INDEX($AV$26:$CK$57,MATCH(T18,$AT$26:$AT$57,0),MATCH(T19,$AV$23:$CK$23,0)+1)*25.4)))</f>
        <v>7.6199999999999992</v>
      </c>
      <c r="U21" s="94"/>
      <c r="V21" s="94"/>
      <c r="W21" s="94"/>
      <c r="X21" s="94"/>
      <c r="Y21" s="95"/>
      <c r="Z21" s="177">
        <f>(IF(Z19="manual input","-",(INDEX($AV$26:$CK$57,MATCH(Z18,$AT$26:$AT$57,0),MATCH(Z19,$AV$23:$CK$23,0)+1)*25.4)))</f>
        <v>7.6199999999999992</v>
      </c>
      <c r="AA21" s="94"/>
      <c r="AB21" s="94"/>
      <c r="AC21" s="94"/>
      <c r="AD21" s="94"/>
      <c r="AE21" s="95"/>
      <c r="AF21" s="93">
        <f>(IF(AF19="manual input","-",(INDEX($AV$26:$CK$57,MATCH(AF18,$AT$26:$AT$57,0),MATCH(AF19,$AV$23:$CK$23,0)+1)*25.4)))</f>
        <v>7.6199999999999992</v>
      </c>
      <c r="AG21" s="94"/>
      <c r="AH21" s="94"/>
      <c r="AI21" s="94"/>
      <c r="AJ21" s="94"/>
      <c r="AK21" s="95"/>
      <c r="AL21" s="52"/>
      <c r="AM21" s="52"/>
      <c r="AN21" s="54"/>
      <c r="AR21" s="2"/>
      <c r="AS21" s="245"/>
      <c r="AT21" s="115"/>
      <c r="AU21" s="115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15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101"/>
    </row>
    <row r="22" ht="14.9" customHeight="1">
      <c r="A22" s="57"/>
      <c r="B22" s="50"/>
      <c r="C22" s="102" t="s">
        <v>106</v>
      </c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78"/>
      <c r="T22" s="104"/>
      <c r="U22" s="105"/>
      <c r="V22" s="105"/>
      <c r="W22" s="105"/>
      <c r="X22" s="105"/>
      <c r="Y22" s="106"/>
      <c r="Z22" s="105"/>
      <c r="AA22" s="105"/>
      <c r="AB22" s="105"/>
      <c r="AC22" s="105"/>
      <c r="AD22" s="105"/>
      <c r="AE22" s="105"/>
      <c r="AF22" s="180"/>
      <c r="AG22" s="105"/>
      <c r="AH22" s="105"/>
      <c r="AI22" s="105"/>
      <c r="AJ22" s="105"/>
      <c r="AK22" s="106"/>
      <c r="AL22" s="52"/>
      <c r="AM22" s="52"/>
      <c r="AN22" s="54"/>
      <c r="AR22" s="2"/>
      <c r="AS22" s="245"/>
      <c r="AT22" s="115"/>
      <c r="AU22" s="115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15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101"/>
    </row>
    <row r="23" ht="14.9" customHeight="1">
      <c r="B23" s="50"/>
      <c r="C23" s="102" t="s">
        <v>175</v>
      </c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78"/>
      <c r="T23" s="107"/>
      <c r="U23" s="108"/>
      <c r="V23" s="108"/>
      <c r="W23" s="108"/>
      <c r="X23" s="108"/>
      <c r="Y23" s="109"/>
      <c r="Z23" s="108"/>
      <c r="AA23" s="108"/>
      <c r="AB23" s="108"/>
      <c r="AC23" s="108"/>
      <c r="AD23" s="108"/>
      <c r="AE23" s="108"/>
      <c r="AF23" s="182"/>
      <c r="AG23" s="108"/>
      <c r="AH23" s="108"/>
      <c r="AI23" s="108"/>
      <c r="AJ23" s="108"/>
      <c r="AK23" s="109"/>
      <c r="AL23" s="52"/>
      <c r="AM23" s="52"/>
      <c r="AN23" s="54"/>
      <c r="AR23" s="96" t="s">
        <v>92</v>
      </c>
      <c r="AS23" s="241"/>
      <c r="AT23" s="97" t="s">
        <v>93</v>
      </c>
      <c r="AU23" s="97"/>
      <c r="AV23" s="98" t="s">
        <v>94</v>
      </c>
      <c r="AW23" s="97"/>
      <c r="AX23" s="97"/>
      <c r="AY23" s="98" t="s">
        <v>95</v>
      </c>
      <c r="AZ23" s="97"/>
      <c r="BA23" s="97"/>
      <c r="BB23" s="99" t="s">
        <v>96</v>
      </c>
      <c r="BC23" s="97"/>
      <c r="BD23" s="97"/>
      <c r="BE23" s="99" t="s">
        <v>97</v>
      </c>
      <c r="BF23" s="97"/>
      <c r="BG23" s="97"/>
      <c r="BH23" s="98" t="s">
        <v>88</v>
      </c>
      <c r="BI23" s="97"/>
      <c r="BJ23" s="97"/>
      <c r="BK23" s="100" t="s">
        <v>98</v>
      </c>
      <c r="BL23" s="97"/>
      <c r="BM23" s="97"/>
      <c r="BN23" s="98" t="s">
        <v>89</v>
      </c>
      <c r="BO23" s="97"/>
      <c r="BP23" s="97"/>
      <c r="BQ23" s="99" t="s">
        <v>99</v>
      </c>
      <c r="BR23" s="97"/>
      <c r="BS23" s="97"/>
      <c r="BT23" s="99" t="s">
        <v>100</v>
      </c>
      <c r="BU23" s="97"/>
      <c r="BV23" s="97"/>
      <c r="BW23" s="99" t="s">
        <v>101</v>
      </c>
      <c r="BX23" s="97"/>
      <c r="BY23" s="97"/>
      <c r="BZ23" s="99" t="s">
        <v>102</v>
      </c>
      <c r="CA23" s="97"/>
      <c r="CB23" s="97"/>
      <c r="CC23" s="98" t="s">
        <v>103</v>
      </c>
      <c r="CD23" s="97"/>
      <c r="CE23" s="97"/>
      <c r="CF23" s="98" t="s">
        <v>104</v>
      </c>
      <c r="CG23" s="97"/>
      <c r="CH23" s="97"/>
      <c r="CI23" s="98" t="s">
        <v>105</v>
      </c>
      <c r="CJ23" s="97"/>
      <c r="CK23" s="101"/>
    </row>
    <row r="24" ht="14.9" customHeight="1">
      <c r="B24" s="50"/>
      <c r="C24" s="78" t="s">
        <v>113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/>
      <c r="T24" s="93">
        <f>IF(T19="Manual Input",(T22-(T23*2)),(T20-(2*T21)))</f>
        <v>73.660000000000011</v>
      </c>
      <c r="U24" s="94"/>
      <c r="V24" s="94"/>
      <c r="W24" s="94"/>
      <c r="X24" s="94"/>
      <c r="Y24" s="95"/>
      <c r="Z24" s="93">
        <f>IF(Z19="Manual Input",(Z22-(Z23*2)),(Z20-(2*Z21)))</f>
        <v>73.660000000000011</v>
      </c>
      <c r="AA24" s="94"/>
      <c r="AB24" s="94"/>
      <c r="AC24" s="94"/>
      <c r="AD24" s="94"/>
      <c r="AE24" s="95"/>
      <c r="AF24" s="93">
        <f>IF(AF19="Manual Input",(AF22-(AF23*2)),(AF20-(2*AF21)))</f>
        <v>73.660000000000011</v>
      </c>
      <c r="AG24" s="94"/>
      <c r="AH24" s="94"/>
      <c r="AI24" s="94"/>
      <c r="AJ24" s="94"/>
      <c r="AK24" s="95"/>
      <c r="AL24" s="52"/>
      <c r="AM24" s="52"/>
      <c r="AN24" s="54"/>
      <c r="AR24" s="96"/>
      <c r="AS24" s="241"/>
      <c r="AT24" s="97"/>
      <c r="AU24" s="97"/>
      <c r="AV24" s="98"/>
      <c r="AW24" s="97"/>
      <c r="AX24" s="97"/>
      <c r="AY24" s="98"/>
      <c r="AZ24" s="97"/>
      <c r="BA24" s="97"/>
      <c r="BB24" s="99"/>
      <c r="BC24" s="97"/>
      <c r="BD24" s="97"/>
      <c r="BE24" s="99"/>
      <c r="BF24" s="97"/>
      <c r="BG24" s="97"/>
      <c r="BH24" s="98"/>
      <c r="BI24" s="97"/>
      <c r="BJ24" s="97"/>
      <c r="BK24" s="100"/>
      <c r="BL24" s="97"/>
      <c r="BM24" s="97"/>
      <c r="BN24" s="98"/>
      <c r="BO24" s="97"/>
      <c r="BP24" s="97"/>
      <c r="BQ24" s="99"/>
      <c r="BR24" s="97"/>
      <c r="BS24" s="97"/>
      <c r="BT24" s="99"/>
      <c r="BU24" s="97"/>
      <c r="BV24" s="97"/>
      <c r="BW24" s="99"/>
      <c r="BX24" s="97"/>
      <c r="BY24" s="97"/>
      <c r="BZ24" s="99"/>
      <c r="CA24" s="97"/>
      <c r="CB24" s="97"/>
      <c r="CC24" s="98"/>
      <c r="CD24" s="97"/>
      <c r="CE24" s="97"/>
      <c r="CF24" s="98"/>
      <c r="CG24" s="97"/>
      <c r="CH24" s="97"/>
      <c r="CI24" s="98"/>
      <c r="CJ24" s="97"/>
      <c r="CK24" s="101"/>
    </row>
    <row r="25" ht="14.9" customHeight="1">
      <c r="B25" s="50"/>
      <c r="C25" s="78" t="s">
        <v>114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  <c r="T25" s="93">
        <f>(INDEX($AT$26:$BI$57,MATCH(T18,$AT$26:$AT$57,0),16))*25.4</f>
        <v>5.4863999999999997</v>
      </c>
      <c r="U25" s="94"/>
      <c r="V25" s="94"/>
      <c r="W25" s="94"/>
      <c r="X25" s="94"/>
      <c r="Y25" s="95"/>
      <c r="Z25" s="177">
        <f>(INDEX($AT$26:$BI$57,MATCH(Z18,$AT$26:$AT$57,0),16))*25.4</f>
        <v>5.4863999999999997</v>
      </c>
      <c r="AA25" s="94"/>
      <c r="AB25" s="94"/>
      <c r="AC25" s="94"/>
      <c r="AD25" s="94"/>
      <c r="AE25" s="95"/>
      <c r="AF25" s="93">
        <f>(INDEX($AT$26:$BI$57,MATCH(AF18,$AT$26:$AT$57,0),16))*25.4</f>
        <v>5.4863999999999997</v>
      </c>
      <c r="AG25" s="94"/>
      <c r="AH25" s="94"/>
      <c r="AI25" s="94"/>
      <c r="AJ25" s="94"/>
      <c r="AK25" s="95"/>
      <c r="AL25" s="52"/>
      <c r="AM25" s="52"/>
      <c r="AN25" s="54"/>
      <c r="AR25" s="96">
        <v>1</v>
      </c>
      <c r="AS25" s="246" t="s">
        <v>176</v>
      </c>
      <c r="AT25" s="110" t="s">
        <v>108</v>
      </c>
      <c r="AU25" s="110" t="s">
        <v>109</v>
      </c>
      <c r="AV25" s="111" t="s">
        <v>110</v>
      </c>
      <c r="AW25" s="110" t="s">
        <v>111</v>
      </c>
      <c r="AX25" s="110" t="s">
        <v>112</v>
      </c>
      <c r="AY25" s="111" t="s">
        <v>110</v>
      </c>
      <c r="AZ25" s="110" t="s">
        <v>111</v>
      </c>
      <c r="BA25" s="110" t="s">
        <v>112</v>
      </c>
      <c r="BB25" s="111" t="s">
        <v>110</v>
      </c>
      <c r="BC25" s="110" t="s">
        <v>111</v>
      </c>
      <c r="BD25" s="110" t="s">
        <v>112</v>
      </c>
      <c r="BE25" s="111" t="s">
        <v>110</v>
      </c>
      <c r="BF25" s="110" t="s">
        <v>111</v>
      </c>
      <c r="BG25" s="110" t="s">
        <v>112</v>
      </c>
      <c r="BH25" s="111" t="s">
        <v>110</v>
      </c>
      <c r="BI25" s="110" t="s">
        <v>111</v>
      </c>
      <c r="BJ25" s="110" t="s">
        <v>112</v>
      </c>
      <c r="BK25" s="111" t="s">
        <v>110</v>
      </c>
      <c r="BL25" s="110" t="s">
        <v>111</v>
      </c>
      <c r="BM25" s="110" t="s">
        <v>112</v>
      </c>
      <c r="BN25" s="111" t="s">
        <v>110</v>
      </c>
      <c r="BO25" s="110" t="s">
        <v>111</v>
      </c>
      <c r="BP25" s="110" t="s">
        <v>112</v>
      </c>
      <c r="BQ25" s="111" t="s">
        <v>110</v>
      </c>
      <c r="BR25" s="110" t="s">
        <v>111</v>
      </c>
      <c r="BS25" s="110" t="s">
        <v>112</v>
      </c>
      <c r="BT25" s="111" t="s">
        <v>110</v>
      </c>
      <c r="BU25" s="110" t="s">
        <v>111</v>
      </c>
      <c r="BV25" s="110" t="s">
        <v>112</v>
      </c>
      <c r="BW25" s="111" t="s">
        <v>110</v>
      </c>
      <c r="BX25" s="110" t="s">
        <v>111</v>
      </c>
      <c r="BY25" s="110" t="s">
        <v>112</v>
      </c>
      <c r="BZ25" s="111" t="s">
        <v>110</v>
      </c>
      <c r="CA25" s="110" t="s">
        <v>111</v>
      </c>
      <c r="CB25" s="110" t="s">
        <v>112</v>
      </c>
      <c r="CC25" s="111" t="s">
        <v>110</v>
      </c>
      <c r="CD25" s="110" t="s">
        <v>111</v>
      </c>
      <c r="CE25" s="110" t="s">
        <v>112</v>
      </c>
      <c r="CF25" s="111" t="s">
        <v>110</v>
      </c>
      <c r="CG25" s="110" t="s">
        <v>111</v>
      </c>
      <c r="CH25" s="110" t="s">
        <v>112</v>
      </c>
      <c r="CI25" s="111" t="s">
        <v>110</v>
      </c>
      <c r="CJ25" s="110" t="s">
        <v>111</v>
      </c>
      <c r="CK25" s="112" t="s">
        <v>112</v>
      </c>
    </row>
    <row r="26" ht="14.9" customHeight="1">
      <c r="B26" s="50"/>
      <c r="C26" s="78" t="s">
        <v>115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  <c r="T26" s="87" t="s">
        <v>126</v>
      </c>
      <c r="U26" s="88"/>
      <c r="V26" s="88"/>
      <c r="W26" s="88"/>
      <c r="X26" s="88"/>
      <c r="Y26" s="89"/>
      <c r="Z26" s="175" t="s">
        <v>126</v>
      </c>
      <c r="AA26" s="88"/>
      <c r="AB26" s="88"/>
      <c r="AC26" s="88"/>
      <c r="AD26" s="88"/>
      <c r="AE26" s="89"/>
      <c r="AF26" s="87" t="s">
        <v>126</v>
      </c>
      <c r="AG26" s="88"/>
      <c r="AH26" s="88"/>
      <c r="AI26" s="88"/>
      <c r="AJ26" s="88"/>
      <c r="AK26" s="89"/>
      <c r="AL26" s="52"/>
      <c r="AM26" s="52"/>
      <c r="AN26" s="54"/>
      <c r="AR26" s="2">
        <v>4</v>
      </c>
      <c r="AS26" s="247">
        <v>0.375</v>
      </c>
      <c r="AT26" s="110">
        <v>10</v>
      </c>
      <c r="AU26" s="113">
        <v>17.149999999999999</v>
      </c>
      <c r="AV26" s="98"/>
      <c r="AW26" s="114"/>
      <c r="AX26" s="114"/>
      <c r="AY26" s="98" t="s">
        <v>95</v>
      </c>
      <c r="AZ26" s="114">
        <v>6.5000000000000002e-002</v>
      </c>
      <c r="BA26" s="114">
        <v>0.54500000000000004</v>
      </c>
      <c r="BB26" s="98"/>
      <c r="BC26" s="115"/>
      <c r="BD26" s="115"/>
      <c r="BE26" s="98"/>
      <c r="BF26" s="115"/>
      <c r="BG26" s="115"/>
      <c r="BH26" s="98" t="s">
        <v>88</v>
      </c>
      <c r="BI26" s="114">
        <v>9.0999999999999998e-002</v>
      </c>
      <c r="BJ26" s="114">
        <v>0.49299999999999999</v>
      </c>
      <c r="BK26" s="98"/>
      <c r="BL26" s="115"/>
      <c r="BM26" s="115"/>
      <c r="BN26" s="98" t="s">
        <v>89</v>
      </c>
      <c r="BO26" s="114">
        <v>0.126</v>
      </c>
      <c r="BP26" s="114">
        <v>0.42499999999999999</v>
      </c>
      <c r="BQ26" s="98"/>
      <c r="BR26" s="115"/>
      <c r="BS26" s="115"/>
      <c r="BT26" s="98"/>
      <c r="BU26" s="115"/>
      <c r="BV26" s="115"/>
      <c r="BW26" s="98"/>
      <c r="BX26" s="115"/>
      <c r="BY26" s="115"/>
      <c r="BZ26" s="98"/>
      <c r="CA26" s="115"/>
      <c r="CB26" s="115"/>
      <c r="CC26" s="98" t="s">
        <v>103</v>
      </c>
      <c r="CD26" s="114">
        <v>9.0999999999999998e-002</v>
      </c>
      <c r="CE26" s="114">
        <v>0.49299999999999999</v>
      </c>
      <c r="CF26" s="98" t="s">
        <v>104</v>
      </c>
      <c r="CG26" s="114">
        <v>0.126</v>
      </c>
      <c r="CH26" s="114">
        <v>0.42299999999999999</v>
      </c>
      <c r="CI26" s="98"/>
      <c r="CJ26" s="115"/>
      <c r="CK26" s="116"/>
    </row>
    <row r="27" ht="14.9" customHeight="1">
      <c r="B27" s="50"/>
      <c r="C27" s="122" t="s">
        <v>177</v>
      </c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4"/>
      <c r="T27" s="125">
        <f>IF(T26="user input","",INDEX($AO$34:$AP$37,MATCH(T26,$AP$34:$AP$37,0),1))</f>
        <v>1</v>
      </c>
      <c r="U27" s="126"/>
      <c r="V27" s="126"/>
      <c r="W27" s="126"/>
      <c r="X27" s="126"/>
      <c r="Y27" s="127"/>
      <c r="Z27" s="195">
        <f>IF(Z26="user input","",INDEX($AO$34:$AP$37,MATCH(Z26,$AP$34:$AP$37,0),1))</f>
        <v>1</v>
      </c>
      <c r="AA27" s="126"/>
      <c r="AB27" s="126"/>
      <c r="AC27" s="126"/>
      <c r="AD27" s="126"/>
      <c r="AE27" s="127"/>
      <c r="AF27" s="125">
        <f>IF(AF26="user input","",INDEX($AO$34:$AP$37,MATCH(AF26,$AP$34:$AP$37,0),1))</f>
        <v>1</v>
      </c>
      <c r="AG27" s="126"/>
      <c r="AH27" s="126"/>
      <c r="AI27" s="126"/>
      <c r="AJ27" s="126"/>
      <c r="AK27" s="127"/>
      <c r="AL27" s="52"/>
      <c r="AM27" s="52"/>
      <c r="AN27" s="54"/>
      <c r="AR27" s="96">
        <v>5</v>
      </c>
      <c r="AS27" s="247">
        <v>0.5</v>
      </c>
      <c r="AT27" s="117">
        <v>15</v>
      </c>
      <c r="AU27" s="118">
        <v>21.34</v>
      </c>
      <c r="AV27" s="98"/>
      <c r="AW27" s="119"/>
      <c r="AX27" s="119"/>
      <c r="AY27" s="98" t="s">
        <v>95</v>
      </c>
      <c r="AZ27" s="119">
        <v>6.5000000000000002e-002</v>
      </c>
      <c r="BA27" s="119">
        <v>0.67400000000000004</v>
      </c>
      <c r="BB27" s="99"/>
      <c r="BC27" s="97"/>
      <c r="BD27" s="97"/>
      <c r="BE27" s="99"/>
      <c r="BF27" s="97"/>
      <c r="BG27" s="97"/>
      <c r="BH27" s="98" t="s">
        <v>88</v>
      </c>
      <c r="BI27" s="119">
        <v>0.109</v>
      </c>
      <c r="BJ27" s="119">
        <v>0.622</v>
      </c>
      <c r="BK27" s="99"/>
      <c r="BL27" s="97"/>
      <c r="BM27" s="97"/>
      <c r="BN27" s="98" t="s">
        <v>89</v>
      </c>
      <c r="BO27" s="119">
        <v>0.14699999999999999</v>
      </c>
      <c r="BP27" s="119">
        <v>0.54600000000000004</v>
      </c>
      <c r="BQ27" s="99"/>
      <c r="BR27" s="97"/>
      <c r="BS27" s="97"/>
      <c r="BT27" s="99"/>
      <c r="BU27" s="120"/>
      <c r="BV27" s="97"/>
      <c r="BW27" s="99"/>
      <c r="BX27" s="97"/>
      <c r="BY27" s="97"/>
      <c r="BZ27" s="99" t="s">
        <v>102</v>
      </c>
      <c r="CA27" s="114">
        <v>0.188</v>
      </c>
      <c r="CB27" s="114">
        <v>0.46400000000000002</v>
      </c>
      <c r="CC27" s="98" t="s">
        <v>103</v>
      </c>
      <c r="CD27" s="119">
        <v>0.109</v>
      </c>
      <c r="CE27" s="119">
        <v>0.622</v>
      </c>
      <c r="CF27" s="98" t="s">
        <v>104</v>
      </c>
      <c r="CG27" s="119">
        <v>0.14699999999999999</v>
      </c>
      <c r="CH27" s="119">
        <v>0.54600000000000004</v>
      </c>
      <c r="CI27" s="98" t="s">
        <v>105</v>
      </c>
      <c r="CJ27" s="114">
        <v>0.29399999999999998</v>
      </c>
      <c r="CK27" s="121">
        <v>0.252</v>
      </c>
    </row>
    <row r="28" ht="42.75" customHeight="1">
      <c r="B28" s="50"/>
      <c r="C28" s="248" t="s">
        <v>118</v>
      </c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50"/>
      <c r="T28" s="251" t="str">
        <f>IF(T24&lt;0,"Input Error: Invalid Pipe Wall Thickness",IF(T21=0,"Input Error: Invalid Pipe Schedule","Inputs Ok"))</f>
        <v xml:space="preserve">Inputs Ok</v>
      </c>
      <c r="U28" s="251"/>
      <c r="V28" s="251"/>
      <c r="W28" s="251"/>
      <c r="X28" s="251"/>
      <c r="Y28" s="251"/>
      <c r="Z28" s="251" t="str">
        <f>IF(Z24&lt;0,"Input Error: Invalid Pipe Wall Thickness",IF(Z21=0,"Input Error: Invalid Pipe Schedule","Inputs Ok"))</f>
        <v xml:space="preserve">Inputs Ok</v>
      </c>
      <c r="AA28" s="251"/>
      <c r="AB28" s="251"/>
      <c r="AC28" s="251"/>
      <c r="AD28" s="251"/>
      <c r="AE28" s="251"/>
      <c r="AF28" s="251" t="str">
        <f>IF(AF24&lt;0,"Input Error: Invalid Pipe Wall Thickness",IF(AF21=0,"Input Error: Invalid Pipe Schedule","Inputs Ok"))</f>
        <v xml:space="preserve">Inputs Ok</v>
      </c>
      <c r="AG28" s="251"/>
      <c r="AH28" s="251"/>
      <c r="AI28" s="251"/>
      <c r="AJ28" s="251"/>
      <c r="AK28" s="251"/>
      <c r="AL28" s="52"/>
      <c r="AM28" s="52"/>
      <c r="AN28" s="54"/>
      <c r="AR28" s="2">
        <v>6</v>
      </c>
      <c r="AS28" s="247">
        <v>0.75</v>
      </c>
      <c r="AT28" s="117">
        <v>20</v>
      </c>
      <c r="AU28" s="118">
        <v>26.670000000000002</v>
      </c>
      <c r="AV28" s="98" t="s">
        <v>94</v>
      </c>
      <c r="AW28" s="119">
        <v>6.5000000000000002e-002</v>
      </c>
      <c r="AX28" s="119">
        <v>0.92000000000000004</v>
      </c>
      <c r="AY28" s="98" t="s">
        <v>95</v>
      </c>
      <c r="AZ28" s="119">
        <v>8.3000000000000004e-002</v>
      </c>
      <c r="BA28" s="119">
        <v>0.88400000000000001</v>
      </c>
      <c r="BB28" s="99"/>
      <c r="BC28" s="97"/>
      <c r="BD28" s="97"/>
      <c r="BE28" s="99"/>
      <c r="BF28" s="97"/>
      <c r="BG28" s="97"/>
      <c r="BH28" s="98" t="s">
        <v>88</v>
      </c>
      <c r="BI28" s="119">
        <v>0.113</v>
      </c>
      <c r="BJ28" s="119">
        <v>0.82399999999999995</v>
      </c>
      <c r="BK28" s="99"/>
      <c r="BL28" s="97"/>
      <c r="BM28" s="97"/>
      <c r="BN28" s="98" t="s">
        <v>89</v>
      </c>
      <c r="BO28" s="119">
        <v>0.154</v>
      </c>
      <c r="BP28" s="119">
        <v>0.74199999999999999</v>
      </c>
      <c r="BQ28" s="99"/>
      <c r="BR28" s="97"/>
      <c r="BS28" s="97"/>
      <c r="BT28" s="99"/>
      <c r="BU28" s="97"/>
      <c r="BV28" s="97"/>
      <c r="BW28" s="99"/>
      <c r="BX28" s="97"/>
      <c r="BY28" s="97"/>
      <c r="BZ28" s="99" t="s">
        <v>102</v>
      </c>
      <c r="CA28" s="114">
        <v>0.219</v>
      </c>
      <c r="CB28" s="114">
        <v>0.61199999999999999</v>
      </c>
      <c r="CC28" s="98" t="s">
        <v>103</v>
      </c>
      <c r="CD28" s="119">
        <v>0.113</v>
      </c>
      <c r="CE28" s="119">
        <v>0.82399999999999995</v>
      </c>
      <c r="CF28" s="98" t="s">
        <v>104</v>
      </c>
      <c r="CG28" s="119">
        <v>0.154</v>
      </c>
      <c r="CH28" s="119">
        <v>0.74199999999999999</v>
      </c>
      <c r="CI28" s="98" t="s">
        <v>105</v>
      </c>
      <c r="CJ28" s="114">
        <v>0.308</v>
      </c>
      <c r="CK28" s="121">
        <v>0.434</v>
      </c>
    </row>
    <row r="29" ht="14.9" customHeight="1">
      <c r="B29" s="50"/>
      <c r="C29" s="252" t="s">
        <v>119</v>
      </c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5"/>
      <c r="AL29" s="52"/>
      <c r="AM29" s="52"/>
      <c r="AN29" s="54"/>
      <c r="AR29" s="96">
        <v>7</v>
      </c>
      <c r="AS29" s="256">
        <v>1</v>
      </c>
      <c r="AT29" s="117">
        <v>25</v>
      </c>
      <c r="AU29" s="118">
        <v>33.399999999999999</v>
      </c>
      <c r="AV29" s="98" t="s">
        <v>94</v>
      </c>
      <c r="AW29" s="119">
        <v>6.5000000000000002e-002</v>
      </c>
      <c r="AX29" s="119">
        <v>1.1850000000000001</v>
      </c>
      <c r="AY29" s="98" t="s">
        <v>95</v>
      </c>
      <c r="AZ29" s="119">
        <v>0.109</v>
      </c>
      <c r="BA29" s="119">
        <v>1.097</v>
      </c>
      <c r="BB29" s="99"/>
      <c r="BC29" s="97"/>
      <c r="BD29" s="97"/>
      <c r="BE29" s="99"/>
      <c r="BF29" s="97"/>
      <c r="BG29" s="97"/>
      <c r="BH29" s="98" t="s">
        <v>88</v>
      </c>
      <c r="BI29" s="119">
        <v>0.13300000000000001</v>
      </c>
      <c r="BJ29" s="119">
        <v>1.0489999999999999</v>
      </c>
      <c r="BK29" s="99"/>
      <c r="BL29" s="97"/>
      <c r="BM29" s="97"/>
      <c r="BN29" s="98" t="s">
        <v>89</v>
      </c>
      <c r="BO29" s="119">
        <v>0.17899999999999999</v>
      </c>
      <c r="BP29" s="119">
        <v>0.95700000000000007</v>
      </c>
      <c r="BQ29" s="99"/>
      <c r="BR29" s="97"/>
      <c r="BS29" s="97"/>
      <c r="BT29" s="99"/>
      <c r="BU29" s="97"/>
      <c r="BV29" s="97"/>
      <c r="BW29" s="99"/>
      <c r="BX29" s="97"/>
      <c r="BY29" s="97"/>
      <c r="BZ29" s="99" t="s">
        <v>102</v>
      </c>
      <c r="CA29" s="114">
        <v>0.25</v>
      </c>
      <c r="CB29" s="114">
        <v>0.81499999999999995</v>
      </c>
      <c r="CC29" s="98" t="s">
        <v>103</v>
      </c>
      <c r="CD29" s="119">
        <v>0.13300000000000001</v>
      </c>
      <c r="CE29" s="119">
        <v>1.0489999999999999</v>
      </c>
      <c r="CF29" s="98" t="s">
        <v>104</v>
      </c>
      <c r="CG29" s="119">
        <v>0.17899999999999999</v>
      </c>
      <c r="CH29" s="119">
        <v>0.95700000000000007</v>
      </c>
      <c r="CI29" s="98" t="s">
        <v>105</v>
      </c>
      <c r="CJ29" s="114">
        <v>0.35799999999999998</v>
      </c>
      <c r="CK29" s="121">
        <v>0.59899999999999998</v>
      </c>
    </row>
    <row r="30" ht="14.9" customHeight="1">
      <c r="B30" s="50"/>
      <c r="C30" s="78" t="s">
        <v>120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/>
      <c r="T30" s="138">
        <f>IF(T28="Inputs Ok",((1/1.58)*T16*(((T17/100000)/T15)^0.5)),"-")</f>
        <v>10.793624740960466</v>
      </c>
      <c r="U30" s="139"/>
      <c r="V30" s="139"/>
      <c r="W30" s="139"/>
      <c r="X30" s="139"/>
      <c r="Y30" s="140"/>
      <c r="Z30" s="138">
        <f>IF(Z28="Inputs Ok",((1/1.58)*Z16*(((Z17/100000)/Z15)^0.5)),"-")</f>
        <v>10.793624740960466</v>
      </c>
      <c r="AA30" s="139"/>
      <c r="AB30" s="139"/>
      <c r="AC30" s="139"/>
      <c r="AD30" s="139"/>
      <c r="AE30" s="140"/>
      <c r="AF30" s="138">
        <f>IF(AF28="Inputs Ok",((1/1.58)*AF16*(((AF17/100000)/AF15)^0.5)),"-")</f>
        <v>10.793624740960466</v>
      </c>
      <c r="AG30" s="139"/>
      <c r="AH30" s="139"/>
      <c r="AI30" s="139"/>
      <c r="AJ30" s="139"/>
      <c r="AK30" s="140"/>
      <c r="AL30" s="52"/>
      <c r="AM30" s="52"/>
      <c r="AN30" s="54"/>
      <c r="AR30" s="2">
        <v>8</v>
      </c>
      <c r="AS30" s="256">
        <v>1.25</v>
      </c>
      <c r="AT30" s="117">
        <v>32</v>
      </c>
      <c r="AU30" s="118">
        <v>42.159999999999997</v>
      </c>
      <c r="AV30" s="98" t="s">
        <v>94</v>
      </c>
      <c r="AW30" s="119">
        <v>6.5000000000000002e-002</v>
      </c>
      <c r="AX30" s="119">
        <v>1.53</v>
      </c>
      <c r="AY30" s="98" t="s">
        <v>95</v>
      </c>
      <c r="AZ30" s="119">
        <v>0.109</v>
      </c>
      <c r="BA30" s="119">
        <v>1.4419999999999999</v>
      </c>
      <c r="BB30" s="99"/>
      <c r="BC30" s="97"/>
      <c r="BD30" s="97"/>
      <c r="BE30" s="99"/>
      <c r="BF30" s="97"/>
      <c r="BG30" s="97"/>
      <c r="BH30" s="98" t="s">
        <v>88</v>
      </c>
      <c r="BI30" s="119">
        <v>0.14000000000000001</v>
      </c>
      <c r="BJ30" s="119">
        <v>1.3799999999999999</v>
      </c>
      <c r="BK30" s="99"/>
      <c r="BL30" s="97"/>
      <c r="BM30" s="97"/>
      <c r="BN30" s="98" t="s">
        <v>89</v>
      </c>
      <c r="BO30" s="119">
        <v>0.191</v>
      </c>
      <c r="BP30" s="119">
        <v>1.278</v>
      </c>
      <c r="BQ30" s="99"/>
      <c r="BR30" s="97"/>
      <c r="BS30" s="97"/>
      <c r="BT30" s="99"/>
      <c r="BU30" s="97"/>
      <c r="BV30" s="97"/>
      <c r="BW30" s="99"/>
      <c r="BX30" s="97"/>
      <c r="BY30" s="97"/>
      <c r="BZ30" s="99" t="s">
        <v>102</v>
      </c>
      <c r="CA30" s="119">
        <v>0.25</v>
      </c>
      <c r="CB30" s="119">
        <v>1.1599999999999999</v>
      </c>
      <c r="CC30" s="98" t="s">
        <v>103</v>
      </c>
      <c r="CD30" s="119">
        <v>0.14000000000000001</v>
      </c>
      <c r="CE30" s="119">
        <v>1.3799999999999999</v>
      </c>
      <c r="CF30" s="98" t="s">
        <v>104</v>
      </c>
      <c r="CG30" s="119">
        <v>0.191</v>
      </c>
      <c r="CH30" s="119">
        <v>1.278</v>
      </c>
      <c r="CI30" s="98" t="s">
        <v>105</v>
      </c>
      <c r="CJ30" s="119">
        <v>0.38200000000000001</v>
      </c>
      <c r="CK30" s="133">
        <v>0.89600000000000002</v>
      </c>
    </row>
    <row r="31" ht="14.9" customHeight="1">
      <c r="B31" s="50"/>
      <c r="C31" s="78" t="s">
        <v>178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/>
      <c r="T31" s="93">
        <f>IF(T28="Inputs Ok",(IF(T19="Manual Input",T23/T25,T21/T25)),"-")</f>
        <v>1.3888888888888888</v>
      </c>
      <c r="U31" s="94"/>
      <c r="V31" s="94"/>
      <c r="W31" s="94"/>
      <c r="X31" s="94"/>
      <c r="Y31" s="95"/>
      <c r="Z31" s="93">
        <f>IF(Z28="Inputs Ok",(IF(Z19="Manual Input",Z23/Z25,Z21/Z25)),"-")</f>
        <v>1.3888888888888888</v>
      </c>
      <c r="AA31" s="94"/>
      <c r="AB31" s="94"/>
      <c r="AC31" s="94"/>
      <c r="AD31" s="94"/>
      <c r="AE31" s="95"/>
      <c r="AF31" s="93">
        <f>IF(AF28="Inputs Ok",(IF(AF19="Manual Input",AF23/AF25,AF21/AF25)),"-")</f>
        <v>1.3888888888888888</v>
      </c>
      <c r="AG31" s="94"/>
      <c r="AH31" s="94"/>
      <c r="AI31" s="94"/>
      <c r="AJ31" s="94"/>
      <c r="AK31" s="95"/>
      <c r="AL31" s="52"/>
      <c r="AM31" s="52"/>
      <c r="AN31" s="54"/>
      <c r="AR31" s="96">
        <v>9</v>
      </c>
      <c r="AS31" s="256">
        <v>1.5</v>
      </c>
      <c r="AT31" s="117">
        <v>40</v>
      </c>
      <c r="AU31" s="118">
        <v>48.259999999999998</v>
      </c>
      <c r="AV31" s="98" t="s">
        <v>94</v>
      </c>
      <c r="AW31" s="119">
        <v>6.5000000000000002e-002</v>
      </c>
      <c r="AX31" s="119">
        <v>1.77</v>
      </c>
      <c r="AY31" s="98" t="s">
        <v>95</v>
      </c>
      <c r="AZ31" s="119">
        <v>0.109</v>
      </c>
      <c r="BA31" s="119">
        <v>1.6819999999999999</v>
      </c>
      <c r="BB31" s="99"/>
      <c r="BC31" s="97"/>
      <c r="BD31" s="97"/>
      <c r="BE31" s="99"/>
      <c r="BF31" s="97"/>
      <c r="BG31" s="97"/>
      <c r="BH31" s="98" t="s">
        <v>88</v>
      </c>
      <c r="BI31" s="119">
        <v>0.14499999999999999</v>
      </c>
      <c r="BJ31" s="119">
        <v>1.6100000000000001</v>
      </c>
      <c r="BK31" s="99"/>
      <c r="BL31" s="97"/>
      <c r="BM31" s="97"/>
      <c r="BN31" s="98" t="s">
        <v>89</v>
      </c>
      <c r="BO31" s="119">
        <v>0.20000000000000001</v>
      </c>
      <c r="BP31" s="119">
        <v>1.5</v>
      </c>
      <c r="BQ31" s="99"/>
      <c r="BR31" s="97"/>
      <c r="BS31" s="97"/>
      <c r="BT31" s="99"/>
      <c r="BU31" s="97"/>
      <c r="BV31" s="97"/>
      <c r="BW31" s="99"/>
      <c r="BX31" s="97"/>
      <c r="BY31" s="97"/>
      <c r="BZ31" s="99" t="s">
        <v>102</v>
      </c>
      <c r="CA31" s="119">
        <v>0.28100000000000003</v>
      </c>
      <c r="CB31" s="119">
        <v>1.3380000000000001</v>
      </c>
      <c r="CC31" s="98" t="s">
        <v>103</v>
      </c>
      <c r="CD31" s="119">
        <v>0.14499999999999999</v>
      </c>
      <c r="CE31" s="119">
        <v>1.6100000000000001</v>
      </c>
      <c r="CF31" s="98" t="s">
        <v>104</v>
      </c>
      <c r="CG31" s="119">
        <v>0.20000000000000001</v>
      </c>
      <c r="CH31" s="119">
        <v>1.5</v>
      </c>
      <c r="CI31" s="98" t="s">
        <v>105</v>
      </c>
      <c r="CJ31" s="119">
        <v>0.40000000000000002</v>
      </c>
      <c r="CK31" s="133">
        <v>1.1000000000000001</v>
      </c>
    </row>
    <row r="32" ht="14.9" customHeight="1">
      <c r="B32" s="50"/>
      <c r="C32" s="78" t="s">
        <v>123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  <c r="T32" s="93">
        <f>IF(T28="Inputs Ok",(IF(T19="Manual Input",((16.8*T31^3)-(1.81*T31^2)+(525*T31)+25.3)*T22*T27*PI()*((T24^2)/(4*10^9)),((16.8*T31^3)-(1.81*T31^2)+(525*T31)+25.3)*T20*T27*PI()*((T24^2)/(4*10^9)))),"-")</f>
        <v>0.30155059967508774</v>
      </c>
      <c r="U32" s="94"/>
      <c r="V32" s="94"/>
      <c r="W32" s="94"/>
      <c r="X32" s="94"/>
      <c r="Y32" s="95"/>
      <c r="Z32" s="93">
        <f>IF(Z28="Inputs Ok",(IF(Z19="Manual Input",((16.8*Z31^3)-(1.81*Z31^2)+(525*Z31)+25.3)*Z22*Z27*PI()*((Z24^2)/(4*10^9)),((16.8*Z31^3)-(1.81*Z31^2)+(525*Z31)+25.3)*Z20*Z27*PI()*((Z24^2)/(4*10^9)))),"-")</f>
        <v>0.30155059967508774</v>
      </c>
      <c r="AA32" s="94"/>
      <c r="AB32" s="94"/>
      <c r="AC32" s="94"/>
      <c r="AD32" s="94"/>
      <c r="AE32" s="95"/>
      <c r="AF32" s="93">
        <f>IF(AF28="Inputs Ok",(IF(AF19="Manual Input",((16.8*AF31^3)-(1.81*AF31^2)+(525*AF31)+25.3)*AF22*AF27*PI()*((AF24^2)/(4*10^9)),((16.8*AF31^3)-(1.81*AF31^2)+(525*AF31)+25.3)*AF20*AF27*PI()*((AF24^2)/(4*10^9)))),"-")</f>
        <v>0.30155059967508774</v>
      </c>
      <c r="AG32" s="94"/>
      <c r="AH32" s="94"/>
      <c r="AI32" s="94"/>
      <c r="AJ32" s="94"/>
      <c r="AK32" s="95"/>
      <c r="AL32" s="52"/>
      <c r="AM32" s="52"/>
      <c r="AN32" s="54"/>
      <c r="AR32" s="141">
        <v>10</v>
      </c>
      <c r="AS32" s="256">
        <v>2</v>
      </c>
      <c r="AT32" s="117">
        <v>50</v>
      </c>
      <c r="AU32" s="118">
        <v>60.329999999999998</v>
      </c>
      <c r="AV32" s="98" t="s">
        <v>94</v>
      </c>
      <c r="AW32" s="119">
        <v>6.5000000000000002e-002</v>
      </c>
      <c r="AX32" s="119">
        <v>2.2450000000000001</v>
      </c>
      <c r="AY32" s="98" t="s">
        <v>95</v>
      </c>
      <c r="AZ32" s="119">
        <v>0.109</v>
      </c>
      <c r="BA32" s="119">
        <v>2.157</v>
      </c>
      <c r="BB32" s="99"/>
      <c r="BC32" s="97"/>
      <c r="BD32" s="97"/>
      <c r="BE32" s="99"/>
      <c r="BF32" s="97"/>
      <c r="BG32" s="97"/>
      <c r="BH32" s="98" t="s">
        <v>88</v>
      </c>
      <c r="BI32" s="119">
        <v>0.154</v>
      </c>
      <c r="BJ32" s="119">
        <v>2.0670000000000002</v>
      </c>
      <c r="BK32" s="99"/>
      <c r="BL32" s="97"/>
      <c r="BM32" s="97"/>
      <c r="BN32" s="98" t="s">
        <v>89</v>
      </c>
      <c r="BO32" s="119">
        <v>0.218</v>
      </c>
      <c r="BP32" s="119">
        <v>1.9390000000000001</v>
      </c>
      <c r="BQ32" s="99"/>
      <c r="BR32" s="97"/>
      <c r="BS32" s="97"/>
      <c r="BT32" s="99"/>
      <c r="BU32" s="97"/>
      <c r="BV32" s="97"/>
      <c r="BW32" s="99"/>
      <c r="BX32" s="97"/>
      <c r="BY32" s="97"/>
      <c r="BZ32" s="99" t="s">
        <v>102</v>
      </c>
      <c r="CA32" s="119">
        <v>0.34399999999999997</v>
      </c>
      <c r="CB32" s="119">
        <v>1.6870000000000001</v>
      </c>
      <c r="CC32" s="98" t="s">
        <v>103</v>
      </c>
      <c r="CD32" s="119">
        <v>0.154</v>
      </c>
      <c r="CE32" s="119">
        <v>2.0670000000000002</v>
      </c>
      <c r="CF32" s="98" t="s">
        <v>104</v>
      </c>
      <c r="CG32" s="119">
        <v>0.218</v>
      </c>
      <c r="CH32" s="119">
        <v>1.9390000000000001</v>
      </c>
      <c r="CI32" s="98" t="s">
        <v>105</v>
      </c>
      <c r="CJ32" s="119">
        <v>0.436</v>
      </c>
      <c r="CK32" s="133">
        <v>1.5029999999999999</v>
      </c>
    </row>
    <row r="33" ht="14.9" customHeight="1">
      <c r="B33" s="50"/>
      <c r="C33" s="144" t="s">
        <v>125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257"/>
      <c r="T33" s="258">
        <f>IF(T28="Inputs Ok",T30/T32,"Input Error")</f>
        <v>35.79374324770135</v>
      </c>
      <c r="U33" s="259"/>
      <c r="V33" s="259"/>
      <c r="W33" s="259"/>
      <c r="X33" s="259"/>
      <c r="Y33" s="260"/>
      <c r="Z33" s="258">
        <f>IF(Z28="Inputs Ok",Z30/Z32,"Input Error")</f>
        <v>35.79374324770135</v>
      </c>
      <c r="AA33" s="259"/>
      <c r="AB33" s="259"/>
      <c r="AC33" s="259"/>
      <c r="AD33" s="259"/>
      <c r="AE33" s="260"/>
      <c r="AF33" s="258">
        <f>IF(AF28="Inputs Ok",AF30/AF32,"Input Error")</f>
        <v>35.79374324770135</v>
      </c>
      <c r="AG33" s="259"/>
      <c r="AH33" s="259"/>
      <c r="AI33" s="259"/>
      <c r="AJ33" s="259"/>
      <c r="AK33" s="260"/>
      <c r="AL33" s="52"/>
      <c r="AM33" s="52"/>
      <c r="AN33" s="54"/>
      <c r="AP33" s="143" t="s">
        <v>122</v>
      </c>
      <c r="AR33" s="96">
        <v>11</v>
      </c>
      <c r="AS33" s="256">
        <v>2.5</v>
      </c>
      <c r="AT33" s="117">
        <v>65</v>
      </c>
      <c r="AU33" s="118">
        <v>73.019999999999996</v>
      </c>
      <c r="AV33" s="98" t="s">
        <v>94</v>
      </c>
      <c r="AW33" s="119">
        <v>8.3000000000000004e-002</v>
      </c>
      <c r="AX33" s="119">
        <v>2.7090000000000001</v>
      </c>
      <c r="AY33" s="98" t="s">
        <v>95</v>
      </c>
      <c r="AZ33" s="119">
        <v>0.12</v>
      </c>
      <c r="BA33" s="119">
        <v>2.6349999999999998</v>
      </c>
      <c r="BB33" s="99"/>
      <c r="BC33" s="97"/>
      <c r="BD33" s="97"/>
      <c r="BE33" s="99"/>
      <c r="BF33" s="97"/>
      <c r="BG33" s="97"/>
      <c r="BH33" s="98" t="s">
        <v>88</v>
      </c>
      <c r="BI33" s="119">
        <v>0.20300000000000001</v>
      </c>
      <c r="BJ33" s="119">
        <v>2.4689999999999999</v>
      </c>
      <c r="BK33" s="99"/>
      <c r="BL33" s="97"/>
      <c r="BM33" s="97"/>
      <c r="BN33" s="98" t="s">
        <v>89</v>
      </c>
      <c r="BO33" s="114">
        <v>0.27600000000000002</v>
      </c>
      <c r="BP33" s="114">
        <v>2.323</v>
      </c>
      <c r="BQ33" s="99"/>
      <c r="BR33" s="97"/>
      <c r="BS33" s="97"/>
      <c r="BT33" s="99"/>
      <c r="BU33" s="97"/>
      <c r="BV33" s="97"/>
      <c r="BW33" s="99"/>
      <c r="BX33" s="97"/>
      <c r="BY33" s="97"/>
      <c r="BZ33" s="99" t="s">
        <v>102</v>
      </c>
      <c r="CA33" s="119">
        <v>0.375</v>
      </c>
      <c r="CB33" s="119">
        <v>2.125</v>
      </c>
      <c r="CC33" s="98" t="s">
        <v>103</v>
      </c>
      <c r="CD33" s="114">
        <v>0.20300000000000001</v>
      </c>
      <c r="CE33" s="114">
        <v>2.4689999999999999</v>
      </c>
      <c r="CF33" s="98" t="s">
        <v>104</v>
      </c>
      <c r="CG33" s="114">
        <v>0.27600000000000002</v>
      </c>
      <c r="CH33" s="114">
        <v>2.323</v>
      </c>
      <c r="CI33" s="98" t="s">
        <v>105</v>
      </c>
      <c r="CJ33" s="119">
        <v>0.55200000000000005</v>
      </c>
      <c r="CK33" s="133">
        <v>1.7709999999999999</v>
      </c>
    </row>
    <row r="34" ht="14.9" customHeight="1">
      <c r="B34" s="50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4"/>
      <c r="AO34" s="2">
        <v>4</v>
      </c>
      <c r="AP34" s="143" t="s">
        <v>124</v>
      </c>
      <c r="AR34" s="2">
        <v>12</v>
      </c>
      <c r="AS34" s="256">
        <v>3</v>
      </c>
      <c r="AT34" s="117">
        <v>80</v>
      </c>
      <c r="AU34" s="118">
        <v>88.900000000000006</v>
      </c>
      <c r="AV34" s="98" t="s">
        <v>94</v>
      </c>
      <c r="AW34" s="119">
        <v>8.3000000000000004e-002</v>
      </c>
      <c r="AX34" s="119">
        <v>3.3340000000000001</v>
      </c>
      <c r="AY34" s="98" t="s">
        <v>95</v>
      </c>
      <c r="AZ34" s="119">
        <v>0.12</v>
      </c>
      <c r="BA34" s="119">
        <v>3.2599999999999998</v>
      </c>
      <c r="BB34" s="99"/>
      <c r="BC34" s="97"/>
      <c r="BD34" s="97"/>
      <c r="BE34" s="99"/>
      <c r="BF34" s="97"/>
      <c r="BG34" s="97"/>
      <c r="BH34" s="98" t="s">
        <v>88</v>
      </c>
      <c r="BI34" s="119">
        <v>0.216</v>
      </c>
      <c r="BJ34" s="119">
        <v>3.0680000000000001</v>
      </c>
      <c r="BK34" s="99"/>
      <c r="BL34" s="97"/>
      <c r="BM34" s="97"/>
      <c r="BN34" s="98" t="s">
        <v>89</v>
      </c>
      <c r="BO34" s="114">
        <v>0.29999999999999999</v>
      </c>
      <c r="BP34" s="114">
        <v>2.8999999999999999</v>
      </c>
      <c r="BQ34" s="99"/>
      <c r="BR34" s="97"/>
      <c r="BS34" s="97"/>
      <c r="BT34" s="99"/>
      <c r="BU34" s="97"/>
      <c r="BV34" s="97"/>
      <c r="BW34" s="99"/>
      <c r="BX34" s="97"/>
      <c r="BY34" s="97"/>
      <c r="BZ34" s="99" t="s">
        <v>102</v>
      </c>
      <c r="CA34" s="119">
        <v>0.438</v>
      </c>
      <c r="CB34" s="119">
        <v>2.6240000000000001</v>
      </c>
      <c r="CC34" s="98" t="s">
        <v>103</v>
      </c>
      <c r="CD34" s="114">
        <v>0.216</v>
      </c>
      <c r="CE34" s="114">
        <v>3.0680000000000001</v>
      </c>
      <c r="CF34" s="98" t="s">
        <v>104</v>
      </c>
      <c r="CG34" s="114">
        <v>0.29999999999999999</v>
      </c>
      <c r="CH34" s="114">
        <v>2.8999999999999999</v>
      </c>
      <c r="CI34" s="98" t="s">
        <v>105</v>
      </c>
      <c r="CJ34" s="119">
        <v>0.59999999999999998</v>
      </c>
      <c r="CK34" s="133">
        <v>2.2999999999999998</v>
      </c>
    </row>
    <row r="35" ht="14.9" customHeight="1">
      <c r="B35" s="50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4"/>
      <c r="AO35" s="2">
        <v>2</v>
      </c>
      <c r="AP35" s="143" t="s">
        <v>116</v>
      </c>
      <c r="AR35" s="96">
        <v>13</v>
      </c>
      <c r="AS35" s="256">
        <v>3.5</v>
      </c>
      <c r="AT35" s="117">
        <v>90</v>
      </c>
      <c r="AU35" s="118">
        <v>101.59999999999999</v>
      </c>
      <c r="AV35" s="98" t="s">
        <v>94</v>
      </c>
      <c r="AW35" s="119">
        <v>8.3000000000000004e-002</v>
      </c>
      <c r="AX35" s="119">
        <v>3.8340000000000001</v>
      </c>
      <c r="AY35" s="98" t="s">
        <v>95</v>
      </c>
      <c r="AZ35" s="119">
        <v>0.12</v>
      </c>
      <c r="BA35" s="119">
        <v>3.7599999999999998</v>
      </c>
      <c r="BB35" s="99"/>
      <c r="BC35" s="97"/>
      <c r="BD35" s="97"/>
      <c r="BE35" s="99"/>
      <c r="BF35" s="97"/>
      <c r="BG35" s="97"/>
      <c r="BH35" s="98" t="s">
        <v>88</v>
      </c>
      <c r="BI35" s="119">
        <v>0.22600000000000001</v>
      </c>
      <c r="BJ35" s="119">
        <v>3.548</v>
      </c>
      <c r="BK35" s="99"/>
      <c r="BL35" s="97"/>
      <c r="BM35" s="97"/>
      <c r="BN35" s="98" t="s">
        <v>89</v>
      </c>
      <c r="BO35" s="114">
        <v>0.318</v>
      </c>
      <c r="BP35" s="114">
        <v>3.3639999999999999</v>
      </c>
      <c r="BQ35" s="99"/>
      <c r="BR35" s="97"/>
      <c r="BS35" s="97"/>
      <c r="BT35" s="99"/>
      <c r="BU35" s="97"/>
      <c r="BV35" s="97"/>
      <c r="BW35" s="99"/>
      <c r="BX35" s="97"/>
      <c r="BY35" s="97"/>
      <c r="BZ35" s="99" t="s">
        <v>102</v>
      </c>
      <c r="CA35" s="119"/>
      <c r="CB35" s="119"/>
      <c r="CC35" s="98" t="s">
        <v>103</v>
      </c>
      <c r="CD35" s="114">
        <v>0.22600000000000001</v>
      </c>
      <c r="CE35" s="114">
        <v>3.548</v>
      </c>
      <c r="CF35" s="98" t="s">
        <v>104</v>
      </c>
      <c r="CG35" s="114">
        <v>0.318</v>
      </c>
      <c r="CH35" s="114">
        <v>3.3639999999999999</v>
      </c>
      <c r="CI35" s="98"/>
      <c r="CJ35" s="119"/>
      <c r="CK35" s="133"/>
    </row>
    <row r="36" ht="14.9" customHeight="1">
      <c r="B36" s="50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4"/>
      <c r="AO36" s="2">
        <v>1</v>
      </c>
      <c r="AP36" s="143" t="s">
        <v>126</v>
      </c>
      <c r="AR36" s="2">
        <v>14</v>
      </c>
      <c r="AS36" s="256">
        <v>4</v>
      </c>
      <c r="AT36" s="117">
        <v>100</v>
      </c>
      <c r="AU36" s="118">
        <v>114.3</v>
      </c>
      <c r="AV36" s="98" t="s">
        <v>94</v>
      </c>
      <c r="AW36" s="119">
        <v>8.3000000000000004e-002</v>
      </c>
      <c r="AX36" s="119">
        <v>4.3339999999999996</v>
      </c>
      <c r="AY36" s="98" t="s">
        <v>95</v>
      </c>
      <c r="AZ36" s="119">
        <v>0.12</v>
      </c>
      <c r="BA36" s="119">
        <v>4.2599999999999998</v>
      </c>
      <c r="BB36" s="99"/>
      <c r="BC36" s="97"/>
      <c r="BD36" s="97"/>
      <c r="BE36" s="99"/>
      <c r="BF36" s="97"/>
      <c r="BG36" s="97"/>
      <c r="BH36" s="98" t="s">
        <v>88</v>
      </c>
      <c r="BI36" s="119">
        <v>0.23700000000000002</v>
      </c>
      <c r="BJ36" s="119">
        <v>4.0259999999999998</v>
      </c>
      <c r="BK36" s="99"/>
      <c r="BL36" s="97"/>
      <c r="BM36" s="97"/>
      <c r="BN36" s="98" t="s">
        <v>89</v>
      </c>
      <c r="BO36" s="119">
        <v>0.33700000000000002</v>
      </c>
      <c r="BP36" s="119">
        <v>3.8260000000000001</v>
      </c>
      <c r="BQ36" s="99"/>
      <c r="BR36" s="97"/>
      <c r="BS36" s="97"/>
      <c r="BT36" s="99" t="s">
        <v>100</v>
      </c>
      <c r="BU36" s="114">
        <v>0.438</v>
      </c>
      <c r="BV36" s="114">
        <v>3.6240000000000001</v>
      </c>
      <c r="BW36" s="99"/>
      <c r="BX36" s="97"/>
      <c r="BY36" s="97"/>
      <c r="BZ36" s="99" t="s">
        <v>102</v>
      </c>
      <c r="CA36" s="114">
        <v>0.53100000000000003</v>
      </c>
      <c r="CB36" s="114">
        <v>3.4380000000000002</v>
      </c>
      <c r="CC36" s="98" t="s">
        <v>103</v>
      </c>
      <c r="CD36" s="119">
        <v>0.23700000000000002</v>
      </c>
      <c r="CE36" s="119">
        <v>4.0259999999999998</v>
      </c>
      <c r="CF36" s="98" t="s">
        <v>104</v>
      </c>
      <c r="CG36" s="119">
        <v>0.33700000000000002</v>
      </c>
      <c r="CH36" s="119">
        <v>3.8260000000000001</v>
      </c>
      <c r="CI36" s="98" t="s">
        <v>105</v>
      </c>
      <c r="CJ36" s="114">
        <v>0.67400000000000004</v>
      </c>
      <c r="CK36" s="121">
        <v>3.1520000000000001</v>
      </c>
    </row>
    <row r="37" ht="14.9" customHeight="1">
      <c r="B37" s="50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4"/>
      <c r="AO37" s="2">
        <v>0.5</v>
      </c>
      <c r="AP37" s="2" t="s">
        <v>127</v>
      </c>
      <c r="AR37" s="96">
        <v>15</v>
      </c>
      <c r="AS37" s="256">
        <v>5</v>
      </c>
      <c r="AT37" s="117">
        <v>125</v>
      </c>
      <c r="AU37" s="118">
        <v>141.30000000000001</v>
      </c>
      <c r="AV37" s="98" t="s">
        <v>94</v>
      </c>
      <c r="AW37" s="119">
        <v>0.109</v>
      </c>
      <c r="AX37" s="119">
        <v>5.3449999999999998</v>
      </c>
      <c r="AY37" s="98" t="s">
        <v>95</v>
      </c>
      <c r="AZ37" s="119">
        <v>0.13400000000000001</v>
      </c>
      <c r="BA37" s="119">
        <v>5.2949999999999999</v>
      </c>
      <c r="BB37" s="99"/>
      <c r="BC37" s="97"/>
      <c r="BD37" s="97"/>
      <c r="BE37" s="99"/>
      <c r="BF37" s="97"/>
      <c r="BG37" s="97"/>
      <c r="BH37" s="98" t="s">
        <v>88</v>
      </c>
      <c r="BI37" s="119">
        <v>0.25800000000000001</v>
      </c>
      <c r="BJ37" s="119">
        <v>5.0469999999999997</v>
      </c>
      <c r="BK37" s="99"/>
      <c r="BL37" s="97"/>
      <c r="BM37" s="97"/>
      <c r="BN37" s="98" t="s">
        <v>89</v>
      </c>
      <c r="BO37" s="119">
        <v>0.375</v>
      </c>
      <c r="BP37" s="119">
        <v>4.8129999999999997</v>
      </c>
      <c r="BQ37" s="99"/>
      <c r="BR37" s="97"/>
      <c r="BS37" s="97"/>
      <c r="BT37" s="99" t="s">
        <v>100</v>
      </c>
      <c r="BU37" s="114">
        <v>0.5</v>
      </c>
      <c r="BV37" s="114">
        <v>4.5629999999999997</v>
      </c>
      <c r="BW37" s="99"/>
      <c r="BX37" s="97"/>
      <c r="BY37" s="97"/>
      <c r="BZ37" s="99" t="s">
        <v>102</v>
      </c>
      <c r="CA37" s="114">
        <v>0.625</v>
      </c>
      <c r="CB37" s="114">
        <v>4.3129999999999997</v>
      </c>
      <c r="CC37" s="98" t="s">
        <v>103</v>
      </c>
      <c r="CD37" s="119">
        <v>0.25800000000000001</v>
      </c>
      <c r="CE37" s="119">
        <v>5.0469999999999997</v>
      </c>
      <c r="CF37" s="98" t="s">
        <v>104</v>
      </c>
      <c r="CG37" s="119">
        <v>0.375</v>
      </c>
      <c r="CH37" s="119">
        <v>4.8129999999999997</v>
      </c>
      <c r="CI37" s="98" t="s">
        <v>105</v>
      </c>
      <c r="CJ37" s="114">
        <v>0.75</v>
      </c>
      <c r="CK37" s="121">
        <v>4.0629999999999997</v>
      </c>
    </row>
    <row r="38" ht="14.9" customHeight="1">
      <c r="B38" s="50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4"/>
      <c r="AR38" s="2">
        <v>16</v>
      </c>
      <c r="AS38" s="256">
        <v>6</v>
      </c>
      <c r="AT38" s="117">
        <v>150</v>
      </c>
      <c r="AU38" s="118">
        <v>168.30000000000001</v>
      </c>
      <c r="AV38" s="98" t="s">
        <v>94</v>
      </c>
      <c r="AW38" s="119">
        <v>0.109</v>
      </c>
      <c r="AX38" s="119">
        <v>6.407</v>
      </c>
      <c r="AY38" s="98" t="s">
        <v>95</v>
      </c>
      <c r="AZ38" s="119">
        <v>0.13400000000000001</v>
      </c>
      <c r="BA38" s="119">
        <v>6.3570000000000002</v>
      </c>
      <c r="BB38" s="99"/>
      <c r="BC38" s="97"/>
      <c r="BD38" s="97"/>
      <c r="BE38" s="99"/>
      <c r="BF38" s="97"/>
      <c r="BG38" s="97"/>
      <c r="BH38" s="98" t="s">
        <v>88</v>
      </c>
      <c r="BI38" s="119">
        <v>0.28000000000000003</v>
      </c>
      <c r="BJ38" s="119">
        <v>6.0650000000000004</v>
      </c>
      <c r="BK38" s="99"/>
      <c r="BL38" s="97"/>
      <c r="BM38" s="97"/>
      <c r="BN38" s="98" t="s">
        <v>89</v>
      </c>
      <c r="BO38" s="119">
        <v>0.432</v>
      </c>
      <c r="BP38" s="119">
        <v>5.7610000000000001</v>
      </c>
      <c r="BQ38" s="99"/>
      <c r="BR38" s="97"/>
      <c r="BS38" s="97"/>
      <c r="BT38" s="99" t="s">
        <v>100</v>
      </c>
      <c r="BU38" s="114">
        <v>0.56200000000000006</v>
      </c>
      <c r="BV38" s="114">
        <v>5.5010000000000003</v>
      </c>
      <c r="BW38" s="99"/>
      <c r="BX38" s="97"/>
      <c r="BY38" s="97"/>
      <c r="BZ38" s="99" t="s">
        <v>102</v>
      </c>
      <c r="CA38" s="114">
        <v>0.71899999999999997</v>
      </c>
      <c r="CB38" s="114">
        <v>5.1870000000000003</v>
      </c>
      <c r="CC38" s="98" t="s">
        <v>103</v>
      </c>
      <c r="CD38" s="119">
        <v>0.28000000000000003</v>
      </c>
      <c r="CE38" s="119">
        <v>6.0650000000000004</v>
      </c>
      <c r="CF38" s="98" t="s">
        <v>104</v>
      </c>
      <c r="CG38" s="119">
        <v>0.432</v>
      </c>
      <c r="CH38" s="119">
        <v>5.7610000000000001</v>
      </c>
      <c r="CI38" s="98" t="s">
        <v>105</v>
      </c>
      <c r="CJ38" s="114">
        <v>0.86399999999999999</v>
      </c>
      <c r="CK38" s="121">
        <v>4.8970000000000002</v>
      </c>
    </row>
    <row r="39" ht="14.9" customHeight="1">
      <c r="B39" s="50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4"/>
      <c r="AR39" s="96">
        <v>17</v>
      </c>
      <c r="AS39" s="256">
        <v>8</v>
      </c>
      <c r="AT39" s="117">
        <v>200</v>
      </c>
      <c r="AU39" s="118">
        <v>219.09999999999999</v>
      </c>
      <c r="AV39" s="98" t="s">
        <v>94</v>
      </c>
      <c r="AW39" s="119">
        <v>0.109</v>
      </c>
      <c r="AX39" s="119">
        <v>8.407</v>
      </c>
      <c r="AY39" s="98" t="s">
        <v>95</v>
      </c>
      <c r="AZ39" s="119">
        <v>0.14799999999999999</v>
      </c>
      <c r="BA39" s="119">
        <v>8.3290000000000006</v>
      </c>
      <c r="BB39" s="99" t="s">
        <v>96</v>
      </c>
      <c r="BC39" s="114">
        <v>0.25</v>
      </c>
      <c r="BD39" s="114">
        <v>8.125</v>
      </c>
      <c r="BE39" s="99" t="s">
        <v>97</v>
      </c>
      <c r="BF39" s="114">
        <v>0.27700000000000002</v>
      </c>
      <c r="BG39" s="114">
        <v>8.0709999999999997</v>
      </c>
      <c r="BH39" s="98" t="s">
        <v>88</v>
      </c>
      <c r="BI39" s="114">
        <v>0.32200000000000001</v>
      </c>
      <c r="BJ39" s="114">
        <v>7.9809999999999999</v>
      </c>
      <c r="BK39" s="100" t="s">
        <v>98</v>
      </c>
      <c r="BL39" s="114">
        <v>0.40600000000000003</v>
      </c>
      <c r="BM39" s="114">
        <v>7.8129999999999997</v>
      </c>
      <c r="BN39" s="98" t="s">
        <v>89</v>
      </c>
      <c r="BO39" s="119">
        <v>0.5</v>
      </c>
      <c r="BP39" s="119">
        <v>7.625</v>
      </c>
      <c r="BQ39" s="99" t="s">
        <v>99</v>
      </c>
      <c r="BR39" s="114">
        <v>0.59399999999999997</v>
      </c>
      <c r="BS39" s="114">
        <v>7.4370000000000003</v>
      </c>
      <c r="BT39" s="99" t="s">
        <v>100</v>
      </c>
      <c r="BU39" s="119">
        <v>0.71899999999999997</v>
      </c>
      <c r="BV39" s="119">
        <v>7.1870000000000003</v>
      </c>
      <c r="BW39" s="99" t="s">
        <v>101</v>
      </c>
      <c r="BX39" s="114">
        <v>0.81200000000000006</v>
      </c>
      <c r="BY39" s="114">
        <v>7.0010000000000003</v>
      </c>
      <c r="BZ39" s="99" t="s">
        <v>102</v>
      </c>
      <c r="CA39" s="119">
        <v>0.90600000000000003</v>
      </c>
      <c r="CB39" s="119">
        <v>6.8129999999999997</v>
      </c>
      <c r="CC39" s="98" t="s">
        <v>103</v>
      </c>
      <c r="CD39" s="119">
        <v>0.32200000000000001</v>
      </c>
      <c r="CE39" s="119">
        <v>7.9809999999999999</v>
      </c>
      <c r="CF39" s="98" t="s">
        <v>104</v>
      </c>
      <c r="CG39" s="119">
        <v>0.5</v>
      </c>
      <c r="CH39" s="119">
        <v>7.625</v>
      </c>
      <c r="CI39" s="98" t="s">
        <v>105</v>
      </c>
      <c r="CJ39" s="119">
        <v>0.875</v>
      </c>
      <c r="CK39" s="133">
        <v>6.875</v>
      </c>
    </row>
    <row r="40" ht="14.9" customHeight="1">
      <c r="B40" s="50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4"/>
      <c r="AR40" s="2">
        <v>18</v>
      </c>
      <c r="AS40" s="256">
        <v>10</v>
      </c>
      <c r="AT40" s="117">
        <v>250</v>
      </c>
      <c r="AU40" s="118">
        <v>273.05000000000001</v>
      </c>
      <c r="AV40" s="98" t="s">
        <v>94</v>
      </c>
      <c r="AW40" s="119">
        <v>0.13400000000000001</v>
      </c>
      <c r="AX40" s="119">
        <v>10.481999999999999</v>
      </c>
      <c r="AY40" s="98" t="s">
        <v>95</v>
      </c>
      <c r="AZ40" s="119">
        <v>0.16500000000000001</v>
      </c>
      <c r="BA40" s="119">
        <v>10.42</v>
      </c>
      <c r="BB40" s="99" t="s">
        <v>96</v>
      </c>
      <c r="BC40" s="114">
        <v>0.25</v>
      </c>
      <c r="BD40" s="114">
        <v>10.25</v>
      </c>
      <c r="BE40" s="99" t="s">
        <v>97</v>
      </c>
      <c r="BF40" s="114">
        <v>0.307</v>
      </c>
      <c r="BG40" s="114">
        <v>10.135999999999999</v>
      </c>
      <c r="BH40" s="98" t="s">
        <v>88</v>
      </c>
      <c r="BI40" s="114">
        <v>0.36499999999999999</v>
      </c>
      <c r="BJ40" s="114">
        <v>10.02</v>
      </c>
      <c r="BK40" s="100" t="s">
        <v>98</v>
      </c>
      <c r="BL40" s="114">
        <v>0.5</v>
      </c>
      <c r="BM40" s="114">
        <v>9.75</v>
      </c>
      <c r="BN40" s="98" t="s">
        <v>89</v>
      </c>
      <c r="BO40" s="119">
        <v>0.59399999999999997</v>
      </c>
      <c r="BP40" s="119">
        <v>9.5619999999999994</v>
      </c>
      <c r="BQ40" s="99" t="s">
        <v>99</v>
      </c>
      <c r="BR40" s="114">
        <v>0.71899999999999997</v>
      </c>
      <c r="BS40" s="114">
        <v>9.3119999999999994</v>
      </c>
      <c r="BT40" s="99" t="s">
        <v>100</v>
      </c>
      <c r="BU40" s="119">
        <v>0.84399999999999997</v>
      </c>
      <c r="BV40" s="119">
        <v>9.0619999999999994</v>
      </c>
      <c r="BW40" s="99" t="s">
        <v>101</v>
      </c>
      <c r="BX40" s="114">
        <v>1</v>
      </c>
      <c r="BY40" s="114">
        <v>8.75</v>
      </c>
      <c r="BZ40" s="99" t="s">
        <v>102</v>
      </c>
      <c r="CA40" s="119">
        <v>1.125</v>
      </c>
      <c r="CB40" s="119">
        <v>8.5</v>
      </c>
      <c r="CC40" s="98" t="s">
        <v>103</v>
      </c>
      <c r="CD40" s="119">
        <v>0.36499999999999999</v>
      </c>
      <c r="CE40" s="119">
        <v>10.02</v>
      </c>
      <c r="CF40" s="98" t="s">
        <v>104</v>
      </c>
      <c r="CG40" s="119">
        <v>0.5</v>
      </c>
      <c r="CH40" s="119">
        <v>9.75</v>
      </c>
      <c r="CI40" s="98" t="s">
        <v>105</v>
      </c>
      <c r="CJ40" s="119">
        <v>1</v>
      </c>
      <c r="CK40" s="133">
        <v>8.75</v>
      </c>
    </row>
    <row r="41" ht="14.9" customHeight="1">
      <c r="B41" s="50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4"/>
      <c r="AO41" s="143"/>
      <c r="AR41" s="96">
        <v>19</v>
      </c>
      <c r="AS41" s="256">
        <v>12</v>
      </c>
      <c r="AT41" s="117">
        <v>300</v>
      </c>
      <c r="AU41" s="118">
        <v>323.85000000000002</v>
      </c>
      <c r="AV41" s="98" t="s">
        <v>94</v>
      </c>
      <c r="AW41" s="119">
        <v>0.156</v>
      </c>
      <c r="AX41" s="119">
        <v>12.438000000000001</v>
      </c>
      <c r="AY41" s="98" t="s">
        <v>95</v>
      </c>
      <c r="AZ41" s="119">
        <v>0.17999999999999999</v>
      </c>
      <c r="BA41" s="119">
        <v>12.390000000000001</v>
      </c>
      <c r="BB41" s="99" t="s">
        <v>96</v>
      </c>
      <c r="BC41" s="114">
        <v>0.25</v>
      </c>
      <c r="BD41" s="114">
        <v>12.25</v>
      </c>
      <c r="BE41" s="99" t="s">
        <v>97</v>
      </c>
      <c r="BF41" s="114">
        <v>0.33000000000000002</v>
      </c>
      <c r="BG41" s="114">
        <v>12.09</v>
      </c>
      <c r="BH41" s="98" t="s">
        <v>88</v>
      </c>
      <c r="BI41" s="114">
        <v>0.40600000000000003</v>
      </c>
      <c r="BJ41" s="114">
        <v>11.938000000000001</v>
      </c>
      <c r="BK41" s="100" t="s">
        <v>98</v>
      </c>
      <c r="BL41" s="114">
        <v>0.56200000000000006</v>
      </c>
      <c r="BM41" s="114">
        <v>11.625999999999999</v>
      </c>
      <c r="BN41" s="98" t="s">
        <v>89</v>
      </c>
      <c r="BO41" s="119">
        <v>0.68800000000000006</v>
      </c>
      <c r="BP41" s="119">
        <v>11.374000000000001</v>
      </c>
      <c r="BQ41" s="99" t="s">
        <v>99</v>
      </c>
      <c r="BR41" s="114">
        <v>0.84399999999999997</v>
      </c>
      <c r="BS41" s="114">
        <v>11.061999999999999</v>
      </c>
      <c r="BT41" s="99" t="s">
        <v>100</v>
      </c>
      <c r="BU41" s="119">
        <v>1</v>
      </c>
      <c r="BV41" s="119">
        <v>10.75</v>
      </c>
      <c r="BW41" s="99" t="s">
        <v>101</v>
      </c>
      <c r="BX41" s="114">
        <v>1.125</v>
      </c>
      <c r="BY41" s="114">
        <v>10.5</v>
      </c>
      <c r="BZ41" s="99" t="s">
        <v>102</v>
      </c>
      <c r="CA41" s="119">
        <v>1.3120000000000001</v>
      </c>
      <c r="CB41" s="119">
        <v>10.125999999999999</v>
      </c>
      <c r="CC41" s="98" t="s">
        <v>103</v>
      </c>
      <c r="CD41" s="119">
        <v>0.375</v>
      </c>
      <c r="CE41" s="119">
        <v>12</v>
      </c>
      <c r="CF41" s="98" t="s">
        <v>104</v>
      </c>
      <c r="CG41" s="119">
        <v>0.5</v>
      </c>
      <c r="CH41" s="119">
        <v>11.75</v>
      </c>
      <c r="CI41" s="98" t="s">
        <v>105</v>
      </c>
      <c r="CJ41" s="119">
        <v>1</v>
      </c>
      <c r="CK41" s="133">
        <v>10.75</v>
      </c>
    </row>
    <row r="42" ht="14.9" customHeight="1">
      <c r="B42" s="50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4"/>
      <c r="AO42" s="143"/>
      <c r="AR42" s="2">
        <v>20</v>
      </c>
      <c r="AS42" s="256">
        <v>14</v>
      </c>
      <c r="AT42" s="117">
        <v>350</v>
      </c>
      <c r="AU42" s="118">
        <v>355.60000000000002</v>
      </c>
      <c r="AV42" s="98" t="s">
        <v>94</v>
      </c>
      <c r="AW42" s="119">
        <v>0.156</v>
      </c>
      <c r="AX42" s="119">
        <v>13.688000000000001</v>
      </c>
      <c r="AY42" s="98" t="s">
        <v>95</v>
      </c>
      <c r="AZ42" s="119">
        <v>0.25</v>
      </c>
      <c r="BA42" s="119">
        <v>13.5</v>
      </c>
      <c r="BB42" s="99" t="s">
        <v>96</v>
      </c>
      <c r="BC42" s="119">
        <v>0.312</v>
      </c>
      <c r="BD42" s="119">
        <v>13.375999999999999</v>
      </c>
      <c r="BE42" s="99" t="s">
        <v>97</v>
      </c>
      <c r="BF42" s="119">
        <v>0.375</v>
      </c>
      <c r="BG42" s="119">
        <v>13.25</v>
      </c>
      <c r="BH42" s="98" t="s">
        <v>88</v>
      </c>
      <c r="BI42" s="119">
        <v>0.438</v>
      </c>
      <c r="BJ42" s="119">
        <v>13.124000000000001</v>
      </c>
      <c r="BK42" s="100" t="s">
        <v>98</v>
      </c>
      <c r="BL42" s="119">
        <v>0.59399999999999997</v>
      </c>
      <c r="BM42" s="119">
        <v>12.811999999999999</v>
      </c>
      <c r="BN42" s="98" t="s">
        <v>89</v>
      </c>
      <c r="BO42" s="114">
        <v>0.75</v>
      </c>
      <c r="BP42" s="114">
        <v>12.5</v>
      </c>
      <c r="BQ42" s="99" t="s">
        <v>99</v>
      </c>
      <c r="BR42" s="119">
        <v>0.93799999999999994</v>
      </c>
      <c r="BS42" s="119">
        <v>12.124000000000001</v>
      </c>
      <c r="BT42" s="99" t="s">
        <v>100</v>
      </c>
      <c r="BU42" s="119">
        <v>1.0940000000000001</v>
      </c>
      <c r="BV42" s="119">
        <v>11.811999999999999</v>
      </c>
      <c r="BW42" s="99" t="s">
        <v>101</v>
      </c>
      <c r="BX42" s="119">
        <v>1.25</v>
      </c>
      <c r="BY42" s="119">
        <v>11.5</v>
      </c>
      <c r="BZ42" s="99" t="s">
        <v>102</v>
      </c>
      <c r="CA42" s="119">
        <v>1.4059999999999999</v>
      </c>
      <c r="CB42" s="119">
        <v>11.188000000000001</v>
      </c>
      <c r="CC42" s="98" t="s">
        <v>103</v>
      </c>
      <c r="CD42" s="114">
        <v>0.375</v>
      </c>
      <c r="CE42" s="114">
        <v>13.25</v>
      </c>
      <c r="CF42" s="98" t="s">
        <v>104</v>
      </c>
      <c r="CG42" s="114">
        <v>0.5</v>
      </c>
      <c r="CH42" s="114">
        <v>13</v>
      </c>
      <c r="CI42" s="115"/>
      <c r="CJ42" s="97"/>
      <c r="CK42" s="101"/>
    </row>
    <row r="43" ht="14.9" customHeight="1">
      <c r="B43" s="50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4"/>
      <c r="AR43" s="2">
        <v>22</v>
      </c>
      <c r="AS43" s="256">
        <v>18</v>
      </c>
      <c r="AT43" s="117">
        <v>450</v>
      </c>
      <c r="AU43" s="118">
        <v>457.19999999999999</v>
      </c>
      <c r="AV43" s="98" t="s">
        <v>94</v>
      </c>
      <c r="AW43" s="119">
        <v>0.16500000000000001</v>
      </c>
      <c r="AX43" s="119">
        <v>17.670000000000002</v>
      </c>
      <c r="AY43" s="98" t="s">
        <v>95</v>
      </c>
      <c r="AZ43" s="119">
        <v>0.25</v>
      </c>
      <c r="BA43" s="119">
        <v>17.5</v>
      </c>
      <c r="BB43" s="99" t="s">
        <v>96</v>
      </c>
      <c r="BC43" s="119">
        <v>0.312</v>
      </c>
      <c r="BD43" s="119">
        <v>17.376000000000001</v>
      </c>
      <c r="BE43" s="99" t="s">
        <v>97</v>
      </c>
      <c r="BF43" s="119">
        <v>0.438</v>
      </c>
      <c r="BG43" s="119">
        <v>17.123999999999999</v>
      </c>
      <c r="BH43" s="98" t="s">
        <v>88</v>
      </c>
      <c r="BI43" s="119">
        <v>0.56200000000000006</v>
      </c>
      <c r="BJ43" s="119">
        <v>16.876000000000001</v>
      </c>
      <c r="BK43" s="100" t="s">
        <v>98</v>
      </c>
      <c r="BL43" s="119">
        <v>0.75</v>
      </c>
      <c r="BM43" s="119">
        <v>16.5</v>
      </c>
      <c r="BN43" s="98" t="s">
        <v>89</v>
      </c>
      <c r="BO43" s="114">
        <v>0.93800000000000006</v>
      </c>
      <c r="BP43" s="114">
        <v>16.123999999999999</v>
      </c>
      <c r="BQ43" s="99" t="s">
        <v>99</v>
      </c>
      <c r="BR43" s="119">
        <v>1.1559999999999999</v>
      </c>
      <c r="BS43" s="119">
        <v>15.688000000000001</v>
      </c>
      <c r="BT43" s="99" t="s">
        <v>100</v>
      </c>
      <c r="BU43" s="119">
        <v>1.375</v>
      </c>
      <c r="BV43" s="119">
        <v>15.25</v>
      </c>
      <c r="BW43" s="99" t="s">
        <v>101</v>
      </c>
      <c r="BX43" s="119">
        <v>1.5620000000000001</v>
      </c>
      <c r="BY43" s="119">
        <v>14.875999999999999</v>
      </c>
      <c r="BZ43" s="99" t="s">
        <v>102</v>
      </c>
      <c r="CA43" s="119">
        <v>1.7809999999999999</v>
      </c>
      <c r="CB43" s="119">
        <v>14.438000000000001</v>
      </c>
      <c r="CC43" s="98" t="s">
        <v>103</v>
      </c>
      <c r="CD43" s="114">
        <v>0.375</v>
      </c>
      <c r="CE43" s="114">
        <v>17.25</v>
      </c>
      <c r="CF43" s="98" t="s">
        <v>104</v>
      </c>
      <c r="CG43" s="114">
        <v>0.5</v>
      </c>
      <c r="CH43" s="114">
        <v>17</v>
      </c>
      <c r="CI43" s="115"/>
      <c r="CJ43" s="97"/>
      <c r="CK43" s="101"/>
    </row>
    <row r="44" ht="14.9" customHeight="1">
      <c r="B44" s="50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4"/>
      <c r="AR44" s="96">
        <v>23</v>
      </c>
      <c r="AS44" s="256">
        <v>20</v>
      </c>
      <c r="AT44" s="117">
        <v>500</v>
      </c>
      <c r="AU44" s="118">
        <v>508</v>
      </c>
      <c r="AV44" s="98" t="s">
        <v>94</v>
      </c>
      <c r="AW44" s="119">
        <v>0.188</v>
      </c>
      <c r="AX44" s="119">
        <v>19.623999999999999</v>
      </c>
      <c r="AY44" s="98" t="s">
        <v>95</v>
      </c>
      <c r="AZ44" s="119">
        <v>0.25</v>
      </c>
      <c r="BA44" s="119">
        <v>19.5</v>
      </c>
      <c r="BB44" s="99" t="s">
        <v>96</v>
      </c>
      <c r="BC44" s="119">
        <v>0.375</v>
      </c>
      <c r="BD44" s="119">
        <v>19.25</v>
      </c>
      <c r="BE44" s="99" t="s">
        <v>97</v>
      </c>
      <c r="BF44" s="119">
        <v>0.5</v>
      </c>
      <c r="BG44" s="119">
        <v>19</v>
      </c>
      <c r="BH44" s="98" t="s">
        <v>88</v>
      </c>
      <c r="BI44" s="119">
        <v>0.59399999999999997</v>
      </c>
      <c r="BJ44" s="119">
        <v>18.812000000000001</v>
      </c>
      <c r="BK44" s="100" t="s">
        <v>98</v>
      </c>
      <c r="BL44" s="119">
        <v>0.81200000000000006</v>
      </c>
      <c r="BM44" s="119">
        <v>18.376000000000001</v>
      </c>
      <c r="BN44" s="98" t="s">
        <v>89</v>
      </c>
      <c r="BO44" s="119">
        <v>1.0309999999999999</v>
      </c>
      <c r="BP44" s="119">
        <v>17.937999999999999</v>
      </c>
      <c r="BQ44" s="99" t="s">
        <v>99</v>
      </c>
      <c r="BR44" s="119">
        <v>1.2809999999999999</v>
      </c>
      <c r="BS44" s="119">
        <v>17.437999999999999</v>
      </c>
      <c r="BT44" s="99" t="s">
        <v>100</v>
      </c>
      <c r="BU44" s="114">
        <v>1.5</v>
      </c>
      <c r="BV44" s="114">
        <v>17</v>
      </c>
      <c r="BW44" s="99" t="s">
        <v>101</v>
      </c>
      <c r="BX44" s="119">
        <v>1.75</v>
      </c>
      <c r="BY44" s="119">
        <v>16.5</v>
      </c>
      <c r="BZ44" s="99" t="s">
        <v>102</v>
      </c>
      <c r="CA44" s="114">
        <v>1.9690000000000001</v>
      </c>
      <c r="CB44" s="114">
        <v>16.062000000000001</v>
      </c>
      <c r="CC44" s="98" t="s">
        <v>103</v>
      </c>
      <c r="CD44" s="119">
        <v>0.375</v>
      </c>
      <c r="CE44" s="119">
        <v>19.25</v>
      </c>
      <c r="CF44" s="98" t="s">
        <v>104</v>
      </c>
      <c r="CG44" s="119">
        <v>0.5</v>
      </c>
      <c r="CH44" s="119">
        <v>19</v>
      </c>
      <c r="CI44" s="115"/>
      <c r="CJ44" s="97"/>
      <c r="CK44" s="101"/>
    </row>
    <row r="45" ht="14.9" customHeight="1">
      <c r="B45" s="50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4"/>
      <c r="AR45" s="2">
        <v>24</v>
      </c>
      <c r="AS45" s="256">
        <v>22</v>
      </c>
      <c r="AT45" s="117">
        <v>550</v>
      </c>
      <c r="AU45" s="118">
        <v>558.79999999999995</v>
      </c>
      <c r="AV45" s="98" t="s">
        <v>94</v>
      </c>
      <c r="AW45" s="119">
        <v>0.188</v>
      </c>
      <c r="AX45" s="119">
        <v>21.623999999999999</v>
      </c>
      <c r="AY45" s="98" t="s">
        <v>95</v>
      </c>
      <c r="AZ45" s="119">
        <v>0.25</v>
      </c>
      <c r="BA45" s="119">
        <v>23.5</v>
      </c>
      <c r="BB45" s="99" t="s">
        <v>96</v>
      </c>
      <c r="BC45" s="119">
        <v>0.375</v>
      </c>
      <c r="BD45" s="119">
        <v>21.25</v>
      </c>
      <c r="BE45" s="99" t="s">
        <v>97</v>
      </c>
      <c r="BF45" s="119">
        <v>0.5</v>
      </c>
      <c r="BG45" s="119">
        <v>21</v>
      </c>
      <c r="BH45" s="98" t="s">
        <v>88</v>
      </c>
      <c r="BI45" s="119"/>
      <c r="BJ45" s="119"/>
      <c r="BK45" s="100" t="s">
        <v>98</v>
      </c>
      <c r="BL45" s="119">
        <v>0.875</v>
      </c>
      <c r="BM45" s="119">
        <v>20.25</v>
      </c>
      <c r="BN45" s="98" t="s">
        <v>89</v>
      </c>
      <c r="BO45" s="119">
        <v>1.125</v>
      </c>
      <c r="BP45" s="119">
        <v>19.75</v>
      </c>
      <c r="BQ45" s="99" t="s">
        <v>99</v>
      </c>
      <c r="BR45" s="119">
        <v>1.375</v>
      </c>
      <c r="BS45" s="119">
        <v>19.25</v>
      </c>
      <c r="BT45" s="99" t="s">
        <v>100</v>
      </c>
      <c r="BU45" s="114">
        <v>1.625</v>
      </c>
      <c r="BV45" s="114">
        <v>18.75</v>
      </c>
      <c r="BW45" s="99" t="s">
        <v>101</v>
      </c>
      <c r="BX45" s="119">
        <v>1.875</v>
      </c>
      <c r="BY45" s="119">
        <v>20.125</v>
      </c>
      <c r="BZ45" s="99" t="s">
        <v>102</v>
      </c>
      <c r="CA45" s="114">
        <v>2.125</v>
      </c>
      <c r="CB45" s="114">
        <v>17.75</v>
      </c>
      <c r="CC45" s="98" t="s">
        <v>103</v>
      </c>
      <c r="CD45" s="114">
        <v>0.375</v>
      </c>
      <c r="CE45" s="114">
        <v>21.25</v>
      </c>
      <c r="CF45" s="98" t="s">
        <v>104</v>
      </c>
      <c r="CG45" s="114">
        <v>0.5</v>
      </c>
      <c r="CH45" s="114">
        <v>21</v>
      </c>
      <c r="CI45" s="115"/>
      <c r="CJ45" s="97"/>
      <c r="CK45" s="101"/>
    </row>
    <row r="46" ht="14.9" customHeight="1">
      <c r="B46" s="5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4"/>
      <c r="AR46" s="96">
        <v>25</v>
      </c>
      <c r="AS46" s="256">
        <v>24</v>
      </c>
      <c r="AT46" s="117">
        <v>600</v>
      </c>
      <c r="AU46" s="118">
        <v>609.60000000000002</v>
      </c>
      <c r="AV46" s="98" t="s">
        <v>94</v>
      </c>
      <c r="AW46" s="119">
        <v>0.218</v>
      </c>
      <c r="AX46" s="119">
        <v>23.564</v>
      </c>
      <c r="AY46" s="98" t="s">
        <v>95</v>
      </c>
      <c r="AZ46" s="119">
        <v>0.25</v>
      </c>
      <c r="BA46" s="119">
        <v>23.5</v>
      </c>
      <c r="BB46" s="99" t="s">
        <v>96</v>
      </c>
      <c r="BC46" s="119">
        <v>0.375</v>
      </c>
      <c r="BD46" s="119">
        <v>23.25</v>
      </c>
      <c r="BE46" s="99" t="s">
        <v>97</v>
      </c>
      <c r="BF46" s="119">
        <v>0.56200000000000006</v>
      </c>
      <c r="BG46" s="119">
        <v>22.876000000000001</v>
      </c>
      <c r="BH46" s="98" t="s">
        <v>88</v>
      </c>
      <c r="BI46" s="119">
        <v>0.68800000000000006</v>
      </c>
      <c r="BJ46" s="119">
        <v>22.623999999999999</v>
      </c>
      <c r="BK46" s="100" t="s">
        <v>98</v>
      </c>
      <c r="BL46" s="119">
        <v>0.96899999999999997</v>
      </c>
      <c r="BM46" s="119">
        <v>22.062000000000001</v>
      </c>
      <c r="BN46" s="98" t="s">
        <v>89</v>
      </c>
      <c r="BO46" s="119">
        <v>1.2190000000000001</v>
      </c>
      <c r="BP46" s="119">
        <v>21.562000000000001</v>
      </c>
      <c r="BQ46" s="99" t="s">
        <v>99</v>
      </c>
      <c r="BR46" s="119">
        <v>1.5309999999999999</v>
      </c>
      <c r="BS46" s="119">
        <v>20.937999999999999</v>
      </c>
      <c r="BT46" s="99" t="s">
        <v>100</v>
      </c>
      <c r="BU46" s="114">
        <v>1.8120000000000001</v>
      </c>
      <c r="BV46" s="114">
        <v>20.376000000000001</v>
      </c>
      <c r="BW46" s="99" t="s">
        <v>101</v>
      </c>
      <c r="BX46" s="119">
        <v>2.0619999999999998</v>
      </c>
      <c r="BY46" s="119">
        <v>19.876000000000001</v>
      </c>
      <c r="BZ46" s="99" t="s">
        <v>102</v>
      </c>
      <c r="CA46" s="114">
        <v>2.3439999999999999</v>
      </c>
      <c r="CB46" s="114">
        <v>19.312000000000001</v>
      </c>
      <c r="CC46" s="98" t="s">
        <v>103</v>
      </c>
      <c r="CD46" s="114">
        <v>0.375</v>
      </c>
      <c r="CE46" s="114">
        <v>23.25</v>
      </c>
      <c r="CF46" s="98" t="s">
        <v>104</v>
      </c>
      <c r="CG46" s="114">
        <v>0.5</v>
      </c>
      <c r="CH46" s="114">
        <v>23</v>
      </c>
      <c r="CI46" s="115"/>
      <c r="CJ46" s="97"/>
      <c r="CK46" s="101"/>
    </row>
    <row r="47" ht="14.9" customHeight="1">
      <c r="B47" s="50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4"/>
      <c r="AR47" s="2">
        <v>26</v>
      </c>
      <c r="AS47" s="256">
        <v>26</v>
      </c>
      <c r="AT47" s="117">
        <v>650</v>
      </c>
      <c r="AU47" s="118">
        <v>660.39999999999998</v>
      </c>
      <c r="AV47" s="98"/>
      <c r="AW47" s="119"/>
      <c r="AX47" s="119"/>
      <c r="AY47" s="98" t="s">
        <v>95</v>
      </c>
      <c r="AZ47" s="119">
        <v>0.312</v>
      </c>
      <c r="BA47" s="119">
        <v>25.376000000000001</v>
      </c>
      <c r="BB47" s="99" t="s">
        <v>96</v>
      </c>
      <c r="BC47" s="119">
        <v>0.5</v>
      </c>
      <c r="BD47" s="119">
        <v>25</v>
      </c>
      <c r="BE47" s="99" t="s">
        <v>97</v>
      </c>
      <c r="BF47" s="119"/>
      <c r="BG47" s="119"/>
      <c r="BH47" s="99"/>
      <c r="BI47" s="119"/>
      <c r="BJ47" s="119"/>
      <c r="BK47" s="99"/>
      <c r="BL47" s="97"/>
      <c r="BM47" s="97"/>
      <c r="BN47" s="97"/>
      <c r="BO47" s="97"/>
      <c r="BP47" s="97"/>
      <c r="BQ47" s="97"/>
      <c r="BR47" s="97"/>
      <c r="BS47" s="97"/>
      <c r="BT47" s="97"/>
      <c r="BU47" s="120"/>
      <c r="BV47" s="97"/>
      <c r="BW47" s="97"/>
      <c r="BX47" s="97"/>
      <c r="BY47" s="97"/>
      <c r="BZ47" s="97"/>
      <c r="CA47" s="119"/>
      <c r="CB47" s="119"/>
      <c r="CC47" s="98" t="s">
        <v>103</v>
      </c>
      <c r="CD47" s="114">
        <v>0.375</v>
      </c>
      <c r="CE47" s="114">
        <v>25.25</v>
      </c>
      <c r="CF47" s="98" t="s">
        <v>104</v>
      </c>
      <c r="CG47" s="114">
        <v>0.5</v>
      </c>
      <c r="CH47" s="114">
        <v>25</v>
      </c>
      <c r="CI47" s="115"/>
      <c r="CJ47" s="97"/>
      <c r="CK47" s="101"/>
    </row>
    <row r="48" ht="14.9" customHeight="1">
      <c r="B48" s="50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4"/>
      <c r="AR48" s="2"/>
      <c r="AS48" s="256"/>
      <c r="AT48" s="117"/>
      <c r="AU48" s="118"/>
      <c r="AV48" s="98"/>
      <c r="AW48" s="119"/>
      <c r="AX48" s="119"/>
      <c r="AY48" s="98"/>
      <c r="AZ48" s="119"/>
      <c r="BA48" s="119"/>
      <c r="BB48" s="99"/>
      <c r="BC48" s="119"/>
      <c r="BD48" s="119"/>
      <c r="BE48" s="99"/>
      <c r="BF48" s="119"/>
      <c r="BG48" s="119"/>
      <c r="BH48" s="99"/>
      <c r="BI48" s="119"/>
      <c r="BJ48" s="119"/>
      <c r="BK48" s="99"/>
      <c r="BL48" s="97"/>
      <c r="BM48" s="97"/>
      <c r="BN48" s="97"/>
      <c r="BO48" s="97"/>
      <c r="BP48" s="97"/>
      <c r="BQ48" s="97"/>
      <c r="BR48" s="97"/>
      <c r="BS48" s="97"/>
      <c r="BT48" s="97"/>
      <c r="BU48" s="120"/>
      <c r="BV48" s="97"/>
      <c r="BW48" s="97"/>
      <c r="BX48" s="97"/>
      <c r="BY48" s="97"/>
      <c r="BZ48" s="97"/>
      <c r="CA48" s="119"/>
      <c r="CB48" s="119"/>
      <c r="CC48" s="98"/>
      <c r="CD48" s="114"/>
      <c r="CE48" s="114"/>
      <c r="CF48" s="98"/>
      <c r="CG48" s="114"/>
      <c r="CH48" s="114"/>
      <c r="CI48" s="115"/>
      <c r="CJ48" s="97"/>
      <c r="CK48" s="101"/>
    </row>
    <row r="49" ht="14.9" customHeight="1">
      <c r="B49" s="50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4"/>
      <c r="AR49" s="96">
        <v>27</v>
      </c>
      <c r="AS49" s="256">
        <v>28</v>
      </c>
      <c r="AT49" s="117">
        <v>700</v>
      </c>
      <c r="AU49" s="118">
        <v>711.20000000000005</v>
      </c>
      <c r="AV49" s="98"/>
      <c r="AW49" s="119"/>
      <c r="AX49" s="119"/>
      <c r="AY49" s="98" t="s">
        <v>95</v>
      </c>
      <c r="AZ49" s="119">
        <v>0.312</v>
      </c>
      <c r="BA49" s="119">
        <v>27.376000000000001</v>
      </c>
      <c r="BB49" s="99" t="s">
        <v>96</v>
      </c>
      <c r="BC49" s="119">
        <v>0.5</v>
      </c>
      <c r="BD49" s="119">
        <v>27</v>
      </c>
      <c r="BE49" s="99" t="s">
        <v>97</v>
      </c>
      <c r="BF49" s="119">
        <v>0.625</v>
      </c>
      <c r="BG49" s="119">
        <v>26.75</v>
      </c>
      <c r="BH49" s="99"/>
      <c r="BI49" s="119"/>
      <c r="BJ49" s="119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120"/>
      <c r="BV49" s="97"/>
      <c r="BW49" s="97"/>
      <c r="BX49" s="97"/>
      <c r="BY49" s="97"/>
      <c r="BZ49" s="97"/>
      <c r="CA49" s="120"/>
      <c r="CB49" s="97"/>
      <c r="CC49" s="98" t="s">
        <v>103</v>
      </c>
      <c r="CD49" s="119">
        <v>0.375</v>
      </c>
      <c r="CE49" s="119">
        <v>27.25</v>
      </c>
      <c r="CF49" s="98" t="s">
        <v>104</v>
      </c>
      <c r="CG49" s="119">
        <v>0.5</v>
      </c>
      <c r="CH49" s="119">
        <v>27</v>
      </c>
      <c r="CI49" s="115"/>
      <c r="CJ49" s="97"/>
      <c r="CK49" s="101"/>
    </row>
    <row r="50" ht="14.9" customHeight="1">
      <c r="B50" s="5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4"/>
      <c r="AR50" s="2">
        <v>28</v>
      </c>
      <c r="AS50" s="256">
        <v>30</v>
      </c>
      <c r="AT50" s="117">
        <v>750</v>
      </c>
      <c r="AU50" s="118">
        <v>762</v>
      </c>
      <c r="AV50" s="98" t="s">
        <v>94</v>
      </c>
      <c r="AW50" s="119">
        <v>0.25</v>
      </c>
      <c r="AX50" s="119">
        <v>29.5</v>
      </c>
      <c r="AY50" s="98" t="s">
        <v>95</v>
      </c>
      <c r="AZ50" s="119">
        <v>0.312</v>
      </c>
      <c r="BA50" s="119">
        <v>29.376000000000001</v>
      </c>
      <c r="BB50" s="99" t="s">
        <v>96</v>
      </c>
      <c r="BC50" s="119">
        <v>0.5</v>
      </c>
      <c r="BD50" s="119">
        <v>29</v>
      </c>
      <c r="BE50" s="99" t="s">
        <v>97</v>
      </c>
      <c r="BF50" s="119">
        <v>0.625</v>
      </c>
      <c r="BG50" s="119">
        <v>28.75</v>
      </c>
      <c r="BH50" s="99"/>
      <c r="BI50" s="119"/>
      <c r="BJ50" s="119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120"/>
      <c r="BV50" s="97"/>
      <c r="BW50" s="97"/>
      <c r="BX50" s="97"/>
      <c r="BY50" s="97"/>
      <c r="BZ50" s="97"/>
      <c r="CA50" s="120"/>
      <c r="CB50" s="97"/>
      <c r="CC50" s="98" t="s">
        <v>103</v>
      </c>
      <c r="CD50" s="119">
        <v>0.375</v>
      </c>
      <c r="CE50" s="119">
        <v>29.25</v>
      </c>
      <c r="CF50" s="98" t="s">
        <v>104</v>
      </c>
      <c r="CG50" s="119">
        <v>0.5</v>
      </c>
      <c r="CH50" s="119">
        <v>29</v>
      </c>
      <c r="CI50" s="115"/>
      <c r="CJ50" s="97"/>
      <c r="CK50" s="101"/>
    </row>
    <row r="51" ht="16.5" customHeight="1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4"/>
      <c r="AR51" s="96">
        <v>29</v>
      </c>
      <c r="AS51" s="256">
        <v>32</v>
      </c>
      <c r="AT51" s="117">
        <v>800</v>
      </c>
      <c r="AU51" s="118">
        <v>812.79999999999995</v>
      </c>
      <c r="AV51" s="98"/>
      <c r="AW51" s="119"/>
      <c r="AX51" s="119"/>
      <c r="AY51" s="98" t="s">
        <v>95</v>
      </c>
      <c r="AZ51" s="119">
        <v>0.312</v>
      </c>
      <c r="BA51" s="119">
        <v>31.376000000000001</v>
      </c>
      <c r="BB51" s="99" t="s">
        <v>96</v>
      </c>
      <c r="BC51" s="119">
        <v>0.5</v>
      </c>
      <c r="BD51" s="119">
        <v>31</v>
      </c>
      <c r="BE51" s="99" t="s">
        <v>97</v>
      </c>
      <c r="BF51" s="119">
        <v>0.625</v>
      </c>
      <c r="BG51" s="119">
        <v>30.75</v>
      </c>
      <c r="BH51" s="98" t="s">
        <v>88</v>
      </c>
      <c r="BI51" s="119">
        <v>0.68800000000000006</v>
      </c>
      <c r="BJ51" s="119">
        <v>30.623999999999999</v>
      </c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120"/>
      <c r="BV51" s="97"/>
      <c r="BW51" s="97"/>
      <c r="BX51" s="97"/>
      <c r="BY51" s="97"/>
      <c r="BZ51" s="97"/>
      <c r="CA51" s="120"/>
      <c r="CB51" s="97"/>
      <c r="CC51" s="98" t="s">
        <v>103</v>
      </c>
      <c r="CD51" s="119">
        <v>0.375</v>
      </c>
      <c r="CE51" s="119">
        <v>31.25</v>
      </c>
      <c r="CF51" s="98" t="s">
        <v>104</v>
      </c>
      <c r="CG51" s="119">
        <v>0.5</v>
      </c>
      <c r="CH51" s="119">
        <v>31</v>
      </c>
      <c r="CI51" s="115"/>
      <c r="CJ51" s="97"/>
      <c r="CK51" s="101"/>
    </row>
    <row r="52" ht="42" customHeight="1">
      <c r="B52" s="58" t="e">
        <f>disclaimer</f>
        <v>#REF!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R52" s="2">
        <v>30</v>
      </c>
      <c r="AS52" s="256">
        <v>34</v>
      </c>
      <c r="AT52" s="117">
        <v>850</v>
      </c>
      <c r="AU52" s="118">
        <v>863.60000000000002</v>
      </c>
      <c r="AV52" s="98"/>
      <c r="AW52" s="119"/>
      <c r="AX52" s="119"/>
      <c r="AY52" s="98" t="s">
        <v>95</v>
      </c>
      <c r="AZ52" s="119">
        <v>0.312</v>
      </c>
      <c r="BA52" s="119">
        <v>33.375999999999998</v>
      </c>
      <c r="BB52" s="99" t="s">
        <v>96</v>
      </c>
      <c r="BC52" s="119">
        <v>0.5</v>
      </c>
      <c r="BD52" s="119">
        <v>33</v>
      </c>
      <c r="BE52" s="99" t="s">
        <v>97</v>
      </c>
      <c r="BF52" s="119">
        <v>0.625</v>
      </c>
      <c r="BG52" s="119">
        <v>32.75</v>
      </c>
      <c r="BH52" s="98" t="s">
        <v>88</v>
      </c>
      <c r="BI52" s="119">
        <v>0.68800000000000006</v>
      </c>
      <c r="BJ52" s="119">
        <v>32.624000000000002</v>
      </c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120"/>
      <c r="BV52" s="97"/>
      <c r="BW52" s="97"/>
      <c r="BX52" s="97"/>
      <c r="BY52" s="97"/>
      <c r="BZ52" s="97"/>
      <c r="CA52" s="120"/>
      <c r="CB52" s="97"/>
      <c r="CC52" s="98" t="s">
        <v>103</v>
      </c>
      <c r="CD52" s="119">
        <v>0.375</v>
      </c>
      <c r="CE52" s="119">
        <v>33.25</v>
      </c>
      <c r="CF52" s="98" t="s">
        <v>104</v>
      </c>
      <c r="CG52" s="119">
        <v>0.5</v>
      </c>
      <c r="CH52" s="119">
        <v>33</v>
      </c>
      <c r="CI52" s="115"/>
      <c r="CJ52" s="97"/>
      <c r="CK52" s="101"/>
    </row>
    <row r="53" ht="14.9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R53" s="96">
        <v>31</v>
      </c>
      <c r="AS53" s="256">
        <v>36</v>
      </c>
      <c r="AT53" s="117">
        <v>900</v>
      </c>
      <c r="AU53" s="118">
        <v>914.39999999999998</v>
      </c>
      <c r="AV53" s="98"/>
      <c r="AW53" s="119"/>
      <c r="AX53" s="119"/>
      <c r="AY53" s="98" t="s">
        <v>95</v>
      </c>
      <c r="AZ53" s="119">
        <v>0.312</v>
      </c>
      <c r="BA53" s="119">
        <v>35.375999999999998</v>
      </c>
      <c r="BB53" s="99" t="s">
        <v>96</v>
      </c>
      <c r="BC53" s="119">
        <v>0.5</v>
      </c>
      <c r="BD53" s="119">
        <v>35</v>
      </c>
      <c r="BE53" s="99" t="s">
        <v>97</v>
      </c>
      <c r="BF53" s="119">
        <v>0.625</v>
      </c>
      <c r="BG53" s="119">
        <v>34.75</v>
      </c>
      <c r="BH53" s="98" t="s">
        <v>88</v>
      </c>
      <c r="BI53" s="119">
        <v>0.75</v>
      </c>
      <c r="BJ53" s="119">
        <v>34.5</v>
      </c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120"/>
      <c r="BV53" s="97"/>
      <c r="BW53" s="97"/>
      <c r="BX53" s="97"/>
      <c r="BY53" s="97"/>
      <c r="BZ53" s="97"/>
      <c r="CA53" s="120"/>
      <c r="CB53" s="97"/>
      <c r="CC53" s="98" t="s">
        <v>103</v>
      </c>
      <c r="CD53" s="119">
        <v>0.375</v>
      </c>
      <c r="CE53" s="119">
        <v>35.25</v>
      </c>
      <c r="CF53" s="98" t="s">
        <v>104</v>
      </c>
      <c r="CG53" s="119">
        <v>0.5</v>
      </c>
      <c r="CH53" s="119">
        <v>35</v>
      </c>
      <c r="CI53" s="115"/>
      <c r="CJ53" s="97"/>
      <c r="CK53" s="101"/>
    </row>
    <row r="54" ht="41.2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R54" s="2">
        <v>32</v>
      </c>
      <c r="AS54" s="256">
        <v>38</v>
      </c>
      <c r="AT54" s="117">
        <v>950</v>
      </c>
      <c r="AU54" s="118">
        <v>965.20000000000005</v>
      </c>
      <c r="AV54" s="98"/>
      <c r="AW54" s="119"/>
      <c r="AX54" s="119"/>
      <c r="AY54" s="97"/>
      <c r="AZ54" s="119"/>
      <c r="BA54" s="119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120"/>
      <c r="BV54" s="97"/>
      <c r="BW54" s="97"/>
      <c r="BX54" s="97"/>
      <c r="BY54" s="97"/>
      <c r="BZ54" s="97"/>
      <c r="CA54" s="120"/>
      <c r="CB54" s="97"/>
      <c r="CC54" s="98" t="s">
        <v>103</v>
      </c>
      <c r="CD54" s="119">
        <v>0.375</v>
      </c>
      <c r="CE54" s="119">
        <v>37.25</v>
      </c>
      <c r="CF54" s="98" t="s">
        <v>104</v>
      </c>
      <c r="CG54" s="119">
        <v>0.5</v>
      </c>
      <c r="CH54" s="119">
        <v>37</v>
      </c>
      <c r="CI54" s="115"/>
      <c r="CJ54" s="97"/>
      <c r="CK54" s="101"/>
    </row>
    <row r="55" ht="41.2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R55" s="96">
        <v>35</v>
      </c>
      <c r="AS55" s="256">
        <v>44</v>
      </c>
      <c r="AT55" s="110">
        <v>1100</v>
      </c>
      <c r="AU55" s="113">
        <v>1117.5999999999999</v>
      </c>
      <c r="AV55" s="98"/>
      <c r="AW55" s="114"/>
      <c r="AX55" s="114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98" t="s">
        <v>103</v>
      </c>
      <c r="CD55" s="114">
        <v>0.375</v>
      </c>
      <c r="CE55" s="114">
        <v>43.25</v>
      </c>
      <c r="CF55" s="98" t="s">
        <v>104</v>
      </c>
      <c r="CG55" s="114">
        <v>0.5</v>
      </c>
      <c r="CH55" s="114">
        <v>43</v>
      </c>
      <c r="CI55" s="115"/>
      <c r="CJ55" s="115"/>
      <c r="CK55" s="116"/>
      <c r="CL55" s="2"/>
    </row>
    <row r="56" s="2" customFormat="1" ht="14.9" customHeight="1">
      <c r="AR56" s="2">
        <v>36</v>
      </c>
      <c r="AS56" s="256">
        <v>46</v>
      </c>
      <c r="AT56" s="117">
        <v>1150</v>
      </c>
      <c r="AU56" s="118">
        <v>1168.4000000000001</v>
      </c>
      <c r="AV56" s="98"/>
      <c r="AW56" s="119"/>
      <c r="AX56" s="119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120"/>
      <c r="BV56" s="97"/>
      <c r="BW56" s="97"/>
      <c r="BX56" s="97"/>
      <c r="BY56" s="97"/>
      <c r="BZ56" s="97"/>
      <c r="CA56" s="97"/>
      <c r="CB56" s="97"/>
      <c r="CC56" s="98" t="s">
        <v>103</v>
      </c>
      <c r="CD56" s="119">
        <v>0.375</v>
      </c>
      <c r="CE56" s="119">
        <v>45.25</v>
      </c>
      <c r="CF56" s="98" t="s">
        <v>104</v>
      </c>
      <c r="CG56" s="119">
        <v>0.5</v>
      </c>
      <c r="CH56" s="119">
        <v>45</v>
      </c>
      <c r="CI56" s="97"/>
      <c r="CJ56" s="97"/>
      <c r="CK56" s="101"/>
    </row>
    <row r="57" s="2" customFormat="1" ht="36" customHeight="1">
      <c r="AR57" s="96">
        <v>37</v>
      </c>
      <c r="AS57" s="261">
        <v>48</v>
      </c>
      <c r="AT57" s="151">
        <v>1200</v>
      </c>
      <c r="AU57" s="152">
        <v>1219.2</v>
      </c>
      <c r="AV57" s="153"/>
      <c r="AW57" s="154"/>
      <c r="AX57" s="154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3" t="s">
        <v>103</v>
      </c>
      <c r="CD57" s="154">
        <v>0.375</v>
      </c>
      <c r="CE57" s="154">
        <v>47.25</v>
      </c>
      <c r="CF57" s="153" t="s">
        <v>104</v>
      </c>
      <c r="CG57" s="154">
        <v>0.5</v>
      </c>
      <c r="CH57" s="154">
        <v>47</v>
      </c>
      <c r="CI57" s="155"/>
      <c r="CJ57" s="155"/>
      <c r="CK57" s="156"/>
    </row>
    <row r="58" s="2" customFormat="1">
      <c r="AR58" s="1"/>
      <c r="AS58" s="1"/>
      <c r="AT58" s="1"/>
      <c r="AU58" s="1"/>
      <c r="AV58" s="1"/>
      <c r="AW58" s="1"/>
      <c r="AX58" s="1"/>
    </row>
    <row r="59" s="2" customFormat="1">
      <c r="AR59" s="1"/>
      <c r="AS59" s="1"/>
      <c r="AT59" s="1"/>
      <c r="AU59" s="1"/>
      <c r="AV59" s="1"/>
      <c r="AW59" s="1"/>
      <c r="AX59" s="1"/>
    </row>
    <row r="60" s="2" customFormat="1">
      <c r="AR60" s="1"/>
      <c r="AS60" s="1"/>
      <c r="AT60" s="1"/>
      <c r="AU60" s="1"/>
      <c r="AV60" s="1"/>
      <c r="AW60" s="1"/>
      <c r="AX60" s="1"/>
    </row>
    <row r="61" s="2" customFormat="1">
      <c r="AR61" s="1"/>
      <c r="AS61" s="1"/>
      <c r="AT61" s="1"/>
      <c r="AU61" s="1"/>
      <c r="AV61" s="1"/>
      <c r="AW61" s="1"/>
      <c r="AX61" s="1"/>
    </row>
    <row r="62" s="2" customFormat="1" ht="15.5">
      <c r="AR62" s="1"/>
      <c r="AS62" s="1"/>
      <c r="AT62" s="1"/>
      <c r="AU62" s="1"/>
      <c r="AV62" s="1"/>
      <c r="AW62" s="97">
        <v>1</v>
      </c>
      <c r="AX62" s="97" t="s">
        <v>108</v>
      </c>
      <c r="AY62" s="157" t="s">
        <v>128</v>
      </c>
    </row>
    <row r="63" s="2" customFormat="1" ht="15.5">
      <c r="AR63" s="1"/>
      <c r="AS63" s="1"/>
      <c r="AT63" s="1"/>
      <c r="AU63" s="1"/>
      <c r="AV63" s="1"/>
      <c r="AW63" s="97">
        <v>2</v>
      </c>
      <c r="AX63" s="97" t="s">
        <v>94</v>
      </c>
      <c r="AY63" s="157">
        <v>5</v>
      </c>
    </row>
    <row r="64" s="2" customFormat="1" ht="15.5">
      <c r="AR64" s="1"/>
      <c r="AS64" s="1"/>
      <c r="AT64" s="1"/>
      <c r="AU64" s="1"/>
      <c r="AV64" s="1"/>
      <c r="AW64" s="97">
        <v>3</v>
      </c>
      <c r="AX64" s="97" t="s">
        <v>95</v>
      </c>
      <c r="AY64" s="157">
        <v>10</v>
      </c>
    </row>
    <row r="65" s="2" customFormat="1" ht="15.5">
      <c r="AR65" s="1"/>
      <c r="AS65" s="1"/>
      <c r="AT65" s="1"/>
      <c r="AU65" s="1"/>
      <c r="AV65" s="1"/>
      <c r="AW65" s="97">
        <v>4</v>
      </c>
      <c r="AX65" s="97" t="s">
        <v>96</v>
      </c>
      <c r="AY65" s="157">
        <v>20</v>
      </c>
    </row>
    <row r="66" s="2" customFormat="1" ht="15.5">
      <c r="AR66" s="1"/>
      <c r="AS66" s="1"/>
      <c r="AT66" s="1"/>
      <c r="AU66" s="1"/>
      <c r="AV66" s="1"/>
      <c r="AW66" s="97">
        <v>5</v>
      </c>
      <c r="AX66" s="97" t="s">
        <v>97</v>
      </c>
      <c r="AY66" s="157">
        <v>30</v>
      </c>
    </row>
    <row r="67" s="2" customFormat="1" ht="15.5">
      <c r="AR67" s="1"/>
      <c r="AS67" s="1"/>
      <c r="AT67" s="1"/>
      <c r="AU67" s="1"/>
      <c r="AV67" s="1"/>
      <c r="AW67" s="97">
        <v>6</v>
      </c>
      <c r="AX67" s="97" t="s">
        <v>88</v>
      </c>
      <c r="AY67" s="157">
        <v>40</v>
      </c>
    </row>
    <row r="68" s="2" customFormat="1" ht="15.5">
      <c r="AR68" s="1"/>
      <c r="AS68" s="1"/>
      <c r="AT68" s="1"/>
      <c r="AU68" s="1"/>
      <c r="AV68" s="1"/>
      <c r="AW68" s="97">
        <v>7</v>
      </c>
      <c r="AX68" s="97" t="s">
        <v>89</v>
      </c>
      <c r="AY68" s="157">
        <v>80</v>
      </c>
    </row>
    <row r="69" s="2" customFormat="1" ht="15.5">
      <c r="AR69" s="1"/>
      <c r="AS69" s="1"/>
      <c r="AT69" s="1"/>
      <c r="AU69" s="1"/>
      <c r="AV69" s="1"/>
      <c r="AW69" s="97">
        <v>8</v>
      </c>
      <c r="AX69" s="97" t="s">
        <v>99</v>
      </c>
      <c r="AY69" s="157">
        <v>100</v>
      </c>
    </row>
    <row r="70" s="2" customFormat="1" ht="15.5">
      <c r="AR70" s="1"/>
      <c r="AS70" s="1"/>
      <c r="AT70" s="1"/>
      <c r="AU70" s="1"/>
      <c r="AV70" s="1"/>
      <c r="AW70" s="97">
        <v>9</v>
      </c>
      <c r="AX70" s="97" t="s">
        <v>100</v>
      </c>
      <c r="AY70" s="157">
        <v>120</v>
      </c>
    </row>
    <row r="71" s="2" customFormat="1" ht="15.5">
      <c r="AR71" s="1"/>
      <c r="AS71" s="1"/>
      <c r="AT71" s="1"/>
      <c r="AU71" s="1"/>
      <c r="AV71" s="1"/>
      <c r="AW71" s="97">
        <v>10</v>
      </c>
      <c r="AX71" s="97" t="s">
        <v>101</v>
      </c>
      <c r="AY71" s="157">
        <v>140</v>
      </c>
    </row>
    <row r="72" s="2" customFormat="1" ht="15.5">
      <c r="AR72" s="1"/>
      <c r="AS72" s="1"/>
      <c r="AT72" s="1"/>
      <c r="AU72" s="1"/>
      <c r="AV72" s="1"/>
      <c r="AW72" s="97">
        <v>11</v>
      </c>
      <c r="AX72" s="97" t="s">
        <v>102</v>
      </c>
      <c r="AY72" s="157">
        <v>160</v>
      </c>
    </row>
    <row r="73" s="2" customFormat="1" ht="15.5">
      <c r="AR73" s="1"/>
      <c r="AS73" s="1"/>
      <c r="AT73" s="1"/>
      <c r="AU73" s="1"/>
      <c r="AV73" s="1"/>
      <c r="AW73" s="97">
        <v>12</v>
      </c>
      <c r="AX73" s="97" t="s">
        <v>87</v>
      </c>
      <c r="AY73" s="157" t="s">
        <v>103</v>
      </c>
    </row>
    <row r="74" s="2" customFormat="1" ht="15.5">
      <c r="AR74" s="1"/>
      <c r="AS74" s="1"/>
      <c r="AT74" s="1"/>
      <c r="AU74" s="1"/>
      <c r="AV74" s="1"/>
      <c r="AW74" s="97">
        <v>13</v>
      </c>
      <c r="AX74" s="97" t="s">
        <v>104</v>
      </c>
      <c r="AY74" s="157" t="s">
        <v>104</v>
      </c>
    </row>
    <row r="75" s="2" customFormat="1" ht="15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R75" s="1"/>
      <c r="AS75" s="1"/>
      <c r="AT75" s="1"/>
      <c r="AU75" s="1"/>
      <c r="AV75" s="1"/>
      <c r="AW75" s="97">
        <v>14</v>
      </c>
      <c r="AX75" s="97" t="s">
        <v>105</v>
      </c>
      <c r="AY75" s="157" t="s">
        <v>105</v>
      </c>
    </row>
    <row r="76" s="2" customForma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R76" s="1"/>
      <c r="AS76" s="1"/>
      <c r="AT76" s="1"/>
      <c r="AU76" s="1"/>
      <c r="AV76" s="1"/>
      <c r="AW76" s="1"/>
      <c r="AX76" s="1"/>
    </row>
    <row r="77" s="2" customForma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R77" s="1"/>
      <c r="AS77" s="1"/>
      <c r="AT77" s="1"/>
      <c r="AU77" s="1"/>
      <c r="AV77" s="1"/>
      <c r="AW77" s="1"/>
      <c r="AX77" s="1"/>
    </row>
    <row r="78" s="2" customForma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</row>
    <row r="79" s="2" customForma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</sheetData>
  <mergeCells count="131">
    <mergeCell ref="C31:S31"/>
    <mergeCell ref="C32:S32"/>
    <mergeCell ref="C33:S33"/>
    <mergeCell ref="T33:Y33"/>
    <mergeCell ref="Z33:AE33"/>
    <mergeCell ref="AF33:AK33"/>
    <mergeCell ref="B52:AN52"/>
    <mergeCell ref="T31:Y31"/>
    <mergeCell ref="Z31:AE31"/>
    <mergeCell ref="AF31:AK31"/>
    <mergeCell ref="T32:Y32"/>
    <mergeCell ref="Z32:AE32"/>
    <mergeCell ref="AF32:AK32"/>
    <mergeCell ref="T30:Y30"/>
    <mergeCell ref="Z30:AE30"/>
    <mergeCell ref="AF30:AK30"/>
    <mergeCell ref="T26:Y26"/>
    <mergeCell ref="Z26:AE26"/>
    <mergeCell ref="AF26:AK26"/>
    <mergeCell ref="T27:Y27"/>
    <mergeCell ref="Z27:AE27"/>
    <mergeCell ref="AF27:AK27"/>
    <mergeCell ref="C29:AK29"/>
    <mergeCell ref="C26:S26"/>
    <mergeCell ref="C27:S27"/>
    <mergeCell ref="C30:S30"/>
    <mergeCell ref="C28:S28"/>
    <mergeCell ref="T28:Y28"/>
    <mergeCell ref="Z28:AE28"/>
    <mergeCell ref="AF28:AK28"/>
    <mergeCell ref="T19:Y19"/>
    <mergeCell ref="Z19:AE19"/>
    <mergeCell ref="AF19:AK19"/>
    <mergeCell ref="T24:Y24"/>
    <mergeCell ref="Z24:AE24"/>
    <mergeCell ref="AF24:AK24"/>
    <mergeCell ref="T25:Y25"/>
    <mergeCell ref="Z25:AE25"/>
    <mergeCell ref="AF25:AK25"/>
    <mergeCell ref="T20:Y20"/>
    <mergeCell ref="Z20:AE20"/>
    <mergeCell ref="AF20:AK20"/>
    <mergeCell ref="T21:Y21"/>
    <mergeCell ref="Z21:AE21"/>
    <mergeCell ref="AF21:AK21"/>
    <mergeCell ref="T22:Y22"/>
    <mergeCell ref="T23:Y23"/>
    <mergeCell ref="Z22:AE22"/>
    <mergeCell ref="Z23:AE23"/>
    <mergeCell ref="AF22:AK22"/>
    <mergeCell ref="AF23:AK23"/>
    <mergeCell ref="AS18:AT18"/>
    <mergeCell ref="T16:Y16"/>
    <mergeCell ref="Z16:AE16"/>
    <mergeCell ref="AF16:AK16"/>
    <mergeCell ref="T17:Y17"/>
    <mergeCell ref="Z17:AE17"/>
    <mergeCell ref="AF17:AK17"/>
    <mergeCell ref="T18:Y18"/>
    <mergeCell ref="Z18:AE18"/>
    <mergeCell ref="AF18:AK18"/>
    <mergeCell ref="B8:C8"/>
    <mergeCell ref="D8:F8"/>
    <mergeCell ref="G8:J8"/>
    <mergeCell ref="K8:N8"/>
    <mergeCell ref="O8:P8"/>
    <mergeCell ref="Q8:S8"/>
    <mergeCell ref="C13:AK13"/>
    <mergeCell ref="B10:AN10"/>
    <mergeCell ref="C14:S14"/>
    <mergeCell ref="C12:S12"/>
    <mergeCell ref="C11:AK11"/>
    <mergeCell ref="T12:Y12"/>
    <mergeCell ref="Z12:AE12"/>
    <mergeCell ref="AF12:AK12"/>
    <mergeCell ref="T14:Y14"/>
    <mergeCell ref="Z14:AE14"/>
    <mergeCell ref="AF14:AK14"/>
    <mergeCell ref="T8:W8"/>
    <mergeCell ref="X8:AA8"/>
    <mergeCell ref="AB8:AC8"/>
    <mergeCell ref="AD8:AF8"/>
    <mergeCell ref="AG8:AJ8"/>
    <mergeCell ref="AK8:AN8"/>
    <mergeCell ref="T7:W7"/>
    <mergeCell ref="X7:AA7"/>
    <mergeCell ref="AB7:AC7"/>
    <mergeCell ref="AD7:AF7"/>
    <mergeCell ref="AG7:AJ7"/>
    <mergeCell ref="AK7:AN7"/>
    <mergeCell ref="B7:C7"/>
    <mergeCell ref="D7:F7"/>
    <mergeCell ref="G7:J7"/>
    <mergeCell ref="K7:N7"/>
    <mergeCell ref="O7:P7"/>
    <mergeCell ref="Q7:S7"/>
    <mergeCell ref="T15:Y15"/>
    <mergeCell ref="Z15:AE15"/>
    <mergeCell ref="AF15:AK15"/>
    <mergeCell ref="B1:AN1"/>
    <mergeCell ref="B2:G2"/>
    <mergeCell ref="I2:Z2"/>
    <mergeCell ref="AA2:AD2"/>
    <mergeCell ref="AE2:AN2"/>
    <mergeCell ref="B3:G3"/>
    <mergeCell ref="I3:Z3"/>
    <mergeCell ref="AA3:AD3"/>
    <mergeCell ref="AE3:AN3"/>
    <mergeCell ref="B6:I6"/>
    <mergeCell ref="J6:AC6"/>
    <mergeCell ref="AD6:AF6"/>
    <mergeCell ref="AG6:AI6"/>
    <mergeCell ref="AJ6:AK6"/>
    <mergeCell ref="AL6:AN6"/>
    <mergeCell ref="B4:G4"/>
    <mergeCell ref="I4:Z4"/>
    <mergeCell ref="AA4:AD4"/>
    <mergeCell ref="AE4:AN4"/>
    <mergeCell ref="B5:H5"/>
    <mergeCell ref="I5:AN5"/>
    <mergeCell ref="C15:S15"/>
    <mergeCell ref="C16:S16"/>
    <mergeCell ref="C17:S17"/>
    <mergeCell ref="C18:S18"/>
    <mergeCell ref="C19:S19"/>
    <mergeCell ref="C20:S20"/>
    <mergeCell ref="C21:S21"/>
    <mergeCell ref="C24:S24"/>
    <mergeCell ref="C25:S25"/>
    <mergeCell ref="C22:S22"/>
    <mergeCell ref="C23:S23"/>
  </mergeCells>
  <printOptions headings="0" gridLines="0"/>
  <pageMargins left="0.78740157480314987" right="0.19685039370078697" top="0.39370078740157494" bottom="0.62" header="0.19685039370078697" footer="0.19685039370078697"/>
  <pageSetup paperSize="9" scale="88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&amp;L&amp;"Calibri,Regular"&amp;11Copyright 2019, Worley
&amp;F&amp;R&amp;"Calibri,Regular"&amp;11Rev. 0, 01 December 2019</oddFooter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6300DC-00EA-4447-B310-000200F000E3}">
            <xm:f>$T$19="Manual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T22:Y23</xm:sqref>
        </x14:conditionalFormatting>
        <x14:conditionalFormatting xmlns:xm="http://schemas.microsoft.com/office/excel/2006/main">
          <x14:cfRule type="expression" priority="8" id="{00560078-00E7-409B-95CB-0035007200EA}">
            <xm:f>$T$17="Manual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T22:Y23</xm:sqref>
        </x14:conditionalFormatting>
        <x14:conditionalFormatting xmlns:xm="http://schemas.microsoft.com/office/excel/2006/main">
          <x14:cfRule type="expression" priority="3" id="{008800EB-00F9-4C1F-96F1-00C60070003E}">
            <xm:f>$Z$19="Manual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Z22:AE23</xm:sqref>
        </x14:conditionalFormatting>
        <x14:conditionalFormatting xmlns:xm="http://schemas.microsoft.com/office/excel/2006/main">
          <x14:cfRule type="expression" priority="7" id="{000200B1-0075-488C-9F70-009000780086}">
            <xm:f>$Z$17="Manual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Z22:AE23</xm:sqref>
        </x14:conditionalFormatting>
        <x14:conditionalFormatting xmlns:xm="http://schemas.microsoft.com/office/excel/2006/main">
          <x14:cfRule type="expression" priority="6" id="{005F006E-00A6-469D-8889-005200C9002C}">
            <xm:f>$AF$19="Manual Input"</xm:f>
            <x14:dxf>
              <fill>
                <patternFill patternType="solid">
                  <fgColor indexed="26"/>
                  <bgColor indexed="26"/>
                </patternFill>
              </fill>
            </x14:dxf>
          </x14:cfRule>
          <xm:sqref>AF22:AK23</xm:sqref>
        </x14:conditionalFormatting>
        <x14:conditionalFormatting xmlns:xm="http://schemas.microsoft.com/office/excel/2006/main">
          <x14:cfRule type="expression" priority="5" id="{004C0067-0049-4C95-8453-003100D700DF}">
            <xm:f>$T$19="Manual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T20:Y21</xm:sqref>
        </x14:conditionalFormatting>
        <x14:conditionalFormatting xmlns:xm="http://schemas.microsoft.com/office/excel/2006/main">
          <x14:cfRule type="expression" priority="2" id="{000F0004-0012-4CB6-9634-003300CB0012}">
            <xm:f>$Z$19="Manual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Z20:AE21</xm:sqref>
        </x14:conditionalFormatting>
        <x14:conditionalFormatting xmlns:xm="http://schemas.microsoft.com/office/excel/2006/main">
          <x14:cfRule type="expression" priority="1" id="{00FD0054-0026-4BCB-9B6C-00C50000007B}">
            <xm:f>$AF$19="Manual Input"</xm:f>
            <x14:dxf>
              <fill>
                <patternFill patternType="solid">
                  <fgColor theme="0" tint="-0.34998626667073579"/>
                  <bgColor theme="0" tint="-0.34998626667073579"/>
                </patternFill>
              </fill>
            </x14:dxf>
          </x14:cfRule>
          <xm:sqref>AF20:AK21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1">
        <x14:dataValidation xr:uid="{00020089-009E-479F-A38A-003600870095}" type="list" allowBlank="1" errorStyle="stop" imeMode="noControl" operator="between" showDropDown="0" showErrorMessage="1" showInputMessage="1">
          <x14:formula1>
            <xm:f>$AX$62:$AX$75</xm:f>
          </x14:formula1>
          <xm:sqref>T19:AK19</xm:sqref>
        </x14:dataValidation>
        <x14:dataValidation xr:uid="{001D0077-000B-4D84-98F3-003900A3001E}" type="list" allowBlank="1" errorStyle="stop" imeMode="noControl" operator="between" showDropDown="0" showErrorMessage="1" showInputMessage="1">
          <x14:formula1>
            <xm:f>$AT$26:$AT$57</xm:f>
          </x14:formula1>
          <xm:sqref>T18:AK18</xm:sqref>
        </x14:dataValidation>
        <x14:dataValidation xr:uid="{00E10019-00EC-40CD-B962-0067004E0099}" type="list" allowBlank="1" errorStyle="stop" imeMode="noControl" operator="between" showDropDown="0" showErrorMessage="1" showInputMessage="1">
          <x14:formula1>
            <xm:f>$AP$34:$AP$37</xm:f>
          </x14:formula1>
          <xm:sqref>T26:AK26</xm:sqref>
        </x14:dataValidation>
      </x14:dataValidation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68_ca0 xmlns="f20dd3df-cc36-4499-80aa-2b4fe70792e4" xsi:nil="true"/>
    <discipline xmlns="f20dd3df-cc36-4499-80aa-2b4fe70792e4" xsi:nil="true"/>
    <DocumentStatus xmlns="f20dd3df-cc36-4499-80aa-2b4fe70792e4" xsi:nil="true"/>
    <Comments xmlns="f20dd3df-cc36-4499-80aa-2b4fe70792e4" xsi:nil="true"/>
    <Process xmlns="f20dd3df-cc36-4499-80aa-2b4fe70792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ED4DE1848948A0750CEB789F35AF" ma:contentTypeVersion="16" ma:contentTypeDescription="Create a new document." ma:contentTypeScope="" ma:versionID="79475f2597456ec1d94cce5c3bcc9651">
  <xsd:schema xmlns:xsd="http://www.w3.org/2001/XMLSchema" xmlns:xs="http://www.w3.org/2001/XMLSchema" xmlns:p="http://schemas.microsoft.com/office/2006/metadata/properties" xmlns:ns2="f20dd3df-cc36-4499-80aa-2b4fe70792e4" xmlns:ns3="48015afd-ef0d-4a02-b604-f97b7dcc2443" targetNamespace="http://schemas.microsoft.com/office/2006/metadata/properties" ma:root="true" ma:fieldsID="7ff8a6f742de054d19a3718057d6bb46" ns2:_="" ns3:_="">
    <xsd:import namespace="f20dd3df-cc36-4499-80aa-2b4fe70792e4"/>
    <xsd:import namespace="48015afd-ef0d-4a02-b604-f97b7dcc24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discipline" minOccurs="0"/>
                <xsd:element ref="ns2:DocumentStatus" minOccurs="0"/>
                <xsd:element ref="ns2:MediaServiceAutoKeyPoints" minOccurs="0"/>
                <xsd:element ref="ns2:MediaServiceKeyPoints" minOccurs="0"/>
                <xsd:element ref="ns2:Comments" minOccurs="0"/>
                <xsd:element ref="ns2:Process" minOccurs="0"/>
                <xsd:element ref="ns2:_x0068_c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dd3df-cc36-4499-80aa-2b4fe7079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discipline" ma:index="17" nillable="true" ma:displayName="Discipline" ma:description="Owning Discipline" ma:internalName="discipline">
      <xsd:simpleType>
        <xsd:restriction base="dms:Text">
          <xsd:maxLength value="255"/>
        </xsd:restriction>
      </xsd:simpleType>
    </xsd:element>
    <xsd:element name="DocumentStatus" ma:index="18" nillable="true" ma:displayName="Document Status" ma:format="Dropdown" ma:internalName="DocumentStatus">
      <xsd:simpleType>
        <xsd:restriction base="dms:Choice">
          <xsd:enumeration value="Approved"/>
          <xsd:enumeration value="Not Approved"/>
          <xsd:enumeration value="In Review"/>
          <xsd:enumeration value="Draft"/>
          <xsd:enumeration value="Archived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s" ma:index="21" nillable="true" ma:displayName="Comments" ma:description="Comments" ma:internalName="Comments">
      <xsd:simpleType>
        <xsd:restriction base="dms:Text">
          <xsd:maxLength value="255"/>
        </xsd:restriction>
      </xsd:simpleType>
    </xsd:element>
    <xsd:element name="Process" ma:index="22" nillable="true" ma:displayName="Process" ma:internalName="Process">
      <xsd:simpleType>
        <xsd:restriction base="dms:Text">
          <xsd:maxLength value="255"/>
        </xsd:restriction>
      </xsd:simpleType>
    </xsd:element>
    <xsd:element name="_x0068_ca0" ma:index="23" nillable="true" ma:displayName="Date Reviewed" ma:internalName="_x0068_ca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15afd-ef0d-4a02-b604-f97b7dcc244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08EB79-F003-4A9E-B80F-6DC1C404D867}">
  <ds:schemaRefs>
    <ds:schemaRef ds:uri="http://schemas.microsoft.com/office/2006/metadata/properties"/>
    <ds:schemaRef ds:uri="http://schemas.microsoft.com/office/infopath/2007/PartnerControls"/>
    <ds:schemaRef ds:uri="f20dd3df-cc36-4499-80aa-2b4fe70792e4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36B8A686-DD21-4BF9-9AD6-9BEBD4D013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19DC64-4D8D-40A4-9C0C-D21D44405D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dd3df-cc36-4499-80aa-2b4fe70792e4"/>
    <ds:schemaRef ds:uri="48015afd-ef0d-4a02-b604-f97b7dcc24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revision>1</cp:revision>
  <dcterms:created xsi:type="dcterms:W3CDTF">1998-07-30T03:46:25Z</dcterms:created>
  <dcterms:modified xsi:type="dcterms:W3CDTF">2026-04-11T01:55:02Z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cipline">
    <vt:lpwstr/>
  </property>
  <property fmtid="{D5CDD505-2E9C-101B-9397-08002B2CF9AE}" pid="3" name="Business Process">
    <vt:lpwstr>101;#Engineering Delivery|4c44a6c4-2328-423a-a8ec-db72ab22606d</vt:lpwstr>
  </property>
  <property fmtid="{D5CDD505-2E9C-101B-9397-08002B2CF9AE}" pid="4" name="Entity">
    <vt:lpwstr>10;#Corporate|3c25ecba-de18-4fad-b000-2aa685b1682c</vt:lpwstr>
  </property>
  <property fmtid="{D5CDD505-2E9C-101B-9397-08002B2CF9AE}" pid="5" name="ContentTypeId">
    <vt:lpwstr>0x010100DD96ED4DE1848948A0750CEB789F35AF</vt:lpwstr>
  </property>
  <property fmtid="{D5CDD505-2E9C-101B-9397-08002B2CF9AE}" pid="6" name="Hidden Entity">
    <vt:lpwstr/>
  </property>
  <property fmtid="{D5CDD505-2E9C-101B-9397-08002B2CF9AE}" pid="7" name="EMS Language">
    <vt:lpwstr>3;#English|85e7ea2a-566f-43ca-9648-6bc8acd5bb97</vt:lpwstr>
  </property>
  <property fmtid="{D5CDD505-2E9C-101B-9397-08002B2CF9AE}" pid="8" name="EMS Category">
    <vt:lpwstr>109;#Corporate Standard|8a72e54b-faca-41df-b2ab-b2873a25bf8a</vt:lpwstr>
  </property>
  <property fmtid="{D5CDD505-2E9C-101B-9397-08002B2CF9AE}" pid="9" name="Document Type">
    <vt:lpwstr>183;#Template|0a7d89d3-944f-4808-aaa7-d65e64bc6658</vt:lpwstr>
  </property>
  <property fmtid="{D5CDD505-2E9C-101B-9397-08002B2CF9AE}" pid="10" name="ed5f290e67f24e7db08ae6ea134c5d8e">
    <vt:lpwstr>#Al-Khafji Joint Operations|6d57faca-874a-4942-a52e-c1ed0a80c5f5;#BASF|335f6503-bfa2-43b1-88e7-f09973ea6191;#BP EPMS|fd404a2b-9df5-4030-ad7a-eb9def757cb1;#BP EMPS GoM Improve|a9ecc381-8c36-4811-852d-09ff20c090ce;#BP Rumaila|924e341f-b9b6-4d0a-9b7d-19fe2b8</vt:lpwstr>
  </property>
  <property fmtid="{D5CDD505-2E9C-101B-9397-08002B2CF9AE}" pid="11" name="bb169935fb6a4e009608494a142b27db">
    <vt:lpwstr>Corporate Base511c588c-4ed0-47bd-a50e-89d0c3747c72</vt:lpwstr>
  </property>
  <property fmtid="{D5CDD505-2E9C-101B-9397-08002B2CF9AE}" pid="12" name="h7a5631c9de34d6fbbc5f6e3a02f39c4">
    <vt:lpwstr>English85e7ea2a-566f-43ca-9648-6bc8acd5bb97</vt:lpwstr>
  </property>
  <property fmtid="{D5CDD505-2E9C-101B-9397-08002B2CF9AE}" pid="13" name="V3Label">
    <vt:lpwstr>EPF-0027</vt:lpwstr>
  </property>
  <property fmtid="{D5CDD505-2E9C-101B-9397-08002B2CF9AE}" pid="14" name="head417051c343d6b04af59a795aa378">
    <vt:lpwstr>Corporate3c25ecba-de18-4fad-b000-2aa685b1682c</vt:lpwstr>
  </property>
  <property fmtid="{D5CDD505-2E9C-101B-9397-08002B2CF9AE}" pid="15" name="TaxCatchAll">
    <vt:lpwstr>101;#Engineering Delivery|4c44a6c4-2328-423a-a8ec-db72ab22606d</vt:lpwstr>
  </property>
  <property fmtid="{D5CDD505-2E9C-101B-9397-08002B2CF9AE}" pid="16" name="Order Column">
    <vt:lpwstr>1</vt:lpwstr>
  </property>
  <property fmtid="{D5CDD505-2E9C-101B-9397-08002B2CF9AE}" pid="17" name="f151dfff8d46493681fbbdb47ad85706">
    <vt:lpwstr/>
  </property>
  <property fmtid="{D5CDD505-2E9C-101B-9397-08002B2CF9AE}" pid="18" name="l932d89320e240bba46850220e22b9f4">
    <vt:lpwstr>Form48a2af9b-cb8b-445a-a01c-167043d1dd47</vt:lpwstr>
  </property>
  <property fmtid="{D5CDD505-2E9C-101B-9397-08002B2CF9AE}" pid="19" name="cdb0f120f5f84b59b6c1b19cff2429c9">
    <vt:lpwstr/>
  </property>
  <property fmtid="{D5CDD505-2E9C-101B-9397-08002B2CF9AE}" pid="20" name="Archive Document?">
    <vt:lpwstr>false</vt:lpwstr>
  </property>
  <property fmtid="{D5CDD505-2E9C-101B-9397-08002B2CF9AE}" pid="21" name="Rev.">
    <vt:lpwstr>8</vt:lpwstr>
  </property>
  <property fmtid="{D5CDD505-2E9C-101B-9397-08002B2CF9AE}" pid="22" name="ha760be22fbe4a22bf019d33095e9b1c">
    <vt:lpwstr>Engineering Delivery|4c44a6c4-2328-423a-a8ec-db72ab22606d</vt:lpwstr>
  </property>
  <property fmtid="{D5CDD505-2E9C-101B-9397-08002B2CF9AE}" pid="23" name="SV_QUERY_LIST_4F35BF76-6C0D-4D9B-82B2-816C12CF3733">
    <vt:lpwstr>empty_477D106A-C0D6-4607-AEBD-E2C9D60EA279</vt:lpwstr>
  </property>
  <property fmtid="{D5CDD505-2E9C-101B-9397-08002B2CF9AE}" pid="24" name="SV_HIDDEN_GRID_QUERY_LIST_4F35BF76-6C0D-4D9B-82B2-816C12CF3733">
    <vt:lpwstr>empty_477D106A-C0D6-4607-AEBD-E2C9D60EA279</vt:lpwstr>
  </property>
</Properties>
</file>