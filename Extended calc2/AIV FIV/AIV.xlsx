
<file path=[Content_Types].xml><?xml version="1.0" encoding="utf-8"?>
<Types xmlns="http://schemas.openxmlformats.org/package/2006/content-types">
  <Default Extension="jpg" ContentType="image/jpeg"/>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Default Extension="vml" ContentType="application/vnd.openxmlformats-officedocument.vmlDrawing"/>
  <Override PartName="/docProps/app.xml" ContentType="application/vnd.openxmlformats-officedocument.extended-properties+xml"/>
  <Override PartName="/xl/ctrlProps/ctrlProp6.xml" ContentType="application/vnd.ms-excel.controlproperties+xml"/>
  <Override PartName="/docProps/custom.xml" ContentType="application/vnd.openxmlformats-officedocument.custom-properties+xml"/>
  <Override PartName="/docProps/core.xml" ContentType="application/vnd.openxmlformats-package.core-properties+xml"/>
  <Override PartName="/xl/workbook.xml" ContentType="application/vnd.openxmlformats-officedocument.spreadsheetml.sheet.main+xml"/>
  <Override PartName="/customXml/itemProps2.xml" ContentType="application/vnd.openxmlformats-officedocument.customXmlProperties+xml"/>
  <Override PartName="/xl/sharedStrings.xml" ContentType="application/vnd.openxmlformats-officedocument.spreadsheetml.sharedStrings+xml"/>
  <Override PartName="/xl/ctrlProps/ctrlProp22.xml" ContentType="application/vnd.ms-excel.controlproperties+xml"/>
  <Override PartName="/xl/ctrlProps/ctrlProp19.xml" ContentType="application/vnd.ms-excel.controlproperties+xml"/>
  <Override PartName="/xl/persons/person.xml" ContentType="application/vnd.ms-excel.person+xml"/>
  <Override PartName="/xl/ctrlProps/ctrlProp3.xml" ContentType="application/vnd.ms-excel.controlproperties+xml"/>
  <Override PartName="/customXml/itemProps1.xml" ContentType="application/vnd.openxmlformats-officedocument.customXmlProperties+xml"/>
  <Override PartName="/xl/ctrlProps/ctrlProp1.xml" ContentType="application/vnd.ms-excel.controlproperties+xml"/>
  <Override PartName="/customXml/itemProps3.xml" ContentType="application/vnd.openxmlformats-officedocument.customXmlProperties+xml"/>
  <Override PartName="/xl/worksheets/sheet1.xml" ContentType="application/vnd.openxmlformats-officedocument.spreadsheetml.worksheet+xml"/>
  <Override PartName="/xl/ctrlProps/ctrlProp9.xml" ContentType="application/vnd.ms-excel.controlproperties+xml"/>
  <Override PartName="/xl/threadedComments/threadedComment1.xml" ContentType="application/vnd.ms-excel.threadedcomments+xml"/>
  <Override PartName="/xl/ctrlProps/ctrlProp8.xml" ContentType="application/vnd.ms-excel.controlproperties+xml"/>
  <Override PartName="/xl/ctrlProps/ctrlProp10.xml" ContentType="application/vnd.ms-excel.controlproperties+xml"/>
  <Override PartName="/xl/ctrlProps/ctrlProp11.xml" ContentType="application/vnd.ms-excel.controlproperties+xml"/>
  <Override PartName="/xl/styles.xml" ContentType="application/vnd.openxmlformats-officedocument.spreadsheetml.styl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24.xml" ContentType="application/vnd.ms-excel.controlproperties+xml"/>
  <Override PartName="/xl/comments1.xml" ContentType="application/vnd.openxmlformats-officedocument.spreadsheetml.comments+xml"/>
  <Override PartName="/xl/ctrlProps/ctrlProp23.xml" ContentType="application/vnd.ms-excel.controlproperties+xml"/>
  <Override PartName="/xl/ctrlProps/ctrlProp18.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5.xml" ContentType="application/vnd.ms-excel.controlproperties+xml"/>
  <Override PartName="/xl/ctrlProps/ctrlProp26.xml" ContentType="application/vnd.ms-excel.controlproperties+xml"/>
  <Override PartName="/xl/drawings/drawing1.xml" ContentType="application/vnd.openxmlformats-officedocument.drawing+xml"/>
  <Override PartName="/xl/ctrlProps/ctrlProp2.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7.xml" ContentType="application/vnd.ms-excel.control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igh Frequency Acoustic Excit." sheetId="1" state="visible" r:id="rId5"/>
  </sheets>
  <definedNames>
    <definedName name="_xlnm.Print_Area" localSheetId="0">'High Frequency Acoustic Excit.'!$B$1:$Q$53</definedName>
    <definedName name="_app1">#REF!</definedName>
    <definedName name="_app2">#REF!</definedName>
    <definedName name="_app3">#REF!</definedName>
    <definedName name="_chk1">#REF!</definedName>
    <definedName name="_chk2">#REF!</definedName>
    <definedName name="_chk3">#REF!</definedName>
    <definedName name="_rev1">#REF!</definedName>
    <definedName name="_rev2">#REF!</definedName>
    <definedName name="_rev3">#REF!</definedName>
    <definedName name="a">'High Frequency Acoustic Excit.'!#REF!</definedName>
    <definedName name="B">'High Frequency Acoustic Excit.'!#REF!</definedName>
    <definedName name="Calc_no">#REF!</definedName>
    <definedName name="calc_title">#REF!</definedName>
    <definedName name="customer">#REF!</definedName>
    <definedName name="date1">#REF!</definedName>
    <definedName name="date2">#REF!</definedName>
    <definedName name="date3">#REF!</definedName>
    <definedName name="desc1">#REF!</definedName>
    <definedName name="desc2">#REF!</definedName>
    <definedName name="desc3">#REF!</definedName>
    <definedName name="Dext">'High Frequency Acoustic Excit.'!$D$27</definedName>
    <definedName name="disclaimer">#REF!</definedName>
    <definedName name="elec_file">#REF!</definedName>
    <definedName name="num_pages">#REF!</definedName>
    <definedName name="orig1">#REF!</definedName>
    <definedName name="orig2">#REF!</definedName>
    <definedName name="orig3">#REF!</definedName>
    <definedName name="Phase_CTR">#REF!</definedName>
    <definedName name="Proj_no">#REF!</definedName>
    <definedName name="proj_title">#REF!</definedName>
    <definedName name="rev_3">#REF!</definedName>
    <definedName name="s">'High Frequency Acoustic Excit.'!#REF!</definedName>
    <definedName name="T">'High Frequency Acoustic Excit.'!$D$28</definedName>
    <definedName name="Yes">#REF!</definedName>
    <definedName name="YesNo">#REF!</definedName>
  </definedName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tc={006E002A-003C-408F-B209-004D00F00045}</author>
    <author>tc={00230007-00F8-4F40-BAA9-0016004A00AB}</author>
    <author>tc={00EB000A-0099-4271-8230-00A800920024}</author>
    <author>tc={000A0047-0042-4240-A767-009600C300DB}</author>
    <author>tc={001800B5-00CD-4B91-9232-001600490081}</author>
    <author>tc={008400B0-0044-4E89-93FF-007F008900CB}</author>
    <author>tc={000E0077-0069-4D13-9858-00D1005600F2}</author>
    <author>tc={004C00AF-002F-495E-A557-002D007D0032}</author>
    <author>tc={002600DE-003E-445D-AC2B-0059003A004B}</author>
    <author>tc={005A00F1-0072-4C46-A997-003D00C00003}</author>
    <author>tc={00F800B7-005D-4B14-9675-006800B500A2}</author>
    <author>tc={00E70064-00C1-4505-A82C-008C00B40074}</author>
    <author>tc={005E000F-0017-471C-A13D-00FE00CA004B}</author>
    <author>tc={006C0034-000B-45A0-B1BC-003700F900FA}</author>
    <author>tc={00710032-00FD-4A9B-A7CF-005600B800DB}</author>
    <author>tc={00A300CE-0082-445C-B032-009B0070004A}</author>
    <author>tc={008A00AF-00E1-43F6-A6B2-00ED00010028}</author>
  </authors>
  <commentList>
    <comment ref="B13" authorId="0" xr:uid="{006E002A-003C-408F-B209-004D00F00045}">
      <text>
        <r>
          <rPr>
            <b/>
            <sz val="9"/>
            <rFont val="Tahoma"/>
          </rPr>
          <t xml:space="preserve">Andrew Phipps-Jones:</t>
        </r>
        <r>
          <rPr>
            <sz val="9"/>
            <rFont val="Tahoma"/>
          </rPr>
          <t xml:space="preserve">
If the source is a valve and has low noise trim fitted then enter dB reduction level. Otherwise enter zero or nothing.
</t>
        </r>
      </text>
    </comment>
    <comment ref="B14" authorId="1" xr:uid="{00230007-00F8-4F40-BAA9-0016004A00AB}">
      <text>
        <r>
          <rPr>
            <b/>
            <sz val="9"/>
            <rFont val="Tahoma"/>
          </rPr>
          <t xml:space="preserve">Andrew Phipps-Jones:</t>
        </r>
        <r>
          <rPr>
            <sz val="9"/>
            <rFont val="Tahoma"/>
          </rPr>
          <t xml:space="preserve">
The flow is sonic when Mach number in the Main Line is greater than or equal to 1.0. The value of Mach number can be obtained using Aspen Flare Analyser to simulate the flow or through combination of Aspen Hysys and Worley Line Sizing Calculation Templates.
</t>
        </r>
      </text>
    </comment>
    <comment ref="M14" authorId="2" xr:uid="{00EB000A-0099-4271-8230-00A800920024}">
      <text>
        <r>
          <rPr>
            <b/>
            <sz val="9"/>
            <rFont val="Tahoma"/>
          </rPr>
          <t xml:space="preserve">Aminu, Abdullah (London):</t>
        </r>
        <r>
          <rPr>
            <sz val="9"/>
            <rFont val="Tahoma"/>
          </rPr>
          <t xml:space="preserve">
Click in the check box for sonic flow.
</t>
        </r>
      </text>
    </comment>
    <comment ref="Q14" authorId="3" xr:uid="{000A0047-0042-4240-A767-009600C300DB}">
      <text>
        <r>
          <rPr>
            <b/>
            <sz val="9"/>
            <rFont val="Tahoma"/>
          </rPr>
          <t xml:space="preserve">Aminu, Abdullah (London):</t>
        </r>
        <r>
          <rPr>
            <sz val="9"/>
            <rFont val="Tahoma"/>
          </rPr>
          <t xml:space="preserve">
Click in the check box for sonic flow.
</t>
        </r>
      </text>
    </comment>
    <comment ref="E14" authorId="4" xr:uid="{001800B5-00CD-4B91-9232-001600490081}">
      <text>
        <r>
          <rPr>
            <b/>
            <sz val="9"/>
            <rFont val="Tahoma"/>
          </rPr>
          <t xml:space="preserve">Aminu, Abdullah (London):</t>
        </r>
        <r>
          <rPr>
            <sz val="9"/>
            <rFont val="Tahoma"/>
          </rPr>
          <t xml:space="preserve">
Click in the check box for sonic flow.
</t>
        </r>
      </text>
    </comment>
    <comment ref="I14" authorId="5" xr:uid="{008400B0-0044-4E89-93FF-007F008900CB}">
      <text>
        <r>
          <rPr>
            <b/>
            <sz val="9"/>
            <rFont val="Tahoma"/>
          </rPr>
          <t xml:space="preserve">Aminu, Abdullah (London):</t>
        </r>
        <r>
          <rPr>
            <sz val="9"/>
            <rFont val="Tahoma"/>
          </rPr>
          <t xml:space="preserve">
Click in the check box for sonic flow.
</t>
        </r>
      </text>
    </comment>
    <comment ref="B17" authorId="6" xr:uid="{000E0077-0069-4D13-9858-00D1005600F2}">
      <text>
        <r>
          <rPr>
            <b/>
            <sz val="9"/>
            <rFont val="Tahoma"/>
          </rPr>
          <t xml:space="preserve">Andrew Phipps-Jones:</t>
        </r>
        <r>
          <rPr>
            <sz val="9"/>
            <rFont val="Tahoma"/>
          </rPr>
          <t xml:space="preserve">
If PWL &lt; 155dB main line LOF = 0.29.  
If PWL ≥ 155dB calculate the PWL in the main line at the discontinuity accounting for attenuation.
</t>
        </r>
      </text>
    </comment>
    <comment ref="B34" authorId="7" xr:uid="{004C00AF-002F-495E-A557-002D007D0032}">
      <text>
        <r>
          <rPr>
            <b/>
            <sz val="9"/>
            <rFont val="Tahoma"/>
          </rPr>
          <t xml:space="preserve">Andrew Phipps-Jones:</t>
        </r>
        <r>
          <rPr>
            <sz val="9"/>
            <rFont val="Tahoma"/>
          </rPr>
          <t xml:space="preserve">
Source of high frequency acoustic excitation are pressure reducing devices such as control / relief valves, restriction orifices or branch connections.  All source must be included to determine total PWL at discontinuity
</t>
        </r>
      </text>
    </comment>
    <comment ref="M47" authorId="8" xr:uid="{002600DE-003E-445D-AC2B-0059003A004B}">
      <text>
        <r>
          <rPr>
            <b/>
            <sz val="9"/>
            <rFont val="Tahoma"/>
          </rPr>
          <t xml:space="preserve">Aminu, Abdullah (London):</t>
        </r>
        <r>
          <rPr>
            <sz val="9"/>
            <rFont val="Tahoma"/>
          </rPr>
          <t xml:space="preserve">
Click in the check box for weldolet.
</t>
        </r>
      </text>
    </comment>
    <comment ref="Q47" authorId="9" xr:uid="{005A00F1-0072-4C46-A997-003D00C00003}">
      <text>
        <r>
          <rPr>
            <b/>
            <sz val="9"/>
            <rFont val="Tahoma"/>
          </rPr>
          <t xml:space="preserve">Aminu, Abdullah (London):</t>
        </r>
        <r>
          <rPr>
            <sz val="9"/>
            <rFont val="Tahoma"/>
          </rPr>
          <t xml:space="preserve">
Click in the check box for weldolet.
</t>
        </r>
      </text>
    </comment>
    <comment ref="E47" authorId="10" xr:uid="{00F800B7-005D-4B14-9675-006800B500A2}">
      <text>
        <r>
          <rPr>
            <b/>
            <sz val="9"/>
            <rFont val="Tahoma"/>
          </rPr>
          <t xml:space="preserve">Aminu, Abdullah (London):</t>
        </r>
        <r>
          <rPr>
            <sz val="9"/>
            <rFont val="Tahoma"/>
          </rPr>
          <t xml:space="preserve">
Click in the check box for weldolet.
</t>
        </r>
      </text>
    </comment>
    <comment ref="I47" authorId="11" xr:uid="{00E70064-00C1-4505-A82C-008C00B40074}">
      <text>
        <r>
          <rPr>
            <b/>
            <sz val="9"/>
            <rFont val="Tahoma"/>
          </rPr>
          <t xml:space="preserve">Aminu, Abdullah (London):</t>
        </r>
        <r>
          <rPr>
            <sz val="9"/>
            <rFont val="Tahoma"/>
          </rPr>
          <t xml:space="preserve">
Click in the check box for weldolet.
</t>
        </r>
      </text>
    </comment>
    <comment ref="M49" authorId="12" xr:uid="{005E000F-0017-471C-A13D-00FE00CA004B}">
      <text>
        <r>
          <rPr>
            <b/>
            <sz val="9"/>
            <rFont val="Tahoma"/>
          </rPr>
          <t xml:space="preserve">Aminu, Abdullah (London):</t>
        </r>
        <r>
          <rPr>
            <sz val="9"/>
            <rFont val="Tahoma"/>
          </rPr>
          <t xml:space="preserve">
Click in the check box for duplex.
</t>
        </r>
      </text>
    </comment>
    <comment ref="Q49" authorId="13" xr:uid="{006C0034-000B-45A0-B1BC-003700F900FA}">
      <text>
        <r>
          <rPr>
            <b/>
            <sz val="9"/>
            <rFont val="Tahoma"/>
          </rPr>
          <t xml:space="preserve">Aminu, Abdullah (London):</t>
        </r>
        <r>
          <rPr>
            <sz val="9"/>
            <rFont val="Tahoma"/>
          </rPr>
          <t xml:space="preserve">
Click in the check box for duplex.
</t>
        </r>
      </text>
    </comment>
    <comment ref="E49" authorId="14" xr:uid="{00710032-00FD-4A9B-A7CF-005600B800DB}">
      <text>
        <r>
          <rPr>
            <b/>
            <sz val="9"/>
            <rFont val="Tahoma"/>
          </rPr>
          <t xml:space="preserve">Aminu, Abdullah (London):</t>
        </r>
        <r>
          <rPr>
            <sz val="9"/>
            <rFont val="Tahoma"/>
          </rPr>
          <t xml:space="preserve">
Click in the check box for duplex.
</t>
        </r>
      </text>
    </comment>
    <comment ref="I49" authorId="15" xr:uid="{00A300CE-0082-445C-B032-009B0070004A}">
      <text>
        <r>
          <rPr>
            <b/>
            <sz val="9"/>
            <rFont val="Tahoma"/>
          </rPr>
          <t xml:space="preserve">Aminu, Abdullah (London):</t>
        </r>
        <r>
          <rPr>
            <sz val="9"/>
            <rFont val="Tahoma"/>
          </rPr>
          <t xml:space="preserve">
Click in the check box for duplex.
</t>
        </r>
      </text>
    </comment>
    <comment ref="B52" authorId="16" xr:uid="{008A00AF-00E1-43F6-A6B2-00ED00010028}">
      <text>
        <r>
          <rPr>
            <b/>
            <sz val="9"/>
            <rFont val="Tahoma"/>
          </rPr>
          <t xml:space="preserve">Andrew Phipps-Jones:</t>
        </r>
        <r>
          <rPr>
            <sz val="9"/>
            <rFont val="Tahoma"/>
          </rPr>
          <t xml:space="preserve">
If Lf &lt; 0.5 then LOF = 0.29.
If Lf ≥ 0.5 then LOF = Lf
</t>
        </r>
      </text>
    </comment>
  </commentList>
</comments>
</file>

<file path=xl/sharedStrings.xml><?xml version="1.0" encoding="utf-8"?>
<sst xmlns="http://schemas.openxmlformats.org/spreadsheetml/2006/main" count="151" uniqueCount="151">
  <si>
    <t xml:space="preserve">High Frequency Acoustic Excitation</t>
  </si>
  <si>
    <t xml:space="preserve">Data For Line Sizing:</t>
  </si>
  <si>
    <t xml:space="preserve">Project :</t>
  </si>
  <si>
    <t xml:space="preserve">Customer :</t>
  </si>
  <si>
    <t xml:space="preserve">Project No :</t>
  </si>
  <si>
    <t xml:space="preserve">ASME B36.10 Table 1 - Dimensions and Weights of Welded and Seamless Wrought Steel Pipe</t>
  </si>
  <si>
    <t xml:space="preserve">By :</t>
  </si>
  <si>
    <t xml:space="preserve">Date :</t>
  </si>
  <si>
    <t xml:space="preserve">Calc No. :</t>
  </si>
  <si>
    <t xml:space="preserve">Checked :</t>
  </si>
  <si>
    <t xml:space="preserve">Nominal Diameter</t>
  </si>
  <si>
    <t>1</t>
  </si>
  <si>
    <t xml:space="preserve">Line/Unit Number</t>
  </si>
  <si>
    <t>inches</t>
  </si>
  <si>
    <t>mm</t>
  </si>
  <si>
    <t>2</t>
  </si>
  <si>
    <t xml:space="preserve">Mass flowrate</t>
  </si>
  <si>
    <t>kg/hr</t>
  </si>
  <si>
    <t>Size</t>
  </si>
  <si>
    <t>OD</t>
  </si>
  <si>
    <t>SCH</t>
  </si>
  <si>
    <t>W.T.</t>
  </si>
  <si>
    <t>I.D.</t>
  </si>
  <si>
    <t>3</t>
  </si>
  <si>
    <t xml:space="preserve">Pressure Upstream (P1)</t>
  </si>
  <si>
    <t>Pa(abs)</t>
  </si>
  <si>
    <t>Select…</t>
  </si>
  <si>
    <t>4</t>
  </si>
  <si>
    <t xml:space="preserve">Pressure Downstream (P2)</t>
  </si>
  <si>
    <t xml:space="preserve">Manually Enter</t>
  </si>
  <si>
    <t>N/A</t>
  </si>
  <si>
    <t>5</t>
  </si>
  <si>
    <t xml:space="preserve">Upstream Temp</t>
  </si>
  <si>
    <t>°C</t>
  </si>
  <si>
    <t>1/8</t>
  </si>
  <si>
    <t>STD</t>
  </si>
  <si>
    <t>XS</t>
  </si>
  <si>
    <t>6</t>
  </si>
  <si>
    <t xml:space="preserve">Upstream Temp (Te)</t>
  </si>
  <si>
    <t>K</t>
  </si>
  <si>
    <t>1/4</t>
  </si>
  <si>
    <t>7</t>
  </si>
  <si>
    <t xml:space="preserve">Molecular Weight  (Mw)</t>
  </si>
  <si>
    <t>g/mol</t>
  </si>
  <si>
    <t>3/8</t>
  </si>
  <si>
    <t>8</t>
  </si>
  <si>
    <t xml:space="preserve">Mass flowrate (W)</t>
  </si>
  <si>
    <t>kg/s</t>
  </si>
  <si>
    <t>1/2</t>
  </si>
  <si>
    <t>XXS</t>
  </si>
  <si>
    <t>9</t>
  </si>
  <si>
    <t xml:space="preserve">Low Noise Trim reduction amount</t>
  </si>
  <si>
    <t>dB</t>
  </si>
  <si>
    <t>3/4</t>
  </si>
  <si>
    <t>10</t>
  </si>
  <si>
    <t xml:space="preserve">Sonic flow?</t>
  </si>
  <si>
    <t>11</t>
  </si>
  <si>
    <t xml:space="preserve">Sound Power Level (PWL) at source</t>
  </si>
  <si>
    <t>12</t>
  </si>
  <si>
    <t xml:space="preserve">Adjustment for low noise trim</t>
  </si>
  <si>
    <t>13</t>
  </si>
  <si>
    <t>Comment</t>
  </si>
  <si>
    <t>14</t>
  </si>
  <si>
    <t>15</t>
  </si>
  <si>
    <t>16</t>
  </si>
  <si>
    <r>
      <t xml:space="preserve">Dist between source and welded discontinuity (L</t>
    </r>
    <r>
      <rPr>
        <vertAlign val="subscript"/>
        <sz val="10"/>
        <rFont val="Calibri"/>
      </rPr>
      <t>dis</t>
    </r>
    <r>
      <rPr>
        <sz val="10"/>
        <rFont val="Calibri"/>
      </rPr>
      <t>)</t>
    </r>
  </si>
  <si>
    <t>m</t>
  </si>
  <si>
    <t>17</t>
  </si>
  <si>
    <t>18</t>
  </si>
  <si>
    <t xml:space="preserve">Main Line NPS</t>
  </si>
  <si>
    <t>19</t>
  </si>
  <si>
    <t xml:space="preserve">Main Line Schedule</t>
  </si>
  <si>
    <t>20</t>
  </si>
  <si>
    <r>
      <t xml:space="preserve">External Diameter of main line (D</t>
    </r>
    <r>
      <rPr>
        <vertAlign val="subscript"/>
        <sz val="10"/>
        <rFont val="Calibri"/>
      </rPr>
      <t>ext</t>
    </r>
    <r>
      <rPr>
        <sz val="10"/>
        <rFont val="Calibri"/>
      </rPr>
      <t>)</t>
    </r>
  </si>
  <si>
    <t>21</t>
  </si>
  <si>
    <t xml:space="preserve">Wall thickness of the main line (T)</t>
  </si>
  <si>
    <t>22</t>
  </si>
  <si>
    <r>
      <t xml:space="preserve">Internal Diameter of main line (D</t>
    </r>
    <r>
      <rPr>
        <vertAlign val="subscript"/>
        <sz val="10"/>
        <rFont val="Calibri"/>
      </rPr>
      <t>int</t>
    </r>
    <r>
      <rPr>
        <sz val="10"/>
        <rFont val="Calibri"/>
      </rPr>
      <t>)</t>
    </r>
  </si>
  <si>
    <t>23</t>
  </si>
  <si>
    <r>
      <t>D</t>
    </r>
    <r>
      <rPr>
        <vertAlign val="subscript"/>
        <sz val="10"/>
        <rFont val="Calibri"/>
      </rPr>
      <t xml:space="preserve">ext </t>
    </r>
    <r>
      <rPr>
        <sz val="10"/>
        <rFont val="Calibri"/>
      </rPr>
      <t xml:space="preserve">Manual Input</t>
    </r>
  </si>
  <si>
    <t>24</t>
  </si>
  <si>
    <t xml:space="preserve">T Manual Input</t>
  </si>
  <si>
    <t>25</t>
  </si>
  <si>
    <r>
      <t>D</t>
    </r>
    <r>
      <rPr>
        <vertAlign val="subscript"/>
        <sz val="10"/>
        <rFont val="Calibri"/>
      </rPr>
      <t>int</t>
    </r>
    <r>
      <rPr>
        <sz val="10"/>
        <rFont val="Calibri"/>
      </rPr>
      <t xml:space="preserve"> Manual Input</t>
    </r>
  </si>
  <si>
    <t>26</t>
  </si>
  <si>
    <t xml:space="preserve">Branch NPS</t>
  </si>
  <si>
    <t>27</t>
  </si>
  <si>
    <r>
      <t xml:space="preserve">External Diameter of branch (d</t>
    </r>
    <r>
      <rPr>
        <vertAlign val="subscript"/>
        <sz val="10"/>
        <rFont val="Calibri"/>
      </rPr>
      <t>ext</t>
    </r>
    <r>
      <rPr>
        <sz val="10"/>
        <rFont val="Calibri"/>
      </rPr>
      <t>)</t>
    </r>
  </si>
  <si>
    <t>28</t>
  </si>
  <si>
    <r>
      <t>d</t>
    </r>
    <r>
      <rPr>
        <vertAlign val="subscript"/>
        <sz val="10"/>
        <rFont val="Calibri"/>
      </rPr>
      <t>ext</t>
    </r>
    <r>
      <rPr>
        <sz val="10"/>
        <rFont val="Calibri"/>
      </rPr>
      <t xml:space="preserve"> Manual Input</t>
    </r>
  </si>
  <si>
    <t>29</t>
  </si>
  <si>
    <t xml:space="preserve">PWL at (discontinuity)</t>
  </si>
  <si>
    <t>30</t>
  </si>
  <si>
    <t xml:space="preserve">Number of additional sources</t>
  </si>
  <si>
    <t xml:space="preserve">Case I</t>
  </si>
  <si>
    <t xml:space="preserve">Case II</t>
  </si>
  <si>
    <t xml:space="preserve">Case III</t>
  </si>
  <si>
    <t xml:space="preserve">Case IV</t>
  </si>
  <si>
    <t>Unit</t>
  </si>
  <si>
    <t>31</t>
  </si>
  <si>
    <t xml:space="preserve">PWL from 2nd source</t>
  </si>
  <si>
    <t>Dext</t>
  </si>
  <si>
    <t>32</t>
  </si>
  <si>
    <t xml:space="preserve">PWL from 3rd source</t>
  </si>
  <si>
    <t>T</t>
  </si>
  <si>
    <t>33</t>
  </si>
  <si>
    <t xml:space="preserve">PWL from 4th source</t>
  </si>
  <si>
    <t>a</t>
  </si>
  <si>
    <t>34</t>
  </si>
  <si>
    <t xml:space="preserve">Total PWL at discontinuity</t>
  </si>
  <si>
    <t>s</t>
  </si>
  <si>
    <t>35</t>
  </si>
  <si>
    <t>B</t>
  </si>
  <si>
    <t>36</t>
  </si>
  <si>
    <r>
      <t>Log</t>
    </r>
    <r>
      <rPr>
        <vertAlign val="subscript"/>
        <sz val="10"/>
        <rFont val="Arial"/>
      </rPr>
      <t>10</t>
    </r>
    <r>
      <rPr>
        <sz val="10"/>
        <rFont val="Arial"/>
      </rPr>
      <t>N</t>
    </r>
  </si>
  <si>
    <t>37</t>
  </si>
  <si>
    <t>N</t>
  </si>
  <si>
    <t>38</t>
  </si>
  <si>
    <t>39</t>
  </si>
  <si>
    <t xml:space="preserve">N (no. of cycles until failure)</t>
  </si>
  <si>
    <t>40</t>
  </si>
  <si>
    <r>
      <t>D</t>
    </r>
    <r>
      <rPr>
        <vertAlign val="subscript"/>
        <sz val="10"/>
        <rFont val="Calibri"/>
      </rPr>
      <t>ext</t>
    </r>
    <r>
      <rPr>
        <sz val="10"/>
        <rFont val="Calibri"/>
      </rPr>
      <t xml:space="preserve"> / d</t>
    </r>
    <r>
      <rPr>
        <vertAlign val="subscript"/>
        <sz val="10"/>
        <rFont val="Calibri"/>
      </rPr>
      <t>ext</t>
    </r>
  </si>
  <si>
    <t>41</t>
  </si>
  <si>
    <r>
      <t>FLM</t>
    </r>
    <r>
      <rPr>
        <vertAlign val="subscript"/>
        <sz val="10"/>
        <rFont val="Calibri"/>
      </rPr>
      <t>1</t>
    </r>
    <r>
      <rPr>
        <sz val="10"/>
        <rFont val="Calibri"/>
      </rPr>
      <t xml:space="preserve"> (fatigue life multiplier at stage 1)</t>
    </r>
  </si>
  <si>
    <t>42</t>
  </si>
  <si>
    <t xml:space="preserve">Revised N</t>
  </si>
  <si>
    <t>43</t>
  </si>
  <si>
    <t xml:space="preserve">Is connection weldolet type fitting</t>
  </si>
  <si>
    <t>Sch</t>
  </si>
  <si>
    <t>Ref</t>
  </si>
  <si>
    <t>n/a</t>
  </si>
  <si>
    <t>44</t>
  </si>
  <si>
    <t xml:space="preserve">Sch 5</t>
  </si>
  <si>
    <t>45</t>
  </si>
  <si>
    <t xml:space="preserve">Is the piping material duplex</t>
  </si>
  <si>
    <t xml:space="preserve">Sch 10</t>
  </si>
  <si>
    <t>46</t>
  </si>
  <si>
    <t xml:space="preserve">Sch 20</t>
  </si>
  <si>
    <t>47</t>
  </si>
  <si>
    <r>
      <t>L</t>
    </r>
    <r>
      <rPr>
        <vertAlign val="subscript"/>
        <sz val="10"/>
        <rFont val="Calibri"/>
      </rPr>
      <t>f</t>
    </r>
  </si>
  <si>
    <t xml:space="preserve">Sch 30</t>
  </si>
  <si>
    <t>48</t>
  </si>
  <si>
    <t xml:space="preserve">Likelihood of Failure (LOF)</t>
  </si>
  <si>
    <t xml:space="preserve">Sch 40</t>
  </si>
  <si>
    <t>49</t>
  </si>
  <si>
    <t xml:space="preserve">Sch 80</t>
  </si>
  <si>
    <t xml:space="preserve">Sch 100</t>
  </si>
  <si>
    <t xml:space="preserve">Sch 120</t>
  </si>
  <si>
    <t xml:space="preserve">Sch 140</t>
  </si>
  <si>
    <t xml:space="preserve">Sch 160</t>
  </si>
  <si>
    <t>Std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</si>
</sst>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0.000"/>
    <numFmt numFmtId="165" formatCode="0.0"/>
  </numFmts>
  <fonts count="20">
    <font>
      <sz val="10.000000"/>
      <color theme="1"/>
      <name val="Arial"/>
    </font>
    <font>
      <sz val="10.000000"/>
      <name val="Arial"/>
    </font>
    <font>
      <b/>
      <sz val="12.000000"/>
      <name val="Calibri"/>
    </font>
    <font>
      <b/>
      <sz val="12.000000"/>
      <name val="Arial"/>
    </font>
    <font>
      <sz val="12.000000"/>
      <name val="Times New Roman"/>
    </font>
    <font>
      <b/>
      <sz val="10.000000"/>
      <name val="Calibri"/>
    </font>
    <font>
      <sz val="10.000000"/>
      <name val="Calibri"/>
    </font>
    <font>
      <b/>
      <sz val="12.000000"/>
      <name val="Times New Roman"/>
    </font>
    <font>
      <b/>
      <sz val="10.000000"/>
      <name val="Arial"/>
    </font>
    <font>
      <i/>
      <sz val="10.000000"/>
      <name val="Calibri"/>
    </font>
    <font>
      <b/>
      <sz val="10.000000"/>
      <name val="Times New Roman"/>
    </font>
    <font>
      <b/>
      <sz val="10.000000"/>
      <color indexed="2"/>
      <name val="Times New Roman"/>
    </font>
    <font>
      <sz val="10.000000"/>
      <color indexed="2"/>
      <name val="Times New Roman"/>
    </font>
    <font>
      <sz val="10.000000"/>
      <name val="Times New Roman"/>
    </font>
    <font>
      <sz val="10.000000"/>
      <color indexed="65"/>
      <name val="Arial"/>
    </font>
    <font>
      <sz val="10.000000"/>
      <color indexed="65"/>
      <name val="Calibri"/>
    </font>
    <font>
      <sz val="10.000000"/>
      <color indexed="22"/>
      <name val="Calibri"/>
    </font>
    <font>
      <b/>
      <sz val="7.000000"/>
      <name val="Calibri"/>
    </font>
    <font>
      <sz val="10.000000"/>
      <color indexed="4"/>
      <name val="Times New Roman"/>
    </font>
    <font>
      <sz val="10.000000"/>
      <color indexed="26"/>
      <name val="Arial"/>
    </font>
  </fonts>
  <fills count="6">
    <fill>
      <patternFill patternType="none"/>
    </fill>
    <fill>
      <patternFill patternType="gray125"/>
    </fill>
    <fill>
      <patternFill patternType="solid">
        <fgColor indexed="26"/>
      </patternFill>
    </fill>
    <fill>
      <patternFill patternType="solid">
        <fgColor indexed="65"/>
      </patternFill>
    </fill>
    <fill>
      <patternFill patternType="solid">
        <fgColor indexed="26"/>
        <bgColor indexed="26"/>
      </patternFill>
    </fill>
    <fill>
      <patternFill patternType="solid">
        <fgColor indexed="22"/>
      </patternFill>
    </fill>
  </fills>
  <borders count="61">
    <border>
      <left style="none"/>
      <right style="none"/>
      <top style="none"/>
      <bottom style="none"/>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none"/>
      <right style="medium">
        <color auto="1"/>
      </right>
      <top style="medium">
        <color auto="1"/>
      </top>
      <bottom style="none"/>
      <diagonal style="none"/>
    </border>
    <border>
      <left style="medium">
        <color auto="1"/>
      </left>
      <right style="none"/>
      <top style="none"/>
      <bottom style="none"/>
      <diagonal style="none"/>
    </border>
    <border>
      <left style="none"/>
      <right style="medium">
        <color auto="1"/>
      </right>
      <top style="none"/>
      <bottom style="none"/>
      <diagonal style="none"/>
    </border>
    <border>
      <left style="medium">
        <color auto="1"/>
      </left>
      <right style="none"/>
      <top style="none"/>
      <bottom style="medium">
        <color auto="1"/>
      </bottom>
      <diagonal style="none"/>
    </border>
    <border>
      <left style="none"/>
      <right style="none"/>
      <top style="none"/>
      <bottom style="medium">
        <color auto="1"/>
      </bottom>
      <diagonal style="none"/>
    </border>
    <border>
      <left style="none"/>
      <right style="medium">
        <color auto="1"/>
      </right>
      <top style="none"/>
      <bottom style="medium">
        <color auto="1"/>
      </bottom>
      <diagonal style="none"/>
    </border>
    <border>
      <left style="medium">
        <color auto="1"/>
      </left>
      <right style="none"/>
      <top style="medium">
        <color auto="1"/>
      </top>
      <bottom style="thin">
        <color auto="1"/>
      </bottom>
      <diagonal style="none"/>
    </border>
    <border>
      <left style="none"/>
      <right style="medium">
        <color auto="1"/>
      </right>
      <top style="medium">
        <color auto="1"/>
      </top>
      <bottom style="thin">
        <color auto="1"/>
      </bottom>
      <diagonal style="none"/>
    </border>
    <border>
      <left style="thin">
        <color auto="1"/>
      </left>
      <right style="none"/>
      <top style="medium">
        <color auto="1"/>
      </top>
      <bottom style="none"/>
      <diagonal style="none"/>
    </border>
    <border>
      <left style="medium">
        <color auto="1"/>
      </left>
      <right style="none"/>
      <top style="none"/>
      <bottom style="thin">
        <color auto="1"/>
      </bottom>
      <diagonal style="none"/>
    </border>
    <border>
      <left style="none"/>
      <right style="medium">
        <color auto="1"/>
      </right>
      <top style="none"/>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thin">
        <color auto="1"/>
      </left>
      <right style="medium">
        <color auto="1"/>
      </right>
      <top style="thin">
        <color auto="1"/>
      </top>
      <bottom style="thin">
        <color auto="1"/>
      </bottom>
      <diagonal style="none"/>
    </border>
    <border>
      <left style="none"/>
      <right style="thin">
        <color auto="1"/>
      </right>
      <top style="thin">
        <color auto="1"/>
      </top>
      <bottom style="thin">
        <color auto="1"/>
      </bottom>
      <diagonal style="none"/>
    </border>
    <border>
      <left style="none"/>
      <right style="thin">
        <color auto="1"/>
      </right>
      <top style="none"/>
      <bottom style="thin">
        <color auto="1"/>
      </bottom>
      <diagonal style="none"/>
    </border>
    <border>
      <left style="thin">
        <color auto="1"/>
      </left>
      <right style="thin">
        <color auto="1"/>
      </right>
      <top style="none"/>
      <bottom style="thin">
        <color auto="1"/>
      </bottom>
      <diagonal style="none"/>
    </border>
    <border>
      <left style="thin">
        <color auto="1"/>
      </left>
      <right style="none"/>
      <top style="none"/>
      <bottom style="thin">
        <color auto="1"/>
      </bottom>
      <diagonal style="none"/>
    </border>
    <border>
      <left style="medium">
        <color auto="1"/>
      </left>
      <right style="thin">
        <color auto="1"/>
      </right>
      <top style="none"/>
      <bottom style="thin">
        <color auto="1"/>
      </bottom>
      <diagonal style="none"/>
    </border>
    <border>
      <left style="thin">
        <color auto="1"/>
      </left>
      <right style="medium">
        <color auto="1"/>
      </right>
      <top style="none"/>
      <bottom style="thin">
        <color auto="1"/>
      </bottom>
      <diagonal style="none"/>
    </border>
    <border>
      <left style="medium">
        <color auto="1"/>
      </left>
      <right style="none"/>
      <top style="thin">
        <color auto="1"/>
      </top>
      <bottom style="thin">
        <color auto="1"/>
      </bottom>
      <diagonal style="none"/>
    </border>
    <border>
      <left style="none"/>
      <right style="medium">
        <color auto="1"/>
      </right>
      <top style="thin">
        <color auto="1"/>
      </top>
      <bottom style="thin">
        <color auto="1"/>
      </bottom>
      <diagonal style="none"/>
    </border>
    <border>
      <left style="none"/>
      <right style="none"/>
      <top style="thin">
        <color auto="1"/>
      </top>
      <bottom style="thin">
        <color auto="1"/>
      </bottom>
      <diagonal style="none"/>
    </border>
    <border>
      <left style="medium">
        <color auto="1"/>
      </left>
      <right style="none"/>
      <top style="thin">
        <color auto="1"/>
      </top>
      <bottom style="double">
        <color auto="1"/>
      </bottom>
      <diagonal style="none"/>
    </border>
    <border>
      <left style="none"/>
      <right style="medium">
        <color auto="1"/>
      </right>
      <top style="thin">
        <color auto="1"/>
      </top>
      <bottom style="double">
        <color auto="1"/>
      </bottom>
      <diagonal style="none"/>
    </border>
    <border>
      <left style="none"/>
      <right style="thin">
        <color auto="1"/>
      </right>
      <top style="thin">
        <color auto="1"/>
      </top>
      <bottom style="double">
        <color auto="1"/>
      </bottom>
      <diagonal style="none"/>
    </border>
    <border>
      <left style="thin">
        <color auto="1"/>
      </left>
      <right style="thin">
        <color auto="1"/>
      </right>
      <top style="thin">
        <color auto="1"/>
      </top>
      <bottom style="double">
        <color auto="1"/>
      </bottom>
      <diagonal style="none"/>
    </border>
    <border>
      <left style="thin">
        <color auto="1"/>
      </left>
      <right style="none"/>
      <top style="thin">
        <color auto="1"/>
      </top>
      <bottom style="double">
        <color auto="1"/>
      </bottom>
      <diagonal style="none"/>
    </border>
    <border>
      <left style="medium">
        <color auto="1"/>
      </left>
      <right style="thin">
        <color auto="1"/>
      </right>
      <top style="thin">
        <color auto="1"/>
      </top>
      <bottom style="double">
        <color auto="1"/>
      </bottom>
      <diagonal style="none"/>
    </border>
    <border>
      <left style="thin">
        <color auto="1"/>
      </left>
      <right style="medium">
        <color auto="1"/>
      </right>
      <top style="thin">
        <color auto="1"/>
      </top>
      <bottom style="double">
        <color auto="1"/>
      </bottom>
      <diagonal style="none"/>
    </border>
    <border>
      <left style="medium">
        <color auto="1"/>
      </left>
      <right style="none"/>
      <top style="double">
        <color auto="1"/>
      </top>
      <bottom style="none"/>
      <diagonal style="none"/>
    </border>
    <border>
      <left style="none"/>
      <right style="medium">
        <color auto="1"/>
      </right>
      <top style="double">
        <color auto="1"/>
      </top>
      <bottom style="none"/>
      <diagonal style="none"/>
    </border>
    <border>
      <left style="none"/>
      <right style="none"/>
      <top style="double">
        <color auto="1"/>
      </top>
      <bottom style="none"/>
      <diagonal style="none"/>
    </border>
    <border>
      <left style="none"/>
      <right style="thin">
        <color auto="1"/>
      </right>
      <top style="double">
        <color auto="1"/>
      </top>
      <bottom style="none"/>
      <diagonal style="none"/>
    </border>
    <border>
      <left style="thin">
        <color auto="1"/>
      </left>
      <right style="none"/>
      <top style="double">
        <color auto="1"/>
      </top>
      <bottom style="none"/>
      <diagonal style="none"/>
    </border>
    <border>
      <left style="none"/>
      <right style="thin">
        <color auto="1"/>
      </right>
      <top style="none"/>
      <bottom style="none"/>
      <diagonal style="none"/>
    </border>
    <border>
      <left style="thin">
        <color auto="1"/>
      </left>
      <right style="none"/>
      <top style="none"/>
      <bottom style="none"/>
      <diagonal style="none"/>
    </border>
    <border>
      <left style="none"/>
      <right style="none"/>
      <top style="none"/>
      <bottom style="thin">
        <color auto="1"/>
      </bottom>
      <diagonal style="none"/>
    </border>
    <border>
      <left style="medium">
        <color auto="1"/>
      </left>
      <right style="none"/>
      <top style="thin">
        <color auto="1"/>
      </top>
      <bottom style="none"/>
      <diagonal style="none"/>
    </border>
    <border>
      <left style="none"/>
      <right style="medium">
        <color auto="1"/>
      </right>
      <top style="thin">
        <color auto="1"/>
      </top>
      <bottom style="none"/>
      <diagonal style="none"/>
    </border>
    <border>
      <left style="none"/>
      <right style="thin">
        <color auto="1"/>
      </right>
      <top style="thin">
        <color auto="1"/>
      </top>
      <bottom style="none"/>
      <diagonal style="none"/>
    </border>
    <border>
      <left style="thin">
        <color auto="1"/>
      </left>
      <right style="thin">
        <color auto="1"/>
      </right>
      <top style="thin">
        <color auto="1"/>
      </top>
      <bottom style="none"/>
      <diagonal style="none"/>
    </border>
    <border>
      <left style="medium">
        <color auto="1"/>
      </left>
      <right style="thin">
        <color auto="1"/>
      </right>
      <top style="thin">
        <color auto="1"/>
      </top>
      <bottom style="none"/>
      <diagonal style="none"/>
    </border>
    <border>
      <left style="thin">
        <color auto="1"/>
      </left>
      <right style="medium">
        <color auto="1"/>
      </right>
      <top style="thin">
        <color auto="1"/>
      </top>
      <bottom style="none"/>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thin">
        <color auto="1"/>
      </bottom>
      <diagonal style="none"/>
    </border>
    <border>
      <left style="thin">
        <color auto="1"/>
      </left>
      <right style="medium">
        <color auto="1"/>
      </right>
      <top style="medium">
        <color auto="1"/>
      </top>
      <bottom style="thin">
        <color auto="1"/>
      </bottom>
      <diagonal style="none"/>
    </border>
    <border>
      <left style="none"/>
      <right style="none"/>
      <top style="thin">
        <color auto="1"/>
      </top>
      <bottom style="none"/>
      <diagonal style="none"/>
    </border>
    <border>
      <left style="thin">
        <color auto="1"/>
      </left>
      <right style="none"/>
      <top style="thin">
        <color auto="1"/>
      </top>
      <bottom style="none"/>
      <diagonal style="none"/>
    </border>
    <border>
      <left style="medium">
        <color auto="1"/>
      </left>
      <right style="thin">
        <color auto="1"/>
      </right>
      <top style="thin">
        <color auto="1"/>
      </top>
      <bottom style="medium">
        <color auto="1"/>
      </bottom>
      <diagonal style="none"/>
    </border>
    <border>
      <left style="thin">
        <color auto="1"/>
      </left>
      <right style="thin">
        <color auto="1"/>
      </right>
      <top style="thin">
        <color auto="1"/>
      </top>
      <bottom style="medium">
        <color auto="1"/>
      </bottom>
      <diagonal style="none"/>
    </border>
    <border>
      <left style="thin">
        <color auto="1"/>
      </left>
      <right style="medium">
        <color auto="1"/>
      </right>
      <top style="thin">
        <color auto="1"/>
      </top>
      <bottom style="medium">
        <color auto="1"/>
      </bottom>
      <diagonal style="none"/>
    </border>
    <border>
      <left style="medium">
        <color auto="1"/>
      </left>
      <right style="none"/>
      <top style="thin">
        <color auto="1"/>
      </top>
      <bottom style="medium">
        <color auto="1"/>
      </bottom>
      <diagonal style="none"/>
    </border>
    <border>
      <left style="none"/>
      <right style="medium">
        <color auto="1"/>
      </right>
      <top style="thin">
        <color auto="1"/>
      </top>
      <bottom style="medium">
        <color auto="1"/>
      </bottom>
      <diagonal style="none"/>
    </border>
    <border>
      <left style="none"/>
      <right style="thin">
        <color auto="1"/>
      </right>
      <top style="thin">
        <color auto="1"/>
      </top>
      <bottom style="medium">
        <color auto="1"/>
      </bottom>
      <diagonal style="none"/>
    </border>
    <border>
      <left style="thin">
        <color auto="1"/>
      </left>
      <right style="none"/>
      <top style="thin">
        <color auto="1"/>
      </top>
      <bottom style="medium">
        <color auto="1"/>
      </bottom>
      <diagonal style="none"/>
    </border>
    <border>
      <left style="thin">
        <color auto="1"/>
      </left>
      <right style="none"/>
      <top style="none"/>
      <bottom style="medium">
        <color auto="1"/>
      </bottom>
      <diagonal style="none"/>
    </border>
  </borders>
  <cellStyleXfs count="2">
    <xf fontId="0" fillId="0" borderId="0" numFmtId="0" applyNumberFormat="1" applyFont="1" applyFill="1" applyBorder="1"/>
    <xf fontId="1" fillId="0" borderId="0" numFmtId="0" applyNumberFormat="1" applyFont="1" applyFill="1" applyBorder="1"/>
  </cellStyleXfs>
  <cellXfs count="252">
    <xf fontId="0" fillId="0" borderId="0" numFmtId="0" xfId="0"/>
    <xf fontId="0" fillId="0" borderId="0" numFmtId="0" xfId="0" applyProtection="1"/>
    <xf fontId="0" fillId="2" borderId="0" numFmtId="0" xfId="0" applyFill="1" applyProtection="1"/>
    <xf fontId="2" fillId="0" borderId="1" numFmtId="0" xfId="0" applyFont="1" applyBorder="1" applyAlignment="1" applyProtection="1">
      <alignment horizontal="center"/>
    </xf>
    <xf fontId="2" fillId="0" borderId="2" numFmtId="0" xfId="0" applyFont="1" applyBorder="1" applyAlignment="1" applyProtection="1">
      <alignment horizontal="center"/>
    </xf>
    <xf fontId="2" fillId="0" borderId="3" numFmtId="0" xfId="0" applyFont="1" applyBorder="1" applyAlignment="1" applyProtection="1">
      <alignment horizontal="center"/>
    </xf>
    <xf fontId="3" fillId="0" borderId="0" numFmtId="0" xfId="0" applyFont="1" applyAlignment="1" applyProtection="1">
      <alignment horizontal="center"/>
    </xf>
    <xf fontId="0" fillId="0" borderId="0" numFmtId="0" xfId="0" applyProtection="1">
      <protection locked="0"/>
    </xf>
    <xf fontId="4" fillId="2" borderId="1" numFmtId="0" xfId="0" applyFont="1" applyFill="1" applyBorder="1" applyAlignment="1" applyProtection="1">
      <alignment vertical="center"/>
      <protection locked="0"/>
    </xf>
    <xf fontId="4" fillId="2" borderId="2" numFmtId="0" xfId="0" applyFont="1" applyFill="1" applyBorder="1" applyAlignment="1" applyProtection="1">
      <alignment horizontal="left" vertical="center"/>
      <protection locked="0"/>
    </xf>
    <xf fontId="4" fillId="2" borderId="2" numFmtId="0" xfId="0" applyFont="1" applyFill="1" applyBorder="1" applyAlignment="1" applyProtection="1">
      <alignment vertical="center"/>
      <protection locked="0"/>
    </xf>
    <xf fontId="4" fillId="2" borderId="3" numFmtId="0" xfId="0" applyFont="1" applyFill="1" applyBorder="1" applyAlignment="1" applyProtection="1">
      <alignment vertical="center"/>
      <protection locked="0"/>
    </xf>
    <xf fontId="5" fillId="3" borderId="4" numFmtId="0" xfId="0" applyFont="1" applyFill="1" applyBorder="1" applyAlignment="1" applyProtection="1" quotePrefix="1">
      <alignment horizontal="right" vertical="center"/>
    </xf>
    <xf fontId="5" fillId="3" borderId="0" numFmtId="0" xfId="0" applyFont="1" applyFill="1" applyAlignment="1" applyProtection="1" quotePrefix="1">
      <alignment horizontal="center" vertical="center"/>
      <protection locked="0"/>
    </xf>
    <xf fontId="5" fillId="3" borderId="0" numFmtId="0" xfId="0" applyFont="1" applyFill="1" applyAlignment="1" applyProtection="1">
      <alignment horizontal="right" vertical="center"/>
    </xf>
    <xf fontId="5" fillId="0" borderId="0" numFmtId="0" xfId="0" applyFont="1" applyAlignment="1" applyProtection="1">
      <alignment horizontal="center"/>
      <protection locked="0"/>
    </xf>
    <xf fontId="6" fillId="0" borderId="0" numFmtId="0" xfId="0" applyFont="1" applyProtection="1"/>
    <xf fontId="5" fillId="0" borderId="0" numFmtId="0" xfId="0" applyFont="1" applyAlignment="1" applyProtection="1">
      <alignment horizontal="center"/>
    </xf>
    <xf fontId="2" fillId="3" borderId="5" numFmtId="0" xfId="0" applyFont="1" applyFill="1" applyBorder="1" applyAlignment="1" applyProtection="1">
      <alignment horizontal="right" vertical="center"/>
    </xf>
    <xf fontId="7" fillId="3" borderId="0" numFmtId="0" xfId="0" applyFont="1" applyFill="1" applyAlignment="1" applyProtection="1">
      <alignment horizontal="right" vertical="center"/>
    </xf>
    <xf fontId="4" fillId="2" borderId="4" numFmtId="0" xfId="0" applyFont="1" applyFill="1" applyBorder="1" applyAlignment="1" applyProtection="1">
      <alignment vertical="center"/>
      <protection locked="0"/>
    </xf>
    <xf fontId="7" fillId="2" borderId="0" numFmtId="0" xfId="0" applyFont="1" applyFill="1" applyAlignment="1" applyProtection="1">
      <alignment vertical="center"/>
      <protection locked="0"/>
    </xf>
    <xf fontId="4" fillId="2" borderId="0" numFmtId="0" xfId="0" applyFont="1" applyFill="1" applyAlignment="1" applyProtection="1">
      <alignment vertical="center"/>
      <protection locked="0"/>
    </xf>
    <xf fontId="4" fillId="2" borderId="5" numFmtId="0" xfId="0" applyFont="1" applyFill="1" applyBorder="1" applyAlignment="1" applyProtection="1">
      <alignment vertical="center"/>
      <protection locked="0"/>
    </xf>
    <xf fontId="5" fillId="3" borderId="4" numFmtId="0" xfId="0" applyFont="1" applyFill="1" applyBorder="1" applyAlignment="1" applyProtection="1">
      <alignment horizontal="right" vertical="center"/>
    </xf>
    <xf fontId="5" fillId="3" borderId="5" numFmtId="0" xfId="0" applyFont="1" applyFill="1" applyBorder="1" applyAlignment="1" applyProtection="1">
      <alignment horizontal="right" vertical="center"/>
    </xf>
    <xf fontId="8" fillId="3" borderId="0" numFmtId="0" xfId="0" applyFont="1" applyFill="1" applyAlignment="1" applyProtection="1">
      <alignment horizontal="right" vertical="center"/>
    </xf>
    <xf fontId="0" fillId="2" borderId="4" numFmtId="0" xfId="0" applyFill="1" applyBorder="1" applyProtection="1">
      <protection locked="0"/>
    </xf>
    <xf fontId="0" fillId="2" borderId="0" numFmtId="0" xfId="0" applyFill="1" applyProtection="1">
      <protection locked="0"/>
    </xf>
    <xf fontId="4" fillId="2" borderId="0" numFmtId="0" xfId="0" applyFont="1" applyFill="1" applyAlignment="1" applyProtection="1">
      <alignment horizontal="right" vertical="center"/>
      <protection locked="0"/>
    </xf>
    <xf fontId="6" fillId="2" borderId="0" numFmtId="0" xfId="0" applyFont="1" applyFill="1" applyProtection="1"/>
    <xf fontId="5" fillId="3" borderId="6" numFmtId="0" xfId="0" applyFont="1" applyFill="1" applyBorder="1" applyAlignment="1" applyProtection="1">
      <alignment horizontal="right" vertical="center"/>
    </xf>
    <xf fontId="5" fillId="3" borderId="7" numFmtId="0" xfId="0" applyFont="1" applyFill="1" applyBorder="1" applyAlignment="1" applyProtection="1">
      <alignment horizontal="right" vertical="center"/>
    </xf>
    <xf fontId="6" fillId="0" borderId="7" numFmtId="0" xfId="0" applyFont="1" applyBorder="1" applyProtection="1"/>
    <xf fontId="5" fillId="0" borderId="7" numFmtId="0" xfId="0" applyFont="1" applyBorder="1" applyAlignment="1" applyProtection="1">
      <alignment horizontal="center"/>
      <protection locked="0"/>
    </xf>
    <xf fontId="5" fillId="3" borderId="8" numFmtId="0" xfId="0" applyFont="1" applyFill="1" applyBorder="1" applyAlignment="1" applyProtection="1">
      <alignment horizontal="right" vertical="center"/>
    </xf>
    <xf fontId="4" fillId="2" borderId="4" numFmtId="0" xfId="0" applyFont="1" applyFill="1" applyBorder="1" applyAlignment="1" applyProtection="1">
      <alignment horizontal="right" vertical="center"/>
      <protection locked="0"/>
    </xf>
    <xf fontId="4" fillId="2" borderId="0" numFmtId="0" xfId="0" applyFont="1" applyFill="1" applyAlignment="1" applyProtection="1">
      <alignment horizontal="left" vertical="center"/>
      <protection locked="0"/>
    </xf>
    <xf fontId="6" fillId="4" borderId="0" numFmtId="4" xfId="0" applyNumberFormat="1" applyFont="1" applyFill="1" applyAlignment="1" applyProtection="1" quotePrefix="1">
      <alignment horizontal="right"/>
    </xf>
    <xf fontId="6" fillId="3" borderId="9" numFmtId="0" xfId="0" applyFont="1" applyFill="1" applyBorder="1" applyAlignment="1" applyProtection="1">
      <alignment horizontal="left" vertical="center"/>
    </xf>
    <xf fontId="6" fillId="3" borderId="10" numFmtId="0" xfId="0" applyFont="1" applyFill="1" applyBorder="1" applyAlignment="1" applyProtection="1">
      <alignment horizontal="left" vertical="center"/>
    </xf>
    <xf fontId="9" fillId="2" borderId="2" numFmtId="0" xfId="0" applyFont="1" applyFill="1" applyBorder="1" applyAlignment="1" applyProtection="1">
      <alignment horizontal="center"/>
      <protection locked="0"/>
    </xf>
    <xf fontId="9" fillId="2" borderId="2" numFmtId="0" xfId="0" applyFont="1" applyFill="1" applyBorder="1" applyProtection="1"/>
    <xf fontId="9" fillId="2" borderId="1" numFmtId="0" xfId="0" applyFont="1" applyFill="1" applyBorder="1" applyAlignment="1" applyProtection="1">
      <alignment horizontal="center" vertical="center"/>
      <protection locked="0"/>
    </xf>
    <xf fontId="9" fillId="2" borderId="3" numFmtId="0" xfId="0" applyFont="1" applyFill="1" applyBorder="1" applyAlignment="1" applyProtection="1">
      <alignment horizontal="center" vertical="center"/>
      <protection locked="0"/>
    </xf>
    <xf fontId="9" fillId="2" borderId="11" numFmtId="0" xfId="0" applyFont="1" applyFill="1" applyBorder="1" applyAlignment="1" applyProtection="1">
      <alignment horizontal="center"/>
      <protection locked="0"/>
    </xf>
    <xf fontId="9" fillId="2" borderId="0" numFmtId="0" xfId="0" applyFont="1" applyFill="1" applyAlignment="1" applyProtection="1">
      <alignment horizontal="right" vertical="center"/>
    </xf>
    <xf fontId="9" fillId="2" borderId="1" numFmtId="0" xfId="0" applyFont="1" applyFill="1" applyBorder="1" applyAlignment="1" applyProtection="1">
      <alignment horizontal="center"/>
      <protection locked="0"/>
    </xf>
    <xf fontId="9" fillId="2" borderId="3" numFmtId="0" xfId="0" applyFont="1" applyFill="1" applyBorder="1" applyAlignment="1" applyProtection="1">
      <alignment horizontal="center"/>
      <protection locked="0"/>
    </xf>
    <xf fontId="6" fillId="2" borderId="0" numFmtId="0" xfId="0" applyFont="1" applyFill="1" applyAlignment="1" applyProtection="1" quotePrefix="1">
      <alignment horizontal="right"/>
    </xf>
    <xf fontId="6" fillId="0" borderId="12" numFmtId="0" xfId="0" applyFont="1" applyBorder="1" applyAlignment="1" applyProtection="1">
      <alignment horizontal="left"/>
    </xf>
    <xf fontId="6" fillId="0" borderId="13" numFmtId="0" xfId="0" applyFont="1" applyBorder="1" applyAlignment="1" applyProtection="1">
      <alignment horizontal="left"/>
    </xf>
    <xf fontId="6" fillId="2" borderId="14" numFmtId="0" xfId="0" applyFont="1" applyFill="1" applyBorder="1" applyProtection="1">
      <protection locked="0"/>
    </xf>
    <xf fontId="6" fillId="0" borderId="15" numFmtId="0" xfId="0" applyFont="1" applyBorder="1" applyProtection="1"/>
    <xf fontId="6" fillId="0" borderId="16" numFmtId="0" xfId="0" applyFont="1" applyBorder="1" applyProtection="1"/>
    <xf fontId="6" fillId="0" borderId="17" numFmtId="0" xfId="0" applyFont="1" applyBorder="1" applyProtection="1"/>
    <xf fontId="6" fillId="0" borderId="18" numFmtId="0" xfId="0" applyFont="1" applyBorder="1" applyProtection="1"/>
    <xf fontId="10" fillId="2" borderId="0" numFmtId="0" xfId="0" applyFont="1" applyFill="1" applyAlignment="1" applyProtection="1">
      <alignment horizontal="right" vertical="center"/>
      <protection locked="0"/>
    </xf>
    <xf fontId="11" fillId="2" borderId="0" numFmtId="0" xfId="0" applyFont="1" applyFill="1" applyAlignment="1" applyProtection="1">
      <alignment horizontal="right" vertical="center"/>
      <protection locked="0"/>
    </xf>
    <xf fontId="10" fillId="2" borderId="5" numFmtId="0" xfId="0" applyFont="1" applyFill="1" applyBorder="1" applyAlignment="1" applyProtection="1">
      <alignment horizontal="right" vertical="center"/>
      <protection locked="0"/>
    </xf>
    <xf fontId="6" fillId="2" borderId="19" numFmtId="0" xfId="0" applyFont="1" applyFill="1" applyBorder="1" applyProtection="1">
      <protection locked="0"/>
    </xf>
    <xf fontId="6" fillId="0" borderId="20" numFmtId="0" xfId="0" applyFont="1" applyBorder="1" applyProtection="1"/>
    <xf fontId="6" fillId="0" borderId="21" numFmtId="0" xfId="0" applyFont="1" applyBorder="1" applyProtection="1"/>
    <xf fontId="6" fillId="2" borderId="22" numFmtId="0" xfId="0" applyFont="1" applyFill="1" applyBorder="1" applyProtection="1">
      <protection locked="0"/>
    </xf>
    <xf fontId="6" fillId="0" borderId="23" numFmtId="0" xfId="0" applyFont="1" applyBorder="1" applyProtection="1"/>
    <xf fontId="6" fillId="0" borderId="19" numFmtId="0" xfId="0" applyFont="1" applyBorder="1" applyProtection="1"/>
    <xf fontId="1" fillId="0" borderId="5" numFmtId="0" xfId="0" applyFont="1" applyBorder="1" applyProtection="1">
      <protection locked="0"/>
    </xf>
    <xf fontId="1" fillId="0" borderId="0" numFmtId="0" xfId="0" applyFont="1" applyProtection="1">
      <protection locked="0"/>
    </xf>
    <xf fontId="1" fillId="0" borderId="0" numFmtId="0" xfId="0" applyFont="1" applyProtection="1"/>
    <xf fontId="6" fillId="0" borderId="24" numFmtId="0" xfId="0" applyFont="1" applyBorder="1" applyAlignment="1" applyProtection="1">
      <alignment horizontal="left"/>
    </xf>
    <xf fontId="6" fillId="0" borderId="25" numFmtId="0" xfId="0" applyFont="1" applyBorder="1" applyAlignment="1" applyProtection="1">
      <alignment horizontal="left"/>
    </xf>
    <xf fontId="6" fillId="2" borderId="18" numFmtId="0" xfId="0" applyFont="1" applyFill="1" applyBorder="1" applyProtection="1">
      <protection locked="0"/>
    </xf>
    <xf fontId="0" fillId="0" borderId="0" numFmtId="0" xfId="0" applyAlignment="1" applyProtection="1">
      <alignment horizontal="right"/>
      <protection locked="0"/>
    </xf>
    <xf fontId="10" fillId="2" borderId="4" numFmtId="16" xfId="0" applyNumberFormat="1" applyFont="1" applyFill="1" applyBorder="1" applyAlignment="1" applyProtection="1" quotePrefix="1">
      <alignment horizontal="right" vertical="center"/>
      <protection locked="0"/>
    </xf>
    <xf fontId="12" fillId="2" borderId="0" numFmtId="0" xfId="0" applyFont="1" applyFill="1" applyAlignment="1" applyProtection="1">
      <alignment horizontal="right" vertical="center"/>
      <protection locked="0"/>
    </xf>
    <xf fontId="13" fillId="2" borderId="0" numFmtId="164" xfId="0" applyNumberFormat="1" applyFont="1" applyFill="1" applyAlignment="1" applyProtection="1">
      <alignment horizontal="right" vertical="center"/>
      <protection locked="0"/>
    </xf>
    <xf fontId="13" fillId="2" borderId="0" numFmtId="0" xfId="0" applyFont="1" applyFill="1" applyAlignment="1" applyProtection="1">
      <alignment horizontal="right" vertical="center"/>
      <protection locked="0"/>
    </xf>
    <xf fontId="13" fillId="2" borderId="5" numFmtId="0" xfId="0" applyFont="1" applyFill="1" applyBorder="1" applyAlignment="1" applyProtection="1">
      <alignment horizontal="right" vertical="center"/>
      <protection locked="0"/>
    </xf>
    <xf fontId="10" fillId="2" borderId="4" numFmtId="0" xfId="0" applyFont="1" applyFill="1" applyBorder="1" applyAlignment="1" applyProtection="1" quotePrefix="1">
      <alignment horizontal="right" vertical="center"/>
      <protection locked="0"/>
    </xf>
    <xf fontId="6" fillId="0" borderId="18" numFmtId="2" xfId="0" applyNumberFormat="1" applyFont="1" applyBorder="1" applyProtection="1"/>
    <xf fontId="6" fillId="0" borderId="14" numFmtId="2" xfId="0" applyNumberFormat="1" applyFont="1" applyBorder="1" applyProtection="1"/>
    <xf fontId="6" fillId="0" borderId="15" numFmtId="2" xfId="0" applyNumberFormat="1" applyFont="1" applyBorder="1" applyProtection="1"/>
    <xf fontId="10" fillId="2" borderId="0" numFmtId="0" xfId="0" applyFont="1" applyFill="1" applyAlignment="1" applyProtection="1">
      <alignment vertical="center"/>
      <protection locked="0"/>
    </xf>
    <xf fontId="13" fillId="2" borderId="0" numFmtId="164" xfId="0" applyNumberFormat="1" applyFont="1" applyFill="1" applyAlignment="1" applyProtection="1">
      <alignment vertical="center"/>
      <protection locked="0"/>
    </xf>
    <xf fontId="12" fillId="2" borderId="0" numFmtId="0" xfId="0" applyFont="1" applyFill="1" applyAlignment="1" applyProtection="1">
      <alignment vertical="center"/>
      <protection locked="0"/>
    </xf>
    <xf fontId="13" fillId="2" borderId="0" numFmtId="0" xfId="0" applyFont="1" applyFill="1" applyAlignment="1" applyProtection="1">
      <alignment vertical="center"/>
      <protection locked="0"/>
    </xf>
    <xf fontId="13" fillId="2" borderId="0" numFmtId="0" xfId="0" applyFont="1" applyFill="1" applyAlignment="1" applyProtection="1" quotePrefix="1">
      <alignment horizontal="left" vertical="center"/>
      <protection locked="0"/>
    </xf>
    <xf fontId="13" fillId="2" borderId="5" numFmtId="164" xfId="0" applyNumberFormat="1" applyFont="1" applyFill="1" applyBorder="1" applyAlignment="1" applyProtection="1">
      <alignment horizontal="right" vertical="center"/>
      <protection locked="0"/>
    </xf>
    <xf fontId="6" fillId="2" borderId="15" numFmtId="0" xfId="0" applyFont="1" applyFill="1" applyBorder="1" applyProtection="1">
      <protection locked="0"/>
    </xf>
    <xf fontId="0" fillId="0" borderId="26" numFmtId="0" xfId="0" applyBorder="1"/>
    <xf fontId="14" fillId="0" borderId="18" numFmtId="0" xfId="0" applyFont="1" applyBorder="1"/>
    <xf fontId="15" fillId="0" borderId="26" numFmtId="0" xfId="0" applyFont="1" applyBorder="1" applyProtection="1"/>
    <xf fontId="0" fillId="0" borderId="24" numFmtId="0" xfId="0" applyBorder="1"/>
    <xf fontId="14" fillId="0" borderId="25" numFmtId="0" xfId="0" applyFont="1" applyBorder="1"/>
    <xf fontId="0" fillId="0" borderId="16" numFmtId="0" xfId="0" applyBorder="1"/>
    <xf fontId="14" fillId="0" borderId="0" numFmtId="0" xfId="0" applyFont="1" applyProtection="1"/>
    <xf fontId="10" fillId="2" borderId="4" numFmtId="0" xfId="0" applyFont="1" applyFill="1" applyBorder="1" applyAlignment="1" applyProtection="1">
      <alignment vertical="center"/>
      <protection locked="0"/>
    </xf>
    <xf fontId="6" fillId="0" borderId="18" numFmtId="165" xfId="0" applyNumberFormat="1" applyFont="1" applyBorder="1" applyProtection="1"/>
    <xf fontId="6" fillId="0" borderId="14" numFmtId="165" xfId="0" applyNumberFormat="1" applyFont="1" applyBorder="1" applyProtection="1"/>
    <xf fontId="6" fillId="0" borderId="15" numFmtId="165" xfId="0" applyNumberFormat="1" applyFont="1" applyBorder="1" applyProtection="1"/>
    <xf fontId="13" fillId="2" borderId="5" numFmtId="164" xfId="0" applyNumberFormat="1" applyFont="1" applyFill="1" applyBorder="1" applyAlignment="1" applyProtection="1">
      <alignment vertical="center"/>
      <protection locked="0"/>
    </xf>
    <xf fontId="6" fillId="0" borderId="27" numFmtId="0" xfId="0" applyFont="1" applyBorder="1" applyAlignment="1" applyProtection="1">
      <alignment horizontal="left"/>
    </xf>
    <xf fontId="6" fillId="0" borderId="28" numFmtId="0" xfId="0" applyFont="1" applyBorder="1" applyAlignment="1" applyProtection="1">
      <alignment horizontal="left"/>
    </xf>
    <xf fontId="6" fillId="0" borderId="29" numFmtId="165" xfId="0" applyNumberFormat="1" applyFont="1" applyBorder="1" applyProtection="1"/>
    <xf fontId="6" fillId="0" borderId="30" numFmtId="0" xfId="0" applyFont="1" applyBorder="1" applyProtection="1"/>
    <xf fontId="6" fillId="0" borderId="31" numFmtId="0" xfId="0" applyFont="1" applyBorder="1" applyProtection="1"/>
    <xf fontId="6" fillId="0" borderId="32" numFmtId="165" xfId="0" applyNumberFormat="1" applyFont="1" applyBorder="1" applyProtection="1"/>
    <xf fontId="6" fillId="0" borderId="33" numFmtId="0" xfId="0" applyFont="1" applyBorder="1" applyProtection="1"/>
    <xf fontId="6" fillId="0" borderId="29" numFmtId="0" xfId="0" applyFont="1" applyBorder="1" applyProtection="1"/>
    <xf fontId="6" fillId="0" borderId="30" numFmtId="165" xfId="0" applyNumberFormat="1" applyFont="1" applyBorder="1" applyProtection="1"/>
    <xf fontId="0" fillId="0" borderId="0" numFmtId="0" xfId="0" applyAlignment="1" applyProtection="1">
      <alignment wrapText="1"/>
    </xf>
    <xf fontId="5" fillId="0" borderId="34" numFmtId="0" xfId="0" applyFont="1" applyBorder="1" applyAlignment="1" applyProtection="1">
      <alignment horizontal="center" vertical="center" wrapText="1"/>
    </xf>
    <xf fontId="5" fillId="0" borderId="35" numFmtId="0" xfId="0" applyFont="1" applyBorder="1" applyAlignment="1" applyProtection="1">
      <alignment horizontal="center" vertical="center" wrapText="1"/>
    </xf>
    <xf fontId="5" fillId="0" borderId="36" numFmtId="0" xfId="0" applyFont="1" applyBorder="1" applyAlignment="1" applyProtection="1">
      <alignment horizontal="center" vertical="center" wrapText="1"/>
    </xf>
    <xf fontId="5" fillId="0" borderId="37" numFmtId="0" xfId="0" applyFont="1" applyBorder="1" applyAlignment="1" applyProtection="1">
      <alignment horizontal="center" vertical="center" wrapText="1"/>
    </xf>
    <xf fontId="5" fillId="0" borderId="38" numFmtId="0" xfId="0" applyFont="1" applyBorder="1" applyAlignment="1" applyProtection="1">
      <alignment horizontal="center" vertical="center" wrapText="1"/>
    </xf>
    <xf fontId="8" fillId="0" borderId="0" numFmtId="0" xfId="0" applyFont="1" applyAlignment="1" applyProtection="1">
      <alignment horizontal="center" vertical="center" wrapText="1"/>
    </xf>
    <xf fontId="0" fillId="2" borderId="4" numFmtId="0" xfId="0" applyFill="1" applyBorder="1" applyAlignment="1" applyProtection="1">
      <alignment wrapText="1"/>
    </xf>
    <xf fontId="5" fillId="0" borderId="4" numFmtId="0" xfId="0" applyFont="1" applyBorder="1" applyAlignment="1" applyProtection="1">
      <alignment horizontal="center" vertical="center" wrapText="1"/>
    </xf>
    <xf fontId="5" fillId="0" borderId="5" numFmtId="0" xfId="0" applyFont="1" applyBorder="1" applyAlignment="1" applyProtection="1">
      <alignment horizontal="center" vertical="center" wrapText="1"/>
    </xf>
    <xf fontId="5" fillId="0" borderId="0" numFmtId="0" xfId="0" applyFont="1" applyAlignment="1" applyProtection="1">
      <alignment horizontal="center" vertical="center" wrapText="1"/>
    </xf>
    <xf fontId="5" fillId="0" borderId="39" numFmtId="0" xfId="0" applyFont="1" applyBorder="1" applyAlignment="1" applyProtection="1">
      <alignment horizontal="center" vertical="center" wrapText="1"/>
    </xf>
    <xf fontId="5" fillId="0" borderId="40" numFmtId="0" xfId="0" applyFont="1" applyBorder="1" applyAlignment="1" applyProtection="1">
      <alignment horizontal="center" vertical="center" wrapText="1"/>
    </xf>
    <xf fontId="5" fillId="0" borderId="12" numFmtId="0" xfId="0" applyFont="1" applyBorder="1" applyAlignment="1" applyProtection="1">
      <alignment horizontal="center" vertical="center" wrapText="1"/>
    </xf>
    <xf fontId="5" fillId="0" borderId="13" numFmtId="0" xfId="0" applyFont="1" applyBorder="1" applyAlignment="1" applyProtection="1">
      <alignment horizontal="center" vertical="center" wrapText="1"/>
    </xf>
    <xf fontId="5" fillId="0" borderId="41" numFmtId="0" xfId="0" applyFont="1" applyBorder="1" applyAlignment="1" applyProtection="1">
      <alignment horizontal="center" vertical="center" wrapText="1"/>
    </xf>
    <xf fontId="5" fillId="0" borderId="19" numFmtId="0" xfId="0" applyFont="1" applyBorder="1" applyAlignment="1" applyProtection="1">
      <alignment horizontal="center" vertical="center" wrapText="1"/>
    </xf>
    <xf fontId="5" fillId="0" borderId="21" numFmtId="0" xfId="0" applyFont="1" applyBorder="1" applyAlignment="1" applyProtection="1">
      <alignment horizontal="center" vertical="center" wrapText="1"/>
    </xf>
    <xf fontId="1" fillId="0" borderId="0" numFmtId="0" xfId="0" applyFont="1" applyAlignment="1" applyProtection="1">
      <alignment wrapText="1"/>
    </xf>
    <xf fontId="6" fillId="0" borderId="42" numFmtId="0" xfId="0" applyFont="1" applyBorder="1" applyAlignment="1" applyProtection="1">
      <alignment horizontal="left" wrapText="1"/>
    </xf>
    <xf fontId="6" fillId="0" borderId="43" numFmtId="0" xfId="0" applyFont="1" applyBorder="1" applyAlignment="1" applyProtection="1">
      <alignment horizontal="left" wrapText="1"/>
    </xf>
    <xf fontId="6" fillId="2" borderId="44" numFmtId="0" xfId="0" applyFont="1" applyFill="1" applyBorder="1" applyAlignment="1" applyProtection="1">
      <alignment horizontal="center" vertical="center"/>
      <protection locked="0"/>
    </xf>
    <xf fontId="6" fillId="0" borderId="45" numFmtId="0" xfId="0" applyFont="1" applyBorder="1" applyAlignment="1" applyProtection="1">
      <alignment horizontal="center" vertical="center"/>
    </xf>
    <xf fontId="6" fillId="2" borderId="46" numFmtId="0" xfId="0" applyFont="1" applyFill="1" applyBorder="1" applyAlignment="1" applyProtection="1">
      <alignment horizontal="center" vertical="center"/>
      <protection locked="0"/>
    </xf>
    <xf fontId="6" fillId="0" borderId="47" numFmtId="0" xfId="0" applyFont="1" applyBorder="1" applyAlignment="1" applyProtection="1">
      <alignment horizontal="center" vertical="center"/>
    </xf>
    <xf fontId="6" fillId="0" borderId="12" numFmtId="0" xfId="0" applyFont="1" applyBorder="1" applyAlignment="1" applyProtection="1">
      <alignment horizontal="left" wrapText="1"/>
    </xf>
    <xf fontId="6" fillId="0" borderId="13" numFmtId="0" xfId="0" applyFont="1" applyBorder="1" applyAlignment="1" applyProtection="1">
      <alignment horizontal="left" wrapText="1"/>
    </xf>
    <xf fontId="6" fillId="2" borderId="19" numFmtId="0" xfId="0" applyFont="1" applyFill="1" applyBorder="1" applyAlignment="1" applyProtection="1">
      <alignment horizontal="center" vertical="center"/>
      <protection locked="0"/>
    </xf>
    <xf fontId="6" fillId="0" borderId="20" numFmtId="0" xfId="0" applyFont="1" applyBorder="1" applyAlignment="1" applyProtection="1">
      <alignment horizontal="center" vertical="center"/>
    </xf>
    <xf fontId="6" fillId="0" borderId="15" numFmtId="0" xfId="0" applyFont="1" applyBorder="1" applyProtection="1">
      <protection locked="0"/>
    </xf>
    <xf fontId="6" fillId="2" borderId="22" numFmtId="0" xfId="0" applyFont="1" applyFill="1" applyBorder="1" applyAlignment="1" applyProtection="1">
      <alignment horizontal="center" vertical="center"/>
      <protection locked="0"/>
    </xf>
    <xf fontId="6" fillId="0" borderId="23" numFmtId="0" xfId="0" applyFont="1" applyBorder="1" applyAlignment="1" applyProtection="1">
      <alignment horizontal="center" vertical="center"/>
    </xf>
    <xf fontId="6" fillId="0" borderId="18" numFmtId="0" xfId="0" applyFont="1" applyBorder="1" applyProtection="1">
      <protection locked="0"/>
    </xf>
    <xf fontId="0" fillId="4" borderId="18" numFmtId="3" xfId="0" applyNumberFormat="1" applyFill="1" applyBorder="1" applyAlignment="1">
      <alignment horizontal="center" vertical="center"/>
    </xf>
    <xf fontId="6" fillId="0" borderId="15" numFmtId="4" xfId="0" applyNumberFormat="1" applyFont="1" applyBorder="1" applyProtection="1"/>
    <xf fontId="6" fillId="4" borderId="16" numFmtId="4" xfId="0" applyNumberFormat="1" applyFont="1" applyFill="1" applyBorder="1" applyProtection="1"/>
    <xf fontId="0" fillId="2" borderId="14" numFmtId="0" xfId="0" applyFill="1" applyBorder="1" applyAlignment="1">
      <alignment horizontal="center" vertical="center"/>
    </xf>
    <xf fontId="6" fillId="0" borderId="17" numFmtId="4" xfId="0" applyNumberFormat="1" applyFont="1" applyBorder="1" applyProtection="1"/>
    <xf fontId="6" fillId="4" borderId="15" numFmtId="4" xfId="0" applyNumberFormat="1" applyFont="1" applyFill="1" applyBorder="1" applyProtection="1"/>
    <xf fontId="0" fillId="2" borderId="15" numFmtId="0" xfId="0" applyFill="1" applyBorder="1" applyAlignment="1">
      <alignment horizontal="center" vertical="center"/>
    </xf>
    <xf fontId="0" fillId="0" borderId="18" numFmtId="0" xfId="0" applyBorder="1" applyProtection="1">
      <protection locked="0"/>
    </xf>
    <xf fontId="0" fillId="4" borderId="15" numFmtId="4" xfId="0" applyNumberFormat="1" applyFill="1" applyBorder="1" applyProtection="1"/>
    <xf fontId="6" fillId="0" borderId="4" numFmtId="0" xfId="0" applyFont="1" applyBorder="1" applyProtection="1"/>
    <xf fontId="0" fillId="0" borderId="18" numFmtId="0" xfId="0" applyBorder="1" applyProtection="1"/>
    <xf fontId="0" fillId="0" borderId="15" numFmtId="0" xfId="0" applyBorder="1" applyProtection="1"/>
    <xf fontId="6" fillId="0" borderId="18" numFmtId="4" xfId="0" applyNumberFormat="1" applyFont="1" applyBorder="1" applyProtection="1"/>
    <xf fontId="6" fillId="0" borderId="14" numFmtId="4" xfId="0" applyNumberFormat="1" applyFont="1" applyBorder="1" applyProtection="1"/>
    <xf fontId="16" fillId="5" borderId="18" numFmtId="0" xfId="0" applyFont="1" applyFill="1" applyBorder="1" applyProtection="1">
      <protection locked="0"/>
    </xf>
    <xf fontId="13" fillId="2" borderId="5" numFmtId="0" xfId="0" applyFont="1" applyFill="1" applyBorder="1" applyAlignment="1" applyProtection="1">
      <alignment vertical="center"/>
      <protection locked="0"/>
    </xf>
    <xf fontId="0" fillId="2" borderId="18" numFmtId="0" xfId="0" applyFill="1" applyBorder="1" applyAlignment="1">
      <alignment horizontal="center" vertical="center"/>
    </xf>
    <xf fontId="0" fillId="0" borderId="15" numFmtId="4" xfId="0" applyNumberFormat="1" applyBorder="1"/>
    <xf fontId="0" fillId="0" borderId="15" numFmtId="0" xfId="0" applyBorder="1" applyProtection="1">
      <protection locked="0"/>
    </xf>
    <xf fontId="0" fillId="4" borderId="16" numFmtId="4" xfId="0" applyNumberFormat="1" applyFill="1" applyBorder="1"/>
    <xf fontId="0" fillId="0" borderId="17" numFmtId="4" xfId="0" applyNumberFormat="1" applyBorder="1"/>
    <xf fontId="0" fillId="4" borderId="15" numFmtId="4" xfId="0" applyNumberFormat="1" applyFill="1" applyBorder="1"/>
    <xf fontId="0" fillId="4" borderId="16" numFmtId="4" xfId="0" applyNumberFormat="1" applyFill="1" applyBorder="1" applyProtection="1"/>
    <xf fontId="0" fillId="2" borderId="4" numFmtId="0" xfId="0" applyFill="1" applyBorder="1" applyProtection="1"/>
    <xf fontId="0" fillId="0" borderId="16" numFmtId="0" xfId="0" applyBorder="1" applyProtection="1"/>
    <xf fontId="0" fillId="0" borderId="48" numFmtId="0" xfId="0" applyBorder="1" applyProtection="1"/>
    <xf fontId="1" fillId="2" borderId="49" numFmtId="0" xfId="0" applyFont="1" applyFill="1" applyBorder="1" applyProtection="1"/>
    <xf fontId="1" fillId="0" borderId="49" numFmtId="0" xfId="0" applyFont="1" applyBorder="1" applyProtection="1"/>
    <xf fontId="1" fillId="0" borderId="50" numFmtId="0" xfId="0" applyFont="1" applyBorder="1" applyAlignment="1" applyProtection="1">
      <alignment horizontal="center"/>
    </xf>
    <xf fontId="1" fillId="0" borderId="14" numFmtId="0" xfId="0" applyFont="1" applyBorder="1" applyAlignment="1" applyProtection="1">
      <alignment horizontal="center"/>
    </xf>
    <xf fontId="0" fillId="2" borderId="15" numFmtId="0" xfId="0" applyFill="1" applyBorder="1" applyAlignment="1" applyProtection="1">
      <alignment horizontal="center"/>
    </xf>
    <xf fontId="1" fillId="0" borderId="17" numFmtId="0" xfId="0" applyFont="1" applyBorder="1" applyAlignment="1" applyProtection="1">
      <alignment horizontal="center"/>
    </xf>
    <xf fontId="0" fillId="0" borderId="17" numFmtId="0" xfId="0" applyBorder="1" applyAlignment="1" applyProtection="1">
      <alignment horizontal="center"/>
    </xf>
    <xf fontId="5" fillId="0" borderId="42" numFmtId="0" xfId="0" applyFont="1" applyBorder="1" applyAlignment="1" applyProtection="1">
      <alignment horizontal="center" vertical="center"/>
    </xf>
    <xf fontId="5" fillId="0" borderId="43" numFmtId="0" xfId="0" applyFont="1" applyBorder="1" applyAlignment="1" applyProtection="1">
      <alignment horizontal="center" vertical="center"/>
    </xf>
    <xf fontId="17" fillId="0" borderId="51" numFmtId="0" xfId="0" applyFont="1" applyBorder="1" applyAlignment="1" applyProtection="1">
      <alignment horizontal="center" vertical="center" wrapText="1"/>
    </xf>
    <xf fontId="17" fillId="0" borderId="43" numFmtId="0" xfId="0" applyFont="1" applyBorder="1" applyAlignment="1" applyProtection="1">
      <alignment horizontal="center" vertical="center" wrapText="1"/>
    </xf>
    <xf fontId="17" fillId="0" borderId="52" numFmtId="0" xfId="0" applyFont="1" applyBorder="1" applyAlignment="1" applyProtection="1">
      <alignment horizontal="center" vertical="center" wrapText="1"/>
    </xf>
    <xf fontId="17" fillId="0" borderId="44" numFmtId="0" xfId="0" applyFont="1" applyBorder="1" applyAlignment="1" applyProtection="1">
      <alignment horizontal="center" vertical="center" wrapText="1"/>
    </xf>
    <xf fontId="17" fillId="0" borderId="42" numFmtId="0" xfId="0" applyFont="1" applyBorder="1" applyAlignment="1" applyProtection="1">
      <alignment horizontal="center" vertical="center" wrapText="1"/>
    </xf>
    <xf fontId="0" fillId="0" borderId="0" numFmtId="0" xfId="0" applyAlignment="1" applyProtection="1">
      <alignment horizontal="center" vertical="center" wrapText="1"/>
    </xf>
    <xf fontId="1" fillId="0" borderId="14" numFmtId="0" xfId="0" applyFont="1" applyBorder="1" applyAlignment="1" applyProtection="1">
      <alignment horizontal="center" vertical="center" wrapText="1"/>
    </xf>
    <xf fontId="5" fillId="0" borderId="4" numFmtId="0" xfId="0" applyFont="1" applyBorder="1" applyAlignment="1" applyProtection="1">
      <alignment horizontal="center" vertical="center"/>
    </xf>
    <xf fontId="5" fillId="0" borderId="5" numFmtId="0" xfId="0" applyFont="1" applyBorder="1" applyAlignment="1" applyProtection="1">
      <alignment horizontal="center" vertical="center"/>
    </xf>
    <xf fontId="17" fillId="0" borderId="0" numFmtId="0" xfId="0" applyFont="1" applyAlignment="1" applyProtection="1">
      <alignment horizontal="center" vertical="center" wrapText="1"/>
    </xf>
    <xf fontId="17" fillId="0" borderId="5" numFmtId="0" xfId="0" applyFont="1" applyBorder="1" applyAlignment="1" applyProtection="1">
      <alignment horizontal="center" vertical="center" wrapText="1"/>
    </xf>
    <xf fontId="17" fillId="0" borderId="40" numFmtId="0" xfId="0" applyFont="1" applyBorder="1" applyAlignment="1" applyProtection="1">
      <alignment horizontal="center" vertical="center" wrapText="1"/>
    </xf>
    <xf fontId="17" fillId="0" borderId="39" numFmtId="0" xfId="0" applyFont="1" applyBorder="1" applyAlignment="1" applyProtection="1">
      <alignment horizontal="center" vertical="center" wrapText="1"/>
    </xf>
    <xf fontId="17" fillId="0" borderId="4" numFmtId="0" xfId="0" applyFont="1" applyBorder="1" applyAlignment="1" applyProtection="1">
      <alignment horizontal="center" vertical="center" wrapText="1"/>
    </xf>
    <xf fontId="1" fillId="0" borderId="53" numFmtId="0" xfId="0" applyFont="1" applyBorder="1" applyAlignment="1" applyProtection="1">
      <alignment horizontal="center" vertical="center" wrapText="1"/>
    </xf>
    <xf fontId="0" fillId="2" borderId="54" numFmtId="0" xfId="0" applyFill="1" applyBorder="1" applyAlignment="1" applyProtection="1">
      <alignment horizontal="center"/>
    </xf>
    <xf fontId="0" fillId="0" borderId="55" numFmtId="0" xfId="0" applyBorder="1" applyAlignment="1" applyProtection="1">
      <alignment horizontal="center"/>
    </xf>
    <xf fontId="18" fillId="2" borderId="0" numFmtId="0" xfId="0" applyFont="1" applyFill="1" applyAlignment="1" applyProtection="1">
      <alignment vertical="center"/>
      <protection locked="0"/>
    </xf>
    <xf fontId="5" fillId="0" borderId="12" numFmtId="0" xfId="0" applyFont="1" applyBorder="1" applyAlignment="1" applyProtection="1">
      <alignment horizontal="center" vertical="center"/>
    </xf>
    <xf fontId="5" fillId="0" borderId="13" numFmtId="0" xfId="0" applyFont="1" applyBorder="1" applyAlignment="1" applyProtection="1">
      <alignment horizontal="center" vertical="center"/>
    </xf>
    <xf fontId="17" fillId="0" borderId="41" numFmtId="0" xfId="0" applyFont="1" applyBorder="1" applyAlignment="1" applyProtection="1">
      <alignment horizontal="center" vertical="center" wrapText="1"/>
    </xf>
    <xf fontId="17" fillId="0" borderId="13" numFmtId="0" xfId="0" applyFont="1" applyBorder="1" applyAlignment="1" applyProtection="1">
      <alignment horizontal="center" vertical="center" wrapText="1"/>
    </xf>
    <xf fontId="17" fillId="0" borderId="21" numFmtId="0" xfId="0" applyFont="1" applyBorder="1" applyAlignment="1" applyProtection="1">
      <alignment horizontal="center" vertical="center" wrapText="1"/>
    </xf>
    <xf fontId="17" fillId="0" borderId="19" numFmtId="0" xfId="0" applyFont="1" applyBorder="1" applyAlignment="1" applyProtection="1">
      <alignment horizontal="center" vertical="center" wrapText="1"/>
    </xf>
    <xf fontId="17" fillId="0" borderId="12" numFmtId="0" xfId="0" applyFont="1" applyBorder="1" applyAlignment="1" applyProtection="1">
      <alignment horizontal="center" vertical="center" wrapText="1"/>
    </xf>
    <xf fontId="6" fillId="0" borderId="18" numFmtId="11" xfId="0" applyNumberFormat="1" applyFont="1" applyBorder="1" applyProtection="1"/>
    <xf fontId="6" fillId="0" borderId="14" numFmtId="11" xfId="0" applyNumberFormat="1" applyFont="1" applyBorder="1" applyProtection="1"/>
    <xf fontId="6" fillId="0" borderId="15" numFmtId="11" xfId="0" applyNumberFormat="1" applyFont="1" applyBorder="1" applyProtection="1"/>
    <xf fontId="10" fillId="2" borderId="6" numFmtId="0" xfId="0" applyFont="1" applyFill="1" applyBorder="1" applyAlignment="1" applyProtection="1">
      <alignment vertical="center"/>
      <protection locked="0"/>
    </xf>
    <xf fontId="10" fillId="2" borderId="7" numFmtId="0" xfId="0" applyFont="1" applyFill="1" applyBorder="1" applyAlignment="1" applyProtection="1">
      <alignment vertical="center"/>
      <protection locked="0"/>
    </xf>
    <xf fontId="12" fillId="2" borderId="7" numFmtId="0" xfId="0" applyFont="1" applyFill="1" applyBorder="1" applyAlignment="1" applyProtection="1">
      <alignment horizontal="right" vertical="center"/>
      <protection locked="0"/>
    </xf>
    <xf fontId="13" fillId="2" borderId="7" numFmtId="164" xfId="0" applyNumberFormat="1" applyFont="1" applyFill="1" applyBorder="1" applyAlignment="1" applyProtection="1">
      <alignment vertical="center"/>
      <protection locked="0"/>
    </xf>
    <xf fontId="13" fillId="2" borderId="7" numFmtId="0" xfId="0" applyFont="1" applyFill="1" applyBorder="1" applyAlignment="1" applyProtection="1">
      <alignment vertical="center"/>
      <protection locked="0"/>
    </xf>
    <xf fontId="13" fillId="2" borderId="8" numFmtId="0" xfId="0" applyFont="1" applyFill="1" applyBorder="1" applyAlignment="1" applyProtection="1">
      <alignment vertical="center"/>
      <protection locked="0"/>
    </xf>
    <xf fontId="6" fillId="0" borderId="18" numFmtId="164" xfId="0" applyNumberFormat="1" applyFont="1" applyBorder="1" applyProtection="1"/>
    <xf fontId="6" fillId="0" borderId="14" numFmtId="164" xfId="0" applyNumberFormat="1" applyFont="1" applyBorder="1" applyProtection="1"/>
    <xf fontId="6" fillId="0" borderId="15" numFmtId="164" xfId="0" applyNumberFormat="1" applyFont="1" applyBorder="1" applyProtection="1"/>
    <xf fontId="0" fillId="2" borderId="26" numFmtId="0" xfId="0" applyFill="1" applyBorder="1" applyProtection="1">
      <protection locked="0"/>
    </xf>
    <xf fontId="19" fillId="2" borderId="18" numFmtId="0" xfId="0" applyFont="1" applyFill="1" applyBorder="1"/>
    <xf fontId="19" fillId="2" borderId="26" numFmtId="0" xfId="0" applyFont="1" applyFill="1" applyBorder="1"/>
    <xf fontId="0" fillId="2" borderId="24" numFmtId="0" xfId="0" applyFill="1" applyBorder="1" applyProtection="1">
      <protection locked="0"/>
    </xf>
    <xf fontId="19" fillId="2" borderId="25" numFmtId="0" xfId="0" applyFont="1" applyFill="1" applyBorder="1"/>
    <xf fontId="0" fillId="2" borderId="16" numFmtId="0" xfId="0" applyFill="1" applyBorder="1" applyProtection="1">
      <protection locked="0"/>
    </xf>
    <xf fontId="19" fillId="2" borderId="0" numFmtId="0" xfId="0" applyFont="1" applyFill="1" applyProtection="1"/>
    <xf fontId="0" fillId="0" borderId="0" numFmtId="16" xfId="0" applyNumberFormat="1" applyAlignment="1" applyProtection="1" quotePrefix="1">
      <alignment horizontal="right"/>
      <protection locked="0"/>
    </xf>
    <xf fontId="0" fillId="0" borderId="0" numFmtId="0" xfId="0" applyAlignment="1" applyProtection="1" quotePrefix="1">
      <alignment horizontal="right"/>
      <protection locked="0"/>
    </xf>
    <xf fontId="6" fillId="4" borderId="5" numFmtId="4" xfId="0" applyNumberFormat="1" applyFont="1" applyFill="1" applyBorder="1" applyAlignment="1" applyProtection="1" quotePrefix="1">
      <alignment horizontal="right"/>
    </xf>
    <xf fontId="6" fillId="2" borderId="5" numFmtId="0" xfId="0" applyFont="1" applyFill="1" applyBorder="1" applyAlignment="1" applyProtection="1" quotePrefix="1">
      <alignment horizontal="right"/>
    </xf>
    <xf fontId="6" fillId="0" borderId="56" numFmtId="0" xfId="0" applyFont="1" applyBorder="1" applyAlignment="1" applyProtection="1">
      <alignment horizontal="left"/>
    </xf>
    <xf fontId="6" fillId="0" borderId="57" numFmtId="0" xfId="0" applyFont="1" applyBorder="1" applyAlignment="1" applyProtection="1">
      <alignment horizontal="left"/>
    </xf>
    <xf fontId="6" fillId="0" borderId="58" numFmtId="2" xfId="0" applyNumberFormat="1" applyFont="1" applyBorder="1" applyAlignment="1" applyProtection="1">
      <alignment horizontal="center"/>
    </xf>
    <xf fontId="6" fillId="0" borderId="54" numFmtId="0" xfId="0" applyFont="1" applyBorder="1" applyProtection="1"/>
    <xf fontId="6" fillId="0" borderId="59" numFmtId="0" xfId="0" applyFont="1" applyBorder="1" applyProtection="1"/>
    <xf fontId="6" fillId="0" borderId="53" numFmtId="2" xfId="0" applyNumberFormat="1" applyFont="1" applyBorder="1" applyAlignment="1" applyProtection="1">
      <alignment horizontal="center"/>
    </xf>
    <xf fontId="6" fillId="0" borderId="55" numFmtId="0" xfId="0" applyFont="1" applyBorder="1" applyProtection="1"/>
    <xf fontId="6" fillId="0" borderId="58" numFmtId="0" xfId="0" applyFont="1" applyBorder="1" applyProtection="1"/>
    <xf fontId="6" fillId="0" borderId="54" numFmtId="2" xfId="0" applyNumberFormat="1" applyFont="1" applyBorder="1" applyAlignment="1" applyProtection="1">
      <alignment horizontal="center"/>
    </xf>
    <xf fontId="6" fillId="0" borderId="46" numFmtId="2" xfId="0" applyNumberFormat="1" applyFont="1" applyBorder="1" applyAlignment="1" applyProtection="1">
      <alignment horizontal="center"/>
    </xf>
    <xf fontId="5" fillId="0" borderId="1" numFmtId="2" xfId="0" applyNumberFormat="1" applyFont="1" applyBorder="1" applyAlignment="1" applyProtection="1">
      <alignment horizontal="center" vertical="center"/>
    </xf>
    <xf fontId="5" fillId="0" borderId="3" numFmtId="2" xfId="0" applyNumberFormat="1" applyFont="1" applyBorder="1" applyAlignment="1" applyProtection="1">
      <alignment horizontal="center" vertical="center"/>
    </xf>
    <xf fontId="5" fillId="0" borderId="0" numFmtId="2" xfId="0" applyNumberFormat="1" applyFont="1" applyAlignment="1" applyProtection="1">
      <alignment horizontal="center" vertical="center"/>
    </xf>
    <xf fontId="5" fillId="0" borderId="40" numFmtId="2" xfId="0" applyNumberFormat="1" applyFont="1" applyBorder="1" applyAlignment="1" applyProtection="1">
      <alignment horizontal="center" vertical="center"/>
    </xf>
    <xf fontId="5" fillId="0" borderId="5" numFmtId="2" xfId="0" applyNumberFormat="1" applyFont="1" applyBorder="1" applyAlignment="1" applyProtection="1">
      <alignment horizontal="center" vertical="center"/>
    </xf>
    <xf fontId="5" fillId="0" borderId="0" numFmtId="0" xfId="0" applyFont="1" applyAlignment="1" applyProtection="1">
      <alignment horizontal="center" vertical="center"/>
    </xf>
    <xf fontId="5" fillId="0" borderId="11" numFmtId="2" xfId="0" applyNumberFormat="1" applyFont="1" applyBorder="1" applyAlignment="1" applyProtection="1">
      <alignment horizontal="center" vertical="center"/>
    </xf>
    <xf fontId="8" fillId="0" borderId="0" numFmtId="0" xfId="0" applyFont="1" applyAlignment="1" applyProtection="1">
      <alignment horizontal="center" vertical="center"/>
    </xf>
    <xf fontId="5" fillId="0" borderId="6" numFmtId="0" xfId="0" applyFont="1" applyBorder="1" applyAlignment="1" applyProtection="1">
      <alignment horizontal="center" vertical="center" wrapText="1"/>
    </xf>
    <xf fontId="5" fillId="0" borderId="7" numFmtId="0" xfId="0" applyFont="1" applyBorder="1" applyAlignment="1" applyProtection="1">
      <alignment horizontal="center" vertical="center" wrapText="1"/>
    </xf>
    <xf fontId="5" fillId="0" borderId="6" numFmtId="2" xfId="0" applyNumberFormat="1" applyFont="1" applyBorder="1" applyAlignment="1" applyProtection="1">
      <alignment horizontal="center" vertical="center"/>
    </xf>
    <xf fontId="5" fillId="0" borderId="8" numFmtId="2" xfId="0" applyNumberFormat="1" applyFont="1" applyBorder="1" applyAlignment="1" applyProtection="1">
      <alignment horizontal="center" vertical="center"/>
    </xf>
    <xf fontId="5" fillId="0" borderId="7" numFmtId="2" xfId="0" applyNumberFormat="1" applyFont="1" applyBorder="1" applyAlignment="1" applyProtection="1">
      <alignment horizontal="center" vertical="center"/>
    </xf>
    <xf fontId="5" fillId="0" borderId="60" numFmtId="2" xfId="0" applyNumberFormat="1" applyFont="1" applyBorder="1" applyAlignment="1" applyProtection="1">
      <alignment horizontal="center" vertical="center"/>
    </xf>
    <xf fontId="5" fillId="0" borderId="7" numFmtId="0" xfId="0" applyFont="1" applyBorder="1" applyAlignment="1" applyProtection="1">
      <alignment horizontal="center" vertical="center"/>
    </xf>
    <xf fontId="6" fillId="2" borderId="2" numFmtId="0" xfId="0" applyFont="1" applyFill="1" applyBorder="1" applyProtection="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customXml" Target="../customXml/item1.xml"/><Relationship  Id="rId3" Type="http://schemas.openxmlformats.org/officeDocument/2006/relationships/customXml" Target="../customXml/item2.xml"/><Relationship  Id="rId4" Type="http://schemas.openxmlformats.org/officeDocument/2006/relationships/customXml" Target="../customXml/item3.xml"/><Relationship  Id="rId5" Type="http://schemas.openxmlformats.org/officeDocument/2006/relationships/worksheet" Target="worksheets/sheet1.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ctrlProps/ctrlProp1.xml><?xml version="1.0" encoding="utf-8"?>
<formControlPr xmlns="http://schemas.microsoft.com/office/spreadsheetml/2009/9/main" objectType="CheckBox" textVAlign="center" fmlaLink="$U$14" lockText="1" noThreeD="1"/>
</file>

<file path=xl/ctrlProps/ctrlProp2.xml><?xml version="1.0" encoding="utf-8"?>
<formControlPr xmlns="http://schemas.microsoft.com/office/spreadsheetml/2009/9/main" objectType="CheckBox" textVAlign="center" fmlaLink="$V$14" lockText="1" noThreeD="1"/>
</file>

<file path=xl/ctrlProps/ctrlProp3.xml><?xml version="1.0" encoding="utf-8"?>
<formControlPr xmlns="http://schemas.microsoft.com/office/spreadsheetml/2009/9/main" objectType="CheckBox" textVAlign="center" fmlaLink="$E$14" lockText="1" noThreeD="1"/>
</file>

<file path=xl/ctrlProps/ctrlProp4.xml><?xml version="1.0" encoding="utf-8"?>
<formControlPr xmlns="http://schemas.microsoft.com/office/spreadsheetml/2009/9/main" objectType="CheckBox" textVAlign="center" fmlaLink="$W$14" lockText="1" noThreeD="1"/>
</file>

<file path=xl/ctrlProps/ctrlProp5.xml><?xml version="1.0" encoding="utf-8"?>
<formControlPr xmlns="http://schemas.microsoft.com/office/spreadsheetml/2009/9/main" objectType="CheckBox" textVAlign="center" fmlaLink="$E$14" lockText="1" noThreeD="1"/>
</file>

<file path=xl/ctrlProps/ctrlProp6.xml><?xml version="1.0" encoding="utf-8"?>
<formControlPr xmlns="http://schemas.microsoft.com/office/spreadsheetml/2009/9/main" objectType="CheckBox" textVAlign="center" fmlaLink="$X$14" lockText="1" noThreeD="1"/>
</file>

<file path=xl/ctrlProps/ctrlProp7.xml><?xml version="1.0" encoding="utf-8"?>
<formControlPr xmlns="http://schemas.microsoft.com/office/spreadsheetml/2009/9/main" objectType="CheckBox" textVAlign="center" fmlaLink="$U$47" lockText="1" noThreeD="1"/>
</file>

<file path=xl/ctrlProps/ctrlProp8.xml><?xml version="1.0" encoding="utf-8"?>
<formControlPr xmlns="http://schemas.microsoft.com/office/spreadsheetml/2009/9/main" objectType="CheckBox" textVAlign="center" fmlaLink="$V$47" lockText="1" noThreeD="1"/>
</file>

<file path=xl/ctrlProps/ctrlProp9.xml><?xml version="1.0" encoding="utf-8"?>
<formControlPr xmlns="http://schemas.microsoft.com/office/spreadsheetml/2009/9/main" objectType="CheckBox" textVAlign="center" fmlaLink="$W$47" lockText="1" noThreeD="1"/>
</file>

<file path=xl/ctrlProps/ctrlProp10.xml><?xml version="1.0" encoding="utf-8"?>
<formControlPr xmlns="http://schemas.microsoft.com/office/spreadsheetml/2009/9/main" objectType="CheckBox" textVAlign="center" fmlaLink="$X$47" lockText="1" noThreeD="1"/>
</file>

<file path=xl/ctrlProps/ctrlProp11.xml><?xml version="1.0" encoding="utf-8"?>
<formControlPr xmlns="http://schemas.microsoft.com/office/spreadsheetml/2009/9/main" objectType="CheckBox" textVAlign="center" fmlaLink="$U$49" lockText="1" noThreeD="1"/>
</file>

<file path=xl/ctrlProps/ctrlProp12.xml><?xml version="1.0" encoding="utf-8"?>
<formControlPr xmlns="http://schemas.microsoft.com/office/spreadsheetml/2009/9/main" objectType="CheckBox" textVAlign="center" fmlaLink="$V$49" lockText="1" noThreeD="1"/>
</file>

<file path=xl/ctrlProps/ctrlProp13.xml><?xml version="1.0" encoding="utf-8"?>
<formControlPr xmlns="http://schemas.microsoft.com/office/spreadsheetml/2009/9/main" objectType="CheckBox" textVAlign="center" fmlaLink="$W$49" lockText="1" noThreeD="1"/>
</file>

<file path=xl/ctrlProps/ctrlProp14.xml><?xml version="1.0" encoding="utf-8"?>
<formControlPr xmlns="http://schemas.microsoft.com/office/spreadsheetml/2009/9/main" objectType="CheckBox" textVAlign="center" fmlaLink="$X$49" lockText="1" noThreeD="1"/>
</file>

<file path=xl/ctrlProps/ctrlProp15.xml><?xml version="1.0" encoding="utf-8"?>
<formControlPr xmlns="http://schemas.microsoft.com/office/spreadsheetml/2009/9/main" objectType="Drop" dropStyle="combo" dx="16" dropLines="8" inc="1" min="0" max="30" page="8" sel="1" selType="single" val="0" fmlaLink="$F$22" fmlaRange="$Z$7:$Z$44" noThreeD="1" noThreeD2="1"/>
</file>

<file path=xl/ctrlProps/ctrlProp16.xml><?xml version="1.0" encoding="utf-8"?>
<formControlPr xmlns="http://schemas.microsoft.com/office/spreadsheetml/2009/9/main" objectType="Drop" dropStyle="combo" dx="16" dropLines="8" inc="1" min="0" max="7" page="8" sel="1" selType="single" val="0" fmlaLink="$F$23" fmlaRange="$AG$46:$AG$60" noThreeD="1" noThreeD2="1"/>
</file>

<file path=xl/ctrlProps/ctrlProp17.xml><?xml version="1.0" encoding="utf-8"?>
<formControlPr xmlns="http://schemas.microsoft.com/office/spreadsheetml/2009/9/main" objectType="Drop" dropStyle="combo" dx="16" dropLines="8" inc="1" min="0" max="30" page="8" sel="1" selType="single" val="0" fmlaLink="$J$22" fmlaRange="$Z$7:$Z$44" noThreeD="1" noThreeD2="1"/>
</file>

<file path=xl/ctrlProps/ctrlProp18.xml><?xml version="1.0" encoding="utf-8"?>
<formControlPr xmlns="http://schemas.microsoft.com/office/spreadsheetml/2009/9/main" objectType="Drop" dropStyle="combo" dx="16" dropLines="8" inc="1" min="0" max="7" page="8" sel="1" selType="single" val="6" fmlaLink="$J$23" fmlaRange="$AG$46:$AG$60" noThreeD="1" noThreeD2="1"/>
</file>

<file path=xl/ctrlProps/ctrlProp19.xml><?xml version="1.0" encoding="utf-8"?>
<formControlPr xmlns="http://schemas.microsoft.com/office/spreadsheetml/2009/9/main" objectType="Drop" dropStyle="combo" dx="16" dropLines="8" inc="1" min="0" max="30" page="8" sel="1" selType="single" val="0" fmlaLink="$N$22" fmlaRange="$Z$7:$Z$44" noThreeD="1" noThreeD2="1"/>
</file>

<file path=xl/ctrlProps/ctrlProp20.xml><?xml version="1.0" encoding="utf-8"?>
<formControlPr xmlns="http://schemas.microsoft.com/office/spreadsheetml/2009/9/main" objectType="Drop" dropStyle="combo" dx="16" dropLines="8" inc="1" min="0" max="7" page="8" sel="1" selType="single" val="6" fmlaLink="$N$23" fmlaRange="$AG$46:$AG$60" noThreeD="1" noThreeD2="1"/>
</file>

<file path=xl/ctrlProps/ctrlProp21.xml><?xml version="1.0" encoding="utf-8"?>
<formControlPr xmlns="http://schemas.microsoft.com/office/spreadsheetml/2009/9/main" objectType="Drop" dropStyle="combo" dx="16" dropLines="8" inc="1" min="0" max="30" page="8" sel="1" selType="single" val="0" fmlaLink="$R$22" fmlaRange="$Z$7:$Z$44" noThreeD="1" noThreeD2="1"/>
</file>

<file path=xl/ctrlProps/ctrlProp22.xml><?xml version="1.0" encoding="utf-8"?>
<formControlPr xmlns="http://schemas.microsoft.com/office/spreadsheetml/2009/9/main" objectType="Drop" dropStyle="combo" dx="16" dropLines="8" inc="1" min="0" max="7" page="8" sel="1" selType="single" val="0" fmlaLink="$R$23" fmlaRange="$AG$46:$AG$60" noThreeD="1" noThreeD2="1"/>
</file>

<file path=xl/ctrlProps/ctrlProp23.xml><?xml version="1.0" encoding="utf-8"?>
<formControlPr xmlns="http://schemas.microsoft.com/office/spreadsheetml/2009/9/main" objectType="Drop" dropStyle="combo" dx="16" dropLines="8" inc="1" min="0" max="30" page="8" sel="1" selType="single" val="0" fmlaLink="$F$30" fmlaRange="$Z$7:$Z$44" noThreeD="1" noThreeD2="1"/>
</file>

<file path=xl/ctrlProps/ctrlProp24.xml><?xml version="1.0" encoding="utf-8"?>
<formControlPr xmlns="http://schemas.microsoft.com/office/spreadsheetml/2009/9/main" objectType="Drop" dropStyle="combo" dx="16" dropLines="8" inc="1" min="0" max="30" page="8" sel="1" selType="single" val="0" fmlaLink="$J$30" fmlaRange="$Z$7:$Z$44" noThreeD="1" noThreeD2="1"/>
</file>

<file path=xl/ctrlProps/ctrlProp25.xml><?xml version="1.0" encoding="utf-8"?>
<formControlPr xmlns="http://schemas.microsoft.com/office/spreadsheetml/2009/9/main" objectType="Drop" dropStyle="combo" dx="16" dropLines="8" inc="1" min="0" max="30" page="8" sel="6" selType="single" val="0" fmlaLink="$N$30" fmlaRange="$Z$7:$Z$44" noThreeD="1" noThreeD2="1"/>
</file>

<file path=xl/ctrlProps/ctrlProp26.xml><?xml version="1.0" encoding="utf-8"?>
<formControlPr xmlns="http://schemas.microsoft.com/office/spreadsheetml/2009/9/main" objectType="Drop" dropStyle="combo" dx="16" dropLines="8" inc="1" min="0" max="30" page="8" sel="1" selType="single" val="0" fmlaLink="$R$30" fmlaRange="$Z$7:$Z$44" noThreeD="1" noThreeD2="1"/>
</file>

<file path=xl/drawings/_rels/drawing1.xml.rels><?xml version="1.0" encoding="UTF-8" standalone="yes"?><Relationships xmlns="http://schemas.openxmlformats.org/package/2006/relationships"></Relationships>
</file>

<file path=xl/drawings/_rels/vmlDrawing2.v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70</xdr:col>
      <xdr:colOff>41414</xdr:colOff>
      <xdr:row>0</xdr:row>
      <xdr:rowOff>35615</xdr:rowOff>
    </xdr:from>
    <xdr:to>
      <xdr:col>73</xdr:col>
      <xdr:colOff>123824</xdr:colOff>
      <xdr:row>5</xdr:row>
      <xdr:rowOff>104775</xdr:rowOff>
    </xdr:to>
    <xdr:sp>
      <xdr:nvSpPr>
        <xdr:cNvPr id="31" name="TextBox 30"/>
        <xdr:cNvSpPr txBox="1"/>
      </xdr:nvSpPr>
      <xdr:spPr bwMode="auto">
        <a:xfrm>
          <a:off x="8166240" y="35616"/>
          <a:ext cx="1911210" cy="1078809"/>
        </a:xfrm>
        <a:prstGeom prst="rect">
          <a:avLst/>
        </a:prstGeom>
        <a:solidFill>
          <a:srgbClr val="CCFFFF"/>
        </a:solidFill>
        <a:ln w="9525" cmpd="sng">
          <a:solidFill>
            <a:schemeClr val="tx1"/>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rtl="0">
            <a:defRPr/>
          </a:pPr>
          <a:r>
            <a:rPr lang="en-GB" sz="900" b="1" i="1">
              <a:solidFill>
                <a:srgbClr val="0000FF"/>
              </a:solidFill>
              <a:latin typeface="Calibri"/>
              <a:ea typeface="+mn-ea"/>
              <a:cs typeface="Calibri"/>
            </a:rPr>
            <a:t>To copy this sheet please ONLY use Edit or Move/Copy Sheet.</a:t>
          </a:r>
          <a:endParaRPr lang="en-US" sz="900">
            <a:solidFill>
              <a:srgbClr val="0000FF"/>
            </a:solidFill>
            <a:latin typeface="Calibri"/>
            <a:cs typeface="Calibri"/>
          </a:endParaRPr>
        </a:p>
        <a:p>
          <a:pPr>
            <a:defRPr/>
          </a:pPr>
          <a:r>
            <a:rPr lang="en-GB" sz="900" b="1" i="1">
              <a:solidFill>
                <a:srgbClr val="0000FF"/>
              </a:solidFill>
              <a:latin typeface="Calibri"/>
              <a:ea typeface="+mn-ea"/>
              <a:cs typeface="Calibri"/>
            </a:rPr>
            <a:t>Also, do not select  this Spreadsheet High Frequency Acoustic Excit.  when doing multiple print to avoid rearrangement of  combo selection box.</a:t>
          </a:r>
          <a:endParaRPr lang="en-US" sz="900" b="1" i="1">
            <a:solidFill>
              <a:srgbClr val="0000FF"/>
            </a:solidFill>
            <a:latin typeface="Calibri"/>
            <a:cs typeface="Calibri"/>
          </a:endParaRPr>
        </a:p>
      </xdr:txBody>
    </xdr:sp>
    <xdr:clientData/>
  </xdr:twoCellAnchor>
  <xdr:twoCellAnchor editAs="twoCell">
    <xdr:from>
      <xdr:col>70</xdr:col>
      <xdr:colOff>45967</xdr:colOff>
      <xdr:row>5</xdr:row>
      <xdr:rowOff>122994</xdr:rowOff>
    </xdr:from>
    <xdr:to>
      <xdr:col>72</xdr:col>
      <xdr:colOff>521806</xdr:colOff>
      <xdr:row>15</xdr:row>
      <xdr:rowOff>120511</xdr:rowOff>
    </xdr:to>
    <xdr:sp>
      <xdr:nvSpPr>
        <xdr:cNvPr id="32" name="TextBox 31"/>
        <xdr:cNvSpPr txBox="1"/>
      </xdr:nvSpPr>
      <xdr:spPr bwMode="auto">
        <a:xfrm>
          <a:off x="8170792" y="1132644"/>
          <a:ext cx="1695039" cy="1654867"/>
        </a:xfrm>
        <a:prstGeom prst="rect">
          <a:avLst/>
        </a:prstGeom>
        <a:solidFill>
          <a:srgbClr val="CCFFFF"/>
        </a:solidFill>
        <a:ln w="9525" cmpd="sng">
          <a:solidFill>
            <a:schemeClr val="tx1"/>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rtl="0">
            <a:defRPr/>
          </a:pPr>
          <a:r>
            <a:rPr lang="en-GB" sz="900" b="1" i="1">
              <a:solidFill>
                <a:srgbClr val="FF0000"/>
              </a:solidFill>
              <a:latin typeface="Calibri"/>
              <a:ea typeface="+mn-ea"/>
              <a:cs typeface="Calibri"/>
            </a:rPr>
            <a:t>The HFAE calculation procedure in accordance with Energy Institute Guidelines is suitable for gas only systems. For 2-phase application where the quantity of liquid is small, engineering judgement should be applied by the design engineer in determining whether the calculation procedure is still valid.</a:t>
          </a:r>
          <a:endParaRPr lang="en-US" sz="900" b="1" i="1">
            <a:solidFill>
              <a:srgbClr val="FF0000"/>
            </a:solidFill>
            <a:latin typeface="Calibri"/>
            <a:cs typeface="Calibri"/>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Andrew Phipps-Jones" id="{7A030D63-221E-8784-1399-935D96D47991}"/>
  <person displayName="Aminu, Abdullah (London)" id="{42BF0DB1-97E5-EA42-47F2-7E1EE8D0F536}"/>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B13" personId="{7A030D63-221E-8784-1399-935D96D47991}" id="{006E002A-003C-408F-B209-004D00F00045}" done="0">
    <text xml:space="preserve">If the source is a valve and has low noise trim fitted then enter dB reduction level. Otherwise enter zero or nothing.
</text>
  </threadedComment>
  <threadedComment ref="B14" personId="{7A030D63-221E-8784-1399-935D96D47991}" id="{00230007-00F8-4F40-BAA9-0016004A00AB}" done="0">
    <text xml:space="preserve">The flow is sonic when Mach number in the Main Line is greater than or equal to 1.0. The value of Mach number can be obtained using Aspen Flare Analyser to simulate the flow or through combination of Aspen Hysys and Worley Line Sizing Calculation Templates.
</text>
  </threadedComment>
  <threadedComment ref="M14" personId="{42BF0DB1-97E5-EA42-47F2-7E1EE8D0F536}" id="{00EB000A-0099-4271-8230-00A800920024}" done="0">
    <text xml:space="preserve">Click in the check box for sonic flow.
</text>
  </threadedComment>
  <threadedComment ref="Q14" personId="{42BF0DB1-97E5-EA42-47F2-7E1EE8D0F536}" id="{000A0047-0042-4240-A767-009600C300DB}" done="0">
    <text xml:space="preserve">Click in the check box for sonic flow.
</text>
  </threadedComment>
  <threadedComment ref="E14" personId="{42BF0DB1-97E5-EA42-47F2-7E1EE8D0F536}" id="{001800B5-00CD-4B91-9232-001600490081}" done="0">
    <text xml:space="preserve">Click in the check box for sonic flow.
</text>
  </threadedComment>
  <threadedComment ref="I14" personId="{42BF0DB1-97E5-EA42-47F2-7E1EE8D0F536}" id="{008400B0-0044-4E89-93FF-007F008900CB}" done="0">
    <text xml:space="preserve">Click in the check box for sonic flow.
</text>
  </threadedComment>
  <threadedComment ref="B17" personId="{7A030D63-221E-8784-1399-935D96D47991}" id="{000E0077-0069-4D13-9858-00D1005600F2}" done="0">
    <text xml:space="preserve">If PWL &lt; 155dB main line LOF = 0.29.  
If PWL ≥ 155dB calculate the PWL in the main line at the discontinuity accounting for attenuation.
</text>
  </threadedComment>
  <threadedComment ref="B34" personId="{7A030D63-221E-8784-1399-935D96D47991}" id="{004C00AF-002F-495E-A557-002D007D0032}" done="0">
    <text xml:space="preserve">Source of high frequency acoustic excitation are pressure reducing devices such as control / relief valves, restriction orifices or branch connections.  All source must be included to determine total PWL at discontinuity
</text>
  </threadedComment>
  <threadedComment ref="M47" personId="{42BF0DB1-97E5-EA42-47F2-7E1EE8D0F536}" id="{002600DE-003E-445D-AC2B-0059003A004B}" done="0">
    <text xml:space="preserve">Click in the check box for weldolet.
</text>
  </threadedComment>
  <threadedComment ref="Q47" personId="{42BF0DB1-97E5-EA42-47F2-7E1EE8D0F536}" id="{005A00F1-0072-4C46-A997-003D00C00003}" done="0">
    <text xml:space="preserve">Click in the check box for weldolet.
</text>
  </threadedComment>
  <threadedComment ref="E47" personId="{42BF0DB1-97E5-EA42-47F2-7E1EE8D0F536}" id="{00F800B7-005D-4B14-9675-006800B500A2}" done="0">
    <text xml:space="preserve">Click in the check box for weldolet.
</text>
  </threadedComment>
  <threadedComment ref="I47" personId="{42BF0DB1-97E5-EA42-47F2-7E1EE8D0F536}" id="{00E70064-00C1-4505-A82C-008C00B40074}" done="0">
    <text xml:space="preserve">Click in the check box for weldolet.
</text>
  </threadedComment>
  <threadedComment ref="M49" personId="{42BF0DB1-97E5-EA42-47F2-7E1EE8D0F536}" id="{005E000F-0017-471C-A13D-00FE00CA004B}" done="0">
    <text xml:space="preserve">Click in the check box for duplex.
</text>
  </threadedComment>
  <threadedComment ref="Q49" personId="{42BF0DB1-97E5-EA42-47F2-7E1EE8D0F536}" id="{006C0034-000B-45A0-B1BC-003700F900FA}" done="0">
    <text xml:space="preserve">Click in the check box for duplex.
</text>
  </threadedComment>
  <threadedComment ref="E49" personId="{42BF0DB1-97E5-EA42-47F2-7E1EE8D0F536}" id="{00710032-00FD-4A9B-A7CF-005600B800DB}" done="0">
    <text xml:space="preserve">Click in the check box for duplex.
</text>
  </threadedComment>
  <threadedComment ref="I49" personId="{42BF0DB1-97E5-EA42-47F2-7E1EE8D0F536}" id="{00A300CE-0082-445C-B032-009B0070004A}" done="0">
    <text xml:space="preserve">Click in the check box for duplex.
</text>
  </threadedComment>
  <threadedComment ref="B52" personId="{7A030D63-221E-8784-1399-935D96D47991}" id="{008A00AF-00E1-43F6-A6B2-00ED00010028}" done="0">
    <text xml:space="preserve">If Lf &lt; 0.5 then LOF = 0.29.
If Lf ≥ 0.5 then LOF = Lf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10" Type="http://schemas.openxmlformats.org/officeDocument/2006/relationships/ctrlProp" Target="../ctrlProps/ctrlProp8.xml"/><Relationship  Id="rId11" Type="http://schemas.openxmlformats.org/officeDocument/2006/relationships/ctrlProp" Target="../ctrlProps/ctrlProp9.xml"/><Relationship  Id="rId12" Type="http://schemas.openxmlformats.org/officeDocument/2006/relationships/ctrlProp" Target="../ctrlProps/ctrlProp10.xml"/><Relationship  Id="rId13" Type="http://schemas.openxmlformats.org/officeDocument/2006/relationships/ctrlProp" Target="../ctrlProps/ctrlProp11.xml"/><Relationship  Id="rId14" Type="http://schemas.openxmlformats.org/officeDocument/2006/relationships/ctrlProp" Target="../ctrlProps/ctrlProp12.xml"/><Relationship  Id="rId15" Type="http://schemas.openxmlformats.org/officeDocument/2006/relationships/ctrlProp" Target="../ctrlProps/ctrlProp13.xml"/><Relationship  Id="rId16" Type="http://schemas.openxmlformats.org/officeDocument/2006/relationships/ctrlProp" Target="../ctrlProps/ctrlProp14.xml"/><Relationship  Id="rId17" Type="http://schemas.openxmlformats.org/officeDocument/2006/relationships/ctrlProp" Target="../ctrlProps/ctrlProp15.xml"/><Relationship  Id="rId18" Type="http://schemas.openxmlformats.org/officeDocument/2006/relationships/ctrlProp" Target="../ctrlProps/ctrlProp16.xml"/><Relationship  Id="rId19" Type="http://schemas.openxmlformats.org/officeDocument/2006/relationships/ctrlProp" Target="../ctrlProps/ctrlProp17.xml"/><Relationship  Id="rId2" Type="http://schemas.openxmlformats.org/officeDocument/2006/relationships/comments" Target="../comments1.xml"/><Relationship  Id="rId20" Type="http://schemas.openxmlformats.org/officeDocument/2006/relationships/ctrlProp" Target="../ctrlProps/ctrlProp18.xml"/><Relationship  Id="rId21" Type="http://schemas.openxmlformats.org/officeDocument/2006/relationships/ctrlProp" Target="../ctrlProps/ctrlProp19.xml"/><Relationship  Id="rId22" Type="http://schemas.openxmlformats.org/officeDocument/2006/relationships/ctrlProp" Target="../ctrlProps/ctrlProp20.xml"/><Relationship  Id="rId23" Type="http://schemas.openxmlformats.org/officeDocument/2006/relationships/ctrlProp" Target="../ctrlProps/ctrlProp21.xml"/><Relationship  Id="rId24" Type="http://schemas.openxmlformats.org/officeDocument/2006/relationships/ctrlProp" Target="../ctrlProps/ctrlProp22.xml"/><Relationship  Id="rId25" Type="http://schemas.openxmlformats.org/officeDocument/2006/relationships/ctrlProp" Target="../ctrlProps/ctrlProp23.xml"/><Relationship  Id="rId26" Type="http://schemas.openxmlformats.org/officeDocument/2006/relationships/ctrlProp" Target="../ctrlProps/ctrlProp24.xml"/><Relationship  Id="rId27" Type="http://schemas.openxmlformats.org/officeDocument/2006/relationships/ctrlProp" Target="../ctrlProps/ctrlProp25.xml"/><Relationship  Id="rId28" Type="http://schemas.openxmlformats.org/officeDocument/2006/relationships/ctrlProp" Target="../ctrlProps/ctrlProp26.xml"/><Relationship  Id="rId29" Type="http://schemas.openxmlformats.org/officeDocument/2006/relationships/drawing" Target="../drawings/drawing1.xml"/><Relationship  Id="rId3" Type="http://schemas.openxmlformats.org/officeDocument/2006/relationships/ctrlProp" Target="../ctrlProps/ctrlProp1.xml"/><Relationship  Id="rId30" Type="http://schemas.openxmlformats.org/officeDocument/2006/relationships/vmlDrawing" Target="../drawings/vmlDrawing1.vml"/><Relationship  Id="rId31" Type="http://schemas.openxmlformats.org/officeDocument/2006/relationships/vmlDrawing" Target="../drawings/vmlDrawing2.vml"/><Relationship  Id="rId4" Type="http://schemas.openxmlformats.org/officeDocument/2006/relationships/ctrlProp" Target="../ctrlProps/ctrlProp2.xml"/><Relationship  Id="rId5" Type="http://schemas.openxmlformats.org/officeDocument/2006/relationships/ctrlProp" Target="../ctrlProps/ctrlProp3.xml"/><Relationship  Id="rId6" Type="http://schemas.openxmlformats.org/officeDocument/2006/relationships/ctrlProp" Target="../ctrlProps/ctrlProp4.xml"/><Relationship  Id="rId7" Type="http://schemas.openxmlformats.org/officeDocument/2006/relationships/ctrlProp" Target="../ctrlProps/ctrlProp5.xml"/><Relationship  Id="rId8" Type="http://schemas.openxmlformats.org/officeDocument/2006/relationships/ctrlProp" Target="../ctrlProps/ctrlProp6.xml"/><Relationship  Id="rId9"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2">
    <tabColor indexed="5"/>
    <outlinePr applyStyles="0" summaryBelow="1" summaryRight="1" showOutlineSymbols="1"/>
    <pageSetUpPr autoPageBreaks="1" fitToPage="0"/>
  </sheetPr>
  <sheetViews>
    <sheetView showGridLines="0" topLeftCell="A19" zoomScale="100" workbookViewId="0">
      <selection activeCell="A1" activeCellId="0" sqref="A1:Q1"/>
    </sheetView>
  </sheetViews>
  <sheetFormatPr defaultColWidth="9.1796875" defaultRowHeight="12.75"/>
  <cols>
    <col customWidth="1" min="1" max="1" style="1" width="3.54296875"/>
    <col customWidth="1" min="2" max="2" style="1" width="15.453125"/>
    <col customWidth="1" min="3" max="3" style="1" width="15.81640625"/>
    <col customWidth="1" min="4" max="4" style="1" width="14"/>
    <col customWidth="1" min="5" max="5" style="1" width="7.54296875"/>
    <col customWidth="1" hidden="1" min="6" max="6" style="1" width="7.453125"/>
    <col customWidth="1" hidden="1" min="7" max="7" style="1" width="7.54296875"/>
    <col customWidth="1" min="8" max="8" style="1" width="14.26953125"/>
    <col bestFit="1" customWidth="1" min="9" max="9" style="1" width="7.54296875"/>
    <col customWidth="1" hidden="1" min="10" max="11" style="1" width="7.54296875"/>
    <col customWidth="1" min="12" max="12" style="1" width="14.1796875"/>
    <col customWidth="1" min="13" max="13" style="1" width="7.54296875"/>
    <col customWidth="1" hidden="1" min="14" max="15" style="1" width="7.54296875"/>
    <col customWidth="1" min="16" max="16" style="1" width="14.1796875"/>
    <col customWidth="1" min="17" max="17" style="1" width="7.7265625"/>
    <col customWidth="1" hidden="1" min="18" max="18" style="1" width="8.1796875"/>
    <col customWidth="1" hidden="1" min="19" max="19" style="1" width="9.26953125"/>
    <col customWidth="1" hidden="1" min="20" max="20" style="1" width="8"/>
    <col customWidth="1" hidden="1" min="21" max="24" style="1" width="9.1796875"/>
    <col customWidth="1" hidden="1" min="25" max="25" style="1" width="9.54296875"/>
    <col customWidth="1" hidden="1" min="26" max="70" style="1" width="9.1796875"/>
    <col min="71" max="16384" style="1" width="9.1796875"/>
  </cols>
  <sheetData>
    <row r="1" ht="16.5">
      <c r="A1" s="2"/>
      <c r="B1" s="3" t="s">
        <v>0</v>
      </c>
      <c r="C1" s="4"/>
      <c r="D1" s="4"/>
      <c r="E1" s="4"/>
      <c r="F1" s="4"/>
      <c r="G1" s="4"/>
      <c r="H1" s="4"/>
      <c r="I1" s="4"/>
      <c r="J1" s="4"/>
      <c r="K1" s="4"/>
      <c r="L1" s="4"/>
      <c r="M1" s="4"/>
      <c r="N1" s="4"/>
      <c r="O1" s="4"/>
      <c r="P1" s="4"/>
      <c r="Q1" s="5"/>
      <c r="R1" s="6"/>
      <c r="S1" s="6"/>
      <c r="T1" s="2"/>
      <c r="Y1" s="7"/>
      <c r="Z1" s="8"/>
      <c r="AA1" s="9" t="s">
        <v>1</v>
      </c>
      <c r="AB1" s="9"/>
      <c r="AC1" s="9"/>
      <c r="AD1" s="9"/>
      <c r="AE1" s="9"/>
      <c r="AF1" s="9"/>
      <c r="AG1" s="9"/>
      <c r="AH1" s="9"/>
      <c r="AI1" s="9"/>
      <c r="AJ1" s="9"/>
      <c r="AK1" s="9"/>
      <c r="AL1" s="10"/>
      <c r="AM1" s="10"/>
      <c r="AN1" s="9"/>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1"/>
    </row>
    <row r="2" ht="16.5">
      <c r="A2" s="2"/>
      <c r="B2" s="12" t="s">
        <v>2</v>
      </c>
      <c r="C2" s="13"/>
      <c r="D2" s="14" t="s">
        <v>3</v>
      </c>
      <c r="E2" s="15"/>
      <c r="F2" s="16"/>
      <c r="G2" s="16"/>
      <c r="H2" s="16"/>
      <c r="I2" s="14" t="s">
        <v>4</v>
      </c>
      <c r="J2" s="14"/>
      <c r="K2" s="14"/>
      <c r="L2" s="15"/>
      <c r="M2" s="16"/>
      <c r="N2" s="16"/>
      <c r="O2" s="16"/>
      <c r="P2" s="17"/>
      <c r="Q2" s="18"/>
      <c r="R2" s="19"/>
      <c r="S2" s="19"/>
      <c r="T2" s="2"/>
      <c r="Y2" s="7"/>
      <c r="Z2" s="20"/>
      <c r="AA2" s="21" t="s">
        <v>5</v>
      </c>
      <c r="AB2" s="21"/>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3"/>
    </row>
    <row r="3" ht="15">
      <c r="A3" s="2"/>
      <c r="B3" s="24"/>
      <c r="C3" s="14"/>
      <c r="D3" s="14"/>
      <c r="E3" s="16"/>
      <c r="F3" s="16"/>
      <c r="G3" s="16"/>
      <c r="H3" s="14"/>
      <c r="I3" s="14" t="s">
        <v>6</v>
      </c>
      <c r="J3" s="14"/>
      <c r="K3" s="14"/>
      <c r="L3" s="15"/>
      <c r="M3" s="14" t="s">
        <v>7</v>
      </c>
      <c r="N3" s="14"/>
      <c r="O3" s="14"/>
      <c r="P3" s="15"/>
      <c r="Q3" s="25"/>
      <c r="R3" s="26"/>
      <c r="S3" s="26"/>
      <c r="T3" s="2"/>
      <c r="Y3" s="7"/>
      <c r="Z3" s="27"/>
      <c r="AA3" s="28"/>
      <c r="AB3" s="28"/>
      <c r="AC3" s="29"/>
      <c r="AD3" s="29"/>
      <c r="AE3" s="29"/>
      <c r="AF3" s="29"/>
      <c r="AG3" s="29"/>
      <c r="AH3" s="29"/>
      <c r="AI3" s="29"/>
      <c r="AJ3" s="29"/>
      <c r="AK3" s="29"/>
      <c r="AL3" s="22"/>
      <c r="AM3" s="22"/>
      <c r="AN3" s="29"/>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3"/>
    </row>
    <row r="4" ht="15">
      <c r="A4" s="30"/>
      <c r="B4" s="31"/>
      <c r="C4" s="32"/>
      <c r="D4" s="33"/>
      <c r="E4" s="33"/>
      <c r="F4" s="33"/>
      <c r="G4" s="33"/>
      <c r="H4" s="33"/>
      <c r="I4" s="32" t="s">
        <v>8</v>
      </c>
      <c r="J4" s="32"/>
      <c r="K4" s="32"/>
      <c r="L4" s="34"/>
      <c r="M4" s="32" t="s">
        <v>9</v>
      </c>
      <c r="N4" s="32"/>
      <c r="O4" s="32"/>
      <c r="P4" s="34"/>
      <c r="Q4" s="35"/>
      <c r="R4" s="26"/>
      <c r="S4" s="26"/>
      <c r="T4" s="2"/>
      <c r="Y4" s="7"/>
      <c r="Z4" s="36" t="s">
        <v>10</v>
      </c>
      <c r="AA4" s="29"/>
      <c r="AB4" s="29"/>
      <c r="AC4" s="29"/>
      <c r="AD4" s="29"/>
      <c r="AE4" s="29"/>
      <c r="AF4" s="29"/>
      <c r="AG4" s="29"/>
      <c r="AH4" s="29"/>
      <c r="AI4" s="29"/>
      <c r="AJ4" s="29"/>
      <c r="AK4" s="29"/>
      <c r="AL4" s="29"/>
      <c r="AM4" s="29"/>
      <c r="AN4" s="29"/>
      <c r="AO4" s="37"/>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3"/>
    </row>
    <row r="5" ht="15">
      <c r="A5" s="38" t="s">
        <v>11</v>
      </c>
      <c r="B5" s="39" t="s">
        <v>12</v>
      </c>
      <c r="C5" s="40"/>
      <c r="D5" s="41"/>
      <c r="E5" s="41"/>
      <c r="F5" s="42"/>
      <c r="G5" s="42"/>
      <c r="H5" s="43"/>
      <c r="I5" s="44"/>
      <c r="J5" s="42"/>
      <c r="K5" s="42"/>
      <c r="L5" s="45"/>
      <c r="M5" s="41"/>
      <c r="N5" s="46"/>
      <c r="O5" s="46"/>
      <c r="P5" s="47"/>
      <c r="Q5" s="48"/>
      <c r="R5" s="26"/>
      <c r="S5" s="26"/>
      <c r="T5" s="2"/>
      <c r="Y5" s="7"/>
      <c r="Z5" s="36" t="s">
        <v>13</v>
      </c>
      <c r="AA5" s="29" t="s">
        <v>14</v>
      </c>
      <c r="AB5" s="29"/>
      <c r="AC5" s="22"/>
      <c r="AD5" s="22"/>
      <c r="AE5" s="22"/>
      <c r="AF5" s="22"/>
      <c r="AG5" s="22"/>
      <c r="AH5" s="22"/>
      <c r="AI5" s="22"/>
      <c r="AJ5" s="22"/>
      <c r="AK5" s="22"/>
      <c r="AL5" s="22"/>
      <c r="AM5" s="22"/>
      <c r="AN5" s="22"/>
      <c r="AO5" s="37"/>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3"/>
    </row>
    <row r="6" ht="15">
      <c r="A6" s="49" t="s">
        <v>15</v>
      </c>
      <c r="B6" s="50" t="s">
        <v>16</v>
      </c>
      <c r="C6" s="51"/>
      <c r="D6" s="52"/>
      <c r="E6" s="53" t="s">
        <v>17</v>
      </c>
      <c r="F6" s="53"/>
      <c r="G6" s="54"/>
      <c r="H6" s="52"/>
      <c r="I6" s="55" t="s">
        <v>17</v>
      </c>
      <c r="J6" s="56"/>
      <c r="K6" s="53"/>
      <c r="L6" s="52"/>
      <c r="M6" s="53" t="s">
        <v>17</v>
      </c>
      <c r="N6" s="53"/>
      <c r="O6" s="54"/>
      <c r="P6" s="52"/>
      <c r="Q6" s="55" t="s">
        <v>17</v>
      </c>
      <c r="R6" s="1"/>
      <c r="S6" s="1"/>
      <c r="T6" s="2"/>
      <c r="Y6" s="7"/>
      <c r="Z6" s="20"/>
      <c r="AA6" s="57" t="s">
        <v>18</v>
      </c>
      <c r="AB6" s="57" t="s">
        <v>19</v>
      </c>
      <c r="AC6" s="58" t="s">
        <v>20</v>
      </c>
      <c r="AD6" s="57" t="s">
        <v>21</v>
      </c>
      <c r="AE6" s="57" t="s">
        <v>22</v>
      </c>
      <c r="AF6" s="58" t="s">
        <v>20</v>
      </c>
      <c r="AG6" s="57" t="s">
        <v>21</v>
      </c>
      <c r="AH6" s="57" t="s">
        <v>22</v>
      </c>
      <c r="AI6" s="58" t="s">
        <v>20</v>
      </c>
      <c r="AJ6" s="57" t="s">
        <v>21</v>
      </c>
      <c r="AK6" s="57" t="s">
        <v>22</v>
      </c>
      <c r="AL6" s="58" t="s">
        <v>20</v>
      </c>
      <c r="AM6" s="57" t="s">
        <v>21</v>
      </c>
      <c r="AN6" s="57" t="s">
        <v>22</v>
      </c>
      <c r="AO6" s="58" t="s">
        <v>20</v>
      </c>
      <c r="AP6" s="57" t="s">
        <v>21</v>
      </c>
      <c r="AQ6" s="57" t="s">
        <v>22</v>
      </c>
      <c r="AR6" s="58" t="s">
        <v>20</v>
      </c>
      <c r="AS6" s="57" t="s">
        <v>21</v>
      </c>
      <c r="AT6" s="57" t="s">
        <v>22</v>
      </c>
      <c r="AU6" s="58" t="s">
        <v>20</v>
      </c>
      <c r="AV6" s="57" t="s">
        <v>21</v>
      </c>
      <c r="AW6" s="57" t="s">
        <v>22</v>
      </c>
      <c r="AX6" s="58" t="s">
        <v>20</v>
      </c>
      <c r="AY6" s="57" t="s">
        <v>21</v>
      </c>
      <c r="AZ6" s="57" t="s">
        <v>22</v>
      </c>
      <c r="BA6" s="58" t="s">
        <v>20</v>
      </c>
      <c r="BB6" s="57" t="s">
        <v>21</v>
      </c>
      <c r="BC6" s="57" t="s">
        <v>22</v>
      </c>
      <c r="BD6" s="58" t="s">
        <v>20</v>
      </c>
      <c r="BE6" s="57" t="s">
        <v>21</v>
      </c>
      <c r="BF6" s="57" t="s">
        <v>22</v>
      </c>
      <c r="BG6" s="58" t="s">
        <v>20</v>
      </c>
      <c r="BH6" s="57" t="s">
        <v>21</v>
      </c>
      <c r="BI6" s="57" t="s">
        <v>22</v>
      </c>
      <c r="BJ6" s="58" t="s">
        <v>20</v>
      </c>
      <c r="BK6" s="57" t="s">
        <v>21</v>
      </c>
      <c r="BL6" s="57" t="s">
        <v>22</v>
      </c>
      <c r="BM6" s="58" t="s">
        <v>20</v>
      </c>
      <c r="BN6" s="57" t="s">
        <v>21</v>
      </c>
      <c r="BO6" s="57" t="s">
        <v>22</v>
      </c>
      <c r="BP6" s="58" t="s">
        <v>20</v>
      </c>
      <c r="BQ6" s="57" t="s">
        <v>21</v>
      </c>
      <c r="BR6" s="59" t="s">
        <v>22</v>
      </c>
    </row>
    <row r="7" ht="13.5">
      <c r="A7" s="38" t="s">
        <v>23</v>
      </c>
      <c r="B7" s="50" t="s">
        <v>24</v>
      </c>
      <c r="C7" s="51"/>
      <c r="D7" s="60"/>
      <c r="E7" s="61" t="s">
        <v>25</v>
      </c>
      <c r="F7" s="61"/>
      <c r="G7" s="62"/>
      <c r="H7" s="63"/>
      <c r="I7" s="64" t="s">
        <v>25</v>
      </c>
      <c r="J7" s="65"/>
      <c r="K7" s="61"/>
      <c r="L7" s="60"/>
      <c r="M7" s="55" t="s">
        <v>25</v>
      </c>
      <c r="N7" s="65"/>
      <c r="O7" s="62"/>
      <c r="P7" s="60"/>
      <c r="Q7" s="64" t="s">
        <v>25</v>
      </c>
      <c r="R7" s="1"/>
      <c r="S7" s="1"/>
      <c r="T7" s="2"/>
      <c r="Y7" s="66">
        <v>1</v>
      </c>
      <c r="Z7" s="67" t="s">
        <v>26</v>
      </c>
      <c r="AA7" s="68"/>
    </row>
    <row r="8" ht="13.5">
      <c r="A8" s="38" t="s">
        <v>27</v>
      </c>
      <c r="B8" s="69" t="s">
        <v>28</v>
      </c>
      <c r="C8" s="70"/>
      <c r="D8" s="71"/>
      <c r="E8" s="55" t="s">
        <v>25</v>
      </c>
      <c r="F8" s="56">
        <v>1</v>
      </c>
      <c r="G8" s="54"/>
      <c r="H8" s="71"/>
      <c r="I8" s="55" t="s">
        <v>25</v>
      </c>
      <c r="J8" s="56"/>
      <c r="K8" s="53"/>
      <c r="L8" s="71"/>
      <c r="M8" s="55" t="s">
        <v>25</v>
      </c>
      <c r="N8" s="56"/>
      <c r="O8" s="54"/>
      <c r="P8" s="71"/>
      <c r="Q8" s="55" t="s">
        <v>25</v>
      </c>
      <c r="R8" s="1"/>
      <c r="S8" s="1"/>
      <c r="T8" s="2"/>
      <c r="Y8" s="66">
        <v>2</v>
      </c>
      <c r="Z8" s="7" t="s">
        <v>29</v>
      </c>
      <c r="AA8" s="72" t="s">
        <v>30</v>
      </c>
      <c r="AB8" s="57"/>
      <c r="AC8" s="58"/>
      <c r="AD8" s="57"/>
      <c r="AE8" s="57"/>
      <c r="AF8" s="58"/>
      <c r="AG8" s="57"/>
      <c r="AH8" s="57"/>
      <c r="AI8" s="58"/>
      <c r="AJ8" s="57"/>
      <c r="AK8" s="57"/>
      <c r="AL8" s="58"/>
      <c r="AM8" s="57"/>
      <c r="AN8" s="57"/>
      <c r="AO8" s="58"/>
      <c r="AP8" s="57"/>
      <c r="AQ8" s="57"/>
      <c r="AR8" s="58"/>
      <c r="AS8" s="57"/>
      <c r="AT8" s="57"/>
      <c r="AU8" s="58"/>
      <c r="AV8" s="57"/>
      <c r="AW8" s="57"/>
      <c r="AX8" s="58"/>
      <c r="AY8" s="57"/>
      <c r="AZ8" s="57"/>
      <c r="BA8" s="58"/>
      <c r="BB8" s="57"/>
      <c r="BC8" s="57"/>
      <c r="BD8" s="58"/>
      <c r="BE8" s="57"/>
      <c r="BF8" s="57"/>
      <c r="BG8" s="58"/>
      <c r="BH8" s="57"/>
      <c r="BI8" s="57"/>
      <c r="BJ8" s="58"/>
      <c r="BK8" s="57"/>
      <c r="BL8" s="57"/>
      <c r="BM8" s="58"/>
      <c r="BN8" s="57"/>
      <c r="BO8" s="57"/>
      <c r="BP8" s="58"/>
      <c r="BQ8" s="57"/>
      <c r="BR8" s="59"/>
    </row>
    <row r="9" ht="13.5">
      <c r="A9" s="49" t="s">
        <v>31</v>
      </c>
      <c r="B9" s="69" t="s">
        <v>32</v>
      </c>
      <c r="C9" s="70"/>
      <c r="D9" s="71"/>
      <c r="E9" s="55" t="s">
        <v>33</v>
      </c>
      <c r="F9" s="56"/>
      <c r="G9" s="54"/>
      <c r="H9" s="71"/>
      <c r="I9" s="55" t="s">
        <v>33</v>
      </c>
      <c r="J9" s="56"/>
      <c r="K9" s="53"/>
      <c r="L9" s="71"/>
      <c r="M9" s="55" t="s">
        <v>33</v>
      </c>
      <c r="N9" s="56"/>
      <c r="O9" s="54"/>
      <c r="P9" s="71"/>
      <c r="Q9" s="55" t="s">
        <v>33</v>
      </c>
      <c r="R9" s="1"/>
      <c r="S9" s="1"/>
      <c r="T9" s="2"/>
      <c r="Y9" s="67">
        <v>3</v>
      </c>
      <c r="Z9" s="73" t="s">
        <v>34</v>
      </c>
      <c r="AA9" s="57">
        <v>6</v>
      </c>
      <c r="AB9" s="57">
        <v>10.289999999999999</v>
      </c>
      <c r="AC9" s="74"/>
      <c r="AD9" s="75"/>
      <c r="AE9" s="75"/>
      <c r="AF9" s="74">
        <v>10</v>
      </c>
      <c r="AG9" s="75">
        <v>4.9000000000000002e-002</v>
      </c>
      <c r="AH9" s="75">
        <v>0.307</v>
      </c>
      <c r="AI9" s="74"/>
      <c r="AJ9" s="76"/>
      <c r="AK9" s="76"/>
      <c r="AL9" s="74"/>
      <c r="AM9" s="76"/>
      <c r="AN9" s="76"/>
      <c r="AO9" s="74">
        <v>40</v>
      </c>
      <c r="AP9" s="75">
        <v>6.8000000000000005e-002</v>
      </c>
      <c r="AQ9" s="75">
        <v>0.26900000000000002</v>
      </c>
      <c r="AR9" s="74"/>
      <c r="AS9" s="76"/>
      <c r="AT9" s="76"/>
      <c r="AU9" s="74">
        <v>80</v>
      </c>
      <c r="AV9" s="75">
        <v>9.5000000000000001e-002</v>
      </c>
      <c r="AW9" s="75">
        <v>0.215</v>
      </c>
      <c r="AX9" s="74"/>
      <c r="AY9" s="76"/>
      <c r="AZ9" s="76"/>
      <c r="BA9" s="74"/>
      <c r="BB9" s="76"/>
      <c r="BC9" s="76"/>
      <c r="BD9" s="74"/>
      <c r="BE9" s="76"/>
      <c r="BF9" s="76"/>
      <c r="BG9" s="74"/>
      <c r="BH9" s="76"/>
      <c r="BI9" s="76"/>
      <c r="BJ9" s="74" t="s">
        <v>35</v>
      </c>
      <c r="BK9" s="75">
        <v>6.8000000000000005e-002</v>
      </c>
      <c r="BL9" s="75">
        <v>0.26900000000000002</v>
      </c>
      <c r="BM9" s="74" t="s">
        <v>36</v>
      </c>
      <c r="BN9" s="75">
        <v>9.5000000000000001e-002</v>
      </c>
      <c r="BO9" s="75">
        <v>0.215</v>
      </c>
      <c r="BP9" s="74"/>
      <c r="BQ9" s="76"/>
      <c r="BR9" s="77"/>
    </row>
    <row r="10" ht="13.5">
      <c r="A10" s="38" t="s">
        <v>37</v>
      </c>
      <c r="B10" s="69" t="s">
        <v>38</v>
      </c>
      <c r="C10" s="70"/>
      <c r="D10" s="56" t="str">
        <f>IF(D9="","",D9+273.15)</f>
        <v/>
      </c>
      <c r="E10" s="55" t="s">
        <v>39</v>
      </c>
      <c r="F10" s="56"/>
      <c r="G10" s="54"/>
      <c r="H10" s="56" t="str">
        <f>IF(H9=(""),(""),H9+273.15)</f>
        <v/>
      </c>
      <c r="I10" s="55" t="s">
        <v>39</v>
      </c>
      <c r="J10" s="56"/>
      <c r="K10" s="53"/>
      <c r="L10" s="56" t="str">
        <f>IF(L9="","",L9+273.15)</f>
        <v/>
      </c>
      <c r="M10" s="55" t="s">
        <v>39</v>
      </c>
      <c r="N10" s="56"/>
      <c r="O10" s="54"/>
      <c r="P10" s="56" t="str">
        <f>IF(P9="","",P9+273.15)</f>
        <v/>
      </c>
      <c r="Q10" s="55" t="s">
        <v>39</v>
      </c>
      <c r="R10" s="1"/>
      <c r="S10" s="1"/>
      <c r="T10" s="2"/>
      <c r="Y10" s="66">
        <v>4</v>
      </c>
      <c r="Z10" s="78" t="s">
        <v>40</v>
      </c>
      <c r="AA10" s="57">
        <v>8</v>
      </c>
      <c r="AB10" s="57">
        <v>13.720000000000001</v>
      </c>
      <c r="AC10" s="74"/>
      <c r="AD10" s="75"/>
      <c r="AE10" s="75"/>
      <c r="AF10" s="74">
        <v>10</v>
      </c>
      <c r="AG10" s="75">
        <v>6.5000000000000002e-002</v>
      </c>
      <c r="AH10" s="75">
        <v>0.40999999999999998</v>
      </c>
      <c r="AI10" s="74"/>
      <c r="AJ10" s="76"/>
      <c r="AK10" s="76"/>
      <c r="AL10" s="74"/>
      <c r="AM10" s="76"/>
      <c r="AN10" s="76"/>
      <c r="AO10" s="74">
        <v>40</v>
      </c>
      <c r="AP10" s="75">
        <v>8.7999999999999995e-002</v>
      </c>
      <c r="AQ10" s="75">
        <v>0.36399999999999999</v>
      </c>
      <c r="AR10" s="74"/>
      <c r="AS10" s="76"/>
      <c r="AT10" s="76"/>
      <c r="AU10" s="74">
        <v>80</v>
      </c>
      <c r="AV10" s="75">
        <v>0.11899999999999999</v>
      </c>
      <c r="AW10" s="75">
        <v>0.30199999999999999</v>
      </c>
      <c r="AX10" s="74"/>
      <c r="AY10" s="76"/>
      <c r="AZ10" s="76"/>
      <c r="BA10" s="74"/>
      <c r="BB10" s="76"/>
      <c r="BC10" s="76"/>
      <c r="BD10" s="74"/>
      <c r="BE10" s="76"/>
      <c r="BF10" s="76"/>
      <c r="BG10" s="74"/>
      <c r="BH10" s="76"/>
      <c r="BI10" s="76"/>
      <c r="BJ10" s="74" t="s">
        <v>35</v>
      </c>
      <c r="BK10" s="75">
        <v>8.7999999999999995e-002</v>
      </c>
      <c r="BL10" s="75">
        <v>0.36399999999999999</v>
      </c>
      <c r="BM10" s="74" t="s">
        <v>36</v>
      </c>
      <c r="BN10" s="75">
        <v>0.11899999999999999</v>
      </c>
      <c r="BO10" s="75">
        <v>0.30199999999999999</v>
      </c>
      <c r="BP10" s="74"/>
      <c r="BQ10" s="76"/>
      <c r="BR10" s="77"/>
    </row>
    <row r="11" ht="13.5">
      <c r="A11" s="38" t="s">
        <v>41</v>
      </c>
      <c r="B11" s="69" t="s">
        <v>42</v>
      </c>
      <c r="C11" s="70"/>
      <c r="D11" s="71"/>
      <c r="E11" s="55" t="s">
        <v>43</v>
      </c>
      <c r="F11" s="56"/>
      <c r="G11" s="54"/>
      <c r="H11" s="71"/>
      <c r="I11" s="55" t="s">
        <v>43</v>
      </c>
      <c r="J11" s="56"/>
      <c r="K11" s="53"/>
      <c r="L11" s="71"/>
      <c r="M11" s="55" t="s">
        <v>43</v>
      </c>
      <c r="N11" s="56"/>
      <c r="O11" s="54"/>
      <c r="P11" s="71"/>
      <c r="Q11" s="55" t="s">
        <v>43</v>
      </c>
      <c r="R11" s="1"/>
      <c r="S11" s="1"/>
      <c r="T11" s="2"/>
      <c r="Y11" s="66">
        <v>5</v>
      </c>
      <c r="Z11" s="78" t="s">
        <v>44</v>
      </c>
      <c r="AA11" s="57">
        <v>10</v>
      </c>
      <c r="AB11" s="57">
        <v>17.149999999999999</v>
      </c>
      <c r="AC11" s="74"/>
      <c r="AD11" s="75"/>
      <c r="AE11" s="75"/>
      <c r="AF11" s="74">
        <v>10</v>
      </c>
      <c r="AG11" s="75">
        <v>6.5000000000000002e-002</v>
      </c>
      <c r="AH11" s="75">
        <v>0.54500000000000004</v>
      </c>
      <c r="AI11" s="74"/>
      <c r="AJ11" s="76"/>
      <c r="AK11" s="76"/>
      <c r="AL11" s="74"/>
      <c r="AM11" s="76"/>
      <c r="AN11" s="76"/>
      <c r="AO11" s="74">
        <v>40</v>
      </c>
      <c r="AP11" s="75">
        <v>9.0999999999999998e-002</v>
      </c>
      <c r="AQ11" s="75">
        <v>0.49299999999999999</v>
      </c>
      <c r="AR11" s="74"/>
      <c r="AS11" s="76"/>
      <c r="AT11" s="76"/>
      <c r="AU11" s="74">
        <v>80</v>
      </c>
      <c r="AV11" s="75">
        <v>0.126</v>
      </c>
      <c r="AW11" s="75">
        <v>0.42499999999999999</v>
      </c>
      <c r="AX11" s="74"/>
      <c r="AY11" s="76"/>
      <c r="AZ11" s="76"/>
      <c r="BA11" s="74"/>
      <c r="BB11" s="76"/>
      <c r="BC11" s="76"/>
      <c r="BD11" s="74"/>
      <c r="BE11" s="76"/>
      <c r="BF11" s="76"/>
      <c r="BG11" s="74"/>
      <c r="BH11" s="76"/>
      <c r="BI11" s="76"/>
      <c r="BJ11" s="74" t="s">
        <v>35</v>
      </c>
      <c r="BK11" s="75">
        <v>9.0999999999999998e-002</v>
      </c>
      <c r="BL11" s="75">
        <v>0.49299999999999999</v>
      </c>
      <c r="BM11" s="74" t="s">
        <v>36</v>
      </c>
      <c r="BN11" s="75">
        <v>0.126</v>
      </c>
      <c r="BO11" s="75">
        <v>0.42299999999999999</v>
      </c>
      <c r="BP11" s="74"/>
      <c r="BQ11" s="76"/>
      <c r="BR11" s="77"/>
    </row>
    <row r="12" ht="13.5">
      <c r="A12" s="49" t="s">
        <v>45</v>
      </c>
      <c r="B12" s="69" t="s">
        <v>46</v>
      </c>
      <c r="C12" s="70"/>
      <c r="D12" s="79" t="str">
        <f>IF(D6=0,"",D6/3600)</f>
        <v/>
      </c>
      <c r="E12" s="53" t="s">
        <v>47</v>
      </c>
      <c r="F12" s="53"/>
      <c r="G12" s="54"/>
      <c r="H12" s="80" t="str">
        <f>IF(H6=0,"",H6/3600)</f>
        <v/>
      </c>
      <c r="I12" s="55" t="s">
        <v>47</v>
      </c>
      <c r="J12" s="56"/>
      <c r="K12" s="53"/>
      <c r="L12" s="81" t="str">
        <f>IF(L6=0,"",L6/3600)</f>
        <v/>
      </c>
      <c r="M12" s="53" t="s">
        <v>47</v>
      </c>
      <c r="N12" s="53"/>
      <c r="O12" s="54"/>
      <c r="P12" s="80" t="str">
        <f>IF(P6=0,"",P6/3600)</f>
        <v/>
      </c>
      <c r="Q12" s="55" t="s">
        <v>47</v>
      </c>
      <c r="R12" s="1"/>
      <c r="S12" s="1"/>
      <c r="T12" s="2"/>
      <c r="Y12" s="67">
        <v>6</v>
      </c>
      <c r="Z12" s="78" t="s">
        <v>48</v>
      </c>
      <c r="AA12" s="82">
        <v>15</v>
      </c>
      <c r="AB12" s="82">
        <v>21.34</v>
      </c>
      <c r="AC12" s="74"/>
      <c r="AD12" s="83"/>
      <c r="AE12" s="83"/>
      <c r="AF12" s="74">
        <v>10</v>
      </c>
      <c r="AG12" s="83">
        <v>6.5000000000000002e-002</v>
      </c>
      <c r="AH12" s="83">
        <v>0.67400000000000004</v>
      </c>
      <c r="AI12" s="84"/>
      <c r="AJ12" s="85"/>
      <c r="AK12" s="85"/>
      <c r="AL12" s="84"/>
      <c r="AM12" s="85"/>
      <c r="AN12" s="85"/>
      <c r="AO12" s="84">
        <v>40</v>
      </c>
      <c r="AP12" s="83">
        <v>0.109</v>
      </c>
      <c r="AQ12" s="83">
        <v>0.622</v>
      </c>
      <c r="AR12" s="84"/>
      <c r="AS12" s="85"/>
      <c r="AT12" s="85"/>
      <c r="AU12" s="74">
        <v>80</v>
      </c>
      <c r="AV12" s="83">
        <v>0.14699999999999999</v>
      </c>
      <c r="AW12" s="83">
        <v>0.54600000000000004</v>
      </c>
      <c r="AX12" s="84"/>
      <c r="AY12" s="85"/>
      <c r="AZ12" s="85"/>
      <c r="BA12" s="84"/>
      <c r="BB12" s="86"/>
      <c r="BC12" s="85"/>
      <c r="BD12" s="84"/>
      <c r="BE12" s="85"/>
      <c r="BF12" s="85"/>
      <c r="BG12" s="84">
        <v>160</v>
      </c>
      <c r="BH12" s="75">
        <v>0.188</v>
      </c>
      <c r="BI12" s="75">
        <v>0.46400000000000002</v>
      </c>
      <c r="BJ12" s="74" t="s">
        <v>35</v>
      </c>
      <c r="BK12" s="83">
        <v>0.109</v>
      </c>
      <c r="BL12" s="83">
        <v>0.622</v>
      </c>
      <c r="BM12" s="74" t="s">
        <v>36</v>
      </c>
      <c r="BN12" s="83">
        <v>0.14699999999999999</v>
      </c>
      <c r="BO12" s="83">
        <v>0.54600000000000004</v>
      </c>
      <c r="BP12" s="74" t="s">
        <v>49</v>
      </c>
      <c r="BQ12" s="75">
        <v>0.29399999999999998</v>
      </c>
      <c r="BR12" s="87">
        <v>0.252</v>
      </c>
    </row>
    <row r="13" ht="13.5">
      <c r="A13" s="38" t="s">
        <v>50</v>
      </c>
      <c r="B13" s="69" t="s">
        <v>51</v>
      </c>
      <c r="C13" s="70"/>
      <c r="D13" s="71"/>
      <c r="E13" s="53" t="s">
        <v>52</v>
      </c>
      <c r="F13" s="53"/>
      <c r="G13" s="54"/>
      <c r="H13" s="52"/>
      <c r="I13" s="55" t="s">
        <v>52</v>
      </c>
      <c r="J13" s="56"/>
      <c r="K13" s="53"/>
      <c r="L13" s="88"/>
      <c r="M13" s="53" t="s">
        <v>52</v>
      </c>
      <c r="N13" s="53"/>
      <c r="O13" s="54"/>
      <c r="P13" s="52"/>
      <c r="Q13" s="55" t="s">
        <v>52</v>
      </c>
      <c r="R13" s="1"/>
      <c r="S13" s="1"/>
      <c r="T13" s="2"/>
      <c r="Y13" s="66">
        <v>7</v>
      </c>
      <c r="Z13" s="78" t="s">
        <v>53</v>
      </c>
      <c r="AA13" s="82">
        <v>20</v>
      </c>
      <c r="AB13" s="82">
        <v>26.670000000000002</v>
      </c>
      <c r="AC13" s="74">
        <v>5</v>
      </c>
      <c r="AD13" s="83">
        <v>6.5000000000000002e-002</v>
      </c>
      <c r="AE13" s="83">
        <v>0.92000000000000004</v>
      </c>
      <c r="AF13" s="74">
        <v>10</v>
      </c>
      <c r="AG13" s="83">
        <v>8.3000000000000004e-002</v>
      </c>
      <c r="AH13" s="83">
        <v>0.88400000000000001</v>
      </c>
      <c r="AI13" s="84"/>
      <c r="AJ13" s="85"/>
      <c r="AK13" s="85"/>
      <c r="AL13" s="84"/>
      <c r="AM13" s="85"/>
      <c r="AN13" s="85"/>
      <c r="AO13" s="84">
        <v>40</v>
      </c>
      <c r="AP13" s="83">
        <v>0.113</v>
      </c>
      <c r="AQ13" s="83">
        <v>0.82399999999999995</v>
      </c>
      <c r="AR13" s="84"/>
      <c r="AS13" s="85"/>
      <c r="AT13" s="85"/>
      <c r="AU13" s="74">
        <v>80</v>
      </c>
      <c r="AV13" s="83">
        <v>0.154</v>
      </c>
      <c r="AW13" s="83">
        <v>0.74199999999999999</v>
      </c>
      <c r="AX13" s="84"/>
      <c r="AY13" s="85"/>
      <c r="AZ13" s="85"/>
      <c r="BA13" s="84"/>
      <c r="BB13" s="85"/>
      <c r="BC13" s="85"/>
      <c r="BD13" s="84"/>
      <c r="BE13" s="85"/>
      <c r="BF13" s="85"/>
      <c r="BG13" s="84">
        <v>160</v>
      </c>
      <c r="BH13" s="75">
        <v>0.219</v>
      </c>
      <c r="BI13" s="75">
        <v>0.61199999999999999</v>
      </c>
      <c r="BJ13" s="74" t="s">
        <v>35</v>
      </c>
      <c r="BK13" s="83">
        <v>0.113</v>
      </c>
      <c r="BL13" s="83">
        <v>0.82399999999999995</v>
      </c>
      <c r="BM13" s="74" t="s">
        <v>36</v>
      </c>
      <c r="BN13" s="83">
        <v>0.154</v>
      </c>
      <c r="BO13" s="83">
        <v>0.74199999999999999</v>
      </c>
      <c r="BP13" s="74" t="s">
        <v>49</v>
      </c>
      <c r="BQ13" s="75">
        <v>0.308</v>
      </c>
      <c r="BR13" s="87">
        <v>0.434</v>
      </c>
    </row>
    <row r="14" ht="13.5">
      <c r="A14" s="38" t="s">
        <v>54</v>
      </c>
      <c r="B14" s="69" t="s">
        <v>55</v>
      </c>
      <c r="C14" s="70"/>
      <c r="D14" s="89"/>
      <c r="E14" s="90"/>
      <c r="F14" s="91"/>
      <c r="G14" s="91"/>
      <c r="H14" s="92"/>
      <c r="I14" s="93"/>
      <c r="J14" s="91"/>
      <c r="K14" s="91"/>
      <c r="L14" s="94"/>
      <c r="M14" s="90"/>
      <c r="N14" s="91"/>
      <c r="O14" s="91"/>
      <c r="P14" s="92"/>
      <c r="Q14" s="90"/>
      <c r="R14" s="95"/>
      <c r="S14" s="95"/>
      <c r="T14" s="2"/>
      <c r="U14" s="7" t="b">
        <v>0</v>
      </c>
      <c r="V14" s="7" t="b">
        <v>0</v>
      </c>
      <c r="W14" s="7" t="b">
        <v>0</v>
      </c>
      <c r="X14" s="7" t="b">
        <v>0</v>
      </c>
      <c r="Y14" s="66">
        <v>8</v>
      </c>
      <c r="Z14" s="96">
        <v>1</v>
      </c>
      <c r="AA14" s="82">
        <v>25</v>
      </c>
      <c r="AB14" s="82">
        <v>33.399999999999999</v>
      </c>
      <c r="AC14" s="74">
        <v>5</v>
      </c>
      <c r="AD14" s="83">
        <v>6.5000000000000002e-002</v>
      </c>
      <c r="AE14" s="83">
        <v>1.1850000000000001</v>
      </c>
      <c r="AF14" s="74">
        <v>10</v>
      </c>
      <c r="AG14" s="83">
        <v>0.109</v>
      </c>
      <c r="AH14" s="83">
        <v>1.097</v>
      </c>
      <c r="AI14" s="84"/>
      <c r="AJ14" s="85"/>
      <c r="AK14" s="85"/>
      <c r="AL14" s="84"/>
      <c r="AM14" s="85"/>
      <c r="AN14" s="85"/>
      <c r="AO14" s="84">
        <v>40</v>
      </c>
      <c r="AP14" s="83">
        <v>0.13300000000000001</v>
      </c>
      <c r="AQ14" s="83">
        <v>1.0489999999999999</v>
      </c>
      <c r="AR14" s="84"/>
      <c r="AS14" s="85"/>
      <c r="AT14" s="85"/>
      <c r="AU14" s="74">
        <v>80</v>
      </c>
      <c r="AV14" s="83">
        <v>0.17899999999999999</v>
      </c>
      <c r="AW14" s="83">
        <v>0.95700000000000007</v>
      </c>
      <c r="AX14" s="84"/>
      <c r="AY14" s="85"/>
      <c r="AZ14" s="85"/>
      <c r="BA14" s="84"/>
      <c r="BB14" s="85"/>
      <c r="BC14" s="85"/>
      <c r="BD14" s="84"/>
      <c r="BE14" s="85"/>
      <c r="BF14" s="85"/>
      <c r="BG14" s="84">
        <v>160</v>
      </c>
      <c r="BH14" s="75">
        <v>0.25</v>
      </c>
      <c r="BI14" s="75">
        <v>0.81499999999999995</v>
      </c>
      <c r="BJ14" s="74" t="s">
        <v>35</v>
      </c>
      <c r="BK14" s="83">
        <v>0.13300000000000001</v>
      </c>
      <c r="BL14" s="83">
        <v>1.0489999999999999</v>
      </c>
      <c r="BM14" s="74" t="s">
        <v>36</v>
      </c>
      <c r="BN14" s="83">
        <v>0.17899999999999999</v>
      </c>
      <c r="BO14" s="83">
        <v>0.95700000000000007</v>
      </c>
      <c r="BP14" s="74" t="s">
        <v>49</v>
      </c>
      <c r="BQ14" s="75">
        <v>0.35799999999999998</v>
      </c>
      <c r="BR14" s="87">
        <v>0.59899999999999998</v>
      </c>
    </row>
    <row r="15" ht="13.5">
      <c r="A15" s="49" t="s">
        <v>56</v>
      </c>
      <c r="B15" s="69" t="s">
        <v>57</v>
      </c>
      <c r="C15" s="70"/>
      <c r="D15" s="97" t="str">
        <f>IF(D6=0,"",IF(U14=TRUE,(10*LOG((((D7-D8)/D7)^3.6*(D12)^2*(D10/D11)^1.2),10)+126.1+6),(10*LOG((((D7-D8)/D7)^3.6*(D12)^2*(D10/D11)^1.2),10)+126.1)))</f>
        <v/>
      </c>
      <c r="E15" s="53" t="s">
        <v>52</v>
      </c>
      <c r="F15" s="53"/>
      <c r="G15" s="54"/>
      <c r="H15" s="98" t="str">
        <f>IF(H6=0,"",IF(V14=TRUE,(10*LOG((((H7-H8)/H7)^3.6*(H12)^2*(H10/H11)^1.2),10)+126.1+6),(10*LOG((((H7-H8)/H7)^3.6*(H12)^2*(H10/H11)^1.2),10)+126.1)))</f>
        <v/>
      </c>
      <c r="I15" s="55" t="s">
        <v>52</v>
      </c>
      <c r="J15" s="56"/>
      <c r="K15" s="53"/>
      <c r="L15" s="99" t="str">
        <f>IF(L6=0,"",IF(W14=TRUE,(10*LOG((((L7-L8)/L7)^3.6*(L12)^2*(L10/L11)^1.2),10)+126.1+6),(10*LOG((((L7-L8)/L7)^3.6*(L12)^2*(L10/L11)^1.2),10)+126.1)))</f>
        <v/>
      </c>
      <c r="M15" s="53" t="s">
        <v>52</v>
      </c>
      <c r="N15" s="53"/>
      <c r="O15" s="54"/>
      <c r="P15" s="98" t="str">
        <f>IF(P6=0,"",IF(X14=TRUE,(10*LOG((((P7-P8)/P7)^3.6*(P12)^2*(P10/P11)^1.2),10)+126.1+6),(10*LOG((((P7-P8)/P7)^3.6*(P12)^2*(P10/P11)^1.2),10)+126.1)))</f>
        <v/>
      </c>
      <c r="Q15" s="55" t="s">
        <v>52</v>
      </c>
      <c r="R15" s="1"/>
      <c r="S15" s="1"/>
      <c r="T15" s="2"/>
      <c r="Y15" s="67">
        <v>9</v>
      </c>
      <c r="Z15" s="96">
        <v>1.25</v>
      </c>
      <c r="AA15" s="82">
        <v>32</v>
      </c>
      <c r="AB15" s="82">
        <v>42.159999999999997</v>
      </c>
      <c r="AC15" s="74">
        <v>5</v>
      </c>
      <c r="AD15" s="83">
        <v>6.5000000000000002e-002</v>
      </c>
      <c r="AE15" s="83">
        <v>1.53</v>
      </c>
      <c r="AF15" s="74">
        <v>10</v>
      </c>
      <c r="AG15" s="83">
        <v>0.109</v>
      </c>
      <c r="AH15" s="83">
        <v>1.4419999999999999</v>
      </c>
      <c r="AI15" s="84"/>
      <c r="AJ15" s="85"/>
      <c r="AK15" s="85"/>
      <c r="AL15" s="84"/>
      <c r="AM15" s="85"/>
      <c r="AN15" s="85"/>
      <c r="AO15" s="84">
        <v>40</v>
      </c>
      <c r="AP15" s="83">
        <v>0.14000000000000001</v>
      </c>
      <c r="AQ15" s="83">
        <v>1.3799999999999999</v>
      </c>
      <c r="AR15" s="84"/>
      <c r="AS15" s="85"/>
      <c r="AT15" s="85"/>
      <c r="AU15" s="74">
        <v>80</v>
      </c>
      <c r="AV15" s="83">
        <v>0.191</v>
      </c>
      <c r="AW15" s="83">
        <v>1.278</v>
      </c>
      <c r="AX15" s="84"/>
      <c r="AY15" s="85"/>
      <c r="AZ15" s="85"/>
      <c r="BA15" s="84"/>
      <c r="BB15" s="85"/>
      <c r="BC15" s="85"/>
      <c r="BD15" s="84"/>
      <c r="BE15" s="85"/>
      <c r="BF15" s="85"/>
      <c r="BG15" s="84">
        <v>160</v>
      </c>
      <c r="BH15" s="83">
        <v>0.25</v>
      </c>
      <c r="BI15" s="83">
        <v>1.1599999999999999</v>
      </c>
      <c r="BJ15" s="74" t="s">
        <v>35</v>
      </c>
      <c r="BK15" s="83">
        <v>0.14000000000000001</v>
      </c>
      <c r="BL15" s="83">
        <v>1.3799999999999999</v>
      </c>
      <c r="BM15" s="74" t="s">
        <v>36</v>
      </c>
      <c r="BN15" s="83">
        <v>0.191</v>
      </c>
      <c r="BO15" s="83">
        <v>1.278</v>
      </c>
      <c r="BP15" s="74" t="s">
        <v>49</v>
      </c>
      <c r="BQ15" s="83">
        <v>0.38200000000000001</v>
      </c>
      <c r="BR15" s="100">
        <v>0.89600000000000002</v>
      </c>
    </row>
    <row r="16" ht="13.5">
      <c r="A16" s="38" t="s">
        <v>58</v>
      </c>
      <c r="B16" s="101" t="s">
        <v>59</v>
      </c>
      <c r="C16" s="102"/>
      <c r="D16" s="103" t="str">
        <f>IF(D6&gt;0,(D15-D13),"")</f>
        <v/>
      </c>
      <c r="E16" s="104" t="s">
        <v>52</v>
      </c>
      <c r="F16" s="104"/>
      <c r="G16" s="105"/>
      <c r="H16" s="106" t="str">
        <f>IF(H6&gt;0,(H15-H13),"")</f>
        <v/>
      </c>
      <c r="I16" s="107" t="s">
        <v>52</v>
      </c>
      <c r="J16" s="108"/>
      <c r="K16" s="104"/>
      <c r="L16" s="109" t="str">
        <f>IF(L6&gt;0,(L15-L13),"")</f>
        <v/>
      </c>
      <c r="M16" s="104" t="s">
        <v>52</v>
      </c>
      <c r="N16" s="104"/>
      <c r="O16" s="105"/>
      <c r="P16" s="106" t="str">
        <f>IF(P6&gt;0,(P15-P13),"")</f>
        <v/>
      </c>
      <c r="Q16" s="107" t="s">
        <v>52</v>
      </c>
      <c r="R16" s="1"/>
      <c r="S16" s="1"/>
      <c r="T16" s="2"/>
      <c r="Y16" s="66">
        <v>10</v>
      </c>
      <c r="Z16" s="96">
        <v>1.5</v>
      </c>
      <c r="AA16" s="82">
        <v>40</v>
      </c>
      <c r="AB16" s="82">
        <v>48.259999999999998</v>
      </c>
      <c r="AC16" s="74">
        <v>5</v>
      </c>
      <c r="AD16" s="83">
        <v>6.5000000000000002e-002</v>
      </c>
      <c r="AE16" s="83">
        <v>1.77</v>
      </c>
      <c r="AF16" s="74">
        <v>10</v>
      </c>
      <c r="AG16" s="83">
        <v>0.109</v>
      </c>
      <c r="AH16" s="83">
        <v>1.6819999999999999</v>
      </c>
      <c r="AI16" s="84"/>
      <c r="AJ16" s="85"/>
      <c r="AK16" s="85"/>
      <c r="AL16" s="84"/>
      <c r="AM16" s="85"/>
      <c r="AN16" s="85"/>
      <c r="AO16" s="84">
        <v>40</v>
      </c>
      <c r="AP16" s="83">
        <v>0.14499999999999999</v>
      </c>
      <c r="AQ16" s="83">
        <v>1.6100000000000001</v>
      </c>
      <c r="AR16" s="84"/>
      <c r="AS16" s="85"/>
      <c r="AT16" s="85"/>
      <c r="AU16" s="74">
        <v>80</v>
      </c>
      <c r="AV16" s="83">
        <v>0.20000000000000001</v>
      </c>
      <c r="AW16" s="83">
        <v>1.5</v>
      </c>
      <c r="AX16" s="84"/>
      <c r="AY16" s="85"/>
      <c r="AZ16" s="85"/>
      <c r="BA16" s="84"/>
      <c r="BB16" s="85"/>
      <c r="BC16" s="85"/>
      <c r="BD16" s="84"/>
      <c r="BE16" s="85"/>
      <c r="BF16" s="85"/>
      <c r="BG16" s="84">
        <v>160</v>
      </c>
      <c r="BH16" s="83">
        <v>0.28100000000000003</v>
      </c>
      <c r="BI16" s="83">
        <v>1.3380000000000001</v>
      </c>
      <c r="BJ16" s="74" t="s">
        <v>35</v>
      </c>
      <c r="BK16" s="83">
        <v>0.14499999999999999</v>
      </c>
      <c r="BL16" s="83">
        <v>1.6100000000000001</v>
      </c>
      <c r="BM16" s="74" t="s">
        <v>36</v>
      </c>
      <c r="BN16" s="83">
        <v>0.20000000000000001</v>
      </c>
      <c r="BO16" s="83">
        <v>1.5</v>
      </c>
      <c r="BP16" s="74" t="s">
        <v>49</v>
      </c>
      <c r="BQ16" s="83">
        <v>0.40000000000000002</v>
      </c>
      <c r="BR16" s="100">
        <v>1.1000000000000001</v>
      </c>
    </row>
    <row r="17" s="110" customFormat="1" ht="12" customHeight="1">
      <c r="A17" s="38" t="s">
        <v>60</v>
      </c>
      <c r="B17" s="111" t="s">
        <v>61</v>
      </c>
      <c r="C17" s="112"/>
      <c r="D17" s="113" t="str">
        <f>IF(D6=0,"",IF(D16&lt;155,("LOF = 0.29 - Design OK!"),("Calculate PWL in the main line at next welded discontinuity")))</f>
        <v/>
      </c>
      <c r="E17" s="114"/>
      <c r="F17" s="113"/>
      <c r="G17" s="113"/>
      <c r="H17" s="111" t="str">
        <f>IF(H6=0,"",IF(H16&lt;155,("LOF = 0.29 - Design OK!"),("Calculate PWL in the main line at next welded discontinuity")))</f>
        <v/>
      </c>
      <c r="I17" s="112"/>
      <c r="J17" s="113"/>
      <c r="K17" s="113"/>
      <c r="L17" s="115" t="str">
        <f>IF(L6=0,"",IF(L16&lt;155,("LOF = 0.29 - Design OK!"),("Calculate PWL in the main line at next welded discontinuity")))</f>
        <v/>
      </c>
      <c r="M17" s="112"/>
      <c r="N17" s="113"/>
      <c r="O17" s="113"/>
      <c r="P17" s="115" t="str">
        <f>IF(P6=0,"",IF(P16&lt;155,("LOF = 0.29 - Design OK!"),("Calculate PWL in the main line at next welded discontinuity")))</f>
        <v/>
      </c>
      <c r="Q17" s="114"/>
      <c r="R17" s="116"/>
      <c r="S17" s="116"/>
      <c r="T17" s="117"/>
      <c r="Y17" s="66">
        <v>11</v>
      </c>
      <c r="Z17" s="96">
        <v>2</v>
      </c>
      <c r="AA17" s="82">
        <v>50</v>
      </c>
      <c r="AB17" s="82">
        <v>60.329999999999998</v>
      </c>
      <c r="AC17" s="74">
        <v>5</v>
      </c>
      <c r="AD17" s="83">
        <v>6.5000000000000002e-002</v>
      </c>
      <c r="AE17" s="83">
        <v>2.2450000000000001</v>
      </c>
      <c r="AF17" s="74">
        <v>10</v>
      </c>
      <c r="AG17" s="83">
        <v>0.109</v>
      </c>
      <c r="AH17" s="83">
        <v>2.157</v>
      </c>
      <c r="AI17" s="84"/>
      <c r="AJ17" s="85"/>
      <c r="AK17" s="85"/>
      <c r="AL17" s="84"/>
      <c r="AM17" s="85"/>
      <c r="AN17" s="85"/>
      <c r="AO17" s="84">
        <v>40</v>
      </c>
      <c r="AP17" s="83">
        <v>0.154</v>
      </c>
      <c r="AQ17" s="83">
        <v>2.0670000000000002</v>
      </c>
      <c r="AR17" s="84"/>
      <c r="AS17" s="85"/>
      <c r="AT17" s="85"/>
      <c r="AU17" s="74">
        <v>80</v>
      </c>
      <c r="AV17" s="83">
        <v>0.218</v>
      </c>
      <c r="AW17" s="83">
        <v>1.9390000000000001</v>
      </c>
      <c r="AX17" s="84"/>
      <c r="AY17" s="85"/>
      <c r="AZ17" s="85"/>
      <c r="BA17" s="84"/>
      <c r="BB17" s="85"/>
      <c r="BC17" s="85"/>
      <c r="BD17" s="84"/>
      <c r="BE17" s="85"/>
      <c r="BF17" s="85"/>
      <c r="BG17" s="84">
        <v>160</v>
      </c>
      <c r="BH17" s="83">
        <v>0.34399999999999997</v>
      </c>
      <c r="BI17" s="83">
        <v>1.6870000000000001</v>
      </c>
      <c r="BJ17" s="74" t="s">
        <v>35</v>
      </c>
      <c r="BK17" s="83">
        <v>0.154</v>
      </c>
      <c r="BL17" s="83">
        <v>2.0670000000000002</v>
      </c>
      <c r="BM17" s="74" t="s">
        <v>36</v>
      </c>
      <c r="BN17" s="83">
        <v>0.218</v>
      </c>
      <c r="BO17" s="83">
        <v>1.9390000000000001</v>
      </c>
      <c r="BP17" s="74" t="s">
        <v>49</v>
      </c>
      <c r="BQ17" s="83">
        <v>0.436</v>
      </c>
      <c r="BR17" s="100">
        <v>1.5029999999999999</v>
      </c>
    </row>
    <row r="18" s="110" customFormat="1" ht="12.75" customHeight="1">
      <c r="A18" s="49" t="s">
        <v>62</v>
      </c>
      <c r="B18" s="118"/>
      <c r="C18" s="119"/>
      <c r="D18" s="120"/>
      <c r="E18" s="121"/>
      <c r="F18" s="120"/>
      <c r="G18" s="120"/>
      <c r="H18" s="118"/>
      <c r="I18" s="119"/>
      <c r="J18" s="120"/>
      <c r="K18" s="120"/>
      <c r="L18" s="122"/>
      <c r="M18" s="119"/>
      <c r="N18" s="120"/>
      <c r="O18" s="120"/>
      <c r="P18" s="122"/>
      <c r="Q18" s="121"/>
      <c r="R18" s="116"/>
      <c r="S18" s="116"/>
      <c r="T18" s="117"/>
      <c r="Y18" s="67">
        <v>12</v>
      </c>
      <c r="Z18" s="96">
        <v>2.5</v>
      </c>
      <c r="AA18" s="82">
        <v>65</v>
      </c>
      <c r="AB18" s="82">
        <v>73.019999999999996</v>
      </c>
      <c r="AC18" s="74">
        <v>5</v>
      </c>
      <c r="AD18" s="83">
        <v>8.3000000000000004e-002</v>
      </c>
      <c r="AE18" s="83">
        <v>2.7090000000000001</v>
      </c>
      <c r="AF18" s="74">
        <v>10</v>
      </c>
      <c r="AG18" s="83">
        <v>0.12</v>
      </c>
      <c r="AH18" s="83">
        <v>2.6349999999999998</v>
      </c>
      <c r="AI18" s="84"/>
      <c r="AJ18" s="85"/>
      <c r="AK18" s="85"/>
      <c r="AL18" s="84"/>
      <c r="AM18" s="85"/>
      <c r="AN18" s="85"/>
      <c r="AO18" s="84">
        <v>40</v>
      </c>
      <c r="AP18" s="83">
        <v>0.20300000000000001</v>
      </c>
      <c r="AQ18" s="83">
        <v>2.4689999999999999</v>
      </c>
      <c r="AR18" s="84"/>
      <c r="AS18" s="85"/>
      <c r="AT18" s="85"/>
      <c r="AU18" s="74">
        <v>80</v>
      </c>
      <c r="AV18" s="75">
        <v>0.27600000000000002</v>
      </c>
      <c r="AW18" s="75">
        <v>2.323</v>
      </c>
      <c r="AX18" s="84"/>
      <c r="AY18" s="85"/>
      <c r="AZ18" s="85"/>
      <c r="BA18" s="84"/>
      <c r="BB18" s="85"/>
      <c r="BC18" s="85"/>
      <c r="BD18" s="84"/>
      <c r="BE18" s="85"/>
      <c r="BF18" s="85"/>
      <c r="BG18" s="84">
        <v>160</v>
      </c>
      <c r="BH18" s="83">
        <v>0.375</v>
      </c>
      <c r="BI18" s="83">
        <v>2.125</v>
      </c>
      <c r="BJ18" s="74" t="s">
        <v>35</v>
      </c>
      <c r="BK18" s="75">
        <v>0.20300000000000001</v>
      </c>
      <c r="BL18" s="75">
        <v>2.4689999999999999</v>
      </c>
      <c r="BM18" s="74" t="s">
        <v>36</v>
      </c>
      <c r="BN18" s="75">
        <v>0.27600000000000002</v>
      </c>
      <c r="BO18" s="75">
        <v>2.323</v>
      </c>
      <c r="BP18" s="74" t="s">
        <v>49</v>
      </c>
      <c r="BQ18" s="83">
        <v>0.55200000000000005</v>
      </c>
      <c r="BR18" s="100">
        <v>1.7709999999999999</v>
      </c>
    </row>
    <row r="19" s="110" customFormat="1" ht="12" customHeight="1">
      <c r="A19" s="38" t="s">
        <v>63</v>
      </c>
      <c r="B19" s="123"/>
      <c r="C19" s="124"/>
      <c r="D19" s="125"/>
      <c r="E19" s="126"/>
      <c r="F19" s="125"/>
      <c r="G19" s="125"/>
      <c r="H19" s="123"/>
      <c r="I19" s="124"/>
      <c r="J19" s="125"/>
      <c r="K19" s="125"/>
      <c r="L19" s="127"/>
      <c r="M19" s="124"/>
      <c r="N19" s="125"/>
      <c r="O19" s="125"/>
      <c r="P19" s="127"/>
      <c r="Q19" s="126"/>
      <c r="R19" s="116"/>
      <c r="S19" s="116"/>
      <c r="T19" s="117"/>
      <c r="Y19" s="66">
        <v>13</v>
      </c>
      <c r="Z19" s="96">
        <v>3</v>
      </c>
      <c r="AA19" s="82">
        <v>80</v>
      </c>
      <c r="AB19" s="82">
        <v>88.900000000000006</v>
      </c>
      <c r="AC19" s="74">
        <v>5</v>
      </c>
      <c r="AD19" s="83">
        <v>8.3000000000000004e-002</v>
      </c>
      <c r="AE19" s="83">
        <v>3.3340000000000001</v>
      </c>
      <c r="AF19" s="74">
        <v>10</v>
      </c>
      <c r="AG19" s="83">
        <v>0.12</v>
      </c>
      <c r="AH19" s="83">
        <v>3.2599999999999998</v>
      </c>
      <c r="AI19" s="84"/>
      <c r="AJ19" s="85"/>
      <c r="AK19" s="85"/>
      <c r="AL19" s="84"/>
      <c r="AM19" s="85"/>
      <c r="AN19" s="85"/>
      <c r="AO19" s="84">
        <v>40</v>
      </c>
      <c r="AP19" s="83">
        <v>0.216</v>
      </c>
      <c r="AQ19" s="83">
        <v>3.0680000000000001</v>
      </c>
      <c r="AR19" s="84"/>
      <c r="AS19" s="85"/>
      <c r="AT19" s="85"/>
      <c r="AU19" s="74">
        <v>80</v>
      </c>
      <c r="AV19" s="75">
        <v>0.29999999999999999</v>
      </c>
      <c r="AW19" s="75">
        <v>2.8999999999999999</v>
      </c>
      <c r="AX19" s="84"/>
      <c r="AY19" s="85"/>
      <c r="AZ19" s="85"/>
      <c r="BA19" s="84"/>
      <c r="BB19" s="85"/>
      <c r="BC19" s="85"/>
      <c r="BD19" s="84"/>
      <c r="BE19" s="85"/>
      <c r="BF19" s="85"/>
      <c r="BG19" s="84">
        <v>160</v>
      </c>
      <c r="BH19" s="83">
        <v>0.438</v>
      </c>
      <c r="BI19" s="83">
        <v>2.6240000000000001</v>
      </c>
      <c r="BJ19" s="74" t="s">
        <v>35</v>
      </c>
      <c r="BK19" s="75">
        <v>0.216</v>
      </c>
      <c r="BL19" s="75">
        <v>3.0680000000000001</v>
      </c>
      <c r="BM19" s="74" t="s">
        <v>36</v>
      </c>
      <c r="BN19" s="75">
        <v>0.29999999999999999</v>
      </c>
      <c r="BO19" s="75">
        <v>2.8999999999999999</v>
      </c>
      <c r="BP19" s="74" t="s">
        <v>49</v>
      </c>
      <c r="BQ19" s="83">
        <v>0.59999999999999998</v>
      </c>
      <c r="BR19" s="100">
        <v>2.2999999999999998</v>
      </c>
      <c r="BT19" s="128"/>
    </row>
    <row r="20" ht="14.25" customHeight="1">
      <c r="A20" s="38" t="s">
        <v>64</v>
      </c>
      <c r="B20" s="129" t="s">
        <v>65</v>
      </c>
      <c r="C20" s="130"/>
      <c r="D20" s="131"/>
      <c r="E20" s="132" t="s">
        <v>66</v>
      </c>
      <c r="F20" s="53"/>
      <c r="G20" s="54"/>
      <c r="H20" s="133"/>
      <c r="I20" s="134" t="s">
        <v>66</v>
      </c>
      <c r="J20" s="56"/>
      <c r="K20" s="53"/>
      <c r="L20" s="131"/>
      <c r="M20" s="134" t="s">
        <v>66</v>
      </c>
      <c r="N20" s="56"/>
      <c r="O20" s="54"/>
      <c r="P20" s="131"/>
      <c r="Q20" s="134" t="s">
        <v>66</v>
      </c>
      <c r="R20" s="1"/>
      <c r="S20" s="1"/>
      <c r="T20" s="2"/>
      <c r="Y20" s="66">
        <v>14</v>
      </c>
      <c r="Z20" s="96">
        <v>3.5</v>
      </c>
      <c r="AA20" s="82">
        <v>90</v>
      </c>
      <c r="AB20" s="82">
        <v>101.59999999999999</v>
      </c>
      <c r="AC20" s="74">
        <v>5</v>
      </c>
      <c r="AD20" s="83">
        <v>8.3000000000000004e-002</v>
      </c>
      <c r="AE20" s="83">
        <v>3.8340000000000001</v>
      </c>
      <c r="AF20" s="74">
        <v>10</v>
      </c>
      <c r="AG20" s="83">
        <v>0.12</v>
      </c>
      <c r="AH20" s="83">
        <v>3.7599999999999998</v>
      </c>
      <c r="AI20" s="84"/>
      <c r="AJ20" s="85"/>
      <c r="AK20" s="85"/>
      <c r="AL20" s="84"/>
      <c r="AM20" s="85"/>
      <c r="AN20" s="85"/>
      <c r="AO20" s="84">
        <v>40</v>
      </c>
      <c r="AP20" s="83">
        <v>0.22600000000000001</v>
      </c>
      <c r="AQ20" s="83">
        <v>3.548</v>
      </c>
      <c r="AR20" s="84"/>
      <c r="AS20" s="85"/>
      <c r="AT20" s="85"/>
      <c r="AU20" s="74">
        <v>80</v>
      </c>
      <c r="AV20" s="75">
        <v>0.318</v>
      </c>
      <c r="AW20" s="75">
        <v>3.3639999999999999</v>
      </c>
      <c r="AX20" s="84"/>
      <c r="AY20" s="85"/>
      <c r="AZ20" s="85"/>
      <c r="BA20" s="84"/>
      <c r="BB20" s="85"/>
      <c r="BC20" s="85"/>
      <c r="BD20" s="84"/>
      <c r="BE20" s="85"/>
      <c r="BF20" s="85"/>
      <c r="BG20" s="84"/>
      <c r="BH20" s="83"/>
      <c r="BI20" s="83"/>
      <c r="BJ20" s="74" t="s">
        <v>35</v>
      </c>
      <c r="BK20" s="75">
        <v>0.22600000000000001</v>
      </c>
      <c r="BL20" s="75">
        <v>3.548</v>
      </c>
      <c r="BM20" s="74" t="s">
        <v>36</v>
      </c>
      <c r="BN20" s="75">
        <v>0.318</v>
      </c>
      <c r="BO20" s="75">
        <v>3.3639999999999999</v>
      </c>
      <c r="BP20" s="74"/>
      <c r="BQ20" s="83"/>
      <c r="BR20" s="100"/>
    </row>
    <row r="21" ht="13.5" customHeight="1">
      <c r="A21" s="49" t="s">
        <v>67</v>
      </c>
      <c r="B21" s="135"/>
      <c r="C21" s="136"/>
      <c r="D21" s="137"/>
      <c r="E21" s="138"/>
      <c r="F21" s="139"/>
      <c r="G21" s="54"/>
      <c r="H21" s="140"/>
      <c r="I21" s="141"/>
      <c r="J21" s="142"/>
      <c r="K21" s="53"/>
      <c r="L21" s="137"/>
      <c r="M21" s="141"/>
      <c r="N21" s="142"/>
      <c r="O21" s="54"/>
      <c r="P21" s="137"/>
      <c r="Q21" s="141"/>
      <c r="R21" s="1"/>
      <c r="S21" s="1"/>
      <c r="T21" s="2"/>
      <c r="Y21" s="67">
        <v>15</v>
      </c>
      <c r="Z21" s="96">
        <v>4</v>
      </c>
      <c r="AA21" s="82">
        <v>100</v>
      </c>
      <c r="AB21" s="82">
        <v>114.3</v>
      </c>
      <c r="AC21" s="74">
        <v>5</v>
      </c>
      <c r="AD21" s="83">
        <v>8.3000000000000004e-002</v>
      </c>
      <c r="AE21" s="83">
        <v>4.3339999999999996</v>
      </c>
      <c r="AF21" s="74">
        <v>10</v>
      </c>
      <c r="AG21" s="83">
        <v>0.12</v>
      </c>
      <c r="AH21" s="83">
        <v>4.2599999999999998</v>
      </c>
      <c r="AI21" s="84"/>
      <c r="AJ21" s="85"/>
      <c r="AK21" s="85"/>
      <c r="AL21" s="84"/>
      <c r="AM21" s="85"/>
      <c r="AN21" s="85"/>
      <c r="AO21" s="84">
        <v>40</v>
      </c>
      <c r="AP21" s="83">
        <v>0.23700000000000002</v>
      </c>
      <c r="AQ21" s="83">
        <v>4.0259999999999998</v>
      </c>
      <c r="AR21" s="84"/>
      <c r="AS21" s="85"/>
      <c r="AT21" s="85"/>
      <c r="AU21" s="74">
        <v>80</v>
      </c>
      <c r="AV21" s="83">
        <v>0.33700000000000002</v>
      </c>
      <c r="AW21" s="83">
        <v>3.8260000000000001</v>
      </c>
      <c r="AX21" s="84"/>
      <c r="AY21" s="85"/>
      <c r="AZ21" s="85"/>
      <c r="BA21" s="84">
        <v>120</v>
      </c>
      <c r="BB21" s="75">
        <v>0.438</v>
      </c>
      <c r="BC21" s="75">
        <v>3.6240000000000001</v>
      </c>
      <c r="BD21" s="84"/>
      <c r="BE21" s="85"/>
      <c r="BF21" s="85"/>
      <c r="BG21" s="84">
        <v>160</v>
      </c>
      <c r="BH21" s="75">
        <v>0.53100000000000003</v>
      </c>
      <c r="BI21" s="75">
        <v>3.4380000000000002</v>
      </c>
      <c r="BJ21" s="74" t="s">
        <v>35</v>
      </c>
      <c r="BK21" s="83">
        <v>0.23700000000000002</v>
      </c>
      <c r="BL21" s="83">
        <v>4.0259999999999998</v>
      </c>
      <c r="BM21" s="74" t="s">
        <v>36</v>
      </c>
      <c r="BN21" s="83">
        <v>0.33700000000000002</v>
      </c>
      <c r="BO21" s="83">
        <v>3.8260000000000001</v>
      </c>
      <c r="BP21" s="74" t="s">
        <v>49</v>
      </c>
      <c r="BQ21" s="75">
        <v>0.67400000000000004</v>
      </c>
      <c r="BR21" s="87">
        <v>3.1520000000000001</v>
      </c>
    </row>
    <row r="22" ht="15.75" customHeight="1">
      <c r="A22" s="38" t="s">
        <v>68</v>
      </c>
      <c r="B22" s="69" t="s">
        <v>69</v>
      </c>
      <c r="C22" s="70"/>
      <c r="D22" s="143" t="str">
        <f>VLOOKUP(F22,Y7:AA45,2)</f>
        <v>Select…</v>
      </c>
      <c r="E22" s="144" t="s">
        <v>13</v>
      </c>
      <c r="F22" s="139">
        <v>1</v>
      </c>
      <c r="G22" s="145" t="e">
        <f>VLOOKUP(F22,Y8:AA45,3)</f>
        <v>#N/A</v>
      </c>
      <c r="H22" s="146" t="str">
        <f>VLOOKUP(J22,Y7:AA45,2)</f>
        <v>Select…</v>
      </c>
      <c r="I22" s="147" t="s">
        <v>13</v>
      </c>
      <c r="J22" s="142">
        <v>1</v>
      </c>
      <c r="K22" s="148" t="e">
        <f>VLOOKUP(J22,Y8:AA45,3)</f>
        <v>#N/A</v>
      </c>
      <c r="L22" s="149" t="str">
        <f>VLOOKUP(N22,Y7:AA45,2)</f>
        <v>Select…</v>
      </c>
      <c r="M22" s="144" t="s">
        <v>13</v>
      </c>
      <c r="N22" s="139">
        <v>1</v>
      </c>
      <c r="O22" s="145" t="e">
        <f>VLOOKUP(N22,Y8:AA45,3)</f>
        <v>#N/A</v>
      </c>
      <c r="P22" s="146" t="str">
        <f>VLOOKUP(R22,Y7:AA45,2)</f>
        <v>Select…</v>
      </c>
      <c r="Q22" s="147" t="s">
        <v>13</v>
      </c>
      <c r="R22" s="150">
        <v>1</v>
      </c>
      <c r="S22" s="151" t="e">
        <f>VLOOKUP(R22,Y8:AA45,3)</f>
        <v>#N/A</v>
      </c>
      <c r="T22" s="2"/>
      <c r="Y22" s="66">
        <v>16</v>
      </c>
      <c r="Z22" s="96">
        <v>5</v>
      </c>
      <c r="AA22" s="82">
        <v>125</v>
      </c>
      <c r="AB22" s="82">
        <v>141.30000000000001</v>
      </c>
      <c r="AC22" s="74">
        <v>5</v>
      </c>
      <c r="AD22" s="83">
        <v>0.109</v>
      </c>
      <c r="AE22" s="83">
        <v>5.3449999999999998</v>
      </c>
      <c r="AF22" s="74">
        <v>10</v>
      </c>
      <c r="AG22" s="83">
        <v>0.13400000000000001</v>
      </c>
      <c r="AH22" s="83">
        <v>5.2949999999999999</v>
      </c>
      <c r="AI22" s="84"/>
      <c r="AJ22" s="85"/>
      <c r="AK22" s="85"/>
      <c r="AL22" s="84"/>
      <c r="AM22" s="85"/>
      <c r="AN22" s="85"/>
      <c r="AO22" s="84">
        <v>40</v>
      </c>
      <c r="AP22" s="83">
        <v>0.25800000000000001</v>
      </c>
      <c r="AQ22" s="83">
        <v>5.0469999999999997</v>
      </c>
      <c r="AR22" s="84"/>
      <c r="AS22" s="85"/>
      <c r="AT22" s="85"/>
      <c r="AU22" s="74">
        <v>80</v>
      </c>
      <c r="AV22" s="83">
        <v>0.375</v>
      </c>
      <c r="AW22" s="83">
        <v>4.8129999999999997</v>
      </c>
      <c r="AX22" s="84"/>
      <c r="AY22" s="85"/>
      <c r="AZ22" s="85"/>
      <c r="BA22" s="84">
        <v>120</v>
      </c>
      <c r="BB22" s="75">
        <v>0.5</v>
      </c>
      <c r="BC22" s="75">
        <v>4.5629999999999997</v>
      </c>
      <c r="BD22" s="84"/>
      <c r="BE22" s="85"/>
      <c r="BF22" s="85"/>
      <c r="BG22" s="84">
        <v>160</v>
      </c>
      <c r="BH22" s="75">
        <v>0.625</v>
      </c>
      <c r="BI22" s="75">
        <v>4.3129999999999997</v>
      </c>
      <c r="BJ22" s="74" t="s">
        <v>35</v>
      </c>
      <c r="BK22" s="83">
        <v>0.25800000000000001</v>
      </c>
      <c r="BL22" s="83">
        <v>5.0469999999999997</v>
      </c>
      <c r="BM22" s="74" t="s">
        <v>36</v>
      </c>
      <c r="BN22" s="83">
        <v>0.375</v>
      </c>
      <c r="BO22" s="83">
        <v>4.8129999999999997</v>
      </c>
      <c r="BP22" s="74" t="s">
        <v>49</v>
      </c>
      <c r="BQ22" s="75">
        <v>0.75</v>
      </c>
      <c r="BR22" s="87">
        <v>4.0629999999999997</v>
      </c>
    </row>
    <row r="23" ht="15.75" customHeight="1">
      <c r="A23" s="38" t="s">
        <v>70</v>
      </c>
      <c r="B23" s="69" t="s">
        <v>71</v>
      </c>
      <c r="C23" s="70"/>
      <c r="D23" s="143" t="str">
        <f>VLOOKUP(F23,AF46:AH60,2)</f>
        <v>Select…</v>
      </c>
      <c r="E23" s="144"/>
      <c r="F23" s="139">
        <v>1</v>
      </c>
      <c r="G23" s="145" t="e">
        <f>VLOOKUP(F23,AF47:AH60,3)</f>
        <v>#N/A</v>
      </c>
      <c r="H23" s="146" t="str">
        <f>VLOOKUP(J23,AF46:AH60,2)</f>
        <v>Select…</v>
      </c>
      <c r="I23" s="147"/>
      <c r="J23" s="142">
        <v>1</v>
      </c>
      <c r="K23" s="148" t="e">
        <f>VLOOKUP(J23,AF47:AH60,3)</f>
        <v>#N/A</v>
      </c>
      <c r="L23" s="149" t="str">
        <f>VLOOKUP(N23,AF46:AH60,2)</f>
        <v>Select…</v>
      </c>
      <c r="M23" s="144"/>
      <c r="N23" s="139">
        <v>1</v>
      </c>
      <c r="O23" s="145" t="e">
        <f>VLOOKUP(N23,AF47:AH60,3)</f>
        <v>#N/A</v>
      </c>
      <c r="P23" s="146" t="str">
        <f>VLOOKUP(R23,AF46:AH60,2)</f>
        <v>Select…</v>
      </c>
      <c r="Q23" s="147"/>
      <c r="R23" s="150">
        <v>1</v>
      </c>
      <c r="S23" s="151" t="e">
        <f>VLOOKUP(R23,AF47:AH60,3)</f>
        <v>#N/A</v>
      </c>
      <c r="T23" s="2"/>
      <c r="Y23" s="66">
        <v>17</v>
      </c>
      <c r="Z23" s="96">
        <v>6</v>
      </c>
      <c r="AA23" s="82">
        <v>150</v>
      </c>
      <c r="AB23" s="82">
        <v>168.30000000000001</v>
      </c>
      <c r="AC23" s="74">
        <v>5</v>
      </c>
      <c r="AD23" s="83">
        <v>0.109</v>
      </c>
      <c r="AE23" s="83">
        <v>6.407</v>
      </c>
      <c r="AF23" s="74">
        <v>10</v>
      </c>
      <c r="AG23" s="83">
        <v>0.13400000000000001</v>
      </c>
      <c r="AH23" s="83">
        <v>6.3570000000000002</v>
      </c>
      <c r="AI23" s="84"/>
      <c r="AJ23" s="85"/>
      <c r="AK23" s="85"/>
      <c r="AL23" s="84"/>
      <c r="AM23" s="85"/>
      <c r="AN23" s="85"/>
      <c r="AO23" s="84">
        <v>40</v>
      </c>
      <c r="AP23" s="83">
        <v>0.28000000000000003</v>
      </c>
      <c r="AQ23" s="83">
        <v>6.0650000000000004</v>
      </c>
      <c r="AR23" s="84"/>
      <c r="AS23" s="85"/>
      <c r="AT23" s="85"/>
      <c r="AU23" s="84">
        <v>80</v>
      </c>
      <c r="AV23" s="83">
        <v>0.432</v>
      </c>
      <c r="AW23" s="83">
        <v>5.7610000000000001</v>
      </c>
      <c r="AX23" s="84"/>
      <c r="AY23" s="85"/>
      <c r="AZ23" s="85"/>
      <c r="BA23" s="84">
        <v>120</v>
      </c>
      <c r="BB23" s="75">
        <v>0.56200000000000006</v>
      </c>
      <c r="BC23" s="75">
        <v>5.5010000000000003</v>
      </c>
      <c r="BD23" s="84"/>
      <c r="BE23" s="85"/>
      <c r="BF23" s="85"/>
      <c r="BG23" s="84">
        <v>160</v>
      </c>
      <c r="BH23" s="75">
        <v>0.71899999999999997</v>
      </c>
      <c r="BI23" s="75">
        <v>5.1870000000000003</v>
      </c>
      <c r="BJ23" s="74" t="s">
        <v>35</v>
      </c>
      <c r="BK23" s="83">
        <v>0.28000000000000003</v>
      </c>
      <c r="BL23" s="83">
        <v>6.0650000000000004</v>
      </c>
      <c r="BM23" s="74" t="s">
        <v>36</v>
      </c>
      <c r="BN23" s="83">
        <v>0.432</v>
      </c>
      <c r="BO23" s="83">
        <v>5.7610000000000001</v>
      </c>
      <c r="BP23" s="74" t="s">
        <v>49</v>
      </c>
      <c r="BQ23" s="75">
        <v>0.86399999999999999</v>
      </c>
      <c r="BR23" s="87">
        <v>4.8970000000000002</v>
      </c>
    </row>
    <row r="24" ht="13.5">
      <c r="A24" s="49" t="s">
        <v>72</v>
      </c>
      <c r="B24" s="69" t="s">
        <v>73</v>
      </c>
      <c r="C24" s="70"/>
      <c r="D24" s="16" t="e">
        <f>IF(G22="N/A","",(VLOOKUP(G22,AA9:AB44,2)))</f>
        <v>#N/A</v>
      </c>
      <c r="E24" s="53" t="s">
        <v>14</v>
      </c>
      <c r="F24" s="53" t="e">
        <f>IF(G22="N/A",D27,D24)</f>
        <v>#N/A</v>
      </c>
      <c r="G24" s="54"/>
      <c r="H24" s="152" t="e">
        <f>IF(K22="N/A","",(VLOOKUP(K22,AA9:AB44,2)))</f>
        <v>#N/A</v>
      </c>
      <c r="I24" s="55" t="s">
        <v>14</v>
      </c>
      <c r="J24" s="56" t="e">
        <f>IF(K22="N/A",H27,H24)</f>
        <v>#N/A</v>
      </c>
      <c r="K24" s="53"/>
      <c r="L24" s="16" t="e">
        <f>IF(O22="N/A","",(VLOOKUP(O22,AA9:AB44,2)))</f>
        <v>#N/A</v>
      </c>
      <c r="M24" s="53" t="s">
        <v>14</v>
      </c>
      <c r="N24" s="53" t="e">
        <f>IF(O22="N/A",L27,L24)</f>
        <v>#N/A</v>
      </c>
      <c r="O24" s="54"/>
      <c r="P24" s="152" t="e">
        <f>IF(S22="N/A","",(VLOOKUP(S22,AA9:AB44,2)))</f>
        <v>#N/A</v>
      </c>
      <c r="Q24" s="55" t="s">
        <v>14</v>
      </c>
      <c r="R24" s="153" t="e">
        <f>IF(S22="N/A",P27,P24)</f>
        <v>#N/A</v>
      </c>
      <c r="S24" s="154"/>
      <c r="T24" s="2"/>
      <c r="Y24" s="67">
        <v>18</v>
      </c>
      <c r="Z24" s="96">
        <v>8</v>
      </c>
      <c r="AA24" s="82">
        <v>200</v>
      </c>
      <c r="AB24" s="82">
        <v>219.09999999999999</v>
      </c>
      <c r="AC24" s="74">
        <v>5</v>
      </c>
      <c r="AD24" s="83">
        <v>0.109</v>
      </c>
      <c r="AE24" s="83">
        <v>8.407</v>
      </c>
      <c r="AF24" s="74">
        <v>10</v>
      </c>
      <c r="AG24" s="83">
        <v>0.14799999999999999</v>
      </c>
      <c r="AH24" s="83">
        <v>8.3290000000000006</v>
      </c>
      <c r="AI24" s="84">
        <v>20</v>
      </c>
      <c r="AJ24" s="75">
        <v>0.25</v>
      </c>
      <c r="AK24" s="75">
        <v>8.125</v>
      </c>
      <c r="AL24" s="84">
        <v>30</v>
      </c>
      <c r="AM24" s="75">
        <v>0.27700000000000002</v>
      </c>
      <c r="AN24" s="75">
        <v>8.0709999999999997</v>
      </c>
      <c r="AO24" s="84">
        <v>40</v>
      </c>
      <c r="AP24" s="75">
        <v>0.32200000000000001</v>
      </c>
      <c r="AQ24" s="75">
        <v>7.9809999999999999</v>
      </c>
      <c r="AR24" s="84">
        <v>60</v>
      </c>
      <c r="AS24" s="75">
        <v>0.40600000000000003</v>
      </c>
      <c r="AT24" s="75">
        <v>7.8129999999999997</v>
      </c>
      <c r="AU24" s="84">
        <v>80</v>
      </c>
      <c r="AV24" s="83">
        <v>0.5</v>
      </c>
      <c r="AW24" s="83">
        <v>7.625</v>
      </c>
      <c r="AX24" s="84">
        <v>100</v>
      </c>
      <c r="AY24" s="75">
        <v>0.59399999999999997</v>
      </c>
      <c r="AZ24" s="75">
        <v>7.4370000000000003</v>
      </c>
      <c r="BA24" s="84">
        <v>120</v>
      </c>
      <c r="BB24" s="83">
        <v>0.71899999999999997</v>
      </c>
      <c r="BC24" s="83">
        <v>7.1870000000000003</v>
      </c>
      <c r="BD24" s="84">
        <v>140</v>
      </c>
      <c r="BE24" s="75">
        <v>0.81200000000000006</v>
      </c>
      <c r="BF24" s="75">
        <v>7.0010000000000003</v>
      </c>
      <c r="BG24" s="84">
        <v>160</v>
      </c>
      <c r="BH24" s="83">
        <v>0.90600000000000003</v>
      </c>
      <c r="BI24" s="83">
        <v>6.8129999999999997</v>
      </c>
      <c r="BJ24" s="74" t="s">
        <v>35</v>
      </c>
      <c r="BK24" s="83">
        <v>0.32200000000000001</v>
      </c>
      <c r="BL24" s="83">
        <v>7.9809999999999999</v>
      </c>
      <c r="BM24" s="74" t="s">
        <v>36</v>
      </c>
      <c r="BN24" s="83">
        <v>0.5</v>
      </c>
      <c r="BO24" s="83">
        <v>7.625</v>
      </c>
      <c r="BP24" s="74" t="s">
        <v>49</v>
      </c>
      <c r="BQ24" s="83">
        <v>0.875</v>
      </c>
      <c r="BR24" s="100">
        <v>6.875</v>
      </c>
    </row>
    <row r="25" ht="13.5">
      <c r="A25" s="38" t="s">
        <v>74</v>
      </c>
      <c r="B25" s="69" t="s">
        <v>75</v>
      </c>
      <c r="C25" s="70"/>
      <c r="D25" s="155" t="e">
        <f>IF(G22="N/A","",VLOOKUP(G22,AA9:BR44,VLOOKUP(G23,AB49:AC62,2)+2,FALSE)*25.4)</f>
        <v>#N/A</v>
      </c>
      <c r="E25" s="53" t="s">
        <v>14</v>
      </c>
      <c r="F25" s="53" t="e">
        <f>IF(G22="N/A",D28,D25)</f>
        <v>#N/A</v>
      </c>
      <c r="G25" s="54"/>
      <c r="H25" s="156" t="e">
        <f>IF(K22="N/A","",VLOOKUP(K22,AA9:BR44,VLOOKUP(K23,AB49:AC62,2)+2,FALSE)*25.4)</f>
        <v>#N/A</v>
      </c>
      <c r="I25" s="55" t="s">
        <v>14</v>
      </c>
      <c r="J25" s="56" t="e">
        <f>IF(K22="N/A",H28,H25)</f>
        <v>#N/A</v>
      </c>
      <c r="K25" s="53"/>
      <c r="L25" s="144" t="e">
        <f>IF(O22="N/A","",VLOOKUP(O22,AA9:BR44,VLOOKUP(O23,AB49:AC62,2)+2,FALSE)*25.4)</f>
        <v>#N/A</v>
      </c>
      <c r="M25" s="53" t="s">
        <v>14</v>
      </c>
      <c r="N25" s="53" t="e">
        <f>IF(O22="N/A",L28,L25)</f>
        <v>#N/A</v>
      </c>
      <c r="O25" s="54"/>
      <c r="P25" s="156" t="e">
        <f>IF(S22="N/A","",VLOOKUP(S22,AA9:BR44,VLOOKUP(S23,AB49:AC62,2)+2,FALSE)*25.4)</f>
        <v>#N/A</v>
      </c>
      <c r="Q25" s="55" t="s">
        <v>14</v>
      </c>
      <c r="R25" s="153" t="e">
        <f>IF(S22="N/A",P28,P25)</f>
        <v>#N/A</v>
      </c>
      <c r="S25" s="154"/>
      <c r="T25" s="2"/>
      <c r="Y25" s="66">
        <v>19</v>
      </c>
      <c r="Z25" s="96">
        <v>10</v>
      </c>
      <c r="AA25" s="82">
        <v>250</v>
      </c>
      <c r="AB25" s="82">
        <v>273.05000000000001</v>
      </c>
      <c r="AC25" s="74">
        <v>5</v>
      </c>
      <c r="AD25" s="83">
        <v>0.13400000000000001</v>
      </c>
      <c r="AE25" s="83">
        <v>10.481999999999999</v>
      </c>
      <c r="AF25" s="74">
        <v>10</v>
      </c>
      <c r="AG25" s="83">
        <v>0.16500000000000001</v>
      </c>
      <c r="AH25" s="83">
        <v>10.42</v>
      </c>
      <c r="AI25" s="84">
        <v>20</v>
      </c>
      <c r="AJ25" s="75">
        <v>0.25</v>
      </c>
      <c r="AK25" s="75">
        <v>10.25</v>
      </c>
      <c r="AL25" s="84">
        <v>30</v>
      </c>
      <c r="AM25" s="75">
        <v>0.307</v>
      </c>
      <c r="AN25" s="75">
        <v>10.135999999999999</v>
      </c>
      <c r="AO25" s="84">
        <v>40</v>
      </c>
      <c r="AP25" s="75">
        <v>0.36499999999999999</v>
      </c>
      <c r="AQ25" s="75">
        <v>10.02</v>
      </c>
      <c r="AR25" s="84">
        <v>60</v>
      </c>
      <c r="AS25" s="75">
        <v>0.5</v>
      </c>
      <c r="AT25" s="75">
        <v>9.75</v>
      </c>
      <c r="AU25" s="84">
        <v>80</v>
      </c>
      <c r="AV25" s="83">
        <v>0.59399999999999997</v>
      </c>
      <c r="AW25" s="83">
        <v>9.5619999999999994</v>
      </c>
      <c r="AX25" s="84">
        <v>100</v>
      </c>
      <c r="AY25" s="75">
        <v>0.71899999999999997</v>
      </c>
      <c r="AZ25" s="75">
        <v>9.3119999999999994</v>
      </c>
      <c r="BA25" s="84">
        <v>120</v>
      </c>
      <c r="BB25" s="83">
        <v>0.84399999999999997</v>
      </c>
      <c r="BC25" s="83">
        <v>9.0619999999999994</v>
      </c>
      <c r="BD25" s="84">
        <v>140</v>
      </c>
      <c r="BE25" s="75">
        <v>1</v>
      </c>
      <c r="BF25" s="75">
        <v>8.75</v>
      </c>
      <c r="BG25" s="84">
        <v>160</v>
      </c>
      <c r="BH25" s="83">
        <v>1.125</v>
      </c>
      <c r="BI25" s="83">
        <v>8.5</v>
      </c>
      <c r="BJ25" s="74" t="s">
        <v>35</v>
      </c>
      <c r="BK25" s="83">
        <v>0.36499999999999999</v>
      </c>
      <c r="BL25" s="83">
        <v>10.02</v>
      </c>
      <c r="BM25" s="74" t="s">
        <v>36</v>
      </c>
      <c r="BN25" s="83">
        <v>0.5</v>
      </c>
      <c r="BO25" s="83">
        <v>9.75</v>
      </c>
      <c r="BP25" s="74" t="s">
        <v>49</v>
      </c>
      <c r="BQ25" s="83">
        <v>1</v>
      </c>
      <c r="BR25" s="100">
        <v>8.75</v>
      </c>
      <c r="BZ25" s="67"/>
    </row>
    <row r="26" ht="13.5">
      <c r="A26" s="38" t="s">
        <v>76</v>
      </c>
      <c r="B26" s="69" t="s">
        <v>77</v>
      </c>
      <c r="C26" s="70"/>
      <c r="D26" s="155" t="e">
        <f>IF(G22="N/A","",VLOOKUP(G22,AA9:BR44,VLOOKUP(G23,AB49:AC62,2)+3,FALSE)*25.4)</f>
        <v>#N/A</v>
      </c>
      <c r="E26" s="53" t="s">
        <v>14</v>
      </c>
      <c r="F26" s="53" t="e">
        <f>IF(G22="N/A",D29,D26)</f>
        <v>#N/A</v>
      </c>
      <c r="G26" s="54"/>
      <c r="H26" s="156" t="e">
        <f>IF(K22="N/A","",VLOOKUP(K22,AA9:BR44,VLOOKUP(K23,AB49:AC62,2)+3,FALSE)*25.4)</f>
        <v>#N/A</v>
      </c>
      <c r="I26" s="55" t="s">
        <v>14</v>
      </c>
      <c r="J26" s="56" t="e">
        <f>IF(K22="N/A",H29,H26)</f>
        <v>#N/A</v>
      </c>
      <c r="K26" s="53"/>
      <c r="L26" s="144" t="e">
        <f>IF(O22="N/A","",VLOOKUP(O22,AA9:BR44,VLOOKUP(O23,AB49:AC62,2)+3,FALSE)*25.4)</f>
        <v>#N/A</v>
      </c>
      <c r="M26" s="53" t="s">
        <v>14</v>
      </c>
      <c r="N26" s="53" t="e">
        <f>IF(O22="N/A",L29,L26)</f>
        <v>#N/A</v>
      </c>
      <c r="O26" s="54"/>
      <c r="P26" s="156" t="e">
        <f>IF(S22="N/A","",VLOOKUP(S22,AA9:BR44,VLOOKUP(S23,AB49:AC62,2)+3,FALSE)*25.4)</f>
        <v>#N/A</v>
      </c>
      <c r="Q26" s="55" t="s">
        <v>14</v>
      </c>
      <c r="R26" s="153" t="e">
        <f>IF(S22="N/A",P29,P26)</f>
        <v>#N/A</v>
      </c>
      <c r="S26" s="154"/>
      <c r="T26" s="2"/>
      <c r="Y26" s="66">
        <v>20</v>
      </c>
      <c r="Z26" s="96">
        <v>12</v>
      </c>
      <c r="AA26" s="82">
        <v>300</v>
      </c>
      <c r="AB26" s="82">
        <v>323.85000000000002</v>
      </c>
      <c r="AC26" s="74">
        <v>5</v>
      </c>
      <c r="AD26" s="83">
        <v>0.156</v>
      </c>
      <c r="AE26" s="83">
        <v>12.438000000000001</v>
      </c>
      <c r="AF26" s="74">
        <v>10</v>
      </c>
      <c r="AG26" s="83">
        <v>0.17999999999999999</v>
      </c>
      <c r="AH26" s="83">
        <v>12.390000000000001</v>
      </c>
      <c r="AI26" s="84">
        <v>20</v>
      </c>
      <c r="AJ26" s="75">
        <v>0.25</v>
      </c>
      <c r="AK26" s="75">
        <v>12.25</v>
      </c>
      <c r="AL26" s="84">
        <v>30</v>
      </c>
      <c r="AM26" s="75">
        <v>0.33000000000000002</v>
      </c>
      <c r="AN26" s="75">
        <v>12.09</v>
      </c>
      <c r="AO26" s="84">
        <v>40</v>
      </c>
      <c r="AP26" s="75">
        <v>0.40600000000000003</v>
      </c>
      <c r="AQ26" s="75">
        <v>11.938000000000001</v>
      </c>
      <c r="AR26" s="84">
        <v>60</v>
      </c>
      <c r="AS26" s="75">
        <v>0.56200000000000006</v>
      </c>
      <c r="AT26" s="75">
        <v>11.625999999999999</v>
      </c>
      <c r="AU26" s="84">
        <v>80</v>
      </c>
      <c r="AV26" s="83">
        <v>0.68800000000000006</v>
      </c>
      <c r="AW26" s="83">
        <v>11.374000000000001</v>
      </c>
      <c r="AX26" s="84">
        <v>100</v>
      </c>
      <c r="AY26" s="75">
        <v>0.84399999999999997</v>
      </c>
      <c r="AZ26" s="75">
        <v>11.061999999999999</v>
      </c>
      <c r="BA26" s="84">
        <v>120</v>
      </c>
      <c r="BB26" s="83">
        <v>1</v>
      </c>
      <c r="BC26" s="83">
        <v>10.75</v>
      </c>
      <c r="BD26" s="84">
        <v>140</v>
      </c>
      <c r="BE26" s="75">
        <v>1.125</v>
      </c>
      <c r="BF26" s="75">
        <v>10.5</v>
      </c>
      <c r="BG26" s="84">
        <v>160</v>
      </c>
      <c r="BH26" s="83">
        <v>1.3120000000000001</v>
      </c>
      <c r="BI26" s="83">
        <v>10.125999999999999</v>
      </c>
      <c r="BJ26" s="74" t="s">
        <v>35</v>
      </c>
      <c r="BK26" s="83">
        <v>0.375</v>
      </c>
      <c r="BL26" s="83">
        <v>12</v>
      </c>
      <c r="BM26" s="74" t="s">
        <v>36</v>
      </c>
      <c r="BN26" s="83">
        <v>0.5</v>
      </c>
      <c r="BO26" s="83">
        <v>11.75</v>
      </c>
      <c r="BP26" s="74" t="s">
        <v>49</v>
      </c>
      <c r="BQ26" s="83">
        <v>1</v>
      </c>
      <c r="BR26" s="100">
        <v>10.75</v>
      </c>
    </row>
    <row r="27" ht="13.5">
      <c r="A27" s="49" t="s">
        <v>78</v>
      </c>
      <c r="B27" s="69" t="s">
        <v>79</v>
      </c>
      <c r="C27" s="70"/>
      <c r="D27" s="157"/>
      <c r="E27" s="55" t="s">
        <v>14</v>
      </c>
      <c r="F27" s="56"/>
      <c r="G27" s="54"/>
      <c r="H27" s="157"/>
      <c r="I27" s="55" t="s">
        <v>14</v>
      </c>
      <c r="J27" s="56"/>
      <c r="K27" s="53"/>
      <c r="L27" s="157"/>
      <c r="M27" s="55" t="s">
        <v>14</v>
      </c>
      <c r="N27" s="56"/>
      <c r="O27" s="54"/>
      <c r="P27" s="157"/>
      <c r="Q27" s="55" t="s">
        <v>14</v>
      </c>
      <c r="R27" s="1"/>
      <c r="S27" s="1"/>
      <c r="T27" s="2"/>
      <c r="Y27" s="67">
        <v>21</v>
      </c>
      <c r="Z27" s="96">
        <v>14</v>
      </c>
      <c r="AA27" s="82">
        <v>350</v>
      </c>
      <c r="AB27" s="82">
        <v>355.60000000000002</v>
      </c>
      <c r="AC27" s="74">
        <v>5</v>
      </c>
      <c r="AD27" s="83">
        <v>0.156</v>
      </c>
      <c r="AE27" s="83">
        <v>13.688000000000001</v>
      </c>
      <c r="AF27" s="74">
        <v>10</v>
      </c>
      <c r="AG27" s="83">
        <v>0.25</v>
      </c>
      <c r="AH27" s="83">
        <v>13.5</v>
      </c>
      <c r="AI27" s="84">
        <v>20</v>
      </c>
      <c r="AJ27" s="83">
        <v>0.312</v>
      </c>
      <c r="AK27" s="83">
        <v>13.375999999999999</v>
      </c>
      <c r="AL27" s="84">
        <v>30</v>
      </c>
      <c r="AM27" s="83">
        <v>0.375</v>
      </c>
      <c r="AN27" s="83">
        <v>13.25</v>
      </c>
      <c r="AO27" s="84">
        <v>40</v>
      </c>
      <c r="AP27" s="83">
        <v>0.438</v>
      </c>
      <c r="AQ27" s="83">
        <v>13.124000000000001</v>
      </c>
      <c r="AR27" s="84">
        <v>60</v>
      </c>
      <c r="AS27" s="83">
        <v>0.59399999999999997</v>
      </c>
      <c r="AT27" s="83">
        <v>12.811999999999999</v>
      </c>
      <c r="AU27" s="84">
        <v>80</v>
      </c>
      <c r="AV27" s="75">
        <v>0.75</v>
      </c>
      <c r="AW27" s="75">
        <v>12.5</v>
      </c>
      <c r="AX27" s="84">
        <v>100</v>
      </c>
      <c r="AY27" s="83">
        <v>0.93799999999999994</v>
      </c>
      <c r="AZ27" s="83">
        <v>12.124000000000001</v>
      </c>
      <c r="BA27" s="84">
        <v>120</v>
      </c>
      <c r="BB27" s="83">
        <v>1.0940000000000001</v>
      </c>
      <c r="BC27" s="83">
        <v>11.811999999999999</v>
      </c>
      <c r="BD27" s="84">
        <v>140</v>
      </c>
      <c r="BE27" s="83">
        <v>1.25</v>
      </c>
      <c r="BF27" s="83">
        <v>11.5</v>
      </c>
      <c r="BG27" s="84">
        <v>160</v>
      </c>
      <c r="BH27" s="83">
        <v>1.4059999999999999</v>
      </c>
      <c r="BI27" s="83">
        <v>11.188000000000001</v>
      </c>
      <c r="BJ27" s="74" t="s">
        <v>35</v>
      </c>
      <c r="BK27" s="75">
        <v>0.375</v>
      </c>
      <c r="BL27" s="75">
        <v>13.25</v>
      </c>
      <c r="BM27" s="74" t="s">
        <v>36</v>
      </c>
      <c r="BN27" s="75">
        <v>0.5</v>
      </c>
      <c r="BO27" s="75">
        <v>13</v>
      </c>
      <c r="BP27" s="76"/>
      <c r="BQ27" s="85"/>
      <c r="BR27" s="158"/>
    </row>
    <row r="28" ht="13.5">
      <c r="A28" s="38" t="s">
        <v>80</v>
      </c>
      <c r="B28" s="69" t="s">
        <v>81</v>
      </c>
      <c r="C28" s="70"/>
      <c r="D28" s="157"/>
      <c r="E28" s="55" t="s">
        <v>14</v>
      </c>
      <c r="F28" s="56"/>
      <c r="G28" s="54"/>
      <c r="H28" s="157"/>
      <c r="I28" s="55" t="s">
        <v>14</v>
      </c>
      <c r="J28" s="56"/>
      <c r="K28" s="53"/>
      <c r="L28" s="157"/>
      <c r="M28" s="55" t="s">
        <v>14</v>
      </c>
      <c r="N28" s="56"/>
      <c r="O28" s="54"/>
      <c r="P28" s="157"/>
      <c r="Q28" s="55" t="s">
        <v>14</v>
      </c>
      <c r="R28" s="1"/>
      <c r="S28" s="1"/>
      <c r="T28" s="2"/>
      <c r="Y28" s="66">
        <v>22</v>
      </c>
      <c r="Z28" s="96">
        <v>16</v>
      </c>
      <c r="AA28" s="82">
        <v>400</v>
      </c>
      <c r="AB28" s="82">
        <v>406.39999999999998</v>
      </c>
      <c r="AC28" s="74">
        <v>5</v>
      </c>
      <c r="AD28" s="83">
        <v>0.16500000000000001</v>
      </c>
      <c r="AE28" s="83">
        <v>15.67</v>
      </c>
      <c r="AF28" s="74">
        <v>10</v>
      </c>
      <c r="AG28" s="83">
        <v>0.25</v>
      </c>
      <c r="AH28" s="83">
        <v>15.5</v>
      </c>
      <c r="AI28" s="84">
        <v>20</v>
      </c>
      <c r="AJ28" s="83">
        <v>0.312</v>
      </c>
      <c r="AK28" s="83">
        <v>15.375999999999999</v>
      </c>
      <c r="AL28" s="84">
        <v>30</v>
      </c>
      <c r="AM28" s="83">
        <v>0.375</v>
      </c>
      <c r="AN28" s="83">
        <v>15.25</v>
      </c>
      <c r="AO28" s="84">
        <v>40</v>
      </c>
      <c r="AP28" s="83">
        <v>0.5</v>
      </c>
      <c r="AQ28" s="83">
        <v>15</v>
      </c>
      <c r="AR28" s="84">
        <v>60</v>
      </c>
      <c r="AS28" s="83">
        <v>0.65600000000000003</v>
      </c>
      <c r="AT28" s="83">
        <v>14.688000000000001</v>
      </c>
      <c r="AU28" s="84">
        <v>80</v>
      </c>
      <c r="AV28" s="75">
        <v>0.84399999999999997</v>
      </c>
      <c r="AW28" s="75">
        <v>14.311999999999999</v>
      </c>
      <c r="AX28" s="84">
        <v>100</v>
      </c>
      <c r="AY28" s="83">
        <v>1.0309999999999999</v>
      </c>
      <c r="AZ28" s="83">
        <v>13.938000000000001</v>
      </c>
      <c r="BA28" s="84">
        <v>120</v>
      </c>
      <c r="BB28" s="83">
        <v>1.2190000000000001</v>
      </c>
      <c r="BC28" s="83">
        <v>13.561999999999999</v>
      </c>
      <c r="BD28" s="84">
        <v>140</v>
      </c>
      <c r="BE28" s="83">
        <v>1.4379999999999999</v>
      </c>
      <c r="BF28" s="83">
        <v>13.124000000000001</v>
      </c>
      <c r="BG28" s="84">
        <v>160</v>
      </c>
      <c r="BH28" s="83">
        <v>1.5940000000000001</v>
      </c>
      <c r="BI28" s="83">
        <v>12.811999999999999</v>
      </c>
      <c r="BJ28" s="74" t="s">
        <v>35</v>
      </c>
      <c r="BK28" s="75">
        <v>0.375</v>
      </c>
      <c r="BL28" s="75">
        <v>15.25</v>
      </c>
      <c r="BM28" s="74" t="s">
        <v>36</v>
      </c>
      <c r="BN28" s="75">
        <v>0.5</v>
      </c>
      <c r="BO28" s="75">
        <v>15</v>
      </c>
      <c r="BP28" s="76"/>
      <c r="BQ28" s="85"/>
      <c r="BR28" s="158"/>
    </row>
    <row r="29" ht="13.5">
      <c r="A29" s="38" t="s">
        <v>82</v>
      </c>
      <c r="B29" s="69" t="s">
        <v>83</v>
      </c>
      <c r="C29" s="70"/>
      <c r="D29" s="157"/>
      <c r="E29" s="55" t="s">
        <v>14</v>
      </c>
      <c r="F29" s="142"/>
      <c r="G29" s="54"/>
      <c r="H29" s="157"/>
      <c r="I29" s="55" t="s">
        <v>14</v>
      </c>
      <c r="J29" s="142"/>
      <c r="K29" s="53"/>
      <c r="L29" s="157"/>
      <c r="M29" s="55" t="s">
        <v>14</v>
      </c>
      <c r="N29" s="142"/>
      <c r="O29" s="54"/>
      <c r="P29" s="157"/>
      <c r="Q29" s="55" t="s">
        <v>14</v>
      </c>
      <c r="R29" s="1"/>
      <c r="S29" s="1"/>
      <c r="T29" s="2"/>
      <c r="Y29" s="66">
        <v>23</v>
      </c>
      <c r="Z29" s="96">
        <v>18</v>
      </c>
      <c r="AA29" s="82">
        <v>450</v>
      </c>
      <c r="AB29" s="82">
        <v>457.19999999999999</v>
      </c>
      <c r="AC29" s="74">
        <v>5</v>
      </c>
      <c r="AD29" s="83">
        <v>0.16500000000000001</v>
      </c>
      <c r="AE29" s="83">
        <v>17.670000000000002</v>
      </c>
      <c r="AF29" s="74">
        <v>10</v>
      </c>
      <c r="AG29" s="83">
        <v>0.25</v>
      </c>
      <c r="AH29" s="83">
        <v>17.5</v>
      </c>
      <c r="AI29" s="84">
        <v>20</v>
      </c>
      <c r="AJ29" s="83">
        <v>0.312</v>
      </c>
      <c r="AK29" s="83">
        <v>17.376000000000001</v>
      </c>
      <c r="AL29" s="84">
        <v>30</v>
      </c>
      <c r="AM29" s="83">
        <v>0.438</v>
      </c>
      <c r="AN29" s="83">
        <v>17.123999999999999</v>
      </c>
      <c r="AO29" s="84">
        <v>40</v>
      </c>
      <c r="AP29" s="83">
        <v>0.56200000000000006</v>
      </c>
      <c r="AQ29" s="83">
        <v>16.876000000000001</v>
      </c>
      <c r="AR29" s="84">
        <v>60</v>
      </c>
      <c r="AS29" s="83">
        <v>0.75</v>
      </c>
      <c r="AT29" s="83">
        <v>16.5</v>
      </c>
      <c r="AU29" s="84">
        <v>80</v>
      </c>
      <c r="AV29" s="75">
        <v>0.93800000000000006</v>
      </c>
      <c r="AW29" s="75">
        <v>16.123999999999999</v>
      </c>
      <c r="AX29" s="84">
        <v>100</v>
      </c>
      <c r="AY29" s="83">
        <v>1.1559999999999999</v>
      </c>
      <c r="AZ29" s="83">
        <v>15.688000000000001</v>
      </c>
      <c r="BA29" s="84">
        <v>120</v>
      </c>
      <c r="BB29" s="83">
        <v>1.375</v>
      </c>
      <c r="BC29" s="83">
        <v>15.25</v>
      </c>
      <c r="BD29" s="84">
        <v>140</v>
      </c>
      <c r="BE29" s="83">
        <v>1.5620000000000001</v>
      </c>
      <c r="BF29" s="83">
        <v>14.875999999999999</v>
      </c>
      <c r="BG29" s="84">
        <v>160</v>
      </c>
      <c r="BH29" s="83">
        <v>1.7809999999999999</v>
      </c>
      <c r="BI29" s="83">
        <v>14.438000000000001</v>
      </c>
      <c r="BJ29" s="74" t="s">
        <v>35</v>
      </c>
      <c r="BK29" s="75">
        <v>0.375</v>
      </c>
      <c r="BL29" s="75">
        <v>17.25</v>
      </c>
      <c r="BM29" s="74" t="s">
        <v>36</v>
      </c>
      <c r="BN29" s="75">
        <v>0.5</v>
      </c>
      <c r="BO29" s="75">
        <v>17</v>
      </c>
      <c r="BP29" s="76"/>
      <c r="BQ29" s="85"/>
      <c r="BR29" s="158"/>
    </row>
    <row r="30" ht="15.75" customHeight="1">
      <c r="A30" s="49" t="s">
        <v>84</v>
      </c>
      <c r="B30" s="69" t="s">
        <v>85</v>
      </c>
      <c r="C30" s="70"/>
      <c r="D30" s="159" t="str">
        <f>VLOOKUP(F30,Y7:AA45,2)</f>
        <v>Select…</v>
      </c>
      <c r="E30" s="160" t="s">
        <v>13</v>
      </c>
      <c r="F30" s="161">
        <v>1</v>
      </c>
      <c r="G30" s="162" t="e">
        <f>VLOOKUP(F30,Y8:AA45,3)</f>
        <v>#N/A</v>
      </c>
      <c r="H30" s="146" t="str">
        <f>VLOOKUP(J30,Y7:AA45,2)</f>
        <v>Select…</v>
      </c>
      <c r="I30" s="163" t="s">
        <v>13</v>
      </c>
      <c r="J30" s="150">
        <v>1</v>
      </c>
      <c r="K30" s="164" t="e">
        <f>VLOOKUP(J30,Y8:AA45,3)</f>
        <v>#N/A</v>
      </c>
      <c r="L30" s="149" t="str">
        <f>VLOOKUP(N30,Y7:AA45,2)</f>
        <v>1/2</v>
      </c>
      <c r="M30" s="163" t="s">
        <v>13</v>
      </c>
      <c r="N30" s="150">
        <v>6</v>
      </c>
      <c r="O30" s="162">
        <f>VLOOKUP(N30,Y8:AA45,3)</f>
        <v>15</v>
      </c>
      <c r="P30" s="146" t="str">
        <f>VLOOKUP(R30,Y7:AA45,2)</f>
        <v>Select…</v>
      </c>
      <c r="Q30" s="147" t="s">
        <v>13</v>
      </c>
      <c r="R30" s="150">
        <v>1</v>
      </c>
      <c r="S30" s="165" t="e">
        <f>VLOOKUP(R30,Y8:AA45,3)</f>
        <v>#N/A</v>
      </c>
      <c r="T30" s="166"/>
      <c r="Y30" s="67">
        <v>24</v>
      </c>
      <c r="Z30" s="96">
        <v>20</v>
      </c>
      <c r="AA30" s="82">
        <v>500</v>
      </c>
      <c r="AB30" s="82">
        <v>508</v>
      </c>
      <c r="AC30" s="74">
        <v>5</v>
      </c>
      <c r="AD30" s="83">
        <v>0.188</v>
      </c>
      <c r="AE30" s="83">
        <v>19.623999999999999</v>
      </c>
      <c r="AF30" s="74">
        <v>10</v>
      </c>
      <c r="AG30" s="83">
        <v>0.25</v>
      </c>
      <c r="AH30" s="83">
        <v>19.5</v>
      </c>
      <c r="AI30" s="84">
        <v>20</v>
      </c>
      <c r="AJ30" s="83">
        <v>0.375</v>
      </c>
      <c r="AK30" s="83">
        <v>19.25</v>
      </c>
      <c r="AL30" s="84">
        <v>30</v>
      </c>
      <c r="AM30" s="83">
        <v>0.5</v>
      </c>
      <c r="AN30" s="83">
        <v>19</v>
      </c>
      <c r="AO30" s="84">
        <v>40</v>
      </c>
      <c r="AP30" s="83">
        <v>0.59399999999999997</v>
      </c>
      <c r="AQ30" s="83">
        <v>18.812000000000001</v>
      </c>
      <c r="AR30" s="84">
        <v>60</v>
      </c>
      <c r="AS30" s="83">
        <v>0.81200000000000006</v>
      </c>
      <c r="AT30" s="83">
        <v>18.376000000000001</v>
      </c>
      <c r="AU30" s="84">
        <v>80</v>
      </c>
      <c r="AV30" s="83">
        <v>1.0309999999999999</v>
      </c>
      <c r="AW30" s="83">
        <v>17.937999999999999</v>
      </c>
      <c r="AX30" s="84">
        <v>100</v>
      </c>
      <c r="AY30" s="83">
        <v>1.2809999999999999</v>
      </c>
      <c r="AZ30" s="83">
        <v>17.437999999999999</v>
      </c>
      <c r="BA30" s="84">
        <v>120</v>
      </c>
      <c r="BB30" s="75">
        <v>1.5</v>
      </c>
      <c r="BC30" s="75">
        <v>17</v>
      </c>
      <c r="BD30" s="84">
        <v>140</v>
      </c>
      <c r="BE30" s="83">
        <v>1.75</v>
      </c>
      <c r="BF30" s="83">
        <v>16.5</v>
      </c>
      <c r="BG30" s="84">
        <v>160</v>
      </c>
      <c r="BH30" s="75">
        <v>1.9690000000000001</v>
      </c>
      <c r="BI30" s="75">
        <v>16.062000000000001</v>
      </c>
      <c r="BJ30" s="74" t="s">
        <v>35</v>
      </c>
      <c r="BK30" s="83">
        <v>0.375</v>
      </c>
      <c r="BL30" s="83">
        <v>19.25</v>
      </c>
      <c r="BM30" s="74" t="s">
        <v>36</v>
      </c>
      <c r="BN30" s="83">
        <v>0.5</v>
      </c>
      <c r="BO30" s="83">
        <v>19</v>
      </c>
      <c r="BP30" s="76"/>
      <c r="BQ30" s="85"/>
      <c r="BR30" s="158"/>
    </row>
    <row r="31" ht="13.5">
      <c r="A31" s="38" t="s">
        <v>86</v>
      </c>
      <c r="B31" s="69" t="s">
        <v>87</v>
      </c>
      <c r="C31" s="70"/>
      <c r="D31" s="16" t="e">
        <f>IF(G30="N/A","",(VLOOKUP(G30,AA9:AB44,2)))</f>
        <v>#N/A</v>
      </c>
      <c r="E31" s="53" t="s">
        <v>14</v>
      </c>
      <c r="F31" s="53" t="e">
        <f>IF(G30="N/A",D32,D31)</f>
        <v>#N/A</v>
      </c>
      <c r="G31" s="54"/>
      <c r="H31" s="152" t="e">
        <f>IF(K30="N/A","",(VLOOKUP(K30,AA9:AB44,2)))</f>
        <v>#N/A</v>
      </c>
      <c r="I31" s="55" t="s">
        <v>14</v>
      </c>
      <c r="J31" s="56" t="e">
        <f>IF(K30="N/A",H32,H31)</f>
        <v>#N/A</v>
      </c>
      <c r="K31" s="53"/>
      <c r="L31" s="16">
        <f>IF(O30="N/A","",(VLOOKUP(O30,AA9:AB44,2)))</f>
        <v>21.34</v>
      </c>
      <c r="M31" s="55" t="s">
        <v>14</v>
      </c>
      <c r="N31" s="56">
        <f>IF(O30="N/A",L32,L31)</f>
        <v>21.34</v>
      </c>
      <c r="O31" s="54"/>
      <c r="P31" s="152" t="e">
        <f>IF(S30="N/A","",(VLOOKUP(S30,AA9:AB44,2)))</f>
        <v>#N/A</v>
      </c>
      <c r="Q31" s="55" t="s">
        <v>14</v>
      </c>
      <c r="R31" s="153" t="e">
        <f>IF(S30="N/A",P32,P31)</f>
        <v>#N/A</v>
      </c>
      <c r="S31" s="167"/>
      <c r="T31" s="166"/>
      <c r="Y31" s="66">
        <v>25</v>
      </c>
      <c r="Z31" s="96">
        <v>22</v>
      </c>
      <c r="AA31" s="82">
        <v>550</v>
      </c>
      <c r="AB31" s="82">
        <v>558.79999999999995</v>
      </c>
      <c r="AC31" s="74">
        <v>5</v>
      </c>
      <c r="AD31" s="83">
        <v>0.188</v>
      </c>
      <c r="AE31" s="83">
        <v>21.623999999999999</v>
      </c>
      <c r="AF31" s="74">
        <v>10</v>
      </c>
      <c r="AG31" s="83">
        <v>0.25</v>
      </c>
      <c r="AH31" s="83">
        <v>23.5</v>
      </c>
      <c r="AI31" s="84">
        <v>20</v>
      </c>
      <c r="AJ31" s="83">
        <v>0.375</v>
      </c>
      <c r="AK31" s="83">
        <v>21.25</v>
      </c>
      <c r="AL31" s="84">
        <v>30</v>
      </c>
      <c r="AM31" s="83">
        <v>0.5</v>
      </c>
      <c r="AN31" s="83">
        <v>21</v>
      </c>
      <c r="AO31" s="84"/>
      <c r="AP31" s="83"/>
      <c r="AQ31" s="83"/>
      <c r="AR31" s="84">
        <v>60</v>
      </c>
      <c r="AS31" s="83">
        <v>0.875</v>
      </c>
      <c r="AT31" s="83">
        <v>20.25</v>
      </c>
      <c r="AU31" s="84">
        <v>80</v>
      </c>
      <c r="AV31" s="83">
        <v>1.125</v>
      </c>
      <c r="AW31" s="83">
        <v>19.75</v>
      </c>
      <c r="AX31" s="84">
        <v>100</v>
      </c>
      <c r="AY31" s="83">
        <v>1.375</v>
      </c>
      <c r="AZ31" s="83">
        <v>19.25</v>
      </c>
      <c r="BA31" s="84">
        <v>120</v>
      </c>
      <c r="BB31" s="75">
        <v>1.625</v>
      </c>
      <c r="BC31" s="75">
        <v>18.75</v>
      </c>
      <c r="BD31" s="84">
        <v>140</v>
      </c>
      <c r="BE31" s="83">
        <v>1.875</v>
      </c>
      <c r="BF31" s="83">
        <v>20.125</v>
      </c>
      <c r="BG31" s="84">
        <v>160</v>
      </c>
      <c r="BH31" s="75">
        <v>2.125</v>
      </c>
      <c r="BI31" s="75">
        <v>17.75</v>
      </c>
      <c r="BJ31" s="74" t="s">
        <v>35</v>
      </c>
      <c r="BK31" s="75">
        <v>0.375</v>
      </c>
      <c r="BL31" s="75">
        <v>21.25</v>
      </c>
      <c r="BM31" s="74" t="s">
        <v>36</v>
      </c>
      <c r="BN31" s="75">
        <v>0.5</v>
      </c>
      <c r="BO31" s="75">
        <v>21</v>
      </c>
      <c r="BP31" s="76"/>
      <c r="BQ31" s="85"/>
      <c r="BR31" s="158"/>
    </row>
    <row r="32" ht="13.5">
      <c r="A32" s="38" t="s">
        <v>88</v>
      </c>
      <c r="B32" s="69" t="s">
        <v>89</v>
      </c>
      <c r="C32" s="70"/>
      <c r="D32" s="157"/>
      <c r="E32" s="55" t="s">
        <v>14</v>
      </c>
      <c r="F32" s="56"/>
      <c r="G32" s="54"/>
      <c r="H32" s="157"/>
      <c r="I32" s="55" t="s">
        <v>14</v>
      </c>
      <c r="J32" s="56"/>
      <c r="K32" s="53"/>
      <c r="L32" s="157"/>
      <c r="M32" s="55" t="s">
        <v>14</v>
      </c>
      <c r="N32" s="56"/>
      <c r="O32" s="54"/>
      <c r="P32" s="157"/>
      <c r="Q32" s="55" t="s">
        <v>14</v>
      </c>
      <c r="R32" s="1"/>
      <c r="S32" s="1"/>
      <c r="T32" s="2"/>
      <c r="Y32" s="66">
        <v>26</v>
      </c>
      <c r="Z32" s="96">
        <v>24</v>
      </c>
      <c r="AA32" s="82">
        <v>600</v>
      </c>
      <c r="AB32" s="82">
        <v>609.60000000000002</v>
      </c>
      <c r="AC32" s="74">
        <v>5</v>
      </c>
      <c r="AD32" s="83">
        <v>0.218</v>
      </c>
      <c r="AE32" s="83">
        <v>23.564</v>
      </c>
      <c r="AF32" s="74">
        <v>10</v>
      </c>
      <c r="AG32" s="83">
        <v>0.25</v>
      </c>
      <c r="AH32" s="83">
        <v>23.5</v>
      </c>
      <c r="AI32" s="84">
        <v>20</v>
      </c>
      <c r="AJ32" s="83">
        <v>0.375</v>
      </c>
      <c r="AK32" s="83">
        <v>23.25</v>
      </c>
      <c r="AL32" s="84">
        <v>30</v>
      </c>
      <c r="AM32" s="83">
        <v>0.56200000000000006</v>
      </c>
      <c r="AN32" s="83">
        <v>22.876000000000001</v>
      </c>
      <c r="AO32" s="84">
        <v>40</v>
      </c>
      <c r="AP32" s="83">
        <v>0.68800000000000006</v>
      </c>
      <c r="AQ32" s="83">
        <v>22.623999999999999</v>
      </c>
      <c r="AR32" s="84">
        <v>60</v>
      </c>
      <c r="AS32" s="83">
        <v>0.96899999999999997</v>
      </c>
      <c r="AT32" s="83">
        <v>22.062000000000001</v>
      </c>
      <c r="AU32" s="84">
        <v>80</v>
      </c>
      <c r="AV32" s="83">
        <v>1.2190000000000001</v>
      </c>
      <c r="AW32" s="83">
        <v>21.562000000000001</v>
      </c>
      <c r="AX32" s="84">
        <v>100</v>
      </c>
      <c r="AY32" s="83">
        <v>1.5309999999999999</v>
      </c>
      <c r="AZ32" s="83">
        <v>20.937999999999999</v>
      </c>
      <c r="BA32" s="84">
        <v>120</v>
      </c>
      <c r="BB32" s="75">
        <v>1.8120000000000001</v>
      </c>
      <c r="BC32" s="75">
        <v>20.376000000000001</v>
      </c>
      <c r="BD32" s="84">
        <v>140</v>
      </c>
      <c r="BE32" s="83">
        <v>2.0619999999999998</v>
      </c>
      <c r="BF32" s="83">
        <v>19.876000000000001</v>
      </c>
      <c r="BG32" s="84">
        <v>160</v>
      </c>
      <c r="BH32" s="75">
        <v>2.3439999999999999</v>
      </c>
      <c r="BI32" s="75">
        <v>19.312000000000001</v>
      </c>
      <c r="BJ32" s="74" t="s">
        <v>35</v>
      </c>
      <c r="BK32" s="75">
        <v>0.375</v>
      </c>
      <c r="BL32" s="75">
        <v>23.25</v>
      </c>
      <c r="BM32" s="74" t="s">
        <v>36</v>
      </c>
      <c r="BN32" s="75">
        <v>0.5</v>
      </c>
      <c r="BO32" s="75">
        <v>23</v>
      </c>
      <c r="BP32" s="76"/>
      <c r="BQ32" s="85"/>
      <c r="BR32" s="158"/>
    </row>
    <row r="33" ht="13.5">
      <c r="A33" s="49" t="s">
        <v>90</v>
      </c>
      <c r="B33" s="69" t="s">
        <v>91</v>
      </c>
      <c r="C33" s="70"/>
      <c r="D33" s="97" t="str">
        <f>IF(D20=0,"",IF(D17="LOF = 0.29 - Design OK!",(""),D16-(60*(D20/F26))))</f>
        <v/>
      </c>
      <c r="E33" s="53" t="s">
        <v>52</v>
      </c>
      <c r="F33" s="53"/>
      <c r="G33" s="54"/>
      <c r="H33" s="98" t="str">
        <f>IF(H20=0,"",IF(H17="LOF = 0.29 - Design OK!",(""),H16-(60*(H20/J26))))</f>
        <v/>
      </c>
      <c r="I33" s="55" t="s">
        <v>52</v>
      </c>
      <c r="J33" s="56"/>
      <c r="K33" s="53"/>
      <c r="L33" s="99" t="str">
        <f>IF(L20=0,"",IF(L17="LOF = 0.29 - Design OK!",(""),L16-(60*(L20/N26))))</f>
        <v/>
      </c>
      <c r="M33" s="55" t="s">
        <v>52</v>
      </c>
      <c r="N33" s="56"/>
      <c r="O33" s="54"/>
      <c r="P33" s="98" t="str">
        <f>IF(P20=0,"",IF(P17="LOF = 0.29 - Design OK!",(""),P16-(60*(P20/R26))))</f>
        <v/>
      </c>
      <c r="Q33" s="55" t="s">
        <v>52</v>
      </c>
      <c r="R33" s="1"/>
      <c r="S33" s="1"/>
      <c r="T33" s="2"/>
      <c r="Y33" s="67">
        <v>27</v>
      </c>
      <c r="Z33" s="96">
        <v>26</v>
      </c>
      <c r="AA33" s="82">
        <v>650</v>
      </c>
      <c r="AB33" s="82">
        <v>660.39999999999998</v>
      </c>
      <c r="AC33" s="74"/>
      <c r="AD33" s="83"/>
      <c r="AE33" s="83"/>
      <c r="AF33" s="74">
        <v>10</v>
      </c>
      <c r="AG33" s="83">
        <v>0.312</v>
      </c>
      <c r="AH33" s="83">
        <v>25.376000000000001</v>
      </c>
      <c r="AI33" s="84">
        <v>20</v>
      </c>
      <c r="AJ33" s="83">
        <v>0.5</v>
      </c>
      <c r="AK33" s="83">
        <v>25</v>
      </c>
      <c r="AL33" s="84"/>
      <c r="AM33" s="83"/>
      <c r="AN33" s="83"/>
      <c r="AO33" s="84"/>
      <c r="AP33" s="83"/>
      <c r="AQ33" s="83"/>
      <c r="AR33" s="84"/>
      <c r="AS33" s="85"/>
      <c r="AT33" s="85"/>
      <c r="AU33" s="85"/>
      <c r="AV33" s="85"/>
      <c r="AW33" s="85"/>
      <c r="AX33" s="85"/>
      <c r="AY33" s="85"/>
      <c r="AZ33" s="85"/>
      <c r="BA33" s="85"/>
      <c r="BB33" s="86"/>
      <c r="BC33" s="85"/>
      <c r="BD33" s="85"/>
      <c r="BE33" s="85"/>
      <c r="BF33" s="85"/>
      <c r="BG33" s="85"/>
      <c r="BH33" s="83"/>
      <c r="BI33" s="83"/>
      <c r="BJ33" s="74" t="s">
        <v>35</v>
      </c>
      <c r="BK33" s="75">
        <v>0.375</v>
      </c>
      <c r="BL33" s="75">
        <v>25.25</v>
      </c>
      <c r="BM33" s="74" t="s">
        <v>36</v>
      </c>
      <c r="BN33" s="75">
        <v>0.5</v>
      </c>
      <c r="BO33" s="75">
        <v>25</v>
      </c>
      <c r="BP33" s="76"/>
      <c r="BQ33" s="85"/>
      <c r="BR33" s="158"/>
    </row>
    <row r="34" ht="13.5">
      <c r="A34" s="38" t="s">
        <v>92</v>
      </c>
      <c r="B34" s="69" t="s">
        <v>93</v>
      </c>
      <c r="C34" s="70"/>
      <c r="D34" s="71"/>
      <c r="E34" s="53"/>
      <c r="F34" s="53"/>
      <c r="G34" s="54"/>
      <c r="H34" s="52"/>
      <c r="I34" s="55"/>
      <c r="J34" s="56"/>
      <c r="K34" s="53"/>
      <c r="L34" s="88"/>
      <c r="M34" s="53"/>
      <c r="N34" s="53"/>
      <c r="O34" s="54"/>
      <c r="P34" s="52"/>
      <c r="Q34" s="55"/>
      <c r="R34" s="1"/>
      <c r="S34" s="168"/>
      <c r="T34" s="169" t="s">
        <v>94</v>
      </c>
      <c r="U34" s="170" t="s">
        <v>95</v>
      </c>
      <c r="V34" s="170" t="s">
        <v>96</v>
      </c>
      <c r="W34" s="170" t="s">
        <v>97</v>
      </c>
      <c r="X34" s="171" t="s">
        <v>98</v>
      </c>
      <c r="Y34" s="66">
        <v>28</v>
      </c>
      <c r="Z34" s="96">
        <v>28</v>
      </c>
      <c r="AA34" s="82">
        <v>700</v>
      </c>
      <c r="AB34" s="82">
        <v>711.20000000000005</v>
      </c>
      <c r="AC34" s="74"/>
      <c r="AD34" s="83"/>
      <c r="AE34" s="83"/>
      <c r="AF34" s="74">
        <v>10</v>
      </c>
      <c r="AG34" s="83">
        <v>0.312</v>
      </c>
      <c r="AH34" s="83">
        <v>27.376000000000001</v>
      </c>
      <c r="AI34" s="84">
        <v>20</v>
      </c>
      <c r="AJ34" s="83">
        <v>0.5</v>
      </c>
      <c r="AK34" s="83">
        <v>27</v>
      </c>
      <c r="AL34" s="84">
        <v>30</v>
      </c>
      <c r="AM34" s="83">
        <v>0.625</v>
      </c>
      <c r="AN34" s="83">
        <v>26.75</v>
      </c>
      <c r="AO34" s="84"/>
      <c r="AP34" s="83"/>
      <c r="AQ34" s="83"/>
      <c r="AR34" s="85"/>
      <c r="AS34" s="85"/>
      <c r="AT34" s="85"/>
      <c r="AU34" s="85"/>
      <c r="AV34" s="85"/>
      <c r="AW34" s="85"/>
      <c r="AX34" s="85"/>
      <c r="AY34" s="85"/>
      <c r="AZ34" s="85"/>
      <c r="BA34" s="85"/>
      <c r="BB34" s="86"/>
      <c r="BC34" s="85"/>
      <c r="BD34" s="85"/>
      <c r="BE34" s="85"/>
      <c r="BF34" s="85"/>
      <c r="BG34" s="85"/>
      <c r="BH34" s="86"/>
      <c r="BI34" s="85"/>
      <c r="BJ34" s="74" t="s">
        <v>35</v>
      </c>
      <c r="BK34" s="83">
        <v>0.375</v>
      </c>
      <c r="BL34" s="83">
        <v>27.25</v>
      </c>
      <c r="BM34" s="74" t="s">
        <v>36</v>
      </c>
      <c r="BN34" s="83">
        <v>0.5</v>
      </c>
      <c r="BO34" s="83">
        <v>27</v>
      </c>
      <c r="BP34" s="76"/>
      <c r="BQ34" s="85"/>
      <c r="BR34" s="158"/>
    </row>
    <row r="35" ht="13.5">
      <c r="A35" s="38" t="s">
        <v>99</v>
      </c>
      <c r="B35" s="69" t="s">
        <v>100</v>
      </c>
      <c r="C35" s="70"/>
      <c r="D35" s="71"/>
      <c r="E35" s="53" t="s">
        <v>52</v>
      </c>
      <c r="F35" s="53"/>
      <c r="G35" s="54"/>
      <c r="H35" s="52"/>
      <c r="I35" s="55" t="s">
        <v>52</v>
      </c>
      <c r="J35" s="56"/>
      <c r="K35" s="54"/>
      <c r="L35" s="52"/>
      <c r="M35" s="53" t="s">
        <v>52</v>
      </c>
      <c r="N35" s="53"/>
      <c r="O35" s="54"/>
      <c r="P35" s="52"/>
      <c r="Q35" s="55" t="s">
        <v>52</v>
      </c>
      <c r="R35" s="1"/>
      <c r="S35" s="172" t="s">
        <v>101</v>
      </c>
      <c r="T35" s="173" t="e">
        <f>IF(D24="",Dext,D24)</f>
        <v>#N/A</v>
      </c>
      <c r="U35" s="173" t="e">
        <f t="shared" ref="U35:U36" si="0">IF(H24="",H27,H24)</f>
        <v>#N/A</v>
      </c>
      <c r="V35" s="173" t="e">
        <f t="shared" ref="V35:V36" si="1">IF(L24="",L27,L24)</f>
        <v>#N/A</v>
      </c>
      <c r="W35" s="173" t="e">
        <f t="shared" ref="W35:W36" si="2">IF(P24="",P27,P24)</f>
        <v>#N/A</v>
      </c>
      <c r="X35" s="174" t="s">
        <v>14</v>
      </c>
      <c r="Y35" s="66">
        <v>29</v>
      </c>
      <c r="Z35" s="96">
        <v>30</v>
      </c>
      <c r="AA35" s="82">
        <v>750</v>
      </c>
      <c r="AB35" s="82">
        <v>762</v>
      </c>
      <c r="AC35" s="74">
        <v>5</v>
      </c>
      <c r="AD35" s="83">
        <v>0.25</v>
      </c>
      <c r="AE35" s="83">
        <v>29.5</v>
      </c>
      <c r="AF35" s="74">
        <v>10</v>
      </c>
      <c r="AG35" s="83">
        <v>0.312</v>
      </c>
      <c r="AH35" s="83">
        <v>29.376000000000001</v>
      </c>
      <c r="AI35" s="84">
        <v>20</v>
      </c>
      <c r="AJ35" s="83">
        <v>0.5</v>
      </c>
      <c r="AK35" s="83">
        <v>29</v>
      </c>
      <c r="AL35" s="84">
        <v>30</v>
      </c>
      <c r="AM35" s="83">
        <v>0.625</v>
      </c>
      <c r="AN35" s="83">
        <v>28.75</v>
      </c>
      <c r="AO35" s="84"/>
      <c r="AP35" s="83"/>
      <c r="AQ35" s="83"/>
      <c r="AR35" s="85"/>
      <c r="AS35" s="85"/>
      <c r="AT35" s="85"/>
      <c r="AU35" s="85"/>
      <c r="AV35" s="85"/>
      <c r="AW35" s="85"/>
      <c r="AX35" s="85"/>
      <c r="AY35" s="85"/>
      <c r="AZ35" s="85"/>
      <c r="BA35" s="85"/>
      <c r="BB35" s="86"/>
      <c r="BC35" s="85"/>
      <c r="BD35" s="85"/>
      <c r="BE35" s="85"/>
      <c r="BF35" s="85"/>
      <c r="BG35" s="85"/>
      <c r="BH35" s="86"/>
      <c r="BI35" s="85"/>
      <c r="BJ35" s="74" t="s">
        <v>35</v>
      </c>
      <c r="BK35" s="83">
        <v>0.375</v>
      </c>
      <c r="BL35" s="83">
        <v>29.25</v>
      </c>
      <c r="BM35" s="74" t="s">
        <v>36</v>
      </c>
      <c r="BN35" s="83">
        <v>0.5</v>
      </c>
      <c r="BO35" s="83">
        <v>29</v>
      </c>
      <c r="BP35" s="76"/>
      <c r="BQ35" s="85"/>
      <c r="BR35" s="158"/>
    </row>
    <row r="36" ht="13.5">
      <c r="A36" s="49" t="s">
        <v>102</v>
      </c>
      <c r="B36" s="69" t="s">
        <v>103</v>
      </c>
      <c r="C36" s="70"/>
      <c r="D36" s="71"/>
      <c r="E36" s="53" t="s">
        <v>52</v>
      </c>
      <c r="F36" s="53"/>
      <c r="G36" s="54"/>
      <c r="H36" s="52"/>
      <c r="I36" s="55" t="s">
        <v>52</v>
      </c>
      <c r="J36" s="56"/>
      <c r="K36" s="53"/>
      <c r="L36" s="88"/>
      <c r="M36" s="53" t="s">
        <v>52</v>
      </c>
      <c r="N36" s="53"/>
      <c r="O36" s="54"/>
      <c r="P36" s="52"/>
      <c r="Q36" s="55" t="s">
        <v>52</v>
      </c>
      <c r="R36" s="1"/>
      <c r="S36" s="172" t="s">
        <v>104</v>
      </c>
      <c r="T36" s="173" t="e">
        <f>IF(D25="",T,D25)</f>
        <v>#N/A</v>
      </c>
      <c r="U36" s="173" t="e">
        <f t="shared" si="0"/>
        <v>#N/A</v>
      </c>
      <c r="V36" s="173" t="e">
        <f t="shared" si="1"/>
        <v>#N/A</v>
      </c>
      <c r="W36" s="173" t="e">
        <f t="shared" si="2"/>
        <v>#N/A</v>
      </c>
      <c r="X36" s="174" t="s">
        <v>14</v>
      </c>
      <c r="Y36" s="67">
        <v>30</v>
      </c>
      <c r="Z36" s="96">
        <v>32</v>
      </c>
      <c r="AA36" s="82">
        <v>800</v>
      </c>
      <c r="AB36" s="82">
        <v>812.79999999999995</v>
      </c>
      <c r="AC36" s="74"/>
      <c r="AD36" s="83"/>
      <c r="AE36" s="83"/>
      <c r="AF36" s="74">
        <v>10</v>
      </c>
      <c r="AG36" s="83">
        <v>0.312</v>
      </c>
      <c r="AH36" s="83">
        <v>31.376000000000001</v>
      </c>
      <c r="AI36" s="84">
        <v>20</v>
      </c>
      <c r="AJ36" s="83">
        <v>0.5</v>
      </c>
      <c r="AK36" s="83">
        <v>31</v>
      </c>
      <c r="AL36" s="84">
        <v>30</v>
      </c>
      <c r="AM36" s="83">
        <v>0.625</v>
      </c>
      <c r="AN36" s="83">
        <v>30.75</v>
      </c>
      <c r="AO36" s="84">
        <v>40</v>
      </c>
      <c r="AP36" s="83">
        <v>0.68800000000000006</v>
      </c>
      <c r="AQ36" s="83">
        <v>30.623999999999999</v>
      </c>
      <c r="AR36" s="85"/>
      <c r="AS36" s="85"/>
      <c r="AT36" s="85"/>
      <c r="AU36" s="85"/>
      <c r="AV36" s="85"/>
      <c r="AW36" s="85"/>
      <c r="AX36" s="85"/>
      <c r="AY36" s="85"/>
      <c r="AZ36" s="85"/>
      <c r="BA36" s="85"/>
      <c r="BB36" s="86"/>
      <c r="BC36" s="85"/>
      <c r="BD36" s="85"/>
      <c r="BE36" s="85"/>
      <c r="BF36" s="85"/>
      <c r="BG36" s="85"/>
      <c r="BH36" s="86"/>
      <c r="BI36" s="85"/>
      <c r="BJ36" s="74" t="s">
        <v>35</v>
      </c>
      <c r="BK36" s="83">
        <v>0.375</v>
      </c>
      <c r="BL36" s="83">
        <v>31.25</v>
      </c>
      <c r="BM36" s="74" t="s">
        <v>36</v>
      </c>
      <c r="BN36" s="83">
        <v>0.5</v>
      </c>
      <c r="BO36" s="83">
        <v>31</v>
      </c>
      <c r="BP36" s="76"/>
      <c r="BQ36" s="85"/>
      <c r="BR36" s="158"/>
    </row>
    <row r="37" ht="13.5">
      <c r="A37" s="38" t="s">
        <v>105</v>
      </c>
      <c r="B37" s="69" t="s">
        <v>106</v>
      </c>
      <c r="C37" s="70"/>
      <c r="D37" s="71"/>
      <c r="E37" s="53" t="s">
        <v>52</v>
      </c>
      <c r="F37" s="53"/>
      <c r="G37" s="54"/>
      <c r="H37" s="52"/>
      <c r="I37" s="55" t="s">
        <v>52</v>
      </c>
      <c r="J37" s="56"/>
      <c r="K37" s="53"/>
      <c r="L37" s="88"/>
      <c r="M37" s="53" t="s">
        <v>52</v>
      </c>
      <c r="N37" s="53"/>
      <c r="O37" s="54"/>
      <c r="P37" s="52"/>
      <c r="Q37" s="55" t="s">
        <v>52</v>
      </c>
      <c r="R37" s="1"/>
      <c r="S37" s="172" t="s">
        <v>107</v>
      </c>
      <c r="T37" s="173" t="e">
        <f>(((T35/T36)^3)*3.28*10^-7)-((8.503*10^-5)*(T35/T36)^2)+((7.063*10^-3)*(T35/T36))+0.816</f>
        <v>#N/A</v>
      </c>
      <c r="U37" s="173" t="e">
        <f t="shared" ref="U37:W37" si="3">(((U35/U36)^3)*3.28*10^-7)-((8.503*10^-5)*(U35/U36)^2)+((7.063*10^-3)*(U35/U36))+0.816</f>
        <v>#N/A</v>
      </c>
      <c r="V37" s="173" t="e">
        <f t="shared" si="3"/>
        <v>#N/A</v>
      </c>
      <c r="W37" s="173" t="e">
        <f t="shared" si="3"/>
        <v>#N/A</v>
      </c>
      <c r="X37" s="175"/>
      <c r="Y37" s="66">
        <v>31</v>
      </c>
      <c r="Z37" s="96">
        <v>34</v>
      </c>
      <c r="AA37" s="82">
        <v>850</v>
      </c>
      <c r="AB37" s="82">
        <v>863.60000000000002</v>
      </c>
      <c r="AC37" s="74"/>
      <c r="AD37" s="83"/>
      <c r="AE37" s="83"/>
      <c r="AF37" s="74">
        <v>10</v>
      </c>
      <c r="AG37" s="83">
        <v>0.312</v>
      </c>
      <c r="AH37" s="83">
        <v>33.375999999999998</v>
      </c>
      <c r="AI37" s="84">
        <v>20</v>
      </c>
      <c r="AJ37" s="83">
        <v>0.5</v>
      </c>
      <c r="AK37" s="83">
        <v>33</v>
      </c>
      <c r="AL37" s="84">
        <v>30</v>
      </c>
      <c r="AM37" s="83">
        <v>0.625</v>
      </c>
      <c r="AN37" s="83">
        <v>32.75</v>
      </c>
      <c r="AO37" s="84">
        <v>40</v>
      </c>
      <c r="AP37" s="83">
        <v>0.68800000000000006</v>
      </c>
      <c r="AQ37" s="83">
        <v>32.624000000000002</v>
      </c>
      <c r="AR37" s="85"/>
      <c r="AS37" s="85"/>
      <c r="AT37" s="85"/>
      <c r="AU37" s="85"/>
      <c r="AV37" s="85"/>
      <c r="AW37" s="85"/>
      <c r="AX37" s="85"/>
      <c r="AY37" s="85"/>
      <c r="AZ37" s="85"/>
      <c r="BA37" s="85"/>
      <c r="BB37" s="86"/>
      <c r="BC37" s="85"/>
      <c r="BD37" s="85"/>
      <c r="BE37" s="85"/>
      <c r="BF37" s="85"/>
      <c r="BG37" s="85"/>
      <c r="BH37" s="86"/>
      <c r="BI37" s="85"/>
      <c r="BJ37" s="74" t="s">
        <v>35</v>
      </c>
      <c r="BK37" s="83">
        <v>0.375</v>
      </c>
      <c r="BL37" s="83">
        <v>33.25</v>
      </c>
      <c r="BM37" s="74" t="s">
        <v>36</v>
      </c>
      <c r="BN37" s="83">
        <v>0.5</v>
      </c>
      <c r="BO37" s="83">
        <v>33</v>
      </c>
      <c r="BP37" s="76"/>
      <c r="BQ37" s="85"/>
      <c r="BR37" s="158"/>
    </row>
    <row r="38" ht="13.5">
      <c r="A38" s="38" t="s">
        <v>108</v>
      </c>
      <c r="B38" s="69" t="s">
        <v>109</v>
      </c>
      <c r="C38" s="70"/>
      <c r="D38" s="97" t="str">
        <f>IF(D17="LOF = 0.29 - Design OK!",(""),(IF(D34=0,D33,(IF(D34=1,(10*LOG((10^(D33/10))+(10^(D35/10)),10)),(IF(D34=2,(10*LOG((10^(D33/10))+(10^(D35/10))+(10^(D36/10)),10)),(IF(D34=3,((10*LOG((10^(D33/10))+(10^(D35/10))+(10^(D36/10))+(10^(D37/10)),10))),("err"))))))))))</f>
        <v/>
      </c>
      <c r="E38" s="53" t="s">
        <v>52</v>
      </c>
      <c r="F38" s="53"/>
      <c r="G38" s="54"/>
      <c r="H38" s="98" t="str">
        <f>IF(H17="LOF = 0.29 - Design OK!",(""),(IF(H34=0,H33,(IF(H34=1,(10*LOG((10^(H33/10))+(10^(H35/10)),10)),(IF(H34=2,(10*LOG((10^(H33/10))+(10^(H35/10))+(10^(H36/10)),10)),(IF(H34=3,((10*LOG((10^(H33/10))+(10^(H35/10))+(10^(H36/10))+(10^(H37/10)),10))),("err"))))))))))</f>
        <v/>
      </c>
      <c r="I38" s="55" t="s">
        <v>52</v>
      </c>
      <c r="J38" s="56"/>
      <c r="K38" s="53"/>
      <c r="L38" s="99" t="str">
        <f>IF(L17="LOF = 0.29 - Design OK!",(""),(IF(L34=0,L33,(IF(L34=1,(10*LOG((10^(L33/10))+(10^(L35/10)),10)),(IF(L34=2,(10*LOG((10^(L33/10))+(10^(L35/10))+(10^(L36/10)),10)),(IF(L34=3,((10*LOG((10^(L33/10))+(10^(L35/10))+(10^(L36/10))+(10^(L37/10)),10))),("err"))))))))))</f>
        <v/>
      </c>
      <c r="M38" s="53" t="s">
        <v>52</v>
      </c>
      <c r="N38" s="53"/>
      <c r="O38" s="54"/>
      <c r="P38" s="98" t="str">
        <f>IF(P17="LOF = 0.29 - Design OK!",(""),(IF(P34=0,P33,(IF(P34=1,(10*LOG((10^(P33/10))+(10^(P35/10)),10)),(IF(P34=2,(10*LOG((10^(P33/10))+(10^(P35/10))+(10^(P36/10)),10)),(IF(P34=3,((10*LOG((10^(P33/10))+(10^(P35/10))+(10^(P36/10))+(10^(P37/10)),10))),("err"))))))))))</f>
        <v/>
      </c>
      <c r="Q38" s="55" t="s">
        <v>52</v>
      </c>
      <c r="R38" s="1"/>
      <c r="S38" s="172" t="s">
        <v>110</v>
      </c>
      <c r="T38" s="173" t="e">
        <f>91.9-T35/T36</f>
        <v>#N/A</v>
      </c>
      <c r="U38" s="173" t="e">
        <f>91.9-U35/U36</f>
        <v>#N/A</v>
      </c>
      <c r="V38" s="173" t="e">
        <f>91.9-V35/V36</f>
        <v>#N/A</v>
      </c>
      <c r="W38" s="173" t="e">
        <f>91.9-W35/W36</f>
        <v>#N/A</v>
      </c>
      <c r="X38" s="175"/>
      <c r="Y38" s="66">
        <v>32</v>
      </c>
      <c r="Z38" s="96">
        <v>36</v>
      </c>
      <c r="AA38" s="82">
        <v>900</v>
      </c>
      <c r="AB38" s="82">
        <v>914.39999999999998</v>
      </c>
      <c r="AC38" s="74"/>
      <c r="AD38" s="83"/>
      <c r="AE38" s="83"/>
      <c r="AF38" s="74">
        <v>10</v>
      </c>
      <c r="AG38" s="83">
        <v>0.312</v>
      </c>
      <c r="AH38" s="83">
        <v>35.375999999999998</v>
      </c>
      <c r="AI38" s="84">
        <v>20</v>
      </c>
      <c r="AJ38" s="83">
        <v>0.5</v>
      </c>
      <c r="AK38" s="83">
        <v>35</v>
      </c>
      <c r="AL38" s="84">
        <v>30</v>
      </c>
      <c r="AM38" s="83">
        <v>0.625</v>
      </c>
      <c r="AN38" s="83">
        <v>34.75</v>
      </c>
      <c r="AO38" s="84">
        <v>40</v>
      </c>
      <c r="AP38" s="83">
        <v>0.75</v>
      </c>
      <c r="AQ38" s="83">
        <v>34.5</v>
      </c>
      <c r="AR38" s="85"/>
      <c r="AS38" s="85"/>
      <c r="AT38" s="85"/>
      <c r="AU38" s="85"/>
      <c r="AV38" s="85"/>
      <c r="AW38" s="85"/>
      <c r="AX38" s="85"/>
      <c r="AY38" s="85"/>
      <c r="AZ38" s="85"/>
      <c r="BA38" s="85"/>
      <c r="BB38" s="86"/>
      <c r="BC38" s="85"/>
      <c r="BD38" s="85"/>
      <c r="BE38" s="85"/>
      <c r="BF38" s="85"/>
      <c r="BG38" s="85"/>
      <c r="BH38" s="86"/>
      <c r="BI38" s="85"/>
      <c r="BJ38" s="74" t="s">
        <v>35</v>
      </c>
      <c r="BK38" s="83">
        <v>0.375</v>
      </c>
      <c r="BL38" s="83">
        <v>35.25</v>
      </c>
      <c r="BM38" s="74" t="s">
        <v>36</v>
      </c>
      <c r="BN38" s="83">
        <v>0.5</v>
      </c>
      <c r="BO38" s="83">
        <v>35</v>
      </c>
      <c r="BP38" s="76"/>
      <c r="BQ38" s="85"/>
      <c r="BR38" s="158"/>
    </row>
    <row r="39" ht="12.75" customHeight="1">
      <c r="A39" s="49" t="s">
        <v>111</v>
      </c>
      <c r="B39" s="176" t="s">
        <v>61</v>
      </c>
      <c r="C39" s="177"/>
      <c r="D39" s="178" t="str">
        <f>IF(D17="LOF = 0.29 - Design OK!","",IF(D20=0,"",IF(D38&lt;155,("Main Line LOF is equal to greatest discontinuity location LOF up to this location from the source. Subsequent length of the line has an LOF equal to 0.29 -Design OK!"),("Determine Individual welded discontinuity LOF As Below"))))</f>
        <v/>
      </c>
      <c r="E39" s="179"/>
      <c r="F39" s="178"/>
      <c r="G39" s="178"/>
      <c r="H39" s="180" t="str">
        <f>IF(H17="LOF = 0.29 - Design OK!",(""),IF(H20=0,"",IF(H38&lt;155,("Main Line LOF is equal to greatest discontinuity location LOF up to this location from the source. Subsequent length of the line has an LOF equal to 0.29 -Design OK!"),("Determine Individual welded discontinuity LOF As Below"))))</f>
        <v/>
      </c>
      <c r="I39" s="181"/>
      <c r="J39" s="178"/>
      <c r="K39" s="178"/>
      <c r="L39" s="182" t="str">
        <f>IF(L17="LOF = 0.29 - Design OK!",(""),IF(L20=0,"",IF(L38&lt;155,("Main Line LOF is equal to greatest discontinuity location LOF up to this location from the source. Subsequent length of the line has an LOF equal to 0.29 -Design OK!"),("Determine Individual welded discontinuity LOF As Below"))))</f>
        <v/>
      </c>
      <c r="M39" s="181"/>
      <c r="N39" s="178"/>
      <c r="O39" s="178"/>
      <c r="P39" s="182" t="str">
        <f>IF(P17="LOF = 0.29 - Design OK!",(""),IF(P20=0,"",IF(P38&lt;155,("Main Line LOF is equal to greatest discontinuity location LOF up to this location from the source. Subsequent length of the line has an LOF equal to 0.29 -Design OK!"),("Determine Individual welded discontinuity LOF As Below"))))</f>
        <v/>
      </c>
      <c r="Q39" s="179"/>
      <c r="R39" s="183"/>
      <c r="S39" s="184" t="s">
        <v>112</v>
      </c>
      <c r="T39" s="173" t="e">
        <f>T37*(D38-(0.112762*T38)-(0.001812*(T38^2))+((4.307277*10^-5)*T38^3))</f>
        <v>#N/A</v>
      </c>
      <c r="U39" s="173" t="e">
        <f>U37*(H38-(0.112762*U38)-(0.001812*(U38^2))+((4.307277*10^-5)*U38^3))</f>
        <v>#N/A</v>
      </c>
      <c r="V39" s="173" t="e">
        <f>V37*(L38-(0.112762*V38)-(0.001812*(V38^2))+((4.307277*10^-5)*V38^3))</f>
        <v>#N/A</v>
      </c>
      <c r="W39" s="173" t="e">
        <f>W37*(P38-(0.112762*W38)-(0.001812*(W38^2))+((4.307277*10^-5)*W38^3))</f>
        <v>#N/A</v>
      </c>
      <c r="X39" s="175"/>
      <c r="Y39" s="67">
        <v>33</v>
      </c>
      <c r="Z39" s="96">
        <v>38</v>
      </c>
      <c r="AA39" s="82">
        <v>950</v>
      </c>
      <c r="AB39" s="82">
        <v>965.20000000000005</v>
      </c>
      <c r="AC39" s="74"/>
      <c r="AD39" s="83"/>
      <c r="AE39" s="83"/>
      <c r="AF39" s="85"/>
      <c r="AG39" s="83"/>
      <c r="AH39" s="83"/>
      <c r="AI39" s="85"/>
      <c r="AJ39" s="85"/>
      <c r="AK39" s="85"/>
      <c r="AL39" s="85"/>
      <c r="AM39" s="85"/>
      <c r="AN39" s="85"/>
      <c r="AO39" s="85"/>
      <c r="AP39" s="85"/>
      <c r="AQ39" s="85"/>
      <c r="AR39" s="85"/>
      <c r="AS39" s="85"/>
      <c r="AT39" s="85"/>
      <c r="AU39" s="85"/>
      <c r="AV39" s="85"/>
      <c r="AW39" s="85"/>
      <c r="AX39" s="85"/>
      <c r="AY39" s="85"/>
      <c r="AZ39" s="85"/>
      <c r="BA39" s="85"/>
      <c r="BB39" s="86"/>
      <c r="BC39" s="85"/>
      <c r="BD39" s="85"/>
      <c r="BE39" s="85"/>
      <c r="BF39" s="85"/>
      <c r="BG39" s="85"/>
      <c r="BH39" s="86"/>
      <c r="BI39" s="85"/>
      <c r="BJ39" s="74" t="s">
        <v>35</v>
      </c>
      <c r="BK39" s="83">
        <v>0.375</v>
      </c>
      <c r="BL39" s="83">
        <v>37.25</v>
      </c>
      <c r="BM39" s="74" t="s">
        <v>36</v>
      </c>
      <c r="BN39" s="83">
        <v>0.5</v>
      </c>
      <c r="BO39" s="83">
        <v>37</v>
      </c>
      <c r="BP39" s="76"/>
      <c r="BQ39" s="85"/>
      <c r="BR39" s="158"/>
    </row>
    <row r="40" ht="12.75" customHeight="1">
      <c r="A40" s="38" t="s">
        <v>113</v>
      </c>
      <c r="B40" s="185"/>
      <c r="C40" s="186"/>
      <c r="D40" s="187"/>
      <c r="E40" s="188"/>
      <c r="F40" s="187"/>
      <c r="G40" s="187"/>
      <c r="H40" s="189"/>
      <c r="I40" s="190"/>
      <c r="J40" s="187"/>
      <c r="K40" s="187"/>
      <c r="L40" s="191"/>
      <c r="M40" s="190"/>
      <c r="N40" s="187"/>
      <c r="O40" s="187"/>
      <c r="P40" s="191"/>
      <c r="Q40" s="188"/>
      <c r="R40" s="183"/>
      <c r="S40" s="184" t="s">
        <v>114</v>
      </c>
      <c r="T40" s="173" t="e">
        <f>470711.5155-(63075.1242*LOG10(T39))+(183685.4368/(T39^0.5))-(575094.3273/(T39)^0.1)</f>
        <v>#N/A</v>
      </c>
      <c r="U40" s="173" t="e">
        <f>470711.5155-(63075.1242*LOG10(U39))+(183685.4368/(U39^0.5))-(575094.3273/(U39)^0.1)</f>
        <v>#N/A</v>
      </c>
      <c r="V40" s="173" t="e">
        <f>470711.5155-(63075.1242*LOG10(V39))+(183685.4368/(V39^0.5))-(575094.3273/(V39)^0.1)</f>
        <v>#N/A</v>
      </c>
      <c r="W40" s="173" t="e">
        <f>470711.5155-(63075.1242*LOG10(W39))+(183685.4368/(W39^0.5))-(575094.3273/(W39)^0.1)</f>
        <v>#N/A</v>
      </c>
      <c r="X40" s="175"/>
      <c r="Y40" s="66">
        <v>34</v>
      </c>
      <c r="Z40" s="96">
        <v>40</v>
      </c>
      <c r="AA40" s="82">
        <v>1000</v>
      </c>
      <c r="AB40" s="82">
        <v>1016</v>
      </c>
      <c r="AC40" s="74"/>
      <c r="AD40" s="83"/>
      <c r="AE40" s="83"/>
      <c r="AF40" s="85"/>
      <c r="AG40" s="83"/>
      <c r="AH40" s="83"/>
      <c r="AI40" s="85"/>
      <c r="AJ40" s="85"/>
      <c r="AK40" s="85"/>
      <c r="AL40" s="85"/>
      <c r="AM40" s="85"/>
      <c r="AN40" s="85"/>
      <c r="AO40" s="85"/>
      <c r="AP40" s="85"/>
      <c r="AQ40" s="85"/>
      <c r="AR40" s="85"/>
      <c r="AS40" s="85"/>
      <c r="AT40" s="85"/>
      <c r="AU40" s="85"/>
      <c r="AV40" s="85"/>
      <c r="AW40" s="85"/>
      <c r="AX40" s="85"/>
      <c r="AY40" s="85"/>
      <c r="AZ40" s="85"/>
      <c r="BA40" s="85"/>
      <c r="BB40" s="86"/>
      <c r="BC40" s="85"/>
      <c r="BD40" s="85"/>
      <c r="BE40" s="85"/>
      <c r="BF40" s="85"/>
      <c r="BG40" s="85"/>
      <c r="BH40" s="86"/>
      <c r="BI40" s="85"/>
      <c r="BJ40" s="74" t="s">
        <v>35</v>
      </c>
      <c r="BK40" s="75">
        <v>0.375</v>
      </c>
      <c r="BL40" s="75">
        <v>39.25</v>
      </c>
      <c r="BM40" s="74" t="s">
        <v>36</v>
      </c>
      <c r="BN40" s="75">
        <v>0.5</v>
      </c>
      <c r="BO40" s="75">
        <v>39</v>
      </c>
      <c r="BP40" s="76"/>
      <c r="BQ40" s="85"/>
      <c r="BR40" s="158"/>
    </row>
    <row r="41" ht="12.75" customHeight="1">
      <c r="A41" s="38" t="s">
        <v>115</v>
      </c>
      <c r="B41" s="185"/>
      <c r="C41" s="186"/>
      <c r="D41" s="187"/>
      <c r="E41" s="188"/>
      <c r="F41" s="187"/>
      <c r="G41" s="187"/>
      <c r="H41" s="189"/>
      <c r="I41" s="190"/>
      <c r="J41" s="187"/>
      <c r="K41" s="187"/>
      <c r="L41" s="191"/>
      <c r="M41" s="190"/>
      <c r="N41" s="187"/>
      <c r="O41" s="187"/>
      <c r="P41" s="191"/>
      <c r="Q41" s="188"/>
      <c r="R41" s="183"/>
      <c r="S41" s="192" t="s">
        <v>116</v>
      </c>
      <c r="T41" s="193" t="e">
        <f>10^T40</f>
        <v>#N/A</v>
      </c>
      <c r="U41" s="193" t="e">
        <f t="shared" ref="U41:W41" si="4">10^U40</f>
        <v>#N/A</v>
      </c>
      <c r="V41" s="193" t="e">
        <f t="shared" si="4"/>
        <v>#N/A</v>
      </c>
      <c r="W41" s="193" t="e">
        <f t="shared" si="4"/>
        <v>#N/A</v>
      </c>
      <c r="X41" s="194"/>
      <c r="Y41" s="66">
        <v>35</v>
      </c>
      <c r="Z41" s="96">
        <v>42</v>
      </c>
      <c r="AA41" s="82">
        <v>1050</v>
      </c>
      <c r="AB41" s="82">
        <v>1066.8</v>
      </c>
      <c r="AC41" s="74"/>
      <c r="AD41" s="83"/>
      <c r="AE41" s="83"/>
      <c r="AF41" s="85"/>
      <c r="AG41" s="85"/>
      <c r="AH41" s="85"/>
      <c r="AI41" s="85"/>
      <c r="AJ41" s="85"/>
      <c r="AK41" s="85"/>
      <c r="AL41" s="85"/>
      <c r="AM41" s="85"/>
      <c r="AN41" s="85"/>
      <c r="AO41" s="85"/>
      <c r="AP41" s="195"/>
      <c r="AQ41" s="85"/>
      <c r="AR41" s="85"/>
      <c r="AS41" s="85"/>
      <c r="AT41" s="85"/>
      <c r="AU41" s="85"/>
      <c r="AV41" s="85"/>
      <c r="AW41" s="195"/>
      <c r="AX41" s="195"/>
      <c r="AY41" s="195"/>
      <c r="AZ41" s="195"/>
      <c r="BA41" s="85"/>
      <c r="BB41" s="85"/>
      <c r="BC41" s="85"/>
      <c r="BD41" s="85"/>
      <c r="BE41" s="85"/>
      <c r="BF41" s="85"/>
      <c r="BG41" s="195"/>
      <c r="BH41" s="85"/>
      <c r="BI41" s="85"/>
      <c r="BJ41" s="74" t="s">
        <v>35</v>
      </c>
      <c r="BK41" s="75">
        <v>0.375</v>
      </c>
      <c r="BL41" s="75">
        <v>41.25</v>
      </c>
      <c r="BM41" s="74" t="s">
        <v>36</v>
      </c>
      <c r="BN41" s="75">
        <v>0.5</v>
      </c>
      <c r="BO41" s="75">
        <v>41</v>
      </c>
      <c r="BP41" s="76"/>
      <c r="BQ41" s="85"/>
      <c r="BR41" s="158"/>
    </row>
    <row r="42" ht="12.75" customHeight="1">
      <c r="A42" s="49" t="s">
        <v>117</v>
      </c>
      <c r="B42" s="196"/>
      <c r="C42" s="197"/>
      <c r="D42" s="198"/>
      <c r="E42" s="199"/>
      <c r="F42" s="198"/>
      <c r="G42" s="198"/>
      <c r="H42" s="200"/>
      <c r="I42" s="201"/>
      <c r="J42" s="198"/>
      <c r="K42" s="198"/>
      <c r="L42" s="202"/>
      <c r="M42" s="201"/>
      <c r="N42" s="198"/>
      <c r="O42" s="198"/>
      <c r="P42" s="202"/>
      <c r="Q42" s="199"/>
      <c r="R42" s="183"/>
      <c r="S42" s="183"/>
      <c r="T42" s="2"/>
      <c r="U42" s="1"/>
      <c r="V42" s="1"/>
      <c r="W42" s="1"/>
      <c r="X42" s="1"/>
      <c r="Y42" s="67">
        <v>36</v>
      </c>
      <c r="Z42" s="96">
        <v>44</v>
      </c>
      <c r="AA42" s="57">
        <v>1100</v>
      </c>
      <c r="AB42" s="57">
        <v>1117.5999999999999</v>
      </c>
      <c r="AC42" s="74"/>
      <c r="AD42" s="75"/>
      <c r="AE42" s="75"/>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6"/>
      <c r="BF42" s="76"/>
      <c r="BG42" s="76"/>
      <c r="BH42" s="76"/>
      <c r="BI42" s="76"/>
      <c r="BJ42" s="74" t="s">
        <v>35</v>
      </c>
      <c r="BK42" s="75">
        <v>0.375</v>
      </c>
      <c r="BL42" s="75">
        <v>43.25</v>
      </c>
      <c r="BM42" s="74" t="s">
        <v>36</v>
      </c>
      <c r="BN42" s="75">
        <v>0.5</v>
      </c>
      <c r="BO42" s="75">
        <v>43</v>
      </c>
      <c r="BP42" s="76"/>
      <c r="BQ42" s="76"/>
      <c r="BR42" s="77"/>
    </row>
    <row r="43" ht="13.5">
      <c r="A43" s="38" t="s">
        <v>118</v>
      </c>
      <c r="B43" s="69" t="s">
        <v>119</v>
      </c>
      <c r="C43" s="70"/>
      <c r="D43" s="203" t="str">
        <f>IF(D17="LOF = 0.29 - Design OK!","",IF(D39="Main Line LOF is equal to greatest discontinuity location LOF up to this location from the source. Subsequent length of the line has an LOF equal to 0.29 -Design OK!",(""),IF(D20=0,"",T41)))</f>
        <v/>
      </c>
      <c r="E43" s="53"/>
      <c r="F43" s="53"/>
      <c r="G43" s="54"/>
      <c r="H43" s="204" t="str">
        <f>IF(H17="LOF = 0.29 - Design OK!","",IF(H39="Main Line LOF is equal to greatest discontinuity location LOF up to this location from the source. Subsequent length of the line has an LOF equal to 0.29 -Design OK!",(""),IF(H20=0,"",U41)))</f>
        <v/>
      </c>
      <c r="I43" s="55"/>
      <c r="J43" s="56"/>
      <c r="K43" s="53"/>
      <c r="L43" s="205" t="str">
        <f>IF(L17="LOF = 0.29 - Design OK!","",IF(L39="Main Line LOF is equal to greatest discontinuity location LOF up to this location from the source. Subsequent length of the line has an LOF equal to 0.29 -Design OK!",(""),IF(L20=0,"",V41)))</f>
        <v/>
      </c>
      <c r="M43" s="53"/>
      <c r="N43" s="53"/>
      <c r="O43" s="54"/>
      <c r="P43" s="204" t="str">
        <f>IF(P17="LOF = 0.29 - Design OK!","",IF(P39="Main Line LOF is equal to greatest discontinuity location LOF up to this location from the source. Subsequent length of the line has an LOF equal to 0.29 -Design OK!",(""),IF(P20=0,"",W41)))</f>
        <v/>
      </c>
      <c r="Q43" s="55"/>
      <c r="R43" s="1"/>
      <c r="S43" s="1"/>
      <c r="T43" s="2"/>
      <c r="U43" s="1"/>
      <c r="V43" s="1"/>
      <c r="W43" s="1"/>
      <c r="X43" s="1"/>
      <c r="Y43" s="66">
        <v>37</v>
      </c>
      <c r="Z43" s="96">
        <v>46</v>
      </c>
      <c r="AA43" s="82">
        <v>1150</v>
      </c>
      <c r="AB43" s="82">
        <v>1168.4000000000001</v>
      </c>
      <c r="AC43" s="74"/>
      <c r="AD43" s="83"/>
      <c r="AE43" s="83"/>
      <c r="AF43" s="85"/>
      <c r="AG43" s="85"/>
      <c r="AH43" s="85"/>
      <c r="AI43" s="85"/>
      <c r="AJ43" s="85"/>
      <c r="AK43" s="85"/>
      <c r="AL43" s="85"/>
      <c r="AM43" s="85"/>
      <c r="AN43" s="85"/>
      <c r="AO43" s="85"/>
      <c r="AP43" s="85"/>
      <c r="AQ43" s="85"/>
      <c r="AR43" s="85"/>
      <c r="AS43" s="85"/>
      <c r="AT43" s="85"/>
      <c r="AU43" s="85"/>
      <c r="AV43" s="85"/>
      <c r="AW43" s="85"/>
      <c r="AX43" s="85"/>
      <c r="AY43" s="85"/>
      <c r="AZ43" s="85"/>
      <c r="BA43" s="85"/>
      <c r="BB43" s="86"/>
      <c r="BC43" s="85"/>
      <c r="BD43" s="85"/>
      <c r="BE43" s="85"/>
      <c r="BF43" s="85"/>
      <c r="BG43" s="85"/>
      <c r="BH43" s="85"/>
      <c r="BI43" s="85"/>
      <c r="BJ43" s="74" t="s">
        <v>35</v>
      </c>
      <c r="BK43" s="83">
        <v>0.375</v>
      </c>
      <c r="BL43" s="83">
        <v>45.25</v>
      </c>
      <c r="BM43" s="74" t="s">
        <v>36</v>
      </c>
      <c r="BN43" s="83">
        <v>0.5</v>
      </c>
      <c r="BO43" s="83">
        <v>45</v>
      </c>
      <c r="BP43" s="85"/>
      <c r="BQ43" s="85"/>
      <c r="BR43" s="158"/>
    </row>
    <row r="44" ht="13.5">
      <c r="A44" s="38" t="s">
        <v>120</v>
      </c>
      <c r="B44" s="69" t="s">
        <v>121</v>
      </c>
      <c r="C44" s="70"/>
      <c r="D44" s="79" t="str">
        <f>IF(D20=0,"",IF(D17="LOF = 0.29 - Design OK!",(""),IF(D39="Main Line LOF is equal to greatest discontinuity location LOF up to this location from the source. Subsequent length of the line has an LOF equal to 0.29 -Design OK!",(""),(F24/F31))))</f>
        <v/>
      </c>
      <c r="E44" s="53"/>
      <c r="F44" s="53"/>
      <c r="G44" s="54"/>
      <c r="H44" s="80" t="str">
        <f>IF(H20=0,"",IF(H17="LOF = 0.29 - Design OK!",(""),IF(H39="Main Line LOF is equal to greatest discontinuity location LOF up to this location from the source. Subsequent length of the line has an LOF equal to 0.29 -Design OK!",(""),(J24/J31))))</f>
        <v/>
      </c>
      <c r="I44" s="55"/>
      <c r="J44" s="56"/>
      <c r="K44" s="53"/>
      <c r="L44" s="81" t="str">
        <f>IF(L20=0,"",IF(L17="LOF = 0.29 - Design OK!",(""),IF(L39="Main Line LOF is equal to greatest discontinuity location LOF up to this location from the source. Subsequent length of the line has an LOF equal to 0.29 -Design OK!",(""),(N24/N31))))</f>
        <v/>
      </c>
      <c r="M44" s="53"/>
      <c r="N44" s="53"/>
      <c r="O44" s="54"/>
      <c r="P44" s="80" t="str">
        <f>IF(P20=0,"",IF(P17="LOF = 0.29 - Design OK!",(""),IF(P39="Main Line LOF is equal to greatest discontinuity location LOF up to this location from the source. Subsequent length of the line has an LOF equal to 0.29 -Design OK!",(""),(R24/R31))))</f>
        <v/>
      </c>
      <c r="Q44" s="55"/>
      <c r="R44" s="1"/>
      <c r="S44" s="1"/>
      <c r="T44" s="2"/>
      <c r="U44" s="1"/>
      <c r="V44" s="1"/>
      <c r="W44" s="1"/>
      <c r="X44" s="1"/>
      <c r="Y44" s="66">
        <v>38</v>
      </c>
      <c r="Z44" s="206">
        <v>48</v>
      </c>
      <c r="AA44" s="207">
        <v>1200</v>
      </c>
      <c r="AB44" s="207">
        <v>1219.2</v>
      </c>
      <c r="AC44" s="208"/>
      <c r="AD44" s="209"/>
      <c r="AE44" s="209"/>
      <c r="AF44" s="210"/>
      <c r="AG44" s="210"/>
      <c r="AH44" s="210"/>
      <c r="AI44" s="210"/>
      <c r="AJ44" s="210"/>
      <c r="AK44" s="210"/>
      <c r="AL44" s="210"/>
      <c r="AM44" s="210"/>
      <c r="AN44" s="210"/>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08" t="s">
        <v>35</v>
      </c>
      <c r="BK44" s="209">
        <v>0.375</v>
      </c>
      <c r="BL44" s="209">
        <v>47.25</v>
      </c>
      <c r="BM44" s="208" t="s">
        <v>36</v>
      </c>
      <c r="BN44" s="209">
        <v>0.5</v>
      </c>
      <c r="BO44" s="209">
        <v>47</v>
      </c>
      <c r="BP44" s="210"/>
      <c r="BQ44" s="210"/>
      <c r="BR44" s="211"/>
    </row>
    <row r="45" ht="13.5">
      <c r="A45" s="49" t="s">
        <v>122</v>
      </c>
      <c r="B45" s="69" t="s">
        <v>123</v>
      </c>
      <c r="C45" s="70"/>
      <c r="D45" s="212" t="str">
        <f>IF(D20=0,"",IF(D17="LOF = 0.29 - Design OK!",(""),IF(D39="Main Line LOF is equal to greatest discontinuity location LOF up to this location from the source. Subsequent length of the line has an LOF equal to 0.29 -Design OK!",(""),(IF(D44&lt;10,(-0.07+0.91*D44+(1.32/D44)-(0.48*(D44)^(1.5))+(0.065*(D44^2))),0.5)))))</f>
        <v/>
      </c>
      <c r="E45" s="53"/>
      <c r="F45" s="53"/>
      <c r="G45" s="54"/>
      <c r="H45" s="213" t="str">
        <f>IF(H20=0,"",IF(H17="LOF = 0.29 - Design OK!",(""),IF(H39="Main Line LOF is equal to greatest discontinuity location LOF up to this location from the source. Subsequent length of the line has an LOF equal to 0.29 -Design OK!",(""),(IF(H44&lt;10,(-0.07+0.91*H44+(1.32/H44)-(0.48*(H44)^(1.5))+(0.065*(H44^2))),0.5)))))</f>
        <v/>
      </c>
      <c r="I45" s="55"/>
      <c r="J45" s="56"/>
      <c r="K45" s="53"/>
      <c r="L45" s="214" t="str">
        <f>IF(L20=0,"",IF(L17="LOF = 0.29 - Design OK!",(""),IF(L39="Main Line LOF is equal to greatest discontinuity location LOF up to this location from the source. Subsequent length of the line has an LOF equal to 0.29 -Design OK!",(""),(IF(L44&lt;10,(-0.07+0.91*L44+(1.32/L44)-(0.48*(L44)^(1.5))+(0.065*(L44^2))),0.5)))))</f>
        <v/>
      </c>
      <c r="M45" s="53"/>
      <c r="N45" s="53"/>
      <c r="O45" s="54"/>
      <c r="P45" s="213" t="str">
        <f>IF(P20=0,"",IF(P17="LOF = 0.29 - Design OK!",(""),IF(P39="Main Line LOF is equal to greatest discontinuity location LOF up to this location from the source. Subsequent length of the line has an LOF equal to 0.29 -Design OK!",(""),(IF(P44&lt;10,(-0.07+0.91*P44+(1.32/P44)-(0.48*(P44)^(1.5))+(0.065*(P44^2))),0.5)))))</f>
        <v/>
      </c>
      <c r="Q45" s="55"/>
      <c r="R45" s="1"/>
      <c r="S45" s="1"/>
      <c r="T45" s="2"/>
      <c r="U45" s="1"/>
      <c r="V45" s="1"/>
      <c r="W45" s="1"/>
      <c r="X45" s="1"/>
      <c r="Y45" s="67"/>
      <c r="Z45" s="7"/>
      <c r="AA45" s="7" t="s">
        <v>30</v>
      </c>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row>
    <row r="46" ht="15">
      <c r="A46" s="38" t="s">
        <v>124</v>
      </c>
      <c r="B46" s="69" t="s">
        <v>125</v>
      </c>
      <c r="C46" s="70"/>
      <c r="D46" s="203" t="str">
        <f>IF(D20=0,"",IF(D17="LOF = 0.29 - Design OK!",(""),IF(D39="Main Line LOF is equal to greatest discontinuity location LOF up to this location from the source. Subsequent length of the line has an LOF equal to 0.29 -Design OK!",(""),(D45*D43))))</f>
        <v/>
      </c>
      <c r="E46" s="53"/>
      <c r="F46" s="53"/>
      <c r="G46" s="54"/>
      <c r="H46" s="204" t="str">
        <f>IF(H20=0,"",IF(H17="LOF = 0.29 - Design OK!",(""),IF(H39="Main Line LOF is equal to greatest discontinuity location LOF up to this location from the source. Subsequent length of the line has an LOF equal to 0.29 -Design OK!",(""),(H45*H43))))</f>
        <v/>
      </c>
      <c r="I46" s="55"/>
      <c r="J46" s="56"/>
      <c r="K46" s="53"/>
      <c r="L46" s="205" t="str">
        <f>IF(L20=0,"",IF(L17="LOF = 0.29 - Design OK!",(""),IF(L39="Main Line LOF is equal to greatest discontinuity location LOF up to this location from the source. Subsequent length of the line has an LOF equal to 0.29 -Design OK!",(""),(L45*L43))))</f>
        <v/>
      </c>
      <c r="M46" s="53"/>
      <c r="N46" s="53"/>
      <c r="O46" s="54"/>
      <c r="P46" s="204" t="str">
        <f>IF(P20=0,"",IF(P17="LOF = 0.29 - Design OK!",(""),IF(P39="Main Line LOF is equal to greatest discontinuity location LOF up to this location from the source. Subsequent length of the line has an LOF equal to 0.29 -Design OK!",(""),(P45*P43))))</f>
        <v/>
      </c>
      <c r="Q46" s="55"/>
      <c r="R46" s="1"/>
      <c r="S46" s="1"/>
      <c r="T46" s="2"/>
      <c r="Y46" s="67"/>
      <c r="Z46" s="7"/>
      <c r="AA46" s="7"/>
      <c r="AB46" s="7"/>
      <c r="AC46" s="7"/>
      <c r="AD46" s="7"/>
      <c r="AE46" s="7"/>
      <c r="AF46" s="7">
        <v>1</v>
      </c>
      <c r="AG46" s="22" t="s">
        <v>26</v>
      </c>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row>
    <row r="47" ht="15">
      <c r="A47" s="38" t="s">
        <v>126</v>
      </c>
      <c r="B47" s="69" t="s">
        <v>127</v>
      </c>
      <c r="C47" s="70"/>
      <c r="D47" s="215"/>
      <c r="E47" s="216"/>
      <c r="F47" s="217"/>
      <c r="G47" s="217"/>
      <c r="H47" s="218"/>
      <c r="I47" s="219"/>
      <c r="J47" s="217"/>
      <c r="K47" s="217"/>
      <c r="L47" s="220"/>
      <c r="M47" s="216"/>
      <c r="N47" s="217"/>
      <c r="O47" s="217"/>
      <c r="P47" s="218"/>
      <c r="Q47" s="219"/>
      <c r="R47" s="221"/>
      <c r="S47" s="221"/>
      <c r="T47" s="2"/>
      <c r="U47" s="7" t="b">
        <v>0</v>
      </c>
      <c r="V47" s="7" t="b">
        <v>0</v>
      </c>
      <c r="W47" s="7" t="b">
        <v>0</v>
      </c>
      <c r="X47" s="7" t="b">
        <v>0</v>
      </c>
      <c r="Y47" s="7"/>
      <c r="Z47" s="7"/>
      <c r="AA47" s="222"/>
      <c r="AB47" s="29" t="s">
        <v>128</v>
      </c>
      <c r="AC47" s="29" t="s">
        <v>129</v>
      </c>
      <c r="AD47" s="7"/>
      <c r="AE47" s="7"/>
      <c r="AF47" s="22">
        <v>2</v>
      </c>
      <c r="AG47" s="22" t="s">
        <v>29</v>
      </c>
      <c r="AH47" s="37" t="s">
        <v>130</v>
      </c>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row>
    <row r="48" ht="15">
      <c r="A48" s="49" t="s">
        <v>131</v>
      </c>
      <c r="B48" s="69" t="s">
        <v>125</v>
      </c>
      <c r="C48" s="70"/>
      <c r="D48" s="203" t="str">
        <f>IF(D17="LOF = 0.29 - Design OK!",(""),IF(D39="Main Line LOF is equal to greatest discontinuity location LOF up to this location from the source. Subsequent length of the line has an LOF equal to 0.29 -Design OK!",(""),(IF(U47=FALSE,D46,(D46*(0.29+(0.09*(TANH((D38-172)/2.9)))))))))</f>
        <v/>
      </c>
      <c r="E48" s="53"/>
      <c r="F48" s="53"/>
      <c r="G48" s="54"/>
      <c r="H48" s="204" t="str">
        <f>IF(H17="LOF = 0.29 - Design OK!",(""),IF(H39="Main Line LOF is equal to greatest discontinuity location LOF up to this location from the source. Subsequent length of the line has an LOF equal to 0.29 -Design OK!",(""),(IF(V47=FALSE,H46,(H46*(0.29+(0.09*(TANH((H38-172)/2.9)))))))))</f>
        <v/>
      </c>
      <c r="I48" s="55"/>
      <c r="J48" s="56"/>
      <c r="K48" s="53"/>
      <c r="L48" s="205" t="str">
        <f>IF(L17="LOF = 0.29 - Design OK!",(""),IF(L39="Main Line LOF is equal to greatest discontinuity location LOF up to this location from the source. Subsequent length of the line has an LOF equal to 0.29 -Design OK!",(""),(IF(W47=FALSE,L46,(L46*(0.29+(0.09*(TANH((L38-172)/2.9)))))))))</f>
        <v/>
      </c>
      <c r="M48" s="53"/>
      <c r="N48" s="53"/>
      <c r="O48" s="54"/>
      <c r="P48" s="204" t="str">
        <f>IF(P17="LOF = 0.29 - Design OK!",(""),IF(P39="Main Line LOF is equal to greatest discontinuity location LOF up to this location from the source. Subsequent length of the line has an LOF equal to 0.29 -Design OK!",(""),(IF(X47=FALSE,P46,(P46*(0.29+(0.09*(TANH((P38-172)/2.9)))))))))</f>
        <v/>
      </c>
      <c r="Q48" s="55"/>
      <c r="R48" s="1"/>
      <c r="S48" s="1"/>
      <c r="T48" s="2"/>
      <c r="U48" s="7"/>
      <c r="V48" s="7"/>
      <c r="W48" s="7"/>
      <c r="X48" s="7"/>
      <c r="Y48" s="7"/>
      <c r="Z48" s="7"/>
      <c r="AA48" s="223"/>
      <c r="AB48" s="22"/>
      <c r="AC48" s="22"/>
      <c r="AD48" s="7"/>
      <c r="AE48" s="7"/>
      <c r="AF48" s="22">
        <v>3</v>
      </c>
      <c r="AG48" s="22" t="s">
        <v>132</v>
      </c>
      <c r="AH48" s="37">
        <v>5</v>
      </c>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row>
    <row r="49" ht="15">
      <c r="A49" s="38" t="s">
        <v>133</v>
      </c>
      <c r="B49" s="69" t="s">
        <v>134</v>
      </c>
      <c r="C49" s="70"/>
      <c r="D49" s="215"/>
      <c r="E49" s="216"/>
      <c r="F49" s="217"/>
      <c r="G49" s="217"/>
      <c r="H49" s="218"/>
      <c r="I49" s="219"/>
      <c r="J49" s="217"/>
      <c r="K49" s="217"/>
      <c r="L49" s="220"/>
      <c r="M49" s="216"/>
      <c r="N49" s="217"/>
      <c r="O49" s="217"/>
      <c r="P49" s="218"/>
      <c r="Q49" s="219"/>
      <c r="R49" s="221"/>
      <c r="S49" s="221"/>
      <c r="T49" s="2"/>
      <c r="U49" s="7" t="b">
        <v>0</v>
      </c>
      <c r="V49" s="7" t="b">
        <v>0</v>
      </c>
      <c r="W49" s="7" t="b">
        <v>0</v>
      </c>
      <c r="X49" s="7" t="b">
        <v>0</v>
      </c>
      <c r="Y49" s="7"/>
      <c r="Z49" s="7"/>
      <c r="AA49" s="72"/>
      <c r="AB49" s="29">
        <v>5</v>
      </c>
      <c r="AC49" s="29">
        <v>2</v>
      </c>
      <c r="AD49" s="7"/>
      <c r="AE49" s="7"/>
      <c r="AF49" s="7">
        <v>4</v>
      </c>
      <c r="AG49" s="22" t="s">
        <v>135</v>
      </c>
      <c r="AH49" s="37">
        <v>10</v>
      </c>
      <c r="AI49" s="7"/>
      <c r="AJ49" s="7"/>
      <c r="AK49" s="22" t="s">
        <v>29</v>
      </c>
      <c r="AL49" s="37" t="s">
        <v>130</v>
      </c>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row>
    <row r="50" ht="15">
      <c r="A50" s="224" t="s">
        <v>136</v>
      </c>
      <c r="B50" s="69" t="s">
        <v>125</v>
      </c>
      <c r="C50" s="70"/>
      <c r="D50" s="203" t="str">
        <f>IF(D17="LOF = 0.29 - Design OK!",(""),IF(D39="Main Line LOF is equal to greatest discontinuity location LOF up to this location from the source. Subsequent length of the line has an LOF equal to 0.29 -Design OK!",(""),(IF(U49=FALSE,D48,(D48*(0.263+(0.087*(TANH((D38-172)/2.9)))))))))</f>
        <v/>
      </c>
      <c r="E50" s="53"/>
      <c r="F50" s="53"/>
      <c r="G50" s="54"/>
      <c r="H50" s="204" t="str">
        <f>IF(H17="LOF = 0.29 - Design OK!",(""),IF(H39="Main Line LOF is equal to greatest discontinuity location LOF up to this location from the source. Subsequent length of the line has an LOF equal to 0.29 -Design OK!",(""),(IF(V49=FALSE,H48,(H48*(0.263+(0.087*(TANH((H38-172)/2.9)))))))))</f>
        <v/>
      </c>
      <c r="I50" s="55"/>
      <c r="J50" s="56"/>
      <c r="K50" s="53"/>
      <c r="L50" s="205" t="str">
        <f>IF(L17="LOF = 0.29 - Design OK!",(""),IF(L39="Main Line LOF is equal to greatest discontinuity location LOF up to this location from the source. Subsequent length of the line has an LOF equal to 0.29 -Design OK!",(""),(IF(W49=FALSE,L48,(L48*(0.263+(0.087*(TANH((L38-172)/2.9)))))))))</f>
        <v/>
      </c>
      <c r="M50" s="53"/>
      <c r="N50" s="53"/>
      <c r="O50" s="54"/>
      <c r="P50" s="204" t="str">
        <f>IF(P17="LOF = 0.29 - Design OK!",(""),IF(P39="Main Line LOF is equal to greatest discontinuity location LOF up to this location from the source. Subsequent length of the line has an LOF equal to 0.29 -Design OK!",(""),(IF(X49=FALSE,P48,(P48*(0.263+(0.087*(TANH((P38-172)/2.9)))))))))</f>
        <v/>
      </c>
      <c r="Q50" s="55"/>
      <c r="R50" s="1"/>
      <c r="S50" s="1"/>
      <c r="T50" s="2"/>
      <c r="Y50" s="7"/>
      <c r="Z50" s="7"/>
      <c r="AA50" s="223"/>
      <c r="AB50" s="29">
        <v>10</v>
      </c>
      <c r="AC50" s="29">
        <v>5</v>
      </c>
      <c r="AD50" s="7"/>
      <c r="AE50" s="7"/>
      <c r="AF50" s="22">
        <v>5</v>
      </c>
      <c r="AG50" s="22" t="s">
        <v>137</v>
      </c>
      <c r="AH50" s="37">
        <v>20</v>
      </c>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row>
    <row r="51" ht="15">
      <c r="A51" s="225" t="s">
        <v>138</v>
      </c>
      <c r="B51" s="226" t="s">
        <v>139</v>
      </c>
      <c r="C51" s="227"/>
      <c r="D51" s="228" t="str">
        <f>IF(D20=0,"",IF(D17="LOF = 0.29 - Design OK!",(""),IF(D39="Main Line LOF is equal to greatest discontinuity location LOF up to this location from the source. Subsequent length of the line has an LOF equal to 0.29 -Design OK!",(""),(IF(-0.1303*LN(D50)+3.1&lt;0,0,(IF(-0.1303*LN(D50)+3.1&gt;1,1,(-0.1303*LN(D50)+3.1))))))))</f>
        <v/>
      </c>
      <c r="E51" s="229"/>
      <c r="F51" s="229"/>
      <c r="G51" s="230"/>
      <c r="H51" s="231" t="str">
        <f>IF(H20=0,"",IF(H17="LOF = 0.29 - Design OK!",(""),IF(H39="Main Line LOF is equal to greatest discontinuity location LOF up to this location from the source. Subsequent length of the line has an LOF equal to 0.29 -Design OK!",(""),(IF(-0.1303*LN(H50)+3.1&lt;0,0,(IF(-0.1303*LN(H50)+3.1&gt;1,1,(-0.1303*LN(H50)+3.1))))))))</f>
        <v/>
      </c>
      <c r="I51" s="232"/>
      <c r="J51" s="233"/>
      <c r="K51" s="229"/>
      <c r="L51" s="234" t="str">
        <f>IF(L20=0,"",IF(L17="LOF = 0.29 - Design OK!",(""),IF(L39="Main Line LOF is equal to greatest discontinuity location LOF up to this location from the source. Subsequent length of the line has an LOF equal to 0.29 -Design OK!",(""),(IF(-0.1303*LN(L50)+3.1&lt;0,0,(IF(-0.1303*LN(L50)+3.1&gt;1,1,(-0.1303*LN(L50)+3.1))))))))</f>
        <v/>
      </c>
      <c r="M51" s="229"/>
      <c r="N51" s="229"/>
      <c r="O51" s="230"/>
      <c r="P51" s="235" t="str">
        <f>IF(P20=0,"",IF(P17="LOF = 0.29 - Design OK!",(""),IF(P39="Main Line LOF is equal to greatest discontinuity location LOF up to this location from the source. Subsequent length of the line has an LOF equal to 0.29 -Design OK!",(""),(IF(-0.1303*LN(P50)+3.1&lt;0,0,(IF(-0.1303*LN(P50)+3.1&gt;1,1,(-0.1303*LN(P50)+3.1))))))))</f>
        <v/>
      </c>
      <c r="Q51" s="232"/>
      <c r="R51" s="1"/>
      <c r="S51" s="1"/>
      <c r="T51" s="2"/>
      <c r="Y51" s="7"/>
      <c r="Z51" s="7"/>
      <c r="AA51" s="72"/>
      <c r="AB51" s="29">
        <v>20</v>
      </c>
      <c r="AC51" s="29">
        <v>8</v>
      </c>
      <c r="AD51" s="7"/>
      <c r="AE51" s="7"/>
      <c r="AF51" s="22">
        <v>6</v>
      </c>
      <c r="AG51" s="22" t="s">
        <v>140</v>
      </c>
      <c r="AH51" s="37">
        <v>30</v>
      </c>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row>
    <row r="52" ht="12.75" customHeight="1">
      <c r="A52" s="224" t="s">
        <v>141</v>
      </c>
      <c r="B52" s="118" t="s">
        <v>142</v>
      </c>
      <c r="C52" s="120"/>
      <c r="D52" s="236" t="str">
        <f>IF(D17="LOF = 0.29 - Design OK!",(""),(IF(D51&gt;=0.5,D51,("0.29 - Design OK!"))))</f>
        <v/>
      </c>
      <c r="E52" s="237"/>
      <c r="F52" s="238"/>
      <c r="G52" s="238"/>
      <c r="H52" s="239" t="str">
        <f>IF(H17="LOF = 0.29 - Design OK!",(""),(IF(H51&gt;=0.5,H51,("0.29 - Design OK!"))))</f>
        <v/>
      </c>
      <c r="I52" s="240"/>
      <c r="J52" s="241"/>
      <c r="K52" s="241"/>
      <c r="L52" s="242" t="str">
        <f>IF(L17="LOF = 0.29 - Design OK!",(""),(IF(L51&gt;=0.5,L51,("0.29 - Design OK!"))))</f>
        <v/>
      </c>
      <c r="M52" s="237"/>
      <c r="N52" s="241"/>
      <c r="O52" s="241"/>
      <c r="P52" s="242" t="str">
        <f>IF(P17="LOF = 0.29 - Design OK!",(""),(IF(P51&gt;=0.5,P51,("0.29 - Design OK!"))))</f>
        <v/>
      </c>
      <c r="Q52" s="237"/>
      <c r="R52" s="243"/>
      <c r="S52" s="243"/>
      <c r="T52" s="2"/>
      <c r="Y52" s="7"/>
      <c r="Z52" s="7"/>
      <c r="AA52" s="72"/>
      <c r="AB52" s="29">
        <v>30</v>
      </c>
      <c r="AC52" s="29">
        <v>11</v>
      </c>
      <c r="AD52" s="7"/>
      <c r="AE52" s="7"/>
      <c r="AF52" s="7">
        <v>7</v>
      </c>
      <c r="AG52" s="22" t="s">
        <v>143</v>
      </c>
      <c r="AH52" s="37">
        <v>40</v>
      </c>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row>
    <row r="53" ht="15">
      <c r="A53" s="224" t="s">
        <v>144</v>
      </c>
      <c r="B53" s="244"/>
      <c r="C53" s="245"/>
      <c r="D53" s="246"/>
      <c r="E53" s="247"/>
      <c r="F53" s="248"/>
      <c r="G53" s="248"/>
      <c r="H53" s="249"/>
      <c r="I53" s="247"/>
      <c r="J53" s="250"/>
      <c r="K53" s="250"/>
      <c r="L53" s="249"/>
      <c r="M53" s="247"/>
      <c r="N53" s="250"/>
      <c r="O53" s="250"/>
      <c r="P53" s="249"/>
      <c r="Q53" s="247"/>
      <c r="R53" s="243"/>
      <c r="S53" s="243"/>
      <c r="T53" s="2"/>
      <c r="Y53" s="7"/>
      <c r="Z53" s="7"/>
      <c r="AA53" s="72"/>
      <c r="AB53" s="22">
        <v>40</v>
      </c>
      <c r="AC53" s="29">
        <v>14</v>
      </c>
      <c r="AD53" s="7"/>
      <c r="AE53" s="7"/>
      <c r="AF53" s="22">
        <v>8</v>
      </c>
      <c r="AG53" s="22" t="s">
        <v>145</v>
      </c>
      <c r="AH53" s="37">
        <v>80</v>
      </c>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row>
    <row r="54" ht="15">
      <c r="A54" s="30"/>
      <c r="B54" s="30"/>
      <c r="C54" s="30"/>
      <c r="D54" s="30"/>
      <c r="E54" s="30"/>
      <c r="F54" s="30"/>
      <c r="G54" s="30"/>
      <c r="H54" s="30"/>
      <c r="I54" s="30"/>
      <c r="J54" s="30"/>
      <c r="K54" s="30"/>
      <c r="L54" s="30"/>
      <c r="M54" s="30"/>
      <c r="N54" s="30"/>
      <c r="O54" s="30"/>
      <c r="P54" s="30"/>
      <c r="Q54" s="251"/>
      <c r="R54" s="2"/>
      <c r="S54" s="2"/>
      <c r="T54" s="2"/>
      <c r="Y54" s="7"/>
      <c r="Z54" s="7"/>
      <c r="AA54" s="72"/>
      <c r="AB54" s="22">
        <v>60</v>
      </c>
      <c r="AC54" s="29">
        <v>17</v>
      </c>
      <c r="AD54" s="7"/>
      <c r="AE54" s="7"/>
      <c r="AF54" s="22">
        <v>9</v>
      </c>
      <c r="AG54" s="22" t="s">
        <v>146</v>
      </c>
      <c r="AH54" s="37">
        <v>100</v>
      </c>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row>
    <row r="55" ht="15">
      <c r="Y55" s="7"/>
      <c r="Z55" s="7"/>
      <c r="AA55" s="72"/>
      <c r="AB55" s="22">
        <v>80</v>
      </c>
      <c r="AC55" s="29">
        <v>20</v>
      </c>
      <c r="AD55" s="7"/>
      <c r="AE55" s="7"/>
      <c r="AF55" s="7">
        <v>10</v>
      </c>
      <c r="AG55" s="22" t="s">
        <v>147</v>
      </c>
      <c r="AH55" s="37">
        <v>120</v>
      </c>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row>
    <row r="56" ht="15">
      <c r="Y56" s="7"/>
      <c r="Z56" s="7"/>
      <c r="AA56" s="72"/>
      <c r="AB56" s="22">
        <v>100</v>
      </c>
      <c r="AC56" s="29">
        <v>23</v>
      </c>
      <c r="AD56" s="7"/>
      <c r="AE56" s="7"/>
      <c r="AF56" s="22">
        <v>11</v>
      </c>
      <c r="AG56" s="22" t="s">
        <v>148</v>
      </c>
      <c r="AH56" s="37">
        <v>140</v>
      </c>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row>
    <row r="57" ht="15">
      <c r="Y57" s="7"/>
      <c r="Z57" s="7"/>
      <c r="AA57" s="72"/>
      <c r="AB57" s="22">
        <v>120</v>
      </c>
      <c r="AC57" s="29">
        <v>26</v>
      </c>
      <c r="AD57" s="7"/>
      <c r="AE57" s="7"/>
      <c r="AF57" s="22">
        <v>12</v>
      </c>
      <c r="AG57" s="22" t="s">
        <v>149</v>
      </c>
      <c r="AH57" s="37">
        <v>160</v>
      </c>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row>
    <row r="58" ht="15">
      <c r="Y58" s="7"/>
      <c r="Z58" s="7"/>
      <c r="AA58" s="72"/>
      <c r="AB58" s="22">
        <v>140</v>
      </c>
      <c r="AC58" s="29">
        <v>29</v>
      </c>
      <c r="AD58" s="7"/>
      <c r="AE58" s="7"/>
      <c r="AF58" s="7">
        <v>13</v>
      </c>
      <c r="AG58" s="22" t="s">
        <v>150</v>
      </c>
      <c r="AH58" s="37" t="s">
        <v>35</v>
      </c>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row>
    <row r="59" ht="15">
      <c r="Y59" s="7"/>
      <c r="Z59" s="7"/>
      <c r="AA59" s="72"/>
      <c r="AB59" s="22">
        <v>160</v>
      </c>
      <c r="AC59" s="29">
        <v>32</v>
      </c>
      <c r="AD59" s="7"/>
      <c r="AE59" s="7"/>
      <c r="AF59" s="22">
        <v>14</v>
      </c>
      <c r="AG59" s="22" t="s">
        <v>36</v>
      </c>
      <c r="AH59" s="37" t="s">
        <v>36</v>
      </c>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row>
    <row r="60" ht="15">
      <c r="Y60" s="7"/>
      <c r="Z60" s="7"/>
      <c r="AA60" s="72"/>
      <c r="AB60" s="29" t="s">
        <v>35</v>
      </c>
      <c r="AC60" s="29">
        <v>35</v>
      </c>
      <c r="AD60" s="7"/>
      <c r="AE60" s="7"/>
      <c r="AF60" s="22">
        <v>15</v>
      </c>
      <c r="AG60" s="22" t="s">
        <v>49</v>
      </c>
      <c r="AH60" s="37" t="s">
        <v>49</v>
      </c>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row>
    <row r="61" ht="15">
      <c r="Y61" s="7"/>
      <c r="Z61" s="7"/>
      <c r="AA61" s="72"/>
      <c r="AB61" s="29" t="s">
        <v>36</v>
      </c>
      <c r="AC61" s="29">
        <v>38</v>
      </c>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row>
    <row r="62" ht="15">
      <c r="Y62" s="7"/>
      <c r="Z62" s="7"/>
      <c r="AA62" s="72"/>
      <c r="AB62" s="29" t="s">
        <v>49</v>
      </c>
      <c r="AC62" s="29">
        <v>41</v>
      </c>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row>
  </sheetData>
  <sheetProtection algorithmName="SHA-512" hashValue="c+NeicEqT/qFRDDH26bQQsdiBYIHXzpZwrT0QPgUDOO6ClzF/OqepxgBktNMCryUzzzGcrIxrLH4gFRLrQeE5Q==" saltValue="t+GA0BJ/racLbx6v01bVzQ==" spinCount="100000" autoFilter="1" deleteColumns="1" deleteRows="1" formatCells="1" formatColumns="1" formatRows="1" insertColumns="1" insertHyperlinks="1" insertRows="1" objects="0" pivotTables="1" scenarios="0" selectLockedCells="1" selectUnlockedCells="0" sheet="1" sort="1"/>
  <mergeCells count="64">
    <mergeCell ref="B1:Q1"/>
    <mergeCell ref="Z4:AA4"/>
    <mergeCell ref="B5:C5"/>
    <mergeCell ref="D5:E5"/>
    <mergeCell ref="H5:I5"/>
    <mergeCell ref="L5:M5"/>
    <mergeCell ref="P5:Q5"/>
    <mergeCell ref="B6:C6"/>
    <mergeCell ref="B7:C7"/>
    <mergeCell ref="B12:C12"/>
    <mergeCell ref="B13:C13"/>
    <mergeCell ref="B14:C14"/>
    <mergeCell ref="B15:C15"/>
    <mergeCell ref="B16:C16"/>
    <mergeCell ref="B17:C19"/>
    <mergeCell ref="D17:E19"/>
    <mergeCell ref="H17:I19"/>
    <mergeCell ref="L17:M19"/>
    <mergeCell ref="P17:Q19"/>
    <mergeCell ref="B20:C21"/>
    <mergeCell ref="D20:D21"/>
    <mergeCell ref="E20:E21"/>
    <mergeCell ref="H20:H21"/>
    <mergeCell ref="I20:I21"/>
    <mergeCell ref="L20:L21"/>
    <mergeCell ref="M20:M21"/>
    <mergeCell ref="P20:P21"/>
    <mergeCell ref="Q20:Q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42"/>
    <mergeCell ref="D39:E42"/>
    <mergeCell ref="H39:I42"/>
    <mergeCell ref="L39:M42"/>
    <mergeCell ref="P39:Q42"/>
    <mergeCell ref="B43:C43"/>
    <mergeCell ref="B44:C44"/>
    <mergeCell ref="B45:C45"/>
    <mergeCell ref="B46:C46"/>
    <mergeCell ref="B47:C47"/>
    <mergeCell ref="B48:C48"/>
    <mergeCell ref="B49:C49"/>
    <mergeCell ref="B50:C50"/>
    <mergeCell ref="B51:C51"/>
    <mergeCell ref="B52:C53"/>
    <mergeCell ref="D52:E53"/>
    <mergeCell ref="H52:I53"/>
    <mergeCell ref="L52:M53"/>
    <mergeCell ref="P52:Q53"/>
  </mergeCells>
  <printOptions headings="0" gridLines="0"/>
  <pageMargins left="0.69999999999999996" right="0.69999999999999996" top="0.95104166666666701" bottom="0.75" header="0.29999999999999999" footer="0.29999999999999999"/>
  <pageSetup paperSize="9" scale="83" fitToWidth="1" fitToHeight="1" pageOrder="downThenOver" orientation="portrait" usePrinterDefaults="1" blackAndWhite="0" draft="0" cellComments="none" useFirstPageNumber="0" errors="displayed" horizontalDpi="600" verticalDpi="600" copies="1"/>
  <headerFooter>
    <oddHeader>&amp;L&amp;G</oddHeader>
    <oddFooter>&amp;L&amp;"Calibri,Regular"&amp;11Copyright 2021, Worley
KS-PR-CAL-0088 Calculation Template&amp;R&amp;"Calibri,Regular"&amp;11Rev. 1, 3 March 2021</oddFooter>
  </headerFooter>
  <drawing r:id="rId29"/>
  <legacyDrawing r:id="rId30"/>
  <legacyDrawingHF r:id="rId31"/>
  <controls>
    <mc:AlternateContent xmlns:mc="http://schemas.openxmlformats.org/markup-compatibility/2006">
      <mc:Choice Requires="x14">
        <control name="Check Box 97" shapeId="6144" r:id="rId3">
          <controlPr autoFill="0" autoLine="0" autoPict="0" defaultSize="0">
            <anchor sizeWithCells="1">
              <from>
                <xdr:col>3</xdr:col>
                <xdr:colOff>127000</xdr:colOff>
                <xdr:row>12</xdr:row>
                <xdr:rowOff>127000</xdr:rowOff>
              </from>
              <to>
                <xdr:col>3</xdr:col>
                <xdr:colOff>660400</xdr:colOff>
                <xdr:row>14</xdr:row>
                <xdr:rowOff>38100</xdr:rowOff>
              </to>
            </anchor>
          </controlPr>
        </control>
      </mc:Choice>
      <mc:Fallback>
        <control name="Check Box 97" shapeId="6144" r:id="rId3"/>
      </mc:Fallback>
    </mc:AlternateContent>
    <mc:AlternateContent xmlns:mc="http://schemas.openxmlformats.org/markup-compatibility/2006">
      <mc:Choice Requires="x14">
        <control name="Check Box 99" shapeId="6145" r:id="rId4">
          <controlPr autoFill="0" autoLine="0" autoPict="0" defaultSize="0">
            <anchor sizeWithCells="1">
              <from>
                <xdr:col>7</xdr:col>
                <xdr:colOff>127000</xdr:colOff>
                <xdr:row>12</xdr:row>
                <xdr:rowOff>127000</xdr:rowOff>
              </from>
              <to>
                <xdr:col>7</xdr:col>
                <xdr:colOff>660400</xdr:colOff>
                <xdr:row>14</xdr:row>
                <xdr:rowOff>38100</xdr:rowOff>
              </to>
            </anchor>
          </controlPr>
        </control>
      </mc:Choice>
      <mc:Fallback>
        <control name="Check Box 99" shapeId="6145" r:id="rId4"/>
      </mc:Fallback>
    </mc:AlternateContent>
    <mc:AlternateContent xmlns:mc="http://schemas.openxmlformats.org/markup-compatibility/2006">
      <mc:Choice Requires="x14">
        <control name="Check Box 101" shapeId="6146" r:id="rId5">
          <controlPr autoFill="0" autoLine="0" autoPict="0" defaultSize="0">
            <anchor sizeWithCells="1">
              <from>
                <xdr:col>11</xdr:col>
                <xdr:colOff>127000</xdr:colOff>
                <xdr:row>12</xdr:row>
                <xdr:rowOff>127000</xdr:rowOff>
              </from>
              <to>
                <xdr:col>11</xdr:col>
                <xdr:colOff>660400</xdr:colOff>
                <xdr:row>14</xdr:row>
                <xdr:rowOff>38100</xdr:rowOff>
              </to>
            </anchor>
          </controlPr>
        </control>
      </mc:Choice>
      <mc:Fallback>
        <control name="Check Box 101" shapeId="6146" r:id="rId5"/>
      </mc:Fallback>
    </mc:AlternateContent>
    <mc:AlternateContent xmlns:mc="http://schemas.openxmlformats.org/markup-compatibility/2006">
      <mc:Choice Requires="x14">
        <control name="Check Box 102" shapeId="6147" r:id="rId6">
          <controlPr autoFill="0" autoLine="0" autoPict="0" defaultSize="0">
            <anchor sizeWithCells="1">
              <from>
                <xdr:col>11</xdr:col>
                <xdr:colOff>127000</xdr:colOff>
                <xdr:row>12</xdr:row>
                <xdr:rowOff>127000</xdr:rowOff>
              </from>
              <to>
                <xdr:col>11</xdr:col>
                <xdr:colOff>660400</xdr:colOff>
                <xdr:row>14</xdr:row>
                <xdr:rowOff>38100</xdr:rowOff>
              </to>
            </anchor>
          </controlPr>
        </control>
      </mc:Choice>
      <mc:Fallback>
        <control name="Check Box 102" shapeId="6147" r:id="rId6"/>
      </mc:Fallback>
    </mc:AlternateContent>
    <mc:AlternateContent xmlns:mc="http://schemas.openxmlformats.org/markup-compatibility/2006">
      <mc:Choice Requires="x14">
        <control name="Check Box 104" shapeId="6148" r:id="rId7">
          <controlPr autoFill="0" autoLine="0" autoPict="0" defaultSize="0">
            <anchor sizeWithCells="1">
              <from>
                <xdr:col>15</xdr:col>
                <xdr:colOff>127000</xdr:colOff>
                <xdr:row>12</xdr:row>
                <xdr:rowOff>127000</xdr:rowOff>
              </from>
              <to>
                <xdr:col>15</xdr:col>
                <xdr:colOff>660400</xdr:colOff>
                <xdr:row>14</xdr:row>
                <xdr:rowOff>38100</xdr:rowOff>
              </to>
            </anchor>
          </controlPr>
        </control>
      </mc:Choice>
      <mc:Fallback>
        <control name="Check Box 104" shapeId="6148" r:id="rId7"/>
      </mc:Fallback>
    </mc:AlternateContent>
    <mc:AlternateContent xmlns:mc="http://schemas.openxmlformats.org/markup-compatibility/2006">
      <mc:Choice Requires="x14">
        <control name="Check Box 105" shapeId="6149" r:id="rId8">
          <controlPr autoFill="0" autoLine="0" autoPict="0" defaultSize="0">
            <anchor sizeWithCells="1">
              <from>
                <xdr:col>15</xdr:col>
                <xdr:colOff>127000</xdr:colOff>
                <xdr:row>12</xdr:row>
                <xdr:rowOff>127000</xdr:rowOff>
              </from>
              <to>
                <xdr:col>15</xdr:col>
                <xdr:colOff>660400</xdr:colOff>
                <xdr:row>14</xdr:row>
                <xdr:rowOff>38100</xdr:rowOff>
              </to>
            </anchor>
          </controlPr>
        </control>
      </mc:Choice>
      <mc:Fallback>
        <control name="Check Box 105" shapeId="6149" r:id="rId8"/>
      </mc:Fallback>
    </mc:AlternateContent>
    <mc:AlternateContent xmlns:mc="http://schemas.openxmlformats.org/markup-compatibility/2006">
      <mc:Choice Requires="x14">
        <control name="Check Box 107" shapeId="6150" r:id="rId9">
          <controlPr altText="" autoFill="0" autoLine="0" autoPict="0" defaultSize="0">
            <anchor sizeWithCells="1">
              <from>
                <xdr:col>3</xdr:col>
                <xdr:colOff>95250</xdr:colOff>
                <xdr:row>45</xdr:row>
                <xdr:rowOff>184150</xdr:rowOff>
              </from>
              <to>
                <xdr:col>3</xdr:col>
                <xdr:colOff>622300</xdr:colOff>
                <xdr:row>47</xdr:row>
                <xdr:rowOff>12700</xdr:rowOff>
              </to>
            </anchor>
          </controlPr>
        </control>
      </mc:Choice>
      <mc:Fallback>
        <control name="Check Box 107" shapeId="6150" r:id="rId9"/>
      </mc:Fallback>
    </mc:AlternateContent>
    <mc:AlternateContent xmlns:mc="http://schemas.openxmlformats.org/markup-compatibility/2006">
      <mc:Choice Requires="x14">
        <control name="Check Box 108" shapeId="6151" r:id="rId10">
          <controlPr autoFill="0" autoLine="0" autoPict="0" defaultSize="0">
            <anchor sizeWithCells="1">
              <from>
                <xdr:col>7</xdr:col>
                <xdr:colOff>95250</xdr:colOff>
                <xdr:row>45</xdr:row>
                <xdr:rowOff>184150</xdr:rowOff>
              </from>
              <to>
                <xdr:col>7</xdr:col>
                <xdr:colOff>622300</xdr:colOff>
                <xdr:row>47</xdr:row>
                <xdr:rowOff>12700</xdr:rowOff>
              </to>
            </anchor>
          </controlPr>
        </control>
      </mc:Choice>
      <mc:Fallback>
        <control name="Check Box 108" shapeId="6151" r:id="rId10"/>
      </mc:Fallback>
    </mc:AlternateContent>
    <mc:AlternateContent xmlns:mc="http://schemas.openxmlformats.org/markup-compatibility/2006">
      <mc:Choice Requires="x14">
        <control name="Check Box 109" shapeId="6152" r:id="rId11">
          <controlPr autoFill="0" autoLine="0" autoPict="0" defaultSize="0">
            <anchor sizeWithCells="1">
              <from>
                <xdr:col>11</xdr:col>
                <xdr:colOff>95250</xdr:colOff>
                <xdr:row>45</xdr:row>
                <xdr:rowOff>171450</xdr:rowOff>
              </from>
              <to>
                <xdr:col>11</xdr:col>
                <xdr:colOff>622300</xdr:colOff>
                <xdr:row>47</xdr:row>
                <xdr:rowOff>0</xdr:rowOff>
              </to>
            </anchor>
          </controlPr>
        </control>
      </mc:Choice>
      <mc:Fallback>
        <control name="Check Box 109" shapeId="6152" r:id="rId11"/>
      </mc:Fallback>
    </mc:AlternateContent>
    <mc:AlternateContent xmlns:mc="http://schemas.openxmlformats.org/markup-compatibility/2006">
      <mc:Choice Requires="x14">
        <control name="Check Box 110" shapeId="6153" r:id="rId12">
          <controlPr autoFill="0" autoLine="0" autoPict="0" defaultSize="0">
            <anchor sizeWithCells="1">
              <from>
                <xdr:col>15</xdr:col>
                <xdr:colOff>95250</xdr:colOff>
                <xdr:row>45</xdr:row>
                <xdr:rowOff>171450</xdr:rowOff>
              </from>
              <to>
                <xdr:col>15</xdr:col>
                <xdr:colOff>622300</xdr:colOff>
                <xdr:row>47</xdr:row>
                <xdr:rowOff>0</xdr:rowOff>
              </to>
            </anchor>
          </controlPr>
        </control>
      </mc:Choice>
      <mc:Fallback>
        <control name="Check Box 110" shapeId="6153" r:id="rId12"/>
      </mc:Fallback>
    </mc:AlternateContent>
    <mc:AlternateContent xmlns:mc="http://schemas.openxmlformats.org/markup-compatibility/2006">
      <mc:Choice Requires="x14">
        <control name="Check Box 115" shapeId="6154" r:id="rId13">
          <controlPr autoFill="0" autoLine="0" autoPict="0" defaultSize="0">
            <anchor sizeWithCells="1">
              <from>
                <xdr:col>3</xdr:col>
                <xdr:colOff>95250</xdr:colOff>
                <xdr:row>47</xdr:row>
                <xdr:rowOff>184150</xdr:rowOff>
              </from>
              <to>
                <xdr:col>3</xdr:col>
                <xdr:colOff>514350</xdr:colOff>
                <xdr:row>49</xdr:row>
                <xdr:rowOff>12700</xdr:rowOff>
              </to>
            </anchor>
          </controlPr>
        </control>
      </mc:Choice>
      <mc:Fallback>
        <control name="Check Box 115" shapeId="6154" r:id="rId13"/>
      </mc:Fallback>
    </mc:AlternateContent>
    <mc:AlternateContent xmlns:mc="http://schemas.openxmlformats.org/markup-compatibility/2006">
      <mc:Choice Requires="x14">
        <control name="Check Box 116" shapeId="6155" r:id="rId14">
          <controlPr autoFill="0" autoLine="0" autoPict="0" defaultSize="0">
            <anchor sizeWithCells="1">
              <from>
                <xdr:col>7</xdr:col>
                <xdr:colOff>95250</xdr:colOff>
                <xdr:row>47</xdr:row>
                <xdr:rowOff>184150</xdr:rowOff>
              </from>
              <to>
                <xdr:col>7</xdr:col>
                <xdr:colOff>514350</xdr:colOff>
                <xdr:row>49</xdr:row>
                <xdr:rowOff>12700</xdr:rowOff>
              </to>
            </anchor>
          </controlPr>
        </control>
      </mc:Choice>
      <mc:Fallback>
        <control name="Check Box 116" shapeId="6155" r:id="rId14"/>
      </mc:Fallback>
    </mc:AlternateContent>
    <mc:AlternateContent xmlns:mc="http://schemas.openxmlformats.org/markup-compatibility/2006">
      <mc:Choice Requires="x14">
        <control name="Check Box 117" shapeId="6156" r:id="rId15">
          <controlPr autoFill="0" autoLine="0" autoPict="0" defaultSize="0">
            <anchor sizeWithCells="1">
              <from>
                <xdr:col>11</xdr:col>
                <xdr:colOff>95250</xdr:colOff>
                <xdr:row>47</xdr:row>
                <xdr:rowOff>184150</xdr:rowOff>
              </from>
              <to>
                <xdr:col>11</xdr:col>
                <xdr:colOff>514350</xdr:colOff>
                <xdr:row>49</xdr:row>
                <xdr:rowOff>12700</xdr:rowOff>
              </to>
            </anchor>
          </controlPr>
        </control>
      </mc:Choice>
      <mc:Fallback>
        <control name="Check Box 117" shapeId="6156" r:id="rId15"/>
      </mc:Fallback>
    </mc:AlternateContent>
    <mc:AlternateContent xmlns:mc="http://schemas.openxmlformats.org/markup-compatibility/2006">
      <mc:Choice Requires="x14">
        <control name="Check Box 118" shapeId="6157" r:id="rId16">
          <controlPr autoFill="0" autoLine="0" autoPict="0" defaultSize="0">
            <anchor sizeWithCells="1">
              <from>
                <xdr:col>15</xdr:col>
                <xdr:colOff>95250</xdr:colOff>
                <xdr:row>47</xdr:row>
                <xdr:rowOff>184150</xdr:rowOff>
              </from>
              <to>
                <xdr:col>15</xdr:col>
                <xdr:colOff>514350</xdr:colOff>
                <xdr:row>49</xdr:row>
                <xdr:rowOff>12700</xdr:rowOff>
              </to>
            </anchor>
          </controlPr>
        </control>
      </mc:Choice>
      <mc:Fallback>
        <control name="Check Box 118" shapeId="6157" r:id="rId16"/>
      </mc:Fallback>
    </mc:AlternateContent>
    <mc:AlternateContent xmlns:mc="http://schemas.openxmlformats.org/markup-compatibility/2006">
      <mc:Choice Requires="x14">
        <control name="Drop Down 123" shapeId="6158" r:id="rId17">
          <controlPr autoLine="0" autoPict="0" defaultSize="0" print="0">
            <anchor sizeWithCells="1">
              <from>
                <xdr:col>3</xdr:col>
                <xdr:colOff>0</xdr:colOff>
                <xdr:row>21</xdr:row>
                <xdr:rowOff>0</xdr:rowOff>
              </from>
              <to>
                <xdr:col>4</xdr:col>
                <xdr:colOff>0</xdr:colOff>
                <xdr:row>22</xdr:row>
                <xdr:rowOff>0</xdr:rowOff>
              </to>
            </anchor>
          </controlPr>
        </control>
      </mc:Choice>
      <mc:Fallback>
        <control name="Drop Down 123" shapeId="6158" r:id="rId17"/>
      </mc:Fallback>
    </mc:AlternateContent>
    <mc:AlternateContent xmlns:mc="http://schemas.openxmlformats.org/markup-compatibility/2006">
      <mc:Choice Requires="x14">
        <control name="Drop Down 124" shapeId="6159" r:id="rId18">
          <controlPr autoLine="0" autoPict="0" defaultSize="0" print="0">
            <anchor sizeWithCells="1">
              <from>
                <xdr:col>3</xdr:col>
                <xdr:colOff>0</xdr:colOff>
                <xdr:row>22</xdr:row>
                <xdr:rowOff>0</xdr:rowOff>
              </from>
              <to>
                <xdr:col>4</xdr:col>
                <xdr:colOff>0</xdr:colOff>
                <xdr:row>23</xdr:row>
                <xdr:rowOff>0</xdr:rowOff>
              </to>
            </anchor>
          </controlPr>
        </control>
      </mc:Choice>
      <mc:Fallback>
        <control name="Drop Down 124" shapeId="6159" r:id="rId18"/>
      </mc:Fallback>
    </mc:AlternateContent>
    <mc:AlternateContent xmlns:mc="http://schemas.openxmlformats.org/markup-compatibility/2006">
      <mc:Choice Requires="x14">
        <control name="Drop Down 125" shapeId="6160" r:id="rId19">
          <controlPr autoLine="0" autoPict="0" defaultSize="0" print="0">
            <anchor sizeWithCells="1">
              <from>
                <xdr:col>5</xdr:col>
                <xdr:colOff>0</xdr:colOff>
                <xdr:row>21</xdr:row>
                <xdr:rowOff>0</xdr:rowOff>
              </from>
              <to>
                <xdr:col>7</xdr:col>
                <xdr:colOff>946150</xdr:colOff>
                <xdr:row>22</xdr:row>
                <xdr:rowOff>0</xdr:rowOff>
              </to>
            </anchor>
          </controlPr>
        </control>
      </mc:Choice>
      <mc:Fallback>
        <control name="Drop Down 125" shapeId="6160" r:id="rId19"/>
      </mc:Fallback>
    </mc:AlternateContent>
    <mc:AlternateContent xmlns:mc="http://schemas.openxmlformats.org/markup-compatibility/2006">
      <mc:Choice Requires="x14">
        <control name="Drop Down 126" shapeId="6161" r:id="rId20">
          <controlPr autoLine="0" autoPict="0" defaultSize="0" print="0">
            <anchor sizeWithCells="1">
              <from>
                <xdr:col>5</xdr:col>
                <xdr:colOff>0</xdr:colOff>
                <xdr:row>22</xdr:row>
                <xdr:rowOff>0</xdr:rowOff>
              </from>
              <to>
                <xdr:col>7</xdr:col>
                <xdr:colOff>946150</xdr:colOff>
                <xdr:row>23</xdr:row>
                <xdr:rowOff>0</xdr:rowOff>
              </to>
            </anchor>
          </controlPr>
        </control>
      </mc:Choice>
      <mc:Fallback>
        <control name="Drop Down 126" shapeId="6161" r:id="rId20"/>
      </mc:Fallback>
    </mc:AlternateContent>
    <mc:AlternateContent xmlns:mc="http://schemas.openxmlformats.org/markup-compatibility/2006">
      <mc:Choice Requires="x14">
        <control name="Drop Down 127" shapeId="6162" r:id="rId21">
          <controlPr autoLine="0" autoPict="0" defaultSize="0" print="0">
            <anchor sizeWithCells="1">
              <from>
                <xdr:col>9</xdr:col>
                <xdr:colOff>0</xdr:colOff>
                <xdr:row>21</xdr:row>
                <xdr:rowOff>0</xdr:rowOff>
              </from>
              <to>
                <xdr:col>11</xdr:col>
                <xdr:colOff>933450</xdr:colOff>
                <xdr:row>22</xdr:row>
                <xdr:rowOff>0</xdr:rowOff>
              </to>
            </anchor>
          </controlPr>
        </control>
      </mc:Choice>
      <mc:Fallback>
        <control name="Drop Down 127" shapeId="6162" r:id="rId21"/>
      </mc:Fallback>
    </mc:AlternateContent>
    <mc:AlternateContent xmlns:mc="http://schemas.openxmlformats.org/markup-compatibility/2006">
      <mc:Choice Requires="x14">
        <control name="Drop Down 128" shapeId="6163" r:id="rId22">
          <controlPr autoLine="0" autoPict="0" defaultSize="0" print="0">
            <anchor sizeWithCells="1">
              <from>
                <xdr:col>9</xdr:col>
                <xdr:colOff>0</xdr:colOff>
                <xdr:row>22</xdr:row>
                <xdr:rowOff>0</xdr:rowOff>
              </from>
              <to>
                <xdr:col>11</xdr:col>
                <xdr:colOff>933450</xdr:colOff>
                <xdr:row>23</xdr:row>
                <xdr:rowOff>0</xdr:rowOff>
              </to>
            </anchor>
          </controlPr>
        </control>
      </mc:Choice>
      <mc:Fallback>
        <control name="Drop Down 128" shapeId="6163" r:id="rId22"/>
      </mc:Fallback>
    </mc:AlternateContent>
    <mc:AlternateContent xmlns:mc="http://schemas.openxmlformats.org/markup-compatibility/2006">
      <mc:Choice Requires="x14">
        <control name="Drop Down 129" shapeId="6164" r:id="rId23">
          <controlPr autoLine="0" autoPict="0" defaultSize="0" print="0">
            <anchor sizeWithCells="1">
              <from>
                <xdr:col>13</xdr:col>
                <xdr:colOff>0</xdr:colOff>
                <xdr:row>21</xdr:row>
                <xdr:rowOff>0</xdr:rowOff>
              </from>
              <to>
                <xdr:col>16</xdr:col>
                <xdr:colOff>0</xdr:colOff>
                <xdr:row>22</xdr:row>
                <xdr:rowOff>0</xdr:rowOff>
              </to>
            </anchor>
          </controlPr>
        </control>
      </mc:Choice>
      <mc:Fallback>
        <control name="Drop Down 129" shapeId="6164" r:id="rId23"/>
      </mc:Fallback>
    </mc:AlternateContent>
    <mc:AlternateContent xmlns:mc="http://schemas.openxmlformats.org/markup-compatibility/2006">
      <mc:Choice Requires="x14">
        <control name="Drop Down 130" shapeId="6165" r:id="rId24">
          <controlPr autoLine="0" autoPict="0" defaultSize="0" print="0">
            <anchor sizeWithCells="1">
              <from>
                <xdr:col>13</xdr:col>
                <xdr:colOff>0</xdr:colOff>
                <xdr:row>22</xdr:row>
                <xdr:rowOff>0</xdr:rowOff>
              </from>
              <to>
                <xdr:col>16</xdr:col>
                <xdr:colOff>0</xdr:colOff>
                <xdr:row>23</xdr:row>
                <xdr:rowOff>0</xdr:rowOff>
              </to>
            </anchor>
          </controlPr>
        </control>
      </mc:Choice>
      <mc:Fallback>
        <control name="Drop Down 130" shapeId="6165" r:id="rId24"/>
      </mc:Fallback>
    </mc:AlternateContent>
    <mc:AlternateContent xmlns:mc="http://schemas.openxmlformats.org/markup-compatibility/2006">
      <mc:Choice Requires="x14">
        <control name="Drop Down 144" shapeId="6166" r:id="rId25">
          <controlPr autoLine="0" autoPict="0" defaultSize="0" print="0">
            <anchor sizeWithCells="1">
              <from>
                <xdr:col>3</xdr:col>
                <xdr:colOff>0</xdr:colOff>
                <xdr:row>29</xdr:row>
                <xdr:rowOff>0</xdr:rowOff>
              </from>
              <to>
                <xdr:col>4</xdr:col>
                <xdr:colOff>0</xdr:colOff>
                <xdr:row>30</xdr:row>
                <xdr:rowOff>0</xdr:rowOff>
              </to>
            </anchor>
          </controlPr>
        </control>
      </mc:Choice>
      <mc:Fallback>
        <control name="Drop Down 144" shapeId="6166" r:id="rId25"/>
      </mc:Fallback>
    </mc:AlternateContent>
    <mc:AlternateContent xmlns:mc="http://schemas.openxmlformats.org/markup-compatibility/2006">
      <mc:Choice Requires="x14">
        <control name="Drop Down 145" shapeId="6167" r:id="rId26">
          <controlPr autoLine="0" autoPict="0" defaultSize="0" print="0">
            <anchor sizeWithCells="1">
              <from>
                <xdr:col>5</xdr:col>
                <xdr:colOff>0</xdr:colOff>
                <xdr:row>29</xdr:row>
                <xdr:rowOff>0</xdr:rowOff>
              </from>
              <to>
                <xdr:col>8</xdr:col>
                <xdr:colOff>0</xdr:colOff>
                <xdr:row>30</xdr:row>
                <xdr:rowOff>0</xdr:rowOff>
              </to>
            </anchor>
          </controlPr>
        </control>
      </mc:Choice>
      <mc:Fallback>
        <control name="Drop Down 145" shapeId="6167" r:id="rId26"/>
      </mc:Fallback>
    </mc:AlternateContent>
    <mc:AlternateContent xmlns:mc="http://schemas.openxmlformats.org/markup-compatibility/2006">
      <mc:Choice Requires="x14">
        <control name="Drop Down 146" shapeId="6168" r:id="rId27">
          <controlPr autoLine="0" autoPict="0" defaultSize="0" print="0">
            <anchor sizeWithCells="1">
              <from>
                <xdr:col>9</xdr:col>
                <xdr:colOff>0</xdr:colOff>
                <xdr:row>29</xdr:row>
                <xdr:rowOff>0</xdr:rowOff>
              </from>
              <to>
                <xdr:col>11</xdr:col>
                <xdr:colOff>933450</xdr:colOff>
                <xdr:row>30</xdr:row>
                <xdr:rowOff>0</xdr:rowOff>
              </to>
            </anchor>
          </controlPr>
        </control>
      </mc:Choice>
      <mc:Fallback>
        <control name="Drop Down 146" shapeId="6168" r:id="rId27"/>
      </mc:Fallback>
    </mc:AlternateContent>
    <mc:AlternateContent xmlns:mc="http://schemas.openxmlformats.org/markup-compatibility/2006">
      <mc:Choice Requires="x14">
        <control name="Drop Down 147" shapeId="6169" r:id="rId28">
          <controlPr autoLine="0" autoPict="0" defaultSize="0" print="0">
            <anchor sizeWithCells="1">
              <from>
                <xdr:col>13</xdr:col>
                <xdr:colOff>0</xdr:colOff>
                <xdr:row>29</xdr:row>
                <xdr:rowOff>0</xdr:rowOff>
              </from>
              <to>
                <xdr:col>15</xdr:col>
                <xdr:colOff>933450</xdr:colOff>
                <xdr:row>30</xdr:row>
                <xdr:rowOff>0</xdr:rowOff>
              </to>
            </anchor>
          </controlPr>
        </control>
      </mc:Choice>
      <mc:Fallback>
        <control name="Drop Down 147" shapeId="6169" r:id="rId28"/>
      </mc:Fallback>
    </mc:AlternateContent>
  </controls>
  <extLst>
    <ext xmlns:x14="http://schemas.microsoft.com/office/spreadsheetml/2009/9/main" uri="{78C0D931-6437-407d-A8EE-F0AAD7539E65}">
      <x14:conditionalFormattings>
        <x14:conditionalFormatting xmlns:xm="http://schemas.microsoft.com/office/excel/2006/main">
          <x14:cfRule type="cellIs" priority="10" operator="equal" stopIfTrue="1" id="{000E00B2-0095-4358-BEF7-006400C5001D}">
            <xm:f>#N/A</xm:f>
            <x14:dxf>
              <font>
                <strike val="0"/>
                <color indexed="65"/>
              </font>
            </x14:dxf>
          </x14:cfRule>
          <xm:sqref>D25:D26 L25:L26 H25:H26 P25:P26</xm:sqref>
        </x14:conditionalFormatting>
        <x14:conditionalFormatting xmlns:xm="http://schemas.microsoft.com/office/excel/2006/main">
          <x14:cfRule type="expression" priority="11" stopIfTrue="1" id="{00290031-00F6-436C-8942-00B000260054}">
            <xm:f>$G$22="N/A"</xm:f>
            <x14:dxf>
              <font>
                <strike val="0"/>
                <color indexed="64"/>
              </font>
              <fill>
                <patternFill patternType="solid">
                  <fgColor indexed="26"/>
                  <bgColor indexed="26"/>
                </patternFill>
              </fill>
            </x14:dxf>
          </x14:cfRule>
          <xm:sqref>D27:D29</xm:sqref>
        </x14:conditionalFormatting>
        <x14:conditionalFormatting xmlns:xm="http://schemas.microsoft.com/office/excel/2006/main">
          <x14:cfRule type="expression" priority="13" stopIfTrue="1" id="{00AF009E-00CA-4E8C-9896-009F005200B8}">
            <xm:f>$G$30="N/A"</xm:f>
            <x14:dxf>
              <font>
                <strike val="0"/>
                <color indexed="64"/>
              </font>
              <fill>
                <patternFill patternType="solid">
                  <fgColor indexed="26"/>
                  <bgColor indexed="26"/>
                </patternFill>
              </fill>
            </x14:dxf>
          </x14:cfRule>
          <xm:sqref>D32</xm:sqref>
        </x14:conditionalFormatting>
        <x14:conditionalFormatting xmlns:xm="http://schemas.microsoft.com/office/excel/2006/main">
          <x14:cfRule type="expression" priority="6" stopIfTrue="1" id="{0066008B-0009-4C3A-9346-00EC00E10042}">
            <xm:f>$K$22="N/A"</xm:f>
            <x14:dxf>
              <font>
                <strike val="0"/>
                <color indexed="64"/>
              </font>
              <fill>
                <patternFill patternType="solid">
                  <fgColor indexed="26"/>
                  <bgColor indexed="26"/>
                </patternFill>
              </fill>
            </x14:dxf>
          </x14:cfRule>
          <xm:sqref>H27:H29</xm:sqref>
        </x14:conditionalFormatting>
        <x14:conditionalFormatting xmlns:xm="http://schemas.microsoft.com/office/excel/2006/main">
          <x14:cfRule type="expression" priority="5" stopIfTrue="1" id="{00D700A2-0051-4E6B-BC2B-002300CE001E}">
            <xm:f>$K$30="N/A"</xm:f>
            <x14:dxf>
              <font>
                <strike val="0"/>
                <color indexed="64"/>
              </font>
              <fill>
                <patternFill patternType="solid">
                  <fgColor indexed="26"/>
                  <bgColor indexed="26"/>
                </patternFill>
              </fill>
            </x14:dxf>
          </x14:cfRule>
          <xm:sqref>H32</xm:sqref>
        </x14:conditionalFormatting>
        <x14:conditionalFormatting xmlns:xm="http://schemas.microsoft.com/office/excel/2006/main">
          <x14:cfRule type="expression" priority="4" stopIfTrue="1" id="{00D3001B-0064-4E0A-A923-002500F8002D}">
            <xm:f>$O$22="N/A"</xm:f>
            <x14:dxf>
              <font>
                <strike val="0"/>
                <color indexed="64"/>
              </font>
              <fill>
                <patternFill patternType="solid">
                  <fgColor indexed="26"/>
                  <bgColor indexed="26"/>
                </patternFill>
              </fill>
            </x14:dxf>
          </x14:cfRule>
          <xm:sqref>L27:L29</xm:sqref>
        </x14:conditionalFormatting>
        <x14:conditionalFormatting xmlns:xm="http://schemas.microsoft.com/office/excel/2006/main">
          <x14:cfRule type="expression" priority="3" stopIfTrue="1" id="{00EB0047-00A7-4774-898D-00A700A30081}">
            <xm:f>$O$30="N/A"</xm:f>
            <x14:dxf>
              <font>
                <strike val="0"/>
                <color indexed="64"/>
              </font>
              <fill>
                <patternFill patternType="solid">
                  <fgColor indexed="26"/>
                  <bgColor indexed="26"/>
                </patternFill>
              </fill>
            </x14:dxf>
          </x14:cfRule>
          <xm:sqref>L32</xm:sqref>
        </x14:conditionalFormatting>
        <x14:conditionalFormatting xmlns:xm="http://schemas.microsoft.com/office/excel/2006/main">
          <x14:cfRule type="expression" priority="2" stopIfTrue="1" id="{00F70009-00A5-46FD-BCD0-00B400F700E4}">
            <xm:f>$S$22="N/A"</xm:f>
            <x14:dxf>
              <font>
                <strike val="0"/>
                <color indexed="64"/>
              </font>
              <fill>
                <patternFill patternType="solid">
                  <fgColor indexed="26"/>
                  <bgColor indexed="26"/>
                </patternFill>
              </fill>
            </x14:dxf>
          </x14:cfRule>
          <xm:sqref>P27:P29</xm:sqref>
        </x14:conditionalFormatting>
        <x14:conditionalFormatting xmlns:xm="http://schemas.microsoft.com/office/excel/2006/main">
          <x14:cfRule type="expression" priority="1" stopIfTrue="1" id="{00900057-008A-4569-B8D2-002600800052}">
            <xm:f>$S$30="N/A"</xm:f>
            <x14:dxf>
              <font>
                <strike val="0"/>
                <color indexed="64"/>
              </font>
              <fill>
                <patternFill patternType="solid">
                  <fgColor indexed="26"/>
                  <bgColor indexed="26"/>
                </patternFill>
              </fill>
            </x14:dxf>
          </x14:cfRule>
          <xm:sqref>P32</xm:sqref>
        </x14:conditionalFormatting>
      </x14:conditionalFormattings>
    </ext>
  </extLst>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D96ED4DE1848948A0750CEB789F35AF" ma:contentTypeVersion="16" ma:contentTypeDescription="Create a new document." ma:contentTypeScope="" ma:versionID="79475f2597456ec1d94cce5c3bcc9651">
  <xsd:schema xmlns:xsd="http://www.w3.org/2001/XMLSchema" xmlns:xs="http://www.w3.org/2001/XMLSchema" xmlns:p="http://schemas.microsoft.com/office/2006/metadata/properties" xmlns:ns2="f20dd3df-cc36-4499-80aa-2b4fe70792e4" xmlns:ns3="48015afd-ef0d-4a02-b604-f97b7dcc2443" targetNamespace="http://schemas.microsoft.com/office/2006/metadata/properties" ma:root="true" ma:fieldsID="7ff8a6f742de054d19a3718057d6bb46" ns2:_="" ns3:_="">
    <xsd:import namespace="f20dd3df-cc36-4499-80aa-2b4fe70792e4"/>
    <xsd:import namespace="48015afd-ef0d-4a02-b604-f97b7dcc244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discipline" minOccurs="0"/>
                <xsd:element ref="ns2:DocumentStatus" minOccurs="0"/>
                <xsd:element ref="ns2:MediaServiceAutoKeyPoints" minOccurs="0"/>
                <xsd:element ref="ns2:MediaServiceKeyPoints" minOccurs="0"/>
                <xsd:element ref="ns2:Comments" minOccurs="0"/>
                <xsd:element ref="ns2:Process" minOccurs="0"/>
                <xsd:element ref="ns2:_x0068_ca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dd3df-cc36-4499-80aa-2b4fe70792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discipline" ma:index="17" nillable="true" ma:displayName="Discipline" ma:description="Owning Discipline" ma:internalName="discipline">
      <xsd:simpleType>
        <xsd:restriction base="dms:Text">
          <xsd:maxLength value="255"/>
        </xsd:restriction>
      </xsd:simpleType>
    </xsd:element>
    <xsd:element name="DocumentStatus" ma:index="18" nillable="true" ma:displayName="Document Status" ma:format="Dropdown" ma:internalName="DocumentStatus">
      <xsd:simpleType>
        <xsd:restriction base="dms:Choice">
          <xsd:enumeration value="Approved"/>
          <xsd:enumeration value="Not Approved"/>
          <xsd:enumeration value="In Review"/>
          <xsd:enumeration value="Draft"/>
          <xsd:enumeration value="Archived"/>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Comments" ma:index="21" nillable="true" ma:displayName="Comments" ma:description="Comments" ma:internalName="Comments">
      <xsd:simpleType>
        <xsd:restriction base="dms:Text">
          <xsd:maxLength value="255"/>
        </xsd:restriction>
      </xsd:simpleType>
    </xsd:element>
    <xsd:element name="Process" ma:index="22" nillable="true" ma:displayName="Process" ma:internalName="Process">
      <xsd:simpleType>
        <xsd:restriction base="dms:Text">
          <xsd:maxLength value="255"/>
        </xsd:restriction>
      </xsd:simpleType>
    </xsd:element>
    <xsd:element name="_x0068_ca0" ma:index="23" nillable="true" ma:displayName="Date Reviewed" ma:internalName="_x0068_ca0">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8015afd-ef0d-4a02-b604-f97b7dcc244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x0068_ca0 xmlns="f20dd3df-cc36-4499-80aa-2b4fe70792e4" xsi:nil="true"/>
    <discipline xmlns="f20dd3df-cc36-4499-80aa-2b4fe70792e4" xsi:nil="true"/>
    <DocumentStatus xmlns="f20dd3df-cc36-4499-80aa-2b4fe70792e4" xsi:nil="true"/>
    <Comments xmlns="f20dd3df-cc36-4499-80aa-2b4fe70792e4" xsi:nil="true"/>
    <Process xmlns="f20dd3df-cc36-4499-80aa-2b4fe70792e4" xsi:nil="true"/>
  </documentManagement>
</p:properties>
</file>

<file path=customXml/itemProps1.xml><?xml version="1.0" encoding="utf-8"?>
<ds:datastoreItem xmlns:ds="http://schemas.openxmlformats.org/officeDocument/2006/customXml" ds:itemID="{D1E47132-D244-4F34-BBAF-5855EC01338E}">
  <ds:schemaRefs>
    <ds:schemaRef ds:uri="http://schemas.microsoft.com/sharepoint/v3/contenttype/forms"/>
  </ds:schemaRefs>
</ds:datastoreItem>
</file>

<file path=customXml/itemProps2.xml><?xml version="1.0" encoding="utf-8"?>
<ds:datastoreItem xmlns:ds="http://schemas.openxmlformats.org/officeDocument/2006/customXml" ds:itemID="{8ED53CE3-7D0E-4C88-BFF3-3514163E33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0dd3df-cc36-4499-80aa-2b4fe70792e4"/>
    <ds:schemaRef ds:uri="48015afd-ef0d-4a02-b604-f97b7dcc24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 ds:uri="http://www.w3.org/2001/XMLSchema-instance"/>
  </ds:schemaRefs>
</ds:datastoreItem>
</file>

<file path=customXml/itemProps3.xml><?xml version="1.0" encoding="utf-8"?>
<ds:datastoreItem xmlns:ds="http://schemas.openxmlformats.org/officeDocument/2006/customXml" ds:itemID="{B63F97DA-450F-463E-B7EE-8CDD558405F4}">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48015afd-ef0d-4a02-b604-f97b7dcc2443"/>
    <ds:schemaRef ds:uri="http://purl.org/dc/terms/"/>
    <ds:schemaRef ds:uri="f20dd3df-cc36-4499-80aa-2b4fe70792e4"/>
    <ds:schemaRef ds:uri="http://schemas.openxmlformats.org/package/2006/metadata/core-properties"/>
    <ds:schemaRef ds:uri="http://www.w3.org/XML/1998/namespace"/>
    <ds:schemaRef ds:uri="http://purl.org/dc/dcmitype/"/>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Application>ONLYOFFICE/9.1.0.167</Application>
  <DocSecurity>0</DocSecurity>
  <ScaleCrop>0</ScaleCrop>
  <HeadingPairs>
    <vt:vector size="0" baseType="variant"/>
  </HeadingPairs>
  <TitlesOfParts>
    <vt:vector size="0" baseType="lpstr"/>
  </TitlesOfParts>
  <Manager/>
  <Company>Worley</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Abdullah Aminu</dc:creator>
  <cp:keywords/>
  <dc:description/>
  <cp:revision>1</cp:revision>
  <dcterms:created xsi:type="dcterms:W3CDTF">2009-12-16T10:24:59Z</dcterms:created>
  <dcterms:modified xsi:type="dcterms:W3CDTF">2026-04-11T02:04:48Z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0x010100DD96ED4DE1848948A0750CEB789F35AF</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