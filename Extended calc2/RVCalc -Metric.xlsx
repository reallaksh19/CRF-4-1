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2.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pdomobility-my.sharepoint.com/personal/lakshmanan_lk_krishnamurthy_pdo_co_om/Documents/Lakshman/2024-112 Saih Rawl Depletion Compression Phase3/SYS-05 RV/"/>
    </mc:Choice>
  </mc:AlternateContent>
  <xr:revisionPtr revIDLastSave="23" documentId="8_{D3E63EEC-3009-4A4C-9036-6FD621164AA8}" xr6:coauthVersionLast="47" xr6:coauthVersionMax="47" xr10:uidLastSave="{A839A7AE-2775-45E5-8C32-7A8FD49F447E}"/>
  <bookViews>
    <workbookView xWindow="-28920" yWindow="-120" windowWidth="29040" windowHeight="15720" xr2:uid="{00000000-000D-0000-FFFF-FFFF00000000}"/>
  </bookViews>
  <sheets>
    <sheet name="Metric" sheetId="7" r:id="rId1"/>
    <sheet name="Cover Sheet" sheetId="5" r:id="rId2"/>
    <sheet name="Checklist" sheetId="6" r:id="rId3"/>
    <sheet name="TOC" sheetId="3" r:id="rId4"/>
    <sheet name="Imperial" sheetId="8" r:id="rId5"/>
  </sheets>
  <externalReferences>
    <externalReference r:id="rId6"/>
  </externalReferences>
  <definedNames>
    <definedName name="_app1">IF(ISBLANK('[1]Cover Sheet'!$I$53),"",'[1]Cover Sheet'!$I$53)</definedName>
    <definedName name="_app2">IF(ISBLANK('[1]Cover Sheet'!$I$52),"",'[1]Cover Sheet'!$I$52)</definedName>
    <definedName name="_app3">IF(ISBLANK('[1]Cover Sheet'!$I$51),"",'[1]Cover Sheet'!$I$51)</definedName>
    <definedName name="_chk1">IF(ISBLANK('[1]Cover Sheet'!$G$53),"",'[1]Cover Sheet'!$G$53)</definedName>
    <definedName name="_chk2">IF(ISBLANK('[1]Cover Sheet'!$G$52),"",'[1]Cover Sheet'!$G$52)</definedName>
    <definedName name="_chk3">IF(ISBLANK('[1]Cover Sheet'!$G$51),"",'[1]Cover Sheet'!$G$51)</definedName>
    <definedName name="_rev1">IF(ISBLANK('[1]Cover Sheet'!$A$53),"",'[1]Cover Sheet'!$A$53)</definedName>
    <definedName name="_rev2">IF(ISBLANK('[1]Cover Sheet'!$A$52),"",'[1]Cover Sheet'!$A$52)</definedName>
    <definedName name="_rev3">IF(ISBLANK('[1]Cover Sheet'!$A$51),"",'[1]Cover Sheet'!$A$51)</definedName>
    <definedName name="Calc_No">IF(ISBLANK('[1]Cover Sheet'!$H$3),"",'[1]Cover Sheet'!$H$3)</definedName>
    <definedName name="calc_title">IF(ISBLANK('[1]Cover Sheet'!$D$4),"",'[1]Cover Sheet'!$D$4)</definedName>
    <definedName name="customer">IF(ISBLANK('[1]Cover Sheet'!$D$2),"",'[1]Cover Sheet'!$D$2)</definedName>
    <definedName name="date1">IF(ISBLANK('[1]Cover Sheet'!$B$53),"",'[1]Cover Sheet'!$B$53)</definedName>
    <definedName name="date2">IF(ISBLANK('[1]Cover Sheet'!$B$52),"",'[1]Cover Sheet'!$B$52)</definedName>
    <definedName name="date3">IF(ISBLANK('[1]Cover Sheet'!$B$51),"",'[1]Cover Sheet'!$B$51)</definedName>
    <definedName name="desc1">IF(ISBLANK('[1]Cover Sheet'!$D$53),"",'[1]Cover Sheet'!$D$53)</definedName>
    <definedName name="desc2">IF(ISBLANK('[1]Cover Sheet'!$D$52),"",'[1]Cover Sheet'!$D$52)</definedName>
    <definedName name="desc3">IF(ISBLANK('[1]Cover Sheet'!$D$51),"",'[1]Cover Sheet'!$D$51)</definedName>
    <definedName name="disclaimer">'[1]Cover Sheet'!$A$55</definedName>
    <definedName name="disclaimer_worley">'Cover Sheet'!$A$55</definedName>
    <definedName name="elec_file">IF(ISBLANK('[1]Cover Sheet'!$D$5),"",'[1]Cover Sheet'!$D$5)</definedName>
    <definedName name="num_pages">IF(ISBLANK('[1]Cover Sheet'!$J$6),"",'[1]Cover Sheet'!$J$6)</definedName>
    <definedName name="orig1">IF(ISBLANK('[1]Cover Sheet'!$F$53),"",'[1]Cover Sheet'!$F$53)</definedName>
    <definedName name="orig2">IF(ISBLANK('[1]Cover Sheet'!$F$52),"",'[1]Cover Sheet'!$F$52)</definedName>
    <definedName name="orig3">IF(ISBLANK('[1]Cover Sheet'!$F$51),"",'[1]Cover Sheet'!$F$51)</definedName>
    <definedName name="Phase_CTR">IF(ISBLANK('[1]Cover Sheet'!$H$4),"",'[1]Cover Sheet'!$H$4)</definedName>
    <definedName name="_xlnm.Print_Area" localSheetId="2">Checklist!$A$1:$J$44</definedName>
    <definedName name="_xlnm.Print_Area" localSheetId="1">'Cover Sheet'!$A$1:$J$55</definedName>
    <definedName name="_xlnm.Print_Area" localSheetId="4">Imperial!$B$2:$BB$50</definedName>
    <definedName name="_xlnm.Print_Area" localSheetId="0">Metric!$B$2:$BB$50</definedName>
    <definedName name="_xlnm.Print_Area" localSheetId="3">TOC!$B$1:$AN$53</definedName>
    <definedName name="Proj_No">IF(ISBLANK('[1]Cover Sheet'!$H$2),"",'[1]Cover Sheet'!$H$2)</definedName>
    <definedName name="proj_title">IF(ISBLANK('[1]Cover Sheet'!$D$3),"",'[1]Cover Sheet'!$D$3)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V15" i="7" l="1"/>
  <c r="B53" i="3"/>
  <c r="A44" i="6"/>
  <c r="AG6" i="3" l="1"/>
  <c r="H6" i="6"/>
  <c r="AV9" i="8" l="1"/>
  <c r="AV9" i="7"/>
  <c r="AV13" i="7" l="1"/>
  <c r="AV12" i="7"/>
  <c r="AV8" i="7"/>
  <c r="AT33" i="7" l="1"/>
  <c r="AV15" i="8"/>
  <c r="AV13" i="8"/>
  <c r="AV12" i="8"/>
  <c r="AV10" i="8"/>
  <c r="O30" i="8"/>
  <c r="AV8" i="8"/>
  <c r="AV10" i="7"/>
  <c r="AT30" i="7" s="1"/>
  <c r="O33" i="7" l="1"/>
  <c r="AV11" i="7"/>
  <c r="O30" i="7"/>
  <c r="AT36" i="7" s="1"/>
  <c r="AT30" i="8"/>
  <c r="O33" i="8" s="1"/>
  <c r="O36" i="8" s="1"/>
  <c r="AT33" i="8"/>
  <c r="AT36" i="8"/>
  <c r="AV11" i="8" l="1"/>
  <c r="O36" i="7"/>
</calcChain>
</file>

<file path=xl/sharedStrings.xml><?xml version="1.0" encoding="utf-8"?>
<sst xmlns="http://schemas.openxmlformats.org/spreadsheetml/2006/main" count="405" uniqueCount="191">
  <si>
    <t>STRESS FILE No.</t>
  </si>
  <si>
    <t>NODE No.</t>
  </si>
  <si>
    <t>LINE No.</t>
  </si>
  <si>
    <t>=</t>
  </si>
  <si>
    <t>Customer</t>
  </si>
  <si>
    <t>Project</t>
  </si>
  <si>
    <t>Description</t>
  </si>
  <si>
    <t>Job No.</t>
  </si>
  <si>
    <t>Rev</t>
  </si>
  <si>
    <t>Date</t>
  </si>
  <si>
    <t>By</t>
  </si>
  <si>
    <t>Chk'd</t>
  </si>
  <si>
    <t>Doc. No.</t>
  </si>
  <si>
    <t>Rev.</t>
  </si>
  <si>
    <t>Calculation Cover Sheet</t>
  </si>
  <si>
    <t>customer name</t>
  </si>
  <si>
    <t>Proj No</t>
  </si>
  <si>
    <t>proj no</t>
  </si>
  <si>
    <t>Project Title</t>
  </si>
  <si>
    <t>proj title</t>
  </si>
  <si>
    <t>Calc No</t>
  </si>
  <si>
    <t>calc no</t>
  </si>
  <si>
    <t>Calculation Title</t>
  </si>
  <si>
    <t>calc title</t>
  </si>
  <si>
    <t>Phase/CTR</t>
  </si>
  <si>
    <t>phase</t>
  </si>
  <si>
    <t>Elec File Location</t>
  </si>
  <si>
    <t>Page</t>
  </si>
  <si>
    <t>of</t>
  </si>
  <si>
    <t>#pages</t>
  </si>
  <si>
    <t>Calculation Objective</t>
  </si>
  <si>
    <t>Calculation Method</t>
  </si>
  <si>
    <t>Assumptions</t>
  </si>
  <si>
    <t>Software Used</t>
  </si>
  <si>
    <t xml:space="preserve">Title
</t>
  </si>
  <si>
    <r>
      <t>Version</t>
    </r>
    <r>
      <rPr>
        <i/>
        <sz val="10"/>
        <rFont val="Times New Roman"/>
        <family val="1"/>
      </rPr>
      <t xml:space="preserve">
</t>
    </r>
  </si>
  <si>
    <t>Validation (Y / N / N/A)</t>
  </si>
  <si>
    <t>References</t>
  </si>
  <si>
    <t>Conclusions</t>
  </si>
  <si>
    <t>Related to a Safety Critical System?</t>
  </si>
  <si>
    <t>No</t>
  </si>
  <si>
    <t>Status of Supplier Data used</t>
  </si>
  <si>
    <t>N/A</t>
  </si>
  <si>
    <t>HOLDS</t>
  </si>
  <si>
    <t>rev3</t>
  </si>
  <si>
    <t>date3</t>
  </si>
  <si>
    <t>desc3</t>
  </si>
  <si>
    <t>by3</t>
  </si>
  <si>
    <t>chkd3</t>
  </si>
  <si>
    <t>app3</t>
  </si>
  <si>
    <t>rev2</t>
  </si>
  <si>
    <t>date2</t>
  </si>
  <si>
    <t>desc2</t>
  </si>
  <si>
    <t>by2</t>
  </si>
  <si>
    <t>chkd2</t>
  </si>
  <si>
    <t>app2</t>
  </si>
  <si>
    <t>rev1</t>
  </si>
  <si>
    <t>date1</t>
  </si>
  <si>
    <t>desc1</t>
  </si>
  <si>
    <t>by1</t>
  </si>
  <si>
    <t>chkd1</t>
  </si>
  <si>
    <t>app1</t>
  </si>
  <si>
    <t>Checked</t>
  </si>
  <si>
    <t>Approved</t>
  </si>
  <si>
    <t>Calculation Checklist</t>
  </si>
  <si>
    <t>Please check boxes for all applicable items checked or mark as "N/A" if not appropriate:</t>
  </si>
  <si>
    <t>Calculations:</t>
  </si>
  <si>
    <t>Originator</t>
  </si>
  <si>
    <t>Checker</t>
  </si>
  <si>
    <t>All required information on Cover Sheet provided.</t>
  </si>
  <si>
    <r>
      <t xml:space="preserve">Revision history box complete and signed. </t>
    </r>
    <r>
      <rPr>
        <sz val="8"/>
        <rFont val="Arial"/>
        <family val="2"/>
      </rPr>
      <t>(Typed names (minimum of first initial and last name e.g. A. Wood)
of Originator, Checker, Approver; to be initialled beside at sign-off) (Dates in standard format (DD-MM-YY)</t>
    </r>
  </si>
  <si>
    <t>Table of Contents.</t>
  </si>
  <si>
    <t>Appropriate stamp for preliminary issues.</t>
  </si>
  <si>
    <t>Source of input data stated (with revision number and date if relevant).</t>
  </si>
  <si>
    <t>Customer's requirements included/addressed.</t>
  </si>
  <si>
    <t>Approach used is appropriate for problem being solved.</t>
  </si>
  <si>
    <t>Method clear and easy to follow.</t>
  </si>
  <si>
    <t>Input data correct.</t>
  </si>
  <si>
    <t>Calculation arithmetically correct OR software previously verified and reference to verification checked.</t>
  </si>
  <si>
    <t>Calculation result within expected limits.</t>
  </si>
  <si>
    <t>Calculation tolerances stated if significant.</t>
  </si>
  <si>
    <t>Units used as required by customer. Unit conversions correctly performed.</t>
  </si>
  <si>
    <t>Appropriate cross-references.</t>
  </si>
  <si>
    <t>Sketches included and clearly labelled, where required.</t>
  </si>
  <si>
    <t>Appendices included and referenced, as required.</t>
  </si>
  <si>
    <t>Considered design reviews, Hazop actions, customer input, safety and environmental issues, etc.</t>
  </si>
  <si>
    <t>Safety in Design (SID) and Sustainable Design are addressed. Refer relevant SID Discipline Standard.</t>
  </si>
  <si>
    <t>Conclusions and recommendations are appropriate.</t>
  </si>
  <si>
    <t>Checking Records:</t>
  </si>
  <si>
    <t>Checked and annotated copy of calculation filed (use "Doc Check Print" stamp).</t>
  </si>
  <si>
    <t>Corrections made as required and calculation dated and signed on cover sheet by checker.</t>
  </si>
  <si>
    <t>Alternative method calculation and/or representative check performed and filed, as required.</t>
  </si>
  <si>
    <t>Revisions:</t>
  </si>
  <si>
    <t>Changes clouded.</t>
  </si>
  <si>
    <t>Revision history block updated.</t>
  </si>
  <si>
    <t>Calculation re-checked if required.</t>
  </si>
  <si>
    <t>Calculation Sheet</t>
  </si>
  <si>
    <t>Table of Contents</t>
  </si>
  <si>
    <t>1.0</t>
  </si>
  <si>
    <t>In-house developed excel spreadsheet</t>
  </si>
  <si>
    <t>Y</t>
  </si>
  <si>
    <t>Stress System/Package/File No.:
Isometric No.:</t>
  </si>
  <si>
    <t>VALVE Tag</t>
  </si>
  <si>
    <t>Relief Valve and Pipe Data</t>
  </si>
  <si>
    <t>Service</t>
  </si>
  <si>
    <t>Orifice</t>
  </si>
  <si>
    <r>
      <t>A (mm</t>
    </r>
    <r>
      <rPr>
        <b/>
        <vertAlign val="superscript"/>
        <sz val="10"/>
        <rFont val="Arial"/>
        <family val="2"/>
      </rPr>
      <t>2</t>
    </r>
    <r>
      <rPr>
        <b/>
        <sz val="10"/>
        <rFont val="Arial"/>
        <family val="2"/>
      </rPr>
      <t>)</t>
    </r>
  </si>
  <si>
    <t>Set Pressure (kPag)</t>
  </si>
  <si>
    <r>
      <t>Set Pressure (P</t>
    </r>
    <r>
      <rPr>
        <vertAlign val="subscript"/>
        <sz val="8"/>
        <rFont val="Arial"/>
        <family val="2"/>
      </rPr>
      <t>S</t>
    </r>
    <r>
      <rPr>
        <sz val="8"/>
        <rFont val="Arial"/>
        <family val="2"/>
      </rPr>
      <t>) (kPaa) [Note 1]</t>
    </r>
  </si>
  <si>
    <t>E</t>
  </si>
  <si>
    <r>
      <t>Relief Temperature (</t>
    </r>
    <r>
      <rPr>
        <vertAlign val="superscript"/>
        <sz val="8"/>
        <rFont val="Arial"/>
        <family val="2"/>
      </rPr>
      <t>o</t>
    </r>
    <r>
      <rPr>
        <sz val="8"/>
        <rFont val="Arial"/>
        <family val="2"/>
      </rPr>
      <t>C)</t>
    </r>
  </si>
  <si>
    <t>Relief Temperature (T) (Kelvin)</t>
  </si>
  <si>
    <t>F</t>
  </si>
  <si>
    <t>Discharge Pipe Exit Size (NPS)</t>
  </si>
  <si>
    <r>
      <t>Approx. Pipe Exit Area (A</t>
    </r>
    <r>
      <rPr>
        <vertAlign val="subscript"/>
        <sz val="8"/>
        <rFont val="Arial"/>
        <family val="2"/>
      </rPr>
      <t>E</t>
    </r>
    <r>
      <rPr>
        <sz val="8"/>
        <rFont val="Arial"/>
        <family val="2"/>
      </rPr>
      <t>)  (mm</t>
    </r>
    <r>
      <rPr>
        <vertAlign val="superscript"/>
        <sz val="8"/>
        <rFont val="Arial"/>
        <family val="2"/>
      </rPr>
      <t>2</t>
    </r>
    <r>
      <rPr>
        <sz val="8"/>
        <rFont val="Arial"/>
        <family val="2"/>
      </rPr>
      <t>)</t>
    </r>
  </si>
  <si>
    <t>G</t>
  </si>
  <si>
    <r>
      <t>Ratio of Specific Heats, C</t>
    </r>
    <r>
      <rPr>
        <vertAlign val="subscript"/>
        <sz val="8"/>
        <rFont val="Arial"/>
        <family val="2"/>
      </rPr>
      <t>p</t>
    </r>
    <r>
      <rPr>
        <sz val="8"/>
        <rFont val="Arial"/>
        <family val="2"/>
      </rPr>
      <t>/C</t>
    </r>
    <r>
      <rPr>
        <vertAlign val="subscript"/>
        <sz val="8"/>
        <rFont val="Arial"/>
        <family val="2"/>
      </rPr>
      <t>v</t>
    </r>
    <r>
      <rPr>
        <sz val="8"/>
        <rFont val="Arial"/>
        <family val="2"/>
      </rPr>
      <t xml:space="preserve">   (k)</t>
    </r>
  </si>
  <si>
    <r>
      <t>Approx. Pipe Exit Pressure (P</t>
    </r>
    <r>
      <rPr>
        <vertAlign val="subscript"/>
        <sz val="8"/>
        <rFont val="Arial"/>
        <family val="2"/>
      </rPr>
      <t>E</t>
    </r>
    <r>
      <rPr>
        <sz val="8"/>
        <rFont val="Arial"/>
        <family val="2"/>
      </rPr>
      <t>)  (kPag)  [Note 2]</t>
    </r>
  </si>
  <si>
    <t>H</t>
  </si>
  <si>
    <t>Molecular Weight (M)</t>
  </si>
  <si>
    <r>
      <t>Specific Gas Constant (R</t>
    </r>
    <r>
      <rPr>
        <vertAlign val="subscript"/>
        <sz val="8"/>
        <rFont val="Arial"/>
        <family val="2"/>
      </rPr>
      <t>S</t>
    </r>
    <r>
      <rPr>
        <sz val="8"/>
        <rFont val="Arial"/>
        <family val="2"/>
      </rPr>
      <t xml:space="preserve">) (=8314.4/M) (J/kg </t>
    </r>
    <r>
      <rPr>
        <vertAlign val="superscript"/>
        <sz val="8"/>
        <rFont val="Arial"/>
        <family val="2"/>
      </rPr>
      <t>o</t>
    </r>
    <r>
      <rPr>
        <sz val="8"/>
        <rFont val="Arial"/>
        <family val="2"/>
      </rPr>
      <t>K)</t>
    </r>
  </si>
  <si>
    <t>J</t>
  </si>
  <si>
    <t>Max. Discharge Rate (W) (kg/hr)</t>
  </si>
  <si>
    <r>
      <t>Max. Discharge Rate (W</t>
    </r>
    <r>
      <rPr>
        <vertAlign val="subscript"/>
        <sz val="8"/>
        <rFont val="Arial"/>
        <family val="2"/>
      </rPr>
      <t>S</t>
    </r>
    <r>
      <rPr>
        <sz val="8"/>
        <rFont val="Arial"/>
        <family val="2"/>
      </rPr>
      <t>) (kg/sec)</t>
    </r>
  </si>
  <si>
    <t>K</t>
  </si>
  <si>
    <r>
      <t>Atmospheric Pressure (P</t>
    </r>
    <r>
      <rPr>
        <vertAlign val="subscript"/>
        <sz val="8"/>
        <rFont val="Arial"/>
        <family val="2"/>
      </rPr>
      <t>A</t>
    </r>
    <r>
      <rPr>
        <sz val="8"/>
        <rFont val="Arial"/>
        <family val="2"/>
      </rPr>
      <t>) (kPaa)</t>
    </r>
  </si>
  <si>
    <r>
      <t>gravity constant (m/sec</t>
    </r>
    <r>
      <rPr>
        <vertAlign val="superscript"/>
        <sz val="8"/>
        <rFont val="Arial"/>
        <family val="2"/>
      </rPr>
      <t>2</t>
    </r>
    <r>
      <rPr>
        <sz val="8"/>
        <rFont val="Arial"/>
        <family val="2"/>
      </rPr>
      <t>)</t>
    </r>
  </si>
  <si>
    <t>L</t>
  </si>
  <si>
    <t>Orifice Letter Designation</t>
  </si>
  <si>
    <t>P</t>
  </si>
  <si>
    <r>
      <t>Orifice Area (A) (mm</t>
    </r>
    <r>
      <rPr>
        <vertAlign val="superscript"/>
        <sz val="8"/>
        <rFont val="Arial"/>
        <family val="2"/>
      </rPr>
      <t>2</t>
    </r>
    <r>
      <rPr>
        <sz val="8"/>
        <rFont val="Arial"/>
        <family val="2"/>
      </rPr>
      <t>)</t>
    </r>
  </si>
  <si>
    <t>M</t>
  </si>
  <si>
    <t>N</t>
  </si>
  <si>
    <t>Load Diagrams</t>
  </si>
  <si>
    <t>Q</t>
  </si>
  <si>
    <t>R</t>
  </si>
  <si>
    <t>T</t>
  </si>
  <si>
    <t>T2</t>
  </si>
  <si>
    <t>V</t>
  </si>
  <si>
    <t>W</t>
  </si>
  <si>
    <t>Z</t>
  </si>
  <si>
    <r>
      <t>Steady State</t>
    </r>
    <r>
      <rPr>
        <sz val="8"/>
        <rFont val="Arial"/>
        <family val="2"/>
      </rPr>
      <t xml:space="preserve"> (Open System)</t>
    </r>
  </si>
  <si>
    <r>
      <t>Steady State</t>
    </r>
    <r>
      <rPr>
        <sz val="8"/>
        <rFont val="Arial"/>
        <family val="2"/>
      </rPr>
      <t xml:space="preserve"> (Closed System)</t>
    </r>
  </si>
  <si>
    <r>
      <t xml:space="preserve">Dynamic "Pop" Condition </t>
    </r>
    <r>
      <rPr>
        <sz val="8"/>
        <rFont val="Arial"/>
        <family val="2"/>
      </rPr>
      <t>(Open and Closed Systems)</t>
    </r>
  </si>
  <si>
    <t>Z2</t>
  </si>
  <si>
    <t>AA</t>
  </si>
  <si>
    <t>BB</t>
  </si>
  <si>
    <t>BB2</t>
  </si>
  <si>
    <t>kPag</t>
  </si>
  <si>
    <t>Open System Only</t>
  </si>
  <si>
    <t>[Note 2]</t>
  </si>
  <si>
    <t>All Cases</t>
  </si>
  <si>
    <t>All, Dynamic [Note 3]</t>
  </si>
  <si>
    <t>Notes:</t>
  </si>
  <si>
    <t>1.</t>
  </si>
  <si>
    <r>
      <t>No overpressure acculumation (eg. 10%) on P</t>
    </r>
    <r>
      <rPr>
        <vertAlign val="subscript"/>
        <sz val="9"/>
        <rFont val="Arial"/>
        <family val="2"/>
      </rPr>
      <t>S</t>
    </r>
    <r>
      <rPr>
        <sz val="9"/>
        <rFont val="Arial"/>
        <family val="2"/>
      </rPr>
      <t xml:space="preserve"> is not added, as this is not conservative when calculating F3.</t>
    </r>
  </si>
  <si>
    <t>2.</t>
  </si>
  <si>
    <r>
      <t>P</t>
    </r>
    <r>
      <rPr>
        <vertAlign val="subscript"/>
        <sz val="9"/>
        <rFont val="Arial"/>
        <family val="2"/>
      </rPr>
      <t>E</t>
    </r>
    <r>
      <rPr>
        <sz val="9"/>
        <rFont val="Arial"/>
        <family val="2"/>
      </rPr>
      <t xml:space="preserve"> (and therefore F2) is ignored / set to Zero if P</t>
    </r>
    <r>
      <rPr>
        <vertAlign val="subscript"/>
        <sz val="9"/>
        <rFont val="Arial"/>
        <family val="2"/>
      </rPr>
      <t>E</t>
    </r>
    <r>
      <rPr>
        <sz val="9"/>
        <rFont val="Arial"/>
        <family val="2"/>
      </rPr>
      <t xml:space="preserve"> is less than P</t>
    </r>
    <r>
      <rPr>
        <vertAlign val="subscript"/>
        <sz val="9"/>
        <rFont val="Arial"/>
        <family val="2"/>
      </rPr>
      <t>A</t>
    </r>
    <r>
      <rPr>
        <sz val="9"/>
        <rFont val="Arial"/>
        <family val="2"/>
      </rPr>
      <t>.</t>
    </r>
  </si>
  <si>
    <t>3.</t>
  </si>
  <si>
    <t>F4 is equal to F1 with a Dynamic Load Factor of 2.0 applied.</t>
  </si>
  <si>
    <t>Relief Valve Forces</t>
  </si>
  <si>
    <r>
      <t xml:space="preserve"> Page </t>
    </r>
    <r>
      <rPr>
        <b/>
        <sz val="9"/>
        <rFont val="Arial"/>
        <family val="2"/>
      </rPr>
      <t>1</t>
    </r>
    <r>
      <rPr>
        <sz val="9"/>
        <rFont val="Arial"/>
        <family val="2"/>
      </rPr>
      <t xml:space="preserve"> of  </t>
    </r>
    <r>
      <rPr>
        <b/>
        <sz val="9"/>
        <rFont val="Arial"/>
        <family val="2"/>
      </rPr>
      <t>1</t>
    </r>
  </si>
  <si>
    <t xml:space="preserve"> Rev.</t>
  </si>
  <si>
    <r>
      <t>A (in</t>
    </r>
    <r>
      <rPr>
        <b/>
        <vertAlign val="superscript"/>
        <sz val="10"/>
        <rFont val="Arial"/>
        <family val="2"/>
      </rPr>
      <t>2</t>
    </r>
    <r>
      <rPr>
        <b/>
        <sz val="10"/>
        <rFont val="Arial"/>
        <family val="2"/>
      </rPr>
      <t>)</t>
    </r>
  </si>
  <si>
    <r>
      <t>Set Pressure</t>
    </r>
    <r>
      <rPr>
        <sz val="8"/>
        <rFont val="Arial"/>
        <family val="2"/>
      </rPr>
      <t xml:space="preserve"> (psig)</t>
    </r>
  </si>
  <si>
    <r>
      <t>Set Pressure (P</t>
    </r>
    <r>
      <rPr>
        <vertAlign val="subscript"/>
        <sz val="8"/>
        <rFont val="Arial"/>
        <family val="2"/>
      </rPr>
      <t>S</t>
    </r>
    <r>
      <rPr>
        <sz val="8"/>
        <rFont val="Arial"/>
        <family val="2"/>
      </rPr>
      <t>) (psia) [Note 1]</t>
    </r>
  </si>
  <si>
    <r>
      <t>Relief Temperature (</t>
    </r>
    <r>
      <rPr>
        <vertAlign val="superscript"/>
        <sz val="8"/>
        <rFont val="Arial"/>
        <family val="2"/>
      </rPr>
      <t>o</t>
    </r>
    <r>
      <rPr>
        <sz val="8"/>
        <rFont val="Arial"/>
        <family val="2"/>
      </rPr>
      <t>F)</t>
    </r>
  </si>
  <si>
    <t>Relief Temperature (T) (Rankine)</t>
  </si>
  <si>
    <r>
      <t>Approx. Pipe Exit Area (A</t>
    </r>
    <r>
      <rPr>
        <vertAlign val="subscript"/>
        <sz val="8"/>
        <rFont val="Arial"/>
        <family val="2"/>
      </rPr>
      <t>E</t>
    </r>
    <r>
      <rPr>
        <sz val="8"/>
        <rFont val="Arial"/>
        <family val="2"/>
      </rPr>
      <t>)  (in</t>
    </r>
    <r>
      <rPr>
        <vertAlign val="superscript"/>
        <sz val="8"/>
        <rFont val="Arial"/>
        <family val="2"/>
      </rPr>
      <t>2</t>
    </r>
    <r>
      <rPr>
        <sz val="8"/>
        <rFont val="Arial"/>
        <family val="2"/>
      </rPr>
      <t>)</t>
    </r>
  </si>
  <si>
    <r>
      <t>Approx. Pipe Exit Pressure (P</t>
    </r>
    <r>
      <rPr>
        <vertAlign val="subscript"/>
        <sz val="8"/>
        <rFont val="Arial"/>
        <family val="2"/>
      </rPr>
      <t>E</t>
    </r>
    <r>
      <rPr>
        <sz val="8"/>
        <rFont val="Arial"/>
        <family val="2"/>
      </rPr>
      <t>)  (psig)  [Note 2]</t>
    </r>
  </si>
  <si>
    <r>
      <t>Specific Gas Constant (R</t>
    </r>
    <r>
      <rPr>
        <vertAlign val="subscript"/>
        <sz val="8"/>
        <rFont val="Arial"/>
        <family val="2"/>
      </rPr>
      <t>S</t>
    </r>
    <r>
      <rPr>
        <sz val="8"/>
        <rFont val="Arial"/>
        <family val="2"/>
      </rPr>
      <t xml:space="preserve">) (=1545.3/M) (ft lb/lb </t>
    </r>
    <r>
      <rPr>
        <vertAlign val="superscript"/>
        <sz val="8"/>
        <rFont val="Arial"/>
        <family val="2"/>
      </rPr>
      <t>o</t>
    </r>
    <r>
      <rPr>
        <sz val="8"/>
        <rFont val="Arial"/>
        <family val="2"/>
      </rPr>
      <t>R)</t>
    </r>
  </si>
  <si>
    <r>
      <t>Max. Discharge Rate (W</t>
    </r>
    <r>
      <rPr>
        <sz val="8"/>
        <rFont val="Arial"/>
        <family val="2"/>
      </rPr>
      <t>) (lb/hr)</t>
    </r>
  </si>
  <si>
    <r>
      <t>Max. Discharge Rate (W</t>
    </r>
    <r>
      <rPr>
        <vertAlign val="subscript"/>
        <sz val="8"/>
        <rFont val="Arial"/>
        <family val="2"/>
      </rPr>
      <t>S</t>
    </r>
    <r>
      <rPr>
        <sz val="8"/>
        <rFont val="Arial"/>
        <family val="2"/>
      </rPr>
      <t>) (lb/sec)</t>
    </r>
  </si>
  <si>
    <r>
      <t>Atmospheric Pressure (P</t>
    </r>
    <r>
      <rPr>
        <vertAlign val="subscript"/>
        <sz val="8"/>
        <rFont val="Arial"/>
        <family val="2"/>
      </rPr>
      <t>A</t>
    </r>
    <r>
      <rPr>
        <sz val="8"/>
        <rFont val="Arial"/>
        <family val="2"/>
      </rPr>
      <t>) (psia)</t>
    </r>
  </si>
  <si>
    <r>
      <t>gravity constant (ft/sec</t>
    </r>
    <r>
      <rPr>
        <vertAlign val="superscript"/>
        <sz val="8"/>
        <rFont val="Arial"/>
        <family val="2"/>
      </rPr>
      <t>2</t>
    </r>
    <r>
      <rPr>
        <sz val="8"/>
        <rFont val="Arial"/>
        <family val="2"/>
      </rPr>
      <t>)</t>
    </r>
  </si>
  <si>
    <r>
      <t>Orifice Area (A) (in</t>
    </r>
    <r>
      <rPr>
        <vertAlign val="superscript"/>
        <sz val="8"/>
        <rFont val="Arial"/>
        <family val="2"/>
      </rPr>
      <t>2</t>
    </r>
    <r>
      <rPr>
        <sz val="8"/>
        <rFont val="Arial"/>
        <family val="2"/>
      </rPr>
      <t>)</t>
    </r>
  </si>
  <si>
    <t>lbs</t>
  </si>
  <si>
    <t>psig</t>
  </si>
  <si>
    <t>The objective of this spreadsheet is to calculate PSV reaction force.</t>
  </si>
  <si>
    <t>PSV reaction force is calculated as per API 520 method.</t>
  </si>
  <si>
    <t xml:space="preserve">PSV Reaction force </t>
  </si>
  <si>
    <t>PSV Reaction force</t>
  </si>
  <si>
    <t>4.</t>
  </si>
  <si>
    <t>F1 Formula as per API 520 part II is applicable for vapor discharge, not for two phase flow discharge.</t>
  </si>
  <si>
    <t>PSV reaction force</t>
  </si>
  <si>
    <t>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t>
  </si>
  <si>
    <t>Calculation Formulas and Results</t>
  </si>
  <si>
    <t>Vapor</t>
  </si>
  <si>
    <t>Calculation number assigned and registered. refer to project numbering system or Document Number Standard (MS-DP-STD-0009) for format.</t>
  </si>
  <si>
    <t>HC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</si>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</sst>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
    <numFmt numFmtId="166" formatCode="[$-C09]dd\-mm\-yy;@"/>
    <numFmt numFmtId="167" formatCode="\ "/>
    <numFmt numFmtId="168" formatCode="[$-C09]dd\-mmm\-yy;@"/>
    <numFmt numFmtId="169" formatCode="#,##0.0"/>
  </numFmts>
  <fonts count="27" x14ac:knownFonts="1">
    <font>
      <sz val="10"/>
      <name val="Arial"/>
    </font>
    <font>
      <b/>
      <sz val="9"/>
      <name val="Arial"/>
      <family val="2"/>
    </font>
    <font>
      <b/>
      <sz val="10"/>
      <name val="Arial"/>
      <family val="2"/>
    </font>
    <font>
      <sz val="10"/>
      <name val="Arial"/>
      <family val="2"/>
    </font>
    <font>
      <sz val="8"/>
      <name val="Arial"/>
      <family val="2"/>
    </font>
    <font>
      <b/>
      <sz val="8"/>
      <name val="Arial"/>
      <family val="2"/>
    </font>
    <font>
      <vertAlign val="superscript"/>
      <sz val="8"/>
      <name val="Arial"/>
      <family val="2"/>
    </font>
    <font>
      <vertAlign val="subscript"/>
      <sz val="8"/>
      <name val="Arial"/>
      <family val="2"/>
    </font>
    <font>
      <sz val="9"/>
      <name val="Arial"/>
      <family val="2"/>
    </font>
    <font>
      <b/>
      <sz val="14"/>
      <name val="Arial"/>
      <family val="2"/>
    </font>
    <font>
      <sz val="11"/>
      <name val="Times New Roman"/>
      <family val="1"/>
    </font>
    <font>
      <i/>
      <sz val="8"/>
      <name val="Times New Roman"/>
      <family val="1"/>
    </font>
    <font>
      <i/>
      <sz val="10"/>
      <name val="Arial"/>
      <family val="2"/>
    </font>
    <font>
      <sz val="11"/>
      <name val="Arial"/>
      <family val="2"/>
    </font>
    <font>
      <i/>
      <sz val="10"/>
      <name val="Times New Roman"/>
      <family val="1"/>
    </font>
    <font>
      <sz val="6"/>
      <name val="Arial"/>
      <family val="2"/>
    </font>
    <font>
      <sz val="7"/>
      <name val="Arial"/>
      <family val="2"/>
    </font>
    <font>
      <sz val="11"/>
      <name val="Wingdings"/>
      <charset val="2"/>
    </font>
    <font>
      <sz val="9"/>
      <name val="Arial Narrow"/>
      <family val="2"/>
    </font>
    <font>
      <sz val="10"/>
      <name val="Arial"/>
      <family val="2"/>
    </font>
    <font>
      <b/>
      <sz val="10"/>
      <name val="Arial Narrow"/>
      <family val="2"/>
    </font>
    <font>
      <b/>
      <u/>
      <sz val="10"/>
      <name val="Arial"/>
      <family val="2"/>
    </font>
    <font>
      <b/>
      <vertAlign val="superscript"/>
      <sz val="10"/>
      <name val="Arial"/>
      <family val="2"/>
    </font>
    <font>
      <u/>
      <sz val="8"/>
      <name val="Arial"/>
      <family val="2"/>
    </font>
    <font>
      <b/>
      <u/>
      <sz val="9"/>
      <name val="Arial"/>
      <family val="2"/>
    </font>
    <font>
      <vertAlign val="subscript"/>
      <sz val="9"/>
      <name val="Arial"/>
      <family val="2"/>
    </font>
    <font>
      <b/>
      <sz val="9"/>
      <color indexed="8"/>
      <name val="Arial"/>
      <family val="2"/>
    </font>
  </fonts>
  <fills count="8">
    <fill>
      <patternFill patternType="none"/>
    </fill>
    <fill>
      <patternFill patternType="gray125"/>
    </fill>
    <fill>
      <patternFill patternType="solid">
        <fgColor indexed="43"/>
        <bgColor indexed="64"/>
      </patternFill>
    </fill>
    <fill>
      <patternFill patternType="solid">
        <fgColor indexed="65"/>
        <bgColor indexed="64"/>
      </patternFill>
    </fill>
    <fill>
      <patternFill patternType="solid">
        <fgColor indexed="26"/>
        <bgColor indexed="64"/>
      </patternFill>
    </fill>
    <fill>
      <patternFill patternType="solid">
        <fgColor indexed="9"/>
        <bgColor indexed="64"/>
      </patternFill>
    </fill>
    <fill>
      <patternFill patternType="solid">
        <fgColor rgb="FFFFFFCC"/>
        <bgColor indexed="64"/>
      </patternFill>
    </fill>
    <fill>
      <patternFill patternType="solid">
        <fgColor theme="0"/>
        <bgColor indexed="64"/>
      </patternFill>
    </fill>
  </fills>
  <borders count="5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hair">
        <color indexed="64"/>
      </bottom>
      <diagonal/>
    </border>
    <border>
      <left/>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style="medium">
        <color indexed="64"/>
      </right>
      <top/>
      <bottom style="hair">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64"/>
      </left>
      <right/>
      <top/>
      <bottom/>
      <diagonal/>
    </border>
    <border>
      <left/>
      <right style="thin">
        <color indexed="8"/>
      </right>
      <top/>
      <bottom/>
      <diagonal/>
    </border>
    <border>
      <left style="thin">
        <color indexed="64"/>
      </left>
      <right/>
      <top/>
      <bottom style="thin">
        <color indexed="64"/>
      </bottom>
      <diagonal/>
    </border>
    <border>
      <left/>
      <right style="thin">
        <color indexed="8"/>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8"/>
      </right>
      <top style="thin">
        <color indexed="64"/>
      </top>
      <bottom/>
      <diagonal/>
    </border>
    <border>
      <left/>
      <right style="thin">
        <color indexed="8"/>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bottom style="thin">
        <color indexed="64"/>
      </bottom>
      <diagonal/>
    </border>
    <border>
      <left/>
      <right style="double">
        <color indexed="64"/>
      </right>
      <top style="thin">
        <color indexed="64"/>
      </top>
      <bottom style="thin">
        <color indexed="64"/>
      </bottom>
      <diagonal/>
    </border>
    <border>
      <left/>
      <right style="thin">
        <color indexed="64"/>
      </right>
      <top style="thin">
        <color indexed="64"/>
      </top>
      <bottom style="hair">
        <color indexed="64"/>
      </bottom>
      <diagonal/>
    </border>
  </borders>
  <cellStyleXfs count="3">
    <xf numFmtId="0" fontId="0" fillId="0" borderId="0"/>
    <xf numFmtId="0" fontId="3" fillId="0" borderId="0"/>
    <xf numFmtId="43" fontId="19" fillId="0" borderId="0" applyFont="0" applyFill="0" applyBorder="0" applyAlignment="0" applyProtection="0"/>
  </cellStyleXfs>
  <cellXfs count="422">
    <xf numFmtId="0" fontId="0" fillId="0" borderId="0" xfId="0"/>
    <xf numFmtId="0" fontId="0" fillId="0" borderId="0" xfId="0" applyProtection="1"/>
    <xf numFmtId="0" fontId="0" fillId="0" borderId="1" xfId="0" applyBorder="1" applyProtection="1"/>
    <xf numFmtId="0" fontId="0" fillId="0" borderId="2" xfId="0" applyBorder="1" applyProtection="1"/>
    <xf numFmtId="0" fontId="0" fillId="0" borderId="3" xfId="0" applyBorder="1" applyProtection="1"/>
    <xf numFmtId="0" fontId="0" fillId="0" borderId="0" xfId="0" applyAlignment="1" applyProtection="1">
      <alignment horizontal="center"/>
    </xf>
    <xf numFmtId="0" fontId="3" fillId="0" borderId="4" xfId="0" applyFont="1" applyBorder="1" applyProtection="1"/>
    <xf numFmtId="0" fontId="2" fillId="0" borderId="0" xfId="0" applyFont="1" applyBorder="1" applyAlignment="1" applyProtection="1"/>
    <xf numFmtId="0" fontId="3" fillId="0" borderId="0" xfId="0" applyFont="1" applyBorder="1" applyProtection="1"/>
    <xf numFmtId="0" fontId="3" fillId="0" borderId="0" xfId="0" applyFont="1" applyFill="1" applyBorder="1" applyAlignment="1" applyProtection="1"/>
    <xf numFmtId="0" fontId="3" fillId="0" borderId="5" xfId="0" applyFont="1" applyBorder="1" applyProtection="1"/>
    <xf numFmtId="0" fontId="3" fillId="0" borderId="0" xfId="0" applyFont="1" applyProtection="1"/>
    <xf numFmtId="0" fontId="3" fillId="0" borderId="0" xfId="0" applyFont="1" applyAlignment="1" applyProtection="1">
      <alignment horizontal="center"/>
    </xf>
    <xf numFmtId="0" fontId="1" fillId="0" borderId="2" xfId="0" applyFont="1" applyBorder="1" applyAlignment="1" applyProtection="1"/>
    <xf numFmtId="0" fontId="1" fillId="0" borderId="6" xfId="0" applyFont="1" applyBorder="1" applyAlignment="1" applyProtection="1"/>
    <xf numFmtId="0" fontId="1" fillId="0" borderId="7" xfId="0" applyFont="1" applyBorder="1" applyAlignment="1" applyProtection="1"/>
    <xf numFmtId="0" fontId="1" fillId="2" borderId="14" xfId="0" applyFont="1" applyFill="1" applyBorder="1" applyAlignment="1" applyProtection="1">
      <protection locked="0"/>
    </xf>
    <xf numFmtId="0" fontId="0" fillId="2" borderId="14" xfId="0" applyFill="1" applyBorder="1" applyAlignment="1" applyProtection="1">
      <protection locked="0"/>
    </xf>
    <xf numFmtId="0" fontId="0" fillId="2" borderId="15" xfId="0" applyFill="1" applyBorder="1" applyAlignment="1" applyProtection="1">
      <protection locked="0"/>
    </xf>
    <xf numFmtId="0" fontId="1" fillId="2" borderId="17" xfId="0" applyFont="1" applyFill="1" applyBorder="1" applyAlignment="1" applyProtection="1">
      <protection locked="0"/>
    </xf>
    <xf numFmtId="0" fontId="0" fillId="2" borderId="17" xfId="0" applyFill="1" applyBorder="1" applyAlignment="1" applyProtection="1">
      <protection locked="0"/>
    </xf>
    <xf numFmtId="0" fontId="0" fillId="2" borderId="18" xfId="0" applyFill="1" applyBorder="1" applyAlignment="1" applyProtection="1">
      <protection locked="0"/>
    </xf>
    <xf numFmtId="0" fontId="1" fillId="2" borderId="18" xfId="0" applyFont="1" applyFill="1" applyBorder="1" applyAlignment="1" applyProtection="1">
      <protection locked="0"/>
    </xf>
    <xf numFmtId="0" fontId="1" fillId="2" borderId="17" xfId="0" applyFont="1" applyFill="1" applyBorder="1" applyAlignment="1" applyProtection="1">
      <alignment vertical="center" wrapText="1"/>
      <protection locked="0"/>
    </xf>
    <xf numFmtId="0" fontId="1" fillId="0" borderId="17" xfId="0" applyFont="1" applyBorder="1" applyAlignment="1" applyProtection="1">
      <alignment vertical="center" wrapText="1"/>
    </xf>
    <xf numFmtId="0" fontId="1" fillId="0" borderId="25" xfId="0" applyFont="1" applyBorder="1" applyAlignment="1" applyProtection="1"/>
    <xf numFmtId="0" fontId="1" fillId="0" borderId="26" xfId="0" applyFont="1" applyBorder="1" applyAlignment="1" applyProtection="1"/>
    <xf numFmtId="0" fontId="1" fillId="0" borderId="27" xfId="0" applyFont="1" applyBorder="1" applyAlignment="1" applyProtection="1"/>
    <xf numFmtId="0" fontId="1" fillId="0" borderId="28" xfId="0" applyFont="1" applyBorder="1" applyAlignment="1" applyProtection="1"/>
    <xf numFmtId="0" fontId="1" fillId="2" borderId="30" xfId="0" applyFont="1" applyFill="1" applyBorder="1" applyAlignment="1" applyProtection="1">
      <alignment vertical="center" wrapText="1"/>
      <protection locked="0"/>
    </xf>
    <xf numFmtId="0" fontId="1" fillId="0" borderId="30" xfId="0" applyFont="1" applyBorder="1" applyAlignment="1" applyProtection="1">
      <alignment vertical="center" wrapText="1"/>
    </xf>
    <xf numFmtId="0" fontId="1" fillId="0" borderId="30" xfId="0" applyFont="1" applyBorder="1" applyAlignment="1" applyProtection="1">
      <alignment vertical="center"/>
    </xf>
    <xf numFmtId="0" fontId="8" fillId="0" borderId="14" xfId="0" applyFont="1" applyBorder="1" applyAlignment="1" applyProtection="1"/>
    <xf numFmtId="0" fontId="8" fillId="0" borderId="17" xfId="0" applyFont="1" applyBorder="1" applyAlignment="1" applyProtection="1"/>
    <xf numFmtId="0" fontId="8" fillId="0" borderId="30" xfId="0" applyFont="1" applyBorder="1" applyAlignment="1" applyProtection="1"/>
    <xf numFmtId="0" fontId="0" fillId="0" borderId="4" xfId="0" applyBorder="1" applyProtection="1"/>
    <xf numFmtId="0" fontId="0" fillId="0" borderId="0" xfId="0" applyBorder="1" applyProtection="1"/>
    <xf numFmtId="0" fontId="0" fillId="0" borderId="5" xfId="0" applyBorder="1" applyProtection="1"/>
    <xf numFmtId="0" fontId="0" fillId="0" borderId="31" xfId="0" applyBorder="1" applyProtection="1"/>
    <xf numFmtId="0" fontId="0" fillId="0" borderId="6" xfId="0" applyBorder="1" applyProtection="1"/>
    <xf numFmtId="0" fontId="2" fillId="0" borderId="6" xfId="0" applyFont="1" applyBorder="1" applyAlignment="1" applyProtection="1">
      <alignment horizontal="left"/>
    </xf>
    <xf numFmtId="0" fontId="0" fillId="0" borderId="6" xfId="0" applyFill="1" applyBorder="1" applyAlignment="1" applyProtection="1">
      <alignment horizontal="left"/>
    </xf>
    <xf numFmtId="0" fontId="0" fillId="0" borderId="6" xfId="0" applyFill="1" applyBorder="1" applyProtection="1"/>
    <xf numFmtId="0" fontId="0" fillId="0" borderId="7" xfId="0" applyBorder="1" applyProtection="1"/>
    <xf numFmtId="0" fontId="4" fillId="0" borderId="4" xfId="0" applyFont="1" applyBorder="1" applyProtection="1"/>
    <xf numFmtId="0" fontId="4" fillId="0" borderId="0" xfId="0" applyFont="1" applyBorder="1" applyProtection="1"/>
    <xf numFmtId="0" fontId="4" fillId="0" borderId="5" xfId="0" applyFont="1" applyBorder="1" applyProtection="1"/>
    <xf numFmtId="0" fontId="4" fillId="0" borderId="0" xfId="0" applyFont="1" applyProtection="1"/>
    <xf numFmtId="0" fontId="5" fillId="0" borderId="0" xfId="0" applyFont="1" applyBorder="1" applyProtection="1"/>
    <xf numFmtId="0" fontId="5" fillId="0" borderId="0" xfId="0" applyFont="1" applyBorder="1" applyAlignment="1" applyProtection="1">
      <alignment horizontal="right"/>
    </xf>
    <xf numFmtId="0" fontId="2" fillId="0" borderId="0" xfId="0" applyFont="1" applyBorder="1" applyProtection="1"/>
    <xf numFmtId="0" fontId="4" fillId="0" borderId="6" xfId="0" applyFont="1" applyBorder="1" applyProtection="1"/>
    <xf numFmtId="0" fontId="10" fillId="0" borderId="0" xfId="0" applyFont="1" applyBorder="1"/>
    <xf numFmtId="0" fontId="10" fillId="0" borderId="0" xfId="0" applyFont="1"/>
    <xf numFmtId="0" fontId="2" fillId="0" borderId="0" xfId="0" applyFont="1" applyBorder="1" applyAlignment="1">
      <alignment vertical="top"/>
    </xf>
    <xf numFmtId="0" fontId="11" fillId="0" borderId="0" xfId="0" applyFont="1" applyBorder="1" applyAlignment="1" applyProtection="1">
      <alignment wrapText="1"/>
      <protection hidden="1"/>
    </xf>
    <xf numFmtId="0" fontId="0" fillId="0" borderId="0" xfId="0" applyBorder="1"/>
    <xf numFmtId="0" fontId="10" fillId="0" borderId="0" xfId="0" applyFont="1" applyBorder="1" applyAlignment="1">
      <alignment horizontal="left"/>
    </xf>
    <xf numFmtId="0" fontId="10" fillId="0" borderId="0" xfId="0" applyFont="1" applyAlignment="1">
      <alignment horizontal="centerContinuous"/>
    </xf>
    <xf numFmtId="0" fontId="2" fillId="0" borderId="6" xfId="0" applyFont="1" applyBorder="1" applyAlignment="1">
      <alignment vertical="top"/>
    </xf>
    <xf numFmtId="0" fontId="3" fillId="5" borderId="6" xfId="0" applyFont="1" applyFill="1" applyBorder="1" applyAlignment="1" applyProtection="1">
      <alignment horizontal="right" vertical="top"/>
      <protection locked="0"/>
    </xf>
    <xf numFmtId="0" fontId="2" fillId="0" borderId="6" xfId="0" applyFont="1" applyBorder="1" applyAlignment="1">
      <alignment horizontal="center" vertical="top"/>
    </xf>
    <xf numFmtId="0" fontId="3" fillId="4" borderId="42" xfId="0" applyFont="1" applyFill="1" applyBorder="1" applyAlignment="1" applyProtection="1">
      <alignment horizontal="left" vertical="top"/>
      <protection locked="0"/>
    </xf>
    <xf numFmtId="0" fontId="13" fillId="0" borderId="0" xfId="0" applyFont="1"/>
    <xf numFmtId="0" fontId="2" fillId="0" borderId="43" xfId="0" applyFont="1" applyBorder="1" applyAlignment="1"/>
    <xf numFmtId="0" fontId="2" fillId="0" borderId="44" xfId="0" applyFont="1" applyBorder="1" applyAlignment="1"/>
    <xf numFmtId="0" fontId="2" fillId="0" borderId="45" xfId="0" applyFont="1" applyBorder="1" applyAlignment="1"/>
    <xf numFmtId="0" fontId="2" fillId="0" borderId="48" xfId="0" applyFont="1" applyFill="1" applyBorder="1" applyAlignment="1" applyProtection="1">
      <alignment horizontal="center" vertical="top" wrapText="1"/>
      <protection locked="0"/>
    </xf>
    <xf numFmtId="0" fontId="12" fillId="0" borderId="52" xfId="0" applyFont="1" applyFill="1" applyBorder="1" applyAlignment="1" applyProtection="1">
      <alignment vertical="top" wrapText="1"/>
      <protection locked="0"/>
    </xf>
    <xf numFmtId="0" fontId="10" fillId="0" borderId="0" xfId="0" applyFont="1" applyAlignment="1"/>
    <xf numFmtId="0" fontId="12" fillId="6" borderId="53" xfId="0" applyFont="1" applyFill="1" applyBorder="1" applyAlignment="1" applyProtection="1">
      <alignment horizontal="center" vertical="top" wrapText="1"/>
      <protection locked="0"/>
    </xf>
    <xf numFmtId="0" fontId="10" fillId="0" borderId="0" xfId="0" applyFont="1" applyAlignment="1">
      <alignment wrapText="1"/>
    </xf>
    <xf numFmtId="0" fontId="3" fillId="4" borderId="35" xfId="0" applyFont="1" applyFill="1" applyBorder="1" applyAlignment="1" applyProtection="1">
      <alignment horizontal="centerContinuous"/>
      <protection locked="0"/>
    </xf>
    <xf numFmtId="0" fontId="3" fillId="4" borderId="53" xfId="0" applyFont="1" applyFill="1" applyBorder="1" applyAlignment="1" applyProtection="1">
      <alignment horizontal="center"/>
      <protection locked="0"/>
    </xf>
    <xf numFmtId="0" fontId="3" fillId="4" borderId="35" xfId="0" applyFont="1" applyFill="1" applyBorder="1" applyAlignment="1" applyProtection="1">
      <alignment horizontal="center"/>
      <protection locked="0"/>
    </xf>
    <xf numFmtId="0" fontId="2" fillId="0" borderId="35" xfId="0" applyFont="1" applyBorder="1" applyAlignment="1">
      <alignment horizontal="centerContinuous"/>
    </xf>
    <xf numFmtId="0" fontId="2" fillId="0" borderId="53" xfId="0" applyFont="1" applyBorder="1" applyAlignment="1">
      <alignment horizontal="center"/>
    </xf>
    <xf numFmtId="0" fontId="2" fillId="0" borderId="0" xfId="0" applyFont="1" applyFill="1" applyBorder="1" applyAlignment="1" applyProtection="1">
      <alignment vertical="top"/>
    </xf>
    <xf numFmtId="0" fontId="11" fillId="0" borderId="0" xfId="0" applyFont="1" applyBorder="1" applyAlignment="1" applyProtection="1">
      <alignment wrapText="1"/>
    </xf>
    <xf numFmtId="0" fontId="10" fillId="0" borderId="0" xfId="0" applyFont="1" applyProtection="1"/>
    <xf numFmtId="0" fontId="2" fillId="0" borderId="6" xfId="0" applyFont="1" applyFill="1" applyBorder="1" applyAlignment="1" applyProtection="1">
      <alignment vertical="top"/>
    </xf>
    <xf numFmtId="0" fontId="3" fillId="5" borderId="6" xfId="0" applyFont="1" applyFill="1" applyBorder="1" applyAlignment="1" applyProtection="1">
      <alignment horizontal="right" vertical="top"/>
    </xf>
    <xf numFmtId="0" fontId="2" fillId="0" borderId="6" xfId="0" applyFont="1" applyFill="1" applyBorder="1" applyAlignment="1" applyProtection="1">
      <alignment horizontal="center" vertical="top"/>
    </xf>
    <xf numFmtId="0" fontId="3" fillId="0" borderId="51" xfId="0" applyFont="1" applyFill="1" applyBorder="1" applyAlignment="1" applyProtection="1">
      <alignment horizontal="left" vertical="top"/>
    </xf>
    <xf numFmtId="0" fontId="10" fillId="0" borderId="39" xfId="0" applyFont="1" applyBorder="1" applyAlignment="1">
      <alignment vertical="center"/>
    </xf>
    <xf numFmtId="0" fontId="10" fillId="0" borderId="0" xfId="0" applyFont="1" applyAlignment="1">
      <alignment vertical="center"/>
    </xf>
    <xf numFmtId="0" fontId="13" fillId="0" borderId="39" xfId="0" applyFont="1" applyBorder="1" applyAlignment="1">
      <alignment vertical="center"/>
    </xf>
    <xf numFmtId="0" fontId="13" fillId="0" borderId="0" xfId="0" applyFont="1" applyAlignment="1">
      <alignment vertical="center"/>
    </xf>
    <xf numFmtId="0" fontId="16" fillId="0" borderId="53" xfId="0" applyFont="1" applyBorder="1" applyAlignment="1">
      <alignment horizontal="center" vertical="center"/>
    </xf>
    <xf numFmtId="0" fontId="3" fillId="0" borderId="0" xfId="0" applyFont="1" applyAlignment="1">
      <alignment vertical="center"/>
    </xf>
    <xf numFmtId="0" fontId="3" fillId="0" borderId="49" xfId="0" applyFont="1" applyBorder="1" applyAlignment="1">
      <alignment vertical="center"/>
    </xf>
    <xf numFmtId="0" fontId="2" fillId="0" borderId="53" xfId="0" applyFont="1" applyBorder="1" applyAlignment="1">
      <alignment horizontal="center" vertical="center"/>
    </xf>
    <xf numFmtId="0" fontId="17" fillId="0" borderId="0" xfId="0" applyFont="1" applyAlignment="1">
      <alignment vertical="center"/>
    </xf>
    <xf numFmtId="0" fontId="2" fillId="0" borderId="39" xfId="0" applyFont="1" applyFill="1" applyBorder="1" applyAlignment="1">
      <alignment horizontal="center" vertical="center"/>
    </xf>
    <xf numFmtId="0" fontId="3" fillId="0" borderId="0" xfId="0" applyFont="1" applyFill="1" applyAlignment="1" applyProtection="1">
      <alignment vertical="center"/>
    </xf>
    <xf numFmtId="0" fontId="3" fillId="0" borderId="49" xfId="0" applyFont="1" applyFill="1" applyBorder="1" applyAlignment="1" applyProtection="1">
      <alignment vertical="center"/>
    </xf>
    <xf numFmtId="0" fontId="2" fillId="0" borderId="41" xfId="0" applyFont="1" applyFill="1" applyBorder="1" applyAlignment="1">
      <alignment horizontal="center" vertical="center"/>
    </xf>
    <xf numFmtId="0" fontId="3" fillId="0" borderId="35" xfId="0" applyFont="1" applyBorder="1" applyAlignment="1" applyProtection="1">
      <alignment horizontal="center"/>
    </xf>
    <xf numFmtId="0" fontId="3" fillId="0" borderId="53" xfId="0" applyFont="1" applyFill="1" applyBorder="1" applyAlignment="1" applyProtection="1">
      <alignment horizontal="center"/>
    </xf>
    <xf numFmtId="0" fontId="10" fillId="0" borderId="39" xfId="0" applyFont="1" applyBorder="1"/>
    <xf numFmtId="0" fontId="3" fillId="0" borderId="35" xfId="0" applyFont="1" applyFill="1" applyBorder="1" applyAlignment="1" applyProtection="1">
      <alignment horizontal="center"/>
    </xf>
    <xf numFmtId="0" fontId="2" fillId="0" borderId="35" xfId="0" applyFont="1" applyBorder="1" applyAlignment="1" applyProtection="1">
      <alignment horizontal="center"/>
    </xf>
    <xf numFmtId="0" fontId="2" fillId="0" borderId="53" xfId="0" applyFont="1" applyBorder="1" applyAlignment="1" applyProtection="1">
      <alignment horizontal="center"/>
    </xf>
    <xf numFmtId="0" fontId="0" fillId="5" borderId="0" xfId="0" applyFill="1" applyBorder="1" applyProtection="1">
      <protection locked="0"/>
    </xf>
    <xf numFmtId="0" fontId="0" fillId="0" borderId="0" xfId="0" applyFill="1" applyBorder="1" applyProtection="1">
      <protection locked="0"/>
    </xf>
    <xf numFmtId="0" fontId="0" fillId="0" borderId="0" xfId="0" applyBorder="1" applyProtection="1">
      <protection locked="0"/>
    </xf>
    <xf numFmtId="0" fontId="2" fillId="5" borderId="44" xfId="0" applyFont="1" applyFill="1" applyBorder="1" applyAlignment="1" applyProtection="1">
      <alignment vertical="top"/>
    </xf>
    <xf numFmtId="167" fontId="3" fillId="5" borderId="44" xfId="0" applyNumberFormat="1" applyFont="1" applyFill="1" applyBorder="1" applyAlignment="1" applyProtection="1">
      <alignment vertical="top"/>
    </xf>
    <xf numFmtId="0" fontId="11" fillId="5" borderId="0" xfId="0" applyFont="1" applyFill="1" applyBorder="1" applyAlignment="1" applyProtection="1">
      <alignment horizontal="center" wrapText="1"/>
      <protection hidden="1"/>
    </xf>
    <xf numFmtId="0" fontId="5" fillId="5" borderId="0" xfId="0" applyFont="1" applyFill="1" applyProtection="1">
      <protection locked="0"/>
    </xf>
    <xf numFmtId="0" fontId="5" fillId="0" borderId="0" xfId="0" applyFont="1" applyFill="1" applyProtection="1">
      <protection locked="0"/>
    </xf>
    <xf numFmtId="0" fontId="2" fillId="5" borderId="0" xfId="0" applyFont="1" applyFill="1" applyBorder="1" applyAlignment="1" applyProtection="1">
      <alignment vertical="top"/>
    </xf>
    <xf numFmtId="167" fontId="3" fillId="5" borderId="0" xfId="0" applyNumberFormat="1" applyFont="1" applyFill="1" applyBorder="1" applyAlignment="1" applyProtection="1">
      <alignment vertical="top"/>
    </xf>
    <xf numFmtId="0" fontId="3" fillId="5" borderId="0" xfId="0" applyFont="1" applyFill="1" applyBorder="1" applyAlignment="1" applyProtection="1">
      <alignment vertical="top"/>
    </xf>
    <xf numFmtId="0" fontId="0" fillId="5" borderId="0" xfId="0" applyFill="1" applyProtection="1">
      <protection locked="0"/>
    </xf>
    <xf numFmtId="0" fontId="0" fillId="0" borderId="0" xfId="0" applyFill="1" applyProtection="1">
      <protection locked="0"/>
    </xf>
    <xf numFmtId="0" fontId="0" fillId="0" borderId="0" xfId="0" applyProtection="1">
      <protection locked="0"/>
    </xf>
    <xf numFmtId="0" fontId="3" fillId="5" borderId="0" xfId="0" applyFont="1" applyFill="1" applyAlignment="1" applyProtection="1">
      <alignment vertical="center"/>
      <protection locked="0"/>
    </xf>
    <xf numFmtId="0" fontId="3" fillId="0" borderId="43" xfId="0" applyFont="1" applyBorder="1" applyAlignment="1" applyProtection="1">
      <alignment vertical="top"/>
      <protection locked="0"/>
    </xf>
    <xf numFmtId="0" fontId="3" fillId="0" borderId="44" xfId="0" applyFont="1" applyBorder="1" applyAlignment="1" applyProtection="1">
      <alignment vertical="top"/>
      <protection locked="0"/>
    </xf>
    <xf numFmtId="0" fontId="3" fillId="0" borderId="44" xfId="0" applyFont="1" applyFill="1" applyBorder="1" applyAlignment="1" applyProtection="1">
      <alignment vertical="top"/>
      <protection locked="0"/>
    </xf>
    <xf numFmtId="0" fontId="3" fillId="0" borderId="47" xfId="0" applyFont="1" applyFill="1" applyBorder="1" applyAlignment="1" applyProtection="1">
      <alignment vertical="top"/>
      <protection locked="0"/>
    </xf>
    <xf numFmtId="0" fontId="3" fillId="0" borderId="39" xfId="0" applyFont="1" applyBorder="1" applyAlignment="1" applyProtection="1">
      <alignment vertical="top"/>
      <protection locked="0"/>
    </xf>
    <xf numFmtId="0" fontId="3" fillId="0" borderId="0" xfId="0" applyFont="1" applyBorder="1" applyAlignment="1" applyProtection="1">
      <alignment vertical="top"/>
      <protection locked="0"/>
    </xf>
    <xf numFmtId="0" fontId="3" fillId="0" borderId="0" xfId="0" applyFont="1" applyFill="1" applyBorder="1" applyAlignment="1" applyProtection="1">
      <alignment vertical="top"/>
      <protection locked="0"/>
    </xf>
    <xf numFmtId="0" fontId="3" fillId="0" borderId="49" xfId="0" applyFont="1" applyFill="1" applyBorder="1" applyAlignment="1" applyProtection="1">
      <alignment vertical="top"/>
      <protection locked="0"/>
    </xf>
    <xf numFmtId="0" fontId="5" fillId="5" borderId="0" xfId="0" applyFont="1" applyFill="1" applyBorder="1" applyProtection="1">
      <protection locked="0"/>
    </xf>
    <xf numFmtId="0" fontId="3" fillId="0" borderId="0" xfId="1" applyFont="1" applyBorder="1" applyAlignment="1" applyProtection="1">
      <alignment vertical="top"/>
      <protection locked="0"/>
    </xf>
    <xf numFmtId="0" fontId="3" fillId="0" borderId="0" xfId="1" applyFont="1" applyFill="1" applyBorder="1" applyAlignment="1" applyProtection="1">
      <alignment vertical="top"/>
      <protection locked="0"/>
    </xf>
    <xf numFmtId="0" fontId="3" fillId="0" borderId="0" xfId="1" quotePrefix="1" applyFont="1" applyBorder="1" applyAlignment="1" applyProtection="1">
      <alignment horizontal="center" vertical="top"/>
      <protection locked="0"/>
    </xf>
    <xf numFmtId="0" fontId="3" fillId="0" borderId="49" xfId="0" applyFont="1" applyBorder="1" applyAlignment="1" applyProtection="1">
      <alignment vertical="top"/>
      <protection locked="0"/>
    </xf>
    <xf numFmtId="0" fontId="3" fillId="0" borderId="41" xfId="0" applyFont="1" applyBorder="1" applyAlignment="1" applyProtection="1">
      <alignment vertical="top"/>
      <protection locked="0"/>
    </xf>
    <xf numFmtId="0" fontId="3" fillId="0" borderId="6" xfId="0" applyFont="1" applyBorder="1" applyAlignment="1" applyProtection="1">
      <alignment vertical="top"/>
      <protection locked="0"/>
    </xf>
    <xf numFmtId="0" fontId="3" fillId="0" borderId="51" xfId="0" applyFont="1" applyBorder="1" applyAlignment="1" applyProtection="1">
      <alignment vertical="top"/>
      <protection locked="0"/>
    </xf>
    <xf numFmtId="0" fontId="12" fillId="0" borderId="50" xfId="0" applyFont="1" applyFill="1" applyBorder="1" applyAlignment="1" applyProtection="1">
      <alignment vertical="top" wrapText="1"/>
      <protection locked="0"/>
    </xf>
    <xf numFmtId="0" fontId="2" fillId="0" borderId="0" xfId="0" applyFont="1" applyBorder="1" applyAlignment="1" applyProtection="1">
      <alignment horizontal="right"/>
    </xf>
    <xf numFmtId="0" fontId="4" fillId="0" borderId="0" xfId="0" applyFont="1" applyBorder="1" applyAlignment="1" applyProtection="1">
      <alignment horizontal="right"/>
    </xf>
    <xf numFmtId="0" fontId="8" fillId="0" borderId="0" xfId="0" applyFont="1" applyProtection="1"/>
    <xf numFmtId="0" fontId="8" fillId="0" borderId="0" xfId="0" applyFont="1" applyAlignment="1" applyProtection="1">
      <alignment horizontal="center"/>
    </xf>
    <xf numFmtId="0" fontId="8" fillId="0" borderId="0" xfId="0" applyFont="1" applyAlignment="1" applyProtection="1">
      <alignment horizontal="right"/>
    </xf>
    <xf numFmtId="0" fontId="8" fillId="0" borderId="0" xfId="0" applyFont="1" applyAlignment="1">
      <alignment horizontal="right"/>
    </xf>
    <xf numFmtId="0" fontId="8" fillId="0" borderId="0" xfId="0" applyFont="1"/>
    <xf numFmtId="0" fontId="0" fillId="0" borderId="0" xfId="0" applyAlignment="1" applyProtection="1">
      <alignment horizontal="right"/>
    </xf>
    <xf numFmtId="0" fontId="20" fillId="0" borderId="0" xfId="0" applyFont="1" applyAlignment="1" applyProtection="1">
      <alignment horizontal="center"/>
    </xf>
    <xf numFmtId="0" fontId="2" fillId="0" borderId="0" xfId="0" applyFont="1" applyAlignment="1" applyProtection="1">
      <alignment horizontal="center"/>
    </xf>
    <xf numFmtId="0" fontId="21" fillId="0" borderId="0" xfId="0" applyFont="1" applyBorder="1" applyProtection="1"/>
    <xf numFmtId="0" fontId="1" fillId="0" borderId="0" xfId="0" applyFont="1" applyProtection="1"/>
    <xf numFmtId="1" fontId="0" fillId="0" borderId="0" xfId="0" applyNumberFormat="1" applyProtection="1"/>
    <xf numFmtId="0" fontId="8" fillId="0" borderId="0" xfId="0" applyFont="1" applyBorder="1" applyProtection="1"/>
    <xf numFmtId="0" fontId="8" fillId="7" borderId="0" xfId="0" applyFont="1" applyFill="1" applyProtection="1"/>
    <xf numFmtId="0" fontId="4" fillId="7" borderId="0" xfId="0" applyFont="1" applyFill="1" applyBorder="1" applyProtection="1"/>
    <xf numFmtId="0" fontId="8" fillId="7" borderId="0" xfId="0" applyFont="1" applyFill="1" applyBorder="1" applyProtection="1"/>
    <xf numFmtId="0" fontId="4" fillId="7" borderId="0" xfId="0" applyFont="1" applyFill="1" applyBorder="1" applyAlignment="1" applyProtection="1">
      <alignment horizontal="right"/>
    </xf>
    <xf numFmtId="0" fontId="4" fillId="0" borderId="31" xfId="0" applyFont="1" applyBorder="1" applyProtection="1"/>
    <xf numFmtId="0" fontId="8" fillId="0" borderId="6" xfId="0" applyFont="1" applyBorder="1" applyProtection="1"/>
    <xf numFmtId="0" fontId="4" fillId="0" borderId="6" xfId="0" applyFont="1" applyBorder="1" applyAlignment="1" applyProtection="1">
      <alignment horizontal="right"/>
    </xf>
    <xf numFmtId="0" fontId="4" fillId="0" borderId="7" xfId="0" applyFont="1" applyBorder="1" applyProtection="1"/>
    <xf numFmtId="0" fontId="4" fillId="0" borderId="44" xfId="0" applyFont="1" applyBorder="1" applyProtection="1"/>
    <xf numFmtId="0" fontId="4" fillId="0" borderId="43" xfId="0" applyFont="1" applyBorder="1" applyAlignment="1" applyProtection="1">
      <alignment horizontal="right"/>
    </xf>
    <xf numFmtId="0" fontId="4" fillId="0" borderId="44" xfId="0" applyFont="1" applyFill="1" applyBorder="1" applyAlignment="1" applyProtection="1">
      <alignment horizontal="right"/>
    </xf>
    <xf numFmtId="0" fontId="4" fillId="0" borderId="47" xfId="0" applyFont="1" applyBorder="1" applyProtection="1"/>
    <xf numFmtId="0" fontId="4" fillId="0" borderId="39" xfId="0" applyFont="1" applyBorder="1" applyAlignment="1" applyProtection="1">
      <alignment horizontal="right"/>
    </xf>
    <xf numFmtId="0" fontId="4" fillId="0" borderId="0" xfId="0" applyFont="1" applyFill="1" applyBorder="1" applyAlignment="1" applyProtection="1">
      <alignment horizontal="right"/>
    </xf>
    <xf numFmtId="0" fontId="4" fillId="0" borderId="49" xfId="0" applyFont="1" applyBorder="1" applyProtection="1"/>
    <xf numFmtId="0" fontId="4" fillId="0" borderId="39" xfId="0" applyFont="1" applyBorder="1" applyProtection="1"/>
    <xf numFmtId="0" fontId="3" fillId="7" borderId="0" xfId="0" applyFont="1" applyFill="1" applyAlignment="1" applyProtection="1">
      <alignment horizontal="center"/>
    </xf>
    <xf numFmtId="0" fontId="23" fillId="0" borderId="0" xfId="0" applyFont="1" applyBorder="1" applyProtection="1"/>
    <xf numFmtId="0" fontId="8" fillId="0" borderId="0" xfId="0" applyFont="1" applyAlignment="1" applyProtection="1"/>
    <xf numFmtId="0" fontId="8" fillId="0" borderId="49" xfId="0" applyFont="1" applyBorder="1" applyAlignment="1" applyProtection="1"/>
    <xf numFmtId="0" fontId="0" fillId="0" borderId="0" xfId="0" applyAlignment="1">
      <alignment horizontal="right"/>
    </xf>
    <xf numFmtId="2" fontId="4" fillId="0" borderId="0" xfId="0" applyNumberFormat="1" applyFont="1" applyBorder="1" applyProtection="1"/>
    <xf numFmtId="0" fontId="24" fillId="0" borderId="0" xfId="0" applyFont="1" applyBorder="1" applyProtection="1"/>
    <xf numFmtId="2" fontId="8" fillId="0" borderId="0" xfId="0" applyNumberFormat="1" applyFont="1" applyBorder="1" applyProtection="1"/>
    <xf numFmtId="0" fontId="8" fillId="0" borderId="0" xfId="0" quotePrefix="1" applyFont="1" applyBorder="1" applyProtection="1"/>
    <xf numFmtId="49" fontId="4" fillId="0" borderId="0" xfId="0" applyNumberFormat="1" applyFont="1" applyBorder="1" applyProtection="1"/>
    <xf numFmtId="0" fontId="8" fillId="0" borderId="1" xfId="0" applyFont="1" applyBorder="1" applyAlignment="1" applyProtection="1">
      <alignment horizontal="center"/>
    </xf>
    <xf numFmtId="0" fontId="8" fillId="0" borderId="2" xfId="0" applyFont="1" applyBorder="1" applyAlignment="1" applyProtection="1">
      <alignment horizontal="center"/>
    </xf>
    <xf numFmtId="0" fontId="4" fillId="0" borderId="3" xfId="0" applyFont="1" applyBorder="1" applyAlignment="1" applyProtection="1">
      <alignment horizontal="right"/>
    </xf>
    <xf numFmtId="0" fontId="8" fillId="0" borderId="31" xfId="0" applyFont="1" applyBorder="1" applyAlignment="1" applyProtection="1">
      <alignment horizontal="center"/>
    </xf>
    <xf numFmtId="0" fontId="8" fillId="0" borderId="6" xfId="0" applyFont="1" applyBorder="1" applyAlignment="1" applyProtection="1">
      <alignment horizontal="center"/>
    </xf>
    <xf numFmtId="0" fontId="1" fillId="0" borderId="6" xfId="0" applyFont="1" applyBorder="1" applyAlignment="1" applyProtection="1">
      <alignment vertical="top"/>
    </xf>
    <xf numFmtId="0" fontId="8" fillId="2" borderId="10" xfId="0" applyFont="1" applyFill="1" applyBorder="1" applyAlignment="1" applyProtection="1">
      <protection locked="0"/>
    </xf>
    <xf numFmtId="0" fontId="8" fillId="2" borderId="9" xfId="0" applyFont="1" applyFill="1" applyBorder="1" applyAlignment="1" applyProtection="1">
      <protection locked="0"/>
    </xf>
    <xf numFmtId="0" fontId="8" fillId="2" borderId="11" xfId="0" applyFont="1" applyFill="1" applyBorder="1" applyAlignment="1" applyProtection="1">
      <protection locked="0"/>
    </xf>
    <xf numFmtId="0" fontId="8" fillId="2" borderId="12" xfId="0" applyFont="1" applyFill="1" applyBorder="1" applyAlignment="1" applyProtection="1">
      <protection locked="0"/>
    </xf>
    <xf numFmtId="0" fontId="8" fillId="0" borderId="13" xfId="0" applyFont="1" applyBorder="1" applyAlignment="1" applyProtection="1"/>
    <xf numFmtId="0" fontId="26" fillId="3" borderId="14" xfId="0" applyFont="1" applyFill="1" applyBorder="1" applyAlignment="1" applyProtection="1">
      <alignment vertical="center"/>
    </xf>
    <xf numFmtId="0" fontId="8" fillId="0" borderId="14" xfId="0" applyFont="1" applyFill="1" applyBorder="1" applyAlignment="1" applyProtection="1"/>
    <xf numFmtId="0" fontId="8" fillId="2" borderId="14" xfId="0" applyFont="1" applyFill="1" applyBorder="1" applyAlignment="1" applyProtection="1">
      <protection locked="0"/>
    </xf>
    <xf numFmtId="0" fontId="8" fillId="2" borderId="8" xfId="0" applyFont="1" applyFill="1" applyBorder="1" applyAlignment="1" applyProtection="1">
      <alignment horizontal="center"/>
      <protection locked="0"/>
    </xf>
    <xf numFmtId="0" fontId="8" fillId="2" borderId="9" xfId="0" applyFont="1" applyFill="1" applyBorder="1" applyAlignment="1" applyProtection="1">
      <alignment horizontal="center"/>
      <protection locked="0"/>
    </xf>
    <xf numFmtId="0" fontId="8" fillId="0" borderId="16" xfId="0" applyFont="1" applyBorder="1" applyAlignment="1" applyProtection="1"/>
    <xf numFmtId="0" fontId="26" fillId="3" borderId="17" xfId="0" applyFont="1" applyFill="1" applyBorder="1" applyAlignment="1" applyProtection="1">
      <alignment vertical="center"/>
    </xf>
    <xf numFmtId="0" fontId="8" fillId="0" borderId="17" xfId="0" applyFont="1" applyFill="1" applyBorder="1" applyAlignment="1" applyProtection="1"/>
    <xf numFmtId="0" fontId="8" fillId="2" borderId="17" xfId="0" applyFont="1" applyFill="1" applyBorder="1" applyAlignment="1" applyProtection="1">
      <protection locked="0"/>
    </xf>
    <xf numFmtId="0" fontId="8" fillId="2" borderId="19" xfId="0" applyFont="1" applyFill="1" applyBorder="1" applyAlignment="1" applyProtection="1">
      <protection locked="0"/>
    </xf>
    <xf numFmtId="14" fontId="8" fillId="2" borderId="17" xfId="0" applyNumberFormat="1" applyFont="1" applyFill="1" applyBorder="1" applyAlignment="1" applyProtection="1">
      <protection locked="0"/>
    </xf>
    <xf numFmtId="0" fontId="8" fillId="2" borderId="20" xfId="0" applyFont="1" applyFill="1" applyBorder="1" applyAlignment="1" applyProtection="1">
      <protection locked="0"/>
    </xf>
    <xf numFmtId="0" fontId="8" fillId="2" borderId="18" xfId="0" applyFont="1" applyFill="1" applyBorder="1" applyAlignment="1" applyProtection="1">
      <protection locked="0"/>
    </xf>
    <xf numFmtId="0" fontId="8" fillId="2" borderId="21" xfId="0" applyFont="1" applyFill="1" applyBorder="1" applyAlignment="1" applyProtection="1">
      <protection locked="0"/>
    </xf>
    <xf numFmtId="14" fontId="8" fillId="2" borderId="22" xfId="0" applyNumberFormat="1" applyFont="1" applyFill="1" applyBorder="1" applyAlignment="1" applyProtection="1">
      <protection locked="0"/>
    </xf>
    <xf numFmtId="0" fontId="8" fillId="2" borderId="22" xfId="0" applyFont="1" applyFill="1" applyBorder="1" applyAlignment="1" applyProtection="1">
      <protection locked="0"/>
    </xf>
    <xf numFmtId="0" fontId="8" fillId="2" borderId="23" xfId="0" applyFont="1" applyFill="1" applyBorder="1" applyAlignment="1" applyProtection="1">
      <protection locked="0"/>
    </xf>
    <xf numFmtId="15" fontId="8" fillId="2" borderId="22" xfId="0" applyNumberFormat="1" applyFont="1" applyFill="1" applyBorder="1" applyAlignment="1" applyProtection="1">
      <protection locked="0"/>
    </xf>
    <xf numFmtId="0" fontId="8" fillId="2" borderId="24" xfId="0" applyFont="1" applyFill="1" applyBorder="1" applyAlignment="1" applyProtection="1">
      <protection locked="0"/>
    </xf>
    <xf numFmtId="0" fontId="1" fillId="0" borderId="18" xfId="0" applyFont="1" applyBorder="1" applyAlignment="1" applyProtection="1">
      <alignment horizontal="right" vertical="center"/>
    </xf>
    <xf numFmtId="0" fontId="8" fillId="0" borderId="29" xfId="0" applyFont="1" applyBorder="1" applyAlignment="1" applyProtection="1"/>
    <xf numFmtId="0" fontId="1" fillId="0" borderId="30" xfId="0" applyFont="1" applyBorder="1" applyAlignment="1" applyProtection="1"/>
    <xf numFmtId="0" fontId="8" fillId="0" borderId="30" xfId="0" applyFont="1" applyFill="1" applyBorder="1" applyAlignment="1" applyProtection="1"/>
    <xf numFmtId="0" fontId="8" fillId="2" borderId="30" xfId="0" applyFont="1" applyFill="1" applyBorder="1" applyAlignment="1" applyProtection="1">
      <protection locked="0"/>
    </xf>
    <xf numFmtId="0" fontId="8"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164" fontId="0" fillId="0" borderId="0" xfId="0" applyNumberFormat="1"/>
    <xf numFmtId="2" fontId="0" fillId="0" borderId="0" xfId="0" applyNumberFormat="1"/>
    <xf numFmtId="0" fontId="3" fillId="7" borderId="0" xfId="0" applyFont="1" applyFill="1" applyAlignment="1">
      <alignment horizontal="center"/>
    </xf>
    <xf numFmtId="0" fontId="9" fillId="0" borderId="38" xfId="0" applyFont="1" applyFill="1" applyBorder="1" applyAlignment="1">
      <alignment horizontal="center" vertical="center"/>
    </xf>
    <xf numFmtId="0" fontId="2" fillId="0" borderId="39" xfId="0" applyFont="1" applyBorder="1" applyAlignment="1">
      <alignment vertical="top"/>
    </xf>
    <xf numFmtId="0" fontId="2" fillId="0" borderId="0" xfId="0" applyFont="1" applyBorder="1" applyAlignment="1">
      <alignment vertical="top"/>
    </xf>
    <xf numFmtId="0" fontId="3" fillId="4" borderId="0" xfId="0" applyFont="1" applyFill="1" applyBorder="1" applyAlignment="1" applyProtection="1">
      <alignment vertical="top"/>
      <protection locked="0"/>
    </xf>
    <xf numFmtId="0" fontId="3" fillId="4" borderId="0" xfId="0" applyFont="1" applyFill="1" applyBorder="1" applyAlignment="1">
      <alignment horizontal="center" vertical="top"/>
    </xf>
    <xf numFmtId="0" fontId="3" fillId="4" borderId="40" xfId="0" applyFont="1" applyFill="1" applyBorder="1" applyAlignment="1">
      <alignment horizontal="center" vertical="top"/>
    </xf>
    <xf numFmtId="0" fontId="10" fillId="0" borderId="0" xfId="0" applyFont="1" applyAlignment="1">
      <alignment horizontal="left" wrapText="1"/>
    </xf>
    <xf numFmtId="0" fontId="2" fillId="0" borderId="39" xfId="0" applyFont="1" applyBorder="1" applyAlignment="1">
      <alignment horizontal="left" vertical="top"/>
    </xf>
    <xf numFmtId="0" fontId="2" fillId="0" borderId="0" xfId="0" applyFont="1" applyBorder="1" applyAlignment="1">
      <alignment horizontal="left" vertical="top"/>
    </xf>
    <xf numFmtId="0" fontId="3" fillId="4" borderId="0" xfId="0" applyFont="1" applyFill="1" applyBorder="1" applyAlignment="1">
      <alignment vertical="top"/>
    </xf>
    <xf numFmtId="0" fontId="3" fillId="0" borderId="0" xfId="0" applyFont="1" applyBorder="1" applyAlignment="1">
      <alignment vertical="top"/>
    </xf>
    <xf numFmtId="0" fontId="4" fillId="4" borderId="0" xfId="0" applyFont="1" applyFill="1" applyBorder="1" applyAlignment="1">
      <alignment vertical="top" wrapText="1"/>
    </xf>
    <xf numFmtId="0" fontId="4" fillId="4" borderId="40" xfId="0" applyFont="1" applyFill="1" applyBorder="1" applyAlignment="1">
      <alignment vertical="top" wrapText="1"/>
    </xf>
    <xf numFmtId="0" fontId="2" fillId="0" borderId="41" xfId="0" applyFont="1" applyBorder="1" applyAlignment="1">
      <alignment horizontal="left" vertical="top"/>
    </xf>
    <xf numFmtId="0" fontId="2" fillId="0" borderId="6" xfId="0" applyFont="1" applyBorder="1" applyAlignment="1">
      <alignment horizontal="left" vertical="top"/>
    </xf>
    <xf numFmtId="0" fontId="3" fillId="4" borderId="6" xfId="0" applyFont="1" applyFill="1" applyBorder="1" applyAlignment="1" applyProtection="1">
      <alignment vertical="top"/>
      <protection locked="0"/>
    </xf>
    <xf numFmtId="0" fontId="2" fillId="0" borderId="0" xfId="0" applyFont="1" applyBorder="1" applyAlignment="1"/>
    <xf numFmtId="0" fontId="2" fillId="0" borderId="43" xfId="0" applyFont="1" applyBorder="1" applyAlignment="1"/>
    <xf numFmtId="0" fontId="2" fillId="0" borderId="44" xfId="0" applyFont="1" applyBorder="1" applyAlignment="1"/>
    <xf numFmtId="0" fontId="2" fillId="0" borderId="45" xfId="0" applyFont="1" applyBorder="1" applyAlignment="1"/>
    <xf numFmtId="0" fontId="12" fillId="0" borderId="39" xfId="0" applyFont="1" applyFill="1" applyBorder="1" applyAlignment="1" applyProtection="1">
      <alignment horizontal="left" vertical="top" wrapText="1"/>
      <protection locked="0"/>
    </xf>
    <xf numFmtId="0" fontId="12" fillId="0" borderId="0" xfId="0" applyFont="1" applyFill="1" applyBorder="1" applyAlignment="1" applyProtection="1">
      <alignment horizontal="left" vertical="top" wrapText="1"/>
      <protection locked="0"/>
    </xf>
    <xf numFmtId="0" fontId="12" fillId="0" borderId="40" xfId="0" applyFont="1" applyFill="1" applyBorder="1" applyAlignment="1" applyProtection="1">
      <alignment horizontal="left" vertical="top" wrapText="1"/>
      <protection locked="0"/>
    </xf>
    <xf numFmtId="0" fontId="12" fillId="0" borderId="41" xfId="0" applyFont="1" applyFill="1" applyBorder="1" applyAlignment="1" applyProtection="1">
      <alignment horizontal="left" vertical="top" wrapText="1"/>
      <protection locked="0"/>
    </xf>
    <xf numFmtId="0" fontId="12" fillId="0" borderId="6" xfId="0" applyFont="1" applyFill="1" applyBorder="1" applyAlignment="1" applyProtection="1">
      <alignment horizontal="left" vertical="top" wrapText="1"/>
      <protection locked="0"/>
    </xf>
    <xf numFmtId="0" fontId="12" fillId="0" borderId="42" xfId="0" applyFont="1" applyFill="1" applyBorder="1" applyAlignment="1" applyProtection="1">
      <alignment horizontal="left" vertical="top" wrapText="1"/>
      <protection locked="0"/>
    </xf>
    <xf numFmtId="0" fontId="2" fillId="0" borderId="35" xfId="0" applyFont="1" applyFill="1" applyBorder="1" applyAlignment="1" applyProtection="1">
      <alignment horizontal="left" vertical="center" wrapText="1"/>
      <protection locked="0"/>
    </xf>
    <xf numFmtId="0" fontId="2" fillId="0" borderId="36" xfId="0" applyFont="1" applyFill="1" applyBorder="1" applyAlignment="1" applyProtection="1">
      <alignment horizontal="left" vertical="center" wrapText="1"/>
      <protection locked="0"/>
    </xf>
    <xf numFmtId="0" fontId="2" fillId="0" borderId="46" xfId="0" applyFont="1" applyFill="1" applyBorder="1" applyAlignment="1" applyProtection="1">
      <alignment horizontal="left" vertical="center" wrapText="1"/>
      <protection locked="0"/>
    </xf>
    <xf numFmtId="0" fontId="2" fillId="0" borderId="43" xfId="0" applyFont="1" applyFill="1" applyBorder="1" applyAlignment="1" applyProtection="1">
      <alignment horizontal="center" vertical="top" wrapText="1"/>
      <protection locked="0"/>
    </xf>
    <xf numFmtId="0" fontId="2" fillId="0" borderId="44" xfId="0" applyFont="1" applyFill="1" applyBorder="1" applyAlignment="1" applyProtection="1">
      <alignment horizontal="center" vertical="top" wrapText="1"/>
      <protection locked="0"/>
    </xf>
    <xf numFmtId="0" fontId="2" fillId="0" borderId="47" xfId="0" applyFont="1" applyFill="1" applyBorder="1" applyAlignment="1" applyProtection="1">
      <alignment horizontal="center" vertical="top" wrapText="1"/>
      <protection locked="0"/>
    </xf>
    <xf numFmtId="0" fontId="2" fillId="0" borderId="45" xfId="0" applyFont="1" applyFill="1" applyBorder="1" applyAlignment="1" applyProtection="1">
      <alignment horizontal="center" vertical="top" wrapText="1"/>
      <protection locked="0"/>
    </xf>
    <xf numFmtId="0" fontId="12" fillId="0" borderId="49" xfId="0" applyFont="1" applyFill="1" applyBorder="1" applyAlignment="1" applyProtection="1">
      <alignment horizontal="left" vertical="top" wrapText="1"/>
      <protection locked="0"/>
    </xf>
    <xf numFmtId="0" fontId="12" fillId="0" borderId="39" xfId="0" applyFont="1" applyFill="1" applyBorder="1" applyAlignment="1" applyProtection="1">
      <alignment horizontal="center" vertical="top" wrapText="1"/>
      <protection locked="0"/>
    </xf>
    <xf numFmtId="0" fontId="12" fillId="0" borderId="0" xfId="0" applyFont="1" applyFill="1" applyBorder="1" applyAlignment="1" applyProtection="1">
      <alignment horizontal="center" vertical="top" wrapText="1"/>
      <protection locked="0"/>
    </xf>
    <xf numFmtId="0" fontId="12" fillId="0" borderId="40" xfId="0" applyFont="1" applyFill="1" applyBorder="1" applyAlignment="1" applyProtection="1">
      <alignment horizontal="center" vertical="top" wrapText="1"/>
      <protection locked="0"/>
    </xf>
    <xf numFmtId="166" fontId="3" fillId="4" borderId="35" xfId="0" applyNumberFormat="1" applyFont="1" applyFill="1" applyBorder="1" applyAlignment="1" applyProtection="1">
      <alignment horizontal="center"/>
      <protection locked="0"/>
    </xf>
    <xf numFmtId="166" fontId="3" fillId="4" borderId="37" xfId="0" applyNumberFormat="1" applyFont="1" applyFill="1" applyBorder="1" applyAlignment="1" applyProtection="1">
      <alignment horizontal="center"/>
      <protection locked="0"/>
    </xf>
    <xf numFmtId="0" fontId="3" fillId="4" borderId="35" xfId="0" applyFont="1" applyFill="1" applyBorder="1" applyAlignment="1" applyProtection="1">
      <protection locked="0"/>
    </xf>
    <xf numFmtId="0" fontId="3" fillId="4" borderId="37" xfId="0" applyFont="1" applyFill="1" applyBorder="1" applyAlignment="1" applyProtection="1">
      <protection locked="0"/>
    </xf>
    <xf numFmtId="0" fontId="3" fillId="4" borderId="35" xfId="0" applyFont="1" applyFill="1" applyBorder="1" applyAlignment="1" applyProtection="1">
      <alignment horizontal="center"/>
      <protection locked="0"/>
    </xf>
    <xf numFmtId="0" fontId="3" fillId="4" borderId="36" xfId="0" applyFont="1" applyFill="1" applyBorder="1" applyAlignment="1">
      <alignment horizontal="center"/>
    </xf>
    <xf numFmtId="0" fontId="3" fillId="4" borderId="35" xfId="0" applyNumberFormat="1" applyFont="1" applyFill="1" applyBorder="1" applyAlignment="1">
      <alignment horizontal="center"/>
    </xf>
    <xf numFmtId="0" fontId="3" fillId="4" borderId="46" xfId="0" applyNumberFormat="1" applyFont="1" applyFill="1" applyBorder="1" applyAlignment="1">
      <alignment horizontal="center"/>
    </xf>
    <xf numFmtId="0" fontId="12" fillId="0" borderId="51" xfId="0" applyFont="1" applyFill="1" applyBorder="1" applyAlignment="1" applyProtection="1">
      <alignment horizontal="left" vertical="top" wrapText="1"/>
      <protection locked="0"/>
    </xf>
    <xf numFmtId="0" fontId="12" fillId="0" borderId="41" xfId="0" applyFont="1" applyFill="1" applyBorder="1" applyAlignment="1" applyProtection="1">
      <alignment horizontal="center" vertical="top" wrapText="1"/>
      <protection locked="0"/>
    </xf>
    <xf numFmtId="0" fontId="12" fillId="0" borderId="6" xfId="0" applyFont="1" applyFill="1" applyBorder="1" applyAlignment="1" applyProtection="1">
      <alignment horizontal="center" vertical="top" wrapText="1"/>
      <protection locked="0"/>
    </xf>
    <xf numFmtId="0" fontId="12" fillId="0" borderId="42" xfId="0" applyFont="1" applyFill="1" applyBorder="1" applyAlignment="1" applyProtection="1">
      <alignment horizontal="center" vertical="top" wrapText="1"/>
      <protection locked="0"/>
    </xf>
    <xf numFmtId="0" fontId="12" fillId="0" borderId="39" xfId="0" applyFont="1" applyBorder="1" applyAlignment="1">
      <alignment horizontal="left" vertical="top" wrapText="1"/>
    </xf>
    <xf numFmtId="0" fontId="12" fillId="0" borderId="0" xfId="0" applyFont="1" applyBorder="1" applyAlignment="1">
      <alignment horizontal="left" vertical="top" wrapText="1"/>
    </xf>
    <xf numFmtId="0" fontId="12" fillId="0" borderId="40" xfId="0" applyFont="1" applyBorder="1" applyAlignment="1">
      <alignment horizontal="left" vertical="top" wrapText="1"/>
    </xf>
    <xf numFmtId="0" fontId="12" fillId="0" borderId="41" xfId="0" applyFont="1" applyBorder="1" applyAlignment="1">
      <alignment horizontal="left" vertical="top" wrapText="1"/>
    </xf>
    <xf numFmtId="0" fontId="12" fillId="0" borderId="6" xfId="0" applyFont="1" applyBorder="1" applyAlignment="1">
      <alignment horizontal="left" vertical="top" wrapText="1"/>
    </xf>
    <xf numFmtId="0" fontId="12" fillId="0" borderId="42" xfId="0" applyFont="1" applyBorder="1" applyAlignment="1">
      <alignment horizontal="left" vertical="top" wrapText="1"/>
    </xf>
    <xf numFmtId="0" fontId="12" fillId="0" borderId="35" xfId="0" applyFont="1" applyFill="1" applyBorder="1" applyAlignment="1" applyProtection="1">
      <alignment horizontal="left" vertical="top"/>
      <protection locked="0"/>
    </xf>
    <xf numFmtId="0" fontId="12" fillId="0" borderId="36" xfId="0" applyFont="1" applyFill="1" applyBorder="1" applyAlignment="1" applyProtection="1">
      <alignment horizontal="left" vertical="top"/>
      <protection locked="0"/>
    </xf>
    <xf numFmtId="0" fontId="12" fillId="0" borderId="36" xfId="0" applyFont="1" applyFill="1" applyBorder="1" applyAlignment="1" applyProtection="1">
      <alignment horizontal="center" vertical="top"/>
      <protection locked="0"/>
    </xf>
    <xf numFmtId="0" fontId="12" fillId="0" borderId="37" xfId="0" applyFont="1" applyFill="1" applyBorder="1" applyAlignment="1" applyProtection="1">
      <alignment horizontal="center" vertical="top"/>
      <protection locked="0"/>
    </xf>
    <xf numFmtId="0" fontId="12" fillId="6" borderId="35" xfId="0" applyFont="1" applyFill="1" applyBorder="1" applyAlignment="1" applyProtection="1">
      <alignment horizontal="center" vertical="top" wrapText="1"/>
      <protection locked="0"/>
    </xf>
    <xf numFmtId="0" fontId="12" fillId="6" borderId="36" xfId="0" applyFont="1" applyFill="1" applyBorder="1" applyAlignment="1" applyProtection="1">
      <alignment horizontal="center" vertical="top" wrapText="1"/>
      <protection locked="0"/>
    </xf>
    <xf numFmtId="0" fontId="12" fillId="6" borderId="37" xfId="0" applyFont="1" applyFill="1" applyBorder="1" applyAlignment="1" applyProtection="1">
      <alignment horizontal="center" vertical="top" wrapText="1"/>
      <protection locked="0"/>
    </xf>
    <xf numFmtId="0" fontId="2" fillId="0" borderId="35" xfId="0" applyFont="1" applyBorder="1" applyAlignment="1">
      <alignment horizontal="center"/>
    </xf>
    <xf numFmtId="0" fontId="2" fillId="0" borderId="37" xfId="0" applyFont="1" applyBorder="1" applyAlignment="1">
      <alignment horizontal="center"/>
    </xf>
    <xf numFmtId="0" fontId="2" fillId="0" borderId="36" xfId="0" applyFont="1" applyBorder="1" applyAlignment="1">
      <alignment horizontal="center"/>
    </xf>
    <xf numFmtId="0" fontId="2" fillId="0" borderId="46" xfId="0" applyFont="1" applyBorder="1" applyAlignment="1">
      <alignment horizontal="center"/>
    </xf>
    <xf numFmtId="0" fontId="15" fillId="0" borderId="44" xfId="0" applyFont="1" applyBorder="1" applyAlignment="1">
      <alignment horizontal="center" wrapText="1"/>
    </xf>
    <xf numFmtId="166" fontId="3" fillId="0" borderId="37" xfId="0" applyNumberFormat="1" applyFont="1" applyBorder="1" applyAlignment="1">
      <alignment horizontal="center"/>
    </xf>
    <xf numFmtId="0" fontId="3" fillId="0" borderId="36" xfId="0" applyFont="1" applyBorder="1" applyAlignment="1">
      <alignment horizontal="center"/>
    </xf>
    <xf numFmtId="0" fontId="3" fillId="4" borderId="35" xfId="0" applyNumberFormat="1" applyFont="1" applyFill="1" applyBorder="1" applyAlignment="1" applyProtection="1">
      <alignment horizontal="center"/>
      <protection locked="0"/>
    </xf>
    <xf numFmtId="0" fontId="3" fillId="0" borderId="37" xfId="0" applyNumberFormat="1" applyFont="1" applyBorder="1" applyAlignment="1">
      <alignment horizontal="center"/>
    </xf>
    <xf numFmtId="0" fontId="9" fillId="0" borderId="6" xfId="0" applyFont="1" applyBorder="1" applyAlignment="1">
      <alignment horizontal="center" vertical="center"/>
    </xf>
    <xf numFmtId="0" fontId="2" fillId="0" borderId="39" xfId="0" applyFont="1" applyBorder="1" applyAlignment="1" applyProtection="1">
      <alignment vertical="top"/>
    </xf>
    <xf numFmtId="0" fontId="2" fillId="0" borderId="0" xfId="0" applyFont="1" applyBorder="1" applyAlignment="1" applyProtection="1">
      <alignment vertical="top"/>
    </xf>
    <xf numFmtId="167" fontId="3" fillId="0" borderId="44" xfId="0" applyNumberFormat="1" applyFont="1" applyFill="1" applyBorder="1" applyAlignment="1" applyProtection="1">
      <alignment horizontal="left" vertical="top"/>
    </xf>
    <xf numFmtId="0" fontId="3" fillId="0" borderId="0" xfId="0" applyFont="1" applyFill="1" applyBorder="1" applyAlignment="1" applyProtection="1">
      <alignment horizontal="center" vertical="top"/>
    </xf>
    <xf numFmtId="0" fontId="3" fillId="0" borderId="49" xfId="0" applyFont="1" applyFill="1" applyBorder="1" applyAlignment="1" applyProtection="1">
      <alignment horizontal="center" vertical="top"/>
    </xf>
    <xf numFmtId="167" fontId="3" fillId="0" borderId="0" xfId="0" applyNumberFormat="1" applyFont="1" applyFill="1" applyBorder="1" applyAlignment="1" applyProtection="1">
      <alignment horizontal="left" vertical="top"/>
    </xf>
    <xf numFmtId="0" fontId="3" fillId="4" borderId="39" xfId="0" applyFont="1" applyFill="1" applyBorder="1" applyAlignment="1" applyProtection="1">
      <alignment horizontal="left" vertical="center"/>
    </xf>
    <xf numFmtId="0" fontId="3" fillId="4" borderId="0" xfId="0" applyFont="1" applyFill="1" applyBorder="1" applyAlignment="1" applyProtection="1">
      <alignment horizontal="left" vertical="center"/>
    </xf>
    <xf numFmtId="0" fontId="3" fillId="4" borderId="49" xfId="0" applyFont="1" applyFill="1" applyBorder="1" applyAlignment="1" applyProtection="1">
      <alignment horizontal="left" vertical="center"/>
    </xf>
    <xf numFmtId="0" fontId="3" fillId="0" borderId="0" xfId="0" applyFont="1" applyBorder="1" applyAlignment="1" applyProtection="1">
      <alignment vertical="top"/>
    </xf>
    <xf numFmtId="0" fontId="3" fillId="0" borderId="0" xfId="0" applyFont="1" applyFill="1" applyBorder="1" applyAlignment="1" applyProtection="1">
      <alignment vertical="top"/>
    </xf>
    <xf numFmtId="0" fontId="3" fillId="0" borderId="49" xfId="0" applyFont="1" applyFill="1" applyBorder="1" applyAlignment="1" applyProtection="1">
      <alignment vertical="top"/>
    </xf>
    <xf numFmtId="167" fontId="4" fillId="0" borderId="0" xfId="0" applyNumberFormat="1" applyFont="1" applyFill="1" applyBorder="1" applyAlignment="1" applyProtection="1">
      <alignment vertical="top" wrapText="1"/>
    </xf>
    <xf numFmtId="167" fontId="4" fillId="0" borderId="0" xfId="0" applyNumberFormat="1" applyFont="1" applyFill="1" applyAlignment="1" applyProtection="1">
      <alignment vertical="top" wrapText="1"/>
    </xf>
    <xf numFmtId="167" fontId="4" fillId="0" borderId="49" xfId="0" applyNumberFormat="1" applyFont="1" applyFill="1" applyBorder="1" applyAlignment="1" applyProtection="1">
      <alignment vertical="top" wrapText="1"/>
    </xf>
    <xf numFmtId="0" fontId="2" fillId="0" borderId="41" xfId="0" applyFont="1" applyBorder="1" applyAlignment="1" applyProtection="1">
      <alignment horizontal="center" vertical="top"/>
    </xf>
    <xf numFmtId="0" fontId="2" fillId="0" borderId="6" xfId="0" applyFont="1" applyBorder="1" applyAlignment="1" applyProtection="1">
      <alignment horizontal="center" vertical="top"/>
    </xf>
    <xf numFmtId="167" fontId="3" fillId="0" borderId="6" xfId="0" applyNumberFormat="1" applyFont="1" applyFill="1" applyBorder="1" applyAlignment="1" applyProtection="1">
      <alignment horizontal="left" vertical="top"/>
    </xf>
    <xf numFmtId="0" fontId="2" fillId="0" borderId="39" xfId="0" applyFont="1" applyBorder="1" applyAlignment="1">
      <alignment vertical="center"/>
    </xf>
    <xf numFmtId="0" fontId="3" fillId="0" borderId="0" xfId="0" applyFont="1" applyAlignment="1">
      <alignment vertical="center"/>
    </xf>
    <xf numFmtId="0" fontId="3" fillId="0" borderId="49" xfId="0" applyFont="1" applyBorder="1" applyAlignment="1">
      <alignment vertical="center"/>
    </xf>
    <xf numFmtId="0" fontId="3" fillId="4" borderId="39" xfId="0" applyFont="1" applyFill="1" applyBorder="1" applyAlignment="1" applyProtection="1">
      <alignment horizontal="left" vertical="center" wrapText="1"/>
    </xf>
    <xf numFmtId="0" fontId="3" fillId="4" borderId="0" xfId="0" applyFont="1" applyFill="1" applyBorder="1" applyAlignment="1" applyProtection="1">
      <alignment horizontal="left" vertical="center" wrapText="1"/>
    </xf>
    <xf numFmtId="0" fontId="3" fillId="4" borderId="49" xfId="0" applyFont="1" applyFill="1" applyBorder="1" applyAlignment="1" applyProtection="1">
      <alignment horizontal="left" vertical="center" wrapText="1"/>
    </xf>
    <xf numFmtId="0" fontId="2" fillId="0" borderId="0" xfId="0" applyFont="1" applyBorder="1" applyAlignment="1">
      <alignment vertical="center"/>
    </xf>
    <xf numFmtId="0" fontId="2" fillId="0" borderId="49" xfId="0" applyFont="1" applyBorder="1" applyAlignment="1">
      <alignment vertical="center"/>
    </xf>
    <xf numFmtId="0" fontId="3" fillId="4" borderId="0" xfId="0" applyFont="1" applyFill="1" applyAlignment="1" applyProtection="1">
      <alignment horizontal="left" vertical="center"/>
    </xf>
    <xf numFmtId="166" fontId="3" fillId="0" borderId="53" xfId="0" applyNumberFormat="1" applyFont="1" applyBorder="1" applyAlignment="1" applyProtection="1">
      <alignment horizontal="center"/>
    </xf>
    <xf numFmtId="0" fontId="3" fillId="0" borderId="53" xfId="0" applyFont="1" applyBorder="1" applyAlignment="1" applyProtection="1">
      <alignment horizontal="left"/>
    </xf>
    <xf numFmtId="0" fontId="3" fillId="0" borderId="35" xfId="0" applyFont="1" applyFill="1" applyBorder="1" applyAlignment="1" applyProtection="1">
      <alignment horizontal="center"/>
    </xf>
    <xf numFmtId="0" fontId="3" fillId="0" borderId="37" xfId="0" applyFont="1" applyFill="1" applyBorder="1" applyAlignment="1" applyProtection="1">
      <alignment horizontal="center"/>
    </xf>
    <xf numFmtId="168" fontId="3" fillId="0" borderId="35" xfId="0" applyNumberFormat="1" applyFont="1" applyFill="1" applyBorder="1" applyAlignment="1" applyProtection="1">
      <alignment horizontal="center"/>
    </xf>
    <xf numFmtId="168" fontId="3" fillId="0" borderId="37" xfId="0" applyNumberFormat="1" applyFont="1" applyFill="1" applyBorder="1" applyAlignment="1" applyProtection="1">
      <alignment horizontal="center"/>
    </xf>
    <xf numFmtId="166" fontId="3" fillId="0" borderId="35" xfId="0" applyNumberFormat="1" applyFont="1" applyFill="1" applyBorder="1" applyAlignment="1" applyProtection="1">
      <alignment horizontal="center"/>
    </xf>
    <xf numFmtId="166" fontId="3" fillId="0" borderId="37" xfId="0" applyNumberFormat="1" applyFont="1" applyFill="1" applyBorder="1" applyAlignment="1" applyProtection="1">
      <alignment horizontal="center"/>
    </xf>
    <xf numFmtId="0" fontId="3" fillId="0" borderId="35" xfId="0" applyFont="1" applyFill="1" applyBorder="1" applyAlignment="1" applyProtection="1">
      <alignment horizontal="left"/>
    </xf>
    <xf numFmtId="0" fontId="3" fillId="0" borderId="37" xfId="0" applyFont="1" applyFill="1" applyBorder="1" applyAlignment="1" applyProtection="1">
      <alignment horizontal="left"/>
    </xf>
    <xf numFmtId="0" fontId="3" fillId="0" borderId="35" xfId="0" applyNumberFormat="1" applyFont="1" applyFill="1" applyBorder="1" applyAlignment="1" applyProtection="1">
      <alignment horizontal="center"/>
    </xf>
    <xf numFmtId="0" fontId="3" fillId="0" borderId="37" xfId="0" applyNumberFormat="1" applyFont="1" applyFill="1" applyBorder="1" applyAlignment="1" applyProtection="1">
      <alignment horizontal="center"/>
    </xf>
    <xf numFmtId="0" fontId="2" fillId="0" borderId="35" xfId="0" applyFont="1" applyBorder="1" applyAlignment="1" applyProtection="1">
      <alignment horizontal="center"/>
    </xf>
    <xf numFmtId="0" fontId="2" fillId="0" borderId="37" xfId="0" applyFont="1" applyBorder="1" applyAlignment="1" applyProtection="1">
      <alignment horizontal="center"/>
    </xf>
    <xf numFmtId="0" fontId="2" fillId="0" borderId="53" xfId="0" applyFont="1" applyBorder="1" applyAlignment="1" applyProtection="1">
      <alignment horizontal="center"/>
    </xf>
    <xf numFmtId="0" fontId="2" fillId="0" borderId="36" xfId="0" applyFont="1" applyBorder="1" applyAlignment="1" applyProtection="1">
      <alignment horizontal="center"/>
    </xf>
    <xf numFmtId="0" fontId="2" fillId="0" borderId="46" xfId="0" applyFont="1" applyBorder="1" applyAlignment="1" applyProtection="1">
      <alignment horizontal="center"/>
    </xf>
    <xf numFmtId="0" fontId="9" fillId="0" borderId="6" xfId="0" applyFont="1" applyBorder="1" applyAlignment="1" applyProtection="1">
      <alignment horizontal="center" vertical="center"/>
    </xf>
    <xf numFmtId="0" fontId="2" fillId="5" borderId="43" xfId="0" applyFont="1" applyFill="1" applyBorder="1" applyAlignment="1" applyProtection="1">
      <alignment vertical="top"/>
    </xf>
    <xf numFmtId="0" fontId="2" fillId="5" borderId="44" xfId="0" applyFont="1" applyFill="1" applyBorder="1" applyAlignment="1" applyProtection="1">
      <alignment vertical="top"/>
    </xf>
    <xf numFmtId="0" fontId="2" fillId="5" borderId="44" xfId="0" applyFont="1" applyFill="1" applyBorder="1" applyAlignment="1" applyProtection="1">
      <alignment horizontal="left" vertical="top" wrapText="1"/>
    </xf>
    <xf numFmtId="0" fontId="3" fillId="5" borderId="44" xfId="0" applyFont="1" applyFill="1" applyBorder="1" applyAlignment="1" applyProtection="1">
      <alignment horizontal="center" vertical="top"/>
    </xf>
    <xf numFmtId="0" fontId="3" fillId="5" borderId="47" xfId="0" applyFont="1" applyFill="1" applyBorder="1" applyAlignment="1" applyProtection="1">
      <alignment horizontal="center" vertical="top"/>
    </xf>
    <xf numFmtId="0" fontId="2" fillId="5" borderId="39" xfId="0" applyFont="1" applyFill="1" applyBorder="1" applyAlignment="1" applyProtection="1">
      <alignment vertical="top"/>
    </xf>
    <xf numFmtId="0" fontId="2" fillId="5" borderId="0" xfId="0" applyFont="1" applyFill="1" applyBorder="1" applyAlignment="1" applyProtection="1">
      <alignment vertical="top"/>
    </xf>
    <xf numFmtId="0" fontId="2" fillId="5" borderId="0" xfId="0" applyFont="1" applyFill="1" applyBorder="1" applyAlignment="1" applyProtection="1">
      <alignment horizontal="left" vertical="top"/>
    </xf>
    <xf numFmtId="0" fontId="3" fillId="5" borderId="0" xfId="0" applyFont="1" applyFill="1" applyBorder="1" applyAlignment="1" applyProtection="1">
      <alignment horizontal="center" vertical="top"/>
    </xf>
    <xf numFmtId="0" fontId="3" fillId="5" borderId="49" xfId="0" applyFont="1" applyFill="1" applyBorder="1" applyAlignment="1" applyProtection="1">
      <alignment horizontal="center" vertical="top"/>
    </xf>
    <xf numFmtId="0" fontId="2" fillId="5" borderId="39" xfId="0" applyFont="1" applyFill="1" applyBorder="1" applyAlignment="1" applyProtection="1">
      <alignment horizontal="left" vertical="top"/>
    </xf>
    <xf numFmtId="0" fontId="4" fillId="5" borderId="0" xfId="0" applyFont="1" applyFill="1" applyBorder="1" applyAlignment="1" applyProtection="1">
      <alignment horizontal="left" vertical="top" wrapText="1"/>
    </xf>
    <xf numFmtId="0" fontId="4" fillId="5" borderId="49" xfId="0" applyFont="1" applyFill="1" applyBorder="1" applyAlignment="1" applyProtection="1">
      <alignment horizontal="left" vertical="top" wrapText="1"/>
    </xf>
    <xf numFmtId="0" fontId="3" fillId="5" borderId="6" xfId="0" applyFont="1" applyFill="1" applyBorder="1" applyAlignment="1" applyProtection="1">
      <alignment horizontal="center" vertical="top"/>
    </xf>
    <xf numFmtId="0" fontId="3" fillId="5" borderId="51" xfId="0" applyFont="1" applyFill="1" applyBorder="1" applyAlignment="1" applyProtection="1">
      <alignment horizontal="center" vertical="top"/>
    </xf>
    <xf numFmtId="0" fontId="2" fillId="0" borderId="41" xfId="0" applyFont="1" applyBorder="1" applyAlignment="1" applyProtection="1">
      <alignment horizontal="center" vertical="center"/>
    </xf>
    <xf numFmtId="0" fontId="2" fillId="0" borderId="51" xfId="0" applyFont="1" applyBorder="1" applyAlignment="1" applyProtection="1">
      <alignment horizontal="center" vertical="center"/>
    </xf>
    <xf numFmtId="0" fontId="2" fillId="0" borderId="6" xfId="0" applyFont="1" applyBorder="1" applyAlignment="1" applyProtection="1">
      <alignment horizontal="center" vertical="center"/>
    </xf>
    <xf numFmtId="0" fontId="2" fillId="0" borderId="54" xfId="0" applyFont="1" applyBorder="1" applyAlignment="1" applyProtection="1">
      <alignment horizontal="center" vertical="center"/>
    </xf>
    <xf numFmtId="0" fontId="2" fillId="5" borderId="41" xfId="0" applyFont="1" applyFill="1" applyBorder="1" applyAlignment="1" applyProtection="1">
      <alignment horizontal="left" vertical="top"/>
    </xf>
    <xf numFmtId="0" fontId="2" fillId="5" borderId="6" xfId="0" applyFont="1" applyFill="1" applyBorder="1" applyAlignment="1" applyProtection="1">
      <alignment horizontal="left" vertical="top"/>
    </xf>
    <xf numFmtId="0" fontId="2" fillId="5" borderId="6" xfId="0" applyFont="1" applyFill="1" applyBorder="1" applyAlignment="1" applyProtection="1">
      <alignment horizontal="center" vertical="top"/>
    </xf>
    <xf numFmtId="0" fontId="8" fillId="5" borderId="35" xfId="0" applyFont="1" applyFill="1" applyBorder="1" applyAlignment="1" applyProtection="1">
      <alignment horizontal="center" vertical="center"/>
    </xf>
    <xf numFmtId="0" fontId="8" fillId="5" borderId="37" xfId="0" applyFont="1" applyFill="1" applyBorder="1" applyAlignment="1" applyProtection="1">
      <alignment horizontal="center" vertical="center"/>
    </xf>
    <xf numFmtId="166" fontId="18" fillId="5" borderId="35" xfId="0" applyNumberFormat="1" applyFont="1" applyFill="1" applyBorder="1" applyAlignment="1" applyProtection="1">
      <alignment horizontal="center" vertical="center"/>
    </xf>
    <xf numFmtId="166" fontId="18" fillId="5" borderId="36" xfId="0" applyNumberFormat="1" applyFont="1" applyFill="1" applyBorder="1" applyAlignment="1" applyProtection="1">
      <alignment horizontal="center" vertical="center"/>
    </xf>
    <xf numFmtId="0" fontId="18" fillId="5" borderId="41" xfId="0" applyFont="1" applyFill="1" applyBorder="1" applyAlignment="1" applyProtection="1">
      <alignment horizontal="center" vertical="center"/>
    </xf>
    <xf numFmtId="0" fontId="18" fillId="5" borderId="6" xfId="0" applyFont="1" applyFill="1" applyBorder="1" applyAlignment="1" applyProtection="1">
      <alignment horizontal="center" vertical="center"/>
    </xf>
    <xf numFmtId="0" fontId="18" fillId="5" borderId="51" xfId="0" applyFont="1" applyFill="1" applyBorder="1" applyAlignment="1" applyProtection="1">
      <alignment horizontal="center" vertical="center"/>
    </xf>
    <xf numFmtId="0" fontId="18" fillId="5" borderId="35" xfId="0" applyFont="1" applyFill="1" applyBorder="1" applyAlignment="1" applyProtection="1">
      <alignment horizontal="center" vertical="center"/>
    </xf>
    <xf numFmtId="0" fontId="18" fillId="5" borderId="36" xfId="0" applyFont="1" applyFill="1" applyBorder="1" applyAlignment="1" applyProtection="1">
      <alignment horizontal="center" vertical="center"/>
    </xf>
    <xf numFmtId="0" fontId="18" fillId="5" borderId="55" xfId="0" applyFont="1" applyFill="1" applyBorder="1" applyAlignment="1" applyProtection="1">
      <alignment horizontal="center" vertical="center"/>
    </xf>
    <xf numFmtId="0" fontId="8" fillId="5" borderId="36" xfId="0" applyFont="1" applyFill="1" applyBorder="1" applyAlignment="1" applyProtection="1">
      <alignment horizontal="center" vertical="center"/>
    </xf>
    <xf numFmtId="0" fontId="15" fillId="5" borderId="44" xfId="0" applyFont="1" applyFill="1" applyBorder="1" applyAlignment="1" applyProtection="1">
      <alignment horizontal="center" wrapText="1"/>
      <protection locked="0"/>
    </xf>
    <xf numFmtId="0" fontId="3" fillId="0" borderId="0" xfId="1" applyFont="1" applyFill="1" applyBorder="1" applyAlignment="1" applyProtection="1">
      <alignment horizontal="center" vertical="top"/>
      <protection locked="0"/>
    </xf>
    <xf numFmtId="0" fontId="18" fillId="5" borderId="37" xfId="0" applyFont="1" applyFill="1" applyBorder="1" applyAlignment="1" applyProtection="1">
      <alignment horizontal="center" vertical="center"/>
    </xf>
    <xf numFmtId="0" fontId="2" fillId="0" borderId="39" xfId="0" applyFont="1" applyBorder="1" applyAlignment="1" applyProtection="1">
      <alignment horizontal="center" vertical="top"/>
      <protection locked="0"/>
    </xf>
    <xf numFmtId="0" fontId="2" fillId="0" borderId="0" xfId="0" applyFont="1" applyBorder="1" applyAlignment="1" applyProtection="1">
      <alignment horizontal="center" vertical="top"/>
      <protection locked="0"/>
    </xf>
    <xf numFmtId="0" fontId="2" fillId="0" borderId="49" xfId="0" applyFont="1" applyBorder="1" applyAlignment="1" applyProtection="1">
      <alignment horizontal="center" vertical="top"/>
      <protection locked="0"/>
    </xf>
    <xf numFmtId="0" fontId="8" fillId="2" borderId="13" xfId="0" applyFont="1" applyFill="1" applyBorder="1" applyAlignment="1" applyProtection="1">
      <alignment horizontal="center"/>
      <protection locked="0"/>
    </xf>
    <xf numFmtId="0" fontId="8" fillId="2" borderId="56" xfId="0" applyFont="1" applyFill="1" applyBorder="1" applyAlignment="1" applyProtection="1">
      <alignment horizontal="center"/>
      <protection locked="0"/>
    </xf>
    <xf numFmtId="0" fontId="8" fillId="2" borderId="16" xfId="0" applyFont="1" applyFill="1" applyBorder="1" applyAlignment="1" applyProtection="1">
      <alignment horizontal="center"/>
      <protection locked="0"/>
    </xf>
    <xf numFmtId="0" fontId="8" fillId="2" borderId="20" xfId="0" applyFont="1" applyFill="1" applyBorder="1" applyAlignment="1" applyProtection="1">
      <alignment horizontal="center"/>
      <protection locked="0"/>
    </xf>
    <xf numFmtId="0" fontId="8" fillId="2" borderId="34" xfId="0" applyFont="1" applyFill="1" applyBorder="1" applyAlignment="1" applyProtection="1">
      <alignment horizontal="center"/>
      <protection locked="0"/>
    </xf>
    <xf numFmtId="0" fontId="8" fillId="2" borderId="23" xfId="0" applyFont="1" applyFill="1" applyBorder="1" applyAlignment="1" applyProtection="1">
      <alignment horizontal="center"/>
      <protection locked="0"/>
    </xf>
    <xf numFmtId="0" fontId="1" fillId="0" borderId="32" xfId="0" applyFont="1" applyBorder="1" applyAlignment="1" applyProtection="1">
      <alignment horizontal="center"/>
    </xf>
    <xf numFmtId="0" fontId="1" fillId="0" borderId="27" xfId="0" applyFont="1" applyBorder="1" applyAlignment="1" applyProtection="1">
      <alignment horizontal="center"/>
    </xf>
    <xf numFmtId="0" fontId="1" fillId="0" borderId="26" xfId="0" applyFont="1" applyBorder="1" applyAlignment="1" applyProtection="1">
      <alignment horizontal="center"/>
    </xf>
    <xf numFmtId="0" fontId="1" fillId="2" borderId="30" xfId="0" applyFont="1" applyFill="1" applyBorder="1" applyAlignment="1" applyProtection="1">
      <alignment horizontal="center" vertical="center" wrapText="1"/>
      <protection locked="0"/>
    </xf>
    <xf numFmtId="0" fontId="1" fillId="2" borderId="33" xfId="0" applyFont="1" applyFill="1" applyBorder="1" applyAlignment="1" applyProtection="1">
      <alignment horizontal="center" vertical="center" wrapText="1"/>
      <protection locked="0"/>
    </xf>
    <xf numFmtId="14" fontId="8" fillId="0" borderId="6" xfId="0" applyNumberFormat="1" applyFont="1" applyBorder="1" applyAlignment="1" applyProtection="1">
      <alignment horizontal="center"/>
    </xf>
    <xf numFmtId="0" fontId="8" fillId="0" borderId="6" xfId="0" applyFont="1" applyBorder="1" applyAlignment="1" applyProtection="1">
      <alignment horizontal="left"/>
    </xf>
    <xf numFmtId="0" fontId="8" fillId="0" borderId="6" xfId="0" applyFont="1" applyBorder="1" applyAlignment="1" applyProtection="1">
      <alignment horizontal="center"/>
    </xf>
    <xf numFmtId="0" fontId="8" fillId="0" borderId="7" xfId="0" applyFont="1" applyBorder="1" applyAlignment="1" applyProtection="1">
      <alignment horizontal="center"/>
    </xf>
    <xf numFmtId="14" fontId="8" fillId="0" borderId="2" xfId="0" applyNumberFormat="1" applyFont="1" applyBorder="1" applyAlignment="1" applyProtection="1">
      <alignment horizontal="center"/>
    </xf>
    <xf numFmtId="0" fontId="8" fillId="0" borderId="2" xfId="0" applyFont="1" applyBorder="1" applyAlignment="1" applyProtection="1">
      <alignment horizontal="left"/>
    </xf>
    <xf numFmtId="0" fontId="8" fillId="0" borderId="2" xfId="0" applyFont="1" applyBorder="1" applyAlignment="1" applyProtection="1">
      <alignment horizontal="center"/>
    </xf>
    <xf numFmtId="0" fontId="8" fillId="0" borderId="3" xfId="0" applyFont="1" applyBorder="1" applyAlignment="1" applyProtection="1">
      <alignment horizontal="center"/>
    </xf>
    <xf numFmtId="0" fontId="8" fillId="0" borderId="1" xfId="0" applyFont="1" applyBorder="1" applyAlignment="1" applyProtection="1">
      <alignment horizontal="center"/>
    </xf>
    <xf numFmtId="1" fontId="4" fillId="0" borderId="35" xfId="0" applyNumberFormat="1" applyFont="1" applyBorder="1" applyAlignment="1" applyProtection="1">
      <alignment horizontal="right"/>
    </xf>
    <xf numFmtId="1" fontId="4" fillId="0" borderId="36" xfId="0" applyNumberFormat="1" applyFont="1" applyBorder="1" applyAlignment="1" applyProtection="1">
      <alignment horizontal="right"/>
    </xf>
    <xf numFmtId="1" fontId="4" fillId="0" borderId="37" xfId="0" applyNumberFormat="1" applyFont="1" applyBorder="1" applyAlignment="1" applyProtection="1">
      <alignment horizontal="right"/>
    </xf>
    <xf numFmtId="165" fontId="4" fillId="0" borderId="35" xfId="2" applyNumberFormat="1" applyFont="1" applyBorder="1" applyAlignment="1" applyProtection="1">
      <alignment horizontal="right"/>
    </xf>
    <xf numFmtId="165" fontId="4" fillId="0" borderId="36" xfId="2" applyNumberFormat="1" applyFont="1" applyBorder="1" applyAlignment="1" applyProtection="1">
      <alignment horizontal="right"/>
    </xf>
    <xf numFmtId="165" fontId="4" fillId="0" borderId="37" xfId="2" applyNumberFormat="1" applyFont="1" applyBorder="1" applyAlignment="1" applyProtection="1">
      <alignment horizontal="right"/>
    </xf>
    <xf numFmtId="1" fontId="4" fillId="7" borderId="35" xfId="0" applyNumberFormat="1" applyFont="1" applyFill="1" applyBorder="1" applyAlignment="1" applyProtection="1">
      <alignment horizontal="right"/>
    </xf>
    <xf numFmtId="1" fontId="4" fillId="7" borderId="36" xfId="0" applyNumberFormat="1" applyFont="1" applyFill="1" applyBorder="1" applyAlignment="1" applyProtection="1">
      <alignment horizontal="right"/>
    </xf>
    <xf numFmtId="1" fontId="4" fillId="7" borderId="37" xfId="0" applyNumberFormat="1" applyFont="1" applyFill="1" applyBorder="1" applyAlignment="1" applyProtection="1">
      <alignment horizontal="right"/>
    </xf>
    <xf numFmtId="169" fontId="4" fillId="2" borderId="0" xfId="0" applyNumberFormat="1" applyFont="1" applyFill="1" applyBorder="1" applyAlignment="1" applyProtection="1">
      <alignment horizontal="center"/>
      <protection locked="0"/>
    </xf>
    <xf numFmtId="0" fontId="4" fillId="0" borderId="0" xfId="0" applyFont="1" applyBorder="1" applyAlignment="1" applyProtection="1">
      <alignment horizontal="right"/>
    </xf>
    <xf numFmtId="0" fontId="4" fillId="2" borderId="0" xfId="0" applyFont="1" applyFill="1" applyBorder="1" applyAlignment="1" applyProtection="1">
      <alignment horizontal="center"/>
      <protection locked="0"/>
    </xf>
    <xf numFmtId="1" fontId="4" fillId="0" borderId="0" xfId="0" applyNumberFormat="1" applyFont="1" applyFill="1" applyBorder="1" applyAlignment="1" applyProtection="1">
      <alignment horizontal="right"/>
    </xf>
    <xf numFmtId="0" fontId="5" fillId="0" borderId="31" xfId="0" applyFont="1" applyBorder="1" applyAlignment="1" applyProtection="1">
      <alignment horizontal="center" vertical="center"/>
    </xf>
    <xf numFmtId="0" fontId="5" fillId="0" borderId="6" xfId="0" applyFont="1" applyBorder="1" applyAlignment="1" applyProtection="1">
      <alignment horizontal="center" vertical="center"/>
    </xf>
    <xf numFmtId="0" fontId="5" fillId="0" borderId="51" xfId="0" applyFont="1" applyBorder="1" applyAlignment="1" applyProtection="1">
      <alignment horizontal="center" vertical="center"/>
    </xf>
    <xf numFmtId="0" fontId="5" fillId="0" borderId="41" xfId="0" applyFont="1" applyBorder="1" applyAlignment="1" applyProtection="1">
      <alignment horizontal="center" vertical="center"/>
    </xf>
    <xf numFmtId="0" fontId="5" fillId="0" borderId="7" xfId="0" applyFont="1" applyBorder="1" applyAlignment="1" applyProtection="1">
      <alignment horizontal="center" vertical="center"/>
    </xf>
    <xf numFmtId="165" fontId="4" fillId="0" borderId="0" xfId="0" applyNumberFormat="1" applyFont="1" applyBorder="1" applyAlignment="1" applyProtection="1">
      <alignment horizontal="right"/>
    </xf>
    <xf numFmtId="2" fontId="4" fillId="0" borderId="0" xfId="0" applyNumberFormat="1" applyFont="1" applyBorder="1" applyAlignment="1" applyProtection="1">
      <alignment horizontal="right"/>
    </xf>
    <xf numFmtId="3" fontId="4" fillId="2" borderId="0" xfId="0" applyNumberFormat="1" applyFont="1" applyFill="1" applyBorder="1" applyAlignment="1" applyProtection="1">
      <alignment horizontal="center"/>
      <protection locked="0"/>
    </xf>
    <xf numFmtId="164" fontId="4" fillId="0" borderId="0" xfId="0" applyNumberFormat="1" applyFont="1" applyBorder="1" applyAlignment="1" applyProtection="1">
      <alignment horizontal="right"/>
    </xf>
    <xf numFmtId="165" fontId="4" fillId="0" borderId="0" xfId="0" applyNumberFormat="1" applyFont="1" applyFill="1" applyBorder="1" applyAlignment="1" applyProtection="1">
      <alignment horizontal="right"/>
    </xf>
    <xf numFmtId="1" fontId="4" fillId="2" borderId="0" xfId="0" applyNumberFormat="1" applyFont="1" applyFill="1" applyBorder="1" applyAlignment="1" applyProtection="1">
      <alignment horizontal="center"/>
      <protection locked="0"/>
    </xf>
    <xf numFmtId="1" fontId="4" fillId="0" borderId="0" xfId="0" applyNumberFormat="1" applyFont="1" applyBorder="1" applyAlignment="1" applyProtection="1">
      <alignment horizontal="right"/>
    </xf>
    <xf numFmtId="169" fontId="5" fillId="2" borderId="0" xfId="0" applyNumberFormat="1" applyFont="1" applyFill="1" applyBorder="1" applyAlignment="1" applyProtection="1">
      <alignment horizontal="center"/>
      <protection locked="0"/>
    </xf>
    <xf numFmtId="0" fontId="3" fillId="2" borderId="6" xfId="0" applyFont="1" applyFill="1" applyBorder="1" applyAlignment="1" applyProtection="1">
      <alignment horizontal="left"/>
      <protection locked="0"/>
    </xf>
    <xf numFmtId="0" fontId="2" fillId="0" borderId="0" xfId="0" applyFont="1" applyBorder="1" applyAlignment="1" applyProtection="1">
      <alignment horizontal="left"/>
    </xf>
    <xf numFmtId="0" fontId="0" fillId="2" borderId="6" xfId="0" applyFill="1" applyBorder="1" applyAlignment="1" applyProtection="1">
      <alignment horizontal="left"/>
      <protection locked="0"/>
    </xf>
    <xf numFmtId="164" fontId="4" fillId="0" borderId="0" xfId="0" applyNumberFormat="1" applyFont="1" applyFill="1" applyBorder="1" applyAlignment="1" applyProtection="1">
      <alignment horizontal="right"/>
    </xf>
  </cellXfs>
  <cellStyles count="3">
    <cellStyle name="Comma" xfId="2" builtinId="3"/>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6.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6" Type="http://schemas.openxmlformats.org/officeDocument/2006/relationships/image" Target="../media/image6.emf"/><Relationship Id="rId5" Type="http://schemas.openxmlformats.org/officeDocument/2006/relationships/image" Target="../media/image11.emf"/><Relationship Id="rId4"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xdr:from>
      <xdr:col>40</xdr:col>
      <xdr:colOff>9753</xdr:colOff>
      <xdr:row>19</xdr:row>
      <xdr:rowOff>137058</xdr:rowOff>
    </xdr:from>
    <xdr:to>
      <xdr:col>42</xdr:col>
      <xdr:colOff>74261</xdr:colOff>
      <xdr:row>21</xdr:row>
      <xdr:rowOff>70383</xdr:rowOff>
    </xdr:to>
    <xdr:sp macro="" textlink="">
      <xdr:nvSpPr>
        <xdr:cNvPr id="2" name="AutoShape 21">
          <a:extLst>
            <a:ext uri="{FF2B5EF4-FFF2-40B4-BE49-F238E27FC236}">
              <a16:creationId xmlns:a16="http://schemas.microsoft.com/office/drawing/2014/main" id="{00000000-0008-0000-0300-000002000000}"/>
            </a:ext>
          </a:extLst>
        </xdr:cNvPr>
        <xdr:cNvSpPr>
          <a:spLocks noChangeArrowheads="1"/>
        </xdr:cNvSpPr>
      </xdr:nvSpPr>
      <xdr:spPr bwMode="auto">
        <a:xfrm>
          <a:off x="5010378" y="3594633"/>
          <a:ext cx="331208" cy="27622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41</xdr:col>
      <xdr:colOff>45686</xdr:colOff>
      <xdr:row>18</xdr:row>
      <xdr:rowOff>127533</xdr:rowOff>
    </xdr:from>
    <xdr:to>
      <xdr:col>43</xdr:col>
      <xdr:colOff>62797</xdr:colOff>
      <xdr:row>20</xdr:row>
      <xdr:rowOff>137058</xdr:rowOff>
    </xdr:to>
    <xdr:sp macro="" textlink="">
      <xdr:nvSpPr>
        <xdr:cNvPr id="3" name="AutoShape 22">
          <a:extLst>
            <a:ext uri="{FF2B5EF4-FFF2-40B4-BE49-F238E27FC236}">
              <a16:creationId xmlns:a16="http://schemas.microsoft.com/office/drawing/2014/main" id="{00000000-0008-0000-0300-000003000000}"/>
            </a:ext>
          </a:extLst>
        </xdr:cNvPr>
        <xdr:cNvSpPr>
          <a:spLocks noChangeArrowheads="1"/>
        </xdr:cNvSpPr>
      </xdr:nvSpPr>
      <xdr:spPr bwMode="auto">
        <a:xfrm rot="-5400000">
          <a:off x="5135829" y="3457490"/>
          <a:ext cx="352425" cy="264761"/>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40</xdr:col>
      <xdr:colOff>36161</xdr:colOff>
      <xdr:row>23</xdr:row>
      <xdr:rowOff>79908</xdr:rowOff>
    </xdr:from>
    <xdr:to>
      <xdr:col>41</xdr:col>
      <xdr:colOff>36161</xdr:colOff>
      <xdr:row>23</xdr:row>
      <xdr:rowOff>146583</xdr:rowOff>
    </xdr:to>
    <xdr:sp macro="" textlink="">
      <xdr:nvSpPr>
        <xdr:cNvPr id="4" name="Oval 23">
          <a:extLst>
            <a:ext uri="{FF2B5EF4-FFF2-40B4-BE49-F238E27FC236}">
              <a16:creationId xmlns:a16="http://schemas.microsoft.com/office/drawing/2014/main" id="{00000000-0008-0000-0300-000004000000}"/>
            </a:ext>
          </a:extLst>
        </xdr:cNvPr>
        <xdr:cNvSpPr>
          <a:spLocks noChangeArrowheads="1"/>
        </xdr:cNvSpPr>
      </xdr:nvSpPr>
      <xdr:spPr bwMode="auto">
        <a:xfrm>
          <a:off x="5036786" y="4223283"/>
          <a:ext cx="133350" cy="6667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41</xdr:col>
      <xdr:colOff>36161</xdr:colOff>
      <xdr:row>21</xdr:row>
      <xdr:rowOff>70383</xdr:rowOff>
    </xdr:from>
    <xdr:to>
      <xdr:col>41</xdr:col>
      <xdr:colOff>36161</xdr:colOff>
      <xdr:row>23</xdr:row>
      <xdr:rowOff>118008</xdr:rowOff>
    </xdr:to>
    <xdr:sp macro="" textlink="">
      <xdr:nvSpPr>
        <xdr:cNvPr id="5" name="Line 24">
          <a:extLst>
            <a:ext uri="{FF2B5EF4-FFF2-40B4-BE49-F238E27FC236}">
              <a16:creationId xmlns:a16="http://schemas.microsoft.com/office/drawing/2014/main" id="{00000000-0008-0000-0300-000005000000}"/>
            </a:ext>
          </a:extLst>
        </xdr:cNvPr>
        <xdr:cNvSpPr>
          <a:spLocks noChangeShapeType="1"/>
        </xdr:cNvSpPr>
      </xdr:nvSpPr>
      <xdr:spPr bwMode="auto">
        <a:xfrm>
          <a:off x="5170136" y="3870858"/>
          <a:ext cx="0" cy="3905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36161</xdr:colOff>
      <xdr:row>23</xdr:row>
      <xdr:rowOff>118008</xdr:rowOff>
    </xdr:from>
    <xdr:to>
      <xdr:col>41</xdr:col>
      <xdr:colOff>102836</xdr:colOff>
      <xdr:row>23</xdr:row>
      <xdr:rowOff>146583</xdr:rowOff>
    </xdr:to>
    <xdr:sp macro="" textlink="">
      <xdr:nvSpPr>
        <xdr:cNvPr id="6" name="Arc 25">
          <a:extLst>
            <a:ext uri="{FF2B5EF4-FFF2-40B4-BE49-F238E27FC236}">
              <a16:creationId xmlns:a16="http://schemas.microsoft.com/office/drawing/2014/main" id="{00000000-0008-0000-0300-000006000000}"/>
            </a:ext>
          </a:extLst>
        </xdr:cNvPr>
        <xdr:cNvSpPr>
          <a:spLocks/>
        </xdr:cNvSpPr>
      </xdr:nvSpPr>
      <xdr:spPr bwMode="auto">
        <a:xfrm rot="16200000" flipH="1">
          <a:off x="5189186" y="4242333"/>
          <a:ext cx="28575" cy="66675"/>
        </a:xfrm>
        <a:custGeom>
          <a:avLst/>
          <a:gdLst>
            <a:gd name="T0" fmla="*/ 0 w 21600"/>
            <a:gd name="T1" fmla="*/ 0 h 21600"/>
            <a:gd name="T2" fmla="*/ 28575 w 21600"/>
            <a:gd name="T3" fmla="*/ 66675 h 21600"/>
            <a:gd name="T4" fmla="*/ 0 w 21600"/>
            <a:gd name="T5" fmla="*/ 6667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41</xdr:col>
      <xdr:colOff>93311</xdr:colOff>
      <xdr:row>23</xdr:row>
      <xdr:rowOff>118008</xdr:rowOff>
    </xdr:from>
    <xdr:to>
      <xdr:col>42</xdr:col>
      <xdr:colOff>26636</xdr:colOff>
      <xdr:row>23</xdr:row>
      <xdr:rowOff>146583</xdr:rowOff>
    </xdr:to>
    <xdr:sp macro="" textlink="">
      <xdr:nvSpPr>
        <xdr:cNvPr id="7" name="Arc 26">
          <a:extLst>
            <a:ext uri="{FF2B5EF4-FFF2-40B4-BE49-F238E27FC236}">
              <a16:creationId xmlns:a16="http://schemas.microsoft.com/office/drawing/2014/main" id="{00000000-0008-0000-0300-000007000000}"/>
            </a:ext>
          </a:extLst>
        </xdr:cNvPr>
        <xdr:cNvSpPr>
          <a:spLocks/>
        </xdr:cNvSpPr>
      </xdr:nvSpPr>
      <xdr:spPr bwMode="auto">
        <a:xfrm rot="5400000">
          <a:off x="5246336" y="4242333"/>
          <a:ext cx="28575" cy="66675"/>
        </a:xfrm>
        <a:custGeom>
          <a:avLst/>
          <a:gdLst>
            <a:gd name="T0" fmla="*/ 0 w 21600"/>
            <a:gd name="T1" fmla="*/ 0 h 21600"/>
            <a:gd name="T2" fmla="*/ 28575 w 21600"/>
            <a:gd name="T3" fmla="*/ 66675 h 21600"/>
            <a:gd name="T4" fmla="*/ 0 w 21600"/>
            <a:gd name="T5" fmla="*/ 6667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41</xdr:col>
      <xdr:colOff>45686</xdr:colOff>
      <xdr:row>18</xdr:row>
      <xdr:rowOff>118008</xdr:rowOff>
    </xdr:from>
    <xdr:to>
      <xdr:col>41</xdr:col>
      <xdr:colOff>45686</xdr:colOff>
      <xdr:row>19</xdr:row>
      <xdr:rowOff>137058</xdr:rowOff>
    </xdr:to>
    <xdr:sp macro="" textlink="">
      <xdr:nvSpPr>
        <xdr:cNvPr id="8" name="Line 27">
          <a:extLst>
            <a:ext uri="{FF2B5EF4-FFF2-40B4-BE49-F238E27FC236}">
              <a16:creationId xmlns:a16="http://schemas.microsoft.com/office/drawing/2014/main" id="{00000000-0008-0000-0300-000008000000}"/>
            </a:ext>
          </a:extLst>
        </xdr:cNvPr>
        <xdr:cNvSpPr>
          <a:spLocks noChangeShapeType="1"/>
        </xdr:cNvSpPr>
      </xdr:nvSpPr>
      <xdr:spPr bwMode="auto">
        <a:xfrm flipV="1">
          <a:off x="5179661" y="3404133"/>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229</xdr:colOff>
      <xdr:row>18</xdr:row>
      <xdr:rowOff>127533</xdr:rowOff>
    </xdr:from>
    <xdr:to>
      <xdr:col>41</xdr:col>
      <xdr:colOff>93311</xdr:colOff>
      <xdr:row>19</xdr:row>
      <xdr:rowOff>4050</xdr:rowOff>
    </xdr:to>
    <xdr:sp macro="" textlink="">
      <xdr:nvSpPr>
        <xdr:cNvPr id="9" name="Line 28">
          <a:extLst>
            <a:ext uri="{FF2B5EF4-FFF2-40B4-BE49-F238E27FC236}">
              <a16:creationId xmlns:a16="http://schemas.microsoft.com/office/drawing/2014/main" id="{00000000-0008-0000-0300-000009000000}"/>
            </a:ext>
          </a:extLst>
        </xdr:cNvPr>
        <xdr:cNvSpPr>
          <a:spLocks noChangeShapeType="1"/>
        </xdr:cNvSpPr>
      </xdr:nvSpPr>
      <xdr:spPr bwMode="auto">
        <a:xfrm flipV="1">
          <a:off x="5134204" y="3413658"/>
          <a:ext cx="93082" cy="4796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229</xdr:colOff>
      <xdr:row>19</xdr:row>
      <xdr:rowOff>4050</xdr:rowOff>
    </xdr:from>
    <xdr:to>
      <xdr:col>41</xdr:col>
      <xdr:colOff>93311</xdr:colOff>
      <xdr:row>19</xdr:row>
      <xdr:rowOff>51333</xdr:rowOff>
    </xdr:to>
    <xdr:sp macro="" textlink="">
      <xdr:nvSpPr>
        <xdr:cNvPr id="10" name="Line 29">
          <a:extLst>
            <a:ext uri="{FF2B5EF4-FFF2-40B4-BE49-F238E27FC236}">
              <a16:creationId xmlns:a16="http://schemas.microsoft.com/office/drawing/2014/main" id="{00000000-0008-0000-0300-00000A000000}"/>
            </a:ext>
          </a:extLst>
        </xdr:cNvPr>
        <xdr:cNvSpPr>
          <a:spLocks noChangeShapeType="1"/>
        </xdr:cNvSpPr>
      </xdr:nvSpPr>
      <xdr:spPr bwMode="auto">
        <a:xfrm flipV="1">
          <a:off x="5134204" y="3461625"/>
          <a:ext cx="93082" cy="4728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229</xdr:colOff>
      <xdr:row>19</xdr:row>
      <xdr:rowOff>51333</xdr:rowOff>
    </xdr:from>
    <xdr:to>
      <xdr:col>41</xdr:col>
      <xdr:colOff>93311</xdr:colOff>
      <xdr:row>19</xdr:row>
      <xdr:rowOff>108483</xdr:rowOff>
    </xdr:to>
    <xdr:sp macro="" textlink="">
      <xdr:nvSpPr>
        <xdr:cNvPr id="11" name="Line 30">
          <a:extLst>
            <a:ext uri="{FF2B5EF4-FFF2-40B4-BE49-F238E27FC236}">
              <a16:creationId xmlns:a16="http://schemas.microsoft.com/office/drawing/2014/main" id="{00000000-0008-0000-0300-00000B000000}"/>
            </a:ext>
          </a:extLst>
        </xdr:cNvPr>
        <xdr:cNvSpPr>
          <a:spLocks noChangeShapeType="1"/>
        </xdr:cNvSpPr>
      </xdr:nvSpPr>
      <xdr:spPr bwMode="auto">
        <a:xfrm flipV="1">
          <a:off x="5134204" y="3508908"/>
          <a:ext cx="93082" cy="571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62797</xdr:colOff>
      <xdr:row>19</xdr:row>
      <xdr:rowOff>137058</xdr:rowOff>
    </xdr:from>
    <xdr:to>
      <xdr:col>48</xdr:col>
      <xdr:colOff>106543</xdr:colOff>
      <xdr:row>19</xdr:row>
      <xdr:rowOff>137058</xdr:rowOff>
    </xdr:to>
    <xdr:sp macro="" textlink="">
      <xdr:nvSpPr>
        <xdr:cNvPr id="12" name="Line 31">
          <a:extLst>
            <a:ext uri="{FF2B5EF4-FFF2-40B4-BE49-F238E27FC236}">
              <a16:creationId xmlns:a16="http://schemas.microsoft.com/office/drawing/2014/main" id="{00000000-0008-0000-0300-00000C000000}"/>
            </a:ext>
          </a:extLst>
        </xdr:cNvPr>
        <xdr:cNvSpPr>
          <a:spLocks noChangeShapeType="1"/>
        </xdr:cNvSpPr>
      </xdr:nvSpPr>
      <xdr:spPr bwMode="auto">
        <a:xfrm>
          <a:off x="5444422" y="3594633"/>
          <a:ext cx="61524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77968</xdr:colOff>
      <xdr:row>19</xdr:row>
      <xdr:rowOff>137058</xdr:rowOff>
    </xdr:from>
    <xdr:to>
      <xdr:col>49</xdr:col>
      <xdr:colOff>21046</xdr:colOff>
      <xdr:row>20</xdr:row>
      <xdr:rowOff>108483</xdr:rowOff>
    </xdr:to>
    <xdr:sp macro="" textlink="">
      <xdr:nvSpPr>
        <xdr:cNvPr id="13" name="Oval 32">
          <a:extLst>
            <a:ext uri="{FF2B5EF4-FFF2-40B4-BE49-F238E27FC236}">
              <a16:creationId xmlns:a16="http://schemas.microsoft.com/office/drawing/2014/main" id="{00000000-0008-0000-0300-00000D000000}"/>
            </a:ext>
          </a:extLst>
        </xdr:cNvPr>
        <xdr:cNvSpPr>
          <a:spLocks noChangeArrowheads="1"/>
        </xdr:cNvSpPr>
      </xdr:nvSpPr>
      <xdr:spPr bwMode="auto">
        <a:xfrm rot="-5400000">
          <a:off x="5988344" y="3637382"/>
          <a:ext cx="142875" cy="57378"/>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48</xdr:col>
      <xdr:colOff>106543</xdr:colOff>
      <xdr:row>18</xdr:row>
      <xdr:rowOff>165633</xdr:rowOff>
    </xdr:from>
    <xdr:to>
      <xdr:col>49</xdr:col>
      <xdr:colOff>21046</xdr:colOff>
      <xdr:row>19</xdr:row>
      <xdr:rowOff>60858</xdr:rowOff>
    </xdr:to>
    <xdr:sp macro="" textlink="">
      <xdr:nvSpPr>
        <xdr:cNvPr id="14" name="Arc 33">
          <a:extLst>
            <a:ext uri="{FF2B5EF4-FFF2-40B4-BE49-F238E27FC236}">
              <a16:creationId xmlns:a16="http://schemas.microsoft.com/office/drawing/2014/main" id="{00000000-0008-0000-0300-00000E000000}"/>
            </a:ext>
          </a:extLst>
        </xdr:cNvPr>
        <xdr:cNvSpPr>
          <a:spLocks/>
        </xdr:cNvSpPr>
      </xdr:nvSpPr>
      <xdr:spPr bwMode="auto">
        <a:xfrm rot="10800000" flipH="1" flipV="1">
          <a:off x="6059668" y="3451758"/>
          <a:ext cx="28803" cy="66675"/>
        </a:xfrm>
        <a:custGeom>
          <a:avLst/>
          <a:gdLst>
            <a:gd name="T0" fmla="*/ 0 w 21600"/>
            <a:gd name="T1" fmla="*/ 0 h 21600"/>
            <a:gd name="T2" fmla="*/ 28575 w 21600"/>
            <a:gd name="T3" fmla="*/ 66675 h 21600"/>
            <a:gd name="T4" fmla="*/ 0 w 21600"/>
            <a:gd name="T5" fmla="*/ 6667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48</xdr:col>
      <xdr:colOff>106543</xdr:colOff>
      <xdr:row>19</xdr:row>
      <xdr:rowOff>60858</xdr:rowOff>
    </xdr:from>
    <xdr:to>
      <xdr:col>49</xdr:col>
      <xdr:colOff>21046</xdr:colOff>
      <xdr:row>19</xdr:row>
      <xdr:rowOff>137058</xdr:rowOff>
    </xdr:to>
    <xdr:sp macro="" textlink="">
      <xdr:nvSpPr>
        <xdr:cNvPr id="15" name="Arc 34">
          <a:extLst>
            <a:ext uri="{FF2B5EF4-FFF2-40B4-BE49-F238E27FC236}">
              <a16:creationId xmlns:a16="http://schemas.microsoft.com/office/drawing/2014/main" id="{00000000-0008-0000-0300-00000F000000}"/>
            </a:ext>
          </a:extLst>
        </xdr:cNvPr>
        <xdr:cNvSpPr>
          <a:spLocks/>
        </xdr:cNvSpPr>
      </xdr:nvSpPr>
      <xdr:spPr bwMode="auto">
        <a:xfrm rot="10800000" flipH="1">
          <a:off x="6059668" y="3518433"/>
          <a:ext cx="28803" cy="76200"/>
        </a:xfrm>
        <a:custGeom>
          <a:avLst/>
          <a:gdLst>
            <a:gd name="T0" fmla="*/ 0 w 21600"/>
            <a:gd name="T1" fmla="*/ 0 h 21600"/>
            <a:gd name="T2" fmla="*/ 28575 w 21600"/>
            <a:gd name="T3" fmla="*/ 76200 h 21600"/>
            <a:gd name="T4" fmla="*/ 0 w 21600"/>
            <a:gd name="T5" fmla="*/ 76200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41922</xdr:colOff>
      <xdr:row>19</xdr:row>
      <xdr:rowOff>156051</xdr:rowOff>
    </xdr:from>
    <xdr:to>
      <xdr:col>7</xdr:col>
      <xdr:colOff>34336</xdr:colOff>
      <xdr:row>21</xdr:row>
      <xdr:rowOff>89376</xdr:rowOff>
    </xdr:to>
    <xdr:sp macro="" textlink="">
      <xdr:nvSpPr>
        <xdr:cNvPr id="16" name="AutoShape 35">
          <a:extLst>
            <a:ext uri="{FF2B5EF4-FFF2-40B4-BE49-F238E27FC236}">
              <a16:creationId xmlns:a16="http://schemas.microsoft.com/office/drawing/2014/main" id="{00000000-0008-0000-0300-000010000000}"/>
            </a:ext>
          </a:extLst>
        </xdr:cNvPr>
        <xdr:cNvSpPr>
          <a:spLocks noChangeArrowheads="1"/>
        </xdr:cNvSpPr>
      </xdr:nvSpPr>
      <xdr:spPr bwMode="auto">
        <a:xfrm>
          <a:off x="584847" y="3613626"/>
          <a:ext cx="392464" cy="27622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118123</xdr:colOff>
      <xdr:row>18</xdr:row>
      <xdr:rowOff>146526</xdr:rowOff>
    </xdr:from>
    <xdr:to>
      <xdr:col>8</xdr:col>
      <xdr:colOff>26751</xdr:colOff>
      <xdr:row>20</xdr:row>
      <xdr:rowOff>156051</xdr:rowOff>
    </xdr:to>
    <xdr:sp macro="" textlink="">
      <xdr:nvSpPr>
        <xdr:cNvPr id="17" name="AutoShape 36">
          <a:extLst>
            <a:ext uri="{FF2B5EF4-FFF2-40B4-BE49-F238E27FC236}">
              <a16:creationId xmlns:a16="http://schemas.microsoft.com/office/drawing/2014/main" id="{00000000-0008-0000-0300-000011000000}"/>
            </a:ext>
          </a:extLst>
        </xdr:cNvPr>
        <xdr:cNvSpPr>
          <a:spLocks noChangeArrowheads="1"/>
        </xdr:cNvSpPr>
      </xdr:nvSpPr>
      <xdr:spPr bwMode="auto">
        <a:xfrm rot="-5400000">
          <a:off x="772524" y="3454525"/>
          <a:ext cx="352425" cy="308678"/>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118123</xdr:colOff>
      <xdr:row>18</xdr:row>
      <xdr:rowOff>137001</xdr:rowOff>
    </xdr:from>
    <xdr:to>
      <xdr:col>5</xdr:col>
      <xdr:colOff>118123</xdr:colOff>
      <xdr:row>19</xdr:row>
      <xdr:rowOff>156051</xdr:rowOff>
    </xdr:to>
    <xdr:sp macro="" textlink="">
      <xdr:nvSpPr>
        <xdr:cNvPr id="18" name="Line 37">
          <a:extLst>
            <a:ext uri="{FF2B5EF4-FFF2-40B4-BE49-F238E27FC236}">
              <a16:creationId xmlns:a16="http://schemas.microsoft.com/office/drawing/2014/main" id="{00000000-0008-0000-0300-000012000000}"/>
            </a:ext>
          </a:extLst>
        </xdr:cNvPr>
        <xdr:cNvSpPr>
          <a:spLocks noChangeShapeType="1"/>
        </xdr:cNvSpPr>
      </xdr:nvSpPr>
      <xdr:spPr bwMode="auto">
        <a:xfrm flipV="1">
          <a:off x="794398" y="3423126"/>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70498</xdr:colOff>
      <xdr:row>18</xdr:row>
      <xdr:rowOff>146526</xdr:rowOff>
    </xdr:from>
    <xdr:to>
      <xdr:col>6</xdr:col>
      <xdr:colOff>41922</xdr:colOff>
      <xdr:row>19</xdr:row>
      <xdr:rowOff>13518</xdr:rowOff>
    </xdr:to>
    <xdr:sp macro="" textlink="">
      <xdr:nvSpPr>
        <xdr:cNvPr id="19" name="Line 38">
          <a:extLst>
            <a:ext uri="{FF2B5EF4-FFF2-40B4-BE49-F238E27FC236}">
              <a16:creationId xmlns:a16="http://schemas.microsoft.com/office/drawing/2014/main" id="{00000000-0008-0000-0300-000013000000}"/>
            </a:ext>
          </a:extLst>
        </xdr:cNvPr>
        <xdr:cNvSpPr>
          <a:spLocks noChangeShapeType="1"/>
        </xdr:cNvSpPr>
      </xdr:nvSpPr>
      <xdr:spPr bwMode="auto">
        <a:xfrm flipV="1">
          <a:off x="746773" y="3432651"/>
          <a:ext cx="104774" cy="3844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70498</xdr:colOff>
      <xdr:row>19</xdr:row>
      <xdr:rowOff>23043</xdr:rowOff>
    </xdr:from>
    <xdr:to>
      <xdr:col>6</xdr:col>
      <xdr:colOff>41922</xdr:colOff>
      <xdr:row>19</xdr:row>
      <xdr:rowOff>61143</xdr:rowOff>
    </xdr:to>
    <xdr:sp macro="" textlink="">
      <xdr:nvSpPr>
        <xdr:cNvPr id="20" name="Line 39">
          <a:extLst>
            <a:ext uri="{FF2B5EF4-FFF2-40B4-BE49-F238E27FC236}">
              <a16:creationId xmlns:a16="http://schemas.microsoft.com/office/drawing/2014/main" id="{00000000-0008-0000-0300-000014000000}"/>
            </a:ext>
          </a:extLst>
        </xdr:cNvPr>
        <xdr:cNvSpPr>
          <a:spLocks noChangeShapeType="1"/>
        </xdr:cNvSpPr>
      </xdr:nvSpPr>
      <xdr:spPr bwMode="auto">
        <a:xfrm flipV="1">
          <a:off x="746773" y="3480618"/>
          <a:ext cx="104774" cy="38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70498</xdr:colOff>
      <xdr:row>19</xdr:row>
      <xdr:rowOff>70668</xdr:rowOff>
    </xdr:from>
    <xdr:to>
      <xdr:col>6</xdr:col>
      <xdr:colOff>41922</xdr:colOff>
      <xdr:row>19</xdr:row>
      <xdr:rowOff>108426</xdr:rowOff>
    </xdr:to>
    <xdr:sp macro="" textlink="">
      <xdr:nvSpPr>
        <xdr:cNvPr id="21" name="Line 40">
          <a:extLst>
            <a:ext uri="{FF2B5EF4-FFF2-40B4-BE49-F238E27FC236}">
              <a16:creationId xmlns:a16="http://schemas.microsoft.com/office/drawing/2014/main" id="{00000000-0008-0000-0300-000015000000}"/>
            </a:ext>
          </a:extLst>
        </xdr:cNvPr>
        <xdr:cNvSpPr>
          <a:spLocks noChangeShapeType="1"/>
        </xdr:cNvSpPr>
      </xdr:nvSpPr>
      <xdr:spPr bwMode="auto">
        <a:xfrm flipV="1">
          <a:off x="746773" y="3528243"/>
          <a:ext cx="104774" cy="3775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26751</xdr:colOff>
      <xdr:row>19</xdr:row>
      <xdr:rowOff>165576</xdr:rowOff>
    </xdr:from>
    <xdr:to>
      <xdr:col>10</xdr:col>
      <xdr:colOff>49450</xdr:colOff>
      <xdr:row>19</xdr:row>
      <xdr:rowOff>165576</xdr:rowOff>
    </xdr:to>
    <xdr:sp macro="" textlink="">
      <xdr:nvSpPr>
        <xdr:cNvPr id="22" name="Line 41">
          <a:extLst>
            <a:ext uri="{FF2B5EF4-FFF2-40B4-BE49-F238E27FC236}">
              <a16:creationId xmlns:a16="http://schemas.microsoft.com/office/drawing/2014/main" id="{00000000-0008-0000-0300-000016000000}"/>
            </a:ext>
          </a:extLst>
        </xdr:cNvPr>
        <xdr:cNvSpPr>
          <a:spLocks noChangeShapeType="1"/>
        </xdr:cNvSpPr>
      </xdr:nvSpPr>
      <xdr:spPr bwMode="auto">
        <a:xfrm>
          <a:off x="1103076" y="3623151"/>
          <a:ext cx="28939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125480</xdr:colOff>
      <xdr:row>21</xdr:row>
      <xdr:rowOff>89376</xdr:rowOff>
    </xdr:from>
    <xdr:to>
      <xdr:col>5</xdr:col>
      <xdr:colOff>125480</xdr:colOff>
      <xdr:row>23</xdr:row>
      <xdr:rowOff>146526</xdr:rowOff>
    </xdr:to>
    <xdr:sp macro="" textlink="">
      <xdr:nvSpPr>
        <xdr:cNvPr id="23" name="Line 45">
          <a:extLst>
            <a:ext uri="{FF2B5EF4-FFF2-40B4-BE49-F238E27FC236}">
              <a16:creationId xmlns:a16="http://schemas.microsoft.com/office/drawing/2014/main" id="{00000000-0008-0000-0300-000017000000}"/>
            </a:ext>
          </a:extLst>
        </xdr:cNvPr>
        <xdr:cNvSpPr>
          <a:spLocks noChangeShapeType="1"/>
        </xdr:cNvSpPr>
      </xdr:nvSpPr>
      <xdr:spPr bwMode="auto">
        <a:xfrm>
          <a:off x="801755" y="3889851"/>
          <a:ext cx="0"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108597</xdr:colOff>
      <xdr:row>23</xdr:row>
      <xdr:rowOff>108426</xdr:rowOff>
    </xdr:from>
    <xdr:to>
      <xdr:col>5</xdr:col>
      <xdr:colOff>125480</xdr:colOff>
      <xdr:row>24</xdr:row>
      <xdr:rowOff>3993</xdr:rowOff>
    </xdr:to>
    <xdr:sp macro="" textlink="">
      <xdr:nvSpPr>
        <xdr:cNvPr id="24" name="Oval 46">
          <a:extLst>
            <a:ext uri="{FF2B5EF4-FFF2-40B4-BE49-F238E27FC236}">
              <a16:creationId xmlns:a16="http://schemas.microsoft.com/office/drawing/2014/main" id="{00000000-0008-0000-0300-000018000000}"/>
            </a:ext>
          </a:extLst>
        </xdr:cNvPr>
        <xdr:cNvSpPr>
          <a:spLocks noChangeArrowheads="1"/>
        </xdr:cNvSpPr>
      </xdr:nvSpPr>
      <xdr:spPr bwMode="auto">
        <a:xfrm>
          <a:off x="651522" y="4251801"/>
          <a:ext cx="150233" cy="67017"/>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5</xdr:col>
      <xdr:colOff>125480</xdr:colOff>
      <xdr:row>23</xdr:row>
      <xdr:rowOff>146526</xdr:rowOff>
    </xdr:from>
    <xdr:to>
      <xdr:col>6</xdr:col>
      <xdr:colOff>80022</xdr:colOff>
      <xdr:row>24</xdr:row>
      <xdr:rowOff>3993</xdr:rowOff>
    </xdr:to>
    <xdr:sp macro="" textlink="">
      <xdr:nvSpPr>
        <xdr:cNvPr id="25" name="Arc 47">
          <a:extLst>
            <a:ext uri="{FF2B5EF4-FFF2-40B4-BE49-F238E27FC236}">
              <a16:creationId xmlns:a16="http://schemas.microsoft.com/office/drawing/2014/main" id="{00000000-0008-0000-0300-000019000000}"/>
            </a:ext>
          </a:extLst>
        </xdr:cNvPr>
        <xdr:cNvSpPr>
          <a:spLocks/>
        </xdr:cNvSpPr>
      </xdr:nvSpPr>
      <xdr:spPr bwMode="auto">
        <a:xfrm rot="16200000" flipH="1">
          <a:off x="831242" y="4260414"/>
          <a:ext cx="28917" cy="87892"/>
        </a:xfrm>
        <a:custGeom>
          <a:avLst/>
          <a:gdLst>
            <a:gd name="T0" fmla="*/ 0 w 21600"/>
            <a:gd name="T1" fmla="*/ 0 h 21600"/>
            <a:gd name="T2" fmla="*/ 28575 w 21600"/>
            <a:gd name="T3" fmla="*/ 85725 h 21600"/>
            <a:gd name="T4" fmla="*/ 0 w 21600"/>
            <a:gd name="T5" fmla="*/ 8572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70497</xdr:colOff>
      <xdr:row>23</xdr:row>
      <xdr:rowOff>146526</xdr:rowOff>
    </xdr:from>
    <xdr:to>
      <xdr:col>7</xdr:col>
      <xdr:colOff>5761</xdr:colOff>
      <xdr:row>24</xdr:row>
      <xdr:rowOff>3993</xdr:rowOff>
    </xdr:to>
    <xdr:sp macro="" textlink="">
      <xdr:nvSpPr>
        <xdr:cNvPr id="26" name="Arc 48">
          <a:extLst>
            <a:ext uri="{FF2B5EF4-FFF2-40B4-BE49-F238E27FC236}">
              <a16:creationId xmlns:a16="http://schemas.microsoft.com/office/drawing/2014/main" id="{00000000-0008-0000-0300-00001A000000}"/>
            </a:ext>
          </a:extLst>
        </xdr:cNvPr>
        <xdr:cNvSpPr>
          <a:spLocks/>
        </xdr:cNvSpPr>
      </xdr:nvSpPr>
      <xdr:spPr bwMode="auto">
        <a:xfrm rot="5400000">
          <a:off x="899970" y="4270053"/>
          <a:ext cx="28917" cy="68614"/>
        </a:xfrm>
        <a:custGeom>
          <a:avLst/>
          <a:gdLst>
            <a:gd name="T0" fmla="*/ 0 w 21600"/>
            <a:gd name="T1" fmla="*/ 0 h 21600"/>
            <a:gd name="T2" fmla="*/ 28575 w 21600"/>
            <a:gd name="T3" fmla="*/ 66675 h 21600"/>
            <a:gd name="T4" fmla="*/ 0 w 21600"/>
            <a:gd name="T5" fmla="*/ 6667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55211</xdr:colOff>
      <xdr:row>19</xdr:row>
      <xdr:rowOff>137058</xdr:rowOff>
    </xdr:from>
    <xdr:to>
      <xdr:col>40</xdr:col>
      <xdr:colOff>26636</xdr:colOff>
      <xdr:row>19</xdr:row>
      <xdr:rowOff>137058</xdr:rowOff>
    </xdr:to>
    <xdr:sp macro="" textlink="">
      <xdr:nvSpPr>
        <xdr:cNvPr id="27" name="Line 58">
          <a:extLst>
            <a:ext uri="{FF2B5EF4-FFF2-40B4-BE49-F238E27FC236}">
              <a16:creationId xmlns:a16="http://schemas.microsoft.com/office/drawing/2014/main" id="{00000000-0008-0000-0300-00001B000000}"/>
            </a:ext>
          </a:extLst>
        </xdr:cNvPr>
        <xdr:cNvSpPr>
          <a:spLocks noChangeShapeType="1"/>
        </xdr:cNvSpPr>
      </xdr:nvSpPr>
      <xdr:spPr bwMode="auto">
        <a:xfrm flipH="1">
          <a:off x="4655786" y="3594633"/>
          <a:ext cx="371475"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37</xdr:col>
      <xdr:colOff>228</xdr:colOff>
      <xdr:row>18</xdr:row>
      <xdr:rowOff>51333</xdr:rowOff>
    </xdr:from>
    <xdr:to>
      <xdr:col>38</xdr:col>
      <xdr:colOff>59120</xdr:colOff>
      <xdr:row>19</xdr:row>
      <xdr:rowOff>42151</xdr:rowOff>
    </xdr:to>
    <xdr:sp macro="" textlink="">
      <xdr:nvSpPr>
        <xdr:cNvPr id="28" name="Text Box 60">
          <a:extLst>
            <a:ext uri="{FF2B5EF4-FFF2-40B4-BE49-F238E27FC236}">
              <a16:creationId xmlns:a16="http://schemas.microsoft.com/office/drawing/2014/main" id="{00000000-0008-0000-0300-00001C000000}"/>
            </a:ext>
          </a:extLst>
        </xdr:cNvPr>
        <xdr:cNvSpPr txBox="1">
          <a:spLocks noChangeArrowheads="1"/>
        </xdr:cNvSpPr>
      </xdr:nvSpPr>
      <xdr:spPr bwMode="auto">
        <a:xfrm>
          <a:off x="4519676" y="3322678"/>
          <a:ext cx="190272" cy="1616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F4</a:t>
          </a:r>
        </a:p>
      </xdr:txBody>
    </xdr:sp>
    <xdr:clientData/>
  </xdr:twoCellAnchor>
  <xdr:twoCellAnchor>
    <xdr:from>
      <xdr:col>10</xdr:col>
      <xdr:colOff>30629</xdr:colOff>
      <xdr:row>18</xdr:row>
      <xdr:rowOff>98901</xdr:rowOff>
    </xdr:from>
    <xdr:to>
      <xdr:col>12</xdr:col>
      <xdr:colOff>22815</xdr:colOff>
      <xdr:row>19</xdr:row>
      <xdr:rowOff>165576</xdr:rowOff>
    </xdr:to>
    <xdr:sp macro="" textlink="">
      <xdr:nvSpPr>
        <xdr:cNvPr id="29" name="Arc 62">
          <a:extLst>
            <a:ext uri="{FF2B5EF4-FFF2-40B4-BE49-F238E27FC236}">
              <a16:creationId xmlns:a16="http://schemas.microsoft.com/office/drawing/2014/main" id="{00000000-0008-0000-0300-00001D000000}"/>
            </a:ext>
          </a:extLst>
        </xdr:cNvPr>
        <xdr:cNvSpPr>
          <a:spLocks/>
        </xdr:cNvSpPr>
      </xdr:nvSpPr>
      <xdr:spPr bwMode="auto">
        <a:xfrm flipV="1">
          <a:off x="1373654" y="3385026"/>
          <a:ext cx="239836" cy="238125"/>
        </a:xfrm>
        <a:custGeom>
          <a:avLst/>
          <a:gdLst>
            <a:gd name="T0" fmla="*/ 0 w 21600"/>
            <a:gd name="T1" fmla="*/ 0 h 21600"/>
            <a:gd name="T2" fmla="*/ 238125 w 21600"/>
            <a:gd name="T3" fmla="*/ 238125 h 21600"/>
            <a:gd name="T4" fmla="*/ 0 w 21600"/>
            <a:gd name="T5" fmla="*/ 23812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12</xdr:col>
      <xdr:colOff>22815</xdr:colOff>
      <xdr:row>18</xdr:row>
      <xdr:rowOff>13518</xdr:rowOff>
    </xdr:from>
    <xdr:to>
      <xdr:col>12</xdr:col>
      <xdr:colOff>22815</xdr:colOff>
      <xdr:row>18</xdr:row>
      <xdr:rowOff>98901</xdr:rowOff>
    </xdr:to>
    <xdr:sp macro="" textlink="">
      <xdr:nvSpPr>
        <xdr:cNvPr id="30" name="Line 63">
          <a:extLst>
            <a:ext uri="{FF2B5EF4-FFF2-40B4-BE49-F238E27FC236}">
              <a16:creationId xmlns:a16="http://schemas.microsoft.com/office/drawing/2014/main" id="{00000000-0008-0000-0300-00001E000000}"/>
            </a:ext>
          </a:extLst>
        </xdr:cNvPr>
        <xdr:cNvSpPr>
          <a:spLocks noChangeShapeType="1"/>
        </xdr:cNvSpPr>
      </xdr:nvSpPr>
      <xdr:spPr bwMode="auto">
        <a:xfrm flipV="1">
          <a:off x="1613490" y="3299643"/>
          <a:ext cx="0" cy="8538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22815</xdr:colOff>
      <xdr:row>19</xdr:row>
      <xdr:rowOff>165576</xdr:rowOff>
    </xdr:from>
    <xdr:to>
      <xdr:col>12</xdr:col>
      <xdr:colOff>22815</xdr:colOff>
      <xdr:row>22</xdr:row>
      <xdr:rowOff>42094</xdr:rowOff>
    </xdr:to>
    <xdr:sp macro="" textlink="">
      <xdr:nvSpPr>
        <xdr:cNvPr id="31" name="Line 65">
          <a:extLst>
            <a:ext uri="{FF2B5EF4-FFF2-40B4-BE49-F238E27FC236}">
              <a16:creationId xmlns:a16="http://schemas.microsoft.com/office/drawing/2014/main" id="{00000000-0008-0000-0300-00001F000000}"/>
            </a:ext>
          </a:extLst>
        </xdr:cNvPr>
        <xdr:cNvSpPr>
          <a:spLocks noChangeShapeType="1"/>
        </xdr:cNvSpPr>
      </xdr:nvSpPr>
      <xdr:spPr bwMode="auto">
        <a:xfrm>
          <a:off x="1613490" y="3623151"/>
          <a:ext cx="0" cy="390868"/>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oneCellAnchor>
    <xdr:from>
      <xdr:col>10</xdr:col>
      <xdr:colOff>58975</xdr:colOff>
      <xdr:row>22</xdr:row>
      <xdr:rowOff>79851</xdr:rowOff>
    </xdr:from>
    <xdr:ext cx="374846" cy="141001"/>
    <xdr:sp macro="" textlink="">
      <xdr:nvSpPr>
        <xdr:cNvPr id="32" name="Text Box 67">
          <a:extLst>
            <a:ext uri="{FF2B5EF4-FFF2-40B4-BE49-F238E27FC236}">
              <a16:creationId xmlns:a16="http://schemas.microsoft.com/office/drawing/2014/main" id="{00000000-0008-0000-0300-000020000000}"/>
            </a:ext>
          </a:extLst>
        </xdr:cNvPr>
        <xdr:cNvSpPr txBox="1">
          <a:spLocks noChangeArrowheads="1"/>
        </xdr:cNvSpPr>
      </xdr:nvSpPr>
      <xdr:spPr bwMode="auto">
        <a:xfrm>
          <a:off x="1402000" y="4051776"/>
          <a:ext cx="374846" cy="14100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US" sz="800" b="0" i="0" u="none" strike="noStrike" baseline="0">
              <a:solidFill>
                <a:srgbClr val="000000"/>
              </a:solidFill>
              <a:latin typeface="Arial"/>
              <a:cs typeface="Arial"/>
            </a:rPr>
            <a:t>F1 + F2</a:t>
          </a:r>
        </a:p>
      </xdr:txBody>
    </xdr:sp>
    <xdr:clientData/>
  </xdr:oneCellAnchor>
  <mc:AlternateContent xmlns:mc="http://schemas.openxmlformats.org/markup-compatibility/2006">
    <mc:Choice xmlns:a14="http://schemas.microsoft.com/office/drawing/2010/main" Requires="a14">
      <xdr:twoCellAnchor editAs="oneCell">
        <xdr:from>
          <xdr:col>1</xdr:col>
          <xdr:colOff>57150</xdr:colOff>
          <xdr:row>28</xdr:row>
          <xdr:rowOff>19050</xdr:rowOff>
        </xdr:from>
        <xdr:to>
          <xdr:col>12</xdr:col>
          <xdr:colOff>57150</xdr:colOff>
          <xdr:row>30</xdr:row>
          <xdr:rowOff>171450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300-000001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57150</xdr:colOff>
          <xdr:row>34</xdr:row>
          <xdr:rowOff>76200</xdr:rowOff>
        </xdr:from>
        <xdr:to>
          <xdr:col>41</xdr:col>
          <xdr:colOff>133350</xdr:colOff>
          <xdr:row>36</xdr:row>
          <xdr:rowOff>38100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300-000002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95250</xdr:colOff>
          <xdr:row>27</xdr:row>
          <xdr:rowOff>66675</xdr:rowOff>
        </xdr:from>
        <xdr:to>
          <xdr:col>43</xdr:col>
          <xdr:colOff>19050</xdr:colOff>
          <xdr:row>30</xdr:row>
          <xdr:rowOff>57150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300-000003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142875</xdr:rowOff>
        </xdr:from>
        <xdr:to>
          <xdr:col>11</xdr:col>
          <xdr:colOff>104775</xdr:colOff>
          <xdr:row>33</xdr:row>
          <xdr:rowOff>57150</xdr:rowOff>
        </xdr:to>
        <xdr:sp macro="" textlink="">
          <xdr:nvSpPr>
            <xdr:cNvPr id="6148" name="Object 4" hidden="1">
              <a:extLst>
                <a:ext uri="{63B3BB69-23CF-44E3-9099-C40C66FF867C}">
                  <a14:compatExt spid="_x0000_s6148"/>
                </a:ext>
                <a:ext uri="{FF2B5EF4-FFF2-40B4-BE49-F238E27FC236}">
                  <a16:creationId xmlns:a16="http://schemas.microsoft.com/office/drawing/2014/main" id="{00000000-0008-0000-0300-000004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119776</xdr:colOff>
      <xdr:row>17</xdr:row>
      <xdr:rowOff>22815</xdr:rowOff>
    </xdr:from>
    <xdr:to>
      <xdr:col>5</xdr:col>
      <xdr:colOff>119776</xdr:colOff>
      <xdr:row>18</xdr:row>
      <xdr:rowOff>108369</xdr:rowOff>
    </xdr:to>
    <xdr:sp macro="" textlink="">
      <xdr:nvSpPr>
        <xdr:cNvPr id="38" name="Line 65">
          <a:extLst>
            <a:ext uri="{FF2B5EF4-FFF2-40B4-BE49-F238E27FC236}">
              <a16:creationId xmlns:a16="http://schemas.microsoft.com/office/drawing/2014/main" id="{00000000-0008-0000-0300-000026000000}"/>
            </a:ext>
          </a:extLst>
        </xdr:cNvPr>
        <xdr:cNvSpPr>
          <a:spLocks noChangeShapeType="1"/>
        </xdr:cNvSpPr>
      </xdr:nvSpPr>
      <xdr:spPr bwMode="auto">
        <a:xfrm rot="10800000">
          <a:off x="796051" y="3137490"/>
          <a:ext cx="0" cy="25700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6</xdr:col>
      <xdr:colOff>57035</xdr:colOff>
      <xdr:row>17</xdr:row>
      <xdr:rowOff>39926</xdr:rowOff>
    </xdr:from>
    <xdr:to>
      <xdr:col>7</xdr:col>
      <xdr:colOff>91965</xdr:colOff>
      <xdr:row>18</xdr:row>
      <xdr:rowOff>30743</xdr:rowOff>
    </xdr:to>
    <xdr:sp macro="" textlink="">
      <xdr:nvSpPr>
        <xdr:cNvPr id="39" name="Text Box 60">
          <a:extLst>
            <a:ext uri="{FF2B5EF4-FFF2-40B4-BE49-F238E27FC236}">
              <a16:creationId xmlns:a16="http://schemas.microsoft.com/office/drawing/2014/main" id="{00000000-0008-0000-0300-000027000000}"/>
            </a:ext>
          </a:extLst>
        </xdr:cNvPr>
        <xdr:cNvSpPr txBox="1">
          <a:spLocks noChangeArrowheads="1"/>
        </xdr:cNvSpPr>
      </xdr:nvSpPr>
      <xdr:spPr bwMode="auto">
        <a:xfrm>
          <a:off x="858449" y="3140478"/>
          <a:ext cx="166309" cy="16161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F3</a:t>
          </a:r>
        </a:p>
      </xdr:txBody>
    </xdr:sp>
    <xdr:clientData/>
  </xdr:twoCellAnchor>
  <xdr:twoCellAnchor>
    <xdr:from>
      <xdr:col>18</xdr:col>
      <xdr:colOff>62739</xdr:colOff>
      <xdr:row>19</xdr:row>
      <xdr:rowOff>161755</xdr:rowOff>
    </xdr:from>
    <xdr:to>
      <xdr:col>21</xdr:col>
      <xdr:colOff>106485</xdr:colOff>
      <xdr:row>21</xdr:row>
      <xdr:rowOff>95080</xdr:rowOff>
    </xdr:to>
    <xdr:sp macro="" textlink="">
      <xdr:nvSpPr>
        <xdr:cNvPr id="40" name="AutoShape 35">
          <a:extLst>
            <a:ext uri="{FF2B5EF4-FFF2-40B4-BE49-F238E27FC236}">
              <a16:creationId xmlns:a16="http://schemas.microsoft.com/office/drawing/2014/main" id="{00000000-0008-0000-0300-000028000000}"/>
            </a:ext>
          </a:extLst>
        </xdr:cNvPr>
        <xdr:cNvSpPr>
          <a:spLocks noChangeArrowheads="1"/>
        </xdr:cNvSpPr>
      </xdr:nvSpPr>
      <xdr:spPr bwMode="auto">
        <a:xfrm>
          <a:off x="2339214" y="3619330"/>
          <a:ext cx="386646" cy="27622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41978</xdr:colOff>
      <xdr:row>18</xdr:row>
      <xdr:rowOff>152230</xdr:rowOff>
    </xdr:from>
    <xdr:to>
      <xdr:col>23</xdr:col>
      <xdr:colOff>1939</xdr:colOff>
      <xdr:row>20</xdr:row>
      <xdr:rowOff>161755</xdr:rowOff>
    </xdr:to>
    <xdr:sp macro="" textlink="">
      <xdr:nvSpPr>
        <xdr:cNvPr id="41" name="AutoShape 36">
          <a:extLst>
            <a:ext uri="{FF2B5EF4-FFF2-40B4-BE49-F238E27FC236}">
              <a16:creationId xmlns:a16="http://schemas.microsoft.com/office/drawing/2014/main" id="{00000000-0008-0000-0300-000029000000}"/>
            </a:ext>
          </a:extLst>
        </xdr:cNvPr>
        <xdr:cNvSpPr>
          <a:spLocks noChangeArrowheads="1"/>
        </xdr:cNvSpPr>
      </xdr:nvSpPr>
      <xdr:spPr bwMode="auto">
        <a:xfrm rot="-5400000">
          <a:off x="2522271" y="3463137"/>
          <a:ext cx="352425" cy="302861"/>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41978</xdr:colOff>
      <xdr:row>18</xdr:row>
      <xdr:rowOff>142705</xdr:rowOff>
    </xdr:from>
    <xdr:to>
      <xdr:col>20</xdr:col>
      <xdr:colOff>41978</xdr:colOff>
      <xdr:row>19</xdr:row>
      <xdr:rowOff>161755</xdr:rowOff>
    </xdr:to>
    <xdr:sp macro="" textlink="">
      <xdr:nvSpPr>
        <xdr:cNvPr id="42" name="Line 37">
          <a:extLst>
            <a:ext uri="{FF2B5EF4-FFF2-40B4-BE49-F238E27FC236}">
              <a16:creationId xmlns:a16="http://schemas.microsoft.com/office/drawing/2014/main" id="{00000000-0008-0000-0300-00002A000000}"/>
            </a:ext>
          </a:extLst>
        </xdr:cNvPr>
        <xdr:cNvSpPr>
          <a:spLocks noChangeShapeType="1"/>
        </xdr:cNvSpPr>
      </xdr:nvSpPr>
      <xdr:spPr bwMode="auto">
        <a:xfrm flipV="1">
          <a:off x="2547053" y="3428830"/>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108425</xdr:colOff>
      <xdr:row>18</xdr:row>
      <xdr:rowOff>152230</xdr:rowOff>
    </xdr:from>
    <xdr:to>
      <xdr:col>20</xdr:col>
      <xdr:colOff>96960</xdr:colOff>
      <xdr:row>19</xdr:row>
      <xdr:rowOff>19222</xdr:rowOff>
    </xdr:to>
    <xdr:sp macro="" textlink="">
      <xdr:nvSpPr>
        <xdr:cNvPr id="43" name="Line 38">
          <a:extLst>
            <a:ext uri="{FF2B5EF4-FFF2-40B4-BE49-F238E27FC236}">
              <a16:creationId xmlns:a16="http://schemas.microsoft.com/office/drawing/2014/main" id="{00000000-0008-0000-0300-00002B000000}"/>
            </a:ext>
          </a:extLst>
        </xdr:cNvPr>
        <xdr:cNvSpPr>
          <a:spLocks noChangeShapeType="1"/>
        </xdr:cNvSpPr>
      </xdr:nvSpPr>
      <xdr:spPr bwMode="auto">
        <a:xfrm flipV="1">
          <a:off x="2499200" y="3438355"/>
          <a:ext cx="102835" cy="3844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108425</xdr:colOff>
      <xdr:row>19</xdr:row>
      <xdr:rowOff>28747</xdr:rowOff>
    </xdr:from>
    <xdr:to>
      <xdr:col>20</xdr:col>
      <xdr:colOff>96960</xdr:colOff>
      <xdr:row>19</xdr:row>
      <xdr:rowOff>66847</xdr:rowOff>
    </xdr:to>
    <xdr:sp macro="" textlink="">
      <xdr:nvSpPr>
        <xdr:cNvPr id="44" name="Line 39">
          <a:extLst>
            <a:ext uri="{FF2B5EF4-FFF2-40B4-BE49-F238E27FC236}">
              <a16:creationId xmlns:a16="http://schemas.microsoft.com/office/drawing/2014/main" id="{00000000-0008-0000-0300-00002C000000}"/>
            </a:ext>
          </a:extLst>
        </xdr:cNvPr>
        <xdr:cNvSpPr>
          <a:spLocks noChangeShapeType="1"/>
        </xdr:cNvSpPr>
      </xdr:nvSpPr>
      <xdr:spPr bwMode="auto">
        <a:xfrm flipV="1">
          <a:off x="2499200" y="3486322"/>
          <a:ext cx="102835" cy="38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108425</xdr:colOff>
      <xdr:row>19</xdr:row>
      <xdr:rowOff>76372</xdr:rowOff>
    </xdr:from>
    <xdr:to>
      <xdr:col>20</xdr:col>
      <xdr:colOff>96960</xdr:colOff>
      <xdr:row>19</xdr:row>
      <xdr:rowOff>114130</xdr:rowOff>
    </xdr:to>
    <xdr:sp macro="" textlink="">
      <xdr:nvSpPr>
        <xdr:cNvPr id="45" name="Line 40">
          <a:extLst>
            <a:ext uri="{FF2B5EF4-FFF2-40B4-BE49-F238E27FC236}">
              <a16:creationId xmlns:a16="http://schemas.microsoft.com/office/drawing/2014/main" id="{00000000-0008-0000-0300-00002D000000}"/>
            </a:ext>
          </a:extLst>
        </xdr:cNvPr>
        <xdr:cNvSpPr>
          <a:spLocks noChangeShapeType="1"/>
        </xdr:cNvSpPr>
      </xdr:nvSpPr>
      <xdr:spPr bwMode="auto">
        <a:xfrm flipV="1">
          <a:off x="2499200" y="3533947"/>
          <a:ext cx="102835" cy="3775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1939</xdr:colOff>
      <xdr:row>20</xdr:row>
      <xdr:rowOff>172</xdr:rowOff>
    </xdr:from>
    <xdr:to>
      <xdr:col>25</xdr:col>
      <xdr:colOff>58860</xdr:colOff>
      <xdr:row>20</xdr:row>
      <xdr:rowOff>172</xdr:rowOff>
    </xdr:to>
    <xdr:sp macro="" textlink="">
      <xdr:nvSpPr>
        <xdr:cNvPr id="46" name="Line 41">
          <a:extLst>
            <a:ext uri="{FF2B5EF4-FFF2-40B4-BE49-F238E27FC236}">
              <a16:creationId xmlns:a16="http://schemas.microsoft.com/office/drawing/2014/main" id="{00000000-0008-0000-0300-00002E000000}"/>
            </a:ext>
          </a:extLst>
        </xdr:cNvPr>
        <xdr:cNvSpPr>
          <a:spLocks noChangeShapeType="1"/>
        </xdr:cNvSpPr>
      </xdr:nvSpPr>
      <xdr:spPr bwMode="auto">
        <a:xfrm>
          <a:off x="2849914" y="3629197"/>
          <a:ext cx="28552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49335</xdr:colOff>
      <xdr:row>21</xdr:row>
      <xdr:rowOff>95080</xdr:rowOff>
    </xdr:from>
    <xdr:to>
      <xdr:col>20</xdr:col>
      <xdr:colOff>49335</xdr:colOff>
      <xdr:row>23</xdr:row>
      <xdr:rowOff>152230</xdr:rowOff>
    </xdr:to>
    <xdr:sp macro="" textlink="">
      <xdr:nvSpPr>
        <xdr:cNvPr id="47" name="Line 45">
          <a:extLst>
            <a:ext uri="{FF2B5EF4-FFF2-40B4-BE49-F238E27FC236}">
              <a16:creationId xmlns:a16="http://schemas.microsoft.com/office/drawing/2014/main" id="{00000000-0008-0000-0300-00002F000000}"/>
            </a:ext>
          </a:extLst>
        </xdr:cNvPr>
        <xdr:cNvSpPr>
          <a:spLocks noChangeShapeType="1"/>
        </xdr:cNvSpPr>
      </xdr:nvSpPr>
      <xdr:spPr bwMode="auto">
        <a:xfrm>
          <a:off x="2554410" y="3895555"/>
          <a:ext cx="0"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15342</xdr:colOff>
      <xdr:row>23</xdr:row>
      <xdr:rowOff>114130</xdr:rowOff>
    </xdr:from>
    <xdr:to>
      <xdr:col>20</xdr:col>
      <xdr:colOff>49335</xdr:colOff>
      <xdr:row>24</xdr:row>
      <xdr:rowOff>9697</xdr:rowOff>
    </xdr:to>
    <xdr:sp macro="" textlink="">
      <xdr:nvSpPr>
        <xdr:cNvPr id="48" name="Oval 46">
          <a:extLst>
            <a:ext uri="{FF2B5EF4-FFF2-40B4-BE49-F238E27FC236}">
              <a16:creationId xmlns:a16="http://schemas.microsoft.com/office/drawing/2014/main" id="{00000000-0008-0000-0300-000030000000}"/>
            </a:ext>
          </a:extLst>
        </xdr:cNvPr>
        <xdr:cNvSpPr>
          <a:spLocks noChangeArrowheads="1"/>
        </xdr:cNvSpPr>
      </xdr:nvSpPr>
      <xdr:spPr bwMode="auto">
        <a:xfrm>
          <a:off x="2406117" y="4257505"/>
          <a:ext cx="148293" cy="67017"/>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20</xdr:col>
      <xdr:colOff>49335</xdr:colOff>
      <xdr:row>23</xdr:row>
      <xdr:rowOff>152230</xdr:rowOff>
    </xdr:from>
    <xdr:to>
      <xdr:col>21</xdr:col>
      <xdr:colOff>20988</xdr:colOff>
      <xdr:row>24</xdr:row>
      <xdr:rowOff>9697</xdr:rowOff>
    </xdr:to>
    <xdr:sp macro="" textlink="">
      <xdr:nvSpPr>
        <xdr:cNvPr id="49" name="Arc 47">
          <a:extLst>
            <a:ext uri="{FF2B5EF4-FFF2-40B4-BE49-F238E27FC236}">
              <a16:creationId xmlns:a16="http://schemas.microsoft.com/office/drawing/2014/main" id="{00000000-0008-0000-0300-000031000000}"/>
            </a:ext>
          </a:extLst>
        </xdr:cNvPr>
        <xdr:cNvSpPr>
          <a:spLocks/>
        </xdr:cNvSpPr>
      </xdr:nvSpPr>
      <xdr:spPr bwMode="auto">
        <a:xfrm rot="16200000" flipH="1">
          <a:off x="2582928" y="4267087"/>
          <a:ext cx="28917" cy="85953"/>
        </a:xfrm>
        <a:custGeom>
          <a:avLst/>
          <a:gdLst>
            <a:gd name="T0" fmla="*/ 0 w 21600"/>
            <a:gd name="T1" fmla="*/ 0 h 21600"/>
            <a:gd name="T2" fmla="*/ 28575 w 21600"/>
            <a:gd name="T3" fmla="*/ 85725 h 21600"/>
            <a:gd name="T4" fmla="*/ 0 w 21600"/>
            <a:gd name="T5" fmla="*/ 8572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21</xdr:col>
      <xdr:colOff>11463</xdr:colOff>
      <xdr:row>23</xdr:row>
      <xdr:rowOff>152230</xdr:rowOff>
    </xdr:from>
    <xdr:to>
      <xdr:col>21</xdr:col>
      <xdr:colOff>77910</xdr:colOff>
      <xdr:row>24</xdr:row>
      <xdr:rowOff>9697</xdr:rowOff>
    </xdr:to>
    <xdr:sp macro="" textlink="">
      <xdr:nvSpPr>
        <xdr:cNvPr id="50" name="Arc 48">
          <a:extLst>
            <a:ext uri="{FF2B5EF4-FFF2-40B4-BE49-F238E27FC236}">
              <a16:creationId xmlns:a16="http://schemas.microsoft.com/office/drawing/2014/main" id="{00000000-0008-0000-0300-000032000000}"/>
            </a:ext>
          </a:extLst>
        </xdr:cNvPr>
        <xdr:cNvSpPr>
          <a:spLocks/>
        </xdr:cNvSpPr>
      </xdr:nvSpPr>
      <xdr:spPr bwMode="auto">
        <a:xfrm rot="5400000">
          <a:off x="2649603" y="4276840"/>
          <a:ext cx="28917" cy="66447"/>
        </a:xfrm>
        <a:custGeom>
          <a:avLst/>
          <a:gdLst>
            <a:gd name="T0" fmla="*/ 0 w 21600"/>
            <a:gd name="T1" fmla="*/ 0 h 21600"/>
            <a:gd name="T2" fmla="*/ 28575 w 21600"/>
            <a:gd name="T3" fmla="*/ 66675 h 21600"/>
            <a:gd name="T4" fmla="*/ 0 w 21600"/>
            <a:gd name="T5" fmla="*/ 6667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25</xdr:col>
      <xdr:colOff>34164</xdr:colOff>
      <xdr:row>20</xdr:row>
      <xdr:rowOff>2112</xdr:rowOff>
    </xdr:from>
    <xdr:to>
      <xdr:col>27</xdr:col>
      <xdr:colOff>43803</xdr:colOff>
      <xdr:row>21</xdr:row>
      <xdr:rowOff>68444</xdr:rowOff>
    </xdr:to>
    <xdr:sp macro="" textlink="">
      <xdr:nvSpPr>
        <xdr:cNvPr id="51" name="Arc 62">
          <a:extLst>
            <a:ext uri="{FF2B5EF4-FFF2-40B4-BE49-F238E27FC236}">
              <a16:creationId xmlns:a16="http://schemas.microsoft.com/office/drawing/2014/main" id="{00000000-0008-0000-0300-000033000000}"/>
            </a:ext>
          </a:extLst>
        </xdr:cNvPr>
        <xdr:cNvSpPr>
          <a:spLocks/>
        </xdr:cNvSpPr>
      </xdr:nvSpPr>
      <xdr:spPr bwMode="auto">
        <a:xfrm rot="16200000" flipV="1">
          <a:off x="3110968" y="3630908"/>
          <a:ext cx="237782" cy="238239"/>
        </a:xfrm>
        <a:custGeom>
          <a:avLst/>
          <a:gdLst>
            <a:gd name="T0" fmla="*/ 0 w 21600"/>
            <a:gd name="T1" fmla="*/ 0 h 21600"/>
            <a:gd name="T2" fmla="*/ 238125 w 21600"/>
            <a:gd name="T3" fmla="*/ 238125 h 21600"/>
            <a:gd name="T4" fmla="*/ 0 w 21600"/>
            <a:gd name="T5" fmla="*/ 23812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43632</xdr:colOff>
      <xdr:row>21</xdr:row>
      <xdr:rowOff>70554</xdr:rowOff>
    </xdr:from>
    <xdr:to>
      <xdr:col>27</xdr:col>
      <xdr:colOff>43632</xdr:colOff>
      <xdr:row>21</xdr:row>
      <xdr:rowOff>155937</xdr:rowOff>
    </xdr:to>
    <xdr:sp macro="" textlink="">
      <xdr:nvSpPr>
        <xdr:cNvPr id="52" name="Line 63">
          <a:extLst>
            <a:ext uri="{FF2B5EF4-FFF2-40B4-BE49-F238E27FC236}">
              <a16:creationId xmlns:a16="http://schemas.microsoft.com/office/drawing/2014/main" id="{00000000-0008-0000-0300-000034000000}"/>
            </a:ext>
          </a:extLst>
        </xdr:cNvPr>
        <xdr:cNvSpPr>
          <a:spLocks noChangeShapeType="1"/>
        </xdr:cNvSpPr>
      </xdr:nvSpPr>
      <xdr:spPr bwMode="auto">
        <a:xfrm flipV="1">
          <a:off x="3348807" y="3871029"/>
          <a:ext cx="0" cy="8538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43631</xdr:colOff>
      <xdr:row>17</xdr:row>
      <xdr:rowOff>28519</xdr:rowOff>
    </xdr:from>
    <xdr:to>
      <xdr:col>20</xdr:col>
      <xdr:colOff>43631</xdr:colOff>
      <xdr:row>18</xdr:row>
      <xdr:rowOff>114073</xdr:rowOff>
    </xdr:to>
    <xdr:sp macro="" textlink="">
      <xdr:nvSpPr>
        <xdr:cNvPr id="53" name="Line 65">
          <a:extLst>
            <a:ext uri="{FF2B5EF4-FFF2-40B4-BE49-F238E27FC236}">
              <a16:creationId xmlns:a16="http://schemas.microsoft.com/office/drawing/2014/main" id="{00000000-0008-0000-0300-000035000000}"/>
            </a:ext>
          </a:extLst>
        </xdr:cNvPr>
        <xdr:cNvSpPr>
          <a:spLocks noChangeShapeType="1"/>
        </xdr:cNvSpPr>
      </xdr:nvSpPr>
      <xdr:spPr bwMode="auto">
        <a:xfrm rot="10800000">
          <a:off x="2548706" y="3143194"/>
          <a:ext cx="0" cy="25700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21</xdr:col>
      <xdr:colOff>3420</xdr:colOff>
      <xdr:row>17</xdr:row>
      <xdr:rowOff>45630</xdr:rowOff>
    </xdr:from>
    <xdr:to>
      <xdr:col>22</xdr:col>
      <xdr:colOff>45983</xdr:colOff>
      <xdr:row>18</xdr:row>
      <xdr:rowOff>36447</xdr:rowOff>
    </xdr:to>
    <xdr:sp macro="" textlink="">
      <xdr:nvSpPr>
        <xdr:cNvPr id="54" name="Text Box 60">
          <a:extLst>
            <a:ext uri="{FF2B5EF4-FFF2-40B4-BE49-F238E27FC236}">
              <a16:creationId xmlns:a16="http://schemas.microsoft.com/office/drawing/2014/main" id="{00000000-0008-0000-0300-000036000000}"/>
            </a:ext>
          </a:extLst>
        </xdr:cNvPr>
        <xdr:cNvSpPr txBox="1">
          <a:spLocks noChangeArrowheads="1"/>
        </xdr:cNvSpPr>
      </xdr:nvSpPr>
      <xdr:spPr bwMode="auto">
        <a:xfrm flipH="1">
          <a:off x="2578454" y="3146182"/>
          <a:ext cx="154236" cy="16161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F3</a:t>
          </a:r>
        </a:p>
      </xdr:txBody>
    </xdr:sp>
    <xdr:clientData/>
  </xdr:twoCellAnchor>
  <xdr:twoCellAnchor>
    <xdr:from>
      <xdr:col>25</xdr:col>
      <xdr:colOff>68443</xdr:colOff>
      <xdr:row>21</xdr:row>
      <xdr:rowOff>142590</xdr:rowOff>
    </xdr:from>
    <xdr:to>
      <xdr:col>29</xdr:col>
      <xdr:colOff>5703</xdr:colOff>
      <xdr:row>23</xdr:row>
      <xdr:rowOff>165405</xdr:rowOff>
    </xdr:to>
    <xdr:sp macro="" textlink="">
      <xdr:nvSpPr>
        <xdr:cNvPr id="55" name="Oval 54">
          <a:extLst>
            <a:ext uri="{FF2B5EF4-FFF2-40B4-BE49-F238E27FC236}">
              <a16:creationId xmlns:a16="http://schemas.microsoft.com/office/drawing/2014/main" id="{00000000-0008-0000-0300-000037000000}"/>
            </a:ext>
          </a:extLst>
        </xdr:cNvPr>
        <xdr:cNvSpPr/>
      </xdr:nvSpPr>
      <xdr:spPr bwMode="auto">
        <a:xfrm>
          <a:off x="3145018" y="3943065"/>
          <a:ext cx="394460" cy="365715"/>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n-US" sz="1100"/>
        </a:p>
      </xdr:txBody>
    </xdr:sp>
    <xdr:clientData/>
  </xdr:twoCellAnchor>
  <xdr:twoCellAnchor>
    <xdr:from>
      <xdr:col>41</xdr:col>
      <xdr:colOff>45629</xdr:colOff>
      <xdr:row>16</xdr:row>
      <xdr:rowOff>165404</xdr:rowOff>
    </xdr:from>
    <xdr:to>
      <xdr:col>41</xdr:col>
      <xdr:colOff>45629</xdr:colOff>
      <xdr:row>18</xdr:row>
      <xdr:rowOff>79851</xdr:rowOff>
    </xdr:to>
    <xdr:sp macro="" textlink="">
      <xdr:nvSpPr>
        <xdr:cNvPr id="56" name="Line 65">
          <a:extLst>
            <a:ext uri="{FF2B5EF4-FFF2-40B4-BE49-F238E27FC236}">
              <a16:creationId xmlns:a16="http://schemas.microsoft.com/office/drawing/2014/main" id="{00000000-0008-0000-0300-000038000000}"/>
            </a:ext>
          </a:extLst>
        </xdr:cNvPr>
        <xdr:cNvSpPr>
          <a:spLocks noChangeShapeType="1"/>
        </xdr:cNvSpPr>
      </xdr:nvSpPr>
      <xdr:spPr bwMode="auto">
        <a:xfrm rot="10800000">
          <a:off x="5179604" y="3108629"/>
          <a:ext cx="0" cy="25734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41</xdr:col>
      <xdr:colOff>116011</xdr:colOff>
      <xdr:row>17</xdr:row>
      <xdr:rowOff>11408</xdr:rowOff>
    </xdr:from>
    <xdr:to>
      <xdr:col>43</xdr:col>
      <xdr:colOff>65689</xdr:colOff>
      <xdr:row>18</xdr:row>
      <xdr:rowOff>2225</xdr:rowOff>
    </xdr:to>
    <xdr:sp macro="" textlink="">
      <xdr:nvSpPr>
        <xdr:cNvPr id="57" name="Text Box 60">
          <a:extLst>
            <a:ext uri="{FF2B5EF4-FFF2-40B4-BE49-F238E27FC236}">
              <a16:creationId xmlns:a16="http://schemas.microsoft.com/office/drawing/2014/main" id="{00000000-0008-0000-0300-000039000000}"/>
            </a:ext>
          </a:extLst>
        </xdr:cNvPr>
        <xdr:cNvSpPr txBox="1">
          <a:spLocks noChangeArrowheads="1"/>
        </xdr:cNvSpPr>
      </xdr:nvSpPr>
      <xdr:spPr bwMode="auto">
        <a:xfrm flipH="1">
          <a:off x="5160977" y="3111960"/>
          <a:ext cx="192729" cy="16161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F3</a:t>
          </a:r>
        </a:p>
      </xdr:txBody>
    </xdr:sp>
    <xdr:clientData/>
  </xdr:twoCellAnchor>
  <xdr:twoCellAnchor>
    <xdr:from>
      <xdr:col>11</xdr:col>
      <xdr:colOff>51332</xdr:colOff>
      <xdr:row>17</xdr:row>
      <xdr:rowOff>153997</xdr:rowOff>
    </xdr:from>
    <xdr:to>
      <xdr:col>12</xdr:col>
      <xdr:colOff>102664</xdr:colOff>
      <xdr:row>18</xdr:row>
      <xdr:rowOff>51333</xdr:rowOff>
    </xdr:to>
    <xdr:cxnSp macro="">
      <xdr:nvCxnSpPr>
        <xdr:cNvPr id="58" name="Straight Connector 57">
          <a:extLst>
            <a:ext uri="{FF2B5EF4-FFF2-40B4-BE49-F238E27FC236}">
              <a16:creationId xmlns:a16="http://schemas.microsoft.com/office/drawing/2014/main" id="{00000000-0008-0000-0300-00003A000000}"/>
            </a:ext>
          </a:extLst>
        </xdr:cNvPr>
        <xdr:cNvCxnSpPr/>
      </xdr:nvCxnSpPr>
      <xdr:spPr bwMode="auto">
        <a:xfrm>
          <a:off x="1527707" y="3268672"/>
          <a:ext cx="165632" cy="6878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mc:AlternateContent xmlns:mc="http://schemas.openxmlformats.org/markup-compatibility/2006">
    <mc:Choice xmlns:a14="http://schemas.microsoft.com/office/drawing/2010/main" Requires="a14">
      <xdr:twoCellAnchor editAs="oneCell">
        <xdr:from>
          <xdr:col>32</xdr:col>
          <xdr:colOff>76200</xdr:colOff>
          <xdr:row>31</xdr:row>
          <xdr:rowOff>38100</xdr:rowOff>
        </xdr:from>
        <xdr:to>
          <xdr:col>43</xdr:col>
          <xdr:colOff>66675</xdr:colOff>
          <xdr:row>34</xdr:row>
          <xdr:rowOff>57150</xdr:rowOff>
        </xdr:to>
        <xdr:sp macro="" textlink="">
          <xdr:nvSpPr>
            <xdr:cNvPr id="6149" name="Object 5" hidden="1">
              <a:extLst>
                <a:ext uri="{63B3BB69-23CF-44E3-9099-C40C66FF867C}">
                  <a14:compatExt spid="_x0000_s6149"/>
                </a:ext>
                <a:ext uri="{FF2B5EF4-FFF2-40B4-BE49-F238E27FC236}">
                  <a16:creationId xmlns:a16="http://schemas.microsoft.com/office/drawing/2014/main" id="{00000000-0008-0000-0300-000005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34</xdr:row>
          <xdr:rowOff>114300</xdr:rowOff>
        </xdr:from>
        <xdr:to>
          <xdr:col>12</xdr:col>
          <xdr:colOff>38100</xdr:colOff>
          <xdr:row>36</xdr:row>
          <xdr:rowOff>19050</xdr:rowOff>
        </xdr:to>
        <xdr:sp macro="" textlink="">
          <xdr:nvSpPr>
            <xdr:cNvPr id="6150" name="Object 6" hidden="1">
              <a:extLst>
                <a:ext uri="{63B3BB69-23CF-44E3-9099-C40C66FF867C}">
                  <a14:compatExt spid="_x0000_s6150"/>
                </a:ext>
                <a:ext uri="{FF2B5EF4-FFF2-40B4-BE49-F238E27FC236}">
                  <a16:creationId xmlns:a16="http://schemas.microsoft.com/office/drawing/2014/main" id="{00000000-0008-0000-0300-0000061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40</xdr:col>
      <xdr:colOff>9753</xdr:colOff>
      <xdr:row>19</xdr:row>
      <xdr:rowOff>137058</xdr:rowOff>
    </xdr:from>
    <xdr:to>
      <xdr:col>42</xdr:col>
      <xdr:colOff>74261</xdr:colOff>
      <xdr:row>21</xdr:row>
      <xdr:rowOff>70383</xdr:rowOff>
    </xdr:to>
    <xdr:sp macro="" textlink="">
      <xdr:nvSpPr>
        <xdr:cNvPr id="2" name="AutoShape 21">
          <a:extLst>
            <a:ext uri="{FF2B5EF4-FFF2-40B4-BE49-F238E27FC236}">
              <a16:creationId xmlns:a16="http://schemas.microsoft.com/office/drawing/2014/main" id="{00000000-0008-0000-0400-000002000000}"/>
            </a:ext>
          </a:extLst>
        </xdr:cNvPr>
        <xdr:cNvSpPr>
          <a:spLocks noChangeArrowheads="1"/>
        </xdr:cNvSpPr>
      </xdr:nvSpPr>
      <xdr:spPr bwMode="auto">
        <a:xfrm>
          <a:off x="5010378" y="3594633"/>
          <a:ext cx="331208" cy="27622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41</xdr:col>
      <xdr:colOff>45686</xdr:colOff>
      <xdr:row>18</xdr:row>
      <xdr:rowOff>127533</xdr:rowOff>
    </xdr:from>
    <xdr:to>
      <xdr:col>43</xdr:col>
      <xdr:colOff>62797</xdr:colOff>
      <xdr:row>20</xdr:row>
      <xdr:rowOff>137058</xdr:rowOff>
    </xdr:to>
    <xdr:sp macro="" textlink="">
      <xdr:nvSpPr>
        <xdr:cNvPr id="3" name="AutoShape 22">
          <a:extLst>
            <a:ext uri="{FF2B5EF4-FFF2-40B4-BE49-F238E27FC236}">
              <a16:creationId xmlns:a16="http://schemas.microsoft.com/office/drawing/2014/main" id="{00000000-0008-0000-0400-000003000000}"/>
            </a:ext>
          </a:extLst>
        </xdr:cNvPr>
        <xdr:cNvSpPr>
          <a:spLocks noChangeArrowheads="1"/>
        </xdr:cNvSpPr>
      </xdr:nvSpPr>
      <xdr:spPr bwMode="auto">
        <a:xfrm rot="-5400000">
          <a:off x="5135829" y="3457490"/>
          <a:ext cx="352425" cy="264761"/>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40</xdr:col>
      <xdr:colOff>36161</xdr:colOff>
      <xdr:row>23</xdr:row>
      <xdr:rowOff>79908</xdr:rowOff>
    </xdr:from>
    <xdr:to>
      <xdr:col>41</xdr:col>
      <xdr:colOff>36161</xdr:colOff>
      <xdr:row>23</xdr:row>
      <xdr:rowOff>146583</xdr:rowOff>
    </xdr:to>
    <xdr:sp macro="" textlink="">
      <xdr:nvSpPr>
        <xdr:cNvPr id="4" name="Oval 23">
          <a:extLst>
            <a:ext uri="{FF2B5EF4-FFF2-40B4-BE49-F238E27FC236}">
              <a16:creationId xmlns:a16="http://schemas.microsoft.com/office/drawing/2014/main" id="{00000000-0008-0000-0400-000004000000}"/>
            </a:ext>
          </a:extLst>
        </xdr:cNvPr>
        <xdr:cNvSpPr>
          <a:spLocks noChangeArrowheads="1"/>
        </xdr:cNvSpPr>
      </xdr:nvSpPr>
      <xdr:spPr bwMode="auto">
        <a:xfrm>
          <a:off x="5036786" y="4223283"/>
          <a:ext cx="133350" cy="66675"/>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41</xdr:col>
      <xdr:colOff>36161</xdr:colOff>
      <xdr:row>21</xdr:row>
      <xdr:rowOff>70383</xdr:rowOff>
    </xdr:from>
    <xdr:to>
      <xdr:col>41</xdr:col>
      <xdr:colOff>36161</xdr:colOff>
      <xdr:row>23</xdr:row>
      <xdr:rowOff>118008</xdr:rowOff>
    </xdr:to>
    <xdr:sp macro="" textlink="">
      <xdr:nvSpPr>
        <xdr:cNvPr id="5" name="Line 24">
          <a:extLst>
            <a:ext uri="{FF2B5EF4-FFF2-40B4-BE49-F238E27FC236}">
              <a16:creationId xmlns:a16="http://schemas.microsoft.com/office/drawing/2014/main" id="{00000000-0008-0000-0400-000005000000}"/>
            </a:ext>
          </a:extLst>
        </xdr:cNvPr>
        <xdr:cNvSpPr>
          <a:spLocks noChangeShapeType="1"/>
        </xdr:cNvSpPr>
      </xdr:nvSpPr>
      <xdr:spPr bwMode="auto">
        <a:xfrm>
          <a:off x="5170136" y="3870858"/>
          <a:ext cx="0" cy="3905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36161</xdr:colOff>
      <xdr:row>23</xdr:row>
      <xdr:rowOff>118008</xdr:rowOff>
    </xdr:from>
    <xdr:to>
      <xdr:col>41</xdr:col>
      <xdr:colOff>102836</xdr:colOff>
      <xdr:row>23</xdr:row>
      <xdr:rowOff>146583</xdr:rowOff>
    </xdr:to>
    <xdr:sp macro="" textlink="">
      <xdr:nvSpPr>
        <xdr:cNvPr id="6" name="Arc 25">
          <a:extLst>
            <a:ext uri="{FF2B5EF4-FFF2-40B4-BE49-F238E27FC236}">
              <a16:creationId xmlns:a16="http://schemas.microsoft.com/office/drawing/2014/main" id="{00000000-0008-0000-0400-000006000000}"/>
            </a:ext>
          </a:extLst>
        </xdr:cNvPr>
        <xdr:cNvSpPr>
          <a:spLocks/>
        </xdr:cNvSpPr>
      </xdr:nvSpPr>
      <xdr:spPr bwMode="auto">
        <a:xfrm rot="16200000" flipH="1">
          <a:off x="5189186" y="4242333"/>
          <a:ext cx="28575" cy="66675"/>
        </a:xfrm>
        <a:custGeom>
          <a:avLst/>
          <a:gdLst>
            <a:gd name="T0" fmla="*/ 0 w 21600"/>
            <a:gd name="T1" fmla="*/ 0 h 21600"/>
            <a:gd name="T2" fmla="*/ 28575 w 21600"/>
            <a:gd name="T3" fmla="*/ 66675 h 21600"/>
            <a:gd name="T4" fmla="*/ 0 w 21600"/>
            <a:gd name="T5" fmla="*/ 6667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41</xdr:col>
      <xdr:colOff>93311</xdr:colOff>
      <xdr:row>23</xdr:row>
      <xdr:rowOff>118008</xdr:rowOff>
    </xdr:from>
    <xdr:to>
      <xdr:col>42</xdr:col>
      <xdr:colOff>26636</xdr:colOff>
      <xdr:row>23</xdr:row>
      <xdr:rowOff>146583</xdr:rowOff>
    </xdr:to>
    <xdr:sp macro="" textlink="">
      <xdr:nvSpPr>
        <xdr:cNvPr id="7" name="Arc 26">
          <a:extLst>
            <a:ext uri="{FF2B5EF4-FFF2-40B4-BE49-F238E27FC236}">
              <a16:creationId xmlns:a16="http://schemas.microsoft.com/office/drawing/2014/main" id="{00000000-0008-0000-0400-000007000000}"/>
            </a:ext>
          </a:extLst>
        </xdr:cNvPr>
        <xdr:cNvSpPr>
          <a:spLocks/>
        </xdr:cNvSpPr>
      </xdr:nvSpPr>
      <xdr:spPr bwMode="auto">
        <a:xfrm rot="5400000">
          <a:off x="5246336" y="4242333"/>
          <a:ext cx="28575" cy="66675"/>
        </a:xfrm>
        <a:custGeom>
          <a:avLst/>
          <a:gdLst>
            <a:gd name="T0" fmla="*/ 0 w 21600"/>
            <a:gd name="T1" fmla="*/ 0 h 21600"/>
            <a:gd name="T2" fmla="*/ 28575 w 21600"/>
            <a:gd name="T3" fmla="*/ 66675 h 21600"/>
            <a:gd name="T4" fmla="*/ 0 w 21600"/>
            <a:gd name="T5" fmla="*/ 6667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41</xdr:col>
      <xdr:colOff>45686</xdr:colOff>
      <xdr:row>18</xdr:row>
      <xdr:rowOff>118008</xdr:rowOff>
    </xdr:from>
    <xdr:to>
      <xdr:col>41</xdr:col>
      <xdr:colOff>45686</xdr:colOff>
      <xdr:row>19</xdr:row>
      <xdr:rowOff>137058</xdr:rowOff>
    </xdr:to>
    <xdr:sp macro="" textlink="">
      <xdr:nvSpPr>
        <xdr:cNvPr id="8" name="Line 27">
          <a:extLst>
            <a:ext uri="{FF2B5EF4-FFF2-40B4-BE49-F238E27FC236}">
              <a16:creationId xmlns:a16="http://schemas.microsoft.com/office/drawing/2014/main" id="{00000000-0008-0000-0400-000008000000}"/>
            </a:ext>
          </a:extLst>
        </xdr:cNvPr>
        <xdr:cNvSpPr>
          <a:spLocks noChangeShapeType="1"/>
        </xdr:cNvSpPr>
      </xdr:nvSpPr>
      <xdr:spPr bwMode="auto">
        <a:xfrm flipV="1">
          <a:off x="5179661" y="3404133"/>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229</xdr:colOff>
      <xdr:row>18</xdr:row>
      <xdr:rowOff>127533</xdr:rowOff>
    </xdr:from>
    <xdr:to>
      <xdr:col>41</xdr:col>
      <xdr:colOff>93311</xdr:colOff>
      <xdr:row>19</xdr:row>
      <xdr:rowOff>4050</xdr:rowOff>
    </xdr:to>
    <xdr:sp macro="" textlink="">
      <xdr:nvSpPr>
        <xdr:cNvPr id="9" name="Line 28">
          <a:extLst>
            <a:ext uri="{FF2B5EF4-FFF2-40B4-BE49-F238E27FC236}">
              <a16:creationId xmlns:a16="http://schemas.microsoft.com/office/drawing/2014/main" id="{00000000-0008-0000-0400-000009000000}"/>
            </a:ext>
          </a:extLst>
        </xdr:cNvPr>
        <xdr:cNvSpPr>
          <a:spLocks noChangeShapeType="1"/>
        </xdr:cNvSpPr>
      </xdr:nvSpPr>
      <xdr:spPr bwMode="auto">
        <a:xfrm flipV="1">
          <a:off x="5134204" y="3413658"/>
          <a:ext cx="93082" cy="47967"/>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229</xdr:colOff>
      <xdr:row>19</xdr:row>
      <xdr:rowOff>4050</xdr:rowOff>
    </xdr:from>
    <xdr:to>
      <xdr:col>41</xdr:col>
      <xdr:colOff>93311</xdr:colOff>
      <xdr:row>19</xdr:row>
      <xdr:rowOff>51333</xdr:rowOff>
    </xdr:to>
    <xdr:sp macro="" textlink="">
      <xdr:nvSpPr>
        <xdr:cNvPr id="10" name="Line 29">
          <a:extLst>
            <a:ext uri="{FF2B5EF4-FFF2-40B4-BE49-F238E27FC236}">
              <a16:creationId xmlns:a16="http://schemas.microsoft.com/office/drawing/2014/main" id="{00000000-0008-0000-0400-00000A000000}"/>
            </a:ext>
          </a:extLst>
        </xdr:cNvPr>
        <xdr:cNvSpPr>
          <a:spLocks noChangeShapeType="1"/>
        </xdr:cNvSpPr>
      </xdr:nvSpPr>
      <xdr:spPr bwMode="auto">
        <a:xfrm flipV="1">
          <a:off x="5134204" y="3461625"/>
          <a:ext cx="93082" cy="4728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229</xdr:colOff>
      <xdr:row>19</xdr:row>
      <xdr:rowOff>51333</xdr:rowOff>
    </xdr:from>
    <xdr:to>
      <xdr:col>41</xdr:col>
      <xdr:colOff>93311</xdr:colOff>
      <xdr:row>19</xdr:row>
      <xdr:rowOff>108483</xdr:rowOff>
    </xdr:to>
    <xdr:sp macro="" textlink="">
      <xdr:nvSpPr>
        <xdr:cNvPr id="11" name="Line 30">
          <a:extLst>
            <a:ext uri="{FF2B5EF4-FFF2-40B4-BE49-F238E27FC236}">
              <a16:creationId xmlns:a16="http://schemas.microsoft.com/office/drawing/2014/main" id="{00000000-0008-0000-0400-00000B000000}"/>
            </a:ext>
          </a:extLst>
        </xdr:cNvPr>
        <xdr:cNvSpPr>
          <a:spLocks noChangeShapeType="1"/>
        </xdr:cNvSpPr>
      </xdr:nvSpPr>
      <xdr:spPr bwMode="auto">
        <a:xfrm flipV="1">
          <a:off x="5134204" y="3508908"/>
          <a:ext cx="93082" cy="571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62797</xdr:colOff>
      <xdr:row>19</xdr:row>
      <xdr:rowOff>137058</xdr:rowOff>
    </xdr:from>
    <xdr:to>
      <xdr:col>48</xdr:col>
      <xdr:colOff>106543</xdr:colOff>
      <xdr:row>19</xdr:row>
      <xdr:rowOff>137058</xdr:rowOff>
    </xdr:to>
    <xdr:sp macro="" textlink="">
      <xdr:nvSpPr>
        <xdr:cNvPr id="12" name="Line 31">
          <a:extLst>
            <a:ext uri="{FF2B5EF4-FFF2-40B4-BE49-F238E27FC236}">
              <a16:creationId xmlns:a16="http://schemas.microsoft.com/office/drawing/2014/main" id="{00000000-0008-0000-0400-00000C000000}"/>
            </a:ext>
          </a:extLst>
        </xdr:cNvPr>
        <xdr:cNvSpPr>
          <a:spLocks noChangeShapeType="1"/>
        </xdr:cNvSpPr>
      </xdr:nvSpPr>
      <xdr:spPr bwMode="auto">
        <a:xfrm>
          <a:off x="5444422" y="3594633"/>
          <a:ext cx="615246"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77968</xdr:colOff>
      <xdr:row>19</xdr:row>
      <xdr:rowOff>137058</xdr:rowOff>
    </xdr:from>
    <xdr:to>
      <xdr:col>49</xdr:col>
      <xdr:colOff>21046</xdr:colOff>
      <xdr:row>20</xdr:row>
      <xdr:rowOff>108483</xdr:rowOff>
    </xdr:to>
    <xdr:sp macro="" textlink="">
      <xdr:nvSpPr>
        <xdr:cNvPr id="13" name="Oval 32">
          <a:extLst>
            <a:ext uri="{FF2B5EF4-FFF2-40B4-BE49-F238E27FC236}">
              <a16:creationId xmlns:a16="http://schemas.microsoft.com/office/drawing/2014/main" id="{00000000-0008-0000-0400-00000D000000}"/>
            </a:ext>
          </a:extLst>
        </xdr:cNvPr>
        <xdr:cNvSpPr>
          <a:spLocks noChangeArrowheads="1"/>
        </xdr:cNvSpPr>
      </xdr:nvSpPr>
      <xdr:spPr bwMode="auto">
        <a:xfrm rot="-5400000">
          <a:off x="5988344" y="3637382"/>
          <a:ext cx="142875" cy="57378"/>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48</xdr:col>
      <xdr:colOff>106543</xdr:colOff>
      <xdr:row>18</xdr:row>
      <xdr:rowOff>165633</xdr:rowOff>
    </xdr:from>
    <xdr:to>
      <xdr:col>49</xdr:col>
      <xdr:colOff>21046</xdr:colOff>
      <xdr:row>19</xdr:row>
      <xdr:rowOff>60858</xdr:rowOff>
    </xdr:to>
    <xdr:sp macro="" textlink="">
      <xdr:nvSpPr>
        <xdr:cNvPr id="14" name="Arc 33">
          <a:extLst>
            <a:ext uri="{FF2B5EF4-FFF2-40B4-BE49-F238E27FC236}">
              <a16:creationId xmlns:a16="http://schemas.microsoft.com/office/drawing/2014/main" id="{00000000-0008-0000-0400-00000E000000}"/>
            </a:ext>
          </a:extLst>
        </xdr:cNvPr>
        <xdr:cNvSpPr>
          <a:spLocks/>
        </xdr:cNvSpPr>
      </xdr:nvSpPr>
      <xdr:spPr bwMode="auto">
        <a:xfrm rot="10800000" flipH="1" flipV="1">
          <a:off x="6059668" y="3451758"/>
          <a:ext cx="28803" cy="66675"/>
        </a:xfrm>
        <a:custGeom>
          <a:avLst/>
          <a:gdLst>
            <a:gd name="T0" fmla="*/ 0 w 21600"/>
            <a:gd name="T1" fmla="*/ 0 h 21600"/>
            <a:gd name="T2" fmla="*/ 28575 w 21600"/>
            <a:gd name="T3" fmla="*/ 66675 h 21600"/>
            <a:gd name="T4" fmla="*/ 0 w 21600"/>
            <a:gd name="T5" fmla="*/ 6667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48</xdr:col>
      <xdr:colOff>106543</xdr:colOff>
      <xdr:row>19</xdr:row>
      <xdr:rowOff>60858</xdr:rowOff>
    </xdr:from>
    <xdr:to>
      <xdr:col>49</xdr:col>
      <xdr:colOff>21046</xdr:colOff>
      <xdr:row>19</xdr:row>
      <xdr:rowOff>137058</xdr:rowOff>
    </xdr:to>
    <xdr:sp macro="" textlink="">
      <xdr:nvSpPr>
        <xdr:cNvPr id="15" name="Arc 34">
          <a:extLst>
            <a:ext uri="{FF2B5EF4-FFF2-40B4-BE49-F238E27FC236}">
              <a16:creationId xmlns:a16="http://schemas.microsoft.com/office/drawing/2014/main" id="{00000000-0008-0000-0400-00000F000000}"/>
            </a:ext>
          </a:extLst>
        </xdr:cNvPr>
        <xdr:cNvSpPr>
          <a:spLocks/>
        </xdr:cNvSpPr>
      </xdr:nvSpPr>
      <xdr:spPr bwMode="auto">
        <a:xfrm rot="10800000" flipH="1">
          <a:off x="6059668" y="3518433"/>
          <a:ext cx="28803" cy="76200"/>
        </a:xfrm>
        <a:custGeom>
          <a:avLst/>
          <a:gdLst>
            <a:gd name="T0" fmla="*/ 0 w 21600"/>
            <a:gd name="T1" fmla="*/ 0 h 21600"/>
            <a:gd name="T2" fmla="*/ 28575 w 21600"/>
            <a:gd name="T3" fmla="*/ 76200 h 21600"/>
            <a:gd name="T4" fmla="*/ 0 w 21600"/>
            <a:gd name="T5" fmla="*/ 76200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xdr:col>
      <xdr:colOff>41922</xdr:colOff>
      <xdr:row>19</xdr:row>
      <xdr:rowOff>156051</xdr:rowOff>
    </xdr:from>
    <xdr:to>
      <xdr:col>7</xdr:col>
      <xdr:colOff>34336</xdr:colOff>
      <xdr:row>21</xdr:row>
      <xdr:rowOff>89376</xdr:rowOff>
    </xdr:to>
    <xdr:sp macro="" textlink="">
      <xdr:nvSpPr>
        <xdr:cNvPr id="16" name="AutoShape 35">
          <a:extLst>
            <a:ext uri="{FF2B5EF4-FFF2-40B4-BE49-F238E27FC236}">
              <a16:creationId xmlns:a16="http://schemas.microsoft.com/office/drawing/2014/main" id="{00000000-0008-0000-0400-000010000000}"/>
            </a:ext>
          </a:extLst>
        </xdr:cNvPr>
        <xdr:cNvSpPr>
          <a:spLocks noChangeArrowheads="1"/>
        </xdr:cNvSpPr>
      </xdr:nvSpPr>
      <xdr:spPr bwMode="auto">
        <a:xfrm>
          <a:off x="584847" y="3613626"/>
          <a:ext cx="392464" cy="27622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118123</xdr:colOff>
      <xdr:row>18</xdr:row>
      <xdr:rowOff>146526</xdr:rowOff>
    </xdr:from>
    <xdr:to>
      <xdr:col>8</xdr:col>
      <xdr:colOff>26751</xdr:colOff>
      <xdr:row>20</xdr:row>
      <xdr:rowOff>156051</xdr:rowOff>
    </xdr:to>
    <xdr:sp macro="" textlink="">
      <xdr:nvSpPr>
        <xdr:cNvPr id="17" name="AutoShape 36">
          <a:extLst>
            <a:ext uri="{FF2B5EF4-FFF2-40B4-BE49-F238E27FC236}">
              <a16:creationId xmlns:a16="http://schemas.microsoft.com/office/drawing/2014/main" id="{00000000-0008-0000-0400-000011000000}"/>
            </a:ext>
          </a:extLst>
        </xdr:cNvPr>
        <xdr:cNvSpPr>
          <a:spLocks noChangeArrowheads="1"/>
        </xdr:cNvSpPr>
      </xdr:nvSpPr>
      <xdr:spPr bwMode="auto">
        <a:xfrm rot="-5400000">
          <a:off x="772524" y="3454525"/>
          <a:ext cx="352425" cy="308678"/>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118123</xdr:colOff>
      <xdr:row>18</xdr:row>
      <xdr:rowOff>137001</xdr:rowOff>
    </xdr:from>
    <xdr:to>
      <xdr:col>5</xdr:col>
      <xdr:colOff>118123</xdr:colOff>
      <xdr:row>19</xdr:row>
      <xdr:rowOff>156051</xdr:rowOff>
    </xdr:to>
    <xdr:sp macro="" textlink="">
      <xdr:nvSpPr>
        <xdr:cNvPr id="18" name="Line 37">
          <a:extLst>
            <a:ext uri="{FF2B5EF4-FFF2-40B4-BE49-F238E27FC236}">
              <a16:creationId xmlns:a16="http://schemas.microsoft.com/office/drawing/2014/main" id="{00000000-0008-0000-0400-000012000000}"/>
            </a:ext>
          </a:extLst>
        </xdr:cNvPr>
        <xdr:cNvSpPr>
          <a:spLocks noChangeShapeType="1"/>
        </xdr:cNvSpPr>
      </xdr:nvSpPr>
      <xdr:spPr bwMode="auto">
        <a:xfrm flipV="1">
          <a:off x="794398" y="3423126"/>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70498</xdr:colOff>
      <xdr:row>18</xdr:row>
      <xdr:rowOff>146526</xdr:rowOff>
    </xdr:from>
    <xdr:to>
      <xdr:col>6</xdr:col>
      <xdr:colOff>41922</xdr:colOff>
      <xdr:row>19</xdr:row>
      <xdr:rowOff>13518</xdr:rowOff>
    </xdr:to>
    <xdr:sp macro="" textlink="">
      <xdr:nvSpPr>
        <xdr:cNvPr id="19" name="Line 38">
          <a:extLst>
            <a:ext uri="{FF2B5EF4-FFF2-40B4-BE49-F238E27FC236}">
              <a16:creationId xmlns:a16="http://schemas.microsoft.com/office/drawing/2014/main" id="{00000000-0008-0000-0400-000013000000}"/>
            </a:ext>
          </a:extLst>
        </xdr:cNvPr>
        <xdr:cNvSpPr>
          <a:spLocks noChangeShapeType="1"/>
        </xdr:cNvSpPr>
      </xdr:nvSpPr>
      <xdr:spPr bwMode="auto">
        <a:xfrm flipV="1">
          <a:off x="746773" y="3432651"/>
          <a:ext cx="104774" cy="3844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70498</xdr:colOff>
      <xdr:row>19</xdr:row>
      <xdr:rowOff>23043</xdr:rowOff>
    </xdr:from>
    <xdr:to>
      <xdr:col>6</xdr:col>
      <xdr:colOff>41922</xdr:colOff>
      <xdr:row>19</xdr:row>
      <xdr:rowOff>61143</xdr:rowOff>
    </xdr:to>
    <xdr:sp macro="" textlink="">
      <xdr:nvSpPr>
        <xdr:cNvPr id="20" name="Line 39">
          <a:extLst>
            <a:ext uri="{FF2B5EF4-FFF2-40B4-BE49-F238E27FC236}">
              <a16:creationId xmlns:a16="http://schemas.microsoft.com/office/drawing/2014/main" id="{00000000-0008-0000-0400-000014000000}"/>
            </a:ext>
          </a:extLst>
        </xdr:cNvPr>
        <xdr:cNvSpPr>
          <a:spLocks noChangeShapeType="1"/>
        </xdr:cNvSpPr>
      </xdr:nvSpPr>
      <xdr:spPr bwMode="auto">
        <a:xfrm flipV="1">
          <a:off x="746773" y="3480618"/>
          <a:ext cx="104774" cy="38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70498</xdr:colOff>
      <xdr:row>19</xdr:row>
      <xdr:rowOff>70668</xdr:rowOff>
    </xdr:from>
    <xdr:to>
      <xdr:col>6</xdr:col>
      <xdr:colOff>41922</xdr:colOff>
      <xdr:row>19</xdr:row>
      <xdr:rowOff>108426</xdr:rowOff>
    </xdr:to>
    <xdr:sp macro="" textlink="">
      <xdr:nvSpPr>
        <xdr:cNvPr id="21" name="Line 40">
          <a:extLst>
            <a:ext uri="{FF2B5EF4-FFF2-40B4-BE49-F238E27FC236}">
              <a16:creationId xmlns:a16="http://schemas.microsoft.com/office/drawing/2014/main" id="{00000000-0008-0000-0400-000015000000}"/>
            </a:ext>
          </a:extLst>
        </xdr:cNvPr>
        <xdr:cNvSpPr>
          <a:spLocks noChangeShapeType="1"/>
        </xdr:cNvSpPr>
      </xdr:nvSpPr>
      <xdr:spPr bwMode="auto">
        <a:xfrm flipV="1">
          <a:off x="746773" y="3528243"/>
          <a:ext cx="104774" cy="3775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26751</xdr:colOff>
      <xdr:row>19</xdr:row>
      <xdr:rowOff>165576</xdr:rowOff>
    </xdr:from>
    <xdr:to>
      <xdr:col>10</xdr:col>
      <xdr:colOff>49450</xdr:colOff>
      <xdr:row>19</xdr:row>
      <xdr:rowOff>165576</xdr:rowOff>
    </xdr:to>
    <xdr:sp macro="" textlink="">
      <xdr:nvSpPr>
        <xdr:cNvPr id="22" name="Line 41">
          <a:extLst>
            <a:ext uri="{FF2B5EF4-FFF2-40B4-BE49-F238E27FC236}">
              <a16:creationId xmlns:a16="http://schemas.microsoft.com/office/drawing/2014/main" id="{00000000-0008-0000-0400-000016000000}"/>
            </a:ext>
          </a:extLst>
        </xdr:cNvPr>
        <xdr:cNvSpPr>
          <a:spLocks noChangeShapeType="1"/>
        </xdr:cNvSpPr>
      </xdr:nvSpPr>
      <xdr:spPr bwMode="auto">
        <a:xfrm>
          <a:off x="1103076" y="3623151"/>
          <a:ext cx="28939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125480</xdr:colOff>
      <xdr:row>21</xdr:row>
      <xdr:rowOff>89376</xdr:rowOff>
    </xdr:from>
    <xdr:to>
      <xdr:col>5</xdr:col>
      <xdr:colOff>125480</xdr:colOff>
      <xdr:row>23</xdr:row>
      <xdr:rowOff>146526</xdr:rowOff>
    </xdr:to>
    <xdr:sp macro="" textlink="">
      <xdr:nvSpPr>
        <xdr:cNvPr id="23" name="Line 45">
          <a:extLst>
            <a:ext uri="{FF2B5EF4-FFF2-40B4-BE49-F238E27FC236}">
              <a16:creationId xmlns:a16="http://schemas.microsoft.com/office/drawing/2014/main" id="{00000000-0008-0000-0400-000017000000}"/>
            </a:ext>
          </a:extLst>
        </xdr:cNvPr>
        <xdr:cNvSpPr>
          <a:spLocks noChangeShapeType="1"/>
        </xdr:cNvSpPr>
      </xdr:nvSpPr>
      <xdr:spPr bwMode="auto">
        <a:xfrm>
          <a:off x="801755" y="3889851"/>
          <a:ext cx="0"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108597</xdr:colOff>
      <xdr:row>23</xdr:row>
      <xdr:rowOff>108426</xdr:rowOff>
    </xdr:from>
    <xdr:to>
      <xdr:col>5</xdr:col>
      <xdr:colOff>125480</xdr:colOff>
      <xdr:row>24</xdr:row>
      <xdr:rowOff>3993</xdr:rowOff>
    </xdr:to>
    <xdr:sp macro="" textlink="">
      <xdr:nvSpPr>
        <xdr:cNvPr id="24" name="Oval 46">
          <a:extLst>
            <a:ext uri="{FF2B5EF4-FFF2-40B4-BE49-F238E27FC236}">
              <a16:creationId xmlns:a16="http://schemas.microsoft.com/office/drawing/2014/main" id="{00000000-0008-0000-0400-000018000000}"/>
            </a:ext>
          </a:extLst>
        </xdr:cNvPr>
        <xdr:cNvSpPr>
          <a:spLocks noChangeArrowheads="1"/>
        </xdr:cNvSpPr>
      </xdr:nvSpPr>
      <xdr:spPr bwMode="auto">
        <a:xfrm>
          <a:off x="651522" y="4251801"/>
          <a:ext cx="150233" cy="67017"/>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5</xdr:col>
      <xdr:colOff>125480</xdr:colOff>
      <xdr:row>23</xdr:row>
      <xdr:rowOff>146526</xdr:rowOff>
    </xdr:from>
    <xdr:to>
      <xdr:col>6</xdr:col>
      <xdr:colOff>80022</xdr:colOff>
      <xdr:row>24</xdr:row>
      <xdr:rowOff>3993</xdr:rowOff>
    </xdr:to>
    <xdr:sp macro="" textlink="">
      <xdr:nvSpPr>
        <xdr:cNvPr id="25" name="Arc 47">
          <a:extLst>
            <a:ext uri="{FF2B5EF4-FFF2-40B4-BE49-F238E27FC236}">
              <a16:creationId xmlns:a16="http://schemas.microsoft.com/office/drawing/2014/main" id="{00000000-0008-0000-0400-000019000000}"/>
            </a:ext>
          </a:extLst>
        </xdr:cNvPr>
        <xdr:cNvSpPr>
          <a:spLocks/>
        </xdr:cNvSpPr>
      </xdr:nvSpPr>
      <xdr:spPr bwMode="auto">
        <a:xfrm rot="16200000" flipH="1">
          <a:off x="831242" y="4260414"/>
          <a:ext cx="28917" cy="87892"/>
        </a:xfrm>
        <a:custGeom>
          <a:avLst/>
          <a:gdLst>
            <a:gd name="T0" fmla="*/ 0 w 21600"/>
            <a:gd name="T1" fmla="*/ 0 h 21600"/>
            <a:gd name="T2" fmla="*/ 28575 w 21600"/>
            <a:gd name="T3" fmla="*/ 85725 h 21600"/>
            <a:gd name="T4" fmla="*/ 0 w 21600"/>
            <a:gd name="T5" fmla="*/ 8572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70497</xdr:colOff>
      <xdr:row>23</xdr:row>
      <xdr:rowOff>146526</xdr:rowOff>
    </xdr:from>
    <xdr:to>
      <xdr:col>7</xdr:col>
      <xdr:colOff>5761</xdr:colOff>
      <xdr:row>24</xdr:row>
      <xdr:rowOff>3993</xdr:rowOff>
    </xdr:to>
    <xdr:sp macro="" textlink="">
      <xdr:nvSpPr>
        <xdr:cNvPr id="26" name="Arc 48">
          <a:extLst>
            <a:ext uri="{FF2B5EF4-FFF2-40B4-BE49-F238E27FC236}">
              <a16:creationId xmlns:a16="http://schemas.microsoft.com/office/drawing/2014/main" id="{00000000-0008-0000-0400-00001A000000}"/>
            </a:ext>
          </a:extLst>
        </xdr:cNvPr>
        <xdr:cNvSpPr>
          <a:spLocks/>
        </xdr:cNvSpPr>
      </xdr:nvSpPr>
      <xdr:spPr bwMode="auto">
        <a:xfrm rot="5400000">
          <a:off x="899970" y="4270053"/>
          <a:ext cx="28917" cy="68614"/>
        </a:xfrm>
        <a:custGeom>
          <a:avLst/>
          <a:gdLst>
            <a:gd name="T0" fmla="*/ 0 w 21600"/>
            <a:gd name="T1" fmla="*/ 0 h 21600"/>
            <a:gd name="T2" fmla="*/ 28575 w 21600"/>
            <a:gd name="T3" fmla="*/ 66675 h 21600"/>
            <a:gd name="T4" fmla="*/ 0 w 21600"/>
            <a:gd name="T5" fmla="*/ 6667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37</xdr:col>
      <xdr:colOff>55211</xdr:colOff>
      <xdr:row>19</xdr:row>
      <xdr:rowOff>137058</xdr:rowOff>
    </xdr:from>
    <xdr:to>
      <xdr:col>40</xdr:col>
      <xdr:colOff>26636</xdr:colOff>
      <xdr:row>19</xdr:row>
      <xdr:rowOff>137058</xdr:rowOff>
    </xdr:to>
    <xdr:sp macro="" textlink="">
      <xdr:nvSpPr>
        <xdr:cNvPr id="27" name="Line 58">
          <a:extLst>
            <a:ext uri="{FF2B5EF4-FFF2-40B4-BE49-F238E27FC236}">
              <a16:creationId xmlns:a16="http://schemas.microsoft.com/office/drawing/2014/main" id="{00000000-0008-0000-0400-00001B000000}"/>
            </a:ext>
          </a:extLst>
        </xdr:cNvPr>
        <xdr:cNvSpPr>
          <a:spLocks noChangeShapeType="1"/>
        </xdr:cNvSpPr>
      </xdr:nvSpPr>
      <xdr:spPr bwMode="auto">
        <a:xfrm flipH="1">
          <a:off x="4655786" y="3594633"/>
          <a:ext cx="371475"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37</xdr:col>
      <xdr:colOff>228</xdr:colOff>
      <xdr:row>18</xdr:row>
      <xdr:rowOff>51333</xdr:rowOff>
    </xdr:from>
    <xdr:to>
      <xdr:col>38</xdr:col>
      <xdr:colOff>81643</xdr:colOff>
      <xdr:row>19</xdr:row>
      <xdr:rowOff>42151</xdr:rowOff>
    </xdr:to>
    <xdr:sp macro="" textlink="">
      <xdr:nvSpPr>
        <xdr:cNvPr id="28" name="Text Box 60">
          <a:extLst>
            <a:ext uri="{FF2B5EF4-FFF2-40B4-BE49-F238E27FC236}">
              <a16:creationId xmlns:a16="http://schemas.microsoft.com/office/drawing/2014/main" id="{00000000-0008-0000-0400-00001C000000}"/>
            </a:ext>
          </a:extLst>
        </xdr:cNvPr>
        <xdr:cNvSpPr txBox="1">
          <a:spLocks noChangeArrowheads="1"/>
        </xdr:cNvSpPr>
      </xdr:nvSpPr>
      <xdr:spPr bwMode="auto">
        <a:xfrm>
          <a:off x="4648428" y="3344262"/>
          <a:ext cx="217486" cy="16498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F4</a:t>
          </a:r>
        </a:p>
      </xdr:txBody>
    </xdr:sp>
    <xdr:clientData/>
  </xdr:twoCellAnchor>
  <xdr:twoCellAnchor>
    <xdr:from>
      <xdr:col>10</xdr:col>
      <xdr:colOff>30629</xdr:colOff>
      <xdr:row>18</xdr:row>
      <xdr:rowOff>98901</xdr:rowOff>
    </xdr:from>
    <xdr:to>
      <xdr:col>12</xdr:col>
      <xdr:colOff>22815</xdr:colOff>
      <xdr:row>19</xdr:row>
      <xdr:rowOff>165576</xdr:rowOff>
    </xdr:to>
    <xdr:sp macro="" textlink="">
      <xdr:nvSpPr>
        <xdr:cNvPr id="29" name="Arc 62">
          <a:extLst>
            <a:ext uri="{FF2B5EF4-FFF2-40B4-BE49-F238E27FC236}">
              <a16:creationId xmlns:a16="http://schemas.microsoft.com/office/drawing/2014/main" id="{00000000-0008-0000-0400-00001D000000}"/>
            </a:ext>
          </a:extLst>
        </xdr:cNvPr>
        <xdr:cNvSpPr>
          <a:spLocks/>
        </xdr:cNvSpPr>
      </xdr:nvSpPr>
      <xdr:spPr bwMode="auto">
        <a:xfrm flipV="1">
          <a:off x="1373654" y="3385026"/>
          <a:ext cx="239836" cy="238125"/>
        </a:xfrm>
        <a:custGeom>
          <a:avLst/>
          <a:gdLst>
            <a:gd name="T0" fmla="*/ 0 w 21600"/>
            <a:gd name="T1" fmla="*/ 0 h 21600"/>
            <a:gd name="T2" fmla="*/ 238125 w 21600"/>
            <a:gd name="T3" fmla="*/ 238125 h 21600"/>
            <a:gd name="T4" fmla="*/ 0 w 21600"/>
            <a:gd name="T5" fmla="*/ 23812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12</xdr:col>
      <xdr:colOff>22815</xdr:colOff>
      <xdr:row>18</xdr:row>
      <xdr:rowOff>13518</xdr:rowOff>
    </xdr:from>
    <xdr:to>
      <xdr:col>12</xdr:col>
      <xdr:colOff>22815</xdr:colOff>
      <xdr:row>18</xdr:row>
      <xdr:rowOff>98901</xdr:rowOff>
    </xdr:to>
    <xdr:sp macro="" textlink="">
      <xdr:nvSpPr>
        <xdr:cNvPr id="30" name="Line 63">
          <a:extLst>
            <a:ext uri="{FF2B5EF4-FFF2-40B4-BE49-F238E27FC236}">
              <a16:creationId xmlns:a16="http://schemas.microsoft.com/office/drawing/2014/main" id="{00000000-0008-0000-0400-00001E000000}"/>
            </a:ext>
          </a:extLst>
        </xdr:cNvPr>
        <xdr:cNvSpPr>
          <a:spLocks noChangeShapeType="1"/>
        </xdr:cNvSpPr>
      </xdr:nvSpPr>
      <xdr:spPr bwMode="auto">
        <a:xfrm flipV="1">
          <a:off x="1613490" y="3299643"/>
          <a:ext cx="0" cy="8538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22815</xdr:colOff>
      <xdr:row>19</xdr:row>
      <xdr:rowOff>165576</xdr:rowOff>
    </xdr:from>
    <xdr:to>
      <xdr:col>12</xdr:col>
      <xdr:colOff>22815</xdr:colOff>
      <xdr:row>22</xdr:row>
      <xdr:rowOff>42094</xdr:rowOff>
    </xdr:to>
    <xdr:sp macro="" textlink="">
      <xdr:nvSpPr>
        <xdr:cNvPr id="31" name="Line 65">
          <a:extLst>
            <a:ext uri="{FF2B5EF4-FFF2-40B4-BE49-F238E27FC236}">
              <a16:creationId xmlns:a16="http://schemas.microsoft.com/office/drawing/2014/main" id="{00000000-0008-0000-0400-00001F000000}"/>
            </a:ext>
          </a:extLst>
        </xdr:cNvPr>
        <xdr:cNvSpPr>
          <a:spLocks noChangeShapeType="1"/>
        </xdr:cNvSpPr>
      </xdr:nvSpPr>
      <xdr:spPr bwMode="auto">
        <a:xfrm>
          <a:off x="1613490" y="3623151"/>
          <a:ext cx="0" cy="390868"/>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oneCellAnchor>
    <xdr:from>
      <xdr:col>10</xdr:col>
      <xdr:colOff>58975</xdr:colOff>
      <xdr:row>22</xdr:row>
      <xdr:rowOff>79851</xdr:rowOff>
    </xdr:from>
    <xdr:ext cx="374846" cy="141001"/>
    <xdr:sp macro="" textlink="">
      <xdr:nvSpPr>
        <xdr:cNvPr id="32" name="Text Box 67">
          <a:extLst>
            <a:ext uri="{FF2B5EF4-FFF2-40B4-BE49-F238E27FC236}">
              <a16:creationId xmlns:a16="http://schemas.microsoft.com/office/drawing/2014/main" id="{00000000-0008-0000-0400-000020000000}"/>
            </a:ext>
          </a:extLst>
        </xdr:cNvPr>
        <xdr:cNvSpPr txBox="1">
          <a:spLocks noChangeArrowheads="1"/>
        </xdr:cNvSpPr>
      </xdr:nvSpPr>
      <xdr:spPr bwMode="auto">
        <a:xfrm>
          <a:off x="1402000" y="4051776"/>
          <a:ext cx="374846" cy="14100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22860" rIns="0" bIns="0" anchor="t" upright="1">
          <a:spAutoFit/>
        </a:bodyPr>
        <a:lstStyle/>
        <a:p>
          <a:pPr algn="l" rtl="0">
            <a:defRPr sz="1000"/>
          </a:pPr>
          <a:r>
            <a:rPr lang="en-US" sz="800" b="0" i="0" u="none" strike="noStrike" baseline="0">
              <a:solidFill>
                <a:srgbClr val="000000"/>
              </a:solidFill>
              <a:latin typeface="Arial"/>
              <a:cs typeface="Arial"/>
            </a:rPr>
            <a:t>F1 + F2</a:t>
          </a:r>
        </a:p>
      </xdr:txBody>
    </xdr:sp>
    <xdr:clientData/>
  </xdr:oneCellAnchor>
  <mc:AlternateContent xmlns:mc="http://schemas.openxmlformats.org/markup-compatibility/2006">
    <mc:Choice xmlns:a14="http://schemas.microsoft.com/office/drawing/2010/main" Requires="a14">
      <xdr:twoCellAnchor editAs="oneCell">
        <xdr:from>
          <xdr:col>1</xdr:col>
          <xdr:colOff>95250</xdr:colOff>
          <xdr:row>28</xdr:row>
          <xdr:rowOff>57150</xdr:rowOff>
        </xdr:from>
        <xdr:to>
          <xdr:col>12</xdr:col>
          <xdr:colOff>95250</xdr:colOff>
          <xdr:row>30</xdr:row>
          <xdr:rowOff>114300</xdr:rowOff>
        </xdr:to>
        <xdr:sp macro="" textlink="">
          <xdr:nvSpPr>
            <xdr:cNvPr id="7169" name="Object 1" hidden="1">
              <a:extLst>
                <a:ext uri="{63B3BB69-23CF-44E3-9099-C40C66FF867C}">
                  <a14:compatExt spid="_x0000_s7169"/>
                </a:ext>
                <a:ext uri="{FF2B5EF4-FFF2-40B4-BE49-F238E27FC236}">
                  <a16:creationId xmlns:a16="http://schemas.microsoft.com/office/drawing/2014/main" id="{00000000-0008-0000-0400-0000011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57150</xdr:colOff>
          <xdr:row>34</xdr:row>
          <xdr:rowOff>133350</xdr:rowOff>
        </xdr:from>
        <xdr:to>
          <xdr:col>43</xdr:col>
          <xdr:colOff>76200</xdr:colOff>
          <xdr:row>36</xdr:row>
          <xdr:rowOff>38100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400-0000021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19050</xdr:colOff>
          <xdr:row>27</xdr:row>
          <xdr:rowOff>171450</xdr:rowOff>
        </xdr:from>
        <xdr:to>
          <xdr:col>43</xdr:col>
          <xdr:colOff>95250</xdr:colOff>
          <xdr:row>30</xdr:row>
          <xdr:rowOff>152400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400-0000031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142875</xdr:rowOff>
        </xdr:from>
        <xdr:to>
          <xdr:col>12</xdr:col>
          <xdr:colOff>66675</xdr:colOff>
          <xdr:row>33</xdr:row>
          <xdr:rowOff>57150</xdr:rowOff>
        </xdr:to>
        <xdr:sp macro="" textlink="">
          <xdr:nvSpPr>
            <xdr:cNvPr id="7172" name="Object 4" hidden="1">
              <a:extLst>
                <a:ext uri="{63B3BB69-23CF-44E3-9099-C40C66FF867C}">
                  <a14:compatExt spid="_x0000_s7172"/>
                </a:ext>
                <a:ext uri="{FF2B5EF4-FFF2-40B4-BE49-F238E27FC236}">
                  <a16:creationId xmlns:a16="http://schemas.microsoft.com/office/drawing/2014/main" id="{00000000-0008-0000-0400-0000041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119776</xdr:colOff>
      <xdr:row>17</xdr:row>
      <xdr:rowOff>22815</xdr:rowOff>
    </xdr:from>
    <xdr:to>
      <xdr:col>5</xdr:col>
      <xdr:colOff>119776</xdr:colOff>
      <xdr:row>18</xdr:row>
      <xdr:rowOff>108369</xdr:rowOff>
    </xdr:to>
    <xdr:sp macro="" textlink="">
      <xdr:nvSpPr>
        <xdr:cNvPr id="38" name="Line 65">
          <a:extLst>
            <a:ext uri="{FF2B5EF4-FFF2-40B4-BE49-F238E27FC236}">
              <a16:creationId xmlns:a16="http://schemas.microsoft.com/office/drawing/2014/main" id="{00000000-0008-0000-0400-000026000000}"/>
            </a:ext>
          </a:extLst>
        </xdr:cNvPr>
        <xdr:cNvSpPr>
          <a:spLocks noChangeShapeType="1"/>
        </xdr:cNvSpPr>
      </xdr:nvSpPr>
      <xdr:spPr bwMode="auto">
        <a:xfrm rot="10800000">
          <a:off x="796051" y="3137490"/>
          <a:ext cx="0" cy="25700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6</xdr:col>
      <xdr:colOff>57035</xdr:colOff>
      <xdr:row>17</xdr:row>
      <xdr:rowOff>39926</xdr:rowOff>
    </xdr:from>
    <xdr:to>
      <xdr:col>7</xdr:col>
      <xdr:colOff>76200</xdr:colOff>
      <xdr:row>18</xdr:row>
      <xdr:rowOff>30743</xdr:rowOff>
    </xdr:to>
    <xdr:sp macro="" textlink="">
      <xdr:nvSpPr>
        <xdr:cNvPr id="39" name="Text Box 60">
          <a:extLst>
            <a:ext uri="{FF2B5EF4-FFF2-40B4-BE49-F238E27FC236}">
              <a16:creationId xmlns:a16="http://schemas.microsoft.com/office/drawing/2014/main" id="{00000000-0008-0000-0400-000027000000}"/>
            </a:ext>
          </a:extLst>
        </xdr:cNvPr>
        <xdr:cNvSpPr txBox="1">
          <a:spLocks noChangeArrowheads="1"/>
        </xdr:cNvSpPr>
      </xdr:nvSpPr>
      <xdr:spPr bwMode="auto">
        <a:xfrm>
          <a:off x="878906" y="3158683"/>
          <a:ext cx="155237" cy="16498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F3</a:t>
          </a:r>
        </a:p>
      </xdr:txBody>
    </xdr:sp>
    <xdr:clientData/>
  </xdr:twoCellAnchor>
  <xdr:twoCellAnchor>
    <xdr:from>
      <xdr:col>18</xdr:col>
      <xdr:colOff>62739</xdr:colOff>
      <xdr:row>19</xdr:row>
      <xdr:rowOff>161755</xdr:rowOff>
    </xdr:from>
    <xdr:to>
      <xdr:col>21</xdr:col>
      <xdr:colOff>106485</xdr:colOff>
      <xdr:row>21</xdr:row>
      <xdr:rowOff>95080</xdr:rowOff>
    </xdr:to>
    <xdr:sp macro="" textlink="">
      <xdr:nvSpPr>
        <xdr:cNvPr id="40" name="AutoShape 35">
          <a:extLst>
            <a:ext uri="{FF2B5EF4-FFF2-40B4-BE49-F238E27FC236}">
              <a16:creationId xmlns:a16="http://schemas.microsoft.com/office/drawing/2014/main" id="{00000000-0008-0000-0400-000028000000}"/>
            </a:ext>
          </a:extLst>
        </xdr:cNvPr>
        <xdr:cNvSpPr>
          <a:spLocks noChangeArrowheads="1"/>
        </xdr:cNvSpPr>
      </xdr:nvSpPr>
      <xdr:spPr bwMode="auto">
        <a:xfrm>
          <a:off x="2339214" y="3619330"/>
          <a:ext cx="386646" cy="276225"/>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41978</xdr:colOff>
      <xdr:row>18</xdr:row>
      <xdr:rowOff>152230</xdr:rowOff>
    </xdr:from>
    <xdr:to>
      <xdr:col>23</xdr:col>
      <xdr:colOff>1939</xdr:colOff>
      <xdr:row>20</xdr:row>
      <xdr:rowOff>161755</xdr:rowOff>
    </xdr:to>
    <xdr:sp macro="" textlink="">
      <xdr:nvSpPr>
        <xdr:cNvPr id="41" name="AutoShape 36">
          <a:extLst>
            <a:ext uri="{FF2B5EF4-FFF2-40B4-BE49-F238E27FC236}">
              <a16:creationId xmlns:a16="http://schemas.microsoft.com/office/drawing/2014/main" id="{00000000-0008-0000-0400-000029000000}"/>
            </a:ext>
          </a:extLst>
        </xdr:cNvPr>
        <xdr:cNvSpPr>
          <a:spLocks noChangeArrowheads="1"/>
        </xdr:cNvSpPr>
      </xdr:nvSpPr>
      <xdr:spPr bwMode="auto">
        <a:xfrm rot="-5400000">
          <a:off x="2522271" y="3463137"/>
          <a:ext cx="352425" cy="302861"/>
        </a:xfrm>
        <a:prstGeom prst="triangle">
          <a:avLst>
            <a:gd name="adj" fmla="val 50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20</xdr:col>
      <xdr:colOff>41978</xdr:colOff>
      <xdr:row>18</xdr:row>
      <xdr:rowOff>142705</xdr:rowOff>
    </xdr:from>
    <xdr:to>
      <xdr:col>20</xdr:col>
      <xdr:colOff>41978</xdr:colOff>
      <xdr:row>19</xdr:row>
      <xdr:rowOff>161755</xdr:rowOff>
    </xdr:to>
    <xdr:sp macro="" textlink="">
      <xdr:nvSpPr>
        <xdr:cNvPr id="42" name="Line 37">
          <a:extLst>
            <a:ext uri="{FF2B5EF4-FFF2-40B4-BE49-F238E27FC236}">
              <a16:creationId xmlns:a16="http://schemas.microsoft.com/office/drawing/2014/main" id="{00000000-0008-0000-0400-00002A000000}"/>
            </a:ext>
          </a:extLst>
        </xdr:cNvPr>
        <xdr:cNvSpPr>
          <a:spLocks noChangeShapeType="1"/>
        </xdr:cNvSpPr>
      </xdr:nvSpPr>
      <xdr:spPr bwMode="auto">
        <a:xfrm flipV="1">
          <a:off x="2547053" y="3428830"/>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108425</xdr:colOff>
      <xdr:row>18</xdr:row>
      <xdr:rowOff>152230</xdr:rowOff>
    </xdr:from>
    <xdr:to>
      <xdr:col>20</xdr:col>
      <xdr:colOff>96960</xdr:colOff>
      <xdr:row>19</xdr:row>
      <xdr:rowOff>19222</xdr:rowOff>
    </xdr:to>
    <xdr:sp macro="" textlink="">
      <xdr:nvSpPr>
        <xdr:cNvPr id="43" name="Line 38">
          <a:extLst>
            <a:ext uri="{FF2B5EF4-FFF2-40B4-BE49-F238E27FC236}">
              <a16:creationId xmlns:a16="http://schemas.microsoft.com/office/drawing/2014/main" id="{00000000-0008-0000-0400-00002B000000}"/>
            </a:ext>
          </a:extLst>
        </xdr:cNvPr>
        <xdr:cNvSpPr>
          <a:spLocks noChangeShapeType="1"/>
        </xdr:cNvSpPr>
      </xdr:nvSpPr>
      <xdr:spPr bwMode="auto">
        <a:xfrm flipV="1">
          <a:off x="2499200" y="3438355"/>
          <a:ext cx="102835" cy="3844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108425</xdr:colOff>
      <xdr:row>19</xdr:row>
      <xdr:rowOff>28747</xdr:rowOff>
    </xdr:from>
    <xdr:to>
      <xdr:col>20</xdr:col>
      <xdr:colOff>96960</xdr:colOff>
      <xdr:row>19</xdr:row>
      <xdr:rowOff>66847</xdr:rowOff>
    </xdr:to>
    <xdr:sp macro="" textlink="">
      <xdr:nvSpPr>
        <xdr:cNvPr id="44" name="Line 39">
          <a:extLst>
            <a:ext uri="{FF2B5EF4-FFF2-40B4-BE49-F238E27FC236}">
              <a16:creationId xmlns:a16="http://schemas.microsoft.com/office/drawing/2014/main" id="{00000000-0008-0000-0400-00002C000000}"/>
            </a:ext>
          </a:extLst>
        </xdr:cNvPr>
        <xdr:cNvSpPr>
          <a:spLocks noChangeShapeType="1"/>
        </xdr:cNvSpPr>
      </xdr:nvSpPr>
      <xdr:spPr bwMode="auto">
        <a:xfrm flipV="1">
          <a:off x="2499200" y="3486322"/>
          <a:ext cx="102835" cy="38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108425</xdr:colOff>
      <xdr:row>19</xdr:row>
      <xdr:rowOff>76372</xdr:rowOff>
    </xdr:from>
    <xdr:to>
      <xdr:col>20</xdr:col>
      <xdr:colOff>96960</xdr:colOff>
      <xdr:row>19</xdr:row>
      <xdr:rowOff>114130</xdr:rowOff>
    </xdr:to>
    <xdr:sp macro="" textlink="">
      <xdr:nvSpPr>
        <xdr:cNvPr id="45" name="Line 40">
          <a:extLst>
            <a:ext uri="{FF2B5EF4-FFF2-40B4-BE49-F238E27FC236}">
              <a16:creationId xmlns:a16="http://schemas.microsoft.com/office/drawing/2014/main" id="{00000000-0008-0000-0400-00002D000000}"/>
            </a:ext>
          </a:extLst>
        </xdr:cNvPr>
        <xdr:cNvSpPr>
          <a:spLocks noChangeShapeType="1"/>
        </xdr:cNvSpPr>
      </xdr:nvSpPr>
      <xdr:spPr bwMode="auto">
        <a:xfrm flipV="1">
          <a:off x="2499200" y="3533947"/>
          <a:ext cx="102835" cy="3775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1939</xdr:colOff>
      <xdr:row>20</xdr:row>
      <xdr:rowOff>172</xdr:rowOff>
    </xdr:from>
    <xdr:to>
      <xdr:col>25</xdr:col>
      <xdr:colOff>58860</xdr:colOff>
      <xdr:row>20</xdr:row>
      <xdr:rowOff>172</xdr:rowOff>
    </xdr:to>
    <xdr:sp macro="" textlink="">
      <xdr:nvSpPr>
        <xdr:cNvPr id="46" name="Line 41">
          <a:extLst>
            <a:ext uri="{FF2B5EF4-FFF2-40B4-BE49-F238E27FC236}">
              <a16:creationId xmlns:a16="http://schemas.microsoft.com/office/drawing/2014/main" id="{00000000-0008-0000-0400-00002E000000}"/>
            </a:ext>
          </a:extLst>
        </xdr:cNvPr>
        <xdr:cNvSpPr>
          <a:spLocks noChangeShapeType="1"/>
        </xdr:cNvSpPr>
      </xdr:nvSpPr>
      <xdr:spPr bwMode="auto">
        <a:xfrm>
          <a:off x="2849914" y="3629197"/>
          <a:ext cx="28552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49335</xdr:colOff>
      <xdr:row>21</xdr:row>
      <xdr:rowOff>95080</xdr:rowOff>
    </xdr:from>
    <xdr:to>
      <xdr:col>20</xdr:col>
      <xdr:colOff>49335</xdr:colOff>
      <xdr:row>23</xdr:row>
      <xdr:rowOff>152230</xdr:rowOff>
    </xdr:to>
    <xdr:sp macro="" textlink="">
      <xdr:nvSpPr>
        <xdr:cNvPr id="47" name="Line 45">
          <a:extLst>
            <a:ext uri="{FF2B5EF4-FFF2-40B4-BE49-F238E27FC236}">
              <a16:creationId xmlns:a16="http://schemas.microsoft.com/office/drawing/2014/main" id="{00000000-0008-0000-0400-00002F000000}"/>
            </a:ext>
          </a:extLst>
        </xdr:cNvPr>
        <xdr:cNvSpPr>
          <a:spLocks noChangeShapeType="1"/>
        </xdr:cNvSpPr>
      </xdr:nvSpPr>
      <xdr:spPr bwMode="auto">
        <a:xfrm>
          <a:off x="2554410" y="3895555"/>
          <a:ext cx="0" cy="40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15342</xdr:colOff>
      <xdr:row>23</xdr:row>
      <xdr:rowOff>114130</xdr:rowOff>
    </xdr:from>
    <xdr:to>
      <xdr:col>20</xdr:col>
      <xdr:colOff>49335</xdr:colOff>
      <xdr:row>24</xdr:row>
      <xdr:rowOff>9697</xdr:rowOff>
    </xdr:to>
    <xdr:sp macro="" textlink="">
      <xdr:nvSpPr>
        <xdr:cNvPr id="48" name="Oval 46">
          <a:extLst>
            <a:ext uri="{FF2B5EF4-FFF2-40B4-BE49-F238E27FC236}">
              <a16:creationId xmlns:a16="http://schemas.microsoft.com/office/drawing/2014/main" id="{00000000-0008-0000-0400-000030000000}"/>
            </a:ext>
          </a:extLst>
        </xdr:cNvPr>
        <xdr:cNvSpPr>
          <a:spLocks noChangeArrowheads="1"/>
        </xdr:cNvSpPr>
      </xdr:nvSpPr>
      <xdr:spPr bwMode="auto">
        <a:xfrm>
          <a:off x="2406117" y="4257505"/>
          <a:ext cx="148293" cy="67017"/>
        </a:xfrm>
        <a:prstGeom prst="ellipse">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20</xdr:col>
      <xdr:colOff>49335</xdr:colOff>
      <xdr:row>23</xdr:row>
      <xdr:rowOff>152230</xdr:rowOff>
    </xdr:from>
    <xdr:to>
      <xdr:col>21</xdr:col>
      <xdr:colOff>20988</xdr:colOff>
      <xdr:row>24</xdr:row>
      <xdr:rowOff>9697</xdr:rowOff>
    </xdr:to>
    <xdr:sp macro="" textlink="">
      <xdr:nvSpPr>
        <xdr:cNvPr id="49" name="Arc 47">
          <a:extLst>
            <a:ext uri="{FF2B5EF4-FFF2-40B4-BE49-F238E27FC236}">
              <a16:creationId xmlns:a16="http://schemas.microsoft.com/office/drawing/2014/main" id="{00000000-0008-0000-0400-000031000000}"/>
            </a:ext>
          </a:extLst>
        </xdr:cNvPr>
        <xdr:cNvSpPr>
          <a:spLocks/>
        </xdr:cNvSpPr>
      </xdr:nvSpPr>
      <xdr:spPr bwMode="auto">
        <a:xfrm rot="16200000" flipH="1">
          <a:off x="2582928" y="4267087"/>
          <a:ext cx="28917" cy="85953"/>
        </a:xfrm>
        <a:custGeom>
          <a:avLst/>
          <a:gdLst>
            <a:gd name="T0" fmla="*/ 0 w 21600"/>
            <a:gd name="T1" fmla="*/ 0 h 21600"/>
            <a:gd name="T2" fmla="*/ 28575 w 21600"/>
            <a:gd name="T3" fmla="*/ 85725 h 21600"/>
            <a:gd name="T4" fmla="*/ 0 w 21600"/>
            <a:gd name="T5" fmla="*/ 8572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21</xdr:col>
      <xdr:colOff>11463</xdr:colOff>
      <xdr:row>23</xdr:row>
      <xdr:rowOff>152230</xdr:rowOff>
    </xdr:from>
    <xdr:to>
      <xdr:col>21</xdr:col>
      <xdr:colOff>77910</xdr:colOff>
      <xdr:row>24</xdr:row>
      <xdr:rowOff>9697</xdr:rowOff>
    </xdr:to>
    <xdr:sp macro="" textlink="">
      <xdr:nvSpPr>
        <xdr:cNvPr id="50" name="Arc 48">
          <a:extLst>
            <a:ext uri="{FF2B5EF4-FFF2-40B4-BE49-F238E27FC236}">
              <a16:creationId xmlns:a16="http://schemas.microsoft.com/office/drawing/2014/main" id="{00000000-0008-0000-0400-000032000000}"/>
            </a:ext>
          </a:extLst>
        </xdr:cNvPr>
        <xdr:cNvSpPr>
          <a:spLocks/>
        </xdr:cNvSpPr>
      </xdr:nvSpPr>
      <xdr:spPr bwMode="auto">
        <a:xfrm rot="5400000">
          <a:off x="2649603" y="4276840"/>
          <a:ext cx="28917" cy="66447"/>
        </a:xfrm>
        <a:custGeom>
          <a:avLst/>
          <a:gdLst>
            <a:gd name="T0" fmla="*/ 0 w 21600"/>
            <a:gd name="T1" fmla="*/ 0 h 21600"/>
            <a:gd name="T2" fmla="*/ 28575 w 21600"/>
            <a:gd name="T3" fmla="*/ 66675 h 21600"/>
            <a:gd name="T4" fmla="*/ 0 w 21600"/>
            <a:gd name="T5" fmla="*/ 6667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25</xdr:col>
      <xdr:colOff>34164</xdr:colOff>
      <xdr:row>20</xdr:row>
      <xdr:rowOff>2112</xdr:rowOff>
    </xdr:from>
    <xdr:to>
      <xdr:col>27</xdr:col>
      <xdr:colOff>43803</xdr:colOff>
      <xdr:row>21</xdr:row>
      <xdr:rowOff>68444</xdr:rowOff>
    </xdr:to>
    <xdr:sp macro="" textlink="">
      <xdr:nvSpPr>
        <xdr:cNvPr id="51" name="Arc 62">
          <a:extLst>
            <a:ext uri="{FF2B5EF4-FFF2-40B4-BE49-F238E27FC236}">
              <a16:creationId xmlns:a16="http://schemas.microsoft.com/office/drawing/2014/main" id="{00000000-0008-0000-0400-000033000000}"/>
            </a:ext>
          </a:extLst>
        </xdr:cNvPr>
        <xdr:cNvSpPr>
          <a:spLocks/>
        </xdr:cNvSpPr>
      </xdr:nvSpPr>
      <xdr:spPr bwMode="auto">
        <a:xfrm rot="16200000" flipV="1">
          <a:off x="3110968" y="3630908"/>
          <a:ext cx="237782" cy="238239"/>
        </a:xfrm>
        <a:custGeom>
          <a:avLst/>
          <a:gdLst>
            <a:gd name="T0" fmla="*/ 0 w 21600"/>
            <a:gd name="T1" fmla="*/ 0 h 21600"/>
            <a:gd name="T2" fmla="*/ 238125 w 21600"/>
            <a:gd name="T3" fmla="*/ 238125 h 21600"/>
            <a:gd name="T4" fmla="*/ 0 w 21600"/>
            <a:gd name="T5" fmla="*/ 238125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43632</xdr:colOff>
      <xdr:row>21</xdr:row>
      <xdr:rowOff>70554</xdr:rowOff>
    </xdr:from>
    <xdr:to>
      <xdr:col>27</xdr:col>
      <xdr:colOff>43632</xdr:colOff>
      <xdr:row>21</xdr:row>
      <xdr:rowOff>155937</xdr:rowOff>
    </xdr:to>
    <xdr:sp macro="" textlink="">
      <xdr:nvSpPr>
        <xdr:cNvPr id="52" name="Line 63">
          <a:extLst>
            <a:ext uri="{FF2B5EF4-FFF2-40B4-BE49-F238E27FC236}">
              <a16:creationId xmlns:a16="http://schemas.microsoft.com/office/drawing/2014/main" id="{00000000-0008-0000-0400-000034000000}"/>
            </a:ext>
          </a:extLst>
        </xdr:cNvPr>
        <xdr:cNvSpPr>
          <a:spLocks noChangeShapeType="1"/>
        </xdr:cNvSpPr>
      </xdr:nvSpPr>
      <xdr:spPr bwMode="auto">
        <a:xfrm flipV="1">
          <a:off x="3348807" y="3871029"/>
          <a:ext cx="0" cy="8538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43631</xdr:colOff>
      <xdr:row>17</xdr:row>
      <xdr:rowOff>28519</xdr:rowOff>
    </xdr:from>
    <xdr:to>
      <xdr:col>20</xdr:col>
      <xdr:colOff>43631</xdr:colOff>
      <xdr:row>18</xdr:row>
      <xdr:rowOff>114073</xdr:rowOff>
    </xdr:to>
    <xdr:sp macro="" textlink="">
      <xdr:nvSpPr>
        <xdr:cNvPr id="53" name="Line 65">
          <a:extLst>
            <a:ext uri="{FF2B5EF4-FFF2-40B4-BE49-F238E27FC236}">
              <a16:creationId xmlns:a16="http://schemas.microsoft.com/office/drawing/2014/main" id="{00000000-0008-0000-0400-000035000000}"/>
            </a:ext>
          </a:extLst>
        </xdr:cNvPr>
        <xdr:cNvSpPr>
          <a:spLocks noChangeShapeType="1"/>
        </xdr:cNvSpPr>
      </xdr:nvSpPr>
      <xdr:spPr bwMode="auto">
        <a:xfrm rot="10800000">
          <a:off x="2548706" y="3143194"/>
          <a:ext cx="0" cy="25700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21</xdr:col>
      <xdr:colOff>3420</xdr:colOff>
      <xdr:row>17</xdr:row>
      <xdr:rowOff>45630</xdr:rowOff>
    </xdr:from>
    <xdr:to>
      <xdr:col>22</xdr:col>
      <xdr:colOff>54428</xdr:colOff>
      <xdr:row>18</xdr:row>
      <xdr:rowOff>36447</xdr:rowOff>
    </xdr:to>
    <xdr:sp macro="" textlink="">
      <xdr:nvSpPr>
        <xdr:cNvPr id="54" name="Text Box 60">
          <a:extLst>
            <a:ext uri="{FF2B5EF4-FFF2-40B4-BE49-F238E27FC236}">
              <a16:creationId xmlns:a16="http://schemas.microsoft.com/office/drawing/2014/main" id="{00000000-0008-0000-0400-000036000000}"/>
            </a:ext>
          </a:extLst>
        </xdr:cNvPr>
        <xdr:cNvSpPr txBox="1">
          <a:spLocks noChangeArrowheads="1"/>
        </xdr:cNvSpPr>
      </xdr:nvSpPr>
      <xdr:spPr bwMode="auto">
        <a:xfrm flipH="1">
          <a:off x="2648649" y="3164387"/>
          <a:ext cx="165308" cy="16498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F3</a:t>
          </a:r>
        </a:p>
      </xdr:txBody>
    </xdr:sp>
    <xdr:clientData/>
  </xdr:twoCellAnchor>
  <xdr:twoCellAnchor>
    <xdr:from>
      <xdr:col>25</xdr:col>
      <xdr:colOff>68443</xdr:colOff>
      <xdr:row>21</xdr:row>
      <xdr:rowOff>142590</xdr:rowOff>
    </xdr:from>
    <xdr:to>
      <xdr:col>29</xdr:col>
      <xdr:colOff>5703</xdr:colOff>
      <xdr:row>23</xdr:row>
      <xdr:rowOff>165405</xdr:rowOff>
    </xdr:to>
    <xdr:sp macro="" textlink="">
      <xdr:nvSpPr>
        <xdr:cNvPr id="55" name="Oval 54">
          <a:extLst>
            <a:ext uri="{FF2B5EF4-FFF2-40B4-BE49-F238E27FC236}">
              <a16:creationId xmlns:a16="http://schemas.microsoft.com/office/drawing/2014/main" id="{00000000-0008-0000-0400-000037000000}"/>
            </a:ext>
          </a:extLst>
        </xdr:cNvPr>
        <xdr:cNvSpPr/>
      </xdr:nvSpPr>
      <xdr:spPr bwMode="auto">
        <a:xfrm>
          <a:off x="3145018" y="3943065"/>
          <a:ext cx="394460" cy="365715"/>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n-US" sz="1100"/>
        </a:p>
      </xdr:txBody>
    </xdr:sp>
    <xdr:clientData/>
  </xdr:twoCellAnchor>
  <xdr:twoCellAnchor>
    <xdr:from>
      <xdr:col>41</xdr:col>
      <xdr:colOff>45629</xdr:colOff>
      <xdr:row>16</xdr:row>
      <xdr:rowOff>165404</xdr:rowOff>
    </xdr:from>
    <xdr:to>
      <xdr:col>41</xdr:col>
      <xdr:colOff>45629</xdr:colOff>
      <xdr:row>18</xdr:row>
      <xdr:rowOff>79851</xdr:rowOff>
    </xdr:to>
    <xdr:sp macro="" textlink="">
      <xdr:nvSpPr>
        <xdr:cNvPr id="56" name="Line 65">
          <a:extLst>
            <a:ext uri="{FF2B5EF4-FFF2-40B4-BE49-F238E27FC236}">
              <a16:creationId xmlns:a16="http://schemas.microsoft.com/office/drawing/2014/main" id="{00000000-0008-0000-0400-000038000000}"/>
            </a:ext>
          </a:extLst>
        </xdr:cNvPr>
        <xdr:cNvSpPr>
          <a:spLocks noChangeShapeType="1"/>
        </xdr:cNvSpPr>
      </xdr:nvSpPr>
      <xdr:spPr bwMode="auto">
        <a:xfrm rot="10800000">
          <a:off x="5179604" y="3108629"/>
          <a:ext cx="0" cy="257347"/>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41</xdr:col>
      <xdr:colOff>116011</xdr:colOff>
      <xdr:row>17</xdr:row>
      <xdr:rowOff>11408</xdr:rowOff>
    </xdr:from>
    <xdr:to>
      <xdr:col>43</xdr:col>
      <xdr:colOff>48985</xdr:colOff>
      <xdr:row>18</xdr:row>
      <xdr:rowOff>2225</xdr:rowOff>
    </xdr:to>
    <xdr:sp macro="" textlink="">
      <xdr:nvSpPr>
        <xdr:cNvPr id="57" name="Text Box 60">
          <a:extLst>
            <a:ext uri="{FF2B5EF4-FFF2-40B4-BE49-F238E27FC236}">
              <a16:creationId xmlns:a16="http://schemas.microsoft.com/office/drawing/2014/main" id="{00000000-0008-0000-0400-000039000000}"/>
            </a:ext>
          </a:extLst>
        </xdr:cNvPr>
        <xdr:cNvSpPr txBox="1">
          <a:spLocks noChangeArrowheads="1"/>
        </xdr:cNvSpPr>
      </xdr:nvSpPr>
      <xdr:spPr bwMode="auto">
        <a:xfrm flipH="1">
          <a:off x="5308497" y="3130165"/>
          <a:ext cx="183345" cy="16498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F3</a:t>
          </a:r>
        </a:p>
      </xdr:txBody>
    </xdr:sp>
    <xdr:clientData/>
  </xdr:twoCellAnchor>
  <xdr:twoCellAnchor>
    <xdr:from>
      <xdr:col>11</xdr:col>
      <xdr:colOff>51332</xdr:colOff>
      <xdr:row>17</xdr:row>
      <xdr:rowOff>153997</xdr:rowOff>
    </xdr:from>
    <xdr:to>
      <xdr:col>12</xdr:col>
      <xdr:colOff>102664</xdr:colOff>
      <xdr:row>18</xdr:row>
      <xdr:rowOff>51333</xdr:rowOff>
    </xdr:to>
    <xdr:cxnSp macro="">
      <xdr:nvCxnSpPr>
        <xdr:cNvPr id="58" name="Straight Connector 57">
          <a:extLst>
            <a:ext uri="{FF2B5EF4-FFF2-40B4-BE49-F238E27FC236}">
              <a16:creationId xmlns:a16="http://schemas.microsoft.com/office/drawing/2014/main" id="{00000000-0008-0000-0400-00003A000000}"/>
            </a:ext>
          </a:extLst>
        </xdr:cNvPr>
        <xdr:cNvCxnSpPr/>
      </xdr:nvCxnSpPr>
      <xdr:spPr bwMode="auto">
        <a:xfrm>
          <a:off x="1527707" y="3268672"/>
          <a:ext cx="165632" cy="68786"/>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mc:AlternateContent xmlns:mc="http://schemas.openxmlformats.org/markup-compatibility/2006">
    <mc:Choice xmlns:a14="http://schemas.microsoft.com/office/drawing/2010/main" Requires="a14">
      <xdr:twoCellAnchor editAs="oneCell">
        <xdr:from>
          <xdr:col>34</xdr:col>
          <xdr:colOff>76200</xdr:colOff>
          <xdr:row>31</xdr:row>
          <xdr:rowOff>57150</xdr:rowOff>
        </xdr:from>
        <xdr:to>
          <xdr:col>43</xdr:col>
          <xdr:colOff>95250</xdr:colOff>
          <xdr:row>34</xdr:row>
          <xdr:rowOff>57150</xdr:rowOff>
        </xdr:to>
        <xdr:sp macro="" textlink="">
          <xdr:nvSpPr>
            <xdr:cNvPr id="7173" name="Object 5" hidden="1">
              <a:extLst>
                <a:ext uri="{63B3BB69-23CF-44E3-9099-C40C66FF867C}">
                  <a14:compatExt spid="_x0000_s7173"/>
                </a:ext>
                <a:ext uri="{FF2B5EF4-FFF2-40B4-BE49-F238E27FC236}">
                  <a16:creationId xmlns:a16="http://schemas.microsoft.com/office/drawing/2014/main" id="{00000000-0008-0000-0400-0000051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28575</xdr:colOff>
          <xdr:row>34</xdr:row>
          <xdr:rowOff>95250</xdr:rowOff>
        </xdr:from>
        <xdr:to>
          <xdr:col>12</xdr:col>
          <xdr:colOff>76200</xdr:colOff>
          <xdr:row>36</xdr:row>
          <xdr:rowOff>19050</xdr:rowOff>
        </xdr:to>
        <xdr:sp macro="" textlink="">
          <xdr:nvSpPr>
            <xdr:cNvPr id="7174" name="Object 6" hidden="1">
              <a:extLst>
                <a:ext uri="{63B3BB69-23CF-44E3-9099-C40C66FF867C}">
                  <a14:compatExt spid="_x0000_s7174"/>
                </a:ext>
                <a:ext uri="{FF2B5EF4-FFF2-40B4-BE49-F238E27FC236}">
                  <a16:creationId xmlns:a16="http://schemas.microsoft.com/office/drawing/2014/main" id="{00000000-0008-0000-0400-0000061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eyparsons.sharepoint.com/Users/dinesh.koranga/OneDrive%20-%20WorleyParsons/WORK%20Backup/BACKUP_DINESH_K/Harmonization%20Project/Calculation/EPF-0027-COR-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ecklist"/>
      <sheetName val="ToC"/>
      <sheetName val="Calc Sheet A4 - Portrait"/>
      <sheetName val="AppA"/>
      <sheetName val="AppB"/>
      <sheetName val="Calc Sheet Letter - Portrait"/>
      <sheetName val="Calc sheet A4 - Landscape"/>
      <sheetName val="Calc sheet Letter - Landscape"/>
      <sheetName val="Calc Sheet A4 - Portrait (Alt)"/>
      <sheetName val="Calc Sheet Letter - Port (Alt)"/>
      <sheetName val="Calc. sheet A3 - Landscape"/>
      <sheetName val="Calc. sheet 11x17 - Landscape"/>
    </sheetNames>
    <sheetDataSet>
      <sheetData sheetId="0">
        <row r="2">
          <cell r="D2" t="str">
            <v>customer name</v>
          </cell>
          <cell r="H2" t="str">
            <v>proj no</v>
          </cell>
        </row>
        <row r="3">
          <cell r="D3" t="str">
            <v>proj title</v>
          </cell>
          <cell r="H3" t="str">
            <v>calc no</v>
          </cell>
        </row>
        <row r="4">
          <cell r="D4" t="str">
            <v>calc title</v>
          </cell>
          <cell r="H4" t="str">
            <v>phase</v>
          </cell>
        </row>
        <row r="5">
          <cell r="D5" t="e">
            <v>#VALUE!</v>
          </cell>
        </row>
        <row r="6">
          <cell r="J6" t="str">
            <v>#pages</v>
          </cell>
        </row>
        <row r="51">
          <cell r="A51" t="str">
            <v>rev3</v>
          </cell>
          <cell r="B51" t="str">
            <v>date3</v>
          </cell>
          <cell r="D51" t="str">
            <v>desc3</v>
          </cell>
          <cell r="F51" t="str">
            <v>by3</v>
          </cell>
          <cell r="G51" t="str">
            <v>chkd3</v>
          </cell>
          <cell r="I51" t="str">
            <v>app3</v>
          </cell>
        </row>
        <row r="52">
          <cell r="A52" t="str">
            <v>rev2</v>
          </cell>
          <cell r="B52" t="str">
            <v>date2</v>
          </cell>
          <cell r="D52" t="str">
            <v>desc2</v>
          </cell>
          <cell r="F52" t="str">
            <v>by2</v>
          </cell>
          <cell r="G52" t="str">
            <v>chkd2</v>
          </cell>
          <cell r="I52" t="str">
            <v>app2</v>
          </cell>
        </row>
        <row r="53">
          <cell r="A53" t="str">
            <v>rev1</v>
          </cell>
          <cell r="B53" t="str">
            <v>date1</v>
          </cell>
          <cell r="D53" t="str">
            <v>desc1</v>
          </cell>
          <cell r="F53" t="str">
            <v>by1</v>
          </cell>
          <cell r="G53" t="str">
            <v>chkd1</v>
          </cell>
          <cell r="I53" t="str">
            <v>app1</v>
          </cell>
        </row>
        <row r="55">
          <cell r="A55" t="str">
            <v>This Calculation represents the work of WorleyParsons performed to recognized engineering principles and practices appropriate for the terms of reference provided by WorleyParsons contractual Customer. This Calculation is confidential and prepared solely for the use of the Customer. The contents of this Calculation may not be disclosed to or relied upon by any party other than the Customer, and neither WorleyParsons, its subconsultants nor their respective employees assume any liability for any reason, including, but not limited to, negligence, to any other party for any information or representation herein.</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oleObject" Target="../embeddings/oleObject5.bin"/><Relationship Id="rId3" Type="http://schemas.openxmlformats.org/officeDocument/2006/relationships/vmlDrawing" Target="../drawings/vmlDrawing1.vml"/><Relationship Id="rId7" Type="http://schemas.openxmlformats.org/officeDocument/2006/relationships/oleObject" Target="../embeddings/oleObject2.bin"/><Relationship Id="rId12" Type="http://schemas.openxmlformats.org/officeDocument/2006/relationships/image" Target="../media/image4.emf"/><Relationship Id="rId2" Type="http://schemas.openxmlformats.org/officeDocument/2006/relationships/drawing" Target="../drawings/drawing1.xml"/><Relationship Id="rId16" Type="http://schemas.openxmlformats.org/officeDocument/2006/relationships/image" Target="../media/image6.emf"/><Relationship Id="rId1" Type="http://schemas.openxmlformats.org/officeDocument/2006/relationships/printerSettings" Target="../printerSettings/printerSettings1.bin"/><Relationship Id="rId6" Type="http://schemas.openxmlformats.org/officeDocument/2006/relationships/image" Target="../media/image1.emf"/><Relationship Id="rId11" Type="http://schemas.openxmlformats.org/officeDocument/2006/relationships/oleObject" Target="../embeddings/oleObject4.bin"/><Relationship Id="rId5" Type="http://schemas.openxmlformats.org/officeDocument/2006/relationships/oleObject" Target="../embeddings/oleObject1.bin"/><Relationship Id="rId15" Type="http://schemas.openxmlformats.org/officeDocument/2006/relationships/oleObject" Target="../embeddings/oleObject6.bin"/><Relationship Id="rId10" Type="http://schemas.openxmlformats.org/officeDocument/2006/relationships/image" Target="../media/image3.emf"/><Relationship Id="rId4" Type="http://schemas.openxmlformats.org/officeDocument/2006/relationships/vmlDrawing" Target="../drawings/vmlDrawing2.vml"/><Relationship Id="rId9" Type="http://schemas.openxmlformats.org/officeDocument/2006/relationships/oleObject" Target="../embeddings/oleObject3.bin"/><Relationship Id="rId14" Type="http://schemas.openxmlformats.org/officeDocument/2006/relationships/image" Target="../media/image5.emf"/></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image" Target="../media/image9.emf"/><Relationship Id="rId13" Type="http://schemas.openxmlformats.org/officeDocument/2006/relationships/oleObject" Target="../embeddings/oleObject11.bin"/><Relationship Id="rId3" Type="http://schemas.openxmlformats.org/officeDocument/2006/relationships/vmlDrawing" Target="../drawings/vmlDrawing6.vml"/><Relationship Id="rId7" Type="http://schemas.openxmlformats.org/officeDocument/2006/relationships/oleObject" Target="../embeddings/oleObject8.bin"/><Relationship Id="rId12" Type="http://schemas.openxmlformats.org/officeDocument/2006/relationships/image" Target="../media/image4.emf"/><Relationship Id="rId2" Type="http://schemas.openxmlformats.org/officeDocument/2006/relationships/drawing" Target="../drawings/drawing2.xml"/><Relationship Id="rId16" Type="http://schemas.openxmlformats.org/officeDocument/2006/relationships/image" Target="../media/image6.emf"/><Relationship Id="rId1" Type="http://schemas.openxmlformats.org/officeDocument/2006/relationships/printerSettings" Target="../printerSettings/printerSettings5.bin"/><Relationship Id="rId6" Type="http://schemas.openxmlformats.org/officeDocument/2006/relationships/image" Target="../media/image8.emf"/><Relationship Id="rId11" Type="http://schemas.openxmlformats.org/officeDocument/2006/relationships/oleObject" Target="../embeddings/oleObject10.bin"/><Relationship Id="rId5" Type="http://schemas.openxmlformats.org/officeDocument/2006/relationships/oleObject" Target="../embeddings/oleObject7.bin"/><Relationship Id="rId15" Type="http://schemas.openxmlformats.org/officeDocument/2006/relationships/oleObject" Target="../embeddings/oleObject12.bin"/><Relationship Id="rId10" Type="http://schemas.openxmlformats.org/officeDocument/2006/relationships/image" Target="../media/image10.emf"/><Relationship Id="rId4" Type="http://schemas.openxmlformats.org/officeDocument/2006/relationships/vmlDrawing" Target="../drawings/vmlDrawing7.vml"/><Relationship Id="rId9" Type="http://schemas.openxmlformats.org/officeDocument/2006/relationships/oleObject" Target="../embeddings/oleObject9.bin"/><Relationship Id="rId14" Type="http://schemas.openxmlformats.org/officeDocument/2006/relationships/image" Target="../media/image1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DZ58"/>
  <sheetViews>
    <sheetView showGridLines="0" tabSelected="1" topLeftCell="A22" zoomScaleNormal="100" zoomScaleSheetLayoutView="85" workbookViewId="0">
      <selection activeCell="U14" sqref="U14:Y14"/>
    </sheetView>
  </sheetViews>
  <sheetFormatPr defaultColWidth="1.7109375" defaultRowHeight="12" x14ac:dyDescent="0.2"/>
  <cols>
    <col min="1" max="1" width="2.42578125" style="141" customWidth="1"/>
    <col min="2" max="3" width="2" style="141" customWidth="1"/>
    <col min="4" max="4" width="1.7109375" style="141" customWidth="1"/>
    <col min="5" max="11" width="2" style="141" customWidth="1"/>
    <col min="12" max="29" width="1.7109375" style="141" customWidth="1"/>
    <col min="30" max="42" width="2" style="141" customWidth="1"/>
    <col min="43" max="53" width="1.7109375" style="141" customWidth="1"/>
    <col min="54" max="54" width="3" style="141" customWidth="1"/>
    <col min="55" max="57" width="1.7109375" style="141" customWidth="1"/>
    <col min="58" max="58" width="5.7109375" style="210" bestFit="1" customWidth="1"/>
    <col min="59" max="59" width="9.7109375" style="141" customWidth="1"/>
    <col min="60" max="61" width="11.42578125" style="140" customWidth="1"/>
    <col min="62" max="62" width="4.42578125" style="141" customWidth="1"/>
    <col min="63" max="63" width="2.7109375" style="141" customWidth="1"/>
    <col min="64" max="64" width="5.42578125" style="141" customWidth="1"/>
    <col min="65" max="65" width="6.5703125" style="141" customWidth="1"/>
    <col min="66" max="66" width="2.7109375" style="141" customWidth="1"/>
    <col min="67" max="67" width="9.5703125" style="141" customWidth="1"/>
    <col min="68" max="16384" width="1.7109375" style="141"/>
  </cols>
  <sheetData>
    <row r="1" spans="1:130" ht="12.75" thickBot="1" x14ac:dyDescent="0.25">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8"/>
      <c r="BG1" s="137"/>
      <c r="BH1" s="139"/>
    </row>
    <row r="2" spans="1:130" s="1" customFormat="1" ht="8.25" customHeight="1" x14ac:dyDescent="0.2">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4"/>
      <c r="BF2" s="5"/>
      <c r="BG2" s="5"/>
      <c r="BH2" s="142"/>
      <c r="BI2" s="142"/>
    </row>
    <row r="3" spans="1:130" s="1" customFormat="1" ht="13.5" customHeight="1" x14ac:dyDescent="0.2">
      <c r="B3" s="6"/>
      <c r="D3" s="7" t="s">
        <v>0</v>
      </c>
      <c r="E3" s="7"/>
      <c r="F3" s="7"/>
      <c r="G3" s="7"/>
      <c r="H3" s="7"/>
      <c r="I3" s="7"/>
      <c r="J3" s="7"/>
      <c r="K3" s="7"/>
      <c r="L3" s="7"/>
      <c r="M3" s="7"/>
      <c r="N3" s="7"/>
      <c r="O3" s="418"/>
      <c r="P3" s="418"/>
      <c r="Q3" s="418"/>
      <c r="R3" s="418"/>
      <c r="S3" s="418"/>
      <c r="T3" s="418"/>
      <c r="U3" s="418"/>
      <c r="V3" s="418"/>
      <c r="W3" s="418"/>
      <c r="X3" s="418"/>
      <c r="Y3" s="418"/>
      <c r="Z3" s="418"/>
      <c r="AA3" s="418"/>
      <c r="AB3" s="418"/>
      <c r="AC3" s="418"/>
      <c r="AD3" s="418"/>
      <c r="AH3" s="7"/>
      <c r="AI3" s="7"/>
      <c r="AJ3" s="7"/>
      <c r="AL3" s="7"/>
      <c r="AM3" s="7"/>
      <c r="AN3" s="7"/>
      <c r="AO3" s="135" t="s">
        <v>1</v>
      </c>
      <c r="AP3" s="8"/>
      <c r="AQ3" s="418"/>
      <c r="AR3" s="418"/>
      <c r="AS3" s="418"/>
      <c r="AT3" s="418"/>
      <c r="AU3" s="418"/>
      <c r="AV3" s="418"/>
      <c r="AW3" s="418"/>
      <c r="AX3" s="418"/>
      <c r="AY3" s="418"/>
      <c r="AZ3" s="9"/>
      <c r="BA3" s="9"/>
      <c r="BB3" s="10"/>
      <c r="BC3" s="11"/>
      <c r="BD3" s="11"/>
      <c r="BE3" s="11"/>
      <c r="BH3" s="142"/>
      <c r="BI3" s="142"/>
    </row>
    <row r="4" spans="1:130" s="1" customFormat="1" ht="7.5" customHeight="1" x14ac:dyDescent="0.2">
      <c r="B4" s="35"/>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H4" s="36"/>
      <c r="AI4" s="36"/>
      <c r="AJ4" s="36"/>
      <c r="AK4" s="36"/>
      <c r="AL4" s="36"/>
      <c r="AM4" s="36"/>
      <c r="AN4" s="36"/>
      <c r="AO4" s="135"/>
      <c r="AP4" s="36"/>
      <c r="AQ4" s="36"/>
      <c r="AR4" s="36"/>
      <c r="AS4" s="36"/>
      <c r="AT4" s="36"/>
      <c r="AU4" s="36"/>
      <c r="AV4" s="36"/>
      <c r="AW4" s="36"/>
      <c r="AX4" s="36"/>
      <c r="AY4" s="36"/>
      <c r="AZ4" s="36"/>
      <c r="BA4" s="36"/>
      <c r="BB4" s="37"/>
      <c r="BF4" s="5"/>
      <c r="BH4" s="142"/>
      <c r="BI4" s="142"/>
    </row>
    <row r="5" spans="1:130" s="1" customFormat="1" ht="13.5" customHeight="1" x14ac:dyDescent="0.2">
      <c r="B5" s="35"/>
      <c r="C5" s="36"/>
      <c r="D5" s="419" t="s">
        <v>2</v>
      </c>
      <c r="E5" s="419"/>
      <c r="F5" s="419"/>
      <c r="G5" s="419"/>
      <c r="H5" s="419"/>
      <c r="I5" s="419"/>
      <c r="J5" s="420"/>
      <c r="K5" s="420"/>
      <c r="L5" s="420"/>
      <c r="M5" s="420"/>
      <c r="N5" s="420"/>
      <c r="O5" s="420"/>
      <c r="P5" s="420"/>
      <c r="Q5" s="420"/>
      <c r="R5" s="420"/>
      <c r="S5" s="420"/>
      <c r="T5" s="420"/>
      <c r="U5" s="420"/>
      <c r="V5" s="420"/>
      <c r="W5" s="420"/>
      <c r="X5" s="420"/>
      <c r="Y5" s="420"/>
      <c r="Z5" s="420"/>
      <c r="AA5" s="420"/>
      <c r="AB5" s="420"/>
      <c r="AC5" s="420"/>
      <c r="AD5" s="420"/>
      <c r="AH5" s="36"/>
      <c r="AI5" s="36"/>
      <c r="AJ5" s="36"/>
      <c r="AK5" s="7"/>
      <c r="AL5" s="7"/>
      <c r="AM5" s="7"/>
      <c r="AN5" s="7"/>
      <c r="AO5" s="135" t="s">
        <v>102</v>
      </c>
      <c r="AP5" s="8"/>
      <c r="AQ5" s="418"/>
      <c r="AR5" s="418"/>
      <c r="AS5" s="418"/>
      <c r="AT5" s="418"/>
      <c r="AU5" s="418"/>
      <c r="AV5" s="418"/>
      <c r="AW5" s="418"/>
      <c r="AX5" s="418"/>
      <c r="AY5" s="418"/>
      <c r="AZ5" s="36"/>
      <c r="BA5" s="36"/>
      <c r="BB5" s="37"/>
      <c r="BH5" s="142"/>
      <c r="BI5" s="142"/>
    </row>
    <row r="6" spans="1:130" s="1" customFormat="1" ht="7.5" customHeight="1" x14ac:dyDescent="0.2">
      <c r="B6" s="38"/>
      <c r="C6" s="39"/>
      <c r="D6" s="39"/>
      <c r="E6" s="39"/>
      <c r="F6" s="39"/>
      <c r="G6" s="40"/>
      <c r="H6" s="40"/>
      <c r="I6" s="40"/>
      <c r="J6" s="40"/>
      <c r="K6" s="40"/>
      <c r="L6" s="40"/>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2"/>
      <c r="AX6" s="39"/>
      <c r="AY6" s="39"/>
      <c r="AZ6" s="39"/>
      <c r="BA6" s="39"/>
      <c r="BB6" s="43"/>
      <c r="BF6" s="143"/>
      <c r="BG6" s="144"/>
      <c r="BH6" s="142"/>
      <c r="BI6" s="142"/>
    </row>
    <row r="7" spans="1:130" customFormat="1" ht="17.25" customHeight="1" x14ac:dyDescent="0.2">
      <c r="A7" s="1"/>
      <c r="B7" s="44"/>
      <c r="C7" s="145" t="s">
        <v>103</v>
      </c>
      <c r="D7" s="145"/>
      <c r="E7" s="145"/>
      <c r="F7" s="145"/>
      <c r="G7" s="45"/>
      <c r="H7" s="45"/>
      <c r="I7" s="45"/>
      <c r="J7" s="45"/>
      <c r="K7" s="45"/>
      <c r="L7" s="45"/>
      <c r="M7" s="45"/>
      <c r="N7" s="137"/>
      <c r="O7" s="45"/>
      <c r="P7" s="45"/>
      <c r="Q7" s="136"/>
      <c r="R7" s="45"/>
      <c r="S7" s="137"/>
      <c r="T7" s="137"/>
      <c r="U7" s="137"/>
      <c r="V7" s="146"/>
      <c r="W7" s="48"/>
      <c r="X7" s="48"/>
      <c r="Y7" s="49" t="s">
        <v>104</v>
      </c>
      <c r="Z7" s="49" t="s">
        <v>3</v>
      </c>
      <c r="AA7" s="49"/>
      <c r="AB7" s="417" t="s">
        <v>189</v>
      </c>
      <c r="AC7" s="417"/>
      <c r="AD7" s="417"/>
      <c r="AE7" s="417"/>
      <c r="AF7" s="417"/>
      <c r="AG7" s="417"/>
      <c r="AH7" s="417"/>
      <c r="AI7" s="417"/>
      <c r="AJ7" s="417"/>
      <c r="AK7" s="417"/>
      <c r="AL7" s="417"/>
      <c r="AM7" s="417"/>
      <c r="AN7" s="417"/>
      <c r="AO7" s="417"/>
      <c r="AP7" s="137"/>
      <c r="AQ7" s="137"/>
      <c r="AR7" s="137"/>
      <c r="AS7" s="137"/>
      <c r="AT7" s="137"/>
      <c r="AU7" s="137"/>
      <c r="AV7" s="137"/>
      <c r="AW7" s="137"/>
      <c r="AX7" s="137"/>
      <c r="AY7" s="137"/>
      <c r="AZ7" s="137"/>
      <c r="BA7" s="45"/>
      <c r="BB7" s="46"/>
      <c r="BC7" s="1"/>
      <c r="BD7" s="1"/>
      <c r="BE7" s="1"/>
      <c r="BF7" s="143" t="s">
        <v>105</v>
      </c>
      <c r="BG7" s="144" t="s">
        <v>106</v>
      </c>
      <c r="BH7" s="142"/>
      <c r="BI7" s="142"/>
    </row>
    <row r="8" spans="1:130" customFormat="1" ht="17.25" customHeight="1" x14ac:dyDescent="0.2">
      <c r="A8" s="1"/>
      <c r="B8" s="44"/>
      <c r="C8" s="45"/>
      <c r="D8" s="45"/>
      <c r="E8" s="45"/>
      <c r="F8" s="45"/>
      <c r="G8" s="45"/>
      <c r="H8" s="45"/>
      <c r="I8" s="45"/>
      <c r="J8" s="45"/>
      <c r="K8" s="45"/>
      <c r="L8" s="45"/>
      <c r="M8" s="45"/>
      <c r="N8" s="137"/>
      <c r="O8" s="137"/>
      <c r="P8" s="137"/>
      <c r="Q8" s="136" t="s">
        <v>107</v>
      </c>
      <c r="R8" s="137"/>
      <c r="S8" s="45" t="s">
        <v>3</v>
      </c>
      <c r="T8" s="45"/>
      <c r="U8" s="412">
        <v>7500</v>
      </c>
      <c r="V8" s="412"/>
      <c r="W8" s="412"/>
      <c r="X8" s="412"/>
      <c r="Y8" s="412"/>
      <c r="Z8" s="137"/>
      <c r="AA8" s="137"/>
      <c r="AB8" s="137"/>
      <c r="AC8" s="137"/>
      <c r="AD8" s="137"/>
      <c r="AE8" s="137"/>
      <c r="AF8" s="137"/>
      <c r="AG8" s="137"/>
      <c r="AH8" s="137"/>
      <c r="AI8" s="137"/>
      <c r="AJ8" s="137"/>
      <c r="AK8" s="137"/>
      <c r="AL8" s="137"/>
      <c r="AM8" s="137"/>
      <c r="AN8" s="45"/>
      <c r="AO8" s="137"/>
      <c r="AP8" s="137"/>
      <c r="AQ8" s="137"/>
      <c r="AR8" s="137"/>
      <c r="AS8" s="136" t="s">
        <v>108</v>
      </c>
      <c r="AT8" s="137"/>
      <c r="AU8" s="45" t="s">
        <v>3</v>
      </c>
      <c r="AV8" s="414">
        <f>U8+U14</f>
        <v>7601.3249999999998</v>
      </c>
      <c r="AW8" s="414"/>
      <c r="AX8" s="414"/>
      <c r="AY8" s="414"/>
      <c r="AZ8" s="414"/>
      <c r="BA8" s="45"/>
      <c r="BB8" s="46"/>
      <c r="BC8" s="1"/>
      <c r="BD8" s="1"/>
      <c r="BE8" s="1"/>
      <c r="BF8" s="5" t="s">
        <v>109</v>
      </c>
      <c r="BG8" s="147">
        <v>126.45135999999999</v>
      </c>
      <c r="BH8" s="142"/>
      <c r="BI8" s="142"/>
    </row>
    <row r="9" spans="1:130" customFormat="1" ht="17.25" customHeight="1" x14ac:dyDescent="0.2">
      <c r="A9" s="1"/>
      <c r="B9" s="44"/>
      <c r="C9" s="45"/>
      <c r="D9" s="45"/>
      <c r="E9" s="45"/>
      <c r="F9" s="45"/>
      <c r="G9" s="45"/>
      <c r="H9" s="45"/>
      <c r="I9" s="45"/>
      <c r="J9" s="45"/>
      <c r="K9" s="45"/>
      <c r="L9" s="137"/>
      <c r="M9" s="137"/>
      <c r="N9" s="137"/>
      <c r="O9" s="45"/>
      <c r="P9" s="45"/>
      <c r="Q9" s="136" t="s">
        <v>110</v>
      </c>
      <c r="R9" s="45"/>
      <c r="S9" s="45" t="s">
        <v>3</v>
      </c>
      <c r="T9" s="45"/>
      <c r="U9" s="403">
        <v>110</v>
      </c>
      <c r="V9" s="403"/>
      <c r="W9" s="403"/>
      <c r="X9" s="403"/>
      <c r="Y9" s="403"/>
      <c r="Z9" s="45"/>
      <c r="AA9" s="45"/>
      <c r="AB9" s="45"/>
      <c r="AC9" s="45"/>
      <c r="AD9" s="45"/>
      <c r="AE9" s="45"/>
      <c r="AF9" s="137"/>
      <c r="AG9" s="137"/>
      <c r="AH9" s="137"/>
      <c r="AI9" s="45"/>
      <c r="AJ9" s="137"/>
      <c r="AK9" s="137"/>
      <c r="AL9" s="137"/>
      <c r="AM9" s="45"/>
      <c r="AN9" s="45"/>
      <c r="AO9" s="45"/>
      <c r="AP9" s="45"/>
      <c r="AQ9" s="148"/>
      <c r="AR9" s="137"/>
      <c r="AS9" s="136" t="s">
        <v>111</v>
      </c>
      <c r="AT9" s="137"/>
      <c r="AU9" s="45" t="s">
        <v>3</v>
      </c>
      <c r="AV9" s="410">
        <f>U9+273.15</f>
        <v>383.15</v>
      </c>
      <c r="AW9" s="410"/>
      <c r="AX9" s="410"/>
      <c r="AY9" s="410"/>
      <c r="AZ9" s="410"/>
      <c r="BA9" s="137"/>
      <c r="BB9" s="46"/>
      <c r="BC9" s="1"/>
      <c r="BD9" s="1"/>
      <c r="BE9" s="1"/>
      <c r="BF9" s="5" t="s">
        <v>112</v>
      </c>
      <c r="BG9" s="147">
        <v>198.06411999999997</v>
      </c>
      <c r="BH9" s="142"/>
      <c r="BI9" s="142"/>
      <c r="CD9" s="141"/>
      <c r="CE9" s="141"/>
      <c r="CF9" s="141"/>
      <c r="CG9" s="141"/>
      <c r="CH9" s="141"/>
      <c r="CI9" s="141"/>
      <c r="CJ9" s="141"/>
      <c r="CK9" s="141"/>
      <c r="CL9" s="141"/>
      <c r="CM9" s="141"/>
      <c r="CN9" s="141"/>
      <c r="CO9" s="141"/>
      <c r="CP9" s="141"/>
      <c r="CQ9" s="141"/>
      <c r="CR9" s="141"/>
      <c r="CS9" s="141"/>
      <c r="CT9" s="141"/>
      <c r="CU9" s="141"/>
      <c r="CV9" s="141"/>
      <c r="CW9" s="141"/>
      <c r="CX9" s="141"/>
      <c r="CY9" s="141"/>
      <c r="CZ9" s="141"/>
      <c r="DA9" s="141"/>
      <c r="DB9" s="141"/>
      <c r="DC9" s="141"/>
      <c r="DD9" s="141"/>
      <c r="DE9" s="141"/>
      <c r="DF9" s="141"/>
      <c r="DG9" s="141"/>
      <c r="DH9" s="141"/>
      <c r="DI9" s="141"/>
      <c r="DJ9" s="141"/>
      <c r="DK9" s="141"/>
      <c r="DL9" s="141"/>
      <c r="DM9" s="141"/>
      <c r="DN9" s="141"/>
      <c r="DO9" s="141"/>
      <c r="DP9" s="141"/>
      <c r="DQ9" s="141"/>
      <c r="DR9" s="141"/>
      <c r="DS9" s="141"/>
      <c r="DT9" s="141"/>
      <c r="DU9" s="141"/>
      <c r="DV9" s="141"/>
      <c r="DW9" s="141"/>
      <c r="DX9" s="141"/>
      <c r="DY9" s="141"/>
      <c r="DZ9" s="141"/>
    </row>
    <row r="10" spans="1:130" customFormat="1" ht="17.25" customHeight="1" x14ac:dyDescent="0.2">
      <c r="A10" s="1"/>
      <c r="B10" s="44"/>
      <c r="C10" s="45"/>
      <c r="D10" s="1"/>
      <c r="E10" s="1"/>
      <c r="F10" s="45"/>
      <c r="G10" s="45"/>
      <c r="H10" s="45"/>
      <c r="I10" s="45"/>
      <c r="J10" s="137"/>
      <c r="K10" s="137"/>
      <c r="L10" s="137"/>
      <c r="M10" s="137"/>
      <c r="N10" s="45"/>
      <c r="O10" s="45"/>
      <c r="P10" s="45"/>
      <c r="Q10" s="136" t="s">
        <v>113</v>
      </c>
      <c r="R10" s="45"/>
      <c r="S10" s="45" t="s">
        <v>3</v>
      </c>
      <c r="T10" s="45"/>
      <c r="U10" s="415">
        <v>4</v>
      </c>
      <c r="V10" s="415"/>
      <c r="W10" s="415"/>
      <c r="X10" s="415"/>
      <c r="Y10" s="415"/>
      <c r="Z10" s="45"/>
      <c r="AA10" s="45"/>
      <c r="AB10" s="45"/>
      <c r="AC10" s="45"/>
      <c r="AD10" s="45"/>
      <c r="AE10" s="45"/>
      <c r="AF10" s="45"/>
      <c r="AG10" s="45"/>
      <c r="AH10" s="137"/>
      <c r="AI10" s="137"/>
      <c r="AJ10" s="137"/>
      <c r="AK10" s="137"/>
      <c r="AL10" s="137"/>
      <c r="AM10" s="137"/>
      <c r="AN10" s="137"/>
      <c r="AO10" s="45"/>
      <c r="AP10" s="137"/>
      <c r="AQ10" s="148"/>
      <c r="AR10" s="137"/>
      <c r="AS10" s="136" t="s">
        <v>114</v>
      </c>
      <c r="AT10" s="137"/>
      <c r="AU10" s="45" t="s">
        <v>3</v>
      </c>
      <c r="AV10" s="416">
        <f>PI()*(U10*25.4)^2/4</f>
        <v>8107.3196655599631</v>
      </c>
      <c r="AW10" s="416"/>
      <c r="AX10" s="416"/>
      <c r="AY10" s="416"/>
      <c r="AZ10" s="416"/>
      <c r="BA10" s="45"/>
      <c r="BB10" s="46"/>
      <c r="BC10" s="1"/>
      <c r="BD10" s="1"/>
      <c r="BE10" s="1"/>
      <c r="BF10" s="5" t="s">
        <v>115</v>
      </c>
      <c r="BG10" s="147">
        <v>324.51547999999997</v>
      </c>
      <c r="BH10" s="142"/>
      <c r="BI10" s="142"/>
    </row>
    <row r="11" spans="1:130" customFormat="1" ht="17.25" customHeight="1" x14ac:dyDescent="0.2">
      <c r="A11" s="1"/>
      <c r="B11" s="44"/>
      <c r="C11" s="45"/>
      <c r="D11" s="45"/>
      <c r="E11" s="45"/>
      <c r="F11" s="45"/>
      <c r="G11" s="137"/>
      <c r="H11" s="45"/>
      <c r="I11" s="45"/>
      <c r="J11" s="45"/>
      <c r="K11" s="45"/>
      <c r="L11" s="45"/>
      <c r="M11" s="45"/>
      <c r="N11" s="137"/>
      <c r="O11" s="137"/>
      <c r="P11" s="45"/>
      <c r="Q11" s="136" t="s">
        <v>116</v>
      </c>
      <c r="R11" s="45"/>
      <c r="S11" s="45" t="s">
        <v>3</v>
      </c>
      <c r="T11" s="45"/>
      <c r="U11" s="403">
        <v>1.3169291999999999</v>
      </c>
      <c r="V11" s="403"/>
      <c r="W11" s="403"/>
      <c r="X11" s="403"/>
      <c r="Y11" s="403"/>
      <c r="Z11" s="45"/>
      <c r="AA11" s="45"/>
      <c r="AB11" s="45"/>
      <c r="AC11" s="45"/>
      <c r="AD11" s="45"/>
      <c r="AE11" s="137"/>
      <c r="AF11" s="137"/>
      <c r="AG11" s="45"/>
      <c r="AH11" s="137"/>
      <c r="AI11" s="137"/>
      <c r="AJ11" s="137"/>
      <c r="AK11" s="137"/>
      <c r="AL11" s="137"/>
      <c r="AM11" s="137"/>
      <c r="AN11" s="137"/>
      <c r="AO11" s="45"/>
      <c r="AP11" s="137"/>
      <c r="AQ11" s="148"/>
      <c r="AR11" s="137"/>
      <c r="AS11" s="136" t="s">
        <v>117</v>
      </c>
      <c r="AT11" s="137"/>
      <c r="AU11" s="45" t="s">
        <v>3</v>
      </c>
      <c r="AV11" s="410">
        <f>AT30</f>
        <v>-60.511292188715707</v>
      </c>
      <c r="AW11" s="402"/>
      <c r="AX11" s="402"/>
      <c r="AY11" s="402"/>
      <c r="AZ11" s="402"/>
      <c r="BA11" s="45"/>
      <c r="BB11" s="46"/>
      <c r="BC11" s="1"/>
      <c r="BD11" s="1"/>
      <c r="BE11" s="1"/>
      <c r="BF11" s="5" t="s">
        <v>118</v>
      </c>
      <c r="BG11" s="147">
        <v>506.45060000000001</v>
      </c>
      <c r="BH11" s="142"/>
      <c r="BI11" s="142"/>
    </row>
    <row r="12" spans="1:130" customFormat="1" ht="17.25" customHeight="1" x14ac:dyDescent="0.2">
      <c r="A12" s="1"/>
      <c r="B12" s="44"/>
      <c r="C12" s="45"/>
      <c r="D12" s="45"/>
      <c r="E12" s="45"/>
      <c r="F12" s="45"/>
      <c r="G12" s="45"/>
      <c r="H12" s="137"/>
      <c r="I12" s="137"/>
      <c r="J12" s="137"/>
      <c r="K12" s="137"/>
      <c r="L12" s="137"/>
      <c r="M12" s="137"/>
      <c r="N12" s="137"/>
      <c r="O12" s="137"/>
      <c r="P12" s="137"/>
      <c r="Q12" s="136" t="s">
        <v>119</v>
      </c>
      <c r="R12" s="45"/>
      <c r="S12" s="45" t="s">
        <v>3</v>
      </c>
      <c r="T12" s="45"/>
      <c r="U12" s="403">
        <v>20.02</v>
      </c>
      <c r="V12" s="403"/>
      <c r="W12" s="403"/>
      <c r="X12" s="403"/>
      <c r="Y12" s="403"/>
      <c r="Z12" s="45"/>
      <c r="AA12" s="45"/>
      <c r="AB12" s="45"/>
      <c r="AC12" s="45"/>
      <c r="AD12" s="45"/>
      <c r="AE12" s="45"/>
      <c r="AF12" s="45"/>
      <c r="AG12" s="45"/>
      <c r="AH12" s="45"/>
      <c r="AI12" s="45"/>
      <c r="AJ12" s="137"/>
      <c r="AK12" s="45"/>
      <c r="AL12" s="45"/>
      <c r="AM12" s="45"/>
      <c r="AN12" s="45"/>
      <c r="AO12" s="45"/>
      <c r="AP12" s="45"/>
      <c r="AQ12" s="148"/>
      <c r="AR12" s="137"/>
      <c r="AS12" s="136" t="s">
        <v>120</v>
      </c>
      <c r="AT12" s="137"/>
      <c r="AU12" s="45" t="s">
        <v>3</v>
      </c>
      <c r="AV12" s="411">
        <f>8314.4/U12</f>
        <v>415.30469530469531</v>
      </c>
      <c r="AW12" s="411"/>
      <c r="AX12" s="411"/>
      <c r="AY12" s="411"/>
      <c r="AZ12" s="411"/>
      <c r="BA12" s="45"/>
      <c r="BB12" s="46"/>
      <c r="BC12" s="1"/>
      <c r="BD12" s="1"/>
      <c r="BE12" s="1"/>
      <c r="BF12" s="5" t="s">
        <v>121</v>
      </c>
      <c r="BG12" s="147">
        <v>830.32091999999989</v>
      </c>
      <c r="BH12" s="142"/>
      <c r="BI12" s="142"/>
    </row>
    <row r="13" spans="1:130" customFormat="1" ht="17.25" customHeight="1" x14ac:dyDescent="0.2">
      <c r="A13" s="1"/>
      <c r="B13" s="44"/>
      <c r="C13" s="45"/>
      <c r="D13" s="137"/>
      <c r="E13" s="137"/>
      <c r="F13" s="137"/>
      <c r="G13" s="137"/>
      <c r="H13" s="137"/>
      <c r="I13" s="137"/>
      <c r="J13" s="45"/>
      <c r="K13" s="137"/>
      <c r="L13" s="137"/>
      <c r="M13" s="137"/>
      <c r="N13" s="137"/>
      <c r="O13" s="45"/>
      <c r="P13" s="148"/>
      <c r="Q13" s="136" t="s">
        <v>122</v>
      </c>
      <c r="R13" s="45"/>
      <c r="S13" s="45" t="s">
        <v>3</v>
      </c>
      <c r="T13" s="45"/>
      <c r="U13" s="412">
        <v>3670</v>
      </c>
      <c r="V13" s="412"/>
      <c r="W13" s="412"/>
      <c r="X13" s="412"/>
      <c r="Y13" s="412"/>
      <c r="Z13" s="45"/>
      <c r="AA13" s="45"/>
      <c r="AB13" s="45"/>
      <c r="AC13" s="45"/>
      <c r="AD13" s="45"/>
      <c r="AE13" s="45"/>
      <c r="AF13" s="45"/>
      <c r="AG13" s="45"/>
      <c r="AH13" s="45"/>
      <c r="AI13" s="45"/>
      <c r="AJ13" s="45"/>
      <c r="AK13" s="45"/>
      <c r="AL13" s="45"/>
      <c r="AM13" s="149"/>
      <c r="AN13" s="12"/>
      <c r="AO13" s="45"/>
      <c r="AP13" s="45"/>
      <c r="AQ13" s="148"/>
      <c r="AR13" s="137"/>
      <c r="AS13" s="136" t="s">
        <v>123</v>
      </c>
      <c r="AT13" s="137"/>
      <c r="AU13" s="45" t="s">
        <v>3</v>
      </c>
      <c r="AV13" s="413">
        <f>U13/3600</f>
        <v>1.0194444444444444</v>
      </c>
      <c r="AW13" s="413"/>
      <c r="AX13" s="413"/>
      <c r="AY13" s="413"/>
      <c r="AZ13" s="413"/>
      <c r="BA13" s="45"/>
      <c r="BB13" s="46"/>
      <c r="BC13" s="1"/>
      <c r="BD13" s="1"/>
      <c r="BE13" s="1"/>
      <c r="BF13" s="5" t="s">
        <v>124</v>
      </c>
      <c r="BG13" s="147">
        <v>1185.8040799999999</v>
      </c>
      <c r="BH13" s="142"/>
      <c r="BI13" s="142"/>
    </row>
    <row r="14" spans="1:130" customFormat="1" ht="17.25" customHeight="1" x14ac:dyDescent="0.2">
      <c r="A14" s="1"/>
      <c r="B14" s="44"/>
      <c r="C14" s="45"/>
      <c r="D14" s="137"/>
      <c r="E14" s="137"/>
      <c r="F14" s="137"/>
      <c r="G14" s="137"/>
      <c r="H14" s="137"/>
      <c r="I14" s="137"/>
      <c r="J14" s="45"/>
      <c r="K14" s="137"/>
      <c r="L14" s="137"/>
      <c r="M14" s="137"/>
      <c r="N14" s="137"/>
      <c r="O14" s="45"/>
      <c r="P14" s="148"/>
      <c r="Q14" s="136" t="s">
        <v>125</v>
      </c>
      <c r="R14" s="45"/>
      <c r="S14" s="45" t="s">
        <v>3</v>
      </c>
      <c r="T14" s="45"/>
      <c r="U14" s="401">
        <v>101.325</v>
      </c>
      <c r="V14" s="401"/>
      <c r="W14" s="401"/>
      <c r="X14" s="401"/>
      <c r="Y14" s="401"/>
      <c r="Z14" s="45"/>
      <c r="AA14" s="45"/>
      <c r="AB14" s="45"/>
      <c r="AC14" s="45"/>
      <c r="AD14" s="45"/>
      <c r="AE14" s="45"/>
      <c r="AF14" s="45"/>
      <c r="AG14" s="45"/>
      <c r="AH14" s="45"/>
      <c r="AI14" s="137"/>
      <c r="AJ14" s="45"/>
      <c r="AK14" s="45"/>
      <c r="AL14" s="45"/>
      <c r="AM14" s="45"/>
      <c r="AN14" s="45"/>
      <c r="AO14" s="137"/>
      <c r="AP14" s="150"/>
      <c r="AQ14" s="151"/>
      <c r="AR14" s="137"/>
      <c r="AS14" s="152" t="s">
        <v>126</v>
      </c>
      <c r="AT14" s="137"/>
      <c r="AU14" s="45" t="s">
        <v>3</v>
      </c>
      <c r="AV14" s="402">
        <v>9.81</v>
      </c>
      <c r="AW14" s="402"/>
      <c r="AX14" s="402"/>
      <c r="AY14" s="402"/>
      <c r="AZ14" s="402"/>
      <c r="BA14" s="45"/>
      <c r="BB14" s="46"/>
      <c r="BC14" s="1"/>
      <c r="BD14" s="1"/>
      <c r="BE14" s="1"/>
      <c r="BF14" s="5" t="s">
        <v>127</v>
      </c>
      <c r="BG14" s="147">
        <v>1840.64148</v>
      </c>
      <c r="BH14" s="142"/>
      <c r="BI14" s="142"/>
    </row>
    <row r="15" spans="1:130" customFormat="1" ht="17.25" customHeight="1" x14ac:dyDescent="0.2">
      <c r="A15" s="1"/>
      <c r="B15" s="44"/>
      <c r="C15" s="45"/>
      <c r="D15" s="137"/>
      <c r="E15" s="137"/>
      <c r="F15" s="137"/>
      <c r="G15" s="137"/>
      <c r="H15" s="137"/>
      <c r="I15" s="137"/>
      <c r="J15" s="137"/>
      <c r="K15" s="137"/>
      <c r="L15" s="45"/>
      <c r="M15" s="137"/>
      <c r="N15" s="137"/>
      <c r="O15" s="45"/>
      <c r="P15" s="45"/>
      <c r="Q15" s="136" t="s">
        <v>128</v>
      </c>
      <c r="R15" s="45"/>
      <c r="S15" s="45" t="s">
        <v>3</v>
      </c>
      <c r="T15" s="45"/>
      <c r="U15" s="403" t="s">
        <v>190</v>
      </c>
      <c r="V15" s="403"/>
      <c r="W15" s="403"/>
      <c r="X15" s="403"/>
      <c r="Y15" s="403"/>
      <c r="Z15" s="45"/>
      <c r="AA15" s="45"/>
      <c r="AB15" s="45"/>
      <c r="AC15" s="45"/>
      <c r="AD15" s="45"/>
      <c r="AE15" s="45"/>
      <c r="AF15" s="45"/>
      <c r="AG15" s="45"/>
      <c r="AH15" s="45"/>
      <c r="AI15" s="137"/>
      <c r="AJ15" s="45"/>
      <c r="AK15" s="45"/>
      <c r="AL15" s="45"/>
      <c r="AM15" s="45"/>
      <c r="AN15" s="45"/>
      <c r="AO15" s="45"/>
      <c r="AP15" s="45"/>
      <c r="AQ15" s="45"/>
      <c r="AR15" s="137"/>
      <c r="AS15" s="136" t="s">
        <v>130</v>
      </c>
      <c r="AT15" s="137"/>
      <c r="AU15" s="45" t="s">
        <v>3</v>
      </c>
      <c r="AV15" s="404">
        <f>INDEX(BF7:BG31,MATCH(U15,BF7:BF31,),2)</f>
        <v>71</v>
      </c>
      <c r="AW15" s="404"/>
      <c r="AX15" s="404"/>
      <c r="AY15" s="404"/>
      <c r="AZ15" s="404"/>
      <c r="BA15" s="45"/>
      <c r="BB15" s="46"/>
      <c r="BC15" s="1"/>
      <c r="BD15" s="1"/>
      <c r="BE15" s="1"/>
      <c r="BF15" s="5" t="s">
        <v>131</v>
      </c>
      <c r="BG15" s="147">
        <v>2322.576</v>
      </c>
      <c r="BH15" s="142"/>
      <c r="BI15" s="142"/>
    </row>
    <row r="16" spans="1:130" customFormat="1" ht="13.5" customHeight="1" x14ac:dyDescent="0.2">
      <c r="A16" s="1"/>
      <c r="B16" s="153"/>
      <c r="C16" s="51"/>
      <c r="D16" s="51"/>
      <c r="E16" s="51"/>
      <c r="F16" s="51"/>
      <c r="G16" s="51"/>
      <c r="H16" s="51"/>
      <c r="I16" s="51"/>
      <c r="J16" s="51"/>
      <c r="K16" s="137"/>
      <c r="L16" s="137"/>
      <c r="M16" s="137"/>
      <c r="N16" s="137"/>
      <c r="O16" s="137"/>
      <c r="P16" s="137"/>
      <c r="Q16" s="137"/>
      <c r="R16" s="137"/>
      <c r="S16" s="137"/>
      <c r="T16" s="137"/>
      <c r="U16" s="137"/>
      <c r="V16" s="137"/>
      <c r="W16" s="137"/>
      <c r="X16" s="137"/>
      <c r="Y16" s="137"/>
      <c r="Z16" s="45"/>
      <c r="AA16" s="45"/>
      <c r="AB16" s="51"/>
      <c r="AC16" s="51"/>
      <c r="AD16" s="51"/>
      <c r="AE16" s="51"/>
      <c r="AF16" s="51"/>
      <c r="AG16" s="51"/>
      <c r="AH16" s="51"/>
      <c r="AI16" s="51"/>
      <c r="AJ16" s="51"/>
      <c r="AK16" s="51"/>
      <c r="AL16" s="51"/>
      <c r="AM16" s="51"/>
      <c r="AN16" s="51"/>
      <c r="AO16" s="51"/>
      <c r="AP16" s="51"/>
      <c r="AQ16" s="154"/>
      <c r="AR16" s="155"/>
      <c r="AS16" s="51"/>
      <c r="AT16" s="51"/>
      <c r="AU16" s="51"/>
      <c r="AV16" s="155"/>
      <c r="AW16" s="155"/>
      <c r="AX16" s="155"/>
      <c r="AY16" s="155"/>
      <c r="AZ16" s="155"/>
      <c r="BA16" s="51"/>
      <c r="BB16" s="156"/>
      <c r="BC16" s="1"/>
      <c r="BD16" s="1"/>
      <c r="BE16" s="1"/>
      <c r="BF16" s="5" t="s">
        <v>132</v>
      </c>
      <c r="BG16" s="147">
        <v>2799.9943999999996</v>
      </c>
      <c r="BH16" s="142"/>
      <c r="BI16" s="142"/>
    </row>
    <row r="17" spans="1:67" customFormat="1" ht="13.5" customHeight="1" x14ac:dyDescent="0.2">
      <c r="A17" s="1"/>
      <c r="B17" s="44"/>
      <c r="C17" s="145" t="s">
        <v>133</v>
      </c>
      <c r="D17" s="145"/>
      <c r="E17" s="145"/>
      <c r="F17" s="145"/>
      <c r="G17" s="45"/>
      <c r="H17" s="45"/>
      <c r="I17" s="45"/>
      <c r="J17" s="45"/>
      <c r="K17" s="157"/>
      <c r="L17" s="157"/>
      <c r="M17" s="157"/>
      <c r="N17" s="157"/>
      <c r="O17" s="157"/>
      <c r="P17" s="157"/>
      <c r="Q17" s="158"/>
      <c r="R17" s="157"/>
      <c r="S17" s="157"/>
      <c r="T17" s="157"/>
      <c r="U17" s="159"/>
      <c r="V17" s="159"/>
      <c r="W17" s="159"/>
      <c r="X17" s="159"/>
      <c r="Y17" s="159"/>
      <c r="Z17" s="157"/>
      <c r="AA17" s="157"/>
      <c r="AB17" s="45"/>
      <c r="AC17" s="45"/>
      <c r="AD17" s="45"/>
      <c r="AE17" s="160"/>
      <c r="AF17" s="45"/>
      <c r="AG17" s="157"/>
      <c r="AH17" s="157"/>
      <c r="AI17" s="45"/>
      <c r="AJ17" s="45"/>
      <c r="AK17" s="45"/>
      <c r="AL17" s="45"/>
      <c r="AM17" s="45"/>
      <c r="AN17" s="45"/>
      <c r="AO17" s="45"/>
      <c r="AP17" s="45"/>
      <c r="AQ17" s="148"/>
      <c r="AR17" s="136"/>
      <c r="AS17" s="45"/>
      <c r="AT17" s="45"/>
      <c r="AU17" s="45"/>
      <c r="AV17" s="148"/>
      <c r="AW17" s="136"/>
      <c r="AX17" s="45"/>
      <c r="AY17" s="45"/>
      <c r="AZ17" s="45"/>
      <c r="BA17" s="45"/>
      <c r="BB17" s="46"/>
      <c r="BC17" s="1"/>
      <c r="BD17" s="1"/>
      <c r="BE17" s="1"/>
      <c r="BF17" s="5" t="s">
        <v>129</v>
      </c>
      <c r="BG17" s="147">
        <v>4115.4756399999997</v>
      </c>
      <c r="BH17" s="142"/>
      <c r="BI17" s="142"/>
    </row>
    <row r="18" spans="1:67" customFormat="1" ht="13.5" customHeight="1" x14ac:dyDescent="0.2">
      <c r="A18" s="1"/>
      <c r="B18" s="44"/>
      <c r="C18" s="45"/>
      <c r="D18" s="45"/>
      <c r="E18" s="45"/>
      <c r="F18" s="45"/>
      <c r="G18" s="45"/>
      <c r="H18" s="45"/>
      <c r="I18" s="45"/>
      <c r="J18" s="45"/>
      <c r="K18" s="45"/>
      <c r="L18" s="45"/>
      <c r="M18" s="45"/>
      <c r="N18" s="45"/>
      <c r="O18" s="45"/>
      <c r="P18" s="45"/>
      <c r="Q18" s="161"/>
      <c r="R18" s="45"/>
      <c r="S18" s="45"/>
      <c r="T18" s="45"/>
      <c r="U18" s="162"/>
      <c r="V18" s="162"/>
      <c r="W18" s="162"/>
      <c r="X18" s="162"/>
      <c r="Y18" s="162"/>
      <c r="Z18" s="45"/>
      <c r="AA18" s="45"/>
      <c r="AB18" s="45"/>
      <c r="AC18" s="45"/>
      <c r="AD18" s="45"/>
      <c r="AE18" s="163"/>
      <c r="AF18" s="45"/>
      <c r="AG18" s="45"/>
      <c r="AH18" s="45"/>
      <c r="AI18" s="45"/>
      <c r="AJ18" s="45"/>
      <c r="AK18" s="45"/>
      <c r="AL18" s="45"/>
      <c r="AM18" s="45"/>
      <c r="AN18" s="45"/>
      <c r="AO18" s="45"/>
      <c r="AP18" s="45"/>
      <c r="AQ18" s="148"/>
      <c r="AR18" s="136"/>
      <c r="AS18" s="45"/>
      <c r="AT18" s="45"/>
      <c r="AU18" s="45"/>
      <c r="AV18" s="148"/>
      <c r="AW18" s="136"/>
      <c r="AX18" s="45"/>
      <c r="AY18" s="45"/>
      <c r="AZ18" s="45"/>
      <c r="BA18" s="45"/>
      <c r="BB18" s="46"/>
      <c r="BC18" s="1"/>
      <c r="BD18" s="1"/>
      <c r="BE18" s="1"/>
      <c r="BF18" s="5" t="s">
        <v>134</v>
      </c>
      <c r="BG18" s="147">
        <v>7129.018</v>
      </c>
      <c r="BH18" s="142"/>
      <c r="BI18" s="142"/>
    </row>
    <row r="19" spans="1:67" customFormat="1" ht="13.5" customHeight="1" x14ac:dyDescent="0.2">
      <c r="A19" s="1"/>
      <c r="B19" s="44"/>
      <c r="C19" s="45"/>
      <c r="D19" s="45"/>
      <c r="E19" s="45"/>
      <c r="F19" s="45"/>
      <c r="G19" s="45"/>
      <c r="H19" s="45"/>
      <c r="I19" s="45"/>
      <c r="J19" s="45"/>
      <c r="K19" s="45"/>
      <c r="L19" s="45"/>
      <c r="M19" s="45"/>
      <c r="N19" s="45"/>
      <c r="O19" s="45"/>
      <c r="P19" s="45"/>
      <c r="Q19" s="164"/>
      <c r="R19" s="45"/>
      <c r="S19" s="45"/>
      <c r="T19" s="45"/>
      <c r="U19" s="45"/>
      <c r="V19" s="45"/>
      <c r="W19" s="45"/>
      <c r="X19" s="45"/>
      <c r="Y19" s="45"/>
      <c r="Z19" s="45"/>
      <c r="AA19" s="45"/>
      <c r="AB19" s="45"/>
      <c r="AC19" s="45"/>
      <c r="AD19" s="45"/>
      <c r="AE19" s="163"/>
      <c r="AF19" s="45"/>
      <c r="AG19" s="45"/>
      <c r="AH19" s="45"/>
      <c r="AI19" s="45"/>
      <c r="AJ19" s="45"/>
      <c r="AK19" s="45"/>
      <c r="AL19" s="45"/>
      <c r="AM19" s="45"/>
      <c r="AN19" s="45"/>
      <c r="AO19" s="45"/>
      <c r="AP19" s="45"/>
      <c r="AQ19" s="45"/>
      <c r="AR19" s="45"/>
      <c r="AS19" s="45"/>
      <c r="AT19" s="45"/>
      <c r="AU19" s="45"/>
      <c r="AV19" s="45"/>
      <c r="AW19" s="45"/>
      <c r="AX19" s="45"/>
      <c r="AY19" s="45"/>
      <c r="AZ19" s="45"/>
      <c r="BA19" s="45"/>
      <c r="BB19" s="46"/>
      <c r="BC19" s="1"/>
      <c r="BD19" s="1"/>
      <c r="BE19" s="1"/>
      <c r="BF19" s="5" t="s">
        <v>135</v>
      </c>
      <c r="BG19" s="147">
        <v>10322.56</v>
      </c>
      <c r="BH19" s="142"/>
      <c r="BI19" s="142"/>
    </row>
    <row r="20" spans="1:67" customFormat="1" ht="13.5" customHeight="1" x14ac:dyDescent="0.2">
      <c r="A20" s="1"/>
      <c r="B20" s="44"/>
      <c r="C20" s="45"/>
      <c r="D20" s="45"/>
      <c r="E20" s="45"/>
      <c r="F20" s="45"/>
      <c r="G20" s="45"/>
      <c r="H20" s="45"/>
      <c r="I20" s="45"/>
      <c r="J20" s="45"/>
      <c r="K20" s="45"/>
      <c r="L20" s="45"/>
      <c r="M20" s="45"/>
      <c r="N20" s="45"/>
      <c r="O20" s="45"/>
      <c r="P20" s="45"/>
      <c r="Q20" s="164"/>
      <c r="R20" s="45"/>
      <c r="S20" s="45"/>
      <c r="T20" s="45"/>
      <c r="U20" s="45"/>
      <c r="V20" s="45"/>
      <c r="W20" s="45"/>
      <c r="X20" s="45"/>
      <c r="Y20" s="45"/>
      <c r="Z20" s="45"/>
      <c r="AA20" s="45"/>
      <c r="AB20" s="45"/>
      <c r="AC20" s="45"/>
      <c r="AD20" s="45"/>
      <c r="AE20" s="163"/>
      <c r="AF20" s="45"/>
      <c r="AG20" s="45"/>
      <c r="AH20" s="45"/>
      <c r="AI20" s="45"/>
      <c r="AJ20" s="45"/>
      <c r="AK20" s="45"/>
      <c r="AL20" s="45"/>
      <c r="AM20" s="45"/>
      <c r="AN20" s="45"/>
      <c r="AO20" s="45"/>
      <c r="AP20" s="45"/>
      <c r="AQ20" s="45"/>
      <c r="AR20" s="45"/>
      <c r="AS20" s="45"/>
      <c r="AT20" s="45"/>
      <c r="AU20" s="45"/>
      <c r="AV20" s="45"/>
      <c r="AW20" s="45"/>
      <c r="AX20" s="45"/>
      <c r="AY20" s="45"/>
      <c r="AZ20" s="45"/>
      <c r="BA20" s="45"/>
      <c r="BB20" s="46"/>
      <c r="BC20" s="1"/>
      <c r="BD20" s="1"/>
      <c r="BE20" s="1"/>
      <c r="BF20" s="5" t="s">
        <v>136</v>
      </c>
      <c r="BG20" s="147">
        <v>16774.16</v>
      </c>
      <c r="BH20" s="142"/>
      <c r="BI20" s="142"/>
    </row>
    <row r="21" spans="1:67" customFormat="1" ht="13.5" customHeight="1" x14ac:dyDescent="0.2">
      <c r="A21" s="1"/>
      <c r="B21" s="44"/>
      <c r="C21" s="45"/>
      <c r="D21" s="45"/>
      <c r="E21" s="45"/>
      <c r="F21" s="45"/>
      <c r="G21" s="45"/>
      <c r="H21" s="45"/>
      <c r="I21" s="45"/>
      <c r="J21" s="45"/>
      <c r="K21" s="45"/>
      <c r="L21" s="45"/>
      <c r="M21" s="45"/>
      <c r="N21" s="45"/>
      <c r="O21" s="45"/>
      <c r="P21" s="45"/>
      <c r="Q21" s="164"/>
      <c r="R21" s="45"/>
      <c r="S21" s="45"/>
      <c r="T21" s="45"/>
      <c r="U21" s="45"/>
      <c r="V21" s="45"/>
      <c r="W21" s="45"/>
      <c r="X21" s="45"/>
      <c r="Y21" s="45"/>
      <c r="Z21" s="45"/>
      <c r="AA21" s="45"/>
      <c r="AB21" s="45"/>
      <c r="AC21" s="45"/>
      <c r="AD21" s="45"/>
      <c r="AE21" s="163"/>
      <c r="AF21" s="45"/>
      <c r="AG21" s="45"/>
      <c r="AH21" s="45"/>
      <c r="AI21" s="45"/>
      <c r="AJ21" s="45"/>
      <c r="AK21" s="45"/>
      <c r="AL21" s="45"/>
      <c r="AM21" s="45"/>
      <c r="AN21" s="45"/>
      <c r="AO21" s="45"/>
      <c r="AP21" s="45"/>
      <c r="AQ21" s="45"/>
      <c r="AR21" s="45"/>
      <c r="AS21" s="45"/>
      <c r="AT21" s="45"/>
      <c r="AU21" s="45"/>
      <c r="AV21" s="45"/>
      <c r="AW21" s="45"/>
      <c r="AX21" s="45"/>
      <c r="AY21" s="45"/>
      <c r="AZ21" s="45"/>
      <c r="BA21" s="45"/>
      <c r="BB21" s="46"/>
      <c r="BC21" s="1"/>
      <c r="BD21" s="1"/>
      <c r="BE21" s="1"/>
      <c r="BF21" s="5" t="s">
        <v>137</v>
      </c>
      <c r="BG21" s="147">
        <v>17980.609199999999</v>
      </c>
      <c r="BH21" s="142"/>
      <c r="BI21" s="142"/>
    </row>
    <row r="22" spans="1:67" customFormat="1" ht="13.5" customHeight="1" x14ac:dyDescent="0.2">
      <c r="A22" s="1"/>
      <c r="B22" s="44"/>
      <c r="C22" s="45"/>
      <c r="D22" s="45"/>
      <c r="E22" s="45"/>
      <c r="F22" s="45"/>
      <c r="G22" s="45"/>
      <c r="H22" s="45"/>
      <c r="I22" s="45"/>
      <c r="J22" s="45"/>
      <c r="K22" s="45"/>
      <c r="L22" s="45"/>
      <c r="M22" s="45"/>
      <c r="N22" s="45"/>
      <c r="O22" s="45"/>
      <c r="P22" s="45"/>
      <c r="Q22" s="164"/>
      <c r="R22" s="45"/>
      <c r="S22" s="45"/>
      <c r="T22" s="45"/>
      <c r="U22" s="45"/>
      <c r="V22" s="45"/>
      <c r="W22" s="45"/>
      <c r="X22" s="45"/>
      <c r="Y22" s="45"/>
      <c r="Z22" s="45"/>
      <c r="AA22" s="45"/>
      <c r="AB22" s="45"/>
      <c r="AC22" s="45"/>
      <c r="AD22" s="45"/>
      <c r="AE22" s="163"/>
      <c r="AF22" s="45"/>
      <c r="AG22" s="45"/>
      <c r="AH22" s="45"/>
      <c r="AI22" s="45"/>
      <c r="AJ22" s="45"/>
      <c r="AK22" s="45"/>
      <c r="AL22" s="45"/>
      <c r="AM22" s="45"/>
      <c r="AN22" s="45"/>
      <c r="AO22" s="45"/>
      <c r="AP22" s="45"/>
      <c r="AQ22" s="45"/>
      <c r="AR22" s="45"/>
      <c r="AS22" s="45"/>
      <c r="AT22" s="45"/>
      <c r="AU22" s="45"/>
      <c r="AV22" s="45"/>
      <c r="AW22" s="45"/>
      <c r="AX22" s="45"/>
      <c r="AY22" s="45"/>
      <c r="AZ22" s="45"/>
      <c r="BA22" s="45"/>
      <c r="BB22" s="46"/>
      <c r="BC22" s="1"/>
      <c r="BD22" s="1"/>
      <c r="BE22" s="1"/>
      <c r="BF22" s="5" t="s">
        <v>138</v>
      </c>
      <c r="BG22" s="147">
        <v>27219.300399999996</v>
      </c>
      <c r="BH22" s="142"/>
      <c r="BI22" s="142"/>
    </row>
    <row r="23" spans="1:67" customFormat="1" ht="13.5" customHeight="1" x14ac:dyDescent="0.2">
      <c r="A23" s="1"/>
      <c r="B23" s="44"/>
      <c r="C23" s="45"/>
      <c r="D23" s="45"/>
      <c r="E23" s="45"/>
      <c r="F23" s="45"/>
      <c r="G23" s="45"/>
      <c r="H23" s="45"/>
      <c r="I23" s="45"/>
      <c r="J23" s="45"/>
      <c r="K23" s="45"/>
      <c r="L23" s="45"/>
      <c r="M23" s="45"/>
      <c r="N23" s="45"/>
      <c r="O23" s="45"/>
      <c r="P23" s="45"/>
      <c r="Q23" s="164"/>
      <c r="R23" s="45"/>
      <c r="S23" s="45"/>
      <c r="T23" s="45"/>
      <c r="U23" s="45"/>
      <c r="V23" s="45"/>
      <c r="W23" s="45"/>
      <c r="X23" s="45"/>
      <c r="Y23" s="45"/>
      <c r="Z23" s="45"/>
      <c r="AA23" s="45"/>
      <c r="AB23" s="45"/>
      <c r="AC23" s="45"/>
      <c r="AD23" s="45"/>
      <c r="AE23" s="163"/>
      <c r="AF23" s="45"/>
      <c r="AG23" s="45"/>
      <c r="AH23" s="45"/>
      <c r="AI23" s="45"/>
      <c r="AJ23" s="45"/>
      <c r="AK23" s="45"/>
      <c r="AL23" s="45"/>
      <c r="AM23" s="45"/>
      <c r="AN23" s="45"/>
      <c r="AO23" s="45"/>
      <c r="AP23" s="45"/>
      <c r="AQ23" s="45"/>
      <c r="AR23" s="45"/>
      <c r="AS23" s="45"/>
      <c r="AT23" s="45"/>
      <c r="AU23" s="45"/>
      <c r="AV23" s="45"/>
      <c r="AW23" s="45"/>
      <c r="AX23" s="45"/>
      <c r="AY23" s="45"/>
      <c r="AZ23" s="45"/>
      <c r="BA23" s="45"/>
      <c r="BB23" s="46"/>
      <c r="BC23" s="1"/>
      <c r="BD23" s="1"/>
      <c r="BE23" s="1"/>
      <c r="BF23" s="5" t="s">
        <v>139</v>
      </c>
      <c r="BG23" s="147">
        <v>39193.47</v>
      </c>
      <c r="BH23" s="142"/>
      <c r="BI23" s="142"/>
    </row>
    <row r="24" spans="1:67" customFormat="1" ht="13.5" customHeight="1" x14ac:dyDescent="0.2">
      <c r="A24" s="1"/>
      <c r="B24" s="44"/>
      <c r="C24" s="45"/>
      <c r="D24" s="45"/>
      <c r="E24" s="45"/>
      <c r="F24" s="45"/>
      <c r="G24" s="45"/>
      <c r="H24" s="45"/>
      <c r="I24" s="45"/>
      <c r="J24" s="45"/>
      <c r="K24" s="45"/>
      <c r="L24" s="45"/>
      <c r="M24" s="45"/>
      <c r="N24" s="45"/>
      <c r="O24" s="45"/>
      <c r="P24" s="45"/>
      <c r="Q24" s="164"/>
      <c r="R24" s="45"/>
      <c r="S24" s="45"/>
      <c r="T24" s="45"/>
      <c r="U24" s="45"/>
      <c r="V24" s="45"/>
      <c r="W24" s="45"/>
      <c r="X24" s="45"/>
      <c r="Y24" s="45"/>
      <c r="Z24" s="45"/>
      <c r="AA24" s="45"/>
      <c r="AB24" s="45"/>
      <c r="AC24" s="45"/>
      <c r="AD24" s="45"/>
      <c r="AE24" s="163"/>
      <c r="AF24" s="45"/>
      <c r="AG24" s="45"/>
      <c r="AH24" s="45"/>
      <c r="AI24" s="45"/>
      <c r="AJ24" s="45"/>
      <c r="AK24" s="45"/>
      <c r="AL24" s="45"/>
      <c r="AM24" s="45"/>
      <c r="AN24" s="45"/>
      <c r="AO24" s="45"/>
      <c r="AP24" s="45"/>
      <c r="AQ24" s="45"/>
      <c r="AR24" s="45"/>
      <c r="AS24" s="45"/>
      <c r="AT24" s="45"/>
      <c r="AU24" s="45"/>
      <c r="AV24" s="45"/>
      <c r="AW24" s="45"/>
      <c r="AX24" s="45"/>
      <c r="AY24" s="45"/>
      <c r="AZ24" s="45"/>
      <c r="BA24" s="45"/>
      <c r="BB24" s="46"/>
      <c r="BC24" s="1"/>
      <c r="BD24" s="1"/>
      <c r="BE24" s="1"/>
      <c r="BF24" s="5" t="s">
        <v>100</v>
      </c>
      <c r="BG24" s="147">
        <v>53341.828800000003</v>
      </c>
      <c r="BH24" s="142"/>
      <c r="BI24" s="142"/>
    </row>
    <row r="25" spans="1:67" customFormat="1" ht="13.5" customHeight="1" x14ac:dyDescent="0.2">
      <c r="A25" s="1"/>
      <c r="B25" s="44"/>
      <c r="C25" s="45"/>
      <c r="D25" s="45"/>
      <c r="E25" s="45"/>
      <c r="F25" s="45"/>
      <c r="G25" s="45"/>
      <c r="H25" s="45"/>
      <c r="I25" s="45"/>
      <c r="J25" s="45"/>
      <c r="K25" s="45"/>
      <c r="L25" s="45"/>
      <c r="M25" s="45"/>
      <c r="N25" s="45"/>
      <c r="O25" s="45"/>
      <c r="P25" s="45"/>
      <c r="Q25" s="164"/>
      <c r="R25" s="45"/>
      <c r="S25" s="45"/>
      <c r="T25" s="45"/>
      <c r="U25" s="45"/>
      <c r="V25" s="45"/>
      <c r="W25" s="45"/>
      <c r="X25" s="45"/>
      <c r="Y25" s="45"/>
      <c r="Z25" s="45"/>
      <c r="AA25" s="45"/>
      <c r="AB25" s="45"/>
      <c r="AC25" s="45"/>
      <c r="AD25" s="45"/>
      <c r="AE25" s="163"/>
      <c r="AF25" s="45"/>
      <c r="AG25" s="45"/>
      <c r="AH25" s="45"/>
      <c r="AI25" s="45"/>
      <c r="AJ25" s="45"/>
      <c r="AK25" s="45"/>
      <c r="AL25" s="45"/>
      <c r="AM25" s="45"/>
      <c r="AN25" s="45"/>
      <c r="AO25" s="45"/>
      <c r="AP25" s="45"/>
      <c r="AQ25" s="45"/>
      <c r="AR25" s="45"/>
      <c r="AS25" s="45"/>
      <c r="AT25" s="45"/>
      <c r="AU25" s="45"/>
      <c r="AV25" s="45"/>
      <c r="AW25" s="45"/>
      <c r="AX25" s="45"/>
      <c r="AY25" s="45"/>
      <c r="AZ25" s="45"/>
      <c r="BA25" s="45"/>
      <c r="BB25" s="46"/>
      <c r="BC25" s="1"/>
      <c r="BD25" s="1"/>
      <c r="BE25" s="1"/>
      <c r="BF25" s="138" t="s">
        <v>140</v>
      </c>
      <c r="BG25" s="147">
        <v>58677.301999999996</v>
      </c>
      <c r="BH25" s="142"/>
      <c r="BI25" s="142"/>
      <c r="BK25" s="141"/>
      <c r="BL25" s="141"/>
      <c r="BM25" s="141"/>
      <c r="BN25" s="141"/>
      <c r="BO25" s="141"/>
    </row>
    <row r="26" spans="1:67" customFormat="1" ht="17.25" customHeight="1" x14ac:dyDescent="0.2">
      <c r="A26" s="1"/>
      <c r="B26" s="405" t="s">
        <v>141</v>
      </c>
      <c r="C26" s="406"/>
      <c r="D26" s="406"/>
      <c r="E26" s="406"/>
      <c r="F26" s="406"/>
      <c r="G26" s="406"/>
      <c r="H26" s="406"/>
      <c r="I26" s="406"/>
      <c r="J26" s="406"/>
      <c r="K26" s="406"/>
      <c r="L26" s="406"/>
      <c r="M26" s="406"/>
      <c r="N26" s="406"/>
      <c r="O26" s="406"/>
      <c r="P26" s="407"/>
      <c r="Q26" s="408" t="s">
        <v>142</v>
      </c>
      <c r="R26" s="406"/>
      <c r="S26" s="406"/>
      <c r="T26" s="406"/>
      <c r="U26" s="406"/>
      <c r="V26" s="406"/>
      <c r="W26" s="406"/>
      <c r="X26" s="406"/>
      <c r="Y26" s="406"/>
      <c r="Z26" s="406"/>
      <c r="AA26" s="406"/>
      <c r="AB26" s="406"/>
      <c r="AC26" s="406"/>
      <c r="AD26" s="406"/>
      <c r="AE26" s="407"/>
      <c r="AF26" s="408" t="s">
        <v>143</v>
      </c>
      <c r="AG26" s="406"/>
      <c r="AH26" s="406"/>
      <c r="AI26" s="406"/>
      <c r="AJ26" s="406"/>
      <c r="AK26" s="406"/>
      <c r="AL26" s="406"/>
      <c r="AM26" s="406"/>
      <c r="AN26" s="406"/>
      <c r="AO26" s="406"/>
      <c r="AP26" s="406"/>
      <c r="AQ26" s="406"/>
      <c r="AR26" s="406"/>
      <c r="AS26" s="406"/>
      <c r="AT26" s="406"/>
      <c r="AU26" s="406"/>
      <c r="AV26" s="406"/>
      <c r="AW26" s="406"/>
      <c r="AX26" s="406"/>
      <c r="AY26" s="406"/>
      <c r="AZ26" s="406"/>
      <c r="BA26" s="406"/>
      <c r="BB26" s="409"/>
      <c r="BC26" s="1"/>
      <c r="BD26" s="1"/>
      <c r="BE26" s="1"/>
      <c r="BF26" s="165" t="s">
        <v>144</v>
      </c>
      <c r="BG26" s="147">
        <v>70232.117599999998</v>
      </c>
      <c r="BH26" s="142"/>
      <c r="BI26" s="142"/>
      <c r="BK26" s="141"/>
      <c r="BL26" s="141"/>
      <c r="BM26" s="141"/>
      <c r="BN26" s="141"/>
      <c r="BO26" s="141"/>
    </row>
    <row r="27" spans="1:67" customFormat="1" ht="13.5" customHeight="1" x14ac:dyDescent="0.2">
      <c r="A27" s="1"/>
      <c r="B27" s="44"/>
      <c r="C27" s="145" t="s">
        <v>186</v>
      </c>
      <c r="D27" s="45"/>
      <c r="E27" s="45"/>
      <c r="F27" s="137"/>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6"/>
      <c r="BC27" s="1"/>
      <c r="BD27" s="1"/>
      <c r="BE27" s="1"/>
      <c r="BF27" s="5" t="s">
        <v>145</v>
      </c>
      <c r="BG27" s="147">
        <v>88186.920399999988</v>
      </c>
      <c r="BH27" s="142"/>
      <c r="BI27" s="142"/>
      <c r="BK27" s="141"/>
      <c r="BL27" s="141"/>
      <c r="BM27" s="141"/>
      <c r="BN27" s="141"/>
      <c r="BO27" s="141"/>
    </row>
    <row r="28" spans="1:67" customFormat="1" ht="13.5" customHeight="1" x14ac:dyDescent="0.2">
      <c r="A28" s="1"/>
      <c r="B28" s="44"/>
      <c r="C28" s="45"/>
      <c r="D28" s="45"/>
      <c r="E28" s="45"/>
      <c r="F28" s="50"/>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6"/>
      <c r="BC28" s="1"/>
      <c r="BD28" s="1"/>
      <c r="BE28" s="1"/>
      <c r="BF28" s="5" t="s">
        <v>146</v>
      </c>
      <c r="BG28" s="147">
        <v>108864.2984</v>
      </c>
      <c r="BH28" s="142"/>
      <c r="BI28" s="142"/>
      <c r="BK28" s="141"/>
      <c r="BL28" s="141"/>
      <c r="BM28" s="141"/>
      <c r="BN28" s="141"/>
      <c r="BO28" s="141"/>
    </row>
    <row r="29" spans="1:67" customFormat="1" ht="13.5" customHeight="1" x14ac:dyDescent="0.2">
      <c r="A29" s="1"/>
      <c r="B29" s="44"/>
      <c r="C29" s="45"/>
      <c r="D29" s="45"/>
      <c r="E29" s="45"/>
      <c r="F29" s="45"/>
      <c r="G29" s="45"/>
      <c r="H29" s="45"/>
      <c r="I29" s="45"/>
      <c r="J29" s="45"/>
      <c r="K29" s="45"/>
      <c r="L29" s="45"/>
      <c r="M29" s="45"/>
      <c r="N29" s="45"/>
      <c r="O29" s="45"/>
      <c r="P29" s="45"/>
      <c r="Q29" s="45"/>
      <c r="R29" s="45"/>
      <c r="S29" s="45"/>
      <c r="T29" s="45"/>
      <c r="U29" s="45"/>
      <c r="V29" s="45"/>
      <c r="W29" s="45"/>
      <c r="X29" s="45"/>
      <c r="Y29" s="45"/>
      <c r="Z29" s="45"/>
      <c r="AA29" s="166"/>
      <c r="AB29" s="45"/>
      <c r="AC29" s="45"/>
      <c r="AD29" s="45"/>
      <c r="AE29" s="45"/>
      <c r="AF29" s="45"/>
      <c r="AG29" s="45"/>
      <c r="AH29" s="45"/>
      <c r="AI29" s="45"/>
      <c r="AJ29" s="45"/>
      <c r="AK29" s="45"/>
      <c r="AL29" s="45"/>
      <c r="AM29" s="45"/>
      <c r="AN29" s="45"/>
      <c r="AO29" s="45"/>
      <c r="AP29" s="45"/>
      <c r="AQ29" s="45"/>
      <c r="AR29" s="137"/>
      <c r="AS29" s="137"/>
      <c r="AT29" s="137"/>
      <c r="AU29" s="137"/>
      <c r="AV29" s="137"/>
      <c r="AW29" s="137"/>
      <c r="AX29" s="137"/>
      <c r="AY29" s="45"/>
      <c r="AZ29" s="45"/>
      <c r="BA29" s="45"/>
      <c r="BB29" s="46"/>
      <c r="BC29" s="1"/>
      <c r="BD29" s="1"/>
      <c r="BE29" s="1"/>
      <c r="BF29" s="5" t="s">
        <v>147</v>
      </c>
      <c r="BG29" s="147">
        <v>119354.59999999999</v>
      </c>
      <c r="BH29" s="142"/>
      <c r="BI29" s="142"/>
      <c r="BK29" s="141"/>
      <c r="BL29" s="141"/>
      <c r="BM29" s="141"/>
      <c r="BN29" s="141"/>
      <c r="BO29" s="141"/>
    </row>
    <row r="30" spans="1:67" customFormat="1" ht="13.5" customHeight="1" x14ac:dyDescent="0.2">
      <c r="A30" s="1"/>
      <c r="B30" s="44"/>
      <c r="C30" s="45"/>
      <c r="D30" s="45"/>
      <c r="E30" s="45"/>
      <c r="F30" s="45"/>
      <c r="G30" s="45"/>
      <c r="H30" s="45"/>
      <c r="I30" s="45"/>
      <c r="J30" s="45"/>
      <c r="K30" s="45"/>
      <c r="L30" s="45"/>
      <c r="M30" s="45"/>
      <c r="N30" s="45" t="s">
        <v>3</v>
      </c>
      <c r="O30" s="392">
        <f>(129*AV13)*SQRT((U11*AV9)/((U11+1)*U12))</f>
        <v>433.74100791013529</v>
      </c>
      <c r="P30" s="393"/>
      <c r="Q30" s="393"/>
      <c r="R30" s="393"/>
      <c r="S30" s="393"/>
      <c r="T30" s="393"/>
      <c r="U30" s="394"/>
      <c r="V30" s="45" t="s">
        <v>132</v>
      </c>
      <c r="W30" s="137"/>
      <c r="X30" s="137"/>
      <c r="Y30" s="137"/>
      <c r="Z30" s="137"/>
      <c r="AA30" s="137"/>
      <c r="AB30" s="137"/>
      <c r="AC30" s="137"/>
      <c r="AD30" s="137"/>
      <c r="AE30" s="45"/>
      <c r="AF30" s="45"/>
      <c r="AG30" s="45"/>
      <c r="AH30" s="45"/>
      <c r="AI30" s="45"/>
      <c r="AJ30" s="45"/>
      <c r="AK30" s="45"/>
      <c r="AL30" s="45"/>
      <c r="AM30" s="45"/>
      <c r="AN30" s="45"/>
      <c r="AO30" s="45"/>
      <c r="AP30" s="45"/>
      <c r="AQ30" s="45"/>
      <c r="AR30" s="167"/>
      <c r="AS30" s="168" t="s">
        <v>3</v>
      </c>
      <c r="AT30" s="395">
        <f>(36*U13/AV10)*SQRT((AV9)/(U11*(U11+1)*U12))-U14</f>
        <v>-60.511292188715707</v>
      </c>
      <c r="AU30" s="396"/>
      <c r="AV30" s="396"/>
      <c r="AW30" s="396"/>
      <c r="AX30" s="396"/>
      <c r="AY30" s="396"/>
      <c r="AZ30" s="397"/>
      <c r="BA30" s="45" t="s">
        <v>148</v>
      </c>
      <c r="BB30" s="46"/>
      <c r="BC30" s="1"/>
      <c r="BD30" s="1"/>
      <c r="BE30" s="1"/>
      <c r="BF30" s="138" t="s">
        <v>190</v>
      </c>
      <c r="BG30" s="137">
        <v>71</v>
      </c>
      <c r="BH30" s="142"/>
      <c r="BI30" s="142"/>
    </row>
    <row r="31" spans="1:67" customFormat="1" ht="13.5" customHeight="1" x14ac:dyDescent="0.2">
      <c r="A31" s="1"/>
      <c r="B31" s="44"/>
      <c r="C31" s="45"/>
      <c r="D31" s="45"/>
      <c r="E31" s="45"/>
      <c r="F31" s="45"/>
      <c r="G31" s="45"/>
      <c r="H31" s="45"/>
      <c r="I31" s="45"/>
      <c r="J31" s="45"/>
      <c r="K31" s="45"/>
      <c r="L31" s="45"/>
      <c r="M31" s="45"/>
      <c r="N31" s="45"/>
      <c r="O31" s="45" t="s">
        <v>149</v>
      </c>
      <c r="P31" s="45"/>
      <c r="Q31" s="45"/>
      <c r="R31" s="137"/>
      <c r="S31" s="137"/>
      <c r="T31" s="137"/>
      <c r="U31" s="137"/>
      <c r="V31" s="137"/>
      <c r="W31" s="137"/>
      <c r="X31" s="137"/>
      <c r="Y31" s="137"/>
      <c r="Z31" s="137"/>
      <c r="AA31" s="137"/>
      <c r="AB31" s="137"/>
      <c r="AC31" s="137"/>
      <c r="AD31" s="45"/>
      <c r="AE31" s="45"/>
      <c r="AF31" s="45"/>
      <c r="AG31" s="45"/>
      <c r="AH31" s="45"/>
      <c r="AI31" s="45"/>
      <c r="AJ31" s="45"/>
      <c r="AK31" s="45"/>
      <c r="AL31" s="45"/>
      <c r="AM31" s="45"/>
      <c r="AN31" s="45"/>
      <c r="AO31" s="45"/>
      <c r="AP31" s="45"/>
      <c r="AQ31" s="45"/>
      <c r="AR31" s="137"/>
      <c r="AS31" s="45"/>
      <c r="AT31" s="45" t="s">
        <v>150</v>
      </c>
      <c r="AU31" s="45"/>
      <c r="AV31" s="45"/>
      <c r="AW31" s="45"/>
      <c r="AX31" s="45"/>
      <c r="AY31" s="45"/>
      <c r="AZ31" s="45"/>
      <c r="BA31" s="45"/>
      <c r="BB31" s="46"/>
      <c r="BC31" s="1"/>
      <c r="BD31" s="1"/>
      <c r="BE31" s="1"/>
      <c r="BF31" s="138"/>
      <c r="BG31" s="137"/>
      <c r="BH31" s="142"/>
      <c r="BI31" s="142"/>
    </row>
    <row r="32" spans="1:67" customFormat="1" ht="13.5" customHeight="1" x14ac:dyDescent="0.2">
      <c r="A32" s="1"/>
      <c r="B32" s="44"/>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45"/>
      <c r="AA32" s="45"/>
      <c r="AB32" s="45"/>
      <c r="AC32" s="45"/>
      <c r="AD32" s="45"/>
      <c r="AE32" s="45"/>
      <c r="AF32" s="45"/>
      <c r="AG32" s="45"/>
      <c r="AH32" s="45"/>
      <c r="AI32" s="137"/>
      <c r="AJ32" s="137"/>
      <c r="AK32" s="137"/>
      <c r="AL32" s="137"/>
      <c r="AM32" s="137"/>
      <c r="AN32" s="137"/>
      <c r="AO32" s="137"/>
      <c r="AP32" s="137"/>
      <c r="AQ32" s="137"/>
      <c r="AR32" s="137"/>
      <c r="AS32" s="137"/>
      <c r="AT32" s="47"/>
      <c r="AU32" s="47"/>
      <c r="AV32" s="47"/>
      <c r="AW32" s="47"/>
      <c r="AX32" s="47"/>
      <c r="AY32" s="47"/>
      <c r="AZ32" s="47"/>
      <c r="BA32" s="137"/>
      <c r="BB32" s="46"/>
      <c r="BC32" s="1"/>
      <c r="BD32" s="1"/>
      <c r="BE32" s="1"/>
      <c r="BF32" s="138"/>
      <c r="BG32" s="137"/>
      <c r="BH32" s="142"/>
      <c r="BI32" s="142"/>
    </row>
    <row r="33" spans="1:61" customFormat="1" ht="13.5" customHeight="1" x14ac:dyDescent="0.2">
      <c r="A33" s="1"/>
      <c r="B33" s="44"/>
      <c r="C33" s="137"/>
      <c r="D33" s="137"/>
      <c r="E33" s="137"/>
      <c r="F33" s="137"/>
      <c r="G33" s="137"/>
      <c r="H33" s="137"/>
      <c r="I33" s="137"/>
      <c r="J33" s="137"/>
      <c r="K33" s="137"/>
      <c r="L33" s="137"/>
      <c r="M33" s="167"/>
      <c r="N33" s="167" t="s">
        <v>3</v>
      </c>
      <c r="O33" s="398">
        <f>IF(AT30&gt;0,AT30*AV10/1000,0)</f>
        <v>0</v>
      </c>
      <c r="P33" s="399"/>
      <c r="Q33" s="399"/>
      <c r="R33" s="399"/>
      <c r="S33" s="399"/>
      <c r="T33" s="399"/>
      <c r="U33" s="400"/>
      <c r="V33" s="45" t="s">
        <v>132</v>
      </c>
      <c r="W33" s="137"/>
      <c r="X33" s="137"/>
      <c r="Y33" s="137"/>
      <c r="Z33" s="137"/>
      <c r="AA33" s="137"/>
      <c r="AB33" s="137"/>
      <c r="AC33" s="137"/>
      <c r="AD33" s="45"/>
      <c r="AE33" s="137"/>
      <c r="AF33" s="137"/>
      <c r="AG33" s="137"/>
      <c r="AH33" s="137"/>
      <c r="AI33" s="137"/>
      <c r="AJ33" s="137"/>
      <c r="AK33" s="137"/>
      <c r="AL33" s="137"/>
      <c r="AM33" s="137"/>
      <c r="AN33" s="137"/>
      <c r="AO33" s="137"/>
      <c r="AP33" s="47"/>
      <c r="AQ33" s="137"/>
      <c r="AR33" s="137"/>
      <c r="AS33" s="168" t="s">
        <v>3</v>
      </c>
      <c r="AT33" s="398">
        <f>(AV13^2*AV12*AV9)/(AV8*AV15/1000)</f>
        <v>306.41861678700076</v>
      </c>
      <c r="AU33" s="399"/>
      <c r="AV33" s="399"/>
      <c r="AW33" s="399"/>
      <c r="AX33" s="399"/>
      <c r="AY33" s="399"/>
      <c r="AZ33" s="400"/>
      <c r="BA33" s="45" t="s">
        <v>132</v>
      </c>
      <c r="BB33" s="46"/>
      <c r="BC33" s="1"/>
      <c r="BD33" s="1"/>
      <c r="BE33" s="1"/>
      <c r="BF33" s="138"/>
      <c r="BG33" s="137"/>
      <c r="BH33" s="142"/>
      <c r="BI33" s="169"/>
    </row>
    <row r="34" spans="1:61" customFormat="1" ht="13.5" customHeight="1" x14ac:dyDescent="0.2">
      <c r="A34" s="1"/>
      <c r="B34" s="44"/>
      <c r="C34" s="137"/>
      <c r="D34" s="137"/>
      <c r="E34" s="137"/>
      <c r="F34" s="137"/>
      <c r="G34" s="137"/>
      <c r="H34" s="137"/>
      <c r="I34" s="137"/>
      <c r="J34" s="137"/>
      <c r="K34" s="137"/>
      <c r="L34" s="137"/>
      <c r="M34" s="137"/>
      <c r="N34" s="137"/>
      <c r="O34" s="47" t="s">
        <v>149</v>
      </c>
      <c r="P34" s="137"/>
      <c r="Q34" s="137"/>
      <c r="R34" s="137"/>
      <c r="S34" s="137"/>
      <c r="T34" s="137"/>
      <c r="U34" s="137"/>
      <c r="V34" s="137"/>
      <c r="W34" s="137"/>
      <c r="X34" s="137"/>
      <c r="Y34" s="137"/>
      <c r="Z34" s="45"/>
      <c r="AA34" s="45"/>
      <c r="AB34" s="45"/>
      <c r="AC34" s="45"/>
      <c r="AD34" s="137"/>
      <c r="AE34" s="137"/>
      <c r="AF34" s="137"/>
      <c r="AG34" s="137"/>
      <c r="AH34" s="137"/>
      <c r="AI34" s="137"/>
      <c r="AJ34" s="137"/>
      <c r="AK34" s="137"/>
      <c r="AL34" s="137"/>
      <c r="AM34" s="137"/>
      <c r="AN34" s="137"/>
      <c r="AO34" s="167"/>
      <c r="AP34" s="137"/>
      <c r="AQ34" s="137"/>
      <c r="AR34" s="137"/>
      <c r="AS34" s="137"/>
      <c r="AT34" s="47" t="s">
        <v>151</v>
      </c>
      <c r="AU34" s="47"/>
      <c r="AV34" s="47"/>
      <c r="AW34" s="47"/>
      <c r="AX34" s="47"/>
      <c r="AY34" s="47"/>
      <c r="AZ34" s="47"/>
      <c r="BA34" s="137"/>
      <c r="BB34" s="46"/>
      <c r="BC34" s="1"/>
      <c r="BD34" s="1"/>
      <c r="BE34" s="1"/>
      <c r="BF34" s="138"/>
      <c r="BG34" s="137"/>
      <c r="BH34" s="142"/>
      <c r="BI34" s="169"/>
    </row>
    <row r="35" spans="1:61" customFormat="1" ht="13.5" customHeight="1" x14ac:dyDescent="0.2">
      <c r="A35" s="1"/>
      <c r="B35" s="44"/>
      <c r="C35" s="137"/>
      <c r="D35" s="137"/>
      <c r="E35" s="137"/>
      <c r="F35" s="137"/>
      <c r="G35" s="137"/>
      <c r="H35" s="137"/>
      <c r="I35" s="137"/>
      <c r="J35" s="137"/>
      <c r="K35" s="137"/>
      <c r="L35" s="137"/>
      <c r="M35" s="137"/>
      <c r="N35" s="137"/>
      <c r="O35" s="137"/>
      <c r="P35" s="137"/>
      <c r="Q35" s="137"/>
      <c r="R35" s="137"/>
      <c r="S35" s="137"/>
      <c r="T35" s="137"/>
      <c r="U35" s="137"/>
      <c r="V35" s="137"/>
      <c r="W35" s="137"/>
      <c r="X35" s="137"/>
      <c r="Y35" s="45"/>
      <c r="Z35" s="45"/>
      <c r="AA35" s="45"/>
      <c r="AB35" s="45"/>
      <c r="AC35" s="45"/>
      <c r="AD35" s="137"/>
      <c r="AE35" s="137"/>
      <c r="AF35" s="137"/>
      <c r="AG35" s="137"/>
      <c r="AH35" s="137"/>
      <c r="AI35" s="137"/>
      <c r="AJ35" s="137"/>
      <c r="AK35" s="137"/>
      <c r="AL35" s="137"/>
      <c r="AM35" s="137"/>
      <c r="AN35" s="137"/>
      <c r="AO35" s="137"/>
      <c r="AP35" s="137"/>
      <c r="AQ35" s="137"/>
      <c r="AR35" s="137"/>
      <c r="AS35" s="137"/>
      <c r="AT35" s="47"/>
      <c r="AU35" s="47"/>
      <c r="AV35" s="47"/>
      <c r="AW35" s="47"/>
      <c r="AX35" s="47"/>
      <c r="AY35" s="47"/>
      <c r="AZ35" s="47"/>
      <c r="BA35" s="137"/>
      <c r="BB35" s="46"/>
      <c r="BC35" s="1"/>
      <c r="BD35" s="1"/>
      <c r="BE35" s="1"/>
      <c r="BF35" s="138"/>
      <c r="BG35" s="137"/>
      <c r="BH35" s="142"/>
      <c r="BI35" s="169"/>
    </row>
    <row r="36" spans="1:61" customFormat="1" ht="13.5" customHeight="1" x14ac:dyDescent="0.2">
      <c r="A36" s="1"/>
      <c r="B36" s="44"/>
      <c r="C36" s="137"/>
      <c r="D36" s="137"/>
      <c r="E36" s="137"/>
      <c r="F36" s="137"/>
      <c r="G36" s="137"/>
      <c r="H36" s="137"/>
      <c r="I36" s="137"/>
      <c r="J36" s="137"/>
      <c r="K36" s="137"/>
      <c r="L36" s="137"/>
      <c r="M36" s="167"/>
      <c r="N36" s="167" t="s">
        <v>3</v>
      </c>
      <c r="O36" s="392">
        <f>O30+O33</f>
        <v>433.74100791013529</v>
      </c>
      <c r="P36" s="393"/>
      <c r="Q36" s="393"/>
      <c r="R36" s="393"/>
      <c r="S36" s="393"/>
      <c r="T36" s="393"/>
      <c r="U36" s="394"/>
      <c r="V36" s="45" t="s">
        <v>132</v>
      </c>
      <c r="W36" s="137"/>
      <c r="X36" s="137"/>
      <c r="Y36" s="45"/>
      <c r="Z36" s="45"/>
      <c r="AA36" s="45"/>
      <c r="AB36" s="45"/>
      <c r="AC36" s="45"/>
      <c r="AD36" s="137"/>
      <c r="AE36" s="137"/>
      <c r="AF36" s="137"/>
      <c r="AG36" s="137"/>
      <c r="AH36" s="137"/>
      <c r="AI36" s="137"/>
      <c r="AJ36" s="45"/>
      <c r="AK36" s="170"/>
      <c r="AL36" s="170"/>
      <c r="AM36" s="170"/>
      <c r="AN36" s="170"/>
      <c r="AO36" s="170"/>
      <c r="AP36" s="45" t="s">
        <v>3</v>
      </c>
      <c r="AQ36" s="45"/>
      <c r="AR36" s="137"/>
      <c r="AS36" s="45" t="s">
        <v>3</v>
      </c>
      <c r="AT36" s="392">
        <f>O30*2</f>
        <v>867.48201582027059</v>
      </c>
      <c r="AU36" s="393"/>
      <c r="AV36" s="393"/>
      <c r="AW36" s="393"/>
      <c r="AX36" s="393"/>
      <c r="AY36" s="393"/>
      <c r="AZ36" s="394"/>
      <c r="BA36" s="45" t="s">
        <v>132</v>
      </c>
      <c r="BB36" s="46"/>
      <c r="BC36" s="1"/>
      <c r="BD36" s="1"/>
      <c r="BE36" s="1"/>
      <c r="BF36" s="138"/>
      <c r="BG36" s="137"/>
      <c r="BH36" s="142"/>
      <c r="BI36" s="169"/>
    </row>
    <row r="37" spans="1:61" customFormat="1" ht="13.5" customHeight="1" x14ac:dyDescent="0.2">
      <c r="A37" s="1"/>
      <c r="B37" s="153"/>
      <c r="C37" s="154"/>
      <c r="D37" s="154"/>
      <c r="E37" s="154"/>
      <c r="F37" s="154"/>
      <c r="G37" s="154"/>
      <c r="H37" s="154"/>
      <c r="I37" s="154"/>
      <c r="J37" s="154"/>
      <c r="K37" s="154"/>
      <c r="L37" s="154"/>
      <c r="M37" s="154"/>
      <c r="N37" s="154"/>
      <c r="O37" s="51" t="s">
        <v>149</v>
      </c>
      <c r="P37" s="154"/>
      <c r="Q37" s="154"/>
      <c r="R37" s="154"/>
      <c r="S37" s="154"/>
      <c r="T37" s="154"/>
      <c r="U37" s="154"/>
      <c r="V37" s="154"/>
      <c r="W37" s="154"/>
      <c r="X37" s="154"/>
      <c r="Y37" s="51"/>
      <c r="Z37" s="51"/>
      <c r="AA37" s="51"/>
      <c r="AB37" s="51"/>
      <c r="AC37" s="51"/>
      <c r="AD37" s="154"/>
      <c r="AE37" s="154"/>
      <c r="AF37" s="154"/>
      <c r="AG37" s="154"/>
      <c r="AH37" s="154"/>
      <c r="AI37" s="154"/>
      <c r="AJ37" s="154"/>
      <c r="AK37" s="154"/>
      <c r="AL37" s="154"/>
      <c r="AM37" s="154"/>
      <c r="AN37" s="154"/>
      <c r="AO37" s="154"/>
      <c r="AP37" s="154"/>
      <c r="AQ37" s="154"/>
      <c r="AR37" s="154"/>
      <c r="AS37" s="154"/>
      <c r="AT37" s="51" t="s">
        <v>152</v>
      </c>
      <c r="AU37" s="154"/>
      <c r="AV37" s="154"/>
      <c r="AW37" s="154"/>
      <c r="AX37" s="154"/>
      <c r="AY37" s="154"/>
      <c r="AZ37" s="154"/>
      <c r="BA37" s="154"/>
      <c r="BB37" s="156"/>
      <c r="BC37" s="1"/>
      <c r="BD37" s="1"/>
      <c r="BE37" s="1"/>
      <c r="BF37" s="138"/>
      <c r="BG37" s="137"/>
      <c r="BH37" s="142"/>
      <c r="BI37" s="169"/>
    </row>
    <row r="38" spans="1:61" customFormat="1" ht="12.75" customHeight="1" x14ac:dyDescent="0.2">
      <c r="A38" s="1"/>
      <c r="B38" s="44"/>
      <c r="C38" s="171" t="s">
        <v>153</v>
      </c>
      <c r="D38" s="148"/>
      <c r="E38" s="148"/>
      <c r="F38" s="172"/>
      <c r="G38" s="170"/>
      <c r="H38" s="170"/>
      <c r="I38" s="170"/>
      <c r="J38" s="170"/>
      <c r="K38" s="45"/>
      <c r="L38" s="45"/>
      <c r="M38" s="45"/>
      <c r="N38" s="45"/>
      <c r="O38" s="45"/>
      <c r="P38" s="45"/>
      <c r="Q38" s="45"/>
      <c r="R38" s="45"/>
      <c r="S38" s="45"/>
      <c r="T38" s="45"/>
      <c r="U38" s="45"/>
      <c r="V38" s="45"/>
      <c r="W38" s="45"/>
      <c r="X38" s="45"/>
      <c r="Y38" s="45"/>
      <c r="Z38" s="45"/>
      <c r="AA38" s="45"/>
      <c r="AB38" s="45"/>
      <c r="AC38" s="45"/>
      <c r="AD38" s="45"/>
      <c r="AE38" s="45"/>
      <c r="AF38" s="45"/>
      <c r="AG38" s="45"/>
      <c r="AH38" s="170"/>
      <c r="AI38" s="170"/>
      <c r="AJ38" s="170"/>
      <c r="AK38" s="170"/>
      <c r="AL38" s="170"/>
      <c r="AM38" s="45"/>
      <c r="AN38" s="45"/>
      <c r="AO38" s="45"/>
      <c r="AP38" s="45"/>
      <c r="AQ38" s="45"/>
      <c r="AR38" s="45"/>
      <c r="AS38" s="45"/>
      <c r="AT38" s="45"/>
      <c r="AU38" s="45"/>
      <c r="AV38" s="45"/>
      <c r="AW38" s="45"/>
      <c r="AX38" s="45"/>
      <c r="AY38" s="45"/>
      <c r="AZ38" s="137"/>
      <c r="BA38" s="137"/>
      <c r="BB38" s="46"/>
      <c r="BC38" s="1"/>
      <c r="BD38" s="1"/>
      <c r="BE38" s="1"/>
      <c r="BF38" s="138"/>
      <c r="BG38" s="137"/>
      <c r="BH38" s="142"/>
      <c r="BI38" s="169"/>
    </row>
    <row r="39" spans="1:61" customFormat="1" ht="12.75" customHeight="1" x14ac:dyDescent="0.25">
      <c r="A39" s="1"/>
      <c r="B39" s="44"/>
      <c r="C39" s="173" t="s">
        <v>154</v>
      </c>
      <c r="D39" s="148" t="s">
        <v>155</v>
      </c>
      <c r="E39" s="148"/>
      <c r="F39" s="172"/>
      <c r="G39" s="170"/>
      <c r="H39" s="170"/>
      <c r="I39" s="170"/>
      <c r="J39" s="170"/>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137"/>
      <c r="AJ39" s="137"/>
      <c r="AK39" s="137"/>
      <c r="AL39" s="137"/>
      <c r="AM39" s="137"/>
      <c r="AN39" s="137"/>
      <c r="AO39" s="137"/>
      <c r="AP39" s="137"/>
      <c r="AQ39" s="137"/>
      <c r="AR39" s="137"/>
      <c r="AS39" s="137"/>
      <c r="AT39" s="47"/>
      <c r="AU39" s="137"/>
      <c r="AV39" s="137"/>
      <c r="AW39" s="137"/>
      <c r="AX39" s="137"/>
      <c r="AY39" s="137"/>
      <c r="AZ39" s="137"/>
      <c r="BA39" s="137"/>
      <c r="BB39" s="46"/>
      <c r="BC39" s="1"/>
      <c r="BD39" s="1"/>
      <c r="BE39" s="1"/>
      <c r="BF39" s="138"/>
      <c r="BG39" s="137"/>
      <c r="BH39" s="142"/>
      <c r="BI39" s="169"/>
    </row>
    <row r="40" spans="1:61" customFormat="1" ht="12.75" customHeight="1" x14ac:dyDescent="0.25">
      <c r="A40" s="1"/>
      <c r="B40" s="44"/>
      <c r="C40" s="173" t="s">
        <v>156</v>
      </c>
      <c r="D40" s="148" t="s">
        <v>157</v>
      </c>
      <c r="E40" s="148"/>
      <c r="F40" s="172"/>
      <c r="G40" s="170"/>
      <c r="H40" s="170"/>
      <c r="I40" s="170"/>
      <c r="J40" s="170"/>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137"/>
      <c r="AJ40" s="137"/>
      <c r="AK40" s="137"/>
      <c r="AL40" s="137"/>
      <c r="AM40" s="137"/>
      <c r="AN40" s="137"/>
      <c r="AO40" s="137"/>
      <c r="AP40" s="137"/>
      <c r="AQ40" s="137"/>
      <c r="AR40" s="137"/>
      <c r="AS40" s="137"/>
      <c r="AT40" s="47"/>
      <c r="AU40" s="137"/>
      <c r="AV40" s="137"/>
      <c r="AW40" s="137"/>
      <c r="AX40" s="137"/>
      <c r="AY40" s="137"/>
      <c r="AZ40" s="137"/>
      <c r="BA40" s="137"/>
      <c r="BB40" s="46"/>
      <c r="BC40" s="1"/>
      <c r="BD40" s="1"/>
      <c r="BE40" s="1"/>
      <c r="BF40" s="138"/>
      <c r="BG40" s="137"/>
      <c r="BH40" s="142"/>
      <c r="BI40" s="169"/>
    </row>
    <row r="41" spans="1:61" customFormat="1" ht="12.75" customHeight="1" x14ac:dyDescent="0.2">
      <c r="A41" s="1"/>
      <c r="B41" s="44"/>
      <c r="C41" s="173" t="s">
        <v>158</v>
      </c>
      <c r="D41" s="148" t="s">
        <v>159</v>
      </c>
      <c r="E41" s="148"/>
      <c r="F41" s="172"/>
      <c r="G41" s="170"/>
      <c r="H41" s="170"/>
      <c r="I41" s="170"/>
      <c r="J41" s="170"/>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137"/>
      <c r="AJ41" s="137"/>
      <c r="AK41" s="137"/>
      <c r="AL41" s="137"/>
      <c r="AM41" s="137"/>
      <c r="AN41" s="137"/>
      <c r="AO41" s="137"/>
      <c r="AP41" s="137"/>
      <c r="AQ41" s="137"/>
      <c r="AR41" s="137"/>
      <c r="AS41" s="137"/>
      <c r="AT41" s="47"/>
      <c r="AU41" s="137"/>
      <c r="AV41" s="137"/>
      <c r="AW41" s="137"/>
      <c r="AX41" s="137"/>
      <c r="AY41" s="137"/>
      <c r="AZ41" s="137"/>
      <c r="BA41" s="137"/>
      <c r="BB41" s="46"/>
      <c r="BC41" s="1"/>
      <c r="BD41" s="1"/>
      <c r="BE41" s="1"/>
      <c r="BF41" s="138"/>
      <c r="BG41" s="137"/>
      <c r="BH41" s="142"/>
      <c r="BI41" s="169"/>
    </row>
    <row r="42" spans="1:61" customFormat="1" ht="12.75" customHeight="1" x14ac:dyDescent="0.2">
      <c r="A42" s="1"/>
      <c r="B42" s="44"/>
      <c r="C42" s="173" t="s">
        <v>182</v>
      </c>
      <c r="D42" s="137" t="s">
        <v>183</v>
      </c>
      <c r="E42" s="45"/>
      <c r="F42" s="170"/>
      <c r="G42" s="170"/>
      <c r="H42" s="170"/>
      <c r="I42" s="170"/>
      <c r="J42" s="170"/>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137"/>
      <c r="AJ42" s="137"/>
      <c r="AK42" s="137"/>
      <c r="AL42" s="137"/>
      <c r="AM42" s="137"/>
      <c r="AN42" s="137"/>
      <c r="AO42" s="137"/>
      <c r="AP42" s="137"/>
      <c r="AQ42" s="137"/>
      <c r="AR42" s="137"/>
      <c r="AS42" s="137"/>
      <c r="AT42" s="47"/>
      <c r="AU42" s="137"/>
      <c r="AV42" s="137"/>
      <c r="AW42" s="137"/>
      <c r="AX42" s="137"/>
      <c r="AY42" s="137"/>
      <c r="AZ42" s="137"/>
      <c r="BA42" s="137"/>
      <c r="BB42" s="46"/>
      <c r="BC42" s="1"/>
      <c r="BD42" s="1"/>
      <c r="BE42" s="1"/>
      <c r="BF42" s="138"/>
      <c r="BG42" s="137"/>
      <c r="BH42" s="142"/>
      <c r="BI42" s="169"/>
    </row>
    <row r="43" spans="1:61" customFormat="1" ht="13.5" customHeight="1" thickBot="1" x14ac:dyDescent="0.25">
      <c r="A43" s="1"/>
      <c r="B43" s="44"/>
      <c r="C43" s="45"/>
      <c r="D43" s="174"/>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170"/>
      <c r="AL43" s="170"/>
      <c r="AM43" s="170"/>
      <c r="AN43" s="170"/>
      <c r="AO43" s="170"/>
      <c r="AP43" s="45"/>
      <c r="AQ43" s="45"/>
      <c r="AR43" s="45"/>
      <c r="AS43" s="45"/>
      <c r="AT43" s="45"/>
      <c r="AU43" s="45"/>
      <c r="AV43" s="45"/>
      <c r="AW43" s="45"/>
      <c r="AX43" s="45"/>
      <c r="AY43" s="45"/>
      <c r="AZ43" s="45"/>
      <c r="BA43" s="45"/>
      <c r="BB43" s="46"/>
      <c r="BC43" s="137"/>
      <c r="BD43" s="1"/>
      <c r="BE43" s="1"/>
      <c r="BF43" s="5"/>
      <c r="BG43" s="1"/>
      <c r="BH43" s="142"/>
      <c r="BI43" s="169"/>
    </row>
    <row r="44" spans="1:61" customFormat="1" ht="13.5" customHeight="1" x14ac:dyDescent="0.2">
      <c r="A44" s="1"/>
      <c r="B44" s="175"/>
      <c r="C44" s="176"/>
      <c r="D44" s="176"/>
      <c r="E44" s="387"/>
      <c r="F44" s="387"/>
      <c r="G44" s="387"/>
      <c r="H44" s="387"/>
      <c r="I44" s="387"/>
      <c r="J44" s="387"/>
      <c r="K44" s="388"/>
      <c r="L44" s="388"/>
      <c r="M44" s="388"/>
      <c r="N44" s="388"/>
      <c r="O44" s="388"/>
      <c r="P44" s="388"/>
      <c r="Q44" s="388"/>
      <c r="R44" s="388"/>
      <c r="S44" s="388"/>
      <c r="T44" s="388"/>
      <c r="U44" s="388"/>
      <c r="V44" s="388"/>
      <c r="W44" s="389"/>
      <c r="X44" s="389"/>
      <c r="Y44" s="389"/>
      <c r="Z44" s="389"/>
      <c r="AA44" s="389"/>
      <c r="AB44" s="389"/>
      <c r="AC44" s="389"/>
      <c r="AD44" s="390"/>
      <c r="AE44" s="391"/>
      <c r="AF44" s="389"/>
      <c r="AG44" s="389"/>
      <c r="AH44" s="389"/>
      <c r="AI44" s="389"/>
      <c r="AJ44" s="389"/>
      <c r="AK44" s="389"/>
      <c r="AL44" s="389"/>
      <c r="AM44" s="13"/>
      <c r="AN44" s="13"/>
      <c r="AO44" s="13"/>
      <c r="AP44" s="13" t="s">
        <v>160</v>
      </c>
      <c r="AQ44" s="13"/>
      <c r="AR44" s="13"/>
      <c r="AS44" s="13"/>
      <c r="AT44" s="13"/>
      <c r="AU44" s="13"/>
      <c r="AV44" s="13"/>
      <c r="AW44" s="13"/>
      <c r="AX44" s="13"/>
      <c r="AY44" s="13"/>
      <c r="AZ44" s="13"/>
      <c r="BA44" s="3"/>
      <c r="BB44" s="177"/>
      <c r="BC44" s="137"/>
      <c r="BD44" s="1"/>
      <c r="BE44" s="1"/>
      <c r="BF44" s="5"/>
      <c r="BG44" s="1"/>
      <c r="BH44" s="142"/>
      <c r="BI44" s="169"/>
    </row>
    <row r="45" spans="1:61" customFormat="1" ht="13.5" customHeight="1" x14ac:dyDescent="0.2">
      <c r="A45" s="1"/>
      <c r="B45" s="178"/>
      <c r="C45" s="179"/>
      <c r="D45" s="179"/>
      <c r="E45" s="383"/>
      <c r="F45" s="383"/>
      <c r="G45" s="383"/>
      <c r="H45" s="383"/>
      <c r="I45" s="383"/>
      <c r="J45" s="383"/>
      <c r="K45" s="384"/>
      <c r="L45" s="384"/>
      <c r="M45" s="384"/>
      <c r="N45" s="384"/>
      <c r="O45" s="384"/>
      <c r="P45" s="384"/>
      <c r="Q45" s="384"/>
      <c r="R45" s="384"/>
      <c r="S45" s="384"/>
      <c r="T45" s="384"/>
      <c r="U45" s="384"/>
      <c r="V45" s="384"/>
      <c r="W45" s="385"/>
      <c r="X45" s="385"/>
      <c r="Y45" s="385"/>
      <c r="Z45" s="385"/>
      <c r="AA45" s="385"/>
      <c r="AB45" s="385"/>
      <c r="AC45" s="385"/>
      <c r="AD45" s="386"/>
      <c r="AE45" s="385"/>
      <c r="AF45" s="385"/>
      <c r="AG45" s="385"/>
      <c r="AH45" s="385"/>
      <c r="AI45" s="385"/>
      <c r="AJ45" s="385"/>
      <c r="AK45" s="385"/>
      <c r="AL45" s="385"/>
      <c r="AM45" s="14"/>
      <c r="AN45" s="14"/>
      <c r="AO45" s="14"/>
      <c r="AP45" s="180" t="s">
        <v>187</v>
      </c>
      <c r="AQ45" s="14"/>
      <c r="AR45" s="14"/>
      <c r="AS45" s="14"/>
      <c r="AT45" s="14"/>
      <c r="AU45" s="14"/>
      <c r="AV45" s="14"/>
      <c r="AW45" s="14"/>
      <c r="AX45" s="14"/>
      <c r="AY45" s="14"/>
      <c r="AZ45" s="14"/>
      <c r="BA45" s="14"/>
      <c r="BB45" s="15"/>
      <c r="BC45" s="1"/>
      <c r="BD45" s="137"/>
      <c r="BE45" s="1"/>
      <c r="BF45" s="5"/>
      <c r="BG45" s="1"/>
      <c r="BH45" s="142"/>
      <c r="BI45" s="169"/>
    </row>
    <row r="46" spans="1:61" customFormat="1" ht="13.5" customHeight="1" x14ac:dyDescent="0.2">
      <c r="A46" s="1"/>
      <c r="B46" s="372"/>
      <c r="C46" s="373"/>
      <c r="D46" s="181"/>
      <c r="E46" s="182"/>
      <c r="F46" s="182"/>
      <c r="G46" s="182"/>
      <c r="H46" s="182"/>
      <c r="I46" s="182"/>
      <c r="J46" s="182"/>
      <c r="K46" s="182"/>
      <c r="L46" s="182"/>
      <c r="M46" s="182"/>
      <c r="N46" s="183"/>
      <c r="O46" s="182"/>
      <c r="P46" s="182"/>
      <c r="Q46" s="182"/>
      <c r="R46" s="182"/>
      <c r="S46" s="182"/>
      <c r="T46" s="182"/>
      <c r="U46" s="181"/>
      <c r="V46" s="182"/>
      <c r="W46" s="182"/>
      <c r="X46" s="182"/>
      <c r="Y46" s="182"/>
      <c r="Z46" s="181"/>
      <c r="AA46" s="182"/>
      <c r="AB46" s="182"/>
      <c r="AC46" s="182"/>
      <c r="AD46" s="184"/>
      <c r="AE46" s="185"/>
      <c r="AF46" s="186" t="s">
        <v>4</v>
      </c>
      <c r="AG46" s="32"/>
      <c r="AH46" s="32"/>
      <c r="AI46" s="32"/>
      <c r="AJ46" s="187"/>
      <c r="AK46" s="187"/>
      <c r="AL46" s="188"/>
      <c r="AM46" s="16"/>
      <c r="AN46" s="16"/>
      <c r="AO46" s="16"/>
      <c r="AP46" s="16"/>
      <c r="AQ46" s="16"/>
      <c r="AR46" s="16"/>
      <c r="AS46" s="16"/>
      <c r="AT46" s="16"/>
      <c r="AU46" s="16"/>
      <c r="AV46" s="17"/>
      <c r="AW46" s="17"/>
      <c r="AX46" s="17"/>
      <c r="AY46" s="17"/>
      <c r="AZ46" s="17"/>
      <c r="BA46" s="17"/>
      <c r="BB46" s="18"/>
      <c r="BC46" s="1"/>
      <c r="BD46" s="137"/>
      <c r="BE46" s="1"/>
      <c r="BF46" s="5"/>
      <c r="BG46" s="1"/>
      <c r="BH46" s="142"/>
      <c r="BI46" s="169"/>
    </row>
    <row r="47" spans="1:61" customFormat="1" ht="13.5" customHeight="1" x14ac:dyDescent="0.2">
      <c r="A47" s="1"/>
      <c r="B47" s="189"/>
      <c r="C47" s="190"/>
      <c r="D47" s="181"/>
      <c r="E47" s="182"/>
      <c r="F47" s="182"/>
      <c r="G47" s="182"/>
      <c r="H47" s="182"/>
      <c r="I47" s="182"/>
      <c r="J47" s="182"/>
      <c r="K47" s="182"/>
      <c r="L47" s="182"/>
      <c r="M47" s="182"/>
      <c r="N47" s="183"/>
      <c r="O47" s="182"/>
      <c r="P47" s="182"/>
      <c r="Q47" s="182"/>
      <c r="R47" s="182"/>
      <c r="S47" s="182"/>
      <c r="T47" s="182"/>
      <c r="U47" s="181"/>
      <c r="V47" s="182"/>
      <c r="W47" s="182"/>
      <c r="X47" s="182"/>
      <c r="Y47" s="182"/>
      <c r="Z47" s="181"/>
      <c r="AA47" s="182"/>
      <c r="AB47" s="182"/>
      <c r="AC47" s="182"/>
      <c r="AD47" s="184"/>
      <c r="AE47" s="191"/>
      <c r="AF47" s="192" t="s">
        <v>5</v>
      </c>
      <c r="AG47" s="33"/>
      <c r="AH47" s="33"/>
      <c r="AI47" s="33"/>
      <c r="AJ47" s="193"/>
      <c r="AK47" s="193"/>
      <c r="AL47" s="194"/>
      <c r="AM47" s="19"/>
      <c r="AN47" s="19"/>
      <c r="AO47" s="19"/>
      <c r="AP47" s="19"/>
      <c r="AQ47" s="19"/>
      <c r="AR47" s="19"/>
      <c r="AS47" s="19"/>
      <c r="AT47" s="19"/>
      <c r="AU47" s="19"/>
      <c r="AV47" s="20"/>
      <c r="AW47" s="20"/>
      <c r="AX47" s="20"/>
      <c r="AY47" s="20"/>
      <c r="AZ47" s="20"/>
      <c r="BA47" s="20"/>
      <c r="BB47" s="21"/>
      <c r="BC47" s="1"/>
      <c r="BD47" s="137"/>
      <c r="BE47" s="1"/>
      <c r="BF47" s="5"/>
      <c r="BG47" s="1"/>
      <c r="BH47" s="142"/>
      <c r="BI47" s="169"/>
    </row>
    <row r="48" spans="1:61" customFormat="1" ht="13.5" customHeight="1" x14ac:dyDescent="0.2">
      <c r="A48" s="1"/>
      <c r="B48" s="374"/>
      <c r="C48" s="375"/>
      <c r="D48" s="195"/>
      <c r="E48" s="196"/>
      <c r="F48" s="194"/>
      <c r="G48" s="194"/>
      <c r="H48" s="194"/>
      <c r="I48" s="194"/>
      <c r="J48" s="194"/>
      <c r="K48" s="194"/>
      <c r="L48" s="194"/>
      <c r="M48" s="194"/>
      <c r="N48" s="197"/>
      <c r="O48" s="194"/>
      <c r="P48" s="194"/>
      <c r="Q48" s="194"/>
      <c r="R48" s="194"/>
      <c r="S48" s="194"/>
      <c r="T48" s="194"/>
      <c r="U48" s="195"/>
      <c r="V48" s="194"/>
      <c r="W48" s="194"/>
      <c r="X48" s="194"/>
      <c r="Y48" s="194"/>
      <c r="Z48" s="195"/>
      <c r="AA48" s="194"/>
      <c r="AB48" s="194"/>
      <c r="AC48" s="194"/>
      <c r="AD48" s="198"/>
      <c r="AE48" s="191"/>
      <c r="AF48" s="192" t="s">
        <v>6</v>
      </c>
      <c r="AG48" s="33"/>
      <c r="AH48" s="33"/>
      <c r="AI48" s="33"/>
      <c r="AJ48" s="193"/>
      <c r="AK48" s="193"/>
      <c r="AL48" s="194" t="s">
        <v>180</v>
      </c>
      <c r="AM48" s="19"/>
      <c r="AN48" s="19"/>
      <c r="AO48" s="19"/>
      <c r="AP48" s="19"/>
      <c r="AQ48" s="19"/>
      <c r="AR48" s="19"/>
      <c r="AS48" s="19"/>
      <c r="AT48" s="19"/>
      <c r="AU48" s="19"/>
      <c r="AV48" s="19"/>
      <c r="AW48" s="19"/>
      <c r="AX48" s="19"/>
      <c r="AY48" s="19"/>
      <c r="AZ48" s="19"/>
      <c r="BA48" s="19"/>
      <c r="BB48" s="22"/>
      <c r="BC48" s="1"/>
      <c r="BD48" s="137"/>
      <c r="BE48" s="1"/>
      <c r="BF48" s="5"/>
      <c r="BG48" s="1"/>
      <c r="BH48" s="142"/>
      <c r="BI48" s="169"/>
    </row>
    <row r="49" spans="1:61" customFormat="1" ht="13.5" customHeight="1" x14ac:dyDescent="0.2">
      <c r="A49" s="1"/>
      <c r="B49" s="376"/>
      <c r="C49" s="377"/>
      <c r="D49" s="199"/>
      <c r="E49" s="200"/>
      <c r="F49" s="201"/>
      <c r="G49" s="201"/>
      <c r="H49" s="201"/>
      <c r="I49" s="201"/>
      <c r="J49" s="201"/>
      <c r="K49" s="201"/>
      <c r="L49" s="201"/>
      <c r="M49" s="201"/>
      <c r="N49" s="202"/>
      <c r="O49" s="200"/>
      <c r="P49" s="200"/>
      <c r="Q49" s="203"/>
      <c r="R49" s="201"/>
      <c r="S49" s="201"/>
      <c r="T49" s="201"/>
      <c r="U49" s="199"/>
      <c r="V49" s="201"/>
      <c r="W49" s="201"/>
      <c r="X49" s="201"/>
      <c r="Y49" s="201"/>
      <c r="Z49" s="199"/>
      <c r="AA49" s="201"/>
      <c r="AB49" s="201"/>
      <c r="AC49" s="201"/>
      <c r="AD49" s="204"/>
      <c r="AE49" s="191"/>
      <c r="AF49" s="192" t="s">
        <v>7</v>
      </c>
      <c r="AG49" s="33"/>
      <c r="AH49" s="33"/>
      <c r="AI49" s="33"/>
      <c r="AJ49" s="193"/>
      <c r="AK49" s="193"/>
      <c r="AL49" s="194"/>
      <c r="AM49" s="23"/>
      <c r="AN49" s="23"/>
      <c r="AO49" s="23"/>
      <c r="AP49" s="23"/>
      <c r="AQ49" s="23"/>
      <c r="AR49" s="23"/>
      <c r="AS49" s="23"/>
      <c r="AT49" s="23"/>
      <c r="AU49" s="23"/>
      <c r="AV49" s="23"/>
      <c r="AW49" s="137" t="s">
        <v>161</v>
      </c>
      <c r="AX49" s="1"/>
      <c r="AY49" s="24"/>
      <c r="AZ49" s="24"/>
      <c r="BA49" s="1"/>
      <c r="BB49" s="205"/>
      <c r="BC49" s="1"/>
      <c r="BD49" s="137"/>
      <c r="BE49" s="1"/>
      <c r="BF49" s="5"/>
      <c r="BG49" s="1"/>
      <c r="BH49" s="142"/>
      <c r="BI49" s="169"/>
    </row>
    <row r="50" spans="1:61" customFormat="1" ht="13.5" customHeight="1" thickBot="1" x14ac:dyDescent="0.25">
      <c r="A50" s="137"/>
      <c r="B50" s="378" t="s">
        <v>13</v>
      </c>
      <c r="C50" s="379"/>
      <c r="D50" s="25"/>
      <c r="E50" s="380" t="s">
        <v>6</v>
      </c>
      <c r="F50" s="380"/>
      <c r="G50" s="380"/>
      <c r="H50" s="380"/>
      <c r="I50" s="380"/>
      <c r="J50" s="380"/>
      <c r="K50" s="380"/>
      <c r="L50" s="380"/>
      <c r="M50" s="26"/>
      <c r="N50" s="27"/>
      <c r="O50" s="26"/>
      <c r="P50" s="26"/>
      <c r="Q50" s="26" t="s">
        <v>9</v>
      </c>
      <c r="R50" s="26"/>
      <c r="S50" s="26"/>
      <c r="T50" s="26"/>
      <c r="U50" s="25"/>
      <c r="V50" s="26"/>
      <c r="W50" s="26" t="s">
        <v>10</v>
      </c>
      <c r="X50" s="26"/>
      <c r="Y50" s="26"/>
      <c r="Z50" s="25"/>
      <c r="AA50" s="26" t="s">
        <v>11</v>
      </c>
      <c r="AB50" s="26"/>
      <c r="AC50" s="26"/>
      <c r="AD50" s="28"/>
      <c r="AE50" s="206"/>
      <c r="AF50" s="207" t="s">
        <v>12</v>
      </c>
      <c r="AG50" s="34"/>
      <c r="AH50" s="34"/>
      <c r="AI50" s="34"/>
      <c r="AJ50" s="208"/>
      <c r="AK50" s="208"/>
      <c r="AL50" s="209"/>
      <c r="AM50" s="29"/>
      <c r="AN50" s="29"/>
      <c r="AO50" s="29"/>
      <c r="AP50" s="29"/>
      <c r="AQ50" s="29"/>
      <c r="AR50" s="29"/>
      <c r="AS50" s="29"/>
      <c r="AT50" s="29"/>
      <c r="AU50" s="29"/>
      <c r="AV50" s="29"/>
      <c r="AW50" s="31" t="s">
        <v>162</v>
      </c>
      <c r="AX50" s="31"/>
      <c r="AY50" s="30"/>
      <c r="AZ50" s="381"/>
      <c r="BA50" s="381"/>
      <c r="BB50" s="382"/>
      <c r="BC50" s="137"/>
      <c r="BD50" s="137"/>
      <c r="BE50" s="1"/>
      <c r="BF50" s="5"/>
      <c r="BG50" s="1"/>
      <c r="BH50" s="142"/>
      <c r="BI50" s="169"/>
    </row>
    <row r="51" spans="1:61" customFormat="1" ht="16.5" customHeight="1" x14ac:dyDescent="0.2">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c r="AM51" s="137"/>
      <c r="AN51" s="137"/>
      <c r="AO51" s="137"/>
      <c r="AP51" s="137"/>
      <c r="AQ51" s="137"/>
      <c r="AR51" s="137"/>
      <c r="AS51" s="137"/>
      <c r="AT51" s="137"/>
      <c r="AU51" s="137"/>
      <c r="AV51" s="137"/>
      <c r="AW51" s="137"/>
      <c r="AX51" s="137"/>
      <c r="AY51" s="137"/>
      <c r="AZ51" s="137"/>
      <c r="BA51" s="137"/>
      <c r="BB51" s="137"/>
      <c r="BC51" s="137"/>
      <c r="BD51" s="137"/>
      <c r="BE51" s="1"/>
      <c r="BF51" s="5"/>
      <c r="BG51" s="1"/>
      <c r="BH51" s="142"/>
      <c r="BI51" s="169"/>
    </row>
    <row r="52" spans="1:61" s="1" customFormat="1" ht="16.5" customHeight="1" x14ac:dyDescent="0.2">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c r="AA52" s="137"/>
      <c r="AB52" s="137"/>
      <c r="AC52" s="137"/>
      <c r="AD52" s="137"/>
      <c r="AE52" s="137"/>
      <c r="AF52" s="137"/>
      <c r="AG52" s="137"/>
      <c r="AH52" s="137"/>
      <c r="AI52" s="137"/>
      <c r="AJ52" s="137"/>
      <c r="AK52" s="137"/>
      <c r="AL52" s="137"/>
      <c r="AM52" s="137"/>
      <c r="AN52" s="137"/>
      <c r="AO52" s="137"/>
      <c r="AP52" s="137"/>
      <c r="AQ52" s="137"/>
      <c r="AR52" s="137"/>
      <c r="AS52" s="137"/>
      <c r="AT52" s="137"/>
      <c r="AU52" s="137"/>
      <c r="AV52" s="137"/>
      <c r="AW52" s="137"/>
      <c r="AX52" s="137"/>
      <c r="AY52" s="137"/>
      <c r="AZ52" s="137"/>
      <c r="BA52" s="137"/>
      <c r="BB52" s="137"/>
      <c r="BC52" s="137"/>
      <c r="BD52" s="137"/>
      <c r="BE52" s="137"/>
      <c r="BF52" s="138"/>
      <c r="BG52" s="138"/>
      <c r="BH52" s="139"/>
      <c r="BI52" s="142"/>
    </row>
    <row r="53" spans="1:61" s="1" customFormat="1" ht="15" customHeight="1" x14ac:dyDescent="0.2">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1"/>
      <c r="BA53" s="141"/>
      <c r="BB53" s="141"/>
      <c r="BC53" s="141"/>
      <c r="BD53" s="141"/>
      <c r="BE53" s="137"/>
      <c r="BF53" s="138"/>
      <c r="BG53" s="138"/>
      <c r="BH53" s="139"/>
      <c r="BI53" s="142"/>
    </row>
    <row r="54" spans="1:61" s="1" customFormat="1" ht="15" customHeight="1" x14ac:dyDescent="0.2">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F54" s="5"/>
      <c r="BH54" s="142"/>
      <c r="BI54" s="142"/>
    </row>
    <row r="55" spans="1:61" s="1" customFormat="1" ht="15" customHeight="1" x14ac:dyDescent="0.2">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1"/>
      <c r="BA55" s="141"/>
      <c r="BB55" s="141"/>
      <c r="BC55" s="141"/>
      <c r="BD55" s="141"/>
      <c r="BF55" s="5"/>
      <c r="BH55" s="142"/>
      <c r="BI55" s="142"/>
    </row>
    <row r="56" spans="1:61" s="1" customFormat="1" ht="15" customHeight="1" x14ac:dyDescent="0.2">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F56" s="5"/>
      <c r="BH56" s="142"/>
      <c r="BI56" s="142"/>
    </row>
    <row r="57" spans="1:61" s="1" customFormat="1" ht="15" customHeight="1" x14ac:dyDescent="0.2">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1"/>
      <c r="BA57" s="141"/>
      <c r="BB57" s="141"/>
      <c r="BC57" s="141"/>
      <c r="BD57" s="141"/>
      <c r="BF57" s="5"/>
      <c r="BH57" s="142"/>
      <c r="BI57" s="142"/>
    </row>
    <row r="58" spans="1:61" s="1" customFormat="1" ht="12.75" x14ac:dyDescent="0.2">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1"/>
      <c r="BA58" s="141"/>
      <c r="BB58" s="141"/>
      <c r="BC58" s="141"/>
      <c r="BD58" s="141"/>
      <c r="BF58" s="5"/>
      <c r="BH58" s="142"/>
      <c r="BI58" s="142"/>
    </row>
  </sheetData>
  <mergeCells count="49">
    <mergeCell ref="AB7:AO7"/>
    <mergeCell ref="O3:AD3"/>
    <mergeCell ref="AQ3:AY3"/>
    <mergeCell ref="D5:I5"/>
    <mergeCell ref="J5:AD5"/>
    <mergeCell ref="AQ5:AY5"/>
    <mergeCell ref="U8:Y8"/>
    <mergeCell ref="AV8:AZ8"/>
    <mergeCell ref="U9:Y9"/>
    <mergeCell ref="AV9:AZ9"/>
    <mergeCell ref="U10:Y10"/>
    <mergeCell ref="AV10:AZ10"/>
    <mergeCell ref="U11:Y11"/>
    <mergeCell ref="AV11:AZ11"/>
    <mergeCell ref="U12:Y12"/>
    <mergeCell ref="AV12:AZ12"/>
    <mergeCell ref="U13:Y13"/>
    <mergeCell ref="AV13:AZ13"/>
    <mergeCell ref="U14:Y14"/>
    <mergeCell ref="AV14:AZ14"/>
    <mergeCell ref="U15:Y15"/>
    <mergeCell ref="AV15:AZ15"/>
    <mergeCell ref="B26:P26"/>
    <mergeCell ref="Q26:AE26"/>
    <mergeCell ref="AF26:BB26"/>
    <mergeCell ref="AI44:AL44"/>
    <mergeCell ref="O30:U30"/>
    <mergeCell ref="AT30:AZ30"/>
    <mergeCell ref="O33:U33"/>
    <mergeCell ref="AT33:AZ33"/>
    <mergeCell ref="O36:U36"/>
    <mergeCell ref="AT36:AZ36"/>
    <mergeCell ref="E44:J44"/>
    <mergeCell ref="K44:V44"/>
    <mergeCell ref="W44:Z44"/>
    <mergeCell ref="AA44:AD44"/>
    <mergeCell ref="AE44:AH44"/>
    <mergeCell ref="AZ50:BB50"/>
    <mergeCell ref="E45:J45"/>
    <mergeCell ref="K45:V45"/>
    <mergeCell ref="W45:Z45"/>
    <mergeCell ref="AA45:AD45"/>
    <mergeCell ref="AE45:AH45"/>
    <mergeCell ref="AI45:AL45"/>
    <mergeCell ref="B46:C46"/>
    <mergeCell ref="B48:C48"/>
    <mergeCell ref="B49:C49"/>
    <mergeCell ref="B50:C50"/>
    <mergeCell ref="E50:L50"/>
  </mergeCells>
  <dataValidations count="1">
    <dataValidation type="list" allowBlank="1" showInputMessage="1" showErrorMessage="1" sqref="U15:Y15" xr:uid="{E317C3C4-1F17-44CF-A067-52AA30A42DA0}">
      <formula1>$BF$8:$BF$31</formula1>
    </dataValidation>
  </dataValidations>
  <pageMargins left="0.7" right="0.7" top="0.75" bottom="0.75" header="0.3" footer="0.3"/>
  <pageSetup scale="94" orientation="portrait" r:id="rId1"/>
  <headerFooter>
    <oddHeader>&amp;L&amp;"Calibri,Regular"&amp;11&amp;G</oddHeader>
    <oddFooter>&amp;L&amp;"Calibri,Regular"&amp;11Copyright 2019, Worley
&amp;F&amp;R&amp;"Calibri,Regular"&amp;11Rev 0A Date 19 January 2023</oddFooter>
  </headerFooter>
  <drawing r:id="rId2"/>
  <legacyDrawing r:id="rId3"/>
  <legacyDrawingHF r:id="rId4"/>
  <oleObjects>
    <mc:AlternateContent xmlns:mc="http://schemas.openxmlformats.org/markup-compatibility/2006">
      <mc:Choice Requires="x14">
        <oleObject progId="Equation.3" shapeId="6145" r:id="rId5">
          <objectPr defaultSize="0" autoPict="0" r:id="rId6">
            <anchor moveWithCells="1">
              <from>
                <xdr:col>1</xdr:col>
                <xdr:colOff>57150</xdr:colOff>
                <xdr:row>28</xdr:row>
                <xdr:rowOff>19050</xdr:rowOff>
              </from>
              <to>
                <xdr:col>12</xdr:col>
                <xdr:colOff>57150</xdr:colOff>
                <xdr:row>30</xdr:row>
                <xdr:rowOff>171450</xdr:rowOff>
              </to>
            </anchor>
          </objectPr>
        </oleObject>
      </mc:Choice>
      <mc:Fallback>
        <oleObject progId="Equation.3" shapeId="6145" r:id="rId5"/>
      </mc:Fallback>
    </mc:AlternateContent>
    <mc:AlternateContent xmlns:mc="http://schemas.openxmlformats.org/markup-compatibility/2006">
      <mc:Choice Requires="x14">
        <oleObject progId="Equation.3" shapeId="6146" r:id="rId7">
          <objectPr defaultSize="0" autoPict="0" r:id="rId8">
            <anchor moveWithCells="1">
              <from>
                <xdr:col>36</xdr:col>
                <xdr:colOff>57150</xdr:colOff>
                <xdr:row>34</xdr:row>
                <xdr:rowOff>76200</xdr:rowOff>
              </from>
              <to>
                <xdr:col>41</xdr:col>
                <xdr:colOff>133350</xdr:colOff>
                <xdr:row>36</xdr:row>
                <xdr:rowOff>38100</xdr:rowOff>
              </to>
            </anchor>
          </objectPr>
        </oleObject>
      </mc:Choice>
      <mc:Fallback>
        <oleObject progId="Equation.3" shapeId="6146" r:id="rId7"/>
      </mc:Fallback>
    </mc:AlternateContent>
    <mc:AlternateContent xmlns:mc="http://schemas.openxmlformats.org/markup-compatibility/2006">
      <mc:Choice Requires="x14">
        <oleObject progId="Equation.3" shapeId="6147" r:id="rId9">
          <objectPr defaultSize="0" autoPict="0" r:id="rId10">
            <anchor moveWithCells="1">
              <from>
                <xdr:col>26</xdr:col>
                <xdr:colOff>95250</xdr:colOff>
                <xdr:row>27</xdr:row>
                <xdr:rowOff>66675</xdr:rowOff>
              </from>
              <to>
                <xdr:col>43</xdr:col>
                <xdr:colOff>19050</xdr:colOff>
                <xdr:row>30</xdr:row>
                <xdr:rowOff>57150</xdr:rowOff>
              </to>
            </anchor>
          </objectPr>
        </oleObject>
      </mc:Choice>
      <mc:Fallback>
        <oleObject progId="Equation.3" shapeId="6147" r:id="rId9"/>
      </mc:Fallback>
    </mc:AlternateContent>
    <mc:AlternateContent xmlns:mc="http://schemas.openxmlformats.org/markup-compatibility/2006">
      <mc:Choice Requires="x14">
        <oleObject progId="Equation.3" shapeId="6148" r:id="rId11">
          <objectPr defaultSize="0" autoPict="0" r:id="rId12">
            <anchor moveWithCells="1">
              <from>
                <xdr:col>5</xdr:col>
                <xdr:colOff>76200</xdr:colOff>
                <xdr:row>31</xdr:row>
                <xdr:rowOff>142875</xdr:rowOff>
              </from>
              <to>
                <xdr:col>11</xdr:col>
                <xdr:colOff>104775</xdr:colOff>
                <xdr:row>33</xdr:row>
                <xdr:rowOff>57150</xdr:rowOff>
              </to>
            </anchor>
          </objectPr>
        </oleObject>
      </mc:Choice>
      <mc:Fallback>
        <oleObject progId="Equation.3" shapeId="6148" r:id="rId11"/>
      </mc:Fallback>
    </mc:AlternateContent>
    <mc:AlternateContent xmlns:mc="http://schemas.openxmlformats.org/markup-compatibility/2006">
      <mc:Choice Requires="x14">
        <oleObject progId="Equation.3" shapeId="6149" r:id="rId13">
          <objectPr defaultSize="0" autoPict="0" r:id="rId14">
            <anchor moveWithCells="1">
              <from>
                <xdr:col>32</xdr:col>
                <xdr:colOff>76200</xdr:colOff>
                <xdr:row>31</xdr:row>
                <xdr:rowOff>38100</xdr:rowOff>
              </from>
              <to>
                <xdr:col>43</xdr:col>
                <xdr:colOff>66675</xdr:colOff>
                <xdr:row>34</xdr:row>
                <xdr:rowOff>57150</xdr:rowOff>
              </to>
            </anchor>
          </objectPr>
        </oleObject>
      </mc:Choice>
      <mc:Fallback>
        <oleObject progId="Equation.3" shapeId="6149" r:id="rId13"/>
      </mc:Fallback>
    </mc:AlternateContent>
    <mc:AlternateContent xmlns:mc="http://schemas.openxmlformats.org/markup-compatibility/2006">
      <mc:Choice Requires="x14">
        <oleObject progId="Equation.3" shapeId="6150" r:id="rId15">
          <objectPr defaultSize="0" autoPict="0" r:id="rId16">
            <anchor moveWithCells="1">
              <from>
                <xdr:col>6</xdr:col>
                <xdr:colOff>28575</xdr:colOff>
                <xdr:row>34</xdr:row>
                <xdr:rowOff>114300</xdr:rowOff>
              </from>
              <to>
                <xdr:col>12</xdr:col>
                <xdr:colOff>38100</xdr:colOff>
                <xdr:row>36</xdr:row>
                <xdr:rowOff>19050</xdr:rowOff>
              </to>
            </anchor>
          </objectPr>
        </oleObject>
      </mc:Choice>
      <mc:Fallback>
        <oleObject progId="Equation.3" shapeId="6150" r:id="rId15"/>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55"/>
  <sheetViews>
    <sheetView showGridLines="0" zoomScaleNormal="100" zoomScaleSheetLayoutView="100" workbookViewId="0">
      <selection sqref="A1:J1"/>
    </sheetView>
  </sheetViews>
  <sheetFormatPr defaultColWidth="9.28515625" defaultRowHeight="15" x14ac:dyDescent="0.25"/>
  <cols>
    <col min="1" max="1" width="6.7109375" style="53" customWidth="1"/>
    <col min="2" max="3" width="5.7109375" style="53" customWidth="1"/>
    <col min="4" max="4" width="18.7109375" style="53" customWidth="1"/>
    <col min="5" max="5" width="14.7109375" style="53" customWidth="1"/>
    <col min="6" max="6" width="16.7109375" style="53" customWidth="1"/>
    <col min="7" max="7" width="10.7109375" style="53" bestFit="1" customWidth="1"/>
    <col min="8" max="8" width="6.7109375" style="53" customWidth="1"/>
    <col min="9" max="10" width="8.7109375" style="53" customWidth="1"/>
    <col min="11" max="11" width="20.28515625" style="53" customWidth="1"/>
    <col min="12" max="16384" width="9.28515625" style="53"/>
  </cols>
  <sheetData>
    <row r="1" spans="1:21" ht="60" customHeight="1" x14ac:dyDescent="0.25">
      <c r="A1" s="216" t="s">
        <v>14</v>
      </c>
      <c r="B1" s="216"/>
      <c r="C1" s="216"/>
      <c r="D1" s="216"/>
      <c r="E1" s="216"/>
      <c r="F1" s="216"/>
      <c r="G1" s="216"/>
      <c r="H1" s="216"/>
      <c r="I1" s="216"/>
      <c r="J1" s="216"/>
      <c r="K1" s="52"/>
    </row>
    <row r="2" spans="1:21" s="56" customFormat="1" x14ac:dyDescent="0.25">
      <c r="A2" s="217" t="s">
        <v>4</v>
      </c>
      <c r="B2" s="218"/>
      <c r="C2" s="218"/>
      <c r="D2" s="219" t="s">
        <v>15</v>
      </c>
      <c r="E2" s="219"/>
      <c r="F2" s="219"/>
      <c r="G2" s="54" t="s">
        <v>16</v>
      </c>
      <c r="H2" s="220" t="s">
        <v>17</v>
      </c>
      <c r="I2" s="220"/>
      <c r="J2" s="221"/>
      <c r="K2" s="55"/>
      <c r="L2" s="53"/>
    </row>
    <row r="3" spans="1:21" s="52" customFormat="1" x14ac:dyDescent="0.25">
      <c r="A3" s="217" t="s">
        <v>18</v>
      </c>
      <c r="B3" s="218"/>
      <c r="C3" s="218"/>
      <c r="D3" s="219" t="s">
        <v>19</v>
      </c>
      <c r="E3" s="219"/>
      <c r="F3" s="219"/>
      <c r="G3" s="54" t="s">
        <v>20</v>
      </c>
      <c r="H3" s="220" t="s">
        <v>21</v>
      </c>
      <c r="I3" s="220"/>
      <c r="J3" s="221"/>
      <c r="K3" s="55"/>
      <c r="L3" s="57"/>
    </row>
    <row r="4" spans="1:21" x14ac:dyDescent="0.25">
      <c r="A4" s="223" t="s">
        <v>22</v>
      </c>
      <c r="B4" s="224"/>
      <c r="C4" s="224"/>
      <c r="D4" s="225" t="s">
        <v>23</v>
      </c>
      <c r="E4" s="225"/>
      <c r="F4" s="225"/>
      <c r="G4" s="54" t="s">
        <v>24</v>
      </c>
      <c r="H4" s="220" t="s">
        <v>25</v>
      </c>
      <c r="I4" s="220"/>
      <c r="J4" s="221"/>
      <c r="K4" s="55"/>
      <c r="L4" s="58"/>
    </row>
    <row r="5" spans="1:21" s="56" customFormat="1" ht="22.5" customHeight="1" x14ac:dyDescent="0.2">
      <c r="A5" s="217" t="s">
        <v>26</v>
      </c>
      <c r="B5" s="226"/>
      <c r="C5" s="226"/>
      <c r="D5" s="227"/>
      <c r="E5" s="227"/>
      <c r="F5" s="227"/>
      <c r="G5" s="227"/>
      <c r="H5" s="227"/>
      <c r="I5" s="227"/>
      <c r="J5" s="228"/>
    </row>
    <row r="6" spans="1:21" x14ac:dyDescent="0.25">
      <c r="A6" s="229"/>
      <c r="B6" s="230"/>
      <c r="C6" s="230"/>
      <c r="D6" s="231"/>
      <c r="E6" s="231"/>
      <c r="F6" s="231"/>
      <c r="G6" s="59" t="s">
        <v>27</v>
      </c>
      <c r="H6" s="60">
        <v>1</v>
      </c>
      <c r="I6" s="61" t="s">
        <v>28</v>
      </c>
      <c r="J6" s="62" t="s">
        <v>29</v>
      </c>
      <c r="K6"/>
      <c r="L6" s="232"/>
      <c r="M6" s="232"/>
    </row>
    <row r="7" spans="1:21" x14ac:dyDescent="0.25">
      <c r="A7" s="233" t="s">
        <v>30</v>
      </c>
      <c r="B7" s="234"/>
      <c r="C7" s="234"/>
      <c r="D7" s="234"/>
      <c r="E7" s="234"/>
      <c r="F7" s="234"/>
      <c r="G7" s="234"/>
      <c r="H7" s="234"/>
      <c r="I7" s="234"/>
      <c r="J7" s="235"/>
    </row>
    <row r="8" spans="1:21" x14ac:dyDescent="0.25">
      <c r="A8" s="236" t="s">
        <v>178</v>
      </c>
      <c r="B8" s="237"/>
      <c r="C8" s="237"/>
      <c r="D8" s="237"/>
      <c r="E8" s="237"/>
      <c r="F8" s="237"/>
      <c r="G8" s="237"/>
      <c r="H8" s="237"/>
      <c r="I8" s="237"/>
      <c r="J8" s="238"/>
      <c r="K8" s="63"/>
      <c r="L8" s="63"/>
      <c r="M8" s="63"/>
      <c r="N8" s="63"/>
      <c r="O8" s="63"/>
      <c r="P8" s="63"/>
      <c r="Q8" s="63"/>
      <c r="R8" s="63"/>
      <c r="S8" s="63"/>
      <c r="T8" s="63"/>
      <c r="U8" s="63"/>
    </row>
    <row r="9" spans="1:21" x14ac:dyDescent="0.25">
      <c r="A9" s="236"/>
      <c r="B9" s="237"/>
      <c r="C9" s="237"/>
      <c r="D9" s="237"/>
      <c r="E9" s="237"/>
      <c r="F9" s="237"/>
      <c r="G9" s="237"/>
      <c r="H9" s="237"/>
      <c r="I9" s="237"/>
      <c r="J9" s="238"/>
    </row>
    <row r="10" spans="1:21" x14ac:dyDescent="0.25">
      <c r="A10" s="236"/>
      <c r="B10" s="237"/>
      <c r="C10" s="237"/>
      <c r="D10" s="237"/>
      <c r="E10" s="237"/>
      <c r="F10" s="237"/>
      <c r="G10" s="237"/>
      <c r="H10" s="237"/>
      <c r="I10" s="237"/>
      <c r="J10" s="238"/>
    </row>
    <row r="11" spans="1:21" x14ac:dyDescent="0.25">
      <c r="A11" s="236"/>
      <c r="B11" s="237"/>
      <c r="C11" s="237"/>
      <c r="D11" s="237"/>
      <c r="E11" s="237"/>
      <c r="F11" s="237"/>
      <c r="G11" s="237"/>
      <c r="H11" s="237"/>
      <c r="I11" s="237"/>
      <c r="J11" s="238"/>
    </row>
    <row r="12" spans="1:21" x14ac:dyDescent="0.25">
      <c r="A12" s="239"/>
      <c r="B12" s="240"/>
      <c r="C12" s="240"/>
      <c r="D12" s="240"/>
      <c r="E12" s="240"/>
      <c r="F12" s="240"/>
      <c r="G12" s="240"/>
      <c r="H12" s="240"/>
      <c r="I12" s="240"/>
      <c r="J12" s="241"/>
    </row>
    <row r="13" spans="1:21" x14ac:dyDescent="0.25">
      <c r="A13" s="233" t="s">
        <v>31</v>
      </c>
      <c r="B13" s="234"/>
      <c r="C13" s="234"/>
      <c r="D13" s="234"/>
      <c r="E13" s="234"/>
      <c r="F13" s="234"/>
      <c r="G13" s="234"/>
      <c r="H13" s="234"/>
      <c r="I13" s="234"/>
      <c r="J13" s="235"/>
    </row>
    <row r="14" spans="1:21" x14ac:dyDescent="0.25">
      <c r="A14" s="236" t="s">
        <v>179</v>
      </c>
      <c r="B14" s="237"/>
      <c r="C14" s="237"/>
      <c r="D14" s="237"/>
      <c r="E14" s="237"/>
      <c r="F14" s="237"/>
      <c r="G14" s="237"/>
      <c r="H14" s="237"/>
      <c r="I14" s="237"/>
      <c r="J14" s="238"/>
    </row>
    <row r="15" spans="1:21" x14ac:dyDescent="0.25">
      <c r="A15" s="236"/>
      <c r="B15" s="237"/>
      <c r="C15" s="237"/>
      <c r="D15" s="237"/>
      <c r="E15" s="237"/>
      <c r="F15" s="237"/>
      <c r="G15" s="237"/>
      <c r="H15" s="237"/>
      <c r="I15" s="237"/>
      <c r="J15" s="238"/>
    </row>
    <row r="16" spans="1:21" x14ac:dyDescent="0.25">
      <c r="A16" s="236"/>
      <c r="B16" s="237"/>
      <c r="C16" s="237"/>
      <c r="D16" s="237"/>
      <c r="E16" s="237"/>
      <c r="F16" s="237"/>
      <c r="G16" s="237"/>
      <c r="H16" s="237"/>
      <c r="I16" s="237"/>
      <c r="J16" s="238"/>
    </row>
    <row r="17" spans="1:15" x14ac:dyDescent="0.25">
      <c r="A17" s="236"/>
      <c r="B17" s="237"/>
      <c r="C17" s="237"/>
      <c r="D17" s="237"/>
      <c r="E17" s="237"/>
      <c r="F17" s="237"/>
      <c r="G17" s="237"/>
      <c r="H17" s="237"/>
      <c r="I17" s="237"/>
      <c r="J17" s="238"/>
      <c r="N17" s="222"/>
      <c r="O17" s="222"/>
    </row>
    <row r="18" spans="1:15" x14ac:dyDescent="0.25">
      <c r="A18" s="236"/>
      <c r="B18" s="237"/>
      <c r="C18" s="237"/>
      <c r="D18" s="237"/>
      <c r="E18" s="237"/>
      <c r="F18" s="237"/>
      <c r="G18" s="237"/>
      <c r="H18" s="237"/>
      <c r="I18" s="237"/>
      <c r="J18" s="238"/>
      <c r="N18" s="222"/>
      <c r="O18" s="222"/>
    </row>
    <row r="19" spans="1:15" x14ac:dyDescent="0.25">
      <c r="A19" s="239"/>
      <c r="B19" s="240"/>
      <c r="C19" s="240"/>
      <c r="D19" s="240"/>
      <c r="E19" s="240"/>
      <c r="F19" s="240"/>
      <c r="G19" s="240"/>
      <c r="H19" s="240"/>
      <c r="I19" s="240"/>
      <c r="J19" s="241"/>
    </row>
    <row r="20" spans="1:15" x14ac:dyDescent="0.25">
      <c r="A20" s="64" t="s">
        <v>32</v>
      </c>
      <c r="B20" s="65"/>
      <c r="C20" s="65"/>
      <c r="D20" s="65"/>
      <c r="E20" s="65"/>
      <c r="F20" s="65"/>
      <c r="G20" s="65"/>
      <c r="H20" s="65"/>
      <c r="I20" s="65"/>
      <c r="J20" s="66"/>
    </row>
    <row r="21" spans="1:15" x14ac:dyDescent="0.25">
      <c r="A21" s="236"/>
      <c r="B21" s="237"/>
      <c r="C21" s="237"/>
      <c r="D21" s="237"/>
      <c r="E21" s="237"/>
      <c r="F21" s="237"/>
      <c r="G21" s="237"/>
      <c r="H21" s="237"/>
      <c r="I21" s="237"/>
      <c r="J21" s="238"/>
    </row>
    <row r="22" spans="1:15" x14ac:dyDescent="0.25">
      <c r="A22" s="236"/>
      <c r="B22" s="237"/>
      <c r="C22" s="237"/>
      <c r="D22" s="237"/>
      <c r="E22" s="237"/>
      <c r="F22" s="237"/>
      <c r="G22" s="237"/>
      <c r="H22" s="237"/>
      <c r="I22" s="237"/>
      <c r="J22" s="238"/>
    </row>
    <row r="23" spans="1:15" x14ac:dyDescent="0.25">
      <c r="A23" s="236"/>
      <c r="B23" s="237"/>
      <c r="C23" s="237"/>
      <c r="D23" s="237"/>
      <c r="E23" s="237"/>
      <c r="F23" s="237"/>
      <c r="G23" s="237"/>
      <c r="H23" s="237"/>
      <c r="I23" s="237"/>
      <c r="J23" s="238"/>
    </row>
    <row r="24" spans="1:15" x14ac:dyDescent="0.25">
      <c r="A24" s="236"/>
      <c r="B24" s="237"/>
      <c r="C24" s="237"/>
      <c r="D24" s="237"/>
      <c r="E24" s="237"/>
      <c r="F24" s="237"/>
      <c r="G24" s="237"/>
      <c r="H24" s="237"/>
      <c r="I24" s="237"/>
      <c r="J24" s="238"/>
    </row>
    <row r="25" spans="1:15" x14ac:dyDescent="0.25">
      <c r="A25" s="236"/>
      <c r="B25" s="237"/>
      <c r="C25" s="237"/>
      <c r="D25" s="237"/>
      <c r="E25" s="237"/>
      <c r="F25" s="237"/>
      <c r="G25" s="237"/>
      <c r="H25" s="237"/>
      <c r="I25" s="237"/>
      <c r="J25" s="238"/>
    </row>
    <row r="26" spans="1:15" x14ac:dyDescent="0.25">
      <c r="A26" s="239"/>
      <c r="B26" s="240"/>
      <c r="C26" s="240"/>
      <c r="D26" s="240"/>
      <c r="E26" s="240"/>
      <c r="F26" s="240"/>
      <c r="G26" s="240"/>
      <c r="H26" s="240"/>
      <c r="I26" s="240"/>
      <c r="J26" s="241"/>
    </row>
    <row r="27" spans="1:15" x14ac:dyDescent="0.25">
      <c r="A27" s="242" t="s">
        <v>33</v>
      </c>
      <c r="B27" s="243"/>
      <c r="C27" s="243"/>
      <c r="D27" s="243"/>
      <c r="E27" s="243"/>
      <c r="F27" s="243"/>
      <c r="G27" s="243"/>
      <c r="H27" s="243"/>
      <c r="I27" s="243"/>
      <c r="J27" s="244"/>
    </row>
    <row r="28" spans="1:15" ht="25.5" x14ac:dyDescent="0.25">
      <c r="A28" s="245" t="s">
        <v>34</v>
      </c>
      <c r="B28" s="246"/>
      <c r="C28" s="246"/>
      <c r="D28" s="246"/>
      <c r="E28" s="246"/>
      <c r="F28" s="247"/>
      <c r="G28" s="67" t="s">
        <v>35</v>
      </c>
      <c r="H28" s="246" t="s">
        <v>36</v>
      </c>
      <c r="I28" s="246"/>
      <c r="J28" s="248"/>
    </row>
    <row r="29" spans="1:15" x14ac:dyDescent="0.25">
      <c r="A29" s="236" t="s">
        <v>99</v>
      </c>
      <c r="B29" s="237"/>
      <c r="C29" s="237"/>
      <c r="D29" s="237"/>
      <c r="E29" s="237"/>
      <c r="F29" s="249"/>
      <c r="G29" s="134">
        <v>0</v>
      </c>
      <c r="H29" s="250" t="s">
        <v>100</v>
      </c>
      <c r="I29" s="251"/>
      <c r="J29" s="252"/>
    </row>
    <row r="30" spans="1:15" x14ac:dyDescent="0.25">
      <c r="A30" s="239"/>
      <c r="B30" s="240"/>
      <c r="C30" s="240"/>
      <c r="D30" s="240"/>
      <c r="E30" s="240"/>
      <c r="F30" s="261"/>
      <c r="G30" s="68"/>
      <c r="H30" s="262"/>
      <c r="I30" s="263"/>
      <c r="J30" s="264"/>
    </row>
    <row r="31" spans="1:15" x14ac:dyDescent="0.25">
      <c r="A31" s="233" t="s">
        <v>37</v>
      </c>
      <c r="B31" s="234"/>
      <c r="C31" s="234"/>
      <c r="D31" s="234"/>
      <c r="E31" s="234"/>
      <c r="F31" s="234"/>
      <c r="G31" s="234"/>
      <c r="H31" s="234"/>
      <c r="I31" s="234"/>
      <c r="J31" s="235"/>
    </row>
    <row r="32" spans="1:15" x14ac:dyDescent="0.25">
      <c r="A32" s="236" t="s">
        <v>101</v>
      </c>
      <c r="B32" s="237"/>
      <c r="C32" s="237"/>
      <c r="D32" s="237"/>
      <c r="E32" s="237"/>
      <c r="F32" s="237"/>
      <c r="G32" s="237"/>
      <c r="H32" s="237"/>
      <c r="I32" s="237"/>
      <c r="J32" s="249"/>
    </row>
    <row r="33" spans="1:16" x14ac:dyDescent="0.25">
      <c r="A33" s="236"/>
      <c r="B33" s="237"/>
      <c r="C33" s="237"/>
      <c r="D33" s="237"/>
      <c r="E33" s="237"/>
      <c r="F33" s="237"/>
      <c r="G33" s="237"/>
      <c r="H33" s="237"/>
      <c r="I33" s="237"/>
      <c r="J33" s="249"/>
    </row>
    <row r="34" spans="1:16" x14ac:dyDescent="0.25">
      <c r="A34" s="236"/>
      <c r="B34" s="237"/>
      <c r="C34" s="237"/>
      <c r="D34" s="237"/>
      <c r="E34" s="237"/>
      <c r="F34" s="237"/>
      <c r="G34" s="237"/>
      <c r="H34" s="237"/>
      <c r="I34" s="237"/>
      <c r="J34" s="249"/>
    </row>
    <row r="35" spans="1:16" x14ac:dyDescent="0.25">
      <c r="A35" s="236"/>
      <c r="B35" s="237"/>
      <c r="C35" s="237"/>
      <c r="D35" s="237"/>
      <c r="E35" s="237"/>
      <c r="F35" s="237"/>
      <c r="G35" s="237"/>
      <c r="H35" s="237"/>
      <c r="I35" s="237"/>
      <c r="J35" s="249"/>
    </row>
    <row r="36" spans="1:16" x14ac:dyDescent="0.25">
      <c r="A36" s="236"/>
      <c r="B36" s="237"/>
      <c r="C36" s="237"/>
      <c r="D36" s="237"/>
      <c r="E36" s="237"/>
      <c r="F36" s="237"/>
      <c r="G36" s="237"/>
      <c r="H36" s="237"/>
      <c r="I36" s="237"/>
      <c r="J36" s="249"/>
    </row>
    <row r="37" spans="1:16" x14ac:dyDescent="0.25">
      <c r="A37" s="239"/>
      <c r="B37" s="240"/>
      <c r="C37" s="240"/>
      <c r="D37" s="240"/>
      <c r="E37" s="240"/>
      <c r="F37" s="240"/>
      <c r="G37" s="240"/>
      <c r="H37" s="240"/>
      <c r="I37" s="240"/>
      <c r="J37" s="261"/>
    </row>
    <row r="38" spans="1:16" x14ac:dyDescent="0.25">
      <c r="A38" s="233" t="s">
        <v>38</v>
      </c>
      <c r="B38" s="234"/>
      <c r="C38" s="234"/>
      <c r="D38" s="234"/>
      <c r="E38" s="234"/>
      <c r="F38" s="234"/>
      <c r="G38" s="234"/>
      <c r="H38" s="234"/>
      <c r="I38" s="234"/>
      <c r="J38" s="235"/>
    </row>
    <row r="39" spans="1:16" x14ac:dyDescent="0.25">
      <c r="A39" s="265"/>
      <c r="B39" s="266"/>
      <c r="C39" s="266"/>
      <c r="D39" s="266"/>
      <c r="E39" s="266"/>
      <c r="F39" s="266"/>
      <c r="G39" s="266"/>
      <c r="H39" s="266"/>
      <c r="I39" s="266"/>
      <c r="J39" s="267"/>
    </row>
    <row r="40" spans="1:16" x14ac:dyDescent="0.25">
      <c r="A40" s="265"/>
      <c r="B40" s="266"/>
      <c r="C40" s="266"/>
      <c r="D40" s="266"/>
      <c r="E40" s="266"/>
      <c r="F40" s="266"/>
      <c r="G40" s="266"/>
      <c r="H40" s="266"/>
      <c r="I40" s="266"/>
      <c r="J40" s="267"/>
    </row>
    <row r="41" spans="1:16" x14ac:dyDescent="0.25">
      <c r="A41" s="265"/>
      <c r="B41" s="266"/>
      <c r="C41" s="266"/>
      <c r="D41" s="266"/>
      <c r="E41" s="266"/>
      <c r="F41" s="266"/>
      <c r="G41" s="266"/>
      <c r="H41" s="266"/>
      <c r="I41" s="266"/>
      <c r="J41" s="267"/>
    </row>
    <row r="42" spans="1:16" x14ac:dyDescent="0.25">
      <c r="A42" s="265"/>
      <c r="B42" s="266"/>
      <c r="C42" s="266"/>
      <c r="D42" s="266"/>
      <c r="E42" s="266"/>
      <c r="F42" s="266"/>
      <c r="G42" s="266"/>
      <c r="H42" s="266"/>
      <c r="I42" s="266"/>
      <c r="J42" s="267"/>
    </row>
    <row r="43" spans="1:16" x14ac:dyDescent="0.25">
      <c r="A43" s="265"/>
      <c r="B43" s="266"/>
      <c r="C43" s="266"/>
      <c r="D43" s="266"/>
      <c r="E43" s="266"/>
      <c r="F43" s="266"/>
      <c r="G43" s="266"/>
      <c r="H43" s="266"/>
      <c r="I43" s="266"/>
      <c r="J43" s="267"/>
    </row>
    <row r="44" spans="1:16" x14ac:dyDescent="0.25">
      <c r="A44" s="265"/>
      <c r="B44" s="266"/>
      <c r="C44" s="266"/>
      <c r="D44" s="266"/>
      <c r="E44" s="266"/>
      <c r="F44" s="266"/>
      <c r="G44" s="266"/>
      <c r="H44" s="266"/>
      <c r="I44" s="266"/>
      <c r="J44" s="267"/>
    </row>
    <row r="45" spans="1:16" x14ac:dyDescent="0.25">
      <c r="A45" s="268"/>
      <c r="B45" s="269"/>
      <c r="C45" s="269"/>
      <c r="D45" s="269"/>
      <c r="E45" s="269"/>
      <c r="F45" s="269"/>
      <c r="G45" s="269"/>
      <c r="H45" s="269"/>
      <c r="I45" s="269"/>
      <c r="J45" s="270"/>
      <c r="P45" s="69"/>
    </row>
    <row r="46" spans="1:16" x14ac:dyDescent="0.25">
      <c r="A46" s="271" t="s">
        <v>39</v>
      </c>
      <c r="B46" s="272"/>
      <c r="C46" s="272"/>
      <c r="D46" s="272"/>
      <c r="E46" s="70" t="s">
        <v>40</v>
      </c>
      <c r="F46" s="273" t="s">
        <v>41</v>
      </c>
      <c r="G46" s="274"/>
      <c r="H46" s="275" t="s">
        <v>42</v>
      </c>
      <c r="I46" s="276"/>
      <c r="J46" s="277"/>
      <c r="P46" s="71"/>
    </row>
    <row r="47" spans="1:16" x14ac:dyDescent="0.25">
      <c r="A47" s="233" t="s">
        <v>43</v>
      </c>
      <c r="B47" s="234"/>
      <c r="C47" s="234"/>
      <c r="D47" s="234"/>
      <c r="E47" s="234"/>
      <c r="F47" s="234"/>
      <c r="G47" s="234"/>
      <c r="H47" s="234"/>
      <c r="I47" s="234"/>
      <c r="J47" s="235"/>
      <c r="P47" s="71"/>
    </row>
    <row r="48" spans="1:16" x14ac:dyDescent="0.25">
      <c r="A48" s="236"/>
      <c r="B48" s="237"/>
      <c r="C48" s="237"/>
      <c r="D48" s="237"/>
      <c r="E48" s="237"/>
      <c r="F48" s="237"/>
      <c r="G48" s="237"/>
      <c r="H48" s="237"/>
      <c r="I48" s="237"/>
      <c r="J48" s="238"/>
      <c r="P48" s="71"/>
    </row>
    <row r="49" spans="1:16" x14ac:dyDescent="0.25">
      <c r="A49" s="236"/>
      <c r="B49" s="237"/>
      <c r="C49" s="237"/>
      <c r="D49" s="237"/>
      <c r="E49" s="237"/>
      <c r="F49" s="237"/>
      <c r="G49" s="237"/>
      <c r="H49" s="237"/>
      <c r="I49" s="237"/>
      <c r="J49" s="238"/>
      <c r="K49" s="52"/>
      <c r="P49" s="71"/>
    </row>
    <row r="50" spans="1:16" x14ac:dyDescent="0.25">
      <c r="A50" s="239"/>
      <c r="B50" s="240"/>
      <c r="C50" s="240"/>
      <c r="D50" s="240"/>
      <c r="E50" s="240"/>
      <c r="F50" s="240"/>
      <c r="G50" s="240"/>
      <c r="H50" s="240"/>
      <c r="I50" s="240"/>
      <c r="J50" s="241"/>
      <c r="K50" s="52"/>
    </row>
    <row r="51" spans="1:16" x14ac:dyDescent="0.25">
      <c r="A51" s="72" t="s">
        <v>44</v>
      </c>
      <c r="B51" s="253" t="s">
        <v>45</v>
      </c>
      <c r="C51" s="254"/>
      <c r="D51" s="255" t="s">
        <v>46</v>
      </c>
      <c r="E51" s="256"/>
      <c r="F51" s="73" t="s">
        <v>47</v>
      </c>
      <c r="G51" s="257" t="s">
        <v>48</v>
      </c>
      <c r="H51" s="258"/>
      <c r="I51" s="259" t="s">
        <v>49</v>
      </c>
      <c r="J51" s="260"/>
      <c r="P51" s="71"/>
    </row>
    <row r="52" spans="1:16" x14ac:dyDescent="0.25">
      <c r="A52" s="72" t="s">
        <v>50</v>
      </c>
      <c r="B52" s="253" t="s">
        <v>51</v>
      </c>
      <c r="C52" s="254"/>
      <c r="D52" s="255" t="s">
        <v>52</v>
      </c>
      <c r="E52" s="256"/>
      <c r="F52" s="73" t="s">
        <v>53</v>
      </c>
      <c r="G52" s="257" t="s">
        <v>54</v>
      </c>
      <c r="H52" s="258"/>
      <c r="I52" s="259" t="s">
        <v>55</v>
      </c>
      <c r="J52" s="260"/>
      <c r="K52" s="52"/>
      <c r="P52" s="69"/>
    </row>
    <row r="53" spans="1:16" x14ac:dyDescent="0.25">
      <c r="A53" s="74" t="s">
        <v>56</v>
      </c>
      <c r="B53" s="253" t="s">
        <v>57</v>
      </c>
      <c r="C53" s="283"/>
      <c r="D53" s="255" t="s">
        <v>58</v>
      </c>
      <c r="E53" s="256"/>
      <c r="F53" s="73" t="s">
        <v>59</v>
      </c>
      <c r="G53" s="257" t="s">
        <v>60</v>
      </c>
      <c r="H53" s="284"/>
      <c r="I53" s="285" t="s">
        <v>61</v>
      </c>
      <c r="J53" s="286"/>
      <c r="K53" s="52"/>
      <c r="P53" s="69"/>
    </row>
    <row r="54" spans="1:16" x14ac:dyDescent="0.25">
      <c r="A54" s="75" t="s">
        <v>8</v>
      </c>
      <c r="B54" s="75" t="s">
        <v>9</v>
      </c>
      <c r="C54" s="75"/>
      <c r="D54" s="278" t="s">
        <v>6</v>
      </c>
      <c r="E54" s="279"/>
      <c r="F54" s="76" t="s">
        <v>10</v>
      </c>
      <c r="G54" s="278" t="s">
        <v>62</v>
      </c>
      <c r="H54" s="280"/>
      <c r="I54" s="278" t="s">
        <v>63</v>
      </c>
      <c r="J54" s="281"/>
      <c r="P54" s="69"/>
    </row>
    <row r="55" spans="1:16" ht="36" customHeight="1" x14ac:dyDescent="0.25">
      <c r="A55" s="282" t="s">
        <v>185</v>
      </c>
      <c r="B55" s="282"/>
      <c r="C55" s="282"/>
      <c r="D55" s="282"/>
      <c r="E55" s="282"/>
      <c r="F55" s="282"/>
      <c r="G55" s="282"/>
      <c r="H55" s="282"/>
      <c r="I55" s="282"/>
      <c r="J55" s="282"/>
      <c r="P55" s="69"/>
    </row>
  </sheetData>
  <mergeCells count="53">
    <mergeCell ref="D54:E54"/>
    <mergeCell ref="G54:H54"/>
    <mergeCell ref="I54:J54"/>
    <mergeCell ref="A55:J55"/>
    <mergeCell ref="B52:C52"/>
    <mergeCell ref="D52:E52"/>
    <mergeCell ref="G52:H52"/>
    <mergeCell ref="I52:J52"/>
    <mergeCell ref="B53:C53"/>
    <mergeCell ref="D53:E53"/>
    <mergeCell ref="G53:H53"/>
    <mergeCell ref="I53:J53"/>
    <mergeCell ref="B51:C51"/>
    <mergeCell ref="D51:E51"/>
    <mergeCell ref="G51:H51"/>
    <mergeCell ref="I51:J51"/>
    <mergeCell ref="A30:F30"/>
    <mergeCell ref="H30:J30"/>
    <mergeCell ref="A31:J31"/>
    <mergeCell ref="A32:J37"/>
    <mergeCell ref="A38:J38"/>
    <mergeCell ref="A39:J45"/>
    <mergeCell ref="A46:D46"/>
    <mergeCell ref="F46:G46"/>
    <mergeCell ref="H46:J46"/>
    <mergeCell ref="A47:J47"/>
    <mergeCell ref="A48:J50"/>
    <mergeCell ref="A21:J26"/>
    <mergeCell ref="A27:J27"/>
    <mergeCell ref="A28:F28"/>
    <mergeCell ref="H28:J28"/>
    <mergeCell ref="A29:F29"/>
    <mergeCell ref="H29:J29"/>
    <mergeCell ref="N17:O18"/>
    <mergeCell ref="A4:C4"/>
    <mergeCell ref="D4:F4"/>
    <mergeCell ref="H4:J4"/>
    <mergeCell ref="A5:C5"/>
    <mergeCell ref="D5:J5"/>
    <mergeCell ref="A6:C6"/>
    <mergeCell ref="D6:F6"/>
    <mergeCell ref="L6:M6"/>
    <mergeCell ref="A7:J7"/>
    <mergeCell ref="A8:J12"/>
    <mergeCell ref="A13:J13"/>
    <mergeCell ref="A14:J19"/>
    <mergeCell ref="A1:J1"/>
    <mergeCell ref="A2:C2"/>
    <mergeCell ref="D2:F2"/>
    <mergeCell ref="H2:J2"/>
    <mergeCell ref="A3:C3"/>
    <mergeCell ref="D3:F3"/>
    <mergeCell ref="H3:J3"/>
  </mergeCells>
  <pageMargins left="0.7" right="0.7" top="0.75" bottom="0.75" header="0.3" footer="0.3"/>
  <pageSetup scale="80" orientation="portrait" r:id="rId1"/>
  <headerFooter>
    <oddHeader>&amp;L&amp;"Calibri,Regular"&amp;11&amp;G</oddHeader>
    <oddFooter>&amp;L&amp;"Calibri,Regular"&amp;11Copyright 2019, Worley
&amp;F&amp;R&amp;"Calibri,Regular"&amp;11Rev 0A Date 19 January 2023</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T44"/>
  <sheetViews>
    <sheetView showGridLines="0" zoomScaleNormal="100" zoomScaleSheetLayoutView="100" workbookViewId="0">
      <selection sqref="A1:J1"/>
    </sheetView>
  </sheetViews>
  <sheetFormatPr defaultColWidth="9.28515625" defaultRowHeight="15" x14ac:dyDescent="0.25"/>
  <cols>
    <col min="1" max="2" width="6.7109375" style="53" customWidth="1"/>
    <col min="3" max="3" width="5.7109375" style="53" customWidth="1"/>
    <col min="4" max="4" width="18.7109375" style="53" customWidth="1"/>
    <col min="5" max="5" width="14.7109375" style="53" customWidth="1"/>
    <col min="6" max="6" width="16.7109375" style="53" customWidth="1"/>
    <col min="7" max="7" width="11" style="53" customWidth="1"/>
    <col min="8" max="8" width="6.7109375" style="53" customWidth="1"/>
    <col min="9" max="9" width="8.7109375" style="53" customWidth="1"/>
    <col min="10" max="10" width="8.5703125" style="53" customWidth="1"/>
    <col min="11" max="11" width="20.7109375" style="53" customWidth="1"/>
    <col min="12" max="16384" width="9.28515625" style="53"/>
  </cols>
  <sheetData>
    <row r="1" spans="1:20" ht="60" customHeight="1" x14ac:dyDescent="0.25">
      <c r="A1" s="287" t="s">
        <v>64</v>
      </c>
      <c r="B1" s="287"/>
      <c r="C1" s="287"/>
      <c r="D1" s="287"/>
      <c r="E1" s="287"/>
      <c r="F1" s="287"/>
      <c r="G1" s="287"/>
      <c r="H1" s="287"/>
      <c r="I1" s="287"/>
      <c r="J1" s="287"/>
      <c r="K1" s="52"/>
    </row>
    <row r="2" spans="1:20" s="1" customFormat="1" ht="15" customHeight="1" x14ac:dyDescent="0.2">
      <c r="A2" s="288" t="s">
        <v>4</v>
      </c>
      <c r="B2" s="289"/>
      <c r="C2" s="289"/>
      <c r="D2" s="290" t="s">
        <v>15</v>
      </c>
      <c r="E2" s="290"/>
      <c r="F2" s="290"/>
      <c r="G2" s="77" t="s">
        <v>16</v>
      </c>
      <c r="H2" s="291" t="s">
        <v>17</v>
      </c>
      <c r="I2" s="291"/>
      <c r="J2" s="292"/>
      <c r="K2" s="78"/>
    </row>
    <row r="3" spans="1:20" s="79" customFormat="1" ht="15" customHeight="1" x14ac:dyDescent="0.25">
      <c r="A3" s="288" t="s">
        <v>18</v>
      </c>
      <c r="B3" s="289"/>
      <c r="C3" s="289"/>
      <c r="D3" s="293" t="s">
        <v>19</v>
      </c>
      <c r="E3" s="293"/>
      <c r="F3" s="293"/>
      <c r="G3" s="77" t="s">
        <v>20</v>
      </c>
      <c r="H3" s="291" t="s">
        <v>21</v>
      </c>
      <c r="I3" s="291"/>
      <c r="J3" s="292"/>
      <c r="K3" s="78"/>
    </row>
    <row r="4" spans="1:20" s="79" customFormat="1" ht="15" customHeight="1" x14ac:dyDescent="0.25">
      <c r="A4" s="288" t="s">
        <v>22</v>
      </c>
      <c r="B4" s="297"/>
      <c r="C4" s="297"/>
      <c r="D4" s="298" t="s">
        <v>23</v>
      </c>
      <c r="E4" s="298"/>
      <c r="F4" s="298"/>
      <c r="G4" s="77" t="s">
        <v>24</v>
      </c>
      <c r="H4" s="291" t="s">
        <v>25</v>
      </c>
      <c r="I4" s="291"/>
      <c r="J4" s="299"/>
      <c r="K4" s="78"/>
    </row>
    <row r="5" spans="1:20" s="79" customFormat="1" ht="22.5" customHeight="1" x14ac:dyDescent="0.25">
      <c r="A5" s="288" t="s">
        <v>26</v>
      </c>
      <c r="B5" s="297"/>
      <c r="C5" s="297"/>
      <c r="D5" s="300"/>
      <c r="E5" s="301"/>
      <c r="F5" s="301"/>
      <c r="G5" s="301"/>
      <c r="H5" s="301"/>
      <c r="I5" s="301"/>
      <c r="J5" s="302"/>
      <c r="K5" s="1"/>
    </row>
    <row r="6" spans="1:20" s="79" customFormat="1" ht="15" customHeight="1" x14ac:dyDescent="0.25">
      <c r="A6" s="303"/>
      <c r="B6" s="304"/>
      <c r="C6" s="304"/>
      <c r="D6" s="305"/>
      <c r="E6" s="305"/>
      <c r="F6" s="305"/>
      <c r="G6" s="80" t="s">
        <v>27</v>
      </c>
      <c r="H6" s="81">
        <f ca="1">_xlfn.SHEET()</f>
        <v>3</v>
      </c>
      <c r="I6" s="82" t="s">
        <v>28</v>
      </c>
      <c r="J6" s="83" t="s">
        <v>29</v>
      </c>
      <c r="K6" s="1"/>
    </row>
    <row r="7" spans="1:20" s="85" customFormat="1" x14ac:dyDescent="0.2">
      <c r="A7" s="306" t="s">
        <v>65</v>
      </c>
      <c r="B7" s="307"/>
      <c r="C7" s="307"/>
      <c r="D7" s="307"/>
      <c r="E7" s="307"/>
      <c r="F7" s="307"/>
      <c r="G7" s="307"/>
      <c r="H7" s="307"/>
      <c r="I7" s="307"/>
      <c r="J7" s="308"/>
      <c r="K7" s="84"/>
    </row>
    <row r="8" spans="1:20" s="85" customFormat="1" x14ac:dyDescent="0.2">
      <c r="A8" s="306" t="s">
        <v>66</v>
      </c>
      <c r="B8" s="307"/>
      <c r="C8" s="307"/>
      <c r="D8" s="307"/>
      <c r="E8" s="307"/>
      <c r="F8" s="307"/>
      <c r="G8" s="307"/>
      <c r="H8" s="307"/>
      <c r="I8" s="307"/>
      <c r="J8" s="308"/>
      <c r="K8" s="86"/>
      <c r="L8" s="87"/>
      <c r="M8" s="87"/>
      <c r="N8" s="87"/>
      <c r="O8" s="87"/>
      <c r="P8" s="87"/>
      <c r="Q8" s="87"/>
      <c r="R8" s="87"/>
      <c r="S8" s="87"/>
      <c r="T8" s="87"/>
    </row>
    <row r="9" spans="1:20" s="85" customFormat="1" ht="19.5" customHeight="1" x14ac:dyDescent="0.2">
      <c r="A9" s="88" t="s">
        <v>67</v>
      </c>
      <c r="B9" s="88" t="s">
        <v>68</v>
      </c>
      <c r="C9" s="89"/>
      <c r="D9" s="89"/>
      <c r="E9" s="89"/>
      <c r="F9" s="89"/>
      <c r="G9" s="89"/>
      <c r="H9" s="89"/>
      <c r="I9" s="89"/>
      <c r="J9" s="90"/>
      <c r="K9" s="86"/>
      <c r="L9" s="87"/>
      <c r="M9" s="87"/>
      <c r="N9" s="87"/>
      <c r="O9" s="87"/>
      <c r="P9" s="87"/>
      <c r="Q9" s="87"/>
      <c r="R9" s="87"/>
      <c r="S9" s="87"/>
      <c r="T9" s="87"/>
    </row>
    <row r="10" spans="1:20" s="85" customFormat="1" ht="30" customHeight="1" x14ac:dyDescent="0.2">
      <c r="A10" s="91"/>
      <c r="B10" s="91"/>
      <c r="C10" s="309" t="s">
        <v>188</v>
      </c>
      <c r="D10" s="310"/>
      <c r="E10" s="310"/>
      <c r="F10" s="310"/>
      <c r="G10" s="310"/>
      <c r="H10" s="310"/>
      <c r="I10" s="310"/>
      <c r="J10" s="311"/>
      <c r="K10" s="84"/>
    </row>
    <row r="11" spans="1:20" s="85" customFormat="1" ht="20.100000000000001" customHeight="1" x14ac:dyDescent="0.2">
      <c r="A11" s="91"/>
      <c r="B11" s="91"/>
      <c r="C11" s="294" t="s">
        <v>69</v>
      </c>
      <c r="D11" s="295"/>
      <c r="E11" s="295"/>
      <c r="F11" s="295"/>
      <c r="G11" s="295"/>
      <c r="H11" s="295"/>
      <c r="I11" s="295"/>
      <c r="J11" s="296"/>
      <c r="K11" s="84"/>
      <c r="L11" s="92"/>
    </row>
    <row r="12" spans="1:20" s="85" customFormat="1" ht="30" customHeight="1" x14ac:dyDescent="0.2">
      <c r="A12" s="91"/>
      <c r="B12" s="91"/>
      <c r="C12" s="309" t="s">
        <v>70</v>
      </c>
      <c r="D12" s="310"/>
      <c r="E12" s="310"/>
      <c r="F12" s="310"/>
      <c r="G12" s="310"/>
      <c r="H12" s="310"/>
      <c r="I12" s="310"/>
      <c r="J12" s="311"/>
      <c r="K12" s="84"/>
    </row>
    <row r="13" spans="1:20" s="85" customFormat="1" ht="20.100000000000001" customHeight="1" x14ac:dyDescent="0.2">
      <c r="A13" s="91"/>
      <c r="B13" s="91"/>
      <c r="C13" s="294" t="s">
        <v>71</v>
      </c>
      <c r="D13" s="295"/>
      <c r="E13" s="295"/>
      <c r="F13" s="295"/>
      <c r="G13" s="295"/>
      <c r="H13" s="295"/>
      <c r="I13" s="295"/>
      <c r="J13" s="296"/>
      <c r="K13" s="84"/>
    </row>
    <row r="14" spans="1:20" s="85" customFormat="1" ht="20.100000000000001" customHeight="1" x14ac:dyDescent="0.2">
      <c r="A14" s="91"/>
      <c r="B14" s="91"/>
      <c r="C14" s="294" t="s">
        <v>72</v>
      </c>
      <c r="D14" s="295"/>
      <c r="E14" s="295"/>
      <c r="F14" s="295"/>
      <c r="G14" s="295"/>
      <c r="H14" s="295"/>
      <c r="I14" s="295"/>
      <c r="J14" s="296"/>
      <c r="K14" s="84"/>
    </row>
    <row r="15" spans="1:20" s="85" customFormat="1" ht="20.100000000000001" customHeight="1" x14ac:dyDescent="0.2">
      <c r="A15" s="91"/>
      <c r="B15" s="91"/>
      <c r="C15" s="294" t="s">
        <v>73</v>
      </c>
      <c r="D15" s="295"/>
      <c r="E15" s="295"/>
      <c r="F15" s="295"/>
      <c r="G15" s="295"/>
      <c r="H15" s="295"/>
      <c r="I15" s="295"/>
      <c r="J15" s="296"/>
      <c r="K15" s="84"/>
    </row>
    <row r="16" spans="1:20" s="85" customFormat="1" ht="20.100000000000001" customHeight="1" x14ac:dyDescent="0.2">
      <c r="A16" s="91"/>
      <c r="B16" s="91"/>
      <c r="C16" s="294" t="s">
        <v>74</v>
      </c>
      <c r="D16" s="295"/>
      <c r="E16" s="295"/>
      <c r="F16" s="295"/>
      <c r="G16" s="295"/>
      <c r="H16" s="295"/>
      <c r="I16" s="295"/>
      <c r="J16" s="296"/>
      <c r="K16" s="84"/>
    </row>
    <row r="17" spans="1:11" s="85" customFormat="1" ht="20.100000000000001" customHeight="1" x14ac:dyDescent="0.2">
      <c r="A17" s="91"/>
      <c r="B17" s="91"/>
      <c r="C17" s="294" t="s">
        <v>75</v>
      </c>
      <c r="D17" s="295"/>
      <c r="E17" s="295"/>
      <c r="F17" s="295"/>
      <c r="G17" s="295"/>
      <c r="H17" s="295"/>
      <c r="I17" s="295"/>
      <c r="J17" s="296"/>
      <c r="K17" s="84"/>
    </row>
    <row r="18" spans="1:11" s="85" customFormat="1" ht="20.100000000000001" customHeight="1" x14ac:dyDescent="0.2">
      <c r="A18" s="91"/>
      <c r="B18" s="91"/>
      <c r="C18" s="294" t="s">
        <v>76</v>
      </c>
      <c r="D18" s="295"/>
      <c r="E18" s="295"/>
      <c r="F18" s="295"/>
      <c r="G18" s="295"/>
      <c r="H18" s="295"/>
      <c r="I18" s="295"/>
      <c r="J18" s="296"/>
      <c r="K18" s="84"/>
    </row>
    <row r="19" spans="1:11" s="85" customFormat="1" ht="20.100000000000001" customHeight="1" x14ac:dyDescent="0.2">
      <c r="A19" s="91"/>
      <c r="B19" s="91"/>
      <c r="C19" s="294" t="s">
        <v>77</v>
      </c>
      <c r="D19" s="295"/>
      <c r="E19" s="295"/>
      <c r="F19" s="295"/>
      <c r="G19" s="295"/>
      <c r="H19" s="295"/>
      <c r="I19" s="295"/>
      <c r="J19" s="296"/>
      <c r="K19" s="84"/>
    </row>
    <row r="20" spans="1:11" s="85" customFormat="1" ht="20.100000000000001" customHeight="1" x14ac:dyDescent="0.2">
      <c r="A20" s="91"/>
      <c r="B20" s="91"/>
      <c r="C20" s="309" t="s">
        <v>78</v>
      </c>
      <c r="D20" s="310"/>
      <c r="E20" s="310"/>
      <c r="F20" s="310"/>
      <c r="G20" s="310"/>
      <c r="H20" s="310"/>
      <c r="I20" s="310"/>
      <c r="J20" s="311"/>
      <c r="K20" s="84"/>
    </row>
    <row r="21" spans="1:11" s="85" customFormat="1" ht="20.100000000000001" customHeight="1" x14ac:dyDescent="0.2">
      <c r="A21" s="91"/>
      <c r="B21" s="91"/>
      <c r="C21" s="294" t="s">
        <v>79</v>
      </c>
      <c r="D21" s="295"/>
      <c r="E21" s="295"/>
      <c r="F21" s="295"/>
      <c r="G21" s="295"/>
      <c r="H21" s="295"/>
      <c r="I21" s="295"/>
      <c r="J21" s="296"/>
      <c r="K21" s="84"/>
    </row>
    <row r="22" spans="1:11" s="85" customFormat="1" ht="20.100000000000001" customHeight="1" x14ac:dyDescent="0.2">
      <c r="A22" s="91"/>
      <c r="B22" s="91"/>
      <c r="C22" s="294" t="s">
        <v>80</v>
      </c>
      <c r="D22" s="295"/>
      <c r="E22" s="295"/>
      <c r="F22" s="295"/>
      <c r="G22" s="295"/>
      <c r="H22" s="295"/>
      <c r="I22" s="295"/>
      <c r="J22" s="296"/>
      <c r="K22" s="84"/>
    </row>
    <row r="23" spans="1:11" s="85" customFormat="1" ht="20.100000000000001" customHeight="1" x14ac:dyDescent="0.2">
      <c r="A23" s="91"/>
      <c r="B23" s="91"/>
      <c r="C23" s="294" t="s">
        <v>81</v>
      </c>
      <c r="D23" s="295"/>
      <c r="E23" s="295"/>
      <c r="F23" s="295"/>
      <c r="G23" s="295"/>
      <c r="H23" s="295"/>
      <c r="I23" s="295"/>
      <c r="J23" s="296"/>
      <c r="K23" s="84"/>
    </row>
    <row r="24" spans="1:11" s="85" customFormat="1" ht="20.100000000000001" customHeight="1" x14ac:dyDescent="0.2">
      <c r="A24" s="91"/>
      <c r="B24" s="91"/>
      <c r="C24" s="294" t="s">
        <v>82</v>
      </c>
      <c r="D24" s="295"/>
      <c r="E24" s="295"/>
      <c r="F24" s="295"/>
      <c r="G24" s="295"/>
      <c r="H24" s="295"/>
      <c r="I24" s="295"/>
      <c r="J24" s="296"/>
      <c r="K24" s="84"/>
    </row>
    <row r="25" spans="1:11" s="85" customFormat="1" ht="20.100000000000001" customHeight="1" x14ac:dyDescent="0.2">
      <c r="A25" s="91"/>
      <c r="B25" s="91"/>
      <c r="C25" s="294" t="s">
        <v>83</v>
      </c>
      <c r="D25" s="295"/>
      <c r="E25" s="295"/>
      <c r="F25" s="295"/>
      <c r="G25" s="295"/>
      <c r="H25" s="295"/>
      <c r="I25" s="295"/>
      <c r="J25" s="296"/>
      <c r="K25" s="84"/>
    </row>
    <row r="26" spans="1:11" s="85" customFormat="1" ht="20.100000000000001" customHeight="1" x14ac:dyDescent="0.2">
      <c r="A26" s="91"/>
      <c r="B26" s="91"/>
      <c r="C26" s="294" t="s">
        <v>84</v>
      </c>
      <c r="D26" s="295"/>
      <c r="E26" s="295"/>
      <c r="F26" s="295"/>
      <c r="G26" s="295"/>
      <c r="H26" s="295"/>
      <c r="I26" s="295"/>
      <c r="J26" s="296"/>
      <c r="K26" s="84"/>
    </row>
    <row r="27" spans="1:11" s="85" customFormat="1" ht="20.100000000000001" customHeight="1" x14ac:dyDescent="0.2">
      <c r="A27" s="91"/>
      <c r="B27" s="91"/>
      <c r="C27" s="294" t="s">
        <v>85</v>
      </c>
      <c r="D27" s="295"/>
      <c r="E27" s="295"/>
      <c r="F27" s="295"/>
      <c r="G27" s="295"/>
      <c r="H27" s="295"/>
      <c r="I27" s="295"/>
      <c r="J27" s="296"/>
      <c r="K27" s="84"/>
    </row>
    <row r="28" spans="1:11" s="85" customFormat="1" ht="20.100000000000001" customHeight="1" x14ac:dyDescent="0.2">
      <c r="A28" s="91"/>
      <c r="B28" s="91"/>
      <c r="C28" s="294" t="s">
        <v>86</v>
      </c>
      <c r="D28" s="295"/>
      <c r="E28" s="295"/>
      <c r="F28" s="295"/>
      <c r="G28" s="295"/>
      <c r="H28" s="295"/>
      <c r="I28" s="295"/>
      <c r="J28" s="296"/>
      <c r="K28" s="84"/>
    </row>
    <row r="29" spans="1:11" s="85" customFormat="1" ht="20.100000000000001" customHeight="1" x14ac:dyDescent="0.2">
      <c r="A29" s="91"/>
      <c r="B29" s="91"/>
      <c r="C29" s="294" t="s">
        <v>87</v>
      </c>
      <c r="D29" s="295"/>
      <c r="E29" s="295"/>
      <c r="F29" s="295"/>
      <c r="G29" s="295"/>
      <c r="H29" s="295"/>
      <c r="I29" s="295"/>
      <c r="J29" s="296"/>
      <c r="K29" s="84"/>
    </row>
    <row r="30" spans="1:11" s="85" customFormat="1" x14ac:dyDescent="0.2">
      <c r="A30" s="306" t="s">
        <v>88</v>
      </c>
      <c r="B30" s="312"/>
      <c r="C30" s="312"/>
      <c r="D30" s="312"/>
      <c r="E30" s="312"/>
      <c r="F30" s="312"/>
      <c r="G30" s="312"/>
      <c r="H30" s="312"/>
      <c r="I30" s="312"/>
      <c r="J30" s="313"/>
      <c r="K30" s="84"/>
    </row>
    <row r="31" spans="1:11" s="85" customFormat="1" ht="20.100000000000001" customHeight="1" x14ac:dyDescent="0.2">
      <c r="A31" s="91"/>
      <c r="B31" s="91"/>
      <c r="C31" s="294" t="s">
        <v>89</v>
      </c>
      <c r="D31" s="295"/>
      <c r="E31" s="295"/>
      <c r="F31" s="295"/>
      <c r="G31" s="295"/>
      <c r="H31" s="295"/>
      <c r="I31" s="295"/>
      <c r="J31" s="296"/>
      <c r="K31" s="84"/>
    </row>
    <row r="32" spans="1:11" s="85" customFormat="1" ht="20.100000000000001" customHeight="1" x14ac:dyDescent="0.2">
      <c r="A32" s="91"/>
      <c r="B32" s="91"/>
      <c r="C32" s="294" t="s">
        <v>90</v>
      </c>
      <c r="D32" s="295"/>
      <c r="E32" s="295"/>
      <c r="F32" s="295"/>
      <c r="G32" s="295"/>
      <c r="H32" s="295"/>
      <c r="I32" s="295"/>
      <c r="J32" s="296"/>
      <c r="K32" s="84"/>
    </row>
    <row r="33" spans="1:11" s="85" customFormat="1" ht="20.100000000000001" customHeight="1" x14ac:dyDescent="0.2">
      <c r="A33" s="91"/>
      <c r="B33" s="91"/>
      <c r="C33" s="294" t="s">
        <v>91</v>
      </c>
      <c r="D33" s="314"/>
      <c r="E33" s="314"/>
      <c r="F33" s="314"/>
      <c r="G33" s="314"/>
      <c r="H33" s="314"/>
      <c r="I33" s="314"/>
      <c r="J33" s="296"/>
      <c r="K33" s="84"/>
    </row>
    <row r="34" spans="1:11" s="85" customFormat="1" x14ac:dyDescent="0.2">
      <c r="A34" s="306" t="s">
        <v>92</v>
      </c>
      <c r="B34" s="312"/>
      <c r="C34" s="312"/>
      <c r="D34" s="312"/>
      <c r="E34" s="312"/>
      <c r="F34" s="312"/>
      <c r="G34" s="312"/>
      <c r="H34" s="312"/>
      <c r="I34" s="312"/>
      <c r="J34" s="313"/>
      <c r="K34" s="84"/>
    </row>
    <row r="35" spans="1:11" s="85" customFormat="1" ht="20.100000000000001" customHeight="1" x14ac:dyDescent="0.2">
      <c r="A35" s="91"/>
      <c r="B35" s="91"/>
      <c r="C35" s="294" t="s">
        <v>93</v>
      </c>
      <c r="D35" s="295"/>
      <c r="E35" s="295"/>
      <c r="F35" s="295"/>
      <c r="G35" s="295"/>
      <c r="H35" s="295"/>
      <c r="I35" s="295"/>
      <c r="J35" s="296"/>
      <c r="K35" s="84"/>
    </row>
    <row r="36" spans="1:11" s="85" customFormat="1" ht="20.100000000000001" customHeight="1" x14ac:dyDescent="0.2">
      <c r="A36" s="91"/>
      <c r="B36" s="91"/>
      <c r="C36" s="294" t="s">
        <v>94</v>
      </c>
      <c r="D36" s="295"/>
      <c r="E36" s="295"/>
      <c r="F36" s="295"/>
      <c r="G36" s="295"/>
      <c r="H36" s="295"/>
      <c r="I36" s="295"/>
      <c r="J36" s="296"/>
      <c r="K36" s="84"/>
    </row>
    <row r="37" spans="1:11" s="85" customFormat="1" ht="20.100000000000001" customHeight="1" x14ac:dyDescent="0.2">
      <c r="A37" s="91"/>
      <c r="B37" s="91"/>
      <c r="C37" s="294" t="s">
        <v>95</v>
      </c>
      <c r="D37" s="295"/>
      <c r="E37" s="295"/>
      <c r="F37" s="295"/>
      <c r="G37" s="295"/>
      <c r="H37" s="295"/>
      <c r="I37" s="295"/>
      <c r="J37" s="296"/>
      <c r="K37" s="84"/>
    </row>
    <row r="38" spans="1:11" s="85" customFormat="1" ht="20.100000000000001" customHeight="1" x14ac:dyDescent="0.2">
      <c r="A38" s="93"/>
      <c r="B38" s="94"/>
      <c r="C38" s="94"/>
      <c r="D38" s="94"/>
      <c r="E38" s="94"/>
      <c r="F38" s="94"/>
      <c r="G38" s="94"/>
      <c r="H38" s="94"/>
      <c r="I38" s="94"/>
      <c r="J38" s="95"/>
      <c r="K38" s="84"/>
    </row>
    <row r="39" spans="1:11" s="85" customFormat="1" ht="20.100000000000001" customHeight="1" x14ac:dyDescent="0.2">
      <c r="A39" s="96"/>
      <c r="B39" s="94"/>
      <c r="C39" s="94"/>
      <c r="D39" s="94"/>
      <c r="E39" s="94"/>
      <c r="F39" s="94"/>
      <c r="G39" s="94"/>
      <c r="H39" s="94"/>
      <c r="I39" s="94"/>
      <c r="J39" s="95"/>
      <c r="K39" s="84"/>
    </row>
    <row r="40" spans="1:11" x14ac:dyDescent="0.25">
      <c r="A40" s="97" t="s">
        <v>44</v>
      </c>
      <c r="B40" s="315" t="s">
        <v>45</v>
      </c>
      <c r="C40" s="315"/>
      <c r="D40" s="316" t="s">
        <v>46</v>
      </c>
      <c r="E40" s="316"/>
      <c r="F40" s="98" t="s">
        <v>47</v>
      </c>
      <c r="G40" s="317" t="s">
        <v>48</v>
      </c>
      <c r="H40" s="318"/>
      <c r="I40" s="319" t="s">
        <v>49</v>
      </c>
      <c r="J40" s="320"/>
      <c r="K40" s="99"/>
    </row>
    <row r="41" spans="1:11" x14ac:dyDescent="0.25">
      <c r="A41" s="97" t="s">
        <v>50</v>
      </c>
      <c r="B41" s="315" t="s">
        <v>51</v>
      </c>
      <c r="C41" s="315"/>
      <c r="D41" s="316" t="s">
        <v>52</v>
      </c>
      <c r="E41" s="316"/>
      <c r="F41" s="98" t="s">
        <v>53</v>
      </c>
      <c r="G41" s="317" t="s">
        <v>54</v>
      </c>
      <c r="H41" s="318"/>
      <c r="I41" s="319" t="s">
        <v>55</v>
      </c>
      <c r="J41" s="320"/>
      <c r="K41" s="99"/>
    </row>
    <row r="42" spans="1:11" x14ac:dyDescent="0.25">
      <c r="A42" s="100" t="s">
        <v>56</v>
      </c>
      <c r="B42" s="321" t="s">
        <v>57</v>
      </c>
      <c r="C42" s="322"/>
      <c r="D42" s="323" t="s">
        <v>58</v>
      </c>
      <c r="E42" s="324"/>
      <c r="F42" s="98" t="s">
        <v>59</v>
      </c>
      <c r="G42" s="317" t="s">
        <v>60</v>
      </c>
      <c r="H42" s="318"/>
      <c r="I42" s="325" t="s">
        <v>61</v>
      </c>
      <c r="J42" s="326"/>
      <c r="K42" s="99"/>
    </row>
    <row r="43" spans="1:11" x14ac:dyDescent="0.25">
      <c r="A43" s="101" t="s">
        <v>8</v>
      </c>
      <c r="B43" s="327" t="s">
        <v>9</v>
      </c>
      <c r="C43" s="328"/>
      <c r="D43" s="329" t="s">
        <v>6</v>
      </c>
      <c r="E43" s="329"/>
      <c r="F43" s="102" t="s">
        <v>10</v>
      </c>
      <c r="G43" s="327" t="s">
        <v>62</v>
      </c>
      <c r="H43" s="330"/>
      <c r="I43" s="327" t="s">
        <v>63</v>
      </c>
      <c r="J43" s="331"/>
      <c r="K43" s="99"/>
    </row>
    <row r="44" spans="1:11" ht="36" customHeight="1" x14ac:dyDescent="0.25">
      <c r="A44" s="282" t="str">
        <f>disclaimer_worley</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B44" s="282"/>
      <c r="C44" s="282"/>
      <c r="D44" s="282"/>
      <c r="E44" s="282"/>
      <c r="F44" s="282"/>
      <c r="G44" s="282"/>
      <c r="H44" s="282"/>
      <c r="I44" s="282"/>
      <c r="J44" s="282"/>
    </row>
  </sheetData>
  <mergeCells count="61">
    <mergeCell ref="A44:J44"/>
    <mergeCell ref="B42:C42"/>
    <mergeCell ref="D42:E42"/>
    <mergeCell ref="G42:H42"/>
    <mergeCell ref="I42:J42"/>
    <mergeCell ref="B43:C43"/>
    <mergeCell ref="D43:E43"/>
    <mergeCell ref="G43:H43"/>
    <mergeCell ref="I43:J43"/>
    <mergeCell ref="B40:C40"/>
    <mergeCell ref="D40:E40"/>
    <mergeCell ref="G40:H40"/>
    <mergeCell ref="I40:J40"/>
    <mergeCell ref="B41:C41"/>
    <mergeCell ref="D41:E41"/>
    <mergeCell ref="G41:H41"/>
    <mergeCell ref="I41:J41"/>
    <mergeCell ref="C37:J37"/>
    <mergeCell ref="C26:J26"/>
    <mergeCell ref="C27:J27"/>
    <mergeCell ref="C28:J28"/>
    <mergeCell ref="C29:J29"/>
    <mergeCell ref="A30:J30"/>
    <mergeCell ref="C31:J31"/>
    <mergeCell ref="C32:J32"/>
    <mergeCell ref="C33:J33"/>
    <mergeCell ref="A34:J34"/>
    <mergeCell ref="C35:J35"/>
    <mergeCell ref="C36:J36"/>
    <mergeCell ref="C25:J25"/>
    <mergeCell ref="C14:J14"/>
    <mergeCell ref="C15:J15"/>
    <mergeCell ref="C16:J16"/>
    <mergeCell ref="C17:J17"/>
    <mergeCell ref="C18:J18"/>
    <mergeCell ref="C19:J19"/>
    <mergeCell ref="C20:J20"/>
    <mergeCell ref="C21:J21"/>
    <mergeCell ref="C22:J22"/>
    <mergeCell ref="C23:J23"/>
    <mergeCell ref="C24:J24"/>
    <mergeCell ref="C13:J13"/>
    <mergeCell ref="A4:C4"/>
    <mergeCell ref="D4:F4"/>
    <mergeCell ref="H4:J4"/>
    <mergeCell ref="A5:C5"/>
    <mergeCell ref="D5:J5"/>
    <mergeCell ref="A6:C6"/>
    <mergeCell ref="D6:F6"/>
    <mergeCell ref="A7:J7"/>
    <mergeCell ref="A8:J8"/>
    <mergeCell ref="C10:J10"/>
    <mergeCell ref="C11:J11"/>
    <mergeCell ref="C12:J12"/>
    <mergeCell ref="A1:J1"/>
    <mergeCell ref="A2:C2"/>
    <mergeCell ref="D2:F2"/>
    <mergeCell ref="H2:J2"/>
    <mergeCell ref="A3:C3"/>
    <mergeCell ref="D3:F3"/>
    <mergeCell ref="H3:J3"/>
  </mergeCells>
  <pageMargins left="0.7" right="0.7" top="0.75" bottom="0.75" header="0.3" footer="0.3"/>
  <pageSetup scale="77" orientation="portrait" r:id="rId1"/>
  <headerFooter>
    <oddHeader>&amp;L&amp;"Calibri,Regular"&amp;11&amp;G</oddHeader>
    <oddFooter>&amp;L&amp;"Calibri,Regular"&amp;11Copyright 2019, Worley
&amp;F&amp;R&amp;"Calibri,Regular"&amp;11Rev 0A Date 19 January 2023</oddFooter>
  </headerFooter>
  <colBreaks count="1" manualBreakCount="1">
    <brk id="10" max="1048575" man="1"/>
  </col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AX75"/>
  <sheetViews>
    <sheetView zoomScaleNormal="100" zoomScaleSheetLayoutView="100" workbookViewId="0"/>
  </sheetViews>
  <sheetFormatPr defaultColWidth="9.28515625" defaultRowHeight="12.75" x14ac:dyDescent="0.2"/>
  <cols>
    <col min="1" max="1" width="0.7109375" style="115" customWidth="1"/>
    <col min="2" max="39" width="2.5703125" style="115" customWidth="1"/>
    <col min="40" max="40" width="2.5703125" style="114" customWidth="1"/>
    <col min="41" max="41" width="21.28515625" style="114" customWidth="1"/>
    <col min="42" max="43" width="9.28515625" style="114"/>
    <col min="44" max="16384" width="9.28515625" style="115"/>
  </cols>
  <sheetData>
    <row r="1" spans="2:49" s="105" customFormat="1" ht="60" customHeight="1" x14ac:dyDescent="0.2">
      <c r="B1" s="332" t="s">
        <v>96</v>
      </c>
      <c r="C1" s="332"/>
      <c r="D1" s="332"/>
      <c r="E1" s="332"/>
      <c r="F1" s="332"/>
      <c r="G1" s="332"/>
      <c r="H1" s="332"/>
      <c r="I1" s="332"/>
      <c r="J1" s="332"/>
      <c r="K1" s="332"/>
      <c r="L1" s="332"/>
      <c r="M1" s="332"/>
      <c r="N1" s="332"/>
      <c r="O1" s="332"/>
      <c r="P1" s="332"/>
      <c r="Q1" s="332"/>
      <c r="R1" s="332"/>
      <c r="S1" s="332"/>
      <c r="T1" s="332"/>
      <c r="U1" s="332"/>
      <c r="V1" s="332"/>
      <c r="W1" s="332"/>
      <c r="X1" s="332"/>
      <c r="Y1" s="332"/>
      <c r="Z1" s="332"/>
      <c r="AA1" s="332"/>
      <c r="AB1" s="332"/>
      <c r="AC1" s="332"/>
      <c r="AD1" s="332"/>
      <c r="AE1" s="332"/>
      <c r="AF1" s="332"/>
      <c r="AG1" s="332"/>
      <c r="AH1" s="332"/>
      <c r="AI1" s="332"/>
      <c r="AJ1" s="332"/>
      <c r="AK1" s="332"/>
      <c r="AL1" s="332"/>
      <c r="AM1" s="332"/>
      <c r="AN1" s="332"/>
      <c r="AO1" s="103"/>
      <c r="AP1" s="103"/>
      <c r="AQ1" s="103"/>
      <c r="AR1" s="104"/>
      <c r="AS1" s="104"/>
      <c r="AT1" s="104"/>
      <c r="AU1" s="104"/>
      <c r="AV1" s="104"/>
      <c r="AW1" s="104"/>
    </row>
    <row r="2" spans="2:49" s="110" customFormat="1" ht="15" customHeight="1" x14ac:dyDescent="0.2">
      <c r="B2" s="333" t="s">
        <v>4</v>
      </c>
      <c r="C2" s="334"/>
      <c r="D2" s="334"/>
      <c r="E2" s="334"/>
      <c r="F2" s="334"/>
      <c r="G2" s="334"/>
      <c r="H2" s="106"/>
      <c r="I2" s="107" t="s">
        <v>15</v>
      </c>
      <c r="J2" s="107"/>
      <c r="K2" s="107"/>
      <c r="L2" s="107"/>
      <c r="M2" s="107"/>
      <c r="N2" s="107"/>
      <c r="O2" s="107"/>
      <c r="P2" s="107"/>
      <c r="Q2" s="107"/>
      <c r="R2" s="107"/>
      <c r="S2" s="107"/>
      <c r="T2" s="107"/>
      <c r="U2" s="107"/>
      <c r="V2" s="107"/>
      <c r="W2" s="107"/>
      <c r="X2" s="107"/>
      <c r="Y2" s="107"/>
      <c r="Z2" s="107"/>
      <c r="AA2" s="335" t="s">
        <v>16</v>
      </c>
      <c r="AB2" s="335"/>
      <c r="AC2" s="335"/>
      <c r="AD2" s="335"/>
      <c r="AE2" s="336" t="s">
        <v>17</v>
      </c>
      <c r="AF2" s="336"/>
      <c r="AG2" s="336"/>
      <c r="AH2" s="336"/>
      <c r="AI2" s="336"/>
      <c r="AJ2" s="336"/>
      <c r="AK2" s="336"/>
      <c r="AL2" s="336"/>
      <c r="AM2" s="336"/>
      <c r="AN2" s="337"/>
      <c r="AO2" s="108"/>
      <c r="AP2" s="109"/>
      <c r="AQ2" s="109"/>
    </row>
    <row r="3" spans="2:49" s="110" customFormat="1" ht="15" customHeight="1" x14ac:dyDescent="0.2">
      <c r="B3" s="338" t="s">
        <v>18</v>
      </c>
      <c r="C3" s="339"/>
      <c r="D3" s="339"/>
      <c r="E3" s="339"/>
      <c r="F3" s="339"/>
      <c r="G3" s="339"/>
      <c r="H3" s="111"/>
      <c r="I3" s="112" t="s">
        <v>19</v>
      </c>
      <c r="J3" s="112"/>
      <c r="K3" s="112"/>
      <c r="L3" s="112"/>
      <c r="M3" s="112"/>
      <c r="N3" s="112"/>
      <c r="O3" s="112"/>
      <c r="P3" s="112"/>
      <c r="Q3" s="112"/>
      <c r="R3" s="112"/>
      <c r="S3" s="112"/>
      <c r="T3" s="112"/>
      <c r="U3" s="112"/>
      <c r="V3" s="112"/>
      <c r="W3" s="112"/>
      <c r="X3" s="112"/>
      <c r="Y3" s="112"/>
      <c r="Z3" s="112"/>
      <c r="AA3" s="340" t="s">
        <v>20</v>
      </c>
      <c r="AB3" s="340"/>
      <c r="AC3" s="340"/>
      <c r="AD3" s="340"/>
      <c r="AE3" s="341" t="s">
        <v>21</v>
      </c>
      <c r="AF3" s="341"/>
      <c r="AG3" s="341"/>
      <c r="AH3" s="341"/>
      <c r="AI3" s="341"/>
      <c r="AJ3" s="341"/>
      <c r="AK3" s="341"/>
      <c r="AL3" s="341"/>
      <c r="AM3" s="341"/>
      <c r="AN3" s="342"/>
      <c r="AO3" s="108"/>
      <c r="AP3" s="109"/>
      <c r="AQ3" s="109"/>
    </row>
    <row r="4" spans="2:49" s="110" customFormat="1" ht="15" customHeight="1" x14ac:dyDescent="0.2">
      <c r="B4" s="343" t="s">
        <v>22</v>
      </c>
      <c r="C4" s="340"/>
      <c r="D4" s="340"/>
      <c r="E4" s="340"/>
      <c r="F4" s="340"/>
      <c r="G4" s="340"/>
      <c r="H4" s="111"/>
      <c r="I4" s="113" t="s">
        <v>23</v>
      </c>
      <c r="J4" s="113"/>
      <c r="K4" s="113"/>
      <c r="L4" s="113"/>
      <c r="M4" s="113"/>
      <c r="N4" s="113"/>
      <c r="O4" s="113"/>
      <c r="P4" s="113"/>
      <c r="Q4" s="113"/>
      <c r="R4" s="113"/>
      <c r="S4" s="113"/>
      <c r="T4" s="113"/>
      <c r="U4" s="113"/>
      <c r="V4" s="113"/>
      <c r="W4" s="113"/>
      <c r="X4" s="113"/>
      <c r="Y4" s="113"/>
      <c r="Z4" s="113"/>
      <c r="AA4" s="340" t="s">
        <v>24</v>
      </c>
      <c r="AB4" s="340"/>
      <c r="AC4" s="340"/>
      <c r="AD4" s="340"/>
      <c r="AE4" s="341" t="s">
        <v>25</v>
      </c>
      <c r="AF4" s="341"/>
      <c r="AG4" s="341"/>
      <c r="AH4" s="341"/>
      <c r="AI4" s="341"/>
      <c r="AJ4" s="341"/>
      <c r="AK4" s="341"/>
      <c r="AL4" s="341"/>
      <c r="AM4" s="341"/>
      <c r="AN4" s="342"/>
      <c r="AO4" s="108"/>
      <c r="AP4" s="109"/>
      <c r="AQ4" s="109"/>
    </row>
    <row r="5" spans="2:49" s="110" customFormat="1" ht="22.5" customHeight="1" x14ac:dyDescent="0.2">
      <c r="B5" s="343" t="s">
        <v>26</v>
      </c>
      <c r="C5" s="340"/>
      <c r="D5" s="340"/>
      <c r="E5" s="340"/>
      <c r="F5" s="340"/>
      <c r="G5" s="340"/>
      <c r="H5" s="340"/>
      <c r="I5" s="344"/>
      <c r="J5" s="344"/>
      <c r="K5" s="344"/>
      <c r="L5" s="344"/>
      <c r="M5" s="344"/>
      <c r="N5" s="344"/>
      <c r="O5" s="344"/>
      <c r="P5" s="344"/>
      <c r="Q5" s="344"/>
      <c r="R5" s="344"/>
      <c r="S5" s="344"/>
      <c r="T5" s="344"/>
      <c r="U5" s="344"/>
      <c r="V5" s="344"/>
      <c r="W5" s="344"/>
      <c r="X5" s="344"/>
      <c r="Y5" s="344"/>
      <c r="Z5" s="344"/>
      <c r="AA5" s="344"/>
      <c r="AB5" s="344"/>
      <c r="AC5" s="344"/>
      <c r="AD5" s="344"/>
      <c r="AE5" s="344"/>
      <c r="AF5" s="344"/>
      <c r="AG5" s="344"/>
      <c r="AH5" s="344"/>
      <c r="AI5" s="344"/>
      <c r="AJ5" s="344"/>
      <c r="AK5" s="344"/>
      <c r="AL5" s="344"/>
      <c r="AM5" s="344"/>
      <c r="AN5" s="345"/>
      <c r="AO5" s="109"/>
      <c r="AP5" s="109"/>
      <c r="AQ5" s="109"/>
    </row>
    <row r="6" spans="2:49" s="110" customFormat="1" ht="15" customHeight="1" x14ac:dyDescent="0.2">
      <c r="B6" s="352"/>
      <c r="C6" s="353"/>
      <c r="D6" s="353"/>
      <c r="E6" s="353"/>
      <c r="F6" s="353"/>
      <c r="G6" s="353"/>
      <c r="H6" s="353"/>
      <c r="I6" s="353"/>
      <c r="J6" s="305"/>
      <c r="K6" s="305"/>
      <c r="L6" s="305"/>
      <c r="M6" s="305"/>
      <c r="N6" s="305"/>
      <c r="O6" s="305"/>
      <c r="P6" s="305"/>
      <c r="Q6" s="305"/>
      <c r="R6" s="305"/>
      <c r="S6" s="305"/>
      <c r="T6" s="305"/>
      <c r="U6" s="305"/>
      <c r="V6" s="305"/>
      <c r="W6" s="305"/>
      <c r="X6" s="305"/>
      <c r="Y6" s="305"/>
      <c r="Z6" s="305"/>
      <c r="AA6" s="305"/>
      <c r="AB6" s="305"/>
      <c r="AC6" s="305"/>
      <c r="AD6" s="354" t="s">
        <v>27</v>
      </c>
      <c r="AE6" s="354"/>
      <c r="AF6" s="354"/>
      <c r="AG6" s="346">
        <f ca="1">_xlfn.SHEET()</f>
        <v>4</v>
      </c>
      <c r="AH6" s="346"/>
      <c r="AI6" s="346"/>
      <c r="AJ6" s="354" t="s">
        <v>28</v>
      </c>
      <c r="AK6" s="354"/>
      <c r="AL6" s="346" t="s">
        <v>29</v>
      </c>
      <c r="AM6" s="346"/>
      <c r="AN6" s="347"/>
      <c r="AO6" s="109"/>
      <c r="AP6" s="109"/>
      <c r="AQ6" s="109"/>
    </row>
    <row r="7" spans="2:49" s="116" customFormat="1" ht="15" customHeight="1" x14ac:dyDescent="0.2">
      <c r="B7" s="348" t="s">
        <v>8</v>
      </c>
      <c r="C7" s="349"/>
      <c r="D7" s="348" t="s">
        <v>9</v>
      </c>
      <c r="E7" s="350"/>
      <c r="F7" s="350"/>
      <c r="G7" s="348" t="s">
        <v>10</v>
      </c>
      <c r="H7" s="350"/>
      <c r="I7" s="350"/>
      <c r="J7" s="349"/>
      <c r="K7" s="348" t="s">
        <v>62</v>
      </c>
      <c r="L7" s="350"/>
      <c r="M7" s="350"/>
      <c r="N7" s="351"/>
      <c r="O7" s="350" t="s">
        <v>8</v>
      </c>
      <c r="P7" s="349"/>
      <c r="Q7" s="348" t="s">
        <v>9</v>
      </c>
      <c r="R7" s="350"/>
      <c r="S7" s="350"/>
      <c r="T7" s="348" t="s">
        <v>10</v>
      </c>
      <c r="U7" s="350"/>
      <c r="V7" s="350"/>
      <c r="W7" s="349"/>
      <c r="X7" s="348" t="s">
        <v>62</v>
      </c>
      <c r="Y7" s="350"/>
      <c r="Z7" s="350"/>
      <c r="AA7" s="351"/>
      <c r="AB7" s="350" t="s">
        <v>8</v>
      </c>
      <c r="AC7" s="349"/>
      <c r="AD7" s="348" t="s">
        <v>9</v>
      </c>
      <c r="AE7" s="350"/>
      <c r="AF7" s="350"/>
      <c r="AG7" s="348" t="s">
        <v>10</v>
      </c>
      <c r="AH7" s="350"/>
      <c r="AI7" s="350"/>
      <c r="AJ7" s="349"/>
      <c r="AK7" s="348" t="s">
        <v>62</v>
      </c>
      <c r="AL7" s="350"/>
      <c r="AM7" s="350"/>
      <c r="AN7" s="349"/>
      <c r="AO7" s="114"/>
      <c r="AP7" s="114"/>
      <c r="AQ7" s="114"/>
      <c r="AR7" s="115"/>
      <c r="AS7" s="115"/>
      <c r="AT7" s="115"/>
      <c r="AU7" s="115"/>
      <c r="AV7" s="115"/>
      <c r="AW7" s="115"/>
    </row>
    <row r="8" spans="2:49" s="117" customFormat="1" ht="15" customHeight="1" x14ac:dyDescent="0.2">
      <c r="B8" s="355" t="s">
        <v>56</v>
      </c>
      <c r="C8" s="356"/>
      <c r="D8" s="357" t="s">
        <v>57</v>
      </c>
      <c r="E8" s="358"/>
      <c r="F8" s="358"/>
      <c r="G8" s="359" t="s">
        <v>59</v>
      </c>
      <c r="H8" s="360"/>
      <c r="I8" s="360"/>
      <c r="J8" s="361"/>
      <c r="K8" s="362" t="s">
        <v>60</v>
      </c>
      <c r="L8" s="363"/>
      <c r="M8" s="363"/>
      <c r="N8" s="364"/>
      <c r="O8" s="365" t="s">
        <v>50</v>
      </c>
      <c r="P8" s="356"/>
      <c r="Q8" s="357" t="s">
        <v>51</v>
      </c>
      <c r="R8" s="358"/>
      <c r="S8" s="358"/>
      <c r="T8" s="359" t="s">
        <v>53</v>
      </c>
      <c r="U8" s="360"/>
      <c r="V8" s="360"/>
      <c r="W8" s="361"/>
      <c r="X8" s="362" t="s">
        <v>54</v>
      </c>
      <c r="Y8" s="363"/>
      <c r="Z8" s="363"/>
      <c r="AA8" s="364"/>
      <c r="AB8" s="365" t="s">
        <v>44</v>
      </c>
      <c r="AC8" s="356"/>
      <c r="AD8" s="357" t="s">
        <v>45</v>
      </c>
      <c r="AE8" s="358"/>
      <c r="AF8" s="358"/>
      <c r="AG8" s="359" t="s">
        <v>47</v>
      </c>
      <c r="AH8" s="360"/>
      <c r="AI8" s="360"/>
      <c r="AJ8" s="361"/>
      <c r="AK8" s="362" t="s">
        <v>48</v>
      </c>
      <c r="AL8" s="363"/>
      <c r="AM8" s="363"/>
      <c r="AN8" s="368"/>
    </row>
    <row r="9" spans="2:49" ht="14.85" customHeight="1" x14ac:dyDescent="0.2">
      <c r="B9" s="118"/>
      <c r="C9" s="119"/>
      <c r="D9" s="119"/>
      <c r="E9" s="119"/>
      <c r="F9" s="119"/>
      <c r="G9" s="120"/>
      <c r="H9" s="120"/>
      <c r="I9" s="120"/>
      <c r="J9" s="120"/>
      <c r="K9" s="120"/>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20"/>
      <c r="AL9" s="120"/>
      <c r="AM9" s="120"/>
      <c r="AN9" s="121"/>
      <c r="AO9" s="109"/>
      <c r="AP9" s="109"/>
      <c r="AQ9" s="109"/>
      <c r="AR9" s="114"/>
    </row>
    <row r="10" spans="2:49" ht="14.85" customHeight="1" x14ac:dyDescent="0.2">
      <c r="B10" s="122"/>
      <c r="C10" s="123"/>
      <c r="D10" s="124"/>
      <c r="E10" s="124"/>
      <c r="F10" s="124"/>
      <c r="G10" s="124"/>
      <c r="H10" s="124"/>
      <c r="I10" s="124"/>
      <c r="J10" s="124"/>
      <c r="K10" s="124"/>
      <c r="L10" s="124"/>
      <c r="M10" s="124"/>
      <c r="N10" s="124"/>
      <c r="O10" s="124"/>
      <c r="P10" s="124"/>
      <c r="Q10" s="123"/>
      <c r="R10" s="123"/>
      <c r="S10" s="123"/>
      <c r="T10" s="123"/>
      <c r="U10" s="124"/>
      <c r="V10" s="124"/>
      <c r="W10" s="124"/>
      <c r="X10" s="124"/>
      <c r="Y10" s="123"/>
      <c r="Z10" s="123"/>
      <c r="AA10" s="123"/>
      <c r="AB10" s="124"/>
      <c r="AC10" s="124"/>
      <c r="AD10" s="124"/>
      <c r="AE10" s="124"/>
      <c r="AF10" s="124"/>
      <c r="AG10" s="124"/>
      <c r="AH10" s="124"/>
      <c r="AI10" s="124"/>
      <c r="AJ10" s="124"/>
      <c r="AK10" s="124"/>
      <c r="AL10" s="124"/>
      <c r="AM10" s="124"/>
      <c r="AN10" s="125"/>
      <c r="AO10" s="109"/>
      <c r="AP10" s="109"/>
      <c r="AQ10" s="109"/>
      <c r="AR10" s="114"/>
    </row>
    <row r="11" spans="2:49" ht="14.85" customHeight="1" x14ac:dyDescent="0.2">
      <c r="B11" s="122"/>
      <c r="C11" s="123"/>
      <c r="D11" s="124"/>
      <c r="E11" s="124"/>
      <c r="F11" s="124"/>
      <c r="G11" s="124"/>
      <c r="H11" s="124"/>
      <c r="I11" s="124"/>
      <c r="J11" s="124"/>
      <c r="K11" s="124"/>
      <c r="L11" s="124"/>
      <c r="M11" s="124"/>
      <c r="N11" s="124"/>
      <c r="O11" s="124"/>
      <c r="P11" s="124"/>
      <c r="Q11" s="123"/>
      <c r="R11" s="123"/>
      <c r="S11" s="124"/>
      <c r="T11" s="124"/>
      <c r="U11" s="124"/>
      <c r="V11" s="124"/>
      <c r="W11" s="124"/>
      <c r="X11" s="124"/>
      <c r="Y11" s="124"/>
      <c r="Z11" s="124"/>
      <c r="AA11" s="124"/>
      <c r="AB11" s="124"/>
      <c r="AC11" s="124"/>
      <c r="AD11" s="124"/>
      <c r="AE11" s="124"/>
      <c r="AF11" s="124"/>
      <c r="AG11" s="123"/>
      <c r="AH11" s="123"/>
      <c r="AI11" s="123"/>
      <c r="AJ11" s="123"/>
      <c r="AK11" s="124"/>
      <c r="AL11" s="124"/>
      <c r="AM11" s="124"/>
      <c r="AN11" s="125"/>
      <c r="AO11" s="126"/>
      <c r="AP11" s="126"/>
      <c r="AR11" s="114"/>
    </row>
    <row r="12" spans="2:49" ht="14.85" customHeight="1" x14ac:dyDescent="0.2">
      <c r="B12" s="369" t="s">
        <v>97</v>
      </c>
      <c r="C12" s="370"/>
      <c r="D12" s="370"/>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1"/>
      <c r="AR12" s="114"/>
    </row>
    <row r="13" spans="2:49" ht="14.85" customHeight="1" x14ac:dyDescent="0.2">
      <c r="B13" s="122"/>
      <c r="C13" s="123"/>
      <c r="D13" s="127"/>
      <c r="E13" s="128"/>
      <c r="F13" s="128"/>
      <c r="G13" s="128"/>
      <c r="H13" s="128"/>
      <c r="I13" s="128"/>
      <c r="J13" s="128"/>
      <c r="K13" s="128"/>
      <c r="L13" s="128"/>
      <c r="M13" s="128"/>
      <c r="N13" s="128"/>
      <c r="O13" s="128"/>
      <c r="P13" s="128"/>
      <c r="Q13" s="128"/>
      <c r="R13" s="128"/>
      <c r="S13" s="128"/>
      <c r="T13" s="128"/>
      <c r="U13" s="128"/>
      <c r="V13" s="128"/>
      <c r="W13" s="128"/>
      <c r="X13" s="128"/>
      <c r="Y13" s="127"/>
      <c r="Z13" s="127"/>
      <c r="AA13" s="127"/>
      <c r="AB13" s="128"/>
      <c r="AC13" s="128"/>
      <c r="AD13" s="128"/>
      <c r="AE13" s="128"/>
      <c r="AF13" s="128"/>
      <c r="AG13" s="128"/>
      <c r="AH13" s="367" t="s">
        <v>27</v>
      </c>
      <c r="AI13" s="367"/>
      <c r="AJ13" s="367"/>
      <c r="AK13" s="124"/>
      <c r="AL13" s="124"/>
      <c r="AM13" s="124"/>
      <c r="AN13" s="125"/>
      <c r="AR13" s="114"/>
    </row>
    <row r="14" spans="2:49" ht="14.85" customHeight="1" x14ac:dyDescent="0.2">
      <c r="B14" s="122"/>
      <c r="C14" s="123"/>
      <c r="D14" s="129"/>
      <c r="E14" s="127"/>
      <c r="F14" s="129" t="s">
        <v>98</v>
      </c>
      <c r="G14" s="127"/>
      <c r="H14" s="128" t="s">
        <v>184</v>
      </c>
      <c r="I14" s="128"/>
      <c r="J14" s="128"/>
      <c r="K14" s="128"/>
      <c r="L14" s="128"/>
      <c r="M14" s="128"/>
      <c r="N14" s="128"/>
      <c r="O14" s="128"/>
      <c r="P14" s="128"/>
      <c r="Q14" s="128"/>
      <c r="R14" s="128"/>
      <c r="S14" s="128"/>
      <c r="T14" s="128"/>
      <c r="U14" s="128"/>
      <c r="V14" s="128"/>
      <c r="W14" s="128"/>
      <c r="X14" s="128"/>
      <c r="Y14" s="127"/>
      <c r="Z14" s="127"/>
      <c r="AA14" s="127"/>
      <c r="AB14" s="128"/>
      <c r="AC14" s="128"/>
      <c r="AD14" s="128"/>
      <c r="AE14" s="128"/>
      <c r="AF14" s="128"/>
      <c r="AG14" s="128"/>
      <c r="AH14" s="367">
        <v>1</v>
      </c>
      <c r="AI14" s="367"/>
      <c r="AJ14" s="367"/>
      <c r="AK14" s="124"/>
      <c r="AL14" s="124"/>
      <c r="AM14" s="124"/>
      <c r="AN14" s="125"/>
      <c r="AR14" s="114"/>
    </row>
    <row r="15" spans="2:49" ht="14.85" customHeight="1" x14ac:dyDescent="0.2">
      <c r="B15" s="122"/>
      <c r="C15" s="123"/>
      <c r="D15" s="123"/>
      <c r="E15" s="123"/>
      <c r="F15" s="124"/>
      <c r="G15" s="124"/>
      <c r="H15" s="124"/>
      <c r="I15" s="124"/>
      <c r="J15" s="124"/>
      <c r="K15" s="124"/>
      <c r="L15" s="124"/>
      <c r="M15" s="124"/>
      <c r="N15" s="124"/>
      <c r="O15" s="124"/>
      <c r="P15" s="124"/>
      <c r="Q15" s="124"/>
      <c r="R15" s="124"/>
      <c r="S15" s="124"/>
      <c r="T15" s="124"/>
      <c r="U15" s="124"/>
      <c r="V15" s="124"/>
      <c r="W15" s="124"/>
      <c r="X15" s="124"/>
      <c r="Y15" s="123"/>
      <c r="Z15" s="123"/>
      <c r="AA15" s="123"/>
      <c r="AB15" s="124"/>
      <c r="AC15" s="124"/>
      <c r="AD15" s="124"/>
      <c r="AE15" s="124"/>
      <c r="AF15" s="124"/>
      <c r="AG15" s="124"/>
      <c r="AH15" s="124"/>
      <c r="AI15" s="124"/>
      <c r="AJ15" s="124"/>
      <c r="AK15" s="124"/>
      <c r="AL15" s="124"/>
      <c r="AM15" s="124"/>
      <c r="AN15" s="125"/>
      <c r="AR15" s="114"/>
    </row>
    <row r="16" spans="2:49" ht="14.85" customHeight="1" x14ac:dyDescent="0.2">
      <c r="B16" s="122"/>
      <c r="C16" s="123"/>
      <c r="D16" s="123"/>
      <c r="E16" s="123"/>
      <c r="F16" s="124"/>
      <c r="G16" s="124"/>
      <c r="H16" s="124"/>
      <c r="I16" s="124"/>
      <c r="J16" s="124"/>
      <c r="K16" s="124"/>
      <c r="L16" s="124"/>
      <c r="M16" s="124"/>
      <c r="N16" s="124"/>
      <c r="O16" s="124"/>
      <c r="P16" s="124"/>
      <c r="Q16" s="124"/>
      <c r="R16" s="124"/>
      <c r="S16" s="124"/>
      <c r="T16" s="124"/>
      <c r="U16" s="124"/>
      <c r="V16" s="124"/>
      <c r="W16" s="124"/>
      <c r="X16" s="124"/>
      <c r="Y16" s="124"/>
      <c r="Z16" s="124"/>
      <c r="AA16" s="124"/>
      <c r="AB16" s="124"/>
      <c r="AC16" s="124"/>
      <c r="AD16" s="124"/>
      <c r="AE16" s="124"/>
      <c r="AF16" s="123"/>
      <c r="AG16" s="123"/>
      <c r="AH16" s="123"/>
      <c r="AI16" s="123"/>
      <c r="AJ16" s="123"/>
      <c r="AK16" s="124"/>
      <c r="AL16" s="124"/>
      <c r="AM16" s="124"/>
      <c r="AN16" s="125"/>
      <c r="AP16" s="124"/>
      <c r="AR16" s="114"/>
    </row>
    <row r="17" spans="2:44" ht="14.85" customHeight="1" x14ac:dyDescent="0.2">
      <c r="B17" s="122"/>
      <c r="C17" s="123"/>
      <c r="D17" s="124"/>
      <c r="E17" s="124"/>
      <c r="F17" s="124"/>
      <c r="G17" s="124"/>
      <c r="H17" s="124"/>
      <c r="I17" s="124"/>
      <c r="J17" s="124"/>
      <c r="K17" s="124"/>
      <c r="L17" s="124"/>
      <c r="M17" s="124"/>
      <c r="N17" s="124"/>
      <c r="O17" s="124"/>
      <c r="P17" s="124"/>
      <c r="Q17" s="124"/>
      <c r="R17" s="124"/>
      <c r="S17" s="124"/>
      <c r="T17" s="124"/>
      <c r="U17" s="124"/>
      <c r="V17" s="124"/>
      <c r="W17" s="124"/>
      <c r="X17" s="124"/>
      <c r="Y17" s="124"/>
      <c r="Z17" s="124"/>
      <c r="AA17" s="124"/>
      <c r="AB17" s="124"/>
      <c r="AC17" s="124"/>
      <c r="AD17" s="124"/>
      <c r="AE17" s="124"/>
      <c r="AF17" s="123"/>
      <c r="AG17" s="123"/>
      <c r="AH17" s="123"/>
      <c r="AI17" s="123"/>
      <c r="AJ17" s="123"/>
      <c r="AK17" s="124"/>
      <c r="AL17" s="124"/>
      <c r="AM17" s="124"/>
      <c r="AN17" s="125"/>
      <c r="AR17" s="114"/>
    </row>
    <row r="18" spans="2:44" ht="14.85" customHeight="1" x14ac:dyDescent="0.2">
      <c r="B18" s="122"/>
      <c r="C18" s="123"/>
      <c r="D18" s="124"/>
      <c r="E18" s="124"/>
      <c r="F18" s="124"/>
      <c r="G18" s="124"/>
      <c r="H18" s="124"/>
      <c r="I18" s="124"/>
      <c r="J18" s="124"/>
      <c r="K18" s="124"/>
      <c r="L18" s="124"/>
      <c r="M18" s="124"/>
      <c r="N18" s="124"/>
      <c r="O18" s="124"/>
      <c r="P18" s="124"/>
      <c r="Q18" s="124"/>
      <c r="R18" s="124"/>
      <c r="S18" s="124"/>
      <c r="T18" s="124"/>
      <c r="U18" s="124"/>
      <c r="V18" s="124"/>
      <c r="W18" s="124"/>
      <c r="X18" s="124"/>
      <c r="Y18" s="124"/>
      <c r="Z18" s="124"/>
      <c r="AA18" s="124"/>
      <c r="AB18" s="124"/>
      <c r="AC18" s="124"/>
      <c r="AD18" s="123"/>
      <c r="AE18" s="123"/>
      <c r="AF18" s="123"/>
      <c r="AG18" s="123"/>
      <c r="AH18" s="124"/>
      <c r="AI18" s="123"/>
      <c r="AJ18" s="123"/>
      <c r="AK18" s="124"/>
      <c r="AL18" s="124"/>
      <c r="AM18" s="124"/>
      <c r="AN18" s="125"/>
      <c r="AR18" s="114"/>
    </row>
    <row r="19" spans="2:44" ht="14.85" customHeight="1" x14ac:dyDescent="0.2">
      <c r="B19" s="122"/>
      <c r="C19" s="123"/>
      <c r="D19" s="124"/>
      <c r="E19" s="124"/>
      <c r="F19" s="124"/>
      <c r="G19" s="124"/>
      <c r="H19" s="124"/>
      <c r="I19" s="123"/>
      <c r="J19" s="123"/>
      <c r="K19" s="123"/>
      <c r="L19" s="124"/>
      <c r="M19" s="124"/>
      <c r="N19" s="124"/>
      <c r="O19" s="124"/>
      <c r="P19" s="124"/>
      <c r="Q19" s="123"/>
      <c r="R19" s="124"/>
      <c r="S19" s="124"/>
      <c r="T19" s="124"/>
      <c r="U19" s="124"/>
      <c r="V19" s="124"/>
      <c r="W19" s="124"/>
      <c r="X19" s="124"/>
      <c r="Y19" s="124"/>
      <c r="Z19" s="123"/>
      <c r="AA19" s="124"/>
      <c r="AB19" s="124"/>
      <c r="AC19" s="124"/>
      <c r="AD19" s="123"/>
      <c r="AE19" s="123"/>
      <c r="AF19" s="123"/>
      <c r="AG19" s="123"/>
      <c r="AH19" s="124"/>
      <c r="AI19" s="123"/>
      <c r="AJ19" s="123"/>
      <c r="AK19" s="124"/>
      <c r="AL19" s="124"/>
      <c r="AM19" s="124"/>
      <c r="AN19" s="125"/>
      <c r="AR19" s="114"/>
    </row>
    <row r="20" spans="2:44" ht="14.85" customHeight="1" x14ac:dyDescent="0.2">
      <c r="B20" s="122"/>
      <c r="C20" s="123"/>
      <c r="D20" s="124"/>
      <c r="E20" s="124"/>
      <c r="F20" s="124"/>
      <c r="G20" s="124"/>
      <c r="H20" s="124"/>
      <c r="I20" s="123"/>
      <c r="J20" s="123"/>
      <c r="K20" s="123"/>
      <c r="L20" s="123"/>
      <c r="M20" s="123"/>
      <c r="N20" s="123"/>
      <c r="O20" s="123"/>
      <c r="P20" s="123"/>
      <c r="Q20" s="123"/>
      <c r="R20" s="124"/>
      <c r="S20" s="124"/>
      <c r="T20" s="124"/>
      <c r="U20" s="124"/>
      <c r="V20" s="124"/>
      <c r="W20" s="124"/>
      <c r="X20" s="124"/>
      <c r="Y20" s="124"/>
      <c r="Z20" s="123"/>
      <c r="AA20" s="124"/>
      <c r="AB20" s="124"/>
      <c r="AC20" s="124"/>
      <c r="AD20" s="123"/>
      <c r="AE20" s="123"/>
      <c r="AF20" s="123"/>
      <c r="AG20" s="123"/>
      <c r="AH20" s="124"/>
      <c r="AI20" s="123"/>
      <c r="AJ20" s="123"/>
      <c r="AK20" s="124"/>
      <c r="AL20" s="124"/>
      <c r="AM20" s="124"/>
      <c r="AN20" s="125"/>
      <c r="AR20" s="114"/>
    </row>
    <row r="21" spans="2:44" ht="14.85" customHeight="1" x14ac:dyDescent="0.2">
      <c r="B21" s="122"/>
      <c r="C21" s="123"/>
      <c r="D21" s="123"/>
      <c r="E21" s="123"/>
      <c r="F21" s="123"/>
      <c r="G21" s="123"/>
      <c r="H21" s="123"/>
      <c r="I21" s="123"/>
      <c r="J21" s="123"/>
      <c r="K21" s="123"/>
      <c r="L21" s="123"/>
      <c r="M21" s="123"/>
      <c r="N21" s="123"/>
      <c r="O21" s="123"/>
      <c r="P21" s="123"/>
      <c r="Q21" s="123"/>
      <c r="R21" s="123"/>
      <c r="S21" s="123"/>
      <c r="T21" s="123"/>
      <c r="U21" s="123"/>
      <c r="V21" s="123"/>
      <c r="W21" s="123"/>
      <c r="X21" s="124"/>
      <c r="Y21" s="124"/>
      <c r="Z21" s="123"/>
      <c r="AA21" s="124"/>
      <c r="AB21" s="124"/>
      <c r="AC21" s="123"/>
      <c r="AD21" s="123"/>
      <c r="AE21" s="123"/>
      <c r="AF21" s="123"/>
      <c r="AG21" s="123"/>
      <c r="AH21" s="124"/>
      <c r="AI21" s="123"/>
      <c r="AJ21" s="123"/>
      <c r="AK21" s="124"/>
      <c r="AL21" s="124"/>
      <c r="AM21" s="124"/>
      <c r="AN21" s="125"/>
      <c r="AR21" s="114"/>
    </row>
    <row r="22" spans="2:44" ht="14.85" customHeight="1" x14ac:dyDescent="0.2">
      <c r="B22" s="122"/>
      <c r="C22" s="123"/>
      <c r="D22" s="123"/>
      <c r="E22" s="123"/>
      <c r="F22" s="123"/>
      <c r="G22" s="123"/>
      <c r="H22" s="123"/>
      <c r="I22" s="124"/>
      <c r="J22" s="124"/>
      <c r="K22" s="124"/>
      <c r="L22" s="124"/>
      <c r="M22" s="124"/>
      <c r="N22" s="124"/>
      <c r="O22" s="124"/>
      <c r="P22" s="124"/>
      <c r="Q22" s="123"/>
      <c r="R22" s="123"/>
      <c r="S22" s="124"/>
      <c r="T22" s="124"/>
      <c r="U22" s="124"/>
      <c r="V22" s="124"/>
      <c r="W22" s="124"/>
      <c r="X22" s="123"/>
      <c r="Y22" s="123"/>
      <c r="Z22" s="123"/>
      <c r="AA22" s="123"/>
      <c r="AB22" s="123"/>
      <c r="AC22" s="123"/>
      <c r="AD22" s="123"/>
      <c r="AE22" s="123"/>
      <c r="AF22" s="123"/>
      <c r="AG22" s="123"/>
      <c r="AH22" s="124"/>
      <c r="AI22" s="123"/>
      <c r="AJ22" s="123"/>
      <c r="AK22" s="124"/>
      <c r="AL22" s="124"/>
      <c r="AM22" s="124"/>
      <c r="AN22" s="125"/>
      <c r="AR22" s="114"/>
    </row>
    <row r="23" spans="2:44" ht="14.85" customHeight="1" x14ac:dyDescent="0.2">
      <c r="B23" s="122"/>
      <c r="C23" s="123"/>
      <c r="D23" s="123"/>
      <c r="E23" s="123"/>
      <c r="F23" s="123"/>
      <c r="G23" s="123"/>
      <c r="H23" s="123"/>
      <c r="I23" s="124"/>
      <c r="J23" s="124"/>
      <c r="K23" s="124"/>
      <c r="L23" s="124"/>
      <c r="M23" s="124"/>
      <c r="N23" s="124"/>
      <c r="O23" s="124"/>
      <c r="P23" s="124"/>
      <c r="Q23" s="123"/>
      <c r="R23" s="123"/>
      <c r="S23" s="124"/>
      <c r="T23" s="124"/>
      <c r="U23" s="124"/>
      <c r="V23" s="124"/>
      <c r="W23" s="124"/>
      <c r="X23" s="123"/>
      <c r="Y23" s="123"/>
      <c r="Z23" s="123"/>
      <c r="AA23" s="123"/>
      <c r="AB23" s="123"/>
      <c r="AC23" s="123"/>
      <c r="AD23" s="123"/>
      <c r="AE23" s="123"/>
      <c r="AF23" s="123"/>
      <c r="AG23" s="123"/>
      <c r="AH23" s="124"/>
      <c r="AI23" s="123"/>
      <c r="AJ23" s="123"/>
      <c r="AK23" s="124"/>
      <c r="AL23" s="124"/>
      <c r="AM23" s="124"/>
      <c r="AN23" s="125"/>
      <c r="AR23" s="114"/>
    </row>
    <row r="24" spans="2:44" ht="14.85" customHeight="1" x14ac:dyDescent="0.2">
      <c r="B24" s="122"/>
      <c r="C24" s="123"/>
      <c r="D24" s="123"/>
      <c r="E24" s="123"/>
      <c r="F24" s="123"/>
      <c r="G24" s="123"/>
      <c r="H24" s="123"/>
      <c r="I24" s="124"/>
      <c r="J24" s="124"/>
      <c r="K24" s="124"/>
      <c r="L24" s="124"/>
      <c r="M24" s="124"/>
      <c r="N24" s="124"/>
      <c r="O24" s="124"/>
      <c r="P24" s="124"/>
      <c r="Q24" s="123"/>
      <c r="R24" s="123"/>
      <c r="S24" s="124"/>
      <c r="T24" s="124"/>
      <c r="U24" s="124"/>
      <c r="V24" s="124"/>
      <c r="W24" s="124"/>
      <c r="X24" s="123"/>
      <c r="Y24" s="123"/>
      <c r="Z24" s="123"/>
      <c r="AA24" s="123"/>
      <c r="AB24" s="123"/>
      <c r="AC24" s="123"/>
      <c r="AD24" s="123"/>
      <c r="AE24" s="123"/>
      <c r="AF24" s="123"/>
      <c r="AG24" s="123"/>
      <c r="AH24" s="124"/>
      <c r="AI24" s="123"/>
      <c r="AJ24" s="123"/>
      <c r="AK24" s="124"/>
      <c r="AL24" s="124"/>
      <c r="AM24" s="124"/>
      <c r="AN24" s="125"/>
      <c r="AR24" s="114"/>
    </row>
    <row r="25" spans="2:44" ht="14.85" customHeight="1" x14ac:dyDescent="0.2">
      <c r="B25" s="122"/>
      <c r="C25" s="123"/>
      <c r="D25" s="123"/>
      <c r="E25" s="123"/>
      <c r="F25" s="123"/>
      <c r="G25" s="123"/>
      <c r="H25" s="123"/>
      <c r="I25" s="124"/>
      <c r="J25" s="124"/>
      <c r="K25" s="124"/>
      <c r="L25" s="124"/>
      <c r="M25" s="124"/>
      <c r="N25" s="124"/>
      <c r="O25" s="124"/>
      <c r="P25" s="124"/>
      <c r="Q25" s="123"/>
      <c r="R25" s="123"/>
      <c r="S25" s="124"/>
      <c r="T25" s="124"/>
      <c r="U25" s="124"/>
      <c r="V25" s="124"/>
      <c r="W25" s="124"/>
      <c r="X25" s="123"/>
      <c r="Y25" s="123"/>
      <c r="Z25" s="123"/>
      <c r="AA25" s="123"/>
      <c r="AB25" s="123"/>
      <c r="AC25" s="123"/>
      <c r="AD25" s="123"/>
      <c r="AE25" s="123"/>
      <c r="AF25" s="123"/>
      <c r="AG25" s="123"/>
      <c r="AH25" s="124"/>
      <c r="AI25" s="123"/>
      <c r="AJ25" s="123"/>
      <c r="AK25" s="124"/>
      <c r="AL25" s="124"/>
      <c r="AM25" s="124"/>
      <c r="AN25" s="125"/>
      <c r="AR25" s="114"/>
    </row>
    <row r="26" spans="2:44" ht="14.85" customHeight="1" x14ac:dyDescent="0.2">
      <c r="B26" s="122"/>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4"/>
      <c r="AL26" s="124"/>
      <c r="AM26" s="124"/>
      <c r="AN26" s="125"/>
      <c r="AR26" s="114"/>
    </row>
    <row r="27" spans="2:44" ht="14.85" customHeight="1" x14ac:dyDescent="0.2">
      <c r="B27" s="122"/>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4"/>
      <c r="AL27" s="124"/>
      <c r="AM27" s="124"/>
      <c r="AN27" s="125"/>
      <c r="AR27" s="114"/>
    </row>
    <row r="28" spans="2:44" ht="14.85" customHeight="1" x14ac:dyDescent="0.2">
      <c r="B28" s="122"/>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3"/>
      <c r="AA28" s="123"/>
      <c r="AB28" s="123"/>
      <c r="AC28" s="123"/>
      <c r="AD28" s="123"/>
      <c r="AE28" s="123"/>
      <c r="AF28" s="123"/>
      <c r="AG28" s="123"/>
      <c r="AH28" s="123"/>
      <c r="AI28" s="123"/>
      <c r="AJ28" s="123"/>
      <c r="AK28" s="124"/>
      <c r="AL28" s="124"/>
      <c r="AM28" s="124"/>
      <c r="AN28" s="125"/>
      <c r="AR28" s="114"/>
    </row>
    <row r="29" spans="2:44" ht="14.85" customHeight="1" x14ac:dyDescent="0.2">
      <c r="B29" s="122"/>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4"/>
      <c r="AL29" s="124"/>
      <c r="AM29" s="124"/>
      <c r="AN29" s="125"/>
      <c r="AR29" s="114"/>
    </row>
    <row r="30" spans="2:44" ht="14.85" customHeight="1" x14ac:dyDescent="0.2">
      <c r="B30" s="122"/>
      <c r="C30" s="123"/>
      <c r="D30" s="123"/>
      <c r="E30" s="123"/>
      <c r="F30" s="123"/>
      <c r="G30" s="123"/>
      <c r="H30" s="123"/>
      <c r="I30" s="123"/>
      <c r="J30" s="123"/>
      <c r="K30" s="123"/>
      <c r="L30" s="123"/>
      <c r="M30" s="123"/>
      <c r="N30" s="123"/>
      <c r="O30" s="123"/>
      <c r="P30" s="123"/>
      <c r="Q30" s="123"/>
      <c r="R30" s="123"/>
      <c r="S30" s="123"/>
      <c r="T30" s="123"/>
      <c r="U30" s="123"/>
      <c r="V30" s="123"/>
      <c r="W30" s="123"/>
      <c r="X30" s="123"/>
      <c r="Y30" s="123"/>
      <c r="Z30" s="123"/>
      <c r="AA30" s="123"/>
      <c r="AB30" s="123"/>
      <c r="AC30" s="123"/>
      <c r="AD30" s="123"/>
      <c r="AE30" s="123"/>
      <c r="AF30" s="123"/>
      <c r="AG30" s="123"/>
      <c r="AH30" s="123"/>
      <c r="AI30" s="123"/>
      <c r="AJ30" s="123"/>
      <c r="AK30" s="124"/>
      <c r="AL30" s="124"/>
      <c r="AM30" s="124"/>
      <c r="AN30" s="125"/>
      <c r="AR30" s="114"/>
    </row>
    <row r="31" spans="2:44" ht="14.85" customHeight="1" x14ac:dyDescent="0.2">
      <c r="B31" s="122"/>
      <c r="C31" s="123"/>
      <c r="D31" s="123"/>
      <c r="E31" s="123"/>
      <c r="F31" s="123"/>
      <c r="G31" s="123"/>
      <c r="H31" s="123"/>
      <c r="I31" s="123"/>
      <c r="J31" s="123"/>
      <c r="K31" s="123"/>
      <c r="L31" s="123"/>
      <c r="M31" s="123"/>
      <c r="N31" s="123"/>
      <c r="O31" s="123"/>
      <c r="P31" s="123"/>
      <c r="Q31" s="123"/>
      <c r="R31" s="123"/>
      <c r="S31" s="123"/>
      <c r="T31" s="123"/>
      <c r="U31" s="123"/>
      <c r="V31" s="123"/>
      <c r="W31" s="123"/>
      <c r="X31" s="123"/>
      <c r="Y31" s="123"/>
      <c r="Z31" s="123"/>
      <c r="AA31" s="123"/>
      <c r="AB31" s="123"/>
      <c r="AC31" s="123"/>
      <c r="AD31" s="123"/>
      <c r="AE31" s="123"/>
      <c r="AF31" s="123"/>
      <c r="AG31" s="123"/>
      <c r="AH31" s="123"/>
      <c r="AI31" s="123"/>
      <c r="AJ31" s="123"/>
      <c r="AK31" s="124"/>
      <c r="AL31" s="124"/>
      <c r="AM31" s="124"/>
      <c r="AN31" s="125"/>
      <c r="AR31" s="114"/>
    </row>
    <row r="32" spans="2:44" ht="14.85" customHeight="1" x14ac:dyDescent="0.2">
      <c r="B32" s="122"/>
      <c r="C32" s="123"/>
      <c r="D32" s="123"/>
      <c r="E32" s="123"/>
      <c r="F32" s="123"/>
      <c r="G32" s="123"/>
      <c r="H32" s="123"/>
      <c r="I32" s="123"/>
      <c r="J32" s="123"/>
      <c r="K32" s="123"/>
      <c r="L32" s="123"/>
      <c r="M32" s="123"/>
      <c r="N32" s="123"/>
      <c r="O32" s="123"/>
      <c r="P32" s="123"/>
      <c r="Q32" s="123"/>
      <c r="R32" s="123"/>
      <c r="S32" s="123"/>
      <c r="T32" s="123"/>
      <c r="U32" s="123"/>
      <c r="V32" s="123"/>
      <c r="W32" s="123"/>
      <c r="X32" s="123"/>
      <c r="Y32" s="123"/>
      <c r="Z32" s="123"/>
      <c r="AA32" s="123"/>
      <c r="AB32" s="123"/>
      <c r="AC32" s="123"/>
      <c r="AD32" s="123"/>
      <c r="AE32" s="123"/>
      <c r="AF32" s="123"/>
      <c r="AG32" s="123"/>
      <c r="AH32" s="123"/>
      <c r="AI32" s="123"/>
      <c r="AJ32" s="123"/>
      <c r="AK32" s="124"/>
      <c r="AL32" s="124"/>
      <c r="AM32" s="124"/>
      <c r="AN32" s="125"/>
      <c r="AR32" s="114"/>
    </row>
    <row r="33" spans="2:44" ht="14.85" customHeight="1" x14ac:dyDescent="0.2">
      <c r="B33" s="122"/>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3"/>
      <c r="AH33" s="123"/>
      <c r="AI33" s="123"/>
      <c r="AJ33" s="123"/>
      <c r="AK33" s="124"/>
      <c r="AL33" s="124"/>
      <c r="AM33" s="124"/>
      <c r="AN33" s="125"/>
      <c r="AR33" s="114"/>
    </row>
    <row r="34" spans="2:44" ht="14.85" customHeight="1" x14ac:dyDescent="0.2">
      <c r="B34" s="122"/>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c r="AA34" s="123"/>
      <c r="AB34" s="123"/>
      <c r="AC34" s="123"/>
      <c r="AD34" s="123"/>
      <c r="AE34" s="123"/>
      <c r="AF34" s="123"/>
      <c r="AG34" s="123"/>
      <c r="AH34" s="123"/>
      <c r="AI34" s="123"/>
      <c r="AJ34" s="123"/>
      <c r="AK34" s="124"/>
      <c r="AL34" s="124"/>
      <c r="AM34" s="124"/>
      <c r="AN34" s="125"/>
      <c r="AR34" s="114"/>
    </row>
    <row r="35" spans="2:44" ht="14.85" customHeight="1" x14ac:dyDescent="0.2">
      <c r="B35" s="122"/>
      <c r="C35" s="123"/>
      <c r="D35" s="123"/>
      <c r="E35" s="123"/>
      <c r="F35" s="123"/>
      <c r="G35" s="123"/>
      <c r="H35" s="123"/>
      <c r="I35" s="123"/>
      <c r="J35" s="123"/>
      <c r="K35" s="123"/>
      <c r="L35" s="123"/>
      <c r="M35" s="123"/>
      <c r="N35" s="123"/>
      <c r="O35" s="123"/>
      <c r="P35" s="123"/>
      <c r="Q35" s="123"/>
      <c r="R35" s="123"/>
      <c r="S35" s="123"/>
      <c r="T35" s="123"/>
      <c r="U35" s="123"/>
      <c r="V35" s="123"/>
      <c r="W35" s="123"/>
      <c r="X35" s="123"/>
      <c r="Y35" s="123"/>
      <c r="Z35" s="123"/>
      <c r="AA35" s="123"/>
      <c r="AB35" s="123"/>
      <c r="AC35" s="123"/>
      <c r="AD35" s="123"/>
      <c r="AE35" s="123"/>
      <c r="AF35" s="123"/>
      <c r="AG35" s="123"/>
      <c r="AH35" s="123"/>
      <c r="AI35" s="123"/>
      <c r="AJ35" s="123"/>
      <c r="AK35" s="124"/>
      <c r="AL35" s="124"/>
      <c r="AM35" s="124"/>
      <c r="AN35" s="125"/>
      <c r="AR35" s="114"/>
    </row>
    <row r="36" spans="2:44" ht="14.85" customHeight="1" x14ac:dyDescent="0.2">
      <c r="B36" s="122"/>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4"/>
      <c r="AL36" s="124"/>
      <c r="AM36" s="124"/>
      <c r="AN36" s="125"/>
      <c r="AR36" s="114"/>
    </row>
    <row r="37" spans="2:44" ht="14.85" customHeight="1" x14ac:dyDescent="0.2">
      <c r="B37" s="122"/>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4"/>
      <c r="AL37" s="124"/>
      <c r="AM37" s="124"/>
      <c r="AN37" s="125"/>
      <c r="AR37" s="114"/>
    </row>
    <row r="38" spans="2:44" ht="14.85" customHeight="1" x14ac:dyDescent="0.2">
      <c r="B38" s="122"/>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4"/>
      <c r="AL38" s="124"/>
      <c r="AM38" s="124"/>
      <c r="AN38" s="125"/>
      <c r="AR38" s="114"/>
    </row>
    <row r="39" spans="2:44" ht="14.85" customHeight="1" x14ac:dyDescent="0.2">
      <c r="B39" s="122"/>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3"/>
      <c r="AD39" s="123"/>
      <c r="AE39" s="123"/>
      <c r="AF39" s="123"/>
      <c r="AG39" s="123"/>
      <c r="AH39" s="123"/>
      <c r="AI39" s="123"/>
      <c r="AJ39" s="123"/>
      <c r="AK39" s="124"/>
      <c r="AL39" s="124"/>
      <c r="AM39" s="124"/>
      <c r="AN39" s="125"/>
      <c r="AR39" s="114"/>
    </row>
    <row r="40" spans="2:44" ht="14.85" customHeight="1" x14ac:dyDescent="0.2">
      <c r="B40" s="122"/>
      <c r="C40" s="123"/>
      <c r="D40" s="123"/>
      <c r="E40" s="123"/>
      <c r="F40" s="123"/>
      <c r="G40" s="123"/>
      <c r="H40" s="123"/>
      <c r="I40" s="123"/>
      <c r="J40" s="123"/>
      <c r="K40" s="123"/>
      <c r="L40" s="123"/>
      <c r="M40" s="123"/>
      <c r="N40" s="123"/>
      <c r="O40" s="123"/>
      <c r="P40" s="123"/>
      <c r="Q40" s="123"/>
      <c r="R40" s="123"/>
      <c r="S40" s="123"/>
      <c r="T40" s="123"/>
      <c r="U40" s="123"/>
      <c r="V40" s="123"/>
      <c r="W40" s="123"/>
      <c r="X40" s="123"/>
      <c r="Y40" s="123"/>
      <c r="Z40" s="123"/>
      <c r="AA40" s="123"/>
      <c r="AB40" s="123"/>
      <c r="AC40" s="123"/>
      <c r="AD40" s="123"/>
      <c r="AE40" s="123"/>
      <c r="AF40" s="123"/>
      <c r="AG40" s="123"/>
      <c r="AH40" s="123"/>
      <c r="AI40" s="123"/>
      <c r="AJ40" s="123"/>
      <c r="AK40" s="124"/>
      <c r="AL40" s="124"/>
      <c r="AM40" s="124"/>
      <c r="AN40" s="125"/>
      <c r="AR40" s="114"/>
    </row>
    <row r="41" spans="2:44" ht="14.85" customHeight="1" x14ac:dyDescent="0.2">
      <c r="B41" s="122"/>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4"/>
      <c r="AL41" s="124"/>
      <c r="AM41" s="124"/>
      <c r="AN41" s="125"/>
      <c r="AR41" s="114"/>
    </row>
    <row r="42" spans="2:44" ht="14.85" customHeight="1" x14ac:dyDescent="0.2">
      <c r="B42" s="122"/>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4"/>
      <c r="AL42" s="124"/>
      <c r="AM42" s="124"/>
      <c r="AN42" s="125"/>
      <c r="AR42" s="114"/>
    </row>
    <row r="43" spans="2:44" ht="14.85" customHeight="1" x14ac:dyDescent="0.2">
      <c r="B43" s="122"/>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4"/>
      <c r="AL43" s="124"/>
      <c r="AM43" s="124"/>
      <c r="AN43" s="125"/>
      <c r="AR43" s="114"/>
    </row>
    <row r="44" spans="2:44" ht="14.85" customHeight="1" x14ac:dyDescent="0.2">
      <c r="B44" s="122"/>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4"/>
      <c r="AL44" s="124"/>
      <c r="AM44" s="124"/>
      <c r="AN44" s="125"/>
      <c r="AR44" s="114"/>
    </row>
    <row r="45" spans="2:44" ht="14.85" customHeight="1" x14ac:dyDescent="0.2">
      <c r="B45" s="122"/>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4"/>
      <c r="AL45" s="124"/>
      <c r="AM45" s="124"/>
      <c r="AN45" s="125"/>
      <c r="AR45" s="114"/>
    </row>
    <row r="46" spans="2:44" ht="14.85" customHeight="1" x14ac:dyDescent="0.2">
      <c r="B46" s="122"/>
      <c r="C46" s="123"/>
      <c r="D46" s="123"/>
      <c r="E46" s="123"/>
      <c r="F46" s="123"/>
      <c r="G46" s="123"/>
      <c r="H46" s="123"/>
      <c r="I46" s="123"/>
      <c r="J46" s="123"/>
      <c r="K46" s="123"/>
      <c r="L46" s="123"/>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3"/>
      <c r="AJ46" s="123"/>
      <c r="AK46" s="124"/>
      <c r="AL46" s="124"/>
      <c r="AM46" s="124"/>
      <c r="AN46" s="125"/>
      <c r="AR46" s="114"/>
    </row>
    <row r="47" spans="2:44" ht="14.85" customHeight="1" x14ac:dyDescent="0.2">
      <c r="B47" s="122"/>
      <c r="C47" s="123"/>
      <c r="D47" s="123"/>
      <c r="E47" s="123"/>
      <c r="F47" s="123"/>
      <c r="G47" s="123"/>
      <c r="H47" s="123"/>
      <c r="I47" s="123"/>
      <c r="J47" s="123"/>
      <c r="K47" s="123"/>
      <c r="L47" s="123"/>
      <c r="M47" s="123"/>
      <c r="N47" s="123"/>
      <c r="O47" s="123"/>
      <c r="P47" s="123"/>
      <c r="Q47" s="123"/>
      <c r="R47" s="123"/>
      <c r="S47" s="123"/>
      <c r="T47" s="123"/>
      <c r="U47" s="123"/>
      <c r="V47" s="123"/>
      <c r="W47" s="123"/>
      <c r="X47" s="123"/>
      <c r="Y47" s="123"/>
      <c r="Z47" s="123"/>
      <c r="AA47" s="123"/>
      <c r="AB47" s="123"/>
      <c r="AC47" s="123"/>
      <c r="AD47" s="123"/>
      <c r="AE47" s="123"/>
      <c r="AF47" s="123"/>
      <c r="AG47" s="123"/>
      <c r="AH47" s="123"/>
      <c r="AI47" s="123"/>
      <c r="AJ47" s="123"/>
      <c r="AK47" s="124"/>
      <c r="AL47" s="124"/>
      <c r="AM47" s="124"/>
      <c r="AN47" s="125"/>
      <c r="AR47" s="114"/>
    </row>
    <row r="48" spans="2:44" ht="14.85" customHeight="1" x14ac:dyDescent="0.2">
      <c r="B48" s="122"/>
      <c r="C48" s="123"/>
      <c r="D48" s="123"/>
      <c r="E48" s="123"/>
      <c r="F48" s="123"/>
      <c r="G48" s="123"/>
      <c r="H48" s="123"/>
      <c r="I48" s="123"/>
      <c r="J48" s="123"/>
      <c r="K48" s="123"/>
      <c r="L48" s="123"/>
      <c r="M48" s="123"/>
      <c r="N48" s="123"/>
      <c r="O48" s="123"/>
      <c r="P48" s="123"/>
      <c r="Q48" s="123"/>
      <c r="R48" s="123"/>
      <c r="S48" s="123"/>
      <c r="T48" s="123"/>
      <c r="U48" s="123"/>
      <c r="V48" s="123"/>
      <c r="W48" s="123"/>
      <c r="X48" s="123"/>
      <c r="Y48" s="123"/>
      <c r="Z48" s="123"/>
      <c r="AA48" s="123"/>
      <c r="AB48" s="123"/>
      <c r="AC48" s="123"/>
      <c r="AD48" s="123"/>
      <c r="AE48" s="123"/>
      <c r="AF48" s="123"/>
      <c r="AG48" s="123"/>
      <c r="AH48" s="123"/>
      <c r="AI48" s="123"/>
      <c r="AJ48" s="123"/>
      <c r="AK48" s="123"/>
      <c r="AL48" s="123"/>
      <c r="AM48" s="123"/>
      <c r="AN48" s="130"/>
      <c r="AR48" s="114"/>
    </row>
    <row r="49" spans="2:50" ht="14.85" customHeight="1" x14ac:dyDescent="0.2">
      <c r="B49" s="122"/>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N49" s="130"/>
      <c r="AR49" s="114"/>
    </row>
    <row r="50" spans="2:50" ht="14.85" customHeight="1" x14ac:dyDescent="0.2">
      <c r="B50" s="122"/>
      <c r="C50" s="123"/>
      <c r="D50" s="123"/>
      <c r="E50" s="123"/>
      <c r="F50" s="123"/>
      <c r="G50" s="123"/>
      <c r="H50" s="123"/>
      <c r="I50" s="123"/>
      <c r="J50" s="123"/>
      <c r="K50" s="123"/>
      <c r="L50" s="123"/>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30"/>
      <c r="AR50" s="114"/>
    </row>
    <row r="51" spans="2:50" ht="14.85" customHeight="1" x14ac:dyDescent="0.2">
      <c r="B51" s="122"/>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30"/>
      <c r="AR51" s="114"/>
    </row>
    <row r="52" spans="2:50" s="114" customFormat="1" ht="14.85" customHeight="1" x14ac:dyDescent="0.2">
      <c r="B52" s="131"/>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c r="AA52" s="132"/>
      <c r="AB52" s="132"/>
      <c r="AC52" s="132"/>
      <c r="AD52" s="132"/>
      <c r="AE52" s="132"/>
      <c r="AF52" s="132"/>
      <c r="AG52" s="132"/>
      <c r="AH52" s="132"/>
      <c r="AI52" s="132"/>
      <c r="AJ52" s="132"/>
      <c r="AK52" s="132"/>
      <c r="AL52" s="132"/>
      <c r="AM52" s="132"/>
      <c r="AN52" s="133"/>
      <c r="AS52" s="115"/>
      <c r="AT52" s="115"/>
      <c r="AU52" s="115"/>
      <c r="AV52" s="115"/>
      <c r="AW52" s="115"/>
      <c r="AX52" s="115"/>
    </row>
    <row r="53" spans="2:50" s="114" customFormat="1" ht="36" customHeight="1" x14ac:dyDescent="0.2">
      <c r="B53" s="366" t="str">
        <f>disclaimer_worley</f>
        <v>This Calculation represents the work of Worley performed to recognized engineering principles and practices appropriate for the terms of reference provided by Worley contractual Customer. This Calculation is confidential and prepared solely for the use of the Customer. The contents of this Calculation may not be disclosed to or relied upon by any party other than the Customer, and neither Worley, its subconsultants nor their respective employees assume any liability for any reason, including, but not limited to, negligence, to any other party for any information or representation herein.</v>
      </c>
      <c r="C53" s="366"/>
      <c r="D53" s="366"/>
      <c r="E53" s="366"/>
      <c r="F53" s="366"/>
      <c r="G53" s="366"/>
      <c r="H53" s="366"/>
      <c r="I53" s="366"/>
      <c r="J53" s="366"/>
      <c r="K53" s="366"/>
      <c r="L53" s="366"/>
      <c r="M53" s="366"/>
      <c r="N53" s="366"/>
      <c r="O53" s="366"/>
      <c r="P53" s="366"/>
      <c r="Q53" s="366"/>
      <c r="R53" s="366"/>
      <c r="S53" s="366"/>
      <c r="T53" s="366"/>
      <c r="U53" s="366"/>
      <c r="V53" s="366"/>
      <c r="W53" s="366"/>
      <c r="X53" s="366"/>
      <c r="Y53" s="366"/>
      <c r="Z53" s="366"/>
      <c r="AA53" s="366"/>
      <c r="AB53" s="366"/>
      <c r="AC53" s="366"/>
      <c r="AD53" s="366"/>
      <c r="AE53" s="366"/>
      <c r="AF53" s="366"/>
      <c r="AG53" s="366"/>
      <c r="AH53" s="366"/>
      <c r="AI53" s="366"/>
      <c r="AJ53" s="366"/>
      <c r="AK53" s="366"/>
      <c r="AL53" s="366"/>
      <c r="AM53" s="366"/>
      <c r="AN53" s="366"/>
      <c r="AR53" s="115"/>
      <c r="AS53" s="115"/>
      <c r="AT53" s="115"/>
      <c r="AU53" s="115"/>
      <c r="AV53" s="115"/>
      <c r="AW53" s="115"/>
    </row>
    <row r="54" spans="2:50" s="114" customFormat="1" x14ac:dyDescent="0.2">
      <c r="AR54" s="115"/>
      <c r="AS54" s="115"/>
      <c r="AT54" s="115"/>
      <c r="AU54" s="115"/>
      <c r="AV54" s="115"/>
      <c r="AW54" s="115"/>
    </row>
    <row r="55" spans="2:50" s="114" customFormat="1" ht="5.25" customHeight="1" x14ac:dyDescent="0.2">
      <c r="AR55" s="115"/>
      <c r="AS55" s="115"/>
      <c r="AT55" s="115"/>
      <c r="AU55" s="115"/>
      <c r="AV55" s="115"/>
      <c r="AW55" s="115"/>
    </row>
    <row r="56" spans="2:50" s="114" customFormat="1" x14ac:dyDescent="0.2">
      <c r="AR56" s="115"/>
      <c r="AS56" s="115"/>
      <c r="AT56" s="115"/>
      <c r="AU56" s="115"/>
      <c r="AV56" s="115"/>
      <c r="AW56" s="115"/>
    </row>
    <row r="57" spans="2:50" s="114" customFormat="1" x14ac:dyDescent="0.2">
      <c r="AR57" s="115"/>
      <c r="AS57" s="115"/>
      <c r="AT57" s="115"/>
      <c r="AU57" s="115"/>
      <c r="AV57" s="115"/>
      <c r="AW57" s="115"/>
    </row>
    <row r="58" spans="2:50" s="114" customFormat="1" x14ac:dyDescent="0.2">
      <c r="AR58" s="115"/>
      <c r="AS58" s="115"/>
      <c r="AT58" s="115"/>
      <c r="AU58" s="115"/>
      <c r="AV58" s="115"/>
      <c r="AW58" s="115"/>
    </row>
    <row r="59" spans="2:50" s="114" customFormat="1" x14ac:dyDescent="0.2">
      <c r="AR59" s="115"/>
      <c r="AS59" s="115"/>
      <c r="AT59" s="115"/>
      <c r="AU59" s="115"/>
      <c r="AV59" s="115"/>
      <c r="AW59" s="115"/>
    </row>
    <row r="60" spans="2:50" s="114" customFormat="1" x14ac:dyDescent="0.2">
      <c r="AR60" s="115"/>
      <c r="AS60" s="115"/>
      <c r="AT60" s="115"/>
      <c r="AU60" s="115"/>
      <c r="AV60" s="115"/>
      <c r="AW60" s="115"/>
    </row>
    <row r="61" spans="2:50" s="114" customFormat="1" x14ac:dyDescent="0.2">
      <c r="AR61" s="115"/>
      <c r="AS61" s="115"/>
      <c r="AT61" s="115"/>
      <c r="AU61" s="115"/>
      <c r="AV61" s="115"/>
      <c r="AW61" s="115"/>
    </row>
    <row r="62" spans="2:50" s="114" customFormat="1" x14ac:dyDescent="0.2">
      <c r="AR62" s="115"/>
      <c r="AS62" s="115"/>
      <c r="AT62" s="115"/>
      <c r="AU62" s="115"/>
      <c r="AV62" s="115"/>
      <c r="AW62" s="115"/>
    </row>
    <row r="63" spans="2:50" s="114" customFormat="1" x14ac:dyDescent="0.2">
      <c r="AR63" s="115"/>
      <c r="AS63" s="115"/>
      <c r="AT63" s="115"/>
      <c r="AU63" s="115"/>
      <c r="AV63" s="115"/>
      <c r="AW63" s="115"/>
    </row>
    <row r="64" spans="2:50" s="114" customFormat="1" x14ac:dyDescent="0.2">
      <c r="AR64" s="115"/>
      <c r="AS64" s="115"/>
      <c r="AT64" s="115"/>
      <c r="AU64" s="115"/>
      <c r="AV64" s="115"/>
      <c r="AW64" s="115"/>
    </row>
    <row r="65" spans="44:49" s="114" customFormat="1" x14ac:dyDescent="0.2">
      <c r="AR65" s="115"/>
      <c r="AS65" s="115"/>
      <c r="AT65" s="115"/>
      <c r="AU65" s="115"/>
      <c r="AV65" s="115"/>
      <c r="AW65" s="115"/>
    </row>
    <row r="66" spans="44:49" s="114" customFormat="1" x14ac:dyDescent="0.2">
      <c r="AR66" s="115"/>
      <c r="AS66" s="115"/>
      <c r="AT66" s="115"/>
      <c r="AU66" s="115"/>
      <c r="AV66" s="115"/>
      <c r="AW66" s="115"/>
    </row>
    <row r="67" spans="44:49" s="114" customFormat="1" x14ac:dyDescent="0.2">
      <c r="AR67" s="115"/>
      <c r="AS67" s="115"/>
      <c r="AT67" s="115"/>
      <c r="AU67" s="115"/>
      <c r="AV67" s="115"/>
      <c r="AW67" s="115"/>
    </row>
    <row r="68" spans="44:49" s="114" customFormat="1" x14ac:dyDescent="0.2">
      <c r="AR68" s="115"/>
      <c r="AS68" s="115"/>
      <c r="AT68" s="115"/>
      <c r="AU68" s="115"/>
      <c r="AV68" s="115"/>
      <c r="AW68" s="115"/>
    </row>
    <row r="69" spans="44:49" s="114" customFormat="1" x14ac:dyDescent="0.2">
      <c r="AR69" s="115"/>
      <c r="AS69" s="115"/>
      <c r="AT69" s="115"/>
      <c r="AU69" s="115"/>
      <c r="AV69" s="115"/>
      <c r="AW69" s="115"/>
    </row>
    <row r="70" spans="44:49" s="114" customFormat="1" x14ac:dyDescent="0.2">
      <c r="AR70" s="115"/>
      <c r="AS70" s="115"/>
      <c r="AT70" s="115"/>
      <c r="AU70" s="115"/>
      <c r="AV70" s="115"/>
      <c r="AW70" s="115"/>
    </row>
    <row r="71" spans="44:49" s="114" customFormat="1" x14ac:dyDescent="0.2">
      <c r="AR71" s="115"/>
      <c r="AS71" s="115"/>
      <c r="AT71" s="115"/>
      <c r="AU71" s="115"/>
      <c r="AV71" s="115"/>
      <c r="AW71" s="115"/>
    </row>
    <row r="72" spans="44:49" s="114" customFormat="1" x14ac:dyDescent="0.2">
      <c r="AR72" s="115"/>
      <c r="AS72" s="115"/>
      <c r="AT72" s="115"/>
      <c r="AU72" s="115"/>
      <c r="AV72" s="115"/>
      <c r="AW72" s="115"/>
    </row>
    <row r="73" spans="44:49" s="114" customFormat="1" x14ac:dyDescent="0.2">
      <c r="AR73" s="115"/>
      <c r="AS73" s="115"/>
      <c r="AT73" s="115"/>
      <c r="AU73" s="115"/>
      <c r="AV73" s="115"/>
      <c r="AW73" s="115"/>
    </row>
    <row r="74" spans="44:49" s="114" customFormat="1" x14ac:dyDescent="0.2">
      <c r="AR74" s="115"/>
      <c r="AS74" s="115"/>
      <c r="AT74" s="115"/>
      <c r="AU74" s="115"/>
      <c r="AV74" s="115"/>
      <c r="AW74" s="115"/>
    </row>
    <row r="75" spans="44:49" s="114" customFormat="1" x14ac:dyDescent="0.2">
      <c r="AR75" s="115"/>
      <c r="AS75" s="115"/>
      <c r="AT75" s="115"/>
      <c r="AU75" s="115"/>
      <c r="AV75" s="115"/>
      <c r="AW75" s="115"/>
    </row>
  </sheetData>
  <mergeCells count="46">
    <mergeCell ref="B53:AN53"/>
    <mergeCell ref="AH13:AJ13"/>
    <mergeCell ref="AH14:AJ14"/>
    <mergeCell ref="X8:AA8"/>
    <mergeCell ref="AB8:AC8"/>
    <mergeCell ref="AD8:AF8"/>
    <mergeCell ref="AG8:AJ8"/>
    <mergeCell ref="AK8:AN8"/>
    <mergeCell ref="B12:AN12"/>
    <mergeCell ref="AG7:AJ7"/>
    <mergeCell ref="AK7:AN7"/>
    <mergeCell ref="B8:C8"/>
    <mergeCell ref="D8:F8"/>
    <mergeCell ref="G8:J8"/>
    <mergeCell ref="K8:N8"/>
    <mergeCell ref="O8:P8"/>
    <mergeCell ref="Q8:S8"/>
    <mergeCell ref="T8:W8"/>
    <mergeCell ref="AL6:AN6"/>
    <mergeCell ref="B7:C7"/>
    <mergeCell ref="D7:F7"/>
    <mergeCell ref="G7:J7"/>
    <mergeCell ref="K7:N7"/>
    <mergeCell ref="O7:P7"/>
    <mergeCell ref="Q7:S7"/>
    <mergeCell ref="T7:W7"/>
    <mergeCell ref="X7:AA7"/>
    <mergeCell ref="AB7:AC7"/>
    <mergeCell ref="B6:I6"/>
    <mergeCell ref="J6:AC6"/>
    <mergeCell ref="AD6:AF6"/>
    <mergeCell ref="AG6:AI6"/>
    <mergeCell ref="AJ6:AK6"/>
    <mergeCell ref="AD7:AF7"/>
    <mergeCell ref="B4:G4"/>
    <mergeCell ref="AA4:AD4"/>
    <mergeCell ref="AE4:AN4"/>
    <mergeCell ref="B5:H5"/>
    <mergeCell ref="I5:AN5"/>
    <mergeCell ref="B1:AN1"/>
    <mergeCell ref="B2:G2"/>
    <mergeCell ref="AA2:AD2"/>
    <mergeCell ref="AE2:AN2"/>
    <mergeCell ref="B3:G3"/>
    <mergeCell ref="AA3:AD3"/>
    <mergeCell ref="AE3:AN3"/>
  </mergeCells>
  <pageMargins left="0.7" right="0.7" top="0.75" bottom="0.75" header="0.3" footer="0.3"/>
  <pageSetup scale="80" orientation="portrait" r:id="rId1"/>
  <headerFooter>
    <oddHeader>&amp;L&amp;"Calibri,Regular"&amp;11&amp;G</oddHeader>
    <oddFooter>&amp;L&amp;"Calibri,Regular"&amp;11Copyright 2019, Worley
&amp;F&amp;R&amp;"Calibri,Regular"&amp;11Rev 0A Date 19 January 2023</oddFooter>
  </headerFooter>
  <rowBreaks count="1" manualBreakCount="1">
    <brk id="54" max="39" man="1"/>
  </rowBreaks>
  <legacyDrawingHF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DZ58"/>
  <sheetViews>
    <sheetView showGridLines="0" zoomScaleNormal="100" zoomScaleSheetLayoutView="85" workbookViewId="0">
      <selection activeCell="U9" sqref="U9:Y9"/>
    </sheetView>
  </sheetViews>
  <sheetFormatPr defaultColWidth="1.7109375" defaultRowHeight="12" x14ac:dyDescent="0.2"/>
  <cols>
    <col min="1" max="1" width="2.42578125" style="141" customWidth="1"/>
    <col min="2" max="3" width="2" style="141" customWidth="1"/>
    <col min="4" max="4" width="1.7109375" style="141" customWidth="1"/>
    <col min="5" max="11" width="2" style="141" customWidth="1"/>
    <col min="12" max="29" width="1.7109375" style="141" customWidth="1"/>
    <col min="30" max="42" width="2" style="141" customWidth="1"/>
    <col min="43" max="53" width="1.7109375" style="141" customWidth="1"/>
    <col min="54" max="54" width="3" style="141" customWidth="1"/>
    <col min="55" max="57" width="1.7109375" style="141" customWidth="1"/>
    <col min="58" max="58" width="5.7109375" style="210" bestFit="1" customWidth="1"/>
    <col min="59" max="59" width="7.7109375" style="141" bestFit="1" customWidth="1"/>
    <col min="60" max="60" width="6.28515625" style="141" customWidth="1"/>
    <col min="61" max="61" width="4.7109375" style="141" customWidth="1"/>
    <col min="62" max="62" width="4.42578125" style="141" customWidth="1"/>
    <col min="63" max="63" width="2.7109375" style="141" customWidth="1"/>
    <col min="64" max="64" width="5.42578125" style="141" customWidth="1"/>
    <col min="65" max="65" width="6.5703125" style="141" customWidth="1"/>
    <col min="66" max="66" width="2.7109375" style="141" customWidth="1"/>
    <col min="67" max="67" width="9.5703125" style="141" customWidth="1"/>
    <col min="68" max="16384" width="1.7109375" style="141"/>
  </cols>
  <sheetData>
    <row r="1" spans="2:130" ht="12.75" thickBot="1" x14ac:dyDescent="0.25">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row>
    <row r="2" spans="2:130" s="1" customFormat="1" ht="8.25" customHeight="1" x14ac:dyDescent="0.2">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4"/>
      <c r="BF2" s="5"/>
      <c r="BG2" s="5"/>
      <c r="BH2" s="5"/>
    </row>
    <row r="3" spans="2:130" s="1" customFormat="1" ht="13.5" customHeight="1" x14ac:dyDescent="0.2">
      <c r="B3" s="6"/>
      <c r="D3" s="7" t="s">
        <v>0</v>
      </c>
      <c r="E3" s="7"/>
      <c r="F3" s="7"/>
      <c r="G3" s="7"/>
      <c r="H3" s="7"/>
      <c r="I3" s="7"/>
      <c r="J3" s="7"/>
      <c r="K3" s="7"/>
      <c r="L3" s="7"/>
      <c r="M3" s="7"/>
      <c r="N3" s="7"/>
      <c r="O3" s="418"/>
      <c r="P3" s="418"/>
      <c r="Q3" s="418"/>
      <c r="R3" s="418"/>
      <c r="S3" s="418"/>
      <c r="T3" s="418"/>
      <c r="U3" s="418"/>
      <c r="V3" s="418"/>
      <c r="W3" s="418"/>
      <c r="X3" s="418"/>
      <c r="Y3" s="418"/>
      <c r="Z3" s="418"/>
      <c r="AA3" s="418"/>
      <c r="AB3" s="418"/>
      <c r="AC3" s="418"/>
      <c r="AD3" s="418"/>
      <c r="AH3" s="7"/>
      <c r="AI3" s="7"/>
      <c r="AJ3" s="7"/>
      <c r="AL3" s="7"/>
      <c r="AM3" s="7"/>
      <c r="AN3" s="7"/>
      <c r="AO3" s="135" t="s">
        <v>1</v>
      </c>
      <c r="AP3" s="8"/>
      <c r="AQ3" s="418"/>
      <c r="AR3" s="418"/>
      <c r="AS3" s="418"/>
      <c r="AT3" s="418"/>
      <c r="AU3" s="418"/>
      <c r="AV3" s="418"/>
      <c r="AW3" s="418"/>
      <c r="AX3" s="418"/>
      <c r="AY3" s="418"/>
      <c r="AZ3" s="9"/>
      <c r="BA3" s="9"/>
      <c r="BB3" s="10"/>
      <c r="BC3" s="11"/>
      <c r="BD3" s="11"/>
      <c r="BE3" s="11"/>
    </row>
    <row r="4" spans="2:130" s="1" customFormat="1" ht="7.5" customHeight="1" x14ac:dyDescent="0.2">
      <c r="B4" s="35"/>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H4" s="36"/>
      <c r="AI4" s="36"/>
      <c r="AJ4" s="36"/>
      <c r="AK4" s="36"/>
      <c r="AL4" s="36"/>
      <c r="AM4" s="36"/>
      <c r="AN4" s="36"/>
      <c r="AO4" s="135"/>
      <c r="AP4" s="36"/>
      <c r="AQ4" s="36"/>
      <c r="AR4" s="36"/>
      <c r="AS4" s="36"/>
      <c r="AT4" s="36"/>
      <c r="AU4" s="36"/>
      <c r="AV4" s="36"/>
      <c r="AW4" s="36"/>
      <c r="AX4" s="36"/>
      <c r="AY4" s="36"/>
      <c r="AZ4" s="36"/>
      <c r="BA4" s="36"/>
      <c r="BB4" s="37"/>
      <c r="BF4" s="5"/>
    </row>
    <row r="5" spans="2:130" s="1" customFormat="1" ht="13.5" customHeight="1" x14ac:dyDescent="0.2">
      <c r="B5" s="35"/>
      <c r="C5" s="36"/>
      <c r="D5" s="419" t="s">
        <v>2</v>
      </c>
      <c r="E5" s="419"/>
      <c r="F5" s="419"/>
      <c r="G5" s="419"/>
      <c r="H5" s="419"/>
      <c r="I5" s="419"/>
      <c r="J5" s="420"/>
      <c r="K5" s="420"/>
      <c r="L5" s="420"/>
      <c r="M5" s="420"/>
      <c r="N5" s="420"/>
      <c r="O5" s="420"/>
      <c r="P5" s="420"/>
      <c r="Q5" s="420"/>
      <c r="R5" s="420"/>
      <c r="S5" s="420"/>
      <c r="T5" s="420"/>
      <c r="U5" s="420"/>
      <c r="V5" s="420"/>
      <c r="W5" s="420"/>
      <c r="X5" s="420"/>
      <c r="Y5" s="420"/>
      <c r="Z5" s="420"/>
      <c r="AA5" s="420"/>
      <c r="AB5" s="420"/>
      <c r="AC5" s="420"/>
      <c r="AD5" s="420"/>
      <c r="AH5" s="36"/>
      <c r="AI5" s="36"/>
      <c r="AJ5" s="36"/>
      <c r="AK5" s="7"/>
      <c r="AL5" s="7"/>
      <c r="AM5" s="7"/>
      <c r="AN5" s="7"/>
      <c r="AO5" s="135" t="s">
        <v>102</v>
      </c>
      <c r="AP5" s="8"/>
      <c r="AQ5" s="418"/>
      <c r="AR5" s="418"/>
      <c r="AS5" s="418"/>
      <c r="AT5" s="418"/>
      <c r="AU5" s="418"/>
      <c r="AV5" s="418"/>
      <c r="AW5" s="418"/>
      <c r="AX5" s="418"/>
      <c r="AY5" s="418"/>
      <c r="AZ5" s="36"/>
      <c r="BA5" s="36"/>
      <c r="BB5" s="37"/>
    </row>
    <row r="6" spans="2:130" s="1" customFormat="1" ht="7.5" customHeight="1" x14ac:dyDescent="0.2">
      <c r="B6" s="38"/>
      <c r="C6" s="39"/>
      <c r="D6" s="39"/>
      <c r="E6" s="39"/>
      <c r="F6" s="39"/>
      <c r="G6" s="40"/>
      <c r="H6" s="40"/>
      <c r="I6" s="40"/>
      <c r="J6" s="40"/>
      <c r="K6" s="40"/>
      <c r="L6" s="40"/>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2"/>
      <c r="AX6" s="39"/>
      <c r="AY6" s="39"/>
      <c r="AZ6" s="39"/>
      <c r="BA6" s="39"/>
      <c r="BB6" s="43"/>
      <c r="BF6" s="143"/>
      <c r="BG6" s="144"/>
    </row>
    <row r="7" spans="2:130" customFormat="1" ht="17.25" customHeight="1" x14ac:dyDescent="0.2">
      <c r="B7" s="44"/>
      <c r="C7" s="145" t="s">
        <v>103</v>
      </c>
      <c r="D7" s="145"/>
      <c r="E7" s="145"/>
      <c r="F7" s="145"/>
      <c r="G7" s="45"/>
      <c r="H7" s="45"/>
      <c r="I7" s="45"/>
      <c r="J7" s="45"/>
      <c r="K7" s="45"/>
      <c r="L7" s="45"/>
      <c r="M7" s="45"/>
      <c r="N7" s="137"/>
      <c r="O7" s="45"/>
      <c r="P7" s="45"/>
      <c r="Q7" s="136"/>
      <c r="R7" s="45"/>
      <c r="S7" s="137"/>
      <c r="T7" s="137"/>
      <c r="U7" s="137"/>
      <c r="V7" s="146"/>
      <c r="W7" s="48"/>
      <c r="X7" s="48"/>
      <c r="Y7" s="49" t="s">
        <v>104</v>
      </c>
      <c r="Z7" s="49" t="s">
        <v>3</v>
      </c>
      <c r="AA7" s="49"/>
      <c r="AB7" s="417"/>
      <c r="AC7" s="417"/>
      <c r="AD7" s="417"/>
      <c r="AE7" s="417"/>
      <c r="AF7" s="417"/>
      <c r="AG7" s="417"/>
      <c r="AH7" s="417"/>
      <c r="AI7" s="417"/>
      <c r="AJ7" s="417"/>
      <c r="AK7" s="417"/>
      <c r="AL7" s="417"/>
      <c r="AM7" s="417"/>
      <c r="AN7" s="417"/>
      <c r="AO7" s="417"/>
      <c r="AP7" s="137"/>
      <c r="AQ7" s="137"/>
      <c r="AR7" s="137"/>
      <c r="AS7" s="137"/>
      <c r="AT7" s="137"/>
      <c r="AU7" s="137"/>
      <c r="AV7" s="137"/>
      <c r="AW7" s="137"/>
      <c r="AX7" s="137"/>
      <c r="AY7" s="137"/>
      <c r="AZ7" s="137"/>
      <c r="BA7" s="45"/>
      <c r="BB7" s="46"/>
      <c r="BF7" s="143" t="s">
        <v>105</v>
      </c>
      <c r="BG7" s="211" t="s">
        <v>163</v>
      </c>
    </row>
    <row r="8" spans="2:130" customFormat="1" ht="17.25" customHeight="1" x14ac:dyDescent="0.2">
      <c r="B8" s="44"/>
      <c r="C8" s="45"/>
      <c r="D8" s="45"/>
      <c r="E8" s="45"/>
      <c r="F8" s="45"/>
      <c r="G8" s="45"/>
      <c r="H8" s="45"/>
      <c r="I8" s="45"/>
      <c r="J8" s="45"/>
      <c r="K8" s="45"/>
      <c r="L8" s="45"/>
      <c r="M8" s="45"/>
      <c r="N8" s="137"/>
      <c r="O8" s="137"/>
      <c r="P8" s="137"/>
      <c r="Q8" s="136" t="s">
        <v>164</v>
      </c>
      <c r="R8" s="137"/>
      <c r="S8" s="45" t="s">
        <v>3</v>
      </c>
      <c r="T8" s="45"/>
      <c r="U8" s="412">
        <v>262</v>
      </c>
      <c r="V8" s="412"/>
      <c r="W8" s="412"/>
      <c r="X8" s="412"/>
      <c r="Y8" s="412"/>
      <c r="Z8" s="137"/>
      <c r="AA8" s="137"/>
      <c r="AB8" s="137"/>
      <c r="AC8" s="137"/>
      <c r="AD8" s="137"/>
      <c r="AE8" s="137"/>
      <c r="AF8" s="137"/>
      <c r="AG8" s="137"/>
      <c r="AH8" s="137"/>
      <c r="AI8" s="137"/>
      <c r="AJ8" s="137"/>
      <c r="AK8" s="137"/>
      <c r="AL8" s="137"/>
      <c r="AM8" s="137"/>
      <c r="AN8" s="45"/>
      <c r="AO8" s="137"/>
      <c r="AP8" s="137"/>
      <c r="AQ8" s="137"/>
      <c r="AR8" s="137"/>
      <c r="AS8" s="136" t="s">
        <v>165</v>
      </c>
      <c r="AT8" s="137"/>
      <c r="AU8" s="45" t="s">
        <v>3</v>
      </c>
      <c r="AV8" s="414">
        <f>U8+U14</f>
        <v>276.7</v>
      </c>
      <c r="AW8" s="414"/>
      <c r="AX8" s="414"/>
      <c r="AY8" s="414"/>
      <c r="AZ8" s="414"/>
      <c r="BA8" s="45"/>
      <c r="BB8" s="46"/>
      <c r="BF8" s="212" t="s">
        <v>109</v>
      </c>
      <c r="BG8" s="213">
        <v>0.19600000000000001</v>
      </c>
    </row>
    <row r="9" spans="2:130" customFormat="1" ht="17.25" customHeight="1" x14ac:dyDescent="0.2">
      <c r="B9" s="44"/>
      <c r="C9" s="45"/>
      <c r="D9" s="45"/>
      <c r="E9" s="45"/>
      <c r="F9" s="45"/>
      <c r="G9" s="45"/>
      <c r="H9" s="45"/>
      <c r="I9" s="45"/>
      <c r="J9" s="45"/>
      <c r="K9" s="45"/>
      <c r="L9" s="137"/>
      <c r="M9" s="137"/>
      <c r="N9" s="137"/>
      <c r="O9" s="45"/>
      <c r="P9" s="45"/>
      <c r="Q9" s="136" t="s">
        <v>166</v>
      </c>
      <c r="R9" s="45"/>
      <c r="S9" s="45" t="s">
        <v>3</v>
      </c>
      <c r="T9" s="45"/>
      <c r="U9" s="403">
        <v>335</v>
      </c>
      <c r="V9" s="403"/>
      <c r="W9" s="403"/>
      <c r="X9" s="403"/>
      <c r="Y9" s="403"/>
      <c r="Z9" s="45"/>
      <c r="AA9" s="45"/>
      <c r="AB9" s="45"/>
      <c r="AC9" s="45"/>
      <c r="AD9" s="45"/>
      <c r="AE9" s="45"/>
      <c r="AF9" s="137"/>
      <c r="AG9" s="137"/>
      <c r="AH9" s="137"/>
      <c r="AI9" s="45"/>
      <c r="AJ9" s="137"/>
      <c r="AK9" s="137"/>
      <c r="AL9" s="137"/>
      <c r="AM9" s="45"/>
      <c r="AN9" s="45"/>
      <c r="AO9" s="45"/>
      <c r="AP9" s="45"/>
      <c r="AQ9" s="148"/>
      <c r="AR9" s="137"/>
      <c r="AS9" s="136" t="s">
        <v>167</v>
      </c>
      <c r="AT9" s="137"/>
      <c r="AU9" s="45" t="s">
        <v>3</v>
      </c>
      <c r="AV9" s="410">
        <f>U9+459.67</f>
        <v>794.67000000000007</v>
      </c>
      <c r="AW9" s="410"/>
      <c r="AX9" s="410"/>
      <c r="AY9" s="410"/>
      <c r="AZ9" s="410"/>
      <c r="BA9" s="137"/>
      <c r="BB9" s="46"/>
      <c r="BF9" s="212" t="s">
        <v>112</v>
      </c>
      <c r="BG9" s="213">
        <v>0.307</v>
      </c>
      <c r="CD9" s="141"/>
      <c r="CE9" s="141"/>
      <c r="CF9" s="141"/>
      <c r="CG9" s="141"/>
      <c r="CH9" s="141"/>
      <c r="CI9" s="141"/>
      <c r="CJ9" s="141"/>
      <c r="CK9" s="141"/>
      <c r="CL9" s="141"/>
      <c r="CM9" s="141"/>
      <c r="CN9" s="141"/>
      <c r="CO9" s="141"/>
      <c r="CP9" s="141"/>
      <c r="CQ9" s="141"/>
      <c r="CR9" s="141"/>
      <c r="CS9" s="141"/>
      <c r="CT9" s="141"/>
      <c r="CU9" s="141"/>
      <c r="CV9" s="141"/>
      <c r="CW9" s="141"/>
      <c r="CX9" s="141"/>
      <c r="CY9" s="141"/>
      <c r="CZ9" s="141"/>
      <c r="DA9" s="141"/>
      <c r="DB9" s="141"/>
      <c r="DC9" s="141"/>
      <c r="DD9" s="141"/>
      <c r="DE9" s="141"/>
      <c r="DF9" s="141"/>
      <c r="DG9" s="141"/>
      <c r="DH9" s="141"/>
      <c r="DI9" s="141"/>
      <c r="DJ9" s="141"/>
      <c r="DK9" s="141"/>
      <c r="DL9" s="141"/>
      <c r="DM9" s="141"/>
      <c r="DN9" s="141"/>
      <c r="DO9" s="141"/>
      <c r="DP9" s="141"/>
      <c r="DQ9" s="141"/>
      <c r="DR9" s="141"/>
      <c r="DS9" s="141"/>
      <c r="DT9" s="141"/>
      <c r="DU9" s="141"/>
      <c r="DV9" s="141"/>
      <c r="DW9" s="141"/>
      <c r="DX9" s="141"/>
      <c r="DY9" s="141"/>
      <c r="DZ9" s="141"/>
    </row>
    <row r="10" spans="2:130" customFormat="1" ht="17.25" customHeight="1" x14ac:dyDescent="0.2">
      <c r="B10" s="44"/>
      <c r="C10" s="45"/>
      <c r="D10" s="1"/>
      <c r="E10" s="1"/>
      <c r="F10" s="45"/>
      <c r="G10" s="45"/>
      <c r="H10" s="45"/>
      <c r="I10" s="45"/>
      <c r="J10" s="137"/>
      <c r="K10" s="137"/>
      <c r="L10" s="137"/>
      <c r="M10" s="137"/>
      <c r="N10" s="45"/>
      <c r="O10" s="45"/>
      <c r="P10" s="45"/>
      <c r="Q10" s="136" t="s">
        <v>113</v>
      </c>
      <c r="R10" s="45"/>
      <c r="S10" s="45" t="s">
        <v>3</v>
      </c>
      <c r="T10" s="45"/>
      <c r="U10" s="415">
        <v>10</v>
      </c>
      <c r="V10" s="415"/>
      <c r="W10" s="415"/>
      <c r="X10" s="415"/>
      <c r="Y10" s="415"/>
      <c r="Z10" s="45"/>
      <c r="AA10" s="45"/>
      <c r="AB10" s="45"/>
      <c r="AC10" s="45"/>
      <c r="AD10" s="45"/>
      <c r="AE10" s="45"/>
      <c r="AF10" s="45"/>
      <c r="AG10" s="45"/>
      <c r="AH10" s="137"/>
      <c r="AI10" s="137"/>
      <c r="AJ10" s="137"/>
      <c r="AK10" s="137"/>
      <c r="AL10" s="137"/>
      <c r="AM10" s="137"/>
      <c r="AN10" s="137"/>
      <c r="AO10" s="45"/>
      <c r="AP10" s="137"/>
      <c r="AQ10" s="148"/>
      <c r="AR10" s="137"/>
      <c r="AS10" s="136" t="s">
        <v>168</v>
      </c>
      <c r="AT10" s="137"/>
      <c r="AU10" s="45" t="s">
        <v>3</v>
      </c>
      <c r="AV10" s="410">
        <f>PI()*U10^2/4</f>
        <v>78.539816339744831</v>
      </c>
      <c r="AW10" s="402"/>
      <c r="AX10" s="402"/>
      <c r="AY10" s="402"/>
      <c r="AZ10" s="402"/>
      <c r="BA10" s="45"/>
      <c r="BB10" s="46"/>
      <c r="BF10" s="212" t="s">
        <v>115</v>
      </c>
      <c r="BG10" s="213">
        <v>0.503</v>
      </c>
    </row>
    <row r="11" spans="2:130" customFormat="1" ht="17.25" customHeight="1" x14ac:dyDescent="0.2">
      <c r="B11" s="44"/>
      <c r="C11" s="45"/>
      <c r="D11" s="45"/>
      <c r="E11" s="45"/>
      <c r="F11" s="45"/>
      <c r="G11" s="137"/>
      <c r="H11" s="45"/>
      <c r="I11" s="45"/>
      <c r="J11" s="45"/>
      <c r="K11" s="45"/>
      <c r="L11" s="45"/>
      <c r="M11" s="45"/>
      <c r="N11" s="137"/>
      <c r="O11" s="137"/>
      <c r="P11" s="45"/>
      <c r="Q11" s="136" t="s">
        <v>116</v>
      </c>
      <c r="R11" s="45"/>
      <c r="S11" s="45" t="s">
        <v>3</v>
      </c>
      <c r="T11" s="45"/>
      <c r="U11" s="403">
        <v>1.29</v>
      </c>
      <c r="V11" s="403"/>
      <c r="W11" s="403"/>
      <c r="X11" s="403"/>
      <c r="Y11" s="403"/>
      <c r="Z11" s="45"/>
      <c r="AA11" s="45"/>
      <c r="AB11" s="45"/>
      <c r="AC11" s="45"/>
      <c r="AD11" s="45"/>
      <c r="AE11" s="137"/>
      <c r="AF11" s="137"/>
      <c r="AG11" s="45"/>
      <c r="AH11" s="137"/>
      <c r="AI11" s="137"/>
      <c r="AJ11" s="137"/>
      <c r="AK11" s="137"/>
      <c r="AL11" s="137"/>
      <c r="AM11" s="137"/>
      <c r="AN11" s="137"/>
      <c r="AO11" s="45"/>
      <c r="AP11" s="137"/>
      <c r="AQ11" s="148"/>
      <c r="AR11" s="137"/>
      <c r="AS11" s="136" t="s">
        <v>169</v>
      </c>
      <c r="AT11" s="137"/>
      <c r="AU11" s="45" t="s">
        <v>3</v>
      </c>
      <c r="AV11" s="410">
        <f>AT30</f>
        <v>8.016894930203776</v>
      </c>
      <c r="AW11" s="402"/>
      <c r="AX11" s="402"/>
      <c r="AY11" s="402"/>
      <c r="AZ11" s="402"/>
      <c r="BA11" s="45"/>
      <c r="BB11" s="46"/>
      <c r="BF11" s="212" t="s">
        <v>118</v>
      </c>
      <c r="BG11" s="213">
        <v>0.78500000000000003</v>
      </c>
    </row>
    <row r="12" spans="2:130" customFormat="1" ht="17.25" customHeight="1" x14ac:dyDescent="0.2">
      <c r="B12" s="44"/>
      <c r="C12" s="45"/>
      <c r="D12" s="45"/>
      <c r="E12" s="45"/>
      <c r="F12" s="45"/>
      <c r="G12" s="45"/>
      <c r="H12" s="137"/>
      <c r="I12" s="137"/>
      <c r="J12" s="137"/>
      <c r="K12" s="137"/>
      <c r="L12" s="137"/>
      <c r="M12" s="137"/>
      <c r="N12" s="137"/>
      <c r="O12" s="137"/>
      <c r="P12" s="137"/>
      <c r="Q12" s="136" t="s">
        <v>119</v>
      </c>
      <c r="R12" s="45"/>
      <c r="S12" s="45" t="s">
        <v>3</v>
      </c>
      <c r="T12" s="45"/>
      <c r="U12" s="403">
        <v>6.52</v>
      </c>
      <c r="V12" s="403"/>
      <c r="W12" s="403"/>
      <c r="X12" s="403"/>
      <c r="Y12" s="403"/>
      <c r="Z12" s="45"/>
      <c r="AA12" s="45"/>
      <c r="AB12" s="45"/>
      <c r="AC12" s="45"/>
      <c r="AD12" s="45"/>
      <c r="AE12" s="45"/>
      <c r="AF12" s="45"/>
      <c r="AG12" s="45"/>
      <c r="AH12" s="45"/>
      <c r="AI12" s="45"/>
      <c r="AJ12" s="137"/>
      <c r="AK12" s="45"/>
      <c r="AL12" s="45"/>
      <c r="AM12" s="45"/>
      <c r="AN12" s="45"/>
      <c r="AO12" s="45"/>
      <c r="AP12" s="45"/>
      <c r="AQ12" s="148"/>
      <c r="AR12" s="137"/>
      <c r="AS12" s="136" t="s">
        <v>170</v>
      </c>
      <c r="AT12" s="137"/>
      <c r="AU12" s="45" t="s">
        <v>3</v>
      </c>
      <c r="AV12" s="411">
        <f>1545.3/U12</f>
        <v>237.00920245398774</v>
      </c>
      <c r="AW12" s="411"/>
      <c r="AX12" s="411"/>
      <c r="AY12" s="411"/>
      <c r="AZ12" s="411"/>
      <c r="BA12" s="45"/>
      <c r="BB12" s="46"/>
      <c r="BF12" s="212" t="s">
        <v>121</v>
      </c>
      <c r="BG12" s="213">
        <v>1.2869999999999999</v>
      </c>
    </row>
    <row r="13" spans="2:130" customFormat="1" ht="17.25" customHeight="1" x14ac:dyDescent="0.2">
      <c r="B13" s="44"/>
      <c r="C13" s="45"/>
      <c r="D13" s="137"/>
      <c r="E13" s="137"/>
      <c r="F13" s="137"/>
      <c r="G13" s="137"/>
      <c r="H13" s="137"/>
      <c r="I13" s="137"/>
      <c r="J13" s="45"/>
      <c r="K13" s="137"/>
      <c r="L13" s="137"/>
      <c r="M13" s="137"/>
      <c r="N13" s="137"/>
      <c r="O13" s="45"/>
      <c r="P13" s="148"/>
      <c r="Q13" s="136" t="s">
        <v>171</v>
      </c>
      <c r="R13" s="45"/>
      <c r="S13" s="45" t="s">
        <v>3</v>
      </c>
      <c r="T13" s="45"/>
      <c r="U13" s="412">
        <v>101663</v>
      </c>
      <c r="V13" s="412"/>
      <c r="W13" s="412"/>
      <c r="X13" s="412"/>
      <c r="Y13" s="412"/>
      <c r="Z13" s="45"/>
      <c r="AA13" s="45"/>
      <c r="AB13" s="45"/>
      <c r="AC13" s="45"/>
      <c r="AD13" s="45"/>
      <c r="AE13" s="45"/>
      <c r="AF13" s="45"/>
      <c r="AG13" s="45"/>
      <c r="AH13" s="45"/>
      <c r="AI13" s="45"/>
      <c r="AJ13" s="45"/>
      <c r="AK13" s="45"/>
      <c r="AL13" s="45"/>
      <c r="AM13" s="149"/>
      <c r="AN13" s="12"/>
      <c r="AO13" s="45"/>
      <c r="AP13" s="45"/>
      <c r="AQ13" s="148"/>
      <c r="AR13" s="137"/>
      <c r="AS13" s="136" t="s">
        <v>172</v>
      </c>
      <c r="AT13" s="137"/>
      <c r="AU13" s="45" t="s">
        <v>3</v>
      </c>
      <c r="AV13" s="411">
        <f>U13/3600</f>
        <v>28.239722222222223</v>
      </c>
      <c r="AW13" s="411"/>
      <c r="AX13" s="411"/>
      <c r="AY13" s="411"/>
      <c r="AZ13" s="411"/>
      <c r="BA13" s="45"/>
      <c r="BB13" s="46"/>
      <c r="BF13" s="212" t="s">
        <v>124</v>
      </c>
      <c r="BG13" s="213">
        <v>1.8380000000000001</v>
      </c>
    </row>
    <row r="14" spans="2:130" customFormat="1" ht="17.25" customHeight="1" x14ac:dyDescent="0.2">
      <c r="B14" s="44"/>
      <c r="C14" s="45"/>
      <c r="D14" s="137"/>
      <c r="E14" s="137"/>
      <c r="F14" s="137"/>
      <c r="G14" s="137"/>
      <c r="H14" s="137"/>
      <c r="I14" s="137"/>
      <c r="J14" s="45"/>
      <c r="K14" s="137"/>
      <c r="L14" s="137"/>
      <c r="M14" s="137"/>
      <c r="N14" s="137"/>
      <c r="O14" s="45"/>
      <c r="P14" s="148"/>
      <c r="Q14" s="136" t="s">
        <v>173</v>
      </c>
      <c r="R14" s="45"/>
      <c r="S14" s="45" t="s">
        <v>3</v>
      </c>
      <c r="T14" s="45"/>
      <c r="U14" s="401">
        <v>14.7</v>
      </c>
      <c r="V14" s="401"/>
      <c r="W14" s="401"/>
      <c r="X14" s="401"/>
      <c r="Y14" s="401"/>
      <c r="Z14" s="45"/>
      <c r="AA14" s="45"/>
      <c r="AB14" s="45"/>
      <c r="AC14" s="45"/>
      <c r="AD14" s="45"/>
      <c r="AE14" s="45"/>
      <c r="AF14" s="45"/>
      <c r="AG14" s="45"/>
      <c r="AH14" s="45"/>
      <c r="AI14" s="137"/>
      <c r="AJ14" s="45"/>
      <c r="AK14" s="45"/>
      <c r="AL14" s="45"/>
      <c r="AM14" s="45"/>
      <c r="AN14" s="45"/>
      <c r="AO14" s="137"/>
      <c r="AP14" s="150"/>
      <c r="AQ14" s="151"/>
      <c r="AR14" s="137"/>
      <c r="AS14" s="152" t="s">
        <v>174</v>
      </c>
      <c r="AT14" s="137"/>
      <c r="AU14" s="45" t="s">
        <v>3</v>
      </c>
      <c r="AV14" s="402">
        <v>32.200000000000003</v>
      </c>
      <c r="AW14" s="402"/>
      <c r="AX14" s="402"/>
      <c r="AY14" s="402"/>
      <c r="AZ14" s="402"/>
      <c r="BA14" s="45"/>
      <c r="BB14" s="46"/>
      <c r="BF14" s="212" t="s">
        <v>127</v>
      </c>
      <c r="BG14" s="213">
        <v>2.8530000000000002</v>
      </c>
    </row>
    <row r="15" spans="2:130" customFormat="1" ht="17.25" customHeight="1" x14ac:dyDescent="0.2">
      <c r="B15" s="44"/>
      <c r="C15" s="45"/>
      <c r="D15" s="137"/>
      <c r="E15" s="137"/>
      <c r="F15" s="137"/>
      <c r="G15" s="137"/>
      <c r="H15" s="137"/>
      <c r="I15" s="137"/>
      <c r="J15" s="137"/>
      <c r="K15" s="137"/>
      <c r="L15" s="45"/>
      <c r="M15" s="137"/>
      <c r="N15" s="137"/>
      <c r="O15" s="45"/>
      <c r="P15" s="45"/>
      <c r="Q15" s="136" t="s">
        <v>128</v>
      </c>
      <c r="R15" s="45"/>
      <c r="S15" s="45" t="s">
        <v>3</v>
      </c>
      <c r="T15" s="45"/>
      <c r="U15" s="403" t="s">
        <v>134</v>
      </c>
      <c r="V15" s="403"/>
      <c r="W15" s="403"/>
      <c r="X15" s="403"/>
      <c r="Y15" s="403"/>
      <c r="Z15" s="45"/>
      <c r="AA15" s="45"/>
      <c r="AB15" s="45"/>
      <c r="AC15" s="45"/>
      <c r="AD15" s="45"/>
      <c r="AE15" s="45"/>
      <c r="AF15" s="45"/>
      <c r="AG15" s="45"/>
      <c r="AH15" s="45"/>
      <c r="AI15" s="137"/>
      <c r="AJ15" s="45"/>
      <c r="AK15" s="45"/>
      <c r="AL15" s="45"/>
      <c r="AM15" s="45"/>
      <c r="AN15" s="45"/>
      <c r="AO15" s="45"/>
      <c r="AP15" s="45"/>
      <c r="AQ15" s="45"/>
      <c r="AR15" s="137"/>
      <c r="AS15" s="136" t="s">
        <v>175</v>
      </c>
      <c r="AT15" s="137"/>
      <c r="AU15" s="45" t="s">
        <v>3</v>
      </c>
      <c r="AV15" s="421">
        <f>INDEX(BF7:BG29,MATCH(U15,BF7:BF29,),2)</f>
        <v>11.05</v>
      </c>
      <c r="AW15" s="421"/>
      <c r="AX15" s="421"/>
      <c r="AY15" s="421"/>
      <c r="AZ15" s="421"/>
      <c r="BA15" s="45"/>
      <c r="BB15" s="46"/>
      <c r="BF15" s="212" t="s">
        <v>131</v>
      </c>
      <c r="BG15" s="213">
        <v>3.6</v>
      </c>
    </row>
    <row r="16" spans="2:130" customFormat="1" ht="13.5" customHeight="1" x14ac:dyDescent="0.2">
      <c r="B16" s="153"/>
      <c r="C16" s="51"/>
      <c r="D16" s="51"/>
      <c r="E16" s="51"/>
      <c r="F16" s="51"/>
      <c r="G16" s="51"/>
      <c r="H16" s="51"/>
      <c r="I16" s="51"/>
      <c r="J16" s="51"/>
      <c r="K16" s="137"/>
      <c r="L16" s="137"/>
      <c r="M16" s="137"/>
      <c r="N16" s="137"/>
      <c r="O16" s="137"/>
      <c r="P16" s="137"/>
      <c r="Q16" s="137"/>
      <c r="R16" s="137"/>
      <c r="S16" s="137"/>
      <c r="T16" s="137"/>
      <c r="U16" s="137"/>
      <c r="V16" s="137"/>
      <c r="W16" s="137"/>
      <c r="X16" s="137"/>
      <c r="Y16" s="137"/>
      <c r="Z16" s="45"/>
      <c r="AA16" s="45"/>
      <c r="AB16" s="51"/>
      <c r="AC16" s="51"/>
      <c r="AD16" s="51"/>
      <c r="AE16" s="51"/>
      <c r="AF16" s="51"/>
      <c r="AG16" s="51"/>
      <c r="AH16" s="51"/>
      <c r="AI16" s="51"/>
      <c r="AJ16" s="51"/>
      <c r="AK16" s="51"/>
      <c r="AL16" s="51"/>
      <c r="AM16" s="51"/>
      <c r="AN16" s="51"/>
      <c r="AO16" s="51"/>
      <c r="AP16" s="51"/>
      <c r="AQ16" s="154"/>
      <c r="AR16" s="155"/>
      <c r="AS16" s="51"/>
      <c r="AT16" s="51"/>
      <c r="AU16" s="51"/>
      <c r="AV16" s="155"/>
      <c r="AW16" s="155"/>
      <c r="AX16" s="155"/>
      <c r="AY16" s="155"/>
      <c r="AZ16" s="155"/>
      <c r="BA16" s="51"/>
      <c r="BB16" s="156"/>
      <c r="BF16" s="212" t="s">
        <v>132</v>
      </c>
      <c r="BG16" s="213">
        <v>4.34</v>
      </c>
    </row>
    <row r="17" spans="2:67" customFormat="1" ht="13.5" customHeight="1" x14ac:dyDescent="0.2">
      <c r="B17" s="44"/>
      <c r="C17" s="145" t="s">
        <v>133</v>
      </c>
      <c r="D17" s="145"/>
      <c r="E17" s="145"/>
      <c r="F17" s="145"/>
      <c r="G17" s="45"/>
      <c r="H17" s="45"/>
      <c r="I17" s="45"/>
      <c r="J17" s="45"/>
      <c r="K17" s="157"/>
      <c r="L17" s="157"/>
      <c r="M17" s="157"/>
      <c r="N17" s="157"/>
      <c r="O17" s="157"/>
      <c r="P17" s="157"/>
      <c r="Q17" s="158"/>
      <c r="R17" s="157"/>
      <c r="S17" s="157"/>
      <c r="T17" s="157"/>
      <c r="U17" s="159"/>
      <c r="V17" s="159"/>
      <c r="W17" s="159"/>
      <c r="X17" s="159"/>
      <c r="Y17" s="159"/>
      <c r="Z17" s="157"/>
      <c r="AA17" s="157"/>
      <c r="AB17" s="45"/>
      <c r="AC17" s="45"/>
      <c r="AD17" s="45"/>
      <c r="AE17" s="160"/>
      <c r="AF17" s="45"/>
      <c r="AG17" s="157"/>
      <c r="AH17" s="157"/>
      <c r="AI17" s="45"/>
      <c r="AJ17" s="45"/>
      <c r="AK17" s="45"/>
      <c r="AL17" s="45"/>
      <c r="AM17" s="45"/>
      <c r="AN17" s="45"/>
      <c r="AO17" s="45"/>
      <c r="AP17" s="45"/>
      <c r="AQ17" s="148"/>
      <c r="AR17" s="136"/>
      <c r="AS17" s="45"/>
      <c r="AT17" s="45"/>
      <c r="AU17" s="45"/>
      <c r="AV17" s="148"/>
      <c r="AW17" s="136"/>
      <c r="AX17" s="45"/>
      <c r="AY17" s="45"/>
      <c r="AZ17" s="45"/>
      <c r="BA17" s="45"/>
      <c r="BB17" s="46"/>
      <c r="BF17" s="212" t="s">
        <v>129</v>
      </c>
      <c r="BG17">
        <v>6.3789999999999996</v>
      </c>
    </row>
    <row r="18" spans="2:67" customFormat="1" ht="13.5" customHeight="1" x14ac:dyDescent="0.2">
      <c r="B18" s="44"/>
      <c r="C18" s="45"/>
      <c r="D18" s="45"/>
      <c r="E18" s="45"/>
      <c r="F18" s="45"/>
      <c r="G18" s="45"/>
      <c r="H18" s="45"/>
      <c r="I18" s="45"/>
      <c r="J18" s="45"/>
      <c r="K18" s="45"/>
      <c r="L18" s="45"/>
      <c r="M18" s="45"/>
      <c r="N18" s="45"/>
      <c r="O18" s="45"/>
      <c r="P18" s="45"/>
      <c r="Q18" s="161"/>
      <c r="R18" s="45"/>
      <c r="S18" s="45"/>
      <c r="T18" s="45"/>
      <c r="U18" s="162"/>
      <c r="V18" s="162"/>
      <c r="W18" s="162"/>
      <c r="X18" s="162"/>
      <c r="Y18" s="162"/>
      <c r="Z18" s="45"/>
      <c r="AA18" s="45"/>
      <c r="AB18" s="45"/>
      <c r="AC18" s="45"/>
      <c r="AD18" s="45"/>
      <c r="AE18" s="163"/>
      <c r="AF18" s="45"/>
      <c r="AG18" s="45"/>
      <c r="AH18" s="45"/>
      <c r="AI18" s="45"/>
      <c r="AJ18" s="45"/>
      <c r="AK18" s="45"/>
      <c r="AL18" s="45"/>
      <c r="AM18" s="45"/>
      <c r="AN18" s="45"/>
      <c r="AO18" s="45"/>
      <c r="AP18" s="45"/>
      <c r="AQ18" s="148"/>
      <c r="AR18" s="136"/>
      <c r="AS18" s="45"/>
      <c r="AT18" s="45"/>
      <c r="AU18" s="45"/>
      <c r="AV18" s="148"/>
      <c r="AW18" s="136"/>
      <c r="AX18" s="45"/>
      <c r="AY18" s="45"/>
      <c r="AZ18" s="45"/>
      <c r="BA18" s="45"/>
      <c r="BB18" s="46"/>
      <c r="BF18" s="212" t="s">
        <v>134</v>
      </c>
      <c r="BG18" s="214">
        <v>11.05</v>
      </c>
    </row>
    <row r="19" spans="2:67" customFormat="1" ht="13.5" customHeight="1" x14ac:dyDescent="0.2">
      <c r="B19" s="44"/>
      <c r="C19" s="45"/>
      <c r="D19" s="45"/>
      <c r="E19" s="45"/>
      <c r="F19" s="45"/>
      <c r="G19" s="45"/>
      <c r="H19" s="45"/>
      <c r="I19" s="45"/>
      <c r="J19" s="45"/>
      <c r="K19" s="45"/>
      <c r="L19" s="45"/>
      <c r="M19" s="45"/>
      <c r="N19" s="45"/>
      <c r="O19" s="45"/>
      <c r="P19" s="45"/>
      <c r="Q19" s="164"/>
      <c r="R19" s="45"/>
      <c r="S19" s="45"/>
      <c r="T19" s="45"/>
      <c r="U19" s="45"/>
      <c r="V19" s="45"/>
      <c r="W19" s="45"/>
      <c r="X19" s="45"/>
      <c r="Y19" s="45"/>
      <c r="Z19" s="45"/>
      <c r="AA19" s="45"/>
      <c r="AB19" s="45"/>
      <c r="AC19" s="45"/>
      <c r="AD19" s="45"/>
      <c r="AE19" s="163"/>
      <c r="AF19" s="45"/>
      <c r="AG19" s="45"/>
      <c r="AH19" s="45"/>
      <c r="AI19" s="45"/>
      <c r="AJ19" s="45"/>
      <c r="AK19" s="45"/>
      <c r="AL19" s="45"/>
      <c r="AM19" s="45"/>
      <c r="AN19" s="45"/>
      <c r="AO19" s="45"/>
      <c r="AP19" s="45"/>
      <c r="AQ19" s="45"/>
      <c r="AR19" s="45"/>
      <c r="AS19" s="45"/>
      <c r="AT19" s="45"/>
      <c r="AU19" s="45"/>
      <c r="AV19" s="45"/>
      <c r="AW19" s="45"/>
      <c r="AX19" s="45"/>
      <c r="AY19" s="45"/>
      <c r="AZ19" s="45"/>
      <c r="BA19" s="45"/>
      <c r="BB19" s="46"/>
      <c r="BF19" s="212" t="s">
        <v>135</v>
      </c>
      <c r="BG19" s="214">
        <v>16</v>
      </c>
    </row>
    <row r="20" spans="2:67" customFormat="1" ht="13.5" customHeight="1" x14ac:dyDescent="0.2">
      <c r="B20" s="44"/>
      <c r="C20" s="45"/>
      <c r="D20" s="45"/>
      <c r="E20" s="45"/>
      <c r="F20" s="45"/>
      <c r="G20" s="45"/>
      <c r="H20" s="45"/>
      <c r="I20" s="45"/>
      <c r="J20" s="45"/>
      <c r="K20" s="45"/>
      <c r="L20" s="45"/>
      <c r="M20" s="45"/>
      <c r="N20" s="45"/>
      <c r="O20" s="45"/>
      <c r="P20" s="45"/>
      <c r="Q20" s="164"/>
      <c r="R20" s="45"/>
      <c r="S20" s="45"/>
      <c r="T20" s="45"/>
      <c r="U20" s="45"/>
      <c r="V20" s="45"/>
      <c r="W20" s="45"/>
      <c r="X20" s="45"/>
      <c r="Y20" s="45"/>
      <c r="Z20" s="45"/>
      <c r="AA20" s="45"/>
      <c r="AB20" s="45"/>
      <c r="AC20" s="45"/>
      <c r="AD20" s="45"/>
      <c r="AE20" s="163"/>
      <c r="AF20" s="45"/>
      <c r="AG20" s="45"/>
      <c r="AH20" s="45"/>
      <c r="AI20" s="45"/>
      <c r="AJ20" s="45"/>
      <c r="AK20" s="45"/>
      <c r="AL20" s="45"/>
      <c r="AM20" s="45"/>
      <c r="AN20" s="45"/>
      <c r="AO20" s="45"/>
      <c r="AP20" s="45"/>
      <c r="AQ20" s="45"/>
      <c r="AR20" s="45"/>
      <c r="AS20" s="45"/>
      <c r="AT20" s="45"/>
      <c r="AU20" s="45"/>
      <c r="AV20" s="45"/>
      <c r="AW20" s="45"/>
      <c r="AX20" s="45"/>
      <c r="AY20" s="45"/>
      <c r="AZ20" s="45"/>
      <c r="BA20" s="45"/>
      <c r="BB20" s="46"/>
      <c r="BF20" s="212" t="s">
        <v>136</v>
      </c>
      <c r="BG20" s="214">
        <v>26</v>
      </c>
    </row>
    <row r="21" spans="2:67" customFormat="1" ht="13.5" customHeight="1" x14ac:dyDescent="0.2">
      <c r="B21" s="44"/>
      <c r="C21" s="45"/>
      <c r="D21" s="45"/>
      <c r="E21" s="45"/>
      <c r="F21" s="45"/>
      <c r="G21" s="45"/>
      <c r="H21" s="45"/>
      <c r="I21" s="45"/>
      <c r="J21" s="45"/>
      <c r="K21" s="45"/>
      <c r="L21" s="45"/>
      <c r="M21" s="45"/>
      <c r="N21" s="45"/>
      <c r="O21" s="45"/>
      <c r="P21" s="45"/>
      <c r="Q21" s="164"/>
      <c r="R21" s="45"/>
      <c r="S21" s="45"/>
      <c r="T21" s="45"/>
      <c r="U21" s="45"/>
      <c r="V21" s="45"/>
      <c r="W21" s="45"/>
      <c r="X21" s="45"/>
      <c r="Y21" s="45"/>
      <c r="Z21" s="45"/>
      <c r="AA21" s="45"/>
      <c r="AB21" s="45"/>
      <c r="AC21" s="45"/>
      <c r="AD21" s="45"/>
      <c r="AE21" s="163"/>
      <c r="AF21" s="45"/>
      <c r="AG21" s="45"/>
      <c r="AH21" s="45"/>
      <c r="AI21" s="45"/>
      <c r="AJ21" s="45"/>
      <c r="AK21" s="45"/>
      <c r="AL21" s="45"/>
      <c r="AM21" s="45"/>
      <c r="AN21" s="45"/>
      <c r="AO21" s="45"/>
      <c r="AP21" s="45"/>
      <c r="AQ21" s="45"/>
      <c r="AR21" s="45"/>
      <c r="AS21" s="45"/>
      <c r="AT21" s="45"/>
      <c r="AU21" s="45"/>
      <c r="AV21" s="45"/>
      <c r="AW21" s="45"/>
      <c r="AX21" s="45"/>
      <c r="AY21" s="45"/>
      <c r="AZ21" s="45"/>
      <c r="BA21" s="45"/>
      <c r="BB21" s="46"/>
      <c r="BF21" s="212" t="s">
        <v>137</v>
      </c>
      <c r="BG21" s="214">
        <v>27.87</v>
      </c>
    </row>
    <row r="22" spans="2:67" customFormat="1" ht="13.5" customHeight="1" x14ac:dyDescent="0.2">
      <c r="B22" s="44"/>
      <c r="C22" s="45"/>
      <c r="D22" s="45"/>
      <c r="E22" s="45"/>
      <c r="F22" s="45"/>
      <c r="G22" s="45"/>
      <c r="H22" s="45"/>
      <c r="I22" s="45"/>
      <c r="J22" s="45"/>
      <c r="K22" s="45"/>
      <c r="L22" s="45"/>
      <c r="M22" s="45"/>
      <c r="N22" s="45"/>
      <c r="O22" s="45"/>
      <c r="P22" s="45"/>
      <c r="Q22" s="164"/>
      <c r="R22" s="45"/>
      <c r="S22" s="45"/>
      <c r="T22" s="45"/>
      <c r="U22" s="45"/>
      <c r="V22" s="45"/>
      <c r="W22" s="45"/>
      <c r="X22" s="45"/>
      <c r="Y22" s="45"/>
      <c r="Z22" s="45"/>
      <c r="AA22" s="45"/>
      <c r="AB22" s="45"/>
      <c r="AC22" s="45"/>
      <c r="AD22" s="45"/>
      <c r="AE22" s="163"/>
      <c r="AF22" s="45"/>
      <c r="AG22" s="45"/>
      <c r="AH22" s="45"/>
      <c r="AI22" s="45"/>
      <c r="AJ22" s="45"/>
      <c r="AK22" s="45"/>
      <c r="AL22" s="45"/>
      <c r="AM22" s="45"/>
      <c r="AN22" s="45"/>
      <c r="AO22" s="45"/>
      <c r="AP22" s="45"/>
      <c r="AQ22" s="45"/>
      <c r="AR22" s="45"/>
      <c r="AS22" s="45"/>
      <c r="AT22" s="45"/>
      <c r="AU22" s="45"/>
      <c r="AV22" s="45"/>
      <c r="AW22" s="45"/>
      <c r="AX22" s="45"/>
      <c r="AY22" s="45"/>
      <c r="AZ22" s="45"/>
      <c r="BA22" s="45"/>
      <c r="BB22" s="46"/>
      <c r="BF22" s="212" t="s">
        <v>138</v>
      </c>
      <c r="BG22" s="214">
        <v>42.19</v>
      </c>
    </row>
    <row r="23" spans="2:67" customFormat="1" ht="13.5" customHeight="1" x14ac:dyDescent="0.2">
      <c r="B23" s="44"/>
      <c r="C23" s="45"/>
      <c r="D23" s="45"/>
      <c r="E23" s="45"/>
      <c r="F23" s="45"/>
      <c r="G23" s="45"/>
      <c r="H23" s="45"/>
      <c r="I23" s="45"/>
      <c r="J23" s="45"/>
      <c r="K23" s="45"/>
      <c r="L23" s="45"/>
      <c r="M23" s="45"/>
      <c r="N23" s="45"/>
      <c r="O23" s="45"/>
      <c r="P23" s="45"/>
      <c r="Q23" s="164"/>
      <c r="R23" s="45"/>
      <c r="S23" s="45"/>
      <c r="T23" s="45"/>
      <c r="U23" s="45"/>
      <c r="V23" s="45"/>
      <c r="W23" s="45"/>
      <c r="X23" s="45"/>
      <c r="Y23" s="45"/>
      <c r="Z23" s="45"/>
      <c r="AA23" s="45"/>
      <c r="AB23" s="45"/>
      <c r="AC23" s="45"/>
      <c r="AD23" s="45"/>
      <c r="AE23" s="163"/>
      <c r="AF23" s="45"/>
      <c r="AG23" s="45"/>
      <c r="AH23" s="45"/>
      <c r="AI23" s="45"/>
      <c r="AJ23" s="45"/>
      <c r="AK23" s="45"/>
      <c r="AL23" s="45"/>
      <c r="AM23" s="45"/>
      <c r="AN23" s="45"/>
      <c r="AO23" s="45"/>
      <c r="AP23" s="45"/>
      <c r="AQ23" s="45"/>
      <c r="AR23" s="45"/>
      <c r="AS23" s="45"/>
      <c r="AT23" s="45"/>
      <c r="AU23" s="45"/>
      <c r="AV23" s="45"/>
      <c r="AW23" s="45"/>
      <c r="AX23" s="45"/>
      <c r="AY23" s="45"/>
      <c r="AZ23" s="45"/>
      <c r="BA23" s="45"/>
      <c r="BB23" s="46"/>
      <c r="BF23" s="212" t="s">
        <v>139</v>
      </c>
      <c r="BG23" s="214">
        <v>60.75</v>
      </c>
    </row>
    <row r="24" spans="2:67" customFormat="1" ht="13.5" customHeight="1" x14ac:dyDescent="0.2">
      <c r="B24" s="44"/>
      <c r="C24" s="45"/>
      <c r="D24" s="45"/>
      <c r="E24" s="45"/>
      <c r="F24" s="45"/>
      <c r="G24" s="45"/>
      <c r="H24" s="45"/>
      <c r="I24" s="45"/>
      <c r="J24" s="45"/>
      <c r="K24" s="45"/>
      <c r="L24" s="45"/>
      <c r="M24" s="45"/>
      <c r="N24" s="45"/>
      <c r="O24" s="45"/>
      <c r="P24" s="45"/>
      <c r="Q24" s="164"/>
      <c r="R24" s="45"/>
      <c r="S24" s="45"/>
      <c r="T24" s="45"/>
      <c r="U24" s="45"/>
      <c r="V24" s="45"/>
      <c r="W24" s="45"/>
      <c r="X24" s="45"/>
      <c r="Y24" s="45"/>
      <c r="Z24" s="45"/>
      <c r="AA24" s="45"/>
      <c r="AB24" s="45"/>
      <c r="AC24" s="45"/>
      <c r="AD24" s="45"/>
      <c r="AE24" s="163"/>
      <c r="AF24" s="45"/>
      <c r="AG24" s="45"/>
      <c r="AH24" s="45"/>
      <c r="AI24" s="45"/>
      <c r="AJ24" s="45"/>
      <c r="AK24" s="45"/>
      <c r="AL24" s="45"/>
      <c r="AM24" s="45"/>
      <c r="AN24" s="45"/>
      <c r="AO24" s="45"/>
      <c r="AP24" s="45"/>
      <c r="AQ24" s="45"/>
      <c r="AR24" s="45"/>
      <c r="AS24" s="45"/>
      <c r="AT24" s="45"/>
      <c r="AU24" s="45"/>
      <c r="AV24" s="45"/>
      <c r="AW24" s="45"/>
      <c r="AX24" s="45"/>
      <c r="AY24" s="45"/>
      <c r="AZ24" s="45"/>
      <c r="BA24" s="45"/>
      <c r="BB24" s="46"/>
      <c r="BF24" s="212" t="s">
        <v>100</v>
      </c>
      <c r="BG24" s="214">
        <v>82.68</v>
      </c>
    </row>
    <row r="25" spans="2:67" customFormat="1" ht="13.5" customHeight="1" x14ac:dyDescent="0.2">
      <c r="B25" s="44"/>
      <c r="C25" s="45"/>
      <c r="D25" s="45"/>
      <c r="E25" s="45"/>
      <c r="F25" s="45"/>
      <c r="G25" s="45"/>
      <c r="H25" s="45"/>
      <c r="I25" s="45"/>
      <c r="J25" s="45"/>
      <c r="K25" s="45"/>
      <c r="L25" s="45"/>
      <c r="M25" s="45"/>
      <c r="N25" s="45"/>
      <c r="O25" s="45"/>
      <c r="P25" s="45"/>
      <c r="Q25" s="164"/>
      <c r="R25" s="45"/>
      <c r="S25" s="45"/>
      <c r="T25" s="45"/>
      <c r="U25" s="45"/>
      <c r="V25" s="45"/>
      <c r="W25" s="45"/>
      <c r="X25" s="45"/>
      <c r="Y25" s="45"/>
      <c r="Z25" s="45"/>
      <c r="AA25" s="45"/>
      <c r="AB25" s="45"/>
      <c r="AC25" s="45"/>
      <c r="AD25" s="45"/>
      <c r="AE25" s="163"/>
      <c r="AF25" s="45"/>
      <c r="AG25" s="45"/>
      <c r="AH25" s="45"/>
      <c r="AI25" s="45"/>
      <c r="AJ25" s="45"/>
      <c r="AK25" s="45"/>
      <c r="AL25" s="45"/>
      <c r="AM25" s="45"/>
      <c r="AN25" s="45"/>
      <c r="AO25" s="45"/>
      <c r="AP25" s="45"/>
      <c r="AQ25" s="45"/>
      <c r="AR25" s="45"/>
      <c r="AS25" s="45"/>
      <c r="AT25" s="45"/>
      <c r="AU25" s="45"/>
      <c r="AV25" s="45"/>
      <c r="AW25" s="45"/>
      <c r="AX25" s="45"/>
      <c r="AY25" s="45"/>
      <c r="AZ25" s="45"/>
      <c r="BA25" s="45"/>
      <c r="BB25" s="46"/>
      <c r="BF25" s="210" t="s">
        <v>140</v>
      </c>
      <c r="BG25" s="214">
        <v>90.95</v>
      </c>
      <c r="BK25" s="141"/>
      <c r="BL25" s="141"/>
      <c r="BM25" s="141"/>
      <c r="BN25" s="141"/>
      <c r="BO25" s="141"/>
    </row>
    <row r="26" spans="2:67" customFormat="1" ht="17.25" customHeight="1" x14ac:dyDescent="0.2">
      <c r="B26" s="405" t="s">
        <v>141</v>
      </c>
      <c r="C26" s="406"/>
      <c r="D26" s="406"/>
      <c r="E26" s="406"/>
      <c r="F26" s="406"/>
      <c r="G26" s="406"/>
      <c r="H26" s="406"/>
      <c r="I26" s="406"/>
      <c r="J26" s="406"/>
      <c r="K26" s="406"/>
      <c r="L26" s="406"/>
      <c r="M26" s="406"/>
      <c r="N26" s="406"/>
      <c r="O26" s="406"/>
      <c r="P26" s="407"/>
      <c r="Q26" s="408" t="s">
        <v>142</v>
      </c>
      <c r="R26" s="406"/>
      <c r="S26" s="406"/>
      <c r="T26" s="406"/>
      <c r="U26" s="406"/>
      <c r="V26" s="406"/>
      <c r="W26" s="406"/>
      <c r="X26" s="406"/>
      <c r="Y26" s="406"/>
      <c r="Z26" s="406"/>
      <c r="AA26" s="406"/>
      <c r="AB26" s="406"/>
      <c r="AC26" s="406"/>
      <c r="AD26" s="406"/>
      <c r="AE26" s="407"/>
      <c r="AF26" s="408" t="s">
        <v>143</v>
      </c>
      <c r="AG26" s="406"/>
      <c r="AH26" s="406"/>
      <c r="AI26" s="406"/>
      <c r="AJ26" s="406"/>
      <c r="AK26" s="406"/>
      <c r="AL26" s="406"/>
      <c r="AM26" s="406"/>
      <c r="AN26" s="406"/>
      <c r="AO26" s="406"/>
      <c r="AP26" s="406"/>
      <c r="AQ26" s="406"/>
      <c r="AR26" s="406"/>
      <c r="AS26" s="406"/>
      <c r="AT26" s="406"/>
      <c r="AU26" s="406"/>
      <c r="AV26" s="406"/>
      <c r="AW26" s="406"/>
      <c r="AX26" s="406"/>
      <c r="AY26" s="406"/>
      <c r="AZ26" s="406"/>
      <c r="BA26" s="406"/>
      <c r="BB26" s="409"/>
      <c r="BF26" s="215" t="s">
        <v>144</v>
      </c>
      <c r="BG26" s="214">
        <v>108.86</v>
      </c>
      <c r="BK26" s="141"/>
      <c r="BL26" s="141"/>
      <c r="BM26" s="141"/>
      <c r="BN26" s="141"/>
      <c r="BO26" s="141"/>
    </row>
    <row r="27" spans="2:67" customFormat="1" ht="13.5" customHeight="1" x14ac:dyDescent="0.2">
      <c r="B27" s="44"/>
      <c r="C27" s="145" t="s">
        <v>186</v>
      </c>
      <c r="D27" s="45"/>
      <c r="E27" s="45"/>
      <c r="F27" s="137"/>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6"/>
      <c r="BF27" s="212" t="s">
        <v>145</v>
      </c>
      <c r="BG27" s="214">
        <v>136.69</v>
      </c>
      <c r="BK27" s="141"/>
      <c r="BL27" s="141"/>
      <c r="BM27" s="141"/>
      <c r="BN27" s="141"/>
      <c r="BO27" s="141"/>
    </row>
    <row r="28" spans="2:67" customFormat="1" ht="13.5" customHeight="1" x14ac:dyDescent="0.2">
      <c r="B28" s="44"/>
      <c r="C28" s="45"/>
      <c r="D28" s="45"/>
      <c r="E28" s="45"/>
      <c r="F28" s="50"/>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6"/>
      <c r="BF28" s="212" t="s">
        <v>146</v>
      </c>
      <c r="BG28" s="214">
        <v>168.74</v>
      </c>
      <c r="BK28" s="141"/>
      <c r="BL28" s="141"/>
      <c r="BM28" s="141"/>
      <c r="BN28" s="141"/>
      <c r="BO28" s="141"/>
    </row>
    <row r="29" spans="2:67" customFormat="1" ht="13.5" customHeight="1" x14ac:dyDescent="0.2">
      <c r="B29" s="44"/>
      <c r="C29" s="45"/>
      <c r="D29" s="45"/>
      <c r="E29" s="45"/>
      <c r="F29" s="45"/>
      <c r="G29" s="45"/>
      <c r="H29" s="45"/>
      <c r="I29" s="45"/>
      <c r="J29" s="45"/>
      <c r="K29" s="45"/>
      <c r="L29" s="45"/>
      <c r="M29" s="45"/>
      <c r="N29" s="45"/>
      <c r="O29" s="45"/>
      <c r="P29" s="45"/>
      <c r="Q29" s="45"/>
      <c r="R29" s="45"/>
      <c r="S29" s="45"/>
      <c r="T29" s="45"/>
      <c r="U29" s="45"/>
      <c r="V29" s="45"/>
      <c r="W29" s="45"/>
      <c r="X29" s="45"/>
      <c r="Y29" s="45"/>
      <c r="Z29" s="45"/>
      <c r="AA29" s="166"/>
      <c r="AB29" s="45"/>
      <c r="AC29" s="45"/>
      <c r="AD29" s="45"/>
      <c r="AE29" s="45"/>
      <c r="AF29" s="45"/>
      <c r="AG29" s="45"/>
      <c r="AH29" s="45"/>
      <c r="AI29" s="45"/>
      <c r="AJ29" s="45"/>
      <c r="AK29" s="45"/>
      <c r="AL29" s="45"/>
      <c r="AM29" s="45"/>
      <c r="AN29" s="45"/>
      <c r="AO29" s="45"/>
      <c r="AP29" s="45"/>
      <c r="AQ29" s="45"/>
      <c r="AR29" s="137"/>
      <c r="AS29" s="137"/>
      <c r="AT29" s="137"/>
      <c r="AU29" s="137"/>
      <c r="AV29" s="137"/>
      <c r="AW29" s="137"/>
      <c r="AX29" s="137"/>
      <c r="AY29" s="45"/>
      <c r="AZ29" s="45"/>
      <c r="BA29" s="45"/>
      <c r="BB29" s="46"/>
      <c r="BF29" s="212" t="s">
        <v>147</v>
      </c>
      <c r="BG29" s="214">
        <v>185</v>
      </c>
      <c r="BK29" s="141"/>
      <c r="BL29" s="141"/>
      <c r="BM29" s="141"/>
      <c r="BN29" s="141"/>
      <c r="BO29" s="141"/>
    </row>
    <row r="30" spans="2:67" customFormat="1" ht="13.5" customHeight="1" x14ac:dyDescent="0.2">
      <c r="B30" s="44"/>
      <c r="C30" s="45"/>
      <c r="D30" s="45"/>
      <c r="E30" s="45"/>
      <c r="F30" s="45"/>
      <c r="G30" s="45"/>
      <c r="H30" s="45"/>
      <c r="I30" s="45"/>
      <c r="J30" s="45"/>
      <c r="K30" s="45"/>
      <c r="L30" s="45"/>
      <c r="M30" s="45"/>
      <c r="N30" s="45" t="s">
        <v>3</v>
      </c>
      <c r="O30" s="392">
        <f>(U13/366)*SQRT((U11*AV9)/((U11+1)*U12))</f>
        <v>2301.5931747594555</v>
      </c>
      <c r="P30" s="393"/>
      <c r="Q30" s="393"/>
      <c r="R30" s="393"/>
      <c r="S30" s="393"/>
      <c r="T30" s="393"/>
      <c r="U30" s="394"/>
      <c r="V30" s="45" t="s">
        <v>176</v>
      </c>
      <c r="W30" s="137"/>
      <c r="X30" s="137"/>
      <c r="Y30" s="137"/>
      <c r="Z30" s="137"/>
      <c r="AA30" s="137"/>
      <c r="AB30" s="137"/>
      <c r="AC30" s="137"/>
      <c r="AD30" s="137"/>
      <c r="AE30" s="45"/>
      <c r="AF30" s="45"/>
      <c r="AG30" s="45"/>
      <c r="AH30" s="45"/>
      <c r="AI30" s="45"/>
      <c r="AJ30" s="45"/>
      <c r="AK30" s="45"/>
      <c r="AL30" s="45"/>
      <c r="AM30" s="45"/>
      <c r="AN30" s="45"/>
      <c r="AO30" s="45"/>
      <c r="AP30" s="45"/>
      <c r="AQ30" s="45"/>
      <c r="AR30" s="167"/>
      <c r="AS30" s="168" t="s">
        <v>3</v>
      </c>
      <c r="AT30" s="395">
        <f>(U13/(AV10*366))*SQRT((AV9)/(U11*(U11+1)*U12))-U14</f>
        <v>8.016894930203776</v>
      </c>
      <c r="AU30" s="396"/>
      <c r="AV30" s="396"/>
      <c r="AW30" s="396"/>
      <c r="AX30" s="396"/>
      <c r="AY30" s="396"/>
      <c r="AZ30" s="397"/>
      <c r="BA30" s="45" t="s">
        <v>177</v>
      </c>
      <c r="BB30" s="46"/>
      <c r="BF30" s="210"/>
      <c r="BG30" s="141"/>
    </row>
    <row r="31" spans="2:67" customFormat="1" ht="13.5" customHeight="1" x14ac:dyDescent="0.2">
      <c r="B31" s="44"/>
      <c r="C31" s="45"/>
      <c r="D31" s="45"/>
      <c r="E31" s="45"/>
      <c r="F31" s="45"/>
      <c r="G31" s="45"/>
      <c r="H31" s="45"/>
      <c r="I31" s="45"/>
      <c r="J31" s="45"/>
      <c r="K31" s="45"/>
      <c r="L31" s="45"/>
      <c r="M31" s="45"/>
      <c r="N31" s="45"/>
      <c r="O31" s="45" t="s">
        <v>149</v>
      </c>
      <c r="P31" s="45"/>
      <c r="Q31" s="45"/>
      <c r="R31" s="137"/>
      <c r="S31" s="137"/>
      <c r="T31" s="137"/>
      <c r="U31" s="137"/>
      <c r="V31" s="137"/>
      <c r="W31" s="137"/>
      <c r="X31" s="137"/>
      <c r="Y31" s="137"/>
      <c r="Z31" s="137"/>
      <c r="AA31" s="137"/>
      <c r="AB31" s="137"/>
      <c r="AC31" s="137"/>
      <c r="AD31" s="45"/>
      <c r="AE31" s="45"/>
      <c r="AF31" s="45"/>
      <c r="AG31" s="45"/>
      <c r="AH31" s="45"/>
      <c r="AI31" s="45"/>
      <c r="AJ31" s="45"/>
      <c r="AK31" s="45"/>
      <c r="AL31" s="45"/>
      <c r="AM31" s="45"/>
      <c r="AN31" s="45"/>
      <c r="AO31" s="45"/>
      <c r="AP31" s="45"/>
      <c r="AQ31" s="45"/>
      <c r="AR31" s="137"/>
      <c r="AS31" s="45"/>
      <c r="AT31" s="45" t="s">
        <v>150</v>
      </c>
      <c r="AU31" s="45"/>
      <c r="AV31" s="45"/>
      <c r="AW31" s="45"/>
      <c r="AX31" s="45"/>
      <c r="AY31" s="45"/>
      <c r="AZ31" s="45"/>
      <c r="BA31" s="45"/>
      <c r="BB31" s="46"/>
      <c r="BF31" s="210"/>
      <c r="BG31" s="141"/>
    </row>
    <row r="32" spans="2:67" customFormat="1" ht="13.5" customHeight="1" x14ac:dyDescent="0.2">
      <c r="B32" s="44"/>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45"/>
      <c r="AA32" s="45"/>
      <c r="AB32" s="45"/>
      <c r="AC32" s="45"/>
      <c r="AD32" s="45"/>
      <c r="AE32" s="45"/>
      <c r="AF32" s="45"/>
      <c r="AG32" s="45"/>
      <c r="AH32" s="45"/>
      <c r="AI32" s="137"/>
      <c r="AJ32" s="137"/>
      <c r="AK32" s="137"/>
      <c r="AL32" s="137"/>
      <c r="AM32" s="137"/>
      <c r="AN32" s="137"/>
      <c r="AO32" s="137"/>
      <c r="AP32" s="137"/>
      <c r="AQ32" s="137"/>
      <c r="AR32" s="137"/>
      <c r="AS32" s="137"/>
      <c r="AT32" s="47"/>
      <c r="AU32" s="47"/>
      <c r="AV32" s="47"/>
      <c r="AW32" s="47"/>
      <c r="AX32" s="47"/>
      <c r="AY32" s="47"/>
      <c r="AZ32" s="47"/>
      <c r="BA32" s="137"/>
      <c r="BB32" s="46"/>
      <c r="BF32" s="210"/>
      <c r="BG32" s="141"/>
    </row>
    <row r="33" spans="1:59" customFormat="1" ht="13.5" customHeight="1" x14ac:dyDescent="0.2">
      <c r="B33" s="44"/>
      <c r="C33" s="137"/>
      <c r="D33" s="137"/>
      <c r="E33" s="137"/>
      <c r="F33" s="137"/>
      <c r="G33" s="137"/>
      <c r="H33" s="137"/>
      <c r="I33" s="137"/>
      <c r="J33" s="137"/>
      <c r="K33" s="137"/>
      <c r="L33" s="137"/>
      <c r="M33" s="167"/>
      <c r="N33" s="167" t="s">
        <v>3</v>
      </c>
      <c r="O33" s="398">
        <f>IF(AT30&gt;0,AT30*AV10,0)</f>
        <v>629.64545543323607</v>
      </c>
      <c r="P33" s="399"/>
      <c r="Q33" s="399"/>
      <c r="R33" s="399"/>
      <c r="S33" s="399"/>
      <c r="T33" s="399"/>
      <c r="U33" s="400"/>
      <c r="V33" s="45" t="s">
        <v>176</v>
      </c>
      <c r="W33" s="137"/>
      <c r="X33" s="137"/>
      <c r="Y33" s="137"/>
      <c r="Z33" s="137"/>
      <c r="AA33" s="137"/>
      <c r="AB33" s="137"/>
      <c r="AC33" s="137"/>
      <c r="AD33" s="45"/>
      <c r="AE33" s="137"/>
      <c r="AF33" s="137"/>
      <c r="AG33" s="137"/>
      <c r="AH33" s="137"/>
      <c r="AI33" s="137"/>
      <c r="AJ33" s="137"/>
      <c r="AK33" s="137"/>
      <c r="AL33" s="137"/>
      <c r="AM33" s="137"/>
      <c r="AN33" s="137"/>
      <c r="AO33" s="137"/>
      <c r="AP33" s="47"/>
      <c r="AQ33" s="137"/>
      <c r="AR33" s="137"/>
      <c r="AS33" s="168" t="s">
        <v>3</v>
      </c>
      <c r="AT33" s="398">
        <f>(AV13^2*AV12*AV9)/(AV14*AV8*AV15)</f>
        <v>1525.6171392256024</v>
      </c>
      <c r="AU33" s="399"/>
      <c r="AV33" s="399"/>
      <c r="AW33" s="399"/>
      <c r="AX33" s="399"/>
      <c r="AY33" s="399"/>
      <c r="AZ33" s="400"/>
      <c r="BA33" s="45" t="s">
        <v>176</v>
      </c>
      <c r="BB33" s="46"/>
      <c r="BF33" s="210"/>
      <c r="BG33" s="141"/>
    </row>
    <row r="34" spans="1:59" customFormat="1" ht="13.5" customHeight="1" x14ac:dyDescent="0.2">
      <c r="B34" s="44"/>
      <c r="C34" s="137"/>
      <c r="D34" s="137"/>
      <c r="E34" s="137"/>
      <c r="F34" s="137"/>
      <c r="G34" s="137"/>
      <c r="H34" s="137"/>
      <c r="I34" s="137"/>
      <c r="J34" s="137"/>
      <c r="K34" s="137"/>
      <c r="L34" s="137"/>
      <c r="M34" s="137"/>
      <c r="N34" s="137"/>
      <c r="O34" s="47" t="s">
        <v>149</v>
      </c>
      <c r="P34" s="137"/>
      <c r="Q34" s="137"/>
      <c r="R34" s="137"/>
      <c r="S34" s="137"/>
      <c r="T34" s="137"/>
      <c r="U34" s="137"/>
      <c r="V34" s="137"/>
      <c r="W34" s="137"/>
      <c r="X34" s="137"/>
      <c r="Y34" s="137"/>
      <c r="Z34" s="45"/>
      <c r="AA34" s="45"/>
      <c r="AB34" s="45"/>
      <c r="AC34" s="45"/>
      <c r="AD34" s="137"/>
      <c r="AE34" s="137"/>
      <c r="AF34" s="137"/>
      <c r="AG34" s="137"/>
      <c r="AH34" s="137"/>
      <c r="AI34" s="137"/>
      <c r="AJ34" s="137"/>
      <c r="AK34" s="137"/>
      <c r="AL34" s="137"/>
      <c r="AM34" s="137"/>
      <c r="AN34" s="137"/>
      <c r="AO34" s="167"/>
      <c r="AP34" s="137"/>
      <c r="AQ34" s="137"/>
      <c r="AR34" s="137"/>
      <c r="AS34" s="137"/>
      <c r="AT34" s="47" t="s">
        <v>151</v>
      </c>
      <c r="AU34" s="47"/>
      <c r="AV34" s="47"/>
      <c r="AW34" s="47"/>
      <c r="AX34" s="47"/>
      <c r="AY34" s="47"/>
      <c r="AZ34" s="47"/>
      <c r="BA34" s="137"/>
      <c r="BB34" s="46"/>
      <c r="BF34" s="210"/>
      <c r="BG34" s="141"/>
    </row>
    <row r="35" spans="1:59" customFormat="1" ht="13.5" customHeight="1" x14ac:dyDescent="0.2">
      <c r="B35" s="44"/>
      <c r="C35" s="137"/>
      <c r="D35" s="137"/>
      <c r="E35" s="137"/>
      <c r="F35" s="137"/>
      <c r="G35" s="137"/>
      <c r="H35" s="137"/>
      <c r="I35" s="137"/>
      <c r="J35" s="137"/>
      <c r="K35" s="137"/>
      <c r="L35" s="137"/>
      <c r="M35" s="137"/>
      <c r="N35" s="137"/>
      <c r="O35" s="137"/>
      <c r="P35" s="137"/>
      <c r="Q35" s="137"/>
      <c r="R35" s="137"/>
      <c r="S35" s="137"/>
      <c r="T35" s="137"/>
      <c r="U35" s="137"/>
      <c r="V35" s="137"/>
      <c r="W35" s="137"/>
      <c r="X35" s="137"/>
      <c r="Y35" s="45"/>
      <c r="Z35" s="45"/>
      <c r="AA35" s="45"/>
      <c r="AB35" s="45"/>
      <c r="AC35" s="45"/>
      <c r="AD35" s="137"/>
      <c r="AE35" s="137"/>
      <c r="AF35" s="137"/>
      <c r="AG35" s="137"/>
      <c r="AH35" s="137"/>
      <c r="AI35" s="137"/>
      <c r="AJ35" s="137"/>
      <c r="AK35" s="137"/>
      <c r="AL35" s="137"/>
      <c r="AM35" s="137"/>
      <c r="AN35" s="137"/>
      <c r="AO35" s="137"/>
      <c r="AP35" s="137"/>
      <c r="AQ35" s="137"/>
      <c r="AR35" s="137"/>
      <c r="AS35" s="137"/>
      <c r="AT35" s="47"/>
      <c r="AU35" s="47"/>
      <c r="AV35" s="47"/>
      <c r="AW35" s="47"/>
      <c r="AX35" s="47"/>
      <c r="AY35" s="47"/>
      <c r="AZ35" s="47"/>
      <c r="BA35" s="137"/>
      <c r="BB35" s="46"/>
      <c r="BF35" s="210"/>
      <c r="BG35" s="141"/>
    </row>
    <row r="36" spans="1:59" customFormat="1" ht="13.5" customHeight="1" x14ac:dyDescent="0.2">
      <c r="B36" s="44"/>
      <c r="C36" s="137"/>
      <c r="D36" s="137"/>
      <c r="E36" s="137"/>
      <c r="F36" s="137"/>
      <c r="G36" s="137"/>
      <c r="H36" s="137"/>
      <c r="I36" s="137"/>
      <c r="J36" s="137"/>
      <c r="K36" s="137"/>
      <c r="L36" s="137"/>
      <c r="M36" s="167"/>
      <c r="N36" s="167" t="s">
        <v>3</v>
      </c>
      <c r="O36" s="392">
        <f>O30+O33</f>
        <v>2931.2386301926917</v>
      </c>
      <c r="P36" s="393"/>
      <c r="Q36" s="393"/>
      <c r="R36" s="393"/>
      <c r="S36" s="393"/>
      <c r="T36" s="393"/>
      <c r="U36" s="394"/>
      <c r="V36" s="45" t="s">
        <v>176</v>
      </c>
      <c r="W36" s="137"/>
      <c r="X36" s="137"/>
      <c r="Y36" s="45"/>
      <c r="Z36" s="45"/>
      <c r="AA36" s="45"/>
      <c r="AB36" s="45"/>
      <c r="AC36" s="45"/>
      <c r="AD36" s="137"/>
      <c r="AE36" s="137"/>
      <c r="AF36" s="137"/>
      <c r="AG36" s="137"/>
      <c r="AH36" s="137"/>
      <c r="AI36" s="137"/>
      <c r="AJ36" s="45"/>
      <c r="AK36" s="170"/>
      <c r="AL36" s="170"/>
      <c r="AM36" s="170"/>
      <c r="AN36" s="170"/>
      <c r="AO36" s="170"/>
      <c r="AP36" s="45" t="s">
        <v>3</v>
      </c>
      <c r="AQ36" s="45"/>
      <c r="AR36" s="137"/>
      <c r="AS36" s="45" t="s">
        <v>3</v>
      </c>
      <c r="AT36" s="392">
        <f>O30*2</f>
        <v>4603.1863495189109</v>
      </c>
      <c r="AU36" s="393"/>
      <c r="AV36" s="393"/>
      <c r="AW36" s="393"/>
      <c r="AX36" s="393"/>
      <c r="AY36" s="393"/>
      <c r="AZ36" s="394"/>
      <c r="BA36" s="45" t="s">
        <v>176</v>
      </c>
      <c r="BB36" s="46"/>
      <c r="BF36" s="210"/>
      <c r="BG36" s="141"/>
    </row>
    <row r="37" spans="1:59" customFormat="1" ht="13.5" customHeight="1" x14ac:dyDescent="0.2">
      <c r="B37" s="153"/>
      <c r="C37" s="154"/>
      <c r="D37" s="154"/>
      <c r="E37" s="154"/>
      <c r="F37" s="154"/>
      <c r="G37" s="154"/>
      <c r="H37" s="154"/>
      <c r="I37" s="154"/>
      <c r="J37" s="154"/>
      <c r="K37" s="154"/>
      <c r="L37" s="154"/>
      <c r="M37" s="154"/>
      <c r="N37" s="154"/>
      <c r="O37" s="51" t="s">
        <v>149</v>
      </c>
      <c r="P37" s="154"/>
      <c r="Q37" s="154"/>
      <c r="R37" s="154"/>
      <c r="S37" s="154"/>
      <c r="T37" s="154"/>
      <c r="U37" s="154"/>
      <c r="V37" s="154"/>
      <c r="W37" s="154"/>
      <c r="X37" s="154"/>
      <c r="Y37" s="51"/>
      <c r="Z37" s="51"/>
      <c r="AA37" s="51"/>
      <c r="AB37" s="51"/>
      <c r="AC37" s="51"/>
      <c r="AD37" s="154"/>
      <c r="AE37" s="154"/>
      <c r="AF37" s="154"/>
      <c r="AG37" s="154"/>
      <c r="AH37" s="154"/>
      <c r="AI37" s="154"/>
      <c r="AJ37" s="154"/>
      <c r="AK37" s="154"/>
      <c r="AL37" s="154"/>
      <c r="AM37" s="154"/>
      <c r="AN37" s="154"/>
      <c r="AO37" s="154"/>
      <c r="AP37" s="154"/>
      <c r="AQ37" s="154"/>
      <c r="AR37" s="154"/>
      <c r="AS37" s="154"/>
      <c r="AT37" s="51" t="s">
        <v>152</v>
      </c>
      <c r="AU37" s="154"/>
      <c r="AV37" s="154"/>
      <c r="AW37" s="154"/>
      <c r="AX37" s="154"/>
      <c r="AY37" s="154"/>
      <c r="AZ37" s="154"/>
      <c r="BA37" s="154"/>
      <c r="BB37" s="156"/>
      <c r="BF37" s="210"/>
      <c r="BG37" s="141"/>
    </row>
    <row r="38" spans="1:59" customFormat="1" ht="12.75" customHeight="1" x14ac:dyDescent="0.2">
      <c r="B38" s="44"/>
      <c r="C38" s="171" t="s">
        <v>153</v>
      </c>
      <c r="D38" s="148"/>
      <c r="E38" s="148"/>
      <c r="F38" s="172"/>
      <c r="G38" s="170"/>
      <c r="H38" s="170"/>
      <c r="I38" s="170"/>
      <c r="J38" s="170"/>
      <c r="K38" s="45"/>
      <c r="L38" s="45"/>
      <c r="M38" s="45"/>
      <c r="N38" s="45"/>
      <c r="O38" s="45"/>
      <c r="P38" s="45"/>
      <c r="Q38" s="45"/>
      <c r="R38" s="45"/>
      <c r="S38" s="45"/>
      <c r="T38" s="45"/>
      <c r="U38" s="45"/>
      <c r="V38" s="45"/>
      <c r="W38" s="45"/>
      <c r="X38" s="45"/>
      <c r="Y38" s="45"/>
      <c r="Z38" s="45"/>
      <c r="AA38" s="45"/>
      <c r="AB38" s="45"/>
      <c r="AC38" s="45"/>
      <c r="AD38" s="45"/>
      <c r="AE38" s="45"/>
      <c r="AF38" s="45"/>
      <c r="AG38" s="45"/>
      <c r="AH38" s="170"/>
      <c r="AI38" s="170"/>
      <c r="AJ38" s="170"/>
      <c r="AK38" s="170"/>
      <c r="AL38" s="170"/>
      <c r="AM38" s="45"/>
      <c r="AN38" s="45"/>
      <c r="AO38" s="45"/>
      <c r="AP38" s="45"/>
      <c r="AQ38" s="45"/>
      <c r="AR38" s="45"/>
      <c r="AS38" s="45"/>
      <c r="AT38" s="45"/>
      <c r="AU38" s="45"/>
      <c r="AV38" s="45"/>
      <c r="AW38" s="45"/>
      <c r="AX38" s="45"/>
      <c r="AY38" s="45"/>
      <c r="AZ38" s="137"/>
      <c r="BA38" s="137"/>
      <c r="BB38" s="46"/>
      <c r="BF38" s="210"/>
      <c r="BG38" s="141"/>
    </row>
    <row r="39" spans="1:59" customFormat="1" ht="12.75" customHeight="1" x14ac:dyDescent="0.25">
      <c r="B39" s="44"/>
      <c r="C39" s="173" t="s">
        <v>154</v>
      </c>
      <c r="D39" s="148" t="s">
        <v>155</v>
      </c>
      <c r="E39" s="148"/>
      <c r="F39" s="172"/>
      <c r="G39" s="170"/>
      <c r="H39" s="170"/>
      <c r="I39" s="170"/>
      <c r="J39" s="170"/>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137"/>
      <c r="AJ39" s="137"/>
      <c r="AK39" s="137"/>
      <c r="AL39" s="137"/>
      <c r="AM39" s="137"/>
      <c r="AN39" s="137"/>
      <c r="AO39" s="137"/>
      <c r="AP39" s="137"/>
      <c r="AQ39" s="137"/>
      <c r="AR39" s="137"/>
      <c r="AS39" s="137"/>
      <c r="AT39" s="47"/>
      <c r="AU39" s="137"/>
      <c r="AV39" s="137"/>
      <c r="AW39" s="137"/>
      <c r="AX39" s="137"/>
      <c r="AY39" s="137"/>
      <c r="AZ39" s="137"/>
      <c r="BA39" s="137"/>
      <c r="BB39" s="46"/>
      <c r="BF39" s="210"/>
      <c r="BG39" s="141"/>
    </row>
    <row r="40" spans="1:59" customFormat="1" ht="12.75" customHeight="1" x14ac:dyDescent="0.25">
      <c r="B40" s="44"/>
      <c r="C40" s="173" t="s">
        <v>156</v>
      </c>
      <c r="D40" s="148" t="s">
        <v>157</v>
      </c>
      <c r="E40" s="148"/>
      <c r="F40" s="172"/>
      <c r="G40" s="170"/>
      <c r="H40" s="170"/>
      <c r="I40" s="170"/>
      <c r="J40" s="170"/>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137"/>
      <c r="AJ40" s="137"/>
      <c r="AK40" s="137"/>
      <c r="AL40" s="137"/>
      <c r="AM40" s="137"/>
      <c r="AN40" s="137"/>
      <c r="AO40" s="137"/>
      <c r="AP40" s="137"/>
      <c r="AQ40" s="137"/>
      <c r="AR40" s="137"/>
      <c r="AS40" s="137"/>
      <c r="AT40" s="47"/>
      <c r="AU40" s="137"/>
      <c r="AV40" s="137"/>
      <c r="AW40" s="137"/>
      <c r="AX40" s="137"/>
      <c r="AY40" s="137"/>
      <c r="AZ40" s="137"/>
      <c r="BA40" s="137"/>
      <c r="BB40" s="46"/>
      <c r="BF40" s="210"/>
      <c r="BG40" s="141"/>
    </row>
    <row r="41" spans="1:59" customFormat="1" ht="12.75" customHeight="1" x14ac:dyDescent="0.2">
      <c r="B41" s="44"/>
      <c r="C41" s="173" t="s">
        <v>158</v>
      </c>
      <c r="D41" s="148" t="s">
        <v>159</v>
      </c>
      <c r="E41" s="148"/>
      <c r="F41" s="172"/>
      <c r="G41" s="170"/>
      <c r="H41" s="170"/>
      <c r="I41" s="170"/>
      <c r="J41" s="170"/>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137"/>
      <c r="AJ41" s="137"/>
      <c r="AK41" s="137"/>
      <c r="AL41" s="137"/>
      <c r="AM41" s="137"/>
      <c r="AN41" s="137"/>
      <c r="AO41" s="137"/>
      <c r="AP41" s="137"/>
      <c r="AQ41" s="137"/>
      <c r="AR41" s="137"/>
      <c r="AS41" s="137"/>
      <c r="AT41" s="47"/>
      <c r="AU41" s="137"/>
      <c r="AV41" s="137"/>
      <c r="AW41" s="137"/>
      <c r="AX41" s="137"/>
      <c r="AY41" s="137"/>
      <c r="AZ41" s="137"/>
      <c r="BA41" s="137"/>
      <c r="BB41" s="46"/>
      <c r="BF41" s="210"/>
      <c r="BG41" s="141"/>
    </row>
    <row r="42" spans="1:59" customFormat="1" ht="12.75" customHeight="1" x14ac:dyDescent="0.2">
      <c r="B42" s="44"/>
      <c r="C42" s="173" t="s">
        <v>182</v>
      </c>
      <c r="D42" s="137" t="s">
        <v>183</v>
      </c>
      <c r="E42" s="45"/>
      <c r="F42" s="170"/>
      <c r="G42" s="170"/>
      <c r="H42" s="170"/>
      <c r="I42" s="170"/>
      <c r="J42" s="170"/>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137"/>
      <c r="AJ42" s="137"/>
      <c r="AK42" s="137"/>
      <c r="AL42" s="137"/>
      <c r="AM42" s="137"/>
      <c r="AN42" s="137"/>
      <c r="AO42" s="137"/>
      <c r="AP42" s="137"/>
      <c r="AQ42" s="137"/>
      <c r="AR42" s="137"/>
      <c r="AS42" s="137"/>
      <c r="AT42" s="47"/>
      <c r="AU42" s="137"/>
      <c r="AV42" s="137"/>
      <c r="AW42" s="137"/>
      <c r="AX42" s="137"/>
      <c r="AY42" s="137"/>
      <c r="AZ42" s="137"/>
      <c r="BA42" s="137"/>
      <c r="BB42" s="46"/>
      <c r="BF42" s="210"/>
      <c r="BG42" s="141"/>
    </row>
    <row r="43" spans="1:59" customFormat="1" ht="13.5" customHeight="1" thickBot="1" x14ac:dyDescent="0.25">
      <c r="A43" s="1"/>
      <c r="B43" s="44"/>
      <c r="C43" s="45"/>
      <c r="D43" s="174"/>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170"/>
      <c r="AL43" s="170"/>
      <c r="AM43" s="170"/>
      <c r="AN43" s="170"/>
      <c r="AO43" s="170"/>
      <c r="AP43" s="45"/>
      <c r="AQ43" s="45"/>
      <c r="AR43" s="45"/>
      <c r="AS43" s="45"/>
      <c r="AT43" s="45"/>
      <c r="AU43" s="45"/>
      <c r="AV43" s="45"/>
      <c r="AW43" s="45"/>
      <c r="AX43" s="45"/>
      <c r="AY43" s="45"/>
      <c r="AZ43" s="45"/>
      <c r="BA43" s="45"/>
      <c r="BB43" s="46"/>
      <c r="BC43" s="137"/>
      <c r="BF43" s="212"/>
    </row>
    <row r="44" spans="1:59" customFormat="1" ht="13.5" customHeight="1" x14ac:dyDescent="0.2">
      <c r="A44" s="1"/>
      <c r="B44" s="175"/>
      <c r="C44" s="176"/>
      <c r="D44" s="176"/>
      <c r="E44" s="387"/>
      <c r="F44" s="387"/>
      <c r="G44" s="387"/>
      <c r="H44" s="387"/>
      <c r="I44" s="387"/>
      <c r="J44" s="387"/>
      <c r="K44" s="388"/>
      <c r="L44" s="388"/>
      <c r="M44" s="388"/>
      <c r="N44" s="388"/>
      <c r="O44" s="388"/>
      <c r="P44" s="388"/>
      <c r="Q44" s="388"/>
      <c r="R44" s="388"/>
      <c r="S44" s="388"/>
      <c r="T44" s="388"/>
      <c r="U44" s="388"/>
      <c r="V44" s="388"/>
      <c r="W44" s="389"/>
      <c r="X44" s="389"/>
      <c r="Y44" s="389"/>
      <c r="Z44" s="389"/>
      <c r="AA44" s="389"/>
      <c r="AB44" s="389"/>
      <c r="AC44" s="389"/>
      <c r="AD44" s="390"/>
      <c r="AE44" s="391"/>
      <c r="AF44" s="389"/>
      <c r="AG44" s="389"/>
      <c r="AH44" s="389"/>
      <c r="AI44" s="389"/>
      <c r="AJ44" s="389"/>
      <c r="AK44" s="389"/>
      <c r="AL44" s="389"/>
      <c r="AM44" s="13"/>
      <c r="AN44" s="13"/>
      <c r="AO44" s="13"/>
      <c r="AP44" s="13" t="s">
        <v>160</v>
      </c>
      <c r="AQ44" s="13"/>
      <c r="AR44" s="13"/>
      <c r="AS44" s="13"/>
      <c r="AT44" s="13"/>
      <c r="AU44" s="13"/>
      <c r="AV44" s="13"/>
      <c r="AW44" s="13"/>
      <c r="AX44" s="13"/>
      <c r="AY44" s="13"/>
      <c r="AZ44" s="13"/>
      <c r="BA44" s="3"/>
      <c r="BB44" s="177"/>
      <c r="BC44" s="137"/>
      <c r="BF44" s="212"/>
    </row>
    <row r="45" spans="1:59" customFormat="1" ht="13.5" customHeight="1" x14ac:dyDescent="0.2">
      <c r="A45" s="1"/>
      <c r="B45" s="178"/>
      <c r="C45" s="179"/>
      <c r="D45" s="179"/>
      <c r="E45" s="383"/>
      <c r="F45" s="383"/>
      <c r="G45" s="383"/>
      <c r="H45" s="383"/>
      <c r="I45" s="383"/>
      <c r="J45" s="383"/>
      <c r="K45" s="384"/>
      <c r="L45" s="384"/>
      <c r="M45" s="384"/>
      <c r="N45" s="384"/>
      <c r="O45" s="384"/>
      <c r="P45" s="384"/>
      <c r="Q45" s="384"/>
      <c r="R45" s="384"/>
      <c r="S45" s="384"/>
      <c r="T45" s="384"/>
      <c r="U45" s="384"/>
      <c r="V45" s="384"/>
      <c r="W45" s="385"/>
      <c r="X45" s="385"/>
      <c r="Y45" s="385"/>
      <c r="Z45" s="385"/>
      <c r="AA45" s="385"/>
      <c r="AB45" s="385"/>
      <c r="AC45" s="385"/>
      <c r="AD45" s="386"/>
      <c r="AE45" s="385"/>
      <c r="AF45" s="385"/>
      <c r="AG45" s="385"/>
      <c r="AH45" s="385"/>
      <c r="AI45" s="385"/>
      <c r="AJ45" s="385"/>
      <c r="AK45" s="385"/>
      <c r="AL45" s="385"/>
      <c r="AM45" s="14"/>
      <c r="AN45" s="14"/>
      <c r="AO45" s="14"/>
      <c r="AP45" s="180" t="s">
        <v>187</v>
      </c>
      <c r="AQ45" s="14"/>
      <c r="AR45" s="14"/>
      <c r="AS45" s="14"/>
      <c r="AT45" s="14"/>
      <c r="AU45" s="14"/>
      <c r="AV45" s="14"/>
      <c r="AW45" s="14"/>
      <c r="AX45" s="14"/>
      <c r="AY45" s="14"/>
      <c r="AZ45" s="14"/>
      <c r="BA45" s="14"/>
      <c r="BB45" s="15"/>
      <c r="BC45" s="1"/>
      <c r="BD45" s="137"/>
      <c r="BF45" s="212"/>
    </row>
    <row r="46" spans="1:59" customFormat="1" ht="13.5" customHeight="1" x14ac:dyDescent="0.2">
      <c r="A46" s="1"/>
      <c r="B46" s="372"/>
      <c r="C46" s="373"/>
      <c r="D46" s="181"/>
      <c r="E46" s="182"/>
      <c r="F46" s="182"/>
      <c r="G46" s="182"/>
      <c r="H46" s="182"/>
      <c r="I46" s="182"/>
      <c r="J46" s="182"/>
      <c r="K46" s="182"/>
      <c r="L46" s="182"/>
      <c r="M46" s="182"/>
      <c r="N46" s="183"/>
      <c r="O46" s="182"/>
      <c r="P46" s="182"/>
      <c r="Q46" s="182"/>
      <c r="R46" s="182"/>
      <c r="S46" s="182"/>
      <c r="T46" s="182"/>
      <c r="U46" s="181"/>
      <c r="V46" s="182"/>
      <c r="W46" s="182"/>
      <c r="X46" s="182"/>
      <c r="Y46" s="182"/>
      <c r="Z46" s="181"/>
      <c r="AA46" s="182"/>
      <c r="AB46" s="182"/>
      <c r="AC46" s="182"/>
      <c r="AD46" s="184"/>
      <c r="AE46" s="185"/>
      <c r="AF46" s="186" t="s">
        <v>4</v>
      </c>
      <c r="AG46" s="32"/>
      <c r="AH46" s="32"/>
      <c r="AI46" s="32"/>
      <c r="AJ46" s="187"/>
      <c r="AK46" s="187"/>
      <c r="AL46" s="188"/>
      <c r="AM46" s="16"/>
      <c r="AN46" s="16"/>
      <c r="AO46" s="16"/>
      <c r="AP46" s="16"/>
      <c r="AQ46" s="16"/>
      <c r="AR46" s="16"/>
      <c r="AS46" s="16"/>
      <c r="AT46" s="16"/>
      <c r="AU46" s="16"/>
      <c r="AV46" s="17"/>
      <c r="AW46" s="17"/>
      <c r="AX46" s="17"/>
      <c r="AY46" s="17"/>
      <c r="AZ46" s="17"/>
      <c r="BA46" s="17"/>
      <c r="BB46" s="18"/>
      <c r="BC46" s="1"/>
      <c r="BD46" s="137"/>
      <c r="BF46" s="212"/>
    </row>
    <row r="47" spans="1:59" customFormat="1" ht="13.5" customHeight="1" x14ac:dyDescent="0.2">
      <c r="A47" s="1"/>
      <c r="B47" s="189"/>
      <c r="C47" s="190"/>
      <c r="D47" s="181"/>
      <c r="E47" s="182"/>
      <c r="F47" s="182"/>
      <c r="G47" s="182"/>
      <c r="H47" s="182"/>
      <c r="I47" s="182"/>
      <c r="J47" s="182"/>
      <c r="K47" s="182"/>
      <c r="L47" s="182"/>
      <c r="M47" s="182"/>
      <c r="N47" s="183"/>
      <c r="O47" s="182"/>
      <c r="P47" s="182"/>
      <c r="Q47" s="182"/>
      <c r="R47" s="182"/>
      <c r="S47" s="182"/>
      <c r="T47" s="182"/>
      <c r="U47" s="181"/>
      <c r="V47" s="182"/>
      <c r="W47" s="182"/>
      <c r="X47" s="182"/>
      <c r="Y47" s="182"/>
      <c r="Z47" s="181"/>
      <c r="AA47" s="182"/>
      <c r="AB47" s="182"/>
      <c r="AC47" s="182"/>
      <c r="AD47" s="184"/>
      <c r="AE47" s="191"/>
      <c r="AF47" s="192" t="s">
        <v>5</v>
      </c>
      <c r="AG47" s="33"/>
      <c r="AH47" s="33"/>
      <c r="AI47" s="33"/>
      <c r="AJ47" s="193"/>
      <c r="AK47" s="193"/>
      <c r="AL47" s="194"/>
      <c r="AM47" s="19"/>
      <c r="AN47" s="19"/>
      <c r="AO47" s="19"/>
      <c r="AP47" s="19"/>
      <c r="AQ47" s="19"/>
      <c r="AR47" s="19"/>
      <c r="AS47" s="19"/>
      <c r="AT47" s="19"/>
      <c r="AU47" s="19"/>
      <c r="AV47" s="20"/>
      <c r="AW47" s="20"/>
      <c r="AX47" s="20"/>
      <c r="AY47" s="20"/>
      <c r="AZ47" s="20"/>
      <c r="BA47" s="20"/>
      <c r="BB47" s="21"/>
      <c r="BC47" s="1"/>
      <c r="BD47" s="137"/>
      <c r="BF47" s="212"/>
    </row>
    <row r="48" spans="1:59" customFormat="1" ht="13.5" customHeight="1" x14ac:dyDescent="0.2">
      <c r="A48" s="1"/>
      <c r="B48" s="374"/>
      <c r="C48" s="375"/>
      <c r="D48" s="195"/>
      <c r="E48" s="196"/>
      <c r="F48" s="194"/>
      <c r="G48" s="194"/>
      <c r="H48" s="194"/>
      <c r="I48" s="194"/>
      <c r="J48" s="194"/>
      <c r="K48" s="194"/>
      <c r="L48" s="194"/>
      <c r="M48" s="194"/>
      <c r="N48" s="197"/>
      <c r="O48" s="194"/>
      <c r="P48" s="194"/>
      <c r="Q48" s="194"/>
      <c r="R48" s="194"/>
      <c r="S48" s="194"/>
      <c r="T48" s="194"/>
      <c r="U48" s="195"/>
      <c r="V48" s="194"/>
      <c r="W48" s="194"/>
      <c r="X48" s="194"/>
      <c r="Y48" s="194"/>
      <c r="Z48" s="195"/>
      <c r="AA48" s="194"/>
      <c r="AB48" s="194"/>
      <c r="AC48" s="194"/>
      <c r="AD48" s="198"/>
      <c r="AE48" s="191"/>
      <c r="AF48" s="192" t="s">
        <v>6</v>
      </c>
      <c r="AG48" s="33"/>
      <c r="AH48" s="33"/>
      <c r="AI48" s="33"/>
      <c r="AJ48" s="193"/>
      <c r="AK48" s="193"/>
      <c r="AL48" s="194" t="s">
        <v>181</v>
      </c>
      <c r="AM48" s="19"/>
      <c r="AN48" s="19"/>
      <c r="AO48" s="19"/>
      <c r="AP48" s="19"/>
      <c r="AQ48" s="19"/>
      <c r="AR48" s="19"/>
      <c r="AS48" s="19"/>
      <c r="AT48" s="19"/>
      <c r="AU48" s="19"/>
      <c r="AV48" s="19"/>
      <c r="AW48" s="19"/>
      <c r="AX48" s="19"/>
      <c r="AY48" s="19"/>
      <c r="AZ48" s="19"/>
      <c r="BA48" s="19"/>
      <c r="BB48" s="22"/>
      <c r="BC48" s="1"/>
      <c r="BD48" s="137"/>
      <c r="BF48" s="212"/>
    </row>
    <row r="49" spans="1:60" customFormat="1" ht="13.5" customHeight="1" x14ac:dyDescent="0.2">
      <c r="A49" s="1"/>
      <c r="B49" s="376"/>
      <c r="C49" s="377"/>
      <c r="D49" s="199"/>
      <c r="E49" s="200"/>
      <c r="F49" s="201"/>
      <c r="G49" s="201"/>
      <c r="H49" s="201"/>
      <c r="I49" s="201"/>
      <c r="J49" s="201"/>
      <c r="K49" s="201"/>
      <c r="L49" s="201"/>
      <c r="M49" s="201"/>
      <c r="N49" s="202"/>
      <c r="O49" s="201"/>
      <c r="P49" s="201"/>
      <c r="Q49" s="201"/>
      <c r="R49" s="201"/>
      <c r="S49" s="201"/>
      <c r="T49" s="201"/>
      <c r="U49" s="199"/>
      <c r="V49" s="201"/>
      <c r="W49" s="201"/>
      <c r="X49" s="201"/>
      <c r="Y49" s="201"/>
      <c r="Z49" s="199"/>
      <c r="AA49" s="201"/>
      <c r="AB49" s="201"/>
      <c r="AC49" s="201"/>
      <c r="AD49" s="204"/>
      <c r="AE49" s="191"/>
      <c r="AF49" s="192" t="s">
        <v>7</v>
      </c>
      <c r="AG49" s="33"/>
      <c r="AH49" s="33"/>
      <c r="AI49" s="33"/>
      <c r="AJ49" s="193"/>
      <c r="AK49" s="193"/>
      <c r="AL49" s="194"/>
      <c r="AM49" s="23"/>
      <c r="AN49" s="23"/>
      <c r="AO49" s="23"/>
      <c r="AP49" s="23"/>
      <c r="AQ49" s="23"/>
      <c r="AR49" s="23"/>
      <c r="AS49" s="23"/>
      <c r="AT49" s="23"/>
      <c r="AU49" s="23"/>
      <c r="AV49" s="23"/>
      <c r="AW49" s="137" t="s">
        <v>161</v>
      </c>
      <c r="AX49" s="1"/>
      <c r="AY49" s="24"/>
      <c r="AZ49" s="24"/>
      <c r="BA49" s="1"/>
      <c r="BB49" s="205"/>
      <c r="BC49" s="1"/>
      <c r="BD49" s="137"/>
      <c r="BF49" s="212"/>
    </row>
    <row r="50" spans="1:60" customFormat="1" ht="13.5" customHeight="1" thickBot="1" x14ac:dyDescent="0.25">
      <c r="A50" s="141"/>
      <c r="B50" s="378" t="s">
        <v>13</v>
      </c>
      <c r="C50" s="379"/>
      <c r="D50" s="25"/>
      <c r="E50" s="380" t="s">
        <v>6</v>
      </c>
      <c r="F50" s="380"/>
      <c r="G50" s="380"/>
      <c r="H50" s="380"/>
      <c r="I50" s="380"/>
      <c r="J50" s="380"/>
      <c r="K50" s="380"/>
      <c r="L50" s="380"/>
      <c r="M50" s="26"/>
      <c r="N50" s="27"/>
      <c r="O50" s="26"/>
      <c r="P50" s="26"/>
      <c r="Q50" s="26" t="s">
        <v>9</v>
      </c>
      <c r="R50" s="26"/>
      <c r="S50" s="26"/>
      <c r="T50" s="26"/>
      <c r="U50" s="25"/>
      <c r="V50" s="26"/>
      <c r="W50" s="26" t="s">
        <v>10</v>
      </c>
      <c r="X50" s="26"/>
      <c r="Y50" s="26"/>
      <c r="Z50" s="25"/>
      <c r="AA50" s="26" t="s">
        <v>11</v>
      </c>
      <c r="AB50" s="26"/>
      <c r="AC50" s="26"/>
      <c r="AD50" s="28"/>
      <c r="AE50" s="206"/>
      <c r="AF50" s="207" t="s">
        <v>12</v>
      </c>
      <c r="AG50" s="34"/>
      <c r="AH50" s="34"/>
      <c r="AI50" s="34"/>
      <c r="AJ50" s="208"/>
      <c r="AK50" s="208"/>
      <c r="AL50" s="209"/>
      <c r="AM50" s="29"/>
      <c r="AN50" s="29"/>
      <c r="AO50" s="29"/>
      <c r="AP50" s="29"/>
      <c r="AQ50" s="29"/>
      <c r="AR50" s="29"/>
      <c r="AS50" s="29"/>
      <c r="AT50" s="29"/>
      <c r="AU50" s="29"/>
      <c r="AV50" s="29"/>
      <c r="AW50" s="31" t="s">
        <v>162</v>
      </c>
      <c r="AX50" s="31"/>
      <c r="AY50" s="30"/>
      <c r="AZ50" s="381"/>
      <c r="BA50" s="381"/>
      <c r="BB50" s="382"/>
      <c r="BC50" s="141"/>
      <c r="BD50" s="137"/>
      <c r="BF50" s="212"/>
    </row>
    <row r="51" spans="1:60" customFormat="1" ht="16.5" customHeight="1" x14ac:dyDescent="0.2">
      <c r="A51" s="141"/>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c r="AW51" s="141"/>
      <c r="AX51" s="141"/>
      <c r="AY51" s="141"/>
      <c r="AZ51" s="141"/>
      <c r="BA51" s="141"/>
      <c r="BB51" s="141"/>
      <c r="BC51" s="141"/>
      <c r="BD51" s="137"/>
      <c r="BF51" s="212"/>
    </row>
    <row r="52" spans="1:60" s="1" customFormat="1" ht="16.5" customHeight="1" x14ac:dyDescent="0.2">
      <c r="A52" s="141"/>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c r="AW52" s="141"/>
      <c r="AX52" s="141"/>
      <c r="AY52" s="141"/>
      <c r="AZ52" s="141"/>
      <c r="BA52" s="141"/>
      <c r="BB52" s="141"/>
      <c r="BC52" s="141"/>
      <c r="BD52" s="141"/>
      <c r="BE52" s="137"/>
      <c r="BF52" s="138"/>
      <c r="BG52" s="138"/>
      <c r="BH52" s="138"/>
    </row>
    <row r="53" spans="1:60" s="1" customFormat="1" ht="15" customHeight="1" x14ac:dyDescent="0.2">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1"/>
      <c r="BA53" s="141"/>
      <c r="BB53" s="141"/>
      <c r="BC53" s="141"/>
      <c r="BD53" s="141"/>
      <c r="BE53" s="137"/>
      <c r="BF53" s="138"/>
      <c r="BG53" s="138"/>
      <c r="BH53" s="138"/>
    </row>
    <row r="54" spans="1:60" s="1" customFormat="1" ht="15" customHeight="1" x14ac:dyDescent="0.2">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c r="AW54" s="141"/>
      <c r="AX54" s="141"/>
      <c r="AY54" s="141"/>
      <c r="AZ54" s="141"/>
      <c r="BA54" s="141"/>
      <c r="BB54" s="141"/>
      <c r="BC54" s="141"/>
      <c r="BD54" s="141"/>
      <c r="BF54" s="5"/>
    </row>
    <row r="55" spans="1:60" s="1" customFormat="1" ht="15" customHeight="1" x14ac:dyDescent="0.2">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c r="AW55" s="141"/>
      <c r="AX55" s="141"/>
      <c r="AY55" s="141"/>
      <c r="AZ55" s="141"/>
      <c r="BA55" s="141"/>
      <c r="BB55" s="141"/>
      <c r="BC55" s="141"/>
      <c r="BD55" s="141"/>
      <c r="BF55" s="5"/>
    </row>
    <row r="56" spans="1:60" s="1" customFormat="1" ht="15" customHeight="1" x14ac:dyDescent="0.2">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c r="AR56" s="141"/>
      <c r="AS56" s="141"/>
      <c r="AT56" s="141"/>
      <c r="AU56" s="141"/>
      <c r="AV56" s="141"/>
      <c r="AW56" s="141"/>
      <c r="AX56" s="141"/>
      <c r="AY56" s="141"/>
      <c r="AZ56" s="141"/>
      <c r="BA56" s="141"/>
      <c r="BB56" s="141"/>
      <c r="BC56" s="141"/>
      <c r="BD56" s="141"/>
      <c r="BF56" s="5"/>
    </row>
    <row r="57" spans="1:60" s="1" customFormat="1" ht="15" customHeight="1" x14ac:dyDescent="0.2">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c r="AR57" s="141"/>
      <c r="AS57" s="141"/>
      <c r="AT57" s="141"/>
      <c r="AU57" s="141"/>
      <c r="AV57" s="141"/>
      <c r="AW57" s="141"/>
      <c r="AX57" s="141"/>
      <c r="AY57" s="141"/>
      <c r="AZ57" s="141"/>
      <c r="BA57" s="141"/>
      <c r="BB57" s="141"/>
      <c r="BC57" s="141"/>
      <c r="BD57" s="141"/>
      <c r="BF57" s="5"/>
    </row>
    <row r="58" spans="1:60" s="1" customFormat="1" ht="12.75" x14ac:dyDescent="0.2">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41"/>
      <c r="AX58" s="141"/>
      <c r="AY58" s="141"/>
      <c r="AZ58" s="141"/>
      <c r="BA58" s="141"/>
      <c r="BB58" s="141"/>
      <c r="BC58" s="141"/>
      <c r="BD58" s="141"/>
      <c r="BF58" s="5"/>
    </row>
  </sheetData>
  <mergeCells count="49">
    <mergeCell ref="AB7:AO7"/>
    <mergeCell ref="O3:AD3"/>
    <mergeCell ref="AQ3:AY3"/>
    <mergeCell ref="D5:I5"/>
    <mergeCell ref="J5:AD5"/>
    <mergeCell ref="AQ5:AY5"/>
    <mergeCell ref="U8:Y8"/>
    <mergeCell ref="AV8:AZ8"/>
    <mergeCell ref="U9:Y9"/>
    <mergeCell ref="AV9:AZ9"/>
    <mergeCell ref="U10:Y10"/>
    <mergeCell ref="AV10:AZ10"/>
    <mergeCell ref="U11:Y11"/>
    <mergeCell ref="AV11:AZ11"/>
    <mergeCell ref="U12:Y12"/>
    <mergeCell ref="AV12:AZ12"/>
    <mergeCell ref="U13:Y13"/>
    <mergeCell ref="AV13:AZ13"/>
    <mergeCell ref="U14:Y14"/>
    <mergeCell ref="AV14:AZ14"/>
    <mergeCell ref="U15:Y15"/>
    <mergeCell ref="AV15:AZ15"/>
    <mergeCell ref="B26:P26"/>
    <mergeCell ref="Q26:AE26"/>
    <mergeCell ref="AF26:BB26"/>
    <mergeCell ref="AI44:AL44"/>
    <mergeCell ref="O30:U30"/>
    <mergeCell ref="AT30:AZ30"/>
    <mergeCell ref="O33:U33"/>
    <mergeCell ref="AT33:AZ33"/>
    <mergeCell ref="O36:U36"/>
    <mergeCell ref="AT36:AZ36"/>
    <mergeCell ref="E44:J44"/>
    <mergeCell ref="K44:V44"/>
    <mergeCell ref="W44:Z44"/>
    <mergeCell ref="AA44:AD44"/>
    <mergeCell ref="AE44:AH44"/>
    <mergeCell ref="AZ50:BB50"/>
    <mergeCell ref="E45:J45"/>
    <mergeCell ref="K45:V45"/>
    <mergeCell ref="W45:Z45"/>
    <mergeCell ref="AA45:AD45"/>
    <mergeCell ref="AE45:AH45"/>
    <mergeCell ref="AI45:AL45"/>
    <mergeCell ref="B46:C46"/>
    <mergeCell ref="B48:C48"/>
    <mergeCell ref="B49:C49"/>
    <mergeCell ref="B50:C50"/>
    <mergeCell ref="E50:L50"/>
  </mergeCells>
  <dataValidations count="1">
    <dataValidation type="list" allowBlank="1" showInputMessage="1" showErrorMessage="1" sqref="U15" xr:uid="{00000000-0002-0000-0400-000000000000}">
      <formula1>$BF$8:$BF$29</formula1>
    </dataValidation>
  </dataValidations>
  <pageMargins left="0.7" right="0.7" top="0.75" bottom="0.75" header="0.3" footer="0.3"/>
  <pageSetup scale="94" orientation="portrait" r:id="rId1"/>
  <headerFooter>
    <oddHeader>&amp;L&amp;"Calibri,Regular"&amp;11&amp;G</oddHeader>
    <oddFooter>&amp;L&amp;"Calibri,Regular"&amp;11Copyright 2019, Worley
&amp;F&amp;R&amp;"Calibri,Regular"&amp;11Rev 0A Date 19 January 2023</oddFooter>
  </headerFooter>
  <drawing r:id="rId2"/>
  <legacyDrawing r:id="rId3"/>
  <legacyDrawingHF r:id="rId4"/>
  <oleObjects>
    <mc:AlternateContent xmlns:mc="http://schemas.openxmlformats.org/markup-compatibility/2006">
      <mc:Choice Requires="x14">
        <oleObject progId="Equation.3" shapeId="7169" r:id="rId5">
          <objectPr defaultSize="0" autoPict="0" r:id="rId6">
            <anchor moveWithCells="1">
              <from>
                <xdr:col>1</xdr:col>
                <xdr:colOff>95250</xdr:colOff>
                <xdr:row>28</xdr:row>
                <xdr:rowOff>57150</xdr:rowOff>
              </from>
              <to>
                <xdr:col>12</xdr:col>
                <xdr:colOff>95250</xdr:colOff>
                <xdr:row>30</xdr:row>
                <xdr:rowOff>114300</xdr:rowOff>
              </to>
            </anchor>
          </objectPr>
        </oleObject>
      </mc:Choice>
      <mc:Fallback>
        <oleObject progId="Equation.3" shapeId="7169" r:id="rId5"/>
      </mc:Fallback>
    </mc:AlternateContent>
    <mc:AlternateContent xmlns:mc="http://schemas.openxmlformats.org/markup-compatibility/2006">
      <mc:Choice Requires="x14">
        <oleObject progId="Equation.3" shapeId="7170" r:id="rId7">
          <objectPr defaultSize="0" autoPict="0" r:id="rId8">
            <anchor moveWithCells="1">
              <from>
                <xdr:col>36</xdr:col>
                <xdr:colOff>57150</xdr:colOff>
                <xdr:row>34</xdr:row>
                <xdr:rowOff>133350</xdr:rowOff>
              </from>
              <to>
                <xdr:col>43</xdr:col>
                <xdr:colOff>76200</xdr:colOff>
                <xdr:row>36</xdr:row>
                <xdr:rowOff>38100</xdr:rowOff>
              </to>
            </anchor>
          </objectPr>
        </oleObject>
      </mc:Choice>
      <mc:Fallback>
        <oleObject progId="Equation.3" shapeId="7170" r:id="rId7"/>
      </mc:Fallback>
    </mc:AlternateContent>
    <mc:AlternateContent xmlns:mc="http://schemas.openxmlformats.org/markup-compatibility/2006">
      <mc:Choice Requires="x14">
        <oleObject progId="Equation.3" shapeId="7171" r:id="rId9">
          <objectPr defaultSize="0" autoPict="0" r:id="rId10">
            <anchor moveWithCells="1">
              <from>
                <xdr:col>27</xdr:col>
                <xdr:colOff>19050</xdr:colOff>
                <xdr:row>27</xdr:row>
                <xdr:rowOff>171450</xdr:rowOff>
              </from>
              <to>
                <xdr:col>43</xdr:col>
                <xdr:colOff>95250</xdr:colOff>
                <xdr:row>30</xdr:row>
                <xdr:rowOff>152400</xdr:rowOff>
              </to>
            </anchor>
          </objectPr>
        </oleObject>
      </mc:Choice>
      <mc:Fallback>
        <oleObject progId="Equation.3" shapeId="7171" r:id="rId9"/>
      </mc:Fallback>
    </mc:AlternateContent>
    <mc:AlternateContent xmlns:mc="http://schemas.openxmlformats.org/markup-compatibility/2006">
      <mc:Choice Requires="x14">
        <oleObject progId="Equation.3" shapeId="7172" r:id="rId11">
          <objectPr defaultSize="0" autoPict="0" r:id="rId12">
            <anchor moveWithCells="1">
              <from>
                <xdr:col>5</xdr:col>
                <xdr:colOff>76200</xdr:colOff>
                <xdr:row>31</xdr:row>
                <xdr:rowOff>142875</xdr:rowOff>
              </from>
              <to>
                <xdr:col>12</xdr:col>
                <xdr:colOff>66675</xdr:colOff>
                <xdr:row>33</xdr:row>
                <xdr:rowOff>57150</xdr:rowOff>
              </to>
            </anchor>
          </objectPr>
        </oleObject>
      </mc:Choice>
      <mc:Fallback>
        <oleObject progId="Equation.3" shapeId="7172" r:id="rId11"/>
      </mc:Fallback>
    </mc:AlternateContent>
    <mc:AlternateContent xmlns:mc="http://schemas.openxmlformats.org/markup-compatibility/2006">
      <mc:Choice Requires="x14">
        <oleObject progId="Equation.3" shapeId="7173" r:id="rId13">
          <objectPr defaultSize="0" autoPict="0" r:id="rId14">
            <anchor moveWithCells="1">
              <from>
                <xdr:col>34</xdr:col>
                <xdr:colOff>76200</xdr:colOff>
                <xdr:row>31</xdr:row>
                <xdr:rowOff>57150</xdr:rowOff>
              </from>
              <to>
                <xdr:col>43</xdr:col>
                <xdr:colOff>95250</xdr:colOff>
                <xdr:row>34</xdr:row>
                <xdr:rowOff>57150</xdr:rowOff>
              </to>
            </anchor>
          </objectPr>
        </oleObject>
      </mc:Choice>
      <mc:Fallback>
        <oleObject progId="Equation.3" shapeId="7173" r:id="rId13"/>
      </mc:Fallback>
    </mc:AlternateContent>
    <mc:AlternateContent xmlns:mc="http://schemas.openxmlformats.org/markup-compatibility/2006">
      <mc:Choice Requires="x14">
        <oleObject progId="Equation.3" shapeId="7174" r:id="rId15">
          <objectPr defaultSize="0" autoPict="0" r:id="rId16">
            <anchor moveWithCells="1">
              <from>
                <xdr:col>6</xdr:col>
                <xdr:colOff>28575</xdr:colOff>
                <xdr:row>34</xdr:row>
                <xdr:rowOff>95250</xdr:rowOff>
              </from>
              <to>
                <xdr:col>12</xdr:col>
                <xdr:colOff>76200</xdr:colOff>
                <xdr:row>36</xdr:row>
                <xdr:rowOff>19050</xdr:rowOff>
              </to>
            </anchor>
          </objectPr>
        </oleObject>
      </mc:Choice>
      <mc:Fallback>
        <oleObject progId="Equation.3" shapeId="7174" r:id="rId1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96ED4DE1848948A0750CEB789F35AF" ma:contentTypeVersion="16" ma:contentTypeDescription="Create a new document." ma:contentTypeScope="" ma:versionID="79475f2597456ec1d94cce5c3bcc9651">
  <xsd:schema xmlns:xsd="http://www.w3.org/2001/XMLSchema" xmlns:xs="http://www.w3.org/2001/XMLSchema" xmlns:p="http://schemas.microsoft.com/office/2006/metadata/properties" xmlns:ns2="f20dd3df-cc36-4499-80aa-2b4fe70792e4" xmlns:ns3="48015afd-ef0d-4a02-b604-f97b7dcc2443" targetNamespace="http://schemas.microsoft.com/office/2006/metadata/properties" ma:root="true" ma:fieldsID="7ff8a6f742de054d19a3718057d6bb46" ns2:_="" ns3:_="">
    <xsd:import namespace="f20dd3df-cc36-4499-80aa-2b4fe70792e4"/>
    <xsd:import namespace="48015afd-ef0d-4a02-b604-f97b7dcc244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discipline" minOccurs="0"/>
                <xsd:element ref="ns2:DocumentStatus" minOccurs="0"/>
                <xsd:element ref="ns2:MediaServiceAutoKeyPoints" minOccurs="0"/>
                <xsd:element ref="ns2:MediaServiceKeyPoints" minOccurs="0"/>
                <xsd:element ref="ns2:Comments" minOccurs="0"/>
                <xsd:element ref="ns2:Process" minOccurs="0"/>
                <xsd:element ref="ns2:_x0068_ca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dd3df-cc36-4499-80aa-2b4fe70792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discipline" ma:index="17" nillable="true" ma:displayName="Discipline" ma:description="Owning Discipline" ma:internalName="discipline">
      <xsd:simpleType>
        <xsd:restriction base="dms:Text">
          <xsd:maxLength value="255"/>
        </xsd:restriction>
      </xsd:simpleType>
    </xsd:element>
    <xsd:element name="DocumentStatus" ma:index="18" nillable="true" ma:displayName="Document Status" ma:format="Dropdown" ma:internalName="DocumentStatus">
      <xsd:simpleType>
        <xsd:restriction base="dms:Choice">
          <xsd:enumeration value="Approved"/>
          <xsd:enumeration value="Not Approved"/>
          <xsd:enumeration value="In Review"/>
          <xsd:enumeration value="Draft"/>
          <xsd:enumeration value="Archived"/>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Comments" ma:index="21" nillable="true" ma:displayName="Comments" ma:description="Comments" ma:internalName="Comments">
      <xsd:simpleType>
        <xsd:restriction base="dms:Text">
          <xsd:maxLength value="255"/>
        </xsd:restriction>
      </xsd:simpleType>
    </xsd:element>
    <xsd:element name="Process" ma:index="22" nillable="true" ma:displayName="Process" ma:internalName="Process">
      <xsd:simpleType>
        <xsd:restriction base="dms:Text">
          <xsd:maxLength value="255"/>
        </xsd:restriction>
      </xsd:simpleType>
    </xsd:element>
    <xsd:element name="_x0068_ca0" ma:index="23" nillable="true" ma:displayName="Date Reviewed" ma:internalName="_x0068_ca0">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8015afd-ef0d-4a02-b604-f97b7dcc244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0068_ca0 xmlns="f20dd3df-cc36-4499-80aa-2b4fe70792e4" xsi:nil="true"/>
    <discipline xmlns="f20dd3df-cc36-4499-80aa-2b4fe70792e4" xsi:nil="true"/>
    <DocumentStatus xmlns="f20dd3df-cc36-4499-80aa-2b4fe70792e4" xsi:nil="true"/>
    <Comments xmlns="f20dd3df-cc36-4499-80aa-2b4fe70792e4" xsi:nil="true"/>
    <Process xmlns="f20dd3df-cc36-4499-80aa-2b4fe70792e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4A7C7C-C0B0-4628-8D97-6C6140BD37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0dd3df-cc36-4499-80aa-2b4fe70792e4"/>
    <ds:schemaRef ds:uri="48015afd-ef0d-4a02-b604-f97b7dcc24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5F3D60-7C52-4224-BB09-EE14A6EC55DF}">
  <ds:schemaRefs>
    <ds:schemaRef ds:uri="http://schemas.microsoft.com/office/infopath/2007/PartnerControls"/>
    <ds:schemaRef ds:uri="http://purl.org/dc/elements/1.1/"/>
    <ds:schemaRef ds:uri="http://schemas.microsoft.com/office/2006/metadata/properties"/>
    <ds:schemaRef ds:uri="http://purl.org/dc/terms/"/>
    <ds:schemaRef ds:uri="f20dd3df-cc36-4499-80aa-2b4fe70792e4"/>
    <ds:schemaRef ds:uri="http://schemas.openxmlformats.org/package/2006/metadata/core-properties"/>
    <ds:schemaRef ds:uri="http://schemas.microsoft.com/office/2006/documentManagement/types"/>
    <ds:schemaRef ds:uri="48015afd-ef0d-4a02-b604-f97b7dcc2443"/>
    <ds:schemaRef ds:uri="http://www.w3.org/XML/1998/namespace"/>
    <ds:schemaRef ds:uri="http://purl.org/dc/dcmitype/"/>
  </ds:schemaRefs>
</ds:datastoreItem>
</file>

<file path=customXml/itemProps3.xml><?xml version="1.0" encoding="utf-8"?>
<ds:datastoreItem xmlns:ds="http://schemas.openxmlformats.org/officeDocument/2006/customXml" ds:itemID="{5951B79C-FC97-49D3-BD54-ABC503586B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Metric</vt:lpstr>
      <vt:lpstr>Cover Sheet</vt:lpstr>
      <vt:lpstr>Checklist</vt:lpstr>
      <vt:lpstr>TOC</vt:lpstr>
      <vt:lpstr>Imperial</vt:lpstr>
      <vt:lpstr>disclaimer_worley</vt:lpstr>
      <vt:lpstr>Checklist!Print_Area</vt:lpstr>
      <vt:lpstr>'Cover Sheet'!Print_Area</vt:lpstr>
      <vt:lpstr>Imperial!Print_Area</vt:lpstr>
      <vt:lpstr>Metric!Print_Area</vt:lpstr>
      <vt:lpstr>TOC!Print_Area</vt:lpstr>
    </vt:vector>
  </TitlesOfParts>
  <Manager/>
  <Company>BANTREL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Jamie Mior</dc:creator>
  <cp:keywords/>
  <dc:description/>
  <cp:lastModifiedBy>Krishnamurthy, Lakshmanan UEFM42</cp:lastModifiedBy>
  <cp:revision/>
  <cp:lastPrinted>2023-01-18T14:32:11Z</cp:lastPrinted>
  <dcterms:created xsi:type="dcterms:W3CDTF">2002-09-30T21:18:49Z</dcterms:created>
  <dcterms:modified xsi:type="dcterms:W3CDTF">2026-04-09T08:43:18Z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0x010100DD96ED4DE1848948A0750CEB789F35AF</vt:lpwstr>
  </property>
</Properties>
</file>