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624"/>
  <workbookPr codeName="ThisWorkbook"/>
  <mc:AlternateContent xmlns:mc="http://schemas.openxmlformats.org/markup-compatibility/2006">
    <mc:Choice Requires="x15">
      <x15ac:absPath xmlns:x15ac="http://schemas.microsoft.com/office/spreadsheetml/2010/11/ac" url="D:\TINRHERT\STRESS REPORT\SYS-177\Documents\SYS-177A\12.0.MISCELLANEOUS CALCULATIONS\"/>
    </mc:Choice>
  </mc:AlternateContent>
  <xr:revisionPtr revIDLastSave="0" documentId="13_ncr:1_{DA0F34DC-DBD6-4F5B-BA0E-AE938B142261}" xr6:coauthVersionLast="45" xr6:coauthVersionMax="45" xr10:uidLastSave="{00000000-0000-0000-0000-000000000000}"/>
  <bookViews>
    <workbookView xWindow="-120" yWindow="-120" windowWidth="29040" windowHeight="15840" tabRatio="839" activeTab="1" xr2:uid="{00000000-000D-0000-FFFF-FFFF00000000}"/>
  </bookViews>
  <sheets>
    <sheet name="1.0 Content" sheetId="36" r:id="rId1"/>
    <sheet name="2.0 Calculation" sheetId="37" r:id="rId2"/>
    <sheet name="3.0 Standard Pipe Wall Thk" sheetId="32" r:id="rId3"/>
  </sheets>
  <externalReferences>
    <externalReference r:id="rId4"/>
    <externalReference r:id="rId5"/>
    <externalReference r:id="rId6"/>
  </externalReferences>
  <definedNames>
    <definedName name="\0">#REF!</definedName>
    <definedName name="\c">#REF!</definedName>
    <definedName name="\e">#REF!</definedName>
    <definedName name="\f">#REF!</definedName>
    <definedName name="\i">#REF!</definedName>
    <definedName name="\j">#REF!</definedName>
    <definedName name="\m">#REF!</definedName>
    <definedName name="\n">#REF!</definedName>
    <definedName name="\P">#REF!</definedName>
    <definedName name="\s">#REF!</definedName>
    <definedName name="\t">#REF!</definedName>
    <definedName name="\x">#REF!</definedName>
    <definedName name="\z">#REF!</definedName>
    <definedName name="_a5">[0]!Module1.UNITOK</definedName>
    <definedName name="_a6">[0]!UNITOK</definedName>
    <definedName name="_APP1">#REF!</definedName>
    <definedName name="_APP2">#REF!</definedName>
    <definedName name="_APP3">#REF!</definedName>
    <definedName name="_APP4">#REF!</definedName>
    <definedName name="_BYE1">#REF!</definedName>
    <definedName name="_BYE2">#REF!</definedName>
    <definedName name="_BYE3">#REF!</definedName>
    <definedName name="_BYE4">#REF!</definedName>
    <definedName name="_CAL1">#REF!</definedName>
    <definedName name="_CAL2">#REF!</definedName>
    <definedName name="_CAL3">#REF!</definedName>
    <definedName name="_CAL4">#REF!</definedName>
    <definedName name="_CAN2">[0]!_CAN2</definedName>
    <definedName name="_CAN9">[0]!_CAN9</definedName>
    <definedName name="_CHK1">#REF!</definedName>
    <definedName name="_CHK2">#REF!</definedName>
    <definedName name="_CHK3">#REF!</definedName>
    <definedName name="_CHK4">#REF!</definedName>
    <definedName name="_DAT1">#REF!</definedName>
    <definedName name="_DAT2">#REF!</definedName>
    <definedName name="_DAT3">#REF!</definedName>
    <definedName name="_DAT4">#REF!</definedName>
    <definedName name="_DCS1">#REF!</definedName>
    <definedName name="_DCS2">#REF!</definedName>
    <definedName name="_ELP1">#REF!</definedName>
    <definedName name="_ELP2">#REF!</definedName>
    <definedName name="_ELP3">#REF!</definedName>
    <definedName name="_ELP4">#REF!</definedName>
    <definedName name="_FDT1">#REF!</definedName>
    <definedName name="_FDT2">#REF!</definedName>
    <definedName name="_FDT3">#REF!</definedName>
    <definedName name="_FDT4">#REF!</definedName>
    <definedName name="_HMB1">#REF!</definedName>
    <definedName name="_HMB2">#REF!</definedName>
    <definedName name="_IMP1">#REF!</definedName>
    <definedName name="_IMP2">#REF!</definedName>
    <definedName name="_IMP5">#REF!</definedName>
    <definedName name="_LIQ1">#REF!</definedName>
    <definedName name="_LIQ2">#REF!</definedName>
    <definedName name="_LIQ3">#REF!</definedName>
    <definedName name="_LIQ4">#REF!</definedName>
    <definedName name="_ODP1">#REF!</definedName>
    <definedName name="_ODP2">#REF!</definedName>
    <definedName name="_ODP3">#REF!</definedName>
    <definedName name="_ODP4">#REF!</definedName>
    <definedName name="_OPT8">[0]!_OPT8</definedName>
    <definedName name="_OPT9">[0]!_OPT9</definedName>
    <definedName name="_RAT1">#REF!</definedName>
    <definedName name="_RAT2">#REF!</definedName>
    <definedName name="_RAT3">#REF!</definedName>
    <definedName name="_RAT4">#REF!</definedName>
    <definedName name="_REV1">"Texte 161"</definedName>
    <definedName name="_REV2">"Texte 173"</definedName>
    <definedName name="_REV3">"Texte 167"</definedName>
    <definedName name="_REV4">"Texte 179"</definedName>
    <definedName name="_Toc238552941" localSheetId="0">'1.0 Content'!$C$47</definedName>
    <definedName name="_Toc238552942" localSheetId="0">'1.0 Content'!$C$48</definedName>
    <definedName name="_UPP1">#REF!</definedName>
    <definedName name="_UPP2">#REF!</definedName>
    <definedName name="_UPP3">#REF!</definedName>
    <definedName name="_UPP4">#REF!</definedName>
    <definedName name="_VIS1">#REF!</definedName>
    <definedName name="_VIS2">#REF!</definedName>
    <definedName name="_VIS3">#REF!</definedName>
    <definedName name="_VIS4">#REF!</definedName>
    <definedName name="_VP1">#REF!</definedName>
    <definedName name="_VP2">#REF!</definedName>
    <definedName name="_VP3">#REF!</definedName>
    <definedName name="_VP4">#REF!</definedName>
    <definedName name="ABPOW1">#REF!</definedName>
    <definedName name="ABPOW2">#REF!</definedName>
    <definedName name="ABPOW3">#REF!</definedName>
    <definedName name="ABPOW4">#REF!</definedName>
    <definedName name="ABPOWR">#REF!</definedName>
    <definedName name="aff">'[1]LV induction motors'!#REF!</definedName>
    <definedName name="ANPSH1">#REF!</definedName>
    <definedName name="ANPSH2">#REF!</definedName>
    <definedName name="ANPSH3">#REF!</definedName>
    <definedName name="ANPSH4">#REF!</definedName>
    <definedName name="ANPSHR">#REF!</definedName>
    <definedName name="APAGE">#REF!</definedName>
    <definedName name="APPROUVE1">"Texte 166"</definedName>
    <definedName name="APPROUVE2">"Texte 178"</definedName>
    <definedName name="APPROUVE3">"Texte 172"</definedName>
    <definedName name="APPROUVE4">"Texte 184"</definedName>
    <definedName name="AREA">#REF!</definedName>
    <definedName name="AUTRE_REF">"Texte 152"</definedName>
    <definedName name="BLKPAGE">#REF!</definedName>
    <definedName name="BPAGE">#REF!</definedName>
    <definedName name="C_">#REF!</definedName>
    <definedName name="CAL">#REF!</definedName>
    <definedName name="CALC2A">#REF!</definedName>
    <definedName name="CALC2B">#REF!</definedName>
    <definedName name="CALC2C">#REF!</definedName>
    <definedName name="CALC3A">#REF!</definedName>
    <definedName name="CALC3B">#REF!</definedName>
    <definedName name="CALC3C">#REF!</definedName>
    <definedName name="CALC4A">#REF!</definedName>
    <definedName name="CALC4B">#REF!</definedName>
    <definedName name="CALC4C">#REF!</definedName>
    <definedName name="CALCP1">#REF!</definedName>
    <definedName name="CALCP2">#REF!</definedName>
    <definedName name="CALCP3">#REF!</definedName>
    <definedName name="CALCR1">#REF!</definedName>
    <definedName name="CALCR2">#REF!</definedName>
    <definedName name="CASE1D">#REF!</definedName>
    <definedName name="CASE1U">#REF!</definedName>
    <definedName name="CASE2D">#REF!</definedName>
    <definedName name="CASE2U">#REF!</definedName>
    <definedName name="CASE3D">#REF!</definedName>
    <definedName name="CASE3U">#REF!</definedName>
    <definedName name="CASE4D">#REF!</definedName>
    <definedName name="CASE4U">#REF!</definedName>
    <definedName name="CASENO">#REF!</definedName>
    <definedName name="CASENUM">#REF!</definedName>
    <definedName name="CASEQ">#REF!</definedName>
    <definedName name="CHCOPY">#REF!</definedName>
    <definedName name="CHECK">#REF!</definedName>
    <definedName name="CLEANUP">#REF!</definedName>
    <definedName name="CLIENT">#REF!</definedName>
    <definedName name="CLIENT1">"Texte 153"</definedName>
    <definedName name="CLIENT2">"Texte 154"</definedName>
    <definedName name="CNAME1">#REF!</definedName>
    <definedName name="CNAME2">#REF!</definedName>
    <definedName name="CNAME3">#REF!</definedName>
    <definedName name="CNAME4">#REF!</definedName>
    <definedName name="CODP1">#REF!</definedName>
    <definedName name="CODP2">#REF!</definedName>
    <definedName name="CODP3">#REF!</definedName>
    <definedName name="CODP4">#REF!</definedName>
    <definedName name="CODPR">#REF!</definedName>
    <definedName name="CON">#REF!</definedName>
    <definedName name="CORRC">#REF!</definedName>
    <definedName name="CPAGE">#REF!</definedName>
    <definedName name="_xlnm.Criteria">#REF!</definedName>
    <definedName name="CVDP1">#REF!</definedName>
    <definedName name="CVDP2">#REF!</definedName>
    <definedName name="CVDP3">#REF!</definedName>
    <definedName name="CVDP4">#REF!</definedName>
    <definedName name="CVDPR">#REF!</definedName>
    <definedName name="DATA1D">#REF!</definedName>
    <definedName name="DATA1U">#REF!</definedName>
    <definedName name="DATA2D">#REF!</definedName>
    <definedName name="DATA2U">#REF!</definedName>
    <definedName name="DATA3D">#REF!</definedName>
    <definedName name="DATA3U">#REF!</definedName>
    <definedName name="DATA4D">#REF!</definedName>
    <definedName name="DATA4U">#REF!</definedName>
    <definedName name="_xlnm.Database">#REF!</definedName>
    <definedName name="DATE">#REF!</definedName>
    <definedName name="DATE1">"Texte 162"</definedName>
    <definedName name="DATE2">"Texte 174"</definedName>
    <definedName name="DATE3">"Texte 168"</definedName>
    <definedName name="DATE4">"Texte 180"</definedName>
    <definedName name="DCCASE1">#REF!</definedName>
    <definedName name="DCCASE2">#REF!</definedName>
    <definedName name="DCDATA1">#REF!</definedName>
    <definedName name="DCDATA2">#REF!</definedName>
    <definedName name="DCDOWN">#REF!</definedName>
    <definedName name="DCEND">#REF!</definedName>
    <definedName name="DCF">#REF!</definedName>
    <definedName name="DCFILE1">#REF!</definedName>
    <definedName name="DCFILE2">#REF!</definedName>
    <definedName name="DCFNO1">#REF!</definedName>
    <definedName name="DCFNO2">#REF!</definedName>
    <definedName name="DCSNO1">#REF!</definedName>
    <definedName name="DCSNO2">#REF!</definedName>
    <definedName name="DCSTRM1">#REF!</definedName>
    <definedName name="DCSTRM2">#REF!</definedName>
    <definedName name="DCUP">#REF!</definedName>
    <definedName name="DELPS">#REF!</definedName>
    <definedName name="DENS1">#REF!</definedName>
    <definedName name="DENS2">#REF!</definedName>
    <definedName name="DENS3">#REF!</definedName>
    <definedName name="DENS4">#REF!</definedName>
    <definedName name="DENSR">#REF!</definedName>
    <definedName name="DESIGNATION1">"Texte 163"</definedName>
    <definedName name="DESIGNATION2">"Texte 175"</definedName>
    <definedName name="DESIGNATION3">"Texte 169"</definedName>
    <definedName name="DESIGNATION4">"Texte 181"</definedName>
    <definedName name="DFDP1">#REF!</definedName>
    <definedName name="DFDP2">#REF!</definedName>
    <definedName name="DFDP3">#REF!</definedName>
    <definedName name="DFDP4">#REF!</definedName>
    <definedName name="DFDPR">#REF!</definedName>
    <definedName name="DISP1">#REF!</definedName>
    <definedName name="DISP2">#REF!</definedName>
    <definedName name="DISP3">#REF!</definedName>
    <definedName name="DISP4">#REF!</definedName>
    <definedName name="DISPR">#REF!</definedName>
    <definedName name="DOCNO">#REF!</definedName>
    <definedName name="DOWNP1">#REF!</definedName>
    <definedName name="DOWNP2">#REF!</definedName>
    <definedName name="DOWNP3">#REF!</definedName>
    <definedName name="DOWNP4">#REF!</definedName>
    <definedName name="DOWNPR">#REF!</definedName>
    <definedName name="DPAGE">#REF!</definedName>
    <definedName name="DRIVE">#REF!</definedName>
    <definedName name="DRIVER">#REF!</definedName>
    <definedName name="DSTHD">#REF!</definedName>
    <definedName name="DSTHD1">#REF!</definedName>
    <definedName name="DSTHD2">#REF!</definedName>
    <definedName name="DSTHD3">#REF!</definedName>
    <definedName name="DSTHD4">#REF!</definedName>
    <definedName name="DSTHDR">#REF!</definedName>
    <definedName name="DSTITLE">#REF!</definedName>
    <definedName name="ELPR">#REF!</definedName>
    <definedName name="EPAGE">#REF!</definedName>
    <definedName name="EQDP1">#REF!</definedName>
    <definedName name="EQDP2">#REF!</definedName>
    <definedName name="EQDP3">#REF!</definedName>
    <definedName name="EQDP4">#REF!</definedName>
    <definedName name="EQDPR">#REF!</definedName>
    <definedName name="EQUIP1">#REF!</definedName>
    <definedName name="EQUIP2">#REF!</definedName>
    <definedName name="EQUIPMENTLIST">#REF!</definedName>
    <definedName name="EQUIPMENTLISTINDEX">#REF!</definedName>
    <definedName name="EQUIPNO">#REF!</definedName>
    <definedName name="ERASE1">#REF!</definedName>
    <definedName name="ERASE2">#REF!</definedName>
    <definedName name="ERASE3">#REF!</definedName>
    <definedName name="ERASE4">#REF!</definedName>
    <definedName name="ETABLI1">"Texte 164"</definedName>
    <definedName name="ETABLI2">"Texte 176"</definedName>
    <definedName name="ETABLI3">"Texte 170"</definedName>
    <definedName name="ETABLI4">"Texte 182"</definedName>
    <definedName name="EXDP1">#REF!</definedName>
    <definedName name="EXDP2">#REF!</definedName>
    <definedName name="EXDP3">#REF!</definedName>
    <definedName name="EXDP4">#REF!</definedName>
    <definedName name="EXDPR">#REF!</definedName>
    <definedName name="FILENAME">#REF!</definedName>
    <definedName name="fin">"Texte 2,Texte 3,Texte 4,Texte 5,Texte 6,Texte 7,Texte 8,Texte 9,Texte 10,Texte 11,Texte 12,Texte 13,Texte 14,Trait 15,Trait 16,Trait 17,Trait 18,Trait 19,Trait 20,Trait 21,Trait 22,Trait 23,Rectangle 24,Trait 25,Rectangle 26,Texte 1"</definedName>
    <definedName name="FLG_RATING_TEMP">#REF!</definedName>
    <definedName name="FLGMAT150">#REF!</definedName>
    <definedName name="FLGMAT1500">#REF!</definedName>
    <definedName name="FLGMAT2500">#REF!</definedName>
    <definedName name="FLGMAT300">#REF!</definedName>
    <definedName name="FLGMAT400">#REF!</definedName>
    <definedName name="FLGMAT600">#REF!</definedName>
    <definedName name="FLGMAT900">#REF!</definedName>
    <definedName name="FPAGE">#REF!</definedName>
    <definedName name="Ft_Fac">#REF!</definedName>
    <definedName name="fv">#REF!</definedName>
    <definedName name="GETCASE">#REF!</definedName>
    <definedName name="GETCN">#REF!</definedName>
    <definedName name="HEADER">#REF!</definedName>
    <definedName name="HEADINGS">#REF!</definedName>
    <definedName name="Hor_regime">#REF!</definedName>
    <definedName name="HYDP1">#REF!</definedName>
    <definedName name="HYDP2">#REF!</definedName>
    <definedName name="HYDP3">#REF!</definedName>
    <definedName name="HYDP4">#REF!</definedName>
    <definedName name="HYDPR">#REF!</definedName>
    <definedName name="I">"Texte 149"</definedName>
    <definedName name="IMP0">#REF!</definedName>
    <definedName name="IMPC1D">#REF!</definedName>
    <definedName name="IMPC1U">#REF!</definedName>
    <definedName name="IMPC2D">#REF!</definedName>
    <definedName name="IMPC2U">#REF!</definedName>
    <definedName name="IMPC3D">#REF!</definedName>
    <definedName name="IMPC3U">#REF!</definedName>
    <definedName name="IMPC4D">#REF!</definedName>
    <definedName name="IMPC4U">#REF!</definedName>
    <definedName name="IMPEND">#REF!</definedName>
    <definedName name="IMPMENU">#REF!</definedName>
    <definedName name="INDP">#REF!</definedName>
    <definedName name="ITEM">"Texte 185"</definedName>
    <definedName name="JOB">#REF!</definedName>
    <definedName name="Legend">#REF!</definedName>
    <definedName name="LIEU1">"Texte 157"</definedName>
    <definedName name="LIEU2">"Texte 158"</definedName>
    <definedName name="Liq_Crit_Col">#REF!</definedName>
    <definedName name="Liq_Crit_Head">#REF!</definedName>
    <definedName name="Liq_pr_col">#REF!</definedName>
    <definedName name="liq_pr_dr_crit">#REF!</definedName>
    <definedName name="Liq_pr_head">#REF!</definedName>
    <definedName name="Liq_Vel_Crit">#REF!</definedName>
    <definedName name="LIQR">#REF!</definedName>
    <definedName name="Lq._Fr._No.">#REF!</definedName>
    <definedName name="MACRO">#REF!</definedName>
    <definedName name="Macro1">[0]!Macro1</definedName>
    <definedName name="Macro20">[0]!Macro20</definedName>
    <definedName name="MACROS">#REF!</definedName>
    <definedName name="MARGDP1">#REF!</definedName>
    <definedName name="MARGDP2">#REF!</definedName>
    <definedName name="MARGDP3">#REF!</definedName>
    <definedName name="MARGDP4">#REF!</definedName>
    <definedName name="MARGDPR">#REF!</definedName>
    <definedName name="MARGIN1">#REF!</definedName>
    <definedName name="MARGIN2">#REF!</definedName>
    <definedName name="MARGIN3">#REF!</definedName>
    <definedName name="MARGIN4">#REF!</definedName>
    <definedName name="MARGINR">#REF!</definedName>
    <definedName name="MAXDNP">#REF!</definedName>
    <definedName name="MAXDNT">#REF!</definedName>
    <definedName name="MAXSP1">#REF!</definedName>
    <definedName name="MAXSP2">#REF!</definedName>
    <definedName name="MAXSP3">#REF!</definedName>
    <definedName name="MAXSP4">#REF!</definedName>
    <definedName name="MAXSPR">#REF!</definedName>
    <definedName name="MAXUPP">#REF!</definedName>
    <definedName name="MAXUPT">#REF!</definedName>
    <definedName name="MENU1">#REF!</definedName>
    <definedName name="METDP1">#REF!</definedName>
    <definedName name="METDP2">#REF!</definedName>
    <definedName name="METDP3">#REF!</definedName>
    <definedName name="METDP4">#REF!</definedName>
    <definedName name="METDPR">#REF!</definedName>
    <definedName name="MINDNT">#REF!</definedName>
    <definedName name="MINUPT">#REF!</definedName>
    <definedName name="MISDP1">#REF!</definedName>
    <definedName name="MISDP2">#REF!</definedName>
    <definedName name="MISDP3">#REF!</definedName>
    <definedName name="MISDP4">#REF!</definedName>
    <definedName name="MISDPR">#REF!</definedName>
    <definedName name="Module1.NOTES">[0]!Module1.NOTES</definedName>
    <definedName name="Module1.UNITOK">[0]!Module1.UNITOK</definedName>
    <definedName name="motor">#REF!</definedName>
    <definedName name="MP_CLIENTREVISION0">#REF!</definedName>
    <definedName name="MP_CLIENTREVISION1">#REF!</definedName>
    <definedName name="MP_CLIENTREVISION2">#REF!</definedName>
    <definedName name="MP_DOCAPPROVER0">#REF!</definedName>
    <definedName name="MP_DOCAPPROVER1">#REF!</definedName>
    <definedName name="MP_DOCAPPROVER2">#REF!</definedName>
    <definedName name="MP_DOCCHECKER0">#REF!</definedName>
    <definedName name="MP_DOCCHECKER1">#REF!</definedName>
    <definedName name="MP_DOCCHECKER2">#REF!</definedName>
    <definedName name="MP_DOCID">#REF!</definedName>
    <definedName name="MP_DOCISSSTADAT">#REF!</definedName>
    <definedName name="MP_DOCISSSTADAT0">#REF!</definedName>
    <definedName name="MP_DOCISSSTADAT1">#REF!</definedName>
    <definedName name="MP_DOCISSSTADAT2">#REF!</definedName>
    <definedName name="MP_DOCREVDES0">#REF!</definedName>
    <definedName name="MP_DOCREVDES1">#REF!</definedName>
    <definedName name="MP_DOCREVDES2">#REF!</definedName>
    <definedName name="MP_EQ_002">#REF!</definedName>
    <definedName name="MP_EQ_003">#REF!</definedName>
    <definedName name="MP_EQ_004">#REF!</definedName>
    <definedName name="MP_EQ_005">#REF!</definedName>
    <definedName name="MP_EQ_006">#REF!</definedName>
    <definedName name="MP_EQ_007">#REF!</definedName>
    <definedName name="MP_EQ_008">#REF!</definedName>
    <definedName name="MP_EQ_009">#REF!</definedName>
    <definedName name="MP_EQ_010">#REF!</definedName>
    <definedName name="MP_EQ_011">#REF!</definedName>
    <definedName name="MP_EQ_012">#REF!</definedName>
    <definedName name="MP_EQ_013">#REF!</definedName>
    <definedName name="MP_EQ_014">#REF!</definedName>
    <definedName name="MP_EQ_015">#REF!</definedName>
    <definedName name="MP_EQ_016">#REF!</definedName>
    <definedName name="MP_EQ_017">#REF!</definedName>
    <definedName name="MP_EQ_018">#REF!</definedName>
    <definedName name="MP_EQ_019">#REF!</definedName>
    <definedName name="MP_EQ_020">#REF!</definedName>
    <definedName name="MP_EQ_021">#REF!</definedName>
    <definedName name="MP_EQ_022">#REF!</definedName>
    <definedName name="MP_EQ_023">#REF!</definedName>
    <definedName name="MP_EQ_024">#REF!</definedName>
    <definedName name="MP_EQ_025">#REF!</definedName>
    <definedName name="MP_EQ_026">#REF!</definedName>
    <definedName name="MP_EQ_027">#REF!</definedName>
    <definedName name="MP_EQ_028">#REF!</definedName>
    <definedName name="MP_EQ_029">#REF!</definedName>
    <definedName name="MP_EQ_030">#REF!</definedName>
    <definedName name="MP_EQ_031">#REF!</definedName>
    <definedName name="MP_EQ_032">#REF!</definedName>
    <definedName name="MP_EQ_033">#REF!</definedName>
    <definedName name="MP_EQ_034">#REF!</definedName>
    <definedName name="MP_EQ_035">#REF!</definedName>
    <definedName name="MP_EQ_036">#REF!</definedName>
    <definedName name="MP_EQ_037">#REF!</definedName>
    <definedName name="MP_EQ_038">#REF!</definedName>
    <definedName name="MP_EQ_039">#REF!</definedName>
    <definedName name="MP_EQ_040">#REF!</definedName>
    <definedName name="MP_EQ_041">#REF!</definedName>
    <definedName name="MP_EQ_042">#REF!</definedName>
    <definedName name="MP_EQ_043">#REF!</definedName>
    <definedName name="MP_EQ_044">#REF!</definedName>
    <definedName name="MP_EQ_045">#REF!</definedName>
    <definedName name="MP_EQ_046">#REF!</definedName>
    <definedName name="MP_EQ_047">#REF!</definedName>
    <definedName name="MP_EQ_048">#REF!</definedName>
    <definedName name="MP_EQ_049">#REF!</definedName>
    <definedName name="MP_EQ_050">#REF!</definedName>
    <definedName name="MP_EQDESC_002">#REF!</definedName>
    <definedName name="MP_EQDESC_003">#REF!</definedName>
    <definedName name="MP_EQDESC_004">#REF!</definedName>
    <definedName name="MP_EQDESC_005">#REF!</definedName>
    <definedName name="MP_EQDESC_006">#REF!</definedName>
    <definedName name="MP_EQDESC_007">#REF!</definedName>
    <definedName name="MP_EQDESC_008">#REF!</definedName>
    <definedName name="MP_EQDESC_009">#REF!</definedName>
    <definedName name="MP_EQDESC_010">#REF!</definedName>
    <definedName name="MP_EQDESC_011">#REF!</definedName>
    <definedName name="MP_EQDESC_012">#REF!</definedName>
    <definedName name="MP_EQDESC_013">#REF!</definedName>
    <definedName name="MP_EQDESC_014">#REF!</definedName>
    <definedName name="MP_EQDESC_015">#REF!</definedName>
    <definedName name="MP_EQDESC_016">#REF!</definedName>
    <definedName name="MP_EQDESC_017">#REF!</definedName>
    <definedName name="MP_EQDESC_018">#REF!</definedName>
    <definedName name="MP_EQDESC_019">#REF!</definedName>
    <definedName name="MP_EQDESC_020">#REF!</definedName>
    <definedName name="MP_EQDESC_021">#REF!</definedName>
    <definedName name="MP_EQDESC_022">#REF!</definedName>
    <definedName name="MP_EQDESC_023">#REF!</definedName>
    <definedName name="MP_EQDESC_024">#REF!</definedName>
    <definedName name="MP_EQDESC_025">#REF!</definedName>
    <definedName name="MP_EQDESC_026">#REF!</definedName>
    <definedName name="MP_EQDESC_027">#REF!</definedName>
    <definedName name="MP_EQDESC_028">#REF!</definedName>
    <definedName name="MP_EQDESC_029">#REF!</definedName>
    <definedName name="MP_EQDESC_030">#REF!</definedName>
    <definedName name="MP_EQDESC_031">#REF!</definedName>
    <definedName name="MP_EQDESC_032">#REF!</definedName>
    <definedName name="MP_EQDESC_033">#REF!</definedName>
    <definedName name="MP_EQDESC_034">#REF!</definedName>
    <definedName name="MP_EQDESC_035">#REF!</definedName>
    <definedName name="MP_EQDESC_036">#REF!</definedName>
    <definedName name="MP_EQDESC_037">#REF!</definedName>
    <definedName name="MP_EQDESC_038">#REF!</definedName>
    <definedName name="MP_EQDESC_039">#REF!</definedName>
    <definedName name="MP_EQDESC_040">#REF!</definedName>
    <definedName name="MP_EQDESC_041">#REF!</definedName>
    <definedName name="MP_EQDESC_042">#REF!</definedName>
    <definedName name="MP_EQDESC_043">#REF!</definedName>
    <definedName name="MP_EQDESC_044">#REF!</definedName>
    <definedName name="MP_EQDESC_045">#REF!</definedName>
    <definedName name="MP_EQDESC_046">#REF!</definedName>
    <definedName name="MP_EQDESC_047">#REF!</definedName>
    <definedName name="MP_EQDESC_048">#REF!</definedName>
    <definedName name="MP_EQDESC_049">#REF!</definedName>
    <definedName name="MP_EQDESC_050">#REF!</definedName>
    <definedName name="MP_EQUIPDESC">#REF!</definedName>
    <definedName name="MP_EQUIPNR">#REF!</definedName>
    <definedName name="MP_EXTREVISION">#REF!</definedName>
    <definedName name="MP_ORIGIN0">#REF!</definedName>
    <definedName name="MP_ORIGIN1">#REF!</definedName>
    <definedName name="MP_ORIGIN2">#REF!</definedName>
    <definedName name="MP_PROCLIENT">#REF!</definedName>
    <definedName name="MP_PROJECTNAME">#REF!</definedName>
    <definedName name="MP_PROLOCATION">#REF!</definedName>
    <definedName name="MP_PROSHORTNAME">#REF!</definedName>
    <definedName name="MP_REQSUBCNO">#REF!</definedName>
    <definedName name="MP_WRDSENDERGRPCOD">#REF!</definedName>
    <definedName name="naff">[2]Alternator!#REF!</definedName>
    <definedName name="NETP1">#REF!</definedName>
    <definedName name="NETP2">#REF!</definedName>
    <definedName name="NETP3">#REF!</definedName>
    <definedName name="NETP4">#REF!</definedName>
    <definedName name="NETPR">#REF!</definedName>
    <definedName name="NOMDOC">'[1]LV induction motors'!#REF!</definedName>
    <definedName name="NoPlan">"Texte 148"</definedName>
    <definedName name="NOTE">#REF!</definedName>
    <definedName name="NOTE0">#REF!</definedName>
    <definedName name="NOTE1">#REF!</definedName>
    <definedName name="NOTE4">#REF!</definedName>
    <definedName name="NOTESPC">#REF!</definedName>
    <definedName name="NPSHAV1">#REF!</definedName>
    <definedName name="NPSHAV2">#REF!</definedName>
    <definedName name="NPSHAV3">#REF!</definedName>
    <definedName name="NPSHAV4">#REF!</definedName>
    <definedName name="NPSHAVR">#REF!</definedName>
    <definedName name="NTMENU">#REF!</definedName>
    <definedName name="NUMSPEC">[2]Alternator!#REF!</definedName>
    <definedName name="ODPR">#REF!</definedName>
    <definedName name="OUTDP">#REF!</definedName>
    <definedName name="PAGE">"Texte 150"</definedName>
    <definedName name="PAGE1">#REF!</definedName>
    <definedName name="PAGE2">#REF!</definedName>
    <definedName name="PAGE3">#REF!</definedName>
    <definedName name="PAGE4">#REF!</definedName>
    <definedName name="PAGE7">#REF!</definedName>
    <definedName name="PCALCR">#REF!</definedName>
    <definedName name="PEFF1">#REF!</definedName>
    <definedName name="PEFF2">#REF!</definedName>
    <definedName name="PEFF3">#REF!</definedName>
    <definedName name="PEFF4">#REF!</definedName>
    <definedName name="PEFFR">#REF!</definedName>
    <definedName name="PERC1">#REF!</definedName>
    <definedName name="PERC2">#REF!</definedName>
    <definedName name="PERC3">#REF!</definedName>
    <definedName name="PERC4">#REF!</definedName>
    <definedName name="PERCENT">#REF!</definedName>
    <definedName name="PERMES">#REF!</definedName>
    <definedName name="PRCALC1">#REF!</definedName>
    <definedName name="PRCALC2">#REF!</definedName>
    <definedName name="PRCALC3">#REF!</definedName>
    <definedName name="PRCALC4">#REF!</definedName>
    <definedName name="Pressure_Drop_Criteria">#REF!</definedName>
    <definedName name="Pressure_Drop_Size">#REF!</definedName>
    <definedName name="Pressure_Drop_Type">#REF!</definedName>
    <definedName name="_xlnm.Print_Area" localSheetId="0">'1.0 Content'!$A$1:$H$173</definedName>
    <definedName name="_xlnm.Print_Area" localSheetId="1">'2.0 Calculation'!$A$1:$I$75</definedName>
    <definedName name="_xlnm.Print_Area" localSheetId="2">'3.0 Standard Pipe Wall Thk'!$A$1:$T$78</definedName>
    <definedName name="Print_Area_MI">#REF!</definedName>
    <definedName name="_xlnm.Print_Titles" localSheetId="0">'1.0 Content'!$1:$4</definedName>
    <definedName name="PRINT1">#REF!</definedName>
    <definedName name="PRINT2">#REF!</definedName>
    <definedName name="PRINT3">#REF!</definedName>
    <definedName name="PRINTD">#REF!</definedName>
    <definedName name="PRNTEND">#REF!</definedName>
    <definedName name="PRNTMSG">#REF!</definedName>
    <definedName name="PRNTSCRN">#REF!</definedName>
    <definedName name="PROJECT">#REF!</definedName>
    <definedName name="PUMPDP1">#REF!</definedName>
    <definedName name="PUMPDP2">#REF!</definedName>
    <definedName name="PUMPDP3">#REF!</definedName>
    <definedName name="PUMPDP4">#REF!</definedName>
    <definedName name="PUMPDPR">#REF!</definedName>
    <definedName name="PUMPHD1">#REF!</definedName>
    <definedName name="PUMPHD2">#REF!</definedName>
    <definedName name="PUMPHD3">#REF!</definedName>
    <definedName name="PUMPHD4">#REF!</definedName>
    <definedName name="PUMPHDR">#REF!</definedName>
    <definedName name="QUIT">#REF!</definedName>
    <definedName name="RATED">#REF!</definedName>
    <definedName name="RATNO1">#REF!</definedName>
    <definedName name="RATNO2">#REF!</definedName>
    <definedName name="REF_CLIENT1">"Texte 155"</definedName>
    <definedName name="REF_CLIENT2">"Texte 156"</definedName>
    <definedName name="RESET">#REF!</definedName>
    <definedName name="REV">#REF!</definedName>
    <definedName name="Révision">#REF!</definedName>
    <definedName name="REVNAME1">#REF!</definedName>
    <definedName name="REVNAME2">#REF!</definedName>
    <definedName name="REVNAME3">#REF!</definedName>
    <definedName name="REVNAME4">#REF!</definedName>
    <definedName name="REVNO">#REF!</definedName>
    <definedName name="RNT">#REF!</definedName>
    <definedName name="RSOFF1">#REF!</definedName>
    <definedName name="RSOFF2">#REF!</definedName>
    <definedName name="RSOFF3">#REF!</definedName>
    <definedName name="RSOFF4">#REF!</definedName>
    <definedName name="RSOFFR">#REF!</definedName>
    <definedName name="RTBRNCH">#REF!</definedName>
    <definedName name="SAVE">#REF!</definedName>
    <definedName name="Schedule">#REF!</definedName>
    <definedName name="sds">#REF!</definedName>
    <definedName name="SERVICE">"Texte 151"</definedName>
    <definedName name="SET">#REF!</definedName>
    <definedName name="SET0">#REF!</definedName>
    <definedName name="SFDP1">#REF!</definedName>
    <definedName name="SFDP2">#REF!</definedName>
    <definedName name="SFDP3">#REF!</definedName>
    <definedName name="SFDP4">#REF!</definedName>
    <definedName name="SFDPR">#REF!</definedName>
    <definedName name="Sheet1">#REF!</definedName>
    <definedName name="Sheet2">'[3]Electrical Load List'!#REF!</definedName>
    <definedName name="Sheet3">'[3]Electrical Load List'!#REF!</definedName>
    <definedName name="Sheet4">'[3]Electrical Load List'!#REF!</definedName>
    <definedName name="Sheet5">'[3]Electrical Load List'!#REF!</definedName>
    <definedName name="Sheet6">'[3]Electrical Load List'!#REF!</definedName>
    <definedName name="SHUTR">#REF!</definedName>
    <definedName name="sigle">'[1]LV induction motors'!#REF!</definedName>
    <definedName name="SKETCH">#REF!</definedName>
    <definedName name="SKTCH1">#REF!</definedName>
    <definedName name="SKTCH2">#REF!</definedName>
    <definedName name="SRCEP1">#REF!</definedName>
    <definedName name="SRCEP2">#REF!</definedName>
    <definedName name="SRCEP3">#REF!</definedName>
    <definedName name="SRCEP4">#REF!</definedName>
    <definedName name="SRCEPR">#REF!</definedName>
    <definedName name="SSTHD">#REF!</definedName>
    <definedName name="SSTHD1">#REF!</definedName>
    <definedName name="SSTHD2">#REF!</definedName>
    <definedName name="SSTHD3">#REF!</definedName>
    <definedName name="SSTHD4">#REF!</definedName>
    <definedName name="SSTHDR">#REF!</definedName>
    <definedName name="STAN">#REF!</definedName>
    <definedName name="STRM1D">#REF!</definedName>
    <definedName name="STRM1U">#REF!</definedName>
    <definedName name="STRM2D">#REF!</definedName>
    <definedName name="STRM2U">#REF!</definedName>
    <definedName name="STRM3D">#REF!</definedName>
    <definedName name="STRM3U">#REF!</definedName>
    <definedName name="STRM4D">#REF!</definedName>
    <definedName name="STRM4U">#REF!</definedName>
    <definedName name="STRMESS">#REF!</definedName>
    <definedName name="STRMNAME">#REF!</definedName>
    <definedName name="SUBHEADER">#REF!</definedName>
    <definedName name="SUCDPR">#REF!</definedName>
    <definedName name="SUCP1">#REF!</definedName>
    <definedName name="SUCP2">#REF!</definedName>
    <definedName name="SUCP3">#REF!</definedName>
    <definedName name="SUCP4">#REF!</definedName>
    <definedName name="SYSTEM">#REF!</definedName>
    <definedName name="TEMP1">#REF!</definedName>
    <definedName name="TEMP2">#REF!</definedName>
    <definedName name="TEMP3">#REF!</definedName>
    <definedName name="TEMP4">#REF!</definedName>
    <definedName name="TEMPR">#REF!</definedName>
    <definedName name="titre1">'[1]LV induction motors'!#REF!</definedName>
    <definedName name="titre2">'[1]LV induction motors'!#REF!</definedName>
    <definedName name="titreb">'[1]LV induction motors'!#REF!</definedName>
    <definedName name="titreb2">[2]Alternator!#REF!</definedName>
    <definedName name="TKW">#REF!</definedName>
    <definedName name="UNITE1">"Texte 159"</definedName>
    <definedName name="UNITE2">"Texte 160"</definedName>
    <definedName name="UNITOK">[0]!UNITOK</definedName>
    <definedName name="UPPR">#REF!</definedName>
    <definedName name="Ver_Regime">#REF!</definedName>
    <definedName name="VERIFIE1">"Texte 165"</definedName>
    <definedName name="VERIFIE2">"Texte 177"</definedName>
    <definedName name="VERIFIE3">"Texte 171"</definedName>
    <definedName name="VERIFIE4">"Texte 183"</definedName>
    <definedName name="VFLOW1">#REF!</definedName>
    <definedName name="VFLOW2">#REF!</definedName>
    <definedName name="VFLOW3">#REF!</definedName>
    <definedName name="VFLOW4">#REF!</definedName>
    <definedName name="VFLOWR">#REF!</definedName>
    <definedName name="VISR">#REF!</definedName>
    <definedName name="VPR">#REF!</definedName>
    <definedName name="WALLTHK">#REF!</definedName>
    <definedName name="WFLOW">#REF!</definedName>
    <definedName name="WFLOW1">#REF!</definedName>
    <definedName name="WFLOW2">#REF!</definedName>
    <definedName name="WFLOW3">#REF!</definedName>
    <definedName name="WFLOW4">#REF!</definedName>
    <definedName name="WFLOWR">#REF!</definedName>
    <definedName name="Zone_impres_MI">#REF!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69" i="37" l="1"/>
  <c r="F61" i="37"/>
  <c r="F59" i="37"/>
  <c r="C45" i="37"/>
  <c r="C42" i="37"/>
  <c r="G26" i="37"/>
  <c r="G25" i="37"/>
  <c r="G28" i="37" s="1"/>
  <c r="D51" i="37" s="1"/>
  <c r="G24" i="37"/>
  <c r="G31" i="37" s="1"/>
  <c r="G22" i="37"/>
  <c r="G23" i="37" s="1"/>
  <c r="G27" i="37" l="1"/>
  <c r="D65" i="37" s="1"/>
  <c r="C69" i="37" s="1"/>
  <c r="H69" i="37" s="1"/>
  <c r="H48" i="37"/>
  <c r="H54" i="37" s="1"/>
  <c r="H42" i="37"/>
  <c r="H45" i="37"/>
  <c r="D56" i="37"/>
  <c r="D48" i="37"/>
  <c r="D54" i="37" s="1"/>
  <c r="C59" i="37" l="1"/>
  <c r="H59" i="37" s="1"/>
  <c r="C61" i="37"/>
  <c r="H61" i="37" s="1"/>
</calcChain>
</file>

<file path=xl/sharedStrings.xml><?xml version="1.0" encoding="utf-8"?>
<sst xmlns="http://schemas.openxmlformats.org/spreadsheetml/2006/main" count="245" uniqueCount="186">
  <si>
    <t>[mm]</t>
  </si>
  <si>
    <t>[MPa]</t>
  </si>
  <si>
    <t>Loading Data</t>
  </si>
  <si>
    <t>[N]</t>
  </si>
  <si>
    <t>[N-mm]</t>
  </si>
  <si>
    <t>[N/mm]</t>
  </si>
  <si>
    <t>Header Pipe Stresses</t>
  </si>
  <si>
    <t>SL =</t>
  </si>
  <si>
    <t xml:space="preserve"> </t>
  </si>
  <si>
    <t>SCHEDULE NO</t>
  </si>
  <si>
    <t>NS</t>
  </si>
  <si>
    <t>OD</t>
  </si>
  <si>
    <t>5S</t>
  </si>
  <si>
    <t>10S</t>
  </si>
  <si>
    <t>STD</t>
  </si>
  <si>
    <t>40S</t>
  </si>
  <si>
    <t>XS</t>
  </si>
  <si>
    <t>80S</t>
  </si>
  <si>
    <t>XXS</t>
  </si>
  <si>
    <r>
      <t>t</t>
    </r>
    <r>
      <rPr>
        <vertAlign val="subscript"/>
        <sz val="10"/>
        <rFont val="Arial"/>
        <family val="2"/>
      </rPr>
      <t>p</t>
    </r>
    <r>
      <rPr>
        <sz val="10"/>
        <rFont val="Arial"/>
        <family val="2"/>
      </rPr>
      <t>-C+t</t>
    </r>
    <r>
      <rPr>
        <vertAlign val="subscript"/>
        <sz val="10"/>
        <rFont val="Arial"/>
        <family val="2"/>
      </rPr>
      <t>r</t>
    </r>
  </si>
  <si>
    <t>Moment arm, L =</t>
  </si>
  <si>
    <r>
      <t>Long. Press. Stress  [S</t>
    </r>
    <r>
      <rPr>
        <vertAlign val="subscript"/>
        <sz val="10"/>
        <rFont val="Arial"/>
        <family val="2"/>
      </rPr>
      <t>LP</t>
    </r>
    <r>
      <rPr>
        <sz val="10"/>
        <rFont val="Arial"/>
        <family val="2"/>
      </rPr>
      <t>] =</t>
    </r>
  </si>
  <si>
    <r>
      <t>Circum. Press. Stress  [S</t>
    </r>
    <r>
      <rPr>
        <vertAlign val="subscript"/>
        <sz val="10"/>
        <rFont val="Arial"/>
        <family val="2"/>
      </rPr>
      <t>CP</t>
    </r>
    <r>
      <rPr>
        <sz val="10"/>
        <rFont val="Arial"/>
        <family val="2"/>
      </rPr>
      <t xml:space="preserve">] = </t>
    </r>
  </si>
  <si>
    <t>P*R/(2*t)</t>
  </si>
  <si>
    <t>P*R/t</t>
  </si>
  <si>
    <r>
      <t>M</t>
    </r>
    <r>
      <rPr>
        <vertAlign val="subscript"/>
        <sz val="10"/>
        <rFont val="Arial"/>
        <family val="2"/>
      </rPr>
      <t>L</t>
    </r>
    <r>
      <rPr>
        <sz val="10"/>
        <rFont val="Arial"/>
        <family val="2"/>
      </rPr>
      <t>/(π*r</t>
    </r>
    <r>
      <rPr>
        <vertAlign val="superscript"/>
        <sz val="10"/>
        <rFont val="Arial"/>
        <family val="2"/>
      </rPr>
      <t>2</t>
    </r>
    <r>
      <rPr>
        <sz val="10"/>
        <rFont val="Arial"/>
        <family val="2"/>
      </rPr>
      <t>)</t>
    </r>
  </si>
  <si>
    <r>
      <t>M</t>
    </r>
    <r>
      <rPr>
        <vertAlign val="subscript"/>
        <sz val="10"/>
        <rFont val="Arial"/>
        <family val="2"/>
      </rPr>
      <t>C</t>
    </r>
    <r>
      <rPr>
        <sz val="10"/>
        <rFont val="Arial"/>
        <family val="2"/>
      </rPr>
      <t>/(π*r</t>
    </r>
    <r>
      <rPr>
        <vertAlign val="superscript"/>
        <sz val="10"/>
        <rFont val="Arial"/>
        <family val="2"/>
      </rPr>
      <t>2</t>
    </r>
    <r>
      <rPr>
        <sz val="10"/>
        <rFont val="Arial"/>
        <family val="2"/>
      </rPr>
      <t>)</t>
    </r>
  </si>
  <si>
    <r>
      <t>1.17*F</t>
    </r>
    <r>
      <rPr>
        <vertAlign val="subscript"/>
        <sz val="10"/>
        <rFont val="Arial"/>
        <family val="2"/>
      </rPr>
      <t>L</t>
    </r>
    <r>
      <rPr>
        <sz val="10"/>
        <rFont val="Arial"/>
        <family val="2"/>
      </rPr>
      <t>*R</t>
    </r>
    <r>
      <rPr>
        <vertAlign val="superscript"/>
        <sz val="10"/>
        <rFont val="Arial"/>
        <family val="2"/>
      </rPr>
      <t>0.5</t>
    </r>
    <r>
      <rPr>
        <sz val="10"/>
        <rFont val="Arial"/>
        <family val="2"/>
      </rPr>
      <t>/t</t>
    </r>
    <r>
      <rPr>
        <vertAlign val="superscript"/>
        <sz val="10"/>
        <rFont val="Arial"/>
        <family val="2"/>
      </rPr>
      <t>1.5</t>
    </r>
  </si>
  <si>
    <r>
      <t>2.34*F</t>
    </r>
    <r>
      <rPr>
        <vertAlign val="subscript"/>
        <sz val="10"/>
        <rFont val="Arial"/>
        <family val="2"/>
      </rPr>
      <t>C</t>
    </r>
    <r>
      <rPr>
        <sz val="10"/>
        <rFont val="Arial"/>
        <family val="2"/>
      </rPr>
      <t>*R</t>
    </r>
    <r>
      <rPr>
        <vertAlign val="superscript"/>
        <sz val="10"/>
        <rFont val="Arial"/>
        <family val="2"/>
      </rPr>
      <t>0.5</t>
    </r>
    <r>
      <rPr>
        <sz val="10"/>
        <rFont val="Arial"/>
        <family val="2"/>
      </rPr>
      <t>/t</t>
    </r>
    <r>
      <rPr>
        <vertAlign val="superscript"/>
        <sz val="10"/>
        <rFont val="Arial"/>
        <family val="2"/>
      </rPr>
      <t>1.5</t>
    </r>
  </si>
  <si>
    <t>REFERENCE:</t>
  </si>
  <si>
    <t xml:space="preserve">The formulae used for trunion calculation are as per "Design of Piping Systems" by M.W. Kellog Company based on the </t>
  </si>
  <si>
    <t>bending of a beam on an elastic foundation.</t>
  </si>
  <si>
    <t>STRESS SYSTEM NO.</t>
  </si>
  <si>
    <t>NODE NO.</t>
  </si>
  <si>
    <t>COMBINED ALLOWABLE STRESS CHECK FOR PARENT PIPE</t>
  </si>
  <si>
    <r>
      <t>Long. Bending Mom. M</t>
    </r>
    <r>
      <rPr>
        <vertAlign val="subscript"/>
        <sz val="10"/>
        <rFont val="Arial"/>
        <family val="2"/>
      </rPr>
      <t>L</t>
    </r>
    <r>
      <rPr>
        <sz val="10"/>
        <rFont val="Arial"/>
        <family val="2"/>
      </rPr>
      <t>=</t>
    </r>
  </si>
  <si>
    <r>
      <t>(M</t>
    </r>
    <r>
      <rPr>
        <vertAlign val="subscript"/>
        <sz val="10"/>
        <rFont val="Arial"/>
        <family val="2"/>
      </rPr>
      <t>L</t>
    </r>
    <r>
      <rPr>
        <vertAlign val="superscript"/>
        <sz val="10"/>
        <rFont val="Arial"/>
        <family val="2"/>
      </rPr>
      <t>2</t>
    </r>
    <r>
      <rPr>
        <sz val="10"/>
        <rFont val="Arial"/>
        <family val="2"/>
      </rPr>
      <t>+M</t>
    </r>
    <r>
      <rPr>
        <vertAlign val="subscript"/>
        <sz val="10"/>
        <rFont val="Arial"/>
        <family val="2"/>
      </rPr>
      <t>C</t>
    </r>
    <r>
      <rPr>
        <vertAlign val="superscript"/>
        <sz val="10"/>
        <rFont val="Arial"/>
        <family val="2"/>
      </rPr>
      <t>2</t>
    </r>
    <r>
      <rPr>
        <sz val="10"/>
        <rFont val="Arial"/>
        <family val="2"/>
      </rPr>
      <t>)</t>
    </r>
    <r>
      <rPr>
        <vertAlign val="superscript"/>
        <sz val="10"/>
        <rFont val="Arial"/>
        <family val="2"/>
      </rPr>
      <t>0.5</t>
    </r>
    <r>
      <rPr>
        <sz val="10"/>
        <rFont val="Arial"/>
        <family val="2"/>
      </rPr>
      <t xml:space="preserve"> / ((π(d</t>
    </r>
    <r>
      <rPr>
        <vertAlign val="superscript"/>
        <sz val="10"/>
        <rFont val="Arial"/>
        <family val="2"/>
      </rPr>
      <t>4</t>
    </r>
    <r>
      <rPr>
        <sz val="10"/>
        <rFont val="Arial"/>
        <family val="2"/>
      </rPr>
      <t>-d</t>
    </r>
    <r>
      <rPr>
        <vertAlign val="subscript"/>
        <sz val="10"/>
        <rFont val="Arial"/>
        <family val="2"/>
      </rPr>
      <t>i</t>
    </r>
    <r>
      <rPr>
        <vertAlign val="superscript"/>
        <sz val="10"/>
        <rFont val="Arial"/>
        <family val="2"/>
      </rPr>
      <t>4</t>
    </r>
    <r>
      <rPr>
        <sz val="10"/>
        <rFont val="Arial"/>
        <family val="2"/>
      </rPr>
      <t>)/ (32 d)))</t>
    </r>
  </si>
  <si>
    <r>
      <t xml:space="preserve">Circum. Bending Mom. </t>
    </r>
    <r>
      <rPr>
        <sz val="10"/>
        <rFont val="Arial"/>
        <family val="2"/>
      </rPr>
      <t>M</t>
    </r>
    <r>
      <rPr>
        <vertAlign val="subscript"/>
        <sz val="10"/>
        <rFont val="Arial"/>
        <family val="2"/>
      </rPr>
      <t>C</t>
    </r>
    <r>
      <rPr>
        <sz val="10"/>
        <rFont val="Arial"/>
        <family val="2"/>
      </rPr>
      <t>=</t>
    </r>
  </si>
  <si>
    <t>-</t>
  </si>
  <si>
    <t>Parent Pipe O.D., D=</t>
  </si>
  <si>
    <t>Parent Pipe Radius, R=</t>
  </si>
  <si>
    <t>Corrosion Allowance (mm), C=</t>
  </si>
  <si>
    <r>
      <t>Note: Barg/10 gives N/mm</t>
    </r>
    <r>
      <rPr>
        <vertAlign val="superscript"/>
        <sz val="10"/>
        <rFont val="Arial"/>
        <family val="2"/>
      </rPr>
      <t>2</t>
    </r>
    <r>
      <rPr>
        <sz val="10"/>
        <rFont val="Arial"/>
        <family val="2"/>
      </rPr>
      <t>)</t>
    </r>
  </si>
  <si>
    <t>Select Parent Pipe Sch./mm</t>
  </si>
  <si>
    <t>Total Wall Thk., t=</t>
  </si>
  <si>
    <r>
      <t>Reinforcement Pad Thk.(mm), t</t>
    </r>
    <r>
      <rPr>
        <vertAlign val="subscript"/>
        <sz val="10"/>
        <rFont val="Arial"/>
        <family val="2"/>
      </rPr>
      <t>r</t>
    </r>
    <r>
      <rPr>
        <sz val="10"/>
        <rFont val="Arial"/>
        <family val="2"/>
      </rPr>
      <t>=</t>
    </r>
  </si>
  <si>
    <r>
      <t>Line Design Pressure [N/mm</t>
    </r>
    <r>
      <rPr>
        <vertAlign val="superscript"/>
        <sz val="10"/>
        <rFont val="Arial"/>
        <family val="2"/>
      </rPr>
      <t>2</t>
    </r>
    <r>
      <rPr>
        <sz val="10"/>
        <rFont val="Arial"/>
        <family val="2"/>
      </rPr>
      <t>], P=                                                       (Note: Barg/10 gives N/mm2)</t>
    </r>
  </si>
  <si>
    <r>
      <t>Design Temp. (</t>
    </r>
    <r>
      <rPr>
        <vertAlign val="superscript"/>
        <sz val="10"/>
        <rFont val="Arial"/>
        <family val="2"/>
      </rPr>
      <t>O</t>
    </r>
    <r>
      <rPr>
        <sz val="10"/>
        <rFont val="Arial"/>
        <family val="2"/>
      </rPr>
      <t>C)</t>
    </r>
  </si>
  <si>
    <r>
      <t>Parent Pipe Wall Thk.,t</t>
    </r>
    <r>
      <rPr>
        <vertAlign val="subscript"/>
        <sz val="10"/>
        <rFont val="Arial"/>
        <family val="2"/>
      </rPr>
      <t>p</t>
    </r>
    <r>
      <rPr>
        <sz val="10"/>
        <rFont val="Arial"/>
        <family val="2"/>
      </rPr>
      <t>=</t>
    </r>
  </si>
  <si>
    <r>
      <t>Hot Stress Allowable (MPa),S</t>
    </r>
    <r>
      <rPr>
        <vertAlign val="subscript"/>
        <sz val="10"/>
        <rFont val="Arial"/>
        <family val="2"/>
      </rPr>
      <t>h</t>
    </r>
  </si>
  <si>
    <t>Revision</t>
  </si>
  <si>
    <t>A</t>
  </si>
  <si>
    <t>Date</t>
  </si>
  <si>
    <t>Rev</t>
  </si>
  <si>
    <t>Description of Change</t>
  </si>
  <si>
    <t>Reviewer</t>
  </si>
  <si>
    <t>Approver</t>
  </si>
  <si>
    <t>Records of approval are retained in the BMS/Quality Department</t>
  </si>
  <si>
    <t>Krishnan A</t>
  </si>
  <si>
    <t>Ratul Barkataki</t>
  </si>
  <si>
    <t>CONTENTS</t>
  </si>
  <si>
    <t>Project:</t>
  </si>
  <si>
    <t>Client:</t>
  </si>
  <si>
    <t>Job No:</t>
  </si>
  <si>
    <t>Doc No:</t>
  </si>
  <si>
    <t>Rev.</t>
  </si>
  <si>
    <t>Date :</t>
  </si>
  <si>
    <t>Prep. By:</t>
  </si>
  <si>
    <t>Chkd. By:</t>
  </si>
  <si>
    <t>STANDARD PIPE WALL THICKNESS AS PER B36.10 &amp; B36.19</t>
  </si>
  <si>
    <t>Select Trunion Pipe Sch./mm</t>
  </si>
  <si>
    <t>Trunion Pipe O.D., d=</t>
  </si>
  <si>
    <r>
      <t>Trunion Pipe Wall Thk., t</t>
    </r>
    <r>
      <rPr>
        <vertAlign val="subscript"/>
        <sz val="10"/>
        <rFont val="Arial"/>
        <family val="2"/>
      </rPr>
      <t>t</t>
    </r>
    <r>
      <rPr>
        <sz val="10"/>
        <rFont val="Arial"/>
        <family val="2"/>
      </rPr>
      <t>=</t>
    </r>
  </si>
  <si>
    <r>
      <t>Trunion Pipe I.D., d</t>
    </r>
    <r>
      <rPr>
        <vertAlign val="subscript"/>
        <sz val="10"/>
        <rFont val="Arial"/>
        <family val="2"/>
      </rPr>
      <t>i</t>
    </r>
    <r>
      <rPr>
        <sz val="10"/>
        <rFont val="Arial"/>
        <family val="2"/>
      </rPr>
      <t>=</t>
    </r>
  </si>
  <si>
    <t>Trunion Pipe Radius, r=</t>
  </si>
  <si>
    <t>Trunion Loading</t>
  </si>
  <si>
    <t>Trunion Stresses</t>
  </si>
  <si>
    <t>(SCHEDULED THICKNESSES)</t>
  </si>
  <si>
    <t>ALLOWABLE STRESS CHECK FOR TRUNION</t>
  </si>
  <si>
    <t>TRUNION LOAD CHECK CALCULATION</t>
  </si>
  <si>
    <t>Pipe / Trunion Data</t>
  </si>
  <si>
    <t>Select Parent Pipe Nominal Size (")</t>
  </si>
  <si>
    <t>Select Trunion Pipe Nominal Size (")</t>
  </si>
  <si>
    <t>The user shall fill data in the cells highlighted yellow only.</t>
  </si>
  <si>
    <t>A M Madan</t>
  </si>
  <si>
    <r>
      <t>1.5*1.17*F</t>
    </r>
    <r>
      <rPr>
        <vertAlign val="subscript"/>
        <sz val="10"/>
        <rFont val="Arial"/>
        <family val="2"/>
      </rPr>
      <t>A</t>
    </r>
    <r>
      <rPr>
        <sz val="10"/>
        <rFont val="Arial"/>
        <family val="2"/>
      </rPr>
      <t>*R</t>
    </r>
    <r>
      <rPr>
        <vertAlign val="superscript"/>
        <sz val="10"/>
        <rFont val="Arial"/>
        <family val="2"/>
      </rPr>
      <t>0.5</t>
    </r>
    <r>
      <rPr>
        <sz val="10"/>
        <rFont val="Arial"/>
        <family val="2"/>
      </rPr>
      <t>/t</t>
    </r>
    <r>
      <rPr>
        <vertAlign val="superscript"/>
        <sz val="10"/>
        <rFont val="Arial"/>
        <family val="2"/>
      </rPr>
      <t>1.5</t>
    </r>
  </si>
  <si>
    <r>
      <t>F</t>
    </r>
    <r>
      <rPr>
        <vertAlign val="subscript"/>
        <sz val="10"/>
        <rFont val="Arial"/>
        <family val="2"/>
      </rPr>
      <t>L</t>
    </r>
    <r>
      <rPr>
        <sz val="10"/>
        <rFont val="Arial"/>
        <family val="2"/>
      </rPr>
      <t xml:space="preserve"> = </t>
    </r>
  </si>
  <si>
    <r>
      <t>F</t>
    </r>
    <r>
      <rPr>
        <vertAlign val="subscript"/>
        <sz val="10"/>
        <rFont val="Arial"/>
        <family val="2"/>
      </rPr>
      <t>C</t>
    </r>
    <r>
      <rPr>
        <sz val="10"/>
        <rFont val="Arial"/>
        <family val="2"/>
      </rPr>
      <t xml:space="preserve"> =</t>
    </r>
  </si>
  <si>
    <r>
      <t>F</t>
    </r>
    <r>
      <rPr>
        <vertAlign val="subscript"/>
        <sz val="10"/>
        <rFont val="Arial"/>
        <family val="2"/>
      </rPr>
      <t>A</t>
    </r>
    <r>
      <rPr>
        <sz val="10"/>
        <rFont val="Arial"/>
        <family val="2"/>
      </rPr>
      <t xml:space="preserve"> =</t>
    </r>
  </si>
  <si>
    <r>
      <t>&lt;= 1.5 x S</t>
    </r>
    <r>
      <rPr>
        <vertAlign val="subscript"/>
        <sz val="10"/>
        <rFont val="Arial"/>
        <family val="2"/>
      </rPr>
      <t>h</t>
    </r>
    <r>
      <rPr>
        <sz val="10"/>
        <rFont val="Arial"/>
        <family val="2"/>
      </rPr>
      <t xml:space="preserve"> =</t>
    </r>
  </si>
  <si>
    <r>
      <t>&lt;= S</t>
    </r>
    <r>
      <rPr>
        <vertAlign val="subscript"/>
        <sz val="10"/>
        <rFont val="Arial"/>
        <family val="2"/>
      </rPr>
      <t>h</t>
    </r>
    <r>
      <rPr>
        <sz val="10"/>
        <rFont val="Arial"/>
        <family val="2"/>
      </rPr>
      <t xml:space="preserve"> =</t>
    </r>
  </si>
  <si>
    <r>
      <t>Axial load, F</t>
    </r>
    <r>
      <rPr>
        <vertAlign val="subscript"/>
        <sz val="10"/>
        <rFont val="Arial"/>
        <family val="2"/>
      </rPr>
      <t>AXIAL</t>
    </r>
    <r>
      <rPr>
        <sz val="10"/>
        <rFont val="Arial"/>
        <family val="2"/>
      </rPr>
      <t xml:space="preserve"> =</t>
    </r>
  </si>
  <si>
    <r>
      <t>Circumferential load, F</t>
    </r>
    <r>
      <rPr>
        <vertAlign val="subscript"/>
        <sz val="10"/>
        <rFont val="Arial"/>
        <family val="2"/>
      </rPr>
      <t>CIRCUM</t>
    </r>
    <r>
      <rPr>
        <sz val="10"/>
        <rFont val="Arial"/>
        <family val="2"/>
      </rPr>
      <t xml:space="preserve"> =</t>
    </r>
  </si>
  <si>
    <r>
      <t>Vertical load, F</t>
    </r>
    <r>
      <rPr>
        <vertAlign val="subscript"/>
        <sz val="10"/>
        <rFont val="Arial"/>
        <family val="2"/>
      </rPr>
      <t>LONG</t>
    </r>
    <r>
      <rPr>
        <sz val="10"/>
        <rFont val="Arial"/>
        <family val="2"/>
      </rPr>
      <t xml:space="preserve"> =</t>
    </r>
  </si>
  <si>
    <t>Document Number</t>
  </si>
  <si>
    <t>Applicability</t>
  </si>
  <si>
    <t>Sharjah, Mumbai, Chennai, Jakarta</t>
  </si>
  <si>
    <t>Document Type</t>
  </si>
  <si>
    <t>Spread Sheet</t>
  </si>
  <si>
    <t>REVISION / APPROVAL HISTORY</t>
  </si>
  <si>
    <t>Approved</t>
  </si>
  <si>
    <t>Ratul Barkataki   E. Lakshmanan  K.S. Venkatesan G Govindaraj</t>
  </si>
  <si>
    <t>A Vaidya</t>
  </si>
  <si>
    <t>Draft in Development</t>
  </si>
  <si>
    <t>Originator</t>
  </si>
  <si>
    <t>PURPOSE</t>
  </si>
  <si>
    <t>SCOPE</t>
  </si>
  <si>
    <t>DEFINITIONS AND ACRONYMS</t>
  </si>
  <si>
    <t>Definitions</t>
  </si>
  <si>
    <t>Acronyms</t>
  </si>
  <si>
    <t xml:space="preserve">REFERENCES </t>
  </si>
  <si>
    <t xml:space="preserve">RESPONSIBILITY &amp; AUTHORITY </t>
  </si>
  <si>
    <t>DESCRIPTION OF ACTIVITIES</t>
  </si>
  <si>
    <t>RECORDS</t>
  </si>
  <si>
    <t>APPENDICES</t>
  </si>
  <si>
    <t>1.0    PURPOSE</t>
  </si>
  <si>
    <t>The purpose of this spreadsheet is to check the adequacy of Trunion used for supporting pipe.</t>
  </si>
  <si>
    <t>2.0    SCOPE</t>
  </si>
  <si>
    <t>This spreadsheet calculates the stresses in Trunion &amp; Parent Pipe and checks with allowable stresses as per "Design of Piping Systems" by M.W.Kellog Company based on the bending of a beam on an elastic foundation.</t>
  </si>
  <si>
    <t>3.0     DEFINITIONS AND ACRONYMS</t>
  </si>
  <si>
    <t>3.1    Definitions</t>
  </si>
  <si>
    <t>N/A</t>
  </si>
  <si>
    <t>3.2    Acronyms</t>
  </si>
  <si>
    <t>ASME - American Society of Mechanical Engineers.</t>
  </si>
  <si>
    <t xml:space="preserve">4.0    REFERENCES </t>
  </si>
  <si>
    <t>Trunion Load Check Calculation (Validation Record)</t>
  </si>
  <si>
    <t>Design of Piping system by M W Kellog company</t>
  </si>
  <si>
    <t xml:space="preserve">5.0    RESPONSIBILITY &amp; AUTHORITY </t>
  </si>
  <si>
    <t>All Stress Engineers are the main users. Approval &amp; checking responsibility lies with Lead/Area Lead Stress Engineer.</t>
  </si>
  <si>
    <t>6.0    DESCRIPTION OF ACTIVITIES</t>
  </si>
  <si>
    <t>This spread sheet is used for checking adequacy of Trunion used for supporting pipe by calculating stresses in Trunion &amp; Parent Pipe based on method given in "Design of Piping systems" by M W Kellog Company which is based on the bending of a beam on elastic foundation.</t>
  </si>
  <si>
    <t>Spreadsheet calculates the value of cells highlighted in green.</t>
  </si>
  <si>
    <t>Trunion pipe material also shall be same as Parent Pipe. Same allowable stresses are considered for both Trunion &amp; Parent Pipe.</t>
  </si>
  <si>
    <t>Combined allowable stress check for Parent Pipe &amp; allowable stress check for Trunoin results should appear as "PASSED".</t>
  </si>
  <si>
    <t xml:space="preserve">If any of the stress check shows "FAILED",following possibilities need to be reviewed:                                                                                                                                          </t>
  </si>
  <si>
    <t xml:space="preserve">a) Addition of reinforcing pad  </t>
  </si>
  <si>
    <t xml:space="preserve">b) Reducing the length of Trunion                                                                                                                                                                                                     </t>
  </si>
  <si>
    <t xml:space="preserve">c) Increasing the size of Trunion                                    </t>
  </si>
  <si>
    <t xml:space="preserve">d) Reducing the load on Trunion by introducing additional support                                                                                                                                                                                                                                                                                                                                                                                                                                                                                                                                                                                                                                                                                                                                                      </t>
  </si>
  <si>
    <t xml:space="preserve">Excel sheets created as per steps 6.5 above need to be printed to "Abode PDF" before submitting final soft files for stress analysis. It shall not be submitted in Excel format.
</t>
  </si>
  <si>
    <t>7.0    RECORDS</t>
  </si>
  <si>
    <t>7.1</t>
  </si>
  <si>
    <t>7.2</t>
  </si>
  <si>
    <t>7.3</t>
  </si>
  <si>
    <t>7.4</t>
  </si>
  <si>
    <t>The validation has been performed by the following persons:</t>
  </si>
  <si>
    <t>Discipline Engineer:</t>
  </si>
  <si>
    <t>Omid Tofighi</t>
  </si>
  <si>
    <t>Discipline Checker:</t>
  </si>
  <si>
    <t>Krishnan Anantha</t>
  </si>
  <si>
    <t>Independent Tester:</t>
  </si>
  <si>
    <t>Lead Discipline Engineer :</t>
  </si>
  <si>
    <t>8.0    APPENDICES</t>
  </si>
  <si>
    <t>AREA</t>
  </si>
  <si>
    <r>
      <t>F</t>
    </r>
    <r>
      <rPr>
        <vertAlign val="subscript"/>
        <sz val="10"/>
        <rFont val="Arial"/>
        <family val="2"/>
      </rPr>
      <t>LONG</t>
    </r>
    <r>
      <rPr>
        <sz val="10"/>
        <rFont val="Arial"/>
        <family val="2"/>
      </rPr>
      <t xml:space="preserve"> * L</t>
    </r>
  </si>
  <si>
    <r>
      <t>F</t>
    </r>
    <r>
      <rPr>
        <vertAlign val="subscript"/>
        <sz val="10"/>
        <rFont val="Arial"/>
        <family val="2"/>
      </rPr>
      <t>CIRCUM</t>
    </r>
    <r>
      <rPr>
        <sz val="10"/>
        <rFont val="Arial"/>
        <family val="2"/>
      </rPr>
      <t xml:space="preserve"> x L</t>
    </r>
  </si>
  <si>
    <r>
      <t>F</t>
    </r>
    <r>
      <rPr>
        <vertAlign val="subscript"/>
        <sz val="10"/>
        <rFont val="Arial"/>
        <family val="2"/>
      </rPr>
      <t>AXIAL</t>
    </r>
    <r>
      <rPr>
        <sz val="10"/>
        <rFont val="Arial"/>
        <family val="2"/>
      </rPr>
      <t>/(2*π*r)</t>
    </r>
  </si>
  <si>
    <r>
      <t>S</t>
    </r>
    <r>
      <rPr>
        <vertAlign val="subscript"/>
        <sz val="10"/>
        <rFont val="Arial"/>
        <family val="2"/>
      </rPr>
      <t>L</t>
    </r>
    <r>
      <rPr>
        <sz val="10"/>
        <rFont val="Arial"/>
        <family val="2"/>
      </rPr>
      <t xml:space="preserve"> =</t>
    </r>
  </si>
  <si>
    <r>
      <t>S</t>
    </r>
    <r>
      <rPr>
        <vertAlign val="subscript"/>
        <sz val="10"/>
        <rFont val="Arial"/>
        <family val="2"/>
      </rPr>
      <t>C</t>
    </r>
    <r>
      <rPr>
        <sz val="10"/>
        <rFont val="Arial"/>
        <family val="2"/>
      </rPr>
      <t xml:space="preserve"> =</t>
    </r>
  </si>
  <si>
    <r>
      <t>S</t>
    </r>
    <r>
      <rPr>
        <vertAlign val="subscript"/>
        <sz val="10"/>
        <rFont val="Arial"/>
        <family val="2"/>
      </rPr>
      <t>A</t>
    </r>
    <r>
      <rPr>
        <sz val="10"/>
        <rFont val="Arial"/>
        <family val="2"/>
      </rPr>
      <t xml:space="preserve"> =</t>
    </r>
  </si>
  <si>
    <r>
      <t>S</t>
    </r>
    <r>
      <rPr>
        <vertAlign val="subscript"/>
        <sz val="10"/>
        <rFont val="Arial"/>
        <family val="2"/>
      </rPr>
      <t>L</t>
    </r>
    <r>
      <rPr>
        <sz val="10"/>
        <rFont val="Arial"/>
        <family val="2"/>
      </rPr>
      <t xml:space="preserve"> + S</t>
    </r>
    <r>
      <rPr>
        <vertAlign val="subscript"/>
        <sz val="10"/>
        <rFont val="Arial"/>
        <family val="2"/>
      </rPr>
      <t>A</t>
    </r>
    <r>
      <rPr>
        <sz val="10"/>
        <rFont val="Arial"/>
        <family val="2"/>
      </rPr>
      <t xml:space="preserve"> + S</t>
    </r>
    <r>
      <rPr>
        <vertAlign val="subscript"/>
        <sz val="10"/>
        <rFont val="Arial"/>
        <family val="2"/>
      </rPr>
      <t>LP</t>
    </r>
    <r>
      <rPr>
        <sz val="10"/>
        <rFont val="Arial"/>
        <family val="2"/>
      </rPr>
      <t xml:space="preserve"> =</t>
    </r>
  </si>
  <si>
    <r>
      <t>S</t>
    </r>
    <r>
      <rPr>
        <vertAlign val="subscript"/>
        <sz val="10"/>
        <rFont val="Arial"/>
        <family val="2"/>
      </rPr>
      <t>C</t>
    </r>
    <r>
      <rPr>
        <sz val="10"/>
        <rFont val="Arial"/>
        <family val="2"/>
      </rPr>
      <t xml:space="preserve"> + S</t>
    </r>
    <r>
      <rPr>
        <vertAlign val="subscript"/>
        <sz val="10"/>
        <rFont val="Arial"/>
        <family val="2"/>
      </rPr>
      <t>A</t>
    </r>
    <r>
      <rPr>
        <sz val="10"/>
        <rFont val="Arial"/>
        <family val="2"/>
      </rPr>
      <t xml:space="preserve"> + S</t>
    </r>
    <r>
      <rPr>
        <vertAlign val="subscript"/>
        <sz val="10"/>
        <rFont val="Arial"/>
        <family val="2"/>
      </rPr>
      <t>CP</t>
    </r>
    <r>
      <rPr>
        <sz val="10"/>
        <rFont val="Arial"/>
        <family val="2"/>
      </rPr>
      <t xml:space="preserve"> =</t>
    </r>
  </si>
  <si>
    <t>Janardhan Acharya/ Thomas John</t>
  </si>
  <si>
    <t>When trunion calculation is to be carried out for a specific stress system (e.g. SYS-XXX), copy only sheet "2.0 Calculation" to the appropriate folder of the stress system. Rename the Excel file as "Trunion Calculation-SYS-XXX" and rename the sheet as " SYS-XXX (Node XXX) to reflect Node no. as per Caesar model. Keep adding sheets to same Excel file if trunion calculation is required for more than one Node with proper sheet name as described above.</t>
  </si>
  <si>
    <t>If the calculations have to be submitted as an independent document or as part of any other document, then only sheets Appendix 1: "2.0 Calculation" shall be submitted.</t>
  </si>
  <si>
    <t xml:space="preserve"> APPENDIX 1 : Calculation.</t>
  </si>
  <si>
    <t xml:space="preserve"> APPENDIX 2 : Standard Pipe Wall Thk.</t>
  </si>
  <si>
    <r>
      <t>ASME B36.10-</t>
    </r>
    <r>
      <rPr>
        <b/>
        <sz val="11"/>
        <color indexed="10"/>
        <rFont val="Trebuchet MS"/>
        <family val="2"/>
      </rPr>
      <t>2004</t>
    </r>
    <r>
      <rPr>
        <sz val="11"/>
        <rFont val="Trebuchet MS"/>
        <family val="2"/>
      </rPr>
      <t xml:space="preserve">   WELDED AND SEAMLESS WROUGHT STEEL PIPE</t>
    </r>
  </si>
  <si>
    <r>
      <t>ASME B36.19-</t>
    </r>
    <r>
      <rPr>
        <b/>
        <sz val="11"/>
        <color indexed="10"/>
        <rFont val="Trebuchet MS"/>
        <family val="2"/>
      </rPr>
      <t>2004</t>
    </r>
    <r>
      <rPr>
        <sz val="11"/>
        <rFont val="Trebuchet MS"/>
        <family val="2"/>
      </rPr>
      <t xml:space="preserve">   STAINLESS STEEL PIPE</t>
    </r>
  </si>
  <si>
    <t>PEC-EN-VSS-L-3204</t>
  </si>
  <si>
    <t>This spreadsheet has been validated in accordance with doc. no. PEC-EN-PRO-X-0032, Software &amp; Spreadsheet Validation.</t>
  </si>
  <si>
    <t>The validation is documented in Validation Record PEC-EN-VSS-L-6577.The check list number for validation document is EPI-SPR-002. This checklist conforms to doc. no. PEC-EN-FRM-X-0206, Spreadsheet Validation Checklist.</t>
  </si>
  <si>
    <t>PEC-EN-PRO-X-0032</t>
  </si>
  <si>
    <t xml:space="preserve"> Software &amp; Spreadsheet Validation.</t>
  </si>
  <si>
    <t>PEC-EN-FRM-X-0206</t>
  </si>
  <si>
    <t>Spreadsheet Validation Checklist.</t>
  </si>
  <si>
    <t>PEC-EN-VSR-L-6577</t>
  </si>
  <si>
    <t>TINRHERT FIELD DEVELOPMENT PROJECT-EPC 1</t>
  </si>
  <si>
    <t>SONATRACH ACTIVITE AMONT</t>
  </si>
  <si>
    <t>JI-2043</t>
  </si>
  <si>
    <t>ERS</t>
  </si>
  <si>
    <t>UK</t>
  </si>
  <si>
    <t>Future Compressor</t>
  </si>
  <si>
    <t>SYS-171A</t>
  </si>
  <si>
    <t>17/06/2020</t>
  </si>
  <si>
    <t>Attachment to  08572-TRHT-RT-PI-00-OO-313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</si>
</sst>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quot;£&quot;#,##0;[Red]\-&quot;£&quot;#,##0"/>
    <numFmt numFmtId="165" formatCode="&quot;£&quot;#,##0.00;[Red]\-&quot;£&quot;#,##0.00"/>
    <numFmt numFmtId="166" formatCode="_-* #,##0_-;\-* #,##0_-;_-* &quot;-&quot;_-;_-@_-"/>
    <numFmt numFmtId="167" formatCode="_-* #,##0.00_-;\-* #,##0.00_-;_-* &quot;-&quot;??_-;_-@_-"/>
    <numFmt numFmtId="168" formatCode="_-* #,##0\ &quot;F&quot;_-;\-* #,##0\ &quot;F&quot;_-;_-* &quot;-&quot;\ &quot;F&quot;_-;_-@_-"/>
    <numFmt numFmtId="169" formatCode="_-* #,##0\ _F_-;\-* #,##0\ _F_-;_-* &quot;-&quot;\ _F_-;_-@_-"/>
    <numFmt numFmtId="170" formatCode="_-* #,##0.00\ &quot;F&quot;_-;\-* #,##0.00\ &quot;F&quot;_-;_-* &quot;-&quot;??\ &quot;F&quot;_-;_-@_-"/>
    <numFmt numFmtId="171" formatCode="_-* #,##0.00\ _F_-;\-* #,##0.00\ _F_-;_-* &quot;-&quot;??\ _F_-;_-@_-"/>
    <numFmt numFmtId="172" formatCode="0.00_)"/>
    <numFmt numFmtId="173" formatCode="&quot;$&quot;#,##0;\-&quot;$&quot;#,##0"/>
    <numFmt numFmtId="174" formatCode="#,##0.0_);\(#,##0.0\)"/>
    <numFmt numFmtId="175" formatCode="mm/dd/yy"/>
    <numFmt numFmtId="176" formatCode="&quot;$&quot;#,##0.0000_);\(&quot;$&quot;#,##0.0000\)"/>
  </numFmts>
  <fonts count="56">
    <font>
      <sz val="12"/>
      <name val="CG Times"/>
    </font>
    <font>
      <sz val="12"/>
      <name val="CG Times"/>
    </font>
    <font>
      <sz val="10"/>
      <name val="Arial"/>
      <family val="2"/>
    </font>
    <font>
      <b/>
      <u/>
      <sz val="10"/>
      <name val="Arial"/>
      <family val="2"/>
    </font>
    <font>
      <b/>
      <sz val="10"/>
      <name val="Arial"/>
      <family val="2"/>
    </font>
    <font>
      <b/>
      <u/>
      <sz val="12"/>
      <name val="Arial"/>
      <family val="2"/>
    </font>
    <font>
      <sz val="10"/>
      <name val="Arial"/>
      <family val="2"/>
    </font>
    <font>
      <sz val="10"/>
      <name val="CG Times"/>
      <family val="1"/>
    </font>
    <font>
      <sz val="7"/>
      <name val="Arial"/>
      <family val="2"/>
    </font>
    <font>
      <sz val="18"/>
      <name val="Times New Roman"/>
      <family val="1"/>
    </font>
    <font>
      <sz val="12"/>
      <name val="Times New Roman"/>
      <family val="1"/>
    </font>
    <font>
      <b/>
      <sz val="12"/>
      <name val="Times New Roman"/>
      <family val="1"/>
    </font>
    <font>
      <sz val="14"/>
      <name val="Times New Roman"/>
      <family val="1"/>
    </font>
    <font>
      <b/>
      <sz val="10"/>
      <name val="Times New Roman"/>
      <family val="1"/>
    </font>
    <font>
      <sz val="11"/>
      <name val="CG Times"/>
      <family val="1"/>
    </font>
    <font>
      <sz val="8"/>
      <name val="Arial Narrow"/>
      <family val="2"/>
    </font>
    <font>
      <u/>
      <sz val="10"/>
      <color indexed="12"/>
      <name val="Arial"/>
      <family val="2"/>
    </font>
    <font>
      <sz val="8"/>
      <name val="Arial"/>
      <family val="2"/>
    </font>
    <font>
      <b/>
      <i/>
      <sz val="8"/>
      <name val="Arial"/>
      <family val="2"/>
    </font>
    <font>
      <sz val="9"/>
      <name val="Arial"/>
      <family val="2"/>
    </font>
    <font>
      <b/>
      <sz val="10"/>
      <name val="Arial"/>
      <family val="2"/>
    </font>
    <font>
      <vertAlign val="subscript"/>
      <sz val="10"/>
      <name val="Arial"/>
      <family val="2"/>
    </font>
    <font>
      <vertAlign val="superscript"/>
      <sz val="10"/>
      <name val="Arial"/>
      <family val="2"/>
    </font>
    <font>
      <sz val="12"/>
      <name val="Arial"/>
      <family val="2"/>
    </font>
    <font>
      <sz val="8"/>
      <name val="Times New Roman"/>
      <family val="1"/>
    </font>
    <font>
      <sz val="10"/>
      <name val="MS Serif"/>
      <family val="1"/>
    </font>
    <font>
      <sz val="10"/>
      <name val="Courier"/>
      <family val="3"/>
    </font>
    <font>
      <sz val="10"/>
      <color indexed="16"/>
      <name val="MS Serif"/>
      <family val="1"/>
    </font>
    <font>
      <b/>
      <sz val="12"/>
      <name val="Arial"/>
      <family val="2"/>
    </font>
    <font>
      <sz val="12"/>
      <name val="Helv"/>
    </font>
    <font>
      <sz val="12"/>
      <color indexed="9"/>
      <name val="Helv"/>
    </font>
    <font>
      <b/>
      <i/>
      <sz val="16"/>
      <name val="Helv"/>
    </font>
    <font>
      <sz val="10"/>
      <name val="Tms Rmn"/>
    </font>
    <font>
      <sz val="10"/>
      <name val="MS Sans Serif"/>
      <family val="2"/>
    </font>
    <font>
      <sz val="8"/>
      <name val="Helv"/>
    </font>
    <font>
      <b/>
      <sz val="8"/>
      <color indexed="8"/>
      <name val="Helv"/>
    </font>
    <font>
      <sz val="8"/>
      <name val="Arial"/>
      <family val="2"/>
    </font>
    <font>
      <sz val="10"/>
      <name val="Trebuchet MS"/>
      <family val="2"/>
    </font>
    <font>
      <sz val="9"/>
      <name val="Trebuchet MS"/>
      <family val="2"/>
    </font>
    <font>
      <b/>
      <sz val="16"/>
      <name val="Trebuchet MS"/>
      <family val="2"/>
    </font>
    <font>
      <b/>
      <sz val="11"/>
      <name val="Trebuchet MS"/>
      <family val="2"/>
    </font>
    <font>
      <sz val="11"/>
      <name val="Trebuchet MS"/>
      <family val="2"/>
    </font>
    <font>
      <i/>
      <sz val="11"/>
      <name val="Trebuchet MS"/>
      <family val="2"/>
    </font>
    <font>
      <b/>
      <sz val="10"/>
      <name val="Trebuchet MS"/>
      <family val="2"/>
    </font>
    <font>
      <i/>
      <sz val="12"/>
      <name val="Arial"/>
      <family val="2"/>
    </font>
    <font>
      <sz val="11"/>
      <name val="Arial"/>
      <family val="2"/>
    </font>
    <font>
      <b/>
      <i/>
      <sz val="12"/>
      <name val="Arial"/>
      <family val="2"/>
    </font>
    <font>
      <b/>
      <i/>
      <sz val="10"/>
      <name val="Arial"/>
      <family val="2"/>
    </font>
    <font>
      <b/>
      <sz val="12"/>
      <name val="Trebuchet MS"/>
      <family val="2"/>
    </font>
    <font>
      <b/>
      <sz val="24"/>
      <name val="Trebuchet MS"/>
      <family val="2"/>
    </font>
    <font>
      <u/>
      <sz val="11"/>
      <color indexed="12"/>
      <name val="Trebuchet MS"/>
      <family val="2"/>
    </font>
    <font>
      <b/>
      <sz val="14"/>
      <name val="Arial"/>
      <family val="2"/>
    </font>
    <font>
      <sz val="10"/>
      <name val="Times New Roman"/>
      <family val="1"/>
    </font>
    <font>
      <sz val="8"/>
      <name val="Arial MT"/>
    </font>
    <font>
      <b/>
      <sz val="11"/>
      <color indexed="10"/>
      <name val="Trebuchet MS"/>
      <family val="2"/>
    </font>
    <font>
      <sz val="11"/>
      <color theme="1"/>
      <name val="Trebuchet MS"/>
      <family val="2"/>
    </font>
  </fonts>
  <fills count="11">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64"/>
      </patternFill>
    </fill>
    <fill>
      <patternFill patternType="solid">
        <fgColor indexed="9"/>
        <bgColor indexed="64"/>
      </patternFill>
    </fill>
    <fill>
      <patternFill patternType="solid">
        <fgColor rgb="FFFFFF00"/>
        <bgColor indexed="64"/>
      </patternFill>
    </fill>
    <fill>
      <patternFill patternType="solid">
        <fgColor rgb="FF92D050"/>
        <bgColor indexed="64"/>
      </patternFill>
    </fill>
  </fills>
  <borders count="61">
    <border>
      <left/>
      <right/>
      <top/>
      <bottom/>
      <diagonal/>
    </border>
    <border>
      <left style="medium">
        <color indexed="64"/>
      </left>
      <right/>
      <top style="medium">
        <color indexed="64"/>
      </top>
      <bottom/>
      <diagonal/>
    </border>
    <border>
      <left/>
      <right style="medium">
        <color indexed="64"/>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double">
        <color indexed="64"/>
      </bottom>
      <diagonal/>
    </border>
    <border>
      <left style="medium">
        <color indexed="64"/>
      </left>
      <right style="double">
        <color indexed="64"/>
      </right>
      <top style="medium">
        <color indexed="64"/>
      </top>
      <bottom style="double">
        <color indexed="64"/>
      </bottom>
      <diagonal/>
    </border>
    <border>
      <left style="double">
        <color indexed="64"/>
      </left>
      <right style="thin">
        <color indexed="64"/>
      </right>
      <top style="medium">
        <color indexed="64"/>
      </top>
      <bottom style="double">
        <color indexed="64"/>
      </bottom>
      <diagonal/>
    </border>
    <border>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style="thin">
        <color indexed="64"/>
      </bottom>
      <diagonal/>
    </border>
    <border>
      <left style="medium">
        <color indexed="64"/>
      </left>
      <right style="double">
        <color indexed="64"/>
      </right>
      <top/>
      <bottom style="thin">
        <color indexed="64"/>
      </bottom>
      <diagonal/>
    </border>
    <border>
      <left style="double">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thin">
        <color indexed="64"/>
      </bottom>
      <diagonal/>
    </border>
    <border>
      <left style="medium">
        <color indexed="64"/>
      </left>
      <right style="medium">
        <color indexed="64"/>
      </right>
      <top/>
      <bottom/>
      <diagonal/>
    </border>
    <border>
      <left style="medium">
        <color indexed="64"/>
      </left>
      <right style="double">
        <color indexed="64"/>
      </right>
      <top/>
      <bottom/>
      <diagonal/>
    </border>
    <border>
      <left style="double">
        <color indexed="64"/>
      </left>
      <right style="thin">
        <color indexed="64"/>
      </right>
      <top/>
      <bottom/>
      <diagonal/>
    </border>
    <border>
      <left style="medium">
        <color indexed="64"/>
      </left>
      <right style="medium">
        <color indexed="64"/>
      </right>
      <top style="thin">
        <color indexed="64"/>
      </top>
      <bottom style="medium">
        <color indexed="64"/>
      </bottom>
      <diagonal/>
    </border>
    <border>
      <left style="medium">
        <color indexed="64"/>
      </left>
      <right style="double">
        <color indexed="64"/>
      </right>
      <top style="thin">
        <color indexed="64"/>
      </top>
      <bottom style="medium">
        <color indexed="64"/>
      </bottom>
      <diagonal/>
    </border>
    <border>
      <left style="double">
        <color indexed="64"/>
      </left>
      <right style="thin">
        <color indexed="64"/>
      </right>
      <top style="thin">
        <color indexed="64"/>
      </top>
      <bottom style="medium">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medium">
        <color indexed="64"/>
      </right>
      <top/>
      <bottom style="medium">
        <color indexed="64"/>
      </bottom>
      <diagonal/>
    </border>
    <border>
      <left/>
      <right style="medium">
        <color indexed="64"/>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right/>
      <top/>
      <bottom style="medium">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right/>
      <top style="medium">
        <color indexed="64"/>
      </top>
      <bottom/>
      <diagonal/>
    </border>
    <border>
      <left style="medium">
        <color indexed="64"/>
      </left>
      <right style="thin">
        <color indexed="64"/>
      </right>
      <top/>
      <bottom/>
      <diagonal/>
    </border>
    <border>
      <left style="thin">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style="thin">
        <color indexed="64"/>
      </right>
      <top style="medium">
        <color indexed="64"/>
      </top>
      <bottom/>
      <diagonal/>
    </border>
    <border>
      <left style="thin">
        <color indexed="64"/>
      </left>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40">
    <xf numFmtId="0" fontId="0" fillId="0" borderId="0"/>
    <xf numFmtId="0" fontId="24" fillId="0" borderId="0">
      <alignment horizontal="center" wrapText="1"/>
      <protection locked="0"/>
    </xf>
    <xf numFmtId="0" fontId="51" fillId="0" borderId="1" applyFill="0" applyBorder="0"/>
    <xf numFmtId="0" fontId="2" fillId="0" borderId="0" applyFill="0" applyBorder="0"/>
    <xf numFmtId="176" fontId="6" fillId="0" borderId="0" applyFill="0" applyBorder="0" applyAlignment="0"/>
    <xf numFmtId="0" fontId="25" fillId="0" borderId="0" applyNumberFormat="0" applyAlignment="0">
      <alignment horizontal="left"/>
    </xf>
    <xf numFmtId="0" fontId="26" fillId="0" borderId="0" applyNumberFormat="0" applyAlignment="0"/>
    <xf numFmtId="165" fontId="2" fillId="0" borderId="0" applyFill="0" applyBorder="0" applyAlignment="0" applyProtection="0"/>
    <xf numFmtId="164" fontId="2" fillId="0" borderId="0" applyFill="0" applyBorder="0" applyAlignment="0" applyProtection="0"/>
    <xf numFmtId="0" fontId="27" fillId="0" borderId="0" applyNumberFormat="0" applyAlignment="0">
      <alignment horizontal="left"/>
    </xf>
    <xf numFmtId="0" fontId="52" fillId="0" borderId="2" applyNumberFormat="0" applyFill="0" applyBorder="0" applyAlignment="0" applyProtection="0">
      <protection locked="0"/>
    </xf>
    <xf numFmtId="38" fontId="17" fillId="2" borderId="0" applyNumberFormat="0" applyBorder="0" applyAlignment="0" applyProtection="0"/>
    <xf numFmtId="0" fontId="28" fillId="0" borderId="3" applyNumberFormat="0" applyAlignment="0" applyProtection="0">
      <alignment horizontal="left" vertical="center"/>
    </xf>
    <xf numFmtId="0" fontId="28" fillId="0" borderId="4">
      <alignment horizontal="left" vertical="center"/>
    </xf>
    <xf numFmtId="0" fontId="28" fillId="0" borderId="0"/>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10" fontId="17" fillId="3" borderId="5" applyNumberFormat="0" applyBorder="0" applyAlignment="0" applyProtection="0"/>
    <xf numFmtId="174" fontId="29" fillId="4" borderId="0"/>
    <xf numFmtId="174" fontId="30" fillId="5" borderId="0"/>
    <xf numFmtId="169" fontId="6" fillId="0" borderId="0" applyFont="0" applyFill="0" applyBorder="0" applyAlignment="0" applyProtection="0"/>
    <xf numFmtId="171" fontId="6" fillId="0" borderId="0" applyFont="0" applyFill="0" applyBorder="0" applyAlignment="0" applyProtection="0"/>
    <xf numFmtId="168" fontId="6" fillId="0" borderId="0" applyFont="0" applyFill="0" applyBorder="0" applyAlignment="0" applyProtection="0"/>
    <xf numFmtId="170" fontId="6" fillId="0" borderId="0" applyFont="0" applyFill="0" applyBorder="0" applyAlignment="0" applyProtection="0"/>
    <xf numFmtId="172" fontId="31" fillId="0" borderId="0"/>
    <xf numFmtId="0" fontId="2" fillId="0" borderId="0"/>
    <xf numFmtId="0" fontId="2" fillId="0" borderId="0"/>
    <xf numFmtId="0" fontId="6" fillId="0" borderId="0"/>
    <xf numFmtId="0" fontId="2" fillId="0" borderId="0"/>
    <xf numFmtId="0" fontId="2" fillId="0" borderId="0"/>
    <xf numFmtId="167" fontId="6" fillId="0" borderId="0" applyFont="0" applyFill="0" applyBorder="0" applyAlignment="0" applyProtection="0"/>
    <xf numFmtId="166" fontId="6" fillId="0" borderId="0" applyFont="0" applyFill="0" applyBorder="0" applyAlignment="0" applyProtection="0"/>
    <xf numFmtId="14" fontId="24" fillId="0" borderId="0">
      <alignment horizontal="center" wrapText="1"/>
      <protection locked="0"/>
    </xf>
    <xf numFmtId="10" fontId="6" fillId="0" borderId="0" applyFont="0" applyFill="0" applyBorder="0" applyAlignment="0" applyProtection="0"/>
    <xf numFmtId="173" fontId="32" fillId="0" borderId="0"/>
    <xf numFmtId="0" fontId="33" fillId="0" borderId="0" applyNumberFormat="0" applyFont="0" applyFill="0" applyBorder="0" applyAlignment="0" applyProtection="0">
      <alignment horizontal="left"/>
    </xf>
    <xf numFmtId="175" fontId="34" fillId="0" borderId="0" applyNumberFormat="0" applyFill="0" applyBorder="0" applyAlignment="0" applyProtection="0">
      <alignment horizontal="left"/>
    </xf>
    <xf numFmtId="0" fontId="53" fillId="0" borderId="6" applyBorder="0" applyAlignment="0">
      <alignment horizontal="left"/>
    </xf>
    <xf numFmtId="40" fontId="35" fillId="0" borderId="0" applyBorder="0">
      <alignment horizontal="right"/>
    </xf>
  </cellStyleXfs>
  <cellXfs count="363">
    <xf numFmtId="0" fontId="0" fillId="0" borderId="0" xfId="0"/>
    <xf numFmtId="0" fontId="0" fillId="6" borderId="5" xfId="0" applyFill="1" applyBorder="1" applyAlignment="1" applyProtection="1">
      <alignment horizontal="center"/>
      <protection locked="0"/>
    </xf>
    <xf numFmtId="0" fontId="0" fillId="6" borderId="5" xfId="0" applyFill="1" applyBorder="1" applyProtection="1">
      <protection locked="0"/>
    </xf>
    <xf numFmtId="0" fontId="4" fillId="6" borderId="0" xfId="0" applyFont="1" applyFill="1" applyBorder="1" applyAlignment="1" applyProtection="1">
      <alignment horizontal="center"/>
      <protection locked="0"/>
    </xf>
    <xf numFmtId="0" fontId="2" fillId="0" borderId="0" xfId="0" applyFont="1" applyProtection="1"/>
    <xf numFmtId="0" fontId="0" fillId="0" borderId="0" xfId="0" applyProtection="1"/>
    <xf numFmtId="0" fontId="0" fillId="0" borderId="0" xfId="0" applyBorder="1" applyProtection="1"/>
    <xf numFmtId="0" fontId="0" fillId="0" borderId="7" xfId="0" applyBorder="1" applyProtection="1"/>
    <xf numFmtId="0" fontId="2" fillId="0" borderId="8" xfId="0" applyFont="1" applyBorder="1" applyProtection="1"/>
    <xf numFmtId="0" fontId="2" fillId="0" borderId="5" xfId="0" applyFont="1" applyBorder="1" applyProtection="1"/>
    <xf numFmtId="0" fontId="2" fillId="0" borderId="9" xfId="0" applyFont="1" applyBorder="1" applyProtection="1"/>
    <xf numFmtId="0" fontId="2" fillId="0" borderId="10" xfId="0" applyFont="1" applyBorder="1" applyProtection="1"/>
    <xf numFmtId="0" fontId="2" fillId="0" borderId="11" xfId="0" applyFont="1" applyBorder="1" applyProtection="1"/>
    <xf numFmtId="0" fontId="2" fillId="0" borderId="12" xfId="0" applyFont="1" applyBorder="1" applyProtection="1"/>
    <xf numFmtId="0" fontId="0" fillId="0" borderId="7" xfId="0" applyBorder="1" applyAlignment="1" applyProtection="1">
      <alignment horizontal="right"/>
    </xf>
    <xf numFmtId="0" fontId="0" fillId="0" borderId="0" xfId="0" applyAlignment="1" applyProtection="1">
      <alignment horizontal="right"/>
    </xf>
    <xf numFmtId="0" fontId="17" fillId="0" borderId="0" xfId="28" applyFont="1" applyProtection="1">
      <protection hidden="1"/>
    </xf>
    <xf numFmtId="0" fontId="17" fillId="0" borderId="0" xfId="28" applyFont="1" applyAlignment="1" applyProtection="1">
      <alignment horizontal="right"/>
      <protection hidden="1"/>
    </xf>
    <xf numFmtId="0" fontId="6" fillId="0" borderId="0" xfId="28" applyProtection="1"/>
    <xf numFmtId="0" fontId="6" fillId="0" borderId="0" xfId="28" quotePrefix="1" applyFont="1" applyAlignment="1" applyProtection="1">
      <alignment horizontal="center"/>
    </xf>
    <xf numFmtId="0" fontId="17" fillId="0" borderId="0" xfId="28" quotePrefix="1" applyFont="1" applyProtection="1"/>
    <xf numFmtId="0" fontId="0" fillId="0" borderId="0" xfId="0" applyBorder="1" applyAlignment="1" applyProtection="1">
      <alignment horizontal="right"/>
    </xf>
    <xf numFmtId="12" fontId="47" fillId="0" borderId="13" xfId="28" applyNumberFormat="1" applyFont="1" applyBorder="1" applyAlignment="1" applyProtection="1">
      <alignment horizontal="center"/>
      <protection hidden="1"/>
    </xf>
    <xf numFmtId="0" fontId="47" fillId="0" borderId="14" xfId="28" applyFont="1" applyBorder="1" applyAlignment="1" applyProtection="1">
      <alignment horizontal="center"/>
      <protection hidden="1"/>
    </xf>
    <xf numFmtId="0" fontId="47" fillId="0" borderId="15" xfId="28" applyFont="1" applyBorder="1" applyAlignment="1" applyProtection="1">
      <alignment horizontal="right"/>
      <protection hidden="1"/>
    </xf>
    <xf numFmtId="0" fontId="47" fillId="0" borderId="16" xfId="28" applyFont="1" applyBorder="1" applyAlignment="1" applyProtection="1">
      <alignment horizontal="center"/>
      <protection hidden="1"/>
    </xf>
    <xf numFmtId="0" fontId="20" fillId="0" borderId="17" xfId="28" applyFont="1" applyBorder="1" applyAlignment="1" applyProtection="1">
      <alignment horizontal="center"/>
      <protection hidden="1"/>
    </xf>
    <xf numFmtId="0" fontId="20" fillId="0" borderId="18" xfId="28" applyFont="1" applyBorder="1" applyAlignment="1" applyProtection="1">
      <alignment horizontal="center"/>
      <protection hidden="1"/>
    </xf>
    <xf numFmtId="12" fontId="2" fillId="0" borderId="19" xfId="28" quotePrefix="1" applyNumberFormat="1" applyFont="1" applyBorder="1" applyAlignment="1" applyProtection="1">
      <alignment horizontal="right"/>
      <protection hidden="1"/>
    </xf>
    <xf numFmtId="0" fontId="2" fillId="0" borderId="20" xfId="28" applyFont="1" applyBorder="1" applyProtection="1">
      <protection hidden="1"/>
    </xf>
    <xf numFmtId="0" fontId="2" fillId="0" borderId="21" xfId="28" applyFont="1" applyBorder="1" applyAlignment="1" applyProtection="1">
      <alignment horizontal="right"/>
      <protection hidden="1"/>
    </xf>
    <xf numFmtId="0" fontId="2" fillId="0" borderId="22" xfId="28" applyFont="1" applyBorder="1" applyProtection="1">
      <protection hidden="1"/>
    </xf>
    <xf numFmtId="0" fontId="2" fillId="0" borderId="23" xfId="28" applyFont="1" applyBorder="1" applyProtection="1">
      <protection hidden="1"/>
    </xf>
    <xf numFmtId="0" fontId="2" fillId="0" borderId="23" xfId="28" applyFont="1" applyFill="1" applyBorder="1" applyProtection="1">
      <protection hidden="1"/>
    </xf>
    <xf numFmtId="0" fontId="2" fillId="0" borderId="24" xfId="28" applyFont="1" applyBorder="1" applyProtection="1">
      <protection hidden="1"/>
    </xf>
    <xf numFmtId="12" fontId="2" fillId="0" borderId="25" xfId="28" quotePrefix="1" applyNumberFormat="1" applyFont="1" applyBorder="1" applyAlignment="1" applyProtection="1">
      <alignment horizontal="right"/>
      <protection hidden="1"/>
    </xf>
    <xf numFmtId="0" fontId="2" fillId="0" borderId="26" xfId="28" applyFont="1" applyBorder="1" applyProtection="1">
      <protection hidden="1"/>
    </xf>
    <xf numFmtId="0" fontId="2" fillId="0" borderId="27" xfId="28" applyFont="1" applyBorder="1" applyAlignment="1" applyProtection="1">
      <alignment horizontal="right"/>
      <protection hidden="1"/>
    </xf>
    <xf numFmtId="0" fontId="2" fillId="0" borderId="8" xfId="28" applyFont="1" applyBorder="1" applyProtection="1">
      <protection hidden="1"/>
    </xf>
    <xf numFmtId="0" fontId="2" fillId="0" borderId="5" xfId="28" applyFont="1" applyBorder="1" applyProtection="1">
      <protection hidden="1"/>
    </xf>
    <xf numFmtId="0" fontId="2" fillId="0" borderId="5" xfId="28" applyFont="1" applyFill="1" applyBorder="1" applyProtection="1">
      <protection hidden="1"/>
    </xf>
    <xf numFmtId="0" fontId="2" fillId="0" borderId="9" xfId="28" applyFont="1" applyBorder="1" applyProtection="1">
      <protection hidden="1"/>
    </xf>
    <xf numFmtId="2" fontId="2" fillId="0" borderId="5" xfId="28" applyNumberFormat="1" applyFont="1" applyFill="1" applyBorder="1" applyProtection="1">
      <protection hidden="1"/>
    </xf>
    <xf numFmtId="2" fontId="2" fillId="0" borderId="9" xfId="28" applyNumberFormat="1" applyFont="1" applyBorder="1" applyProtection="1">
      <protection hidden="1"/>
    </xf>
    <xf numFmtId="12" fontId="2" fillId="0" borderId="25" xfId="28" applyNumberFormat="1" applyFont="1" applyBorder="1" applyAlignment="1" applyProtection="1">
      <alignment horizontal="right"/>
      <protection hidden="1"/>
    </xf>
    <xf numFmtId="2" fontId="2" fillId="0" borderId="5" xfId="28" applyNumberFormat="1" applyFont="1" applyBorder="1" applyProtection="1">
      <protection hidden="1"/>
    </xf>
    <xf numFmtId="2" fontId="2" fillId="0" borderId="27" xfId="28" applyNumberFormat="1" applyFont="1" applyBorder="1" applyAlignment="1" applyProtection="1">
      <alignment horizontal="right"/>
      <protection hidden="1"/>
    </xf>
    <xf numFmtId="2" fontId="2" fillId="0" borderId="8" xfId="28" applyNumberFormat="1" applyFont="1" applyBorder="1" applyProtection="1">
      <protection hidden="1"/>
    </xf>
    <xf numFmtId="12" fontId="2" fillId="0" borderId="28" xfId="28" applyNumberFormat="1" applyFont="1" applyBorder="1" applyAlignment="1" applyProtection="1">
      <alignment horizontal="right"/>
      <protection hidden="1"/>
    </xf>
    <xf numFmtId="0" fontId="2" fillId="0" borderId="29" xfId="28" applyFont="1" applyBorder="1" applyProtection="1">
      <protection hidden="1"/>
    </xf>
    <xf numFmtId="0" fontId="2" fillId="0" borderId="30" xfId="28" applyFont="1" applyBorder="1" applyAlignment="1" applyProtection="1">
      <alignment horizontal="right"/>
      <protection hidden="1"/>
    </xf>
    <xf numFmtId="12" fontId="2" fillId="0" borderId="31" xfId="28" applyNumberFormat="1" applyFont="1" applyBorder="1" applyAlignment="1" applyProtection="1">
      <alignment horizontal="right"/>
      <protection hidden="1"/>
    </xf>
    <xf numFmtId="0" fontId="2" fillId="0" borderId="32" xfId="28" applyFont="1" applyBorder="1" applyProtection="1">
      <protection hidden="1"/>
    </xf>
    <xf numFmtId="0" fontId="2" fillId="0" borderId="33" xfId="28" applyFont="1" applyBorder="1" applyAlignment="1" applyProtection="1">
      <alignment horizontal="right"/>
      <protection hidden="1"/>
    </xf>
    <xf numFmtId="0" fontId="2" fillId="7" borderId="5" xfId="0" applyFont="1" applyFill="1" applyBorder="1" applyProtection="1">
      <protection hidden="1"/>
    </xf>
    <xf numFmtId="0" fontId="0" fillId="8" borderId="0" xfId="0" applyFill="1" applyProtection="1">
      <protection hidden="1"/>
    </xf>
    <xf numFmtId="0" fontId="12" fillId="8" borderId="0" xfId="0" applyFont="1" applyFill="1" applyAlignment="1" applyProtection="1">
      <alignment horizontal="center"/>
      <protection hidden="1"/>
    </xf>
    <xf numFmtId="0" fontId="9" fillId="8" borderId="0" xfId="0" applyFont="1" applyFill="1" applyProtection="1">
      <protection hidden="1"/>
    </xf>
    <xf numFmtId="0" fontId="10" fillId="8" borderId="0" xfId="0" applyFont="1" applyFill="1" applyAlignment="1" applyProtection="1">
      <alignment horizontal="right"/>
      <protection hidden="1"/>
    </xf>
    <xf numFmtId="0" fontId="13" fillId="8" borderId="0" xfId="0" applyFont="1" applyFill="1" applyProtection="1">
      <protection hidden="1"/>
    </xf>
    <xf numFmtId="0" fontId="2" fillId="0" borderId="0" xfId="0" applyFont="1" applyProtection="1">
      <protection hidden="1"/>
    </xf>
    <xf numFmtId="0" fontId="14" fillId="8" borderId="0" xfId="0" applyFont="1" applyFill="1" applyProtection="1">
      <protection hidden="1"/>
    </xf>
    <xf numFmtId="0" fontId="11" fillId="8" borderId="0" xfId="0" quotePrefix="1" applyFont="1" applyFill="1" applyAlignment="1" applyProtection="1">
      <alignment horizontal="left"/>
      <protection hidden="1"/>
    </xf>
    <xf numFmtId="0" fontId="0" fillId="0" borderId="0" xfId="0" applyProtection="1">
      <protection hidden="1"/>
    </xf>
    <xf numFmtId="0" fontId="0" fillId="0" borderId="34" xfId="0" applyBorder="1" applyProtection="1">
      <protection hidden="1"/>
    </xf>
    <xf numFmtId="0" fontId="2" fillId="0" borderId="34" xfId="0" applyFont="1" applyBorder="1" applyProtection="1">
      <protection hidden="1"/>
    </xf>
    <xf numFmtId="0" fontId="3" fillId="0" borderId="0" xfId="0" applyFont="1" applyAlignment="1" applyProtection="1">
      <alignment horizontal="centerContinuous"/>
      <protection hidden="1"/>
    </xf>
    <xf numFmtId="0" fontId="0" fillId="0" borderId="0" xfId="0" applyAlignment="1" applyProtection="1">
      <alignment horizontal="centerContinuous"/>
      <protection hidden="1"/>
    </xf>
    <xf numFmtId="0" fontId="0" fillId="0" borderId="35" xfId="0" applyBorder="1" applyProtection="1">
      <protection hidden="1"/>
    </xf>
    <xf numFmtId="0" fontId="0" fillId="0" borderId="7" xfId="0" applyBorder="1" applyProtection="1">
      <protection hidden="1"/>
    </xf>
    <xf numFmtId="0" fontId="2" fillId="0" borderId="0" xfId="0" applyFont="1" applyAlignment="1" applyProtection="1">
      <alignment horizontal="left"/>
      <protection hidden="1"/>
    </xf>
    <xf numFmtId="0" fontId="2" fillId="0" borderId="0" xfId="0" applyFont="1" applyAlignment="1" applyProtection="1">
      <alignment horizontal="right"/>
      <protection hidden="1"/>
    </xf>
    <xf numFmtId="0" fontId="0" fillId="0" borderId="36" xfId="0" applyBorder="1" applyProtection="1">
      <protection hidden="1"/>
    </xf>
    <xf numFmtId="0" fontId="0" fillId="0" borderId="0" xfId="0" applyBorder="1" applyProtection="1">
      <protection hidden="1"/>
    </xf>
    <xf numFmtId="0" fontId="0" fillId="0" borderId="37" xfId="0" applyBorder="1" applyProtection="1">
      <protection hidden="1"/>
    </xf>
    <xf numFmtId="0" fontId="0" fillId="0" borderId="0" xfId="0" applyBorder="1" applyAlignment="1" applyProtection="1">
      <alignment horizontal="right"/>
      <protection hidden="1"/>
    </xf>
    <xf numFmtId="0" fontId="2" fillId="0" borderId="0" xfId="0" applyFont="1" applyFill="1" applyBorder="1" applyAlignment="1" applyProtection="1">
      <alignment horizontal="center"/>
      <protection hidden="1"/>
    </xf>
    <xf numFmtId="0" fontId="2" fillId="0" borderId="36" xfId="0" applyFont="1" applyBorder="1" applyProtection="1">
      <protection hidden="1"/>
    </xf>
    <xf numFmtId="0" fontId="2" fillId="0" borderId="0" xfId="0" applyFont="1" applyBorder="1" applyProtection="1">
      <protection hidden="1"/>
    </xf>
    <xf numFmtId="0" fontId="2" fillId="0" borderId="37" xfId="0" applyFont="1" applyBorder="1" applyProtection="1">
      <protection hidden="1"/>
    </xf>
    <xf numFmtId="0" fontId="2" fillId="0" borderId="4" xfId="0" applyFont="1" applyFill="1" applyBorder="1" applyAlignment="1" applyProtection="1">
      <alignment horizontal="center"/>
      <protection hidden="1"/>
    </xf>
    <xf numFmtId="0" fontId="2" fillId="0" borderId="0" xfId="0" applyFont="1" applyBorder="1" applyAlignment="1" applyProtection="1">
      <alignment horizontal="left"/>
      <protection hidden="1"/>
    </xf>
    <xf numFmtId="0" fontId="2" fillId="0" borderId="7" xfId="0" applyFont="1" applyFill="1" applyBorder="1" applyAlignment="1" applyProtection="1">
      <alignment horizontal="center"/>
      <protection hidden="1"/>
    </xf>
    <xf numFmtId="0" fontId="0" fillId="0" borderId="0" xfId="0" applyFill="1" applyBorder="1" applyAlignment="1" applyProtection="1">
      <alignment horizontal="right"/>
      <protection hidden="1"/>
    </xf>
    <xf numFmtId="0" fontId="0" fillId="0" borderId="38" xfId="0" applyBorder="1" applyProtection="1">
      <protection hidden="1"/>
    </xf>
    <xf numFmtId="0" fontId="2" fillId="0" borderId="22" xfId="0" applyFont="1" applyBorder="1" applyProtection="1">
      <protection hidden="1"/>
    </xf>
    <xf numFmtId="0" fontId="2" fillId="0" borderId="5" xfId="0" applyFont="1" applyBorder="1" applyAlignment="1" applyProtection="1">
      <alignment horizontal="right"/>
      <protection hidden="1"/>
    </xf>
    <xf numFmtId="0" fontId="0" fillId="0" borderId="0" xfId="0" applyFill="1" applyBorder="1" applyProtection="1">
      <protection hidden="1"/>
    </xf>
    <xf numFmtId="0" fontId="2" fillId="0" borderId="0" xfId="0" applyFont="1" applyFill="1" applyBorder="1" applyProtection="1">
      <protection hidden="1"/>
    </xf>
    <xf numFmtId="0" fontId="2" fillId="0" borderId="0" xfId="0" applyFont="1" applyFill="1" applyBorder="1" applyAlignment="1" applyProtection="1">
      <alignment horizontal="right"/>
      <protection hidden="1"/>
    </xf>
    <xf numFmtId="0" fontId="2" fillId="0" borderId="0" xfId="0" applyFont="1" applyFill="1" applyBorder="1" applyAlignment="1" applyProtection="1">
      <alignment horizontal="left"/>
      <protection hidden="1"/>
    </xf>
    <xf numFmtId="0" fontId="2" fillId="0" borderId="5" xfId="0" applyFont="1" applyFill="1" applyBorder="1" applyAlignment="1" applyProtection="1">
      <alignment horizontal="right"/>
      <protection hidden="1"/>
    </xf>
    <xf numFmtId="0" fontId="4" fillId="0" borderId="0" xfId="0" applyFont="1" applyFill="1" applyBorder="1" applyAlignment="1" applyProtection="1">
      <alignment horizontal="center"/>
      <protection hidden="1"/>
    </xf>
    <xf numFmtId="0" fontId="2" fillId="7" borderId="5" xfId="0" applyFont="1" applyFill="1" applyBorder="1" applyAlignment="1" applyProtection="1">
      <alignment horizontal="right"/>
      <protection hidden="1"/>
    </xf>
    <xf numFmtId="0" fontId="3" fillId="0" borderId="0" xfId="0" applyFont="1" applyBorder="1" applyAlignment="1" applyProtection="1">
      <protection hidden="1"/>
    </xf>
    <xf numFmtId="0" fontId="2" fillId="0" borderId="0" xfId="0" applyFont="1" applyBorder="1" applyAlignment="1" applyProtection="1">
      <alignment horizontal="centerContinuous"/>
      <protection hidden="1"/>
    </xf>
    <xf numFmtId="0" fontId="2" fillId="0" borderId="35" xfId="0" applyFont="1" applyBorder="1" applyProtection="1">
      <protection hidden="1"/>
    </xf>
    <xf numFmtId="0" fontId="2" fillId="0" borderId="7" xfId="0" applyFont="1" applyBorder="1" applyProtection="1">
      <protection hidden="1"/>
    </xf>
    <xf numFmtId="0" fontId="2" fillId="0" borderId="39" xfId="0" applyFont="1" applyBorder="1" applyProtection="1">
      <protection hidden="1"/>
    </xf>
    <xf numFmtId="0" fontId="2" fillId="0" borderId="0" xfId="0" applyFont="1" applyBorder="1" applyAlignment="1" applyProtection="1">
      <alignment horizontal="right"/>
      <protection hidden="1"/>
    </xf>
    <xf numFmtId="0" fontId="0" fillId="0" borderId="22" xfId="0" applyBorder="1" applyProtection="1">
      <protection hidden="1"/>
    </xf>
    <xf numFmtId="0" fontId="23" fillId="0" borderId="0" xfId="0" applyFont="1" applyProtection="1">
      <protection hidden="1"/>
    </xf>
    <xf numFmtId="11" fontId="2" fillId="0" borderId="0" xfId="0" applyNumberFormat="1" applyFont="1" applyAlignment="1" applyProtection="1">
      <alignment horizontal="center"/>
      <protection hidden="1"/>
    </xf>
    <xf numFmtId="2" fontId="2" fillId="0" borderId="0" xfId="0" applyNumberFormat="1" applyFont="1" applyAlignment="1" applyProtection="1">
      <alignment horizontal="center"/>
      <protection hidden="1"/>
    </xf>
    <xf numFmtId="11" fontId="2" fillId="7" borderId="0" xfId="0" applyNumberFormat="1" applyFont="1" applyFill="1" applyAlignment="1" applyProtection="1">
      <alignment horizontal="center"/>
      <protection hidden="1"/>
    </xf>
    <xf numFmtId="2" fontId="2" fillId="7" borderId="0" xfId="0" applyNumberFormat="1" applyFont="1" applyFill="1" applyAlignment="1" applyProtection="1">
      <alignment horizontal="center"/>
      <protection hidden="1"/>
    </xf>
    <xf numFmtId="0" fontId="45" fillId="0" borderId="0" xfId="0" applyFont="1" applyProtection="1">
      <protection hidden="1"/>
    </xf>
    <xf numFmtId="0" fontId="19" fillId="0" borderId="0" xfId="0" applyFont="1" applyAlignment="1" applyProtection="1">
      <alignment horizontal="right"/>
      <protection hidden="1"/>
    </xf>
    <xf numFmtId="0" fontId="2" fillId="0" borderId="7" xfId="0" applyFont="1" applyBorder="1" applyAlignment="1" applyProtection="1">
      <alignment horizontal="center"/>
      <protection hidden="1"/>
    </xf>
    <xf numFmtId="2" fontId="2" fillId="0" borderId="7" xfId="0" applyNumberFormat="1" applyFont="1" applyBorder="1" applyAlignment="1" applyProtection="1">
      <alignment horizontal="center"/>
      <protection hidden="1"/>
    </xf>
    <xf numFmtId="0" fontId="2" fillId="0" borderId="0" xfId="0" applyFont="1" applyBorder="1" applyAlignment="1" applyProtection="1">
      <alignment horizontal="center"/>
      <protection hidden="1"/>
    </xf>
    <xf numFmtId="2" fontId="2" fillId="7" borderId="0" xfId="0" applyNumberFormat="1" applyFont="1" applyFill="1" applyBorder="1" applyAlignment="1" applyProtection="1">
      <alignment horizontal="center"/>
      <protection hidden="1"/>
    </xf>
    <xf numFmtId="2" fontId="2" fillId="0" borderId="0" xfId="0" applyNumberFormat="1" applyFont="1" applyBorder="1" applyAlignment="1" applyProtection="1">
      <alignment horizontal="center"/>
      <protection hidden="1"/>
    </xf>
    <xf numFmtId="0" fontId="2" fillId="0" borderId="34" xfId="0" applyFont="1" applyBorder="1" applyAlignment="1" applyProtection="1">
      <alignment horizontal="center"/>
      <protection hidden="1"/>
    </xf>
    <xf numFmtId="2" fontId="2" fillId="7" borderId="34" xfId="0" applyNumberFormat="1" applyFont="1" applyFill="1" applyBorder="1" applyAlignment="1" applyProtection="1">
      <alignment horizontal="center"/>
      <protection hidden="1"/>
    </xf>
    <xf numFmtId="0" fontId="7" fillId="0" borderId="36" xfId="0" applyFont="1" applyBorder="1" applyProtection="1">
      <protection hidden="1"/>
    </xf>
    <xf numFmtId="2" fontId="0" fillId="7" borderId="0" xfId="0" applyNumberFormat="1" applyFill="1" applyBorder="1" applyAlignment="1" applyProtection="1">
      <alignment horizontal="center"/>
      <protection hidden="1"/>
    </xf>
    <xf numFmtId="0" fontId="5" fillId="0" borderId="0" xfId="0" applyFont="1" applyBorder="1" applyProtection="1">
      <protection hidden="1"/>
    </xf>
    <xf numFmtId="0" fontId="12" fillId="0" borderId="37" xfId="0" applyFont="1" applyBorder="1" applyProtection="1">
      <protection hidden="1"/>
    </xf>
    <xf numFmtId="0" fontId="2" fillId="0" borderId="36" xfId="0" applyFont="1" applyBorder="1" applyAlignment="1" applyProtection="1">
      <alignment horizontal="centerContinuous"/>
      <protection hidden="1"/>
    </xf>
    <xf numFmtId="1" fontId="2" fillId="7" borderId="0" xfId="0" applyNumberFormat="1" applyFont="1" applyFill="1" applyBorder="1" applyAlignment="1" applyProtection="1">
      <alignment horizontal="center"/>
      <protection hidden="1"/>
    </xf>
    <xf numFmtId="0" fontId="4" fillId="7" borderId="0" xfId="0" applyFont="1" applyFill="1" applyBorder="1" applyAlignment="1" applyProtection="1">
      <alignment horizontal="center"/>
      <protection hidden="1"/>
    </xf>
    <xf numFmtId="2" fontId="0" fillId="0" borderId="0" xfId="0" applyNumberFormat="1" applyBorder="1" applyAlignment="1" applyProtection="1">
      <alignment horizontal="center"/>
      <protection hidden="1"/>
    </xf>
    <xf numFmtId="2" fontId="2" fillId="0" borderId="34" xfId="0" applyNumberFormat="1" applyFont="1" applyBorder="1" applyAlignment="1" applyProtection="1">
      <alignment horizontal="center"/>
      <protection hidden="1"/>
    </xf>
    <xf numFmtId="0" fontId="5" fillId="0" borderId="7" xfId="0" applyFont="1" applyBorder="1" applyProtection="1">
      <protection hidden="1"/>
    </xf>
    <xf numFmtId="0" fontId="12" fillId="0" borderId="39" xfId="0" applyFont="1" applyBorder="1" applyProtection="1">
      <protection hidden="1"/>
    </xf>
    <xf numFmtId="0" fontId="2" fillId="0" borderId="38" xfId="0" applyFont="1" applyBorder="1" applyProtection="1">
      <protection hidden="1"/>
    </xf>
    <xf numFmtId="0" fontId="8" fillId="0" borderId="0" xfId="0" quotePrefix="1" applyFont="1" applyAlignment="1" applyProtection="1">
      <alignment horizontal="left"/>
      <protection hidden="1"/>
    </xf>
    <xf numFmtId="0" fontId="0" fillId="0" borderId="0" xfId="0" applyAlignment="1" applyProtection="1">
      <alignment horizontal="right"/>
      <protection hidden="1"/>
    </xf>
    <xf numFmtId="0" fontId="2" fillId="0" borderId="8" xfId="0" applyFont="1" applyBorder="1" applyProtection="1">
      <protection hidden="1"/>
    </xf>
    <xf numFmtId="0" fontId="2" fillId="0" borderId="5" xfId="0" applyFont="1" applyBorder="1" applyProtection="1">
      <protection hidden="1"/>
    </xf>
    <xf numFmtId="0" fontId="2" fillId="0" borderId="9" xfId="0" applyFont="1" applyBorder="1" applyProtection="1">
      <protection hidden="1"/>
    </xf>
    <xf numFmtId="0" fontId="2" fillId="0" borderId="10" xfId="0" applyFont="1" applyBorder="1" applyProtection="1">
      <protection hidden="1"/>
    </xf>
    <xf numFmtId="0" fontId="2" fillId="0" borderId="11" xfId="0" applyFont="1" applyBorder="1" applyProtection="1">
      <protection hidden="1"/>
    </xf>
    <xf numFmtId="0" fontId="2" fillId="0" borderId="12" xfId="0" applyFont="1" applyBorder="1" applyProtection="1">
      <protection hidden="1"/>
    </xf>
    <xf numFmtId="0" fontId="10" fillId="0" borderId="0" xfId="0" applyFont="1" applyFill="1" applyBorder="1" applyAlignment="1" applyProtection="1">
      <alignment horizontal="left"/>
      <protection hidden="1"/>
    </xf>
    <xf numFmtId="0" fontId="37" fillId="0" borderId="0" xfId="26" applyFont="1"/>
    <xf numFmtId="0" fontId="49" fillId="0" borderId="0" xfId="26" applyFont="1" applyFill="1" applyBorder="1" applyAlignment="1">
      <alignment vertical="center" wrapText="1"/>
    </xf>
    <xf numFmtId="0" fontId="37" fillId="0" borderId="0" xfId="26" applyFont="1" applyBorder="1" applyAlignment="1">
      <alignment horizontal="center"/>
    </xf>
    <xf numFmtId="0" fontId="37" fillId="0" borderId="36" xfId="26" applyFont="1" applyBorder="1" applyAlignment="1">
      <alignment horizontal="center"/>
    </xf>
    <xf numFmtId="0" fontId="2" fillId="0" borderId="0" xfId="26" applyBorder="1"/>
    <xf numFmtId="0" fontId="37" fillId="0" borderId="0" xfId="26" applyFont="1" applyFill="1" applyBorder="1" applyAlignment="1">
      <alignment horizontal="left"/>
    </xf>
    <xf numFmtId="0" fontId="37" fillId="0" borderId="37" xfId="26" applyFont="1" applyFill="1" applyBorder="1" applyAlignment="1">
      <alignment horizontal="left"/>
    </xf>
    <xf numFmtId="0" fontId="37" fillId="0" borderId="0" xfId="26" applyFont="1" applyBorder="1" applyAlignment="1"/>
    <xf numFmtId="0" fontId="37" fillId="0" borderId="37" xfId="26" applyFont="1" applyBorder="1" applyAlignment="1"/>
    <xf numFmtId="0" fontId="40" fillId="0" borderId="40" xfId="26" applyFont="1" applyBorder="1" applyAlignment="1">
      <alignment horizontal="center" vertical="top" wrapText="1"/>
    </xf>
    <xf numFmtId="0" fontId="40" fillId="0" borderId="41" xfId="26" applyFont="1" applyBorder="1" applyAlignment="1">
      <alignment horizontal="center" vertical="top" wrapText="1"/>
    </xf>
    <xf numFmtId="0" fontId="40" fillId="0" borderId="42" xfId="26" applyFont="1" applyBorder="1" applyAlignment="1">
      <alignment horizontal="center" vertical="top" wrapText="1"/>
    </xf>
    <xf numFmtId="0" fontId="41" fillId="0" borderId="40" xfId="26" applyFont="1" applyBorder="1" applyAlignment="1">
      <alignment horizontal="center" vertical="top" wrapText="1"/>
    </xf>
    <xf numFmtId="0" fontId="41" fillId="0" borderId="41" xfId="26" applyFont="1" applyBorder="1" applyAlignment="1">
      <alignment horizontal="center" vertical="top" wrapText="1"/>
    </xf>
    <xf numFmtId="0" fontId="41" fillId="0" borderId="41" xfId="26" applyFont="1" applyBorder="1" applyAlignment="1">
      <alignment horizontal="left" vertical="top" wrapText="1"/>
    </xf>
    <xf numFmtId="0" fontId="41" fillId="0" borderId="42" xfId="26" applyFont="1" applyBorder="1" applyAlignment="1">
      <alignment horizontal="left" vertical="top" wrapText="1"/>
    </xf>
    <xf numFmtId="0" fontId="41" fillId="0" borderId="40" xfId="26" applyFont="1" applyBorder="1" applyAlignment="1">
      <alignment horizontal="center" vertical="center" wrapText="1"/>
    </xf>
    <xf numFmtId="15" fontId="41" fillId="0" borderId="41" xfId="26" applyNumberFormat="1" applyFont="1" applyBorder="1" applyAlignment="1">
      <alignment horizontal="center" vertical="center" wrapText="1"/>
    </xf>
    <xf numFmtId="0" fontId="41" fillId="0" borderId="41" xfId="26" applyFont="1" applyBorder="1" applyAlignment="1">
      <alignment horizontal="center" vertical="center" wrapText="1"/>
    </xf>
    <xf numFmtId="0" fontId="41" fillId="0" borderId="42" xfId="26" applyFont="1" applyBorder="1" applyAlignment="1">
      <alignment horizontal="center" vertical="center" wrapText="1"/>
    </xf>
    <xf numFmtId="15" fontId="41" fillId="0" borderId="41" xfId="26" applyNumberFormat="1" applyFont="1" applyBorder="1" applyAlignment="1">
      <alignment horizontal="center" vertical="top" wrapText="1"/>
    </xf>
    <xf numFmtId="0" fontId="41" fillId="0" borderId="42" xfId="26" applyFont="1" applyBorder="1" applyAlignment="1">
      <alignment horizontal="center" vertical="top" wrapText="1"/>
    </xf>
    <xf numFmtId="0" fontId="37" fillId="0" borderId="36" xfId="26" applyFont="1" applyBorder="1"/>
    <xf numFmtId="0" fontId="37" fillId="0" borderId="0" xfId="26" applyFont="1" applyBorder="1"/>
    <xf numFmtId="0" fontId="37" fillId="0" borderId="37" xfId="26" applyFont="1" applyBorder="1"/>
    <xf numFmtId="0" fontId="37" fillId="0" borderId="38" xfId="26" applyFont="1" applyBorder="1"/>
    <xf numFmtId="0" fontId="37" fillId="0" borderId="34" xfId="26" applyFont="1" applyBorder="1"/>
    <xf numFmtId="0" fontId="37" fillId="0" borderId="22" xfId="26" applyFont="1" applyBorder="1"/>
    <xf numFmtId="0" fontId="40" fillId="0" borderId="0" xfId="26" applyFont="1" applyBorder="1" applyAlignment="1">
      <alignment horizontal="center"/>
    </xf>
    <xf numFmtId="0" fontId="40" fillId="0" borderId="37" xfId="26" applyFont="1" applyBorder="1" applyAlignment="1">
      <alignment horizontal="center"/>
    </xf>
    <xf numFmtId="0" fontId="41" fillId="0" borderId="0" xfId="26" applyFont="1"/>
    <xf numFmtId="0" fontId="40" fillId="0" borderId="36" xfId="26" applyFont="1" applyBorder="1" applyAlignment="1">
      <alignment horizontal="center"/>
    </xf>
    <xf numFmtId="0" fontId="40" fillId="0" borderId="37" xfId="26" applyFont="1" applyBorder="1"/>
    <xf numFmtId="0" fontId="38" fillId="0" borderId="36" xfId="26" applyFont="1" applyBorder="1" applyAlignment="1">
      <alignment horizontal="center"/>
    </xf>
    <xf numFmtId="0" fontId="38" fillId="0" borderId="37" xfId="26" applyFont="1" applyBorder="1"/>
    <xf numFmtId="0" fontId="37" fillId="0" borderId="35" xfId="26" applyFont="1" applyBorder="1"/>
    <xf numFmtId="0" fontId="37" fillId="0" borderId="7" xfId="26" applyFont="1" applyBorder="1"/>
    <xf numFmtId="0" fontId="37" fillId="0" borderId="39" xfId="26" applyFont="1" applyBorder="1"/>
    <xf numFmtId="0" fontId="40" fillId="0" borderId="36" xfId="26" applyFont="1" applyBorder="1" applyAlignment="1">
      <alignment horizontal="left" vertical="top"/>
    </xf>
    <xf numFmtId="0" fontId="40" fillId="0" borderId="0" xfId="26" applyFont="1" applyBorder="1" applyAlignment="1">
      <alignment horizontal="left" vertical="top"/>
    </xf>
    <xf numFmtId="0" fontId="40" fillId="0" borderId="37" xfId="26" applyFont="1" applyBorder="1" applyAlignment="1">
      <alignment horizontal="left" vertical="top"/>
    </xf>
    <xf numFmtId="0" fontId="40" fillId="0" borderId="0" xfId="26" applyFont="1" applyBorder="1" applyAlignment="1">
      <alignment vertical="top"/>
    </xf>
    <xf numFmtId="0" fontId="48" fillId="0" borderId="0" xfId="26" applyFont="1" applyAlignment="1">
      <alignment vertical="top"/>
    </xf>
    <xf numFmtId="0" fontId="42" fillId="0" borderId="0" xfId="26" applyFont="1" applyBorder="1" applyAlignment="1"/>
    <xf numFmtId="0" fontId="42" fillId="0" borderId="0" xfId="26" applyFont="1" applyAlignment="1">
      <alignment vertical="top" wrapText="1"/>
    </xf>
    <xf numFmtId="0" fontId="41" fillId="0" borderId="36" xfId="26" applyFont="1" applyBorder="1"/>
    <xf numFmtId="0" fontId="41" fillId="0" borderId="0" xfId="26" applyFont="1" applyBorder="1"/>
    <xf numFmtId="0" fontId="41" fillId="0" borderId="37" xfId="26" applyFont="1" applyBorder="1"/>
    <xf numFmtId="0" fontId="42" fillId="0" borderId="0" xfId="26" applyFont="1" applyBorder="1" applyAlignment="1">
      <alignment vertical="top" wrapText="1"/>
    </xf>
    <xf numFmtId="0" fontId="50" fillId="0" borderId="0" xfId="15" applyFont="1" applyBorder="1" applyAlignment="1" applyProtection="1">
      <alignment vertical="center"/>
    </xf>
    <xf numFmtId="0" fontId="41" fillId="0" borderId="36" xfId="26" applyFont="1" applyBorder="1" applyAlignment="1">
      <alignment horizontal="left"/>
    </xf>
    <xf numFmtId="0" fontId="41" fillId="0" borderId="0" xfId="26" applyFont="1" applyBorder="1" applyAlignment="1">
      <alignment horizontal="left"/>
    </xf>
    <xf numFmtId="0" fontId="41" fillId="0" borderId="37" xfId="26" applyFont="1" applyBorder="1" applyAlignment="1">
      <alignment horizontal="left"/>
    </xf>
    <xf numFmtId="0" fontId="42" fillId="0" borderId="36" xfId="26" applyFont="1" applyBorder="1"/>
    <xf numFmtId="0" fontId="41" fillId="0" borderId="36" xfId="26" applyFont="1" applyBorder="1" applyAlignment="1">
      <alignment horizontal="left" vertical="top"/>
    </xf>
    <xf numFmtId="0" fontId="41" fillId="0" borderId="36" xfId="26" applyFont="1" applyBorder="1" applyAlignment="1">
      <alignment horizontal="left" vertical="top" wrapText="1"/>
    </xf>
    <xf numFmtId="0" fontId="41" fillId="9" borderId="5" xfId="26" applyFont="1" applyFill="1" applyBorder="1" applyAlignment="1">
      <alignment horizontal="left" vertical="top" wrapText="1"/>
    </xf>
    <xf numFmtId="0" fontId="41" fillId="0" borderId="37" xfId="26" applyFont="1" applyBorder="1" applyAlignment="1">
      <alignment vertical="top" wrapText="1"/>
    </xf>
    <xf numFmtId="0" fontId="41" fillId="10" borderId="5" xfId="26" applyFont="1" applyFill="1" applyBorder="1" applyAlignment="1">
      <alignment horizontal="left" vertical="top" wrapText="1"/>
    </xf>
    <xf numFmtId="0" fontId="41" fillId="0" borderId="36" xfId="26" applyFont="1" applyFill="1" applyBorder="1" applyAlignment="1">
      <alignment horizontal="left" vertical="top" wrapText="1"/>
    </xf>
    <xf numFmtId="0" fontId="42" fillId="0" borderId="0" xfId="26" applyFont="1" applyFill="1" applyBorder="1" applyAlignment="1">
      <alignment vertical="top" wrapText="1"/>
    </xf>
    <xf numFmtId="0" fontId="37" fillId="0" borderId="0" xfId="26" applyFont="1" applyFill="1"/>
    <xf numFmtId="49" fontId="41" fillId="0" borderId="36" xfId="26" applyNumberFormat="1" applyFont="1" applyBorder="1" applyAlignment="1">
      <alignment horizontal="left" vertical="top"/>
    </xf>
    <xf numFmtId="0" fontId="41" fillId="0" borderId="0" xfId="26" applyFont="1" applyAlignment="1">
      <alignment horizontal="left" vertical="top" wrapText="1"/>
    </xf>
    <xf numFmtId="0" fontId="41" fillId="0" borderId="0" xfId="26" applyFont="1" applyFill="1" applyBorder="1" applyAlignment="1">
      <alignment horizontal="left" vertical="top" wrapText="1"/>
    </xf>
    <xf numFmtId="0" fontId="41" fillId="0" borderId="0" xfId="26" applyFont="1" applyBorder="1" applyAlignment="1">
      <alignment horizontal="left" vertical="top" wrapText="1"/>
    </xf>
    <xf numFmtId="0" fontId="41" fillId="0" borderId="37" xfId="26" applyFont="1" applyBorder="1" applyAlignment="1">
      <alignment horizontal="left" vertical="top" wrapText="1"/>
    </xf>
    <xf numFmtId="0" fontId="41" fillId="0" borderId="0" xfId="26" applyFont="1" applyBorder="1" applyAlignment="1">
      <alignment horizontal="left" vertical="top"/>
    </xf>
    <xf numFmtId="0" fontId="37" fillId="0" borderId="0" xfId="26" applyFont="1" applyBorder="1" applyAlignment="1">
      <alignment wrapText="1"/>
    </xf>
    <xf numFmtId="0" fontId="40" fillId="0" borderId="0" xfId="26" applyFont="1" applyFill="1" applyBorder="1" applyAlignment="1">
      <alignment wrapText="1"/>
    </xf>
    <xf numFmtId="0" fontId="37" fillId="0" borderId="0" xfId="26" applyFont="1" applyFill="1" applyBorder="1" applyAlignment="1"/>
    <xf numFmtId="0" fontId="39" fillId="0" borderId="36" xfId="26" applyFont="1" applyBorder="1" applyAlignment="1"/>
    <xf numFmtId="0" fontId="37" fillId="0" borderId="43" xfId="26" applyFont="1" applyBorder="1" applyAlignment="1"/>
    <xf numFmtId="0" fontId="37" fillId="0" borderId="44" xfId="26" applyFont="1" applyBorder="1" applyAlignment="1"/>
    <xf numFmtId="0" fontId="37" fillId="0" borderId="42" xfId="26" applyFont="1" applyBorder="1" applyAlignment="1"/>
    <xf numFmtId="0" fontId="23" fillId="8" borderId="45" xfId="0" applyFont="1" applyFill="1" applyBorder="1" applyAlignment="1" applyProtection="1">
      <alignment horizontal="right" vertical="center" wrapText="1"/>
      <protection hidden="1"/>
    </xf>
    <xf numFmtId="0" fontId="28" fillId="6" borderId="5" xfId="0" applyFont="1" applyFill="1" applyBorder="1" applyAlignment="1" applyProtection="1">
      <alignment horizontal="left"/>
      <protection locked="0"/>
    </xf>
    <xf numFmtId="0" fontId="23" fillId="8" borderId="45" xfId="0" applyFont="1" applyFill="1" applyBorder="1" applyAlignment="1" applyProtection="1">
      <alignment horizontal="center" vertical="center" wrapText="1"/>
      <protection hidden="1"/>
    </xf>
    <xf numFmtId="0" fontId="23" fillId="8" borderId="5" xfId="0" applyFont="1" applyFill="1" applyBorder="1" applyAlignment="1" applyProtection="1">
      <alignment horizontal="right"/>
      <protection hidden="1"/>
    </xf>
    <xf numFmtId="0" fontId="44" fillId="0" borderId="46" xfId="30" applyFont="1" applyBorder="1" applyAlignment="1" applyProtection="1">
      <alignment horizontal="right" vertical="center"/>
      <protection hidden="1"/>
    </xf>
    <xf numFmtId="0" fontId="44" fillId="0" borderId="47" xfId="27" applyFont="1" applyBorder="1" applyAlignment="1" applyProtection="1">
      <alignment horizontal="right" vertical="center"/>
      <protection hidden="1"/>
    </xf>
    <xf numFmtId="0" fontId="23" fillId="6" borderId="48" xfId="27" applyFont="1" applyFill="1" applyBorder="1" applyAlignment="1" applyProtection="1">
      <alignment horizontal="left" vertical="center"/>
      <protection locked="0"/>
    </xf>
    <xf numFmtId="0" fontId="2" fillId="0" borderId="0" xfId="27" applyProtection="1">
      <protection hidden="1"/>
    </xf>
    <xf numFmtId="0" fontId="44" fillId="0" borderId="49" xfId="30" applyFont="1" applyBorder="1" applyAlignment="1" applyProtection="1">
      <alignment horizontal="right" vertical="center"/>
      <protection hidden="1"/>
    </xf>
    <xf numFmtId="0" fontId="44" fillId="0" borderId="50" xfId="27" applyFont="1" applyBorder="1" applyAlignment="1" applyProtection="1">
      <alignment horizontal="right" vertical="center"/>
      <protection hidden="1"/>
    </xf>
    <xf numFmtId="0" fontId="23" fillId="6" borderId="2" xfId="27" applyFont="1" applyFill="1" applyBorder="1" applyAlignment="1" applyProtection="1">
      <alignment horizontal="left" vertical="center"/>
      <protection locked="0"/>
    </xf>
    <xf numFmtId="0" fontId="44" fillId="0" borderId="50" xfId="0" applyFont="1" applyBorder="1" applyAlignment="1" applyProtection="1">
      <alignment horizontal="right" vertical="center"/>
      <protection hidden="1"/>
    </xf>
    <xf numFmtId="0" fontId="44" fillId="0" borderId="51" xfId="30" applyFont="1" applyBorder="1" applyAlignment="1" applyProtection="1">
      <alignment horizontal="right" vertical="center"/>
      <protection hidden="1"/>
    </xf>
    <xf numFmtId="0" fontId="44" fillId="0" borderId="52" xfId="0" applyFont="1" applyBorder="1" applyAlignment="1" applyProtection="1">
      <alignment horizontal="right" vertical="center"/>
      <protection hidden="1"/>
    </xf>
    <xf numFmtId="0" fontId="23" fillId="6" borderId="44" xfId="27" applyFont="1" applyFill="1" applyBorder="1" applyAlignment="1" applyProtection="1">
      <alignment horizontal="left" vertical="center"/>
      <protection locked="0"/>
    </xf>
    <xf numFmtId="0" fontId="28" fillId="6" borderId="45" xfId="0" applyFont="1" applyFill="1" applyBorder="1" applyAlignment="1" applyProtection="1">
      <alignment horizontal="left"/>
      <protection locked="0"/>
    </xf>
    <xf numFmtId="0" fontId="23" fillId="8" borderId="50" xfId="0" applyFont="1" applyFill="1" applyBorder="1" applyAlignment="1" applyProtection="1">
      <alignment vertical="center" wrapText="1"/>
      <protection hidden="1"/>
    </xf>
    <xf numFmtId="15" fontId="11" fillId="0" borderId="0" xfId="0" applyNumberFormat="1" applyFont="1" applyFill="1" applyBorder="1" applyAlignment="1" applyProtection="1">
      <alignment horizontal="left"/>
      <protection hidden="1"/>
    </xf>
    <xf numFmtId="0" fontId="4" fillId="6" borderId="5" xfId="0" applyFont="1" applyFill="1" applyBorder="1" applyAlignment="1" applyProtection="1">
      <alignment horizontal="center"/>
      <protection locked="0"/>
    </xf>
    <xf numFmtId="0" fontId="4" fillId="0" borderId="7" xfId="0" applyFont="1" applyFill="1" applyBorder="1" applyAlignment="1" applyProtection="1">
      <alignment horizontal="center"/>
      <protection hidden="1"/>
    </xf>
    <xf numFmtId="0" fontId="4" fillId="0" borderId="4" xfId="0" applyFont="1" applyFill="1" applyBorder="1" applyAlignment="1" applyProtection="1">
      <alignment horizontal="center"/>
      <protection hidden="1"/>
    </xf>
    <xf numFmtId="0" fontId="4" fillId="6" borderId="5" xfId="0" applyFont="1" applyFill="1" applyBorder="1" applyAlignment="1" applyProtection="1">
      <alignment horizontal="center" vertical="center"/>
      <protection locked="0"/>
    </xf>
    <xf numFmtId="0" fontId="2" fillId="0" borderId="5" xfId="0" applyFont="1" applyBorder="1" applyAlignment="1" applyProtection="1">
      <alignment horizontal="right" vertical="center"/>
      <protection hidden="1"/>
    </xf>
    <xf numFmtId="0" fontId="2" fillId="7" borderId="5" xfId="0" applyFont="1" applyFill="1" applyBorder="1" applyAlignment="1" applyProtection="1">
      <alignment vertical="center"/>
      <protection hidden="1"/>
    </xf>
    <xf numFmtId="0" fontId="3" fillId="0" borderId="35" xfId="0" applyFont="1" applyBorder="1" applyProtection="1">
      <protection hidden="1"/>
    </xf>
    <xf numFmtId="0" fontId="3" fillId="0" borderId="36" xfId="0" applyFont="1" applyBorder="1" applyProtection="1">
      <protection hidden="1"/>
    </xf>
    <xf numFmtId="0" fontId="4" fillId="0" borderId="0" xfId="0" applyFont="1" applyProtection="1">
      <protection hidden="1"/>
    </xf>
    <xf numFmtId="0" fontId="2" fillId="0" borderId="0" xfId="29" applyProtection="1">
      <protection hidden="1"/>
    </xf>
    <xf numFmtId="0" fontId="17" fillId="0" borderId="0" xfId="29" applyFont="1" applyProtection="1">
      <protection hidden="1"/>
    </xf>
    <xf numFmtId="0" fontId="17" fillId="0" borderId="0" xfId="29" applyFont="1" applyAlignment="1" applyProtection="1">
      <alignment horizontal="right"/>
      <protection hidden="1"/>
    </xf>
    <xf numFmtId="12" fontId="47" fillId="0" borderId="13" xfId="29" applyNumberFormat="1" applyFont="1" applyBorder="1" applyAlignment="1" applyProtection="1">
      <alignment horizontal="center"/>
      <protection hidden="1"/>
    </xf>
    <xf numFmtId="0" fontId="47" fillId="0" borderId="14" xfId="29" applyFont="1" applyBorder="1" applyAlignment="1" applyProtection="1">
      <alignment horizontal="center"/>
      <protection hidden="1"/>
    </xf>
    <xf numFmtId="0" fontId="47" fillId="0" borderId="15" xfId="29" applyFont="1" applyBorder="1" applyAlignment="1" applyProtection="1">
      <alignment horizontal="right"/>
      <protection hidden="1"/>
    </xf>
    <xf numFmtId="0" fontId="47" fillId="0" borderId="16" xfId="29" applyFont="1" applyBorder="1" applyAlignment="1" applyProtection="1">
      <alignment horizontal="center"/>
      <protection hidden="1"/>
    </xf>
    <xf numFmtId="0" fontId="4" fillId="0" borderId="17" xfId="29" applyFont="1" applyBorder="1" applyAlignment="1" applyProtection="1">
      <alignment horizontal="center"/>
      <protection hidden="1"/>
    </xf>
    <xf numFmtId="0" fontId="4" fillId="0" borderId="18" xfId="29" applyFont="1" applyBorder="1" applyAlignment="1" applyProtection="1">
      <alignment horizontal="center"/>
      <protection hidden="1"/>
    </xf>
    <xf numFmtId="0" fontId="2" fillId="0" borderId="0" xfId="29" applyFont="1" applyAlignment="1" applyProtection="1">
      <alignment horizontal="center"/>
      <protection hidden="1"/>
    </xf>
    <xf numFmtId="12" fontId="2" fillId="0" borderId="19" xfId="29" quotePrefix="1" applyNumberFormat="1" applyFont="1" applyBorder="1" applyAlignment="1" applyProtection="1">
      <alignment horizontal="right"/>
      <protection hidden="1"/>
    </xf>
    <xf numFmtId="0" fontId="2" fillId="0" borderId="20" xfId="29" applyFont="1" applyBorder="1" applyProtection="1">
      <protection hidden="1"/>
    </xf>
    <xf numFmtId="0" fontId="2" fillId="0" borderId="21" xfId="29" applyFont="1" applyBorder="1" applyAlignment="1" applyProtection="1">
      <alignment horizontal="right"/>
      <protection hidden="1"/>
    </xf>
    <xf numFmtId="0" fontId="2" fillId="0" borderId="22" xfId="29" applyFont="1" applyBorder="1" applyProtection="1">
      <protection hidden="1"/>
    </xf>
    <xf numFmtId="0" fontId="2" fillId="0" borderId="23" xfId="29" applyFont="1" applyBorder="1" applyProtection="1">
      <protection hidden="1"/>
    </xf>
    <xf numFmtId="0" fontId="2" fillId="0" borderId="23" xfId="29" applyFont="1" applyFill="1" applyBorder="1" applyProtection="1">
      <protection hidden="1"/>
    </xf>
    <xf numFmtId="0" fontId="2" fillId="0" borderId="24" xfId="29" applyFont="1" applyBorder="1" applyProtection="1">
      <protection hidden="1"/>
    </xf>
    <xf numFmtId="0" fontId="17" fillId="0" borderId="0" xfId="29" quotePrefix="1" applyFont="1" applyProtection="1">
      <protection hidden="1"/>
    </xf>
    <xf numFmtId="12" fontId="2" fillId="0" borderId="25" xfId="29" quotePrefix="1" applyNumberFormat="1" applyFont="1" applyBorder="1" applyAlignment="1" applyProtection="1">
      <alignment horizontal="right"/>
      <protection hidden="1"/>
    </xf>
    <xf numFmtId="0" fontId="2" fillId="0" borderId="26" xfId="29" applyFont="1" applyBorder="1" applyProtection="1">
      <protection hidden="1"/>
    </xf>
    <xf numFmtId="0" fontId="2" fillId="0" borderId="27" xfId="29" applyFont="1" applyBorder="1" applyAlignment="1" applyProtection="1">
      <alignment horizontal="right"/>
      <protection hidden="1"/>
    </xf>
    <xf numFmtId="0" fontId="2" fillId="0" borderId="8" xfId="29" applyFont="1" applyBorder="1" applyProtection="1">
      <protection hidden="1"/>
    </xf>
    <xf numFmtId="0" fontId="2" fillId="0" borderId="5" xfId="29" applyFont="1" applyBorder="1" applyProtection="1">
      <protection hidden="1"/>
    </xf>
    <xf numFmtId="0" fontId="2" fillId="0" borderId="5" xfId="29" applyFont="1" applyFill="1" applyBorder="1" applyProtection="1">
      <protection hidden="1"/>
    </xf>
    <xf numFmtId="0" fontId="2" fillId="0" borderId="9" xfId="29" applyFont="1" applyBorder="1" applyProtection="1">
      <protection hidden="1"/>
    </xf>
    <xf numFmtId="2" fontId="2" fillId="0" borderId="5" xfId="29" applyNumberFormat="1" applyFont="1" applyFill="1" applyBorder="1" applyProtection="1">
      <protection hidden="1"/>
    </xf>
    <xf numFmtId="2" fontId="2" fillId="0" borderId="9" xfId="29" applyNumberFormat="1" applyFont="1" applyBorder="1" applyProtection="1">
      <protection hidden="1"/>
    </xf>
    <xf numFmtId="12" fontId="2" fillId="0" borderId="25" xfId="29" applyNumberFormat="1" applyFont="1" applyBorder="1" applyAlignment="1" applyProtection="1">
      <alignment horizontal="right"/>
      <protection hidden="1"/>
    </xf>
    <xf numFmtId="2" fontId="2" fillId="0" borderId="5" xfId="29" applyNumberFormat="1" applyFont="1" applyBorder="1" applyProtection="1">
      <protection hidden="1"/>
    </xf>
    <xf numFmtId="2" fontId="2" fillId="0" borderId="27" xfId="29" applyNumberFormat="1" applyFont="1" applyBorder="1" applyAlignment="1" applyProtection="1">
      <alignment horizontal="right"/>
      <protection hidden="1"/>
    </xf>
    <xf numFmtId="2" fontId="2" fillId="0" borderId="8" xfId="29" applyNumberFormat="1" applyFont="1" applyBorder="1" applyProtection="1">
      <protection hidden="1"/>
    </xf>
    <xf numFmtId="12" fontId="2" fillId="0" borderId="28" xfId="29" applyNumberFormat="1" applyFont="1" applyBorder="1" applyAlignment="1" applyProtection="1">
      <alignment horizontal="right"/>
      <protection hidden="1"/>
    </xf>
    <xf numFmtId="0" fontId="2" fillId="0" borderId="29" xfId="29" applyFont="1" applyBorder="1" applyProtection="1">
      <protection hidden="1"/>
    </xf>
    <xf numFmtId="0" fontId="2" fillId="0" borderId="30" xfId="29" applyFont="1" applyBorder="1" applyAlignment="1" applyProtection="1">
      <alignment horizontal="right"/>
      <protection hidden="1"/>
    </xf>
    <xf numFmtId="12" fontId="2" fillId="0" borderId="31" xfId="29" applyNumberFormat="1" applyFont="1" applyBorder="1" applyAlignment="1" applyProtection="1">
      <alignment horizontal="right"/>
      <protection hidden="1"/>
    </xf>
    <xf numFmtId="0" fontId="2" fillId="0" borderId="32" xfId="29" applyFont="1" applyBorder="1" applyProtection="1">
      <protection hidden="1"/>
    </xf>
    <xf numFmtId="0" fontId="2" fillId="0" borderId="33" xfId="29" applyFont="1" applyBorder="1" applyAlignment="1" applyProtection="1">
      <alignment horizontal="right"/>
      <protection hidden="1"/>
    </xf>
    <xf numFmtId="0" fontId="42" fillId="0" borderId="38" xfId="26" applyFont="1" applyBorder="1"/>
    <xf numFmtId="0" fontId="41" fillId="0" borderId="34" xfId="26" applyFont="1" applyBorder="1"/>
    <xf numFmtId="0" fontId="41" fillId="0" borderId="22" xfId="26" applyFont="1" applyBorder="1"/>
    <xf numFmtId="0" fontId="55" fillId="0" borderId="0" xfId="15" applyFont="1" applyBorder="1" applyAlignment="1" applyProtection="1">
      <alignment horizontal="left" vertical="center"/>
    </xf>
    <xf numFmtId="0" fontId="50" fillId="0" borderId="0" xfId="15" applyFont="1" applyBorder="1" applyAlignment="1" applyProtection="1">
      <alignment vertical="center" wrapText="1"/>
    </xf>
    <xf numFmtId="0" fontId="50" fillId="0" borderId="0" xfId="15" applyFont="1" applyAlignment="1" applyProtection="1"/>
    <xf numFmtId="14" fontId="23" fillId="6" borderId="2" xfId="27" applyNumberFormat="1" applyFont="1" applyFill="1" applyBorder="1" applyAlignment="1" applyProtection="1">
      <alignment horizontal="left" vertical="center"/>
      <protection locked="0"/>
    </xf>
    <xf numFmtId="0" fontId="39" fillId="0" borderId="36" xfId="26" applyFont="1" applyBorder="1" applyAlignment="1">
      <alignment horizontal="center"/>
    </xf>
    <xf numFmtId="0" fontId="37" fillId="0" borderId="0" xfId="26" applyFont="1" applyBorder="1" applyAlignment="1"/>
    <xf numFmtId="0" fontId="37" fillId="0" borderId="37" xfId="26" applyFont="1" applyBorder="1" applyAlignment="1"/>
    <xf numFmtId="0" fontId="40" fillId="0" borderId="53" xfId="26" applyFont="1" applyBorder="1" applyAlignment="1">
      <alignment horizontal="justify" vertical="top" wrapText="1"/>
    </xf>
    <xf numFmtId="0" fontId="40" fillId="0" borderId="3" xfId="26" applyFont="1" applyBorder="1" applyAlignment="1">
      <alignment horizontal="justify" vertical="top" wrapText="1"/>
    </xf>
    <xf numFmtId="0" fontId="40" fillId="0" borderId="54" xfId="26" applyFont="1" applyBorder="1" applyAlignment="1">
      <alignment horizontal="justify" vertical="top" wrapText="1"/>
    </xf>
    <xf numFmtId="0" fontId="41" fillId="0" borderId="0" xfId="26" applyFont="1" applyFill="1" applyBorder="1" applyAlignment="1">
      <alignment horizontal="left" vertical="center" wrapText="1"/>
    </xf>
    <xf numFmtId="0" fontId="42" fillId="0" borderId="53" xfId="26" applyFont="1" applyBorder="1" applyAlignment="1">
      <alignment horizontal="center" vertical="top" wrapText="1"/>
    </xf>
    <xf numFmtId="0" fontId="42" fillId="0" borderId="3" xfId="26" applyFont="1" applyBorder="1" applyAlignment="1">
      <alignment horizontal="center" vertical="top" wrapText="1"/>
    </xf>
    <xf numFmtId="0" fontId="42" fillId="0" borderId="54" xfId="26" applyFont="1" applyBorder="1" applyAlignment="1">
      <alignment horizontal="center" vertical="top" wrapText="1"/>
    </xf>
    <xf numFmtId="0" fontId="48" fillId="0" borderId="36" xfId="26" applyFont="1" applyBorder="1" applyAlignment="1">
      <alignment horizontal="center"/>
    </xf>
    <xf numFmtId="0" fontId="48" fillId="0" borderId="0" xfId="26" applyFont="1" applyBorder="1" applyAlignment="1">
      <alignment horizontal="center"/>
    </xf>
    <xf numFmtId="0" fontId="48" fillId="0" borderId="37" xfId="26" applyFont="1" applyBorder="1" applyAlignment="1">
      <alignment horizontal="center"/>
    </xf>
    <xf numFmtId="0" fontId="40" fillId="0" borderId="0" xfId="26" applyFont="1" applyBorder="1" applyAlignment="1">
      <alignment horizontal="left"/>
    </xf>
    <xf numFmtId="0" fontId="38" fillId="0" borderId="0" xfId="26" applyFont="1" applyBorder="1" applyAlignment="1">
      <alignment horizontal="left"/>
    </xf>
    <xf numFmtId="0" fontId="40" fillId="0" borderId="36" xfId="26" applyFont="1" applyBorder="1" applyAlignment="1">
      <alignment horizontal="left" vertical="top"/>
    </xf>
    <xf numFmtId="0" fontId="40" fillId="0" borderId="0" xfId="26" applyFont="1" applyBorder="1" applyAlignment="1">
      <alignment horizontal="left" vertical="top"/>
    </xf>
    <xf numFmtId="0" fontId="40" fillId="0" borderId="37" xfId="26" applyFont="1" applyBorder="1" applyAlignment="1">
      <alignment horizontal="left" vertical="top"/>
    </xf>
    <xf numFmtId="0" fontId="43" fillId="0" borderId="5" xfId="26" applyFont="1" applyFill="1" applyBorder="1" applyAlignment="1">
      <alignment horizontal="left"/>
    </xf>
    <xf numFmtId="0" fontId="49" fillId="0" borderId="5" xfId="26" applyFont="1" applyFill="1" applyBorder="1" applyAlignment="1">
      <alignment horizontal="center" vertical="center" wrapText="1"/>
    </xf>
    <xf numFmtId="0" fontId="41" fillId="0" borderId="36" xfId="26" applyFont="1" applyBorder="1" applyAlignment="1">
      <alignment horizontal="justify" vertical="center"/>
    </xf>
    <xf numFmtId="0" fontId="41" fillId="0" borderId="0" xfId="26" applyFont="1" applyBorder="1" applyAlignment="1">
      <alignment horizontal="justify" vertical="center"/>
    </xf>
    <xf numFmtId="0" fontId="41" fillId="0" borderId="37" xfId="26" applyFont="1" applyBorder="1" applyAlignment="1">
      <alignment horizontal="justify" vertical="center"/>
    </xf>
    <xf numFmtId="0" fontId="41" fillId="0" borderId="36" xfId="26" applyFont="1" applyBorder="1" applyAlignment="1">
      <alignment horizontal="justify" vertical="center" wrapText="1"/>
    </xf>
    <xf numFmtId="0" fontId="41" fillId="0" borderId="0" xfId="26" applyFont="1" applyBorder="1" applyAlignment="1">
      <alignment horizontal="justify" vertical="center" wrapText="1"/>
    </xf>
    <xf numFmtId="0" fontId="41" fillId="0" borderId="37" xfId="26" applyFont="1" applyBorder="1" applyAlignment="1">
      <alignment horizontal="justify" vertical="center" wrapText="1"/>
    </xf>
    <xf numFmtId="0" fontId="41" fillId="0" borderId="36" xfId="26" applyFont="1" applyBorder="1" applyAlignment="1">
      <alignment horizontal="left"/>
    </xf>
    <xf numFmtId="0" fontId="41" fillId="0" borderId="0" xfId="26" applyFont="1" applyBorder="1" applyAlignment="1">
      <alignment horizontal="left"/>
    </xf>
    <xf numFmtId="0" fontId="41" fillId="0" borderId="37" xfId="26" applyFont="1" applyBorder="1" applyAlignment="1">
      <alignment horizontal="left"/>
    </xf>
    <xf numFmtId="0" fontId="55" fillId="0" borderId="0" xfId="15" applyFont="1" applyBorder="1" applyAlignment="1" applyProtection="1">
      <alignment horizontal="left" vertical="center"/>
    </xf>
    <xf numFmtId="0" fontId="41" fillId="0" borderId="36" xfId="26" applyFont="1" applyBorder="1" applyAlignment="1">
      <alignment horizontal="left" wrapText="1"/>
    </xf>
    <xf numFmtId="0" fontId="42" fillId="0" borderId="0" xfId="26" applyFont="1" applyBorder="1" applyAlignment="1">
      <alignment horizontal="left"/>
    </xf>
    <xf numFmtId="0" fontId="42" fillId="0" borderId="37" xfId="26" applyFont="1" applyBorder="1" applyAlignment="1">
      <alignment horizontal="left"/>
    </xf>
    <xf numFmtId="0" fontId="41" fillId="0" borderId="0" xfId="26" applyFont="1" applyBorder="1" applyAlignment="1">
      <alignment horizontal="justify" vertical="top" wrapText="1"/>
    </xf>
    <xf numFmtId="0" fontId="41" fillId="0" borderId="0" xfId="26" applyFont="1" applyBorder="1" applyAlignment="1">
      <alignment horizontal="left" vertical="center" wrapText="1"/>
    </xf>
    <xf numFmtId="0" fontId="41" fillId="0" borderId="37" xfId="26" applyFont="1" applyBorder="1" applyAlignment="1">
      <alignment horizontal="left" vertical="center" wrapText="1"/>
    </xf>
    <xf numFmtId="0" fontId="41" fillId="0" borderId="0" xfId="26" applyFont="1" applyFill="1" applyBorder="1" applyAlignment="1">
      <alignment horizontal="justify" vertical="center" wrapText="1"/>
    </xf>
    <xf numFmtId="0" fontId="41" fillId="0" borderId="37" xfId="26" applyFont="1" applyFill="1" applyBorder="1" applyAlignment="1">
      <alignment horizontal="justify" vertical="center" wrapText="1"/>
    </xf>
    <xf numFmtId="0" fontId="41" fillId="0" borderId="0" xfId="26" applyFont="1" applyFill="1" applyBorder="1" applyAlignment="1">
      <alignment horizontal="justify" vertical="top" wrapText="1"/>
    </xf>
    <xf numFmtId="0" fontId="41" fillId="0" borderId="37" xfId="26" applyFont="1" applyFill="1" applyBorder="1" applyAlignment="1">
      <alignment horizontal="justify" vertical="top" wrapText="1"/>
    </xf>
    <xf numFmtId="0" fontId="41" fillId="0" borderId="37" xfId="26" applyFont="1" applyBorder="1" applyAlignment="1">
      <alignment horizontal="justify" vertical="top" wrapText="1"/>
    </xf>
    <xf numFmtId="0" fontId="2" fillId="6" borderId="48" xfId="0" applyFont="1" applyFill="1" applyBorder="1" applyAlignment="1" applyProtection="1">
      <alignment horizontal="left" vertical="center" wrapText="1"/>
      <protection locked="0"/>
    </xf>
    <xf numFmtId="0" fontId="2" fillId="0" borderId="55" xfId="0" applyFont="1" applyBorder="1" applyAlignment="1" applyProtection="1">
      <alignment horizontal="left" vertical="center" wrapText="1"/>
      <protection locked="0"/>
    </xf>
    <xf numFmtId="0" fontId="5" fillId="0" borderId="56" xfId="27" applyFont="1" applyBorder="1" applyAlignment="1" applyProtection="1">
      <alignment horizontal="center" vertical="center" wrapText="1"/>
      <protection hidden="1"/>
    </xf>
    <xf numFmtId="0" fontId="5" fillId="0" borderId="48" xfId="0" applyFont="1" applyBorder="1" applyAlignment="1" applyProtection="1">
      <alignment horizontal="center" vertical="center" wrapText="1"/>
      <protection hidden="1"/>
    </xf>
    <xf numFmtId="0" fontId="5" fillId="0" borderId="55" xfId="0" applyFont="1" applyBorder="1" applyAlignment="1" applyProtection="1">
      <alignment horizontal="center" vertical="center" wrapText="1"/>
      <protection hidden="1"/>
    </xf>
    <xf numFmtId="0" fontId="5" fillId="0" borderId="36" xfId="0" applyFont="1" applyBorder="1" applyAlignment="1" applyProtection="1">
      <alignment horizontal="center" vertical="center" wrapText="1"/>
      <protection hidden="1"/>
    </xf>
    <xf numFmtId="0" fontId="5" fillId="0" borderId="0" xfId="0" applyFont="1" applyAlignment="1" applyProtection="1">
      <alignment horizontal="center" vertical="center" wrapText="1"/>
      <protection hidden="1"/>
    </xf>
    <xf numFmtId="0" fontId="5" fillId="0" borderId="37" xfId="0" applyFont="1" applyBorder="1" applyAlignment="1" applyProtection="1">
      <alignment horizontal="center" vertical="center" wrapText="1"/>
      <protection hidden="1"/>
    </xf>
    <xf numFmtId="0" fontId="5" fillId="0" borderId="43" xfId="0" applyFont="1" applyBorder="1" applyAlignment="1" applyProtection="1">
      <alignment horizontal="center" vertical="center" wrapText="1"/>
      <protection hidden="1"/>
    </xf>
    <xf numFmtId="0" fontId="5" fillId="0" borderId="44" xfId="0" applyFont="1" applyBorder="1" applyAlignment="1" applyProtection="1">
      <alignment horizontal="center" vertical="center" wrapText="1"/>
      <protection hidden="1"/>
    </xf>
    <xf numFmtId="0" fontId="5" fillId="0" borderId="42" xfId="0" applyFont="1" applyBorder="1" applyAlignment="1" applyProtection="1">
      <alignment horizontal="center" vertical="center" wrapText="1"/>
      <protection hidden="1"/>
    </xf>
    <xf numFmtId="0" fontId="0" fillId="0" borderId="57" xfId="0" applyBorder="1" applyAlignment="1" applyProtection="1">
      <alignment vertical="center" wrapText="1"/>
      <protection hidden="1"/>
    </xf>
    <xf numFmtId="0" fontId="0" fillId="0" borderId="28" xfId="0" applyBorder="1" applyAlignment="1" applyProtection="1">
      <alignment vertical="center" wrapText="1"/>
      <protection hidden="1"/>
    </xf>
    <xf numFmtId="0" fontId="0" fillId="0" borderId="58" xfId="0" applyBorder="1" applyAlignment="1" applyProtection="1">
      <alignment vertical="center" wrapText="1"/>
      <protection hidden="1"/>
    </xf>
    <xf numFmtId="0" fontId="23" fillId="6" borderId="0" xfId="0" applyFont="1" applyFill="1" applyBorder="1" applyAlignment="1" applyProtection="1">
      <alignment horizontal="left" vertical="center" wrapText="1"/>
      <protection locked="0"/>
    </xf>
    <xf numFmtId="0" fontId="23" fillId="0" borderId="37" xfId="0" applyFont="1" applyBorder="1" applyAlignment="1" applyProtection="1">
      <alignment horizontal="left" vertical="center" wrapText="1"/>
      <protection locked="0"/>
    </xf>
    <xf numFmtId="0" fontId="23" fillId="6" borderId="44" xfId="0" applyFont="1" applyFill="1" applyBorder="1" applyAlignment="1" applyProtection="1">
      <alignment vertical="center" wrapText="1"/>
      <protection locked="0"/>
    </xf>
    <xf numFmtId="0" fontId="23" fillId="0" borderId="42" xfId="0" applyFont="1" applyBorder="1" applyAlignment="1" applyProtection="1">
      <alignment vertical="center" wrapText="1"/>
      <protection locked="0"/>
    </xf>
    <xf numFmtId="0" fontId="15" fillId="0" borderId="48" xfId="27" applyFont="1" applyBorder="1" applyAlignment="1" applyProtection="1">
      <alignment horizontal="left" vertical="center" wrapText="1"/>
      <protection hidden="1"/>
    </xf>
    <xf numFmtId="0" fontId="0" fillId="0" borderId="48" xfId="0" applyBorder="1" applyAlignment="1" applyProtection="1">
      <alignment vertical="center"/>
      <protection hidden="1"/>
    </xf>
    <xf numFmtId="0" fontId="28" fillId="6" borderId="5" xfId="0" applyFont="1" applyFill="1" applyBorder="1" applyAlignment="1" applyProtection="1">
      <alignment horizontal="left" vertical="center"/>
      <protection locked="0"/>
    </xf>
    <xf numFmtId="0" fontId="23" fillId="8" borderId="0" xfId="0" applyFont="1" applyFill="1" applyBorder="1" applyAlignment="1" applyProtection="1">
      <alignment horizontal="right" vertical="center" wrapText="1"/>
      <protection hidden="1"/>
    </xf>
    <xf numFmtId="0" fontId="23" fillId="8" borderId="7" xfId="0" applyFont="1" applyFill="1" applyBorder="1" applyAlignment="1" applyProtection="1">
      <alignment horizontal="right" vertical="center" wrapText="1"/>
      <protection hidden="1"/>
    </xf>
    <xf numFmtId="0" fontId="2" fillId="0" borderId="45" xfId="0" applyFont="1" applyBorder="1" applyAlignment="1" applyProtection="1">
      <alignment horizontal="right" vertical="center" wrapText="1"/>
      <protection hidden="1"/>
    </xf>
    <xf numFmtId="0" fontId="2" fillId="0" borderId="8" xfId="0" applyFont="1" applyBorder="1" applyAlignment="1" applyProtection="1">
      <alignment horizontal="right" vertical="center" wrapText="1"/>
      <protection hidden="1"/>
    </xf>
    <xf numFmtId="0" fontId="2" fillId="0" borderId="7" xfId="0" applyFont="1" applyBorder="1" applyAlignment="1" applyProtection="1">
      <alignment horizontal="right" vertical="center" wrapText="1"/>
      <protection hidden="1"/>
    </xf>
    <xf numFmtId="0" fontId="2" fillId="0" borderId="5" xfId="0" applyFont="1" applyBorder="1" applyAlignment="1" applyProtection="1">
      <alignment horizontal="right" vertical="center" wrapText="1"/>
      <protection hidden="1"/>
    </xf>
    <xf numFmtId="0" fontId="2" fillId="0" borderId="4" xfId="0" applyFont="1" applyBorder="1" applyAlignment="1" applyProtection="1">
      <alignment horizontal="right" vertical="center" wrapText="1"/>
      <protection hidden="1"/>
    </xf>
    <xf numFmtId="0" fontId="2" fillId="0" borderId="4" xfId="0" applyFont="1" applyFill="1" applyBorder="1" applyAlignment="1" applyProtection="1">
      <alignment horizontal="right" vertical="center" wrapText="1"/>
      <protection hidden="1"/>
    </xf>
    <xf numFmtId="0" fontId="2" fillId="0" borderId="7" xfId="0" applyFont="1" applyFill="1" applyBorder="1" applyAlignment="1" applyProtection="1">
      <alignment horizontal="right" vertical="center" wrapText="1"/>
      <protection hidden="1"/>
    </xf>
    <xf numFmtId="0" fontId="23" fillId="0" borderId="0" xfId="0" applyFont="1" applyAlignment="1" applyProtection="1">
      <alignment vertical="center" wrapText="1"/>
      <protection hidden="1"/>
    </xf>
    <xf numFmtId="0" fontId="28" fillId="0" borderId="0" xfId="0" applyFont="1" applyAlignment="1" applyProtection="1">
      <alignment horizontal="center" vertical="center" wrapText="1"/>
      <protection hidden="1"/>
    </xf>
    <xf numFmtId="0" fontId="46" fillId="0" borderId="59" xfId="29" applyFont="1" applyBorder="1" applyAlignment="1" applyProtection="1">
      <alignment horizontal="center" vertical="center" wrapText="1"/>
      <protection hidden="1"/>
    </xf>
    <xf numFmtId="0" fontId="1" fillId="0" borderId="3" xfId="0" applyFont="1" applyBorder="1" applyAlignment="1" applyProtection="1">
      <alignment horizontal="center" vertical="center" wrapText="1"/>
      <protection hidden="1"/>
    </xf>
    <xf numFmtId="0" fontId="1" fillId="0" borderId="60" xfId="0" applyFont="1" applyBorder="1" applyAlignment="1" applyProtection="1">
      <alignment horizontal="center" vertical="center" wrapText="1"/>
      <protection hidden="1"/>
    </xf>
    <xf numFmtId="2" fontId="2" fillId="0" borderId="7" xfId="0" applyNumberFormat="1" applyFont="1" applyBorder="1" applyAlignment="1" applyProtection="1">
      <alignment horizontal="center"/>
      <protection hidden="1"/>
    </xf>
    <xf numFmtId="0" fontId="28" fillId="0" borderId="0" xfId="0" applyFont="1" applyAlignment="1" applyProtection="1">
      <alignment horizontal="center" vertical="center" wrapText="1"/>
    </xf>
    <xf numFmtId="0" fontId="18" fillId="0" borderId="59" xfId="28" applyFont="1" applyBorder="1" applyAlignment="1" applyProtection="1">
      <alignment horizontal="center" vertical="center" wrapText="1"/>
      <protection hidden="1"/>
    </xf>
    <xf numFmtId="0" fontId="23" fillId="0" borderId="3" xfId="0" applyFont="1" applyBorder="1" applyAlignment="1" applyProtection="1">
      <alignment horizontal="center" vertical="center" wrapText="1"/>
    </xf>
    <xf numFmtId="0" fontId="23" fillId="0" borderId="60" xfId="0" applyFont="1" applyBorder="1" applyAlignment="1" applyProtection="1">
      <alignment horizontal="center" vertical="center" wrapText="1"/>
    </xf>
  </cellXfs>
  <cellStyles count="40">
    <cellStyle name="args.style" xfId="1" xr:uid="{00000000-0005-0000-0000-000000000000}"/>
    <cellStyle name="ARIAL" xfId="2" xr:uid="{00000000-0005-0000-0000-000001000000}"/>
    <cellStyle name="Arial10" xfId="3" xr:uid="{00000000-0005-0000-0000-000002000000}"/>
    <cellStyle name="Calc Currency (0)" xfId="4" xr:uid="{00000000-0005-0000-0000-000003000000}"/>
    <cellStyle name="Copied" xfId="5" xr:uid="{00000000-0005-0000-0000-000004000000}"/>
    <cellStyle name="COST1" xfId="6" xr:uid="{00000000-0005-0000-0000-000005000000}"/>
    <cellStyle name="Dollars" xfId="7" xr:uid="{00000000-0005-0000-0000-000006000000}"/>
    <cellStyle name="Dollars(0)" xfId="8" xr:uid="{00000000-0005-0000-0000-000007000000}"/>
    <cellStyle name="Entered" xfId="9" xr:uid="{00000000-0005-0000-0000-000008000000}"/>
    <cellStyle name="FORM" xfId="10" xr:uid="{00000000-0005-0000-0000-000009000000}"/>
    <cellStyle name="Grey" xfId="11" xr:uid="{00000000-0005-0000-0000-00000A000000}"/>
    <cellStyle name="Header1" xfId="12" xr:uid="{00000000-0005-0000-0000-00000B000000}"/>
    <cellStyle name="Header2" xfId="13" xr:uid="{00000000-0005-0000-0000-00000C000000}"/>
    <cellStyle name="header3" xfId="14" xr:uid="{00000000-0005-0000-0000-00000D000000}"/>
    <cellStyle name="Hyperlink" xfId="15" builtinId="8"/>
    <cellStyle name="Hyperlink 2" xfId="16" xr:uid="{00000000-0005-0000-0000-00000F000000}"/>
    <cellStyle name="Hyperlink 2 2" xfId="17" xr:uid="{00000000-0005-0000-0000-000010000000}"/>
    <cellStyle name="Input [yellow]" xfId="18" xr:uid="{00000000-0005-0000-0000-000011000000}"/>
    <cellStyle name="Input Cells" xfId="19" xr:uid="{00000000-0005-0000-0000-000012000000}"/>
    <cellStyle name="Linked Cells" xfId="20" xr:uid="{00000000-0005-0000-0000-000013000000}"/>
    <cellStyle name="Milliers [0]_!!!GO" xfId="21" xr:uid="{00000000-0005-0000-0000-000014000000}"/>
    <cellStyle name="Milliers_!!!GO" xfId="22" xr:uid="{00000000-0005-0000-0000-000015000000}"/>
    <cellStyle name="Monétaire [0]_!!!GO" xfId="23" xr:uid="{00000000-0005-0000-0000-000016000000}"/>
    <cellStyle name="Monétaire_!!!GO" xfId="24" xr:uid="{00000000-0005-0000-0000-000017000000}"/>
    <cellStyle name="Normal" xfId="0" builtinId="0"/>
    <cellStyle name="Normal - Style1" xfId="25" xr:uid="{00000000-0005-0000-0000-000019000000}"/>
    <cellStyle name="Normal 2" xfId="26" xr:uid="{00000000-0005-0000-0000-00001A000000}"/>
    <cellStyle name="Normal_CALCULATION LOG 2" xfId="27" xr:uid="{00000000-0005-0000-0000-00001B000000}"/>
    <cellStyle name="Normal_Master-PipeSpan-Stress-Defl" xfId="28" xr:uid="{00000000-0005-0000-0000-00001C000000}"/>
    <cellStyle name="Normal_Master-PipeSpan-Stress-Defl 2" xfId="29" xr:uid="{00000000-0005-0000-0000-00001D000000}"/>
    <cellStyle name="Normal_SHJ-BMS-EN-VSS-L-2654 2" xfId="30" xr:uid="{00000000-0005-0000-0000-00001E000000}"/>
    <cellStyle name="Œ…‹æØ‚è [0.00]_Region Orders (2)" xfId="31" xr:uid="{00000000-0005-0000-0000-00001F000000}"/>
    <cellStyle name="Œ…‹æØ‚è_Region Orders (2)" xfId="32" xr:uid="{00000000-0005-0000-0000-000020000000}"/>
    <cellStyle name="per.style" xfId="33" xr:uid="{00000000-0005-0000-0000-000021000000}"/>
    <cellStyle name="Percent [2]" xfId="34" xr:uid="{00000000-0005-0000-0000-000022000000}"/>
    <cellStyle name="pricing" xfId="35" xr:uid="{00000000-0005-0000-0000-000023000000}"/>
    <cellStyle name="PSChar" xfId="36" xr:uid="{00000000-0005-0000-0000-000024000000}"/>
    <cellStyle name="RevList" xfId="37" xr:uid="{00000000-0005-0000-0000-000025000000}"/>
    <cellStyle name="STANDARD" xfId="38" xr:uid="{00000000-0005-0000-0000-000026000000}"/>
    <cellStyle name="Subtotal" xfId="39" xr:uid="{00000000-0005-0000-0000-000027000000}"/>
  </cellStyles>
  <dxfs count="1">
    <dxf>
      <fill>
        <patternFill>
          <bgColor indexed="1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5" Type="http://schemas.openxmlformats.org/officeDocument/2006/relationships/externalLink" Target="externalLinks/externalLink2.xml"/><Relationship Id="rId10" Type="http://schemas.openxmlformats.org/officeDocument/2006/relationships/calcChain" Target="calcChain.xml"/><Relationship Id="rId4" Type="http://schemas.openxmlformats.org/officeDocument/2006/relationships/externalLink" Target="externalLinks/externalLink1.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5</xdr:col>
      <xdr:colOff>219075</xdr:colOff>
      <xdr:row>0</xdr:row>
      <xdr:rowOff>190501</xdr:rowOff>
    </xdr:from>
    <xdr:to>
      <xdr:col>6</xdr:col>
      <xdr:colOff>590550</xdr:colOff>
      <xdr:row>3</xdr:row>
      <xdr:rowOff>76201</xdr:rowOff>
    </xdr:to>
    <xdr:pic>
      <xdr:nvPicPr>
        <xdr:cNvPr id="49192" name="Picture 159">
          <a:extLst>
            <a:ext uri="{FF2B5EF4-FFF2-40B4-BE49-F238E27FC236}">
              <a16:creationId xmlns:a16="http://schemas.microsoft.com/office/drawing/2014/main" id="{00000000-0008-0000-0000-000028C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6838950" y="190501"/>
          <a:ext cx="1524000" cy="533400"/>
        </a:xfrm>
        <a:prstGeom prst="rect">
          <a:avLst/>
        </a:prstGeom>
        <a:noFill/>
        <a:ln w="9525">
          <a:noFill/>
          <a:miter lim="800000"/>
          <a:headEnd/>
          <a:tailEnd/>
        </a:ln>
      </xdr:spPr>
    </xdr:pic>
    <xdr:clientData/>
  </xdr:twoCellAnchor>
  <xdr:twoCellAnchor>
    <xdr:from>
      <xdr:col>4</xdr:col>
      <xdr:colOff>876300</xdr:colOff>
      <xdr:row>105</xdr:row>
      <xdr:rowOff>28575</xdr:rowOff>
    </xdr:from>
    <xdr:to>
      <xdr:col>4</xdr:col>
      <xdr:colOff>876300</xdr:colOff>
      <xdr:row>106</xdr:row>
      <xdr:rowOff>209550</xdr:rowOff>
    </xdr:to>
    <xdr:cxnSp macro="">
      <xdr:nvCxnSpPr>
        <xdr:cNvPr id="49193" name="Straight Connector 3">
          <a:extLst>
            <a:ext uri="{FF2B5EF4-FFF2-40B4-BE49-F238E27FC236}">
              <a16:creationId xmlns:a16="http://schemas.microsoft.com/office/drawing/2014/main" id="{00000000-0008-0000-0000-000029C00000}"/>
            </a:ext>
          </a:extLst>
        </xdr:cNvPr>
        <xdr:cNvCxnSpPr>
          <a:cxnSpLocks noChangeShapeType="1"/>
        </xdr:cNvCxnSpPr>
      </xdr:nvCxnSpPr>
      <xdr:spPr bwMode="auto">
        <a:xfrm rot="5400000">
          <a:off x="4976812" y="27179588"/>
          <a:ext cx="447675" cy="0"/>
        </a:xfrm>
        <a:prstGeom prst="line">
          <a:avLst/>
        </a:prstGeom>
        <a:noFill/>
        <a:ln w="9525" algn="ctr">
          <a:solidFill>
            <a:srgbClr val="FF0000"/>
          </a:solidFill>
          <a:round/>
          <a:headEnd/>
          <a:tailEnd/>
        </a:ln>
      </xdr:spPr>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390525</xdr:colOff>
      <xdr:row>0</xdr:row>
      <xdr:rowOff>47625</xdr:rowOff>
    </xdr:from>
    <xdr:to>
      <xdr:col>8</xdr:col>
      <xdr:colOff>1000125</xdr:colOff>
      <xdr:row>3</xdr:row>
      <xdr:rowOff>85725</xdr:rowOff>
    </xdr:to>
    <xdr:pic>
      <xdr:nvPicPr>
        <xdr:cNvPr id="50222" name="Picture 17">
          <a:extLst>
            <a:ext uri="{FF2B5EF4-FFF2-40B4-BE49-F238E27FC236}">
              <a16:creationId xmlns:a16="http://schemas.microsoft.com/office/drawing/2014/main" id="{00000000-0008-0000-0100-00002EC4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810625" y="47625"/>
          <a:ext cx="609600" cy="685800"/>
        </a:xfrm>
        <a:prstGeom prst="rect">
          <a:avLst/>
        </a:prstGeom>
        <a:noFill/>
        <a:ln w="9525">
          <a:noFill/>
          <a:miter lim="800000"/>
          <a:headEnd/>
          <a:tailEnd/>
        </a:ln>
      </xdr:spPr>
    </xdr:pic>
    <xdr:clientData/>
  </xdr:twoCellAnchor>
  <xdr:twoCellAnchor editAs="oneCell">
    <xdr:from>
      <xdr:col>4</xdr:col>
      <xdr:colOff>295275</xdr:colOff>
      <xdr:row>11</xdr:row>
      <xdr:rowOff>171450</xdr:rowOff>
    </xdr:from>
    <xdr:to>
      <xdr:col>8</xdr:col>
      <xdr:colOff>1009650</xdr:colOff>
      <xdr:row>20</xdr:row>
      <xdr:rowOff>9525</xdr:rowOff>
    </xdr:to>
    <xdr:pic>
      <xdr:nvPicPr>
        <xdr:cNvPr id="50223" name="Picture 4">
          <a:extLst>
            <a:ext uri="{FF2B5EF4-FFF2-40B4-BE49-F238E27FC236}">
              <a16:creationId xmlns:a16="http://schemas.microsoft.com/office/drawing/2014/main" id="{00000000-0008-0000-0100-00002FC4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4772025" y="2095500"/>
          <a:ext cx="4657725" cy="1514475"/>
        </a:xfrm>
        <a:prstGeom prst="rect">
          <a:avLst/>
        </a:prstGeom>
        <a:noFill/>
        <a:ln w="9525">
          <a:solidFill>
            <a:srgbClr val="4F81BD"/>
          </a:solid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ivek\vivek_common\JI-163\ELECTRICAL\1490BA.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Vivek\vivek_common\JI-163\ELECTRICAL\1483BA.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ARNE\ENG\MEC\ENQUIRY\MC22AVFU\DATA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page 2"/>
      <sheetName val="LV induction motors"/>
    </sheetNames>
    <sheetDataSet>
      <sheetData sheetId="0"/>
      <sheetData sheetId="1"/>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page 2"/>
      <sheetName val="Alternator"/>
    </sheetNames>
    <sheetDataSet>
      <sheetData sheetId="0"/>
      <sheetData sheetId="1"/>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cess Data"/>
      <sheetName val="Electrical Load List"/>
      <sheetName val="TWO PASS"/>
      <sheetName val="THREE PASS"/>
      <sheetName val="Air Cooler-E"/>
      <sheetName val="Sheet No-7 Electrical Consumer "/>
      <sheetName val="Sheet No-6 Measurement list"/>
      <sheetName val="Alternator"/>
      <sheetName val="Units"/>
      <sheetName val="LC#1"/>
      <sheetName val="물량집계(전기)"/>
      <sheetName val="물량집계(계장)"/>
      <sheetName val="BOQ"/>
      <sheetName val="Settings"/>
      <sheetName val="FIRE"/>
      <sheetName val="Cab_Commodity Code."/>
      <sheetName val="노임단가"/>
      <sheetName val="Page 1 - Front Sheet"/>
      <sheetName val="Tank2"/>
      <sheetName val="names"/>
      <sheetName val="PRICE COMP"/>
      <sheetName val="QAP173- "/>
      <sheetName val="PRICE-COMP"/>
      <sheetName val="COMP- DOUBLE PAGE"/>
      <sheetName val="PUMPS"/>
      <sheetName val="REACTORS"/>
      <sheetName val="AGITATORS"/>
      <sheetName val="M 11"/>
      <sheetName val="Process_Data"/>
      <sheetName val="Electrical_Load_List"/>
      <sheetName val="eq_data"/>
      <sheetName val="BILAL2"/>
      <sheetName val="AVS"/>
      <sheetName val="Front Sheet"/>
      <sheetName val="general"/>
      <sheetName val="MAT"/>
      <sheetName val="PLC BOM"/>
      <sheetName val="PJTGP"/>
      <sheetName val="COVER"/>
      <sheetName val="Data"/>
      <sheetName val="LV induction motors"/>
      <sheetName val="Datasheet"/>
      <sheetName val="Pump Seal Changes"/>
      <sheetName val="DATA1"/>
      <sheetName val="Project Details"/>
      <sheetName val="Page4"/>
      <sheetName val="JB Uniqe_Total_OLD"/>
      <sheetName val="DRS_Data"/>
      <sheetName val="Lot-2_Pack"/>
      <sheetName val="MEC"/>
      <sheetName val="CPU Loading SCS1130 "/>
      <sheetName val=""/>
      <sheetName val="OIL SYST DATA SHTS"/>
      <sheetName val="A1 Thru A11- LUMP SUM CONSTR"/>
      <sheetName val="업무담당"/>
      <sheetName val="기준정보"/>
      <sheetName val="RE9604"/>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apb017aaashjuae:8004/2009/ControlDocument/PEC-EN-VSR-L-6577.pdf" TargetMode="External"/><Relationship Id="rId2" Type="http://schemas.openxmlformats.org/officeDocument/2006/relationships/hyperlink" Target="http://apb017aaashjuae:8004/2009/ControlDocument/PEC-EN-PRO-X-0032.pdf" TargetMode="External"/><Relationship Id="rId1" Type="http://schemas.openxmlformats.org/officeDocument/2006/relationships/hyperlink" Target="http://apb017aaashjuae:8004/2009/ControlDocument/PEC-EN-FRM-X-0206.doc"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83"/>
  <sheetViews>
    <sheetView topLeftCell="A97" zoomScaleSheetLayoutView="100" workbookViewId="0">
      <selection activeCell="B102" sqref="B102"/>
    </sheetView>
  </sheetViews>
  <sheetFormatPr defaultRowHeight="15"/>
  <cols>
    <col min="1" max="1" width="4.625" style="136" customWidth="1"/>
    <col min="2" max="2" width="21.375" style="136" customWidth="1"/>
    <col min="3" max="3" width="21.75" style="136" customWidth="1"/>
    <col min="4" max="4" width="22" style="136" customWidth="1"/>
    <col min="5" max="5" width="17.125" style="136" customWidth="1"/>
    <col min="6" max="6" width="15.125" style="136" customWidth="1"/>
    <col min="7" max="7" width="14.75" style="136" customWidth="1"/>
    <col min="8" max="8" width="1.375" style="136" customWidth="1"/>
    <col min="9" max="16384" width="9" style="136"/>
  </cols>
  <sheetData>
    <row r="1" spans="1:8" ht="18.75" customHeight="1">
      <c r="B1" s="300" t="s">
        <v>94</v>
      </c>
      <c r="C1" s="300"/>
      <c r="D1" s="300" t="s">
        <v>169</v>
      </c>
      <c r="E1" s="300"/>
      <c r="F1" s="301"/>
      <c r="G1" s="301"/>
      <c r="H1" s="137"/>
    </row>
    <row r="2" spans="1:8" ht="15.75" customHeight="1">
      <c r="B2" s="300" t="s">
        <v>50</v>
      </c>
      <c r="C2" s="300"/>
      <c r="D2" s="300">
        <v>1</v>
      </c>
      <c r="E2" s="300"/>
      <c r="F2" s="301"/>
      <c r="G2" s="301"/>
      <c r="H2" s="137"/>
    </row>
    <row r="3" spans="1:8" ht="16.5" customHeight="1">
      <c r="B3" s="300" t="s">
        <v>95</v>
      </c>
      <c r="C3" s="300"/>
      <c r="D3" s="300" t="s">
        <v>96</v>
      </c>
      <c r="E3" s="300"/>
      <c r="F3" s="301"/>
      <c r="G3" s="301"/>
      <c r="H3" s="137"/>
    </row>
    <row r="4" spans="1:8" ht="15" customHeight="1">
      <c r="B4" s="300" t="s">
        <v>97</v>
      </c>
      <c r="C4" s="300"/>
      <c r="D4" s="300" t="s">
        <v>98</v>
      </c>
      <c r="E4" s="300"/>
      <c r="F4" s="301"/>
      <c r="G4" s="301"/>
      <c r="H4" s="137"/>
    </row>
    <row r="5" spans="1:8" ht="30" customHeight="1">
      <c r="A5" s="138"/>
      <c r="B5" s="139"/>
      <c r="C5" s="140"/>
      <c r="D5" s="141"/>
      <c r="E5" s="141"/>
      <c r="F5" s="141"/>
      <c r="G5" s="142"/>
    </row>
    <row r="6" spans="1:8" ht="30" customHeight="1">
      <c r="A6" s="138"/>
      <c r="B6" s="139"/>
      <c r="C6" s="140"/>
      <c r="D6" s="141"/>
      <c r="E6" s="141"/>
      <c r="F6" s="141"/>
      <c r="G6" s="142"/>
    </row>
    <row r="7" spans="1:8" ht="30" customHeight="1">
      <c r="A7" s="138"/>
      <c r="B7" s="139"/>
      <c r="C7" s="140"/>
      <c r="D7" s="141"/>
      <c r="E7" s="141"/>
      <c r="F7" s="141"/>
      <c r="G7" s="142"/>
    </row>
    <row r="8" spans="1:8" ht="30" customHeight="1">
      <c r="A8" s="138"/>
      <c r="B8" s="139"/>
      <c r="C8" s="140"/>
      <c r="D8" s="141"/>
      <c r="E8" s="141"/>
      <c r="F8" s="141"/>
      <c r="G8" s="142"/>
    </row>
    <row r="9" spans="1:8" ht="30" customHeight="1">
      <c r="A9" s="138"/>
      <c r="B9" s="139"/>
      <c r="C9" s="140"/>
      <c r="D9" s="141"/>
      <c r="E9" s="141"/>
      <c r="F9" s="141"/>
      <c r="G9" s="142"/>
    </row>
    <row r="10" spans="1:8" ht="30" customHeight="1">
      <c r="A10" s="138"/>
      <c r="B10" s="139"/>
      <c r="C10" s="140"/>
      <c r="D10" s="141"/>
      <c r="E10" s="141"/>
      <c r="F10" s="141"/>
      <c r="G10" s="142"/>
    </row>
    <row r="11" spans="1:8" ht="30.75" customHeight="1">
      <c r="B11" s="282" t="s">
        <v>79</v>
      </c>
      <c r="C11" s="283"/>
      <c r="D11" s="283"/>
      <c r="E11" s="283"/>
      <c r="F11" s="283"/>
      <c r="G11" s="284"/>
    </row>
    <row r="12" spans="1:8" ht="15" customHeight="1">
      <c r="B12" s="207"/>
      <c r="C12" s="143"/>
      <c r="D12" s="143"/>
      <c r="E12" s="143"/>
      <c r="F12" s="143"/>
      <c r="G12" s="144"/>
    </row>
    <row r="13" spans="1:8" ht="15" customHeight="1">
      <c r="B13" s="207"/>
      <c r="C13" s="143"/>
      <c r="D13" s="143"/>
      <c r="E13" s="143"/>
      <c r="F13" s="143"/>
      <c r="G13" s="144"/>
    </row>
    <row r="14" spans="1:8" ht="15" customHeight="1">
      <c r="B14" s="207"/>
      <c r="C14" s="143"/>
      <c r="D14" s="143"/>
      <c r="E14" s="143"/>
      <c r="F14" s="143"/>
      <c r="G14" s="144"/>
    </row>
    <row r="15" spans="1:8" ht="15" customHeight="1">
      <c r="B15" s="207"/>
      <c r="C15" s="143"/>
      <c r="D15" s="143"/>
      <c r="E15" s="143"/>
      <c r="F15" s="143"/>
      <c r="G15" s="144"/>
    </row>
    <row r="16" spans="1:8" ht="15" customHeight="1">
      <c r="B16" s="207"/>
      <c r="C16" s="143"/>
      <c r="D16" s="143"/>
      <c r="E16" s="143"/>
      <c r="F16" s="143"/>
      <c r="G16" s="144"/>
    </row>
    <row r="17" spans="2:7" ht="15" customHeight="1">
      <c r="B17" s="207"/>
      <c r="C17" s="143"/>
      <c r="D17" s="143"/>
      <c r="E17" s="143"/>
      <c r="F17" s="143"/>
      <c r="G17" s="144"/>
    </row>
    <row r="18" spans="2:7" ht="15" customHeight="1">
      <c r="B18" s="207"/>
      <c r="C18" s="143"/>
      <c r="D18" s="143"/>
      <c r="E18" s="143"/>
      <c r="F18" s="143"/>
      <c r="G18" s="144"/>
    </row>
    <row r="19" spans="2:7" ht="15" customHeight="1">
      <c r="B19" s="207"/>
      <c r="C19" s="143"/>
      <c r="D19" s="143"/>
      <c r="E19" s="143"/>
      <c r="F19" s="143"/>
      <c r="G19" s="144"/>
    </row>
    <row r="20" spans="2:7" ht="15" customHeight="1">
      <c r="B20" s="207"/>
      <c r="C20" s="143"/>
      <c r="D20" s="143"/>
      <c r="E20" s="143"/>
      <c r="F20" s="143"/>
      <c r="G20" s="144"/>
    </row>
    <row r="21" spans="2:7" ht="15" customHeight="1">
      <c r="B21" s="207"/>
      <c r="C21" s="143"/>
      <c r="D21" s="143"/>
      <c r="E21" s="143"/>
      <c r="F21" s="143"/>
      <c r="G21" s="144"/>
    </row>
    <row r="22" spans="2:7" ht="15" customHeight="1">
      <c r="B22" s="207"/>
      <c r="C22" s="143"/>
      <c r="D22" s="143"/>
      <c r="E22" s="143"/>
      <c r="F22" s="143"/>
      <c r="G22" s="144"/>
    </row>
    <row r="23" spans="2:7" ht="15" customHeight="1">
      <c r="B23" s="207"/>
      <c r="C23" s="143"/>
      <c r="D23" s="143"/>
      <c r="E23" s="143"/>
      <c r="F23" s="143"/>
      <c r="G23" s="144"/>
    </row>
    <row r="24" spans="2:7" ht="15" customHeight="1">
      <c r="B24" s="207"/>
      <c r="C24" s="143"/>
      <c r="D24" s="143"/>
      <c r="E24" s="143"/>
      <c r="F24" s="143"/>
      <c r="G24" s="144"/>
    </row>
    <row r="25" spans="2:7" ht="15.75" thickBot="1">
      <c r="B25" s="208"/>
      <c r="C25" s="209"/>
      <c r="D25" s="209"/>
      <c r="E25" s="209"/>
      <c r="F25" s="209"/>
      <c r="G25" s="210"/>
    </row>
    <row r="26" spans="2:7" ht="30.75" customHeight="1" thickBot="1">
      <c r="B26" s="285" t="s">
        <v>99</v>
      </c>
      <c r="C26" s="286"/>
      <c r="D26" s="286"/>
      <c r="E26" s="286"/>
      <c r="F26" s="286"/>
      <c r="G26" s="287"/>
    </row>
    <row r="27" spans="2:7" ht="30.75" customHeight="1" thickBot="1">
      <c r="B27" s="145"/>
      <c r="C27" s="146"/>
      <c r="D27" s="146"/>
      <c r="E27" s="146"/>
      <c r="F27" s="146"/>
      <c r="G27" s="147"/>
    </row>
    <row r="28" spans="2:7" ht="30.75" customHeight="1" thickBot="1">
      <c r="B28" s="148"/>
      <c r="C28" s="149"/>
      <c r="D28" s="150"/>
      <c r="E28" s="150"/>
      <c r="F28" s="150"/>
      <c r="G28" s="151"/>
    </row>
    <row r="29" spans="2:7" ht="30.75" customHeight="1" thickBot="1">
      <c r="B29" s="148"/>
      <c r="C29" s="149"/>
      <c r="D29" s="150"/>
      <c r="E29" s="150"/>
      <c r="F29" s="150"/>
      <c r="G29" s="151"/>
    </row>
    <row r="30" spans="2:7" ht="30.75" customHeight="1" thickBot="1">
      <c r="B30" s="148"/>
      <c r="C30" s="149"/>
      <c r="D30" s="150"/>
      <c r="E30" s="150"/>
      <c r="F30" s="150"/>
      <c r="G30" s="151"/>
    </row>
    <row r="31" spans="2:7" ht="72" customHeight="1" thickBot="1">
      <c r="B31" s="152">
        <v>1</v>
      </c>
      <c r="C31" s="153">
        <v>40608</v>
      </c>
      <c r="D31" s="154" t="s">
        <v>100</v>
      </c>
      <c r="E31" s="154" t="s">
        <v>58</v>
      </c>
      <c r="F31" s="154" t="s">
        <v>101</v>
      </c>
      <c r="G31" s="155" t="s">
        <v>102</v>
      </c>
    </row>
    <row r="32" spans="2:7" ht="72" customHeight="1" thickBot="1">
      <c r="B32" s="152">
        <v>0</v>
      </c>
      <c r="C32" s="153">
        <v>40518</v>
      </c>
      <c r="D32" s="154" t="s">
        <v>100</v>
      </c>
      <c r="E32" s="154" t="s">
        <v>58</v>
      </c>
      <c r="F32" s="154" t="s">
        <v>101</v>
      </c>
      <c r="G32" s="155" t="s">
        <v>102</v>
      </c>
    </row>
    <row r="33" spans="1:8" ht="30.75" customHeight="1" thickBot="1">
      <c r="B33" s="148" t="s">
        <v>51</v>
      </c>
      <c r="C33" s="156">
        <v>39600</v>
      </c>
      <c r="D33" s="149" t="s">
        <v>103</v>
      </c>
      <c r="E33" s="149" t="s">
        <v>58</v>
      </c>
      <c r="F33" s="149" t="s">
        <v>59</v>
      </c>
      <c r="G33" s="157" t="s">
        <v>84</v>
      </c>
    </row>
    <row r="34" spans="1:8" ht="30.75" customHeight="1" thickBot="1">
      <c r="B34" s="145" t="s">
        <v>53</v>
      </c>
      <c r="C34" s="146" t="s">
        <v>52</v>
      </c>
      <c r="D34" s="146" t="s">
        <v>54</v>
      </c>
      <c r="E34" s="146" t="s">
        <v>104</v>
      </c>
      <c r="F34" s="146" t="s">
        <v>55</v>
      </c>
      <c r="G34" s="147" t="s">
        <v>56</v>
      </c>
    </row>
    <row r="35" spans="1:8" ht="30.75" customHeight="1" thickBot="1">
      <c r="B35" s="289" t="s">
        <v>57</v>
      </c>
      <c r="C35" s="290"/>
      <c r="D35" s="290"/>
      <c r="E35" s="290"/>
      <c r="F35" s="290"/>
      <c r="G35" s="291"/>
    </row>
    <row r="36" spans="1:8">
      <c r="B36" s="158"/>
      <c r="C36" s="159"/>
      <c r="D36" s="159"/>
      <c r="E36" s="159"/>
      <c r="F36" s="159"/>
      <c r="G36" s="160"/>
    </row>
    <row r="37" spans="1:8">
      <c r="B37" s="158"/>
      <c r="C37" s="159"/>
      <c r="D37" s="159"/>
      <c r="E37" s="159"/>
      <c r="F37" s="159"/>
      <c r="G37" s="160"/>
    </row>
    <row r="38" spans="1:8">
      <c r="B38" s="158"/>
      <c r="C38" s="159"/>
      <c r="D38" s="159"/>
      <c r="E38" s="159"/>
      <c r="F38" s="159"/>
      <c r="G38" s="160"/>
    </row>
    <row r="39" spans="1:8">
      <c r="B39" s="161"/>
      <c r="C39" s="162"/>
      <c r="D39" s="162"/>
      <c r="E39" s="162"/>
      <c r="F39" s="162"/>
      <c r="G39" s="163"/>
    </row>
    <row r="40" spans="1:8" ht="30" customHeight="1">
      <c r="B40" s="292" t="s">
        <v>60</v>
      </c>
      <c r="C40" s="293"/>
      <c r="D40" s="293"/>
      <c r="E40" s="293"/>
      <c r="F40" s="293"/>
      <c r="G40" s="294"/>
    </row>
    <row r="41" spans="1:8" ht="21" customHeight="1">
      <c r="B41" s="158"/>
      <c r="C41" s="159"/>
      <c r="D41" s="164"/>
      <c r="E41" s="164"/>
      <c r="F41" s="164"/>
      <c r="G41" s="165"/>
    </row>
    <row r="42" spans="1:8" ht="26.25" customHeight="1">
      <c r="A42" s="166"/>
      <c r="B42" s="167">
        <v>1</v>
      </c>
      <c r="C42" s="295" t="s">
        <v>105</v>
      </c>
      <c r="D42" s="295"/>
      <c r="E42" s="295"/>
      <c r="F42" s="295"/>
      <c r="G42" s="168">
        <v>3</v>
      </c>
      <c r="H42" s="166"/>
    </row>
    <row r="43" spans="1:8" ht="26.25" customHeight="1">
      <c r="A43" s="166"/>
      <c r="B43" s="167">
        <v>2</v>
      </c>
      <c r="C43" s="295" t="s">
        <v>106</v>
      </c>
      <c r="D43" s="295"/>
      <c r="E43" s="295"/>
      <c r="F43" s="295"/>
      <c r="G43" s="168">
        <v>3</v>
      </c>
      <c r="H43" s="166"/>
    </row>
    <row r="44" spans="1:8" ht="26.25" customHeight="1">
      <c r="A44" s="166"/>
      <c r="B44" s="167">
        <v>3</v>
      </c>
      <c r="C44" s="295" t="s">
        <v>107</v>
      </c>
      <c r="D44" s="295"/>
      <c r="E44" s="295"/>
      <c r="F44" s="295"/>
      <c r="G44" s="168">
        <v>3</v>
      </c>
      <c r="H44" s="166"/>
    </row>
    <row r="45" spans="1:8" ht="26.25" customHeight="1">
      <c r="A45" s="166"/>
      <c r="B45" s="169">
        <v>3.1</v>
      </c>
      <c r="C45" s="296" t="s">
        <v>108</v>
      </c>
      <c r="D45" s="296"/>
      <c r="E45" s="296"/>
      <c r="F45" s="296"/>
      <c r="G45" s="170">
        <v>3</v>
      </c>
      <c r="H45" s="166"/>
    </row>
    <row r="46" spans="1:8" ht="26.25" customHeight="1">
      <c r="A46" s="166"/>
      <c r="B46" s="169">
        <v>3.2</v>
      </c>
      <c r="C46" s="296" t="s">
        <v>109</v>
      </c>
      <c r="D46" s="296"/>
      <c r="E46" s="296"/>
      <c r="F46" s="296"/>
      <c r="G46" s="170">
        <v>3</v>
      </c>
      <c r="H46" s="166"/>
    </row>
    <row r="47" spans="1:8" ht="26.25" customHeight="1">
      <c r="A47" s="166"/>
      <c r="B47" s="167">
        <v>4</v>
      </c>
      <c r="C47" s="295" t="s">
        <v>110</v>
      </c>
      <c r="D47" s="295"/>
      <c r="E47" s="295"/>
      <c r="F47" s="295"/>
      <c r="G47" s="168">
        <v>3</v>
      </c>
      <c r="H47" s="166"/>
    </row>
    <row r="48" spans="1:8" ht="26.25" customHeight="1">
      <c r="A48" s="166"/>
      <c r="B48" s="167">
        <v>5</v>
      </c>
      <c r="C48" s="295" t="s">
        <v>111</v>
      </c>
      <c r="D48" s="295"/>
      <c r="E48" s="295"/>
      <c r="F48" s="295"/>
      <c r="G48" s="168">
        <v>3</v>
      </c>
      <c r="H48" s="166"/>
    </row>
    <row r="49" spans="1:8" ht="26.25" customHeight="1">
      <c r="A49" s="166"/>
      <c r="B49" s="167">
        <v>6</v>
      </c>
      <c r="C49" s="295" t="s">
        <v>112</v>
      </c>
      <c r="D49" s="295"/>
      <c r="E49" s="295"/>
      <c r="F49" s="295"/>
      <c r="G49" s="168">
        <v>4</v>
      </c>
      <c r="H49" s="166"/>
    </row>
    <row r="50" spans="1:8" ht="26.25" customHeight="1">
      <c r="A50" s="166"/>
      <c r="B50" s="167">
        <v>7</v>
      </c>
      <c r="C50" s="295" t="s">
        <v>113</v>
      </c>
      <c r="D50" s="295"/>
      <c r="E50" s="295"/>
      <c r="F50" s="295"/>
      <c r="G50" s="168">
        <v>5</v>
      </c>
      <c r="H50" s="166"/>
    </row>
    <row r="51" spans="1:8" ht="26.25" customHeight="1">
      <c r="A51" s="166"/>
      <c r="B51" s="167">
        <v>8</v>
      </c>
      <c r="C51" s="295" t="s">
        <v>114</v>
      </c>
      <c r="D51" s="295"/>
      <c r="E51" s="295"/>
      <c r="F51" s="295"/>
      <c r="G51" s="168">
        <v>5</v>
      </c>
      <c r="H51" s="166"/>
    </row>
    <row r="52" spans="1:8">
      <c r="B52" s="158"/>
      <c r="C52" s="159"/>
      <c r="D52" s="159"/>
      <c r="E52" s="159"/>
      <c r="F52" s="159"/>
      <c r="G52" s="160"/>
    </row>
    <row r="53" spans="1:8">
      <c r="B53" s="158"/>
      <c r="C53" s="159"/>
      <c r="D53" s="159"/>
      <c r="E53" s="159"/>
      <c r="F53" s="159"/>
      <c r="G53" s="160"/>
    </row>
    <row r="54" spans="1:8">
      <c r="B54" s="158"/>
      <c r="C54" s="159"/>
      <c r="D54" s="159"/>
      <c r="E54" s="159"/>
      <c r="F54" s="159"/>
      <c r="G54" s="160"/>
    </row>
    <row r="55" spans="1:8">
      <c r="B55" s="158"/>
      <c r="C55" s="159"/>
      <c r="D55" s="159"/>
      <c r="E55" s="159"/>
      <c r="F55" s="159"/>
      <c r="G55" s="160"/>
    </row>
    <row r="56" spans="1:8">
      <c r="B56" s="158"/>
      <c r="C56" s="159"/>
      <c r="D56" s="159"/>
      <c r="E56" s="159"/>
      <c r="F56" s="159"/>
      <c r="G56" s="160"/>
    </row>
    <row r="57" spans="1:8">
      <c r="B57" s="158"/>
      <c r="C57" s="159"/>
      <c r="D57" s="159"/>
      <c r="E57" s="159"/>
      <c r="F57" s="159"/>
      <c r="G57" s="160"/>
    </row>
    <row r="58" spans="1:8">
      <c r="B58" s="158"/>
      <c r="C58" s="159"/>
      <c r="D58" s="159"/>
      <c r="E58" s="159"/>
      <c r="F58" s="159"/>
      <c r="G58" s="160"/>
    </row>
    <row r="59" spans="1:8">
      <c r="B59" s="158"/>
      <c r="C59" s="159"/>
      <c r="D59" s="159"/>
      <c r="E59" s="159"/>
      <c r="F59" s="159"/>
      <c r="G59" s="160"/>
    </row>
    <row r="60" spans="1:8">
      <c r="B60" s="158"/>
      <c r="C60" s="159"/>
      <c r="D60" s="159"/>
      <c r="E60" s="159"/>
      <c r="F60" s="159"/>
      <c r="G60" s="160"/>
    </row>
    <row r="61" spans="1:8">
      <c r="B61" s="158"/>
      <c r="C61" s="159"/>
      <c r="D61" s="159"/>
      <c r="E61" s="159"/>
      <c r="F61" s="159"/>
      <c r="G61" s="160"/>
    </row>
    <row r="62" spans="1:8">
      <c r="B62" s="158"/>
      <c r="C62" s="159"/>
      <c r="D62" s="159"/>
      <c r="E62" s="159"/>
      <c r="F62" s="159"/>
      <c r="G62" s="160"/>
    </row>
    <row r="63" spans="1:8">
      <c r="B63" s="158"/>
      <c r="C63" s="159"/>
      <c r="D63" s="159"/>
      <c r="E63" s="159"/>
      <c r="F63" s="159"/>
      <c r="G63" s="160"/>
    </row>
    <row r="64" spans="1:8">
      <c r="B64" s="158"/>
      <c r="C64" s="159"/>
      <c r="D64" s="159"/>
      <c r="E64" s="159"/>
      <c r="F64" s="159"/>
      <c r="G64" s="160"/>
    </row>
    <row r="65" spans="2:7">
      <c r="B65" s="158"/>
      <c r="C65" s="159"/>
      <c r="D65" s="159"/>
      <c r="E65" s="159"/>
      <c r="F65" s="159"/>
      <c r="G65" s="160"/>
    </row>
    <row r="66" spans="2:7">
      <c r="B66" s="158"/>
      <c r="C66" s="159"/>
      <c r="D66" s="159"/>
      <c r="E66" s="159"/>
      <c r="F66" s="159"/>
      <c r="G66" s="160"/>
    </row>
    <row r="67" spans="2:7">
      <c r="B67" s="158"/>
      <c r="C67" s="159"/>
      <c r="D67" s="159"/>
      <c r="E67" s="159"/>
      <c r="F67" s="159"/>
      <c r="G67" s="160"/>
    </row>
    <row r="68" spans="2:7">
      <c r="B68" s="158"/>
      <c r="C68" s="159"/>
      <c r="D68" s="159"/>
      <c r="E68" s="159"/>
      <c r="F68" s="159"/>
      <c r="G68" s="160"/>
    </row>
    <row r="69" spans="2:7">
      <c r="B69" s="158"/>
      <c r="C69" s="159"/>
      <c r="D69" s="159"/>
      <c r="E69" s="159"/>
      <c r="F69" s="159"/>
      <c r="G69" s="160"/>
    </row>
    <row r="70" spans="2:7">
      <c r="B70" s="158"/>
      <c r="C70" s="159"/>
      <c r="D70" s="159"/>
      <c r="E70" s="159"/>
      <c r="F70" s="159"/>
      <c r="G70" s="160"/>
    </row>
    <row r="71" spans="2:7">
      <c r="B71" s="158"/>
      <c r="C71" s="159"/>
      <c r="D71" s="159"/>
      <c r="E71" s="159"/>
      <c r="F71" s="159"/>
      <c r="G71" s="160"/>
    </row>
    <row r="72" spans="2:7">
      <c r="B72" s="158"/>
      <c r="C72" s="159"/>
      <c r="D72" s="159"/>
      <c r="E72" s="159"/>
      <c r="F72" s="159"/>
      <c r="G72" s="160"/>
    </row>
    <row r="73" spans="2:7">
      <c r="B73" s="158"/>
      <c r="C73" s="159"/>
      <c r="D73" s="159"/>
      <c r="E73" s="159"/>
      <c r="F73" s="159"/>
      <c r="G73" s="160"/>
    </row>
    <row r="74" spans="2:7">
      <c r="B74" s="158"/>
      <c r="C74" s="159"/>
      <c r="D74" s="159"/>
      <c r="E74" s="159"/>
      <c r="F74" s="159"/>
      <c r="G74" s="160"/>
    </row>
    <row r="75" spans="2:7">
      <c r="B75" s="158"/>
      <c r="C75" s="159"/>
      <c r="D75" s="159"/>
      <c r="E75" s="159"/>
      <c r="F75" s="159"/>
      <c r="G75" s="160"/>
    </row>
    <row r="76" spans="2:7">
      <c r="B76" s="158"/>
      <c r="C76" s="159"/>
      <c r="D76" s="159"/>
      <c r="E76" s="159"/>
      <c r="F76" s="159"/>
      <c r="G76" s="160"/>
    </row>
    <row r="77" spans="2:7">
      <c r="B77" s="158"/>
      <c r="C77" s="159"/>
      <c r="D77" s="159"/>
      <c r="E77" s="159"/>
      <c r="F77" s="159"/>
      <c r="G77" s="160"/>
    </row>
    <row r="78" spans="2:7">
      <c r="B78" s="158"/>
      <c r="C78" s="159"/>
      <c r="D78" s="159"/>
      <c r="E78" s="159"/>
      <c r="F78" s="159"/>
      <c r="G78" s="160"/>
    </row>
    <row r="79" spans="2:7">
      <c r="B79" s="158"/>
      <c r="C79" s="159"/>
      <c r="D79" s="159"/>
      <c r="E79" s="159"/>
      <c r="F79" s="159"/>
      <c r="G79" s="160"/>
    </row>
    <row r="80" spans="2:7">
      <c r="B80" s="158"/>
      <c r="C80" s="159"/>
      <c r="D80" s="159"/>
      <c r="E80" s="159"/>
      <c r="F80" s="159"/>
      <c r="G80" s="160"/>
    </row>
    <row r="81" spans="2:11">
      <c r="B81" s="158"/>
      <c r="C81" s="159"/>
      <c r="D81" s="159"/>
      <c r="E81" s="159"/>
      <c r="F81" s="159"/>
      <c r="G81" s="160"/>
    </row>
    <row r="82" spans="2:11">
      <c r="B82" s="158"/>
      <c r="C82" s="159"/>
      <c r="D82" s="159"/>
      <c r="E82" s="159"/>
      <c r="F82" s="159"/>
      <c r="G82" s="160"/>
    </row>
    <row r="83" spans="2:11">
      <c r="B83" s="158"/>
      <c r="C83" s="159"/>
      <c r="D83" s="159"/>
      <c r="E83" s="159"/>
      <c r="F83" s="159"/>
      <c r="G83" s="160"/>
    </row>
    <row r="84" spans="2:11">
      <c r="B84" s="158"/>
      <c r="C84" s="159"/>
      <c r="D84" s="159"/>
      <c r="E84" s="159"/>
      <c r="F84" s="159"/>
      <c r="G84" s="160"/>
    </row>
    <row r="85" spans="2:11">
      <c r="B85" s="158"/>
      <c r="C85" s="159"/>
      <c r="D85" s="159"/>
      <c r="E85" s="159"/>
      <c r="F85" s="159"/>
      <c r="G85" s="160"/>
    </row>
    <row r="86" spans="2:11">
      <c r="B86" s="161"/>
      <c r="C86" s="162"/>
      <c r="D86" s="162"/>
      <c r="E86" s="162"/>
      <c r="F86" s="162"/>
      <c r="G86" s="163"/>
    </row>
    <row r="87" spans="2:11">
      <c r="B87" s="171"/>
      <c r="C87" s="172"/>
      <c r="D87" s="172"/>
      <c r="E87" s="172"/>
      <c r="F87" s="172"/>
      <c r="G87" s="173"/>
      <c r="H87" s="159"/>
    </row>
    <row r="88" spans="2:11" ht="18">
      <c r="B88" s="297" t="s">
        <v>115</v>
      </c>
      <c r="C88" s="298"/>
      <c r="D88" s="298"/>
      <c r="E88" s="298"/>
      <c r="F88" s="298"/>
      <c r="G88" s="299"/>
      <c r="H88" s="177"/>
      <c r="I88" s="178"/>
      <c r="J88" s="178"/>
      <c r="K88" s="178"/>
    </row>
    <row r="89" spans="2:11" ht="16.5">
      <c r="B89" s="302" t="s">
        <v>116</v>
      </c>
      <c r="C89" s="303"/>
      <c r="D89" s="303"/>
      <c r="E89" s="303"/>
      <c r="F89" s="303"/>
      <c r="G89" s="304"/>
      <c r="H89" s="179"/>
      <c r="I89" s="180"/>
      <c r="J89" s="180"/>
      <c r="K89" s="180"/>
    </row>
    <row r="90" spans="2:11" ht="16.5">
      <c r="B90" s="181"/>
      <c r="C90" s="182"/>
      <c r="D90" s="182"/>
      <c r="E90" s="182"/>
      <c r="F90" s="182"/>
      <c r="G90" s="183"/>
      <c r="H90" s="182"/>
    </row>
    <row r="91" spans="2:11" ht="20.25" customHeight="1">
      <c r="B91" s="297" t="s">
        <v>117</v>
      </c>
      <c r="C91" s="298"/>
      <c r="D91" s="298"/>
      <c r="E91" s="298"/>
      <c r="F91" s="298"/>
      <c r="G91" s="299"/>
      <c r="H91" s="177"/>
      <c r="I91" s="178"/>
      <c r="J91" s="178"/>
      <c r="K91" s="178"/>
    </row>
    <row r="92" spans="2:11" ht="48" customHeight="1">
      <c r="B92" s="305" t="s">
        <v>118</v>
      </c>
      <c r="C92" s="306"/>
      <c r="D92" s="306"/>
      <c r="E92" s="306"/>
      <c r="F92" s="306"/>
      <c r="G92" s="307"/>
      <c r="H92" s="184"/>
      <c r="I92" s="180"/>
      <c r="J92" s="180"/>
      <c r="K92" s="180"/>
    </row>
    <row r="93" spans="2:11" ht="16.5">
      <c r="B93" s="181"/>
      <c r="C93" s="182"/>
      <c r="D93" s="182"/>
      <c r="E93" s="182"/>
      <c r="F93" s="182"/>
      <c r="G93" s="183"/>
      <c r="H93" s="182"/>
    </row>
    <row r="94" spans="2:11" ht="21" customHeight="1">
      <c r="B94" s="297" t="s">
        <v>119</v>
      </c>
      <c r="C94" s="298"/>
      <c r="D94" s="298"/>
      <c r="E94" s="298"/>
      <c r="F94" s="298"/>
      <c r="G94" s="299"/>
      <c r="H94" s="177"/>
      <c r="I94" s="178"/>
      <c r="J94" s="178"/>
      <c r="K94" s="178"/>
    </row>
    <row r="95" spans="2:11" ht="13.5" customHeight="1">
      <c r="B95" s="174"/>
      <c r="C95" s="175"/>
      <c r="D95" s="175"/>
      <c r="E95" s="175"/>
      <c r="F95" s="175"/>
      <c r="G95" s="176"/>
      <c r="H95" s="177"/>
      <c r="I95" s="178"/>
      <c r="J95" s="178"/>
      <c r="K95" s="178"/>
    </row>
    <row r="96" spans="2:11" ht="21" customHeight="1">
      <c r="B96" s="297" t="s">
        <v>120</v>
      </c>
      <c r="C96" s="298"/>
      <c r="D96" s="298"/>
      <c r="E96" s="298"/>
      <c r="F96" s="298"/>
      <c r="G96" s="299"/>
      <c r="H96" s="177"/>
      <c r="I96" s="178"/>
      <c r="J96" s="178"/>
      <c r="K96" s="178"/>
    </row>
    <row r="97" spans="1:12" ht="21" customHeight="1">
      <c r="B97" s="305" t="s">
        <v>121</v>
      </c>
      <c r="C97" s="306"/>
      <c r="D97" s="306"/>
      <c r="E97" s="306"/>
      <c r="F97" s="306"/>
      <c r="G97" s="307"/>
      <c r="H97" s="177"/>
      <c r="I97" s="178"/>
      <c r="J97" s="178"/>
      <c r="K97" s="178"/>
    </row>
    <row r="98" spans="1:12" ht="21" customHeight="1">
      <c r="B98" s="297" t="s">
        <v>122</v>
      </c>
      <c r="C98" s="298"/>
      <c r="D98" s="298"/>
      <c r="E98" s="298"/>
      <c r="F98" s="298"/>
      <c r="G98" s="299"/>
      <c r="H98" s="177"/>
      <c r="I98" s="178"/>
      <c r="J98" s="178"/>
      <c r="K98" s="178"/>
    </row>
    <row r="99" spans="1:12" ht="16.5" customHeight="1">
      <c r="B99" s="305" t="s">
        <v>123</v>
      </c>
      <c r="C99" s="306"/>
      <c r="D99" s="306"/>
      <c r="E99" s="306"/>
      <c r="F99" s="306"/>
      <c r="G99" s="307"/>
      <c r="H99" s="184"/>
      <c r="I99" s="180"/>
      <c r="J99" s="180"/>
      <c r="K99" s="180"/>
      <c r="L99" s="180"/>
    </row>
    <row r="100" spans="1:12" ht="16.5">
      <c r="A100" s="160"/>
      <c r="B100" s="182"/>
      <c r="C100" s="182"/>
      <c r="D100" s="182"/>
      <c r="E100" s="182"/>
      <c r="F100" s="182"/>
      <c r="G100" s="183"/>
      <c r="H100" s="182"/>
    </row>
    <row r="101" spans="1:12" ht="21" customHeight="1">
      <c r="A101" s="160"/>
      <c r="B101" s="298" t="s">
        <v>124</v>
      </c>
      <c r="C101" s="298"/>
      <c r="D101" s="298"/>
      <c r="E101" s="298"/>
      <c r="F101" s="298"/>
      <c r="G101" s="299"/>
      <c r="H101" s="177"/>
      <c r="I101" s="178"/>
      <c r="J101" s="178"/>
      <c r="K101" s="178"/>
    </row>
    <row r="102" spans="1:12" ht="21" customHeight="1">
      <c r="A102" s="160"/>
      <c r="B102" s="280" t="s">
        <v>176</v>
      </c>
      <c r="C102" s="279"/>
      <c r="D102" s="311" t="s">
        <v>125</v>
      </c>
      <c r="E102" s="311"/>
      <c r="F102" s="311"/>
      <c r="G102" s="185"/>
      <c r="H102" s="177"/>
      <c r="I102" s="178"/>
      <c r="J102" s="178"/>
      <c r="K102" s="178"/>
    </row>
    <row r="103" spans="1:12" ht="21" customHeight="1">
      <c r="A103" s="160"/>
      <c r="B103" s="280" t="s">
        <v>172</v>
      </c>
      <c r="C103" s="279"/>
      <c r="D103" s="278" t="s">
        <v>173</v>
      </c>
      <c r="E103" s="278"/>
      <c r="F103" s="278"/>
      <c r="G103" s="185"/>
      <c r="H103" s="177"/>
      <c r="I103" s="178"/>
      <c r="J103" s="178"/>
      <c r="K103" s="178"/>
    </row>
    <row r="104" spans="1:12" ht="21" customHeight="1">
      <c r="A104" s="160"/>
      <c r="B104" s="280" t="s">
        <v>174</v>
      </c>
      <c r="C104" s="279"/>
      <c r="D104" s="278" t="s">
        <v>175</v>
      </c>
      <c r="E104" s="278"/>
      <c r="F104" s="278"/>
      <c r="G104" s="185"/>
      <c r="H104" s="177"/>
      <c r="I104" s="178"/>
      <c r="J104" s="178"/>
      <c r="K104" s="178"/>
    </row>
    <row r="105" spans="1:12" ht="21" customHeight="1">
      <c r="A105" s="160"/>
      <c r="B105" s="306" t="s">
        <v>126</v>
      </c>
      <c r="C105" s="306"/>
      <c r="D105" s="306"/>
      <c r="E105" s="306"/>
      <c r="F105" s="306"/>
      <c r="G105" s="307"/>
      <c r="H105" s="177"/>
      <c r="I105" s="178"/>
      <c r="J105" s="178"/>
      <c r="K105" s="178"/>
    </row>
    <row r="106" spans="1:12" ht="21" customHeight="1">
      <c r="B106" s="308" t="s">
        <v>167</v>
      </c>
      <c r="C106" s="309"/>
      <c r="D106" s="309"/>
      <c r="E106" s="309"/>
      <c r="F106" s="309"/>
      <c r="G106" s="310"/>
      <c r="H106" s="177"/>
      <c r="I106" s="178"/>
      <c r="J106" s="178"/>
      <c r="K106" s="178"/>
    </row>
    <row r="107" spans="1:12" ht="21" customHeight="1">
      <c r="B107" s="308" t="s">
        <v>168</v>
      </c>
      <c r="C107" s="309"/>
      <c r="D107" s="309"/>
      <c r="E107" s="309"/>
      <c r="F107" s="309"/>
      <c r="G107" s="310"/>
      <c r="H107" s="177"/>
      <c r="I107" s="178"/>
      <c r="J107" s="178"/>
      <c r="K107" s="178"/>
    </row>
    <row r="108" spans="1:12" ht="17.25" customHeight="1">
      <c r="B108" s="312"/>
      <c r="C108" s="313"/>
      <c r="D108" s="313"/>
      <c r="E108" s="313"/>
      <c r="F108" s="313"/>
      <c r="G108" s="314"/>
      <c r="H108" s="182"/>
    </row>
    <row r="109" spans="1:12" ht="21" customHeight="1">
      <c r="B109" s="297" t="s">
        <v>127</v>
      </c>
      <c r="C109" s="298"/>
      <c r="D109" s="298"/>
      <c r="E109" s="298"/>
      <c r="F109" s="298"/>
      <c r="G109" s="299"/>
      <c r="H109" s="177"/>
      <c r="I109" s="178"/>
      <c r="J109" s="178"/>
      <c r="K109" s="178"/>
    </row>
    <row r="110" spans="1:12" ht="16.5">
      <c r="B110" s="308" t="s">
        <v>128</v>
      </c>
      <c r="C110" s="309"/>
      <c r="D110" s="309"/>
      <c r="E110" s="309"/>
      <c r="F110" s="309"/>
      <c r="G110" s="310"/>
      <c r="H110" s="182"/>
    </row>
    <row r="111" spans="1:12" ht="16.5">
      <c r="B111" s="189"/>
      <c r="C111" s="182"/>
      <c r="D111" s="182"/>
      <c r="E111" s="182"/>
      <c r="F111" s="182"/>
      <c r="G111" s="183"/>
      <c r="H111" s="182"/>
    </row>
    <row r="112" spans="1:12" ht="21" customHeight="1">
      <c r="B112" s="297" t="s">
        <v>129</v>
      </c>
      <c r="C112" s="298"/>
      <c r="D112" s="298"/>
      <c r="E112" s="298"/>
      <c r="F112" s="298"/>
      <c r="G112" s="299"/>
      <c r="H112" s="177"/>
      <c r="I112" s="178"/>
      <c r="J112" s="178"/>
      <c r="K112" s="178"/>
    </row>
    <row r="113" spans="2:8" ht="51.75" customHeight="1">
      <c r="B113" s="190">
        <v>6.1</v>
      </c>
      <c r="C113" s="306" t="s">
        <v>130</v>
      </c>
      <c r="D113" s="306"/>
      <c r="E113" s="306"/>
      <c r="F113" s="306"/>
      <c r="G113" s="307"/>
      <c r="H113" s="184"/>
    </row>
    <row r="114" spans="2:8" ht="16.5" customHeight="1">
      <c r="B114" s="191">
        <v>6.2</v>
      </c>
      <c r="C114" s="315" t="s">
        <v>83</v>
      </c>
      <c r="D114" s="315"/>
      <c r="E114" s="315"/>
      <c r="F114" s="192"/>
      <c r="G114" s="193"/>
      <c r="H114" s="184"/>
    </row>
    <row r="115" spans="2:8" ht="17.25" customHeight="1">
      <c r="B115" s="191">
        <v>6.3</v>
      </c>
      <c r="C115" s="316" t="s">
        <v>131</v>
      </c>
      <c r="D115" s="316"/>
      <c r="E115" s="317"/>
      <c r="F115" s="194"/>
      <c r="G115" s="193"/>
      <c r="H115" s="184"/>
    </row>
    <row r="116" spans="2:8" s="197" customFormat="1" ht="33" customHeight="1">
      <c r="B116" s="195">
        <v>6.4</v>
      </c>
      <c r="C116" s="318" t="s">
        <v>132</v>
      </c>
      <c r="D116" s="318"/>
      <c r="E116" s="318"/>
      <c r="F116" s="318"/>
      <c r="G116" s="319"/>
      <c r="H116" s="196"/>
    </row>
    <row r="117" spans="2:8" s="197" customFormat="1" ht="85.5" customHeight="1">
      <c r="B117" s="195">
        <v>6.5</v>
      </c>
      <c r="C117" s="318" t="s">
        <v>163</v>
      </c>
      <c r="D117" s="318"/>
      <c r="E117" s="318"/>
      <c r="F117" s="318"/>
      <c r="G117" s="319"/>
      <c r="H117" s="196"/>
    </row>
    <row r="118" spans="2:8" s="197" customFormat="1" ht="36.75" customHeight="1">
      <c r="B118" s="195">
        <v>6.6</v>
      </c>
      <c r="C118" s="318" t="s">
        <v>133</v>
      </c>
      <c r="D118" s="318"/>
      <c r="E118" s="318"/>
      <c r="F118" s="318"/>
      <c r="G118" s="319"/>
      <c r="H118" s="196"/>
    </row>
    <row r="119" spans="2:8" s="197" customFormat="1" ht="18.75" customHeight="1">
      <c r="B119" s="195">
        <v>6.7</v>
      </c>
      <c r="C119" s="318" t="s">
        <v>134</v>
      </c>
      <c r="D119" s="318"/>
      <c r="E119" s="318"/>
      <c r="F119" s="318"/>
      <c r="G119" s="319"/>
      <c r="H119" s="196"/>
    </row>
    <row r="120" spans="2:8" s="197" customFormat="1" ht="18.75" customHeight="1">
      <c r="B120" s="195"/>
      <c r="C120" s="318" t="s">
        <v>135</v>
      </c>
      <c r="D120" s="318"/>
      <c r="E120" s="318"/>
      <c r="F120" s="318"/>
      <c r="G120" s="319"/>
      <c r="H120" s="196"/>
    </row>
    <row r="121" spans="2:8" s="197" customFormat="1" ht="18.75" customHeight="1">
      <c r="B121" s="195"/>
      <c r="C121" s="318" t="s">
        <v>136</v>
      </c>
      <c r="D121" s="318"/>
      <c r="E121" s="318"/>
      <c r="F121" s="318"/>
      <c r="G121" s="319"/>
      <c r="H121" s="196"/>
    </row>
    <row r="122" spans="2:8" s="197" customFormat="1" ht="18.75" customHeight="1">
      <c r="B122" s="195"/>
      <c r="C122" s="318" t="s">
        <v>137</v>
      </c>
      <c r="D122" s="318"/>
      <c r="E122" s="318"/>
      <c r="F122" s="318"/>
      <c r="G122" s="319"/>
      <c r="H122" s="196"/>
    </row>
    <row r="123" spans="2:8" s="197" customFormat="1" ht="21" customHeight="1">
      <c r="B123" s="195"/>
      <c r="C123" s="318" t="s">
        <v>138</v>
      </c>
      <c r="D123" s="318"/>
      <c r="E123" s="318"/>
      <c r="F123" s="318"/>
      <c r="G123" s="319"/>
      <c r="H123" s="196"/>
    </row>
    <row r="124" spans="2:8" s="197" customFormat="1" ht="51.75" customHeight="1">
      <c r="B124" s="191">
        <v>6.8</v>
      </c>
      <c r="C124" s="306" t="s">
        <v>139</v>
      </c>
      <c r="D124" s="306"/>
      <c r="E124" s="306"/>
      <c r="F124" s="306"/>
      <c r="G124" s="307"/>
      <c r="H124" s="196"/>
    </row>
    <row r="125" spans="2:8" ht="16.5">
      <c r="B125" s="275"/>
      <c r="C125" s="276"/>
      <c r="D125" s="276"/>
      <c r="E125" s="276"/>
      <c r="F125" s="276"/>
      <c r="G125" s="277"/>
      <c r="H125" s="182"/>
    </row>
    <row r="126" spans="2:8" ht="16.5">
      <c r="B126" s="297" t="s">
        <v>140</v>
      </c>
      <c r="C126" s="298"/>
      <c r="D126" s="298"/>
      <c r="E126" s="298"/>
      <c r="F126" s="298"/>
      <c r="G126" s="299"/>
      <c r="H126" s="177"/>
    </row>
    <row r="127" spans="2:8" ht="36" customHeight="1">
      <c r="B127" s="198" t="s">
        <v>141</v>
      </c>
      <c r="C127" s="306" t="s">
        <v>164</v>
      </c>
      <c r="D127" s="306"/>
      <c r="E127" s="306"/>
      <c r="F127" s="306"/>
      <c r="G127" s="307"/>
      <c r="H127" s="177"/>
    </row>
    <row r="128" spans="2:8" ht="34.5" customHeight="1">
      <c r="B128" s="198" t="s">
        <v>142</v>
      </c>
      <c r="C128" s="320" t="s">
        <v>170</v>
      </c>
      <c r="D128" s="320"/>
      <c r="E128" s="320"/>
      <c r="F128" s="320"/>
      <c r="G128" s="321"/>
      <c r="H128" s="177"/>
    </row>
    <row r="129" spans="2:13" ht="54" customHeight="1">
      <c r="B129" s="198" t="s">
        <v>143</v>
      </c>
      <c r="C129" s="320" t="s">
        <v>171</v>
      </c>
      <c r="D129" s="320"/>
      <c r="E129" s="320"/>
      <c r="F129" s="320"/>
      <c r="G129" s="321"/>
      <c r="H129" s="177"/>
    </row>
    <row r="130" spans="2:13" ht="16.5">
      <c r="B130" s="198" t="s">
        <v>144</v>
      </c>
      <c r="C130" s="315" t="s">
        <v>145</v>
      </c>
      <c r="D130" s="315"/>
      <c r="E130" s="315"/>
      <c r="F130" s="315"/>
      <c r="G130" s="322"/>
      <c r="H130" s="177"/>
    </row>
    <row r="131" spans="2:13" ht="15.75" customHeight="1">
      <c r="B131" s="198"/>
      <c r="C131" s="199" t="s">
        <v>146</v>
      </c>
      <c r="D131" s="200" t="s">
        <v>147</v>
      </c>
      <c r="E131" s="201"/>
      <c r="F131" s="201"/>
      <c r="G131" s="202"/>
      <c r="H131" s="177"/>
    </row>
    <row r="132" spans="2:13" ht="14.25" customHeight="1">
      <c r="B132" s="198"/>
      <c r="C132" s="199" t="s">
        <v>148</v>
      </c>
      <c r="D132" s="200" t="s">
        <v>149</v>
      </c>
      <c r="E132" s="201"/>
      <c r="F132" s="201"/>
      <c r="G132" s="202"/>
      <c r="H132" s="177"/>
    </row>
    <row r="133" spans="2:13" ht="16.5" customHeight="1">
      <c r="B133" s="198"/>
      <c r="C133" s="199" t="s">
        <v>150</v>
      </c>
      <c r="D133" s="288" t="s">
        <v>162</v>
      </c>
      <c r="E133" s="288"/>
      <c r="F133" s="201"/>
      <c r="G133" s="202"/>
      <c r="H133" s="184"/>
    </row>
    <row r="134" spans="2:13" ht="18" customHeight="1">
      <c r="B134" s="174"/>
      <c r="C134" s="203" t="s">
        <v>151</v>
      </c>
      <c r="D134" s="203" t="s">
        <v>59</v>
      </c>
      <c r="E134" s="175"/>
      <c r="F134" s="175"/>
      <c r="G134" s="176"/>
      <c r="H134" s="184"/>
    </row>
    <row r="135" spans="2:13" ht="16.5">
      <c r="B135" s="189"/>
      <c r="C135" s="182"/>
      <c r="D135" s="182"/>
      <c r="E135" s="182"/>
      <c r="F135" s="182"/>
      <c r="G135" s="183"/>
      <c r="H135" s="182"/>
    </row>
    <row r="136" spans="2:13" ht="16.5">
      <c r="B136" s="297" t="s">
        <v>152</v>
      </c>
      <c r="C136" s="298"/>
      <c r="D136" s="298"/>
      <c r="E136" s="298"/>
      <c r="F136" s="298"/>
      <c r="G136" s="299"/>
      <c r="H136" s="177"/>
    </row>
    <row r="137" spans="2:13" ht="16.5" customHeight="1">
      <c r="B137" s="308" t="s">
        <v>165</v>
      </c>
      <c r="C137" s="309"/>
      <c r="D137" s="309"/>
      <c r="E137" s="309"/>
      <c r="F137" s="309"/>
      <c r="G137" s="310"/>
      <c r="H137" s="182"/>
      <c r="I137" s="204"/>
      <c r="J137" s="204"/>
      <c r="K137" s="204"/>
      <c r="L137" s="204"/>
      <c r="M137" s="204"/>
    </row>
    <row r="138" spans="2:13" ht="16.5" customHeight="1">
      <c r="B138" s="308" t="s">
        <v>166</v>
      </c>
      <c r="C138" s="309"/>
      <c r="D138" s="309"/>
      <c r="E138" s="309"/>
      <c r="F138" s="309"/>
      <c r="G138" s="310"/>
      <c r="H138" s="182"/>
      <c r="I138" s="204"/>
      <c r="J138" s="204"/>
      <c r="K138" s="204"/>
      <c r="L138" s="204"/>
      <c r="M138" s="204"/>
    </row>
    <row r="139" spans="2:13" ht="16.5" customHeight="1">
      <c r="B139" s="186"/>
      <c r="C139" s="187"/>
      <c r="D139" s="187"/>
      <c r="E139" s="187"/>
      <c r="F139" s="187"/>
      <c r="G139" s="188"/>
      <c r="H139" s="182"/>
      <c r="I139" s="204"/>
      <c r="J139" s="204"/>
      <c r="K139" s="204"/>
      <c r="L139" s="204"/>
      <c r="M139" s="204"/>
    </row>
    <row r="140" spans="2:13" ht="16.5" customHeight="1">
      <c r="B140" s="186"/>
      <c r="C140" s="187"/>
      <c r="D140" s="187"/>
      <c r="E140" s="187"/>
      <c r="F140" s="187"/>
      <c r="G140" s="188"/>
      <c r="H140" s="182"/>
      <c r="I140" s="204"/>
      <c r="J140" s="204"/>
      <c r="K140" s="204"/>
      <c r="L140" s="204"/>
      <c r="M140" s="204"/>
    </row>
    <row r="141" spans="2:13" ht="16.5" customHeight="1">
      <c r="B141" s="186"/>
      <c r="C141" s="187"/>
      <c r="D141" s="187"/>
      <c r="E141" s="187"/>
      <c r="F141" s="187"/>
      <c r="G141" s="188"/>
      <c r="H141" s="182"/>
      <c r="I141" s="204"/>
      <c r="J141" s="204"/>
      <c r="K141" s="204"/>
      <c r="L141" s="204"/>
      <c r="M141" s="204"/>
    </row>
    <row r="142" spans="2:13" ht="16.5" customHeight="1">
      <c r="B142" s="186"/>
      <c r="C142" s="187"/>
      <c r="D142" s="187"/>
      <c r="E142" s="187"/>
      <c r="F142" s="187"/>
      <c r="G142" s="188"/>
      <c r="H142" s="182"/>
      <c r="I142" s="204"/>
      <c r="J142" s="204"/>
      <c r="K142" s="204"/>
      <c r="L142" s="204"/>
      <c r="M142" s="204"/>
    </row>
    <row r="143" spans="2:13" ht="16.5" customHeight="1">
      <c r="B143" s="186"/>
      <c r="C143" s="187"/>
      <c r="D143" s="187"/>
      <c r="E143" s="187"/>
      <c r="F143" s="187"/>
      <c r="G143" s="188"/>
      <c r="H143" s="182"/>
      <c r="I143" s="204"/>
      <c r="J143" s="204"/>
      <c r="K143" s="204"/>
      <c r="L143" s="204"/>
      <c r="M143" s="204"/>
    </row>
    <row r="144" spans="2:13" ht="16.5" customHeight="1">
      <c r="B144" s="186"/>
      <c r="C144" s="187"/>
      <c r="D144" s="187"/>
      <c r="E144" s="187"/>
      <c r="F144" s="187"/>
      <c r="G144" s="188"/>
      <c r="H144" s="182"/>
      <c r="I144" s="204"/>
      <c r="J144" s="204"/>
      <c r="K144" s="204"/>
      <c r="L144" s="204"/>
      <c r="M144" s="204"/>
    </row>
    <row r="145" spans="2:13" ht="16.5" customHeight="1">
      <c r="B145" s="186"/>
      <c r="C145" s="187"/>
      <c r="D145" s="187"/>
      <c r="E145" s="187"/>
      <c r="F145" s="187"/>
      <c r="G145" s="188"/>
      <c r="H145" s="182"/>
      <c r="I145" s="204"/>
      <c r="J145" s="204"/>
      <c r="K145" s="204"/>
      <c r="L145" s="204"/>
      <c r="M145" s="204"/>
    </row>
    <row r="146" spans="2:13" ht="16.5" customHeight="1">
      <c r="B146" s="186"/>
      <c r="C146" s="187"/>
      <c r="D146" s="187"/>
      <c r="E146" s="187"/>
      <c r="F146" s="187"/>
      <c r="G146" s="188"/>
      <c r="H146" s="182"/>
      <c r="I146" s="204"/>
      <c r="J146" s="204"/>
      <c r="K146" s="204"/>
      <c r="L146" s="204"/>
      <c r="M146" s="204"/>
    </row>
    <row r="147" spans="2:13" ht="16.5" customHeight="1">
      <c r="B147" s="186"/>
      <c r="C147" s="187"/>
      <c r="D147" s="187"/>
      <c r="E147" s="187"/>
      <c r="F147" s="187"/>
      <c r="G147" s="188"/>
      <c r="H147" s="182"/>
      <c r="I147" s="204"/>
      <c r="J147" s="204"/>
      <c r="K147" s="204"/>
      <c r="L147" s="204"/>
      <c r="M147" s="204"/>
    </row>
    <row r="148" spans="2:13" ht="16.5" customHeight="1">
      <c r="B148" s="186"/>
      <c r="C148" s="187"/>
      <c r="D148" s="187"/>
      <c r="E148" s="187"/>
      <c r="F148" s="187"/>
      <c r="G148" s="188"/>
      <c r="H148" s="182"/>
      <c r="I148" s="204"/>
      <c r="J148" s="204"/>
      <c r="K148" s="204"/>
      <c r="L148" s="204"/>
      <c r="M148" s="204"/>
    </row>
    <row r="149" spans="2:13" ht="16.5" customHeight="1">
      <c r="B149" s="186"/>
      <c r="C149" s="187"/>
      <c r="D149" s="187"/>
      <c r="E149" s="187"/>
      <c r="F149" s="187"/>
      <c r="G149" s="188"/>
      <c r="H149" s="182"/>
      <c r="I149" s="204"/>
      <c r="J149" s="204"/>
      <c r="K149" s="204"/>
      <c r="L149" s="204"/>
      <c r="M149" s="204"/>
    </row>
    <row r="150" spans="2:13" ht="16.5" customHeight="1">
      <c r="B150" s="186"/>
      <c r="C150" s="187"/>
      <c r="D150" s="187"/>
      <c r="E150" s="187"/>
      <c r="F150" s="187"/>
      <c r="G150" s="188"/>
      <c r="H150" s="182"/>
      <c r="I150" s="204"/>
      <c r="J150" s="204"/>
      <c r="K150" s="204"/>
      <c r="L150" s="204"/>
      <c r="M150" s="204"/>
    </row>
    <row r="151" spans="2:13" ht="16.5" customHeight="1">
      <c r="B151" s="186"/>
      <c r="C151" s="187"/>
      <c r="D151" s="187"/>
      <c r="E151" s="187"/>
      <c r="F151" s="187"/>
      <c r="G151" s="188"/>
      <c r="H151" s="182"/>
      <c r="I151" s="204"/>
      <c r="J151" s="204"/>
      <c r="K151" s="204"/>
      <c r="L151" s="204"/>
      <c r="M151" s="204"/>
    </row>
    <row r="152" spans="2:13" ht="16.5" customHeight="1">
      <c r="B152" s="186"/>
      <c r="C152" s="187"/>
      <c r="D152" s="187"/>
      <c r="E152" s="187"/>
      <c r="F152" s="187"/>
      <c r="G152" s="188"/>
      <c r="H152" s="182"/>
      <c r="I152" s="204"/>
      <c r="J152" s="204"/>
      <c r="K152" s="204"/>
      <c r="L152" s="204"/>
      <c r="M152" s="204"/>
    </row>
    <row r="153" spans="2:13" ht="16.5" customHeight="1">
      <c r="B153" s="186"/>
      <c r="C153" s="187"/>
      <c r="D153" s="187"/>
      <c r="E153" s="187"/>
      <c r="F153" s="187"/>
      <c r="G153" s="188"/>
      <c r="H153" s="182"/>
      <c r="I153" s="204"/>
      <c r="J153" s="204"/>
      <c r="K153" s="204"/>
      <c r="L153" s="204"/>
      <c r="M153" s="204"/>
    </row>
    <row r="154" spans="2:13" ht="16.5" customHeight="1">
      <c r="B154" s="186"/>
      <c r="C154" s="187"/>
      <c r="D154" s="187"/>
      <c r="E154" s="187"/>
      <c r="F154" s="187"/>
      <c r="G154" s="188"/>
      <c r="H154" s="182"/>
      <c r="I154" s="204"/>
      <c r="J154" s="204"/>
      <c r="K154" s="204"/>
      <c r="L154" s="204"/>
      <c r="M154" s="204"/>
    </row>
    <row r="155" spans="2:13" ht="16.5" customHeight="1">
      <c r="B155" s="186"/>
      <c r="C155" s="187"/>
      <c r="D155" s="187"/>
      <c r="E155" s="187"/>
      <c r="F155" s="187"/>
      <c r="G155" s="188"/>
      <c r="H155" s="182"/>
      <c r="I155" s="204"/>
      <c r="J155" s="204"/>
      <c r="K155" s="204"/>
      <c r="L155" s="204"/>
      <c r="M155" s="204"/>
    </row>
    <row r="156" spans="2:13" ht="16.5" customHeight="1">
      <c r="B156" s="186"/>
      <c r="C156" s="187"/>
      <c r="D156" s="187"/>
      <c r="E156" s="187"/>
      <c r="F156" s="187"/>
      <c r="G156" s="188"/>
      <c r="H156" s="182"/>
      <c r="I156" s="204"/>
      <c r="J156" s="204"/>
      <c r="K156" s="204"/>
      <c r="L156" s="204"/>
      <c r="M156" s="204"/>
    </row>
    <row r="157" spans="2:13" ht="16.5" customHeight="1">
      <c r="B157" s="186"/>
      <c r="C157" s="187"/>
      <c r="D157" s="187"/>
      <c r="E157" s="187"/>
      <c r="F157" s="187"/>
      <c r="G157" s="188"/>
      <c r="H157" s="182"/>
      <c r="I157" s="204"/>
      <c r="J157" s="204"/>
      <c r="K157" s="204"/>
      <c r="L157" s="204"/>
      <c r="M157" s="204"/>
    </row>
    <row r="158" spans="2:13" ht="16.5" customHeight="1">
      <c r="B158" s="186"/>
      <c r="C158" s="187"/>
      <c r="D158" s="187"/>
      <c r="E158" s="187"/>
      <c r="F158" s="187"/>
      <c r="G158" s="188"/>
      <c r="H158" s="182"/>
      <c r="I158" s="204"/>
      <c r="J158" s="204"/>
      <c r="K158" s="204"/>
      <c r="L158" s="204"/>
      <c r="M158" s="204"/>
    </row>
    <row r="159" spans="2:13" ht="16.5" customHeight="1">
      <c r="B159" s="186"/>
      <c r="C159" s="187"/>
      <c r="D159" s="187"/>
      <c r="E159" s="187"/>
      <c r="F159" s="187"/>
      <c r="G159" s="188"/>
      <c r="H159" s="182"/>
      <c r="I159" s="204"/>
      <c r="J159" s="204"/>
      <c r="K159" s="204"/>
      <c r="L159" s="204"/>
      <c r="M159" s="204"/>
    </row>
    <row r="160" spans="2:13" ht="16.5" customHeight="1">
      <c r="B160" s="186"/>
      <c r="C160" s="187"/>
      <c r="D160" s="187"/>
      <c r="E160" s="187"/>
      <c r="F160" s="187"/>
      <c r="G160" s="188"/>
      <c r="H160" s="182"/>
      <c r="I160" s="204"/>
      <c r="J160" s="204"/>
      <c r="K160" s="204"/>
      <c r="L160" s="204"/>
      <c r="M160" s="204"/>
    </row>
    <row r="161" spans="2:13" ht="16.5" customHeight="1">
      <c r="B161" s="186"/>
      <c r="C161" s="187"/>
      <c r="D161" s="187"/>
      <c r="E161" s="187"/>
      <c r="F161" s="187"/>
      <c r="G161" s="188"/>
      <c r="H161" s="182"/>
      <c r="I161" s="204"/>
      <c r="J161" s="204"/>
      <c r="K161" s="204"/>
      <c r="L161" s="204"/>
      <c r="M161" s="204"/>
    </row>
    <row r="162" spans="2:13" ht="16.5" customHeight="1">
      <c r="B162" s="186"/>
      <c r="C162" s="187"/>
      <c r="D162" s="187"/>
      <c r="E162" s="187"/>
      <c r="F162" s="187"/>
      <c r="G162" s="188"/>
      <c r="H162" s="182"/>
      <c r="I162" s="204"/>
      <c r="J162" s="204"/>
      <c r="K162" s="204"/>
      <c r="L162" s="204"/>
      <c r="M162" s="204"/>
    </row>
    <row r="163" spans="2:13" ht="16.5" customHeight="1">
      <c r="B163" s="186"/>
      <c r="C163" s="187"/>
      <c r="D163" s="187"/>
      <c r="E163" s="187"/>
      <c r="F163" s="187"/>
      <c r="G163" s="188"/>
      <c r="H163" s="182"/>
      <c r="I163" s="204"/>
      <c r="J163" s="204"/>
      <c r="K163" s="204"/>
      <c r="L163" s="204"/>
      <c r="M163" s="204"/>
    </row>
    <row r="164" spans="2:13" ht="16.5" customHeight="1">
      <c r="B164" s="186"/>
      <c r="C164" s="187"/>
      <c r="D164" s="187"/>
      <c r="E164" s="187"/>
      <c r="F164" s="187"/>
      <c r="G164" s="188"/>
      <c r="H164" s="182"/>
      <c r="I164" s="204"/>
      <c r="J164" s="204"/>
      <c r="K164" s="204"/>
      <c r="L164" s="204"/>
      <c r="M164" s="204"/>
    </row>
    <row r="165" spans="2:13" ht="16.5" customHeight="1">
      <c r="B165" s="186"/>
      <c r="C165" s="187"/>
      <c r="D165" s="187"/>
      <c r="E165" s="187"/>
      <c r="F165" s="187"/>
      <c r="G165" s="188"/>
      <c r="H165" s="182"/>
      <c r="I165" s="204"/>
      <c r="J165" s="204"/>
      <c r="K165" s="204"/>
      <c r="L165" s="204"/>
      <c r="M165" s="204"/>
    </row>
    <row r="166" spans="2:13" ht="16.5" customHeight="1">
      <c r="B166" s="186"/>
      <c r="C166" s="187"/>
      <c r="D166" s="187"/>
      <c r="E166" s="187"/>
      <c r="F166" s="187"/>
      <c r="G166" s="188"/>
      <c r="H166" s="182"/>
      <c r="I166" s="204"/>
      <c r="J166" s="204"/>
      <c r="K166" s="204"/>
      <c r="L166" s="204"/>
      <c r="M166" s="204"/>
    </row>
    <row r="167" spans="2:13" ht="16.5" customHeight="1">
      <c r="B167" s="186"/>
      <c r="C167" s="187"/>
      <c r="D167" s="187"/>
      <c r="E167" s="187"/>
      <c r="F167" s="187"/>
      <c r="G167" s="188"/>
      <c r="H167" s="182"/>
      <c r="I167" s="204"/>
      <c r="J167" s="204"/>
      <c r="K167" s="204"/>
      <c r="L167" s="204"/>
      <c r="M167" s="204"/>
    </row>
    <row r="168" spans="2:13" ht="16.5" customHeight="1">
      <c r="B168" s="186"/>
      <c r="C168" s="187"/>
      <c r="D168" s="187"/>
      <c r="E168" s="187"/>
      <c r="F168" s="187"/>
      <c r="G168" s="188"/>
      <c r="H168" s="182"/>
      <c r="I168" s="204"/>
      <c r="J168" s="204"/>
      <c r="K168" s="204"/>
      <c r="L168" s="204"/>
      <c r="M168" s="204"/>
    </row>
    <row r="169" spans="2:13" ht="16.5" customHeight="1">
      <c r="B169" s="186"/>
      <c r="C169" s="187"/>
      <c r="D169" s="187"/>
      <c r="E169" s="187"/>
      <c r="F169" s="187"/>
      <c r="G169" s="188"/>
      <c r="H169" s="182"/>
      <c r="I169" s="204"/>
      <c r="J169" s="204"/>
      <c r="K169" s="204"/>
      <c r="L169" s="204"/>
      <c r="M169" s="204"/>
    </row>
    <row r="170" spans="2:13" ht="16.5" customHeight="1">
      <c r="B170" s="186"/>
      <c r="C170" s="187"/>
      <c r="D170" s="187"/>
      <c r="E170" s="187"/>
      <c r="F170" s="187"/>
      <c r="G170" s="188"/>
      <c r="H170" s="182"/>
      <c r="I170" s="204"/>
      <c r="J170" s="204"/>
      <c r="K170" s="204"/>
      <c r="L170" s="204"/>
      <c r="M170" s="204"/>
    </row>
    <row r="171" spans="2:13" ht="16.5" customHeight="1">
      <c r="B171" s="186"/>
      <c r="C171" s="187"/>
      <c r="D171" s="187"/>
      <c r="E171" s="187"/>
      <c r="F171" s="187"/>
      <c r="G171" s="188"/>
      <c r="H171" s="182"/>
      <c r="I171" s="204"/>
      <c r="J171" s="204"/>
      <c r="K171" s="204"/>
      <c r="L171" s="204"/>
      <c r="M171" s="204"/>
    </row>
    <row r="172" spans="2:13" ht="16.5" customHeight="1">
      <c r="B172" s="186"/>
      <c r="C172" s="187"/>
      <c r="D172" s="187"/>
      <c r="E172" s="187"/>
      <c r="F172" s="187"/>
      <c r="G172" s="188"/>
      <c r="H172" s="182"/>
      <c r="I172" s="204"/>
      <c r="J172" s="204"/>
      <c r="K172" s="204"/>
      <c r="L172" s="204"/>
      <c r="M172" s="204"/>
    </row>
    <row r="173" spans="2:13">
      <c r="B173" s="161"/>
      <c r="C173" s="162"/>
      <c r="D173" s="162"/>
      <c r="E173" s="162"/>
      <c r="F173" s="162"/>
      <c r="G173" s="163"/>
      <c r="H173" s="159"/>
      <c r="I173" s="204"/>
      <c r="J173" s="204"/>
      <c r="K173" s="204"/>
      <c r="L173" s="204"/>
      <c r="M173" s="204"/>
    </row>
    <row r="174" spans="2:13" ht="18">
      <c r="I174" s="178"/>
      <c r="J174" s="178"/>
      <c r="K174" s="178"/>
    </row>
    <row r="175" spans="2:13" ht="16.5">
      <c r="I175" s="180"/>
      <c r="J175" s="180"/>
      <c r="K175" s="180"/>
    </row>
    <row r="177" spans="9:12" ht="18">
      <c r="I177" s="178"/>
      <c r="J177" s="178"/>
      <c r="K177" s="178"/>
      <c r="L177" s="178"/>
    </row>
    <row r="178" spans="9:12" ht="16.5">
      <c r="I178" s="180"/>
      <c r="J178" s="180"/>
      <c r="K178" s="180"/>
    </row>
    <row r="180" spans="9:12" ht="16.5">
      <c r="J180" s="205"/>
    </row>
    <row r="181" spans="9:12" ht="16.5">
      <c r="J181" s="205"/>
    </row>
    <row r="182" spans="9:12">
      <c r="J182" s="206"/>
    </row>
    <row r="183" spans="9:12">
      <c r="J183" s="206"/>
    </row>
  </sheetData>
  <mergeCells count="62">
    <mergeCell ref="B136:G136"/>
    <mergeCell ref="B137:G137"/>
    <mergeCell ref="B138:G138"/>
    <mergeCell ref="C124:G124"/>
    <mergeCell ref="B126:G126"/>
    <mergeCell ref="C127:G127"/>
    <mergeCell ref="C128:G128"/>
    <mergeCell ref="C129:G129"/>
    <mergeCell ref="C130:G130"/>
    <mergeCell ref="C119:G119"/>
    <mergeCell ref="C120:G120"/>
    <mergeCell ref="C121:G121"/>
    <mergeCell ref="C122:G122"/>
    <mergeCell ref="C123:G123"/>
    <mergeCell ref="C114:E114"/>
    <mergeCell ref="C115:E115"/>
    <mergeCell ref="C116:G116"/>
    <mergeCell ref="C117:G117"/>
    <mergeCell ref="C118:G118"/>
    <mergeCell ref="B108:G108"/>
    <mergeCell ref="B109:G109"/>
    <mergeCell ref="B110:G110"/>
    <mergeCell ref="B112:G112"/>
    <mergeCell ref="C113:G113"/>
    <mergeCell ref="B105:G105"/>
    <mergeCell ref="B106:G106"/>
    <mergeCell ref="B107:G107"/>
    <mergeCell ref="B97:G97"/>
    <mergeCell ref="B98:G98"/>
    <mergeCell ref="B99:G99"/>
    <mergeCell ref="B101:G101"/>
    <mergeCell ref="D102:F102"/>
    <mergeCell ref="B89:G89"/>
    <mergeCell ref="B91:G91"/>
    <mergeCell ref="B92:G92"/>
    <mergeCell ref="B94:G94"/>
    <mergeCell ref="B96:G96"/>
    <mergeCell ref="B1:C1"/>
    <mergeCell ref="D1:E1"/>
    <mergeCell ref="F1:G4"/>
    <mergeCell ref="B2:C2"/>
    <mergeCell ref="D2:E2"/>
    <mergeCell ref="B3:C3"/>
    <mergeCell ref="D3:E3"/>
    <mergeCell ref="B4:C4"/>
    <mergeCell ref="D4:E4"/>
    <mergeCell ref="B11:G11"/>
    <mergeCell ref="B26:G26"/>
    <mergeCell ref="D133:E133"/>
    <mergeCell ref="B35:G35"/>
    <mergeCell ref="B40:G40"/>
    <mergeCell ref="C42:F42"/>
    <mergeCell ref="C43:F43"/>
    <mergeCell ref="C44:F44"/>
    <mergeCell ref="C45:F45"/>
    <mergeCell ref="C46:F46"/>
    <mergeCell ref="C47:F47"/>
    <mergeCell ref="C48:F48"/>
    <mergeCell ref="C49:F49"/>
    <mergeCell ref="C50:F50"/>
    <mergeCell ref="C51:F51"/>
    <mergeCell ref="B88:G88"/>
  </mergeCells>
  <hyperlinks>
    <hyperlink ref="B104" r:id="rId1" display="http://apb017aaashjuae:8004/2009/ControlDocument/PEC-EN-FRM-X-0206.doc" xr:uid="{00000000-0004-0000-0000-000000000000}"/>
    <hyperlink ref="B103" r:id="rId2" xr:uid="{00000000-0004-0000-0000-000001000000}"/>
    <hyperlink ref="B102" r:id="rId3" display="http://apb017aaashjuae:8004/2009/ControlDocument/PEC-EN-VSR-L-6577.pdf" xr:uid="{00000000-0004-0000-0000-000002000000}"/>
  </hyperlinks>
  <pageMargins left="0.74803149606299213" right="0.74803149606299213" top="0.98425196850393704" bottom="0.98425196850393704" header="0.51181102362204722" footer="0.51181102362204722"/>
  <pageSetup paperSize="9" scale="69" orientation="portrait" r:id="rId4"/>
  <headerFooter alignWithMargins="0">
    <oddHeader>&amp;L&amp;"Trebuchet MS,Regular"&amp;9TRUNION LOAD CHECK CALCULATION  &amp;"CG Times,Regular"   &amp;R&amp;"Trebuchet MS,Regular"&amp;9PEC-EN-VSS-L-3204 Rev 1 &amp;"CG Times,Regular"&amp;12</oddHeader>
    <oddFooter>&amp;C&amp;"Trebuchet MS,Regular"&amp;9Page &amp;P of &amp;N</oddFooter>
  </headerFooter>
  <rowBreaks count="2" manualBreakCount="2">
    <brk id="39" max="7" man="1"/>
    <brk id="86" max="7" man="1"/>
  </rowBreaks>
  <colBreaks count="1" manualBreakCount="1">
    <brk id="7" max="172" man="1"/>
  </colBreaks>
  <ignoredErrors>
    <ignoredError sqref="B127:B130" numberStoredAsText="1"/>
  </ignoredErrors>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V132"/>
  <sheetViews>
    <sheetView tabSelected="1" topLeftCell="A2" zoomScaleSheetLayoutView="100" workbookViewId="0">
      <selection activeCell="C39" sqref="C39"/>
    </sheetView>
  </sheetViews>
  <sheetFormatPr defaultRowHeight="12.75"/>
  <cols>
    <col min="1" max="1" width="11.125" style="60" customWidth="1"/>
    <col min="2" max="2" width="16.625" style="60" customWidth="1"/>
    <col min="3" max="3" width="14.75" style="60" customWidth="1"/>
    <col min="4" max="4" width="22" style="60" customWidth="1"/>
    <col min="5" max="5" width="14.25" style="60" customWidth="1"/>
    <col min="6" max="6" width="14.125" style="60" customWidth="1"/>
    <col min="7" max="7" width="10" style="60" customWidth="1"/>
    <col min="8" max="8" width="13.375" style="60" customWidth="1"/>
    <col min="9" max="9" width="15.75" style="60" customWidth="1"/>
    <col min="10" max="16384" width="9" style="60"/>
  </cols>
  <sheetData>
    <row r="1" spans="1:9" s="218" customFormat="1" ht="23.25" customHeight="1">
      <c r="A1" s="215" t="s">
        <v>61</v>
      </c>
      <c r="B1" s="323" t="s">
        <v>177</v>
      </c>
      <c r="C1" s="324"/>
      <c r="D1" s="325" t="s">
        <v>79</v>
      </c>
      <c r="E1" s="326"/>
      <c r="F1" s="327"/>
      <c r="G1" s="216" t="s">
        <v>65</v>
      </c>
      <c r="H1" s="217">
        <v>0</v>
      </c>
      <c r="I1" s="334"/>
    </row>
    <row r="2" spans="1:9" s="218" customFormat="1" ht="15.75" customHeight="1">
      <c r="A2" s="219" t="s">
        <v>62</v>
      </c>
      <c r="B2" s="337" t="s">
        <v>178</v>
      </c>
      <c r="C2" s="338"/>
      <c r="D2" s="328"/>
      <c r="E2" s="329"/>
      <c r="F2" s="330"/>
      <c r="G2" s="220" t="s">
        <v>66</v>
      </c>
      <c r="H2" s="281" t="s">
        <v>184</v>
      </c>
      <c r="I2" s="335"/>
    </row>
    <row r="3" spans="1:9" s="218" customFormat="1" ht="17.25" customHeight="1">
      <c r="A3" s="219" t="s">
        <v>63</v>
      </c>
      <c r="B3" s="337" t="s">
        <v>179</v>
      </c>
      <c r="C3" s="338"/>
      <c r="D3" s="328"/>
      <c r="E3" s="329"/>
      <c r="F3" s="330"/>
      <c r="G3" s="222" t="s">
        <v>67</v>
      </c>
      <c r="H3" s="221" t="s">
        <v>180</v>
      </c>
      <c r="I3" s="335"/>
    </row>
    <row r="4" spans="1:9" s="218" customFormat="1" ht="29.25" customHeight="1" thickBot="1">
      <c r="A4" s="223" t="s">
        <v>64</v>
      </c>
      <c r="B4" s="339" t="s">
        <v>185</v>
      </c>
      <c r="C4" s="340"/>
      <c r="D4" s="331"/>
      <c r="E4" s="332"/>
      <c r="F4" s="333"/>
      <c r="G4" s="224" t="s">
        <v>68</v>
      </c>
      <c r="H4" s="225" t="s">
        <v>181</v>
      </c>
      <c r="I4" s="336"/>
    </row>
    <row r="5" spans="1:9" s="218" customFormat="1" ht="18" customHeight="1">
      <c r="A5" s="341"/>
      <c r="B5" s="342"/>
      <c r="C5" s="342"/>
      <c r="D5" s="342"/>
      <c r="E5" s="342"/>
      <c r="F5" s="342"/>
      <c r="G5" s="342"/>
      <c r="H5" s="342"/>
      <c r="I5" s="342"/>
    </row>
    <row r="6" spans="1:9" ht="15.75" customHeight="1">
      <c r="A6" s="55"/>
      <c r="B6" s="56"/>
      <c r="C6" s="57"/>
      <c r="D6" s="57"/>
      <c r="E6" s="57"/>
      <c r="F6" s="55"/>
      <c r="G6" s="55"/>
      <c r="H6" s="58"/>
      <c r="I6" s="59"/>
    </row>
    <row r="7" spans="1:9" ht="15" customHeight="1">
      <c r="A7" s="214" t="s">
        <v>153</v>
      </c>
      <c r="B7" s="226" t="s">
        <v>182</v>
      </c>
      <c r="C7" s="227"/>
      <c r="D7" s="213" t="s">
        <v>32</v>
      </c>
      <c r="E7" s="343" t="s">
        <v>183</v>
      </c>
      <c r="F7" s="343"/>
      <c r="G7" s="227"/>
      <c r="H7" s="211" t="s">
        <v>33</v>
      </c>
      <c r="I7" s="212">
        <v>22020</v>
      </c>
    </row>
    <row r="8" spans="1:9" ht="22.9" customHeight="1">
      <c r="A8" s="61"/>
      <c r="B8" s="62"/>
      <c r="C8" s="344"/>
      <c r="D8" s="345"/>
      <c r="E8" s="62"/>
      <c r="F8" s="62"/>
      <c r="G8" s="55"/>
      <c r="H8" s="135"/>
      <c r="I8" s="228"/>
    </row>
    <row r="9" spans="1:9" ht="2.4500000000000002" hidden="1" customHeight="1">
      <c r="A9" s="63"/>
      <c r="B9" s="63"/>
      <c r="C9" s="63"/>
      <c r="D9" s="63"/>
      <c r="E9" s="63"/>
      <c r="F9" s="63"/>
      <c r="G9" s="63"/>
      <c r="H9" s="73"/>
      <c r="I9" s="73"/>
    </row>
    <row r="10" spans="1:9" ht="6.75" hidden="1" customHeight="1">
      <c r="A10" s="64"/>
      <c r="B10" s="64"/>
      <c r="C10" s="64"/>
      <c r="D10" s="64"/>
      <c r="E10" s="64"/>
      <c r="F10" s="64"/>
      <c r="G10" s="64"/>
      <c r="H10" s="73"/>
      <c r="I10" s="78"/>
    </row>
    <row r="11" spans="1:9" ht="15.75" hidden="1">
      <c r="A11" s="63"/>
      <c r="B11" s="63"/>
      <c r="C11" s="63"/>
      <c r="D11" s="63"/>
      <c r="E11" s="63"/>
      <c r="F11" s="63"/>
      <c r="G11" s="63"/>
      <c r="H11" s="73"/>
      <c r="I11" s="73"/>
    </row>
    <row r="12" spans="1:9" ht="15.75">
      <c r="A12" s="66" t="s">
        <v>80</v>
      </c>
      <c r="B12" s="67"/>
      <c r="C12" s="67"/>
      <c r="E12" s="63"/>
      <c r="F12" s="63"/>
      <c r="G12" s="63"/>
      <c r="H12" s="73"/>
      <c r="I12" s="73"/>
    </row>
    <row r="13" spans="1:9" ht="15.75">
      <c r="A13" s="346" t="s">
        <v>81</v>
      </c>
      <c r="B13" s="347"/>
      <c r="C13" s="229">
        <v>20</v>
      </c>
      <c r="D13" s="63"/>
      <c r="E13" s="63"/>
      <c r="F13" s="73"/>
      <c r="G13" s="73"/>
      <c r="H13" s="73"/>
      <c r="I13" s="73"/>
    </row>
    <row r="14" spans="1:9" ht="14.45" customHeight="1">
      <c r="A14" s="348"/>
      <c r="B14" s="348"/>
      <c r="C14" s="230"/>
      <c r="D14" s="70"/>
      <c r="E14" s="71"/>
      <c r="F14" s="73"/>
      <c r="G14" s="73"/>
      <c r="H14" s="73"/>
      <c r="I14" s="73"/>
    </row>
    <row r="15" spans="1:9" ht="14.45" customHeight="1">
      <c r="A15" s="349" t="s">
        <v>43</v>
      </c>
      <c r="B15" s="349"/>
      <c r="C15" s="229">
        <v>30</v>
      </c>
      <c r="D15" s="1"/>
      <c r="E15" s="75"/>
      <c r="F15" s="73"/>
      <c r="G15" s="73"/>
      <c r="H15" s="73"/>
      <c r="I15" s="73"/>
    </row>
    <row r="16" spans="1:9" ht="14.45" customHeight="1">
      <c r="A16" s="350"/>
      <c r="B16" s="350"/>
      <c r="C16" s="231"/>
      <c r="D16" s="70"/>
      <c r="E16" s="75"/>
      <c r="F16" s="73"/>
      <c r="G16" s="73"/>
      <c r="H16" s="73"/>
      <c r="I16" s="73"/>
    </row>
    <row r="17" spans="1:9" ht="14.45" customHeight="1">
      <c r="A17" s="346" t="s">
        <v>82</v>
      </c>
      <c r="B17" s="347"/>
      <c r="C17" s="229">
        <v>16</v>
      </c>
      <c r="D17" s="76"/>
      <c r="E17" s="75"/>
      <c r="F17" s="78"/>
      <c r="G17" s="73"/>
      <c r="H17" s="78"/>
      <c r="I17" s="78"/>
    </row>
    <row r="18" spans="1:9" ht="14.45" customHeight="1">
      <c r="A18" s="351"/>
      <c r="B18" s="351"/>
      <c r="C18" s="80"/>
      <c r="D18" s="81"/>
      <c r="E18" s="71"/>
      <c r="F18" s="73"/>
      <c r="G18" s="73"/>
      <c r="H18" s="73"/>
      <c r="I18" s="78"/>
    </row>
    <row r="19" spans="1:9" ht="15" customHeight="1">
      <c r="A19" s="349" t="s">
        <v>70</v>
      </c>
      <c r="B19" s="349"/>
      <c r="C19" s="232">
        <v>40</v>
      </c>
      <c r="D19" s="2"/>
      <c r="E19" s="71"/>
      <c r="F19" s="73"/>
      <c r="G19" s="73"/>
      <c r="H19" s="73"/>
      <c r="I19" s="73"/>
    </row>
    <row r="20" spans="1:9" ht="14.45" customHeight="1">
      <c r="A20" s="352"/>
      <c r="B20" s="352"/>
      <c r="C20" s="82"/>
      <c r="D20" s="70"/>
      <c r="E20" s="83"/>
      <c r="F20" s="73"/>
      <c r="G20" s="73"/>
      <c r="H20" s="73"/>
      <c r="I20" s="78"/>
    </row>
    <row r="21" spans="1:9" ht="14.45" customHeight="1">
      <c r="A21" s="346" t="s">
        <v>41</v>
      </c>
      <c r="B21" s="347"/>
      <c r="C21" s="229">
        <v>0</v>
      </c>
      <c r="D21" s="63"/>
      <c r="E21" s="71"/>
      <c r="F21" s="73"/>
      <c r="G21" s="73"/>
      <c r="H21" s="73"/>
      <c r="I21" s="78"/>
    </row>
    <row r="22" spans="1:9" ht="14.45" customHeight="1">
      <c r="A22" s="351"/>
      <c r="B22" s="351"/>
      <c r="C22" s="80"/>
      <c r="D22" s="70"/>
      <c r="E22" s="86"/>
      <c r="F22" s="86" t="s">
        <v>39</v>
      </c>
      <c r="G22" s="54">
        <f>VLOOKUP(C13,$B$90:$C$131,2,FALSE)</f>
        <v>508</v>
      </c>
      <c r="H22" s="87" t="s">
        <v>0</v>
      </c>
      <c r="I22" s="87"/>
    </row>
    <row r="23" spans="1:9" ht="14.45" customHeight="1">
      <c r="A23" s="346" t="s">
        <v>45</v>
      </c>
      <c r="B23" s="347"/>
      <c r="C23" s="229">
        <v>12.7</v>
      </c>
      <c r="D23" s="70"/>
      <c r="E23" s="86"/>
      <c r="F23" s="86" t="s">
        <v>40</v>
      </c>
      <c r="G23" s="54">
        <f>G22/2</f>
        <v>254</v>
      </c>
      <c r="H23" s="78" t="s">
        <v>0</v>
      </c>
      <c r="I23" s="78"/>
    </row>
    <row r="24" spans="1:9" ht="14.45" customHeight="1">
      <c r="A24" s="351"/>
      <c r="B24" s="351"/>
      <c r="C24" s="80"/>
      <c r="D24" s="70"/>
      <c r="E24" s="86"/>
      <c r="F24" s="86" t="s">
        <v>48</v>
      </c>
      <c r="G24" s="54">
        <f>IF(C15="-",D15,VLOOKUP(C13,$B$90:$U$131,(MATCH(C15,$D$89:$V$89,0))+2,FALSE))</f>
        <v>12.7</v>
      </c>
      <c r="H24" s="73" t="s">
        <v>0</v>
      </c>
      <c r="I24" s="73"/>
    </row>
    <row r="25" spans="1:9" ht="14.45" customHeight="1">
      <c r="A25" s="346" t="s">
        <v>46</v>
      </c>
      <c r="B25" s="347"/>
      <c r="C25" s="229">
        <v>7.8</v>
      </c>
      <c r="D25" s="70"/>
      <c r="E25" s="86"/>
      <c r="F25" s="86" t="s">
        <v>71</v>
      </c>
      <c r="G25" s="54">
        <f>VLOOKUP(C17,$B$90:$C$131,2,FALSE)</f>
        <v>406.4</v>
      </c>
      <c r="H25" s="73" t="s">
        <v>0</v>
      </c>
      <c r="I25" s="73"/>
    </row>
    <row r="26" spans="1:9" ht="21" customHeight="1">
      <c r="A26" s="60" t="s">
        <v>42</v>
      </c>
      <c r="D26" s="70"/>
      <c r="E26" s="233"/>
      <c r="F26" s="233" t="s">
        <v>72</v>
      </c>
      <c r="G26" s="234">
        <f>IF(C19="-",D19,VLOOKUP(C17,$B$90:$U$131,(MATCH(C19,$D$89:$V$89,0))+2,FALSE))</f>
        <v>12.7</v>
      </c>
      <c r="H26" s="73" t="s">
        <v>0</v>
      </c>
      <c r="I26" s="73"/>
    </row>
    <row r="27" spans="1:9" ht="14.45" customHeight="1">
      <c r="A27" s="88"/>
      <c r="B27" s="89"/>
      <c r="C27" s="92"/>
      <c r="D27" s="90"/>
      <c r="E27" s="91"/>
      <c r="F27" s="86" t="s">
        <v>73</v>
      </c>
      <c r="G27" s="54">
        <f>G25-2*G26</f>
        <v>381</v>
      </c>
      <c r="H27" s="73" t="s">
        <v>0</v>
      </c>
      <c r="I27" s="73"/>
    </row>
    <row r="28" spans="1:9" ht="14.45" customHeight="1">
      <c r="A28" s="346" t="s">
        <v>47</v>
      </c>
      <c r="B28" s="347"/>
      <c r="C28" s="229">
        <v>150</v>
      </c>
      <c r="D28" s="90"/>
      <c r="E28" s="91"/>
      <c r="F28" s="91" t="s">
        <v>74</v>
      </c>
      <c r="G28" s="54">
        <f>G25/2</f>
        <v>203.2</v>
      </c>
      <c r="H28" s="73" t="s">
        <v>0</v>
      </c>
      <c r="I28" s="76"/>
    </row>
    <row r="29" spans="1:9" ht="14.45" customHeight="1">
      <c r="A29" s="88"/>
      <c r="B29" s="89"/>
      <c r="C29" s="92"/>
      <c r="D29" s="90"/>
      <c r="E29" s="71"/>
      <c r="F29" s="89"/>
      <c r="G29" s="88"/>
      <c r="H29" s="73"/>
      <c r="I29" s="73"/>
    </row>
    <row r="30" spans="1:9" ht="14.45" customHeight="1">
      <c r="A30" s="346" t="s">
        <v>49</v>
      </c>
      <c r="B30" s="347"/>
      <c r="C30" s="229">
        <v>219</v>
      </c>
      <c r="D30" s="70"/>
      <c r="E30" s="79"/>
      <c r="F30" s="86" t="s">
        <v>44</v>
      </c>
      <c r="G30" s="86" t="s">
        <v>19</v>
      </c>
      <c r="H30" s="73" t="s">
        <v>0</v>
      </c>
      <c r="I30" s="73"/>
    </row>
    <row r="31" spans="1:9" ht="14.45" customHeight="1">
      <c r="A31" s="87"/>
      <c r="B31" s="89"/>
      <c r="C31" s="92"/>
      <c r="D31" s="90"/>
      <c r="E31" s="79"/>
      <c r="F31" s="91"/>
      <c r="G31" s="93">
        <f>G24-C21+C23</f>
        <v>25.4</v>
      </c>
      <c r="H31" s="73" t="s">
        <v>0</v>
      </c>
    </row>
    <row r="32" spans="1:9" ht="14.45" customHeight="1">
      <c r="A32" s="88"/>
      <c r="B32" s="87"/>
      <c r="C32" s="89"/>
      <c r="D32" s="87"/>
      <c r="E32" s="78"/>
      <c r="F32" s="73"/>
      <c r="G32" s="73"/>
      <c r="H32" s="73"/>
    </row>
    <row r="33" spans="1:9" ht="15.75">
      <c r="A33" s="63"/>
      <c r="B33" s="94" t="s">
        <v>2</v>
      </c>
      <c r="E33" s="63"/>
      <c r="F33" s="63"/>
      <c r="G33" s="63"/>
      <c r="H33" s="63"/>
    </row>
    <row r="34" spans="1:9" ht="9" customHeight="1">
      <c r="A34" s="63"/>
      <c r="B34" s="95"/>
      <c r="C34" s="95"/>
      <c r="D34" s="78"/>
      <c r="E34" s="78"/>
      <c r="F34" s="78"/>
      <c r="G34" s="78"/>
      <c r="H34" s="78"/>
    </row>
    <row r="35" spans="1:9">
      <c r="A35" s="96"/>
      <c r="B35" s="97"/>
      <c r="C35" s="97"/>
      <c r="D35" s="97"/>
      <c r="E35" s="97"/>
      <c r="F35" s="97"/>
      <c r="G35" s="97"/>
      <c r="H35" s="98"/>
      <c r="I35" s="78"/>
    </row>
    <row r="36" spans="1:9" ht="16.5">
      <c r="A36" s="72"/>
      <c r="B36" s="99" t="s">
        <v>93</v>
      </c>
      <c r="C36" s="3">
        <v>34000</v>
      </c>
      <c r="D36" s="78" t="s">
        <v>3</v>
      </c>
      <c r="E36" s="73"/>
      <c r="F36" s="99" t="s">
        <v>92</v>
      </c>
      <c r="G36" s="3">
        <v>7000</v>
      </c>
      <c r="H36" s="79" t="s">
        <v>3</v>
      </c>
      <c r="I36" s="78"/>
    </row>
    <row r="37" spans="1:9">
      <c r="A37" s="77"/>
      <c r="B37" s="78"/>
      <c r="C37" s="78" t="s">
        <v>8</v>
      </c>
      <c r="D37" s="78"/>
      <c r="E37" s="78"/>
      <c r="F37" s="78"/>
      <c r="G37" s="78"/>
      <c r="H37" s="79"/>
      <c r="I37" s="78"/>
    </row>
    <row r="38" spans="1:9" ht="16.5">
      <c r="A38" s="72"/>
      <c r="B38" s="99" t="s">
        <v>91</v>
      </c>
      <c r="C38" s="3">
        <v>7500</v>
      </c>
      <c r="D38" s="78" t="s">
        <v>3</v>
      </c>
      <c r="E38" s="73"/>
      <c r="F38" s="99" t="s">
        <v>20</v>
      </c>
      <c r="G38" s="3">
        <v>896</v>
      </c>
      <c r="H38" s="79" t="s">
        <v>0</v>
      </c>
      <c r="I38" s="78"/>
    </row>
    <row r="39" spans="1:9" ht="12" customHeight="1">
      <c r="A39" s="84"/>
      <c r="B39" s="64"/>
      <c r="C39" s="64"/>
      <c r="D39" s="64"/>
      <c r="E39" s="64"/>
      <c r="F39" s="64"/>
      <c r="G39" s="64"/>
      <c r="H39" s="100"/>
      <c r="I39" s="78"/>
    </row>
    <row r="40" spans="1:9" ht="15.75">
      <c r="A40" s="63"/>
      <c r="B40" s="63"/>
      <c r="C40" s="63"/>
      <c r="D40" s="63"/>
      <c r="E40" s="63"/>
    </row>
    <row r="41" spans="1:9" ht="16.5">
      <c r="A41" s="101"/>
      <c r="B41" s="71" t="s">
        <v>35</v>
      </c>
      <c r="C41" s="102" t="s">
        <v>154</v>
      </c>
      <c r="D41" s="60" t="s">
        <v>4</v>
      </c>
      <c r="E41" s="101"/>
      <c r="G41" s="71" t="s">
        <v>21</v>
      </c>
      <c r="H41" s="103" t="s">
        <v>23</v>
      </c>
      <c r="I41" s="60" t="s">
        <v>1</v>
      </c>
    </row>
    <row r="42" spans="1:9" ht="15">
      <c r="A42" s="101"/>
      <c r="B42" s="71"/>
      <c r="C42" s="104">
        <f>C36*G38</f>
        <v>30464000</v>
      </c>
      <c r="D42" s="60" t="s">
        <v>4</v>
      </c>
      <c r="E42" s="101"/>
      <c r="G42" s="71"/>
      <c r="H42" s="105">
        <f>C25*G23/(2*G31)</f>
        <v>39</v>
      </c>
      <c r="I42" s="60" t="s">
        <v>1</v>
      </c>
    </row>
    <row r="43" spans="1:9" ht="15">
      <c r="E43" s="101"/>
    </row>
    <row r="44" spans="1:9" ht="16.5">
      <c r="A44" s="106"/>
      <c r="B44" s="107" t="s">
        <v>37</v>
      </c>
      <c r="C44" s="102" t="s">
        <v>155</v>
      </c>
      <c r="D44" s="60" t="s">
        <v>4</v>
      </c>
      <c r="E44" s="101"/>
      <c r="G44" s="71" t="s">
        <v>22</v>
      </c>
      <c r="H44" s="103" t="s">
        <v>24</v>
      </c>
      <c r="I44" s="60" t="s">
        <v>1</v>
      </c>
    </row>
    <row r="45" spans="1:9" ht="15">
      <c r="A45" s="101"/>
      <c r="B45" s="71"/>
      <c r="C45" s="104">
        <f>G36*G38</f>
        <v>6272000</v>
      </c>
      <c r="D45" s="60" t="s">
        <v>4</v>
      </c>
      <c r="E45" s="101"/>
      <c r="G45" s="71"/>
      <c r="H45" s="105">
        <f>C25*G23/G31</f>
        <v>78</v>
      </c>
      <c r="I45" s="60" t="s">
        <v>1</v>
      </c>
    </row>
    <row r="47" spans="1:9" ht="16.5">
      <c r="A47" s="235" t="s">
        <v>75</v>
      </c>
      <c r="B47" s="69"/>
      <c r="C47" s="108" t="s">
        <v>86</v>
      </c>
      <c r="D47" s="109" t="s">
        <v>25</v>
      </c>
      <c r="E47" s="97" t="s">
        <v>5</v>
      </c>
      <c r="F47" s="97"/>
      <c r="G47" s="108" t="s">
        <v>87</v>
      </c>
      <c r="H47" s="109" t="s">
        <v>26</v>
      </c>
      <c r="I47" s="98" t="s">
        <v>5</v>
      </c>
    </row>
    <row r="48" spans="1:9" ht="15.75">
      <c r="A48" s="236"/>
      <c r="B48" s="73"/>
      <c r="C48" s="110"/>
      <c r="D48" s="111">
        <f>C42/(PI()*G28^2)</f>
        <v>234.84950372540823</v>
      </c>
      <c r="E48" s="78" t="s">
        <v>5</v>
      </c>
      <c r="F48" s="78"/>
      <c r="G48" s="110"/>
      <c r="H48" s="111">
        <f>C45/(PI()*G28^2)</f>
        <v>48.351368414054633</v>
      </c>
      <c r="I48" s="79" t="s">
        <v>5</v>
      </c>
    </row>
    <row r="49" spans="1:9" ht="15.75">
      <c r="A49" s="72"/>
      <c r="B49" s="73"/>
      <c r="C49" s="110"/>
      <c r="D49" s="78"/>
      <c r="E49" s="78"/>
      <c r="F49" s="78"/>
      <c r="G49" s="78"/>
      <c r="H49" s="78"/>
      <c r="I49" s="79"/>
    </row>
    <row r="50" spans="1:9" ht="16.5">
      <c r="A50" s="72"/>
      <c r="B50" s="73"/>
      <c r="C50" s="110" t="s">
        <v>88</v>
      </c>
      <c r="D50" s="112" t="s">
        <v>156</v>
      </c>
      <c r="E50" s="78" t="s">
        <v>5</v>
      </c>
      <c r="F50" s="78"/>
      <c r="G50" s="78"/>
      <c r="H50" s="73"/>
      <c r="I50" s="74"/>
    </row>
    <row r="51" spans="1:9" ht="15.75">
      <c r="A51" s="84"/>
      <c r="B51" s="64"/>
      <c r="C51" s="113"/>
      <c r="D51" s="114">
        <f>C38/(2*PI()*G28)</f>
        <v>5.8743212263248772</v>
      </c>
      <c r="E51" s="65" t="s">
        <v>5</v>
      </c>
      <c r="F51" s="65"/>
      <c r="G51" s="65"/>
      <c r="H51" s="64"/>
      <c r="I51" s="100"/>
    </row>
    <row r="52" spans="1:9" ht="15.75">
      <c r="A52" s="63"/>
      <c r="B52" s="63"/>
      <c r="C52" s="63"/>
      <c r="D52" s="63"/>
      <c r="E52" s="63"/>
      <c r="F52" s="63"/>
      <c r="G52" s="63"/>
    </row>
    <row r="53" spans="1:9" ht="17.25" customHeight="1">
      <c r="A53" s="235" t="s">
        <v>6</v>
      </c>
      <c r="B53" s="97"/>
      <c r="C53" s="108" t="s">
        <v>157</v>
      </c>
      <c r="D53" s="109" t="s">
        <v>27</v>
      </c>
      <c r="E53" s="97" t="s">
        <v>1</v>
      </c>
      <c r="F53" s="97"/>
      <c r="G53" s="108" t="s">
        <v>158</v>
      </c>
      <c r="H53" s="109" t="s">
        <v>28</v>
      </c>
      <c r="I53" s="98" t="s">
        <v>1</v>
      </c>
    </row>
    <row r="54" spans="1:9" ht="15.75">
      <c r="A54" s="115"/>
      <c r="B54" s="73"/>
      <c r="C54" s="110"/>
      <c r="D54" s="111">
        <f>1.17*D48*G23^0.5/G31^1.5</f>
        <v>34.209111290748503</v>
      </c>
      <c r="E54" s="78" t="s">
        <v>1</v>
      </c>
      <c r="F54" s="78"/>
      <c r="G54" s="78"/>
      <c r="H54" s="116">
        <f>2.34*H48*G23^0.5/G31^1.5</f>
        <v>14.086104649131737</v>
      </c>
      <c r="I54" s="79" t="s">
        <v>1</v>
      </c>
    </row>
    <row r="55" spans="1:9" ht="16.5">
      <c r="A55" s="72"/>
      <c r="B55" s="73"/>
      <c r="C55" s="110" t="s">
        <v>159</v>
      </c>
      <c r="D55" s="112" t="s">
        <v>85</v>
      </c>
      <c r="E55" s="78" t="s">
        <v>1</v>
      </c>
      <c r="F55" s="78"/>
      <c r="G55" s="78"/>
      <c r="H55" s="73"/>
      <c r="I55" s="74"/>
    </row>
    <row r="56" spans="1:9" ht="15.75">
      <c r="A56" s="84"/>
      <c r="B56" s="64"/>
      <c r="C56" s="113"/>
      <c r="D56" s="114">
        <f>1.5*1.17*D51*G23^0.5/G31^1.5</f>
        <v>1.2835154347861588</v>
      </c>
      <c r="E56" s="65" t="s">
        <v>1</v>
      </c>
      <c r="F56" s="65"/>
      <c r="G56" s="65"/>
      <c r="H56" s="64"/>
      <c r="I56" s="100"/>
    </row>
    <row r="57" spans="1:9" ht="18.75">
      <c r="A57" s="72"/>
      <c r="B57" s="117" t="s">
        <v>34</v>
      </c>
      <c r="C57" s="78"/>
      <c r="D57" s="78"/>
      <c r="E57" s="78"/>
      <c r="F57" s="78"/>
      <c r="G57" s="78"/>
      <c r="H57" s="78"/>
      <c r="I57" s="118"/>
    </row>
    <row r="58" spans="1:9">
      <c r="A58" s="77"/>
      <c r="B58" s="78"/>
      <c r="C58" s="78"/>
      <c r="D58" s="78"/>
      <c r="E58" s="78"/>
      <c r="F58" s="78"/>
      <c r="G58" s="78"/>
      <c r="H58" s="78"/>
      <c r="I58" s="79"/>
    </row>
    <row r="59" spans="1:9" ht="15.75">
      <c r="A59" s="119" t="s">
        <v>160</v>
      </c>
      <c r="B59" s="95"/>
      <c r="C59" s="111">
        <f>D54+D56+H42</f>
        <v>74.492626725534663</v>
      </c>
      <c r="D59" s="78" t="s">
        <v>1</v>
      </c>
      <c r="E59" s="99" t="s">
        <v>89</v>
      </c>
      <c r="F59" s="120">
        <f>1.5*C30</f>
        <v>328.5</v>
      </c>
      <c r="G59" s="78" t="s">
        <v>1</v>
      </c>
      <c r="H59" s="121" t="str">
        <f>IF(C59&gt;F59,"FAILED","PASSED")</f>
        <v>PASSED</v>
      </c>
      <c r="I59" s="79"/>
    </row>
    <row r="60" spans="1:9">
      <c r="A60" s="77"/>
      <c r="B60" s="78"/>
      <c r="C60" s="78"/>
      <c r="D60" s="78"/>
      <c r="E60" s="78"/>
      <c r="F60" s="78"/>
      <c r="G60" s="78"/>
      <c r="H60" s="78"/>
      <c r="I60" s="79"/>
    </row>
    <row r="61" spans="1:9" ht="15.75">
      <c r="A61" s="119" t="s">
        <v>161</v>
      </c>
      <c r="B61" s="95"/>
      <c r="C61" s="111">
        <f>H54+D56+H45</f>
        <v>93.369620083917894</v>
      </c>
      <c r="D61" s="78" t="s">
        <v>1</v>
      </c>
      <c r="E61" s="99" t="s">
        <v>89</v>
      </c>
      <c r="F61" s="120">
        <f>1.5*C30</f>
        <v>328.5</v>
      </c>
      <c r="G61" s="78" t="s">
        <v>1</v>
      </c>
      <c r="H61" s="121" t="str">
        <f>IF(C61&gt;F61,"FAILED","PASSED")</f>
        <v>PASSED</v>
      </c>
      <c r="I61" s="79"/>
    </row>
    <row r="62" spans="1:9" ht="9.75" customHeight="1">
      <c r="A62" s="84"/>
      <c r="B62" s="64"/>
      <c r="C62" s="64"/>
      <c r="D62" s="64"/>
      <c r="E62" s="64"/>
      <c r="F62" s="64"/>
      <c r="G62" s="64"/>
      <c r="H62" s="64"/>
      <c r="I62" s="100"/>
    </row>
    <row r="63" spans="1:9" ht="9.75" customHeight="1">
      <c r="A63" s="72"/>
      <c r="B63" s="73"/>
      <c r="C63" s="73"/>
      <c r="D63" s="73"/>
      <c r="E63" s="73"/>
      <c r="F63" s="73"/>
      <c r="G63" s="73"/>
      <c r="H63" s="73"/>
      <c r="I63" s="74"/>
    </row>
    <row r="64" spans="1:9" ht="18" customHeight="1">
      <c r="A64" s="235" t="s">
        <v>76</v>
      </c>
      <c r="B64" s="97"/>
      <c r="C64" s="108" t="s">
        <v>7</v>
      </c>
      <c r="D64" s="358" t="s">
        <v>36</v>
      </c>
      <c r="E64" s="358"/>
      <c r="F64" s="97" t="s">
        <v>1</v>
      </c>
      <c r="G64" s="108"/>
      <c r="H64" s="109"/>
      <c r="I64" s="98"/>
    </row>
    <row r="65" spans="1:9" ht="15.75">
      <c r="A65" s="115"/>
      <c r="B65" s="73"/>
      <c r="C65" s="110"/>
      <c r="D65" s="111">
        <f>(C42^2+C45^2)^0.5/((PI()*(G25^4-G27^4)/(32*G25)))</f>
        <v>20.745012522937575</v>
      </c>
      <c r="E65" s="78" t="s">
        <v>1</v>
      </c>
      <c r="F65" s="78"/>
      <c r="G65" s="78"/>
      <c r="H65" s="122"/>
      <c r="I65" s="79"/>
    </row>
    <row r="66" spans="1:9" ht="15.75">
      <c r="A66" s="84"/>
      <c r="B66" s="64"/>
      <c r="C66" s="113"/>
      <c r="D66" s="123"/>
      <c r="E66" s="65"/>
      <c r="F66" s="65"/>
      <c r="G66" s="65"/>
      <c r="H66" s="64"/>
      <c r="I66" s="100"/>
    </row>
    <row r="67" spans="1:9" ht="18.75">
      <c r="A67" s="68"/>
      <c r="B67" s="124" t="s">
        <v>78</v>
      </c>
      <c r="C67" s="97"/>
      <c r="D67" s="97"/>
      <c r="E67" s="97"/>
      <c r="F67" s="97"/>
      <c r="G67" s="97"/>
      <c r="H67" s="97"/>
      <c r="I67" s="125"/>
    </row>
    <row r="68" spans="1:9">
      <c r="A68" s="77"/>
      <c r="B68" s="78"/>
      <c r="C68" s="78"/>
      <c r="D68" s="78"/>
      <c r="E68" s="78"/>
      <c r="F68" s="78"/>
      <c r="G68" s="78"/>
      <c r="H68" s="78"/>
      <c r="I68" s="79"/>
    </row>
    <row r="69" spans="1:9" ht="15.75">
      <c r="A69" s="119" t="s">
        <v>7</v>
      </c>
      <c r="B69" s="95"/>
      <c r="C69" s="111">
        <f>D65</f>
        <v>20.745012522937575</v>
      </c>
      <c r="D69" s="78" t="s">
        <v>1</v>
      </c>
      <c r="E69" s="99" t="s">
        <v>90</v>
      </c>
      <c r="F69" s="120">
        <f>C30</f>
        <v>219</v>
      </c>
      <c r="G69" s="78" t="s">
        <v>1</v>
      </c>
      <c r="H69" s="121" t="str">
        <f>IF(C69&gt;F69,"FAILED","PASSED")</f>
        <v>PASSED</v>
      </c>
      <c r="I69" s="79"/>
    </row>
    <row r="70" spans="1:9">
      <c r="A70" s="126"/>
      <c r="B70" s="65"/>
      <c r="C70" s="65"/>
      <c r="D70" s="65"/>
      <c r="E70" s="65"/>
      <c r="F70" s="65"/>
      <c r="G70" s="65"/>
      <c r="H70" s="65"/>
      <c r="I70" s="85"/>
    </row>
    <row r="71" spans="1:9" ht="9.75" customHeight="1">
      <c r="I71" s="63"/>
    </row>
    <row r="72" spans="1:9" ht="9.75" customHeight="1">
      <c r="I72" s="127"/>
    </row>
    <row r="73" spans="1:9">
      <c r="A73" s="237" t="s">
        <v>29</v>
      </c>
    </row>
    <row r="74" spans="1:9" ht="15">
      <c r="B74" s="353" t="s">
        <v>30</v>
      </c>
      <c r="C74" s="353"/>
      <c r="D74" s="353"/>
      <c r="E74" s="353"/>
      <c r="F74" s="353"/>
      <c r="G74" s="353"/>
      <c r="H74" s="353"/>
      <c r="I74" s="353"/>
    </row>
    <row r="75" spans="1:9" ht="15.75">
      <c r="A75" s="63"/>
      <c r="B75" s="353" t="s">
        <v>31</v>
      </c>
      <c r="C75" s="353"/>
      <c r="D75" s="353"/>
      <c r="E75" s="353"/>
      <c r="F75" s="353"/>
      <c r="G75" s="353"/>
      <c r="H75" s="353"/>
      <c r="I75" s="353"/>
    </row>
    <row r="76" spans="1:9" ht="15.75">
      <c r="A76" s="63"/>
      <c r="B76" s="63"/>
      <c r="C76" s="63"/>
      <c r="D76" s="63"/>
      <c r="E76" s="63"/>
      <c r="F76" s="63"/>
      <c r="G76" s="63"/>
      <c r="H76" s="63"/>
      <c r="I76" s="63"/>
    </row>
    <row r="77" spans="1:9" ht="15.75">
      <c r="A77" s="63"/>
      <c r="B77" s="63"/>
      <c r="C77" s="63"/>
      <c r="D77" s="63"/>
      <c r="E77" s="63"/>
      <c r="F77" s="63"/>
      <c r="G77" s="63"/>
      <c r="H77" s="63"/>
      <c r="I77" s="63"/>
    </row>
    <row r="78" spans="1:9" ht="15.75">
      <c r="A78" s="63"/>
      <c r="B78" s="63"/>
      <c r="C78" s="63"/>
      <c r="D78" s="63"/>
      <c r="E78" s="63"/>
      <c r="F78" s="63"/>
      <c r="G78" s="63"/>
      <c r="H78" s="63"/>
      <c r="I78" s="63"/>
    </row>
    <row r="79" spans="1:9" ht="15.75">
      <c r="A79" s="63"/>
      <c r="B79" s="63"/>
      <c r="C79" s="63"/>
      <c r="D79" s="63"/>
      <c r="E79" s="63"/>
      <c r="F79" s="63"/>
      <c r="G79" s="63"/>
      <c r="H79" s="63"/>
      <c r="I79" s="63"/>
    </row>
    <row r="84" spans="2:22" ht="15.75" hidden="1">
      <c r="B84" s="63"/>
      <c r="C84" s="63"/>
      <c r="D84" s="128"/>
      <c r="E84" s="63"/>
      <c r="F84" s="63"/>
      <c r="G84" s="63"/>
      <c r="H84" s="63"/>
      <c r="I84" s="63"/>
      <c r="J84" s="63"/>
      <c r="K84" s="63"/>
      <c r="L84" s="63"/>
      <c r="M84" s="63"/>
      <c r="N84" s="63"/>
      <c r="O84" s="63"/>
      <c r="P84" s="63"/>
      <c r="Q84" s="63"/>
      <c r="R84" s="63"/>
      <c r="S84" s="63"/>
      <c r="T84" s="63"/>
      <c r="U84" s="63"/>
    </row>
    <row r="85" spans="2:22" ht="15.75" hidden="1">
      <c r="B85" s="63"/>
      <c r="C85" s="63"/>
      <c r="D85" s="128"/>
      <c r="E85" s="354" t="s">
        <v>69</v>
      </c>
      <c r="F85" s="354"/>
      <c r="G85" s="354"/>
      <c r="H85" s="354"/>
      <c r="I85" s="354"/>
      <c r="J85" s="354"/>
      <c r="K85" s="354"/>
      <c r="L85" s="354"/>
      <c r="M85" s="354"/>
      <c r="N85" s="354"/>
      <c r="O85" s="354"/>
      <c r="P85" s="354"/>
      <c r="Q85" s="354"/>
      <c r="R85" s="354"/>
      <c r="S85" s="354"/>
      <c r="T85" s="354"/>
      <c r="U85" s="354"/>
    </row>
    <row r="86" spans="2:22" s="238" customFormat="1" ht="15.75" hidden="1">
      <c r="B86" s="63"/>
      <c r="C86" s="63"/>
      <c r="D86" s="128"/>
      <c r="E86" s="354" t="s">
        <v>77</v>
      </c>
      <c r="F86" s="354"/>
      <c r="G86" s="354"/>
      <c r="H86" s="354"/>
      <c r="I86" s="354"/>
      <c r="J86" s="354"/>
      <c r="K86" s="354"/>
      <c r="L86" s="354"/>
      <c r="M86" s="354"/>
      <c r="N86" s="354"/>
      <c r="O86" s="354"/>
      <c r="P86" s="354"/>
      <c r="Q86" s="354"/>
      <c r="R86" s="354"/>
      <c r="S86" s="354"/>
      <c r="T86" s="354"/>
      <c r="U86" s="354"/>
    </row>
    <row r="87" spans="2:22" s="238" customFormat="1" ht="15.75" hidden="1">
      <c r="B87" s="63"/>
      <c r="C87" s="63"/>
      <c r="D87" s="128"/>
      <c r="E87" s="63"/>
      <c r="F87" s="63"/>
      <c r="G87" s="63"/>
      <c r="H87" s="63"/>
      <c r="I87" s="63"/>
      <c r="J87" s="63"/>
      <c r="K87" s="63"/>
      <c r="L87" s="63"/>
      <c r="M87" s="63"/>
      <c r="N87" s="63"/>
      <c r="O87" s="63"/>
      <c r="P87" s="63"/>
      <c r="Q87" s="63"/>
      <c r="R87" s="63"/>
      <c r="S87" s="63"/>
      <c r="T87" s="63"/>
      <c r="U87" s="63"/>
    </row>
    <row r="88" spans="2:22" s="238" customFormat="1" ht="16.5" hidden="1" thickBot="1">
      <c r="B88" s="239"/>
      <c r="C88" s="239"/>
      <c r="D88" s="240"/>
      <c r="E88" s="355" t="s">
        <v>9</v>
      </c>
      <c r="F88" s="356"/>
      <c r="G88" s="356"/>
      <c r="H88" s="356"/>
      <c r="I88" s="356"/>
      <c r="J88" s="356"/>
      <c r="K88" s="356"/>
      <c r="L88" s="356"/>
      <c r="M88" s="356"/>
      <c r="N88" s="356"/>
      <c r="O88" s="356"/>
      <c r="P88" s="356"/>
      <c r="Q88" s="356"/>
      <c r="R88" s="356"/>
      <c r="S88" s="356"/>
      <c r="T88" s="356"/>
      <c r="U88" s="357"/>
    </row>
    <row r="89" spans="2:22" s="238" customFormat="1" ht="13.5" hidden="1" thickBot="1">
      <c r="B89" s="241" t="s">
        <v>10</v>
      </c>
      <c r="C89" s="242" t="s">
        <v>11</v>
      </c>
      <c r="D89" s="243">
        <v>5</v>
      </c>
      <c r="E89" s="244" t="s">
        <v>12</v>
      </c>
      <c r="F89" s="245">
        <v>10</v>
      </c>
      <c r="G89" s="245" t="s">
        <v>13</v>
      </c>
      <c r="H89" s="245">
        <v>20</v>
      </c>
      <c r="I89" s="245">
        <v>30</v>
      </c>
      <c r="J89" s="245" t="s">
        <v>14</v>
      </c>
      <c r="K89" s="245">
        <v>40</v>
      </c>
      <c r="L89" s="245" t="s">
        <v>15</v>
      </c>
      <c r="M89" s="245">
        <v>60</v>
      </c>
      <c r="N89" s="245" t="s">
        <v>16</v>
      </c>
      <c r="O89" s="245">
        <v>80</v>
      </c>
      <c r="P89" s="245" t="s">
        <v>17</v>
      </c>
      <c r="Q89" s="245">
        <v>100</v>
      </c>
      <c r="R89" s="245">
        <v>120</v>
      </c>
      <c r="S89" s="245">
        <v>140</v>
      </c>
      <c r="T89" s="245">
        <v>160</v>
      </c>
      <c r="U89" s="246" t="s">
        <v>18</v>
      </c>
      <c r="V89" s="247" t="s">
        <v>38</v>
      </c>
    </row>
    <row r="90" spans="2:22" s="238" customFormat="1" hidden="1">
      <c r="B90" s="248">
        <v>0.5</v>
      </c>
      <c r="C90" s="249">
        <v>21.34</v>
      </c>
      <c r="D90" s="250">
        <v>1.65</v>
      </c>
      <c r="E90" s="251">
        <v>1.65</v>
      </c>
      <c r="F90" s="252">
        <v>2.11</v>
      </c>
      <c r="G90" s="252">
        <v>2.11</v>
      </c>
      <c r="H90" s="252"/>
      <c r="I90" s="253">
        <v>2.41</v>
      </c>
      <c r="J90" s="252">
        <v>2.77</v>
      </c>
      <c r="K90" s="252">
        <v>2.77</v>
      </c>
      <c r="L90" s="252">
        <v>2.77</v>
      </c>
      <c r="M90" s="252"/>
      <c r="N90" s="252">
        <v>3.73</v>
      </c>
      <c r="O90" s="252">
        <v>3.73</v>
      </c>
      <c r="P90" s="252">
        <v>3.73</v>
      </c>
      <c r="Q90" s="252"/>
      <c r="R90" s="252"/>
      <c r="S90" s="252"/>
      <c r="T90" s="252">
        <v>4.78</v>
      </c>
      <c r="U90" s="254">
        <v>7.47</v>
      </c>
      <c r="V90" s="255"/>
    </row>
    <row r="91" spans="2:22" s="238" customFormat="1" hidden="1">
      <c r="B91" s="256">
        <v>0.75</v>
      </c>
      <c r="C91" s="257">
        <v>26.67</v>
      </c>
      <c r="D91" s="258">
        <v>1.65</v>
      </c>
      <c r="E91" s="259">
        <v>1.65</v>
      </c>
      <c r="F91" s="260">
        <v>2.11</v>
      </c>
      <c r="G91" s="260">
        <v>2.11</v>
      </c>
      <c r="H91" s="260"/>
      <c r="I91" s="261">
        <v>2.41</v>
      </c>
      <c r="J91" s="260">
        <v>2.87</v>
      </c>
      <c r="K91" s="260">
        <v>2.87</v>
      </c>
      <c r="L91" s="260">
        <v>2.87</v>
      </c>
      <c r="M91" s="260"/>
      <c r="N91" s="260">
        <v>3.91</v>
      </c>
      <c r="O91" s="260">
        <v>3.91</v>
      </c>
      <c r="P91" s="260">
        <v>3.91</v>
      </c>
      <c r="Q91" s="260"/>
      <c r="R91" s="260"/>
      <c r="S91" s="260"/>
      <c r="T91" s="260">
        <v>5.56</v>
      </c>
      <c r="U91" s="262">
        <v>7.82</v>
      </c>
      <c r="V91" s="255"/>
    </row>
    <row r="92" spans="2:22" s="238" customFormat="1" hidden="1">
      <c r="B92" s="256">
        <v>1</v>
      </c>
      <c r="C92" s="257">
        <v>33.4</v>
      </c>
      <c r="D92" s="258">
        <v>1.65</v>
      </c>
      <c r="E92" s="259">
        <v>1.65</v>
      </c>
      <c r="F92" s="260">
        <v>2.77</v>
      </c>
      <c r="G92" s="260">
        <v>2.77</v>
      </c>
      <c r="H92" s="260"/>
      <c r="I92" s="263">
        <v>2.9</v>
      </c>
      <c r="J92" s="260">
        <v>3.38</v>
      </c>
      <c r="K92" s="260">
        <v>3.38</v>
      </c>
      <c r="L92" s="260">
        <v>3.38</v>
      </c>
      <c r="M92" s="260"/>
      <c r="N92" s="260">
        <v>4.55</v>
      </c>
      <c r="O92" s="260">
        <v>4.55</v>
      </c>
      <c r="P92" s="260">
        <v>4.55</v>
      </c>
      <c r="Q92" s="260"/>
      <c r="R92" s="260"/>
      <c r="S92" s="260"/>
      <c r="T92" s="260">
        <v>6.35</v>
      </c>
      <c r="U92" s="262">
        <v>9.09</v>
      </c>
      <c r="V92" s="255"/>
    </row>
    <row r="93" spans="2:22" s="238" customFormat="1" hidden="1">
      <c r="B93" s="256">
        <v>1.25</v>
      </c>
      <c r="C93" s="257">
        <v>42.16</v>
      </c>
      <c r="D93" s="258">
        <v>1.65</v>
      </c>
      <c r="E93" s="259">
        <v>1.65</v>
      </c>
      <c r="F93" s="260">
        <v>2.77</v>
      </c>
      <c r="G93" s="260">
        <v>2.77</v>
      </c>
      <c r="H93" s="260"/>
      <c r="I93" s="261">
        <v>2.97</v>
      </c>
      <c r="J93" s="260">
        <v>3.56</v>
      </c>
      <c r="K93" s="260">
        <v>3.56</v>
      </c>
      <c r="L93" s="260">
        <v>3.56</v>
      </c>
      <c r="M93" s="260"/>
      <c r="N93" s="260">
        <v>4.8499999999999996</v>
      </c>
      <c r="O93" s="260">
        <v>4.8499999999999996</v>
      </c>
      <c r="P93" s="260">
        <v>4.8499999999999996</v>
      </c>
      <c r="Q93" s="260"/>
      <c r="R93" s="260"/>
      <c r="S93" s="260"/>
      <c r="T93" s="260">
        <v>6.35</v>
      </c>
      <c r="U93" s="264">
        <v>9.6999999999999993</v>
      </c>
      <c r="V93" s="255"/>
    </row>
    <row r="94" spans="2:22" s="238" customFormat="1" hidden="1">
      <c r="B94" s="256">
        <v>1.5</v>
      </c>
      <c r="C94" s="257">
        <v>48.26</v>
      </c>
      <c r="D94" s="258">
        <v>1.65</v>
      </c>
      <c r="E94" s="259">
        <v>1.65</v>
      </c>
      <c r="F94" s="260">
        <v>2.77</v>
      </c>
      <c r="G94" s="260">
        <v>2.77</v>
      </c>
      <c r="H94" s="260"/>
      <c r="I94" s="261">
        <v>3.18</v>
      </c>
      <c r="J94" s="260">
        <v>3.68</v>
      </c>
      <c r="K94" s="260">
        <v>3.68</v>
      </c>
      <c r="L94" s="260">
        <v>3.68</v>
      </c>
      <c r="M94" s="260"/>
      <c r="N94" s="260">
        <v>5.08</v>
      </c>
      <c r="O94" s="260">
        <v>5.08</v>
      </c>
      <c r="P94" s="260">
        <v>5.08</v>
      </c>
      <c r="Q94" s="260"/>
      <c r="R94" s="260"/>
      <c r="S94" s="260"/>
      <c r="T94" s="260">
        <v>7.14</v>
      </c>
      <c r="U94" s="262">
        <v>10.15</v>
      </c>
      <c r="V94" s="255"/>
    </row>
    <row r="95" spans="2:22" s="238" customFormat="1" hidden="1">
      <c r="B95" s="256">
        <v>2</v>
      </c>
      <c r="C95" s="257">
        <v>60.32</v>
      </c>
      <c r="D95" s="258">
        <v>1.65</v>
      </c>
      <c r="E95" s="259">
        <v>1.65</v>
      </c>
      <c r="F95" s="260">
        <v>2.77</v>
      </c>
      <c r="G95" s="260">
        <v>2.77</v>
      </c>
      <c r="H95" s="260"/>
      <c r="I95" s="261">
        <v>3.18</v>
      </c>
      <c r="J95" s="260">
        <v>3.91</v>
      </c>
      <c r="K95" s="260">
        <v>3.91</v>
      </c>
      <c r="L95" s="260">
        <v>3.91</v>
      </c>
      <c r="M95" s="260"/>
      <c r="N95" s="260">
        <v>5.54</v>
      </c>
      <c r="O95" s="260">
        <v>5.54</v>
      </c>
      <c r="P95" s="260">
        <v>5.54</v>
      </c>
      <c r="Q95" s="260"/>
      <c r="R95" s="260"/>
      <c r="S95" s="260"/>
      <c r="T95" s="260">
        <v>8.74</v>
      </c>
      <c r="U95" s="262">
        <v>11.07</v>
      </c>
      <c r="V95" s="255"/>
    </row>
    <row r="96" spans="2:22" s="238" customFormat="1" hidden="1">
      <c r="B96" s="256">
        <v>2.5</v>
      </c>
      <c r="C96" s="257">
        <v>73.02</v>
      </c>
      <c r="D96" s="258">
        <v>2.11</v>
      </c>
      <c r="E96" s="259">
        <v>2.11</v>
      </c>
      <c r="F96" s="260">
        <v>3.05</v>
      </c>
      <c r="G96" s="260">
        <v>3.05</v>
      </c>
      <c r="H96" s="260"/>
      <c r="I96" s="261">
        <v>4.78</v>
      </c>
      <c r="J96" s="260">
        <v>5.16</v>
      </c>
      <c r="K96" s="260">
        <v>5.16</v>
      </c>
      <c r="L96" s="260">
        <v>5.16</v>
      </c>
      <c r="M96" s="260"/>
      <c r="N96" s="260">
        <v>7.01</v>
      </c>
      <c r="O96" s="260">
        <v>7.01</v>
      </c>
      <c r="P96" s="260">
        <v>7.01</v>
      </c>
      <c r="Q96" s="260"/>
      <c r="R96" s="260"/>
      <c r="S96" s="260"/>
      <c r="T96" s="260">
        <v>9.5299999999999994</v>
      </c>
      <c r="U96" s="262">
        <v>14.02</v>
      </c>
      <c r="V96" s="255"/>
    </row>
    <row r="97" spans="2:22" s="238" customFormat="1" hidden="1">
      <c r="B97" s="265">
        <v>3</v>
      </c>
      <c r="C97" s="257">
        <v>88.9</v>
      </c>
      <c r="D97" s="258">
        <v>2.11</v>
      </c>
      <c r="E97" s="259">
        <v>2.11</v>
      </c>
      <c r="F97" s="260">
        <v>3.05</v>
      </c>
      <c r="G97" s="260">
        <v>3.05</v>
      </c>
      <c r="H97" s="260"/>
      <c r="I97" s="261">
        <v>4.78</v>
      </c>
      <c r="J97" s="260">
        <v>5.49</v>
      </c>
      <c r="K97" s="260">
        <v>5.49</v>
      </c>
      <c r="L97" s="260">
        <v>5.49</v>
      </c>
      <c r="M97" s="260"/>
      <c r="N97" s="260">
        <v>7.62</v>
      </c>
      <c r="O97" s="260">
        <v>7.62</v>
      </c>
      <c r="P97" s="260">
        <v>7.62</v>
      </c>
      <c r="Q97" s="260"/>
      <c r="R97" s="260"/>
      <c r="S97" s="260"/>
      <c r="T97" s="260">
        <v>11.13</v>
      </c>
      <c r="U97" s="262">
        <v>15.24</v>
      </c>
      <c r="V97" s="255"/>
    </row>
    <row r="98" spans="2:22" s="238" customFormat="1" hidden="1">
      <c r="B98" s="265">
        <v>3.5</v>
      </c>
      <c r="C98" s="257">
        <v>101.6</v>
      </c>
      <c r="D98" s="258">
        <v>2.11</v>
      </c>
      <c r="E98" s="259">
        <v>2.11</v>
      </c>
      <c r="F98" s="260">
        <v>3.05</v>
      </c>
      <c r="G98" s="260">
        <v>3.05</v>
      </c>
      <c r="H98" s="260"/>
      <c r="I98" s="261">
        <v>4.78</v>
      </c>
      <c r="J98" s="260">
        <v>5.74</v>
      </c>
      <c r="K98" s="260">
        <v>5.74</v>
      </c>
      <c r="L98" s="260">
        <v>5.74</v>
      </c>
      <c r="M98" s="260"/>
      <c r="N98" s="260">
        <v>8.08</v>
      </c>
      <c r="O98" s="260">
        <v>8.08</v>
      </c>
      <c r="P98" s="260">
        <v>8.08</v>
      </c>
      <c r="Q98" s="260"/>
      <c r="R98" s="260"/>
      <c r="S98" s="260"/>
      <c r="T98" s="260"/>
      <c r="U98" s="262" t="s">
        <v>8</v>
      </c>
      <c r="V98" s="255"/>
    </row>
    <row r="99" spans="2:22" s="238" customFormat="1" hidden="1">
      <c r="B99" s="265">
        <v>4</v>
      </c>
      <c r="C99" s="257">
        <v>114.3</v>
      </c>
      <c r="D99" s="258">
        <v>2.11</v>
      </c>
      <c r="E99" s="259">
        <v>2.11</v>
      </c>
      <c r="F99" s="260">
        <v>3.05</v>
      </c>
      <c r="G99" s="260">
        <v>3.05</v>
      </c>
      <c r="H99" s="260"/>
      <c r="I99" s="261">
        <v>4.78</v>
      </c>
      <c r="J99" s="260">
        <v>6.02</v>
      </c>
      <c r="K99" s="260">
        <v>6.02</v>
      </c>
      <c r="L99" s="260">
        <v>6.02</v>
      </c>
      <c r="M99" s="260"/>
      <c r="N99" s="260">
        <v>8.56</v>
      </c>
      <c r="O99" s="260">
        <v>8.56</v>
      </c>
      <c r="P99" s="260">
        <v>8.56</v>
      </c>
      <c r="Q99" s="260"/>
      <c r="R99" s="260">
        <v>11.13</v>
      </c>
      <c r="S99" s="260"/>
      <c r="T99" s="260">
        <v>13.49</v>
      </c>
      <c r="U99" s="262">
        <v>17.12</v>
      </c>
      <c r="V99" s="255"/>
    </row>
    <row r="100" spans="2:22" s="238" customFormat="1" hidden="1">
      <c r="B100" s="265">
        <v>5</v>
      </c>
      <c r="C100" s="257">
        <v>141.30000000000001</v>
      </c>
      <c r="D100" s="258">
        <v>2.77</v>
      </c>
      <c r="E100" s="259">
        <v>2.77</v>
      </c>
      <c r="F100" s="266">
        <v>3.4</v>
      </c>
      <c r="G100" s="266">
        <v>3.4</v>
      </c>
      <c r="H100" s="260"/>
      <c r="I100" s="260"/>
      <c r="J100" s="260">
        <v>6.55</v>
      </c>
      <c r="K100" s="260">
        <v>6.55</v>
      </c>
      <c r="L100" s="260">
        <v>6.55</v>
      </c>
      <c r="M100" s="260"/>
      <c r="N100" s="260">
        <v>9.5299999999999994</v>
      </c>
      <c r="O100" s="260">
        <v>9.5299999999999994</v>
      </c>
      <c r="P100" s="260">
        <v>9.5299999999999994</v>
      </c>
      <c r="Q100" s="260"/>
      <c r="R100" s="266">
        <v>12.7</v>
      </c>
      <c r="S100" s="260"/>
      <c r="T100" s="260">
        <v>15.88</v>
      </c>
      <c r="U100" s="262">
        <v>19.05</v>
      </c>
      <c r="V100" s="255"/>
    </row>
    <row r="101" spans="2:22" s="238" customFormat="1" hidden="1">
      <c r="B101" s="265">
        <v>6</v>
      </c>
      <c r="C101" s="257">
        <v>168.27</v>
      </c>
      <c r="D101" s="258">
        <v>2.77</v>
      </c>
      <c r="E101" s="259">
        <v>2.77</v>
      </c>
      <c r="F101" s="266">
        <v>3.4</v>
      </c>
      <c r="G101" s="266">
        <v>3.4</v>
      </c>
      <c r="H101" s="260"/>
      <c r="I101" s="260"/>
      <c r="J101" s="260">
        <v>7.11</v>
      </c>
      <c r="K101" s="260">
        <v>7.11</v>
      </c>
      <c r="L101" s="260">
        <v>7.11</v>
      </c>
      <c r="M101" s="260"/>
      <c r="N101" s="260">
        <v>10.97</v>
      </c>
      <c r="O101" s="260">
        <v>10.97</v>
      </c>
      <c r="P101" s="260">
        <v>10.97</v>
      </c>
      <c r="Q101" s="260"/>
      <c r="R101" s="260">
        <v>14.27</v>
      </c>
      <c r="S101" s="260"/>
      <c r="T101" s="260">
        <v>18.260000000000002</v>
      </c>
      <c r="U101" s="262">
        <v>21.95</v>
      </c>
      <c r="V101" s="255"/>
    </row>
    <row r="102" spans="2:22" s="238" customFormat="1" hidden="1">
      <c r="B102" s="265">
        <v>8</v>
      </c>
      <c r="C102" s="257">
        <v>219.07</v>
      </c>
      <c r="D102" s="258">
        <v>2.77</v>
      </c>
      <c r="E102" s="259">
        <v>2.77</v>
      </c>
      <c r="F102" s="260">
        <v>3.76</v>
      </c>
      <c r="G102" s="260">
        <v>3.76</v>
      </c>
      <c r="H102" s="260">
        <v>6.35</v>
      </c>
      <c r="I102" s="260">
        <v>7.04</v>
      </c>
      <c r="J102" s="260">
        <v>8.18</v>
      </c>
      <c r="K102" s="260">
        <v>8.18</v>
      </c>
      <c r="L102" s="260">
        <v>8.18</v>
      </c>
      <c r="M102" s="260">
        <v>10.31</v>
      </c>
      <c r="N102" s="266">
        <v>12.7</v>
      </c>
      <c r="O102" s="266">
        <v>12.7</v>
      </c>
      <c r="P102" s="266">
        <v>12.7</v>
      </c>
      <c r="Q102" s="260">
        <v>15.09</v>
      </c>
      <c r="R102" s="260">
        <v>18.260000000000002</v>
      </c>
      <c r="S102" s="260">
        <v>20.62</v>
      </c>
      <c r="T102" s="260">
        <v>23.01</v>
      </c>
      <c r="U102" s="262">
        <v>22.23</v>
      </c>
      <c r="V102" s="255"/>
    </row>
    <row r="103" spans="2:22" s="238" customFormat="1" hidden="1">
      <c r="B103" s="265">
        <v>10</v>
      </c>
      <c r="C103" s="257">
        <v>273.05</v>
      </c>
      <c r="D103" s="267">
        <v>3.4</v>
      </c>
      <c r="E103" s="268">
        <v>3.4</v>
      </c>
      <c r="F103" s="260">
        <v>4.1900000000000004</v>
      </c>
      <c r="G103" s="260">
        <v>4.1900000000000004</v>
      </c>
      <c r="H103" s="260">
        <v>6.35</v>
      </c>
      <c r="I103" s="266">
        <v>7.8</v>
      </c>
      <c r="J103" s="260">
        <v>9.27</v>
      </c>
      <c r="K103" s="260">
        <v>9.27</v>
      </c>
      <c r="L103" s="260">
        <v>9.27</v>
      </c>
      <c r="M103" s="266">
        <v>12.7</v>
      </c>
      <c r="N103" s="266">
        <v>12.7</v>
      </c>
      <c r="O103" s="260">
        <v>15.09</v>
      </c>
      <c r="P103" s="266">
        <v>12.7</v>
      </c>
      <c r="Q103" s="260">
        <v>18.260000000000002</v>
      </c>
      <c r="R103" s="260">
        <v>21.44</v>
      </c>
      <c r="S103" s="266">
        <v>25.4</v>
      </c>
      <c r="T103" s="260">
        <v>28.58</v>
      </c>
      <c r="U103" s="264">
        <v>25.4</v>
      </c>
      <c r="V103" s="255"/>
    </row>
    <row r="104" spans="2:22" s="238" customFormat="1" hidden="1">
      <c r="B104" s="265">
        <v>12</v>
      </c>
      <c r="C104" s="257">
        <v>323.85000000000002</v>
      </c>
      <c r="D104" s="258">
        <v>3.96</v>
      </c>
      <c r="E104" s="259">
        <v>3.96</v>
      </c>
      <c r="F104" s="260">
        <v>4.57</v>
      </c>
      <c r="G104" s="260">
        <v>4.57</v>
      </c>
      <c r="H104" s="260">
        <v>6.35</v>
      </c>
      <c r="I104" s="260">
        <v>8.3800000000000008</v>
      </c>
      <c r="J104" s="260">
        <v>9.5299999999999994</v>
      </c>
      <c r="K104" s="260">
        <v>10.31</v>
      </c>
      <c r="L104" s="260">
        <v>9.5299999999999994</v>
      </c>
      <c r="M104" s="260">
        <v>14.27</v>
      </c>
      <c r="N104" s="266">
        <v>12.7</v>
      </c>
      <c r="O104" s="260">
        <v>17.48</v>
      </c>
      <c r="P104" s="266">
        <v>12.7</v>
      </c>
      <c r="Q104" s="260">
        <v>21.44</v>
      </c>
      <c r="R104" s="266">
        <v>25.4</v>
      </c>
      <c r="S104" s="260">
        <v>28.58</v>
      </c>
      <c r="T104" s="260">
        <v>33.32</v>
      </c>
      <c r="U104" s="264">
        <v>25.4</v>
      </c>
      <c r="V104" s="255"/>
    </row>
    <row r="105" spans="2:22" s="238" customFormat="1" hidden="1">
      <c r="B105" s="265">
        <v>14</v>
      </c>
      <c r="C105" s="257">
        <v>355.6</v>
      </c>
      <c r="D105" s="258">
        <v>3.96</v>
      </c>
      <c r="E105" s="259">
        <v>3.96</v>
      </c>
      <c r="F105" s="260">
        <v>6.35</v>
      </c>
      <c r="G105" s="260">
        <v>4.78</v>
      </c>
      <c r="H105" s="260">
        <v>7.92</v>
      </c>
      <c r="I105" s="260">
        <v>9.5299999999999994</v>
      </c>
      <c r="J105" s="260">
        <v>9.5299999999999994</v>
      </c>
      <c r="K105" s="260">
        <v>11.13</v>
      </c>
      <c r="L105" s="260"/>
      <c r="M105" s="260">
        <v>15.09</v>
      </c>
      <c r="N105" s="266">
        <v>12.7</v>
      </c>
      <c r="O105" s="260">
        <v>19.05</v>
      </c>
      <c r="P105" s="260"/>
      <c r="Q105" s="260">
        <v>23.83</v>
      </c>
      <c r="R105" s="260">
        <v>27.79</v>
      </c>
      <c r="S105" s="260">
        <v>31.75</v>
      </c>
      <c r="T105" s="260">
        <v>35.71</v>
      </c>
      <c r="U105" s="262"/>
      <c r="V105" s="255"/>
    </row>
    <row r="106" spans="2:22" s="238" customFormat="1" hidden="1">
      <c r="B106" s="265">
        <v>16</v>
      </c>
      <c r="C106" s="257">
        <v>406.4</v>
      </c>
      <c r="D106" s="258">
        <v>4.1900000000000004</v>
      </c>
      <c r="E106" s="259">
        <v>4.1900000000000004</v>
      </c>
      <c r="F106" s="260">
        <v>6.35</v>
      </c>
      <c r="G106" s="260">
        <v>4.78</v>
      </c>
      <c r="H106" s="260">
        <v>7.92</v>
      </c>
      <c r="I106" s="260">
        <v>9.5299999999999994</v>
      </c>
      <c r="J106" s="260">
        <v>9.5299999999999994</v>
      </c>
      <c r="K106" s="266">
        <v>12.7</v>
      </c>
      <c r="L106" s="260"/>
      <c r="M106" s="260">
        <v>16.66</v>
      </c>
      <c r="N106" s="266">
        <v>12.7</v>
      </c>
      <c r="O106" s="260">
        <v>21.44</v>
      </c>
      <c r="P106" s="260"/>
      <c r="Q106" s="260">
        <v>26.19</v>
      </c>
      <c r="R106" s="260">
        <v>30.96</v>
      </c>
      <c r="S106" s="260">
        <v>36.53</v>
      </c>
      <c r="T106" s="260">
        <v>40.49</v>
      </c>
      <c r="U106" s="262"/>
      <c r="V106" s="255"/>
    </row>
    <row r="107" spans="2:22" s="238" customFormat="1" hidden="1">
      <c r="B107" s="265">
        <v>18</v>
      </c>
      <c r="C107" s="257">
        <v>457.2</v>
      </c>
      <c r="D107" s="258">
        <v>4.1900000000000004</v>
      </c>
      <c r="E107" s="259">
        <v>4.1900000000000004</v>
      </c>
      <c r="F107" s="260">
        <v>6.35</v>
      </c>
      <c r="G107" s="260">
        <v>4.78</v>
      </c>
      <c r="H107" s="260">
        <v>7.92</v>
      </c>
      <c r="I107" s="260">
        <v>11.13</v>
      </c>
      <c r="J107" s="260">
        <v>9.5299999999999994</v>
      </c>
      <c r="K107" s="260">
        <v>14.27</v>
      </c>
      <c r="L107" s="260"/>
      <c r="M107" s="260">
        <v>19.05</v>
      </c>
      <c r="N107" s="266">
        <v>12.7</v>
      </c>
      <c r="O107" s="260">
        <v>23.83</v>
      </c>
      <c r="P107" s="260"/>
      <c r="Q107" s="260">
        <v>29.36</v>
      </c>
      <c r="R107" s="260">
        <v>34.93</v>
      </c>
      <c r="S107" s="260">
        <v>39.67</v>
      </c>
      <c r="T107" s="260">
        <v>45.24</v>
      </c>
      <c r="U107" s="262"/>
      <c r="V107" s="255"/>
    </row>
    <row r="108" spans="2:22" s="238" customFormat="1" hidden="1">
      <c r="B108" s="265">
        <v>20</v>
      </c>
      <c r="C108" s="257">
        <v>508</v>
      </c>
      <c r="D108" s="258">
        <v>4.78</v>
      </c>
      <c r="E108" s="259">
        <v>4.78</v>
      </c>
      <c r="F108" s="260">
        <v>6.35</v>
      </c>
      <c r="G108" s="260">
        <v>5.54</v>
      </c>
      <c r="H108" s="260">
        <v>9.5299999999999994</v>
      </c>
      <c r="I108" s="266">
        <v>12.7</v>
      </c>
      <c r="J108" s="260">
        <v>9.5299999999999994</v>
      </c>
      <c r="K108" s="260">
        <v>15.09</v>
      </c>
      <c r="L108" s="260"/>
      <c r="M108" s="260">
        <v>20.62</v>
      </c>
      <c r="N108" s="266">
        <v>12.7</v>
      </c>
      <c r="O108" s="260">
        <v>26.19</v>
      </c>
      <c r="P108" s="260"/>
      <c r="Q108" s="260">
        <v>32.54</v>
      </c>
      <c r="R108" s="266">
        <v>38.1</v>
      </c>
      <c r="S108" s="260">
        <v>44.45</v>
      </c>
      <c r="T108" s="260">
        <v>50.01</v>
      </c>
      <c r="U108" s="262"/>
      <c r="V108" s="255"/>
    </row>
    <row r="109" spans="2:22" s="238" customFormat="1" hidden="1">
      <c r="B109" s="265">
        <v>22</v>
      </c>
      <c r="C109" s="257">
        <v>558.79999999999995</v>
      </c>
      <c r="D109" s="258">
        <v>4.78</v>
      </c>
      <c r="E109" s="259">
        <v>4.78</v>
      </c>
      <c r="F109" s="260">
        <v>6.35</v>
      </c>
      <c r="G109" s="260">
        <v>5.54</v>
      </c>
      <c r="H109" s="260">
        <v>9.5299999999999994</v>
      </c>
      <c r="I109" s="266">
        <v>12.7</v>
      </c>
      <c r="J109" s="260">
        <v>9.5299999999999994</v>
      </c>
      <c r="K109" s="261"/>
      <c r="L109" s="261"/>
      <c r="M109" s="260">
        <v>22.23</v>
      </c>
      <c r="N109" s="266">
        <v>12.7</v>
      </c>
      <c r="O109" s="260">
        <v>28.58</v>
      </c>
      <c r="P109" s="260"/>
      <c r="Q109" s="260">
        <v>34.93</v>
      </c>
      <c r="R109" s="260">
        <v>41.28</v>
      </c>
      <c r="S109" s="260">
        <v>47.63</v>
      </c>
      <c r="T109" s="260">
        <v>53.98</v>
      </c>
      <c r="U109" s="262"/>
      <c r="V109" s="255"/>
    </row>
    <row r="110" spans="2:22" s="238" customFormat="1" hidden="1">
      <c r="B110" s="265">
        <v>24</v>
      </c>
      <c r="C110" s="257">
        <v>609.6</v>
      </c>
      <c r="D110" s="258">
        <v>5.54</v>
      </c>
      <c r="E110" s="259">
        <v>5.54</v>
      </c>
      <c r="F110" s="260">
        <v>6.35</v>
      </c>
      <c r="G110" s="260">
        <v>6.35</v>
      </c>
      <c r="H110" s="260">
        <v>9.5299999999999994</v>
      </c>
      <c r="I110" s="260">
        <v>14.27</v>
      </c>
      <c r="J110" s="260">
        <v>9.5299999999999994</v>
      </c>
      <c r="K110" s="260">
        <v>17.48</v>
      </c>
      <c r="L110" s="260"/>
      <c r="M110" s="260">
        <v>24.61</v>
      </c>
      <c r="N110" s="266">
        <v>12.7</v>
      </c>
      <c r="O110" s="260">
        <v>30.96</v>
      </c>
      <c r="P110" s="260"/>
      <c r="Q110" s="260">
        <v>38.89</v>
      </c>
      <c r="R110" s="260">
        <v>46.02</v>
      </c>
      <c r="S110" s="260">
        <v>52.37</v>
      </c>
      <c r="T110" s="260">
        <v>59.54</v>
      </c>
      <c r="U110" s="262"/>
      <c r="V110" s="255"/>
    </row>
    <row r="111" spans="2:22" s="238" customFormat="1" hidden="1">
      <c r="B111" s="265">
        <v>26</v>
      </c>
      <c r="C111" s="257">
        <v>660.4</v>
      </c>
      <c r="D111" s="258"/>
      <c r="E111" s="259"/>
      <c r="F111" s="260">
        <v>7.92</v>
      </c>
      <c r="G111" s="260"/>
      <c r="H111" s="266">
        <v>12.7</v>
      </c>
      <c r="I111" s="260"/>
      <c r="J111" s="260">
        <v>9.5299999999999994</v>
      </c>
      <c r="K111" s="260"/>
      <c r="L111" s="260"/>
      <c r="M111" s="260"/>
      <c r="N111" s="266">
        <v>12.7</v>
      </c>
      <c r="O111" s="260"/>
      <c r="P111" s="260"/>
      <c r="Q111" s="260"/>
      <c r="R111" s="260"/>
      <c r="S111" s="260"/>
      <c r="T111" s="260"/>
      <c r="U111" s="262"/>
      <c r="V111" s="255"/>
    </row>
    <row r="112" spans="2:22" s="238" customFormat="1" hidden="1">
      <c r="B112" s="265">
        <v>28</v>
      </c>
      <c r="C112" s="257">
        <v>711.2</v>
      </c>
      <c r="D112" s="258"/>
      <c r="E112" s="259"/>
      <c r="F112" s="260">
        <v>7.92</v>
      </c>
      <c r="G112" s="260"/>
      <c r="H112" s="266">
        <v>12.7</v>
      </c>
      <c r="I112" s="260">
        <v>15.88</v>
      </c>
      <c r="J112" s="260">
        <v>9.5299999999999994</v>
      </c>
      <c r="K112" s="260"/>
      <c r="L112" s="260"/>
      <c r="M112" s="260"/>
      <c r="N112" s="266">
        <v>12.7</v>
      </c>
      <c r="O112" s="260"/>
      <c r="P112" s="260"/>
      <c r="Q112" s="260"/>
      <c r="R112" s="260"/>
      <c r="S112" s="260"/>
      <c r="T112" s="260"/>
      <c r="U112" s="262"/>
      <c r="V112" s="255"/>
    </row>
    <row r="113" spans="2:22" s="238" customFormat="1" hidden="1">
      <c r="B113" s="265">
        <v>30</v>
      </c>
      <c r="C113" s="257">
        <v>762</v>
      </c>
      <c r="D113" s="258">
        <v>6.35</v>
      </c>
      <c r="E113" s="259">
        <v>6.35</v>
      </c>
      <c r="F113" s="260">
        <v>7.92</v>
      </c>
      <c r="G113" s="260">
        <v>7.92</v>
      </c>
      <c r="H113" s="266">
        <v>12.7</v>
      </c>
      <c r="I113" s="260">
        <v>15.88</v>
      </c>
      <c r="J113" s="260">
        <v>9.5299999999999994</v>
      </c>
      <c r="K113" s="260"/>
      <c r="L113" s="260"/>
      <c r="M113" s="260"/>
      <c r="N113" s="266">
        <v>12.7</v>
      </c>
      <c r="O113" s="260"/>
      <c r="P113" s="260"/>
      <c r="Q113" s="260"/>
      <c r="R113" s="260"/>
      <c r="S113" s="260"/>
      <c r="T113" s="260"/>
      <c r="U113" s="262"/>
      <c r="V113" s="255"/>
    </row>
    <row r="114" spans="2:22" s="238" customFormat="1" hidden="1">
      <c r="B114" s="265">
        <v>32</v>
      </c>
      <c r="C114" s="257">
        <v>812.8</v>
      </c>
      <c r="D114" s="258"/>
      <c r="E114" s="259"/>
      <c r="F114" s="260">
        <v>7.92</v>
      </c>
      <c r="G114" s="260"/>
      <c r="H114" s="266">
        <v>12.7</v>
      </c>
      <c r="I114" s="260">
        <v>15.88</v>
      </c>
      <c r="J114" s="260">
        <v>9.5299999999999994</v>
      </c>
      <c r="K114" s="260">
        <v>17.48</v>
      </c>
      <c r="L114" s="260"/>
      <c r="M114" s="260"/>
      <c r="N114" s="266">
        <v>12.7</v>
      </c>
      <c r="O114" s="260"/>
      <c r="P114" s="260"/>
      <c r="Q114" s="260"/>
      <c r="R114" s="260"/>
      <c r="S114" s="260"/>
      <c r="T114" s="260"/>
      <c r="U114" s="262"/>
      <c r="V114" s="255"/>
    </row>
    <row r="115" spans="2:22" s="238" customFormat="1" hidden="1">
      <c r="B115" s="265">
        <v>34</v>
      </c>
      <c r="C115" s="257">
        <v>863.6</v>
      </c>
      <c r="D115" s="258"/>
      <c r="E115" s="259"/>
      <c r="F115" s="260">
        <v>7.92</v>
      </c>
      <c r="G115" s="260"/>
      <c r="H115" s="266">
        <v>12.7</v>
      </c>
      <c r="I115" s="260">
        <v>15.88</v>
      </c>
      <c r="J115" s="260">
        <v>9.5299999999999994</v>
      </c>
      <c r="K115" s="260">
        <v>17.48</v>
      </c>
      <c r="L115" s="260"/>
      <c r="M115" s="260"/>
      <c r="N115" s="266">
        <v>12.7</v>
      </c>
      <c r="O115" s="260"/>
      <c r="P115" s="260"/>
      <c r="Q115" s="260"/>
      <c r="R115" s="260"/>
      <c r="S115" s="260"/>
      <c r="T115" s="260"/>
      <c r="U115" s="262"/>
      <c r="V115" s="255"/>
    </row>
    <row r="116" spans="2:22" s="238" customFormat="1" hidden="1">
      <c r="B116" s="265">
        <v>36</v>
      </c>
      <c r="C116" s="257">
        <v>914.4</v>
      </c>
      <c r="D116" s="258"/>
      <c r="E116" s="259"/>
      <c r="F116" s="260">
        <v>7.92</v>
      </c>
      <c r="G116" s="260"/>
      <c r="H116" s="266">
        <v>12.7</v>
      </c>
      <c r="I116" s="260">
        <v>15.88</v>
      </c>
      <c r="J116" s="260">
        <v>9.5299999999999994</v>
      </c>
      <c r="K116" s="260">
        <v>19.05</v>
      </c>
      <c r="L116" s="260"/>
      <c r="M116" s="260"/>
      <c r="N116" s="266">
        <v>12.7</v>
      </c>
      <c r="O116" s="260"/>
      <c r="P116" s="260"/>
      <c r="Q116" s="260"/>
      <c r="R116" s="260"/>
      <c r="S116" s="260"/>
      <c r="T116" s="260"/>
      <c r="U116" s="262"/>
      <c r="V116" s="255"/>
    </row>
    <row r="117" spans="2:22" hidden="1">
      <c r="B117" s="269">
        <v>38</v>
      </c>
      <c r="C117" s="270">
        <v>965.2</v>
      </c>
      <c r="D117" s="271"/>
      <c r="E117" s="129"/>
      <c r="F117" s="130"/>
      <c r="G117" s="130"/>
      <c r="H117" s="130"/>
      <c r="I117" s="130"/>
      <c r="J117" s="260">
        <v>9.5299999999999994</v>
      </c>
      <c r="K117" s="130"/>
      <c r="L117" s="130"/>
      <c r="M117" s="130"/>
      <c r="N117" s="266">
        <v>12.7</v>
      </c>
      <c r="O117" s="130"/>
      <c r="P117" s="130"/>
      <c r="Q117" s="130"/>
      <c r="R117" s="130"/>
      <c r="S117" s="130"/>
      <c r="T117" s="130"/>
      <c r="U117" s="131"/>
    </row>
    <row r="118" spans="2:22" hidden="1">
      <c r="B118" s="265">
        <v>40</v>
      </c>
      <c r="C118" s="257">
        <v>1016</v>
      </c>
      <c r="D118" s="258"/>
      <c r="E118" s="129"/>
      <c r="F118" s="130"/>
      <c r="G118" s="130"/>
      <c r="H118" s="130"/>
      <c r="I118" s="130"/>
      <c r="J118" s="260">
        <v>9.5299999999999994</v>
      </c>
      <c r="K118" s="130"/>
      <c r="L118" s="130"/>
      <c r="M118" s="130"/>
      <c r="N118" s="266">
        <v>12.7</v>
      </c>
      <c r="O118" s="130"/>
      <c r="P118" s="130"/>
      <c r="Q118" s="130"/>
      <c r="R118" s="130"/>
      <c r="S118" s="130"/>
      <c r="T118" s="130"/>
      <c r="U118" s="131"/>
    </row>
    <row r="119" spans="2:22" hidden="1">
      <c r="B119" s="265">
        <v>42</v>
      </c>
      <c r="C119" s="257">
        <v>1066.8</v>
      </c>
      <c r="D119" s="258"/>
      <c r="E119" s="129"/>
      <c r="F119" s="130"/>
      <c r="G119" s="130"/>
      <c r="H119" s="130"/>
      <c r="I119" s="130"/>
      <c r="J119" s="260">
        <v>9.5299999999999994</v>
      </c>
      <c r="K119" s="130"/>
      <c r="L119" s="130"/>
      <c r="M119" s="130"/>
      <c r="N119" s="266">
        <v>12.7</v>
      </c>
      <c r="O119" s="130"/>
      <c r="P119" s="130"/>
      <c r="Q119" s="130"/>
      <c r="R119" s="130"/>
      <c r="S119" s="130"/>
      <c r="T119" s="130"/>
      <c r="U119" s="131"/>
    </row>
    <row r="120" spans="2:22" hidden="1">
      <c r="B120" s="265">
        <v>44</v>
      </c>
      <c r="C120" s="257">
        <v>1117.5999999999999</v>
      </c>
      <c r="D120" s="258"/>
      <c r="E120" s="129"/>
      <c r="F120" s="130"/>
      <c r="G120" s="130"/>
      <c r="H120" s="130"/>
      <c r="I120" s="130"/>
      <c r="J120" s="260">
        <v>9.5299999999999994</v>
      </c>
      <c r="K120" s="130"/>
      <c r="L120" s="130"/>
      <c r="M120" s="130"/>
      <c r="N120" s="266">
        <v>12.7</v>
      </c>
      <c r="O120" s="130"/>
      <c r="P120" s="130"/>
      <c r="Q120" s="130"/>
      <c r="R120" s="130"/>
      <c r="S120" s="130"/>
      <c r="T120" s="130"/>
      <c r="U120" s="131"/>
    </row>
    <row r="121" spans="2:22" hidden="1">
      <c r="B121" s="265">
        <v>46</v>
      </c>
      <c r="C121" s="257">
        <v>1168.4000000000001</v>
      </c>
      <c r="D121" s="258"/>
      <c r="E121" s="129"/>
      <c r="F121" s="130"/>
      <c r="G121" s="130"/>
      <c r="H121" s="130"/>
      <c r="I121" s="130"/>
      <c r="J121" s="260">
        <v>9.5299999999999994</v>
      </c>
      <c r="K121" s="130"/>
      <c r="L121" s="130"/>
      <c r="M121" s="130"/>
      <c r="N121" s="266">
        <v>12.7</v>
      </c>
      <c r="O121" s="130"/>
      <c r="P121" s="130"/>
      <c r="Q121" s="130"/>
      <c r="R121" s="130"/>
      <c r="S121" s="130"/>
      <c r="T121" s="130"/>
      <c r="U121" s="131"/>
    </row>
    <row r="122" spans="2:22" hidden="1">
      <c r="B122" s="265">
        <v>48</v>
      </c>
      <c r="C122" s="257">
        <v>1219.2</v>
      </c>
      <c r="D122" s="258"/>
      <c r="E122" s="129"/>
      <c r="F122" s="130"/>
      <c r="G122" s="130"/>
      <c r="H122" s="130"/>
      <c r="I122" s="130"/>
      <c r="J122" s="260">
        <v>9.5299999999999994</v>
      </c>
      <c r="K122" s="130"/>
      <c r="L122" s="130"/>
      <c r="M122" s="130"/>
      <c r="N122" s="266">
        <v>12.7</v>
      </c>
      <c r="O122" s="130"/>
      <c r="P122" s="130"/>
      <c r="Q122" s="130"/>
      <c r="R122" s="130"/>
      <c r="S122" s="130"/>
      <c r="T122" s="130"/>
      <c r="U122" s="131"/>
    </row>
    <row r="123" spans="2:22" hidden="1">
      <c r="B123" s="265">
        <v>52</v>
      </c>
      <c r="C123" s="257">
        <v>1320.8</v>
      </c>
      <c r="D123" s="258"/>
      <c r="E123" s="129"/>
      <c r="F123" s="130"/>
      <c r="G123" s="130"/>
      <c r="H123" s="130"/>
      <c r="I123" s="130"/>
      <c r="J123" s="130"/>
      <c r="K123" s="130"/>
      <c r="L123" s="130"/>
      <c r="M123" s="130"/>
      <c r="N123" s="130"/>
      <c r="O123" s="130"/>
      <c r="P123" s="130"/>
      <c r="Q123" s="130"/>
      <c r="R123" s="130"/>
      <c r="S123" s="130"/>
      <c r="T123" s="130"/>
      <c r="U123" s="131"/>
    </row>
    <row r="124" spans="2:22" hidden="1">
      <c r="B124" s="265">
        <v>56</v>
      </c>
      <c r="C124" s="257">
        <v>1422.4</v>
      </c>
      <c r="D124" s="258"/>
      <c r="E124" s="129"/>
      <c r="F124" s="130"/>
      <c r="G124" s="130"/>
      <c r="H124" s="130"/>
      <c r="I124" s="130"/>
      <c r="J124" s="130"/>
      <c r="K124" s="130"/>
      <c r="L124" s="130"/>
      <c r="M124" s="130"/>
      <c r="N124" s="130"/>
      <c r="O124" s="130"/>
      <c r="P124" s="130"/>
      <c r="Q124" s="130"/>
      <c r="R124" s="130"/>
      <c r="S124" s="130"/>
      <c r="T124" s="130"/>
      <c r="U124" s="131"/>
    </row>
    <row r="125" spans="2:22" hidden="1">
      <c r="B125" s="265">
        <v>60</v>
      </c>
      <c r="C125" s="257">
        <v>1524</v>
      </c>
      <c r="D125" s="258"/>
      <c r="E125" s="129"/>
      <c r="F125" s="130"/>
      <c r="G125" s="130"/>
      <c r="H125" s="130"/>
      <c r="I125" s="130"/>
      <c r="J125" s="130"/>
      <c r="K125" s="130"/>
      <c r="L125" s="130"/>
      <c r="M125" s="130"/>
      <c r="N125" s="130"/>
      <c r="O125" s="130"/>
      <c r="P125" s="130"/>
      <c r="Q125" s="130"/>
      <c r="R125" s="130"/>
      <c r="S125" s="130"/>
      <c r="T125" s="130"/>
      <c r="U125" s="131"/>
    </row>
    <row r="126" spans="2:22" hidden="1">
      <c r="B126" s="265">
        <v>64</v>
      </c>
      <c r="C126" s="257">
        <v>1625.6</v>
      </c>
      <c r="D126" s="258"/>
      <c r="E126" s="129"/>
      <c r="F126" s="130"/>
      <c r="G126" s="130"/>
      <c r="H126" s="130"/>
      <c r="I126" s="130"/>
      <c r="J126" s="130"/>
      <c r="K126" s="130"/>
      <c r="L126" s="130"/>
      <c r="M126" s="130"/>
      <c r="N126" s="130"/>
      <c r="O126" s="130"/>
      <c r="P126" s="130"/>
      <c r="Q126" s="130"/>
      <c r="R126" s="130"/>
      <c r="S126" s="130"/>
      <c r="T126" s="130"/>
      <c r="U126" s="131"/>
    </row>
    <row r="127" spans="2:22" hidden="1">
      <c r="B127" s="265">
        <v>66</v>
      </c>
      <c r="C127" s="257">
        <v>1676.4</v>
      </c>
      <c r="D127" s="258"/>
      <c r="E127" s="129"/>
      <c r="F127" s="130"/>
      <c r="G127" s="130"/>
      <c r="H127" s="130"/>
      <c r="I127" s="130"/>
      <c r="J127" s="130"/>
      <c r="K127" s="130"/>
      <c r="L127" s="130"/>
      <c r="M127" s="130"/>
      <c r="N127" s="130"/>
      <c r="O127" s="130"/>
      <c r="P127" s="130"/>
      <c r="Q127" s="130"/>
      <c r="R127" s="130"/>
      <c r="S127" s="130"/>
      <c r="T127" s="130"/>
      <c r="U127" s="131"/>
    </row>
    <row r="128" spans="2:22" hidden="1">
      <c r="B128" s="265">
        <v>68</v>
      </c>
      <c r="C128" s="257">
        <v>1727.2</v>
      </c>
      <c r="D128" s="258"/>
      <c r="E128" s="129"/>
      <c r="F128" s="130"/>
      <c r="G128" s="130"/>
      <c r="H128" s="130"/>
      <c r="I128" s="130"/>
      <c r="J128" s="130"/>
      <c r="K128" s="130"/>
      <c r="L128" s="130"/>
      <c r="M128" s="130"/>
      <c r="N128" s="130"/>
      <c r="O128" s="130"/>
      <c r="P128" s="130"/>
      <c r="Q128" s="130"/>
      <c r="R128" s="130"/>
      <c r="S128" s="130"/>
      <c r="T128" s="130"/>
      <c r="U128" s="131"/>
    </row>
    <row r="129" spans="2:21" hidden="1">
      <c r="B129" s="265">
        <v>72</v>
      </c>
      <c r="C129" s="257">
        <v>1828.8</v>
      </c>
      <c r="D129" s="258"/>
      <c r="E129" s="129"/>
      <c r="F129" s="130"/>
      <c r="G129" s="130"/>
      <c r="H129" s="130"/>
      <c r="I129" s="130"/>
      <c r="J129" s="130"/>
      <c r="K129" s="130"/>
      <c r="L129" s="130"/>
      <c r="M129" s="130"/>
      <c r="N129" s="130"/>
      <c r="O129" s="130"/>
      <c r="P129" s="130"/>
      <c r="Q129" s="130"/>
      <c r="R129" s="130"/>
      <c r="S129" s="130"/>
      <c r="T129" s="130"/>
      <c r="U129" s="131"/>
    </row>
    <row r="130" spans="2:21" hidden="1">
      <c r="B130" s="265">
        <v>76</v>
      </c>
      <c r="C130" s="257">
        <v>1930.4</v>
      </c>
      <c r="D130" s="258"/>
      <c r="E130" s="129"/>
      <c r="F130" s="130"/>
      <c r="G130" s="130"/>
      <c r="H130" s="130"/>
      <c r="I130" s="130"/>
      <c r="J130" s="130"/>
      <c r="K130" s="130"/>
      <c r="L130" s="130"/>
      <c r="M130" s="130"/>
      <c r="N130" s="130"/>
      <c r="O130" s="130"/>
      <c r="P130" s="130"/>
      <c r="Q130" s="130"/>
      <c r="R130" s="130"/>
      <c r="S130" s="130"/>
      <c r="T130" s="130"/>
      <c r="U130" s="131"/>
    </row>
    <row r="131" spans="2:21" ht="13.5" hidden="1" thickBot="1">
      <c r="B131" s="272">
        <v>80</v>
      </c>
      <c r="C131" s="273">
        <v>2032</v>
      </c>
      <c r="D131" s="274"/>
      <c r="E131" s="132"/>
      <c r="F131" s="133"/>
      <c r="G131" s="133"/>
      <c r="H131" s="133"/>
      <c r="I131" s="133"/>
      <c r="J131" s="133"/>
      <c r="K131" s="133"/>
      <c r="L131" s="133"/>
      <c r="M131" s="133"/>
      <c r="N131" s="133"/>
      <c r="O131" s="133"/>
      <c r="P131" s="133"/>
      <c r="Q131" s="133"/>
      <c r="R131" s="133"/>
      <c r="S131" s="133"/>
      <c r="T131" s="133"/>
      <c r="U131" s="134"/>
    </row>
    <row r="132" spans="2:21" hidden="1"/>
  </sheetData>
  <sheetProtection password="E250" sheet="1" objects="1" scenarios="1" formatCells="0" formatColumns="0" formatRows="0" insertColumns="0" insertRows="0"/>
  <mergeCells count="30">
    <mergeCell ref="B75:I75"/>
    <mergeCell ref="E85:U85"/>
    <mergeCell ref="E86:U86"/>
    <mergeCell ref="E88:U88"/>
    <mergeCell ref="A25:B25"/>
    <mergeCell ref="A28:B28"/>
    <mergeCell ref="A30:B30"/>
    <mergeCell ref="D64:E64"/>
    <mergeCell ref="B74:I74"/>
    <mergeCell ref="A20:B20"/>
    <mergeCell ref="A21:B21"/>
    <mergeCell ref="A22:B22"/>
    <mergeCell ref="A23:B23"/>
    <mergeCell ref="A24:B24"/>
    <mergeCell ref="A15:B15"/>
    <mergeCell ref="A16:B16"/>
    <mergeCell ref="A17:B17"/>
    <mergeCell ref="A18:B18"/>
    <mergeCell ref="A19:B19"/>
    <mergeCell ref="A5:I5"/>
    <mergeCell ref="E7:F7"/>
    <mergeCell ref="C8:D8"/>
    <mergeCell ref="A13:B13"/>
    <mergeCell ref="A14:B14"/>
    <mergeCell ref="B1:C1"/>
    <mergeCell ref="D1:F4"/>
    <mergeCell ref="I1:I4"/>
    <mergeCell ref="B2:C2"/>
    <mergeCell ref="B3:C3"/>
    <mergeCell ref="B4:C4"/>
  </mergeCells>
  <conditionalFormatting sqref="H69 H59 H61">
    <cfRule type="cellIs" dxfId="0" priority="1" stopIfTrue="1" operator="equal">
      <formula>"Failed"</formula>
    </cfRule>
  </conditionalFormatting>
  <dataValidations count="3">
    <dataValidation type="list" allowBlank="1" showInputMessage="1" showErrorMessage="1" prompt="IF PIPE WALL THICKNESS IS NON STANDARD , _x000a_SELECT '-' AND USER NEEDS TO FILL PARENT PIPE WALL THK DIRECTLY IN CELL D15" sqref="C15" xr:uid="{00000000-0002-0000-0100-000000000000}">
      <formula1>$D$89:$V$89</formula1>
    </dataValidation>
    <dataValidation type="list" allowBlank="1" showInputMessage="1" showErrorMessage="1" prompt="IF PIPE WALL THICKNESS IS NON STANDARD, _x000a_SELECT '-' AND USER NEEDS TO FILL PARENT PIPE WALL THK DIRECTLY IN CELL D19" sqref="C19" xr:uid="{00000000-0002-0000-0100-000001000000}">
      <formula1>$D$89:$V$89</formula1>
    </dataValidation>
    <dataValidation type="list" allowBlank="1" showInputMessage="1" showErrorMessage="1" sqref="C13 C17" xr:uid="{00000000-0002-0000-0100-000002000000}">
      <formula1>$B$90:$B$131</formula1>
    </dataValidation>
  </dataValidations>
  <printOptions horizontalCentered="1"/>
  <pageMargins left="0.74803149606299202" right="0.511811023622047" top="0.4" bottom="0.4" header="0.39370078740157499" footer="0.31496062992126"/>
  <pageSetup paperSize="9" scale="62" orientation="portrait" horizontalDpi="4294967292"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78"/>
  <sheetViews>
    <sheetView view="pageLayout" zoomScaleSheetLayoutView="100" workbookViewId="0">
      <selection activeCell="P86" sqref="P86"/>
    </sheetView>
  </sheetViews>
  <sheetFormatPr defaultRowHeight="15.75"/>
  <cols>
    <col min="1" max="1" width="9" style="5"/>
    <col min="2" max="2" width="7" style="5" customWidth="1"/>
    <col min="3" max="3" width="4.75" style="15" customWidth="1"/>
    <col min="4" max="4" width="5.875" style="5" customWidth="1"/>
    <col min="5" max="5" width="5.5" style="5" customWidth="1"/>
    <col min="6" max="6" width="5.875" style="5" customWidth="1"/>
    <col min="7" max="7" width="5.75" style="5" customWidth="1"/>
    <col min="8" max="8" width="5.375" style="5" customWidth="1"/>
    <col min="9" max="9" width="6.25" style="5" customWidth="1"/>
    <col min="10" max="10" width="5.375" style="5" customWidth="1"/>
    <col min="11" max="12" width="5.875" style="5" customWidth="1"/>
    <col min="13" max="13" width="6.125" style="5" customWidth="1"/>
    <col min="14" max="14" width="5.5" style="5" customWidth="1"/>
    <col min="15" max="16" width="6.25" style="5" customWidth="1"/>
    <col min="17" max="17" width="5.875" style="5" customWidth="1"/>
    <col min="18" max="18" width="5.75" style="5" customWidth="1"/>
    <col min="19" max="19" width="5.875" style="5" customWidth="1"/>
    <col min="20" max="20" width="6" style="5" customWidth="1"/>
    <col min="21" max="16384" width="9" style="5"/>
  </cols>
  <sheetData>
    <row r="1" spans="1:22" ht="15.75" customHeight="1">
      <c r="A1" s="7"/>
      <c r="B1" s="7"/>
      <c r="C1" s="14"/>
      <c r="D1" s="7"/>
      <c r="E1" s="7"/>
      <c r="F1" s="7"/>
      <c r="G1" s="7"/>
      <c r="H1" s="7"/>
      <c r="I1" s="7"/>
      <c r="J1" s="7"/>
      <c r="K1" s="7"/>
      <c r="L1" s="7"/>
      <c r="M1" s="7"/>
      <c r="N1" s="7"/>
      <c r="O1" s="7"/>
      <c r="P1" s="7"/>
      <c r="Q1" s="7"/>
      <c r="R1" s="7"/>
      <c r="S1" s="7"/>
      <c r="T1" s="7"/>
    </row>
    <row r="2" spans="1:22">
      <c r="D2" s="359" t="s">
        <v>69</v>
      </c>
      <c r="E2" s="359"/>
      <c r="F2" s="359"/>
      <c r="G2" s="359"/>
      <c r="H2" s="359"/>
      <c r="I2" s="359"/>
      <c r="J2" s="359"/>
      <c r="K2" s="359"/>
      <c r="L2" s="359"/>
      <c r="M2" s="359"/>
      <c r="N2" s="359"/>
      <c r="O2" s="359"/>
      <c r="P2" s="359"/>
      <c r="Q2" s="359"/>
      <c r="R2" s="359"/>
      <c r="S2" s="359"/>
      <c r="T2" s="359"/>
    </row>
    <row r="3" spans="1:22">
      <c r="D3" s="359" t="s">
        <v>77</v>
      </c>
      <c r="E3" s="359"/>
      <c r="F3" s="359"/>
      <c r="G3" s="359"/>
      <c r="H3" s="359"/>
      <c r="I3" s="359"/>
      <c r="J3" s="359"/>
      <c r="K3" s="359"/>
      <c r="L3" s="359"/>
      <c r="M3" s="359"/>
      <c r="N3" s="359"/>
      <c r="O3" s="359"/>
      <c r="P3" s="359"/>
      <c r="Q3" s="359"/>
      <c r="R3" s="359"/>
      <c r="S3" s="359"/>
      <c r="T3" s="359"/>
    </row>
    <row r="4" spans="1:22" ht="16.5" thickBot="1"/>
    <row r="5" spans="1:22" s="18" customFormat="1" thickBot="1">
      <c r="A5" s="16"/>
      <c r="B5" s="16"/>
      <c r="C5" s="17"/>
      <c r="D5" s="360" t="s">
        <v>9</v>
      </c>
      <c r="E5" s="361"/>
      <c r="F5" s="361"/>
      <c r="G5" s="361"/>
      <c r="H5" s="361"/>
      <c r="I5" s="361"/>
      <c r="J5" s="361"/>
      <c r="K5" s="361"/>
      <c r="L5" s="361"/>
      <c r="M5" s="361"/>
      <c r="N5" s="361"/>
      <c r="O5" s="361"/>
      <c r="P5" s="361"/>
      <c r="Q5" s="361"/>
      <c r="R5" s="361"/>
      <c r="S5" s="361"/>
      <c r="T5" s="362"/>
    </row>
    <row r="6" spans="1:22" s="18" customFormat="1" ht="13.5" thickBot="1">
      <c r="A6" s="22" t="s">
        <v>10</v>
      </c>
      <c r="B6" s="23" t="s">
        <v>11</v>
      </c>
      <c r="C6" s="24">
        <v>5</v>
      </c>
      <c r="D6" s="25" t="s">
        <v>12</v>
      </c>
      <c r="E6" s="26">
        <v>10</v>
      </c>
      <c r="F6" s="26" t="s">
        <v>13</v>
      </c>
      <c r="G6" s="26">
        <v>20</v>
      </c>
      <c r="H6" s="26">
        <v>30</v>
      </c>
      <c r="I6" s="26" t="s">
        <v>14</v>
      </c>
      <c r="J6" s="26">
        <v>40</v>
      </c>
      <c r="K6" s="26" t="s">
        <v>15</v>
      </c>
      <c r="L6" s="26">
        <v>60</v>
      </c>
      <c r="M6" s="26" t="s">
        <v>16</v>
      </c>
      <c r="N6" s="26">
        <v>80</v>
      </c>
      <c r="O6" s="26" t="s">
        <v>17</v>
      </c>
      <c r="P6" s="26">
        <v>100</v>
      </c>
      <c r="Q6" s="26">
        <v>120</v>
      </c>
      <c r="R6" s="26">
        <v>140</v>
      </c>
      <c r="S6" s="26">
        <v>160</v>
      </c>
      <c r="T6" s="27" t="s">
        <v>18</v>
      </c>
      <c r="U6" s="19"/>
    </row>
    <row r="7" spans="1:22" s="18" customFormat="1" ht="13.5" thickTop="1">
      <c r="A7" s="28">
        <v>0.5</v>
      </c>
      <c r="B7" s="29">
        <v>21.34</v>
      </c>
      <c r="C7" s="30">
        <v>1.65</v>
      </c>
      <c r="D7" s="31">
        <v>1.65</v>
      </c>
      <c r="E7" s="32">
        <v>2.11</v>
      </c>
      <c r="F7" s="32">
        <v>2.11</v>
      </c>
      <c r="G7" s="32"/>
      <c r="H7" s="33">
        <v>2.41</v>
      </c>
      <c r="I7" s="32">
        <v>2.77</v>
      </c>
      <c r="J7" s="32">
        <v>2.77</v>
      </c>
      <c r="K7" s="32">
        <v>2.77</v>
      </c>
      <c r="L7" s="32"/>
      <c r="M7" s="32">
        <v>3.73</v>
      </c>
      <c r="N7" s="32">
        <v>3.73</v>
      </c>
      <c r="O7" s="32">
        <v>3.73</v>
      </c>
      <c r="P7" s="32"/>
      <c r="Q7" s="32"/>
      <c r="R7" s="32"/>
      <c r="S7" s="32">
        <v>4.78</v>
      </c>
      <c r="T7" s="34">
        <v>7.47</v>
      </c>
      <c r="V7" s="20"/>
    </row>
    <row r="8" spans="1:22" s="18" customFormat="1" ht="12.75">
      <c r="A8" s="35">
        <v>0.75</v>
      </c>
      <c r="B8" s="36">
        <v>26.67</v>
      </c>
      <c r="C8" s="37">
        <v>1.65</v>
      </c>
      <c r="D8" s="38">
        <v>1.65</v>
      </c>
      <c r="E8" s="39">
        <v>2.11</v>
      </c>
      <c r="F8" s="39">
        <v>2.11</v>
      </c>
      <c r="G8" s="39"/>
      <c r="H8" s="40">
        <v>2.41</v>
      </c>
      <c r="I8" s="39">
        <v>2.87</v>
      </c>
      <c r="J8" s="39">
        <v>2.87</v>
      </c>
      <c r="K8" s="39">
        <v>2.87</v>
      </c>
      <c r="L8" s="39"/>
      <c r="M8" s="39">
        <v>3.91</v>
      </c>
      <c r="N8" s="39">
        <v>3.91</v>
      </c>
      <c r="O8" s="39">
        <v>3.91</v>
      </c>
      <c r="P8" s="39"/>
      <c r="Q8" s="39"/>
      <c r="R8" s="39"/>
      <c r="S8" s="39">
        <v>5.56</v>
      </c>
      <c r="T8" s="41">
        <v>7.82</v>
      </c>
      <c r="V8" s="20"/>
    </row>
    <row r="9" spans="1:22" s="18" customFormat="1" ht="12.75">
      <c r="A9" s="35">
        <v>1</v>
      </c>
      <c r="B9" s="36">
        <v>33.4</v>
      </c>
      <c r="C9" s="37">
        <v>1.65</v>
      </c>
      <c r="D9" s="38">
        <v>1.65</v>
      </c>
      <c r="E9" s="39">
        <v>2.77</v>
      </c>
      <c r="F9" s="39">
        <v>2.77</v>
      </c>
      <c r="G9" s="39"/>
      <c r="H9" s="42">
        <v>2.9</v>
      </c>
      <c r="I9" s="39">
        <v>3.38</v>
      </c>
      <c r="J9" s="39">
        <v>3.38</v>
      </c>
      <c r="K9" s="39">
        <v>3.38</v>
      </c>
      <c r="L9" s="39"/>
      <c r="M9" s="39">
        <v>4.55</v>
      </c>
      <c r="N9" s="39">
        <v>4.55</v>
      </c>
      <c r="O9" s="39">
        <v>4.55</v>
      </c>
      <c r="P9" s="39"/>
      <c r="Q9" s="39"/>
      <c r="R9" s="39"/>
      <c r="S9" s="39">
        <v>6.35</v>
      </c>
      <c r="T9" s="41">
        <v>9.09</v>
      </c>
      <c r="V9" s="20"/>
    </row>
    <row r="10" spans="1:22" s="18" customFormat="1" ht="12.75">
      <c r="A10" s="35">
        <v>1.25</v>
      </c>
      <c r="B10" s="36">
        <v>42.16</v>
      </c>
      <c r="C10" s="37">
        <v>1.65</v>
      </c>
      <c r="D10" s="38">
        <v>1.65</v>
      </c>
      <c r="E10" s="39">
        <v>2.77</v>
      </c>
      <c r="F10" s="39">
        <v>2.77</v>
      </c>
      <c r="G10" s="39"/>
      <c r="H10" s="40">
        <v>2.97</v>
      </c>
      <c r="I10" s="39">
        <v>3.56</v>
      </c>
      <c r="J10" s="39">
        <v>3.56</v>
      </c>
      <c r="K10" s="39">
        <v>3.56</v>
      </c>
      <c r="L10" s="39"/>
      <c r="M10" s="39">
        <v>4.8499999999999996</v>
      </c>
      <c r="N10" s="39">
        <v>4.8499999999999996</v>
      </c>
      <c r="O10" s="39">
        <v>4.8499999999999996</v>
      </c>
      <c r="P10" s="39"/>
      <c r="Q10" s="39"/>
      <c r="R10" s="39"/>
      <c r="S10" s="39">
        <v>6.35</v>
      </c>
      <c r="T10" s="43">
        <v>9.6999999999999993</v>
      </c>
      <c r="V10" s="20"/>
    </row>
    <row r="11" spans="1:22" s="18" customFormat="1" ht="12.75">
      <c r="A11" s="35">
        <v>1.5</v>
      </c>
      <c r="B11" s="36">
        <v>48.26</v>
      </c>
      <c r="C11" s="37">
        <v>1.65</v>
      </c>
      <c r="D11" s="38">
        <v>1.65</v>
      </c>
      <c r="E11" s="39">
        <v>2.77</v>
      </c>
      <c r="F11" s="39">
        <v>2.77</v>
      </c>
      <c r="G11" s="39"/>
      <c r="H11" s="40">
        <v>3.18</v>
      </c>
      <c r="I11" s="39">
        <v>3.68</v>
      </c>
      <c r="J11" s="39">
        <v>3.68</v>
      </c>
      <c r="K11" s="39">
        <v>3.68</v>
      </c>
      <c r="L11" s="39"/>
      <c r="M11" s="39">
        <v>5.08</v>
      </c>
      <c r="N11" s="39">
        <v>5.08</v>
      </c>
      <c r="O11" s="39">
        <v>5.08</v>
      </c>
      <c r="P11" s="39"/>
      <c r="Q11" s="39"/>
      <c r="R11" s="39"/>
      <c r="S11" s="39">
        <v>7.14</v>
      </c>
      <c r="T11" s="41">
        <v>10.15</v>
      </c>
      <c r="V11" s="20"/>
    </row>
    <row r="12" spans="1:22" s="18" customFormat="1" ht="12.75">
      <c r="A12" s="35">
        <v>2</v>
      </c>
      <c r="B12" s="36">
        <v>60.32</v>
      </c>
      <c r="C12" s="37">
        <v>1.65</v>
      </c>
      <c r="D12" s="38">
        <v>1.65</v>
      </c>
      <c r="E12" s="39">
        <v>2.77</v>
      </c>
      <c r="F12" s="39">
        <v>2.77</v>
      </c>
      <c r="G12" s="39"/>
      <c r="H12" s="40">
        <v>3.18</v>
      </c>
      <c r="I12" s="39">
        <v>3.91</v>
      </c>
      <c r="J12" s="39">
        <v>3.91</v>
      </c>
      <c r="K12" s="39">
        <v>3.91</v>
      </c>
      <c r="L12" s="39"/>
      <c r="M12" s="39">
        <v>5.54</v>
      </c>
      <c r="N12" s="39">
        <v>5.54</v>
      </c>
      <c r="O12" s="39">
        <v>5.54</v>
      </c>
      <c r="P12" s="39"/>
      <c r="Q12" s="39"/>
      <c r="R12" s="39"/>
      <c r="S12" s="39">
        <v>8.74</v>
      </c>
      <c r="T12" s="41">
        <v>11.07</v>
      </c>
      <c r="V12" s="20"/>
    </row>
    <row r="13" spans="1:22" s="18" customFormat="1" ht="12.75">
      <c r="A13" s="35">
        <v>2.5</v>
      </c>
      <c r="B13" s="36">
        <v>73.02</v>
      </c>
      <c r="C13" s="37">
        <v>2.11</v>
      </c>
      <c r="D13" s="38">
        <v>2.11</v>
      </c>
      <c r="E13" s="39">
        <v>3.05</v>
      </c>
      <c r="F13" s="39">
        <v>3.05</v>
      </c>
      <c r="G13" s="39"/>
      <c r="H13" s="40">
        <v>4.78</v>
      </c>
      <c r="I13" s="39">
        <v>5.16</v>
      </c>
      <c r="J13" s="39">
        <v>5.16</v>
      </c>
      <c r="K13" s="39">
        <v>5.16</v>
      </c>
      <c r="L13" s="39"/>
      <c r="M13" s="39">
        <v>7.01</v>
      </c>
      <c r="N13" s="39">
        <v>7.01</v>
      </c>
      <c r="O13" s="39">
        <v>7.01</v>
      </c>
      <c r="P13" s="39"/>
      <c r="Q13" s="39"/>
      <c r="R13" s="39"/>
      <c r="S13" s="39">
        <v>9.5299999999999994</v>
      </c>
      <c r="T13" s="41">
        <v>14.02</v>
      </c>
      <c r="V13" s="20"/>
    </row>
    <row r="14" spans="1:22" s="18" customFormat="1" ht="12.75">
      <c r="A14" s="44">
        <v>3</v>
      </c>
      <c r="B14" s="36">
        <v>88.9</v>
      </c>
      <c r="C14" s="37">
        <v>2.11</v>
      </c>
      <c r="D14" s="38">
        <v>2.11</v>
      </c>
      <c r="E14" s="39">
        <v>3.05</v>
      </c>
      <c r="F14" s="39">
        <v>3.05</v>
      </c>
      <c r="G14" s="39"/>
      <c r="H14" s="40">
        <v>4.78</v>
      </c>
      <c r="I14" s="39">
        <v>5.49</v>
      </c>
      <c r="J14" s="39">
        <v>5.49</v>
      </c>
      <c r="K14" s="39">
        <v>5.49</v>
      </c>
      <c r="L14" s="39"/>
      <c r="M14" s="39">
        <v>7.62</v>
      </c>
      <c r="N14" s="39">
        <v>7.62</v>
      </c>
      <c r="O14" s="39">
        <v>7.62</v>
      </c>
      <c r="P14" s="39"/>
      <c r="Q14" s="39"/>
      <c r="R14" s="39"/>
      <c r="S14" s="39">
        <v>11.13</v>
      </c>
      <c r="T14" s="41">
        <v>15.24</v>
      </c>
      <c r="V14" s="20"/>
    </row>
    <row r="15" spans="1:22" s="18" customFormat="1" ht="12.75">
      <c r="A15" s="44">
        <v>3.5</v>
      </c>
      <c r="B15" s="36">
        <v>101.6</v>
      </c>
      <c r="C15" s="37">
        <v>2.11</v>
      </c>
      <c r="D15" s="38">
        <v>2.11</v>
      </c>
      <c r="E15" s="39">
        <v>3.05</v>
      </c>
      <c r="F15" s="39">
        <v>3.05</v>
      </c>
      <c r="G15" s="39"/>
      <c r="H15" s="40">
        <v>4.78</v>
      </c>
      <c r="I15" s="39">
        <v>5.74</v>
      </c>
      <c r="J15" s="39">
        <v>5.74</v>
      </c>
      <c r="K15" s="39">
        <v>5.74</v>
      </c>
      <c r="L15" s="39"/>
      <c r="M15" s="39">
        <v>8.08</v>
      </c>
      <c r="N15" s="39">
        <v>8.08</v>
      </c>
      <c r="O15" s="39">
        <v>8.08</v>
      </c>
      <c r="P15" s="39"/>
      <c r="Q15" s="39"/>
      <c r="R15" s="39"/>
      <c r="S15" s="39"/>
      <c r="T15" s="41" t="s">
        <v>8</v>
      </c>
      <c r="V15" s="20"/>
    </row>
    <row r="16" spans="1:22" s="18" customFormat="1" ht="12.75">
      <c r="A16" s="44">
        <v>4</v>
      </c>
      <c r="B16" s="36">
        <v>114.3</v>
      </c>
      <c r="C16" s="37">
        <v>2.11</v>
      </c>
      <c r="D16" s="38">
        <v>2.11</v>
      </c>
      <c r="E16" s="39">
        <v>3.05</v>
      </c>
      <c r="F16" s="39">
        <v>3.05</v>
      </c>
      <c r="G16" s="39"/>
      <c r="H16" s="40">
        <v>4.78</v>
      </c>
      <c r="I16" s="39">
        <v>6.02</v>
      </c>
      <c r="J16" s="39">
        <v>6.02</v>
      </c>
      <c r="K16" s="39">
        <v>6.02</v>
      </c>
      <c r="L16" s="39"/>
      <c r="M16" s="39">
        <v>8.56</v>
      </c>
      <c r="N16" s="39">
        <v>8.56</v>
      </c>
      <c r="O16" s="39">
        <v>8.56</v>
      </c>
      <c r="P16" s="39"/>
      <c r="Q16" s="39">
        <v>11.13</v>
      </c>
      <c r="R16" s="39"/>
      <c r="S16" s="39">
        <v>13.49</v>
      </c>
      <c r="T16" s="41">
        <v>17.12</v>
      </c>
      <c r="V16" s="20"/>
    </row>
    <row r="17" spans="1:22" s="18" customFormat="1" ht="12.75">
      <c r="A17" s="44">
        <v>5</v>
      </c>
      <c r="B17" s="36">
        <v>141.30000000000001</v>
      </c>
      <c r="C17" s="37">
        <v>2.77</v>
      </c>
      <c r="D17" s="38">
        <v>2.77</v>
      </c>
      <c r="E17" s="45">
        <v>3.4</v>
      </c>
      <c r="F17" s="45">
        <v>3.4</v>
      </c>
      <c r="G17" s="39"/>
      <c r="H17" s="39"/>
      <c r="I17" s="39">
        <v>6.55</v>
      </c>
      <c r="J17" s="39">
        <v>6.55</v>
      </c>
      <c r="K17" s="39">
        <v>6.55</v>
      </c>
      <c r="L17" s="39"/>
      <c r="M17" s="39">
        <v>9.5299999999999994</v>
      </c>
      <c r="N17" s="39">
        <v>9.5299999999999994</v>
      </c>
      <c r="O17" s="39">
        <v>9.5299999999999994</v>
      </c>
      <c r="P17" s="39"/>
      <c r="Q17" s="45">
        <v>12.7</v>
      </c>
      <c r="R17" s="39"/>
      <c r="S17" s="39">
        <v>15.88</v>
      </c>
      <c r="T17" s="41">
        <v>19.05</v>
      </c>
      <c r="V17" s="20"/>
    </row>
    <row r="18" spans="1:22" s="18" customFormat="1" ht="12.75">
      <c r="A18" s="44">
        <v>6</v>
      </c>
      <c r="B18" s="36">
        <v>168.27</v>
      </c>
      <c r="C18" s="37">
        <v>2.77</v>
      </c>
      <c r="D18" s="38">
        <v>2.77</v>
      </c>
      <c r="E18" s="45">
        <v>3.4</v>
      </c>
      <c r="F18" s="45">
        <v>3.4</v>
      </c>
      <c r="G18" s="39"/>
      <c r="H18" s="39"/>
      <c r="I18" s="39">
        <v>7.11</v>
      </c>
      <c r="J18" s="39">
        <v>7.11</v>
      </c>
      <c r="K18" s="39">
        <v>7.11</v>
      </c>
      <c r="L18" s="39"/>
      <c r="M18" s="39">
        <v>10.97</v>
      </c>
      <c r="N18" s="39">
        <v>10.97</v>
      </c>
      <c r="O18" s="39">
        <v>10.97</v>
      </c>
      <c r="P18" s="39"/>
      <c r="Q18" s="39">
        <v>14.27</v>
      </c>
      <c r="R18" s="39"/>
      <c r="S18" s="39">
        <v>18.260000000000002</v>
      </c>
      <c r="T18" s="41">
        <v>21.95</v>
      </c>
      <c r="V18" s="20"/>
    </row>
    <row r="19" spans="1:22" s="18" customFormat="1" ht="12.75">
      <c r="A19" s="44">
        <v>8</v>
      </c>
      <c r="B19" s="36">
        <v>219.07</v>
      </c>
      <c r="C19" s="37">
        <v>2.77</v>
      </c>
      <c r="D19" s="38">
        <v>2.77</v>
      </c>
      <c r="E19" s="39">
        <v>3.76</v>
      </c>
      <c r="F19" s="39">
        <v>3.76</v>
      </c>
      <c r="G19" s="39">
        <v>6.35</v>
      </c>
      <c r="H19" s="39">
        <v>7.04</v>
      </c>
      <c r="I19" s="39">
        <v>8.18</v>
      </c>
      <c r="J19" s="39">
        <v>8.18</v>
      </c>
      <c r="K19" s="39">
        <v>8.18</v>
      </c>
      <c r="L19" s="39">
        <v>10.31</v>
      </c>
      <c r="M19" s="45">
        <v>12.7</v>
      </c>
      <c r="N19" s="45">
        <v>12.7</v>
      </c>
      <c r="O19" s="45">
        <v>12.7</v>
      </c>
      <c r="P19" s="39">
        <v>15.09</v>
      </c>
      <c r="Q19" s="39">
        <v>18.260000000000002</v>
      </c>
      <c r="R19" s="39">
        <v>20.62</v>
      </c>
      <c r="S19" s="39">
        <v>23.01</v>
      </c>
      <c r="T19" s="41">
        <v>22.23</v>
      </c>
      <c r="V19" s="20"/>
    </row>
    <row r="20" spans="1:22" s="18" customFormat="1" ht="12.75">
      <c r="A20" s="44">
        <v>10</v>
      </c>
      <c r="B20" s="36">
        <v>273.05</v>
      </c>
      <c r="C20" s="46">
        <v>3.4</v>
      </c>
      <c r="D20" s="47">
        <v>3.4</v>
      </c>
      <c r="E20" s="39">
        <v>4.1900000000000004</v>
      </c>
      <c r="F20" s="39">
        <v>4.1900000000000004</v>
      </c>
      <c r="G20" s="39">
        <v>6.35</v>
      </c>
      <c r="H20" s="45">
        <v>7.8</v>
      </c>
      <c r="I20" s="39">
        <v>9.27</v>
      </c>
      <c r="J20" s="39">
        <v>9.27</v>
      </c>
      <c r="K20" s="39">
        <v>9.27</v>
      </c>
      <c r="L20" s="45">
        <v>12.7</v>
      </c>
      <c r="M20" s="45">
        <v>12.7</v>
      </c>
      <c r="N20" s="39">
        <v>15.09</v>
      </c>
      <c r="O20" s="45">
        <v>12.7</v>
      </c>
      <c r="P20" s="39">
        <v>18.260000000000002</v>
      </c>
      <c r="Q20" s="39">
        <v>21.44</v>
      </c>
      <c r="R20" s="45">
        <v>25.4</v>
      </c>
      <c r="S20" s="39">
        <v>28.58</v>
      </c>
      <c r="T20" s="43">
        <v>25.4</v>
      </c>
      <c r="V20" s="20"/>
    </row>
    <row r="21" spans="1:22" s="18" customFormat="1" ht="12.75">
      <c r="A21" s="44">
        <v>12</v>
      </c>
      <c r="B21" s="36">
        <v>323.85000000000002</v>
      </c>
      <c r="C21" s="37">
        <v>3.96</v>
      </c>
      <c r="D21" s="38">
        <v>3.96</v>
      </c>
      <c r="E21" s="39">
        <v>4.57</v>
      </c>
      <c r="F21" s="39">
        <v>4.57</v>
      </c>
      <c r="G21" s="39">
        <v>6.35</v>
      </c>
      <c r="H21" s="39">
        <v>8.3800000000000008</v>
      </c>
      <c r="I21" s="39">
        <v>9.5299999999999994</v>
      </c>
      <c r="J21" s="39">
        <v>10.31</v>
      </c>
      <c r="K21" s="39">
        <v>9.5299999999999994</v>
      </c>
      <c r="L21" s="39">
        <v>14.27</v>
      </c>
      <c r="M21" s="45">
        <v>12.7</v>
      </c>
      <c r="N21" s="39">
        <v>17.48</v>
      </c>
      <c r="O21" s="45">
        <v>12.7</v>
      </c>
      <c r="P21" s="39">
        <v>21.44</v>
      </c>
      <c r="Q21" s="45">
        <v>25.4</v>
      </c>
      <c r="R21" s="39">
        <v>28.58</v>
      </c>
      <c r="S21" s="39">
        <v>33.32</v>
      </c>
      <c r="T21" s="43">
        <v>25.4</v>
      </c>
      <c r="V21" s="20"/>
    </row>
    <row r="22" spans="1:22" s="18" customFormat="1" ht="12.75">
      <c r="A22" s="44">
        <v>14</v>
      </c>
      <c r="B22" s="36">
        <v>355.6</v>
      </c>
      <c r="C22" s="37">
        <v>3.96</v>
      </c>
      <c r="D22" s="38">
        <v>3.96</v>
      </c>
      <c r="E22" s="39">
        <v>6.35</v>
      </c>
      <c r="F22" s="39">
        <v>4.78</v>
      </c>
      <c r="G22" s="39">
        <v>7.92</v>
      </c>
      <c r="H22" s="39">
        <v>9.5299999999999994</v>
      </c>
      <c r="I22" s="39">
        <v>9.5299999999999994</v>
      </c>
      <c r="J22" s="39">
        <v>11.13</v>
      </c>
      <c r="K22" s="39"/>
      <c r="L22" s="39">
        <v>15.09</v>
      </c>
      <c r="M22" s="45">
        <v>12.7</v>
      </c>
      <c r="N22" s="39">
        <v>19.05</v>
      </c>
      <c r="O22" s="39"/>
      <c r="P22" s="39">
        <v>23.83</v>
      </c>
      <c r="Q22" s="39">
        <v>27.79</v>
      </c>
      <c r="R22" s="39">
        <v>31.75</v>
      </c>
      <c r="S22" s="39">
        <v>35.71</v>
      </c>
      <c r="T22" s="41"/>
      <c r="V22" s="20"/>
    </row>
    <row r="23" spans="1:22" s="18" customFormat="1" ht="12.75">
      <c r="A23" s="44">
        <v>16</v>
      </c>
      <c r="B23" s="36">
        <v>406.4</v>
      </c>
      <c r="C23" s="37">
        <v>4.1900000000000004</v>
      </c>
      <c r="D23" s="38">
        <v>4.1900000000000004</v>
      </c>
      <c r="E23" s="39">
        <v>6.35</v>
      </c>
      <c r="F23" s="39">
        <v>4.78</v>
      </c>
      <c r="G23" s="39">
        <v>7.92</v>
      </c>
      <c r="H23" s="39">
        <v>9.5299999999999994</v>
      </c>
      <c r="I23" s="39">
        <v>9.5299999999999994</v>
      </c>
      <c r="J23" s="45">
        <v>12.7</v>
      </c>
      <c r="K23" s="39"/>
      <c r="L23" s="39">
        <v>16.66</v>
      </c>
      <c r="M23" s="45">
        <v>12.7</v>
      </c>
      <c r="N23" s="39">
        <v>21.44</v>
      </c>
      <c r="O23" s="39"/>
      <c r="P23" s="39">
        <v>26.19</v>
      </c>
      <c r="Q23" s="39">
        <v>30.96</v>
      </c>
      <c r="R23" s="39">
        <v>36.53</v>
      </c>
      <c r="S23" s="39">
        <v>40.49</v>
      </c>
      <c r="T23" s="41"/>
      <c r="V23" s="20"/>
    </row>
    <row r="24" spans="1:22" s="18" customFormat="1" ht="12.75">
      <c r="A24" s="44">
        <v>18</v>
      </c>
      <c r="B24" s="36">
        <v>457.2</v>
      </c>
      <c r="C24" s="37">
        <v>4.1900000000000004</v>
      </c>
      <c r="D24" s="38">
        <v>4.1900000000000004</v>
      </c>
      <c r="E24" s="39">
        <v>6.35</v>
      </c>
      <c r="F24" s="39">
        <v>4.78</v>
      </c>
      <c r="G24" s="39">
        <v>7.92</v>
      </c>
      <c r="H24" s="39">
        <v>11.13</v>
      </c>
      <c r="I24" s="39">
        <v>9.5299999999999994</v>
      </c>
      <c r="J24" s="39">
        <v>14.27</v>
      </c>
      <c r="K24" s="39"/>
      <c r="L24" s="39">
        <v>19.05</v>
      </c>
      <c r="M24" s="45">
        <v>12.7</v>
      </c>
      <c r="N24" s="39">
        <v>23.83</v>
      </c>
      <c r="O24" s="39"/>
      <c r="P24" s="39">
        <v>29.36</v>
      </c>
      <c r="Q24" s="39">
        <v>34.93</v>
      </c>
      <c r="R24" s="39">
        <v>39.67</v>
      </c>
      <c r="S24" s="39">
        <v>45.24</v>
      </c>
      <c r="T24" s="41"/>
      <c r="V24" s="20"/>
    </row>
    <row r="25" spans="1:22" s="18" customFormat="1" ht="12.75">
      <c r="A25" s="44">
        <v>20</v>
      </c>
      <c r="B25" s="36">
        <v>508</v>
      </c>
      <c r="C25" s="37">
        <v>4.78</v>
      </c>
      <c r="D25" s="38">
        <v>4.78</v>
      </c>
      <c r="E25" s="39">
        <v>6.35</v>
      </c>
      <c r="F25" s="39">
        <v>5.54</v>
      </c>
      <c r="G25" s="39">
        <v>9.5299999999999994</v>
      </c>
      <c r="H25" s="45">
        <v>12.7</v>
      </c>
      <c r="I25" s="39">
        <v>9.5299999999999994</v>
      </c>
      <c r="J25" s="39">
        <v>15.09</v>
      </c>
      <c r="K25" s="39"/>
      <c r="L25" s="39">
        <v>20.62</v>
      </c>
      <c r="M25" s="45">
        <v>12.7</v>
      </c>
      <c r="N25" s="39">
        <v>26.19</v>
      </c>
      <c r="O25" s="39"/>
      <c r="P25" s="39">
        <v>32.54</v>
      </c>
      <c r="Q25" s="45">
        <v>38.1</v>
      </c>
      <c r="R25" s="39">
        <v>44.45</v>
      </c>
      <c r="S25" s="39">
        <v>50.01</v>
      </c>
      <c r="T25" s="41"/>
      <c r="V25" s="20"/>
    </row>
    <row r="26" spans="1:22" s="18" customFormat="1" ht="12.75">
      <c r="A26" s="44">
        <v>22</v>
      </c>
      <c r="B26" s="36">
        <v>558.79999999999995</v>
      </c>
      <c r="C26" s="37">
        <v>4.78</v>
      </c>
      <c r="D26" s="38">
        <v>4.78</v>
      </c>
      <c r="E26" s="39">
        <v>6.35</v>
      </c>
      <c r="F26" s="39">
        <v>5.54</v>
      </c>
      <c r="G26" s="39">
        <v>9.5299999999999994</v>
      </c>
      <c r="H26" s="45">
        <v>12.7</v>
      </c>
      <c r="I26" s="39">
        <v>9.5299999999999994</v>
      </c>
      <c r="J26" s="40"/>
      <c r="K26" s="40"/>
      <c r="L26" s="39">
        <v>22.23</v>
      </c>
      <c r="M26" s="45">
        <v>12.7</v>
      </c>
      <c r="N26" s="39">
        <v>28.58</v>
      </c>
      <c r="O26" s="39"/>
      <c r="P26" s="39">
        <v>34.93</v>
      </c>
      <c r="Q26" s="39">
        <v>41.28</v>
      </c>
      <c r="R26" s="39">
        <v>47.63</v>
      </c>
      <c r="S26" s="39">
        <v>53.98</v>
      </c>
      <c r="T26" s="41"/>
      <c r="V26" s="20"/>
    </row>
    <row r="27" spans="1:22" s="18" customFormat="1" ht="12.75">
      <c r="A27" s="44">
        <v>24</v>
      </c>
      <c r="B27" s="36">
        <v>609.6</v>
      </c>
      <c r="C27" s="37">
        <v>5.54</v>
      </c>
      <c r="D27" s="38">
        <v>5.54</v>
      </c>
      <c r="E27" s="39">
        <v>6.35</v>
      </c>
      <c r="F27" s="39">
        <v>6.35</v>
      </c>
      <c r="G27" s="39">
        <v>9.5299999999999994</v>
      </c>
      <c r="H27" s="39">
        <v>14.27</v>
      </c>
      <c r="I27" s="39">
        <v>9.5299999999999994</v>
      </c>
      <c r="J27" s="39">
        <v>17.48</v>
      </c>
      <c r="K27" s="39"/>
      <c r="L27" s="39">
        <v>24.61</v>
      </c>
      <c r="M27" s="45">
        <v>12.7</v>
      </c>
      <c r="N27" s="39">
        <v>30.96</v>
      </c>
      <c r="O27" s="39"/>
      <c r="P27" s="39">
        <v>38.89</v>
      </c>
      <c r="Q27" s="39">
        <v>46.02</v>
      </c>
      <c r="R27" s="39">
        <v>52.37</v>
      </c>
      <c r="S27" s="39">
        <v>59.54</v>
      </c>
      <c r="T27" s="41"/>
      <c r="V27" s="20"/>
    </row>
    <row r="28" spans="1:22" s="18" customFormat="1" ht="12.75">
      <c r="A28" s="44">
        <v>26</v>
      </c>
      <c r="B28" s="36">
        <v>660.4</v>
      </c>
      <c r="C28" s="37"/>
      <c r="D28" s="38"/>
      <c r="E28" s="39">
        <v>7.92</v>
      </c>
      <c r="F28" s="39"/>
      <c r="G28" s="45">
        <v>12.7</v>
      </c>
      <c r="H28" s="39"/>
      <c r="I28" s="39">
        <v>9.5299999999999994</v>
      </c>
      <c r="J28" s="39"/>
      <c r="K28" s="39"/>
      <c r="L28" s="39"/>
      <c r="M28" s="45">
        <v>12.7</v>
      </c>
      <c r="N28" s="39"/>
      <c r="O28" s="39"/>
      <c r="P28" s="39"/>
      <c r="Q28" s="39"/>
      <c r="R28" s="39"/>
      <c r="S28" s="39"/>
      <c r="T28" s="41"/>
      <c r="V28" s="20"/>
    </row>
    <row r="29" spans="1:22" s="18" customFormat="1" ht="12.75">
      <c r="A29" s="44">
        <v>28</v>
      </c>
      <c r="B29" s="36">
        <v>711.2</v>
      </c>
      <c r="C29" s="37"/>
      <c r="D29" s="38"/>
      <c r="E29" s="39">
        <v>7.92</v>
      </c>
      <c r="F29" s="39"/>
      <c r="G29" s="45">
        <v>12.7</v>
      </c>
      <c r="H29" s="39">
        <v>15.88</v>
      </c>
      <c r="I29" s="39">
        <v>9.5299999999999994</v>
      </c>
      <c r="J29" s="39"/>
      <c r="K29" s="39"/>
      <c r="L29" s="39"/>
      <c r="M29" s="45">
        <v>12.7</v>
      </c>
      <c r="N29" s="39"/>
      <c r="O29" s="39"/>
      <c r="P29" s="39"/>
      <c r="Q29" s="39"/>
      <c r="R29" s="39"/>
      <c r="S29" s="39"/>
      <c r="T29" s="41"/>
      <c r="V29" s="20"/>
    </row>
    <row r="30" spans="1:22" s="18" customFormat="1" ht="12.75">
      <c r="A30" s="44">
        <v>30</v>
      </c>
      <c r="B30" s="36">
        <v>762</v>
      </c>
      <c r="C30" s="37">
        <v>6.35</v>
      </c>
      <c r="D30" s="38">
        <v>6.35</v>
      </c>
      <c r="E30" s="39">
        <v>7.92</v>
      </c>
      <c r="F30" s="39">
        <v>7.92</v>
      </c>
      <c r="G30" s="45">
        <v>12.7</v>
      </c>
      <c r="H30" s="39">
        <v>15.88</v>
      </c>
      <c r="I30" s="39">
        <v>9.5299999999999994</v>
      </c>
      <c r="J30" s="39"/>
      <c r="K30" s="39"/>
      <c r="L30" s="39"/>
      <c r="M30" s="45">
        <v>12.7</v>
      </c>
      <c r="N30" s="39"/>
      <c r="O30" s="39"/>
      <c r="P30" s="39"/>
      <c r="Q30" s="39"/>
      <c r="R30" s="39"/>
      <c r="S30" s="39"/>
      <c r="T30" s="41"/>
      <c r="V30" s="20"/>
    </row>
    <row r="31" spans="1:22" s="18" customFormat="1" ht="12.75">
      <c r="A31" s="44">
        <v>32</v>
      </c>
      <c r="B31" s="36">
        <v>812.8</v>
      </c>
      <c r="C31" s="37"/>
      <c r="D31" s="38"/>
      <c r="E31" s="39">
        <v>7.92</v>
      </c>
      <c r="F31" s="39"/>
      <c r="G31" s="45">
        <v>12.7</v>
      </c>
      <c r="H31" s="39">
        <v>15.88</v>
      </c>
      <c r="I31" s="39">
        <v>9.5299999999999994</v>
      </c>
      <c r="J31" s="39">
        <v>17.48</v>
      </c>
      <c r="K31" s="39"/>
      <c r="L31" s="39"/>
      <c r="M31" s="45">
        <v>12.7</v>
      </c>
      <c r="N31" s="39"/>
      <c r="O31" s="39"/>
      <c r="P31" s="39"/>
      <c r="Q31" s="39"/>
      <c r="R31" s="39"/>
      <c r="S31" s="39"/>
      <c r="T31" s="41"/>
      <c r="V31" s="20"/>
    </row>
    <row r="32" spans="1:22" s="18" customFormat="1" ht="12.75">
      <c r="A32" s="44">
        <v>34</v>
      </c>
      <c r="B32" s="36">
        <v>863.6</v>
      </c>
      <c r="C32" s="37"/>
      <c r="D32" s="38"/>
      <c r="E32" s="39">
        <v>7.92</v>
      </c>
      <c r="F32" s="39"/>
      <c r="G32" s="45">
        <v>12.7</v>
      </c>
      <c r="H32" s="39">
        <v>15.88</v>
      </c>
      <c r="I32" s="39">
        <v>9.5299999999999994</v>
      </c>
      <c r="J32" s="39">
        <v>17.48</v>
      </c>
      <c r="K32" s="39"/>
      <c r="L32" s="39"/>
      <c r="M32" s="45">
        <v>12.7</v>
      </c>
      <c r="N32" s="39"/>
      <c r="O32" s="39"/>
      <c r="P32" s="39"/>
      <c r="Q32" s="39"/>
      <c r="R32" s="39"/>
      <c r="S32" s="39"/>
      <c r="T32" s="41"/>
      <c r="V32" s="20"/>
    </row>
    <row r="33" spans="1:22" s="18" customFormat="1" ht="12.75">
      <c r="A33" s="44">
        <v>36</v>
      </c>
      <c r="B33" s="36">
        <v>914.4</v>
      </c>
      <c r="C33" s="37"/>
      <c r="D33" s="38"/>
      <c r="E33" s="39">
        <v>7.92</v>
      </c>
      <c r="F33" s="39"/>
      <c r="G33" s="45">
        <v>12.7</v>
      </c>
      <c r="H33" s="39">
        <v>15.88</v>
      </c>
      <c r="I33" s="39">
        <v>9.5299999999999994</v>
      </c>
      <c r="J33" s="39">
        <v>19.05</v>
      </c>
      <c r="K33" s="39"/>
      <c r="L33" s="39"/>
      <c r="M33" s="45">
        <v>12.7</v>
      </c>
      <c r="N33" s="39"/>
      <c r="O33" s="39"/>
      <c r="P33" s="39"/>
      <c r="Q33" s="39"/>
      <c r="R33" s="39"/>
      <c r="S33" s="39"/>
      <c r="T33" s="41"/>
      <c r="V33" s="20"/>
    </row>
    <row r="34" spans="1:22" s="4" customFormat="1" ht="12.75">
      <c r="A34" s="48">
        <v>38</v>
      </c>
      <c r="B34" s="49">
        <v>965.2</v>
      </c>
      <c r="C34" s="50"/>
      <c r="D34" s="8"/>
      <c r="E34" s="9"/>
      <c r="F34" s="9"/>
      <c r="G34" s="9"/>
      <c r="H34" s="9"/>
      <c r="I34" s="39">
        <v>9.5299999999999994</v>
      </c>
      <c r="J34" s="9"/>
      <c r="K34" s="9"/>
      <c r="L34" s="9"/>
      <c r="M34" s="45">
        <v>12.7</v>
      </c>
      <c r="N34" s="9"/>
      <c r="O34" s="9"/>
      <c r="P34" s="9"/>
      <c r="Q34" s="9"/>
      <c r="R34" s="9"/>
      <c r="S34" s="9"/>
      <c r="T34" s="10"/>
    </row>
    <row r="35" spans="1:22" s="4" customFormat="1" ht="12.75">
      <c r="A35" s="44">
        <v>40</v>
      </c>
      <c r="B35" s="36">
        <v>1016</v>
      </c>
      <c r="C35" s="37"/>
      <c r="D35" s="8"/>
      <c r="E35" s="9"/>
      <c r="F35" s="9"/>
      <c r="G35" s="9"/>
      <c r="H35" s="9"/>
      <c r="I35" s="39">
        <v>9.5299999999999994</v>
      </c>
      <c r="J35" s="9"/>
      <c r="K35" s="9"/>
      <c r="L35" s="9"/>
      <c r="M35" s="45">
        <v>12.7</v>
      </c>
      <c r="N35" s="9"/>
      <c r="O35" s="9"/>
      <c r="P35" s="9"/>
      <c r="Q35" s="9"/>
      <c r="R35" s="9"/>
      <c r="S35" s="9"/>
      <c r="T35" s="10"/>
    </row>
    <row r="36" spans="1:22" s="4" customFormat="1" ht="12.75">
      <c r="A36" s="44">
        <v>42</v>
      </c>
      <c r="B36" s="36">
        <v>1066.8</v>
      </c>
      <c r="C36" s="37"/>
      <c r="D36" s="8"/>
      <c r="E36" s="9"/>
      <c r="F36" s="9"/>
      <c r="G36" s="9"/>
      <c r="H36" s="9"/>
      <c r="I36" s="39">
        <v>9.5299999999999994</v>
      </c>
      <c r="J36" s="9"/>
      <c r="K36" s="9"/>
      <c r="L36" s="9"/>
      <c r="M36" s="45">
        <v>12.7</v>
      </c>
      <c r="N36" s="9"/>
      <c r="O36" s="9"/>
      <c r="P36" s="9"/>
      <c r="Q36" s="9"/>
      <c r="R36" s="9"/>
      <c r="S36" s="9"/>
      <c r="T36" s="10"/>
    </row>
    <row r="37" spans="1:22" s="4" customFormat="1" ht="12.75">
      <c r="A37" s="44">
        <v>44</v>
      </c>
      <c r="B37" s="36">
        <v>1117.5999999999999</v>
      </c>
      <c r="C37" s="37"/>
      <c r="D37" s="8"/>
      <c r="E37" s="9"/>
      <c r="F37" s="9"/>
      <c r="G37" s="9"/>
      <c r="H37" s="9"/>
      <c r="I37" s="39">
        <v>9.5299999999999994</v>
      </c>
      <c r="J37" s="9"/>
      <c r="K37" s="9"/>
      <c r="L37" s="9"/>
      <c r="M37" s="45">
        <v>12.7</v>
      </c>
      <c r="N37" s="9"/>
      <c r="O37" s="9"/>
      <c r="P37" s="9"/>
      <c r="Q37" s="9"/>
      <c r="R37" s="9"/>
      <c r="S37" s="9"/>
      <c r="T37" s="10"/>
    </row>
    <row r="38" spans="1:22" s="4" customFormat="1" ht="12.75">
      <c r="A38" s="44">
        <v>46</v>
      </c>
      <c r="B38" s="36">
        <v>1168.4000000000001</v>
      </c>
      <c r="C38" s="37"/>
      <c r="D38" s="8"/>
      <c r="E38" s="9"/>
      <c r="F38" s="9"/>
      <c r="G38" s="9"/>
      <c r="H38" s="9"/>
      <c r="I38" s="39">
        <v>9.5299999999999994</v>
      </c>
      <c r="J38" s="9"/>
      <c r="K38" s="9"/>
      <c r="L38" s="9"/>
      <c r="M38" s="45">
        <v>12.7</v>
      </c>
      <c r="N38" s="9"/>
      <c r="O38" s="9"/>
      <c r="P38" s="9"/>
      <c r="Q38" s="9"/>
      <c r="R38" s="9"/>
      <c r="S38" s="9"/>
      <c r="T38" s="10"/>
    </row>
    <row r="39" spans="1:22" s="4" customFormat="1" ht="12.75">
      <c r="A39" s="44">
        <v>48</v>
      </c>
      <c r="B39" s="36">
        <v>1219.2</v>
      </c>
      <c r="C39" s="37"/>
      <c r="D39" s="8"/>
      <c r="E39" s="9"/>
      <c r="F39" s="9"/>
      <c r="G39" s="9"/>
      <c r="H39" s="9"/>
      <c r="I39" s="39">
        <v>9.5299999999999994</v>
      </c>
      <c r="J39" s="9"/>
      <c r="K39" s="9"/>
      <c r="L39" s="9"/>
      <c r="M39" s="45">
        <v>12.7</v>
      </c>
      <c r="N39" s="9"/>
      <c r="O39" s="9"/>
      <c r="P39" s="9"/>
      <c r="Q39" s="9"/>
      <c r="R39" s="9"/>
      <c r="S39" s="9"/>
      <c r="T39" s="10"/>
    </row>
    <row r="40" spans="1:22" s="4" customFormat="1" ht="12.75">
      <c r="A40" s="44">
        <v>52</v>
      </c>
      <c r="B40" s="36">
        <v>1320.8</v>
      </c>
      <c r="C40" s="37"/>
      <c r="D40" s="8"/>
      <c r="E40" s="9"/>
      <c r="F40" s="9"/>
      <c r="G40" s="9"/>
      <c r="H40" s="9"/>
      <c r="I40" s="9"/>
      <c r="J40" s="9"/>
      <c r="K40" s="9"/>
      <c r="L40" s="9"/>
      <c r="M40" s="9"/>
      <c r="N40" s="9"/>
      <c r="O40" s="9"/>
      <c r="P40" s="9"/>
      <c r="Q40" s="9"/>
      <c r="R40" s="9"/>
      <c r="S40" s="9"/>
      <c r="T40" s="10"/>
    </row>
    <row r="41" spans="1:22" s="4" customFormat="1" ht="12.75">
      <c r="A41" s="44">
        <v>56</v>
      </c>
      <c r="B41" s="36">
        <v>1422.4</v>
      </c>
      <c r="C41" s="37"/>
      <c r="D41" s="8"/>
      <c r="E41" s="9"/>
      <c r="F41" s="9"/>
      <c r="G41" s="9"/>
      <c r="H41" s="9"/>
      <c r="I41" s="9"/>
      <c r="J41" s="9"/>
      <c r="K41" s="9"/>
      <c r="L41" s="9"/>
      <c r="M41" s="9"/>
      <c r="N41" s="9"/>
      <c r="O41" s="9"/>
      <c r="P41" s="9"/>
      <c r="Q41" s="9"/>
      <c r="R41" s="9"/>
      <c r="S41" s="9"/>
      <c r="T41" s="10"/>
    </row>
    <row r="42" spans="1:22" s="4" customFormat="1" ht="12.75">
      <c r="A42" s="44">
        <v>60</v>
      </c>
      <c r="B42" s="36">
        <v>1524</v>
      </c>
      <c r="C42" s="37"/>
      <c r="D42" s="8"/>
      <c r="E42" s="9"/>
      <c r="F42" s="9"/>
      <c r="G42" s="9"/>
      <c r="H42" s="9"/>
      <c r="I42" s="9"/>
      <c r="J42" s="9"/>
      <c r="K42" s="9"/>
      <c r="L42" s="9"/>
      <c r="M42" s="9"/>
      <c r="N42" s="9"/>
      <c r="O42" s="9"/>
      <c r="P42" s="9"/>
      <c r="Q42" s="9"/>
      <c r="R42" s="9"/>
      <c r="S42" s="9"/>
      <c r="T42" s="10"/>
    </row>
    <row r="43" spans="1:22" s="4" customFormat="1" ht="12.75">
      <c r="A43" s="44">
        <v>64</v>
      </c>
      <c r="B43" s="36">
        <v>1625.6</v>
      </c>
      <c r="C43" s="37"/>
      <c r="D43" s="8"/>
      <c r="E43" s="9"/>
      <c r="F43" s="9"/>
      <c r="G43" s="9"/>
      <c r="H43" s="9"/>
      <c r="I43" s="9"/>
      <c r="J43" s="9"/>
      <c r="K43" s="9"/>
      <c r="L43" s="9"/>
      <c r="M43" s="9"/>
      <c r="N43" s="9"/>
      <c r="O43" s="9"/>
      <c r="P43" s="9"/>
      <c r="Q43" s="9"/>
      <c r="R43" s="9"/>
      <c r="S43" s="9"/>
      <c r="T43" s="10"/>
    </row>
    <row r="44" spans="1:22" s="4" customFormat="1" ht="12.75">
      <c r="A44" s="44">
        <v>66</v>
      </c>
      <c r="B44" s="36">
        <v>1676.4</v>
      </c>
      <c r="C44" s="37"/>
      <c r="D44" s="8"/>
      <c r="E44" s="9"/>
      <c r="F44" s="9"/>
      <c r="G44" s="9"/>
      <c r="H44" s="9"/>
      <c r="I44" s="9"/>
      <c r="J44" s="9"/>
      <c r="K44" s="9"/>
      <c r="L44" s="9"/>
      <c r="M44" s="9"/>
      <c r="N44" s="9"/>
      <c r="O44" s="9"/>
      <c r="P44" s="9"/>
      <c r="Q44" s="9"/>
      <c r="R44" s="9"/>
      <c r="S44" s="9"/>
      <c r="T44" s="10"/>
    </row>
    <row r="45" spans="1:22" s="4" customFormat="1" ht="12.75">
      <c r="A45" s="44">
        <v>68</v>
      </c>
      <c r="B45" s="36">
        <v>1727.2</v>
      </c>
      <c r="C45" s="37"/>
      <c r="D45" s="8"/>
      <c r="E45" s="9"/>
      <c r="F45" s="9"/>
      <c r="G45" s="9"/>
      <c r="H45" s="9"/>
      <c r="I45" s="9"/>
      <c r="J45" s="9"/>
      <c r="K45" s="9"/>
      <c r="L45" s="9"/>
      <c r="M45" s="9"/>
      <c r="N45" s="9"/>
      <c r="O45" s="9"/>
      <c r="P45" s="9"/>
      <c r="Q45" s="9"/>
      <c r="R45" s="9"/>
      <c r="S45" s="9"/>
      <c r="T45" s="10"/>
    </row>
    <row r="46" spans="1:22" s="4" customFormat="1" ht="12.75">
      <c r="A46" s="44">
        <v>72</v>
      </c>
      <c r="B46" s="36">
        <v>1828.8</v>
      </c>
      <c r="C46" s="37"/>
      <c r="D46" s="8"/>
      <c r="E46" s="9"/>
      <c r="F46" s="9"/>
      <c r="G46" s="9"/>
      <c r="H46" s="9"/>
      <c r="I46" s="9"/>
      <c r="J46" s="9"/>
      <c r="K46" s="9"/>
      <c r="L46" s="9"/>
      <c r="M46" s="9"/>
      <c r="N46" s="9"/>
      <c r="O46" s="9"/>
      <c r="P46" s="9"/>
      <c r="Q46" s="9"/>
      <c r="R46" s="9"/>
      <c r="S46" s="9"/>
      <c r="T46" s="10"/>
    </row>
    <row r="47" spans="1:22" s="4" customFormat="1" ht="12.75">
      <c r="A47" s="44">
        <v>76</v>
      </c>
      <c r="B47" s="36">
        <v>1930.4</v>
      </c>
      <c r="C47" s="37"/>
      <c r="D47" s="8"/>
      <c r="E47" s="9"/>
      <c r="F47" s="9"/>
      <c r="G47" s="9"/>
      <c r="H47" s="9"/>
      <c r="I47" s="9"/>
      <c r="J47" s="9"/>
      <c r="K47" s="9"/>
      <c r="L47" s="9"/>
      <c r="M47" s="9"/>
      <c r="N47" s="9"/>
      <c r="O47" s="9"/>
      <c r="P47" s="9"/>
      <c r="Q47" s="9"/>
      <c r="R47" s="9"/>
      <c r="S47" s="9"/>
      <c r="T47" s="10"/>
    </row>
    <row r="48" spans="1:22" s="4" customFormat="1" ht="13.5" thickBot="1">
      <c r="A48" s="51">
        <v>80</v>
      </c>
      <c r="B48" s="52">
        <v>2032</v>
      </c>
      <c r="C48" s="53"/>
      <c r="D48" s="11"/>
      <c r="E48" s="12"/>
      <c r="F48" s="12"/>
      <c r="G48" s="12"/>
      <c r="H48" s="12"/>
      <c r="I48" s="12"/>
      <c r="J48" s="12"/>
      <c r="K48" s="12"/>
      <c r="L48" s="12"/>
      <c r="M48" s="12"/>
      <c r="N48" s="12"/>
      <c r="O48" s="12"/>
      <c r="P48" s="12"/>
      <c r="Q48" s="12"/>
      <c r="R48" s="12"/>
      <c r="S48" s="12"/>
      <c r="T48" s="13"/>
    </row>
    <row r="56" spans="1:20">
      <c r="A56" s="6"/>
      <c r="B56" s="6"/>
      <c r="C56" s="21"/>
      <c r="D56" s="6"/>
      <c r="E56" s="6"/>
      <c r="F56" s="6"/>
      <c r="G56" s="6"/>
      <c r="H56" s="6"/>
      <c r="I56" s="6"/>
      <c r="J56" s="6"/>
      <c r="K56" s="6"/>
      <c r="L56" s="6"/>
      <c r="M56" s="6"/>
      <c r="N56" s="6"/>
      <c r="O56" s="6"/>
      <c r="P56" s="6"/>
      <c r="Q56" s="6"/>
      <c r="R56" s="6"/>
      <c r="S56" s="6"/>
      <c r="T56" s="6"/>
    </row>
    <row r="65" spans="1:20">
      <c r="A65" s="6"/>
      <c r="B65" s="6"/>
      <c r="C65" s="21"/>
      <c r="D65" s="6"/>
      <c r="E65" s="6"/>
      <c r="F65" s="6"/>
      <c r="G65" s="6"/>
      <c r="H65" s="6"/>
      <c r="I65" s="6"/>
      <c r="J65" s="6"/>
      <c r="K65" s="6"/>
      <c r="L65" s="6"/>
      <c r="M65" s="6"/>
      <c r="N65" s="6"/>
      <c r="O65" s="6"/>
      <c r="P65" s="6"/>
      <c r="Q65" s="6"/>
      <c r="R65" s="6"/>
      <c r="S65" s="6"/>
      <c r="T65" s="6"/>
    </row>
    <row r="76" spans="1:20">
      <c r="A76" s="6"/>
      <c r="B76" s="6"/>
      <c r="C76" s="21"/>
      <c r="D76" s="6"/>
      <c r="E76" s="6"/>
      <c r="F76" s="6"/>
      <c r="G76" s="6"/>
      <c r="H76" s="6"/>
      <c r="I76" s="6"/>
      <c r="J76" s="6"/>
      <c r="K76" s="6"/>
      <c r="L76" s="6"/>
      <c r="M76" s="6"/>
      <c r="N76" s="6"/>
      <c r="O76" s="6"/>
      <c r="P76" s="6"/>
      <c r="Q76" s="6"/>
      <c r="R76" s="6"/>
      <c r="S76" s="6"/>
      <c r="T76" s="6"/>
    </row>
    <row r="78" spans="1:20">
      <c r="A78" s="6"/>
      <c r="B78" s="6"/>
      <c r="C78" s="21"/>
      <c r="D78" s="6"/>
      <c r="E78" s="6"/>
      <c r="F78" s="6"/>
      <c r="G78" s="6"/>
      <c r="H78" s="6"/>
      <c r="I78" s="6"/>
      <c r="J78" s="6"/>
      <c r="K78" s="6"/>
      <c r="L78" s="6"/>
      <c r="M78" s="6"/>
      <c r="N78" s="6"/>
      <c r="O78" s="6"/>
      <c r="P78" s="6"/>
      <c r="Q78" s="6"/>
      <c r="R78" s="6"/>
      <c r="S78" s="6"/>
      <c r="T78" s="6"/>
    </row>
  </sheetData>
  <sheetProtection password="E250" sheet="1" objects="1" scenarios="1" formatCells="0" formatColumns="0" formatRows="0" insertColumns="0" insertRows="0"/>
  <mergeCells count="3">
    <mergeCell ref="D2:T2"/>
    <mergeCell ref="D3:T3"/>
    <mergeCell ref="D5:T5"/>
  </mergeCells>
  <phoneticPr fontId="36" type="noConversion"/>
  <pageMargins left="0.75" right="0.75" top="0.74" bottom="0.93" header="0.5" footer="0.5"/>
  <pageSetup paperSize="9" scale="64" orientation="portrait" r:id="rId1"/>
  <headerFooter alignWithMargins="0">
    <oddHeader>&amp;L&amp;"Trebuchet MS,Regular"&amp;10Trunion Load Check Calculation&amp;R&amp;"Trebuchet MS,Regular"&amp;10PEC-EN-VSS-L-3204 Rev 1</oddHeader>
    <oddFooter>&amp;C&amp;"Trebuchet MS,Regular"&amp;9Page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6</vt:i4>
      </vt:variant>
    </vt:vector>
  </HeadingPairs>
  <TitlesOfParts>
    <vt:vector size="9" baseType="lpstr">
      <vt:lpstr>1.0 Content</vt:lpstr>
      <vt:lpstr>2.0 Calculation</vt:lpstr>
      <vt:lpstr>3.0 Standard Pipe Wall Thk</vt:lpstr>
      <vt:lpstr>'1.0 Content'!_Toc238552941</vt:lpstr>
      <vt:lpstr>'1.0 Content'!_Toc238552942</vt:lpstr>
      <vt:lpstr>'1.0 Content'!Print_Area</vt:lpstr>
      <vt:lpstr>'2.0 Calculation'!Print_Area</vt:lpstr>
      <vt:lpstr>'3.0 Standard Pipe Wall Thk'!Print_Area</vt:lpstr>
      <vt:lpstr>'1.0 Content'!Print_Titles</vt:lpstr>
    </vt:vector>
  </TitlesOfParts>
  <Company>PFI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Trunion Load Check Calculation</dc:title>
  <dc:subject>Spread Sheet for Trunion Load Check</dc:subject>
  <dc:creator>Ratul Barkataki</dc:creator>
  <cp:lastModifiedBy>S, Sairam</cp:lastModifiedBy>
  <cp:lastPrinted>2020-06-18T16:40:13Z</cp:lastPrinted>
  <dcterms:created xsi:type="dcterms:W3CDTF">2001-07-09T10:58:46Z</dcterms:created>
  <dcterms:modified xsi:type="dcterms:W3CDTF">2020-06-18T16:40:20Z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115ad2b-2b08-4b4b-ab33-60fb39cd9089_Enabled">
    <vt:lpwstr>true</vt:lpwstr>
  </property>
  <property fmtid="{D5CDD505-2E9C-101B-9397-08002B2CF9AE}" pid="3" name="MSIP_Label_f115ad2b-2b08-4b4b-ab33-60fb39cd9089_SetDate">
    <vt:lpwstr>2020-05-02T09:36:01Z</vt:lpwstr>
  </property>
  <property fmtid="{D5CDD505-2E9C-101B-9397-08002B2CF9AE}" pid="4" name="MSIP_Label_f115ad2b-2b08-4b4b-ab33-60fb39cd9089_Method">
    <vt:lpwstr>Standard</vt:lpwstr>
  </property>
  <property fmtid="{D5CDD505-2E9C-101B-9397-08002B2CF9AE}" pid="5" name="MSIP_Label_f115ad2b-2b08-4b4b-ab33-60fb39cd9089_Name">
    <vt:lpwstr>f115ad2b-2b08-4b4b-ab33-60fb39cd9089</vt:lpwstr>
  </property>
  <property fmtid="{D5CDD505-2E9C-101B-9397-08002B2CF9AE}" pid="6" name="MSIP_Label_f115ad2b-2b08-4b4b-ab33-60fb39cd9089_SiteId">
    <vt:lpwstr>16a4d712-85ca-455c-bba0-139c059e16e3</vt:lpwstr>
  </property>
  <property fmtid="{D5CDD505-2E9C-101B-9397-08002B2CF9AE}" pid="7" name="MSIP_Label_f115ad2b-2b08-4b4b-ab33-60fb39cd9089_ActionId">
    <vt:lpwstr>0fc9b8cf-fadb-4e9d-bda8-0000d71cbbc0</vt:lpwstr>
  </property>
  <property fmtid="{D5CDD505-2E9C-101B-9397-08002B2CF9AE}" pid="8" name="MSIP_Label_f115ad2b-2b08-4b4b-ab33-60fb39cd9089_ContentBits">
    <vt:lpwstr>0</vt:lpwstr>
  </property>
</Properties>
</file>